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comments/comment23.xml" ContentType="application/vnd.openxmlformats-officedocument.spreadsheetml.comments+xml"/>
  <Override PartName="/xl/worksheets/sheet30.xml" ContentType="application/vnd.openxmlformats-officedocument.spreadsheetml.worksheet+xml"/>
  <Override PartName="/xl/comments/comment24.xml" ContentType="application/vnd.openxmlformats-officedocument.spreadsheetml.comments+xml"/>
  <Override PartName="/xl/worksheets/sheet31.xml" ContentType="application/vnd.openxmlformats-officedocument.spreadsheetml.worksheet+xml"/>
  <Override PartName="/xl/comments/comment25.xml" ContentType="application/vnd.openxmlformats-officedocument.spreadsheetml.comments+xml"/>
  <Override PartName="/xl/worksheets/sheet32.xml" ContentType="application/vnd.openxmlformats-officedocument.spreadsheetml.worksheet+xml"/>
  <Override PartName="/xl/comments/comment26.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28800" windowHeight="15000" tabRatio="600" firstSheet="0" activeTab="0" autoFilterDateGrouping="1"/>
  </bookViews>
  <sheets>
    <sheet name="لوحة التحكم" sheetId="1" state="visible" r:id="rId1"/>
    <sheet name="التعليمات" sheetId="2" state="visible" r:id="rId2"/>
    <sheet name="الإعدادات" sheetId="3" state="visible" r:id="rId3"/>
    <sheet name="جدول الكميات" sheetId="4" state="visible" r:id="rId4"/>
    <sheet name="سجل المستخلصات" sheetId="5" state="visible" r:id="rId5"/>
    <sheet name="الدفعات المقدمة" sheetId="6" state="visible" r:id="rId6"/>
    <sheet name="ضمان الأعمال" sheetId="7" state="visible" r:id="rId7"/>
    <sheet name="مستخلص 1" sheetId="8" state="visible" r:id="rId8"/>
    <sheet name="مستخلص 2" sheetId="9" state="visible" r:id="rId9"/>
    <sheet name="مستخلص 3" sheetId="10" state="visible" r:id="rId10"/>
    <sheet name="مستخلص 4" sheetId="11" state="visible" r:id="rId11"/>
    <sheet name="مستخلص 5" sheetId="12" state="visible" r:id="rId12"/>
    <sheet name="مستخلص 6" sheetId="13" state="visible" r:id="rId13"/>
    <sheet name="مستخلص 7" sheetId="14" state="visible" r:id="rId14"/>
    <sheet name="مستخلص 8" sheetId="15" state="visible" r:id="rId15"/>
    <sheet name="مستخلص 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 name="مستخلص 21" sheetId="28" state="visible" r:id="rId28"/>
    <sheet name="مستخلص 22" sheetId="29" state="visible" r:id="rId29"/>
    <sheet name="مستخلص 23" sheetId="30" state="visible" r:id="rId30"/>
    <sheet name="مستخلص 24" sheetId="31" state="visible" r:id="rId31"/>
    <sheet name="مستخلص 25" sheetId="32" state="visible" r:id="rId32"/>
  </sheets>
  <definedNames>
    <definedName name="_xlnm.Print_Area" localSheetId="0">'لوحة التحكم'!$B$1:$M$82</definedName>
    <definedName name="_xlnm._FilterDatabase" localSheetId="3" hidden="1">'جدول الكميات'!$A$5:$N$105</definedName>
    <definedName name="_xlnm.Print_Titles" localSheetId="3">'جدول الكميات'!$5:$5</definedName>
    <definedName name="_xlnm.Print_Titles" localSheetId="7">'مستخلص 1'!$6:$7</definedName>
    <definedName name="_xlnm.Print_Area" localSheetId="7">'مستخلص 1'!$A$1:$P$124</definedName>
    <definedName name="_xlnm.Print_Titles" localSheetId="8">'مستخلص 2'!$6:$7</definedName>
    <definedName name="_xlnm.Print_Area" localSheetId="8">'مستخلص 2'!$A$1:$P$124</definedName>
    <definedName name="_xlnm.Print_Titles" localSheetId="9">'مستخلص 3'!$6:$7</definedName>
    <definedName name="_xlnm.Print_Area" localSheetId="9">'مستخلص 3'!$A$1:$P$124</definedName>
    <definedName name="_xlnm.Print_Titles" localSheetId="10">'مستخلص 4'!$6:$7</definedName>
    <definedName name="_xlnm.Print_Area" localSheetId="10">'مستخلص 4'!$A$1:$P$124</definedName>
    <definedName name="_xlnm.Print_Titles" localSheetId="11">'مستخلص 5'!$6:$7</definedName>
    <definedName name="_xlnm.Print_Area" localSheetId="11">'مستخلص 5'!$A$1:$P$124</definedName>
    <definedName name="_xlnm.Print_Titles" localSheetId="12">'مستخلص 6'!$6:$7</definedName>
    <definedName name="_xlnm.Print_Area" localSheetId="12">'مستخلص 6'!$A$1:$P$124</definedName>
    <definedName name="_xlnm.Print_Titles" localSheetId="13">'مستخلص 7'!$6:$7</definedName>
    <definedName name="_xlnm.Print_Area" localSheetId="13">'مستخلص 7'!$A$1:$P$124</definedName>
    <definedName name="_xlnm.Print_Titles" localSheetId="14">'مستخلص 8'!$6:$7</definedName>
    <definedName name="_xlnm.Print_Area" localSheetId="14">'مستخلص 8'!$A$1:$P$124</definedName>
    <definedName name="_xlnm.Print_Titles" localSheetId="15">'مستخلص 9'!$6:$7</definedName>
    <definedName name="_xlnm.Print_Area" localSheetId="15">'مستخلص 9'!$A$1:$P$124</definedName>
    <definedName name="_xlnm.Print_Titles" localSheetId="16">'مستخلص 10'!$6:$7</definedName>
    <definedName name="_xlnm.Print_Area" localSheetId="16">'مستخلص 10'!$A$1:$P$124</definedName>
    <definedName name="_xlnm.Print_Titles" localSheetId="17">'مستخلص 11'!$6:$7</definedName>
    <definedName name="_xlnm.Print_Area" localSheetId="17">'مستخلص 11'!$A$1:$P$124</definedName>
    <definedName name="_xlnm.Print_Titles" localSheetId="18">'مستخلص 12'!$6:$7</definedName>
    <definedName name="_xlnm.Print_Area" localSheetId="18">'مستخلص 12'!$A$1:$P$124</definedName>
    <definedName name="_xlnm.Print_Titles" localSheetId="19">'مستخلص 13'!$6:$7</definedName>
    <definedName name="_xlnm.Print_Area" localSheetId="19">'مستخلص 13'!$A$1:$P$124</definedName>
    <definedName name="_xlnm.Print_Titles" localSheetId="20">'مستخلص 14'!$6:$7</definedName>
    <definedName name="_xlnm.Print_Area" localSheetId="20">'مستخلص 14'!$A$1:$P$124</definedName>
    <definedName name="_xlnm.Print_Titles" localSheetId="21">'مستخلص 15'!$6:$7</definedName>
    <definedName name="_xlnm.Print_Area" localSheetId="21">'مستخلص 15'!$A$1:$P$124</definedName>
    <definedName name="_xlnm.Print_Titles" localSheetId="22">'مستخلص 16'!$6:$7</definedName>
    <definedName name="_xlnm.Print_Area" localSheetId="22">'مستخلص 16'!$A$1:$P$124</definedName>
    <definedName name="_xlnm.Print_Titles" localSheetId="23">'مستخلص 17'!$6:$7</definedName>
    <definedName name="_xlnm.Print_Area" localSheetId="23">'مستخلص 17'!$A$1:$P$124</definedName>
    <definedName name="_xlnm.Print_Titles" localSheetId="24">'مستخلص 18'!$6:$7</definedName>
    <definedName name="_xlnm.Print_Area" localSheetId="24">'مستخلص 18'!$A$1:$P$124</definedName>
    <definedName name="_xlnm.Print_Titles" localSheetId="25">'مستخلص 19'!$6:$7</definedName>
    <definedName name="_xlnm.Print_Area" localSheetId="25">'مستخلص 19'!$A$1:$P$124</definedName>
    <definedName name="_xlnm.Print_Titles" localSheetId="26">'مستخلص 20'!$6:$7</definedName>
    <definedName name="_xlnm.Print_Area" localSheetId="26">'مستخلص 20'!$A$1:$P$124</definedName>
    <definedName name="_xlnm.Print_Titles" localSheetId="27">'مستخلص 21'!$6:$7</definedName>
    <definedName name="_xlnm.Print_Area" localSheetId="27">'مستخلص 21'!$A$1:$P$124</definedName>
    <definedName name="_xlnm.Print_Titles" localSheetId="28">'مستخلص 22'!$6:$7</definedName>
    <definedName name="_xlnm.Print_Area" localSheetId="28">'مستخلص 22'!$A$1:$P$124</definedName>
    <definedName name="_xlnm.Print_Titles" localSheetId="29">'مستخلص 23'!$6:$7</definedName>
    <definedName name="_xlnm.Print_Area" localSheetId="29">'مستخلص 23'!$A$1:$P$124</definedName>
    <definedName name="_xlnm.Print_Titles" localSheetId="30">'مستخلص 24'!$6:$7</definedName>
    <definedName name="_xlnm.Print_Area" localSheetId="30">'مستخلص 24'!$A$1:$P$124</definedName>
    <definedName name="_xlnm.Print_Titles" localSheetId="31">'مستخلص 25'!$6:$7</definedName>
    <definedName name="_xlnm.Print_Area" localSheetId="31">'مستخلص 25'!$A$1:$P$124</definedName>
  </definedNames>
  <calcPr calcId="124519" fullCalcOnLoad="1"/>
</workbook>
</file>

<file path=xl/styles.xml><?xml version="1.0" encoding="utf-8"?>
<styleSheet xmlns="http://schemas.openxmlformats.org/spreadsheetml/2006/main">
  <numFmts count="9">
    <numFmt numFmtId="164" formatCode="yyyy/mm/dd"/>
    <numFmt numFmtId="165" formatCode="0%;[Red]-0%;&quot;-&quot;"/>
    <numFmt numFmtId="166" formatCode="#,##0.00;[Red]-#,##0.00;&quot;-&quot;"/>
    <numFmt numFmtId="167" formatCode="0.0%;[Red]-0.0%;&quot;-&quot;"/>
    <numFmt numFmtId="168" formatCode="#,##0;[Red]-#,##0"/>
    <numFmt numFmtId="169" formatCode="#,##0;[Red]-#,##0;&quot;-&quot;"/>
    <numFmt numFmtId="170" formatCode="0;;&quot;لا يوجد&quot;"/>
    <numFmt numFmtId="171" formatCode="0&quot; ⚠&quot;;0;&quot;✔ لا يوجد&quot;"/>
    <numFmt numFmtId="172" formatCode="+0.0%;[Red]-0.0%;0.0%"/>
  </numFmts>
  <fonts count="35">
    <font>
      <sz val="11"/>
      <color theme="1"/>
      <name val="Calibri"/>
      <family val="2"/>
      <scheme val="minor"/>
    </font>
    <font>
      <sz val="10"/>
      <name val="Arial"/>
    </font>
    <font>
      <b val="1"/>
      <sz val="18"/>
      <color rgb="FFFFFFFF"/>
      <name val="Arial"/>
    </font>
    <font>
      <i val="1"/>
      <sz val="10"/>
      <color rgb="FFFFFFFF"/>
      <name val="Arial"/>
    </font>
    <font>
      <b val="1"/>
      <sz val="10"/>
      <color rgb="FFFFFFFF"/>
      <name val="Arial"/>
    </font>
    <font>
      <b val="1"/>
      <sz val="11"/>
      <color rgb="FFFFFFFF"/>
      <name val="Arial"/>
    </font>
    <font>
      <b val="1"/>
      <sz val="10"/>
      <color rgb="FF1F2933"/>
      <name val="Arial"/>
    </font>
    <font>
      <sz val="10"/>
      <color rgb="FF1A4FA0"/>
      <name val="Arial"/>
    </font>
    <font>
      <sz val="10"/>
      <color rgb="FF1F2933"/>
      <name val="Arial"/>
    </font>
    <font>
      <sz val="9"/>
      <color rgb="FF5A6772"/>
      <name val="Arial"/>
    </font>
    <font>
      <i val="1"/>
      <sz val="9"/>
      <color rgb="FF9A6B00"/>
      <name val="Arial"/>
    </font>
    <font>
      <sz val="10"/>
      <color rgb="FF2E7D32"/>
      <name val="Arial"/>
    </font>
    <font>
      <b val="1"/>
      <sz val="10"/>
      <color rgb="FF1F3A5F"/>
      <name val="Arial"/>
    </font>
    <font>
      <b val="1"/>
      <sz val="14"/>
      <color rgb="FFC62828"/>
      <name val="Arial"/>
    </font>
    <font>
      <b val="1"/>
      <sz val="12"/>
      <color rgb="FFC62828"/>
      <name val="Arial"/>
    </font>
    <font>
      <b val="1"/>
      <sz val="11"/>
      <color rgb="FF1F3A5F"/>
      <name val="Arial"/>
    </font>
    <font>
      <b val="1"/>
      <sz val="10"/>
      <color rgb="FF2E7D32"/>
      <name val="Arial"/>
    </font>
    <font>
      <b val="1"/>
      <sz val="10"/>
      <color rgb="FFC62828"/>
      <name val="Arial"/>
    </font>
    <font>
      <b val="1"/>
      <sz val="9"/>
      <color rgb="FF5A6772"/>
      <name val="Arial"/>
    </font>
    <font>
      <b val="1"/>
      <sz val="16"/>
      <color rgb="FF1F3A5F"/>
      <name val="Arial"/>
    </font>
    <font>
      <i val="1"/>
      <sz val="8"/>
      <color rgb="FF5A6772"/>
      <name val="Arial"/>
    </font>
    <font>
      <b val="1"/>
      <sz val="16"/>
      <color rgb="FF2E7D7A"/>
      <name val="Arial"/>
    </font>
    <font>
      <b val="1"/>
      <sz val="18"/>
      <color rgb="FF2E7D32"/>
      <name val="Arial"/>
    </font>
    <font>
      <b val="1"/>
      <sz val="18"/>
      <color rgb="FF9A6B00"/>
      <name val="Arial"/>
    </font>
    <font>
      <b val="1"/>
      <sz val="16"/>
      <color rgb="FF2E7D32"/>
      <name val="Arial"/>
    </font>
    <font>
      <b val="1"/>
      <sz val="16"/>
      <color rgb="FFC62828"/>
      <name val="Arial"/>
    </font>
    <font>
      <b val="1"/>
      <sz val="16"/>
      <color rgb="FF6A1B9A"/>
      <name val="Arial"/>
    </font>
    <font>
      <b val="1"/>
      <sz val="16"/>
      <color rgb="FF9A6B00"/>
      <name val="Arial"/>
    </font>
    <font>
      <b val="1"/>
      <sz val="10"/>
      <color rgb="FF9A6B00"/>
      <name val="Arial"/>
    </font>
    <font>
      <b val="1"/>
      <sz val="10"/>
      <color rgb="FF2C5282"/>
      <name val="Arial"/>
    </font>
    <font>
      <b val="1"/>
      <sz val="10"/>
      <color rgb="FF5A6772"/>
      <name val="Arial"/>
    </font>
    <font>
      <b val="1"/>
      <sz val="10"/>
      <color rgb="FF2E7D7A"/>
      <name val="Arial"/>
    </font>
    <font>
      <b val="1"/>
      <i val="1"/>
      <sz val="9"/>
      <color rgb="FF5A6772"/>
      <name val="Arial"/>
    </font>
    <font>
      <b val="1"/>
      <sz val="9"/>
      <color rgb="FF1F2933"/>
      <name val="Arial"/>
    </font>
    <font>
      <sz val="9"/>
      <color rgb="FF1F2933"/>
      <name val="Arial"/>
    </font>
  </fonts>
  <fills count="12">
    <fill>
      <patternFill/>
    </fill>
    <fill>
      <patternFill patternType="gray125"/>
    </fill>
    <fill>
      <patternFill patternType="solid">
        <fgColor rgb="FF1F3A5F"/>
        <bgColor rgb="FF1F3A5F"/>
      </patternFill>
    </fill>
    <fill>
      <patternFill patternType="solid">
        <fgColor rgb="FF2C5282"/>
        <bgColor rgb="FF2C5282"/>
      </patternFill>
    </fill>
    <fill>
      <patternFill patternType="solid">
        <fgColor rgb="FF2E7D7A"/>
        <bgColor rgb="FF2E7D7A"/>
      </patternFill>
    </fill>
    <fill>
      <patternFill patternType="solid">
        <fgColor rgb="FFEEF4F8"/>
        <bgColor rgb="FFEEF4F8"/>
      </patternFill>
    </fill>
    <fill>
      <patternFill patternType="solid">
        <fgColor rgb="FFFFF8E1"/>
        <bgColor rgb="FFFFF8E1"/>
      </patternFill>
    </fill>
    <fill>
      <patternFill patternType="solid">
        <fgColor rgb="FF9A6B00"/>
        <bgColor rgb="FF9A6B00"/>
      </patternFill>
    </fill>
    <fill>
      <patternFill patternType="solid">
        <fgColor rgb="FFFFF3CD"/>
        <bgColor rgb="FFFFF3CD"/>
      </patternFill>
    </fill>
    <fill>
      <patternFill patternType="solid">
        <fgColor rgb="FFD6E4F0"/>
        <bgColor rgb="FFD6E4F0"/>
      </patternFill>
    </fill>
    <fill>
      <patternFill patternType="solid">
        <fgColor rgb="FFDCEFEE"/>
        <bgColor rgb="FFDCEFEE"/>
      </patternFill>
    </fill>
    <fill>
      <patternFill patternType="solid">
        <fgColor rgb="FFFFFFFF"/>
        <bgColor rgb="FFFFFFFF"/>
      </patternFill>
    </fill>
  </fills>
  <borders count="15">
    <border>
      <left/>
      <right/>
      <top/>
      <bottom/>
      <diagonal/>
    </border>
    <border>
      <left style="thin">
        <color rgb="FFFFFFFF"/>
      </left>
      <right style="thin">
        <color rgb="FFFFFFFF"/>
      </right>
      <top style="thin">
        <color rgb="FFFFFFFF"/>
      </top>
      <bottom style="medium">
        <color rgb="FF1F3A5F"/>
      </bottom>
    </border>
    <border>
      <left style="thin">
        <color rgb="FFC9D3DD"/>
      </left>
      <right style="thin">
        <color rgb="FFC9D3DD"/>
      </right>
      <top style="thin">
        <color rgb="FFC9D3DD"/>
      </top>
      <bottom style="thin">
        <color rgb="FFC9D3DD"/>
      </bottom>
    </border>
    <border>
      <left/>
      <right/>
      <top style="thin">
        <color rgb="FFC9D3DD"/>
      </top>
      <bottom/>
      <diagonal/>
    </border>
    <border>
      <left/>
      <right style="thin">
        <color rgb="FFC9D3DD"/>
      </right>
      <top style="thin">
        <color rgb="FFC9D3DD"/>
      </top>
      <bottom/>
      <diagonal/>
    </border>
    <border>
      <left/>
      <right style="thin">
        <color rgb="FFC9D3DD"/>
      </right>
      <top style="thin">
        <color rgb="FFC9D3DD"/>
      </top>
      <bottom style="thin">
        <color rgb="FFC9D3DD"/>
      </bottom>
      <diagonal/>
    </border>
    <border>
      <left/>
      <right/>
      <top style="thin">
        <color rgb="FFC9D3DD"/>
      </top>
      <bottom style="thin">
        <color rgb="FFC9D3DD"/>
      </bottom>
      <diagonal/>
    </border>
    <border>
      <left style="thin">
        <color rgb="FFC9D3DD"/>
      </left>
      <right style="thin">
        <color rgb="FFC9D3DD"/>
      </right>
      <top style="thick">
        <color rgb="FF1F3A5F"/>
      </top>
    </border>
    <border>
      <left style="thin">
        <color rgb="FFC9D3DD"/>
      </left>
      <right style="thin">
        <color rgb="FFC9D3DD"/>
      </right>
    </border>
    <border>
      <left style="thin">
        <color rgb="FFC9D3DD"/>
      </left>
      <right style="thin">
        <color rgb="FFC9D3DD"/>
      </right>
      <bottom style="thin">
        <color rgb="FFC9D3DD"/>
      </bottom>
    </border>
    <border>
      <left style="thin">
        <color rgb="FFC9D3DD"/>
      </left>
      <right style="thin">
        <color rgb="FFC9D3DD"/>
      </right>
      <top style="thick">
        <color rgb="FF2E7D7A"/>
      </top>
    </border>
    <border>
      <left style="thin">
        <color rgb="FFC9D3DD"/>
      </left>
      <right style="thin">
        <color rgb="FFC9D3DD"/>
      </right>
      <top style="thick">
        <color rgb="FF2E7D32"/>
      </top>
    </border>
    <border>
      <left style="thin">
        <color rgb="FFC9D3DD"/>
      </left>
      <right style="thin">
        <color rgb="FFC9D3DD"/>
      </right>
      <top style="thick">
        <color rgb="FF9A6B00"/>
      </top>
    </border>
    <border>
      <left style="thin">
        <color rgb="FFC9D3DD"/>
      </left>
      <right style="thin">
        <color rgb="FFC9D3DD"/>
      </right>
      <top style="thick">
        <color rgb="FFC62828"/>
      </top>
    </border>
    <border>
      <left style="thin">
        <color rgb="FFC9D3DD"/>
      </left>
      <right style="thin">
        <color rgb="FFC9D3DD"/>
      </right>
      <top style="thick">
        <color rgb="FF6A1B9A"/>
      </top>
    </border>
  </borders>
  <cellStyleXfs count="1">
    <xf numFmtId="0" fontId="1" fillId="0" borderId="0"/>
  </cellStyleXfs>
  <cellXfs count="110">
    <xf numFmtId="0" fontId="0" fillId="0" borderId="0" pivotButton="0" quotePrefix="0" xfId="0"/>
    <xf numFmtId="0" fontId="2" fillId="2" borderId="0" applyAlignment="1" pivotButton="0" quotePrefix="0" xfId="0">
      <alignment horizontal="center" vertical="center" readingOrder="2"/>
    </xf>
    <xf numFmtId="0" fontId="3" fillId="3" borderId="0" applyAlignment="1" pivotButton="0" quotePrefix="0" xfId="0">
      <alignment horizontal="center" vertical="center" readingOrder="2"/>
    </xf>
    <xf numFmtId="0" fontId="4" fillId="4" borderId="1" applyAlignment="1" pivotButton="0" quotePrefix="0" xfId="0">
      <alignment horizontal="center" vertical="center" readingOrder="2"/>
    </xf>
    <xf numFmtId="0" fontId="4" fillId="7" borderId="1" applyAlignment="1" pivotButton="0" quotePrefix="0" xfId="0">
      <alignment horizontal="center" vertical="center" readingOrder="2"/>
    </xf>
    <xf numFmtId="0" fontId="18" fillId="0" borderId="0" pivotButton="0" quotePrefix="0" xfId="0"/>
    <xf numFmtId="0" fontId="18" fillId="11" borderId="7" applyAlignment="1" pivotButton="0" quotePrefix="0" xfId="0">
      <alignment horizontal="center" vertical="center" wrapText="1" readingOrder="2"/>
    </xf>
    <xf numFmtId="0" fontId="18" fillId="11" borderId="10" applyAlignment="1" pivotButton="0" quotePrefix="0" xfId="0">
      <alignment horizontal="center" vertical="center" wrapText="1" readingOrder="2"/>
    </xf>
    <xf numFmtId="0" fontId="18" fillId="11" borderId="11" applyAlignment="1" pivotButton="0" quotePrefix="0" xfId="0">
      <alignment horizontal="center" vertical="center" wrapText="1" readingOrder="2"/>
    </xf>
    <xf numFmtId="0" fontId="18" fillId="11" borderId="12" applyAlignment="1" pivotButton="0" quotePrefix="0" xfId="0">
      <alignment horizontal="center" vertical="center" wrapText="1" readingOrder="2"/>
    </xf>
    <xf numFmtId="0" fontId="33" fillId="0" borderId="0" pivotButton="0" quotePrefix="0" xfId="0"/>
    <xf numFmtId="169" fontId="19" fillId="11" borderId="8" applyAlignment="1" pivotButton="0" quotePrefix="0" xfId="0">
      <alignment horizontal="center" vertical="center" readingOrder="2"/>
    </xf>
    <xf numFmtId="169" fontId="21" fillId="11" borderId="8" applyAlignment="1" pivotButton="0" quotePrefix="0" xfId="0">
      <alignment horizontal="center" vertical="center" readingOrder="2"/>
    </xf>
    <xf numFmtId="167" fontId="22" fillId="11" borderId="8" applyAlignment="1" pivotButton="0" quotePrefix="0" xfId="0">
      <alignment horizontal="center" vertical="center" readingOrder="2"/>
    </xf>
    <xf numFmtId="167" fontId="23" fillId="11" borderId="8" applyAlignment="1" pivotButton="0" quotePrefix="0" xfId="0">
      <alignment horizontal="center" vertical="center" readingOrder="2"/>
    </xf>
    <xf numFmtId="0" fontId="34" fillId="0" borderId="0" pivotButton="0" quotePrefix="0" xfId="0"/>
    <xf numFmtId="169" fontId="34" fillId="0" borderId="0" pivotButton="0" quotePrefix="0" xfId="0"/>
    <xf numFmtId="0" fontId="20" fillId="11" borderId="9" applyAlignment="1" pivotButton="0" quotePrefix="0" xfId="0">
      <alignment horizontal="center" vertical="center" readingOrder="2"/>
    </xf>
    <xf numFmtId="0" fontId="18" fillId="11" borderId="13" applyAlignment="1" pivotButton="0" quotePrefix="0" xfId="0">
      <alignment horizontal="center" vertical="center" wrapText="1" readingOrder="2"/>
    </xf>
    <xf numFmtId="169" fontId="24" fillId="11" borderId="8" applyAlignment="1" pivotButton="0" quotePrefix="0" xfId="0">
      <alignment horizontal="center" vertical="center" readingOrder="2"/>
    </xf>
    <xf numFmtId="169" fontId="25" fillId="11" borderId="8" applyAlignment="1" pivotButton="0" quotePrefix="0" xfId="0">
      <alignment horizontal="center" vertical="center" readingOrder="2"/>
    </xf>
    <xf numFmtId="170" fontId="23" fillId="11" borderId="8" applyAlignment="1" pivotButton="0" quotePrefix="0" xfId="0">
      <alignment horizontal="center" vertical="center" readingOrder="2"/>
    </xf>
    <xf numFmtId="0" fontId="18" fillId="11" borderId="14" applyAlignment="1" pivotButton="0" quotePrefix="0" xfId="0">
      <alignment horizontal="center" vertical="center" wrapText="1" readingOrder="2"/>
    </xf>
    <xf numFmtId="169" fontId="26" fillId="11" borderId="8" applyAlignment="1" pivotButton="0" quotePrefix="0" xfId="0">
      <alignment horizontal="center" vertical="center" readingOrder="2"/>
    </xf>
    <xf numFmtId="171" fontId="27" fillId="11" borderId="8" applyAlignment="1" pivotButton="0" quotePrefix="0" xfId="0">
      <alignment horizontal="center" vertical="center" readingOrder="2"/>
    </xf>
    <xf numFmtId="0" fontId="5" fillId="2" borderId="0" applyAlignment="1" pivotButton="0" quotePrefix="0" xfId="0">
      <alignment horizontal="right" vertical="center" indent="1" readingOrder="2"/>
    </xf>
    <xf numFmtId="0" fontId="12" fillId="9" borderId="2" applyAlignment="1" pivotButton="0" quotePrefix="0" xfId="0">
      <alignment horizontal="right" vertical="center" indent="1" readingOrder="2"/>
    </xf>
    <xf numFmtId="166" fontId="6" fillId="0" borderId="2" applyAlignment="1" pivotButton="0" quotePrefix="0" xfId="0">
      <alignment horizontal="center" vertical="center" readingOrder="2"/>
    </xf>
    <xf numFmtId="167" fontId="8" fillId="0" borderId="2" applyAlignment="1" pivotButton="0" quotePrefix="0" xfId="0">
      <alignment horizontal="center" vertical="center" readingOrder="2"/>
    </xf>
    <xf numFmtId="1" fontId="12" fillId="0" borderId="2" applyAlignment="1" pivotButton="0" quotePrefix="0" xfId="0">
      <alignment horizontal="center" vertical="center" readingOrder="2"/>
    </xf>
    <xf numFmtId="0" fontId="8" fillId="0" borderId="2" applyAlignment="1" pivotButton="0" quotePrefix="0" xfId="0">
      <alignment horizontal="center" vertical="center" readingOrder="2"/>
    </xf>
    <xf numFmtId="1" fontId="16" fillId="0" borderId="2" applyAlignment="1" pivotButton="0" quotePrefix="0" xfId="0">
      <alignment horizontal="center" vertical="center" readingOrder="2"/>
    </xf>
    <xf numFmtId="0" fontId="4" fillId="3" borderId="2" applyAlignment="1" pivotButton="0" quotePrefix="0" xfId="0">
      <alignment horizontal="right" vertical="center" indent="1" readingOrder="2"/>
    </xf>
    <xf numFmtId="166" fontId="6" fillId="10" borderId="2" applyAlignment="1" pivotButton="0" quotePrefix="0" xfId="0">
      <alignment horizontal="center" vertical="center" readingOrder="2"/>
    </xf>
    <xf numFmtId="167" fontId="8" fillId="10" borderId="2" applyAlignment="1" pivotButton="0" quotePrefix="0" xfId="0">
      <alignment horizontal="center" vertical="center" readingOrder="2"/>
    </xf>
    <xf numFmtId="1" fontId="28" fillId="0" borderId="2" applyAlignment="1" pivotButton="0" quotePrefix="0" xfId="0">
      <alignment horizontal="center" vertical="center" readingOrder="2"/>
    </xf>
    <xf numFmtId="1" fontId="29" fillId="0" borderId="2" applyAlignment="1" pivotButton="0" quotePrefix="0" xfId="0">
      <alignment horizontal="center" vertical="center" readingOrder="2"/>
    </xf>
    <xf numFmtId="1" fontId="30" fillId="0" borderId="2" applyAlignment="1" pivotButton="0" quotePrefix="0" xfId="0">
      <alignment horizontal="center" vertical="center" readingOrder="2"/>
    </xf>
    <xf numFmtId="1" fontId="17" fillId="0" borderId="2" applyAlignment="1" pivotButton="0" quotePrefix="0" xfId="0">
      <alignment horizontal="center" vertical="center" readingOrder="2"/>
    </xf>
    <xf numFmtId="167" fontId="31" fillId="0" borderId="2" applyAlignment="1" pivotButton="0" quotePrefix="0" xfId="0">
      <alignment horizontal="center" vertical="center" readingOrder="2"/>
    </xf>
    <xf numFmtId="172" fontId="6" fillId="0" borderId="2" applyAlignment="1" pivotButton="0" quotePrefix="0" xfId="0">
      <alignment horizontal="center" vertical="center" readingOrder="2"/>
    </xf>
    <xf numFmtId="0" fontId="6" fillId="0" borderId="2" applyAlignment="1" pivotButton="0" quotePrefix="0" xfId="0">
      <alignment horizontal="center" vertical="center" readingOrder="2"/>
    </xf>
    <xf numFmtId="0" fontId="4" fillId="4" borderId="2" applyAlignment="1" pivotButton="0" quotePrefix="0" xfId="0">
      <alignment horizontal="center" vertical="center" wrapText="1" readingOrder="2"/>
    </xf>
    <xf numFmtId="0" fontId="0" fillId="0" borderId="6" pivotButton="0" quotePrefix="0" xfId="0"/>
    <xf numFmtId="0" fontId="0" fillId="0" borderId="5" pivotButton="0" quotePrefix="0" xfId="0"/>
    <xf numFmtId="0" fontId="6" fillId="0" borderId="2" applyAlignment="1" pivotButton="0" quotePrefix="0" xfId="0">
      <alignment horizontal="right" vertical="center" readingOrder="2"/>
    </xf>
    <xf numFmtId="169" fontId="8" fillId="0" borderId="2" applyAlignment="1" pivotButton="0" quotePrefix="0" xfId="0">
      <alignment horizontal="center" vertical="center" readingOrder="2"/>
    </xf>
    <xf numFmtId="167" fontId="6" fillId="0" borderId="2" applyAlignment="1" pivotButton="0" quotePrefix="0" xfId="0">
      <alignment horizontal="center" vertical="center" readingOrder="2"/>
    </xf>
    <xf numFmtId="0" fontId="6" fillId="5" borderId="2" applyAlignment="1" pivotButton="0" quotePrefix="0" xfId="0">
      <alignment horizontal="right" vertical="center" readingOrder="2"/>
    </xf>
    <xf numFmtId="169" fontId="8" fillId="5" borderId="2" applyAlignment="1" pivotButton="0" quotePrefix="0" xfId="0">
      <alignment horizontal="center" vertical="center" readingOrder="2"/>
    </xf>
    <xf numFmtId="167" fontId="8" fillId="5" borderId="2" applyAlignment="1" pivotButton="0" quotePrefix="0" xfId="0">
      <alignment horizontal="center" vertical="center" readingOrder="2"/>
    </xf>
    <xf numFmtId="167" fontId="6" fillId="5" borderId="2" applyAlignment="1" pivotButton="0" quotePrefix="0" xfId="0">
      <alignment horizontal="center" vertical="center" readingOrder="2"/>
    </xf>
    <xf numFmtId="0" fontId="5" fillId="2" borderId="2" applyAlignment="1" pivotButton="0" quotePrefix="0" xfId="0">
      <alignment horizontal="center" vertical="center" readingOrder="2"/>
    </xf>
    <xf numFmtId="169" fontId="5" fillId="2" borderId="2" applyAlignment="1" pivotButton="0" quotePrefix="0" xfId="0">
      <alignment horizontal="center" vertical="center" readingOrder="2"/>
    </xf>
    <xf numFmtId="167" fontId="5" fillId="2" borderId="2" applyAlignment="1" pivotButton="0" quotePrefix="0" xfId="0">
      <alignment horizontal="center" vertical="center" readingOrder="2"/>
    </xf>
    <xf numFmtId="0" fontId="32" fillId="0" borderId="0" applyAlignment="1" pivotButton="0" quotePrefix="0" xfId="0">
      <alignment horizontal="right" vertical="center" readingOrder="2"/>
    </xf>
    <xf numFmtId="0" fontId="4" fillId="2" borderId="1" applyAlignment="1" pivotButton="0" quotePrefix="0" xfId="0">
      <alignment horizontal="center" vertical="center" readingOrder="2"/>
    </xf>
    <xf numFmtId="0" fontId="5" fillId="4" borderId="0" applyAlignment="1" pivotButton="0" quotePrefix="0" xfId="0">
      <alignment horizontal="right" vertical="center" indent="1" readingOrder="2"/>
    </xf>
    <xf numFmtId="0" fontId="31" fillId="0" borderId="0" applyAlignment="1" pivotButton="0" quotePrefix="0" xfId="0">
      <alignment horizontal="center" vertical="center" readingOrder="2"/>
    </xf>
    <xf numFmtId="0" fontId="8" fillId="0" borderId="0" applyAlignment="1" pivotButton="0" quotePrefix="0" xfId="0">
      <alignment horizontal="right" vertical="center" wrapText="1" readingOrder="2"/>
    </xf>
    <xf numFmtId="0" fontId="6" fillId="5" borderId="2" applyAlignment="1" pivotButton="0" quotePrefix="0" xfId="0">
      <alignment horizontal="right" vertical="center" indent="1" readingOrder="2"/>
    </xf>
    <xf numFmtId="0" fontId="7" fillId="6" borderId="2" applyAlignment="1" pivotButton="0" quotePrefix="0" xfId="0">
      <alignment horizontal="right" vertical="center" readingOrder="2"/>
    </xf>
    <xf numFmtId="0" fontId="7" fillId="6" borderId="2" applyAlignment="1" pivotButton="0" quotePrefix="0" xfId="0">
      <alignment horizontal="center" vertical="center" readingOrder="2"/>
    </xf>
    <xf numFmtId="0" fontId="4" fillId="2" borderId="2" applyAlignment="1" pivotButton="0" quotePrefix="0" xfId="0">
      <alignment horizontal="center" vertical="center" readingOrder="2"/>
    </xf>
    <xf numFmtId="0" fontId="9" fillId="0" borderId="0" applyAlignment="1" pivotButton="0" quotePrefix="0" xfId="0">
      <alignment horizontal="right" vertical="center" wrapText="1" readingOrder="2"/>
    </xf>
    <xf numFmtId="164" fontId="7" fillId="6" borderId="2" applyAlignment="1" pivotButton="0" quotePrefix="0" xfId="0">
      <alignment horizontal="right" vertical="center" readingOrder="2"/>
    </xf>
    <xf numFmtId="3" fontId="7" fillId="6" borderId="2" applyAlignment="1" pivotButton="0" quotePrefix="0" xfId="0">
      <alignment horizontal="right" vertical="center" readingOrder="2"/>
    </xf>
    <xf numFmtId="164" fontId="6" fillId="0" borderId="2" applyAlignment="1" pivotButton="0" quotePrefix="0" xfId="0">
      <alignment horizontal="center" vertical="center" readingOrder="2"/>
    </xf>
    <xf numFmtId="165" fontId="7" fillId="6" borderId="2" applyAlignment="1" pivotButton="0" quotePrefix="0" xfId="0">
      <alignment horizontal="center" vertical="center" readingOrder="2"/>
    </xf>
    <xf numFmtId="0" fontId="10" fillId="8" borderId="0" applyAlignment="1" pivotButton="0" quotePrefix="0" xfId="0">
      <alignment horizontal="right" vertical="center" wrapText="1" indent="1" readingOrder="2"/>
    </xf>
    <xf numFmtId="0" fontId="4" fillId="2" borderId="2" applyAlignment="1" pivotButton="0" quotePrefix="0" xfId="0">
      <alignment horizontal="center" vertical="center" wrapText="1" readingOrder="2"/>
    </xf>
    <xf numFmtId="0" fontId="7" fillId="6" borderId="2" applyAlignment="1" pivotButton="0" quotePrefix="0" xfId="0">
      <alignment horizontal="right" vertical="center" wrapText="1" readingOrder="2"/>
    </xf>
    <xf numFmtId="166" fontId="7" fillId="6" borderId="2" applyAlignment="1" pivotButton="0" quotePrefix="0" xfId="0">
      <alignment horizontal="center" vertical="center" readingOrder="2"/>
    </xf>
    <xf numFmtId="166" fontId="8" fillId="0" borderId="2" applyAlignment="1" pivotButton="0" quotePrefix="0" xfId="0">
      <alignment horizontal="center" vertical="center" readingOrder="2"/>
    </xf>
    <xf numFmtId="166" fontId="11" fillId="0" borderId="2" applyAlignment="1" pivotButton="0" quotePrefix="0" xfId="0">
      <alignment horizontal="center" vertical="center" readingOrder="2"/>
    </xf>
    <xf numFmtId="166" fontId="5" fillId="2" borderId="2" applyAlignment="1" pivotButton="0" quotePrefix="0" xfId="0">
      <alignment horizontal="center" vertical="center" readingOrder="2"/>
    </xf>
    <xf numFmtId="0" fontId="10" fillId="8" borderId="0" applyAlignment="1" pivotButton="0" quotePrefix="0" xfId="0">
      <alignment horizontal="right" vertical="center" indent="1" readingOrder="2"/>
    </xf>
    <xf numFmtId="0" fontId="15" fillId="0" borderId="2" applyAlignment="1" pivotButton="0" quotePrefix="0" xfId="0">
      <alignment horizontal="center" vertical="center" readingOrder="2"/>
    </xf>
    <xf numFmtId="164" fontId="8" fillId="0" borderId="2" applyAlignment="1" pivotButton="0" quotePrefix="0" xfId="0">
      <alignment horizontal="center" vertical="center" readingOrder="2"/>
    </xf>
    <xf numFmtId="164" fontId="7" fillId="6" borderId="2" applyAlignment="1" pivotButton="0" quotePrefix="0" xfId="0">
      <alignment horizontal="center" vertical="center" readingOrder="2"/>
    </xf>
    <xf numFmtId="0" fontId="15" fillId="5" borderId="2" applyAlignment="1" pivotButton="0" quotePrefix="0" xfId="0">
      <alignment horizontal="center" vertical="center" readingOrder="2"/>
    </xf>
    <xf numFmtId="164" fontId="8" fillId="5" borderId="2" applyAlignment="1" pivotButton="0" quotePrefix="0" xfId="0">
      <alignment horizontal="center" vertical="center" readingOrder="2"/>
    </xf>
    <xf numFmtId="0" fontId="8" fillId="5" borderId="2" applyAlignment="1" pivotButton="0" quotePrefix="0" xfId="0">
      <alignment horizontal="center" vertical="center" readingOrder="2"/>
    </xf>
    <xf numFmtId="166" fontId="8" fillId="5" borderId="2" applyAlignment="1" pivotButton="0" quotePrefix="0" xfId="0">
      <alignment horizontal="center" vertical="center" readingOrder="2"/>
    </xf>
    <xf numFmtId="166" fontId="6" fillId="5" borderId="2" applyAlignment="1" pivotButton="0" quotePrefix="0" xfId="0">
      <alignment horizontal="center" vertical="center" readingOrder="2"/>
    </xf>
    <xf numFmtId="0" fontId="9" fillId="0" borderId="2" applyAlignment="1" pivotButton="0" quotePrefix="0" xfId="0">
      <alignment horizontal="right" vertical="top" wrapText="1" indent="1" readingOrder="2"/>
    </xf>
    <xf numFmtId="1" fontId="7" fillId="6" borderId="2" applyAlignment="1" pivotButton="0" quotePrefix="0" xfId="0">
      <alignment horizontal="center" vertical="center" readingOrder="2"/>
    </xf>
    <xf numFmtId="166" fontId="16" fillId="0" borderId="2" applyAlignment="1" pivotButton="0" quotePrefix="0" xfId="0">
      <alignment horizontal="center" vertical="center" readingOrder="2"/>
    </xf>
    <xf numFmtId="166" fontId="17" fillId="0" borderId="2" applyAlignment="1" pivotButton="0" quotePrefix="0" xfId="0">
      <alignment horizontal="center" vertical="center" readingOrder="2"/>
    </xf>
    <xf numFmtId="1" fontId="8" fillId="0" borderId="2" applyAlignment="1" pivotButton="0" quotePrefix="0" xfId="0">
      <alignment horizontal="center" vertical="center" readingOrder="2"/>
    </xf>
    <xf numFmtId="168" fontId="8" fillId="0" borderId="2" applyAlignment="1" pivotButton="0" quotePrefix="0" xfId="0">
      <alignment horizontal="center" vertical="center" readingOrder="2"/>
    </xf>
    <xf numFmtId="0" fontId="0" fillId="2" borderId="2" pivotButton="0" quotePrefix="0" xfId="0"/>
    <xf numFmtId="1" fontId="6" fillId="0" borderId="2" applyAlignment="1" pivotButton="0" quotePrefix="0" xfId="0">
      <alignment horizontal="center" vertical="center" readingOrder="2"/>
    </xf>
    <xf numFmtId="165" fontId="8" fillId="0" borderId="2" applyAlignment="1" pivotButton="0" quotePrefix="0" xfId="0">
      <alignment horizontal="center" vertical="center" readingOrder="2"/>
    </xf>
    <xf numFmtId="1" fontId="6" fillId="5" borderId="2" applyAlignment="1" pivotButton="0" quotePrefix="0" xfId="0">
      <alignment horizontal="center" vertical="center" readingOrder="2"/>
    </xf>
    <xf numFmtId="165" fontId="8" fillId="5" borderId="2" applyAlignment="1" pivotButton="0" quotePrefix="0" xfId="0">
      <alignment horizontal="center" vertical="center" readingOrder="2"/>
    </xf>
    <xf numFmtId="0" fontId="12" fillId="9" borderId="2" applyAlignment="1" pivotButton="0" quotePrefix="0" xfId="0">
      <alignment horizontal="center" vertical="center" readingOrder="2"/>
    </xf>
    <xf numFmtId="0" fontId="13" fillId="0" borderId="2" applyAlignment="1" pivotButton="0" quotePrefix="0" xfId="0">
      <alignment horizontal="center" vertical="center" readingOrder="2"/>
    </xf>
    <xf numFmtId="0" fontId="4" fillId="3" borderId="2" applyAlignment="1" pivotButton="0" quotePrefix="0" xfId="0">
      <alignment horizontal="center" vertical="center" wrapText="1" readingOrder="2"/>
    </xf>
    <xf numFmtId="0" fontId="4" fillId="7" borderId="2" applyAlignment="1" pivotButton="0" quotePrefix="0" xfId="0">
      <alignment horizontal="center" vertical="center" wrapText="1" readingOrder="2"/>
    </xf>
    <xf numFmtId="0" fontId="8" fillId="0" borderId="2" applyAlignment="1" pivotButton="0" quotePrefix="0" xfId="0">
      <alignment horizontal="right" vertical="center" wrapText="1" readingOrder="2"/>
    </xf>
    <xf numFmtId="165" fontId="6" fillId="0" borderId="2" applyAlignment="1" pivotButton="0" quotePrefix="0" xfId="0">
      <alignment horizontal="center" vertical="center" readingOrder="2"/>
    </xf>
    <xf numFmtId="0" fontId="8" fillId="5" borderId="2" applyAlignment="1" pivotButton="0" quotePrefix="0" xfId="0">
      <alignment horizontal="right" vertical="center" wrapText="1" readingOrder="2"/>
    </xf>
    <xf numFmtId="165" fontId="6" fillId="5" borderId="2" applyAlignment="1" pivotButton="0" quotePrefix="0" xfId="0">
      <alignment horizontal="center" vertical="center" readingOrder="2"/>
    </xf>
    <xf numFmtId="0" fontId="5" fillId="4" borderId="2" applyAlignment="1" pivotButton="0" quotePrefix="0" xfId="0">
      <alignment horizontal="right" vertical="center" indent="1" readingOrder="2"/>
    </xf>
    <xf numFmtId="0" fontId="7" fillId="6" borderId="2" applyAlignment="1" pivotButton="0" quotePrefix="0" xfId="0">
      <alignment horizontal="right" vertical="top" wrapText="1" readingOrder="2"/>
    </xf>
    <xf numFmtId="166" fontId="14"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6" fontId="11" fillId="5" borderId="2" applyAlignment="1" pivotButton="0" quotePrefix="0" xfId="0">
      <alignment horizontal="center" vertical="center" readingOrder="2"/>
    </xf>
    <xf numFmtId="165" fontId="11" fillId="5" borderId="2" applyAlignment="1" pivotButton="0" quotePrefix="0" xfId="0">
      <alignment horizontal="center" vertical="center" readingOrder="2"/>
    </xf>
  </cellXfs>
  <cellStyles count="1">
    <cellStyle name="Normal" xfId="0" builtinId="0" hidden="0"/>
  </cellStyles>
  <dxfs count="6">
    <dxf>
      <font>
        <b val="1"/>
        <color rgb="FF2E7D32"/>
      </font>
      <fill>
        <patternFill patternType="solid">
          <fgColor rgb="FFE8F5E9"/>
          <bgColor rgb="FFE8F5E9"/>
        </patternFill>
      </fill>
    </dxf>
    <dxf>
      <font>
        <b val="1"/>
        <color rgb="FF9A6B00"/>
      </font>
      <fill>
        <patternFill patternType="solid">
          <fgColor rgb="FFFFF3CD"/>
          <bgColor rgb="FFFFF3CD"/>
        </patternFill>
      </fill>
    </dxf>
    <dxf>
      <font>
        <b val="1"/>
        <color rgb="FFC62828"/>
      </font>
      <fill>
        <patternFill patternType="solid">
          <fgColor rgb="FFFDECEA"/>
          <bgColor rgb="FFFDECEA"/>
        </patternFill>
      </fill>
    </dxf>
    <dxf>
      <font>
        <b val="1"/>
        <color rgb="FF2C5282"/>
      </font>
      <fill>
        <patternFill patternType="solid">
          <fgColor rgb="FFE3F2FD"/>
          <bgColor rgb="FFE3F2FD"/>
        </patternFill>
      </fill>
    </dxf>
    <dxf>
      <font>
        <color rgb="FFFFFFFF"/>
      </font>
    </dxf>
    <dxf>
      <font>
        <color rgb="FFA0AAB4"/>
      </font>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charts/chart1.xml><?xml version="1.0" encoding="utf-8"?>
<chartSpace xmlns:a="http://schemas.openxmlformats.org/drawingml/2006/main" xmlns="http://schemas.openxmlformats.org/drawingml/2006/chart">
  <chart>
    <title>
      <tx>
        <rich>
          <a:bodyPr/>
          <a:p>
            <a:pPr>
              <a:defRPr/>
            </a:pPr>
            <a:r>
              <a:t>قيمة الأعمال لكل مستخلص والتراكمي</a:t>
            </a:r>
          </a:p>
        </rich>
      </tx>
    </title>
    <plotArea>
      <barChart>
        <barDir val="col"/>
        <grouping val="clustered"/>
        <ser>
          <idx val="0"/>
          <order val="0"/>
          <tx>
            <strRef>
              <f>'لوحة التحكم'!Q5</f>
            </strRef>
          </tx>
          <spPr>
            <a:ln>
              <a:prstDash val="solid"/>
            </a:ln>
          </spPr>
          <cat>
            <numRef>
              <f>'لوحة التحكم'!$P$6:$P$30</f>
            </numRef>
          </cat>
          <val>
            <numRef>
              <f>'لوحة التحكم'!$Q$6:$Q$30</f>
            </numRef>
          </val>
        </ser>
        <ser>
          <idx val="1"/>
          <order val="1"/>
          <tx>
            <strRef>
              <f>'لوحة التحكم'!S5</f>
            </strRef>
          </tx>
          <spPr>
            <a:ln>
              <a:prstDash val="solid"/>
            </a:ln>
          </spPr>
          <cat>
            <numRef>
              <f>'لوحة التحكم'!$P$6:$P$30</f>
            </numRef>
          </cat>
          <val>
            <numRef>
              <f>'لوحة التحكم'!$S$6:$S$30</f>
            </numRef>
          </val>
        </ser>
        <gapWidth val="150"/>
        <axId val="10"/>
        <axId val="100"/>
      </barChart>
      <lineChart>
        <grouping val="standard"/>
        <ser>
          <idx val="2"/>
          <order val="2"/>
          <tx>
            <strRef>
              <f>'لوحة التحكم'!R5</f>
            </strRef>
          </tx>
          <spPr>
            <a:ln>
              <a:prstDash val="solid"/>
            </a:ln>
          </spPr>
          <marker>
            <symbol val="none"/>
            <spPr>
              <a:ln>
                <a:prstDash val="solid"/>
              </a:ln>
            </spPr>
          </marker>
          <val>
            <numRef>
              <f>'لوحة التحكم'!$R$6:$R$30</f>
            </numRef>
          </val>
        </ser>
        <axId val="10"/>
        <axId val="200"/>
      </line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valAx>
        <axId val="200"/>
        <scaling>
          <orientation val="minMax"/>
        </scaling>
        <delete val="0"/>
        <axPos val="l"/>
        <majorGridlines/>
        <title>
          <tx>
            <rich>
              <a:bodyPr/>
              <a:p>
                <a:pPr>
                  <a:defRPr/>
                </a:pPr>
                <a:r>
                  <a:t>التراكمي</a:t>
                </a:r>
              </a:p>
            </rich>
          </tx>
        </title>
        <majorTickMark val="none"/>
        <minorTickMark val="none"/>
        <crossAx val="10"/>
        <crosses val="max"/>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قيمة العقد مقابل المنفذ حسب القسم</a:t>
            </a:r>
          </a:p>
        </rich>
      </tx>
    </title>
    <plotArea>
      <barChart>
        <barDir val="bar"/>
        <grouping val="clustered"/>
        <ser>
          <idx val="0"/>
          <order val="0"/>
          <tx>
            <strRef>
              <f>'لوحة التحكم'!E29</f>
            </strRef>
          </tx>
          <spPr>
            <a:ln>
              <a:prstDash val="solid"/>
            </a:ln>
          </spPr>
          <cat>
            <numRef>
              <f>'لوحة التحكم'!$B$30:$B$41</f>
            </numRef>
          </cat>
          <val>
            <numRef>
              <f>'لوحة التحكم'!$E$30:$E$41</f>
            </numRef>
          </val>
        </ser>
        <ser>
          <idx val="1"/>
          <order val="1"/>
          <tx>
            <strRef>
              <f>'لوحة التحكم'!H29</f>
            </strRef>
          </tx>
          <spPr>
            <a:ln>
              <a:prstDash val="solid"/>
            </a:ln>
          </spPr>
          <cat>
            <numRef>
              <f>'لوحة التحكم'!$B$30:$B$41</f>
            </numRef>
          </cat>
          <val>
            <numRef>
              <f>'لوحة التحكم'!$H$30:$H$41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توزيع قيمة العقد (شاملة الضريبة)</a:t>
            </a:r>
          </a:p>
        </rich>
      </tx>
    </title>
    <plotArea>
      <doughnutChart>
        <varyColors val="1"/>
        <ser>
          <idx val="0"/>
          <order val="0"/>
          <tx>
            <strRef>
              <f>'لوحة التحكم'!V5</f>
            </strRef>
          </tx>
          <spPr>
            <a:ln>
              <a:prstDash val="solid"/>
            </a:ln>
          </spPr>
          <cat>
            <numRef>
              <f>'لوحة التحكم'!$U$6:$U$9</f>
            </numRef>
          </cat>
          <val>
            <numRef>
              <f>'لوحة التحكم'!$V$6:$V$9</f>
            </numRef>
          </val>
        </ser>
        <dLbls>
          <showPercent val="1"/>
        </dLbls>
        <firstSliceAng val="0"/>
        <holeSize val="10"/>
      </doughnutChart>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الاسترداد لكل مستخلص والرصيد المتبقي</a:t>
            </a:r>
          </a:p>
        </rich>
      </tx>
    </title>
    <plotArea>
      <barChart>
        <barDir val="col"/>
        <grouping val="clustered"/>
        <ser>
          <idx val="0"/>
          <order val="0"/>
          <tx>
            <strRef>
              <f>'الدفعات المقدمة'!I24</f>
            </strRef>
          </tx>
          <spPr>
            <a:ln>
              <a:prstDash val="solid"/>
            </a:ln>
          </spPr>
          <cat>
            <numRef>
              <f>'الدفعات المقدمة'!$B$25:$B$49</f>
            </numRef>
          </cat>
          <val>
            <numRef>
              <f>'الدفعات المقدمة'!$I$25:$I$49</f>
            </numRef>
          </val>
        </ser>
        <gapWidth val="150"/>
        <axId val="10"/>
        <axId val="100"/>
      </barChart>
      <lineChart>
        <grouping val="standard"/>
        <ser>
          <idx val="1"/>
          <order val="1"/>
          <tx>
            <strRef>
              <f>'الدفعات المقدمة'!K24</f>
            </strRef>
          </tx>
          <spPr>
            <a:ln>
              <a:prstDash val="solid"/>
            </a:ln>
          </spPr>
          <marker>
            <symbol val="none"/>
            <spPr>
              <a:ln>
                <a:prstDash val="solid"/>
              </a:ln>
            </spPr>
          </marker>
          <val>
            <numRef>
              <f>'الدفعات المقدمة'!$K$25:$K$49</f>
            </numRef>
          </val>
        </ser>
        <axId val="10"/>
        <axId val="200"/>
      </line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الاسترداد</a:t>
                </a:r>
              </a:p>
            </rich>
          </tx>
        </title>
        <majorTickMark val="none"/>
        <minorTickMark val="none"/>
        <crossAx val="10"/>
      </valAx>
      <valAx>
        <axId val="200"/>
        <scaling>
          <orientation val="minMax"/>
        </scaling>
        <delete val="0"/>
        <axPos val="l"/>
        <majorGridlines/>
        <majorTickMark val="none"/>
        <minorTickMark val="none"/>
        <crossAx val="10"/>
        <crosses val="max"/>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ضمان الأعمال التراكمي المحتجز</a:t>
            </a:r>
          </a:p>
        </rich>
      </tx>
    </title>
    <plotArea>
      <barChart>
        <barDir val="col"/>
        <grouping val="clustered"/>
        <ser>
          <idx val="0"/>
          <order val="0"/>
          <tx>
            <strRef>
              <f>'ضمان الأعمال'!J15</f>
            </strRef>
          </tx>
          <spPr>
            <a:ln>
              <a:prstDash val="solid"/>
            </a:ln>
          </spPr>
          <cat>
            <numRef>
              <f>'ضمان الأعمال'!$B$16:$B$40</f>
            </numRef>
          </cat>
          <val>
            <numRef>
              <f>'ضمان الأعمال'!$J$16:$J$40</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القالب</author>
  </authors>
  <commentList>
    <comment ref="L11" authorId="0" shapeId="0">
      <text>
        <t>محسوب من تاريخ الانتهاء المخطط + مدة فترة الضمان</t>
      </text>
    </comment>
  </commentList>
</comments>
</file>

<file path=xl/comments/comment2.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3.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4.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5.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6.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7.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8.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9.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0.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1.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2.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3.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4.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5.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6.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7.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8.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19.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0.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1.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2.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3.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4.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5.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26.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44</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63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8</col>
      <colOff>0</colOff>
      <row>63</row>
      <rowOff>0</rowOff>
    </from>
    <ext cx="3960000" cy="324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22</row>
      <rowOff>0</rowOff>
    </from>
    <ext cx="612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13</row>
      <rowOff>0</rowOff>
    </from>
    <ext cx="61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9.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0.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31.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32.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sheet1.xml><?xml version="1.0" encoding="utf-8"?>
<worksheet xmlns="http://schemas.openxmlformats.org/spreadsheetml/2006/main">
  <sheetPr>
    <tabColor rgb="FF1F3A5F"/>
    <outlinePr summaryBelow="1" summaryRight="1"/>
    <pageSetUpPr fitToPage="1"/>
  </sheetPr>
  <dimension ref="B1:V44"/>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 customWidth="1" min="14" max="14"/>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ht="38" customHeight="1">
      <c r="B1" s="1" t="inlineStr">
        <is>
          <t>📊 لوحة التحكم — متابعة مستخلصات المشروع</t>
        </is>
      </c>
      <c r="C1" s="1" t="n"/>
      <c r="D1" s="1" t="n"/>
      <c r="E1" s="1" t="n"/>
      <c r="F1" s="1" t="n"/>
      <c r="G1" s="1" t="n"/>
      <c r="H1" s="1" t="n"/>
      <c r="I1" s="1" t="n"/>
      <c r="J1" s="1" t="n"/>
      <c r="K1" s="1" t="n"/>
      <c r="L1" s="1" t="n"/>
      <c r="M1" s="1" t="n"/>
    </row>
    <row r="2" ht="20" customHeight="1">
      <c r="B2" s="2">
        <f>'الإعدادات'!$C$6&amp;"   |   المالك: "&amp;'الإعدادات'!$C$8&amp;"   |   المقاول: "&amp;'الإعدادات'!$C$9&amp;"   |   تاريخ التقرير: "&amp;TEXT(TODAY(),"yyyy/mm/dd")</f>
        <v/>
      </c>
      <c r="C2" s="2" t="n"/>
      <c r="D2" s="2" t="n"/>
      <c r="E2" s="2" t="n"/>
      <c r="F2" s="2" t="n"/>
      <c r="G2" s="2" t="n"/>
      <c r="H2" s="2" t="n"/>
      <c r="I2" s="2" t="n"/>
      <c r="J2" s="2" t="n"/>
      <c r="K2" s="2" t="n"/>
      <c r="L2" s="2" t="n"/>
      <c r="M2" s="2" t="n"/>
    </row>
    <row r="3" ht="24" customHeight="1">
      <c r="B3" s="3" t="inlineStr">
        <is>
          <t>⚙ الإعدادات</t>
        </is>
      </c>
      <c r="C3" s="3" t="n"/>
      <c r="D3" s="3" t="inlineStr">
        <is>
          <t>📋 جدول الكميات</t>
        </is>
      </c>
      <c r="E3" s="3" t="n"/>
      <c r="F3" s="3" t="inlineStr">
        <is>
          <t>🗂 سجل المستخلصات</t>
        </is>
      </c>
      <c r="G3" s="3" t="n"/>
      <c r="H3" s="3" t="inlineStr">
        <is>
          <t>💵 الدفعات المقدمة</t>
        </is>
      </c>
      <c r="I3" s="3" t="n"/>
      <c r="J3" s="3" t="inlineStr">
        <is>
          <t>🔒 ضمان الأعمال</t>
        </is>
      </c>
      <c r="K3" s="3" t="n"/>
      <c r="L3" s="4" t="inlineStr">
        <is>
          <t>📄 مستخلص 1</t>
        </is>
      </c>
      <c r="M3" s="4" t="n"/>
    </row>
    <row r="4">
      <c r="P4" s="5" t="inlineStr">
        <is>
          <t>بيانات الرسم البياني (مساعدة)</t>
        </is>
      </c>
    </row>
    <row r="5" ht="20" customHeight="1">
      <c r="B5" s="6" t="inlineStr">
        <is>
          <t>قيمة العقد (بدون ضريبة)</t>
        </is>
      </c>
      <c r="C5" s="6" t="n"/>
      <c r="D5" s="6" t="n"/>
      <c r="E5" s="7" t="inlineStr">
        <is>
          <t>الأعمال المنفذة تراكمياً</t>
        </is>
      </c>
      <c r="F5" s="7" t="n"/>
      <c r="G5" s="7" t="n"/>
      <c r="H5" s="8" t="inlineStr">
        <is>
          <t>نسبة الإنجاز المالي</t>
        </is>
      </c>
      <c r="I5" s="8" t="n"/>
      <c r="J5" s="8" t="n"/>
      <c r="K5" s="9" t="inlineStr">
        <is>
          <t>نسبة المدة المنقضية</t>
        </is>
      </c>
      <c r="L5" s="9" t="n"/>
      <c r="M5" s="9" t="n"/>
      <c r="P5" s="10" t="inlineStr">
        <is>
          <t>المستخلص</t>
        </is>
      </c>
      <c r="Q5" s="10" t="inlineStr">
        <is>
          <t>الأعمال الحالية</t>
        </is>
      </c>
      <c r="R5" s="10" t="inlineStr">
        <is>
          <t>الأعمال التراكمية</t>
        </is>
      </c>
      <c r="S5" s="10" t="inlineStr">
        <is>
          <t>المحصّل</t>
        </is>
      </c>
      <c r="U5" s="10" t="inlineStr">
        <is>
          <t>الحالة</t>
        </is>
      </c>
      <c r="V5" s="10" t="inlineStr">
        <is>
          <t>القيمة</t>
        </is>
      </c>
    </row>
    <row r="6" ht="30" customHeight="1">
      <c r="B6" s="11">
        <f>'الإعدادات'!$C$19</f>
        <v/>
      </c>
      <c r="C6" s="11" t="n"/>
      <c r="D6" s="11" t="n"/>
      <c r="E6" s="12">
        <f>'سجل المستخلصات'!G31</f>
        <v/>
      </c>
      <c r="F6" s="12" t="n"/>
      <c r="G6" s="12" t="n"/>
      <c r="H6" s="13">
        <f>IF('الإعدادات'!$C$19=0,0,'سجل المستخلصات'!G31/'الإعدادات'!$C$19)</f>
        <v/>
      </c>
      <c r="I6" s="13" t="n"/>
      <c r="J6" s="13" t="n"/>
      <c r="K6" s="14">
        <f>IF(OR('الإعدادات'!C13="",'الإعدادات'!C14=""),0,MAX(0,MIN(1,(TODAY()-'الإعدادات'!C13)/'الإعدادات'!C14)))</f>
        <v/>
      </c>
      <c r="L6" s="14" t="n"/>
      <c r="M6" s="14" t="n"/>
      <c r="P6" s="15">
        <f>"م"&amp;1</f>
        <v/>
      </c>
      <c r="Q6" s="16">
        <f>'سجل المستخلصات'!G6</f>
        <v/>
      </c>
      <c r="R6" s="16">
        <f>'سجل المستخلصات'!H6</f>
        <v/>
      </c>
      <c r="S6" s="16">
        <f>'سجل المستخلصات'!P6</f>
        <v/>
      </c>
      <c r="U6" s="15" t="inlineStr">
        <is>
          <t>المحصّل</t>
        </is>
      </c>
      <c r="V6" s="16">
        <f>'سجل المستخلصات'!P31</f>
        <v/>
      </c>
    </row>
    <row r="7">
      <c r="B7" s="17">
        <f>"شاملة الضريبة: "&amp;TEXT('الإعدادات'!C20,"#,##0")</f>
        <v/>
      </c>
      <c r="C7" s="17" t="n"/>
      <c r="D7" s="17" t="n"/>
      <c r="E7" s="17">
        <f>"المتبقي من العقد: "&amp;TEXT('الإعدادات'!$C$19-'سجل المستخلصات'!G31,"#,##0")</f>
        <v/>
      </c>
      <c r="F7" s="17" t="n"/>
      <c r="G7" s="17" t="n"/>
      <c r="H7" s="17" t="inlineStr">
        <is>
          <t>قيمة المنفذ ÷ قيمة العقد</t>
        </is>
      </c>
      <c r="I7" s="17" t="n"/>
      <c r="J7" s="17" t="n"/>
      <c r="K7" s="17">
        <f>IF('الإعدادات'!C15="","","تاريخ الانتهاء: "&amp;TEXT('الإعدادات'!C15,"yyyy/mm/dd"))</f>
        <v/>
      </c>
      <c r="L7" s="17" t="n"/>
      <c r="M7" s="17" t="n"/>
      <c r="P7" s="15">
        <f>"م"&amp;2</f>
        <v/>
      </c>
      <c r="Q7" s="16">
        <f>'سجل المستخلصات'!G7</f>
        <v/>
      </c>
      <c r="R7" s="16">
        <f>'سجل المستخلصات'!H7</f>
        <v/>
      </c>
      <c r="S7" s="16">
        <f>'سجل المستخلصات'!P7</f>
        <v/>
      </c>
      <c r="U7" s="15" t="inlineStr">
        <is>
          <t>مستحق غير محصل</t>
        </is>
      </c>
      <c r="V7" s="16">
        <f>MAX(0,'سجل المستخلصات'!R31)</f>
        <v/>
      </c>
    </row>
    <row r="8">
      <c r="P8" s="15">
        <f>"م"&amp;3</f>
        <v/>
      </c>
      <c r="Q8" s="16">
        <f>'سجل المستخلصات'!G8</f>
        <v/>
      </c>
      <c r="R8" s="16">
        <f>'سجل المستخلصات'!H8</f>
        <v/>
      </c>
      <c r="S8" s="16">
        <f>'سجل المستخلصات'!P8</f>
        <v/>
      </c>
      <c r="U8" s="15" t="inlineStr">
        <is>
          <t>ضمان محتجز</t>
        </is>
      </c>
      <c r="V8" s="16">
        <f>'ضمان الأعمال'!E11</f>
        <v/>
      </c>
    </row>
    <row r="9" ht="20" customHeight="1">
      <c r="B9" s="6" t="inlineStr">
        <is>
          <t>صافي المستحق التراكمي</t>
        </is>
      </c>
      <c r="C9" s="6" t="n"/>
      <c r="D9" s="6" t="n"/>
      <c r="E9" s="8" t="inlineStr">
        <is>
          <t>إجمالي المحصّل</t>
        </is>
      </c>
      <c r="F9" s="8" t="n"/>
      <c r="G9" s="8" t="n"/>
      <c r="H9" s="18" t="inlineStr">
        <is>
          <t>المتبقي لدى المالك (غير محصل)</t>
        </is>
      </c>
      <c r="I9" s="18" t="n"/>
      <c r="J9" s="18" t="n"/>
      <c r="K9" s="9" t="inlineStr">
        <is>
          <t>آخر مستخلص صادر</t>
        </is>
      </c>
      <c r="L9" s="9" t="n"/>
      <c r="M9" s="9" t="n"/>
      <c r="P9" s="15">
        <f>"م"&amp;4</f>
        <v/>
      </c>
      <c r="Q9" s="16">
        <f>'سجل المستخلصات'!G9</f>
        <v/>
      </c>
      <c r="R9" s="16">
        <f>'سجل المستخلصات'!H9</f>
        <v/>
      </c>
      <c r="S9" s="16">
        <f>'سجل المستخلصات'!P9</f>
        <v/>
      </c>
      <c r="U9" s="15" t="inlineStr">
        <is>
          <t>متبقي من العقد (لم ينفذ)</t>
        </is>
      </c>
      <c r="V9" s="16">
        <f>MAX(0,'الإعدادات'!C20-'سجل المستخلصات'!K31)</f>
        <v/>
      </c>
    </row>
    <row r="10" ht="30" customHeight="1">
      <c r="B10" s="11">
        <f>'سجل المستخلصات'!O31</f>
        <v/>
      </c>
      <c r="C10" s="11" t="n"/>
      <c r="D10" s="11" t="n"/>
      <c r="E10" s="19">
        <f>'سجل المستخلصات'!P31</f>
        <v/>
      </c>
      <c r="F10" s="19" t="n"/>
      <c r="G10" s="19" t="n"/>
      <c r="H10" s="20">
        <f>'سجل المستخلصات'!R31</f>
        <v/>
      </c>
      <c r="I10" s="20" t="n"/>
      <c r="J10" s="20" t="n"/>
      <c r="K10" s="21">
        <f>SUMPRODUCT(MAX(('سجل المستخلصات'!C6:C30&lt;&gt;"")*'سجل المستخلصات'!B6:B30))</f>
        <v/>
      </c>
      <c r="L10" s="21" t="n"/>
      <c r="M10" s="21" t="n"/>
      <c r="P10" s="15">
        <f>"م"&amp;5</f>
        <v/>
      </c>
      <c r="Q10" s="16">
        <f>'سجل المستخلصات'!G10</f>
        <v/>
      </c>
      <c r="R10" s="16">
        <f>'سجل المستخلصات'!H10</f>
        <v/>
      </c>
      <c r="S10" s="16">
        <f>'سجل المستخلصات'!P10</f>
        <v/>
      </c>
    </row>
    <row r="11">
      <c r="B11" s="17" t="inlineStr">
        <is>
          <t>بعد الضريبة والخصومات</t>
        </is>
      </c>
      <c r="C11" s="17" t="n"/>
      <c r="D11" s="17" t="n"/>
      <c r="E11" s="17">
        <f>TEXT(IF('سجل المستخلصات'!O31=0,0,'سجل المستخلصات'!P31/'سجل المستخلصات'!O31),"0%")&amp;" من المستحق"</f>
        <v/>
      </c>
      <c r="F11" s="17" t="n"/>
      <c r="G11" s="17" t="n"/>
      <c r="H11" s="17" t="inlineStr">
        <is>
          <t>مستحقات متأخرة</t>
        </is>
      </c>
      <c r="I11" s="17" t="n"/>
      <c r="J11" s="17" t="n"/>
      <c r="K11" s="17">
        <f>IF($K$10=0,"","صافي: "&amp;TEXT(INDEX('سجل المستخلصات'!O6:O30,$K$10),"#,##0")&amp;"  |  "&amp;TEXT(INDEX('سجل المستخلصات'!C6:C30,$K$10),"yyyy/mm/dd"))</f>
        <v/>
      </c>
      <c r="L11" s="17" t="n"/>
      <c r="M11" s="17" t="n"/>
      <c r="P11" s="15">
        <f>"م"&amp;6</f>
        <v/>
      </c>
      <c r="Q11" s="16">
        <f>'سجل المستخلصات'!G11</f>
        <v/>
      </c>
      <c r="R11" s="16">
        <f>'سجل المستخلصات'!H11</f>
        <v/>
      </c>
      <c r="S11" s="16">
        <f>'سجل المستخلصات'!P11</f>
        <v/>
      </c>
    </row>
    <row r="12">
      <c r="P12" s="15">
        <f>"م"&amp;7</f>
        <v/>
      </c>
      <c r="Q12" s="16">
        <f>'سجل المستخلصات'!G12</f>
        <v/>
      </c>
      <c r="R12" s="16">
        <f>'سجل المستخلصات'!H12</f>
        <v/>
      </c>
      <c r="S12" s="16">
        <f>'سجل المستخلصات'!P12</f>
        <v/>
      </c>
    </row>
    <row r="13" ht="20" customHeight="1">
      <c r="B13" s="22" t="inlineStr">
        <is>
          <t>الدفعات المقدمة المصروفة</t>
        </is>
      </c>
      <c r="C13" s="22" t="n"/>
      <c r="D13" s="22" t="n"/>
      <c r="E13" s="22" t="inlineStr">
        <is>
          <t>رصيد الدفعة المقدمة المتبقي</t>
        </is>
      </c>
      <c r="F13" s="22" t="n"/>
      <c r="G13" s="22" t="n"/>
      <c r="H13" s="18" t="inlineStr">
        <is>
          <t>ضمان الأعمال المحتجز</t>
        </is>
      </c>
      <c r="I13" s="18" t="n"/>
      <c r="J13" s="18" t="n"/>
      <c r="K13" s="9" t="inlineStr">
        <is>
          <t>تنبيهات الضمانات البنكية</t>
        </is>
      </c>
      <c r="L13" s="9" t="n"/>
      <c r="M13" s="9" t="n"/>
      <c r="P13" s="15">
        <f>"م"&amp;8</f>
        <v/>
      </c>
      <c r="Q13" s="16">
        <f>'سجل المستخلصات'!G13</f>
        <v/>
      </c>
      <c r="R13" s="16">
        <f>'سجل المستخلصات'!H13</f>
        <v/>
      </c>
      <c r="S13" s="16">
        <f>'سجل المستخلصات'!P13</f>
        <v/>
      </c>
    </row>
    <row r="14" ht="30" customHeight="1">
      <c r="B14" s="23">
        <f>'الدفعات المقدمة'!E8</f>
        <v/>
      </c>
      <c r="C14" s="23" t="n"/>
      <c r="D14" s="23" t="n"/>
      <c r="E14" s="23">
        <f>'الدفعات المقدمة'!E11</f>
        <v/>
      </c>
      <c r="F14" s="23" t="n"/>
      <c r="G14" s="23" t="n"/>
      <c r="H14" s="20">
        <f>'ضمان الأعمال'!E11</f>
        <v/>
      </c>
      <c r="I14" s="20" t="n"/>
      <c r="J14" s="20" t="n"/>
      <c r="K14" s="24">
        <f>COUNTIF('الدفعات المقدمة'!I15:I20,"&lt;=30")+COUNTIF('ضمان الأعمال'!K55:K60,"&lt;=30")</f>
        <v/>
      </c>
      <c r="L14" s="24" t="n"/>
      <c r="M14" s="24" t="n"/>
      <c r="P14" s="15">
        <f>"م"&amp;9</f>
        <v/>
      </c>
      <c r="Q14" s="16">
        <f>'سجل المستخلصات'!G14</f>
        <v/>
      </c>
      <c r="R14" s="16">
        <f>'سجل المستخلصات'!H14</f>
        <v/>
      </c>
      <c r="S14" s="16">
        <f>'سجل المستخلصات'!P14</f>
        <v/>
      </c>
    </row>
    <row r="15">
      <c r="B15" s="17">
        <f>"المسترد: "&amp;TEXT('الدفعات المقدمة'!E10,"#,##0")</f>
        <v/>
      </c>
      <c r="C15" s="17" t="n"/>
      <c r="D15" s="17" t="n"/>
      <c r="E15" s="17">
        <f>TEXT('الدفعات المقدمة'!L50,"0%")&amp;" تم استرداده"</f>
        <v/>
      </c>
      <c r="F15" s="17" t="n"/>
      <c r="G15" s="17" t="n"/>
      <c r="H15" s="17">
        <f>"المفرج عنه: "&amp;TEXT('ضمان الأعمال'!E10,"#,##0")</f>
        <v/>
      </c>
      <c r="I15" s="17" t="n"/>
      <c r="J15" s="17" t="n"/>
      <c r="K15" s="17" t="inlineStr">
        <is>
          <t>ضمانات منتهية أو تنتهي خلال 30 يوماً</t>
        </is>
      </c>
      <c r="L15" s="17" t="n"/>
      <c r="M15" s="17" t="n"/>
      <c r="P15" s="15">
        <f>"م"&amp;10</f>
        <v/>
      </c>
      <c r="Q15" s="16">
        <f>'سجل المستخلصات'!G15</f>
        <v/>
      </c>
      <c r="R15" s="16">
        <f>'سجل المستخلصات'!H15</f>
        <v/>
      </c>
      <c r="S15" s="16">
        <f>'سجل المستخلصات'!P15</f>
        <v/>
      </c>
    </row>
    <row r="16">
      <c r="P16" s="15">
        <f>"م"&amp;11</f>
        <v/>
      </c>
      <c r="Q16" s="16">
        <f>'سجل المستخلصات'!G16</f>
        <v/>
      </c>
      <c r="R16" s="16">
        <f>'سجل المستخلصات'!H16</f>
        <v/>
      </c>
      <c r="S16" s="16">
        <f>'سجل المستخلصات'!P16</f>
        <v/>
      </c>
    </row>
    <row r="17" ht="22" customHeight="1">
      <c r="B17" s="25" t="inlineStr">
        <is>
          <t>الملخص المالي التراكمي</t>
        </is>
      </c>
      <c r="C17" s="25" t="n"/>
      <c r="D17" s="25" t="n"/>
      <c r="E17" s="25" t="n"/>
      <c r="F17" s="25" t="n"/>
      <c r="G17" s="25" t="n"/>
      <c r="H17" s="25" t="inlineStr">
        <is>
          <t>حالة تنفيذ البنود</t>
        </is>
      </c>
      <c r="I17" s="25" t="n"/>
      <c r="J17" s="25" t="n"/>
      <c r="K17" s="25" t="n"/>
      <c r="L17" s="25" t="n"/>
      <c r="M17" s="25" t="n"/>
      <c r="P17" s="15">
        <f>"م"&amp;12</f>
        <v/>
      </c>
      <c r="Q17" s="16">
        <f>'سجل المستخلصات'!G17</f>
        <v/>
      </c>
      <c r="R17" s="16">
        <f>'سجل المستخلصات'!H17</f>
        <v/>
      </c>
      <c r="S17" s="16">
        <f>'سجل المستخلصات'!P17</f>
        <v/>
      </c>
    </row>
    <row r="18">
      <c r="B18" s="26" t="inlineStr">
        <is>
          <t>إجمالي قيمة الأعمال المنفذة</t>
        </is>
      </c>
      <c r="C18" s="26" t="n"/>
      <c r="D18" s="26" t="n"/>
      <c r="E18" s="27">
        <f>'سجل المستخلصات'!G31</f>
        <v/>
      </c>
      <c r="F18" s="27" t="n"/>
      <c r="G18" s="28">
        <f>IF($E$18=0,0,E18/$E$18)</f>
        <v/>
      </c>
      <c r="H18" s="26" t="inlineStr">
        <is>
          <t>إجمالي عدد البنود</t>
        </is>
      </c>
      <c r="I18" s="26" t="n"/>
      <c r="J18" s="29">
        <f>SUMPRODUCT(('جدول الكميات'!C6:C105&lt;&gt;"")*1)</f>
        <v/>
      </c>
      <c r="K18" s="30" t="n"/>
      <c r="L18" s="30" t="n"/>
      <c r="M18" s="30" t="n"/>
      <c r="P18" s="15">
        <f>"م"&amp;13</f>
        <v/>
      </c>
      <c r="Q18" s="16">
        <f>'سجل المستخلصات'!G18</f>
        <v/>
      </c>
      <c r="R18" s="16">
        <f>'سجل المستخلصات'!H18</f>
        <v/>
      </c>
      <c r="S18" s="16">
        <f>'سجل المستخلصات'!P18</f>
        <v/>
      </c>
    </row>
    <row r="19">
      <c r="B19" s="26" t="inlineStr">
        <is>
          <t>ضريبة القيمة المضافة</t>
        </is>
      </c>
      <c r="C19" s="26" t="n"/>
      <c r="D19" s="26" t="n"/>
      <c r="E19" s="27">
        <f>'سجل المستخلصات'!J31</f>
        <v/>
      </c>
      <c r="F19" s="27" t="n"/>
      <c r="G19" s="28">
        <f>IF($E$18=0,0,E19/$E$18)</f>
        <v/>
      </c>
      <c r="H19" s="26" t="inlineStr">
        <is>
          <t>✔ بنود مكتملة 100%</t>
        </is>
      </c>
      <c r="I19" s="26" t="n"/>
      <c r="J19" s="31">
        <f>COUNTIF('جدول الكميات'!M6:M105,"✔*")</f>
        <v/>
      </c>
      <c r="K19" s="28">
        <f>IF($J$18=0,0,J19/$J$18)</f>
        <v/>
      </c>
      <c r="L19" s="30" t="n"/>
      <c r="M19" s="30" t="n"/>
      <c r="P19" s="15">
        <f>"م"&amp;14</f>
        <v/>
      </c>
      <c r="Q19" s="16">
        <f>'سجل المستخلصات'!G19</f>
        <v/>
      </c>
      <c r="R19" s="16">
        <f>'سجل المستخلصات'!H19</f>
        <v/>
      </c>
      <c r="S19" s="16">
        <f>'سجل المستخلصات'!P19</f>
        <v/>
      </c>
    </row>
    <row r="20">
      <c r="B20" s="32" t="inlineStr">
        <is>
          <t>الإجمالي شامل الضريبة</t>
        </is>
      </c>
      <c r="C20" s="32" t="n"/>
      <c r="D20" s="32" t="n"/>
      <c r="E20" s="33">
        <f>'سجل المستخلصات'!K31</f>
        <v/>
      </c>
      <c r="F20" s="33" t="n"/>
      <c r="G20" s="34">
        <f>IF($E$18=0,0,E20/$E$18)</f>
        <v/>
      </c>
      <c r="H20" s="26" t="inlineStr">
        <is>
          <t>⚠ مركبة بالكامل وبها نواقص</t>
        </is>
      </c>
      <c r="I20" s="26" t="n"/>
      <c r="J20" s="35">
        <f>COUNTIF('جدول الكميات'!M6:M105,"⚠*")</f>
        <v/>
      </c>
      <c r="K20" s="28">
        <f>IF($J$18=0,0,J20/$J$18)</f>
        <v/>
      </c>
      <c r="L20" s="30" t="n"/>
      <c r="M20" s="30" t="n"/>
      <c r="P20" s="15">
        <f>"م"&amp;15</f>
        <v/>
      </c>
      <c r="Q20" s="16">
        <f>'سجل المستخلصات'!G20</f>
        <v/>
      </c>
      <c r="R20" s="16">
        <f>'سجل المستخلصات'!H20</f>
        <v/>
      </c>
      <c r="S20" s="16">
        <f>'سجل المستخلصات'!P20</f>
        <v/>
      </c>
    </row>
    <row r="21">
      <c r="B21" s="26" t="inlineStr">
        <is>
          <t>(-) استرداد الدفعة المقدمة</t>
        </is>
      </c>
      <c r="C21" s="26" t="n"/>
      <c r="D21" s="26" t="n"/>
      <c r="E21" s="27">
        <f>'سجل المستخلصات'!L31</f>
        <v/>
      </c>
      <c r="F21" s="27" t="n"/>
      <c r="G21" s="28">
        <f>IF($E$18=0,0,E21/$E$18)</f>
        <v/>
      </c>
      <c r="H21" s="26" t="inlineStr">
        <is>
          <t>◔ بنود جارية</t>
        </is>
      </c>
      <c r="I21" s="26" t="n"/>
      <c r="J21" s="36">
        <f>COUNTIF('جدول الكميات'!M6:M105,"◔*")</f>
        <v/>
      </c>
      <c r="K21" s="28">
        <f>IF($J$18=0,0,J21/$J$18)</f>
        <v/>
      </c>
      <c r="L21" s="30" t="n"/>
      <c r="M21" s="30" t="n"/>
      <c r="P21" s="15">
        <f>"م"&amp;16</f>
        <v/>
      </c>
      <c r="Q21" s="16">
        <f>'سجل المستخلصات'!G21</f>
        <v/>
      </c>
      <c r="R21" s="16">
        <f>'سجل المستخلصات'!H21</f>
        <v/>
      </c>
      <c r="S21" s="16">
        <f>'سجل المستخلصات'!P21</f>
        <v/>
      </c>
    </row>
    <row r="22">
      <c r="B22" s="26" t="inlineStr">
        <is>
          <t>(-) ضمان الأعمال</t>
        </is>
      </c>
      <c r="C22" s="26" t="n"/>
      <c r="D22" s="26" t="n"/>
      <c r="E22" s="27">
        <f>'سجل المستخلصات'!M31</f>
        <v/>
      </c>
      <c r="F22" s="27" t="n"/>
      <c r="G22" s="28">
        <f>IF($E$18=0,0,E22/$E$18)</f>
        <v/>
      </c>
      <c r="H22" s="26" t="inlineStr">
        <is>
          <t>○ بنود لم تبدأ</t>
        </is>
      </c>
      <c r="I22" s="26" t="n"/>
      <c r="J22" s="37">
        <f>COUNTIF('جدول الكميات'!M6:M105,"○*")</f>
        <v/>
      </c>
      <c r="K22" s="28">
        <f>IF($J$18=0,0,J22/$J$18)</f>
        <v/>
      </c>
      <c r="L22" s="30" t="n"/>
      <c r="M22" s="30" t="n"/>
      <c r="P22" s="15">
        <f>"م"&amp;17</f>
        <v/>
      </c>
      <c r="Q22" s="16">
        <f>'سجل المستخلصات'!G22</f>
        <v/>
      </c>
      <c r="R22" s="16">
        <f>'سجل المستخلصات'!H22</f>
        <v/>
      </c>
      <c r="S22" s="16">
        <f>'سجل المستخلصات'!P22</f>
        <v/>
      </c>
    </row>
    <row r="23">
      <c r="B23" s="26" t="inlineStr">
        <is>
          <t>(-) خصومات أخرى</t>
        </is>
      </c>
      <c r="C23" s="26" t="n"/>
      <c r="D23" s="26" t="n"/>
      <c r="E23" s="27">
        <f>'سجل المستخلصات'!N31</f>
        <v/>
      </c>
      <c r="F23" s="27" t="n"/>
      <c r="G23" s="28">
        <f>IF($E$18=0,0,E23/$E$18)</f>
        <v/>
      </c>
      <c r="H23" s="26" t="inlineStr">
        <is>
          <t>✖ بنود تجاوزت الكمية التعاقدية</t>
        </is>
      </c>
      <c r="I23" s="26" t="n"/>
      <c r="J23" s="38">
        <f>SUMPRODUCT(('جدول الكميات'!E6:E105&gt;0)*('جدول الكميات'!I6:I105&gt;'جدول الكميات'!E6:E105))</f>
        <v/>
      </c>
      <c r="K23" s="28">
        <f>IF($J$18=0,0,J23/$J$18)</f>
        <v/>
      </c>
      <c r="L23" s="30" t="n"/>
      <c r="M23" s="30" t="n"/>
      <c r="P23" s="15">
        <f>"م"&amp;18</f>
        <v/>
      </c>
      <c r="Q23" s="16">
        <f>'سجل المستخلصات'!G23</f>
        <v/>
      </c>
      <c r="R23" s="16">
        <f>'سجل المستخلصات'!H23</f>
        <v/>
      </c>
      <c r="S23" s="16">
        <f>'سجل المستخلصات'!P23</f>
        <v/>
      </c>
    </row>
    <row r="24">
      <c r="B24" s="32" t="inlineStr">
        <is>
          <t>صافي المستحق للمقاول</t>
        </is>
      </c>
      <c r="C24" s="32" t="n"/>
      <c r="D24" s="32" t="n"/>
      <c r="E24" s="33">
        <f>'سجل المستخلصات'!O31</f>
        <v/>
      </c>
      <c r="F24" s="33" t="n"/>
      <c r="G24" s="34">
        <f>IF($E$18=0,0,E24/$E$18)</f>
        <v/>
      </c>
      <c r="H24" s="26" t="inlineStr">
        <is>
          <t>متوسط نسبة الإنجاز الفعلية للبنود</t>
        </is>
      </c>
      <c r="I24" s="26" t="n"/>
      <c r="J24" s="39">
        <f>IF(J18=0,0,SUMPRODUCT(('جدول الكميات'!C6:C105&lt;&gt;"")*('جدول الكميات'!L6:L105))/J18)</f>
        <v/>
      </c>
      <c r="K24" s="30" t="n"/>
      <c r="L24" s="30" t="n"/>
      <c r="M24" s="30" t="n"/>
      <c r="P24" s="15">
        <f>"م"&amp;19</f>
        <v/>
      </c>
      <c r="Q24" s="16">
        <f>'سجل المستخلصات'!G24</f>
        <v/>
      </c>
      <c r="R24" s="16">
        <f>'سجل المستخلصات'!H24</f>
        <v/>
      </c>
      <c r="S24" s="16">
        <f>'سجل المستخلصات'!P24</f>
        <v/>
      </c>
    </row>
    <row r="25">
      <c r="B25" s="26" t="inlineStr">
        <is>
          <t>المحصّل</t>
        </is>
      </c>
      <c r="C25" s="26" t="n"/>
      <c r="D25" s="26" t="n"/>
      <c r="E25" s="27">
        <f>'سجل المستخلصات'!P31</f>
        <v/>
      </c>
      <c r="F25" s="27" t="n"/>
      <c r="G25" s="28">
        <f>IF($E$18=0,0,E25/$E$18)</f>
        <v/>
      </c>
      <c r="H25" s="26" t="inlineStr">
        <is>
          <t>الأداء (الإنجاز المالي مقابل المدة)</t>
        </is>
      </c>
      <c r="I25" s="26" t="n"/>
      <c r="J25" s="40">
        <f>H6-K6</f>
        <v/>
      </c>
      <c r="K25" s="40" t="n"/>
      <c r="L25" s="41">
        <f>IF(K6=0,"-",IF(H6&gt;=K6,"✔ متقدم / حسب الجدول",IF(K6-H6&lt;=0.1,"⚠ تأخر بسيط","✖ متأخر")))</f>
        <v/>
      </c>
      <c r="M25" s="41" t="n"/>
      <c r="P25" s="15">
        <f>"م"&amp;20</f>
        <v/>
      </c>
      <c r="Q25" s="16">
        <f>'سجل المستخلصات'!G25</f>
        <v/>
      </c>
      <c r="R25" s="16">
        <f>'سجل المستخلصات'!H25</f>
        <v/>
      </c>
      <c r="S25" s="16">
        <f>'سجل المستخلصات'!P25</f>
        <v/>
      </c>
    </row>
    <row r="26">
      <c r="B26" s="32" t="inlineStr">
        <is>
          <t>المتبقي غير المحصل</t>
        </is>
      </c>
      <c r="C26" s="32" t="n"/>
      <c r="D26" s="32" t="n"/>
      <c r="E26" s="33">
        <f>'سجل المستخلصات'!R31</f>
        <v/>
      </c>
      <c r="F26" s="33" t="n"/>
      <c r="G26" s="34">
        <f>IF($E$18=0,0,E26/$E$18)</f>
        <v/>
      </c>
      <c r="P26" s="15">
        <f>"م"&amp;21</f>
        <v/>
      </c>
      <c r="Q26" s="16">
        <f>'سجل المستخلصات'!G26</f>
        <v/>
      </c>
      <c r="R26" s="16">
        <f>'سجل المستخلصات'!H26</f>
        <v/>
      </c>
      <c r="S26" s="16">
        <f>'سجل المستخلصات'!P26</f>
        <v/>
      </c>
    </row>
    <row r="27">
      <c r="P27" s="15">
        <f>"م"&amp;22</f>
        <v/>
      </c>
      <c r="Q27" s="16">
        <f>'سجل المستخلصات'!G27</f>
        <v/>
      </c>
      <c r="R27" s="16">
        <f>'سجل المستخلصات'!H27</f>
        <v/>
      </c>
      <c r="S27" s="16">
        <f>'سجل المستخلصات'!P27</f>
        <v/>
      </c>
    </row>
    <row r="28" ht="22" customHeight="1">
      <c r="B28" s="25" t="inlineStr">
        <is>
          <t>التقدم حسب أقسام الأعمال</t>
        </is>
      </c>
      <c r="C28" s="25" t="n"/>
      <c r="D28" s="25" t="n"/>
      <c r="E28" s="25" t="n"/>
      <c r="F28" s="25" t="n"/>
      <c r="G28" s="25" t="n"/>
      <c r="H28" s="25" t="n"/>
      <c r="I28" s="25" t="n"/>
      <c r="J28" s="25" t="n"/>
      <c r="K28" s="25" t="n"/>
      <c r="L28" s="25" t="n"/>
      <c r="M28" s="25" t="n"/>
      <c r="P28" s="15">
        <f>"م"&amp;23</f>
        <v/>
      </c>
      <c r="Q28" s="16">
        <f>'سجل المستخلصات'!G28</f>
        <v/>
      </c>
      <c r="R28" s="16">
        <f>'سجل المستخلصات'!H28</f>
        <v/>
      </c>
      <c r="S28" s="16">
        <f>'سجل المستخلصات'!P28</f>
        <v/>
      </c>
    </row>
    <row r="29" ht="26" customHeight="1">
      <c r="B29" s="42" t="inlineStr">
        <is>
          <t>القسم</t>
        </is>
      </c>
      <c r="C29" s="43" t="n"/>
      <c r="D29" s="44" t="n"/>
      <c r="E29" s="42" t="inlineStr">
        <is>
          <t>قيمة العقد</t>
        </is>
      </c>
      <c r="F29" s="44" t="n"/>
      <c r="G29" s="42" t="inlineStr">
        <is>
          <t>الوزن النسبي</t>
        </is>
      </c>
      <c r="H29" s="42" t="inlineStr">
        <is>
          <t>القيمة المنفذة</t>
        </is>
      </c>
      <c r="I29" s="44" t="n"/>
      <c r="J29" s="42" t="inlineStr">
        <is>
          <t>المتبقي</t>
        </is>
      </c>
      <c r="K29" s="44" t="n"/>
      <c r="L29" s="42" t="inlineStr">
        <is>
          <t>نسبة الإنجاز</t>
        </is>
      </c>
      <c r="M29" s="44" t="n"/>
      <c r="P29" s="15">
        <f>"م"&amp;24</f>
        <v/>
      </c>
      <c r="Q29" s="16">
        <f>'سجل المستخلصات'!G29</f>
        <v/>
      </c>
      <c r="R29" s="16">
        <f>'سجل المستخلصات'!H29</f>
        <v/>
      </c>
      <c r="S29" s="16">
        <f>'سجل المستخلصات'!P29</f>
        <v/>
      </c>
    </row>
    <row r="30">
      <c r="B30" s="45">
        <f>IF('الإعدادات'!C22="","",'الإعدادات'!C22)</f>
        <v/>
      </c>
      <c r="C30" s="45" t="n"/>
      <c r="D30" s="45" t="n"/>
      <c r="E30" s="46">
        <f>IF(B30="",0,SUMIF('جدول الكميات'!B6:B105,B30,'جدول الكميات'!G6:G105))</f>
        <v/>
      </c>
      <c r="F30" s="46" t="n"/>
      <c r="G30" s="28">
        <f>IF('الإعدادات'!$C$19=0,0,E30/'الإعدادات'!$C$19)</f>
        <v/>
      </c>
      <c r="H30" s="46">
        <f>IF(B30="",0,SUMIF('جدول الكميات'!B6:B105,B30,'جدول الكميات'!K6:K105))</f>
        <v/>
      </c>
      <c r="I30" s="46" t="n"/>
      <c r="J30" s="46">
        <f>E30-H30</f>
        <v/>
      </c>
      <c r="K30" s="46" t="n"/>
      <c r="L30" s="47">
        <f>IF(E30=0,0,H30/E30)</f>
        <v/>
      </c>
      <c r="M30" s="47" t="n"/>
      <c r="P30" s="15">
        <f>"م"&amp;25</f>
        <v/>
      </c>
      <c r="Q30" s="16">
        <f>'سجل المستخلصات'!G30</f>
        <v/>
      </c>
      <c r="R30" s="16">
        <f>'سجل المستخلصات'!H30</f>
        <v/>
      </c>
      <c r="S30" s="16">
        <f>'سجل المستخلصات'!P30</f>
        <v/>
      </c>
    </row>
    <row r="31">
      <c r="B31" s="48">
        <f>IF('الإعدادات'!C23="","",'الإعدادات'!C23)</f>
        <v/>
      </c>
      <c r="C31" s="48" t="n"/>
      <c r="D31" s="48" t="n"/>
      <c r="E31" s="49">
        <f>IF(B31="",0,SUMIF('جدول الكميات'!B6:B105,B31,'جدول الكميات'!G6:G105))</f>
        <v/>
      </c>
      <c r="F31" s="49" t="n"/>
      <c r="G31" s="50">
        <f>IF('الإعدادات'!$C$19=0,0,E31/'الإعدادات'!$C$19)</f>
        <v/>
      </c>
      <c r="H31" s="49">
        <f>IF(B31="",0,SUMIF('جدول الكميات'!B6:B105,B31,'جدول الكميات'!K6:K105))</f>
        <v/>
      </c>
      <c r="I31" s="49" t="n"/>
      <c r="J31" s="49">
        <f>E31-H31</f>
        <v/>
      </c>
      <c r="K31" s="49" t="n"/>
      <c r="L31" s="51">
        <f>IF(E31=0,0,H31/E31)</f>
        <v/>
      </c>
      <c r="M31" s="51" t="n"/>
    </row>
    <row r="32">
      <c r="B32" s="45">
        <f>IF('الإعدادات'!C24="","",'الإعدادات'!C24)</f>
        <v/>
      </c>
      <c r="C32" s="45" t="n"/>
      <c r="D32" s="45" t="n"/>
      <c r="E32" s="46">
        <f>IF(B32="",0,SUMIF('جدول الكميات'!B6:B105,B32,'جدول الكميات'!G6:G105))</f>
        <v/>
      </c>
      <c r="F32" s="46" t="n"/>
      <c r="G32" s="28">
        <f>IF('الإعدادات'!$C$19=0,0,E32/'الإعدادات'!$C$19)</f>
        <v/>
      </c>
      <c r="H32" s="46">
        <f>IF(B32="",0,SUMIF('جدول الكميات'!B6:B105,B32,'جدول الكميات'!K6:K105))</f>
        <v/>
      </c>
      <c r="I32" s="46" t="n"/>
      <c r="J32" s="46">
        <f>E32-H32</f>
        <v/>
      </c>
      <c r="K32" s="46" t="n"/>
      <c r="L32" s="47">
        <f>IF(E32=0,0,H32/E32)</f>
        <v/>
      </c>
      <c r="M32" s="47" t="n"/>
    </row>
    <row r="33">
      <c r="B33" s="48">
        <f>IF('الإعدادات'!C25="","",'الإعدادات'!C25)</f>
        <v/>
      </c>
      <c r="C33" s="48" t="n"/>
      <c r="D33" s="48" t="n"/>
      <c r="E33" s="49">
        <f>IF(B33="",0,SUMIF('جدول الكميات'!B6:B105,B33,'جدول الكميات'!G6:G105))</f>
        <v/>
      </c>
      <c r="F33" s="49" t="n"/>
      <c r="G33" s="50">
        <f>IF('الإعدادات'!$C$19=0,0,E33/'الإعدادات'!$C$19)</f>
        <v/>
      </c>
      <c r="H33" s="49">
        <f>IF(B33="",0,SUMIF('جدول الكميات'!B6:B105,B33,'جدول الكميات'!K6:K105))</f>
        <v/>
      </c>
      <c r="I33" s="49" t="n"/>
      <c r="J33" s="49">
        <f>E33-H33</f>
        <v/>
      </c>
      <c r="K33" s="49" t="n"/>
      <c r="L33" s="51">
        <f>IF(E33=0,0,H33/E33)</f>
        <v/>
      </c>
      <c r="M33" s="51" t="n"/>
    </row>
    <row r="34">
      <c r="B34" s="45">
        <f>IF('الإعدادات'!C26="","",'الإعدادات'!C26)</f>
        <v/>
      </c>
      <c r="C34" s="45" t="n"/>
      <c r="D34" s="45" t="n"/>
      <c r="E34" s="46">
        <f>IF(B34="",0,SUMIF('جدول الكميات'!B6:B105,B34,'جدول الكميات'!G6:G105))</f>
        <v/>
      </c>
      <c r="F34" s="46" t="n"/>
      <c r="G34" s="28">
        <f>IF('الإعدادات'!$C$19=0,0,E34/'الإعدادات'!$C$19)</f>
        <v/>
      </c>
      <c r="H34" s="46">
        <f>IF(B34="",0,SUMIF('جدول الكميات'!B6:B105,B34,'جدول الكميات'!K6:K105))</f>
        <v/>
      </c>
      <c r="I34" s="46" t="n"/>
      <c r="J34" s="46">
        <f>E34-H34</f>
        <v/>
      </c>
      <c r="K34" s="46" t="n"/>
      <c r="L34" s="47">
        <f>IF(E34=0,0,H34/E34)</f>
        <v/>
      </c>
      <c r="M34" s="47" t="n"/>
    </row>
    <row r="35">
      <c r="B35" s="48">
        <f>IF('الإعدادات'!C27="","",'الإعدادات'!C27)</f>
        <v/>
      </c>
      <c r="C35" s="48" t="n"/>
      <c r="D35" s="48" t="n"/>
      <c r="E35" s="49">
        <f>IF(B35="",0,SUMIF('جدول الكميات'!B6:B105,B35,'جدول الكميات'!G6:G105))</f>
        <v/>
      </c>
      <c r="F35" s="49" t="n"/>
      <c r="G35" s="50">
        <f>IF('الإعدادات'!$C$19=0,0,E35/'الإعدادات'!$C$19)</f>
        <v/>
      </c>
      <c r="H35" s="49">
        <f>IF(B35="",0,SUMIF('جدول الكميات'!B6:B105,B35,'جدول الكميات'!K6:K105))</f>
        <v/>
      </c>
      <c r="I35" s="49" t="n"/>
      <c r="J35" s="49">
        <f>E35-H35</f>
        <v/>
      </c>
      <c r="K35" s="49" t="n"/>
      <c r="L35" s="51">
        <f>IF(E35=0,0,H35/E35)</f>
        <v/>
      </c>
      <c r="M35" s="51" t="n"/>
    </row>
    <row r="36">
      <c r="B36" s="45">
        <f>IF('الإعدادات'!C28="","",'الإعدادات'!C28)</f>
        <v/>
      </c>
      <c r="C36" s="45" t="n"/>
      <c r="D36" s="45" t="n"/>
      <c r="E36" s="46">
        <f>IF(B36="",0,SUMIF('جدول الكميات'!B6:B105,B36,'جدول الكميات'!G6:G105))</f>
        <v/>
      </c>
      <c r="F36" s="46" t="n"/>
      <c r="G36" s="28">
        <f>IF('الإعدادات'!$C$19=0,0,E36/'الإعدادات'!$C$19)</f>
        <v/>
      </c>
      <c r="H36" s="46">
        <f>IF(B36="",0,SUMIF('جدول الكميات'!B6:B105,B36,'جدول الكميات'!K6:K105))</f>
        <v/>
      </c>
      <c r="I36" s="46" t="n"/>
      <c r="J36" s="46">
        <f>E36-H36</f>
        <v/>
      </c>
      <c r="K36" s="46" t="n"/>
      <c r="L36" s="47">
        <f>IF(E36=0,0,H36/E36)</f>
        <v/>
      </c>
      <c r="M36" s="47" t="n"/>
    </row>
    <row r="37">
      <c r="B37" s="48">
        <f>IF('الإعدادات'!C29="","",'الإعدادات'!C29)</f>
        <v/>
      </c>
      <c r="C37" s="48" t="n"/>
      <c r="D37" s="48" t="n"/>
      <c r="E37" s="49">
        <f>IF(B37="",0,SUMIF('جدول الكميات'!B6:B105,B37,'جدول الكميات'!G6:G105))</f>
        <v/>
      </c>
      <c r="F37" s="49" t="n"/>
      <c r="G37" s="50">
        <f>IF('الإعدادات'!$C$19=0,0,E37/'الإعدادات'!$C$19)</f>
        <v/>
      </c>
      <c r="H37" s="49">
        <f>IF(B37="",0,SUMIF('جدول الكميات'!B6:B105,B37,'جدول الكميات'!K6:K105))</f>
        <v/>
      </c>
      <c r="I37" s="49" t="n"/>
      <c r="J37" s="49">
        <f>E37-H37</f>
        <v/>
      </c>
      <c r="K37" s="49" t="n"/>
      <c r="L37" s="51">
        <f>IF(E37=0,0,H37/E37)</f>
        <v/>
      </c>
      <c r="M37" s="51" t="n"/>
    </row>
    <row r="38">
      <c r="B38" s="45">
        <f>IF('الإعدادات'!C30="","",'الإعدادات'!C30)</f>
        <v/>
      </c>
      <c r="C38" s="45" t="n"/>
      <c r="D38" s="45" t="n"/>
      <c r="E38" s="46">
        <f>IF(B38="",0,SUMIF('جدول الكميات'!B6:B105,B38,'جدول الكميات'!G6:G105))</f>
        <v/>
      </c>
      <c r="F38" s="46" t="n"/>
      <c r="G38" s="28">
        <f>IF('الإعدادات'!$C$19=0,0,E38/'الإعدادات'!$C$19)</f>
        <v/>
      </c>
      <c r="H38" s="46">
        <f>IF(B38="",0,SUMIF('جدول الكميات'!B6:B105,B38,'جدول الكميات'!K6:K105))</f>
        <v/>
      </c>
      <c r="I38" s="46" t="n"/>
      <c r="J38" s="46">
        <f>E38-H38</f>
        <v/>
      </c>
      <c r="K38" s="46" t="n"/>
      <c r="L38" s="47">
        <f>IF(E38=0,0,H38/E38)</f>
        <v/>
      </c>
      <c r="M38" s="47" t="n"/>
    </row>
    <row r="39">
      <c r="B39" s="48">
        <f>IF('الإعدادات'!C31="","",'الإعدادات'!C31)</f>
        <v/>
      </c>
      <c r="C39" s="48" t="n"/>
      <c r="D39" s="48" t="n"/>
      <c r="E39" s="49">
        <f>IF(B39="",0,SUMIF('جدول الكميات'!B6:B105,B39,'جدول الكميات'!G6:G105))</f>
        <v/>
      </c>
      <c r="F39" s="49" t="n"/>
      <c r="G39" s="50">
        <f>IF('الإعدادات'!$C$19=0,0,E39/'الإعدادات'!$C$19)</f>
        <v/>
      </c>
      <c r="H39" s="49">
        <f>IF(B39="",0,SUMIF('جدول الكميات'!B6:B105,B39,'جدول الكميات'!K6:K105))</f>
        <v/>
      </c>
      <c r="I39" s="49" t="n"/>
      <c r="J39" s="49">
        <f>E39-H39</f>
        <v/>
      </c>
      <c r="K39" s="49" t="n"/>
      <c r="L39" s="51">
        <f>IF(E39=0,0,H39/E39)</f>
        <v/>
      </c>
      <c r="M39" s="51" t="n"/>
    </row>
    <row r="40">
      <c r="B40" s="45">
        <f>IF('الإعدادات'!C32="","",'الإعدادات'!C32)</f>
        <v/>
      </c>
      <c r="C40" s="45" t="n"/>
      <c r="D40" s="45" t="n"/>
      <c r="E40" s="46">
        <f>IF(B40="",0,SUMIF('جدول الكميات'!B6:B105,B40,'جدول الكميات'!G6:G105))</f>
        <v/>
      </c>
      <c r="F40" s="46" t="n"/>
      <c r="G40" s="28">
        <f>IF('الإعدادات'!$C$19=0,0,E40/'الإعدادات'!$C$19)</f>
        <v/>
      </c>
      <c r="H40" s="46">
        <f>IF(B40="",0,SUMIF('جدول الكميات'!B6:B105,B40,'جدول الكميات'!K6:K105))</f>
        <v/>
      </c>
      <c r="I40" s="46" t="n"/>
      <c r="J40" s="46">
        <f>E40-H40</f>
        <v/>
      </c>
      <c r="K40" s="46" t="n"/>
      <c r="L40" s="47">
        <f>IF(E40=0,0,H40/E40)</f>
        <v/>
      </c>
      <c r="M40" s="47" t="n"/>
    </row>
    <row r="41">
      <c r="B41" s="48">
        <f>IF('الإعدادات'!C33="","",'الإعدادات'!C33)</f>
        <v/>
      </c>
      <c r="C41" s="48" t="n"/>
      <c r="D41" s="48" t="n"/>
      <c r="E41" s="49">
        <f>IF(B41="",0,SUMIF('جدول الكميات'!B6:B105,B41,'جدول الكميات'!G6:G105))</f>
        <v/>
      </c>
      <c r="F41" s="49" t="n"/>
      <c r="G41" s="50">
        <f>IF('الإعدادات'!$C$19=0,0,E41/'الإعدادات'!$C$19)</f>
        <v/>
      </c>
      <c r="H41" s="49">
        <f>IF(B41="",0,SUMIF('جدول الكميات'!B6:B105,B41,'جدول الكميات'!K6:K105))</f>
        <v/>
      </c>
      <c r="I41" s="49" t="n"/>
      <c r="J41" s="49">
        <f>E41-H41</f>
        <v/>
      </c>
      <c r="K41" s="49" t="n"/>
      <c r="L41" s="51">
        <f>IF(E41=0,0,H41/E41)</f>
        <v/>
      </c>
      <c r="M41" s="51" t="n"/>
    </row>
    <row r="42">
      <c r="B42" s="52" t="inlineStr">
        <is>
          <t>الإجمالي</t>
        </is>
      </c>
      <c r="C42" s="52" t="n"/>
      <c r="D42" s="52" t="n"/>
      <c r="E42" s="53">
        <f>SUM(E30:E41)</f>
        <v/>
      </c>
      <c r="F42" s="53" t="n"/>
      <c r="G42" s="54">
        <f>SUM(G30:G41)</f>
        <v/>
      </c>
      <c r="H42" s="53">
        <f>SUM(H30:H41)</f>
        <v/>
      </c>
      <c r="I42" s="53" t="n"/>
      <c r="J42" s="53">
        <f>SUM(J30:J41)</f>
        <v/>
      </c>
      <c r="K42" s="53" t="n"/>
      <c r="L42" s="54">
        <f>IF(E42=0,0,H42/E42)</f>
        <v/>
      </c>
      <c r="M42" s="54" t="n"/>
    </row>
    <row r="43">
      <c r="B43" s="55">
        <f>IF(ABS(E42-'الإعدادات'!$C$19)&gt;0.01,"⚠ يوجد بنود بدون قسم أو بقسم غير موجود في الإعدادات بقيمة: "&amp;TEXT('الإعدادات'!$C$19-E42,"#,##0"),"✔ جميع البنود مصنفة على الأقسام")</f>
        <v/>
      </c>
      <c r="C43" s="55" t="n"/>
      <c r="D43" s="55" t="n"/>
      <c r="E43" s="55" t="n"/>
      <c r="F43" s="55" t="n"/>
      <c r="G43" s="55" t="n"/>
      <c r="H43" s="55" t="n"/>
      <c r="I43" s="55" t="n"/>
      <c r="J43" s="55" t="n"/>
      <c r="K43" s="55" t="n"/>
      <c r="L43" s="55" t="n"/>
      <c r="M43" s="55" t="n"/>
    </row>
    <row r="44" ht="22" customHeight="1">
      <c r="B44" s="25" t="inlineStr">
        <is>
          <t>الرسوم البيانية</t>
        </is>
      </c>
      <c r="C44" s="25" t="n"/>
      <c r="D44" s="25" t="n"/>
      <c r="E44" s="25" t="n"/>
      <c r="F44" s="25" t="n"/>
      <c r="G44" s="25" t="n"/>
      <c r="H44" s="25" t="n"/>
      <c r="I44" s="25" t="n"/>
      <c r="J44" s="25" t="n"/>
      <c r="K44" s="25" t="n"/>
      <c r="L44" s="25" t="n"/>
      <c r="M44" s="25" t="n"/>
    </row>
  </sheetData>
  <mergeCells count="154">
    <mergeCell ref="B11:D11"/>
    <mergeCell ref="B2:M2"/>
    <mergeCell ref="H35:I35"/>
    <mergeCell ref="B42:D42"/>
    <mergeCell ref="E13:G13"/>
    <mergeCell ref="E23:F23"/>
    <mergeCell ref="L19:M19"/>
    <mergeCell ref="E15:G15"/>
    <mergeCell ref="H11:J11"/>
    <mergeCell ref="B44:M44"/>
    <mergeCell ref="B34:D34"/>
    <mergeCell ref="L3:M3"/>
    <mergeCell ref="H39:I39"/>
    <mergeCell ref="B37:D37"/>
    <mergeCell ref="B28:M28"/>
    <mergeCell ref="B30:D30"/>
    <mergeCell ref="L39:M39"/>
    <mergeCell ref="E7:G7"/>
    <mergeCell ref="B6:D6"/>
    <mergeCell ref="B20:D20"/>
    <mergeCell ref="E34:F34"/>
    <mergeCell ref="L29:M29"/>
    <mergeCell ref="K10:M10"/>
    <mergeCell ref="L38:M38"/>
    <mergeCell ref="H5:J5"/>
    <mergeCell ref="E36:F36"/>
    <mergeCell ref="H37:I37"/>
    <mergeCell ref="J31:K31"/>
    <mergeCell ref="L31:M31"/>
    <mergeCell ref="L40:M40"/>
    <mergeCell ref="L21:M21"/>
    <mergeCell ref="K9:M9"/>
    <mergeCell ref="K5:M5"/>
    <mergeCell ref="E22:F22"/>
    <mergeCell ref="H23:I23"/>
    <mergeCell ref="B43:M43"/>
    <mergeCell ref="K11:M11"/>
    <mergeCell ref="B3:C3"/>
    <mergeCell ref="H41:I41"/>
    <mergeCell ref="H7:J7"/>
    <mergeCell ref="E6:G6"/>
    <mergeCell ref="B10:D10"/>
    <mergeCell ref="H25:I25"/>
    <mergeCell ref="H34:I34"/>
    <mergeCell ref="B19:D19"/>
    <mergeCell ref="J34:K34"/>
    <mergeCell ref="E38:F38"/>
    <mergeCell ref="K14:M14"/>
    <mergeCell ref="L42:M42"/>
    <mergeCell ref="B9:D9"/>
    <mergeCell ref="H36:I36"/>
    <mergeCell ref="J36:K36"/>
    <mergeCell ref="E40:F40"/>
    <mergeCell ref="K7:M7"/>
    <mergeCell ref="L30:M30"/>
    <mergeCell ref="B5:D5"/>
    <mergeCell ref="B36:D36"/>
    <mergeCell ref="L20:M20"/>
    <mergeCell ref="H19:I19"/>
    <mergeCell ref="E26:F26"/>
    <mergeCell ref="L22:M22"/>
    <mergeCell ref="H3:I3"/>
    <mergeCell ref="J3:K3"/>
    <mergeCell ref="B31:D31"/>
    <mergeCell ref="E25:F25"/>
    <mergeCell ref="B21:D21"/>
    <mergeCell ref="B39:D39"/>
    <mergeCell ref="E18:F18"/>
    <mergeCell ref="H6:J6"/>
    <mergeCell ref="E10:G10"/>
    <mergeCell ref="B14:D14"/>
    <mergeCell ref="J29:K29"/>
    <mergeCell ref="H38:I38"/>
    <mergeCell ref="B23:D23"/>
    <mergeCell ref="J38:K38"/>
    <mergeCell ref="L32:M32"/>
    <mergeCell ref="B13:D13"/>
    <mergeCell ref="E9:G9"/>
    <mergeCell ref="H17:M17"/>
    <mergeCell ref="H31:I31"/>
    <mergeCell ref="E39:F39"/>
    <mergeCell ref="H40:I40"/>
    <mergeCell ref="J40:K40"/>
    <mergeCell ref="E20:F20"/>
    <mergeCell ref="H21:I21"/>
    <mergeCell ref="E11:G11"/>
    <mergeCell ref="E29:F29"/>
    <mergeCell ref="H13:J13"/>
    <mergeCell ref="L24:M24"/>
    <mergeCell ref="L18:M18"/>
    <mergeCell ref="L33:M33"/>
    <mergeCell ref="E31:F31"/>
    <mergeCell ref="H15:J15"/>
    <mergeCell ref="J35:K35"/>
    <mergeCell ref="L35:M35"/>
    <mergeCell ref="B41:D41"/>
    <mergeCell ref="K13:M13"/>
    <mergeCell ref="B35:D35"/>
    <mergeCell ref="J25:K25"/>
    <mergeCell ref="L25:M25"/>
    <mergeCell ref="H22:I22"/>
    <mergeCell ref="D3:E3"/>
    <mergeCell ref="B25:D25"/>
    <mergeCell ref="K15:M15"/>
    <mergeCell ref="H10:J10"/>
    <mergeCell ref="E14:G14"/>
    <mergeCell ref="E32:F32"/>
    <mergeCell ref="B22:D22"/>
    <mergeCell ref="E41:F41"/>
    <mergeCell ref="H42:I42"/>
    <mergeCell ref="J42:K42"/>
    <mergeCell ref="H9:J9"/>
    <mergeCell ref="H30:I30"/>
    <mergeCell ref="J39:K39"/>
    <mergeCell ref="H20:I20"/>
    <mergeCell ref="E24:F24"/>
    <mergeCell ref="H29:I29"/>
    <mergeCell ref="B17:G17"/>
    <mergeCell ref="E33:F33"/>
    <mergeCell ref="E42:F42"/>
    <mergeCell ref="J37:K37"/>
    <mergeCell ref="L37:M37"/>
    <mergeCell ref="B1:M1"/>
    <mergeCell ref="B29:D29"/>
    <mergeCell ref="B38:D38"/>
    <mergeCell ref="F3:G3"/>
    <mergeCell ref="E35:F35"/>
    <mergeCell ref="J30:K30"/>
    <mergeCell ref="E19:F19"/>
    <mergeCell ref="B40:D40"/>
    <mergeCell ref="L23:M23"/>
    <mergeCell ref="B15:D15"/>
    <mergeCell ref="B24:D24"/>
    <mergeCell ref="B33:D33"/>
    <mergeCell ref="E30:F30"/>
    <mergeCell ref="H14:J14"/>
    <mergeCell ref="K6:M6"/>
    <mergeCell ref="H32:I32"/>
    <mergeCell ref="B32:D32"/>
    <mergeCell ref="J32:K32"/>
    <mergeCell ref="B26:D26"/>
    <mergeCell ref="J41:K41"/>
    <mergeCell ref="L41:M41"/>
    <mergeCell ref="B7:D7"/>
    <mergeCell ref="L34:M34"/>
    <mergeCell ref="E5:G5"/>
    <mergeCell ref="H24:I24"/>
    <mergeCell ref="H18:I18"/>
    <mergeCell ref="H33:I33"/>
    <mergeCell ref="B18:D18"/>
    <mergeCell ref="J33:K33"/>
    <mergeCell ref="E37:F37"/>
    <mergeCell ref="L36:M36"/>
    <mergeCell ref="E21:F21"/>
  </mergeCells>
  <conditionalFormatting sqref="K19:K23">
    <cfRule type="dataBar" priority="1">
      <dataBar>
        <cfvo type="num" val="0"/>
        <cfvo type="num" val="1"/>
        <color rgb="FF2E7D7A"/>
      </dataBar>
    </cfRule>
  </conditionalFormatting>
  <conditionalFormatting sqref="L25:M25">
    <cfRule type="expression" priority="2" dxfId="0">
      <formula>ISNUMBER(SEARCH("✔",$L$25))</formula>
    </cfRule>
    <cfRule type="expression" priority="3" dxfId="1">
      <formula>ISNUMBER(SEARCH("⚠",$L$25))</formula>
    </cfRule>
    <cfRule type="expression" priority="4" dxfId="2">
      <formula>ISNUMBER(SEARCH("✖",$L$25))</formula>
    </cfRule>
  </conditionalFormatting>
  <conditionalFormatting sqref="L30:L41">
    <cfRule type="dataBar" priority="5">
      <dataBar>
        <cfvo type="num" val="0"/>
        <cfvo type="num" val="1"/>
        <color rgb="FF2E7D7A"/>
      </dataBar>
    </cfRule>
  </conditionalFormatting>
  <hyperlinks>
    <hyperlink ref="B3" location="'الإعدادات'!A1" display="⚙ الإعدادات"/>
    <hyperlink ref="D3" location="'جدول الكميات'!A1" display="📋 جدول الكميات"/>
    <hyperlink ref="F3" location="'سجل المستخلصات'!A1" display="🗂 سجل المستخلصات"/>
    <hyperlink ref="H3" location="'الدفعات المقدمة'!A1" display="💵 الدفعات المقدمة"/>
    <hyperlink ref="J3" location="'ضمان الأعمال'!A1" display="🔒 ضمان الأعمال"/>
    <hyperlink ref="L3" location="'مستخلص 1'!A1" display="📄 مستخلص 1"/>
  </hyperlinks>
  <printOptions horizontalCentered="1"/>
  <pageMargins left="0.3" right="0.3" top="0.4" bottom="0.4" header="0.5" footer="0.5"/>
  <pageSetup orientation="landscape" paperSize="9" fitToHeight="0" fitToWidth="1"/>
  <drawing xmlns:r="http://schemas.openxmlformats.org/officeDocument/2006/relationships" r:id="rId1"/>
</worksheet>
</file>

<file path=xl/worksheets/sheet2.xml><?xml version="1.0" encoding="utf-8"?>
<worksheet xmlns="http://schemas.openxmlformats.org/spreadsheetml/2006/main">
  <sheetPr>
    <tabColor rgb="FF5A6772"/>
    <outlinePr summaryBelow="1" summaryRight="1"/>
    <pageSetUpPr fitToPage="1"/>
  </sheetPr>
  <dimension ref="B1:C42"/>
  <sheetViews>
    <sheetView showGridLines="0" rightToLeft="1" zoomScale="90" workbookViewId="0">
      <selection activeCell="A1" sqref="A1"/>
    </sheetView>
  </sheetViews>
  <sheetFormatPr baseColWidth="8" defaultRowHeight="15"/>
  <cols>
    <col width="2" customWidth="1" min="1" max="1"/>
    <col width="6" customWidth="1" min="2" max="2"/>
    <col width="110" customWidth="1" min="3" max="3"/>
  </cols>
  <sheetData>
    <row r="1" ht="38" customHeight="1">
      <c r="B1" s="1" t="inlineStr">
        <is>
          <t>📘 طريقة استخدام القالب</t>
        </is>
      </c>
      <c r="C1" s="1" t="n"/>
    </row>
    <row r="2" ht="20" customHeight="1">
      <c r="B2" s="2">
        <f>'الإعدادات'!$C$6&amp;"   |   العقد رقم: "&amp;'الإعدادات'!$C$7&amp;"   |   المالك: "&amp;'الإعدادات'!$C$8&amp;"   |   المقاول: "&amp;'الإعدادات'!$C$9</f>
        <v/>
      </c>
      <c r="C2" s="2" t="n"/>
    </row>
    <row r="3" ht="24" customHeight="1">
      <c r="B3" s="56" t="inlineStr">
        <is>
          <t>🏠</t>
        </is>
      </c>
    </row>
    <row r="6" ht="22" customHeight="1">
      <c r="B6" s="57" t="inlineStr">
        <is>
          <t>فكرة القالب</t>
        </is>
      </c>
      <c r="C6" s="57" t="n"/>
    </row>
    <row r="7" ht="30" customHeight="1">
      <c r="B7" s="58" t="inlineStr"/>
      <c r="C7" s="59" t="inlineStr">
        <is>
          <t>قالب متكامل لإعداد مستخلصات المقاولات حتى 25 مستخلص و100 بند، جميع الصفحات مربوطة ببعضها؛ الكميات السابقة تنتقل تلقائياً من كل مستخلص إلى الذي يليه، وتتجمع النتائج في السجل ولوحة التحكم.</t>
        </is>
      </c>
    </row>
    <row r="9" ht="22" customHeight="1">
      <c r="B9" s="57" t="inlineStr">
        <is>
          <t>خطوات العمل</t>
        </is>
      </c>
      <c r="C9" s="57" t="n"/>
    </row>
    <row r="10" ht="18" customHeight="1">
      <c r="B10" s="58" t="inlineStr">
        <is>
          <t>1</t>
        </is>
      </c>
      <c r="C10" s="59" t="inlineStr">
        <is>
          <t>صفحة (الإعدادات): أدخل بيانات المشروع والعقد ونسبة الضريبة وأسماء أقسام الأعمال وأسماء المعتمدين.</t>
        </is>
      </c>
    </row>
    <row r="11" ht="18" customHeight="1">
      <c r="B11" s="58" t="inlineStr">
        <is>
          <t>2</t>
        </is>
      </c>
      <c r="C11" s="59" t="inlineStr">
        <is>
          <t>صفحة (جدول الكميات): أدخل البنود: رقم البند، القسم، الوصف، الوحدة، الكمية، سعر الوحدة (حتى 100 بند).</t>
        </is>
      </c>
    </row>
    <row r="12" ht="18" customHeight="1">
      <c r="B12" s="58" t="inlineStr">
        <is>
          <t>3</t>
        </is>
      </c>
      <c r="C12" s="59" t="inlineStr">
        <is>
          <t>صفحة (الدفعات المقدمة): سجل الدفعات المقدمة وخطابات ضمانها ونسبة الاسترداد من كل مستخلص.</t>
        </is>
      </c>
    </row>
    <row r="13" ht="18" customHeight="1">
      <c r="B13" s="58" t="inlineStr">
        <is>
          <t>4</t>
        </is>
      </c>
      <c r="C13" s="59" t="inlineStr">
        <is>
          <t>صفحة (ضمان الأعمال): حدد نسبة الضمان والحد الأقصى، وسجل الإفراجات والضمانات البنكية.</t>
        </is>
      </c>
    </row>
    <row r="14" ht="18" customHeight="1">
      <c r="B14" s="58" t="inlineStr">
        <is>
          <t>5</t>
        </is>
      </c>
      <c r="C14" s="59" t="inlineStr">
        <is>
          <t>في كل مستخلص: أدخل التاريخ والحالة والفترة، ثم الكمية الحالية فقط لكل بند (العمود الأصفر 'حالي').</t>
        </is>
      </c>
    </row>
    <row r="15" ht="30" customHeight="1">
      <c r="B15" s="58" t="inlineStr">
        <is>
          <t>6</t>
        </is>
      </c>
      <c r="C15" s="59" t="inlineStr">
        <is>
          <t>نسبة الإنجاز/الاستحقاق للبند (اختياري): مثال 1000 شباك مركبة بالكامل لكن تنقصها الإكسسوارات ← اكتب الكمية 1000 في عمود (حالي) واكتب 70% في عمود (حالية ✎)؛ تُحتسب القيمة 70% فقط، وتظهر نسبة الإنجاز الفعلية 70%، ويظهر البند في لوحة التحكم ضمن (مركبة بالكامل وبها نواقص).</t>
        </is>
      </c>
    </row>
    <row r="16" ht="30" customHeight="1">
      <c r="B16" s="58" t="inlineStr">
        <is>
          <t>7</t>
        </is>
      </c>
      <c r="C16" s="59" t="inlineStr">
        <is>
          <t>عند استكمال النواقص: في المستخلص الجديد اكتب 100% في عمود (حالية ✎) بدون كمية؛ فيُصرف الفرق (30%) تلقائياً في هذا المستخلص ويتحول البند إلى (مكتمل). النسبة تنتقل للمستخلصات التالية حتى تغيّرها.</t>
        </is>
      </c>
    </row>
    <row r="17" ht="18" customHeight="1">
      <c r="B17" s="58" t="inlineStr">
        <is>
          <t>8</t>
        </is>
      </c>
      <c r="C17" s="59" t="inlineStr">
        <is>
          <t>الخصومات الأخرى / الغرامات تُكتب يدوياً أسفل كل مستخلص في الخانة الصفراء.</t>
        </is>
      </c>
    </row>
    <row r="18" ht="18" customHeight="1">
      <c r="B18" s="58" t="inlineStr">
        <is>
          <t>9</t>
        </is>
      </c>
      <c r="C18" s="59" t="inlineStr">
        <is>
          <t>صفحة (سجل المستخلصات): أدخل المبالغ المحصلة وتواريخها لمتابعة المستحقات.</t>
        </is>
      </c>
    </row>
    <row r="19" ht="18" customHeight="1">
      <c r="B19" s="58" t="inlineStr">
        <is>
          <t>10</t>
        </is>
      </c>
      <c r="C19" s="59" t="inlineStr">
        <is>
          <t>صفحة (لوحة التحكم): تتحدث تلقائياً بالكامل ولا تحتاج أي إدخال.</t>
        </is>
      </c>
    </row>
    <row r="21" ht="22" customHeight="1">
      <c r="B21" s="57" t="inlineStr">
        <is>
          <t>المعادلات الأساسية</t>
        </is>
      </c>
      <c r="C21" s="57" t="n"/>
    </row>
    <row r="22" ht="18" customHeight="1">
      <c r="B22" s="58" t="inlineStr">
        <is>
          <t>•</t>
        </is>
      </c>
      <c r="C22" s="59" t="inlineStr">
        <is>
          <t>قيمة البند الإجمالية = الكمية الإجمالية × سعر الوحدة × نسبة الإنجاز/الاستحقاق المعتمدة.</t>
        </is>
      </c>
    </row>
    <row r="23" ht="30" customHeight="1">
      <c r="B23" s="58" t="inlineStr">
        <is>
          <t>•</t>
        </is>
      </c>
      <c r="C23" s="59" t="inlineStr">
        <is>
          <t>نسبة الإنجاز الفعلية = القيمة المستحقة ÷ (الكمية التعاقدية × سعر الوحدة)؛ بينما نسبة الكمية = المنفذ ÷ التعاقدي.</t>
        </is>
      </c>
    </row>
    <row r="24" ht="18" customHeight="1">
      <c r="B24" s="58" t="inlineStr">
        <is>
          <t>•</t>
        </is>
      </c>
      <c r="C24" s="59" t="inlineStr">
        <is>
          <t>القيمة الحالية = القيمة الإجمالية − القيمة السابقة (من المستخلص السابق).</t>
        </is>
      </c>
    </row>
    <row r="25" ht="18" customHeight="1">
      <c r="B25" s="58" t="inlineStr">
        <is>
          <t>•</t>
        </is>
      </c>
      <c r="C25" s="59" t="inlineStr">
        <is>
          <t>استرداد الدفعة المقدمة = قيمة الأعمال الحالية × نسبة الاسترداد، بحد أقصى الرصيد المتبقي من الدفعة.</t>
        </is>
      </c>
    </row>
    <row r="26" ht="18" customHeight="1">
      <c r="B26" s="58" t="inlineStr">
        <is>
          <t>•</t>
        </is>
      </c>
      <c r="C26" s="59" t="inlineStr">
        <is>
          <t>ضمان الأعمال = قيمة الأعمال الحالية × نسبة الضمان، بحد أقصى (اختياري) نسبة من قيمة العقد.</t>
        </is>
      </c>
    </row>
    <row r="27" ht="18" customHeight="1">
      <c r="B27" s="58" t="inlineStr">
        <is>
          <t>•</t>
        </is>
      </c>
      <c r="C27" s="59" t="inlineStr">
        <is>
          <t>صافي المستخلص = (قيمة الأعمال + الضريبة) − (استرداد الدفعة + ضمان الأعمال + الخصومات الأخرى).</t>
        </is>
      </c>
    </row>
    <row r="29" ht="22" customHeight="1">
      <c r="B29" s="57" t="inlineStr">
        <is>
          <t>التخصيص بحرية دون التأثير على لوحة التحكم</t>
        </is>
      </c>
      <c r="C29" s="57" t="n"/>
    </row>
    <row r="30" ht="18" customHeight="1">
      <c r="B30" s="58" t="inlineStr">
        <is>
          <t>•</t>
        </is>
      </c>
      <c r="C30" s="59" t="inlineStr">
        <is>
          <t>يمكن تعديل أي نص أو اسم قسم أو بند أو وحدة أو سعر أو نسبة؛ لوحة التحكم تعتمد على الإجماليات فقط.</t>
        </is>
      </c>
    </row>
    <row r="31" ht="30" customHeight="1">
      <c r="B31" s="58" t="inlineStr">
        <is>
          <t>•</t>
        </is>
      </c>
      <c r="C31" s="59" t="inlineStr">
        <is>
          <t>أضف البنود الجديدة (أعمال إضافية / أوامر تغيير) في الصفوف الفارغة بنهاية جدول الكميات — لا تُدرج صفوفاً بين البنود ولا تحذف صفوفاً، حتى تبقى المستخلصات مرتبطة بنفس البنود.</t>
        </is>
      </c>
    </row>
    <row r="32" ht="18" customHeight="1">
      <c r="B32" s="58" t="inlineStr">
        <is>
          <t>•</t>
        </is>
      </c>
      <c r="C32" s="59" t="inlineStr">
        <is>
          <t>لإخفاء الصفوف الفارغة عند الطباعة: استخدم التصفية في جدول الكميات أو أخفِ الصفوف الفارغة في المستخلص.</t>
        </is>
      </c>
    </row>
    <row r="33" ht="18" customHeight="1">
      <c r="B33" s="58" t="inlineStr">
        <is>
          <t>•</t>
        </is>
      </c>
      <c r="C33" s="59" t="inlineStr">
        <is>
          <t>يمكن تغيير الألوان والخطوط والشعار وعناوين الأعمدة بحرية. لا تغيّر ترتيب الأعمدة أو أسماء الصفحات.</t>
        </is>
      </c>
    </row>
    <row r="34" ht="18" customHeight="1">
      <c r="B34" s="58" t="inlineStr">
        <is>
          <t>•</t>
        </is>
      </c>
      <c r="C34" s="59" t="inlineStr">
        <is>
          <t>المستخلص رقم 25 يحمل دائماً الكميات التراكمية لآخر وضع (لأن المستخلصات غير الصادرة كمياتها الحالية صفر).</t>
        </is>
      </c>
    </row>
    <row r="36" ht="22" customHeight="1">
      <c r="B36" s="57" t="inlineStr">
        <is>
          <t>دليل الألوان والتنبيهات</t>
        </is>
      </c>
      <c r="C36" s="57" t="n"/>
    </row>
    <row r="37" ht="18" customHeight="1">
      <c r="B37" s="58" t="inlineStr">
        <is>
          <t>•</t>
        </is>
      </c>
      <c r="C37" s="59" t="inlineStr">
        <is>
          <t>الخلايا الصفراء بخط أزرق = إدخال. البيضاء/الرمادية = معادلات. الأرقام الخضراء = مسحوبة من صفحة أخرى.</t>
        </is>
      </c>
    </row>
    <row r="38" ht="18" customHeight="1">
      <c r="B38" s="58" t="inlineStr">
        <is>
          <t>•</t>
        </is>
      </c>
      <c r="C38" s="59" t="inlineStr">
        <is>
          <t>خلفية حمراء على الكمية الإجمالية = البند تجاوز الكمية التعاقدية.</t>
        </is>
      </c>
    </row>
    <row r="39" ht="18" customHeight="1">
      <c r="B39" s="58" t="inlineStr">
        <is>
          <t>•</t>
        </is>
      </c>
      <c r="C39" s="59" t="inlineStr">
        <is>
          <t>المستخلص يعتبر 'صادراً' بمجرد إدخال تاريخه؛ وغير الصادر يظهر رمادياً في السجل.</t>
        </is>
      </c>
    </row>
    <row r="41" ht="22" customHeight="1">
      <c r="B41" s="57" t="inlineStr">
        <is>
          <t>ملاحظة</t>
        </is>
      </c>
      <c r="C41" s="57" t="n"/>
    </row>
    <row r="42" ht="18" customHeight="1">
      <c r="B42" s="58" t="inlineStr">
        <is>
          <t>•</t>
        </is>
      </c>
      <c r="C42" s="59" t="inlineStr">
        <is>
          <t>الملف الذي يحتوي على بيانات مثال (35 بند و3 مستخلصات) للتوضيح؛ والنسخة (Blank) فارغة وجاهزة للعمل.</t>
        </is>
      </c>
    </row>
  </sheetData>
  <mergeCells count="8">
    <mergeCell ref="B6:C6"/>
    <mergeCell ref="B21:C21"/>
    <mergeCell ref="B2:C2"/>
    <mergeCell ref="B29:C29"/>
    <mergeCell ref="B41:C41"/>
    <mergeCell ref="B36:C36"/>
    <mergeCell ref="B9:C9"/>
    <mergeCell ref="B1:C1"/>
  </mergeCells>
  <hyperlinks>
    <hyperlink ref="B3" location="'لوحة التحكم'!A1" display="🏠"/>
  </hyperlinks>
  <printOptions horizontalCentered="1"/>
  <pageMargins left="0.3" right="0.3" top="0.4" bottom="0.4" header="0.5" footer="0.5"/>
  <pageSetup orientation="landscape" paperSize="9" fitToHeight="0" fitToWidth="1"/>
</worksheet>
</file>

<file path=xl/worksheets/sheet3.xml><?xml version="1.0" encoding="utf-8"?>
<worksheet xmlns="http://schemas.openxmlformats.org/spreadsheetml/2006/main">
  <sheetPr>
    <tabColor rgb="FF2E7D7A"/>
    <outlinePr summaryBelow="1" summaryRight="1"/>
    <pageSetUpPr fitToPage="1"/>
  </sheetPr>
  <dimension ref="B1:G39"/>
  <sheetViews>
    <sheetView showGridLines="0" rightToLeft="1" zoomScale="90" workbookViewId="0">
      <selection activeCell="A1" sqref="A1"/>
    </sheetView>
  </sheetViews>
  <sheetFormatPr baseColWidth="8" defaultRowHeight="15"/>
  <cols>
    <col width="2" customWidth="1" min="1" max="1"/>
    <col width="34" customWidth="1" min="2" max="2"/>
    <col width="22" customWidth="1" min="3" max="3"/>
    <col width="22" customWidth="1" min="4" max="4"/>
    <col width="22" customWidth="1" min="5" max="5"/>
    <col width="2" customWidth="1" min="6" max="6"/>
    <col width="50" customWidth="1" min="7" max="7"/>
  </cols>
  <sheetData>
    <row r="1" ht="38" customHeight="1">
      <c r="B1" s="1" t="inlineStr">
        <is>
          <t>⚙ الإعدادات العامة للمشروع</t>
        </is>
      </c>
      <c r="C1" s="1" t="n"/>
      <c r="D1" s="1" t="n"/>
      <c r="E1" s="1" t="n"/>
      <c r="F1" s="1" t="n"/>
      <c r="G1" s="1" t="n"/>
    </row>
    <row r="2" ht="20" customHeight="1">
      <c r="B2" s="2">
        <f>'الإعدادات'!$C$6&amp;"   |   العقد رقم: "&amp;'الإعدادات'!$C$7&amp;"   |   المالك: "&amp;'الإعدادات'!$C$8&amp;"   |   المقاول: "&amp;'الإعدادات'!$C$9</f>
        <v/>
      </c>
      <c r="C2" s="2" t="n"/>
      <c r="D2" s="2" t="n"/>
      <c r="E2" s="2" t="n"/>
      <c r="F2" s="2" t="n"/>
      <c r="G2" s="2" t="n"/>
    </row>
    <row r="3" ht="24" customHeight="1">
      <c r="B3" s="56" t="inlineStr">
        <is>
          <t>🏠 لوحة التحكم</t>
        </is>
      </c>
      <c r="C3" s="3" t="inlineStr">
        <is>
          <t>📋 جدول الكميات</t>
        </is>
      </c>
      <c r="D3" s="3" t="inlineStr">
        <is>
          <t>🗂 سجل المستخلصات</t>
        </is>
      </c>
      <c r="E3" s="3" t="inlineStr">
        <is>
          <t>💵 الدفعات المقدمة</t>
        </is>
      </c>
      <c r="G3" s="3" t="inlineStr">
        <is>
          <t>🔒 ضمان الأعمال</t>
        </is>
      </c>
    </row>
    <row r="5" ht="22" customHeight="1">
      <c r="B5" s="57" t="inlineStr">
        <is>
          <t>بيانات المشروع والعقد</t>
        </is>
      </c>
      <c r="C5" s="57" t="n"/>
      <c r="D5" s="57" t="n"/>
      <c r="E5" s="57" t="n"/>
      <c r="G5" s="25" t="inlineStr">
        <is>
          <t>دليل الألوان</t>
        </is>
      </c>
    </row>
    <row r="6" ht="21" customHeight="1">
      <c r="B6" s="60" t="inlineStr">
        <is>
          <t>اسم المشروع</t>
        </is>
      </c>
      <c r="C6" s="61" t="inlineStr">
        <is>
          <t>اسم المشروع</t>
        </is>
      </c>
      <c r="D6" s="61" t="n"/>
      <c r="E6" s="61" t="n"/>
      <c r="G6" s="62" t="inlineStr">
        <is>
          <t>خلية إدخال — اكتب هنا</t>
        </is>
      </c>
    </row>
    <row r="7" ht="21" customHeight="1">
      <c r="B7" s="60" t="inlineStr">
        <is>
          <t>رقم العقد</t>
        </is>
      </c>
      <c r="C7" s="61" t="inlineStr"/>
      <c r="D7" s="61" t="n"/>
      <c r="E7" s="61" t="n"/>
      <c r="G7" s="30" t="inlineStr">
        <is>
          <t>خلية محسوبة بمعادلة — لا تعدلها</t>
        </is>
      </c>
    </row>
    <row r="8" ht="21" customHeight="1">
      <c r="B8" s="60" t="inlineStr">
        <is>
          <t>المالك / العميل</t>
        </is>
      </c>
      <c r="C8" s="61" t="inlineStr">
        <is>
          <t>اسم المالك</t>
        </is>
      </c>
      <c r="D8" s="61" t="n"/>
      <c r="E8" s="61" t="n"/>
      <c r="G8" s="63" t="inlineStr">
        <is>
          <t>عنوان / رأس جدول</t>
        </is>
      </c>
    </row>
    <row r="9" ht="21" customHeight="1">
      <c r="B9" s="60" t="inlineStr">
        <is>
          <t>المقاول</t>
        </is>
      </c>
      <c r="C9" s="61" t="inlineStr">
        <is>
          <t>اسم المقاول</t>
        </is>
      </c>
      <c r="D9" s="61" t="n"/>
      <c r="E9" s="61" t="n"/>
    </row>
    <row r="10" ht="21" customHeight="1">
      <c r="B10" s="60" t="inlineStr">
        <is>
          <t>الاستشاري / الجهة المشرفة</t>
        </is>
      </c>
      <c r="C10" s="61" t="inlineStr"/>
      <c r="D10" s="61" t="n"/>
      <c r="E10" s="61" t="n"/>
      <c r="G10" s="64" t="inlineStr">
        <is>
          <t>• غيّر أسماء الأقسام بحرية؛ ستتحدث القوائم ولوحة التحكم تلقائياً.</t>
        </is>
      </c>
    </row>
    <row r="11" ht="21" customHeight="1">
      <c r="B11" s="60" t="inlineStr">
        <is>
          <t>موقع المشروع</t>
        </is>
      </c>
      <c r="C11" s="61" t="inlineStr"/>
      <c r="D11" s="61" t="n"/>
      <c r="E11" s="61" t="n"/>
      <c r="G11" s="64" t="inlineStr">
        <is>
          <t>• نسبة الضريبة تطبق على جميع المستخلصات.</t>
        </is>
      </c>
    </row>
    <row r="12" ht="21" customHeight="1">
      <c r="B12" s="60" t="inlineStr">
        <is>
          <t>تاريخ توقيع العقد</t>
        </is>
      </c>
      <c r="C12" s="65" t="n"/>
      <c r="D12" s="65" t="n"/>
      <c r="E12" s="65" t="n"/>
      <c r="G12" s="64" t="inlineStr">
        <is>
          <t>• نسب الدفعة المقدمة والضمان تُضبط من صفحاتها الخاصة.</t>
        </is>
      </c>
    </row>
    <row r="13" ht="21" customHeight="1">
      <c r="B13" s="60" t="inlineStr">
        <is>
          <t>تاريخ بدء التنفيذ (استلام الموقع)</t>
        </is>
      </c>
      <c r="C13" s="65" t="n"/>
      <c r="D13" s="65" t="n"/>
      <c r="E13" s="65" t="n"/>
    </row>
    <row r="14" ht="21" customHeight="1">
      <c r="B14" s="60" t="inlineStr">
        <is>
          <t>مدة العقد (يوم)</t>
        </is>
      </c>
      <c r="C14" s="66" t="n"/>
      <c r="D14" s="66" t="n"/>
      <c r="E14" s="66" t="n"/>
    </row>
    <row r="15" ht="21" customHeight="1">
      <c r="B15" s="60" t="inlineStr">
        <is>
          <t>تاريخ الانتهاء المخطط</t>
        </is>
      </c>
      <c r="C15" s="67">
        <f>IF(OR(C13="",C14=""),"",C13+C14)</f>
        <v/>
      </c>
      <c r="D15" s="67" t="n"/>
      <c r="E15" s="67" t="n"/>
    </row>
    <row r="16" ht="21" customHeight="1">
      <c r="B16" s="60" t="inlineStr">
        <is>
          <t>العملة</t>
        </is>
      </c>
      <c r="C16" s="61" t="inlineStr">
        <is>
          <t>ريال سعودي</t>
        </is>
      </c>
      <c r="D16" s="61" t="n"/>
      <c r="E16" s="61" t="n"/>
    </row>
    <row r="17" ht="21" customHeight="1">
      <c r="B17" s="57" t="inlineStr">
        <is>
          <t>النسب والقيم المالية العامة</t>
        </is>
      </c>
      <c r="C17" s="57" t="n"/>
      <c r="D17" s="57" t="n"/>
      <c r="E17" s="57" t="n"/>
    </row>
    <row r="18" ht="21" customHeight="1">
      <c r="B18" s="60" t="inlineStr">
        <is>
          <t>نسبة ضريبة القيمة المضافة</t>
        </is>
      </c>
      <c r="C18" s="68" t="n">
        <v>0.15</v>
      </c>
      <c r="D18" s="68" t="n"/>
      <c r="E18" s="68" t="n"/>
    </row>
    <row r="19" ht="21" customHeight="1">
      <c r="B19" s="60" t="inlineStr">
        <is>
          <t>قيمة العقد (محسوبة من جدول الكميات)</t>
        </is>
      </c>
      <c r="C19" s="27">
        <f>'جدول الكميات'!G106</f>
        <v/>
      </c>
      <c r="D19" s="27" t="n"/>
      <c r="E19" s="27" t="n"/>
    </row>
    <row r="20" ht="21" customHeight="1">
      <c r="B20" s="60" t="inlineStr">
        <is>
          <t>قيمة العقد شاملة الضريبة</t>
        </is>
      </c>
      <c r="C20" s="27">
        <f>C19*(1+C18)</f>
        <v/>
      </c>
      <c r="D20" s="27" t="n"/>
      <c r="E20" s="27" t="n"/>
    </row>
    <row r="21" ht="21" customHeight="1">
      <c r="B21" s="57" t="inlineStr">
        <is>
          <t>أقسام الأعمال (تظهر في جدول الكميات ولوحة التحكم)</t>
        </is>
      </c>
      <c r="C21" s="57" t="n"/>
      <c r="D21" s="57" t="n"/>
      <c r="E21" s="57" t="n"/>
    </row>
    <row r="22" ht="21" customHeight="1">
      <c r="B22" s="60" t="inlineStr">
        <is>
          <t>القسم 1</t>
        </is>
      </c>
      <c r="C22" s="61" t="inlineStr">
        <is>
          <t>أعمال الهيكل والترميم</t>
        </is>
      </c>
      <c r="D22" s="61" t="n"/>
      <c r="E22" s="61" t="n"/>
    </row>
    <row r="23" ht="21" customHeight="1">
      <c r="B23" s="60" t="inlineStr">
        <is>
          <t>القسم 2</t>
        </is>
      </c>
      <c r="C23" s="61" t="inlineStr">
        <is>
          <t>الواجهات والزجاج</t>
        </is>
      </c>
      <c r="D23" s="61" t="n"/>
      <c r="E23" s="61" t="n"/>
    </row>
    <row r="24" ht="21" customHeight="1">
      <c r="B24" s="60" t="inlineStr">
        <is>
          <t>القسم 3</t>
        </is>
      </c>
      <c r="C24" s="61" t="inlineStr">
        <is>
          <t>الأعمال المعدنية</t>
        </is>
      </c>
      <c r="D24" s="61" t="n"/>
      <c r="E24" s="61" t="n"/>
    </row>
    <row r="25" ht="21" customHeight="1">
      <c r="B25" s="60" t="inlineStr">
        <is>
          <t>القسم 4</t>
        </is>
      </c>
      <c r="C25" s="61" t="inlineStr">
        <is>
          <t>التشطيبات الداخلية</t>
        </is>
      </c>
      <c r="D25" s="61" t="n"/>
      <c r="E25" s="61" t="n"/>
    </row>
    <row r="26" ht="21" customHeight="1">
      <c r="B26" s="60" t="inlineStr">
        <is>
          <t>القسم 5</t>
        </is>
      </c>
      <c r="C26" s="61" t="inlineStr">
        <is>
          <t>دورات المياه</t>
        </is>
      </c>
      <c r="D26" s="61" t="n"/>
      <c r="E26" s="61" t="n"/>
    </row>
    <row r="27" ht="21" customHeight="1">
      <c r="B27" s="60" t="inlineStr">
        <is>
          <t>القسم 6</t>
        </is>
      </c>
      <c r="C27" s="61" t="inlineStr">
        <is>
          <t>الأعمال الكهربائية</t>
        </is>
      </c>
      <c r="D27" s="61" t="n"/>
      <c r="E27" s="61" t="n"/>
    </row>
    <row r="28" ht="21" customHeight="1">
      <c r="B28" s="60" t="inlineStr">
        <is>
          <t>القسم 7</t>
        </is>
      </c>
      <c r="C28" s="61" t="inlineStr">
        <is>
          <t>الأعمال الصحية والتكييف</t>
        </is>
      </c>
      <c r="D28" s="61" t="n"/>
      <c r="E28" s="61" t="n"/>
    </row>
    <row r="29" ht="21" customHeight="1">
      <c r="B29" s="60" t="inlineStr">
        <is>
          <t>القسم 8</t>
        </is>
      </c>
      <c r="C29" s="61" t="inlineStr">
        <is>
          <t>أعمال عامة وخارجية</t>
        </is>
      </c>
      <c r="D29" s="61" t="n"/>
      <c r="E29" s="61" t="n"/>
    </row>
    <row r="30" ht="21" customHeight="1">
      <c r="B30" s="60" t="inlineStr">
        <is>
          <t>القسم 9</t>
        </is>
      </c>
      <c r="C30" s="61" t="n"/>
      <c r="D30" s="61" t="n"/>
      <c r="E30" s="61" t="n"/>
    </row>
    <row r="31" ht="21" customHeight="1">
      <c r="B31" s="60" t="inlineStr">
        <is>
          <t>القسم 10</t>
        </is>
      </c>
      <c r="C31" s="61" t="n"/>
      <c r="D31" s="61" t="n"/>
      <c r="E31" s="61" t="n"/>
    </row>
    <row r="32" ht="21" customHeight="1">
      <c r="B32" s="60" t="inlineStr">
        <is>
          <t>القسم 11</t>
        </is>
      </c>
      <c r="C32" s="61" t="n"/>
      <c r="D32" s="61" t="n"/>
      <c r="E32" s="61" t="n"/>
    </row>
    <row r="33" ht="21" customHeight="1">
      <c r="B33" s="60" t="inlineStr">
        <is>
          <t>القسم 12</t>
        </is>
      </c>
      <c r="C33" s="61" t="n"/>
      <c r="D33" s="61" t="n"/>
      <c r="E33" s="61" t="n"/>
    </row>
    <row r="34" ht="21" customHeight="1"/>
    <row r="35" ht="21" customHeight="1">
      <c r="B35" s="57" t="inlineStr">
        <is>
          <t>أسماء المعتمدين (تظهر أسفل كل مستخلص)</t>
        </is>
      </c>
      <c r="C35" s="57" t="n"/>
      <c r="D35" s="57" t="n"/>
      <c r="E35" s="57" t="n"/>
    </row>
    <row r="36" ht="21" customHeight="1">
      <c r="B36" s="60" t="inlineStr">
        <is>
          <t>مهندس الموقع (المقاول)</t>
        </is>
      </c>
      <c r="C36" s="61" t="n"/>
      <c r="D36" s="61" t="n"/>
      <c r="E36" s="61" t="n"/>
    </row>
    <row r="37" ht="21" customHeight="1">
      <c r="B37" s="60" t="inlineStr">
        <is>
          <t>مدير المشروع (المقاول)</t>
        </is>
      </c>
      <c r="C37" s="61" t="n"/>
      <c r="D37" s="61" t="n"/>
      <c r="E37" s="61" t="n"/>
    </row>
    <row r="38" ht="21" customHeight="1">
      <c r="B38" s="60" t="inlineStr">
        <is>
          <t>المهندس المشرف (الاستشاري)</t>
        </is>
      </c>
      <c r="C38" s="61" t="n"/>
      <c r="D38" s="61" t="n"/>
      <c r="E38" s="61" t="n"/>
    </row>
    <row r="39" ht="21" customHeight="1">
      <c r="B39" s="60" t="inlineStr">
        <is>
          <t>ممثل المالك</t>
        </is>
      </c>
      <c r="C39" s="61" t="n"/>
      <c r="D39" s="61" t="n"/>
      <c r="E39" s="61" t="n"/>
    </row>
  </sheetData>
  <mergeCells count="36">
    <mergeCell ref="C16:E16"/>
    <mergeCell ref="B2:G2"/>
    <mergeCell ref="C31:E31"/>
    <mergeCell ref="C22:E22"/>
    <mergeCell ref="B1:G1"/>
    <mergeCell ref="C9:E9"/>
    <mergeCell ref="B5:E5"/>
    <mergeCell ref="C12:E12"/>
    <mergeCell ref="C36:E36"/>
    <mergeCell ref="C11:E11"/>
    <mergeCell ref="C27:E27"/>
    <mergeCell ref="B35:E35"/>
    <mergeCell ref="C23:E23"/>
    <mergeCell ref="C39:E39"/>
    <mergeCell ref="C8:E8"/>
    <mergeCell ref="C7:E7"/>
    <mergeCell ref="C32:E32"/>
    <mergeCell ref="C38:E38"/>
    <mergeCell ref="C28:E28"/>
    <mergeCell ref="C13:E13"/>
    <mergeCell ref="C19:E19"/>
    <mergeCell ref="C37:E37"/>
    <mergeCell ref="B21:E21"/>
    <mergeCell ref="C18:E18"/>
    <mergeCell ref="C30:E30"/>
    <mergeCell ref="C15:E15"/>
    <mergeCell ref="C6:E6"/>
    <mergeCell ref="C24:E24"/>
    <mergeCell ref="B17:E17"/>
    <mergeCell ref="C33:E33"/>
    <mergeCell ref="C14:E14"/>
    <mergeCell ref="C26:E26"/>
    <mergeCell ref="C29:E29"/>
    <mergeCell ref="C20:E20"/>
    <mergeCell ref="C25:E25"/>
    <mergeCell ref="C10:E10"/>
  </mergeCells>
  <dataValidations count="2">
    <dataValidation sqref="C18" showDropDown="0" showInputMessage="1" showErrorMessage="1" allowBlank="1" errorTitle="قيمة غير صحيحة" error="أدخل قيمة بين 0 و 1" promptTitle="إرشاد" prompt="مثال: 15% تكتب 0.15 أو 15%" type="decimal" operator="between">
      <formula1>0</formula1>
      <formula2>1</formula2>
    </dataValidation>
    <dataValidation sqref="C12:C13" showDropDown="0" showInputMessage="0" showErrorMessage="1" allowBlank="1" errorTitle="تاريخ غير صحيح" error="أدخل تاريخاً صحيحاً (مثال: 2025/10/08)" type="date" operator="greaterThan">
      <formula1>36526</formula1>
    </dataValidation>
  </dataValidations>
  <hyperlinks>
    <hyperlink ref="B3" location="'لوحة التحكم'!A1" display="🏠 لوحة التحكم"/>
    <hyperlink ref="C3" location="'جدول الكميات'!A1" display="📋 جدول الكميات"/>
    <hyperlink ref="D3" location="'سجل المستخلصات'!A1" display="🗂 سجل المستخلصات"/>
    <hyperlink ref="E3" location="'الدفعات المقدمة'!A1" display="💵 الدفعات المقدمة"/>
    <hyperlink ref="G3" location="'ضمان الأعمال'!A1" display="🔒 ضمان الأعمال"/>
  </hyperlinks>
  <printOptions horizontalCentered="1"/>
  <pageMargins left="0.3" right="0.3" top="0.4" bottom="0.4" header="0.5" footer="0.5"/>
  <pageSetup orientation="landscape" paperSize="9" fitToHeight="0" fitToWidth="1"/>
</worksheet>
</file>

<file path=xl/worksheets/sheet4.xml><?xml version="1.0" encoding="utf-8"?>
<worksheet xmlns="http://schemas.openxmlformats.org/spreadsheetml/2006/main">
  <sheetPr>
    <tabColor rgb="FF2E7D7A"/>
    <outlinePr summaryBelow="1" summaryRight="1"/>
    <pageSetUpPr fitToPage="1"/>
  </sheetPr>
  <dimension ref="A1:N106"/>
  <sheetViews>
    <sheetView showGridLines="0" rightToLeft="1" zoomScale="90" workbookViewId="0">
      <pane xSplit="3" ySplit="5" topLeftCell="D6"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52" customWidth="1" min="3" max="3"/>
    <col width="9" customWidth="1" min="4" max="4"/>
    <col width="12" customWidth="1" min="5" max="5"/>
    <col width="12" customWidth="1" min="6" max="6"/>
    <col width="16" customWidth="1" min="7" max="7"/>
    <col width="9" customWidth="1" min="8" max="8"/>
    <col width="12" customWidth="1" min="9" max="9"/>
    <col width="11" customWidth="1" min="10" max="10"/>
    <col width="16" customWidth="1" min="11" max="11"/>
    <col width="11" customWidth="1" min="12" max="12"/>
    <col width="20" customWidth="1" min="13" max="13"/>
    <col width="24" customWidth="1" min="14" max="14"/>
  </cols>
  <sheetData>
    <row r="1" ht="38" customHeight="1">
      <c r="A1" s="1" t="inlineStr">
        <is>
          <t>📋 جدول الكميات والأسعار (BOQ) — ومتابعة تنفيذ البنود</t>
        </is>
      </c>
      <c r="B1" s="1" t="n"/>
      <c r="C1" s="1" t="n"/>
      <c r="D1" s="1" t="n"/>
      <c r="E1" s="1" t="n"/>
      <c r="F1" s="1" t="n"/>
      <c r="G1" s="1" t="n"/>
      <c r="H1" s="1" t="n"/>
      <c r="I1" s="1" t="n"/>
      <c r="J1" s="1" t="n"/>
      <c r="K1" s="1" t="n"/>
      <c r="L1" s="1" t="n"/>
      <c r="M1" s="1" t="n"/>
      <c r="N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row>
    <row r="3" ht="24" customHeight="1">
      <c r="A3" s="56" t="inlineStr">
        <is>
          <t>🏠 لوحة التحكم</t>
        </is>
      </c>
      <c r="B3" s="56" t="n"/>
      <c r="C3" s="3" t="inlineStr">
        <is>
          <t>⚙ الإعدادات</t>
        </is>
      </c>
      <c r="D3" s="3" t="inlineStr">
        <is>
          <t>🗂 سجل المستخلصات</t>
        </is>
      </c>
      <c r="E3" s="3" t="n"/>
      <c r="F3" s="3" t="inlineStr">
        <is>
          <t>💵 الدفعات المقدمة</t>
        </is>
      </c>
      <c r="G3" s="3" t="n"/>
      <c r="H3" s="3" t="inlineStr">
        <is>
          <t>🔒 ضمان الأعمال</t>
        </is>
      </c>
      <c r="I3" s="3" t="n"/>
      <c r="J3" s="4" t="inlineStr">
        <is>
          <t>📄 مستخلص 1</t>
        </is>
      </c>
      <c r="K3" s="4" t="n"/>
    </row>
    <row r="4" ht="30" customHeight="1">
      <c r="A4" s="69" t="inlineStr">
        <is>
          <t>أضف البنود في الصفوف الفارغة (حتى 100 بند). الأعمدة الصفراء إدخال، والأعمدة من I إلى M تُحسب تلقائياً من المستخلصات. (نسبة الكمية) = ما تم تركيبه، و(نسبة الإنجاز الفعلية) = القيمة المستحقة ÷ قيمة البند، فتظهر النواقص (مثل الإكسسوارات) حتى لو اكتملت الكمية. لا تحذف صفوفاً ولا تُدرج صفوفاً بين البنود.</t>
        </is>
      </c>
      <c r="B4" s="69" t="n"/>
      <c r="C4" s="69" t="n"/>
      <c r="D4" s="69" t="n"/>
      <c r="E4" s="69" t="n"/>
      <c r="F4" s="69" t="n"/>
      <c r="G4" s="69" t="n"/>
      <c r="H4" s="69" t="n"/>
      <c r="I4" s="69" t="n"/>
      <c r="J4" s="69" t="n"/>
      <c r="K4" s="69" t="n"/>
      <c r="L4" s="69" t="n"/>
      <c r="M4" s="69" t="n"/>
      <c r="N4" s="69" t="n"/>
    </row>
    <row r="5" ht="40" customHeight="1">
      <c r="A5" s="70" t="inlineStr">
        <is>
          <t>رقم البند</t>
        </is>
      </c>
      <c r="B5" s="70" t="inlineStr">
        <is>
          <t>القسم</t>
        </is>
      </c>
      <c r="C5" s="70" t="inlineStr">
        <is>
          <t>بيان الأعمال</t>
        </is>
      </c>
      <c r="D5" s="70" t="inlineStr">
        <is>
          <t>الوحدة</t>
        </is>
      </c>
      <c r="E5" s="70" t="inlineStr">
        <is>
          <t>الكمية التعاقدية</t>
        </is>
      </c>
      <c r="F5" s="70" t="inlineStr">
        <is>
          <t>سعر الوحدة</t>
        </is>
      </c>
      <c r="G5" s="70" t="inlineStr">
        <is>
          <t>الإجمالي</t>
        </is>
      </c>
      <c r="H5" s="70" t="inlineStr">
        <is>
          <t>الوزن النسبي</t>
        </is>
      </c>
      <c r="I5" s="70" t="inlineStr">
        <is>
          <t>الكمية المنفذة حتى تاريخه</t>
        </is>
      </c>
      <c r="J5" s="70" t="inlineStr">
        <is>
          <t>نسبة الكمية المنفذة</t>
        </is>
      </c>
      <c r="K5" s="70" t="inlineStr">
        <is>
          <t>القيمة المستحقة حتى تاريخه</t>
        </is>
      </c>
      <c r="L5" s="70" t="inlineStr">
        <is>
          <t>نسبة الإنجاز الفعلية</t>
        </is>
      </c>
      <c r="M5" s="70" t="inlineStr">
        <is>
          <t>حالة البند</t>
        </is>
      </c>
      <c r="N5" s="70" t="inlineStr">
        <is>
          <t>ملاحظات / النواقص</t>
        </is>
      </c>
    </row>
    <row r="6">
      <c r="A6" s="62" t="n"/>
      <c r="B6" s="61" t="n"/>
      <c r="C6" s="71" t="n"/>
      <c r="D6" s="62" t="n"/>
      <c r="E6" s="72" t="n"/>
      <c r="F6" s="72" t="n"/>
      <c r="G6" s="73">
        <f>ROUND(E6*F6,2)</f>
        <v/>
      </c>
      <c r="H6" s="28">
        <f>IF($G$106=0,0,G6/$G$106)</f>
        <v/>
      </c>
      <c r="I6" s="74">
        <f>'مستخلص 25'!H8</f>
        <v/>
      </c>
      <c r="J6" s="28">
        <f>IF(E6=0,0,I6/E6)</f>
        <v/>
      </c>
      <c r="K6" s="74">
        <f>'مستخلص 25'!N8</f>
        <v/>
      </c>
      <c r="L6" s="47">
        <f>IF(G6=0,0,K6/G6)</f>
        <v/>
      </c>
      <c r="M6" s="30">
        <f>IF(C6="","",IF(I6=0,"○ لم يبدأ",IF(AND(G6&gt;0,K6&gt;=G6),"✔ مكتمل",IF(AND(E6&gt;0,I6&gt;=E6),"⚠ مركب بالكامل - نواقص","◔ جاري"))))</f>
        <v/>
      </c>
      <c r="N6" s="61" t="n"/>
    </row>
    <row r="7">
      <c r="A7" s="62" t="n"/>
      <c r="B7" s="61" t="n"/>
      <c r="C7" s="71" t="n"/>
      <c r="D7" s="62" t="n"/>
      <c r="E7" s="72" t="n"/>
      <c r="F7" s="72" t="n"/>
      <c r="G7" s="73">
        <f>ROUND(E7*F7,2)</f>
        <v/>
      </c>
      <c r="H7" s="28">
        <f>IF($G$106=0,0,G7/$G$106)</f>
        <v/>
      </c>
      <c r="I7" s="74">
        <f>'مستخلص 25'!H9</f>
        <v/>
      </c>
      <c r="J7" s="28">
        <f>IF(E7=0,0,I7/E7)</f>
        <v/>
      </c>
      <c r="K7" s="74">
        <f>'مستخلص 25'!N9</f>
        <v/>
      </c>
      <c r="L7" s="47">
        <f>IF(G7=0,0,K7/G7)</f>
        <v/>
      </c>
      <c r="M7" s="30">
        <f>IF(C7="","",IF(I7=0,"○ لم يبدأ",IF(AND(G7&gt;0,K7&gt;=G7),"✔ مكتمل",IF(AND(E7&gt;0,I7&gt;=E7),"⚠ مركب بالكامل - نواقص","◔ جاري"))))</f>
        <v/>
      </c>
      <c r="N7" s="61" t="n"/>
    </row>
    <row r="8">
      <c r="A8" s="62" t="n"/>
      <c r="B8" s="61" t="n"/>
      <c r="C8" s="71" t="n"/>
      <c r="D8" s="62" t="n"/>
      <c r="E8" s="72" t="n"/>
      <c r="F8" s="72" t="n"/>
      <c r="G8" s="73">
        <f>ROUND(E8*F8,2)</f>
        <v/>
      </c>
      <c r="H8" s="28">
        <f>IF($G$106=0,0,G8/$G$106)</f>
        <v/>
      </c>
      <c r="I8" s="74">
        <f>'مستخلص 25'!H10</f>
        <v/>
      </c>
      <c r="J8" s="28">
        <f>IF(E8=0,0,I8/E8)</f>
        <v/>
      </c>
      <c r="K8" s="74">
        <f>'مستخلص 25'!N10</f>
        <v/>
      </c>
      <c r="L8" s="47">
        <f>IF(G8=0,0,K8/G8)</f>
        <v/>
      </c>
      <c r="M8" s="30">
        <f>IF(C8="","",IF(I8=0,"○ لم يبدأ",IF(AND(G8&gt;0,K8&gt;=G8),"✔ مكتمل",IF(AND(E8&gt;0,I8&gt;=E8),"⚠ مركب بالكامل - نواقص","◔ جاري"))))</f>
        <v/>
      </c>
      <c r="N8" s="61" t="n"/>
    </row>
    <row r="9">
      <c r="A9" s="62" t="n"/>
      <c r="B9" s="61" t="n"/>
      <c r="C9" s="71" t="n"/>
      <c r="D9" s="62" t="n"/>
      <c r="E9" s="72" t="n"/>
      <c r="F9" s="72" t="n"/>
      <c r="G9" s="73">
        <f>ROUND(E9*F9,2)</f>
        <v/>
      </c>
      <c r="H9" s="28">
        <f>IF($G$106=0,0,G9/$G$106)</f>
        <v/>
      </c>
      <c r="I9" s="74">
        <f>'مستخلص 25'!H11</f>
        <v/>
      </c>
      <c r="J9" s="28">
        <f>IF(E9=0,0,I9/E9)</f>
        <v/>
      </c>
      <c r="K9" s="74">
        <f>'مستخلص 25'!N11</f>
        <v/>
      </c>
      <c r="L9" s="47">
        <f>IF(G9=0,0,K9/G9)</f>
        <v/>
      </c>
      <c r="M9" s="30">
        <f>IF(C9="","",IF(I9=0,"○ لم يبدأ",IF(AND(G9&gt;0,K9&gt;=G9),"✔ مكتمل",IF(AND(E9&gt;0,I9&gt;=E9),"⚠ مركب بالكامل - نواقص","◔ جاري"))))</f>
        <v/>
      </c>
      <c r="N9" s="61" t="n"/>
    </row>
    <row r="10">
      <c r="A10" s="62" t="n"/>
      <c r="B10" s="61" t="n"/>
      <c r="C10" s="71" t="n"/>
      <c r="D10" s="62" t="n"/>
      <c r="E10" s="72" t="n"/>
      <c r="F10" s="72" t="n"/>
      <c r="G10" s="73">
        <f>ROUND(E10*F10,2)</f>
        <v/>
      </c>
      <c r="H10" s="28">
        <f>IF($G$106=0,0,G10/$G$106)</f>
        <v/>
      </c>
      <c r="I10" s="74">
        <f>'مستخلص 25'!H12</f>
        <v/>
      </c>
      <c r="J10" s="28">
        <f>IF(E10=0,0,I10/E10)</f>
        <v/>
      </c>
      <c r="K10" s="74">
        <f>'مستخلص 25'!N12</f>
        <v/>
      </c>
      <c r="L10" s="47">
        <f>IF(G10=0,0,K10/G10)</f>
        <v/>
      </c>
      <c r="M10" s="30">
        <f>IF(C10="","",IF(I10=0,"○ لم يبدأ",IF(AND(G10&gt;0,K10&gt;=G10),"✔ مكتمل",IF(AND(E10&gt;0,I10&gt;=E10),"⚠ مركب بالكامل - نواقص","◔ جاري"))))</f>
        <v/>
      </c>
      <c r="N10" s="61" t="n"/>
    </row>
    <row r="11">
      <c r="A11" s="62" t="n"/>
      <c r="B11" s="61" t="n"/>
      <c r="C11" s="71" t="n"/>
      <c r="D11" s="62" t="n"/>
      <c r="E11" s="72" t="n"/>
      <c r="F11" s="72" t="n"/>
      <c r="G11" s="73">
        <f>ROUND(E11*F11,2)</f>
        <v/>
      </c>
      <c r="H11" s="28">
        <f>IF($G$106=0,0,G11/$G$106)</f>
        <v/>
      </c>
      <c r="I11" s="74">
        <f>'مستخلص 25'!H13</f>
        <v/>
      </c>
      <c r="J11" s="28">
        <f>IF(E11=0,0,I11/E11)</f>
        <v/>
      </c>
      <c r="K11" s="74">
        <f>'مستخلص 25'!N13</f>
        <v/>
      </c>
      <c r="L11" s="47">
        <f>IF(G11=0,0,K11/G11)</f>
        <v/>
      </c>
      <c r="M11" s="30">
        <f>IF(C11="","",IF(I11=0,"○ لم يبدأ",IF(AND(G11&gt;0,K11&gt;=G11),"✔ مكتمل",IF(AND(E11&gt;0,I11&gt;=E11),"⚠ مركب بالكامل - نواقص","◔ جاري"))))</f>
        <v/>
      </c>
      <c r="N11" s="61" t="n"/>
    </row>
    <row r="12">
      <c r="A12" s="62" t="n"/>
      <c r="B12" s="61" t="n"/>
      <c r="C12" s="71" t="n"/>
      <c r="D12" s="62" t="n"/>
      <c r="E12" s="72" t="n"/>
      <c r="F12" s="72" t="n"/>
      <c r="G12" s="73">
        <f>ROUND(E12*F12,2)</f>
        <v/>
      </c>
      <c r="H12" s="28">
        <f>IF($G$106=0,0,G12/$G$106)</f>
        <v/>
      </c>
      <c r="I12" s="74">
        <f>'مستخلص 25'!H14</f>
        <v/>
      </c>
      <c r="J12" s="28">
        <f>IF(E12=0,0,I12/E12)</f>
        <v/>
      </c>
      <c r="K12" s="74">
        <f>'مستخلص 25'!N14</f>
        <v/>
      </c>
      <c r="L12" s="47">
        <f>IF(G12=0,0,K12/G12)</f>
        <v/>
      </c>
      <c r="M12" s="30">
        <f>IF(C12="","",IF(I12=0,"○ لم يبدأ",IF(AND(G12&gt;0,K12&gt;=G12),"✔ مكتمل",IF(AND(E12&gt;0,I12&gt;=E12),"⚠ مركب بالكامل - نواقص","◔ جاري"))))</f>
        <v/>
      </c>
      <c r="N12" s="61" t="n"/>
    </row>
    <row r="13">
      <c r="A13" s="62" t="n"/>
      <c r="B13" s="61" t="n"/>
      <c r="C13" s="71" t="n"/>
      <c r="D13" s="62" t="n"/>
      <c r="E13" s="72" t="n"/>
      <c r="F13" s="72" t="n"/>
      <c r="G13" s="73">
        <f>ROUND(E13*F13,2)</f>
        <v/>
      </c>
      <c r="H13" s="28">
        <f>IF($G$106=0,0,G13/$G$106)</f>
        <v/>
      </c>
      <c r="I13" s="74">
        <f>'مستخلص 25'!H15</f>
        <v/>
      </c>
      <c r="J13" s="28">
        <f>IF(E13=0,0,I13/E13)</f>
        <v/>
      </c>
      <c r="K13" s="74">
        <f>'مستخلص 25'!N15</f>
        <v/>
      </c>
      <c r="L13" s="47">
        <f>IF(G13=0,0,K13/G13)</f>
        <v/>
      </c>
      <c r="M13" s="30">
        <f>IF(C13="","",IF(I13=0,"○ لم يبدأ",IF(AND(G13&gt;0,K13&gt;=G13),"✔ مكتمل",IF(AND(E13&gt;0,I13&gt;=E13),"⚠ مركب بالكامل - نواقص","◔ جاري"))))</f>
        <v/>
      </c>
      <c r="N13" s="61" t="n"/>
    </row>
    <row r="14">
      <c r="A14" s="62" t="n"/>
      <c r="B14" s="61" t="n"/>
      <c r="C14" s="71" t="n"/>
      <c r="D14" s="62" t="n"/>
      <c r="E14" s="72" t="n"/>
      <c r="F14" s="72" t="n"/>
      <c r="G14" s="73">
        <f>ROUND(E14*F14,2)</f>
        <v/>
      </c>
      <c r="H14" s="28">
        <f>IF($G$106=0,0,G14/$G$106)</f>
        <v/>
      </c>
      <c r="I14" s="74">
        <f>'مستخلص 25'!H16</f>
        <v/>
      </c>
      <c r="J14" s="28">
        <f>IF(E14=0,0,I14/E14)</f>
        <v/>
      </c>
      <c r="K14" s="74">
        <f>'مستخلص 25'!N16</f>
        <v/>
      </c>
      <c r="L14" s="47">
        <f>IF(G14=0,0,K14/G14)</f>
        <v/>
      </c>
      <c r="M14" s="30">
        <f>IF(C14="","",IF(I14=0,"○ لم يبدأ",IF(AND(G14&gt;0,K14&gt;=G14),"✔ مكتمل",IF(AND(E14&gt;0,I14&gt;=E14),"⚠ مركب بالكامل - نواقص","◔ جاري"))))</f>
        <v/>
      </c>
      <c r="N14" s="61" t="n"/>
    </row>
    <row r="15">
      <c r="A15" s="62" t="n"/>
      <c r="B15" s="61" t="n"/>
      <c r="C15" s="71" t="n"/>
      <c r="D15" s="62" t="n"/>
      <c r="E15" s="72" t="n"/>
      <c r="F15" s="72" t="n"/>
      <c r="G15" s="73">
        <f>ROUND(E15*F15,2)</f>
        <v/>
      </c>
      <c r="H15" s="28">
        <f>IF($G$106=0,0,G15/$G$106)</f>
        <v/>
      </c>
      <c r="I15" s="74">
        <f>'مستخلص 25'!H17</f>
        <v/>
      </c>
      <c r="J15" s="28">
        <f>IF(E15=0,0,I15/E15)</f>
        <v/>
      </c>
      <c r="K15" s="74">
        <f>'مستخلص 25'!N17</f>
        <v/>
      </c>
      <c r="L15" s="47">
        <f>IF(G15=0,0,K15/G15)</f>
        <v/>
      </c>
      <c r="M15" s="30">
        <f>IF(C15="","",IF(I15=0,"○ لم يبدأ",IF(AND(G15&gt;0,K15&gt;=G15),"✔ مكتمل",IF(AND(E15&gt;0,I15&gt;=E15),"⚠ مركب بالكامل - نواقص","◔ جاري"))))</f>
        <v/>
      </c>
      <c r="N15" s="61" t="n"/>
    </row>
    <row r="16">
      <c r="A16" s="62" t="n"/>
      <c r="B16" s="61" t="n"/>
      <c r="C16" s="71" t="n"/>
      <c r="D16" s="62" t="n"/>
      <c r="E16" s="72" t="n"/>
      <c r="F16" s="72" t="n"/>
      <c r="G16" s="73">
        <f>ROUND(E16*F16,2)</f>
        <v/>
      </c>
      <c r="H16" s="28">
        <f>IF($G$106=0,0,G16/$G$106)</f>
        <v/>
      </c>
      <c r="I16" s="74">
        <f>'مستخلص 25'!H18</f>
        <v/>
      </c>
      <c r="J16" s="28">
        <f>IF(E16=0,0,I16/E16)</f>
        <v/>
      </c>
      <c r="K16" s="74">
        <f>'مستخلص 25'!N18</f>
        <v/>
      </c>
      <c r="L16" s="47">
        <f>IF(G16=0,0,K16/G16)</f>
        <v/>
      </c>
      <c r="M16" s="30">
        <f>IF(C16="","",IF(I16=0,"○ لم يبدأ",IF(AND(G16&gt;0,K16&gt;=G16),"✔ مكتمل",IF(AND(E16&gt;0,I16&gt;=E16),"⚠ مركب بالكامل - نواقص","◔ جاري"))))</f>
        <v/>
      </c>
      <c r="N16" s="61" t="n"/>
    </row>
    <row r="17">
      <c r="A17" s="62" t="n"/>
      <c r="B17" s="61" t="n"/>
      <c r="C17" s="71" t="n"/>
      <c r="D17" s="62" t="n"/>
      <c r="E17" s="72" t="n"/>
      <c r="F17" s="72" t="n"/>
      <c r="G17" s="73">
        <f>ROUND(E17*F17,2)</f>
        <v/>
      </c>
      <c r="H17" s="28">
        <f>IF($G$106=0,0,G17/$G$106)</f>
        <v/>
      </c>
      <c r="I17" s="74">
        <f>'مستخلص 25'!H19</f>
        <v/>
      </c>
      <c r="J17" s="28">
        <f>IF(E17=0,0,I17/E17)</f>
        <v/>
      </c>
      <c r="K17" s="74">
        <f>'مستخلص 25'!N19</f>
        <v/>
      </c>
      <c r="L17" s="47">
        <f>IF(G17=0,0,K17/G17)</f>
        <v/>
      </c>
      <c r="M17" s="30">
        <f>IF(C17="","",IF(I17=0,"○ لم يبدأ",IF(AND(G17&gt;0,K17&gt;=G17),"✔ مكتمل",IF(AND(E17&gt;0,I17&gt;=E17),"⚠ مركب بالكامل - نواقص","◔ جاري"))))</f>
        <v/>
      </c>
      <c r="N17" s="61" t="n"/>
    </row>
    <row r="18">
      <c r="A18" s="62" t="n"/>
      <c r="B18" s="61" t="n"/>
      <c r="C18" s="71" t="n"/>
      <c r="D18" s="62" t="n"/>
      <c r="E18" s="72" t="n"/>
      <c r="F18" s="72" t="n"/>
      <c r="G18" s="73">
        <f>ROUND(E18*F18,2)</f>
        <v/>
      </c>
      <c r="H18" s="28">
        <f>IF($G$106=0,0,G18/$G$106)</f>
        <v/>
      </c>
      <c r="I18" s="74">
        <f>'مستخلص 25'!H20</f>
        <v/>
      </c>
      <c r="J18" s="28">
        <f>IF(E18=0,0,I18/E18)</f>
        <v/>
      </c>
      <c r="K18" s="74">
        <f>'مستخلص 25'!N20</f>
        <v/>
      </c>
      <c r="L18" s="47">
        <f>IF(G18=0,0,K18/G18)</f>
        <v/>
      </c>
      <c r="M18" s="30">
        <f>IF(C18="","",IF(I18=0,"○ لم يبدأ",IF(AND(G18&gt;0,K18&gt;=G18),"✔ مكتمل",IF(AND(E18&gt;0,I18&gt;=E18),"⚠ مركب بالكامل - نواقص","◔ جاري"))))</f>
        <v/>
      </c>
      <c r="N18" s="61" t="n"/>
    </row>
    <row r="19">
      <c r="A19" s="62" t="n"/>
      <c r="B19" s="61" t="n"/>
      <c r="C19" s="71" t="n"/>
      <c r="D19" s="62" t="n"/>
      <c r="E19" s="72" t="n"/>
      <c r="F19" s="72" t="n"/>
      <c r="G19" s="73">
        <f>ROUND(E19*F19,2)</f>
        <v/>
      </c>
      <c r="H19" s="28">
        <f>IF($G$106=0,0,G19/$G$106)</f>
        <v/>
      </c>
      <c r="I19" s="74">
        <f>'مستخلص 25'!H21</f>
        <v/>
      </c>
      <c r="J19" s="28">
        <f>IF(E19=0,0,I19/E19)</f>
        <v/>
      </c>
      <c r="K19" s="74">
        <f>'مستخلص 25'!N21</f>
        <v/>
      </c>
      <c r="L19" s="47">
        <f>IF(G19=0,0,K19/G19)</f>
        <v/>
      </c>
      <c r="M19" s="30">
        <f>IF(C19="","",IF(I19=0,"○ لم يبدأ",IF(AND(G19&gt;0,K19&gt;=G19),"✔ مكتمل",IF(AND(E19&gt;0,I19&gt;=E19),"⚠ مركب بالكامل - نواقص","◔ جاري"))))</f>
        <v/>
      </c>
      <c r="N19" s="61" t="n"/>
    </row>
    <row r="20">
      <c r="A20" s="62" t="n"/>
      <c r="B20" s="61" t="n"/>
      <c r="C20" s="71" t="n"/>
      <c r="D20" s="62" t="n"/>
      <c r="E20" s="72" t="n"/>
      <c r="F20" s="72" t="n"/>
      <c r="G20" s="73">
        <f>ROUND(E20*F20,2)</f>
        <v/>
      </c>
      <c r="H20" s="28">
        <f>IF($G$106=0,0,G20/$G$106)</f>
        <v/>
      </c>
      <c r="I20" s="74">
        <f>'مستخلص 25'!H22</f>
        <v/>
      </c>
      <c r="J20" s="28">
        <f>IF(E20=0,0,I20/E20)</f>
        <v/>
      </c>
      <c r="K20" s="74">
        <f>'مستخلص 25'!N22</f>
        <v/>
      </c>
      <c r="L20" s="47">
        <f>IF(G20=0,0,K20/G20)</f>
        <v/>
      </c>
      <c r="M20" s="30">
        <f>IF(C20="","",IF(I20=0,"○ لم يبدأ",IF(AND(G20&gt;0,K20&gt;=G20),"✔ مكتمل",IF(AND(E20&gt;0,I20&gt;=E20),"⚠ مركب بالكامل - نواقص","◔ جاري"))))</f>
        <v/>
      </c>
      <c r="N20" s="61" t="n"/>
    </row>
    <row r="21">
      <c r="A21" s="62" t="n"/>
      <c r="B21" s="61" t="n"/>
      <c r="C21" s="71" t="n"/>
      <c r="D21" s="62" t="n"/>
      <c r="E21" s="72" t="n"/>
      <c r="F21" s="72" t="n"/>
      <c r="G21" s="73">
        <f>ROUND(E21*F21,2)</f>
        <v/>
      </c>
      <c r="H21" s="28">
        <f>IF($G$106=0,0,G21/$G$106)</f>
        <v/>
      </c>
      <c r="I21" s="74">
        <f>'مستخلص 25'!H23</f>
        <v/>
      </c>
      <c r="J21" s="28">
        <f>IF(E21=0,0,I21/E21)</f>
        <v/>
      </c>
      <c r="K21" s="74">
        <f>'مستخلص 25'!N23</f>
        <v/>
      </c>
      <c r="L21" s="47">
        <f>IF(G21=0,0,K21/G21)</f>
        <v/>
      </c>
      <c r="M21" s="30">
        <f>IF(C21="","",IF(I21=0,"○ لم يبدأ",IF(AND(G21&gt;0,K21&gt;=G21),"✔ مكتمل",IF(AND(E21&gt;0,I21&gt;=E21),"⚠ مركب بالكامل - نواقص","◔ جاري"))))</f>
        <v/>
      </c>
      <c r="N21" s="61" t="n"/>
    </row>
    <row r="22">
      <c r="A22" s="62" t="n"/>
      <c r="B22" s="61" t="n"/>
      <c r="C22" s="71" t="n"/>
      <c r="D22" s="62" t="n"/>
      <c r="E22" s="72" t="n"/>
      <c r="F22" s="72" t="n"/>
      <c r="G22" s="73">
        <f>ROUND(E22*F22,2)</f>
        <v/>
      </c>
      <c r="H22" s="28">
        <f>IF($G$106=0,0,G22/$G$106)</f>
        <v/>
      </c>
      <c r="I22" s="74">
        <f>'مستخلص 25'!H24</f>
        <v/>
      </c>
      <c r="J22" s="28">
        <f>IF(E22=0,0,I22/E22)</f>
        <v/>
      </c>
      <c r="K22" s="74">
        <f>'مستخلص 25'!N24</f>
        <v/>
      </c>
      <c r="L22" s="47">
        <f>IF(G22=0,0,K22/G22)</f>
        <v/>
      </c>
      <c r="M22" s="30">
        <f>IF(C22="","",IF(I22=0,"○ لم يبدأ",IF(AND(G22&gt;0,K22&gt;=G22),"✔ مكتمل",IF(AND(E22&gt;0,I22&gt;=E22),"⚠ مركب بالكامل - نواقص","◔ جاري"))))</f>
        <v/>
      </c>
      <c r="N22" s="61" t="n"/>
    </row>
    <row r="23">
      <c r="A23" s="62" t="n"/>
      <c r="B23" s="61" t="n"/>
      <c r="C23" s="71" t="n"/>
      <c r="D23" s="62" t="n"/>
      <c r="E23" s="72" t="n"/>
      <c r="F23" s="72" t="n"/>
      <c r="G23" s="73">
        <f>ROUND(E23*F23,2)</f>
        <v/>
      </c>
      <c r="H23" s="28">
        <f>IF($G$106=0,0,G23/$G$106)</f>
        <v/>
      </c>
      <c r="I23" s="74">
        <f>'مستخلص 25'!H25</f>
        <v/>
      </c>
      <c r="J23" s="28">
        <f>IF(E23=0,0,I23/E23)</f>
        <v/>
      </c>
      <c r="K23" s="74">
        <f>'مستخلص 25'!N25</f>
        <v/>
      </c>
      <c r="L23" s="47">
        <f>IF(G23=0,0,K23/G23)</f>
        <v/>
      </c>
      <c r="M23" s="30">
        <f>IF(C23="","",IF(I23=0,"○ لم يبدأ",IF(AND(G23&gt;0,K23&gt;=G23),"✔ مكتمل",IF(AND(E23&gt;0,I23&gt;=E23),"⚠ مركب بالكامل - نواقص","◔ جاري"))))</f>
        <v/>
      </c>
      <c r="N23" s="61" t="n"/>
    </row>
    <row r="24">
      <c r="A24" s="62" t="n"/>
      <c r="B24" s="61" t="n"/>
      <c r="C24" s="71" t="n"/>
      <c r="D24" s="62" t="n"/>
      <c r="E24" s="72" t="n"/>
      <c r="F24" s="72" t="n"/>
      <c r="G24" s="73">
        <f>ROUND(E24*F24,2)</f>
        <v/>
      </c>
      <c r="H24" s="28">
        <f>IF($G$106=0,0,G24/$G$106)</f>
        <v/>
      </c>
      <c r="I24" s="74">
        <f>'مستخلص 25'!H26</f>
        <v/>
      </c>
      <c r="J24" s="28">
        <f>IF(E24=0,0,I24/E24)</f>
        <v/>
      </c>
      <c r="K24" s="74">
        <f>'مستخلص 25'!N26</f>
        <v/>
      </c>
      <c r="L24" s="47">
        <f>IF(G24=0,0,K24/G24)</f>
        <v/>
      </c>
      <c r="M24" s="30">
        <f>IF(C24="","",IF(I24=0,"○ لم يبدأ",IF(AND(G24&gt;0,K24&gt;=G24),"✔ مكتمل",IF(AND(E24&gt;0,I24&gt;=E24),"⚠ مركب بالكامل - نواقص","◔ جاري"))))</f>
        <v/>
      </c>
      <c r="N24" s="61" t="n"/>
    </row>
    <row r="25">
      <c r="A25" s="62" t="n"/>
      <c r="B25" s="61" t="n"/>
      <c r="C25" s="71" t="n"/>
      <c r="D25" s="62" t="n"/>
      <c r="E25" s="72" t="n"/>
      <c r="F25" s="72" t="n"/>
      <c r="G25" s="73">
        <f>ROUND(E25*F25,2)</f>
        <v/>
      </c>
      <c r="H25" s="28">
        <f>IF($G$106=0,0,G25/$G$106)</f>
        <v/>
      </c>
      <c r="I25" s="74">
        <f>'مستخلص 25'!H27</f>
        <v/>
      </c>
      <c r="J25" s="28">
        <f>IF(E25=0,0,I25/E25)</f>
        <v/>
      </c>
      <c r="K25" s="74">
        <f>'مستخلص 25'!N27</f>
        <v/>
      </c>
      <c r="L25" s="47">
        <f>IF(G25=0,0,K25/G25)</f>
        <v/>
      </c>
      <c r="M25" s="30">
        <f>IF(C25="","",IF(I25=0,"○ لم يبدأ",IF(AND(G25&gt;0,K25&gt;=G25),"✔ مكتمل",IF(AND(E25&gt;0,I25&gt;=E25),"⚠ مركب بالكامل - نواقص","◔ جاري"))))</f>
        <v/>
      </c>
      <c r="N25" s="61" t="n"/>
    </row>
    <row r="26">
      <c r="A26" s="62" t="n"/>
      <c r="B26" s="61" t="n"/>
      <c r="C26" s="71" t="n"/>
      <c r="D26" s="62" t="n"/>
      <c r="E26" s="72" t="n"/>
      <c r="F26" s="72" t="n"/>
      <c r="G26" s="73">
        <f>ROUND(E26*F26,2)</f>
        <v/>
      </c>
      <c r="H26" s="28">
        <f>IF($G$106=0,0,G26/$G$106)</f>
        <v/>
      </c>
      <c r="I26" s="74">
        <f>'مستخلص 25'!H28</f>
        <v/>
      </c>
      <c r="J26" s="28">
        <f>IF(E26=0,0,I26/E26)</f>
        <v/>
      </c>
      <c r="K26" s="74">
        <f>'مستخلص 25'!N28</f>
        <v/>
      </c>
      <c r="L26" s="47">
        <f>IF(G26=0,0,K26/G26)</f>
        <v/>
      </c>
      <c r="M26" s="30">
        <f>IF(C26="","",IF(I26=0,"○ لم يبدأ",IF(AND(G26&gt;0,K26&gt;=G26),"✔ مكتمل",IF(AND(E26&gt;0,I26&gt;=E26),"⚠ مركب بالكامل - نواقص","◔ جاري"))))</f>
        <v/>
      </c>
      <c r="N26" s="61" t="n"/>
    </row>
    <row r="27">
      <c r="A27" s="62" t="n"/>
      <c r="B27" s="61" t="n"/>
      <c r="C27" s="71" t="n"/>
      <c r="D27" s="62" t="n"/>
      <c r="E27" s="72" t="n"/>
      <c r="F27" s="72" t="n"/>
      <c r="G27" s="73">
        <f>ROUND(E27*F27,2)</f>
        <v/>
      </c>
      <c r="H27" s="28">
        <f>IF($G$106=0,0,G27/$G$106)</f>
        <v/>
      </c>
      <c r="I27" s="74">
        <f>'مستخلص 25'!H29</f>
        <v/>
      </c>
      <c r="J27" s="28">
        <f>IF(E27=0,0,I27/E27)</f>
        <v/>
      </c>
      <c r="K27" s="74">
        <f>'مستخلص 25'!N29</f>
        <v/>
      </c>
      <c r="L27" s="47">
        <f>IF(G27=0,0,K27/G27)</f>
        <v/>
      </c>
      <c r="M27" s="30">
        <f>IF(C27="","",IF(I27=0,"○ لم يبدأ",IF(AND(G27&gt;0,K27&gt;=G27),"✔ مكتمل",IF(AND(E27&gt;0,I27&gt;=E27),"⚠ مركب بالكامل - نواقص","◔ جاري"))))</f>
        <v/>
      </c>
      <c r="N27" s="61" t="n"/>
    </row>
    <row r="28">
      <c r="A28" s="62" t="n"/>
      <c r="B28" s="61" t="n"/>
      <c r="C28" s="71" t="n"/>
      <c r="D28" s="62" t="n"/>
      <c r="E28" s="72" t="n"/>
      <c r="F28" s="72" t="n"/>
      <c r="G28" s="73">
        <f>ROUND(E28*F28,2)</f>
        <v/>
      </c>
      <c r="H28" s="28">
        <f>IF($G$106=0,0,G28/$G$106)</f>
        <v/>
      </c>
      <c r="I28" s="74">
        <f>'مستخلص 25'!H30</f>
        <v/>
      </c>
      <c r="J28" s="28">
        <f>IF(E28=0,0,I28/E28)</f>
        <v/>
      </c>
      <c r="K28" s="74">
        <f>'مستخلص 25'!N30</f>
        <v/>
      </c>
      <c r="L28" s="47">
        <f>IF(G28=0,0,K28/G28)</f>
        <v/>
      </c>
      <c r="M28" s="30">
        <f>IF(C28="","",IF(I28=0,"○ لم يبدأ",IF(AND(G28&gt;0,K28&gt;=G28),"✔ مكتمل",IF(AND(E28&gt;0,I28&gt;=E28),"⚠ مركب بالكامل - نواقص","◔ جاري"))))</f>
        <v/>
      </c>
      <c r="N28" s="61" t="n"/>
    </row>
    <row r="29">
      <c r="A29" s="62" t="n"/>
      <c r="B29" s="61" t="n"/>
      <c r="C29" s="71" t="n"/>
      <c r="D29" s="62" t="n"/>
      <c r="E29" s="72" t="n"/>
      <c r="F29" s="72" t="n"/>
      <c r="G29" s="73">
        <f>ROUND(E29*F29,2)</f>
        <v/>
      </c>
      <c r="H29" s="28">
        <f>IF($G$106=0,0,G29/$G$106)</f>
        <v/>
      </c>
      <c r="I29" s="74">
        <f>'مستخلص 25'!H31</f>
        <v/>
      </c>
      <c r="J29" s="28">
        <f>IF(E29=0,0,I29/E29)</f>
        <v/>
      </c>
      <c r="K29" s="74">
        <f>'مستخلص 25'!N31</f>
        <v/>
      </c>
      <c r="L29" s="47">
        <f>IF(G29=0,0,K29/G29)</f>
        <v/>
      </c>
      <c r="M29" s="30">
        <f>IF(C29="","",IF(I29=0,"○ لم يبدأ",IF(AND(G29&gt;0,K29&gt;=G29),"✔ مكتمل",IF(AND(E29&gt;0,I29&gt;=E29),"⚠ مركب بالكامل - نواقص","◔ جاري"))))</f>
        <v/>
      </c>
      <c r="N29" s="61" t="n"/>
    </row>
    <row r="30">
      <c r="A30" s="62" t="n"/>
      <c r="B30" s="61" t="n"/>
      <c r="C30" s="71" t="n"/>
      <c r="D30" s="62" t="n"/>
      <c r="E30" s="72" t="n"/>
      <c r="F30" s="72" t="n"/>
      <c r="G30" s="73">
        <f>ROUND(E30*F30,2)</f>
        <v/>
      </c>
      <c r="H30" s="28">
        <f>IF($G$106=0,0,G30/$G$106)</f>
        <v/>
      </c>
      <c r="I30" s="74">
        <f>'مستخلص 25'!H32</f>
        <v/>
      </c>
      <c r="J30" s="28">
        <f>IF(E30=0,0,I30/E30)</f>
        <v/>
      </c>
      <c r="K30" s="74">
        <f>'مستخلص 25'!N32</f>
        <v/>
      </c>
      <c r="L30" s="47">
        <f>IF(G30=0,0,K30/G30)</f>
        <v/>
      </c>
      <c r="M30" s="30">
        <f>IF(C30="","",IF(I30=0,"○ لم يبدأ",IF(AND(G30&gt;0,K30&gt;=G30),"✔ مكتمل",IF(AND(E30&gt;0,I30&gt;=E30),"⚠ مركب بالكامل - نواقص","◔ جاري"))))</f>
        <v/>
      </c>
      <c r="N30" s="61" t="n"/>
    </row>
    <row r="31">
      <c r="A31" s="62" t="n"/>
      <c r="B31" s="61" t="n"/>
      <c r="C31" s="71" t="n"/>
      <c r="D31" s="62" t="n"/>
      <c r="E31" s="72" t="n"/>
      <c r="F31" s="72" t="n"/>
      <c r="G31" s="73">
        <f>ROUND(E31*F31,2)</f>
        <v/>
      </c>
      <c r="H31" s="28">
        <f>IF($G$106=0,0,G31/$G$106)</f>
        <v/>
      </c>
      <c r="I31" s="74">
        <f>'مستخلص 25'!H33</f>
        <v/>
      </c>
      <c r="J31" s="28">
        <f>IF(E31=0,0,I31/E31)</f>
        <v/>
      </c>
      <c r="K31" s="74">
        <f>'مستخلص 25'!N33</f>
        <v/>
      </c>
      <c r="L31" s="47">
        <f>IF(G31=0,0,K31/G31)</f>
        <v/>
      </c>
      <c r="M31" s="30">
        <f>IF(C31="","",IF(I31=0,"○ لم يبدأ",IF(AND(G31&gt;0,K31&gt;=G31),"✔ مكتمل",IF(AND(E31&gt;0,I31&gt;=E31),"⚠ مركب بالكامل - نواقص","◔ جاري"))))</f>
        <v/>
      </c>
      <c r="N31" s="61" t="n"/>
    </row>
    <row r="32">
      <c r="A32" s="62" t="n"/>
      <c r="B32" s="61" t="n"/>
      <c r="C32" s="71" t="n"/>
      <c r="D32" s="62" t="n"/>
      <c r="E32" s="72" t="n"/>
      <c r="F32" s="72" t="n"/>
      <c r="G32" s="73">
        <f>ROUND(E32*F32,2)</f>
        <v/>
      </c>
      <c r="H32" s="28">
        <f>IF($G$106=0,0,G32/$G$106)</f>
        <v/>
      </c>
      <c r="I32" s="74">
        <f>'مستخلص 25'!H34</f>
        <v/>
      </c>
      <c r="J32" s="28">
        <f>IF(E32=0,0,I32/E32)</f>
        <v/>
      </c>
      <c r="K32" s="74">
        <f>'مستخلص 25'!N34</f>
        <v/>
      </c>
      <c r="L32" s="47">
        <f>IF(G32=0,0,K32/G32)</f>
        <v/>
      </c>
      <c r="M32" s="30">
        <f>IF(C32="","",IF(I32=0,"○ لم يبدأ",IF(AND(G32&gt;0,K32&gt;=G32),"✔ مكتمل",IF(AND(E32&gt;0,I32&gt;=E32),"⚠ مركب بالكامل - نواقص","◔ جاري"))))</f>
        <v/>
      </c>
      <c r="N32" s="61" t="n"/>
    </row>
    <row r="33">
      <c r="A33" s="62" t="n"/>
      <c r="B33" s="61" t="n"/>
      <c r="C33" s="71" t="n"/>
      <c r="D33" s="62" t="n"/>
      <c r="E33" s="72" t="n"/>
      <c r="F33" s="72" t="n"/>
      <c r="G33" s="73">
        <f>ROUND(E33*F33,2)</f>
        <v/>
      </c>
      <c r="H33" s="28">
        <f>IF($G$106=0,0,G33/$G$106)</f>
        <v/>
      </c>
      <c r="I33" s="74">
        <f>'مستخلص 25'!H35</f>
        <v/>
      </c>
      <c r="J33" s="28">
        <f>IF(E33=0,0,I33/E33)</f>
        <v/>
      </c>
      <c r="K33" s="74">
        <f>'مستخلص 25'!N35</f>
        <v/>
      </c>
      <c r="L33" s="47">
        <f>IF(G33=0,0,K33/G33)</f>
        <v/>
      </c>
      <c r="M33" s="30">
        <f>IF(C33="","",IF(I33=0,"○ لم يبدأ",IF(AND(G33&gt;0,K33&gt;=G33),"✔ مكتمل",IF(AND(E33&gt;0,I33&gt;=E33),"⚠ مركب بالكامل - نواقص","◔ جاري"))))</f>
        <v/>
      </c>
      <c r="N33" s="61" t="n"/>
    </row>
    <row r="34">
      <c r="A34" s="62" t="n"/>
      <c r="B34" s="61" t="n"/>
      <c r="C34" s="71" t="n"/>
      <c r="D34" s="62" t="n"/>
      <c r="E34" s="72" t="n"/>
      <c r="F34" s="72" t="n"/>
      <c r="G34" s="73">
        <f>ROUND(E34*F34,2)</f>
        <v/>
      </c>
      <c r="H34" s="28">
        <f>IF($G$106=0,0,G34/$G$106)</f>
        <v/>
      </c>
      <c r="I34" s="74">
        <f>'مستخلص 25'!H36</f>
        <v/>
      </c>
      <c r="J34" s="28">
        <f>IF(E34=0,0,I34/E34)</f>
        <v/>
      </c>
      <c r="K34" s="74">
        <f>'مستخلص 25'!N36</f>
        <v/>
      </c>
      <c r="L34" s="47">
        <f>IF(G34=0,0,K34/G34)</f>
        <v/>
      </c>
      <c r="M34" s="30">
        <f>IF(C34="","",IF(I34=0,"○ لم يبدأ",IF(AND(G34&gt;0,K34&gt;=G34),"✔ مكتمل",IF(AND(E34&gt;0,I34&gt;=E34),"⚠ مركب بالكامل - نواقص","◔ جاري"))))</f>
        <v/>
      </c>
      <c r="N34" s="61" t="n"/>
    </row>
    <row r="35">
      <c r="A35" s="62" t="n"/>
      <c r="B35" s="61" t="n"/>
      <c r="C35" s="71" t="n"/>
      <c r="D35" s="62" t="n"/>
      <c r="E35" s="72" t="n"/>
      <c r="F35" s="72" t="n"/>
      <c r="G35" s="73">
        <f>ROUND(E35*F35,2)</f>
        <v/>
      </c>
      <c r="H35" s="28">
        <f>IF($G$106=0,0,G35/$G$106)</f>
        <v/>
      </c>
      <c r="I35" s="74">
        <f>'مستخلص 25'!H37</f>
        <v/>
      </c>
      <c r="J35" s="28">
        <f>IF(E35=0,0,I35/E35)</f>
        <v/>
      </c>
      <c r="K35" s="74">
        <f>'مستخلص 25'!N37</f>
        <v/>
      </c>
      <c r="L35" s="47">
        <f>IF(G35=0,0,K35/G35)</f>
        <v/>
      </c>
      <c r="M35" s="30">
        <f>IF(C35="","",IF(I35=0,"○ لم يبدأ",IF(AND(G35&gt;0,K35&gt;=G35),"✔ مكتمل",IF(AND(E35&gt;0,I35&gt;=E35),"⚠ مركب بالكامل - نواقص","◔ جاري"))))</f>
        <v/>
      </c>
      <c r="N35" s="61" t="n"/>
    </row>
    <row r="36">
      <c r="A36" s="62" t="n"/>
      <c r="B36" s="61" t="n"/>
      <c r="C36" s="71" t="n"/>
      <c r="D36" s="62" t="n"/>
      <c r="E36" s="72" t="n"/>
      <c r="F36" s="72" t="n"/>
      <c r="G36" s="73">
        <f>ROUND(E36*F36,2)</f>
        <v/>
      </c>
      <c r="H36" s="28">
        <f>IF($G$106=0,0,G36/$G$106)</f>
        <v/>
      </c>
      <c r="I36" s="74">
        <f>'مستخلص 25'!H38</f>
        <v/>
      </c>
      <c r="J36" s="28">
        <f>IF(E36=0,0,I36/E36)</f>
        <v/>
      </c>
      <c r="K36" s="74">
        <f>'مستخلص 25'!N38</f>
        <v/>
      </c>
      <c r="L36" s="47">
        <f>IF(G36=0,0,K36/G36)</f>
        <v/>
      </c>
      <c r="M36" s="30">
        <f>IF(C36="","",IF(I36=0,"○ لم يبدأ",IF(AND(G36&gt;0,K36&gt;=G36),"✔ مكتمل",IF(AND(E36&gt;0,I36&gt;=E36),"⚠ مركب بالكامل - نواقص","◔ جاري"))))</f>
        <v/>
      </c>
      <c r="N36" s="61" t="n"/>
    </row>
    <row r="37">
      <c r="A37" s="62" t="n"/>
      <c r="B37" s="61" t="n"/>
      <c r="C37" s="71" t="n"/>
      <c r="D37" s="62" t="n"/>
      <c r="E37" s="72" t="n"/>
      <c r="F37" s="72" t="n"/>
      <c r="G37" s="73">
        <f>ROUND(E37*F37,2)</f>
        <v/>
      </c>
      <c r="H37" s="28">
        <f>IF($G$106=0,0,G37/$G$106)</f>
        <v/>
      </c>
      <c r="I37" s="74">
        <f>'مستخلص 25'!H39</f>
        <v/>
      </c>
      <c r="J37" s="28">
        <f>IF(E37=0,0,I37/E37)</f>
        <v/>
      </c>
      <c r="K37" s="74">
        <f>'مستخلص 25'!N39</f>
        <v/>
      </c>
      <c r="L37" s="47">
        <f>IF(G37=0,0,K37/G37)</f>
        <v/>
      </c>
      <c r="M37" s="30">
        <f>IF(C37="","",IF(I37=0,"○ لم يبدأ",IF(AND(G37&gt;0,K37&gt;=G37),"✔ مكتمل",IF(AND(E37&gt;0,I37&gt;=E37),"⚠ مركب بالكامل - نواقص","◔ جاري"))))</f>
        <v/>
      </c>
      <c r="N37" s="61" t="n"/>
    </row>
    <row r="38">
      <c r="A38" s="62" t="n"/>
      <c r="B38" s="61" t="n"/>
      <c r="C38" s="71" t="n"/>
      <c r="D38" s="62" t="n"/>
      <c r="E38" s="72" t="n"/>
      <c r="F38" s="72" t="n"/>
      <c r="G38" s="73">
        <f>ROUND(E38*F38,2)</f>
        <v/>
      </c>
      <c r="H38" s="28">
        <f>IF($G$106=0,0,G38/$G$106)</f>
        <v/>
      </c>
      <c r="I38" s="74">
        <f>'مستخلص 25'!H40</f>
        <v/>
      </c>
      <c r="J38" s="28">
        <f>IF(E38=0,0,I38/E38)</f>
        <v/>
      </c>
      <c r="K38" s="74">
        <f>'مستخلص 25'!N40</f>
        <v/>
      </c>
      <c r="L38" s="47">
        <f>IF(G38=0,0,K38/G38)</f>
        <v/>
      </c>
      <c r="M38" s="30">
        <f>IF(C38="","",IF(I38=0,"○ لم يبدأ",IF(AND(G38&gt;0,K38&gt;=G38),"✔ مكتمل",IF(AND(E38&gt;0,I38&gt;=E38),"⚠ مركب بالكامل - نواقص","◔ جاري"))))</f>
        <v/>
      </c>
      <c r="N38" s="61" t="n"/>
    </row>
    <row r="39">
      <c r="A39" s="62" t="n"/>
      <c r="B39" s="61" t="n"/>
      <c r="C39" s="71" t="n"/>
      <c r="D39" s="62" t="n"/>
      <c r="E39" s="72" t="n"/>
      <c r="F39" s="72" t="n"/>
      <c r="G39" s="73">
        <f>ROUND(E39*F39,2)</f>
        <v/>
      </c>
      <c r="H39" s="28">
        <f>IF($G$106=0,0,G39/$G$106)</f>
        <v/>
      </c>
      <c r="I39" s="74">
        <f>'مستخلص 25'!H41</f>
        <v/>
      </c>
      <c r="J39" s="28">
        <f>IF(E39=0,0,I39/E39)</f>
        <v/>
      </c>
      <c r="K39" s="74">
        <f>'مستخلص 25'!N41</f>
        <v/>
      </c>
      <c r="L39" s="47">
        <f>IF(G39=0,0,K39/G39)</f>
        <v/>
      </c>
      <c r="M39" s="30">
        <f>IF(C39="","",IF(I39=0,"○ لم يبدأ",IF(AND(G39&gt;0,K39&gt;=G39),"✔ مكتمل",IF(AND(E39&gt;0,I39&gt;=E39),"⚠ مركب بالكامل - نواقص","◔ جاري"))))</f>
        <v/>
      </c>
      <c r="N39" s="61" t="n"/>
    </row>
    <row r="40">
      <c r="A40" s="62" t="n"/>
      <c r="B40" s="61" t="n"/>
      <c r="C40" s="71" t="n"/>
      <c r="D40" s="62" t="n"/>
      <c r="E40" s="72" t="n"/>
      <c r="F40" s="72" t="n"/>
      <c r="G40" s="73">
        <f>ROUND(E40*F40,2)</f>
        <v/>
      </c>
      <c r="H40" s="28">
        <f>IF($G$106=0,0,G40/$G$106)</f>
        <v/>
      </c>
      <c r="I40" s="74">
        <f>'مستخلص 25'!H42</f>
        <v/>
      </c>
      <c r="J40" s="28">
        <f>IF(E40=0,0,I40/E40)</f>
        <v/>
      </c>
      <c r="K40" s="74">
        <f>'مستخلص 25'!N42</f>
        <v/>
      </c>
      <c r="L40" s="47">
        <f>IF(G40=0,0,K40/G40)</f>
        <v/>
      </c>
      <c r="M40" s="30">
        <f>IF(C40="","",IF(I40=0,"○ لم يبدأ",IF(AND(G40&gt;0,K40&gt;=G40),"✔ مكتمل",IF(AND(E40&gt;0,I40&gt;=E40),"⚠ مركب بالكامل - نواقص","◔ جاري"))))</f>
        <v/>
      </c>
      <c r="N40" s="61" t="n"/>
    </row>
    <row r="41">
      <c r="A41" s="62" t="n"/>
      <c r="B41" s="61" t="n"/>
      <c r="C41" s="71" t="n"/>
      <c r="D41" s="62" t="n"/>
      <c r="E41" s="72" t="n"/>
      <c r="F41" s="72" t="n"/>
      <c r="G41" s="73">
        <f>ROUND(E41*F41,2)</f>
        <v/>
      </c>
      <c r="H41" s="28">
        <f>IF($G$106=0,0,G41/$G$106)</f>
        <v/>
      </c>
      <c r="I41" s="74">
        <f>'مستخلص 25'!H43</f>
        <v/>
      </c>
      <c r="J41" s="28">
        <f>IF(E41=0,0,I41/E41)</f>
        <v/>
      </c>
      <c r="K41" s="74">
        <f>'مستخلص 25'!N43</f>
        <v/>
      </c>
      <c r="L41" s="47">
        <f>IF(G41=0,0,K41/G41)</f>
        <v/>
      </c>
      <c r="M41" s="30">
        <f>IF(C41="","",IF(I41=0,"○ لم يبدأ",IF(AND(G41&gt;0,K41&gt;=G41),"✔ مكتمل",IF(AND(E41&gt;0,I41&gt;=E41),"⚠ مركب بالكامل - نواقص","◔ جاري"))))</f>
        <v/>
      </c>
      <c r="N41" s="61" t="n"/>
    </row>
    <row r="42">
      <c r="A42" s="62" t="n"/>
      <c r="B42" s="61" t="n"/>
      <c r="C42" s="71" t="n"/>
      <c r="D42" s="62" t="n"/>
      <c r="E42" s="72" t="n"/>
      <c r="F42" s="72" t="n"/>
      <c r="G42" s="73">
        <f>ROUND(E42*F42,2)</f>
        <v/>
      </c>
      <c r="H42" s="28">
        <f>IF($G$106=0,0,G42/$G$106)</f>
        <v/>
      </c>
      <c r="I42" s="74">
        <f>'مستخلص 25'!H44</f>
        <v/>
      </c>
      <c r="J42" s="28">
        <f>IF(E42=0,0,I42/E42)</f>
        <v/>
      </c>
      <c r="K42" s="74">
        <f>'مستخلص 25'!N44</f>
        <v/>
      </c>
      <c r="L42" s="47">
        <f>IF(G42=0,0,K42/G42)</f>
        <v/>
      </c>
      <c r="M42" s="30">
        <f>IF(C42="","",IF(I42=0,"○ لم يبدأ",IF(AND(G42&gt;0,K42&gt;=G42),"✔ مكتمل",IF(AND(E42&gt;0,I42&gt;=E42),"⚠ مركب بالكامل - نواقص","◔ جاري"))))</f>
        <v/>
      </c>
      <c r="N42" s="61" t="n"/>
    </row>
    <row r="43">
      <c r="A43" s="62" t="n"/>
      <c r="B43" s="61" t="n"/>
      <c r="C43" s="71" t="n"/>
      <c r="D43" s="62" t="n"/>
      <c r="E43" s="72" t="n"/>
      <c r="F43" s="72" t="n"/>
      <c r="G43" s="73">
        <f>ROUND(E43*F43,2)</f>
        <v/>
      </c>
      <c r="H43" s="28">
        <f>IF($G$106=0,0,G43/$G$106)</f>
        <v/>
      </c>
      <c r="I43" s="74">
        <f>'مستخلص 25'!H45</f>
        <v/>
      </c>
      <c r="J43" s="28">
        <f>IF(E43=0,0,I43/E43)</f>
        <v/>
      </c>
      <c r="K43" s="74">
        <f>'مستخلص 25'!N45</f>
        <v/>
      </c>
      <c r="L43" s="47">
        <f>IF(G43=0,0,K43/G43)</f>
        <v/>
      </c>
      <c r="M43" s="30">
        <f>IF(C43="","",IF(I43=0,"○ لم يبدأ",IF(AND(G43&gt;0,K43&gt;=G43),"✔ مكتمل",IF(AND(E43&gt;0,I43&gt;=E43),"⚠ مركب بالكامل - نواقص","◔ جاري"))))</f>
        <v/>
      </c>
      <c r="N43" s="61" t="n"/>
    </row>
    <row r="44">
      <c r="A44" s="62" t="n"/>
      <c r="B44" s="61" t="n"/>
      <c r="C44" s="71" t="n"/>
      <c r="D44" s="62" t="n"/>
      <c r="E44" s="72" t="n"/>
      <c r="F44" s="72" t="n"/>
      <c r="G44" s="73">
        <f>ROUND(E44*F44,2)</f>
        <v/>
      </c>
      <c r="H44" s="28">
        <f>IF($G$106=0,0,G44/$G$106)</f>
        <v/>
      </c>
      <c r="I44" s="74">
        <f>'مستخلص 25'!H46</f>
        <v/>
      </c>
      <c r="J44" s="28">
        <f>IF(E44=0,0,I44/E44)</f>
        <v/>
      </c>
      <c r="K44" s="74">
        <f>'مستخلص 25'!N46</f>
        <v/>
      </c>
      <c r="L44" s="47">
        <f>IF(G44=0,0,K44/G44)</f>
        <v/>
      </c>
      <c r="M44" s="30">
        <f>IF(C44="","",IF(I44=0,"○ لم يبدأ",IF(AND(G44&gt;0,K44&gt;=G44),"✔ مكتمل",IF(AND(E44&gt;0,I44&gt;=E44),"⚠ مركب بالكامل - نواقص","◔ جاري"))))</f>
        <v/>
      </c>
      <c r="N44" s="61" t="n"/>
    </row>
    <row r="45">
      <c r="A45" s="62" t="n"/>
      <c r="B45" s="61" t="n"/>
      <c r="C45" s="71" t="n"/>
      <c r="D45" s="62" t="n"/>
      <c r="E45" s="72" t="n"/>
      <c r="F45" s="72" t="n"/>
      <c r="G45" s="73">
        <f>ROUND(E45*F45,2)</f>
        <v/>
      </c>
      <c r="H45" s="28">
        <f>IF($G$106=0,0,G45/$G$106)</f>
        <v/>
      </c>
      <c r="I45" s="74">
        <f>'مستخلص 25'!H47</f>
        <v/>
      </c>
      <c r="J45" s="28">
        <f>IF(E45=0,0,I45/E45)</f>
        <v/>
      </c>
      <c r="K45" s="74">
        <f>'مستخلص 25'!N47</f>
        <v/>
      </c>
      <c r="L45" s="47">
        <f>IF(G45=0,0,K45/G45)</f>
        <v/>
      </c>
      <c r="M45" s="30">
        <f>IF(C45="","",IF(I45=0,"○ لم يبدأ",IF(AND(G45&gt;0,K45&gt;=G45),"✔ مكتمل",IF(AND(E45&gt;0,I45&gt;=E45),"⚠ مركب بالكامل - نواقص","◔ جاري"))))</f>
        <v/>
      </c>
      <c r="N45" s="61" t="n"/>
    </row>
    <row r="46">
      <c r="A46" s="62" t="n"/>
      <c r="B46" s="61" t="n"/>
      <c r="C46" s="71" t="n"/>
      <c r="D46" s="62" t="n"/>
      <c r="E46" s="72" t="n"/>
      <c r="F46" s="72" t="n"/>
      <c r="G46" s="73">
        <f>ROUND(E46*F46,2)</f>
        <v/>
      </c>
      <c r="H46" s="28">
        <f>IF($G$106=0,0,G46/$G$106)</f>
        <v/>
      </c>
      <c r="I46" s="74">
        <f>'مستخلص 25'!H48</f>
        <v/>
      </c>
      <c r="J46" s="28">
        <f>IF(E46=0,0,I46/E46)</f>
        <v/>
      </c>
      <c r="K46" s="74">
        <f>'مستخلص 25'!N48</f>
        <v/>
      </c>
      <c r="L46" s="47">
        <f>IF(G46=0,0,K46/G46)</f>
        <v/>
      </c>
      <c r="M46" s="30">
        <f>IF(C46="","",IF(I46=0,"○ لم يبدأ",IF(AND(G46&gt;0,K46&gt;=G46),"✔ مكتمل",IF(AND(E46&gt;0,I46&gt;=E46),"⚠ مركب بالكامل - نواقص","◔ جاري"))))</f>
        <v/>
      </c>
      <c r="N46" s="61" t="n"/>
    </row>
    <row r="47">
      <c r="A47" s="62" t="n"/>
      <c r="B47" s="61" t="n"/>
      <c r="C47" s="71" t="n"/>
      <c r="D47" s="62" t="n"/>
      <c r="E47" s="72" t="n"/>
      <c r="F47" s="72" t="n"/>
      <c r="G47" s="73">
        <f>ROUND(E47*F47,2)</f>
        <v/>
      </c>
      <c r="H47" s="28">
        <f>IF($G$106=0,0,G47/$G$106)</f>
        <v/>
      </c>
      <c r="I47" s="74">
        <f>'مستخلص 25'!H49</f>
        <v/>
      </c>
      <c r="J47" s="28">
        <f>IF(E47=0,0,I47/E47)</f>
        <v/>
      </c>
      <c r="K47" s="74">
        <f>'مستخلص 25'!N49</f>
        <v/>
      </c>
      <c r="L47" s="47">
        <f>IF(G47=0,0,K47/G47)</f>
        <v/>
      </c>
      <c r="M47" s="30">
        <f>IF(C47="","",IF(I47=0,"○ لم يبدأ",IF(AND(G47&gt;0,K47&gt;=G47),"✔ مكتمل",IF(AND(E47&gt;0,I47&gt;=E47),"⚠ مركب بالكامل - نواقص","◔ جاري"))))</f>
        <v/>
      </c>
      <c r="N47" s="61" t="n"/>
    </row>
    <row r="48">
      <c r="A48" s="62" t="n"/>
      <c r="B48" s="61" t="n"/>
      <c r="C48" s="71" t="n"/>
      <c r="D48" s="62" t="n"/>
      <c r="E48" s="72" t="n"/>
      <c r="F48" s="72" t="n"/>
      <c r="G48" s="73">
        <f>ROUND(E48*F48,2)</f>
        <v/>
      </c>
      <c r="H48" s="28">
        <f>IF($G$106=0,0,G48/$G$106)</f>
        <v/>
      </c>
      <c r="I48" s="74">
        <f>'مستخلص 25'!H50</f>
        <v/>
      </c>
      <c r="J48" s="28">
        <f>IF(E48=0,0,I48/E48)</f>
        <v/>
      </c>
      <c r="K48" s="74">
        <f>'مستخلص 25'!N50</f>
        <v/>
      </c>
      <c r="L48" s="47">
        <f>IF(G48=0,0,K48/G48)</f>
        <v/>
      </c>
      <c r="M48" s="30">
        <f>IF(C48="","",IF(I48=0,"○ لم يبدأ",IF(AND(G48&gt;0,K48&gt;=G48),"✔ مكتمل",IF(AND(E48&gt;0,I48&gt;=E48),"⚠ مركب بالكامل - نواقص","◔ جاري"))))</f>
        <v/>
      </c>
      <c r="N48" s="61" t="n"/>
    </row>
    <row r="49">
      <c r="A49" s="62" t="n"/>
      <c r="B49" s="61" t="n"/>
      <c r="C49" s="71" t="n"/>
      <c r="D49" s="62" t="n"/>
      <c r="E49" s="72" t="n"/>
      <c r="F49" s="72" t="n"/>
      <c r="G49" s="73">
        <f>ROUND(E49*F49,2)</f>
        <v/>
      </c>
      <c r="H49" s="28">
        <f>IF($G$106=0,0,G49/$G$106)</f>
        <v/>
      </c>
      <c r="I49" s="74">
        <f>'مستخلص 25'!H51</f>
        <v/>
      </c>
      <c r="J49" s="28">
        <f>IF(E49=0,0,I49/E49)</f>
        <v/>
      </c>
      <c r="K49" s="74">
        <f>'مستخلص 25'!N51</f>
        <v/>
      </c>
      <c r="L49" s="47">
        <f>IF(G49=0,0,K49/G49)</f>
        <v/>
      </c>
      <c r="M49" s="30">
        <f>IF(C49="","",IF(I49=0,"○ لم يبدأ",IF(AND(G49&gt;0,K49&gt;=G49),"✔ مكتمل",IF(AND(E49&gt;0,I49&gt;=E49),"⚠ مركب بالكامل - نواقص","◔ جاري"))))</f>
        <v/>
      </c>
      <c r="N49" s="61" t="n"/>
    </row>
    <row r="50">
      <c r="A50" s="62" t="n"/>
      <c r="B50" s="61" t="n"/>
      <c r="C50" s="71" t="n"/>
      <c r="D50" s="62" t="n"/>
      <c r="E50" s="72" t="n"/>
      <c r="F50" s="72" t="n"/>
      <c r="G50" s="73">
        <f>ROUND(E50*F50,2)</f>
        <v/>
      </c>
      <c r="H50" s="28">
        <f>IF($G$106=0,0,G50/$G$106)</f>
        <v/>
      </c>
      <c r="I50" s="74">
        <f>'مستخلص 25'!H52</f>
        <v/>
      </c>
      <c r="J50" s="28">
        <f>IF(E50=0,0,I50/E50)</f>
        <v/>
      </c>
      <c r="K50" s="74">
        <f>'مستخلص 25'!N52</f>
        <v/>
      </c>
      <c r="L50" s="47">
        <f>IF(G50=0,0,K50/G50)</f>
        <v/>
      </c>
      <c r="M50" s="30">
        <f>IF(C50="","",IF(I50=0,"○ لم يبدأ",IF(AND(G50&gt;0,K50&gt;=G50),"✔ مكتمل",IF(AND(E50&gt;0,I50&gt;=E50),"⚠ مركب بالكامل - نواقص","◔ جاري"))))</f>
        <v/>
      </c>
      <c r="N50" s="61" t="n"/>
    </row>
    <row r="51">
      <c r="A51" s="62" t="n"/>
      <c r="B51" s="61" t="n"/>
      <c r="C51" s="71" t="n"/>
      <c r="D51" s="62" t="n"/>
      <c r="E51" s="72" t="n"/>
      <c r="F51" s="72" t="n"/>
      <c r="G51" s="73">
        <f>ROUND(E51*F51,2)</f>
        <v/>
      </c>
      <c r="H51" s="28">
        <f>IF($G$106=0,0,G51/$G$106)</f>
        <v/>
      </c>
      <c r="I51" s="74">
        <f>'مستخلص 25'!H53</f>
        <v/>
      </c>
      <c r="J51" s="28">
        <f>IF(E51=0,0,I51/E51)</f>
        <v/>
      </c>
      <c r="K51" s="74">
        <f>'مستخلص 25'!N53</f>
        <v/>
      </c>
      <c r="L51" s="47">
        <f>IF(G51=0,0,K51/G51)</f>
        <v/>
      </c>
      <c r="M51" s="30">
        <f>IF(C51="","",IF(I51=0,"○ لم يبدأ",IF(AND(G51&gt;0,K51&gt;=G51),"✔ مكتمل",IF(AND(E51&gt;0,I51&gt;=E51),"⚠ مركب بالكامل - نواقص","◔ جاري"))))</f>
        <v/>
      </c>
      <c r="N51" s="61" t="n"/>
    </row>
    <row r="52">
      <c r="A52" s="62" t="n"/>
      <c r="B52" s="61" t="n"/>
      <c r="C52" s="71" t="n"/>
      <c r="D52" s="62" t="n"/>
      <c r="E52" s="72" t="n"/>
      <c r="F52" s="72" t="n"/>
      <c r="G52" s="73">
        <f>ROUND(E52*F52,2)</f>
        <v/>
      </c>
      <c r="H52" s="28">
        <f>IF($G$106=0,0,G52/$G$106)</f>
        <v/>
      </c>
      <c r="I52" s="74">
        <f>'مستخلص 25'!H54</f>
        <v/>
      </c>
      <c r="J52" s="28">
        <f>IF(E52=0,0,I52/E52)</f>
        <v/>
      </c>
      <c r="K52" s="74">
        <f>'مستخلص 25'!N54</f>
        <v/>
      </c>
      <c r="L52" s="47">
        <f>IF(G52=0,0,K52/G52)</f>
        <v/>
      </c>
      <c r="M52" s="30">
        <f>IF(C52="","",IF(I52=0,"○ لم يبدأ",IF(AND(G52&gt;0,K52&gt;=G52),"✔ مكتمل",IF(AND(E52&gt;0,I52&gt;=E52),"⚠ مركب بالكامل - نواقص","◔ جاري"))))</f>
        <v/>
      </c>
      <c r="N52" s="61" t="n"/>
    </row>
    <row r="53">
      <c r="A53" s="62" t="n"/>
      <c r="B53" s="61" t="n"/>
      <c r="C53" s="71" t="n"/>
      <c r="D53" s="62" t="n"/>
      <c r="E53" s="72" t="n"/>
      <c r="F53" s="72" t="n"/>
      <c r="G53" s="73">
        <f>ROUND(E53*F53,2)</f>
        <v/>
      </c>
      <c r="H53" s="28">
        <f>IF($G$106=0,0,G53/$G$106)</f>
        <v/>
      </c>
      <c r="I53" s="74">
        <f>'مستخلص 25'!H55</f>
        <v/>
      </c>
      <c r="J53" s="28">
        <f>IF(E53=0,0,I53/E53)</f>
        <v/>
      </c>
      <c r="K53" s="74">
        <f>'مستخلص 25'!N55</f>
        <v/>
      </c>
      <c r="L53" s="47">
        <f>IF(G53=0,0,K53/G53)</f>
        <v/>
      </c>
      <c r="M53" s="30">
        <f>IF(C53="","",IF(I53=0,"○ لم يبدأ",IF(AND(G53&gt;0,K53&gt;=G53),"✔ مكتمل",IF(AND(E53&gt;0,I53&gt;=E53),"⚠ مركب بالكامل - نواقص","◔ جاري"))))</f>
        <v/>
      </c>
      <c r="N53" s="61" t="n"/>
    </row>
    <row r="54">
      <c r="A54" s="62" t="n"/>
      <c r="B54" s="61" t="n"/>
      <c r="C54" s="71" t="n"/>
      <c r="D54" s="62" t="n"/>
      <c r="E54" s="72" t="n"/>
      <c r="F54" s="72" t="n"/>
      <c r="G54" s="73">
        <f>ROUND(E54*F54,2)</f>
        <v/>
      </c>
      <c r="H54" s="28">
        <f>IF($G$106=0,0,G54/$G$106)</f>
        <v/>
      </c>
      <c r="I54" s="74">
        <f>'مستخلص 25'!H56</f>
        <v/>
      </c>
      <c r="J54" s="28">
        <f>IF(E54=0,0,I54/E54)</f>
        <v/>
      </c>
      <c r="K54" s="74">
        <f>'مستخلص 25'!N56</f>
        <v/>
      </c>
      <c r="L54" s="47">
        <f>IF(G54=0,0,K54/G54)</f>
        <v/>
      </c>
      <c r="M54" s="30">
        <f>IF(C54="","",IF(I54=0,"○ لم يبدأ",IF(AND(G54&gt;0,K54&gt;=G54),"✔ مكتمل",IF(AND(E54&gt;0,I54&gt;=E54),"⚠ مركب بالكامل - نواقص","◔ جاري"))))</f>
        <v/>
      </c>
      <c r="N54" s="61" t="n"/>
    </row>
    <row r="55">
      <c r="A55" s="62" t="n"/>
      <c r="B55" s="61" t="n"/>
      <c r="C55" s="71" t="n"/>
      <c r="D55" s="62" t="n"/>
      <c r="E55" s="72" t="n"/>
      <c r="F55" s="72" t="n"/>
      <c r="G55" s="73">
        <f>ROUND(E55*F55,2)</f>
        <v/>
      </c>
      <c r="H55" s="28">
        <f>IF($G$106=0,0,G55/$G$106)</f>
        <v/>
      </c>
      <c r="I55" s="74">
        <f>'مستخلص 25'!H57</f>
        <v/>
      </c>
      <c r="J55" s="28">
        <f>IF(E55=0,0,I55/E55)</f>
        <v/>
      </c>
      <c r="K55" s="74">
        <f>'مستخلص 25'!N57</f>
        <v/>
      </c>
      <c r="L55" s="47">
        <f>IF(G55=0,0,K55/G55)</f>
        <v/>
      </c>
      <c r="M55" s="30">
        <f>IF(C55="","",IF(I55=0,"○ لم يبدأ",IF(AND(G55&gt;0,K55&gt;=G55),"✔ مكتمل",IF(AND(E55&gt;0,I55&gt;=E55),"⚠ مركب بالكامل - نواقص","◔ جاري"))))</f>
        <v/>
      </c>
      <c r="N55" s="61" t="n"/>
    </row>
    <row r="56">
      <c r="A56" s="62" t="n"/>
      <c r="B56" s="61" t="n"/>
      <c r="C56" s="71" t="n"/>
      <c r="D56" s="62" t="n"/>
      <c r="E56" s="72" t="n"/>
      <c r="F56" s="72" t="n"/>
      <c r="G56" s="73">
        <f>ROUND(E56*F56,2)</f>
        <v/>
      </c>
      <c r="H56" s="28">
        <f>IF($G$106=0,0,G56/$G$106)</f>
        <v/>
      </c>
      <c r="I56" s="74">
        <f>'مستخلص 25'!H58</f>
        <v/>
      </c>
      <c r="J56" s="28">
        <f>IF(E56=0,0,I56/E56)</f>
        <v/>
      </c>
      <c r="K56" s="74">
        <f>'مستخلص 25'!N58</f>
        <v/>
      </c>
      <c r="L56" s="47">
        <f>IF(G56=0,0,K56/G56)</f>
        <v/>
      </c>
      <c r="M56" s="30">
        <f>IF(C56="","",IF(I56=0,"○ لم يبدأ",IF(AND(G56&gt;0,K56&gt;=G56),"✔ مكتمل",IF(AND(E56&gt;0,I56&gt;=E56),"⚠ مركب بالكامل - نواقص","◔ جاري"))))</f>
        <v/>
      </c>
      <c r="N56" s="61" t="n"/>
    </row>
    <row r="57">
      <c r="A57" s="62" t="n"/>
      <c r="B57" s="61" t="n"/>
      <c r="C57" s="71" t="n"/>
      <c r="D57" s="62" t="n"/>
      <c r="E57" s="72" t="n"/>
      <c r="F57" s="72" t="n"/>
      <c r="G57" s="73">
        <f>ROUND(E57*F57,2)</f>
        <v/>
      </c>
      <c r="H57" s="28">
        <f>IF($G$106=0,0,G57/$G$106)</f>
        <v/>
      </c>
      <c r="I57" s="74">
        <f>'مستخلص 25'!H59</f>
        <v/>
      </c>
      <c r="J57" s="28">
        <f>IF(E57=0,0,I57/E57)</f>
        <v/>
      </c>
      <c r="K57" s="74">
        <f>'مستخلص 25'!N59</f>
        <v/>
      </c>
      <c r="L57" s="47">
        <f>IF(G57=0,0,K57/G57)</f>
        <v/>
      </c>
      <c r="M57" s="30">
        <f>IF(C57="","",IF(I57=0,"○ لم يبدأ",IF(AND(G57&gt;0,K57&gt;=G57),"✔ مكتمل",IF(AND(E57&gt;0,I57&gt;=E57),"⚠ مركب بالكامل - نواقص","◔ جاري"))))</f>
        <v/>
      </c>
      <c r="N57" s="61" t="n"/>
    </row>
    <row r="58">
      <c r="A58" s="62" t="n"/>
      <c r="B58" s="61" t="n"/>
      <c r="C58" s="71" t="n"/>
      <c r="D58" s="62" t="n"/>
      <c r="E58" s="72" t="n"/>
      <c r="F58" s="72" t="n"/>
      <c r="G58" s="73">
        <f>ROUND(E58*F58,2)</f>
        <v/>
      </c>
      <c r="H58" s="28">
        <f>IF($G$106=0,0,G58/$G$106)</f>
        <v/>
      </c>
      <c r="I58" s="74">
        <f>'مستخلص 25'!H60</f>
        <v/>
      </c>
      <c r="J58" s="28">
        <f>IF(E58=0,0,I58/E58)</f>
        <v/>
      </c>
      <c r="K58" s="74">
        <f>'مستخلص 25'!N60</f>
        <v/>
      </c>
      <c r="L58" s="47">
        <f>IF(G58=0,0,K58/G58)</f>
        <v/>
      </c>
      <c r="M58" s="30">
        <f>IF(C58="","",IF(I58=0,"○ لم يبدأ",IF(AND(G58&gt;0,K58&gt;=G58),"✔ مكتمل",IF(AND(E58&gt;0,I58&gt;=E58),"⚠ مركب بالكامل - نواقص","◔ جاري"))))</f>
        <v/>
      </c>
      <c r="N58" s="61" t="n"/>
    </row>
    <row r="59">
      <c r="A59" s="62" t="n"/>
      <c r="B59" s="61" t="n"/>
      <c r="C59" s="71" t="n"/>
      <c r="D59" s="62" t="n"/>
      <c r="E59" s="72" t="n"/>
      <c r="F59" s="72" t="n"/>
      <c r="G59" s="73">
        <f>ROUND(E59*F59,2)</f>
        <v/>
      </c>
      <c r="H59" s="28">
        <f>IF($G$106=0,0,G59/$G$106)</f>
        <v/>
      </c>
      <c r="I59" s="74">
        <f>'مستخلص 25'!H61</f>
        <v/>
      </c>
      <c r="J59" s="28">
        <f>IF(E59=0,0,I59/E59)</f>
        <v/>
      </c>
      <c r="K59" s="74">
        <f>'مستخلص 25'!N61</f>
        <v/>
      </c>
      <c r="L59" s="47">
        <f>IF(G59=0,0,K59/G59)</f>
        <v/>
      </c>
      <c r="M59" s="30">
        <f>IF(C59="","",IF(I59=0,"○ لم يبدأ",IF(AND(G59&gt;0,K59&gt;=G59),"✔ مكتمل",IF(AND(E59&gt;0,I59&gt;=E59),"⚠ مركب بالكامل - نواقص","◔ جاري"))))</f>
        <v/>
      </c>
      <c r="N59" s="61" t="n"/>
    </row>
    <row r="60">
      <c r="A60" s="62" t="n"/>
      <c r="B60" s="61" t="n"/>
      <c r="C60" s="71" t="n"/>
      <c r="D60" s="62" t="n"/>
      <c r="E60" s="72" t="n"/>
      <c r="F60" s="72" t="n"/>
      <c r="G60" s="73">
        <f>ROUND(E60*F60,2)</f>
        <v/>
      </c>
      <c r="H60" s="28">
        <f>IF($G$106=0,0,G60/$G$106)</f>
        <v/>
      </c>
      <c r="I60" s="74">
        <f>'مستخلص 25'!H62</f>
        <v/>
      </c>
      <c r="J60" s="28">
        <f>IF(E60=0,0,I60/E60)</f>
        <v/>
      </c>
      <c r="K60" s="74">
        <f>'مستخلص 25'!N62</f>
        <v/>
      </c>
      <c r="L60" s="47">
        <f>IF(G60=0,0,K60/G60)</f>
        <v/>
      </c>
      <c r="M60" s="30">
        <f>IF(C60="","",IF(I60=0,"○ لم يبدأ",IF(AND(G60&gt;0,K60&gt;=G60),"✔ مكتمل",IF(AND(E60&gt;0,I60&gt;=E60),"⚠ مركب بالكامل - نواقص","◔ جاري"))))</f>
        <v/>
      </c>
      <c r="N60" s="61" t="n"/>
    </row>
    <row r="61">
      <c r="A61" s="62" t="n"/>
      <c r="B61" s="61" t="n"/>
      <c r="C61" s="71" t="n"/>
      <c r="D61" s="62" t="n"/>
      <c r="E61" s="72" t="n"/>
      <c r="F61" s="72" t="n"/>
      <c r="G61" s="73">
        <f>ROUND(E61*F61,2)</f>
        <v/>
      </c>
      <c r="H61" s="28">
        <f>IF($G$106=0,0,G61/$G$106)</f>
        <v/>
      </c>
      <c r="I61" s="74">
        <f>'مستخلص 25'!H63</f>
        <v/>
      </c>
      <c r="J61" s="28">
        <f>IF(E61=0,0,I61/E61)</f>
        <v/>
      </c>
      <c r="K61" s="74">
        <f>'مستخلص 25'!N63</f>
        <v/>
      </c>
      <c r="L61" s="47">
        <f>IF(G61=0,0,K61/G61)</f>
        <v/>
      </c>
      <c r="M61" s="30">
        <f>IF(C61="","",IF(I61=0,"○ لم يبدأ",IF(AND(G61&gt;0,K61&gt;=G61),"✔ مكتمل",IF(AND(E61&gt;0,I61&gt;=E61),"⚠ مركب بالكامل - نواقص","◔ جاري"))))</f>
        <v/>
      </c>
      <c r="N61" s="61" t="n"/>
    </row>
    <row r="62">
      <c r="A62" s="62" t="n"/>
      <c r="B62" s="61" t="n"/>
      <c r="C62" s="71" t="n"/>
      <c r="D62" s="62" t="n"/>
      <c r="E62" s="72" t="n"/>
      <c r="F62" s="72" t="n"/>
      <c r="G62" s="73">
        <f>ROUND(E62*F62,2)</f>
        <v/>
      </c>
      <c r="H62" s="28">
        <f>IF($G$106=0,0,G62/$G$106)</f>
        <v/>
      </c>
      <c r="I62" s="74">
        <f>'مستخلص 25'!H64</f>
        <v/>
      </c>
      <c r="J62" s="28">
        <f>IF(E62=0,0,I62/E62)</f>
        <v/>
      </c>
      <c r="K62" s="74">
        <f>'مستخلص 25'!N64</f>
        <v/>
      </c>
      <c r="L62" s="47">
        <f>IF(G62=0,0,K62/G62)</f>
        <v/>
      </c>
      <c r="M62" s="30">
        <f>IF(C62="","",IF(I62=0,"○ لم يبدأ",IF(AND(G62&gt;0,K62&gt;=G62),"✔ مكتمل",IF(AND(E62&gt;0,I62&gt;=E62),"⚠ مركب بالكامل - نواقص","◔ جاري"))))</f>
        <v/>
      </c>
      <c r="N62" s="61" t="n"/>
    </row>
    <row r="63">
      <c r="A63" s="62" t="n"/>
      <c r="B63" s="61" t="n"/>
      <c r="C63" s="71" t="n"/>
      <c r="D63" s="62" t="n"/>
      <c r="E63" s="72" t="n"/>
      <c r="F63" s="72" t="n"/>
      <c r="G63" s="73">
        <f>ROUND(E63*F63,2)</f>
        <v/>
      </c>
      <c r="H63" s="28">
        <f>IF($G$106=0,0,G63/$G$106)</f>
        <v/>
      </c>
      <c r="I63" s="74">
        <f>'مستخلص 25'!H65</f>
        <v/>
      </c>
      <c r="J63" s="28">
        <f>IF(E63=0,0,I63/E63)</f>
        <v/>
      </c>
      <c r="K63" s="74">
        <f>'مستخلص 25'!N65</f>
        <v/>
      </c>
      <c r="L63" s="47">
        <f>IF(G63=0,0,K63/G63)</f>
        <v/>
      </c>
      <c r="M63" s="30">
        <f>IF(C63="","",IF(I63=0,"○ لم يبدأ",IF(AND(G63&gt;0,K63&gt;=G63),"✔ مكتمل",IF(AND(E63&gt;0,I63&gt;=E63),"⚠ مركب بالكامل - نواقص","◔ جاري"))))</f>
        <v/>
      </c>
      <c r="N63" s="61" t="n"/>
    </row>
    <row r="64">
      <c r="A64" s="62" t="n"/>
      <c r="B64" s="61" t="n"/>
      <c r="C64" s="71" t="n"/>
      <c r="D64" s="62" t="n"/>
      <c r="E64" s="72" t="n"/>
      <c r="F64" s="72" t="n"/>
      <c r="G64" s="73">
        <f>ROUND(E64*F64,2)</f>
        <v/>
      </c>
      <c r="H64" s="28">
        <f>IF($G$106=0,0,G64/$G$106)</f>
        <v/>
      </c>
      <c r="I64" s="74">
        <f>'مستخلص 25'!H66</f>
        <v/>
      </c>
      <c r="J64" s="28">
        <f>IF(E64=0,0,I64/E64)</f>
        <v/>
      </c>
      <c r="K64" s="74">
        <f>'مستخلص 25'!N66</f>
        <v/>
      </c>
      <c r="L64" s="47">
        <f>IF(G64=0,0,K64/G64)</f>
        <v/>
      </c>
      <c r="M64" s="30">
        <f>IF(C64="","",IF(I64=0,"○ لم يبدأ",IF(AND(G64&gt;0,K64&gt;=G64),"✔ مكتمل",IF(AND(E64&gt;0,I64&gt;=E64),"⚠ مركب بالكامل - نواقص","◔ جاري"))))</f>
        <v/>
      </c>
      <c r="N64" s="61" t="n"/>
    </row>
    <row r="65">
      <c r="A65" s="62" t="n"/>
      <c r="B65" s="61" t="n"/>
      <c r="C65" s="71" t="n"/>
      <c r="D65" s="62" t="n"/>
      <c r="E65" s="72" t="n"/>
      <c r="F65" s="72" t="n"/>
      <c r="G65" s="73">
        <f>ROUND(E65*F65,2)</f>
        <v/>
      </c>
      <c r="H65" s="28">
        <f>IF($G$106=0,0,G65/$G$106)</f>
        <v/>
      </c>
      <c r="I65" s="74">
        <f>'مستخلص 25'!H67</f>
        <v/>
      </c>
      <c r="J65" s="28">
        <f>IF(E65=0,0,I65/E65)</f>
        <v/>
      </c>
      <c r="K65" s="74">
        <f>'مستخلص 25'!N67</f>
        <v/>
      </c>
      <c r="L65" s="47">
        <f>IF(G65=0,0,K65/G65)</f>
        <v/>
      </c>
      <c r="M65" s="30">
        <f>IF(C65="","",IF(I65=0,"○ لم يبدأ",IF(AND(G65&gt;0,K65&gt;=G65),"✔ مكتمل",IF(AND(E65&gt;0,I65&gt;=E65),"⚠ مركب بالكامل - نواقص","◔ جاري"))))</f>
        <v/>
      </c>
      <c r="N65" s="61" t="n"/>
    </row>
    <row r="66">
      <c r="A66" s="62" t="n"/>
      <c r="B66" s="61" t="n"/>
      <c r="C66" s="71" t="n"/>
      <c r="D66" s="62" t="n"/>
      <c r="E66" s="72" t="n"/>
      <c r="F66" s="72" t="n"/>
      <c r="G66" s="73">
        <f>ROUND(E66*F66,2)</f>
        <v/>
      </c>
      <c r="H66" s="28">
        <f>IF($G$106=0,0,G66/$G$106)</f>
        <v/>
      </c>
      <c r="I66" s="74">
        <f>'مستخلص 25'!H68</f>
        <v/>
      </c>
      <c r="J66" s="28">
        <f>IF(E66=0,0,I66/E66)</f>
        <v/>
      </c>
      <c r="K66" s="74">
        <f>'مستخلص 25'!N68</f>
        <v/>
      </c>
      <c r="L66" s="47">
        <f>IF(G66=0,0,K66/G66)</f>
        <v/>
      </c>
      <c r="M66" s="30">
        <f>IF(C66="","",IF(I66=0,"○ لم يبدأ",IF(AND(G66&gt;0,K66&gt;=G66),"✔ مكتمل",IF(AND(E66&gt;0,I66&gt;=E66),"⚠ مركب بالكامل - نواقص","◔ جاري"))))</f>
        <v/>
      </c>
      <c r="N66" s="61" t="n"/>
    </row>
    <row r="67">
      <c r="A67" s="62" t="n"/>
      <c r="B67" s="61" t="n"/>
      <c r="C67" s="71" t="n"/>
      <c r="D67" s="62" t="n"/>
      <c r="E67" s="72" t="n"/>
      <c r="F67" s="72" t="n"/>
      <c r="G67" s="73">
        <f>ROUND(E67*F67,2)</f>
        <v/>
      </c>
      <c r="H67" s="28">
        <f>IF($G$106=0,0,G67/$G$106)</f>
        <v/>
      </c>
      <c r="I67" s="74">
        <f>'مستخلص 25'!H69</f>
        <v/>
      </c>
      <c r="J67" s="28">
        <f>IF(E67=0,0,I67/E67)</f>
        <v/>
      </c>
      <c r="K67" s="74">
        <f>'مستخلص 25'!N69</f>
        <v/>
      </c>
      <c r="L67" s="47">
        <f>IF(G67=0,0,K67/G67)</f>
        <v/>
      </c>
      <c r="M67" s="30">
        <f>IF(C67="","",IF(I67=0,"○ لم يبدأ",IF(AND(G67&gt;0,K67&gt;=G67),"✔ مكتمل",IF(AND(E67&gt;0,I67&gt;=E67),"⚠ مركب بالكامل - نواقص","◔ جاري"))))</f>
        <v/>
      </c>
      <c r="N67" s="61" t="n"/>
    </row>
    <row r="68">
      <c r="A68" s="62" t="n"/>
      <c r="B68" s="61" t="n"/>
      <c r="C68" s="71" t="n"/>
      <c r="D68" s="62" t="n"/>
      <c r="E68" s="72" t="n"/>
      <c r="F68" s="72" t="n"/>
      <c r="G68" s="73">
        <f>ROUND(E68*F68,2)</f>
        <v/>
      </c>
      <c r="H68" s="28">
        <f>IF($G$106=0,0,G68/$G$106)</f>
        <v/>
      </c>
      <c r="I68" s="74">
        <f>'مستخلص 25'!H70</f>
        <v/>
      </c>
      <c r="J68" s="28">
        <f>IF(E68=0,0,I68/E68)</f>
        <v/>
      </c>
      <c r="K68" s="74">
        <f>'مستخلص 25'!N70</f>
        <v/>
      </c>
      <c r="L68" s="47">
        <f>IF(G68=0,0,K68/G68)</f>
        <v/>
      </c>
      <c r="M68" s="30">
        <f>IF(C68="","",IF(I68=0,"○ لم يبدأ",IF(AND(G68&gt;0,K68&gt;=G68),"✔ مكتمل",IF(AND(E68&gt;0,I68&gt;=E68),"⚠ مركب بالكامل - نواقص","◔ جاري"))))</f>
        <v/>
      </c>
      <c r="N68" s="61" t="n"/>
    </row>
    <row r="69">
      <c r="A69" s="62" t="n"/>
      <c r="B69" s="61" t="n"/>
      <c r="C69" s="71" t="n"/>
      <c r="D69" s="62" t="n"/>
      <c r="E69" s="72" t="n"/>
      <c r="F69" s="72" t="n"/>
      <c r="G69" s="73">
        <f>ROUND(E69*F69,2)</f>
        <v/>
      </c>
      <c r="H69" s="28">
        <f>IF($G$106=0,0,G69/$G$106)</f>
        <v/>
      </c>
      <c r="I69" s="74">
        <f>'مستخلص 25'!H71</f>
        <v/>
      </c>
      <c r="J69" s="28">
        <f>IF(E69=0,0,I69/E69)</f>
        <v/>
      </c>
      <c r="K69" s="74">
        <f>'مستخلص 25'!N71</f>
        <v/>
      </c>
      <c r="L69" s="47">
        <f>IF(G69=0,0,K69/G69)</f>
        <v/>
      </c>
      <c r="M69" s="30">
        <f>IF(C69="","",IF(I69=0,"○ لم يبدأ",IF(AND(G69&gt;0,K69&gt;=G69),"✔ مكتمل",IF(AND(E69&gt;0,I69&gt;=E69),"⚠ مركب بالكامل - نواقص","◔ جاري"))))</f>
        <v/>
      </c>
      <c r="N69" s="61" t="n"/>
    </row>
    <row r="70">
      <c r="A70" s="62" t="n"/>
      <c r="B70" s="61" t="n"/>
      <c r="C70" s="71" t="n"/>
      <c r="D70" s="62" t="n"/>
      <c r="E70" s="72" t="n"/>
      <c r="F70" s="72" t="n"/>
      <c r="G70" s="73">
        <f>ROUND(E70*F70,2)</f>
        <v/>
      </c>
      <c r="H70" s="28">
        <f>IF($G$106=0,0,G70/$G$106)</f>
        <v/>
      </c>
      <c r="I70" s="74">
        <f>'مستخلص 25'!H72</f>
        <v/>
      </c>
      <c r="J70" s="28">
        <f>IF(E70=0,0,I70/E70)</f>
        <v/>
      </c>
      <c r="K70" s="74">
        <f>'مستخلص 25'!N72</f>
        <v/>
      </c>
      <c r="L70" s="47">
        <f>IF(G70=0,0,K70/G70)</f>
        <v/>
      </c>
      <c r="M70" s="30">
        <f>IF(C70="","",IF(I70=0,"○ لم يبدأ",IF(AND(G70&gt;0,K70&gt;=G70),"✔ مكتمل",IF(AND(E70&gt;0,I70&gt;=E70),"⚠ مركب بالكامل - نواقص","◔ جاري"))))</f>
        <v/>
      </c>
      <c r="N70" s="61" t="n"/>
    </row>
    <row r="71">
      <c r="A71" s="62" t="n"/>
      <c r="B71" s="61" t="n"/>
      <c r="C71" s="71" t="n"/>
      <c r="D71" s="62" t="n"/>
      <c r="E71" s="72" t="n"/>
      <c r="F71" s="72" t="n"/>
      <c r="G71" s="73">
        <f>ROUND(E71*F71,2)</f>
        <v/>
      </c>
      <c r="H71" s="28">
        <f>IF($G$106=0,0,G71/$G$106)</f>
        <v/>
      </c>
      <c r="I71" s="74">
        <f>'مستخلص 25'!H73</f>
        <v/>
      </c>
      <c r="J71" s="28">
        <f>IF(E71=0,0,I71/E71)</f>
        <v/>
      </c>
      <c r="K71" s="74">
        <f>'مستخلص 25'!N73</f>
        <v/>
      </c>
      <c r="L71" s="47">
        <f>IF(G71=0,0,K71/G71)</f>
        <v/>
      </c>
      <c r="M71" s="30">
        <f>IF(C71="","",IF(I71=0,"○ لم يبدأ",IF(AND(G71&gt;0,K71&gt;=G71),"✔ مكتمل",IF(AND(E71&gt;0,I71&gt;=E71),"⚠ مركب بالكامل - نواقص","◔ جاري"))))</f>
        <v/>
      </c>
      <c r="N71" s="61" t="n"/>
    </row>
    <row r="72">
      <c r="A72" s="62" t="n"/>
      <c r="B72" s="61" t="n"/>
      <c r="C72" s="71" t="n"/>
      <c r="D72" s="62" t="n"/>
      <c r="E72" s="72" t="n"/>
      <c r="F72" s="72" t="n"/>
      <c r="G72" s="73">
        <f>ROUND(E72*F72,2)</f>
        <v/>
      </c>
      <c r="H72" s="28">
        <f>IF($G$106=0,0,G72/$G$106)</f>
        <v/>
      </c>
      <c r="I72" s="74">
        <f>'مستخلص 25'!H74</f>
        <v/>
      </c>
      <c r="J72" s="28">
        <f>IF(E72=0,0,I72/E72)</f>
        <v/>
      </c>
      <c r="K72" s="74">
        <f>'مستخلص 25'!N74</f>
        <v/>
      </c>
      <c r="L72" s="47">
        <f>IF(G72=0,0,K72/G72)</f>
        <v/>
      </c>
      <c r="M72" s="30">
        <f>IF(C72="","",IF(I72=0,"○ لم يبدأ",IF(AND(G72&gt;0,K72&gt;=G72),"✔ مكتمل",IF(AND(E72&gt;0,I72&gt;=E72),"⚠ مركب بالكامل - نواقص","◔ جاري"))))</f>
        <v/>
      </c>
      <c r="N72" s="61" t="n"/>
    </row>
    <row r="73">
      <c r="A73" s="62" t="n"/>
      <c r="B73" s="61" t="n"/>
      <c r="C73" s="71" t="n"/>
      <c r="D73" s="62" t="n"/>
      <c r="E73" s="72" t="n"/>
      <c r="F73" s="72" t="n"/>
      <c r="G73" s="73">
        <f>ROUND(E73*F73,2)</f>
        <v/>
      </c>
      <c r="H73" s="28">
        <f>IF($G$106=0,0,G73/$G$106)</f>
        <v/>
      </c>
      <c r="I73" s="74">
        <f>'مستخلص 25'!H75</f>
        <v/>
      </c>
      <c r="J73" s="28">
        <f>IF(E73=0,0,I73/E73)</f>
        <v/>
      </c>
      <c r="K73" s="74">
        <f>'مستخلص 25'!N75</f>
        <v/>
      </c>
      <c r="L73" s="47">
        <f>IF(G73=0,0,K73/G73)</f>
        <v/>
      </c>
      <c r="M73" s="30">
        <f>IF(C73="","",IF(I73=0,"○ لم يبدأ",IF(AND(G73&gt;0,K73&gt;=G73),"✔ مكتمل",IF(AND(E73&gt;0,I73&gt;=E73),"⚠ مركب بالكامل - نواقص","◔ جاري"))))</f>
        <v/>
      </c>
      <c r="N73" s="61" t="n"/>
    </row>
    <row r="74">
      <c r="A74" s="62" t="n"/>
      <c r="B74" s="61" t="n"/>
      <c r="C74" s="71" t="n"/>
      <c r="D74" s="62" t="n"/>
      <c r="E74" s="72" t="n"/>
      <c r="F74" s="72" t="n"/>
      <c r="G74" s="73">
        <f>ROUND(E74*F74,2)</f>
        <v/>
      </c>
      <c r="H74" s="28">
        <f>IF($G$106=0,0,G74/$G$106)</f>
        <v/>
      </c>
      <c r="I74" s="74">
        <f>'مستخلص 25'!H76</f>
        <v/>
      </c>
      <c r="J74" s="28">
        <f>IF(E74=0,0,I74/E74)</f>
        <v/>
      </c>
      <c r="K74" s="74">
        <f>'مستخلص 25'!N76</f>
        <v/>
      </c>
      <c r="L74" s="47">
        <f>IF(G74=0,0,K74/G74)</f>
        <v/>
      </c>
      <c r="M74" s="30">
        <f>IF(C74="","",IF(I74=0,"○ لم يبدأ",IF(AND(G74&gt;0,K74&gt;=G74),"✔ مكتمل",IF(AND(E74&gt;0,I74&gt;=E74),"⚠ مركب بالكامل - نواقص","◔ جاري"))))</f>
        <v/>
      </c>
      <c r="N74" s="61" t="n"/>
    </row>
    <row r="75">
      <c r="A75" s="62" t="n"/>
      <c r="B75" s="61" t="n"/>
      <c r="C75" s="71" t="n"/>
      <c r="D75" s="62" t="n"/>
      <c r="E75" s="72" t="n"/>
      <c r="F75" s="72" t="n"/>
      <c r="G75" s="73">
        <f>ROUND(E75*F75,2)</f>
        <v/>
      </c>
      <c r="H75" s="28">
        <f>IF($G$106=0,0,G75/$G$106)</f>
        <v/>
      </c>
      <c r="I75" s="74">
        <f>'مستخلص 25'!H77</f>
        <v/>
      </c>
      <c r="J75" s="28">
        <f>IF(E75=0,0,I75/E75)</f>
        <v/>
      </c>
      <c r="K75" s="74">
        <f>'مستخلص 25'!N77</f>
        <v/>
      </c>
      <c r="L75" s="47">
        <f>IF(G75=0,0,K75/G75)</f>
        <v/>
      </c>
      <c r="M75" s="30">
        <f>IF(C75="","",IF(I75=0,"○ لم يبدأ",IF(AND(G75&gt;0,K75&gt;=G75),"✔ مكتمل",IF(AND(E75&gt;0,I75&gt;=E75),"⚠ مركب بالكامل - نواقص","◔ جاري"))))</f>
        <v/>
      </c>
      <c r="N75" s="61" t="n"/>
    </row>
    <row r="76">
      <c r="A76" s="62" t="n"/>
      <c r="B76" s="61" t="n"/>
      <c r="C76" s="71" t="n"/>
      <c r="D76" s="62" t="n"/>
      <c r="E76" s="72" t="n"/>
      <c r="F76" s="72" t="n"/>
      <c r="G76" s="73">
        <f>ROUND(E76*F76,2)</f>
        <v/>
      </c>
      <c r="H76" s="28">
        <f>IF($G$106=0,0,G76/$G$106)</f>
        <v/>
      </c>
      <c r="I76" s="74">
        <f>'مستخلص 25'!H78</f>
        <v/>
      </c>
      <c r="J76" s="28">
        <f>IF(E76=0,0,I76/E76)</f>
        <v/>
      </c>
      <c r="K76" s="74">
        <f>'مستخلص 25'!N78</f>
        <v/>
      </c>
      <c r="L76" s="47">
        <f>IF(G76=0,0,K76/G76)</f>
        <v/>
      </c>
      <c r="M76" s="30">
        <f>IF(C76="","",IF(I76=0,"○ لم يبدأ",IF(AND(G76&gt;0,K76&gt;=G76),"✔ مكتمل",IF(AND(E76&gt;0,I76&gt;=E76),"⚠ مركب بالكامل - نواقص","◔ جاري"))))</f>
        <v/>
      </c>
      <c r="N76" s="61" t="n"/>
    </row>
    <row r="77">
      <c r="A77" s="62" t="n"/>
      <c r="B77" s="61" t="n"/>
      <c r="C77" s="71" t="n"/>
      <c r="D77" s="62" t="n"/>
      <c r="E77" s="72" t="n"/>
      <c r="F77" s="72" t="n"/>
      <c r="G77" s="73">
        <f>ROUND(E77*F77,2)</f>
        <v/>
      </c>
      <c r="H77" s="28">
        <f>IF($G$106=0,0,G77/$G$106)</f>
        <v/>
      </c>
      <c r="I77" s="74">
        <f>'مستخلص 25'!H79</f>
        <v/>
      </c>
      <c r="J77" s="28">
        <f>IF(E77=0,0,I77/E77)</f>
        <v/>
      </c>
      <c r="K77" s="74">
        <f>'مستخلص 25'!N79</f>
        <v/>
      </c>
      <c r="L77" s="47">
        <f>IF(G77=0,0,K77/G77)</f>
        <v/>
      </c>
      <c r="M77" s="30">
        <f>IF(C77="","",IF(I77=0,"○ لم يبدأ",IF(AND(G77&gt;0,K77&gt;=G77),"✔ مكتمل",IF(AND(E77&gt;0,I77&gt;=E77),"⚠ مركب بالكامل - نواقص","◔ جاري"))))</f>
        <v/>
      </c>
      <c r="N77" s="61" t="n"/>
    </row>
    <row r="78">
      <c r="A78" s="62" t="n"/>
      <c r="B78" s="61" t="n"/>
      <c r="C78" s="71" t="n"/>
      <c r="D78" s="62" t="n"/>
      <c r="E78" s="72" t="n"/>
      <c r="F78" s="72" t="n"/>
      <c r="G78" s="73">
        <f>ROUND(E78*F78,2)</f>
        <v/>
      </c>
      <c r="H78" s="28">
        <f>IF($G$106=0,0,G78/$G$106)</f>
        <v/>
      </c>
      <c r="I78" s="74">
        <f>'مستخلص 25'!H80</f>
        <v/>
      </c>
      <c r="J78" s="28">
        <f>IF(E78=0,0,I78/E78)</f>
        <v/>
      </c>
      <c r="K78" s="74">
        <f>'مستخلص 25'!N80</f>
        <v/>
      </c>
      <c r="L78" s="47">
        <f>IF(G78=0,0,K78/G78)</f>
        <v/>
      </c>
      <c r="M78" s="30">
        <f>IF(C78="","",IF(I78=0,"○ لم يبدأ",IF(AND(G78&gt;0,K78&gt;=G78),"✔ مكتمل",IF(AND(E78&gt;0,I78&gt;=E78),"⚠ مركب بالكامل - نواقص","◔ جاري"))))</f>
        <v/>
      </c>
      <c r="N78" s="61" t="n"/>
    </row>
    <row r="79">
      <c r="A79" s="62" t="n"/>
      <c r="B79" s="61" t="n"/>
      <c r="C79" s="71" t="n"/>
      <c r="D79" s="62" t="n"/>
      <c r="E79" s="72" t="n"/>
      <c r="F79" s="72" t="n"/>
      <c r="G79" s="73">
        <f>ROUND(E79*F79,2)</f>
        <v/>
      </c>
      <c r="H79" s="28">
        <f>IF($G$106=0,0,G79/$G$106)</f>
        <v/>
      </c>
      <c r="I79" s="74">
        <f>'مستخلص 25'!H81</f>
        <v/>
      </c>
      <c r="J79" s="28">
        <f>IF(E79=0,0,I79/E79)</f>
        <v/>
      </c>
      <c r="K79" s="74">
        <f>'مستخلص 25'!N81</f>
        <v/>
      </c>
      <c r="L79" s="47">
        <f>IF(G79=0,0,K79/G79)</f>
        <v/>
      </c>
      <c r="M79" s="30">
        <f>IF(C79="","",IF(I79=0,"○ لم يبدأ",IF(AND(G79&gt;0,K79&gt;=G79),"✔ مكتمل",IF(AND(E79&gt;0,I79&gt;=E79),"⚠ مركب بالكامل - نواقص","◔ جاري"))))</f>
        <v/>
      </c>
      <c r="N79" s="61" t="n"/>
    </row>
    <row r="80">
      <c r="A80" s="62" t="n"/>
      <c r="B80" s="61" t="n"/>
      <c r="C80" s="71" t="n"/>
      <c r="D80" s="62" t="n"/>
      <c r="E80" s="72" t="n"/>
      <c r="F80" s="72" t="n"/>
      <c r="G80" s="73">
        <f>ROUND(E80*F80,2)</f>
        <v/>
      </c>
      <c r="H80" s="28">
        <f>IF($G$106=0,0,G80/$G$106)</f>
        <v/>
      </c>
      <c r="I80" s="74">
        <f>'مستخلص 25'!H82</f>
        <v/>
      </c>
      <c r="J80" s="28">
        <f>IF(E80=0,0,I80/E80)</f>
        <v/>
      </c>
      <c r="K80" s="74">
        <f>'مستخلص 25'!N82</f>
        <v/>
      </c>
      <c r="L80" s="47">
        <f>IF(G80=0,0,K80/G80)</f>
        <v/>
      </c>
      <c r="M80" s="30">
        <f>IF(C80="","",IF(I80=0,"○ لم يبدأ",IF(AND(G80&gt;0,K80&gt;=G80),"✔ مكتمل",IF(AND(E80&gt;0,I80&gt;=E80),"⚠ مركب بالكامل - نواقص","◔ جاري"))))</f>
        <v/>
      </c>
      <c r="N80" s="61" t="n"/>
    </row>
    <row r="81">
      <c r="A81" s="62" t="n"/>
      <c r="B81" s="61" t="n"/>
      <c r="C81" s="71" t="n"/>
      <c r="D81" s="62" t="n"/>
      <c r="E81" s="72" t="n"/>
      <c r="F81" s="72" t="n"/>
      <c r="G81" s="73">
        <f>ROUND(E81*F81,2)</f>
        <v/>
      </c>
      <c r="H81" s="28">
        <f>IF($G$106=0,0,G81/$G$106)</f>
        <v/>
      </c>
      <c r="I81" s="74">
        <f>'مستخلص 25'!H83</f>
        <v/>
      </c>
      <c r="J81" s="28">
        <f>IF(E81=0,0,I81/E81)</f>
        <v/>
      </c>
      <c r="K81" s="74">
        <f>'مستخلص 25'!N83</f>
        <v/>
      </c>
      <c r="L81" s="47">
        <f>IF(G81=0,0,K81/G81)</f>
        <v/>
      </c>
      <c r="M81" s="30">
        <f>IF(C81="","",IF(I81=0,"○ لم يبدأ",IF(AND(G81&gt;0,K81&gt;=G81),"✔ مكتمل",IF(AND(E81&gt;0,I81&gt;=E81),"⚠ مركب بالكامل - نواقص","◔ جاري"))))</f>
        <v/>
      </c>
      <c r="N81" s="61" t="n"/>
    </row>
    <row r="82">
      <c r="A82" s="62" t="n"/>
      <c r="B82" s="61" t="n"/>
      <c r="C82" s="71" t="n"/>
      <c r="D82" s="62" t="n"/>
      <c r="E82" s="72" t="n"/>
      <c r="F82" s="72" t="n"/>
      <c r="G82" s="73">
        <f>ROUND(E82*F82,2)</f>
        <v/>
      </c>
      <c r="H82" s="28">
        <f>IF($G$106=0,0,G82/$G$106)</f>
        <v/>
      </c>
      <c r="I82" s="74">
        <f>'مستخلص 25'!H84</f>
        <v/>
      </c>
      <c r="J82" s="28">
        <f>IF(E82=0,0,I82/E82)</f>
        <v/>
      </c>
      <c r="K82" s="74">
        <f>'مستخلص 25'!N84</f>
        <v/>
      </c>
      <c r="L82" s="47">
        <f>IF(G82=0,0,K82/G82)</f>
        <v/>
      </c>
      <c r="M82" s="30">
        <f>IF(C82="","",IF(I82=0,"○ لم يبدأ",IF(AND(G82&gt;0,K82&gt;=G82),"✔ مكتمل",IF(AND(E82&gt;0,I82&gt;=E82),"⚠ مركب بالكامل - نواقص","◔ جاري"))))</f>
        <v/>
      </c>
      <c r="N82" s="61" t="n"/>
    </row>
    <row r="83">
      <c r="A83" s="62" t="n"/>
      <c r="B83" s="61" t="n"/>
      <c r="C83" s="71" t="n"/>
      <c r="D83" s="62" t="n"/>
      <c r="E83" s="72" t="n"/>
      <c r="F83" s="72" t="n"/>
      <c r="G83" s="73">
        <f>ROUND(E83*F83,2)</f>
        <v/>
      </c>
      <c r="H83" s="28">
        <f>IF($G$106=0,0,G83/$G$106)</f>
        <v/>
      </c>
      <c r="I83" s="74">
        <f>'مستخلص 25'!H85</f>
        <v/>
      </c>
      <c r="J83" s="28">
        <f>IF(E83=0,0,I83/E83)</f>
        <v/>
      </c>
      <c r="K83" s="74">
        <f>'مستخلص 25'!N85</f>
        <v/>
      </c>
      <c r="L83" s="47">
        <f>IF(G83=0,0,K83/G83)</f>
        <v/>
      </c>
      <c r="M83" s="30">
        <f>IF(C83="","",IF(I83=0,"○ لم يبدأ",IF(AND(G83&gt;0,K83&gt;=G83),"✔ مكتمل",IF(AND(E83&gt;0,I83&gt;=E83),"⚠ مركب بالكامل - نواقص","◔ جاري"))))</f>
        <v/>
      </c>
      <c r="N83" s="61" t="n"/>
    </row>
    <row r="84">
      <c r="A84" s="62" t="n"/>
      <c r="B84" s="61" t="n"/>
      <c r="C84" s="71" t="n"/>
      <c r="D84" s="62" t="n"/>
      <c r="E84" s="72" t="n"/>
      <c r="F84" s="72" t="n"/>
      <c r="G84" s="73">
        <f>ROUND(E84*F84,2)</f>
        <v/>
      </c>
      <c r="H84" s="28">
        <f>IF($G$106=0,0,G84/$G$106)</f>
        <v/>
      </c>
      <c r="I84" s="74">
        <f>'مستخلص 25'!H86</f>
        <v/>
      </c>
      <c r="J84" s="28">
        <f>IF(E84=0,0,I84/E84)</f>
        <v/>
      </c>
      <c r="K84" s="74">
        <f>'مستخلص 25'!N86</f>
        <v/>
      </c>
      <c r="L84" s="47">
        <f>IF(G84=0,0,K84/G84)</f>
        <v/>
      </c>
      <c r="M84" s="30">
        <f>IF(C84="","",IF(I84=0,"○ لم يبدأ",IF(AND(G84&gt;0,K84&gt;=G84),"✔ مكتمل",IF(AND(E84&gt;0,I84&gt;=E84),"⚠ مركب بالكامل - نواقص","◔ جاري"))))</f>
        <v/>
      </c>
      <c r="N84" s="61" t="n"/>
    </row>
    <row r="85">
      <c r="A85" s="62" t="n"/>
      <c r="B85" s="61" t="n"/>
      <c r="C85" s="71" t="n"/>
      <c r="D85" s="62" t="n"/>
      <c r="E85" s="72" t="n"/>
      <c r="F85" s="72" t="n"/>
      <c r="G85" s="73">
        <f>ROUND(E85*F85,2)</f>
        <v/>
      </c>
      <c r="H85" s="28">
        <f>IF($G$106=0,0,G85/$G$106)</f>
        <v/>
      </c>
      <c r="I85" s="74">
        <f>'مستخلص 25'!H87</f>
        <v/>
      </c>
      <c r="J85" s="28">
        <f>IF(E85=0,0,I85/E85)</f>
        <v/>
      </c>
      <c r="K85" s="74">
        <f>'مستخلص 25'!N87</f>
        <v/>
      </c>
      <c r="L85" s="47">
        <f>IF(G85=0,0,K85/G85)</f>
        <v/>
      </c>
      <c r="M85" s="30">
        <f>IF(C85="","",IF(I85=0,"○ لم يبدأ",IF(AND(G85&gt;0,K85&gt;=G85),"✔ مكتمل",IF(AND(E85&gt;0,I85&gt;=E85),"⚠ مركب بالكامل - نواقص","◔ جاري"))))</f>
        <v/>
      </c>
      <c r="N85" s="61" t="n"/>
    </row>
    <row r="86">
      <c r="A86" s="62" t="n"/>
      <c r="B86" s="61" t="n"/>
      <c r="C86" s="71" t="n"/>
      <c r="D86" s="62" t="n"/>
      <c r="E86" s="72" t="n"/>
      <c r="F86" s="72" t="n"/>
      <c r="G86" s="73">
        <f>ROUND(E86*F86,2)</f>
        <v/>
      </c>
      <c r="H86" s="28">
        <f>IF($G$106=0,0,G86/$G$106)</f>
        <v/>
      </c>
      <c r="I86" s="74">
        <f>'مستخلص 25'!H88</f>
        <v/>
      </c>
      <c r="J86" s="28">
        <f>IF(E86=0,0,I86/E86)</f>
        <v/>
      </c>
      <c r="K86" s="74">
        <f>'مستخلص 25'!N88</f>
        <v/>
      </c>
      <c r="L86" s="47">
        <f>IF(G86=0,0,K86/G86)</f>
        <v/>
      </c>
      <c r="M86" s="30">
        <f>IF(C86="","",IF(I86=0,"○ لم يبدأ",IF(AND(G86&gt;0,K86&gt;=G86),"✔ مكتمل",IF(AND(E86&gt;0,I86&gt;=E86),"⚠ مركب بالكامل - نواقص","◔ جاري"))))</f>
        <v/>
      </c>
      <c r="N86" s="61" t="n"/>
    </row>
    <row r="87">
      <c r="A87" s="62" t="n"/>
      <c r="B87" s="61" t="n"/>
      <c r="C87" s="71" t="n"/>
      <c r="D87" s="62" t="n"/>
      <c r="E87" s="72" t="n"/>
      <c r="F87" s="72" t="n"/>
      <c r="G87" s="73">
        <f>ROUND(E87*F87,2)</f>
        <v/>
      </c>
      <c r="H87" s="28">
        <f>IF($G$106=0,0,G87/$G$106)</f>
        <v/>
      </c>
      <c r="I87" s="74">
        <f>'مستخلص 25'!H89</f>
        <v/>
      </c>
      <c r="J87" s="28">
        <f>IF(E87=0,0,I87/E87)</f>
        <v/>
      </c>
      <c r="K87" s="74">
        <f>'مستخلص 25'!N89</f>
        <v/>
      </c>
      <c r="L87" s="47">
        <f>IF(G87=0,0,K87/G87)</f>
        <v/>
      </c>
      <c r="M87" s="30">
        <f>IF(C87="","",IF(I87=0,"○ لم يبدأ",IF(AND(G87&gt;0,K87&gt;=G87),"✔ مكتمل",IF(AND(E87&gt;0,I87&gt;=E87),"⚠ مركب بالكامل - نواقص","◔ جاري"))))</f>
        <v/>
      </c>
      <c r="N87" s="61" t="n"/>
    </row>
    <row r="88">
      <c r="A88" s="62" t="n"/>
      <c r="B88" s="61" t="n"/>
      <c r="C88" s="71" t="n"/>
      <c r="D88" s="62" t="n"/>
      <c r="E88" s="72" t="n"/>
      <c r="F88" s="72" t="n"/>
      <c r="G88" s="73">
        <f>ROUND(E88*F88,2)</f>
        <v/>
      </c>
      <c r="H88" s="28">
        <f>IF($G$106=0,0,G88/$G$106)</f>
        <v/>
      </c>
      <c r="I88" s="74">
        <f>'مستخلص 25'!H90</f>
        <v/>
      </c>
      <c r="J88" s="28">
        <f>IF(E88=0,0,I88/E88)</f>
        <v/>
      </c>
      <c r="K88" s="74">
        <f>'مستخلص 25'!N90</f>
        <v/>
      </c>
      <c r="L88" s="47">
        <f>IF(G88=0,0,K88/G88)</f>
        <v/>
      </c>
      <c r="M88" s="30">
        <f>IF(C88="","",IF(I88=0,"○ لم يبدأ",IF(AND(G88&gt;0,K88&gt;=G88),"✔ مكتمل",IF(AND(E88&gt;0,I88&gt;=E88),"⚠ مركب بالكامل - نواقص","◔ جاري"))))</f>
        <v/>
      </c>
      <c r="N88" s="61" t="n"/>
    </row>
    <row r="89">
      <c r="A89" s="62" t="n"/>
      <c r="B89" s="61" t="n"/>
      <c r="C89" s="71" t="n"/>
      <c r="D89" s="62" t="n"/>
      <c r="E89" s="72" t="n"/>
      <c r="F89" s="72" t="n"/>
      <c r="G89" s="73">
        <f>ROUND(E89*F89,2)</f>
        <v/>
      </c>
      <c r="H89" s="28">
        <f>IF($G$106=0,0,G89/$G$106)</f>
        <v/>
      </c>
      <c r="I89" s="74">
        <f>'مستخلص 25'!H91</f>
        <v/>
      </c>
      <c r="J89" s="28">
        <f>IF(E89=0,0,I89/E89)</f>
        <v/>
      </c>
      <c r="K89" s="74">
        <f>'مستخلص 25'!N91</f>
        <v/>
      </c>
      <c r="L89" s="47">
        <f>IF(G89=0,0,K89/G89)</f>
        <v/>
      </c>
      <c r="M89" s="30">
        <f>IF(C89="","",IF(I89=0,"○ لم يبدأ",IF(AND(G89&gt;0,K89&gt;=G89),"✔ مكتمل",IF(AND(E89&gt;0,I89&gt;=E89),"⚠ مركب بالكامل - نواقص","◔ جاري"))))</f>
        <v/>
      </c>
      <c r="N89" s="61" t="n"/>
    </row>
    <row r="90">
      <c r="A90" s="62" t="n"/>
      <c r="B90" s="61" t="n"/>
      <c r="C90" s="71" t="n"/>
      <c r="D90" s="62" t="n"/>
      <c r="E90" s="72" t="n"/>
      <c r="F90" s="72" t="n"/>
      <c r="G90" s="73">
        <f>ROUND(E90*F90,2)</f>
        <v/>
      </c>
      <c r="H90" s="28">
        <f>IF($G$106=0,0,G90/$G$106)</f>
        <v/>
      </c>
      <c r="I90" s="74">
        <f>'مستخلص 25'!H92</f>
        <v/>
      </c>
      <c r="J90" s="28">
        <f>IF(E90=0,0,I90/E90)</f>
        <v/>
      </c>
      <c r="K90" s="74">
        <f>'مستخلص 25'!N92</f>
        <v/>
      </c>
      <c r="L90" s="47">
        <f>IF(G90=0,0,K90/G90)</f>
        <v/>
      </c>
      <c r="M90" s="30">
        <f>IF(C90="","",IF(I90=0,"○ لم يبدأ",IF(AND(G90&gt;0,K90&gt;=G90),"✔ مكتمل",IF(AND(E90&gt;0,I90&gt;=E90),"⚠ مركب بالكامل - نواقص","◔ جاري"))))</f>
        <v/>
      </c>
      <c r="N90" s="61" t="n"/>
    </row>
    <row r="91">
      <c r="A91" s="62" t="n"/>
      <c r="B91" s="61" t="n"/>
      <c r="C91" s="71" t="n"/>
      <c r="D91" s="62" t="n"/>
      <c r="E91" s="72" t="n"/>
      <c r="F91" s="72" t="n"/>
      <c r="G91" s="73">
        <f>ROUND(E91*F91,2)</f>
        <v/>
      </c>
      <c r="H91" s="28">
        <f>IF($G$106=0,0,G91/$G$106)</f>
        <v/>
      </c>
      <c r="I91" s="74">
        <f>'مستخلص 25'!H93</f>
        <v/>
      </c>
      <c r="J91" s="28">
        <f>IF(E91=0,0,I91/E91)</f>
        <v/>
      </c>
      <c r="K91" s="74">
        <f>'مستخلص 25'!N93</f>
        <v/>
      </c>
      <c r="L91" s="47">
        <f>IF(G91=0,0,K91/G91)</f>
        <v/>
      </c>
      <c r="M91" s="30">
        <f>IF(C91="","",IF(I91=0,"○ لم يبدأ",IF(AND(G91&gt;0,K91&gt;=G91),"✔ مكتمل",IF(AND(E91&gt;0,I91&gt;=E91),"⚠ مركب بالكامل - نواقص","◔ جاري"))))</f>
        <v/>
      </c>
      <c r="N91" s="61" t="n"/>
    </row>
    <row r="92">
      <c r="A92" s="62" t="n"/>
      <c r="B92" s="61" t="n"/>
      <c r="C92" s="71" t="n"/>
      <c r="D92" s="62" t="n"/>
      <c r="E92" s="72" t="n"/>
      <c r="F92" s="72" t="n"/>
      <c r="G92" s="73">
        <f>ROUND(E92*F92,2)</f>
        <v/>
      </c>
      <c r="H92" s="28">
        <f>IF($G$106=0,0,G92/$G$106)</f>
        <v/>
      </c>
      <c r="I92" s="74">
        <f>'مستخلص 25'!H94</f>
        <v/>
      </c>
      <c r="J92" s="28">
        <f>IF(E92=0,0,I92/E92)</f>
        <v/>
      </c>
      <c r="K92" s="74">
        <f>'مستخلص 25'!N94</f>
        <v/>
      </c>
      <c r="L92" s="47">
        <f>IF(G92=0,0,K92/G92)</f>
        <v/>
      </c>
      <c r="M92" s="30">
        <f>IF(C92="","",IF(I92=0,"○ لم يبدأ",IF(AND(G92&gt;0,K92&gt;=G92),"✔ مكتمل",IF(AND(E92&gt;0,I92&gt;=E92),"⚠ مركب بالكامل - نواقص","◔ جاري"))))</f>
        <v/>
      </c>
      <c r="N92" s="61" t="n"/>
    </row>
    <row r="93">
      <c r="A93" s="62" t="n"/>
      <c r="B93" s="61" t="n"/>
      <c r="C93" s="71" t="n"/>
      <c r="D93" s="62" t="n"/>
      <c r="E93" s="72" t="n"/>
      <c r="F93" s="72" t="n"/>
      <c r="G93" s="73">
        <f>ROUND(E93*F93,2)</f>
        <v/>
      </c>
      <c r="H93" s="28">
        <f>IF($G$106=0,0,G93/$G$106)</f>
        <v/>
      </c>
      <c r="I93" s="74">
        <f>'مستخلص 25'!H95</f>
        <v/>
      </c>
      <c r="J93" s="28">
        <f>IF(E93=0,0,I93/E93)</f>
        <v/>
      </c>
      <c r="K93" s="74">
        <f>'مستخلص 25'!N95</f>
        <v/>
      </c>
      <c r="L93" s="47">
        <f>IF(G93=0,0,K93/G93)</f>
        <v/>
      </c>
      <c r="M93" s="30">
        <f>IF(C93="","",IF(I93=0,"○ لم يبدأ",IF(AND(G93&gt;0,K93&gt;=G93),"✔ مكتمل",IF(AND(E93&gt;0,I93&gt;=E93),"⚠ مركب بالكامل - نواقص","◔ جاري"))))</f>
        <v/>
      </c>
      <c r="N93" s="61" t="n"/>
    </row>
    <row r="94">
      <c r="A94" s="62" t="n"/>
      <c r="B94" s="61" t="n"/>
      <c r="C94" s="71" t="n"/>
      <c r="D94" s="62" t="n"/>
      <c r="E94" s="72" t="n"/>
      <c r="F94" s="72" t="n"/>
      <c r="G94" s="73">
        <f>ROUND(E94*F94,2)</f>
        <v/>
      </c>
      <c r="H94" s="28">
        <f>IF($G$106=0,0,G94/$G$106)</f>
        <v/>
      </c>
      <c r="I94" s="74">
        <f>'مستخلص 25'!H96</f>
        <v/>
      </c>
      <c r="J94" s="28">
        <f>IF(E94=0,0,I94/E94)</f>
        <v/>
      </c>
      <c r="K94" s="74">
        <f>'مستخلص 25'!N96</f>
        <v/>
      </c>
      <c r="L94" s="47">
        <f>IF(G94=0,0,K94/G94)</f>
        <v/>
      </c>
      <c r="M94" s="30">
        <f>IF(C94="","",IF(I94=0,"○ لم يبدأ",IF(AND(G94&gt;0,K94&gt;=G94),"✔ مكتمل",IF(AND(E94&gt;0,I94&gt;=E94),"⚠ مركب بالكامل - نواقص","◔ جاري"))))</f>
        <v/>
      </c>
      <c r="N94" s="61" t="n"/>
    </row>
    <row r="95">
      <c r="A95" s="62" t="n"/>
      <c r="B95" s="61" t="n"/>
      <c r="C95" s="71" t="n"/>
      <c r="D95" s="62" t="n"/>
      <c r="E95" s="72" t="n"/>
      <c r="F95" s="72" t="n"/>
      <c r="G95" s="73">
        <f>ROUND(E95*F95,2)</f>
        <v/>
      </c>
      <c r="H95" s="28">
        <f>IF($G$106=0,0,G95/$G$106)</f>
        <v/>
      </c>
      <c r="I95" s="74">
        <f>'مستخلص 25'!H97</f>
        <v/>
      </c>
      <c r="J95" s="28">
        <f>IF(E95=0,0,I95/E95)</f>
        <v/>
      </c>
      <c r="K95" s="74">
        <f>'مستخلص 25'!N97</f>
        <v/>
      </c>
      <c r="L95" s="47">
        <f>IF(G95=0,0,K95/G95)</f>
        <v/>
      </c>
      <c r="M95" s="30">
        <f>IF(C95="","",IF(I95=0,"○ لم يبدأ",IF(AND(G95&gt;0,K95&gt;=G95),"✔ مكتمل",IF(AND(E95&gt;0,I95&gt;=E95),"⚠ مركب بالكامل - نواقص","◔ جاري"))))</f>
        <v/>
      </c>
      <c r="N95" s="61" t="n"/>
    </row>
    <row r="96">
      <c r="A96" s="62" t="n"/>
      <c r="B96" s="61" t="n"/>
      <c r="C96" s="71" t="n"/>
      <c r="D96" s="62" t="n"/>
      <c r="E96" s="72" t="n"/>
      <c r="F96" s="72" t="n"/>
      <c r="G96" s="73">
        <f>ROUND(E96*F96,2)</f>
        <v/>
      </c>
      <c r="H96" s="28">
        <f>IF($G$106=0,0,G96/$G$106)</f>
        <v/>
      </c>
      <c r="I96" s="74">
        <f>'مستخلص 25'!H98</f>
        <v/>
      </c>
      <c r="J96" s="28">
        <f>IF(E96=0,0,I96/E96)</f>
        <v/>
      </c>
      <c r="K96" s="74">
        <f>'مستخلص 25'!N98</f>
        <v/>
      </c>
      <c r="L96" s="47">
        <f>IF(G96=0,0,K96/G96)</f>
        <v/>
      </c>
      <c r="M96" s="30">
        <f>IF(C96="","",IF(I96=0,"○ لم يبدأ",IF(AND(G96&gt;0,K96&gt;=G96),"✔ مكتمل",IF(AND(E96&gt;0,I96&gt;=E96),"⚠ مركب بالكامل - نواقص","◔ جاري"))))</f>
        <v/>
      </c>
      <c r="N96" s="61" t="n"/>
    </row>
    <row r="97">
      <c r="A97" s="62" t="n"/>
      <c r="B97" s="61" t="n"/>
      <c r="C97" s="71" t="n"/>
      <c r="D97" s="62" t="n"/>
      <c r="E97" s="72" t="n"/>
      <c r="F97" s="72" t="n"/>
      <c r="G97" s="73">
        <f>ROUND(E97*F97,2)</f>
        <v/>
      </c>
      <c r="H97" s="28">
        <f>IF($G$106=0,0,G97/$G$106)</f>
        <v/>
      </c>
      <c r="I97" s="74">
        <f>'مستخلص 25'!H99</f>
        <v/>
      </c>
      <c r="J97" s="28">
        <f>IF(E97=0,0,I97/E97)</f>
        <v/>
      </c>
      <c r="K97" s="74">
        <f>'مستخلص 25'!N99</f>
        <v/>
      </c>
      <c r="L97" s="47">
        <f>IF(G97=0,0,K97/G97)</f>
        <v/>
      </c>
      <c r="M97" s="30">
        <f>IF(C97="","",IF(I97=0,"○ لم يبدأ",IF(AND(G97&gt;0,K97&gt;=G97),"✔ مكتمل",IF(AND(E97&gt;0,I97&gt;=E97),"⚠ مركب بالكامل - نواقص","◔ جاري"))))</f>
        <v/>
      </c>
      <c r="N97" s="61" t="n"/>
    </row>
    <row r="98">
      <c r="A98" s="62" t="n"/>
      <c r="B98" s="61" t="n"/>
      <c r="C98" s="71" t="n"/>
      <c r="D98" s="62" t="n"/>
      <c r="E98" s="72" t="n"/>
      <c r="F98" s="72" t="n"/>
      <c r="G98" s="73">
        <f>ROUND(E98*F98,2)</f>
        <v/>
      </c>
      <c r="H98" s="28">
        <f>IF($G$106=0,0,G98/$G$106)</f>
        <v/>
      </c>
      <c r="I98" s="74">
        <f>'مستخلص 25'!H100</f>
        <v/>
      </c>
      <c r="J98" s="28">
        <f>IF(E98=0,0,I98/E98)</f>
        <v/>
      </c>
      <c r="K98" s="74">
        <f>'مستخلص 25'!N100</f>
        <v/>
      </c>
      <c r="L98" s="47">
        <f>IF(G98=0,0,K98/G98)</f>
        <v/>
      </c>
      <c r="M98" s="30">
        <f>IF(C98="","",IF(I98=0,"○ لم يبدأ",IF(AND(G98&gt;0,K98&gt;=G98),"✔ مكتمل",IF(AND(E98&gt;0,I98&gt;=E98),"⚠ مركب بالكامل - نواقص","◔ جاري"))))</f>
        <v/>
      </c>
      <c r="N98" s="61" t="n"/>
    </row>
    <row r="99">
      <c r="A99" s="62" t="n"/>
      <c r="B99" s="61" t="n"/>
      <c r="C99" s="71" t="n"/>
      <c r="D99" s="62" t="n"/>
      <c r="E99" s="72" t="n"/>
      <c r="F99" s="72" t="n"/>
      <c r="G99" s="73">
        <f>ROUND(E99*F99,2)</f>
        <v/>
      </c>
      <c r="H99" s="28">
        <f>IF($G$106=0,0,G99/$G$106)</f>
        <v/>
      </c>
      <c r="I99" s="74">
        <f>'مستخلص 25'!H101</f>
        <v/>
      </c>
      <c r="J99" s="28">
        <f>IF(E99=0,0,I99/E99)</f>
        <v/>
      </c>
      <c r="K99" s="74">
        <f>'مستخلص 25'!N101</f>
        <v/>
      </c>
      <c r="L99" s="47">
        <f>IF(G99=0,0,K99/G99)</f>
        <v/>
      </c>
      <c r="M99" s="30">
        <f>IF(C99="","",IF(I99=0,"○ لم يبدأ",IF(AND(G99&gt;0,K99&gt;=G99),"✔ مكتمل",IF(AND(E99&gt;0,I99&gt;=E99),"⚠ مركب بالكامل - نواقص","◔ جاري"))))</f>
        <v/>
      </c>
      <c r="N99" s="61" t="n"/>
    </row>
    <row r="100">
      <c r="A100" s="62" t="n"/>
      <c r="B100" s="61" t="n"/>
      <c r="C100" s="71" t="n"/>
      <c r="D100" s="62" t="n"/>
      <c r="E100" s="72" t="n"/>
      <c r="F100" s="72" t="n"/>
      <c r="G100" s="73">
        <f>ROUND(E100*F100,2)</f>
        <v/>
      </c>
      <c r="H100" s="28">
        <f>IF($G$106=0,0,G100/$G$106)</f>
        <v/>
      </c>
      <c r="I100" s="74">
        <f>'مستخلص 25'!H102</f>
        <v/>
      </c>
      <c r="J100" s="28">
        <f>IF(E100=0,0,I100/E100)</f>
        <v/>
      </c>
      <c r="K100" s="74">
        <f>'مستخلص 25'!N102</f>
        <v/>
      </c>
      <c r="L100" s="47">
        <f>IF(G100=0,0,K100/G100)</f>
        <v/>
      </c>
      <c r="M100" s="30">
        <f>IF(C100="","",IF(I100=0,"○ لم يبدأ",IF(AND(G100&gt;0,K100&gt;=G100),"✔ مكتمل",IF(AND(E100&gt;0,I100&gt;=E100),"⚠ مركب بالكامل - نواقص","◔ جاري"))))</f>
        <v/>
      </c>
      <c r="N100" s="61" t="n"/>
    </row>
    <row r="101">
      <c r="A101" s="62" t="n"/>
      <c r="B101" s="61" t="n"/>
      <c r="C101" s="71" t="n"/>
      <c r="D101" s="62" t="n"/>
      <c r="E101" s="72" t="n"/>
      <c r="F101" s="72" t="n"/>
      <c r="G101" s="73">
        <f>ROUND(E101*F101,2)</f>
        <v/>
      </c>
      <c r="H101" s="28">
        <f>IF($G$106=0,0,G101/$G$106)</f>
        <v/>
      </c>
      <c r="I101" s="74">
        <f>'مستخلص 25'!H103</f>
        <v/>
      </c>
      <c r="J101" s="28">
        <f>IF(E101=0,0,I101/E101)</f>
        <v/>
      </c>
      <c r="K101" s="74">
        <f>'مستخلص 25'!N103</f>
        <v/>
      </c>
      <c r="L101" s="47">
        <f>IF(G101=0,0,K101/G101)</f>
        <v/>
      </c>
      <c r="M101" s="30">
        <f>IF(C101="","",IF(I101=0,"○ لم يبدأ",IF(AND(G101&gt;0,K101&gt;=G101),"✔ مكتمل",IF(AND(E101&gt;0,I101&gt;=E101),"⚠ مركب بالكامل - نواقص","◔ جاري"))))</f>
        <v/>
      </c>
      <c r="N101" s="61" t="n"/>
    </row>
    <row r="102">
      <c r="A102" s="62" t="n"/>
      <c r="B102" s="61" t="n"/>
      <c r="C102" s="71" t="n"/>
      <c r="D102" s="62" t="n"/>
      <c r="E102" s="72" t="n"/>
      <c r="F102" s="72" t="n"/>
      <c r="G102" s="73">
        <f>ROUND(E102*F102,2)</f>
        <v/>
      </c>
      <c r="H102" s="28">
        <f>IF($G$106=0,0,G102/$G$106)</f>
        <v/>
      </c>
      <c r="I102" s="74">
        <f>'مستخلص 25'!H104</f>
        <v/>
      </c>
      <c r="J102" s="28">
        <f>IF(E102=0,0,I102/E102)</f>
        <v/>
      </c>
      <c r="K102" s="74">
        <f>'مستخلص 25'!N104</f>
        <v/>
      </c>
      <c r="L102" s="47">
        <f>IF(G102=0,0,K102/G102)</f>
        <v/>
      </c>
      <c r="M102" s="30">
        <f>IF(C102="","",IF(I102=0,"○ لم يبدأ",IF(AND(G102&gt;0,K102&gt;=G102),"✔ مكتمل",IF(AND(E102&gt;0,I102&gt;=E102),"⚠ مركب بالكامل - نواقص","◔ جاري"))))</f>
        <v/>
      </c>
      <c r="N102" s="61" t="n"/>
    </row>
    <row r="103">
      <c r="A103" s="62" t="n"/>
      <c r="B103" s="61" t="n"/>
      <c r="C103" s="71" t="n"/>
      <c r="D103" s="62" t="n"/>
      <c r="E103" s="72" t="n"/>
      <c r="F103" s="72" t="n"/>
      <c r="G103" s="73">
        <f>ROUND(E103*F103,2)</f>
        <v/>
      </c>
      <c r="H103" s="28">
        <f>IF($G$106=0,0,G103/$G$106)</f>
        <v/>
      </c>
      <c r="I103" s="74">
        <f>'مستخلص 25'!H105</f>
        <v/>
      </c>
      <c r="J103" s="28">
        <f>IF(E103=0,0,I103/E103)</f>
        <v/>
      </c>
      <c r="K103" s="74">
        <f>'مستخلص 25'!N105</f>
        <v/>
      </c>
      <c r="L103" s="47">
        <f>IF(G103=0,0,K103/G103)</f>
        <v/>
      </c>
      <c r="M103" s="30">
        <f>IF(C103="","",IF(I103=0,"○ لم يبدأ",IF(AND(G103&gt;0,K103&gt;=G103),"✔ مكتمل",IF(AND(E103&gt;0,I103&gt;=E103),"⚠ مركب بالكامل - نواقص","◔ جاري"))))</f>
        <v/>
      </c>
      <c r="N103" s="61" t="n"/>
    </row>
    <row r="104">
      <c r="A104" s="62" t="n"/>
      <c r="B104" s="61" t="n"/>
      <c r="C104" s="71" t="n"/>
      <c r="D104" s="62" t="n"/>
      <c r="E104" s="72" t="n"/>
      <c r="F104" s="72" t="n"/>
      <c r="G104" s="73">
        <f>ROUND(E104*F104,2)</f>
        <v/>
      </c>
      <c r="H104" s="28">
        <f>IF($G$106=0,0,G104/$G$106)</f>
        <v/>
      </c>
      <c r="I104" s="74">
        <f>'مستخلص 25'!H106</f>
        <v/>
      </c>
      <c r="J104" s="28">
        <f>IF(E104=0,0,I104/E104)</f>
        <v/>
      </c>
      <c r="K104" s="74">
        <f>'مستخلص 25'!N106</f>
        <v/>
      </c>
      <c r="L104" s="47">
        <f>IF(G104=0,0,K104/G104)</f>
        <v/>
      </c>
      <c r="M104" s="30">
        <f>IF(C104="","",IF(I104=0,"○ لم يبدأ",IF(AND(G104&gt;0,K104&gt;=G104),"✔ مكتمل",IF(AND(E104&gt;0,I104&gt;=E104),"⚠ مركب بالكامل - نواقص","◔ جاري"))))</f>
        <v/>
      </c>
      <c r="N104" s="61" t="n"/>
    </row>
    <row r="105">
      <c r="A105" s="62" t="n"/>
      <c r="B105" s="61" t="n"/>
      <c r="C105" s="71" t="n"/>
      <c r="D105" s="62" t="n"/>
      <c r="E105" s="72" t="n"/>
      <c r="F105" s="72" t="n"/>
      <c r="G105" s="73">
        <f>ROUND(E105*F105,2)</f>
        <v/>
      </c>
      <c r="H105" s="28">
        <f>IF($G$106=0,0,G105/$G$106)</f>
        <v/>
      </c>
      <c r="I105" s="74">
        <f>'مستخلص 25'!H107</f>
        <v/>
      </c>
      <c r="J105" s="28">
        <f>IF(E105=0,0,I105/E105)</f>
        <v/>
      </c>
      <c r="K105" s="74">
        <f>'مستخلص 25'!N107</f>
        <v/>
      </c>
      <c r="L105" s="47">
        <f>IF(G105=0,0,K105/G105)</f>
        <v/>
      </c>
      <c r="M105" s="30">
        <f>IF(C105="","",IF(I105=0,"○ لم يبدأ",IF(AND(G105&gt;0,K105&gt;=G105),"✔ مكتمل",IF(AND(E105&gt;0,I105&gt;=E105),"⚠ مركب بالكامل - نواقص","◔ جاري"))))</f>
        <v/>
      </c>
      <c r="N105" s="61" t="n"/>
    </row>
    <row r="106">
      <c r="A106" s="52" t="inlineStr">
        <is>
          <t>الإجمالي</t>
        </is>
      </c>
      <c r="B106" s="52" t="n"/>
      <c r="C106" s="52" t="n"/>
      <c r="D106" s="52" t="n"/>
      <c r="E106" s="52" t="n"/>
      <c r="F106" s="52" t="n"/>
      <c r="G106" s="75">
        <f>SUM(G6:G105)</f>
        <v/>
      </c>
      <c r="H106" s="54">
        <f>SUM(H6:H105)</f>
        <v/>
      </c>
      <c r="I106" s="52" t="n"/>
      <c r="J106" s="52" t="n"/>
      <c r="K106" s="75">
        <f>SUM(K6:K105)</f>
        <v/>
      </c>
      <c r="L106" s="54">
        <f>IF(G106=0,0,K106/G106)</f>
        <v/>
      </c>
      <c r="M106" s="52" t="n"/>
      <c r="N106" s="52" t="n"/>
    </row>
  </sheetData>
  <autoFilter ref="A5:N105"/>
  <mergeCells count="9">
    <mergeCell ref="F3:G3"/>
    <mergeCell ref="H3:I3"/>
    <mergeCell ref="J3:K3"/>
    <mergeCell ref="A4:N4"/>
    <mergeCell ref="A2:N2"/>
    <mergeCell ref="A106:F106"/>
    <mergeCell ref="D3:E3"/>
    <mergeCell ref="A3:B3"/>
    <mergeCell ref="A1:N1"/>
  </mergeCells>
  <conditionalFormatting sqref="L6:L105">
    <cfRule type="dataBar" priority="1">
      <dataBar>
        <cfvo type="num" val="0"/>
        <cfvo type="num" val="1"/>
        <color rgb="FF2E7D7A"/>
      </dataBar>
    </cfRule>
  </conditionalFormatting>
  <conditionalFormatting sqref="M6:M105">
    <cfRule type="expression" priority="2" dxfId="0">
      <formula>ISNUMBER(SEARCH("✔",M6))</formula>
    </cfRule>
    <cfRule type="expression" priority="3" dxfId="1">
      <formula>ISNUMBER(SEARCH("⚠",M6))</formula>
    </cfRule>
    <cfRule type="expression" priority="4" dxfId="3">
      <formula>ISNUMBER(SEARCH("◔",M6))</formula>
    </cfRule>
  </conditionalFormatting>
  <conditionalFormatting sqref="I6:I105">
    <cfRule type="expression" priority="5" dxfId="2">
      <formula>AND(E6&gt;0,I6&gt;E6)</formula>
    </cfRule>
  </conditionalFormatting>
  <conditionalFormatting sqref="G6:K105">
    <cfRule type="expression" priority="6" dxfId="4">
      <formula>$C6=""</formula>
    </cfRule>
  </conditionalFormatting>
  <dataValidations count="2">
    <dataValidation sqref="B6:B105" showDropDown="0" showInputMessage="1" showErrorMessage="1" allowBlank="1" errorTitle="قيمة غير مسموحة" error="من فضلك اختر قيمة من القائمة المنسدلة." promptTitle="إرشاد" prompt="اختر القسم من القائمة (تعدل الأقسام من صفحة الإعدادات)" type="list" errorStyle="stop">
      <formula1>'الإعدادات'!$C$22:$C$33</formula1>
    </dataValidation>
    <dataValidation sqref="D6:D105" showDropDown="0" showInputMessage="0" showErrorMessage="0" allowBlank="1" errorTitle="قيمة غير مسموحة" error="من فضلك اختر قيمة من القائمة المنسدلة." type="list" errorStyle="warning">
      <formula1>"م.ط,م2,م3,عدد,طقم,نقطة,طن,كجم,لتر,مقطوعية"</formula1>
    </dataValidation>
  </dataValidations>
  <hyperlinks>
    <hyperlink ref="A3" location="'لوحة التحكم'!A1" display="🏠 لوحة التحكم"/>
    <hyperlink ref="C3" location="'الإعدادات'!A1" display="⚙ الإعدادات"/>
    <hyperlink ref="D3" location="'سجل المستخلصات'!A1" display="🗂 سجل المستخلصات"/>
    <hyperlink ref="F3" location="'الدفعات المقدمة'!A1" display="💵 الدفعات المقدمة"/>
    <hyperlink ref="H3" location="'ضمان الأعمال'!A1" display="🔒 ضمان الأعمال"/>
    <hyperlink ref="J3" location="'مستخلص 1'!A1" display="📄 مستخلص 1"/>
  </hyperlinks>
  <printOptions horizontalCentered="1"/>
  <pageMargins left="0.3" right="0.3" top="0.4" bottom="0.4" header="0.5" footer="0.5"/>
  <pageSetup orientation="landscape" paperSize="9" fitToHeight="0" fitToWidth="1"/>
</worksheet>
</file>

<file path=xl/worksheets/sheet5.xml><?xml version="1.0" encoding="utf-8"?>
<worksheet xmlns="http://schemas.openxmlformats.org/spreadsheetml/2006/main">
  <sheetPr>
    <tabColor rgb="FF2E7D7A"/>
    <outlinePr summaryBelow="1" summaryRight="1"/>
    <pageSetUpPr fitToPage="1"/>
  </sheetPr>
  <dimension ref="B1:S31"/>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2" customWidth="1" min="3" max="3"/>
    <col width="11" customWidth="1" min="4" max="4"/>
    <col width="12" customWidth="1" min="5" max="5"/>
    <col width="12" customWidth="1" min="6" max="6"/>
    <col width="15" customWidth="1" min="7" max="7"/>
    <col width="16" customWidth="1" min="8" max="8"/>
    <col width="10" customWidth="1" min="9" max="9"/>
    <col width="14" customWidth="1" min="10" max="10"/>
    <col width="15" customWidth="1" min="11" max="11"/>
    <col width="14" customWidth="1" min="12" max="12"/>
    <col width="14" customWidth="1" min="13" max="13"/>
    <col width="13" customWidth="1" min="14" max="14"/>
    <col width="16" customWidth="1" min="15" max="15"/>
    <col width="15" customWidth="1" min="16" max="16"/>
    <col width="12" customWidth="1" min="17" max="17"/>
    <col width="15" customWidth="1" min="18" max="18"/>
    <col width="18" customWidth="1" min="19" max="19"/>
  </cols>
  <sheetData>
    <row r="1" ht="38" customHeight="1">
      <c r="B1" s="1" t="inlineStr">
        <is>
          <t>🗂 سجل المستخلصات والتحصيل</t>
        </is>
      </c>
      <c r="C1" s="1" t="n"/>
      <c r="D1" s="1" t="n"/>
      <c r="E1" s="1" t="n"/>
      <c r="F1" s="1" t="n"/>
      <c r="G1" s="1" t="n"/>
      <c r="H1" s="1" t="n"/>
      <c r="I1" s="1" t="n"/>
      <c r="J1" s="1" t="n"/>
      <c r="K1" s="1" t="n"/>
      <c r="L1" s="1" t="n"/>
      <c r="M1" s="1" t="n"/>
      <c r="N1" s="1" t="n"/>
      <c r="O1" s="1" t="n"/>
      <c r="P1" s="1" t="n"/>
      <c r="Q1" s="1" t="n"/>
      <c r="R1" s="1" t="n"/>
      <c r="S1" s="1" t="n"/>
    </row>
    <row r="2" ht="20" customHeight="1">
      <c r="B2" s="2">
        <f>'الإعدادات'!$C$6&amp;"   |   العقد رقم: "&amp;'الإعدادات'!$C$7&amp;"   |   المالك: "&amp;'الإعدادات'!$C$8&amp;"   |   المقاول: "&amp;'الإعدادات'!$C$9</f>
        <v/>
      </c>
      <c r="C2" s="2" t="n"/>
      <c r="D2" s="2" t="n"/>
      <c r="E2" s="2" t="n"/>
      <c r="F2" s="2" t="n"/>
      <c r="G2" s="2" t="n"/>
      <c r="H2" s="2" t="n"/>
      <c r="I2" s="2" t="n"/>
      <c r="J2" s="2" t="n"/>
      <c r="K2" s="2" t="n"/>
      <c r="L2" s="2" t="n"/>
      <c r="M2" s="2" t="n"/>
      <c r="N2" s="2" t="n"/>
      <c r="O2" s="2" t="n"/>
      <c r="P2" s="2" t="n"/>
      <c r="Q2" s="2" t="n"/>
      <c r="R2" s="2" t="n"/>
      <c r="S2" s="2" t="n"/>
    </row>
    <row r="3" ht="24" customHeight="1">
      <c r="B3" s="56" t="inlineStr">
        <is>
          <t>🏠 لوحة التحكم</t>
        </is>
      </c>
      <c r="C3" s="56" t="n"/>
      <c r="D3" s="3" t="inlineStr">
        <is>
          <t>⚙ الإعدادات</t>
        </is>
      </c>
      <c r="E3" s="3" t="n"/>
      <c r="F3" s="3" t="inlineStr">
        <is>
          <t>📋 جدول الكميات</t>
        </is>
      </c>
      <c r="G3" s="3" t="n"/>
      <c r="H3" s="3" t="inlineStr">
        <is>
          <t>💵 الدفعات المقدمة</t>
        </is>
      </c>
      <c r="I3" s="3" t="n"/>
      <c r="J3" s="3" t="inlineStr">
        <is>
          <t>🔒 ضمان الأعمال</t>
        </is>
      </c>
      <c r="K3" s="3" t="n"/>
      <c r="L3" s="4" t="inlineStr">
        <is>
          <t>📄 مستخلص 1</t>
        </is>
      </c>
      <c r="M3" s="4" t="n"/>
    </row>
    <row r="4">
      <c r="B4" s="76" t="inlineStr">
        <is>
          <t>هذه الصفحة تتجمع تلقائياً من المستخلصات. أدخل فقط المبالغ المحصلة وتواريخ التحصيل (الأعمدة الصفراء). اضغط على رقم المستخلص للانتقال إليه.</t>
        </is>
      </c>
      <c r="C4" s="76" t="n"/>
      <c r="D4" s="76" t="n"/>
      <c r="E4" s="76" t="n"/>
      <c r="F4" s="76" t="n"/>
      <c r="G4" s="76" t="n"/>
      <c r="H4" s="76" t="n"/>
      <c r="I4" s="76" t="n"/>
      <c r="J4" s="76" t="n"/>
      <c r="K4" s="76" t="n"/>
      <c r="L4" s="76" t="n"/>
      <c r="M4" s="76" t="n"/>
      <c r="N4" s="76" t="n"/>
      <c r="O4" s="76" t="n"/>
      <c r="P4" s="76" t="n"/>
      <c r="Q4" s="76" t="n"/>
      <c r="R4" s="76" t="n"/>
      <c r="S4" s="76" t="n"/>
    </row>
    <row r="5" ht="40" customHeight="1">
      <c r="B5" s="70" t="inlineStr">
        <is>
          <t>رقم المستخلص</t>
        </is>
      </c>
      <c r="C5" s="70" t="inlineStr">
        <is>
          <t>تاريخ المستخلص</t>
        </is>
      </c>
      <c r="D5" s="70" t="inlineStr">
        <is>
          <t>الحالة</t>
        </is>
      </c>
      <c r="E5" s="70" t="inlineStr">
        <is>
          <t>الفترة من</t>
        </is>
      </c>
      <c r="F5" s="70" t="inlineStr">
        <is>
          <t>الفترة إلى</t>
        </is>
      </c>
      <c r="G5" s="70" t="inlineStr">
        <is>
          <t>قيمة الأعمال الحالية</t>
        </is>
      </c>
      <c r="H5" s="70" t="inlineStr">
        <is>
          <t>قيمة الأعمال التراكمية</t>
        </is>
      </c>
      <c r="I5" s="70" t="inlineStr">
        <is>
          <t>نسبة الإنجاز التراكمية</t>
        </is>
      </c>
      <c r="J5" s="70" t="inlineStr">
        <is>
          <t>ضريبة القيمة المضافة</t>
        </is>
      </c>
      <c r="K5" s="70" t="inlineStr">
        <is>
          <t>الإجمالي شامل الضريبة</t>
        </is>
      </c>
      <c r="L5" s="70" t="inlineStr">
        <is>
          <t>استرداد الدفعة المقدمة</t>
        </is>
      </c>
      <c r="M5" s="70" t="inlineStr">
        <is>
          <t>ضمان الأعمال</t>
        </is>
      </c>
      <c r="N5" s="70" t="inlineStr">
        <is>
          <t>خصومات أخرى</t>
        </is>
      </c>
      <c r="O5" s="70" t="inlineStr">
        <is>
          <t>صافي المستحق</t>
        </is>
      </c>
      <c r="P5" s="70" t="inlineStr">
        <is>
          <t>المبلغ المحصّل ✎</t>
        </is>
      </c>
      <c r="Q5" s="70" t="inlineStr">
        <is>
          <t>تاريخ التحصيل ✎</t>
        </is>
      </c>
      <c r="R5" s="70" t="inlineStr">
        <is>
          <t>المتبقي غير المحصل</t>
        </is>
      </c>
      <c r="S5" s="70" t="inlineStr">
        <is>
          <t>حالة التحصيل</t>
        </is>
      </c>
    </row>
    <row r="6">
      <c r="B6" s="77" t="n">
        <v>1</v>
      </c>
      <c r="C6" s="78">
        <f>IF('مستخلص 1'!E4="","",'مستخلص 1'!E4)</f>
        <v/>
      </c>
      <c r="D6" s="30">
        <f>IF(C6="","لم يصدر",IF('مستخلص 1'!H4="","جاري",'مستخلص 1'!H4))</f>
        <v/>
      </c>
      <c r="E6" s="78">
        <f>IF('مستخلص 1'!L4="","",'مستخلص 1'!L4)</f>
        <v/>
      </c>
      <c r="F6" s="78">
        <f>IF('مستخلص 1'!N4="","",'مستخلص 1'!N4)</f>
        <v/>
      </c>
      <c r="G6" s="73">
        <f>'مستخلص 1'!M111</f>
        <v/>
      </c>
      <c r="H6" s="73">
        <f>'مستخلص 1'!N111</f>
        <v/>
      </c>
      <c r="I6" s="28">
        <f>IF('الإعدادات'!$C$19=0,0,H6/'الإعدادات'!$C$19)</f>
        <v/>
      </c>
      <c r="J6" s="73">
        <f>'مستخلص 1'!M112</f>
        <v/>
      </c>
      <c r="K6" s="73">
        <f>'مستخلص 1'!M113</f>
        <v/>
      </c>
      <c r="L6" s="73">
        <f>'مستخلص 1'!M114</f>
        <v/>
      </c>
      <c r="M6" s="73">
        <f>'مستخلص 1'!M115</f>
        <v/>
      </c>
      <c r="N6" s="73">
        <f>'مستخلص 1'!M116</f>
        <v/>
      </c>
      <c r="O6" s="27">
        <f>'مستخلص 1'!M118</f>
        <v/>
      </c>
      <c r="P6" s="72" t="n"/>
      <c r="Q6" s="79" t="n"/>
      <c r="R6" s="27">
        <f>ROUND(O6-P6,2)</f>
        <v/>
      </c>
      <c r="S6" s="30">
        <f>IF(C6="","",IF(O6&lt;=0,"-",IF(P6&gt;=O6,"✔ محصل بالكامل",IF(P6&gt;0,"⚠ محصل جزئياً","✖ غير محصل"))))</f>
        <v/>
      </c>
    </row>
    <row r="7">
      <c r="B7" s="80" t="n">
        <v>2</v>
      </c>
      <c r="C7" s="81">
        <f>IF('مستخلص 2'!E4="","",'مستخلص 2'!E4)</f>
        <v/>
      </c>
      <c r="D7" s="82">
        <f>IF(C7="","لم يصدر",IF('مستخلص 2'!H4="","جاري",'مستخلص 2'!H4))</f>
        <v/>
      </c>
      <c r="E7" s="81">
        <f>IF('مستخلص 2'!L4="","",'مستخلص 2'!L4)</f>
        <v/>
      </c>
      <c r="F7" s="81">
        <f>IF('مستخلص 2'!N4="","",'مستخلص 2'!N4)</f>
        <v/>
      </c>
      <c r="G7" s="83">
        <f>'مستخلص 2'!M111</f>
        <v/>
      </c>
      <c r="H7" s="83">
        <f>'مستخلص 2'!N111</f>
        <v/>
      </c>
      <c r="I7" s="50">
        <f>IF('الإعدادات'!$C$19=0,0,H7/'الإعدادات'!$C$19)</f>
        <v/>
      </c>
      <c r="J7" s="83">
        <f>'مستخلص 2'!M112</f>
        <v/>
      </c>
      <c r="K7" s="83">
        <f>'مستخلص 2'!M113</f>
        <v/>
      </c>
      <c r="L7" s="83">
        <f>'مستخلص 2'!M114</f>
        <v/>
      </c>
      <c r="M7" s="83">
        <f>'مستخلص 2'!M115</f>
        <v/>
      </c>
      <c r="N7" s="83">
        <f>'مستخلص 2'!M116</f>
        <v/>
      </c>
      <c r="O7" s="84">
        <f>'مستخلص 2'!M118</f>
        <v/>
      </c>
      <c r="P7" s="72" t="n"/>
      <c r="Q7" s="79" t="n"/>
      <c r="R7" s="84">
        <f>ROUND(O7-P7,2)</f>
        <v/>
      </c>
      <c r="S7" s="82">
        <f>IF(C7="","",IF(O7&lt;=0,"-",IF(P7&gt;=O7,"✔ محصل بالكامل",IF(P7&gt;0,"⚠ محصل جزئياً","✖ غير محصل"))))</f>
        <v/>
      </c>
    </row>
    <row r="8">
      <c r="B8" s="77" t="n">
        <v>3</v>
      </c>
      <c r="C8" s="78">
        <f>IF('مستخلص 3'!E4="","",'مستخلص 3'!E4)</f>
        <v/>
      </c>
      <c r="D8" s="30">
        <f>IF(C8="","لم يصدر",IF('مستخلص 3'!H4="","جاري",'مستخلص 3'!H4))</f>
        <v/>
      </c>
      <c r="E8" s="78">
        <f>IF('مستخلص 3'!L4="","",'مستخلص 3'!L4)</f>
        <v/>
      </c>
      <c r="F8" s="78">
        <f>IF('مستخلص 3'!N4="","",'مستخلص 3'!N4)</f>
        <v/>
      </c>
      <c r="G8" s="73">
        <f>'مستخلص 3'!M111</f>
        <v/>
      </c>
      <c r="H8" s="73">
        <f>'مستخلص 3'!N111</f>
        <v/>
      </c>
      <c r="I8" s="28">
        <f>IF('الإعدادات'!$C$19=0,0,H8/'الإعدادات'!$C$19)</f>
        <v/>
      </c>
      <c r="J8" s="73">
        <f>'مستخلص 3'!M112</f>
        <v/>
      </c>
      <c r="K8" s="73">
        <f>'مستخلص 3'!M113</f>
        <v/>
      </c>
      <c r="L8" s="73">
        <f>'مستخلص 3'!M114</f>
        <v/>
      </c>
      <c r="M8" s="73">
        <f>'مستخلص 3'!M115</f>
        <v/>
      </c>
      <c r="N8" s="73">
        <f>'مستخلص 3'!M116</f>
        <v/>
      </c>
      <c r="O8" s="27">
        <f>'مستخلص 3'!M118</f>
        <v/>
      </c>
      <c r="P8" s="72" t="n"/>
      <c r="Q8" s="79" t="n"/>
      <c r="R8" s="27">
        <f>ROUND(O8-P8,2)</f>
        <v/>
      </c>
      <c r="S8" s="30">
        <f>IF(C8="","",IF(O8&lt;=0,"-",IF(P8&gt;=O8,"✔ محصل بالكامل",IF(P8&gt;0,"⚠ محصل جزئياً","✖ غير محصل"))))</f>
        <v/>
      </c>
    </row>
    <row r="9">
      <c r="B9" s="80" t="n">
        <v>4</v>
      </c>
      <c r="C9" s="81">
        <f>IF('مستخلص 4'!E4="","",'مستخلص 4'!E4)</f>
        <v/>
      </c>
      <c r="D9" s="82">
        <f>IF(C9="","لم يصدر",IF('مستخلص 4'!H4="","جاري",'مستخلص 4'!H4))</f>
        <v/>
      </c>
      <c r="E9" s="81">
        <f>IF('مستخلص 4'!L4="","",'مستخلص 4'!L4)</f>
        <v/>
      </c>
      <c r="F9" s="81">
        <f>IF('مستخلص 4'!N4="","",'مستخلص 4'!N4)</f>
        <v/>
      </c>
      <c r="G9" s="83">
        <f>'مستخلص 4'!M111</f>
        <v/>
      </c>
      <c r="H9" s="83">
        <f>'مستخلص 4'!N111</f>
        <v/>
      </c>
      <c r="I9" s="50">
        <f>IF('الإعدادات'!$C$19=0,0,H9/'الإعدادات'!$C$19)</f>
        <v/>
      </c>
      <c r="J9" s="83">
        <f>'مستخلص 4'!M112</f>
        <v/>
      </c>
      <c r="K9" s="83">
        <f>'مستخلص 4'!M113</f>
        <v/>
      </c>
      <c r="L9" s="83">
        <f>'مستخلص 4'!M114</f>
        <v/>
      </c>
      <c r="M9" s="83">
        <f>'مستخلص 4'!M115</f>
        <v/>
      </c>
      <c r="N9" s="83">
        <f>'مستخلص 4'!M116</f>
        <v/>
      </c>
      <c r="O9" s="84">
        <f>'مستخلص 4'!M118</f>
        <v/>
      </c>
      <c r="P9" s="72" t="n"/>
      <c r="Q9" s="79" t="n"/>
      <c r="R9" s="84">
        <f>ROUND(O9-P9,2)</f>
        <v/>
      </c>
      <c r="S9" s="82">
        <f>IF(C9="","",IF(O9&lt;=0,"-",IF(P9&gt;=O9,"✔ محصل بالكامل",IF(P9&gt;0,"⚠ محصل جزئياً","✖ غير محصل"))))</f>
        <v/>
      </c>
    </row>
    <row r="10">
      <c r="B10" s="77" t="n">
        <v>5</v>
      </c>
      <c r="C10" s="78">
        <f>IF('مستخلص 5'!E4="","",'مستخلص 5'!E4)</f>
        <v/>
      </c>
      <c r="D10" s="30">
        <f>IF(C10="","لم يصدر",IF('مستخلص 5'!H4="","جاري",'مستخلص 5'!H4))</f>
        <v/>
      </c>
      <c r="E10" s="78">
        <f>IF('مستخلص 5'!L4="","",'مستخلص 5'!L4)</f>
        <v/>
      </c>
      <c r="F10" s="78">
        <f>IF('مستخلص 5'!N4="","",'مستخلص 5'!N4)</f>
        <v/>
      </c>
      <c r="G10" s="73">
        <f>'مستخلص 5'!M111</f>
        <v/>
      </c>
      <c r="H10" s="73">
        <f>'مستخلص 5'!N111</f>
        <v/>
      </c>
      <c r="I10" s="28">
        <f>IF('الإعدادات'!$C$19=0,0,H10/'الإعدادات'!$C$19)</f>
        <v/>
      </c>
      <c r="J10" s="73">
        <f>'مستخلص 5'!M112</f>
        <v/>
      </c>
      <c r="K10" s="73">
        <f>'مستخلص 5'!M113</f>
        <v/>
      </c>
      <c r="L10" s="73">
        <f>'مستخلص 5'!M114</f>
        <v/>
      </c>
      <c r="M10" s="73">
        <f>'مستخلص 5'!M115</f>
        <v/>
      </c>
      <c r="N10" s="73">
        <f>'مستخلص 5'!M116</f>
        <v/>
      </c>
      <c r="O10" s="27">
        <f>'مستخلص 5'!M118</f>
        <v/>
      </c>
      <c r="P10" s="72" t="n"/>
      <c r="Q10" s="79" t="n"/>
      <c r="R10" s="27">
        <f>ROUND(O10-P10,2)</f>
        <v/>
      </c>
      <c r="S10" s="30">
        <f>IF(C10="","",IF(O10&lt;=0,"-",IF(P10&gt;=O10,"✔ محصل بالكامل",IF(P10&gt;0,"⚠ محصل جزئياً","✖ غير محصل"))))</f>
        <v/>
      </c>
    </row>
    <row r="11">
      <c r="B11" s="80" t="n">
        <v>6</v>
      </c>
      <c r="C11" s="81">
        <f>IF('مستخلص 6'!E4="","",'مستخلص 6'!E4)</f>
        <v/>
      </c>
      <c r="D11" s="82">
        <f>IF(C11="","لم يصدر",IF('مستخلص 6'!H4="","جاري",'مستخلص 6'!H4))</f>
        <v/>
      </c>
      <c r="E11" s="81">
        <f>IF('مستخلص 6'!L4="","",'مستخلص 6'!L4)</f>
        <v/>
      </c>
      <c r="F11" s="81">
        <f>IF('مستخلص 6'!N4="","",'مستخلص 6'!N4)</f>
        <v/>
      </c>
      <c r="G11" s="83">
        <f>'مستخلص 6'!M111</f>
        <v/>
      </c>
      <c r="H11" s="83">
        <f>'مستخلص 6'!N111</f>
        <v/>
      </c>
      <c r="I11" s="50">
        <f>IF('الإعدادات'!$C$19=0,0,H11/'الإعدادات'!$C$19)</f>
        <v/>
      </c>
      <c r="J11" s="83">
        <f>'مستخلص 6'!M112</f>
        <v/>
      </c>
      <c r="K11" s="83">
        <f>'مستخلص 6'!M113</f>
        <v/>
      </c>
      <c r="L11" s="83">
        <f>'مستخلص 6'!M114</f>
        <v/>
      </c>
      <c r="M11" s="83">
        <f>'مستخلص 6'!M115</f>
        <v/>
      </c>
      <c r="N11" s="83">
        <f>'مستخلص 6'!M116</f>
        <v/>
      </c>
      <c r="O11" s="84">
        <f>'مستخلص 6'!M118</f>
        <v/>
      </c>
      <c r="P11" s="72" t="n"/>
      <c r="Q11" s="79" t="n"/>
      <c r="R11" s="84">
        <f>ROUND(O11-P11,2)</f>
        <v/>
      </c>
      <c r="S11" s="82">
        <f>IF(C11="","",IF(O11&lt;=0,"-",IF(P11&gt;=O11,"✔ محصل بالكامل",IF(P11&gt;0,"⚠ محصل جزئياً","✖ غير محصل"))))</f>
        <v/>
      </c>
    </row>
    <row r="12">
      <c r="B12" s="77" t="n">
        <v>7</v>
      </c>
      <c r="C12" s="78">
        <f>IF('مستخلص 7'!E4="","",'مستخلص 7'!E4)</f>
        <v/>
      </c>
      <c r="D12" s="30">
        <f>IF(C12="","لم يصدر",IF('مستخلص 7'!H4="","جاري",'مستخلص 7'!H4))</f>
        <v/>
      </c>
      <c r="E12" s="78">
        <f>IF('مستخلص 7'!L4="","",'مستخلص 7'!L4)</f>
        <v/>
      </c>
      <c r="F12" s="78">
        <f>IF('مستخلص 7'!N4="","",'مستخلص 7'!N4)</f>
        <v/>
      </c>
      <c r="G12" s="73">
        <f>'مستخلص 7'!M111</f>
        <v/>
      </c>
      <c r="H12" s="73">
        <f>'مستخلص 7'!N111</f>
        <v/>
      </c>
      <c r="I12" s="28">
        <f>IF('الإعدادات'!$C$19=0,0,H12/'الإعدادات'!$C$19)</f>
        <v/>
      </c>
      <c r="J12" s="73">
        <f>'مستخلص 7'!M112</f>
        <v/>
      </c>
      <c r="K12" s="73">
        <f>'مستخلص 7'!M113</f>
        <v/>
      </c>
      <c r="L12" s="73">
        <f>'مستخلص 7'!M114</f>
        <v/>
      </c>
      <c r="M12" s="73">
        <f>'مستخلص 7'!M115</f>
        <v/>
      </c>
      <c r="N12" s="73">
        <f>'مستخلص 7'!M116</f>
        <v/>
      </c>
      <c r="O12" s="27">
        <f>'مستخلص 7'!M118</f>
        <v/>
      </c>
      <c r="P12" s="72" t="n"/>
      <c r="Q12" s="79" t="n"/>
      <c r="R12" s="27">
        <f>ROUND(O12-P12,2)</f>
        <v/>
      </c>
      <c r="S12" s="30">
        <f>IF(C12="","",IF(O12&lt;=0,"-",IF(P12&gt;=O12,"✔ محصل بالكامل",IF(P12&gt;0,"⚠ محصل جزئياً","✖ غير محصل"))))</f>
        <v/>
      </c>
    </row>
    <row r="13">
      <c r="B13" s="80" t="n">
        <v>8</v>
      </c>
      <c r="C13" s="81">
        <f>IF('مستخلص 8'!E4="","",'مستخلص 8'!E4)</f>
        <v/>
      </c>
      <c r="D13" s="82">
        <f>IF(C13="","لم يصدر",IF('مستخلص 8'!H4="","جاري",'مستخلص 8'!H4))</f>
        <v/>
      </c>
      <c r="E13" s="81">
        <f>IF('مستخلص 8'!L4="","",'مستخلص 8'!L4)</f>
        <v/>
      </c>
      <c r="F13" s="81">
        <f>IF('مستخلص 8'!N4="","",'مستخلص 8'!N4)</f>
        <v/>
      </c>
      <c r="G13" s="83">
        <f>'مستخلص 8'!M111</f>
        <v/>
      </c>
      <c r="H13" s="83">
        <f>'مستخلص 8'!N111</f>
        <v/>
      </c>
      <c r="I13" s="50">
        <f>IF('الإعدادات'!$C$19=0,0,H13/'الإعدادات'!$C$19)</f>
        <v/>
      </c>
      <c r="J13" s="83">
        <f>'مستخلص 8'!M112</f>
        <v/>
      </c>
      <c r="K13" s="83">
        <f>'مستخلص 8'!M113</f>
        <v/>
      </c>
      <c r="L13" s="83">
        <f>'مستخلص 8'!M114</f>
        <v/>
      </c>
      <c r="M13" s="83">
        <f>'مستخلص 8'!M115</f>
        <v/>
      </c>
      <c r="N13" s="83">
        <f>'مستخلص 8'!M116</f>
        <v/>
      </c>
      <c r="O13" s="84">
        <f>'مستخلص 8'!M118</f>
        <v/>
      </c>
      <c r="P13" s="72" t="n"/>
      <c r="Q13" s="79" t="n"/>
      <c r="R13" s="84">
        <f>ROUND(O13-P13,2)</f>
        <v/>
      </c>
      <c r="S13" s="82">
        <f>IF(C13="","",IF(O13&lt;=0,"-",IF(P13&gt;=O13,"✔ محصل بالكامل",IF(P13&gt;0,"⚠ محصل جزئياً","✖ غير محصل"))))</f>
        <v/>
      </c>
    </row>
    <row r="14">
      <c r="B14" s="77" t="n">
        <v>9</v>
      </c>
      <c r="C14" s="78">
        <f>IF('مستخلص 9'!E4="","",'مستخلص 9'!E4)</f>
        <v/>
      </c>
      <c r="D14" s="30">
        <f>IF(C14="","لم يصدر",IF('مستخلص 9'!H4="","جاري",'مستخلص 9'!H4))</f>
        <v/>
      </c>
      <c r="E14" s="78">
        <f>IF('مستخلص 9'!L4="","",'مستخلص 9'!L4)</f>
        <v/>
      </c>
      <c r="F14" s="78">
        <f>IF('مستخلص 9'!N4="","",'مستخلص 9'!N4)</f>
        <v/>
      </c>
      <c r="G14" s="73">
        <f>'مستخلص 9'!M111</f>
        <v/>
      </c>
      <c r="H14" s="73">
        <f>'مستخلص 9'!N111</f>
        <v/>
      </c>
      <c r="I14" s="28">
        <f>IF('الإعدادات'!$C$19=0,0,H14/'الإعدادات'!$C$19)</f>
        <v/>
      </c>
      <c r="J14" s="73">
        <f>'مستخلص 9'!M112</f>
        <v/>
      </c>
      <c r="K14" s="73">
        <f>'مستخلص 9'!M113</f>
        <v/>
      </c>
      <c r="L14" s="73">
        <f>'مستخلص 9'!M114</f>
        <v/>
      </c>
      <c r="M14" s="73">
        <f>'مستخلص 9'!M115</f>
        <v/>
      </c>
      <c r="N14" s="73">
        <f>'مستخلص 9'!M116</f>
        <v/>
      </c>
      <c r="O14" s="27">
        <f>'مستخلص 9'!M118</f>
        <v/>
      </c>
      <c r="P14" s="72" t="n"/>
      <c r="Q14" s="79" t="n"/>
      <c r="R14" s="27">
        <f>ROUND(O14-P14,2)</f>
        <v/>
      </c>
      <c r="S14" s="30">
        <f>IF(C14="","",IF(O14&lt;=0,"-",IF(P14&gt;=O14,"✔ محصل بالكامل",IF(P14&gt;0,"⚠ محصل جزئياً","✖ غير محصل"))))</f>
        <v/>
      </c>
    </row>
    <row r="15">
      <c r="B15" s="80" t="n">
        <v>10</v>
      </c>
      <c r="C15" s="81">
        <f>IF('مستخلص 10'!E4="","",'مستخلص 10'!E4)</f>
        <v/>
      </c>
      <c r="D15" s="82">
        <f>IF(C15="","لم يصدر",IF('مستخلص 10'!H4="","جاري",'مستخلص 10'!H4))</f>
        <v/>
      </c>
      <c r="E15" s="81">
        <f>IF('مستخلص 10'!L4="","",'مستخلص 10'!L4)</f>
        <v/>
      </c>
      <c r="F15" s="81">
        <f>IF('مستخلص 10'!N4="","",'مستخلص 10'!N4)</f>
        <v/>
      </c>
      <c r="G15" s="83">
        <f>'مستخلص 10'!M111</f>
        <v/>
      </c>
      <c r="H15" s="83">
        <f>'مستخلص 10'!N111</f>
        <v/>
      </c>
      <c r="I15" s="50">
        <f>IF('الإعدادات'!$C$19=0,0,H15/'الإعدادات'!$C$19)</f>
        <v/>
      </c>
      <c r="J15" s="83">
        <f>'مستخلص 10'!M112</f>
        <v/>
      </c>
      <c r="K15" s="83">
        <f>'مستخلص 10'!M113</f>
        <v/>
      </c>
      <c r="L15" s="83">
        <f>'مستخلص 10'!M114</f>
        <v/>
      </c>
      <c r="M15" s="83">
        <f>'مستخلص 10'!M115</f>
        <v/>
      </c>
      <c r="N15" s="83">
        <f>'مستخلص 10'!M116</f>
        <v/>
      </c>
      <c r="O15" s="84">
        <f>'مستخلص 10'!M118</f>
        <v/>
      </c>
      <c r="P15" s="72" t="n"/>
      <c r="Q15" s="79" t="n"/>
      <c r="R15" s="84">
        <f>ROUND(O15-P15,2)</f>
        <v/>
      </c>
      <c r="S15" s="82">
        <f>IF(C15="","",IF(O15&lt;=0,"-",IF(P15&gt;=O15,"✔ محصل بالكامل",IF(P15&gt;0,"⚠ محصل جزئياً","✖ غير محصل"))))</f>
        <v/>
      </c>
    </row>
    <row r="16">
      <c r="B16" s="77" t="n">
        <v>11</v>
      </c>
      <c r="C16" s="78">
        <f>IF('مستخلص 11'!E4="","",'مستخلص 11'!E4)</f>
        <v/>
      </c>
      <c r="D16" s="30">
        <f>IF(C16="","لم يصدر",IF('مستخلص 11'!H4="","جاري",'مستخلص 11'!H4))</f>
        <v/>
      </c>
      <c r="E16" s="78">
        <f>IF('مستخلص 11'!L4="","",'مستخلص 11'!L4)</f>
        <v/>
      </c>
      <c r="F16" s="78">
        <f>IF('مستخلص 11'!N4="","",'مستخلص 11'!N4)</f>
        <v/>
      </c>
      <c r="G16" s="73">
        <f>'مستخلص 11'!M111</f>
        <v/>
      </c>
      <c r="H16" s="73">
        <f>'مستخلص 11'!N111</f>
        <v/>
      </c>
      <c r="I16" s="28">
        <f>IF('الإعدادات'!$C$19=0,0,H16/'الإعدادات'!$C$19)</f>
        <v/>
      </c>
      <c r="J16" s="73">
        <f>'مستخلص 11'!M112</f>
        <v/>
      </c>
      <c r="K16" s="73">
        <f>'مستخلص 11'!M113</f>
        <v/>
      </c>
      <c r="L16" s="73">
        <f>'مستخلص 11'!M114</f>
        <v/>
      </c>
      <c r="M16" s="73">
        <f>'مستخلص 11'!M115</f>
        <v/>
      </c>
      <c r="N16" s="73">
        <f>'مستخلص 11'!M116</f>
        <v/>
      </c>
      <c r="O16" s="27">
        <f>'مستخلص 11'!M118</f>
        <v/>
      </c>
      <c r="P16" s="72" t="n"/>
      <c r="Q16" s="79" t="n"/>
      <c r="R16" s="27">
        <f>ROUND(O16-P16,2)</f>
        <v/>
      </c>
      <c r="S16" s="30">
        <f>IF(C16="","",IF(O16&lt;=0,"-",IF(P16&gt;=O16,"✔ محصل بالكامل",IF(P16&gt;0,"⚠ محصل جزئياً","✖ غير محصل"))))</f>
        <v/>
      </c>
    </row>
    <row r="17">
      <c r="B17" s="80" t="n">
        <v>12</v>
      </c>
      <c r="C17" s="81">
        <f>IF('مستخلص 12'!E4="","",'مستخلص 12'!E4)</f>
        <v/>
      </c>
      <c r="D17" s="82">
        <f>IF(C17="","لم يصدر",IF('مستخلص 12'!H4="","جاري",'مستخلص 12'!H4))</f>
        <v/>
      </c>
      <c r="E17" s="81">
        <f>IF('مستخلص 12'!L4="","",'مستخلص 12'!L4)</f>
        <v/>
      </c>
      <c r="F17" s="81">
        <f>IF('مستخلص 12'!N4="","",'مستخلص 12'!N4)</f>
        <v/>
      </c>
      <c r="G17" s="83">
        <f>'مستخلص 12'!M111</f>
        <v/>
      </c>
      <c r="H17" s="83">
        <f>'مستخلص 12'!N111</f>
        <v/>
      </c>
      <c r="I17" s="50">
        <f>IF('الإعدادات'!$C$19=0,0,H17/'الإعدادات'!$C$19)</f>
        <v/>
      </c>
      <c r="J17" s="83">
        <f>'مستخلص 12'!M112</f>
        <v/>
      </c>
      <c r="K17" s="83">
        <f>'مستخلص 12'!M113</f>
        <v/>
      </c>
      <c r="L17" s="83">
        <f>'مستخلص 12'!M114</f>
        <v/>
      </c>
      <c r="M17" s="83">
        <f>'مستخلص 12'!M115</f>
        <v/>
      </c>
      <c r="N17" s="83">
        <f>'مستخلص 12'!M116</f>
        <v/>
      </c>
      <c r="O17" s="84">
        <f>'مستخلص 12'!M118</f>
        <v/>
      </c>
      <c r="P17" s="72" t="n"/>
      <c r="Q17" s="79" t="n"/>
      <c r="R17" s="84">
        <f>ROUND(O17-P17,2)</f>
        <v/>
      </c>
      <c r="S17" s="82">
        <f>IF(C17="","",IF(O17&lt;=0,"-",IF(P17&gt;=O17,"✔ محصل بالكامل",IF(P17&gt;0,"⚠ محصل جزئياً","✖ غير محصل"))))</f>
        <v/>
      </c>
    </row>
    <row r="18">
      <c r="B18" s="77" t="n">
        <v>13</v>
      </c>
      <c r="C18" s="78">
        <f>IF('مستخلص 13'!E4="","",'مستخلص 13'!E4)</f>
        <v/>
      </c>
      <c r="D18" s="30">
        <f>IF(C18="","لم يصدر",IF('مستخلص 13'!H4="","جاري",'مستخلص 13'!H4))</f>
        <v/>
      </c>
      <c r="E18" s="78">
        <f>IF('مستخلص 13'!L4="","",'مستخلص 13'!L4)</f>
        <v/>
      </c>
      <c r="F18" s="78">
        <f>IF('مستخلص 13'!N4="","",'مستخلص 13'!N4)</f>
        <v/>
      </c>
      <c r="G18" s="73">
        <f>'مستخلص 13'!M111</f>
        <v/>
      </c>
      <c r="H18" s="73">
        <f>'مستخلص 13'!N111</f>
        <v/>
      </c>
      <c r="I18" s="28">
        <f>IF('الإعدادات'!$C$19=0,0,H18/'الإعدادات'!$C$19)</f>
        <v/>
      </c>
      <c r="J18" s="73">
        <f>'مستخلص 13'!M112</f>
        <v/>
      </c>
      <c r="K18" s="73">
        <f>'مستخلص 13'!M113</f>
        <v/>
      </c>
      <c r="L18" s="73">
        <f>'مستخلص 13'!M114</f>
        <v/>
      </c>
      <c r="M18" s="73">
        <f>'مستخلص 13'!M115</f>
        <v/>
      </c>
      <c r="N18" s="73">
        <f>'مستخلص 13'!M116</f>
        <v/>
      </c>
      <c r="O18" s="27">
        <f>'مستخلص 13'!M118</f>
        <v/>
      </c>
      <c r="P18" s="72" t="n"/>
      <c r="Q18" s="79" t="n"/>
      <c r="R18" s="27">
        <f>ROUND(O18-P18,2)</f>
        <v/>
      </c>
      <c r="S18" s="30">
        <f>IF(C18="","",IF(O18&lt;=0,"-",IF(P18&gt;=O18,"✔ محصل بالكامل",IF(P18&gt;0,"⚠ محصل جزئياً","✖ غير محصل"))))</f>
        <v/>
      </c>
    </row>
    <row r="19">
      <c r="B19" s="80" t="n">
        <v>14</v>
      </c>
      <c r="C19" s="81">
        <f>IF('مستخلص 14'!E4="","",'مستخلص 14'!E4)</f>
        <v/>
      </c>
      <c r="D19" s="82">
        <f>IF(C19="","لم يصدر",IF('مستخلص 14'!H4="","جاري",'مستخلص 14'!H4))</f>
        <v/>
      </c>
      <c r="E19" s="81">
        <f>IF('مستخلص 14'!L4="","",'مستخلص 14'!L4)</f>
        <v/>
      </c>
      <c r="F19" s="81">
        <f>IF('مستخلص 14'!N4="","",'مستخلص 14'!N4)</f>
        <v/>
      </c>
      <c r="G19" s="83">
        <f>'مستخلص 14'!M111</f>
        <v/>
      </c>
      <c r="H19" s="83">
        <f>'مستخلص 14'!N111</f>
        <v/>
      </c>
      <c r="I19" s="50">
        <f>IF('الإعدادات'!$C$19=0,0,H19/'الإعدادات'!$C$19)</f>
        <v/>
      </c>
      <c r="J19" s="83">
        <f>'مستخلص 14'!M112</f>
        <v/>
      </c>
      <c r="K19" s="83">
        <f>'مستخلص 14'!M113</f>
        <v/>
      </c>
      <c r="L19" s="83">
        <f>'مستخلص 14'!M114</f>
        <v/>
      </c>
      <c r="M19" s="83">
        <f>'مستخلص 14'!M115</f>
        <v/>
      </c>
      <c r="N19" s="83">
        <f>'مستخلص 14'!M116</f>
        <v/>
      </c>
      <c r="O19" s="84">
        <f>'مستخلص 14'!M118</f>
        <v/>
      </c>
      <c r="P19" s="72" t="n"/>
      <c r="Q19" s="79" t="n"/>
      <c r="R19" s="84">
        <f>ROUND(O19-P19,2)</f>
        <v/>
      </c>
      <c r="S19" s="82">
        <f>IF(C19="","",IF(O19&lt;=0,"-",IF(P19&gt;=O19,"✔ محصل بالكامل",IF(P19&gt;0,"⚠ محصل جزئياً","✖ غير محصل"))))</f>
        <v/>
      </c>
    </row>
    <row r="20">
      <c r="B20" s="77" t="n">
        <v>15</v>
      </c>
      <c r="C20" s="78">
        <f>IF('مستخلص 15'!E4="","",'مستخلص 15'!E4)</f>
        <v/>
      </c>
      <c r="D20" s="30">
        <f>IF(C20="","لم يصدر",IF('مستخلص 15'!H4="","جاري",'مستخلص 15'!H4))</f>
        <v/>
      </c>
      <c r="E20" s="78">
        <f>IF('مستخلص 15'!L4="","",'مستخلص 15'!L4)</f>
        <v/>
      </c>
      <c r="F20" s="78">
        <f>IF('مستخلص 15'!N4="","",'مستخلص 15'!N4)</f>
        <v/>
      </c>
      <c r="G20" s="73">
        <f>'مستخلص 15'!M111</f>
        <v/>
      </c>
      <c r="H20" s="73">
        <f>'مستخلص 15'!N111</f>
        <v/>
      </c>
      <c r="I20" s="28">
        <f>IF('الإعدادات'!$C$19=0,0,H20/'الإعدادات'!$C$19)</f>
        <v/>
      </c>
      <c r="J20" s="73">
        <f>'مستخلص 15'!M112</f>
        <v/>
      </c>
      <c r="K20" s="73">
        <f>'مستخلص 15'!M113</f>
        <v/>
      </c>
      <c r="L20" s="73">
        <f>'مستخلص 15'!M114</f>
        <v/>
      </c>
      <c r="M20" s="73">
        <f>'مستخلص 15'!M115</f>
        <v/>
      </c>
      <c r="N20" s="73">
        <f>'مستخلص 15'!M116</f>
        <v/>
      </c>
      <c r="O20" s="27">
        <f>'مستخلص 15'!M118</f>
        <v/>
      </c>
      <c r="P20" s="72" t="n"/>
      <c r="Q20" s="79" t="n"/>
      <c r="R20" s="27">
        <f>ROUND(O20-P20,2)</f>
        <v/>
      </c>
      <c r="S20" s="30">
        <f>IF(C20="","",IF(O20&lt;=0,"-",IF(P20&gt;=O20,"✔ محصل بالكامل",IF(P20&gt;0,"⚠ محصل جزئياً","✖ غير محصل"))))</f>
        <v/>
      </c>
    </row>
    <row r="21">
      <c r="B21" s="80" t="n">
        <v>16</v>
      </c>
      <c r="C21" s="81">
        <f>IF('مستخلص 16'!E4="","",'مستخلص 16'!E4)</f>
        <v/>
      </c>
      <c r="D21" s="82">
        <f>IF(C21="","لم يصدر",IF('مستخلص 16'!H4="","جاري",'مستخلص 16'!H4))</f>
        <v/>
      </c>
      <c r="E21" s="81">
        <f>IF('مستخلص 16'!L4="","",'مستخلص 16'!L4)</f>
        <v/>
      </c>
      <c r="F21" s="81">
        <f>IF('مستخلص 16'!N4="","",'مستخلص 16'!N4)</f>
        <v/>
      </c>
      <c r="G21" s="83">
        <f>'مستخلص 16'!M111</f>
        <v/>
      </c>
      <c r="H21" s="83">
        <f>'مستخلص 16'!N111</f>
        <v/>
      </c>
      <c r="I21" s="50">
        <f>IF('الإعدادات'!$C$19=0,0,H21/'الإعدادات'!$C$19)</f>
        <v/>
      </c>
      <c r="J21" s="83">
        <f>'مستخلص 16'!M112</f>
        <v/>
      </c>
      <c r="K21" s="83">
        <f>'مستخلص 16'!M113</f>
        <v/>
      </c>
      <c r="L21" s="83">
        <f>'مستخلص 16'!M114</f>
        <v/>
      </c>
      <c r="M21" s="83">
        <f>'مستخلص 16'!M115</f>
        <v/>
      </c>
      <c r="N21" s="83">
        <f>'مستخلص 16'!M116</f>
        <v/>
      </c>
      <c r="O21" s="84">
        <f>'مستخلص 16'!M118</f>
        <v/>
      </c>
      <c r="P21" s="72" t="n"/>
      <c r="Q21" s="79" t="n"/>
      <c r="R21" s="84">
        <f>ROUND(O21-P21,2)</f>
        <v/>
      </c>
      <c r="S21" s="82">
        <f>IF(C21="","",IF(O21&lt;=0,"-",IF(P21&gt;=O21,"✔ محصل بالكامل",IF(P21&gt;0,"⚠ محصل جزئياً","✖ غير محصل"))))</f>
        <v/>
      </c>
    </row>
    <row r="22">
      <c r="B22" s="77" t="n">
        <v>17</v>
      </c>
      <c r="C22" s="78">
        <f>IF('مستخلص 17'!E4="","",'مستخلص 17'!E4)</f>
        <v/>
      </c>
      <c r="D22" s="30">
        <f>IF(C22="","لم يصدر",IF('مستخلص 17'!H4="","جاري",'مستخلص 17'!H4))</f>
        <v/>
      </c>
      <c r="E22" s="78">
        <f>IF('مستخلص 17'!L4="","",'مستخلص 17'!L4)</f>
        <v/>
      </c>
      <c r="F22" s="78">
        <f>IF('مستخلص 17'!N4="","",'مستخلص 17'!N4)</f>
        <v/>
      </c>
      <c r="G22" s="73">
        <f>'مستخلص 17'!M111</f>
        <v/>
      </c>
      <c r="H22" s="73">
        <f>'مستخلص 17'!N111</f>
        <v/>
      </c>
      <c r="I22" s="28">
        <f>IF('الإعدادات'!$C$19=0,0,H22/'الإعدادات'!$C$19)</f>
        <v/>
      </c>
      <c r="J22" s="73">
        <f>'مستخلص 17'!M112</f>
        <v/>
      </c>
      <c r="K22" s="73">
        <f>'مستخلص 17'!M113</f>
        <v/>
      </c>
      <c r="L22" s="73">
        <f>'مستخلص 17'!M114</f>
        <v/>
      </c>
      <c r="M22" s="73">
        <f>'مستخلص 17'!M115</f>
        <v/>
      </c>
      <c r="N22" s="73">
        <f>'مستخلص 17'!M116</f>
        <v/>
      </c>
      <c r="O22" s="27">
        <f>'مستخلص 17'!M118</f>
        <v/>
      </c>
      <c r="P22" s="72" t="n"/>
      <c r="Q22" s="79" t="n"/>
      <c r="R22" s="27">
        <f>ROUND(O22-P22,2)</f>
        <v/>
      </c>
      <c r="S22" s="30">
        <f>IF(C22="","",IF(O22&lt;=0,"-",IF(P22&gt;=O22,"✔ محصل بالكامل",IF(P22&gt;0,"⚠ محصل جزئياً","✖ غير محصل"))))</f>
        <v/>
      </c>
    </row>
    <row r="23">
      <c r="B23" s="80" t="n">
        <v>18</v>
      </c>
      <c r="C23" s="81">
        <f>IF('مستخلص 18'!E4="","",'مستخلص 18'!E4)</f>
        <v/>
      </c>
      <c r="D23" s="82">
        <f>IF(C23="","لم يصدر",IF('مستخلص 18'!H4="","جاري",'مستخلص 18'!H4))</f>
        <v/>
      </c>
      <c r="E23" s="81">
        <f>IF('مستخلص 18'!L4="","",'مستخلص 18'!L4)</f>
        <v/>
      </c>
      <c r="F23" s="81">
        <f>IF('مستخلص 18'!N4="","",'مستخلص 18'!N4)</f>
        <v/>
      </c>
      <c r="G23" s="83">
        <f>'مستخلص 18'!M111</f>
        <v/>
      </c>
      <c r="H23" s="83">
        <f>'مستخلص 18'!N111</f>
        <v/>
      </c>
      <c r="I23" s="50">
        <f>IF('الإعدادات'!$C$19=0,0,H23/'الإعدادات'!$C$19)</f>
        <v/>
      </c>
      <c r="J23" s="83">
        <f>'مستخلص 18'!M112</f>
        <v/>
      </c>
      <c r="K23" s="83">
        <f>'مستخلص 18'!M113</f>
        <v/>
      </c>
      <c r="L23" s="83">
        <f>'مستخلص 18'!M114</f>
        <v/>
      </c>
      <c r="M23" s="83">
        <f>'مستخلص 18'!M115</f>
        <v/>
      </c>
      <c r="N23" s="83">
        <f>'مستخلص 18'!M116</f>
        <v/>
      </c>
      <c r="O23" s="84">
        <f>'مستخلص 18'!M118</f>
        <v/>
      </c>
      <c r="P23" s="72" t="n"/>
      <c r="Q23" s="79" t="n"/>
      <c r="R23" s="84">
        <f>ROUND(O23-P23,2)</f>
        <v/>
      </c>
      <c r="S23" s="82">
        <f>IF(C23="","",IF(O23&lt;=0,"-",IF(P23&gt;=O23,"✔ محصل بالكامل",IF(P23&gt;0,"⚠ محصل جزئياً","✖ غير محصل"))))</f>
        <v/>
      </c>
    </row>
    <row r="24">
      <c r="B24" s="77" t="n">
        <v>19</v>
      </c>
      <c r="C24" s="78">
        <f>IF('مستخلص 19'!E4="","",'مستخلص 19'!E4)</f>
        <v/>
      </c>
      <c r="D24" s="30">
        <f>IF(C24="","لم يصدر",IF('مستخلص 19'!H4="","جاري",'مستخلص 19'!H4))</f>
        <v/>
      </c>
      <c r="E24" s="78">
        <f>IF('مستخلص 19'!L4="","",'مستخلص 19'!L4)</f>
        <v/>
      </c>
      <c r="F24" s="78">
        <f>IF('مستخلص 19'!N4="","",'مستخلص 19'!N4)</f>
        <v/>
      </c>
      <c r="G24" s="73">
        <f>'مستخلص 19'!M111</f>
        <v/>
      </c>
      <c r="H24" s="73">
        <f>'مستخلص 19'!N111</f>
        <v/>
      </c>
      <c r="I24" s="28">
        <f>IF('الإعدادات'!$C$19=0,0,H24/'الإعدادات'!$C$19)</f>
        <v/>
      </c>
      <c r="J24" s="73">
        <f>'مستخلص 19'!M112</f>
        <v/>
      </c>
      <c r="K24" s="73">
        <f>'مستخلص 19'!M113</f>
        <v/>
      </c>
      <c r="L24" s="73">
        <f>'مستخلص 19'!M114</f>
        <v/>
      </c>
      <c r="M24" s="73">
        <f>'مستخلص 19'!M115</f>
        <v/>
      </c>
      <c r="N24" s="73">
        <f>'مستخلص 19'!M116</f>
        <v/>
      </c>
      <c r="O24" s="27">
        <f>'مستخلص 19'!M118</f>
        <v/>
      </c>
      <c r="P24" s="72" t="n"/>
      <c r="Q24" s="79" t="n"/>
      <c r="R24" s="27">
        <f>ROUND(O24-P24,2)</f>
        <v/>
      </c>
      <c r="S24" s="30">
        <f>IF(C24="","",IF(O24&lt;=0,"-",IF(P24&gt;=O24,"✔ محصل بالكامل",IF(P24&gt;0,"⚠ محصل جزئياً","✖ غير محصل"))))</f>
        <v/>
      </c>
    </row>
    <row r="25">
      <c r="B25" s="80" t="n">
        <v>20</v>
      </c>
      <c r="C25" s="81">
        <f>IF('مستخلص 20'!E4="","",'مستخلص 20'!E4)</f>
        <v/>
      </c>
      <c r="D25" s="82">
        <f>IF(C25="","لم يصدر",IF('مستخلص 20'!H4="","جاري",'مستخلص 20'!H4))</f>
        <v/>
      </c>
      <c r="E25" s="81">
        <f>IF('مستخلص 20'!L4="","",'مستخلص 20'!L4)</f>
        <v/>
      </c>
      <c r="F25" s="81">
        <f>IF('مستخلص 20'!N4="","",'مستخلص 20'!N4)</f>
        <v/>
      </c>
      <c r="G25" s="83">
        <f>'مستخلص 20'!M111</f>
        <v/>
      </c>
      <c r="H25" s="83">
        <f>'مستخلص 20'!N111</f>
        <v/>
      </c>
      <c r="I25" s="50">
        <f>IF('الإعدادات'!$C$19=0,0,H25/'الإعدادات'!$C$19)</f>
        <v/>
      </c>
      <c r="J25" s="83">
        <f>'مستخلص 20'!M112</f>
        <v/>
      </c>
      <c r="K25" s="83">
        <f>'مستخلص 20'!M113</f>
        <v/>
      </c>
      <c r="L25" s="83">
        <f>'مستخلص 20'!M114</f>
        <v/>
      </c>
      <c r="M25" s="83">
        <f>'مستخلص 20'!M115</f>
        <v/>
      </c>
      <c r="N25" s="83">
        <f>'مستخلص 20'!M116</f>
        <v/>
      </c>
      <c r="O25" s="84">
        <f>'مستخلص 20'!M118</f>
        <v/>
      </c>
      <c r="P25" s="72" t="n"/>
      <c r="Q25" s="79" t="n"/>
      <c r="R25" s="84">
        <f>ROUND(O25-P25,2)</f>
        <v/>
      </c>
      <c r="S25" s="82">
        <f>IF(C25="","",IF(O25&lt;=0,"-",IF(P25&gt;=O25,"✔ محصل بالكامل",IF(P25&gt;0,"⚠ محصل جزئياً","✖ غير محصل"))))</f>
        <v/>
      </c>
    </row>
    <row r="26">
      <c r="B26" s="77" t="n">
        <v>21</v>
      </c>
      <c r="C26" s="78">
        <f>IF('مستخلص 21'!E4="","",'مستخلص 21'!E4)</f>
        <v/>
      </c>
      <c r="D26" s="30">
        <f>IF(C26="","لم يصدر",IF('مستخلص 21'!H4="","جاري",'مستخلص 21'!H4))</f>
        <v/>
      </c>
      <c r="E26" s="78">
        <f>IF('مستخلص 21'!L4="","",'مستخلص 21'!L4)</f>
        <v/>
      </c>
      <c r="F26" s="78">
        <f>IF('مستخلص 21'!N4="","",'مستخلص 21'!N4)</f>
        <v/>
      </c>
      <c r="G26" s="73">
        <f>'مستخلص 21'!M111</f>
        <v/>
      </c>
      <c r="H26" s="73">
        <f>'مستخلص 21'!N111</f>
        <v/>
      </c>
      <c r="I26" s="28">
        <f>IF('الإعدادات'!$C$19=0,0,H26/'الإعدادات'!$C$19)</f>
        <v/>
      </c>
      <c r="J26" s="73">
        <f>'مستخلص 21'!M112</f>
        <v/>
      </c>
      <c r="K26" s="73">
        <f>'مستخلص 21'!M113</f>
        <v/>
      </c>
      <c r="L26" s="73">
        <f>'مستخلص 21'!M114</f>
        <v/>
      </c>
      <c r="M26" s="73">
        <f>'مستخلص 21'!M115</f>
        <v/>
      </c>
      <c r="N26" s="73">
        <f>'مستخلص 21'!M116</f>
        <v/>
      </c>
      <c r="O26" s="27">
        <f>'مستخلص 21'!M118</f>
        <v/>
      </c>
      <c r="P26" s="72" t="n"/>
      <c r="Q26" s="79" t="n"/>
      <c r="R26" s="27">
        <f>ROUND(O26-P26,2)</f>
        <v/>
      </c>
      <c r="S26" s="30">
        <f>IF(C26="","",IF(O26&lt;=0,"-",IF(P26&gt;=O26,"✔ محصل بالكامل",IF(P26&gt;0,"⚠ محصل جزئياً","✖ غير محصل"))))</f>
        <v/>
      </c>
    </row>
    <row r="27">
      <c r="B27" s="80" t="n">
        <v>22</v>
      </c>
      <c r="C27" s="81">
        <f>IF('مستخلص 22'!E4="","",'مستخلص 22'!E4)</f>
        <v/>
      </c>
      <c r="D27" s="82">
        <f>IF(C27="","لم يصدر",IF('مستخلص 22'!H4="","جاري",'مستخلص 22'!H4))</f>
        <v/>
      </c>
      <c r="E27" s="81">
        <f>IF('مستخلص 22'!L4="","",'مستخلص 22'!L4)</f>
        <v/>
      </c>
      <c r="F27" s="81">
        <f>IF('مستخلص 22'!N4="","",'مستخلص 22'!N4)</f>
        <v/>
      </c>
      <c r="G27" s="83">
        <f>'مستخلص 22'!M111</f>
        <v/>
      </c>
      <c r="H27" s="83">
        <f>'مستخلص 22'!N111</f>
        <v/>
      </c>
      <c r="I27" s="50">
        <f>IF('الإعدادات'!$C$19=0,0,H27/'الإعدادات'!$C$19)</f>
        <v/>
      </c>
      <c r="J27" s="83">
        <f>'مستخلص 22'!M112</f>
        <v/>
      </c>
      <c r="K27" s="83">
        <f>'مستخلص 22'!M113</f>
        <v/>
      </c>
      <c r="L27" s="83">
        <f>'مستخلص 22'!M114</f>
        <v/>
      </c>
      <c r="M27" s="83">
        <f>'مستخلص 22'!M115</f>
        <v/>
      </c>
      <c r="N27" s="83">
        <f>'مستخلص 22'!M116</f>
        <v/>
      </c>
      <c r="O27" s="84">
        <f>'مستخلص 22'!M118</f>
        <v/>
      </c>
      <c r="P27" s="72" t="n"/>
      <c r="Q27" s="79" t="n"/>
      <c r="R27" s="84">
        <f>ROUND(O27-P27,2)</f>
        <v/>
      </c>
      <c r="S27" s="82">
        <f>IF(C27="","",IF(O27&lt;=0,"-",IF(P27&gt;=O27,"✔ محصل بالكامل",IF(P27&gt;0,"⚠ محصل جزئياً","✖ غير محصل"))))</f>
        <v/>
      </c>
    </row>
    <row r="28">
      <c r="B28" s="77" t="n">
        <v>23</v>
      </c>
      <c r="C28" s="78">
        <f>IF('مستخلص 23'!E4="","",'مستخلص 23'!E4)</f>
        <v/>
      </c>
      <c r="D28" s="30">
        <f>IF(C28="","لم يصدر",IF('مستخلص 23'!H4="","جاري",'مستخلص 23'!H4))</f>
        <v/>
      </c>
      <c r="E28" s="78">
        <f>IF('مستخلص 23'!L4="","",'مستخلص 23'!L4)</f>
        <v/>
      </c>
      <c r="F28" s="78">
        <f>IF('مستخلص 23'!N4="","",'مستخلص 23'!N4)</f>
        <v/>
      </c>
      <c r="G28" s="73">
        <f>'مستخلص 23'!M111</f>
        <v/>
      </c>
      <c r="H28" s="73">
        <f>'مستخلص 23'!N111</f>
        <v/>
      </c>
      <c r="I28" s="28">
        <f>IF('الإعدادات'!$C$19=0,0,H28/'الإعدادات'!$C$19)</f>
        <v/>
      </c>
      <c r="J28" s="73">
        <f>'مستخلص 23'!M112</f>
        <v/>
      </c>
      <c r="K28" s="73">
        <f>'مستخلص 23'!M113</f>
        <v/>
      </c>
      <c r="L28" s="73">
        <f>'مستخلص 23'!M114</f>
        <v/>
      </c>
      <c r="M28" s="73">
        <f>'مستخلص 23'!M115</f>
        <v/>
      </c>
      <c r="N28" s="73">
        <f>'مستخلص 23'!M116</f>
        <v/>
      </c>
      <c r="O28" s="27">
        <f>'مستخلص 23'!M118</f>
        <v/>
      </c>
      <c r="P28" s="72" t="n"/>
      <c r="Q28" s="79" t="n"/>
      <c r="R28" s="27">
        <f>ROUND(O28-P28,2)</f>
        <v/>
      </c>
      <c r="S28" s="30">
        <f>IF(C28="","",IF(O28&lt;=0,"-",IF(P28&gt;=O28,"✔ محصل بالكامل",IF(P28&gt;0,"⚠ محصل جزئياً","✖ غير محصل"))))</f>
        <v/>
      </c>
    </row>
    <row r="29">
      <c r="B29" s="80" t="n">
        <v>24</v>
      </c>
      <c r="C29" s="81">
        <f>IF('مستخلص 24'!E4="","",'مستخلص 24'!E4)</f>
        <v/>
      </c>
      <c r="D29" s="82">
        <f>IF(C29="","لم يصدر",IF('مستخلص 24'!H4="","جاري",'مستخلص 24'!H4))</f>
        <v/>
      </c>
      <c r="E29" s="81">
        <f>IF('مستخلص 24'!L4="","",'مستخلص 24'!L4)</f>
        <v/>
      </c>
      <c r="F29" s="81">
        <f>IF('مستخلص 24'!N4="","",'مستخلص 24'!N4)</f>
        <v/>
      </c>
      <c r="G29" s="83">
        <f>'مستخلص 24'!M111</f>
        <v/>
      </c>
      <c r="H29" s="83">
        <f>'مستخلص 24'!N111</f>
        <v/>
      </c>
      <c r="I29" s="50">
        <f>IF('الإعدادات'!$C$19=0,0,H29/'الإعدادات'!$C$19)</f>
        <v/>
      </c>
      <c r="J29" s="83">
        <f>'مستخلص 24'!M112</f>
        <v/>
      </c>
      <c r="K29" s="83">
        <f>'مستخلص 24'!M113</f>
        <v/>
      </c>
      <c r="L29" s="83">
        <f>'مستخلص 24'!M114</f>
        <v/>
      </c>
      <c r="M29" s="83">
        <f>'مستخلص 24'!M115</f>
        <v/>
      </c>
      <c r="N29" s="83">
        <f>'مستخلص 24'!M116</f>
        <v/>
      </c>
      <c r="O29" s="84">
        <f>'مستخلص 24'!M118</f>
        <v/>
      </c>
      <c r="P29" s="72" t="n"/>
      <c r="Q29" s="79" t="n"/>
      <c r="R29" s="84">
        <f>ROUND(O29-P29,2)</f>
        <v/>
      </c>
      <c r="S29" s="82">
        <f>IF(C29="","",IF(O29&lt;=0,"-",IF(P29&gt;=O29,"✔ محصل بالكامل",IF(P29&gt;0,"⚠ محصل جزئياً","✖ غير محصل"))))</f>
        <v/>
      </c>
    </row>
    <row r="30">
      <c r="B30" s="77" t="n">
        <v>25</v>
      </c>
      <c r="C30" s="78">
        <f>IF('مستخلص 25'!E4="","",'مستخلص 25'!E4)</f>
        <v/>
      </c>
      <c r="D30" s="30">
        <f>IF(C30="","لم يصدر",IF('مستخلص 25'!H4="","جاري",'مستخلص 25'!H4))</f>
        <v/>
      </c>
      <c r="E30" s="78">
        <f>IF('مستخلص 25'!L4="","",'مستخلص 25'!L4)</f>
        <v/>
      </c>
      <c r="F30" s="78">
        <f>IF('مستخلص 25'!N4="","",'مستخلص 25'!N4)</f>
        <v/>
      </c>
      <c r="G30" s="73">
        <f>'مستخلص 25'!M111</f>
        <v/>
      </c>
      <c r="H30" s="73">
        <f>'مستخلص 25'!N111</f>
        <v/>
      </c>
      <c r="I30" s="28">
        <f>IF('الإعدادات'!$C$19=0,0,H30/'الإعدادات'!$C$19)</f>
        <v/>
      </c>
      <c r="J30" s="73">
        <f>'مستخلص 25'!M112</f>
        <v/>
      </c>
      <c r="K30" s="73">
        <f>'مستخلص 25'!M113</f>
        <v/>
      </c>
      <c r="L30" s="73">
        <f>'مستخلص 25'!M114</f>
        <v/>
      </c>
      <c r="M30" s="73">
        <f>'مستخلص 25'!M115</f>
        <v/>
      </c>
      <c r="N30" s="73">
        <f>'مستخلص 25'!M116</f>
        <v/>
      </c>
      <c r="O30" s="27">
        <f>'مستخلص 25'!M118</f>
        <v/>
      </c>
      <c r="P30" s="72" t="n"/>
      <c r="Q30" s="79" t="n"/>
      <c r="R30" s="27">
        <f>ROUND(O30-P30,2)</f>
        <v/>
      </c>
      <c r="S30" s="30">
        <f>IF(C30="","",IF(O30&lt;=0,"-",IF(P30&gt;=O30,"✔ محصل بالكامل",IF(P30&gt;0,"⚠ محصل جزئياً","✖ غير محصل"))))</f>
        <v/>
      </c>
    </row>
    <row r="31" ht="24" customHeight="1">
      <c r="B31" s="52" t="inlineStr">
        <is>
          <t>الإجمالي</t>
        </is>
      </c>
      <c r="C31" s="52" t="n"/>
      <c r="D31" s="52" t="n"/>
      <c r="E31" s="52" t="n"/>
      <c r="F31" s="52" t="n"/>
      <c r="G31" s="75">
        <f>SUM(G6:G30)</f>
        <v/>
      </c>
      <c r="H31" s="75">
        <f>MAX(H6:H30)</f>
        <v/>
      </c>
      <c r="I31" s="54">
        <f>IF('الإعدادات'!$C$19=0,0,H31/'الإعدادات'!$C$19)</f>
        <v/>
      </c>
      <c r="J31" s="75">
        <f>SUM(J6:J30)</f>
        <v/>
      </c>
      <c r="K31" s="75">
        <f>SUM(K6:K30)</f>
        <v/>
      </c>
      <c r="L31" s="75">
        <f>SUM(L6:L30)</f>
        <v/>
      </c>
      <c r="M31" s="75">
        <f>SUM(M6:M30)</f>
        <v/>
      </c>
      <c r="N31" s="75">
        <f>SUM(N6:N30)</f>
        <v/>
      </c>
      <c r="O31" s="75">
        <f>SUM(O6:O30)</f>
        <v/>
      </c>
      <c r="P31" s="75">
        <f>SUM(P6:P30)</f>
        <v/>
      </c>
      <c r="Q31" s="75" t="n"/>
      <c r="R31" s="75">
        <f>SUM(R6:R30)</f>
        <v/>
      </c>
      <c r="S31" s="75" t="n"/>
    </row>
  </sheetData>
  <mergeCells count="10">
    <mergeCell ref="F3:G3"/>
    <mergeCell ref="L3:M3"/>
    <mergeCell ref="J3:K3"/>
    <mergeCell ref="B2:S2"/>
    <mergeCell ref="B3:C3"/>
    <mergeCell ref="B31:F31"/>
    <mergeCell ref="B1:S1"/>
    <mergeCell ref="D3:E3"/>
    <mergeCell ref="B4:S4"/>
    <mergeCell ref="H3:I3"/>
  </mergeCells>
  <conditionalFormatting sqref="B6:S30">
    <cfRule type="expression" priority="1" dxfId="5">
      <formula>$D6="لم يصدر"</formula>
    </cfRule>
  </conditionalFormatting>
  <conditionalFormatting sqref="S6:S30">
    <cfRule type="expression" priority="2" dxfId="0">
      <formula>ISNUMBER(SEARCH("✔",S6))</formula>
    </cfRule>
    <cfRule type="expression" priority="3" dxfId="1">
      <formula>ISNUMBER(SEARCH("⚠",S6))</formula>
    </cfRule>
    <cfRule type="expression" priority="4" dxfId="2">
      <formula>ISNUMBER(SEARCH("✖",S6))</formula>
    </cfRule>
  </conditionalFormatting>
  <conditionalFormatting sqref="I6:I30">
    <cfRule type="dataBar" priority="5">
      <dataBar>
        <cfvo type="num" val="0"/>
        <cfvo type="num" val="1"/>
        <color rgb="FF2E7D7A"/>
      </dataBar>
    </cfRule>
  </conditionalFormatting>
  <dataValidations count="1">
    <dataValidation sqref="Q6:Q30" showDropDown="0" showInputMessage="0" showErrorMessage="1" allowBlank="1" errorTitle="تاريخ غير صحيح" error="أدخل تاريخاً صحيحاً (مثال: 2025/10/08)" type="date" operator="greaterThan">
      <formula1>36526</formula1>
    </dataValidation>
  </dataValidations>
  <hyperlinks>
    <hyperlink ref="B3" location="'لوحة التحكم'!A1" display="🏠 لوحة التحكم"/>
    <hyperlink ref="D3" location="'الإعدادات'!A1" display="⚙ الإعدادات"/>
    <hyperlink ref="F3" location="'جدول الكميات'!A1" display="📋 جدول الكميات"/>
    <hyperlink ref="H3" location="'الدفعات المقدمة'!A1" display="💵 الدفعات المقدمة"/>
    <hyperlink ref="J3" location="'ضمان الأعمال'!A1" display="🔒 ضمان الأعمال"/>
    <hyperlink ref="L3" location="'مستخلص 1'!A1" display="📄 مستخلص 1"/>
    <hyperlink ref="B6" location="'مستخلص 1'!A1" display="1"/>
    <hyperlink ref="B7" location="'مستخلص 2'!A1" display="2"/>
    <hyperlink ref="B8" location="'مستخلص 3'!A1" display="3"/>
    <hyperlink ref="B9" location="'مستخلص 4'!A1" display="4"/>
    <hyperlink ref="B10" location="'مستخلص 5'!A1" display="5"/>
    <hyperlink ref="B11" location="'مستخلص 6'!A1" display="6"/>
    <hyperlink ref="B12" location="'مستخلص 7'!A1" display="7"/>
    <hyperlink ref="B13" location="'مستخلص 8'!A1" display="8"/>
    <hyperlink ref="B14" location="'مستخلص 9'!A1" display="9"/>
    <hyperlink ref="B15" location="'مستخلص 10'!A1" display="10"/>
    <hyperlink ref="B16" location="'مستخلص 11'!A1" display="11"/>
    <hyperlink ref="B17" location="'مستخلص 12'!A1" display="12"/>
    <hyperlink ref="B18" location="'مستخلص 13'!A1" display="13"/>
    <hyperlink ref="B19" location="'مستخلص 14'!A1" display="14"/>
    <hyperlink ref="B20" location="'مستخلص 15'!A1" display="15"/>
    <hyperlink ref="B21" location="'مستخلص 16'!A1" display="16"/>
    <hyperlink ref="B22" location="'مستخلص 17'!A1" display="17"/>
    <hyperlink ref="B23" location="'مستخلص 18'!A1" display="18"/>
    <hyperlink ref="B24" location="'مستخلص 19'!A1" display="19"/>
    <hyperlink ref="B25" location="'مستخلص 20'!A1" display="20"/>
    <hyperlink ref="B26" location="'مستخلص 21'!A1" display="21"/>
    <hyperlink ref="B27" location="'مستخلص 22'!A1" display="22"/>
    <hyperlink ref="B28" location="'مستخلص 23'!A1" display="23"/>
    <hyperlink ref="B29" location="'مستخلص 24'!A1" display="24"/>
    <hyperlink ref="B30" location="'مستخلص 25'!A1" display="25"/>
  </hyperlinks>
  <printOptions horizontalCentered="1"/>
  <pageMargins left="0.3" right="0.3" top="0.4" bottom="0.4" header="0.5" footer="0.5"/>
  <pageSetup orientation="landscape" paperSize="9" fitToHeight="0" fitToWidth="1"/>
</worksheet>
</file>

<file path=xl/worksheets/sheet6.xml><?xml version="1.0" encoding="utf-8"?>
<worksheet xmlns="http://schemas.openxmlformats.org/spreadsheetml/2006/main">
  <sheetPr>
    <tabColor rgb="FF6A1B9A"/>
    <outlinePr summaryBelow="1" summaryRight="1"/>
    <pageSetUpPr fitToPage="1"/>
  </sheetPr>
  <dimension ref="B1:N50"/>
  <sheetViews>
    <sheetView showGridLines="0"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2" customWidth="1" min="2" max="2"/>
    <col width="13" customWidth="1" min="3" max="3"/>
    <col width="16" customWidth="1" min="4" max="4"/>
    <col width="12" customWidth="1" min="5" max="5"/>
    <col width="14" customWidth="1" min="6" max="6"/>
    <col width="13" customWidth="1" min="7" max="7"/>
    <col width="15" customWidth="1" min="8" max="8"/>
    <col width="15" customWidth="1" min="9" max="9"/>
    <col width="16" customWidth="1" min="10" max="10"/>
    <col width="16" customWidth="1" min="11" max="11"/>
    <col width="13" customWidth="1" min="12" max="12"/>
    <col width="2" customWidth="1" min="13" max="13"/>
    <col width="40" customWidth="1" min="14" max="14"/>
  </cols>
  <sheetData>
    <row r="1" ht="38" customHeight="1">
      <c r="B1" s="1" t="inlineStr">
        <is>
          <t>💵 الدفعات المقدمة واستردادها</t>
        </is>
      </c>
      <c r="C1" s="1" t="n"/>
      <c r="D1" s="1" t="n"/>
      <c r="E1" s="1" t="n"/>
      <c r="F1" s="1" t="n"/>
      <c r="G1" s="1" t="n"/>
      <c r="H1" s="1" t="n"/>
      <c r="I1" s="1" t="n"/>
      <c r="J1" s="1" t="n"/>
      <c r="K1" s="1" t="n"/>
      <c r="L1" s="1" t="n"/>
      <c r="M1" s="1" t="n"/>
      <c r="N1" s="1" t="n"/>
    </row>
    <row r="2" ht="20" customHeight="1">
      <c r="B2" s="2">
        <f>'الإعدادات'!$C$6&amp;"   |   العقد رقم: "&amp;'الإعدادات'!$C$7&amp;"   |   المالك: "&amp;'الإعدادات'!$C$8&amp;"   |   المقاول: "&amp;'الإعدادات'!$C$9</f>
        <v/>
      </c>
      <c r="C2" s="2" t="n"/>
      <c r="D2" s="2" t="n"/>
      <c r="E2" s="2" t="n"/>
      <c r="F2" s="2" t="n"/>
      <c r="G2" s="2" t="n"/>
      <c r="H2" s="2" t="n"/>
      <c r="I2" s="2" t="n"/>
      <c r="J2" s="2" t="n"/>
      <c r="K2" s="2" t="n"/>
      <c r="L2" s="2" t="n"/>
      <c r="M2" s="2" t="n"/>
      <c r="N2" s="2" t="n"/>
    </row>
    <row r="3" ht="24" customHeight="1">
      <c r="B3" s="56" t="inlineStr">
        <is>
          <t>🏠 لوحة التحكم</t>
        </is>
      </c>
      <c r="C3" s="56" t="n"/>
      <c r="D3" s="3" t="inlineStr">
        <is>
          <t>⚙ الإعدادات</t>
        </is>
      </c>
      <c r="E3" s="3" t="inlineStr">
        <is>
          <t>📋 جدول الكميات</t>
        </is>
      </c>
      <c r="F3" s="3" t="n"/>
      <c r="G3" s="3" t="inlineStr">
        <is>
          <t>🗂 سجل المستخلصات</t>
        </is>
      </c>
      <c r="H3" s="3" t="n"/>
      <c r="I3" s="3" t="inlineStr">
        <is>
          <t>🔒 ضمان الأعمال</t>
        </is>
      </c>
      <c r="J3" s="3" t="n"/>
      <c r="K3" s="4" t="inlineStr">
        <is>
          <t>📄 مستخلص 1</t>
        </is>
      </c>
      <c r="L3" s="4" t="n"/>
    </row>
    <row r="5" ht="22" customHeight="1">
      <c r="B5" s="57" t="inlineStr">
        <is>
          <t>إعدادات الاسترداد والملخص</t>
        </is>
      </c>
      <c r="C5" s="57" t="n"/>
      <c r="D5" s="57" t="n"/>
      <c r="E5" s="57" t="n"/>
      <c r="F5" s="57" t="n"/>
      <c r="H5" s="25" t="inlineStr">
        <is>
          <t>كيف تعمل الصفحة؟</t>
        </is>
      </c>
      <c r="I5" s="25" t="n"/>
      <c r="J5" s="25" t="n"/>
      <c r="K5" s="25" t="n"/>
      <c r="L5" s="25" t="n"/>
    </row>
    <row r="6">
      <c r="B6" s="60" t="inlineStr">
        <is>
          <t>نسبة الاسترداد من قيمة أعمال كل مستخلص</t>
        </is>
      </c>
      <c r="C6" s="60" t="n"/>
      <c r="D6" s="60" t="n"/>
      <c r="E6" s="68" t="n">
        <v>0.1</v>
      </c>
      <c r="F6" s="68" t="n"/>
      <c r="H6" s="85" t="inlineStr">
        <is>
          <t>1) سجّل كل دفعة مقدمة مصروفة وخطاب ضمانها في الجدول الأول.
2) يُستقطع من كل مستخلص (قيمة الأعمال الحالية × نسبة الاسترداد) تلقائياً ويظهر في المستخلص.
3) يتوقف الاسترداد تلقائياً عند اكتمال استرداد كامل الدفعة (لا يتجاوز الرصيد).
4) يمكنك إدخال نسبة مخصصة لمستخلص معين في العمود الأصفر (مثلاً لتسريع الاسترداد في الختامي).</t>
        </is>
      </c>
      <c r="I6" s="85" t="n"/>
      <c r="J6" s="85" t="n"/>
      <c r="K6" s="85" t="n"/>
      <c r="L6" s="85" t="n"/>
    </row>
    <row r="7">
      <c r="B7" s="60" t="inlineStr">
        <is>
          <t>بدء الاسترداد من المستخلص رقم</t>
        </is>
      </c>
      <c r="C7" s="60" t="n"/>
      <c r="D7" s="60" t="n"/>
      <c r="E7" s="86" t="n">
        <v>1</v>
      </c>
      <c r="F7" s="86" t="n"/>
      <c r="H7" s="85" t="n"/>
      <c r="I7" s="85" t="n"/>
      <c r="J7" s="85" t="n"/>
      <c r="K7" s="85" t="n"/>
      <c r="L7" s="85" t="n"/>
    </row>
    <row r="8">
      <c r="B8" s="60" t="inlineStr">
        <is>
          <t>إجمالي الدفعات المقدمة المصروفة</t>
        </is>
      </c>
      <c r="C8" s="60" t="n"/>
      <c r="D8" s="60" t="n"/>
      <c r="E8" s="27">
        <f>D21</f>
        <v/>
      </c>
      <c r="F8" s="27" t="n"/>
      <c r="H8" s="85" t="n"/>
      <c r="I8" s="85" t="n"/>
      <c r="J8" s="85" t="n"/>
      <c r="K8" s="85" t="n"/>
      <c r="L8" s="85" t="n"/>
    </row>
    <row r="9">
      <c r="B9" s="60" t="inlineStr">
        <is>
          <t>نسبة الدفعة المقدمة من قيمة العقد</t>
        </is>
      </c>
      <c r="C9" s="60" t="n"/>
      <c r="D9" s="60" t="n"/>
      <c r="E9" s="47">
        <f>IF('الإعدادات'!$C$19=0,0,E8/'الإعدادات'!$C$19)</f>
        <v/>
      </c>
      <c r="F9" s="47" t="n"/>
      <c r="H9" s="85" t="n"/>
      <c r="I9" s="85" t="n"/>
      <c r="J9" s="85" t="n"/>
      <c r="K9" s="85" t="n"/>
      <c r="L9" s="85" t="n"/>
    </row>
    <row r="10">
      <c r="B10" s="60" t="inlineStr">
        <is>
          <t>إجمالي ما تم استرداده</t>
        </is>
      </c>
      <c r="C10" s="60" t="n"/>
      <c r="D10" s="60" t="n"/>
      <c r="E10" s="87">
        <f>I50</f>
        <v/>
      </c>
      <c r="F10" s="87" t="n"/>
      <c r="H10" s="85" t="n"/>
      <c r="I10" s="85" t="n"/>
      <c r="J10" s="85" t="n"/>
      <c r="K10" s="85" t="n"/>
      <c r="L10" s="85" t="n"/>
    </row>
    <row r="11">
      <c r="B11" s="60" t="inlineStr">
        <is>
          <t>الرصيد المتبقي للاسترداد</t>
        </is>
      </c>
      <c r="C11" s="60" t="n"/>
      <c r="D11" s="60" t="n"/>
      <c r="E11" s="88">
        <f>E8-E10</f>
        <v/>
      </c>
      <c r="F11" s="88" t="n"/>
      <c r="H11" s="85" t="n"/>
      <c r="I11" s="85" t="n"/>
      <c r="J11" s="85" t="n"/>
      <c r="K11" s="85" t="n"/>
      <c r="L11" s="85" t="n"/>
    </row>
    <row r="13" ht="22" customHeight="1">
      <c r="B13" s="57" t="inlineStr">
        <is>
          <t>سجل صرف الدفعات المقدمة وخطابات ضمانها</t>
        </is>
      </c>
      <c r="C13" s="57" t="n"/>
      <c r="D13" s="57" t="n"/>
      <c r="E13" s="57" t="n"/>
      <c r="F13" s="57" t="n"/>
      <c r="G13" s="57" t="n"/>
      <c r="H13" s="57" t="n"/>
      <c r="I13" s="57" t="n"/>
      <c r="J13" s="57" t="n"/>
      <c r="K13" s="57" t="n"/>
      <c r="L13" s="57" t="n"/>
    </row>
    <row r="14" ht="34" customHeight="1">
      <c r="B14" s="70" t="inlineStr">
        <is>
          <t>م</t>
        </is>
      </c>
      <c r="C14" s="70" t="inlineStr">
        <is>
          <t>تاريخ الصرف</t>
        </is>
      </c>
      <c r="D14" s="70" t="inlineStr">
        <is>
          <t>المبلغ المصروف</t>
        </is>
      </c>
      <c r="E14" s="70" t="inlineStr">
        <is>
          <t>% من العقد</t>
        </is>
      </c>
      <c r="F14" s="70" t="inlineStr">
        <is>
          <t>رقم خطاب الضمان</t>
        </is>
      </c>
      <c r="G14" s="70" t="inlineStr">
        <is>
          <t>البنك</t>
        </is>
      </c>
      <c r="H14" s="70" t="inlineStr">
        <is>
          <t>تاريخ انتهاء الضمان</t>
        </is>
      </c>
      <c r="I14" s="70" t="inlineStr">
        <is>
          <t>الأيام المتبقية</t>
        </is>
      </c>
      <c r="J14" s="70" t="inlineStr">
        <is>
          <t>حالة الضمان</t>
        </is>
      </c>
      <c r="K14" s="70" t="inlineStr">
        <is>
          <t>ملاحظات</t>
        </is>
      </c>
      <c r="L14" s="44" t="n"/>
    </row>
    <row r="15">
      <c r="B15" s="89" t="n">
        <v>1</v>
      </c>
      <c r="C15" s="79" t="n"/>
      <c r="D15" s="72" t="n"/>
      <c r="E15" s="28">
        <f>IF('الإعدادات'!$C$19=0,0,D15/'الإعدادات'!$C$19)</f>
        <v/>
      </c>
      <c r="F15" s="62" t="n"/>
      <c r="G15" s="62" t="n"/>
      <c r="H15" s="79" t="n"/>
      <c r="I15" s="90">
        <f>IF(H15="","",H15-TODAY())</f>
        <v/>
      </c>
      <c r="J15" s="30">
        <f>IF(H15="","",IF(I15&lt;0,"✖ منتهي",IF(I15&lt;=30,"⚠ ينتهي قريباً","✔ ساري")))</f>
        <v/>
      </c>
      <c r="K15" s="61" t="n"/>
      <c r="L15" s="61" t="n"/>
    </row>
    <row r="16">
      <c r="B16" s="89" t="n">
        <v>2</v>
      </c>
      <c r="C16" s="79" t="n"/>
      <c r="D16" s="72" t="n"/>
      <c r="E16" s="28">
        <f>IF('الإعدادات'!$C$19=0,0,D16/'الإعدادات'!$C$19)</f>
        <v/>
      </c>
      <c r="F16" s="62" t="n"/>
      <c r="G16" s="62" t="n"/>
      <c r="H16" s="79" t="n"/>
      <c r="I16" s="90">
        <f>IF(H16="","",H16-TODAY())</f>
        <v/>
      </c>
      <c r="J16" s="30">
        <f>IF(H16="","",IF(I16&lt;0,"✖ منتهي",IF(I16&lt;=30,"⚠ ينتهي قريباً","✔ ساري")))</f>
        <v/>
      </c>
      <c r="K16" s="61" t="n"/>
      <c r="L16" s="61" t="n"/>
    </row>
    <row r="17">
      <c r="B17" s="89" t="n">
        <v>3</v>
      </c>
      <c r="C17" s="79" t="n"/>
      <c r="D17" s="72" t="n"/>
      <c r="E17" s="28">
        <f>IF('الإعدادات'!$C$19=0,0,D17/'الإعدادات'!$C$19)</f>
        <v/>
      </c>
      <c r="F17" s="62" t="n"/>
      <c r="G17" s="62" t="n"/>
      <c r="H17" s="79" t="n"/>
      <c r="I17" s="90">
        <f>IF(H17="","",H17-TODAY())</f>
        <v/>
      </c>
      <c r="J17" s="30">
        <f>IF(H17="","",IF(I17&lt;0,"✖ منتهي",IF(I17&lt;=30,"⚠ ينتهي قريباً","✔ ساري")))</f>
        <v/>
      </c>
      <c r="K17" s="61" t="n"/>
      <c r="L17" s="61" t="n"/>
    </row>
    <row r="18">
      <c r="B18" s="89" t="n">
        <v>4</v>
      </c>
      <c r="C18" s="79" t="n"/>
      <c r="D18" s="72" t="n"/>
      <c r="E18" s="28">
        <f>IF('الإعدادات'!$C$19=0,0,D18/'الإعدادات'!$C$19)</f>
        <v/>
      </c>
      <c r="F18" s="62" t="n"/>
      <c r="G18" s="62" t="n"/>
      <c r="H18" s="79" t="n"/>
      <c r="I18" s="90">
        <f>IF(H18="","",H18-TODAY())</f>
        <v/>
      </c>
      <c r="J18" s="30">
        <f>IF(H18="","",IF(I18&lt;0,"✖ منتهي",IF(I18&lt;=30,"⚠ ينتهي قريباً","✔ ساري")))</f>
        <v/>
      </c>
      <c r="K18" s="61" t="n"/>
      <c r="L18" s="61" t="n"/>
    </row>
    <row r="19">
      <c r="B19" s="89" t="n">
        <v>5</v>
      </c>
      <c r="C19" s="79" t="n"/>
      <c r="D19" s="72" t="n"/>
      <c r="E19" s="28">
        <f>IF('الإعدادات'!$C$19=0,0,D19/'الإعدادات'!$C$19)</f>
        <v/>
      </c>
      <c r="F19" s="62" t="n"/>
      <c r="G19" s="62" t="n"/>
      <c r="H19" s="79" t="n"/>
      <c r="I19" s="90">
        <f>IF(H19="","",H19-TODAY())</f>
        <v/>
      </c>
      <c r="J19" s="30">
        <f>IF(H19="","",IF(I19&lt;0,"✖ منتهي",IF(I19&lt;=30,"⚠ ينتهي قريباً","✔ ساري")))</f>
        <v/>
      </c>
      <c r="K19" s="61" t="n"/>
      <c r="L19" s="61" t="n"/>
    </row>
    <row r="20">
      <c r="B20" s="89" t="n">
        <v>6</v>
      </c>
      <c r="C20" s="79" t="n"/>
      <c r="D20" s="72" t="n"/>
      <c r="E20" s="28">
        <f>IF('الإعدادات'!$C$19=0,0,D20/'الإعدادات'!$C$19)</f>
        <v/>
      </c>
      <c r="F20" s="62" t="n"/>
      <c r="G20" s="62" t="n"/>
      <c r="H20" s="79" t="n"/>
      <c r="I20" s="90">
        <f>IF(H20="","",H20-TODAY())</f>
        <v/>
      </c>
      <c r="J20" s="30">
        <f>IF(H20="","",IF(I20&lt;0,"✖ منتهي",IF(I20&lt;=30,"⚠ ينتهي قريباً","✔ ساري")))</f>
        <v/>
      </c>
      <c r="K20" s="61" t="n"/>
      <c r="L20" s="61" t="n"/>
    </row>
    <row r="21">
      <c r="B21" s="52" t="inlineStr">
        <is>
          <t>الإجمالي</t>
        </is>
      </c>
      <c r="C21" s="52" t="n"/>
      <c r="D21" s="75">
        <f>SUM(D15:D20)</f>
        <v/>
      </c>
      <c r="E21" s="54">
        <f>SUM(E15:E20)</f>
        <v/>
      </c>
      <c r="F21" s="91" t="n"/>
      <c r="G21" s="91" t="n"/>
      <c r="H21" s="91" t="n"/>
      <c r="I21" s="91" t="n"/>
      <c r="J21" s="91" t="n"/>
      <c r="K21" s="91" t="n"/>
      <c r="L21" s="91" t="n"/>
    </row>
    <row r="23" ht="22" customHeight="1">
      <c r="B23" s="57" t="inlineStr">
        <is>
          <t>جدول استرداد الدفعة المقدمة من المستخلصات</t>
        </is>
      </c>
      <c r="C23" s="57" t="n"/>
      <c r="D23" s="57" t="n"/>
      <c r="E23" s="57" t="n"/>
      <c r="F23" s="57" t="n"/>
      <c r="G23" s="57" t="n"/>
      <c r="H23" s="57" t="n"/>
      <c r="I23" s="57" t="n"/>
      <c r="J23" s="57" t="n"/>
      <c r="K23" s="57" t="n"/>
      <c r="L23" s="57" t="n"/>
    </row>
    <row r="24" ht="40" customHeight="1">
      <c r="B24" s="70" t="inlineStr">
        <is>
          <t>رقم المستخلص</t>
        </is>
      </c>
      <c r="C24" s="70" t="inlineStr">
        <is>
          <t>التاريخ</t>
        </is>
      </c>
      <c r="D24" s="70" t="inlineStr">
        <is>
          <t>قيمة الأعمال الحالية</t>
        </is>
      </c>
      <c r="E24" s="70" t="inlineStr">
        <is>
          <t>النسبة الافتراضية</t>
        </is>
      </c>
      <c r="F24" s="70" t="inlineStr">
        <is>
          <t>نسبة مخصصة ✎ (اختياري)</t>
        </is>
      </c>
      <c r="G24" s="70" t="inlineStr">
        <is>
          <t>النسبة المطبقة</t>
        </is>
      </c>
      <c r="H24" s="70" t="inlineStr">
        <is>
          <t>الاسترداد المحسوب</t>
        </is>
      </c>
      <c r="I24" s="70" t="inlineStr">
        <is>
          <t>الاسترداد المعتمد</t>
        </is>
      </c>
      <c r="J24" s="70" t="inlineStr">
        <is>
          <t>المسترد التراكمي</t>
        </is>
      </c>
      <c r="K24" s="70" t="inlineStr">
        <is>
          <t>الرصيد المتبقي</t>
        </is>
      </c>
      <c r="L24" s="70" t="inlineStr">
        <is>
          <t>% المسترد</t>
        </is>
      </c>
    </row>
    <row r="25">
      <c r="B25" s="92" t="n">
        <v>1</v>
      </c>
      <c r="C25" s="78">
        <f>'سجل المستخلصات'!C6</f>
        <v/>
      </c>
      <c r="D25" s="73">
        <f>'مستخلص 1'!M111</f>
        <v/>
      </c>
      <c r="E25" s="93">
        <f>$E$6</f>
        <v/>
      </c>
      <c r="F25" s="68" t="n"/>
      <c r="G25" s="93">
        <f>IF(B25&lt;$E$7,0,IF(F25="",E25,F25))</f>
        <v/>
      </c>
      <c r="H25" s="73">
        <f>MAX(0,ROUND(D25*G25,2))</f>
        <v/>
      </c>
      <c r="I25" s="27">
        <f>MIN(H25,MAX(0,$E$8-0))</f>
        <v/>
      </c>
      <c r="J25" s="73">
        <f>0+I25</f>
        <v/>
      </c>
      <c r="K25" s="73">
        <f>$E$8-J25</f>
        <v/>
      </c>
      <c r="L25" s="28">
        <f>IF($E$8=0,0,J25/$E$8)</f>
        <v/>
      </c>
    </row>
    <row r="26">
      <c r="B26" s="94" t="n">
        <v>2</v>
      </c>
      <c r="C26" s="81">
        <f>'سجل المستخلصات'!C7</f>
        <v/>
      </c>
      <c r="D26" s="83">
        <f>'مستخلص 2'!M111</f>
        <v/>
      </c>
      <c r="E26" s="95">
        <f>$E$6</f>
        <v/>
      </c>
      <c r="F26" s="68" t="n"/>
      <c r="G26" s="95">
        <f>IF(B26&lt;$E$7,0,IF(F26="",E26,F26))</f>
        <v/>
      </c>
      <c r="H26" s="83">
        <f>MAX(0,ROUND(D26*G26,2))</f>
        <v/>
      </c>
      <c r="I26" s="84">
        <f>MIN(H26,MAX(0,$E$8-J25))</f>
        <v/>
      </c>
      <c r="J26" s="83">
        <f>J25+I26</f>
        <v/>
      </c>
      <c r="K26" s="83">
        <f>$E$8-J26</f>
        <v/>
      </c>
      <c r="L26" s="50">
        <f>IF($E$8=0,0,J26/$E$8)</f>
        <v/>
      </c>
    </row>
    <row r="27">
      <c r="B27" s="92" t="n">
        <v>3</v>
      </c>
      <c r="C27" s="78">
        <f>'سجل المستخلصات'!C8</f>
        <v/>
      </c>
      <c r="D27" s="73">
        <f>'مستخلص 3'!M111</f>
        <v/>
      </c>
      <c r="E27" s="93">
        <f>$E$6</f>
        <v/>
      </c>
      <c r="F27" s="68" t="n"/>
      <c r="G27" s="93">
        <f>IF(B27&lt;$E$7,0,IF(F27="",E27,F27))</f>
        <v/>
      </c>
      <c r="H27" s="73">
        <f>MAX(0,ROUND(D27*G27,2))</f>
        <v/>
      </c>
      <c r="I27" s="27">
        <f>MIN(H27,MAX(0,$E$8-J26))</f>
        <v/>
      </c>
      <c r="J27" s="73">
        <f>J26+I27</f>
        <v/>
      </c>
      <c r="K27" s="73">
        <f>$E$8-J27</f>
        <v/>
      </c>
      <c r="L27" s="28">
        <f>IF($E$8=0,0,J27/$E$8)</f>
        <v/>
      </c>
    </row>
    <row r="28">
      <c r="B28" s="94" t="n">
        <v>4</v>
      </c>
      <c r="C28" s="81">
        <f>'سجل المستخلصات'!C9</f>
        <v/>
      </c>
      <c r="D28" s="83">
        <f>'مستخلص 4'!M111</f>
        <v/>
      </c>
      <c r="E28" s="95">
        <f>$E$6</f>
        <v/>
      </c>
      <c r="F28" s="68" t="n"/>
      <c r="G28" s="95">
        <f>IF(B28&lt;$E$7,0,IF(F28="",E28,F28))</f>
        <v/>
      </c>
      <c r="H28" s="83">
        <f>MAX(0,ROUND(D28*G28,2))</f>
        <v/>
      </c>
      <c r="I28" s="84">
        <f>MIN(H28,MAX(0,$E$8-J27))</f>
        <v/>
      </c>
      <c r="J28" s="83">
        <f>J27+I28</f>
        <v/>
      </c>
      <c r="K28" s="83">
        <f>$E$8-J28</f>
        <v/>
      </c>
      <c r="L28" s="50">
        <f>IF($E$8=0,0,J28/$E$8)</f>
        <v/>
      </c>
    </row>
    <row r="29">
      <c r="B29" s="92" t="n">
        <v>5</v>
      </c>
      <c r="C29" s="78">
        <f>'سجل المستخلصات'!C10</f>
        <v/>
      </c>
      <c r="D29" s="73">
        <f>'مستخلص 5'!M111</f>
        <v/>
      </c>
      <c r="E29" s="93">
        <f>$E$6</f>
        <v/>
      </c>
      <c r="F29" s="68" t="n"/>
      <c r="G29" s="93">
        <f>IF(B29&lt;$E$7,0,IF(F29="",E29,F29))</f>
        <v/>
      </c>
      <c r="H29" s="73">
        <f>MAX(0,ROUND(D29*G29,2))</f>
        <v/>
      </c>
      <c r="I29" s="27">
        <f>MIN(H29,MAX(0,$E$8-J28))</f>
        <v/>
      </c>
      <c r="J29" s="73">
        <f>J28+I29</f>
        <v/>
      </c>
      <c r="K29" s="73">
        <f>$E$8-J29</f>
        <v/>
      </c>
      <c r="L29" s="28">
        <f>IF($E$8=0,0,J29/$E$8)</f>
        <v/>
      </c>
    </row>
    <row r="30">
      <c r="B30" s="94" t="n">
        <v>6</v>
      </c>
      <c r="C30" s="81">
        <f>'سجل المستخلصات'!C11</f>
        <v/>
      </c>
      <c r="D30" s="83">
        <f>'مستخلص 6'!M111</f>
        <v/>
      </c>
      <c r="E30" s="95">
        <f>$E$6</f>
        <v/>
      </c>
      <c r="F30" s="68" t="n"/>
      <c r="G30" s="95">
        <f>IF(B30&lt;$E$7,0,IF(F30="",E30,F30))</f>
        <v/>
      </c>
      <c r="H30" s="83">
        <f>MAX(0,ROUND(D30*G30,2))</f>
        <v/>
      </c>
      <c r="I30" s="84">
        <f>MIN(H30,MAX(0,$E$8-J29))</f>
        <v/>
      </c>
      <c r="J30" s="83">
        <f>J29+I30</f>
        <v/>
      </c>
      <c r="K30" s="83">
        <f>$E$8-J30</f>
        <v/>
      </c>
      <c r="L30" s="50">
        <f>IF($E$8=0,0,J30/$E$8)</f>
        <v/>
      </c>
    </row>
    <row r="31">
      <c r="B31" s="92" t="n">
        <v>7</v>
      </c>
      <c r="C31" s="78">
        <f>'سجل المستخلصات'!C12</f>
        <v/>
      </c>
      <c r="D31" s="73">
        <f>'مستخلص 7'!M111</f>
        <v/>
      </c>
      <c r="E31" s="93">
        <f>$E$6</f>
        <v/>
      </c>
      <c r="F31" s="68" t="n"/>
      <c r="G31" s="93">
        <f>IF(B31&lt;$E$7,0,IF(F31="",E31,F31))</f>
        <v/>
      </c>
      <c r="H31" s="73">
        <f>MAX(0,ROUND(D31*G31,2))</f>
        <v/>
      </c>
      <c r="I31" s="27">
        <f>MIN(H31,MAX(0,$E$8-J30))</f>
        <v/>
      </c>
      <c r="J31" s="73">
        <f>J30+I31</f>
        <v/>
      </c>
      <c r="K31" s="73">
        <f>$E$8-J31</f>
        <v/>
      </c>
      <c r="L31" s="28">
        <f>IF($E$8=0,0,J31/$E$8)</f>
        <v/>
      </c>
    </row>
    <row r="32">
      <c r="B32" s="94" t="n">
        <v>8</v>
      </c>
      <c r="C32" s="81">
        <f>'سجل المستخلصات'!C13</f>
        <v/>
      </c>
      <c r="D32" s="83">
        <f>'مستخلص 8'!M111</f>
        <v/>
      </c>
      <c r="E32" s="95">
        <f>$E$6</f>
        <v/>
      </c>
      <c r="F32" s="68" t="n"/>
      <c r="G32" s="95">
        <f>IF(B32&lt;$E$7,0,IF(F32="",E32,F32))</f>
        <v/>
      </c>
      <c r="H32" s="83">
        <f>MAX(0,ROUND(D32*G32,2))</f>
        <v/>
      </c>
      <c r="I32" s="84">
        <f>MIN(H32,MAX(0,$E$8-J31))</f>
        <v/>
      </c>
      <c r="J32" s="83">
        <f>J31+I32</f>
        <v/>
      </c>
      <c r="K32" s="83">
        <f>$E$8-J32</f>
        <v/>
      </c>
      <c r="L32" s="50">
        <f>IF($E$8=0,0,J32/$E$8)</f>
        <v/>
      </c>
    </row>
    <row r="33">
      <c r="B33" s="92" t="n">
        <v>9</v>
      </c>
      <c r="C33" s="78">
        <f>'سجل المستخلصات'!C14</f>
        <v/>
      </c>
      <c r="D33" s="73">
        <f>'مستخلص 9'!M111</f>
        <v/>
      </c>
      <c r="E33" s="93">
        <f>$E$6</f>
        <v/>
      </c>
      <c r="F33" s="68" t="n"/>
      <c r="G33" s="93">
        <f>IF(B33&lt;$E$7,0,IF(F33="",E33,F33))</f>
        <v/>
      </c>
      <c r="H33" s="73">
        <f>MAX(0,ROUND(D33*G33,2))</f>
        <v/>
      </c>
      <c r="I33" s="27">
        <f>MIN(H33,MAX(0,$E$8-J32))</f>
        <v/>
      </c>
      <c r="J33" s="73">
        <f>J32+I33</f>
        <v/>
      </c>
      <c r="K33" s="73">
        <f>$E$8-J33</f>
        <v/>
      </c>
      <c r="L33" s="28">
        <f>IF($E$8=0,0,J33/$E$8)</f>
        <v/>
      </c>
    </row>
    <row r="34">
      <c r="B34" s="94" t="n">
        <v>10</v>
      </c>
      <c r="C34" s="81">
        <f>'سجل المستخلصات'!C15</f>
        <v/>
      </c>
      <c r="D34" s="83">
        <f>'مستخلص 10'!M111</f>
        <v/>
      </c>
      <c r="E34" s="95">
        <f>$E$6</f>
        <v/>
      </c>
      <c r="F34" s="68" t="n"/>
      <c r="G34" s="95">
        <f>IF(B34&lt;$E$7,0,IF(F34="",E34,F34))</f>
        <v/>
      </c>
      <c r="H34" s="83">
        <f>MAX(0,ROUND(D34*G34,2))</f>
        <v/>
      </c>
      <c r="I34" s="84">
        <f>MIN(H34,MAX(0,$E$8-J33))</f>
        <v/>
      </c>
      <c r="J34" s="83">
        <f>J33+I34</f>
        <v/>
      </c>
      <c r="K34" s="83">
        <f>$E$8-J34</f>
        <v/>
      </c>
      <c r="L34" s="50">
        <f>IF($E$8=0,0,J34/$E$8)</f>
        <v/>
      </c>
    </row>
    <row r="35">
      <c r="B35" s="92" t="n">
        <v>11</v>
      </c>
      <c r="C35" s="78">
        <f>'سجل المستخلصات'!C16</f>
        <v/>
      </c>
      <c r="D35" s="73">
        <f>'مستخلص 11'!M111</f>
        <v/>
      </c>
      <c r="E35" s="93">
        <f>$E$6</f>
        <v/>
      </c>
      <c r="F35" s="68" t="n"/>
      <c r="G35" s="93">
        <f>IF(B35&lt;$E$7,0,IF(F35="",E35,F35))</f>
        <v/>
      </c>
      <c r="H35" s="73">
        <f>MAX(0,ROUND(D35*G35,2))</f>
        <v/>
      </c>
      <c r="I35" s="27">
        <f>MIN(H35,MAX(0,$E$8-J34))</f>
        <v/>
      </c>
      <c r="J35" s="73">
        <f>J34+I35</f>
        <v/>
      </c>
      <c r="K35" s="73">
        <f>$E$8-J35</f>
        <v/>
      </c>
      <c r="L35" s="28">
        <f>IF($E$8=0,0,J35/$E$8)</f>
        <v/>
      </c>
    </row>
    <row r="36">
      <c r="B36" s="94" t="n">
        <v>12</v>
      </c>
      <c r="C36" s="81">
        <f>'سجل المستخلصات'!C17</f>
        <v/>
      </c>
      <c r="D36" s="83">
        <f>'مستخلص 12'!M111</f>
        <v/>
      </c>
      <c r="E36" s="95">
        <f>$E$6</f>
        <v/>
      </c>
      <c r="F36" s="68" t="n"/>
      <c r="G36" s="95">
        <f>IF(B36&lt;$E$7,0,IF(F36="",E36,F36))</f>
        <v/>
      </c>
      <c r="H36" s="83">
        <f>MAX(0,ROUND(D36*G36,2))</f>
        <v/>
      </c>
      <c r="I36" s="84">
        <f>MIN(H36,MAX(0,$E$8-J35))</f>
        <v/>
      </c>
      <c r="J36" s="83">
        <f>J35+I36</f>
        <v/>
      </c>
      <c r="K36" s="83">
        <f>$E$8-J36</f>
        <v/>
      </c>
      <c r="L36" s="50">
        <f>IF($E$8=0,0,J36/$E$8)</f>
        <v/>
      </c>
    </row>
    <row r="37">
      <c r="B37" s="92" t="n">
        <v>13</v>
      </c>
      <c r="C37" s="78">
        <f>'سجل المستخلصات'!C18</f>
        <v/>
      </c>
      <c r="D37" s="73">
        <f>'مستخلص 13'!M111</f>
        <v/>
      </c>
      <c r="E37" s="93">
        <f>$E$6</f>
        <v/>
      </c>
      <c r="F37" s="68" t="n"/>
      <c r="G37" s="93">
        <f>IF(B37&lt;$E$7,0,IF(F37="",E37,F37))</f>
        <v/>
      </c>
      <c r="H37" s="73">
        <f>MAX(0,ROUND(D37*G37,2))</f>
        <v/>
      </c>
      <c r="I37" s="27">
        <f>MIN(H37,MAX(0,$E$8-J36))</f>
        <v/>
      </c>
      <c r="J37" s="73">
        <f>J36+I37</f>
        <v/>
      </c>
      <c r="K37" s="73">
        <f>$E$8-J37</f>
        <v/>
      </c>
      <c r="L37" s="28">
        <f>IF($E$8=0,0,J37/$E$8)</f>
        <v/>
      </c>
    </row>
    <row r="38">
      <c r="B38" s="94" t="n">
        <v>14</v>
      </c>
      <c r="C38" s="81">
        <f>'سجل المستخلصات'!C19</f>
        <v/>
      </c>
      <c r="D38" s="83">
        <f>'مستخلص 14'!M111</f>
        <v/>
      </c>
      <c r="E38" s="95">
        <f>$E$6</f>
        <v/>
      </c>
      <c r="F38" s="68" t="n"/>
      <c r="G38" s="95">
        <f>IF(B38&lt;$E$7,0,IF(F38="",E38,F38))</f>
        <v/>
      </c>
      <c r="H38" s="83">
        <f>MAX(0,ROUND(D38*G38,2))</f>
        <v/>
      </c>
      <c r="I38" s="84">
        <f>MIN(H38,MAX(0,$E$8-J37))</f>
        <v/>
      </c>
      <c r="J38" s="83">
        <f>J37+I38</f>
        <v/>
      </c>
      <c r="K38" s="83">
        <f>$E$8-J38</f>
        <v/>
      </c>
      <c r="L38" s="50">
        <f>IF($E$8=0,0,J38/$E$8)</f>
        <v/>
      </c>
    </row>
    <row r="39">
      <c r="B39" s="92" t="n">
        <v>15</v>
      </c>
      <c r="C39" s="78">
        <f>'سجل المستخلصات'!C20</f>
        <v/>
      </c>
      <c r="D39" s="73">
        <f>'مستخلص 15'!M111</f>
        <v/>
      </c>
      <c r="E39" s="93">
        <f>$E$6</f>
        <v/>
      </c>
      <c r="F39" s="68" t="n"/>
      <c r="G39" s="93">
        <f>IF(B39&lt;$E$7,0,IF(F39="",E39,F39))</f>
        <v/>
      </c>
      <c r="H39" s="73">
        <f>MAX(0,ROUND(D39*G39,2))</f>
        <v/>
      </c>
      <c r="I39" s="27">
        <f>MIN(H39,MAX(0,$E$8-J38))</f>
        <v/>
      </c>
      <c r="J39" s="73">
        <f>J38+I39</f>
        <v/>
      </c>
      <c r="K39" s="73">
        <f>$E$8-J39</f>
        <v/>
      </c>
      <c r="L39" s="28">
        <f>IF($E$8=0,0,J39/$E$8)</f>
        <v/>
      </c>
    </row>
    <row r="40">
      <c r="B40" s="94" t="n">
        <v>16</v>
      </c>
      <c r="C40" s="81">
        <f>'سجل المستخلصات'!C21</f>
        <v/>
      </c>
      <c r="D40" s="83">
        <f>'مستخلص 16'!M111</f>
        <v/>
      </c>
      <c r="E40" s="95">
        <f>$E$6</f>
        <v/>
      </c>
      <c r="F40" s="68" t="n"/>
      <c r="G40" s="95">
        <f>IF(B40&lt;$E$7,0,IF(F40="",E40,F40))</f>
        <v/>
      </c>
      <c r="H40" s="83">
        <f>MAX(0,ROUND(D40*G40,2))</f>
        <v/>
      </c>
      <c r="I40" s="84">
        <f>MIN(H40,MAX(0,$E$8-J39))</f>
        <v/>
      </c>
      <c r="J40" s="83">
        <f>J39+I40</f>
        <v/>
      </c>
      <c r="K40" s="83">
        <f>$E$8-J40</f>
        <v/>
      </c>
      <c r="L40" s="50">
        <f>IF($E$8=0,0,J40/$E$8)</f>
        <v/>
      </c>
    </row>
    <row r="41">
      <c r="B41" s="92" t="n">
        <v>17</v>
      </c>
      <c r="C41" s="78">
        <f>'سجل المستخلصات'!C22</f>
        <v/>
      </c>
      <c r="D41" s="73">
        <f>'مستخلص 17'!M111</f>
        <v/>
      </c>
      <c r="E41" s="93">
        <f>$E$6</f>
        <v/>
      </c>
      <c r="F41" s="68" t="n"/>
      <c r="G41" s="93">
        <f>IF(B41&lt;$E$7,0,IF(F41="",E41,F41))</f>
        <v/>
      </c>
      <c r="H41" s="73">
        <f>MAX(0,ROUND(D41*G41,2))</f>
        <v/>
      </c>
      <c r="I41" s="27">
        <f>MIN(H41,MAX(0,$E$8-J40))</f>
        <v/>
      </c>
      <c r="J41" s="73">
        <f>J40+I41</f>
        <v/>
      </c>
      <c r="K41" s="73">
        <f>$E$8-J41</f>
        <v/>
      </c>
      <c r="L41" s="28">
        <f>IF($E$8=0,0,J41/$E$8)</f>
        <v/>
      </c>
    </row>
    <row r="42">
      <c r="B42" s="94" t="n">
        <v>18</v>
      </c>
      <c r="C42" s="81">
        <f>'سجل المستخلصات'!C23</f>
        <v/>
      </c>
      <c r="D42" s="83">
        <f>'مستخلص 18'!M111</f>
        <v/>
      </c>
      <c r="E42" s="95">
        <f>$E$6</f>
        <v/>
      </c>
      <c r="F42" s="68" t="n"/>
      <c r="G42" s="95">
        <f>IF(B42&lt;$E$7,0,IF(F42="",E42,F42))</f>
        <v/>
      </c>
      <c r="H42" s="83">
        <f>MAX(0,ROUND(D42*G42,2))</f>
        <v/>
      </c>
      <c r="I42" s="84">
        <f>MIN(H42,MAX(0,$E$8-J41))</f>
        <v/>
      </c>
      <c r="J42" s="83">
        <f>J41+I42</f>
        <v/>
      </c>
      <c r="K42" s="83">
        <f>$E$8-J42</f>
        <v/>
      </c>
      <c r="L42" s="50">
        <f>IF($E$8=0,0,J42/$E$8)</f>
        <v/>
      </c>
    </row>
    <row r="43">
      <c r="B43" s="92" t="n">
        <v>19</v>
      </c>
      <c r="C43" s="78">
        <f>'سجل المستخلصات'!C24</f>
        <v/>
      </c>
      <c r="D43" s="73">
        <f>'مستخلص 19'!M111</f>
        <v/>
      </c>
      <c r="E43" s="93">
        <f>$E$6</f>
        <v/>
      </c>
      <c r="F43" s="68" t="n"/>
      <c r="G43" s="93">
        <f>IF(B43&lt;$E$7,0,IF(F43="",E43,F43))</f>
        <v/>
      </c>
      <c r="H43" s="73">
        <f>MAX(0,ROUND(D43*G43,2))</f>
        <v/>
      </c>
      <c r="I43" s="27">
        <f>MIN(H43,MAX(0,$E$8-J42))</f>
        <v/>
      </c>
      <c r="J43" s="73">
        <f>J42+I43</f>
        <v/>
      </c>
      <c r="K43" s="73">
        <f>$E$8-J43</f>
        <v/>
      </c>
      <c r="L43" s="28">
        <f>IF($E$8=0,0,J43/$E$8)</f>
        <v/>
      </c>
    </row>
    <row r="44">
      <c r="B44" s="94" t="n">
        <v>20</v>
      </c>
      <c r="C44" s="81">
        <f>'سجل المستخلصات'!C25</f>
        <v/>
      </c>
      <c r="D44" s="83">
        <f>'مستخلص 20'!M111</f>
        <v/>
      </c>
      <c r="E44" s="95">
        <f>$E$6</f>
        <v/>
      </c>
      <c r="F44" s="68" t="n"/>
      <c r="G44" s="95">
        <f>IF(B44&lt;$E$7,0,IF(F44="",E44,F44))</f>
        <v/>
      </c>
      <c r="H44" s="83">
        <f>MAX(0,ROUND(D44*G44,2))</f>
        <v/>
      </c>
      <c r="I44" s="84">
        <f>MIN(H44,MAX(0,$E$8-J43))</f>
        <v/>
      </c>
      <c r="J44" s="83">
        <f>J43+I44</f>
        <v/>
      </c>
      <c r="K44" s="83">
        <f>$E$8-J44</f>
        <v/>
      </c>
      <c r="L44" s="50">
        <f>IF($E$8=0,0,J44/$E$8)</f>
        <v/>
      </c>
    </row>
    <row r="45">
      <c r="B45" s="92" t="n">
        <v>21</v>
      </c>
      <c r="C45" s="78">
        <f>'سجل المستخلصات'!C26</f>
        <v/>
      </c>
      <c r="D45" s="73">
        <f>'مستخلص 21'!M111</f>
        <v/>
      </c>
      <c r="E45" s="93">
        <f>$E$6</f>
        <v/>
      </c>
      <c r="F45" s="68" t="n"/>
      <c r="G45" s="93">
        <f>IF(B45&lt;$E$7,0,IF(F45="",E45,F45))</f>
        <v/>
      </c>
      <c r="H45" s="73">
        <f>MAX(0,ROUND(D45*G45,2))</f>
        <v/>
      </c>
      <c r="I45" s="27">
        <f>MIN(H45,MAX(0,$E$8-J44))</f>
        <v/>
      </c>
      <c r="J45" s="73">
        <f>J44+I45</f>
        <v/>
      </c>
      <c r="K45" s="73">
        <f>$E$8-J45</f>
        <v/>
      </c>
      <c r="L45" s="28">
        <f>IF($E$8=0,0,J45/$E$8)</f>
        <v/>
      </c>
    </row>
    <row r="46">
      <c r="B46" s="94" t="n">
        <v>22</v>
      </c>
      <c r="C46" s="81">
        <f>'سجل المستخلصات'!C27</f>
        <v/>
      </c>
      <c r="D46" s="83">
        <f>'مستخلص 22'!M111</f>
        <v/>
      </c>
      <c r="E46" s="95">
        <f>$E$6</f>
        <v/>
      </c>
      <c r="F46" s="68" t="n"/>
      <c r="G46" s="95">
        <f>IF(B46&lt;$E$7,0,IF(F46="",E46,F46))</f>
        <v/>
      </c>
      <c r="H46" s="83">
        <f>MAX(0,ROUND(D46*G46,2))</f>
        <v/>
      </c>
      <c r="I46" s="84">
        <f>MIN(H46,MAX(0,$E$8-J45))</f>
        <v/>
      </c>
      <c r="J46" s="83">
        <f>J45+I46</f>
        <v/>
      </c>
      <c r="K46" s="83">
        <f>$E$8-J46</f>
        <v/>
      </c>
      <c r="L46" s="50">
        <f>IF($E$8=0,0,J46/$E$8)</f>
        <v/>
      </c>
    </row>
    <row r="47">
      <c r="B47" s="92" t="n">
        <v>23</v>
      </c>
      <c r="C47" s="78">
        <f>'سجل المستخلصات'!C28</f>
        <v/>
      </c>
      <c r="D47" s="73">
        <f>'مستخلص 23'!M111</f>
        <v/>
      </c>
      <c r="E47" s="93">
        <f>$E$6</f>
        <v/>
      </c>
      <c r="F47" s="68" t="n"/>
      <c r="G47" s="93">
        <f>IF(B47&lt;$E$7,0,IF(F47="",E47,F47))</f>
        <v/>
      </c>
      <c r="H47" s="73">
        <f>MAX(0,ROUND(D47*G47,2))</f>
        <v/>
      </c>
      <c r="I47" s="27">
        <f>MIN(H47,MAX(0,$E$8-J46))</f>
        <v/>
      </c>
      <c r="J47" s="73">
        <f>J46+I47</f>
        <v/>
      </c>
      <c r="K47" s="73">
        <f>$E$8-J47</f>
        <v/>
      </c>
      <c r="L47" s="28">
        <f>IF($E$8=0,0,J47/$E$8)</f>
        <v/>
      </c>
    </row>
    <row r="48">
      <c r="B48" s="94" t="n">
        <v>24</v>
      </c>
      <c r="C48" s="81">
        <f>'سجل المستخلصات'!C29</f>
        <v/>
      </c>
      <c r="D48" s="83">
        <f>'مستخلص 24'!M111</f>
        <v/>
      </c>
      <c r="E48" s="95">
        <f>$E$6</f>
        <v/>
      </c>
      <c r="F48" s="68" t="n"/>
      <c r="G48" s="95">
        <f>IF(B48&lt;$E$7,0,IF(F48="",E48,F48))</f>
        <v/>
      </c>
      <c r="H48" s="83">
        <f>MAX(0,ROUND(D48*G48,2))</f>
        <v/>
      </c>
      <c r="I48" s="84">
        <f>MIN(H48,MAX(0,$E$8-J47))</f>
        <v/>
      </c>
      <c r="J48" s="83">
        <f>J47+I48</f>
        <v/>
      </c>
      <c r="K48" s="83">
        <f>$E$8-J48</f>
        <v/>
      </c>
      <c r="L48" s="50">
        <f>IF($E$8=0,0,J48/$E$8)</f>
        <v/>
      </c>
    </row>
    <row r="49">
      <c r="B49" s="92" t="n">
        <v>25</v>
      </c>
      <c r="C49" s="78">
        <f>'سجل المستخلصات'!C30</f>
        <v/>
      </c>
      <c r="D49" s="73">
        <f>'مستخلص 25'!M111</f>
        <v/>
      </c>
      <c r="E49" s="93">
        <f>$E$6</f>
        <v/>
      </c>
      <c r="F49" s="68" t="n"/>
      <c r="G49" s="93">
        <f>IF(B49&lt;$E$7,0,IF(F49="",E49,F49))</f>
        <v/>
      </c>
      <c r="H49" s="73">
        <f>MAX(0,ROUND(D49*G49,2))</f>
        <v/>
      </c>
      <c r="I49" s="27">
        <f>MIN(H49,MAX(0,$E$8-J48))</f>
        <v/>
      </c>
      <c r="J49" s="73">
        <f>J48+I49</f>
        <v/>
      </c>
      <c r="K49" s="73">
        <f>$E$8-J49</f>
        <v/>
      </c>
      <c r="L49" s="28">
        <f>IF($E$8=0,0,J49/$E$8)</f>
        <v/>
      </c>
    </row>
    <row r="50">
      <c r="B50" s="52" t="inlineStr">
        <is>
          <t>الإجمالي</t>
        </is>
      </c>
      <c r="C50" s="52" t="n"/>
      <c r="D50" s="75">
        <f>SUM(D25:D49)</f>
        <v/>
      </c>
      <c r="E50" s="91" t="n"/>
      <c r="F50" s="91" t="n"/>
      <c r="G50" s="91" t="n"/>
      <c r="H50" s="75">
        <f>SUM(H25:H49)</f>
        <v/>
      </c>
      <c r="I50" s="75">
        <f>SUM(I25:I49)</f>
        <v/>
      </c>
      <c r="J50" s="91" t="n"/>
      <c r="K50" s="75">
        <f>E8-I50</f>
        <v/>
      </c>
      <c r="L50" s="54">
        <f>IF(E8=0,0,I50/E8)</f>
        <v/>
      </c>
    </row>
  </sheetData>
  <mergeCells count="33">
    <mergeCell ref="K16:L16"/>
    <mergeCell ref="B11:D11"/>
    <mergeCell ref="H6:L11"/>
    <mergeCell ref="B3:C3"/>
    <mergeCell ref="B8:D8"/>
    <mergeCell ref="K15:L15"/>
    <mergeCell ref="E8:F8"/>
    <mergeCell ref="B10:D10"/>
    <mergeCell ref="B21:C21"/>
    <mergeCell ref="K20:L20"/>
    <mergeCell ref="E10:F10"/>
    <mergeCell ref="B9:D9"/>
    <mergeCell ref="E9:F9"/>
    <mergeCell ref="B6:D6"/>
    <mergeCell ref="G3:H3"/>
    <mergeCell ref="B23:L23"/>
    <mergeCell ref="I3:J3"/>
    <mergeCell ref="E6:F6"/>
    <mergeCell ref="B13:L13"/>
    <mergeCell ref="E11:F11"/>
    <mergeCell ref="B7:D7"/>
    <mergeCell ref="K14:L14"/>
    <mergeCell ref="B2:N2"/>
    <mergeCell ref="K17:L17"/>
    <mergeCell ref="B1:N1"/>
    <mergeCell ref="E7:F7"/>
    <mergeCell ref="B5:F5"/>
    <mergeCell ref="K19:L19"/>
    <mergeCell ref="B50:C50"/>
    <mergeCell ref="H5:L5"/>
    <mergeCell ref="K18:L18"/>
    <mergeCell ref="E3:F3"/>
    <mergeCell ref="K3:L3"/>
  </mergeCells>
  <conditionalFormatting sqref="L25:L49">
    <cfRule type="dataBar" priority="1">
      <dataBar>
        <cfvo type="num" val="0"/>
        <cfvo type="num" val="1"/>
        <color rgb="FF6A1B9A"/>
      </dataBar>
    </cfRule>
  </conditionalFormatting>
  <conditionalFormatting sqref="J15:J20">
    <cfRule type="expression" priority="2" dxfId="0">
      <formula>ISNUMBER(SEARCH("✔",J15))</formula>
    </cfRule>
    <cfRule type="expression" priority="3" dxfId="1">
      <formula>ISNUMBER(SEARCH("⚠",J15))</formula>
    </cfRule>
    <cfRule type="expression" priority="4" dxfId="2">
      <formula>ISNUMBER(SEARCH("✖",J15))</formula>
    </cfRule>
  </conditionalFormatting>
  <dataValidations count="5">
    <dataValidation sqref="E6" showDropDown="0" showInputMessage="0" showErrorMessage="1" allowBlank="1" errorTitle="قيمة غير صحيحة" error="أدخل قيمة بين 0 و 1" type="decimal" operator="between">
      <formula1>0</formula1>
      <formula2>1</formula2>
    </dataValidation>
    <dataValidation sqref="E7" showDropDown="0" showInputMessage="0" showErrorMessage="1" allowBlank="1" errorTitle="قيمة غير صحيحة" error="أدخل قيمة بين 1 و 25" type="whole" operator="between">
      <formula1>1</formula1>
      <formula2>25</formula2>
    </dataValidation>
    <dataValidation sqref="C15:C20" showDropDown="0" showInputMessage="0" showErrorMessage="1" allowBlank="1" errorTitle="تاريخ غير صحيح" error="أدخل تاريخاً صحيحاً (مثال: 2025/10/08)" type="date" operator="greaterThan">
      <formula1>36526</formula1>
    </dataValidation>
    <dataValidation sqref="H15:H20" showDropDown="0" showInputMessage="0" showErrorMessage="1" allowBlank="1" errorTitle="تاريخ غير صحيح" error="أدخل تاريخاً صحيحاً (مثال: 2025/10/08)" type="date" operator="greaterThan">
      <formula1>36526</formula1>
    </dataValidation>
    <dataValidation sqref="F25:F49" showDropDown="0" showInputMessage="0" showErrorMessage="1" allowBlank="1" errorTitle="قيمة غير صحيحة" error="أدخل قيمة بين 0 و 1" type="decimal" operator="between">
      <formula1>0</formula1>
      <formula2>1</formula2>
    </dataValidation>
  </dataValidations>
  <hyperlinks>
    <hyperlink ref="B3" location="'لوحة التحكم'!A1" display="🏠 لوحة التحكم"/>
    <hyperlink ref="D3" location="'الإعدادات'!A1" display="⚙ الإعدادات"/>
    <hyperlink ref="E3" location="'جدول الكميات'!A1" display="📋 جدول الكميات"/>
    <hyperlink ref="G3" location="'سجل المستخلصات'!A1" display="🗂 سجل المستخلصات"/>
    <hyperlink ref="I3" location="'ضمان الأعمال'!A1" display="🔒 ضمان الأعمال"/>
    <hyperlink ref="K3" location="'مستخلص 1'!A1" display="📄 مستخلص 1"/>
  </hyperlinks>
  <printOptions horizontalCentered="1"/>
  <pageMargins left="0.3" right="0.3" top="0.4" bottom="0.4"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tabColor rgb="FFC62828"/>
    <outlinePr summaryBelow="1" summaryRight="1"/>
    <pageSetUpPr fitToPage="1"/>
  </sheetPr>
  <dimension ref="B1:N60"/>
  <sheetViews>
    <sheetView showGridLines="0"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2" customWidth="1" min="2" max="2"/>
    <col width="13" customWidth="1" min="3" max="3"/>
    <col width="16" customWidth="1" min="4" max="4"/>
    <col width="13" customWidth="1" min="5" max="5"/>
    <col width="14" customWidth="1" min="6" max="6"/>
    <col width="13" customWidth="1" min="7" max="7"/>
    <col width="15" customWidth="1" min="8" max="8"/>
    <col width="15" customWidth="1" min="9" max="9"/>
    <col width="16" customWidth="1" min="10" max="10"/>
    <col width="16" customWidth="1" min="11" max="11"/>
    <col width="13" customWidth="1" min="12" max="12"/>
    <col width="2" customWidth="1" min="13" max="13"/>
    <col width="40" customWidth="1" min="14" max="14"/>
  </cols>
  <sheetData>
    <row r="1" ht="38" customHeight="1">
      <c r="B1" s="1" t="inlineStr">
        <is>
          <t>🔒 ضمان الأعمال (المحتجزات) والضمانات البنكية</t>
        </is>
      </c>
      <c r="C1" s="1" t="n"/>
      <c r="D1" s="1" t="n"/>
      <c r="E1" s="1" t="n"/>
      <c r="F1" s="1" t="n"/>
      <c r="G1" s="1" t="n"/>
      <c r="H1" s="1" t="n"/>
      <c r="I1" s="1" t="n"/>
      <c r="J1" s="1" t="n"/>
      <c r="K1" s="1" t="n"/>
      <c r="L1" s="1" t="n"/>
      <c r="M1" s="1" t="n"/>
      <c r="N1" s="1" t="n"/>
    </row>
    <row r="2" ht="20" customHeight="1">
      <c r="B2" s="2">
        <f>'الإعدادات'!$C$6&amp;"   |   العقد رقم: "&amp;'الإعدادات'!$C$7&amp;"   |   المالك: "&amp;'الإعدادات'!$C$8&amp;"   |   المقاول: "&amp;'الإعدادات'!$C$9</f>
        <v/>
      </c>
      <c r="C2" s="2" t="n"/>
      <c r="D2" s="2" t="n"/>
      <c r="E2" s="2" t="n"/>
      <c r="F2" s="2" t="n"/>
      <c r="G2" s="2" t="n"/>
      <c r="H2" s="2" t="n"/>
      <c r="I2" s="2" t="n"/>
      <c r="J2" s="2" t="n"/>
      <c r="K2" s="2" t="n"/>
      <c r="L2" s="2" t="n"/>
      <c r="M2" s="2" t="n"/>
      <c r="N2" s="2" t="n"/>
    </row>
    <row r="3" ht="24" customHeight="1">
      <c r="B3" s="56" t="inlineStr">
        <is>
          <t>🏠 لوحة التحكم</t>
        </is>
      </c>
      <c r="C3" s="56" t="n"/>
      <c r="D3" s="3" t="inlineStr">
        <is>
          <t>⚙ الإعدادات</t>
        </is>
      </c>
      <c r="E3" s="3" t="inlineStr">
        <is>
          <t>📋 جدول الكميات</t>
        </is>
      </c>
      <c r="F3" s="3" t="n"/>
      <c r="G3" s="3" t="inlineStr">
        <is>
          <t>🗂 سجل المستخلصات</t>
        </is>
      </c>
      <c r="H3" s="3" t="n"/>
      <c r="I3" s="3" t="inlineStr">
        <is>
          <t>💵 الدفعات المقدمة</t>
        </is>
      </c>
      <c r="J3" s="3" t="n"/>
      <c r="K3" s="4" t="inlineStr">
        <is>
          <t>📄 مستخلص 1</t>
        </is>
      </c>
      <c r="L3" s="4" t="n"/>
    </row>
    <row r="5" ht="22" customHeight="1">
      <c r="B5" s="57" t="inlineStr">
        <is>
          <t>إعدادات ضمان الأعمال والملخص</t>
        </is>
      </c>
      <c r="C5" s="57" t="n"/>
      <c r="D5" s="57" t="n"/>
      <c r="E5" s="57" t="n"/>
      <c r="F5" s="57" t="n"/>
      <c r="H5" s="25" t="inlineStr">
        <is>
          <t>شروط الإفراج (للتوثيق)</t>
        </is>
      </c>
      <c r="I5" s="25" t="n"/>
      <c r="J5" s="25" t="n"/>
      <c r="K5" s="25" t="n"/>
      <c r="L5" s="25" t="n"/>
    </row>
    <row r="6">
      <c r="B6" s="60" t="inlineStr">
        <is>
          <t>نسبة ضمان الأعمال المستقطعة من كل مستخلص</t>
        </is>
      </c>
      <c r="C6" s="60" t="n"/>
      <c r="D6" s="60" t="n"/>
      <c r="E6" s="68" t="n">
        <v>0.1</v>
      </c>
      <c r="F6" s="68" t="n"/>
      <c r="H6" s="96" t="inlineStr">
        <is>
          <t>مرحلة الإفراج</t>
        </is>
      </c>
      <c r="I6" s="96" t="n"/>
      <c r="J6" s="96" t="n"/>
      <c r="K6" s="96" t="inlineStr">
        <is>
          <t>نسبة الإفراج</t>
        </is>
      </c>
      <c r="L6" s="96" t="inlineStr">
        <is>
          <t>القيمة المتوقعة</t>
        </is>
      </c>
    </row>
    <row r="7">
      <c r="B7" s="60" t="inlineStr">
        <is>
          <t>الحد الأقصى للضمان (% من قيمة العقد) — اتركه فارغاً بدون حد</t>
        </is>
      </c>
      <c r="C7" s="60" t="n"/>
      <c r="D7" s="60" t="n"/>
      <c r="E7" s="68" t="n"/>
      <c r="F7" s="68" t="n"/>
      <c r="H7" s="61" t="inlineStr">
        <is>
          <t>عند الاستلام الابتدائي</t>
        </is>
      </c>
      <c r="I7" s="61" t="n"/>
      <c r="J7" s="61" t="n"/>
      <c r="K7" s="68" t="n">
        <v>0.5</v>
      </c>
      <c r="L7" s="73">
        <f>ROUND($E$9*K7,2)</f>
        <v/>
      </c>
    </row>
    <row r="8">
      <c r="B8" s="60" t="inlineStr">
        <is>
          <t>قيمة الحد الأقصى</t>
        </is>
      </c>
      <c r="C8" s="60" t="n"/>
      <c r="D8" s="60" t="n"/>
      <c r="E8" s="27">
        <f>IF(E7="","بدون حد",E7*'الإعدادات'!$C$19)</f>
        <v/>
      </c>
      <c r="F8" s="27" t="n"/>
      <c r="H8" s="61" t="inlineStr">
        <is>
          <t>عند الاستلام النهائي (بعد فترة الصيانة)</t>
        </is>
      </c>
      <c r="I8" s="61" t="n"/>
      <c r="J8" s="61" t="n"/>
      <c r="K8" s="68" t="n">
        <v>0.5</v>
      </c>
      <c r="L8" s="73">
        <f>ROUND($E$9*K8,2)</f>
        <v/>
      </c>
    </row>
    <row r="9">
      <c r="B9" s="60" t="inlineStr">
        <is>
          <t>إجمالي المستقطع من المستخلصات</t>
        </is>
      </c>
      <c r="C9" s="60" t="n"/>
      <c r="D9" s="60" t="n"/>
      <c r="E9" s="27">
        <f>I41</f>
        <v/>
      </c>
      <c r="F9" s="27" t="n"/>
      <c r="H9" s="61" t="inlineStr">
        <is>
          <t>أخرى</t>
        </is>
      </c>
      <c r="I9" s="61" t="n"/>
      <c r="J9" s="61" t="n"/>
      <c r="K9" s="68" t="n"/>
      <c r="L9" s="73">
        <f>ROUND($E$9*K9,2)</f>
        <v/>
      </c>
    </row>
    <row r="10">
      <c r="B10" s="60" t="inlineStr">
        <is>
          <t>إجمالي المفرج عنه</t>
        </is>
      </c>
      <c r="C10" s="60" t="n"/>
      <c r="D10" s="60" t="n"/>
      <c r="E10" s="87">
        <f>F51</f>
        <v/>
      </c>
      <c r="F10" s="87" t="n"/>
      <c r="H10" s="60" t="inlineStr">
        <is>
          <t>مدة فترة الضمان والصيانة (شهر)</t>
        </is>
      </c>
      <c r="I10" s="60" t="n"/>
      <c r="J10" s="60" t="n"/>
      <c r="K10" s="60" t="n"/>
      <c r="L10" s="86" t="n">
        <v>12</v>
      </c>
    </row>
    <row r="11">
      <c r="B11" s="60" t="inlineStr">
        <is>
          <t>الرصيد المحتجز لدى المالك حالياً</t>
        </is>
      </c>
      <c r="C11" s="60" t="n"/>
      <c r="D11" s="60" t="n"/>
      <c r="E11" s="88">
        <f>E9-E10</f>
        <v/>
      </c>
      <c r="F11" s="88" t="n"/>
      <c r="H11" s="60" t="inlineStr">
        <is>
          <t>تاريخ الإفراج النهائي المتوقع</t>
        </is>
      </c>
      <c r="I11" s="60" t="n"/>
      <c r="J11" s="60" t="n"/>
      <c r="K11" s="60" t="n"/>
      <c r="L11" s="67">
        <f>IF(OR('الإعدادات'!C15="",L10=""),"",EDATE('الإعدادات'!C15,L10))</f>
        <v/>
      </c>
    </row>
    <row r="14" ht="22" customHeight="1">
      <c r="B14" s="57" t="inlineStr">
        <is>
          <t>جدول استقطاع ضمان الأعمال من المستخلصات</t>
        </is>
      </c>
      <c r="C14" s="57" t="n"/>
      <c r="D14" s="57" t="n"/>
      <c r="E14" s="57" t="n"/>
      <c r="F14" s="57" t="n"/>
      <c r="G14" s="57" t="n"/>
      <c r="H14" s="57" t="n"/>
      <c r="I14" s="57" t="n"/>
      <c r="J14" s="57" t="n"/>
      <c r="K14" s="57" t="n"/>
      <c r="L14" s="57" t="n"/>
    </row>
    <row r="15" ht="40" customHeight="1">
      <c r="B15" s="70" t="inlineStr">
        <is>
          <t>رقم المستخلص</t>
        </is>
      </c>
      <c r="C15" s="70" t="inlineStr">
        <is>
          <t>التاريخ</t>
        </is>
      </c>
      <c r="D15" s="70" t="inlineStr">
        <is>
          <t>قيمة الأعمال الحالية</t>
        </is>
      </c>
      <c r="E15" s="70" t="inlineStr">
        <is>
          <t>النسبة الافتراضية</t>
        </is>
      </c>
      <c r="F15" s="70" t="inlineStr">
        <is>
          <t>نسبة مخصصة ✎ (اختياري)</t>
        </is>
      </c>
      <c r="G15" s="70" t="inlineStr">
        <is>
          <t>النسبة المطبقة</t>
        </is>
      </c>
      <c r="H15" s="70" t="inlineStr">
        <is>
          <t>الضمان المحسوب</t>
        </is>
      </c>
      <c r="I15" s="70" t="inlineStr">
        <is>
          <t>الضمان المعتمد</t>
        </is>
      </c>
      <c r="J15" s="70" t="inlineStr">
        <is>
          <t>الضمان التراكمي</t>
        </is>
      </c>
      <c r="K15" s="70" t="inlineStr">
        <is>
          <t>قيمة الأعمال التراكمية</t>
        </is>
      </c>
      <c r="L15" s="70" t="inlineStr">
        <is>
          <t>% من الأعمال</t>
        </is>
      </c>
    </row>
    <row r="16">
      <c r="B16" s="92" t="n">
        <v>1</v>
      </c>
      <c r="C16" s="78">
        <f>'سجل المستخلصات'!C6</f>
        <v/>
      </c>
      <c r="D16" s="73">
        <f>'مستخلص 1'!M111</f>
        <v/>
      </c>
      <c r="E16" s="93">
        <f>$E$6</f>
        <v/>
      </c>
      <c r="F16" s="68" t="n"/>
      <c r="G16" s="93">
        <f>IF(F16="",E16,F16)</f>
        <v/>
      </c>
      <c r="H16" s="73">
        <f>MAX(0,ROUND(D16*G16,2))</f>
        <v/>
      </c>
      <c r="I16" s="27">
        <f>IF($E$7="",H16,MIN(H16,MAX(0,$E$7*'الإعدادات'!$C$19-0)))</f>
        <v/>
      </c>
      <c r="J16" s="73">
        <f>0+I16</f>
        <v/>
      </c>
      <c r="K16" s="73">
        <f>'مستخلص 1'!N111</f>
        <v/>
      </c>
      <c r="L16" s="28">
        <f>IF(K16=0,0,J16/K16)</f>
        <v/>
      </c>
    </row>
    <row r="17">
      <c r="B17" s="94" t="n">
        <v>2</v>
      </c>
      <c r="C17" s="81">
        <f>'سجل المستخلصات'!C7</f>
        <v/>
      </c>
      <c r="D17" s="83">
        <f>'مستخلص 2'!M111</f>
        <v/>
      </c>
      <c r="E17" s="95">
        <f>$E$6</f>
        <v/>
      </c>
      <c r="F17" s="68" t="n"/>
      <c r="G17" s="95">
        <f>IF(F17="",E17,F17)</f>
        <v/>
      </c>
      <c r="H17" s="83">
        <f>MAX(0,ROUND(D17*G17,2))</f>
        <v/>
      </c>
      <c r="I17" s="84">
        <f>IF($E$7="",H17,MIN(H17,MAX(0,$E$7*'الإعدادات'!$C$19-J16)))</f>
        <v/>
      </c>
      <c r="J17" s="83">
        <f>J16+I17</f>
        <v/>
      </c>
      <c r="K17" s="83">
        <f>'مستخلص 2'!N111</f>
        <v/>
      </c>
      <c r="L17" s="50">
        <f>IF(K17=0,0,J17/K17)</f>
        <v/>
      </c>
    </row>
    <row r="18">
      <c r="B18" s="92" t="n">
        <v>3</v>
      </c>
      <c r="C18" s="78">
        <f>'سجل المستخلصات'!C8</f>
        <v/>
      </c>
      <c r="D18" s="73">
        <f>'مستخلص 3'!M111</f>
        <v/>
      </c>
      <c r="E18" s="93">
        <f>$E$6</f>
        <v/>
      </c>
      <c r="F18" s="68" t="n"/>
      <c r="G18" s="93">
        <f>IF(F18="",E18,F18)</f>
        <v/>
      </c>
      <c r="H18" s="73">
        <f>MAX(0,ROUND(D18*G18,2))</f>
        <v/>
      </c>
      <c r="I18" s="27">
        <f>IF($E$7="",H18,MIN(H18,MAX(0,$E$7*'الإعدادات'!$C$19-J17)))</f>
        <v/>
      </c>
      <c r="J18" s="73">
        <f>J17+I18</f>
        <v/>
      </c>
      <c r="K18" s="73">
        <f>'مستخلص 3'!N111</f>
        <v/>
      </c>
      <c r="L18" s="28">
        <f>IF(K18=0,0,J18/K18)</f>
        <v/>
      </c>
    </row>
    <row r="19">
      <c r="B19" s="94" t="n">
        <v>4</v>
      </c>
      <c r="C19" s="81">
        <f>'سجل المستخلصات'!C9</f>
        <v/>
      </c>
      <c r="D19" s="83">
        <f>'مستخلص 4'!M111</f>
        <v/>
      </c>
      <c r="E19" s="95">
        <f>$E$6</f>
        <v/>
      </c>
      <c r="F19" s="68" t="n"/>
      <c r="G19" s="95">
        <f>IF(F19="",E19,F19)</f>
        <v/>
      </c>
      <c r="H19" s="83">
        <f>MAX(0,ROUND(D19*G19,2))</f>
        <v/>
      </c>
      <c r="I19" s="84">
        <f>IF($E$7="",H19,MIN(H19,MAX(0,$E$7*'الإعدادات'!$C$19-J18)))</f>
        <v/>
      </c>
      <c r="J19" s="83">
        <f>J18+I19</f>
        <v/>
      </c>
      <c r="K19" s="83">
        <f>'مستخلص 4'!N111</f>
        <v/>
      </c>
      <c r="L19" s="50">
        <f>IF(K19=0,0,J19/K19)</f>
        <v/>
      </c>
    </row>
    <row r="20">
      <c r="B20" s="92" t="n">
        <v>5</v>
      </c>
      <c r="C20" s="78">
        <f>'سجل المستخلصات'!C10</f>
        <v/>
      </c>
      <c r="D20" s="73">
        <f>'مستخلص 5'!M111</f>
        <v/>
      </c>
      <c r="E20" s="93">
        <f>$E$6</f>
        <v/>
      </c>
      <c r="F20" s="68" t="n"/>
      <c r="G20" s="93">
        <f>IF(F20="",E20,F20)</f>
        <v/>
      </c>
      <c r="H20" s="73">
        <f>MAX(0,ROUND(D20*G20,2))</f>
        <v/>
      </c>
      <c r="I20" s="27">
        <f>IF($E$7="",H20,MIN(H20,MAX(0,$E$7*'الإعدادات'!$C$19-J19)))</f>
        <v/>
      </c>
      <c r="J20" s="73">
        <f>J19+I20</f>
        <v/>
      </c>
      <c r="K20" s="73">
        <f>'مستخلص 5'!N111</f>
        <v/>
      </c>
      <c r="L20" s="28">
        <f>IF(K20=0,0,J20/K20)</f>
        <v/>
      </c>
    </row>
    <row r="21">
      <c r="B21" s="94" t="n">
        <v>6</v>
      </c>
      <c r="C21" s="81">
        <f>'سجل المستخلصات'!C11</f>
        <v/>
      </c>
      <c r="D21" s="83">
        <f>'مستخلص 6'!M111</f>
        <v/>
      </c>
      <c r="E21" s="95">
        <f>$E$6</f>
        <v/>
      </c>
      <c r="F21" s="68" t="n"/>
      <c r="G21" s="95">
        <f>IF(F21="",E21,F21)</f>
        <v/>
      </c>
      <c r="H21" s="83">
        <f>MAX(0,ROUND(D21*G21,2))</f>
        <v/>
      </c>
      <c r="I21" s="84">
        <f>IF($E$7="",H21,MIN(H21,MAX(0,$E$7*'الإعدادات'!$C$19-J20)))</f>
        <v/>
      </c>
      <c r="J21" s="83">
        <f>J20+I21</f>
        <v/>
      </c>
      <c r="K21" s="83">
        <f>'مستخلص 6'!N111</f>
        <v/>
      </c>
      <c r="L21" s="50">
        <f>IF(K21=0,0,J21/K21)</f>
        <v/>
      </c>
    </row>
    <row r="22">
      <c r="B22" s="92" t="n">
        <v>7</v>
      </c>
      <c r="C22" s="78">
        <f>'سجل المستخلصات'!C12</f>
        <v/>
      </c>
      <c r="D22" s="73">
        <f>'مستخلص 7'!M111</f>
        <v/>
      </c>
      <c r="E22" s="93">
        <f>$E$6</f>
        <v/>
      </c>
      <c r="F22" s="68" t="n"/>
      <c r="G22" s="93">
        <f>IF(F22="",E22,F22)</f>
        <v/>
      </c>
      <c r="H22" s="73">
        <f>MAX(0,ROUND(D22*G22,2))</f>
        <v/>
      </c>
      <c r="I22" s="27">
        <f>IF($E$7="",H22,MIN(H22,MAX(0,$E$7*'الإعدادات'!$C$19-J21)))</f>
        <v/>
      </c>
      <c r="J22" s="73">
        <f>J21+I22</f>
        <v/>
      </c>
      <c r="K22" s="73">
        <f>'مستخلص 7'!N111</f>
        <v/>
      </c>
      <c r="L22" s="28">
        <f>IF(K22=0,0,J22/K22)</f>
        <v/>
      </c>
    </row>
    <row r="23">
      <c r="B23" s="94" t="n">
        <v>8</v>
      </c>
      <c r="C23" s="81">
        <f>'سجل المستخلصات'!C13</f>
        <v/>
      </c>
      <c r="D23" s="83">
        <f>'مستخلص 8'!M111</f>
        <v/>
      </c>
      <c r="E23" s="95">
        <f>$E$6</f>
        <v/>
      </c>
      <c r="F23" s="68" t="n"/>
      <c r="G23" s="95">
        <f>IF(F23="",E23,F23)</f>
        <v/>
      </c>
      <c r="H23" s="83">
        <f>MAX(0,ROUND(D23*G23,2))</f>
        <v/>
      </c>
      <c r="I23" s="84">
        <f>IF($E$7="",H23,MIN(H23,MAX(0,$E$7*'الإعدادات'!$C$19-J22)))</f>
        <v/>
      </c>
      <c r="J23" s="83">
        <f>J22+I23</f>
        <v/>
      </c>
      <c r="K23" s="83">
        <f>'مستخلص 8'!N111</f>
        <v/>
      </c>
      <c r="L23" s="50">
        <f>IF(K23=0,0,J23/K23)</f>
        <v/>
      </c>
    </row>
    <row r="24">
      <c r="B24" s="92" t="n">
        <v>9</v>
      </c>
      <c r="C24" s="78">
        <f>'سجل المستخلصات'!C14</f>
        <v/>
      </c>
      <c r="D24" s="73">
        <f>'مستخلص 9'!M111</f>
        <v/>
      </c>
      <c r="E24" s="93">
        <f>$E$6</f>
        <v/>
      </c>
      <c r="F24" s="68" t="n"/>
      <c r="G24" s="93">
        <f>IF(F24="",E24,F24)</f>
        <v/>
      </c>
      <c r="H24" s="73">
        <f>MAX(0,ROUND(D24*G24,2))</f>
        <v/>
      </c>
      <c r="I24" s="27">
        <f>IF($E$7="",H24,MIN(H24,MAX(0,$E$7*'الإعدادات'!$C$19-J23)))</f>
        <v/>
      </c>
      <c r="J24" s="73">
        <f>J23+I24</f>
        <v/>
      </c>
      <c r="K24" s="73">
        <f>'مستخلص 9'!N111</f>
        <v/>
      </c>
      <c r="L24" s="28">
        <f>IF(K24=0,0,J24/K24)</f>
        <v/>
      </c>
    </row>
    <row r="25">
      <c r="B25" s="94" t="n">
        <v>10</v>
      </c>
      <c r="C25" s="81">
        <f>'سجل المستخلصات'!C15</f>
        <v/>
      </c>
      <c r="D25" s="83">
        <f>'مستخلص 10'!M111</f>
        <v/>
      </c>
      <c r="E25" s="95">
        <f>$E$6</f>
        <v/>
      </c>
      <c r="F25" s="68" t="n"/>
      <c r="G25" s="95">
        <f>IF(F25="",E25,F25)</f>
        <v/>
      </c>
      <c r="H25" s="83">
        <f>MAX(0,ROUND(D25*G25,2))</f>
        <v/>
      </c>
      <c r="I25" s="84">
        <f>IF($E$7="",H25,MIN(H25,MAX(0,$E$7*'الإعدادات'!$C$19-J24)))</f>
        <v/>
      </c>
      <c r="J25" s="83">
        <f>J24+I25</f>
        <v/>
      </c>
      <c r="K25" s="83">
        <f>'مستخلص 10'!N111</f>
        <v/>
      </c>
      <c r="L25" s="50">
        <f>IF(K25=0,0,J25/K25)</f>
        <v/>
      </c>
    </row>
    <row r="26">
      <c r="B26" s="92" t="n">
        <v>11</v>
      </c>
      <c r="C26" s="78">
        <f>'سجل المستخلصات'!C16</f>
        <v/>
      </c>
      <c r="D26" s="73">
        <f>'مستخلص 11'!M111</f>
        <v/>
      </c>
      <c r="E26" s="93">
        <f>$E$6</f>
        <v/>
      </c>
      <c r="F26" s="68" t="n"/>
      <c r="G26" s="93">
        <f>IF(F26="",E26,F26)</f>
        <v/>
      </c>
      <c r="H26" s="73">
        <f>MAX(0,ROUND(D26*G26,2))</f>
        <v/>
      </c>
      <c r="I26" s="27">
        <f>IF($E$7="",H26,MIN(H26,MAX(0,$E$7*'الإعدادات'!$C$19-J25)))</f>
        <v/>
      </c>
      <c r="J26" s="73">
        <f>J25+I26</f>
        <v/>
      </c>
      <c r="K26" s="73">
        <f>'مستخلص 11'!N111</f>
        <v/>
      </c>
      <c r="L26" s="28">
        <f>IF(K26=0,0,J26/K26)</f>
        <v/>
      </c>
    </row>
    <row r="27">
      <c r="B27" s="94" t="n">
        <v>12</v>
      </c>
      <c r="C27" s="81">
        <f>'سجل المستخلصات'!C17</f>
        <v/>
      </c>
      <c r="D27" s="83">
        <f>'مستخلص 12'!M111</f>
        <v/>
      </c>
      <c r="E27" s="95">
        <f>$E$6</f>
        <v/>
      </c>
      <c r="F27" s="68" t="n"/>
      <c r="G27" s="95">
        <f>IF(F27="",E27,F27)</f>
        <v/>
      </c>
      <c r="H27" s="83">
        <f>MAX(0,ROUND(D27*G27,2))</f>
        <v/>
      </c>
      <c r="I27" s="84">
        <f>IF($E$7="",H27,MIN(H27,MAX(0,$E$7*'الإعدادات'!$C$19-J26)))</f>
        <v/>
      </c>
      <c r="J27" s="83">
        <f>J26+I27</f>
        <v/>
      </c>
      <c r="K27" s="83">
        <f>'مستخلص 12'!N111</f>
        <v/>
      </c>
      <c r="L27" s="50">
        <f>IF(K27=0,0,J27/K27)</f>
        <v/>
      </c>
    </row>
    <row r="28">
      <c r="B28" s="92" t="n">
        <v>13</v>
      </c>
      <c r="C28" s="78">
        <f>'سجل المستخلصات'!C18</f>
        <v/>
      </c>
      <c r="D28" s="73">
        <f>'مستخلص 13'!M111</f>
        <v/>
      </c>
      <c r="E28" s="93">
        <f>$E$6</f>
        <v/>
      </c>
      <c r="F28" s="68" t="n"/>
      <c r="G28" s="93">
        <f>IF(F28="",E28,F28)</f>
        <v/>
      </c>
      <c r="H28" s="73">
        <f>MAX(0,ROUND(D28*G28,2))</f>
        <v/>
      </c>
      <c r="I28" s="27">
        <f>IF($E$7="",H28,MIN(H28,MAX(0,$E$7*'الإعدادات'!$C$19-J27)))</f>
        <v/>
      </c>
      <c r="J28" s="73">
        <f>J27+I28</f>
        <v/>
      </c>
      <c r="K28" s="73">
        <f>'مستخلص 13'!N111</f>
        <v/>
      </c>
      <c r="L28" s="28">
        <f>IF(K28=0,0,J28/K28)</f>
        <v/>
      </c>
    </row>
    <row r="29">
      <c r="B29" s="94" t="n">
        <v>14</v>
      </c>
      <c r="C29" s="81">
        <f>'سجل المستخلصات'!C19</f>
        <v/>
      </c>
      <c r="D29" s="83">
        <f>'مستخلص 14'!M111</f>
        <v/>
      </c>
      <c r="E29" s="95">
        <f>$E$6</f>
        <v/>
      </c>
      <c r="F29" s="68" t="n"/>
      <c r="G29" s="95">
        <f>IF(F29="",E29,F29)</f>
        <v/>
      </c>
      <c r="H29" s="83">
        <f>MAX(0,ROUND(D29*G29,2))</f>
        <v/>
      </c>
      <c r="I29" s="84">
        <f>IF($E$7="",H29,MIN(H29,MAX(0,$E$7*'الإعدادات'!$C$19-J28)))</f>
        <v/>
      </c>
      <c r="J29" s="83">
        <f>J28+I29</f>
        <v/>
      </c>
      <c r="K29" s="83">
        <f>'مستخلص 14'!N111</f>
        <v/>
      </c>
      <c r="L29" s="50">
        <f>IF(K29=0,0,J29/K29)</f>
        <v/>
      </c>
    </row>
    <row r="30">
      <c r="B30" s="92" t="n">
        <v>15</v>
      </c>
      <c r="C30" s="78">
        <f>'سجل المستخلصات'!C20</f>
        <v/>
      </c>
      <c r="D30" s="73">
        <f>'مستخلص 15'!M111</f>
        <v/>
      </c>
      <c r="E30" s="93">
        <f>$E$6</f>
        <v/>
      </c>
      <c r="F30" s="68" t="n"/>
      <c r="G30" s="93">
        <f>IF(F30="",E30,F30)</f>
        <v/>
      </c>
      <c r="H30" s="73">
        <f>MAX(0,ROUND(D30*G30,2))</f>
        <v/>
      </c>
      <c r="I30" s="27">
        <f>IF($E$7="",H30,MIN(H30,MAX(0,$E$7*'الإعدادات'!$C$19-J29)))</f>
        <v/>
      </c>
      <c r="J30" s="73">
        <f>J29+I30</f>
        <v/>
      </c>
      <c r="K30" s="73">
        <f>'مستخلص 15'!N111</f>
        <v/>
      </c>
      <c r="L30" s="28">
        <f>IF(K30=0,0,J30/K30)</f>
        <v/>
      </c>
    </row>
    <row r="31">
      <c r="B31" s="94" t="n">
        <v>16</v>
      </c>
      <c r="C31" s="81">
        <f>'سجل المستخلصات'!C21</f>
        <v/>
      </c>
      <c r="D31" s="83">
        <f>'مستخلص 16'!M111</f>
        <v/>
      </c>
      <c r="E31" s="95">
        <f>$E$6</f>
        <v/>
      </c>
      <c r="F31" s="68" t="n"/>
      <c r="G31" s="95">
        <f>IF(F31="",E31,F31)</f>
        <v/>
      </c>
      <c r="H31" s="83">
        <f>MAX(0,ROUND(D31*G31,2))</f>
        <v/>
      </c>
      <c r="I31" s="84">
        <f>IF($E$7="",H31,MIN(H31,MAX(0,$E$7*'الإعدادات'!$C$19-J30)))</f>
        <v/>
      </c>
      <c r="J31" s="83">
        <f>J30+I31</f>
        <v/>
      </c>
      <c r="K31" s="83">
        <f>'مستخلص 16'!N111</f>
        <v/>
      </c>
      <c r="L31" s="50">
        <f>IF(K31=0,0,J31/K31)</f>
        <v/>
      </c>
    </row>
    <row r="32">
      <c r="B32" s="92" t="n">
        <v>17</v>
      </c>
      <c r="C32" s="78">
        <f>'سجل المستخلصات'!C22</f>
        <v/>
      </c>
      <c r="D32" s="73">
        <f>'مستخلص 17'!M111</f>
        <v/>
      </c>
      <c r="E32" s="93">
        <f>$E$6</f>
        <v/>
      </c>
      <c r="F32" s="68" t="n"/>
      <c r="G32" s="93">
        <f>IF(F32="",E32,F32)</f>
        <v/>
      </c>
      <c r="H32" s="73">
        <f>MAX(0,ROUND(D32*G32,2))</f>
        <v/>
      </c>
      <c r="I32" s="27">
        <f>IF($E$7="",H32,MIN(H32,MAX(0,$E$7*'الإعدادات'!$C$19-J31)))</f>
        <v/>
      </c>
      <c r="J32" s="73">
        <f>J31+I32</f>
        <v/>
      </c>
      <c r="K32" s="73">
        <f>'مستخلص 17'!N111</f>
        <v/>
      </c>
      <c r="L32" s="28">
        <f>IF(K32=0,0,J32/K32)</f>
        <v/>
      </c>
    </row>
    <row r="33">
      <c r="B33" s="94" t="n">
        <v>18</v>
      </c>
      <c r="C33" s="81">
        <f>'سجل المستخلصات'!C23</f>
        <v/>
      </c>
      <c r="D33" s="83">
        <f>'مستخلص 18'!M111</f>
        <v/>
      </c>
      <c r="E33" s="95">
        <f>$E$6</f>
        <v/>
      </c>
      <c r="F33" s="68" t="n"/>
      <c r="G33" s="95">
        <f>IF(F33="",E33,F33)</f>
        <v/>
      </c>
      <c r="H33" s="83">
        <f>MAX(0,ROUND(D33*G33,2))</f>
        <v/>
      </c>
      <c r="I33" s="84">
        <f>IF($E$7="",H33,MIN(H33,MAX(0,$E$7*'الإعدادات'!$C$19-J32)))</f>
        <v/>
      </c>
      <c r="J33" s="83">
        <f>J32+I33</f>
        <v/>
      </c>
      <c r="K33" s="83">
        <f>'مستخلص 18'!N111</f>
        <v/>
      </c>
      <c r="L33" s="50">
        <f>IF(K33=0,0,J33/K33)</f>
        <v/>
      </c>
    </row>
    <row r="34">
      <c r="B34" s="92" t="n">
        <v>19</v>
      </c>
      <c r="C34" s="78">
        <f>'سجل المستخلصات'!C24</f>
        <v/>
      </c>
      <c r="D34" s="73">
        <f>'مستخلص 19'!M111</f>
        <v/>
      </c>
      <c r="E34" s="93">
        <f>$E$6</f>
        <v/>
      </c>
      <c r="F34" s="68" t="n"/>
      <c r="G34" s="93">
        <f>IF(F34="",E34,F34)</f>
        <v/>
      </c>
      <c r="H34" s="73">
        <f>MAX(0,ROUND(D34*G34,2))</f>
        <v/>
      </c>
      <c r="I34" s="27">
        <f>IF($E$7="",H34,MIN(H34,MAX(0,$E$7*'الإعدادات'!$C$19-J33)))</f>
        <v/>
      </c>
      <c r="J34" s="73">
        <f>J33+I34</f>
        <v/>
      </c>
      <c r="K34" s="73">
        <f>'مستخلص 19'!N111</f>
        <v/>
      </c>
      <c r="L34" s="28">
        <f>IF(K34=0,0,J34/K34)</f>
        <v/>
      </c>
    </row>
    <row r="35">
      <c r="B35" s="94" t="n">
        <v>20</v>
      </c>
      <c r="C35" s="81">
        <f>'سجل المستخلصات'!C25</f>
        <v/>
      </c>
      <c r="D35" s="83">
        <f>'مستخلص 20'!M111</f>
        <v/>
      </c>
      <c r="E35" s="95">
        <f>$E$6</f>
        <v/>
      </c>
      <c r="F35" s="68" t="n"/>
      <c r="G35" s="95">
        <f>IF(F35="",E35,F35)</f>
        <v/>
      </c>
      <c r="H35" s="83">
        <f>MAX(0,ROUND(D35*G35,2))</f>
        <v/>
      </c>
      <c r="I35" s="84">
        <f>IF($E$7="",H35,MIN(H35,MAX(0,$E$7*'الإعدادات'!$C$19-J34)))</f>
        <v/>
      </c>
      <c r="J35" s="83">
        <f>J34+I35</f>
        <v/>
      </c>
      <c r="K35" s="83">
        <f>'مستخلص 20'!N111</f>
        <v/>
      </c>
      <c r="L35" s="50">
        <f>IF(K35=0,0,J35/K35)</f>
        <v/>
      </c>
    </row>
    <row r="36">
      <c r="B36" s="92" t="n">
        <v>21</v>
      </c>
      <c r="C36" s="78">
        <f>'سجل المستخلصات'!C26</f>
        <v/>
      </c>
      <c r="D36" s="73">
        <f>'مستخلص 21'!M111</f>
        <v/>
      </c>
      <c r="E36" s="93">
        <f>$E$6</f>
        <v/>
      </c>
      <c r="F36" s="68" t="n"/>
      <c r="G36" s="93">
        <f>IF(F36="",E36,F36)</f>
        <v/>
      </c>
      <c r="H36" s="73">
        <f>MAX(0,ROUND(D36*G36,2))</f>
        <v/>
      </c>
      <c r="I36" s="27">
        <f>IF($E$7="",H36,MIN(H36,MAX(0,$E$7*'الإعدادات'!$C$19-J35)))</f>
        <v/>
      </c>
      <c r="J36" s="73">
        <f>J35+I36</f>
        <v/>
      </c>
      <c r="K36" s="73">
        <f>'مستخلص 21'!N111</f>
        <v/>
      </c>
      <c r="L36" s="28">
        <f>IF(K36=0,0,J36/K36)</f>
        <v/>
      </c>
    </row>
    <row r="37">
      <c r="B37" s="94" t="n">
        <v>22</v>
      </c>
      <c r="C37" s="81">
        <f>'سجل المستخلصات'!C27</f>
        <v/>
      </c>
      <c r="D37" s="83">
        <f>'مستخلص 22'!M111</f>
        <v/>
      </c>
      <c r="E37" s="95">
        <f>$E$6</f>
        <v/>
      </c>
      <c r="F37" s="68" t="n"/>
      <c r="G37" s="95">
        <f>IF(F37="",E37,F37)</f>
        <v/>
      </c>
      <c r="H37" s="83">
        <f>MAX(0,ROUND(D37*G37,2))</f>
        <v/>
      </c>
      <c r="I37" s="84">
        <f>IF($E$7="",H37,MIN(H37,MAX(0,$E$7*'الإعدادات'!$C$19-J36)))</f>
        <v/>
      </c>
      <c r="J37" s="83">
        <f>J36+I37</f>
        <v/>
      </c>
      <c r="K37" s="83">
        <f>'مستخلص 22'!N111</f>
        <v/>
      </c>
      <c r="L37" s="50">
        <f>IF(K37=0,0,J37/K37)</f>
        <v/>
      </c>
    </row>
    <row r="38">
      <c r="B38" s="92" t="n">
        <v>23</v>
      </c>
      <c r="C38" s="78">
        <f>'سجل المستخلصات'!C28</f>
        <v/>
      </c>
      <c r="D38" s="73">
        <f>'مستخلص 23'!M111</f>
        <v/>
      </c>
      <c r="E38" s="93">
        <f>$E$6</f>
        <v/>
      </c>
      <c r="F38" s="68" t="n"/>
      <c r="G38" s="93">
        <f>IF(F38="",E38,F38)</f>
        <v/>
      </c>
      <c r="H38" s="73">
        <f>MAX(0,ROUND(D38*G38,2))</f>
        <v/>
      </c>
      <c r="I38" s="27">
        <f>IF($E$7="",H38,MIN(H38,MAX(0,$E$7*'الإعدادات'!$C$19-J37)))</f>
        <v/>
      </c>
      <c r="J38" s="73">
        <f>J37+I38</f>
        <v/>
      </c>
      <c r="K38" s="73">
        <f>'مستخلص 23'!N111</f>
        <v/>
      </c>
      <c r="L38" s="28">
        <f>IF(K38=0,0,J38/K38)</f>
        <v/>
      </c>
    </row>
    <row r="39">
      <c r="B39" s="94" t="n">
        <v>24</v>
      </c>
      <c r="C39" s="81">
        <f>'سجل المستخلصات'!C29</f>
        <v/>
      </c>
      <c r="D39" s="83">
        <f>'مستخلص 24'!M111</f>
        <v/>
      </c>
      <c r="E39" s="95">
        <f>$E$6</f>
        <v/>
      </c>
      <c r="F39" s="68" t="n"/>
      <c r="G39" s="95">
        <f>IF(F39="",E39,F39)</f>
        <v/>
      </c>
      <c r="H39" s="83">
        <f>MAX(0,ROUND(D39*G39,2))</f>
        <v/>
      </c>
      <c r="I39" s="84">
        <f>IF($E$7="",H39,MIN(H39,MAX(0,$E$7*'الإعدادات'!$C$19-J38)))</f>
        <v/>
      </c>
      <c r="J39" s="83">
        <f>J38+I39</f>
        <v/>
      </c>
      <c r="K39" s="83">
        <f>'مستخلص 24'!N111</f>
        <v/>
      </c>
      <c r="L39" s="50">
        <f>IF(K39=0,0,J39/K39)</f>
        <v/>
      </c>
    </row>
    <row r="40">
      <c r="B40" s="92" t="n">
        <v>25</v>
      </c>
      <c r="C40" s="78">
        <f>'سجل المستخلصات'!C30</f>
        <v/>
      </c>
      <c r="D40" s="73">
        <f>'مستخلص 25'!M111</f>
        <v/>
      </c>
      <c r="E40" s="93">
        <f>$E$6</f>
        <v/>
      </c>
      <c r="F40" s="68" t="n"/>
      <c r="G40" s="93">
        <f>IF(F40="",E40,F40)</f>
        <v/>
      </c>
      <c r="H40" s="73">
        <f>MAX(0,ROUND(D40*G40,2))</f>
        <v/>
      </c>
      <c r="I40" s="27">
        <f>IF($E$7="",H40,MIN(H40,MAX(0,$E$7*'الإعدادات'!$C$19-J39)))</f>
        <v/>
      </c>
      <c r="J40" s="73">
        <f>J39+I40</f>
        <v/>
      </c>
      <c r="K40" s="73">
        <f>'مستخلص 25'!N111</f>
        <v/>
      </c>
      <c r="L40" s="28">
        <f>IF(K40=0,0,J40/K40)</f>
        <v/>
      </c>
    </row>
    <row r="41">
      <c r="B41" s="52" t="inlineStr">
        <is>
          <t>الإجمالي</t>
        </is>
      </c>
      <c r="C41" s="52" t="n"/>
      <c r="D41" s="75">
        <f>SUM(D16:D40)</f>
        <v/>
      </c>
      <c r="E41" s="91" t="n"/>
      <c r="F41" s="91" t="n"/>
      <c r="G41" s="91" t="n"/>
      <c r="H41" s="75">
        <f>SUM(H16:H40)</f>
        <v/>
      </c>
      <c r="I41" s="75">
        <f>SUM(I16:I40)</f>
        <v/>
      </c>
      <c r="J41" s="91" t="n"/>
      <c r="K41" s="91" t="n"/>
      <c r="L41" s="91" t="n"/>
    </row>
    <row r="43" ht="22" customHeight="1">
      <c r="B43" s="57" t="inlineStr">
        <is>
          <t>سجل الإفراج عن ضمان الأعمال</t>
        </is>
      </c>
      <c r="C43" s="57" t="n"/>
      <c r="D43" s="57" t="n"/>
      <c r="E43" s="57" t="n"/>
      <c r="F43" s="57" t="n"/>
      <c r="G43" s="57" t="n"/>
      <c r="H43" s="57" t="n"/>
      <c r="I43" s="57" t="n"/>
      <c r="J43" s="57" t="n"/>
      <c r="K43" s="57" t="n"/>
      <c r="L43" s="57" t="n"/>
    </row>
    <row r="44" ht="34" customHeight="1">
      <c r="B44" s="70" t="inlineStr">
        <is>
          <t>م</t>
        </is>
      </c>
      <c r="C44" s="70" t="inlineStr">
        <is>
          <t>تاريخ الإفراج</t>
        </is>
      </c>
      <c r="D44" s="70" t="inlineStr">
        <is>
          <t>المرحلة / السبب</t>
        </is>
      </c>
      <c r="E44" s="44" t="n"/>
      <c r="F44" s="70" t="inlineStr">
        <is>
          <t>المبلغ المفرج عنه</t>
        </is>
      </c>
      <c r="G44" s="70" t="inlineStr">
        <is>
          <t>% من المحتجز</t>
        </is>
      </c>
      <c r="H44" s="70" t="inlineStr">
        <is>
          <t>رقم الشيك / التحويل</t>
        </is>
      </c>
      <c r="I44" s="70" t="inlineStr">
        <is>
          <t>ملاحظات</t>
        </is>
      </c>
      <c r="J44" s="43" t="n"/>
      <c r="K44" s="43" t="n"/>
      <c r="L44" s="44" t="n"/>
    </row>
    <row r="45">
      <c r="B45" s="89" t="n">
        <v>1</v>
      </c>
      <c r="C45" s="79" t="n"/>
      <c r="D45" s="61" t="n"/>
      <c r="E45" s="61" t="n"/>
      <c r="F45" s="72" t="n"/>
      <c r="G45" s="28">
        <f>IF($E$9=0,0,F45/$E$9)</f>
        <v/>
      </c>
      <c r="H45" s="62" t="n"/>
      <c r="I45" s="61" t="n"/>
      <c r="J45" s="61" t="n"/>
      <c r="K45" s="61" t="n"/>
      <c r="L45" s="61" t="n"/>
    </row>
    <row r="46">
      <c r="B46" s="89" t="n">
        <v>2</v>
      </c>
      <c r="C46" s="79" t="n"/>
      <c r="D46" s="61" t="n"/>
      <c r="E46" s="61" t="n"/>
      <c r="F46" s="72" t="n"/>
      <c r="G46" s="28">
        <f>IF($E$9=0,0,F46/$E$9)</f>
        <v/>
      </c>
      <c r="H46" s="62" t="n"/>
      <c r="I46" s="61" t="n"/>
      <c r="J46" s="61" t="n"/>
      <c r="K46" s="61" t="n"/>
      <c r="L46" s="61" t="n"/>
    </row>
    <row r="47">
      <c r="B47" s="89" t="n">
        <v>3</v>
      </c>
      <c r="C47" s="79" t="n"/>
      <c r="D47" s="61" t="n"/>
      <c r="E47" s="61" t="n"/>
      <c r="F47" s="72" t="n"/>
      <c r="G47" s="28">
        <f>IF($E$9=0,0,F47/$E$9)</f>
        <v/>
      </c>
      <c r="H47" s="62" t="n"/>
      <c r="I47" s="61" t="n"/>
      <c r="J47" s="61" t="n"/>
      <c r="K47" s="61" t="n"/>
      <c r="L47" s="61" t="n"/>
    </row>
    <row r="48">
      <c r="B48" s="89" t="n">
        <v>4</v>
      </c>
      <c r="C48" s="79" t="n"/>
      <c r="D48" s="61" t="n"/>
      <c r="E48" s="61" t="n"/>
      <c r="F48" s="72" t="n"/>
      <c r="G48" s="28">
        <f>IF($E$9=0,0,F48/$E$9)</f>
        <v/>
      </c>
      <c r="H48" s="62" t="n"/>
      <c r="I48" s="61" t="n"/>
      <c r="J48" s="61" t="n"/>
      <c r="K48" s="61" t="n"/>
      <c r="L48" s="61" t="n"/>
    </row>
    <row r="49">
      <c r="B49" s="89" t="n">
        <v>5</v>
      </c>
      <c r="C49" s="79" t="n"/>
      <c r="D49" s="61" t="n"/>
      <c r="E49" s="61" t="n"/>
      <c r="F49" s="72" t="n"/>
      <c r="G49" s="28">
        <f>IF($E$9=0,0,F49/$E$9)</f>
        <v/>
      </c>
      <c r="H49" s="62" t="n"/>
      <c r="I49" s="61" t="n"/>
      <c r="J49" s="61" t="n"/>
      <c r="K49" s="61" t="n"/>
      <c r="L49" s="61" t="n"/>
    </row>
    <row r="50">
      <c r="B50" s="89" t="n">
        <v>6</v>
      </c>
      <c r="C50" s="79" t="n"/>
      <c r="D50" s="61" t="n"/>
      <c r="E50" s="61" t="n"/>
      <c r="F50" s="72" t="n"/>
      <c r="G50" s="28">
        <f>IF($E$9=0,0,F50/$E$9)</f>
        <v/>
      </c>
      <c r="H50" s="62" t="n"/>
      <c r="I50" s="61" t="n"/>
      <c r="J50" s="61" t="n"/>
      <c r="K50" s="61" t="n"/>
      <c r="L50" s="61" t="n"/>
    </row>
    <row r="51">
      <c r="B51" s="52" t="inlineStr">
        <is>
          <t>الإجمالي</t>
        </is>
      </c>
      <c r="C51" s="52" t="n"/>
      <c r="D51" s="52" t="n"/>
      <c r="E51" s="52" t="n"/>
      <c r="F51" s="75">
        <f>SUM(F45:F50)</f>
        <v/>
      </c>
      <c r="G51" s="54">
        <f>SUM(G45:G50)</f>
        <v/>
      </c>
      <c r="H51" s="91" t="n"/>
      <c r="I51" s="91" t="n"/>
      <c r="J51" s="91" t="n"/>
      <c r="K51" s="91" t="n"/>
      <c r="L51" s="91" t="n"/>
    </row>
    <row r="53" ht="22" customHeight="1">
      <c r="B53" s="57" t="inlineStr">
        <is>
          <t>الضمانات البنكية للعقد (ابتدائي / حسن تنفيذ / بديل محتجزات)</t>
        </is>
      </c>
      <c r="C53" s="57" t="n"/>
      <c r="D53" s="57" t="n"/>
      <c r="E53" s="57" t="n"/>
      <c r="F53" s="57" t="n"/>
      <c r="G53" s="57" t="n"/>
      <c r="H53" s="57" t="n"/>
      <c r="I53" s="57" t="n"/>
      <c r="J53" s="57" t="n"/>
      <c r="K53" s="57" t="n"/>
      <c r="L53" s="57" t="n"/>
    </row>
    <row r="54" ht="34" customHeight="1">
      <c r="B54" s="70" t="inlineStr">
        <is>
          <t>م</t>
        </is>
      </c>
      <c r="C54" s="70" t="inlineStr">
        <is>
          <t>نوع الضمان</t>
        </is>
      </c>
      <c r="D54" s="44" t="n"/>
      <c r="E54" s="70" t="inlineStr">
        <is>
          <t>رقم الخطاب</t>
        </is>
      </c>
      <c r="F54" s="70" t="inlineStr">
        <is>
          <t>البنك</t>
        </is>
      </c>
      <c r="G54" s="70" t="inlineStr">
        <is>
          <t>القيمة</t>
        </is>
      </c>
      <c r="H54" s="70" t="inlineStr">
        <is>
          <t>% من العقد</t>
        </is>
      </c>
      <c r="I54" s="70" t="inlineStr">
        <is>
          <t>تاريخ الإصدار</t>
        </is>
      </c>
      <c r="J54" s="70" t="inlineStr">
        <is>
          <t>تاريخ الانتهاء</t>
        </is>
      </c>
      <c r="K54" s="70" t="inlineStr">
        <is>
          <t>الأيام المتبقية</t>
        </is>
      </c>
      <c r="L54" s="70" t="inlineStr">
        <is>
          <t>الحالة</t>
        </is>
      </c>
    </row>
    <row r="55">
      <c r="B55" s="89" t="n">
        <v>1</v>
      </c>
      <c r="C55" s="61" t="n"/>
      <c r="D55" s="61" t="n"/>
      <c r="E55" s="62" t="n"/>
      <c r="F55" s="62" t="n"/>
      <c r="G55" s="72" t="n"/>
      <c r="H55" s="28">
        <f>IF('الإعدادات'!$C$19=0,0,G55/'الإعدادات'!$C$19)</f>
        <v/>
      </c>
      <c r="I55" s="79" t="n"/>
      <c r="J55" s="79" t="n"/>
      <c r="K55" s="90">
        <f>IF(J55="","",J55-TODAY())</f>
        <v/>
      </c>
      <c r="L55" s="30">
        <f>IF(J55="","",IF(K55&lt;0,"✖ منتهي",IF(K55&lt;=30,"⚠ ينتهي قريباً","✔ ساري")))</f>
        <v/>
      </c>
    </row>
    <row r="56">
      <c r="B56" s="89" t="n">
        <v>2</v>
      </c>
      <c r="C56" s="61" t="n"/>
      <c r="D56" s="61" t="n"/>
      <c r="E56" s="62" t="n"/>
      <c r="F56" s="62" t="n"/>
      <c r="G56" s="72" t="n"/>
      <c r="H56" s="28">
        <f>IF('الإعدادات'!$C$19=0,0,G56/'الإعدادات'!$C$19)</f>
        <v/>
      </c>
      <c r="I56" s="79" t="n"/>
      <c r="J56" s="79" t="n"/>
      <c r="K56" s="90">
        <f>IF(J56="","",J56-TODAY())</f>
        <v/>
      </c>
      <c r="L56" s="30">
        <f>IF(J56="","",IF(K56&lt;0,"✖ منتهي",IF(K56&lt;=30,"⚠ ينتهي قريباً","✔ ساري")))</f>
        <v/>
      </c>
    </row>
    <row r="57">
      <c r="B57" s="89" t="n">
        <v>3</v>
      </c>
      <c r="C57" s="61" t="n"/>
      <c r="D57" s="61" t="n"/>
      <c r="E57" s="62" t="n"/>
      <c r="F57" s="62" t="n"/>
      <c r="G57" s="72" t="n"/>
      <c r="H57" s="28">
        <f>IF('الإعدادات'!$C$19=0,0,G57/'الإعدادات'!$C$19)</f>
        <v/>
      </c>
      <c r="I57" s="79" t="n"/>
      <c r="J57" s="79" t="n"/>
      <c r="K57" s="90">
        <f>IF(J57="","",J57-TODAY())</f>
        <v/>
      </c>
      <c r="L57" s="30">
        <f>IF(J57="","",IF(K57&lt;0,"✖ منتهي",IF(K57&lt;=30,"⚠ ينتهي قريباً","✔ ساري")))</f>
        <v/>
      </c>
    </row>
    <row r="58">
      <c r="B58" s="89" t="n">
        <v>4</v>
      </c>
      <c r="C58" s="61" t="n"/>
      <c r="D58" s="61" t="n"/>
      <c r="E58" s="62" t="n"/>
      <c r="F58" s="62" t="n"/>
      <c r="G58" s="72" t="n"/>
      <c r="H58" s="28">
        <f>IF('الإعدادات'!$C$19=0,0,G58/'الإعدادات'!$C$19)</f>
        <v/>
      </c>
      <c r="I58" s="79" t="n"/>
      <c r="J58" s="79" t="n"/>
      <c r="K58" s="90">
        <f>IF(J58="","",J58-TODAY())</f>
        <v/>
      </c>
      <c r="L58" s="30">
        <f>IF(J58="","",IF(K58&lt;0,"✖ منتهي",IF(K58&lt;=30,"⚠ ينتهي قريباً","✔ ساري")))</f>
        <v/>
      </c>
    </row>
    <row r="59">
      <c r="B59" s="89" t="n">
        <v>5</v>
      </c>
      <c r="C59" s="61" t="n"/>
      <c r="D59" s="61" t="n"/>
      <c r="E59" s="62" t="n"/>
      <c r="F59" s="62" t="n"/>
      <c r="G59" s="72" t="n"/>
      <c r="H59" s="28">
        <f>IF('الإعدادات'!$C$19=0,0,G59/'الإعدادات'!$C$19)</f>
        <v/>
      </c>
      <c r="I59" s="79" t="n"/>
      <c r="J59" s="79" t="n"/>
      <c r="K59" s="90">
        <f>IF(J59="","",J59-TODAY())</f>
        <v/>
      </c>
      <c r="L59" s="30">
        <f>IF(J59="","",IF(K59&lt;0,"✖ منتهي",IF(K59&lt;=30,"⚠ ينتهي قريباً","✔ ساري")))</f>
        <v/>
      </c>
    </row>
    <row r="60">
      <c r="B60" s="89" t="n">
        <v>6</v>
      </c>
      <c r="C60" s="61" t="n"/>
      <c r="D60" s="61" t="n"/>
      <c r="E60" s="62" t="n"/>
      <c r="F60" s="62" t="n"/>
      <c r="G60" s="72" t="n"/>
      <c r="H60" s="28">
        <f>IF('الإعدادات'!$C$19=0,0,G60/'الإعدادات'!$C$19)</f>
        <v/>
      </c>
      <c r="I60" s="79" t="n"/>
      <c r="J60" s="79" t="n"/>
      <c r="K60" s="90">
        <f>IF(J60="","",J60-TODAY())</f>
        <v/>
      </c>
      <c r="L60" s="30">
        <f>IF(J60="","",IF(K60&lt;0,"✖ منتهي",IF(K60&lt;=30,"⚠ ينتهي قريباً","✔ ساري")))</f>
        <v/>
      </c>
    </row>
  </sheetData>
  <mergeCells count="53">
    <mergeCell ref="B11:D11"/>
    <mergeCell ref="I48:L48"/>
    <mergeCell ref="B3:C3"/>
    <mergeCell ref="I44:L44"/>
    <mergeCell ref="B8:D8"/>
    <mergeCell ref="C58:D58"/>
    <mergeCell ref="D46:E46"/>
    <mergeCell ref="B51:E51"/>
    <mergeCell ref="D50:E50"/>
    <mergeCell ref="E8:F8"/>
    <mergeCell ref="H7:J7"/>
    <mergeCell ref="D45:E45"/>
    <mergeCell ref="B10:D10"/>
    <mergeCell ref="I50:L50"/>
    <mergeCell ref="B43:L43"/>
    <mergeCell ref="C54:D54"/>
    <mergeCell ref="E10:F10"/>
    <mergeCell ref="D49:E49"/>
    <mergeCell ref="C55:D55"/>
    <mergeCell ref="B9:D9"/>
    <mergeCell ref="I46:L46"/>
    <mergeCell ref="B14:L14"/>
    <mergeCell ref="D48:E48"/>
    <mergeCell ref="E9:F9"/>
    <mergeCell ref="B6:D6"/>
    <mergeCell ref="G3:H3"/>
    <mergeCell ref="H10:K10"/>
    <mergeCell ref="I45:L45"/>
    <mergeCell ref="I3:J3"/>
    <mergeCell ref="I49:L49"/>
    <mergeCell ref="B53:L53"/>
    <mergeCell ref="D47:E47"/>
    <mergeCell ref="C56:D56"/>
    <mergeCell ref="E6:F6"/>
    <mergeCell ref="C59:D59"/>
    <mergeCell ref="C60:D60"/>
    <mergeCell ref="E11:F11"/>
    <mergeCell ref="H8:J8"/>
    <mergeCell ref="I47:L47"/>
    <mergeCell ref="B7:D7"/>
    <mergeCell ref="B2:N2"/>
    <mergeCell ref="B1:N1"/>
    <mergeCell ref="E7:F7"/>
    <mergeCell ref="H11:K11"/>
    <mergeCell ref="C57:D57"/>
    <mergeCell ref="B5:F5"/>
    <mergeCell ref="H9:J9"/>
    <mergeCell ref="H5:L5"/>
    <mergeCell ref="B41:C41"/>
    <mergeCell ref="D44:E44"/>
    <mergeCell ref="E3:F3"/>
    <mergeCell ref="K3:L3"/>
    <mergeCell ref="H6:J6"/>
  </mergeCells>
  <conditionalFormatting sqref="L55:L60">
    <cfRule type="expression" priority="1" dxfId="0">
      <formula>ISNUMBER(SEARCH("✔",L55))</formula>
    </cfRule>
    <cfRule type="expression" priority="2" dxfId="1">
      <formula>ISNUMBER(SEARCH("⚠",L55))</formula>
    </cfRule>
    <cfRule type="expression" priority="3" dxfId="2">
      <formula>ISNUMBER(SEARCH("✖",L55))</formula>
    </cfRule>
  </conditionalFormatting>
  <dataValidations count="5">
    <dataValidation sqref="E6:E7" showDropDown="0" showInputMessage="0" showErrorMessage="1" allowBlank="1" errorTitle="قيمة غير صحيحة" error="أدخل قيمة بين 0 و 1" type="decimal" operator="between">
      <formula1>0</formula1>
      <formula2>1</formula2>
    </dataValidation>
    <dataValidation sqref="F16:F40" showDropDown="0" showInputMessage="0" showErrorMessage="1" allowBlank="1" errorTitle="قيمة غير صحيحة" error="أدخل قيمة بين 0 و 1" type="decimal" operator="between">
      <formula1>0</formula1>
      <formula2>1</formula2>
    </dataValidation>
    <dataValidation sqref="C45:C50" showDropDown="0" showInputMessage="0" showErrorMessage="1" allowBlank="1" errorTitle="تاريخ غير صحيح" error="أدخل تاريخاً صحيحاً (مثال: 2025/10/08)" type="date" operator="greaterThan">
      <formula1>36526</formula1>
    </dataValidation>
    <dataValidation sqref="C55:C60" showDropDown="0" showInputMessage="0" showErrorMessage="0" allowBlank="1" errorTitle="قيمة غير مسموحة" error="من فضلك اختر قيمة من القائمة المنسدلة." type="list" errorStyle="warning">
      <formula1>"ضمان ابتدائي,ضمان نهائي (حسن تنفيذ),ضمان دفعة مقدمة,بديل محتجزات ضمان الأعمال,ضمان صيانة,أخرى"</formula1>
    </dataValidation>
    <dataValidation sqref="I55:J60" showDropDown="0" showInputMessage="0" showErrorMessage="1" allowBlank="1" errorTitle="تاريخ غير صحيح" error="أدخل تاريخاً صحيحاً (مثال: 2025/10/08)" type="date" operator="greaterThan">
      <formula1>36526</formula1>
    </dataValidation>
  </dataValidations>
  <hyperlinks>
    <hyperlink ref="B3" location="'لوحة التحكم'!A1" display="🏠 لوحة التحكم"/>
    <hyperlink ref="D3" location="'الإعدادات'!A1" display="⚙ الإعدادات"/>
    <hyperlink ref="E3" location="'جدول الكميات'!A1" display="📋 جدول الكميات"/>
    <hyperlink ref="G3" location="'سجل المستخلصات'!A1" display="🗂 سجل المستخلصات"/>
    <hyperlink ref="I3" location="'الدفعات المقدمة'!A1" display="💵 الدفعات المقدمة"/>
    <hyperlink ref="K3" location="'مستخلص 1'!A1" display="📄 مستخلص 1"/>
  </hyperlinks>
  <printOptions horizontalCentered="1"/>
  <pageMargins left="0.3" right="0.3" top="0.4" bottom="0.4" header="0.5" footer="0.5"/>
  <pageSetup orientation="landscape" paperSize="9" fitToHeight="0" fitToWidth="1"/>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N3" s="4" t="inlineStr">
        <is>
          <t>المستخلص التالي (2) ▶</t>
        </is>
      </c>
      <c r="O3" s="4" t="n"/>
      <c r="P3" s="4" t="n"/>
    </row>
    <row r="4" ht="24" customHeight="1">
      <c r="A4" s="96" t="inlineStr">
        <is>
          <t>رقم</t>
        </is>
      </c>
      <c r="B4" s="97" t="n">
        <v>1</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3" t="n">
        <v>0</v>
      </c>
      <c r="G8" s="72" t="n"/>
      <c r="H8" s="27">
        <f>F8+G8</f>
        <v/>
      </c>
      <c r="I8" s="93" t="n">
        <v>1</v>
      </c>
      <c r="J8" s="68" t="n"/>
      <c r="K8" s="101">
        <f>IF(J8="",I8,J8)</f>
        <v/>
      </c>
      <c r="L8" s="73" t="n">
        <v>0</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83" t="n">
        <v>0</v>
      </c>
      <c r="G9" s="72" t="n"/>
      <c r="H9" s="84">
        <f>F9+G9</f>
        <v/>
      </c>
      <c r="I9" s="95" t="n">
        <v>1</v>
      </c>
      <c r="J9" s="68" t="n"/>
      <c r="K9" s="103">
        <f>IF(J9="",I9,J9)</f>
        <v/>
      </c>
      <c r="L9" s="83" t="n">
        <v>0</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3" t="n">
        <v>0</v>
      </c>
      <c r="G10" s="72" t="n"/>
      <c r="H10" s="27">
        <f>F10+G10</f>
        <v/>
      </c>
      <c r="I10" s="93" t="n">
        <v>1</v>
      </c>
      <c r="J10" s="68" t="n"/>
      <c r="K10" s="101">
        <f>IF(J10="",I10,J10)</f>
        <v/>
      </c>
      <c r="L10" s="73" t="n">
        <v>0</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83" t="n">
        <v>0</v>
      </c>
      <c r="G11" s="72" t="n"/>
      <c r="H11" s="84">
        <f>F11+G11</f>
        <v/>
      </c>
      <c r="I11" s="95" t="n">
        <v>1</v>
      </c>
      <c r="J11" s="68" t="n"/>
      <c r="K11" s="103">
        <f>IF(J11="",I11,J11)</f>
        <v/>
      </c>
      <c r="L11" s="83" t="n">
        <v>0</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3" t="n">
        <v>0</v>
      </c>
      <c r="G12" s="72" t="n"/>
      <c r="H12" s="27">
        <f>F12+G12</f>
        <v/>
      </c>
      <c r="I12" s="93" t="n">
        <v>1</v>
      </c>
      <c r="J12" s="68" t="n"/>
      <c r="K12" s="101">
        <f>IF(J12="",I12,J12)</f>
        <v/>
      </c>
      <c r="L12" s="73" t="n">
        <v>0</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83" t="n">
        <v>0</v>
      </c>
      <c r="G13" s="72" t="n"/>
      <c r="H13" s="84">
        <f>F13+G13</f>
        <v/>
      </c>
      <c r="I13" s="95" t="n">
        <v>1</v>
      </c>
      <c r="J13" s="68" t="n"/>
      <c r="K13" s="103">
        <f>IF(J13="",I13,J13)</f>
        <v/>
      </c>
      <c r="L13" s="83" t="n">
        <v>0</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3" t="n">
        <v>0</v>
      </c>
      <c r="G14" s="72" t="n"/>
      <c r="H14" s="27">
        <f>F14+G14</f>
        <v/>
      </c>
      <c r="I14" s="93" t="n">
        <v>1</v>
      </c>
      <c r="J14" s="68" t="n"/>
      <c r="K14" s="101">
        <f>IF(J14="",I14,J14)</f>
        <v/>
      </c>
      <c r="L14" s="73" t="n">
        <v>0</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83" t="n">
        <v>0</v>
      </c>
      <c r="G15" s="72" t="n"/>
      <c r="H15" s="84">
        <f>F15+G15</f>
        <v/>
      </c>
      <c r="I15" s="95" t="n">
        <v>1</v>
      </c>
      <c r="J15" s="68" t="n"/>
      <c r="K15" s="103">
        <f>IF(J15="",I15,J15)</f>
        <v/>
      </c>
      <c r="L15" s="83" t="n">
        <v>0</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3" t="n">
        <v>0</v>
      </c>
      <c r="G16" s="72" t="n"/>
      <c r="H16" s="27">
        <f>F16+G16</f>
        <v/>
      </c>
      <c r="I16" s="93" t="n">
        <v>1</v>
      </c>
      <c r="J16" s="68" t="n"/>
      <c r="K16" s="101">
        <f>IF(J16="",I16,J16)</f>
        <v/>
      </c>
      <c r="L16" s="73" t="n">
        <v>0</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83" t="n">
        <v>0</v>
      </c>
      <c r="G17" s="72" t="n"/>
      <c r="H17" s="84">
        <f>F17+G17</f>
        <v/>
      </c>
      <c r="I17" s="95" t="n">
        <v>1</v>
      </c>
      <c r="J17" s="68" t="n"/>
      <c r="K17" s="103">
        <f>IF(J17="",I17,J17)</f>
        <v/>
      </c>
      <c r="L17" s="83" t="n">
        <v>0</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3" t="n">
        <v>0</v>
      </c>
      <c r="G18" s="72" t="n"/>
      <c r="H18" s="27">
        <f>F18+G18</f>
        <v/>
      </c>
      <c r="I18" s="93" t="n">
        <v>1</v>
      </c>
      <c r="J18" s="68" t="n"/>
      <c r="K18" s="101">
        <f>IF(J18="",I18,J18)</f>
        <v/>
      </c>
      <c r="L18" s="73" t="n">
        <v>0</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83" t="n">
        <v>0</v>
      </c>
      <c r="G19" s="72" t="n"/>
      <c r="H19" s="84">
        <f>F19+G19</f>
        <v/>
      </c>
      <c r="I19" s="95" t="n">
        <v>1</v>
      </c>
      <c r="J19" s="68" t="n"/>
      <c r="K19" s="103">
        <f>IF(J19="",I19,J19)</f>
        <v/>
      </c>
      <c r="L19" s="83" t="n">
        <v>0</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3" t="n">
        <v>0</v>
      </c>
      <c r="G20" s="72" t="n"/>
      <c r="H20" s="27">
        <f>F20+G20</f>
        <v/>
      </c>
      <c r="I20" s="93" t="n">
        <v>1</v>
      </c>
      <c r="J20" s="68" t="n"/>
      <c r="K20" s="101">
        <f>IF(J20="",I20,J20)</f>
        <v/>
      </c>
      <c r="L20" s="73" t="n">
        <v>0</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83" t="n">
        <v>0</v>
      </c>
      <c r="G21" s="72" t="n"/>
      <c r="H21" s="84">
        <f>F21+G21</f>
        <v/>
      </c>
      <c r="I21" s="95" t="n">
        <v>1</v>
      </c>
      <c r="J21" s="68" t="n"/>
      <c r="K21" s="103">
        <f>IF(J21="",I21,J21)</f>
        <v/>
      </c>
      <c r="L21" s="83" t="n">
        <v>0</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3" t="n">
        <v>0</v>
      </c>
      <c r="G22" s="72" t="n"/>
      <c r="H22" s="27">
        <f>F22+G22</f>
        <v/>
      </c>
      <c r="I22" s="93" t="n">
        <v>1</v>
      </c>
      <c r="J22" s="68" t="n"/>
      <c r="K22" s="101">
        <f>IF(J22="",I22,J22)</f>
        <v/>
      </c>
      <c r="L22" s="73" t="n">
        <v>0</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83" t="n">
        <v>0</v>
      </c>
      <c r="G23" s="72" t="n"/>
      <c r="H23" s="84">
        <f>F23+G23</f>
        <v/>
      </c>
      <c r="I23" s="95" t="n">
        <v>1</v>
      </c>
      <c r="J23" s="68" t="n"/>
      <c r="K23" s="103">
        <f>IF(J23="",I23,J23)</f>
        <v/>
      </c>
      <c r="L23" s="83" t="n">
        <v>0</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3" t="n">
        <v>0</v>
      </c>
      <c r="G24" s="72" t="n"/>
      <c r="H24" s="27">
        <f>F24+G24</f>
        <v/>
      </c>
      <c r="I24" s="93" t="n">
        <v>1</v>
      </c>
      <c r="J24" s="68" t="n"/>
      <c r="K24" s="101">
        <f>IF(J24="",I24,J24)</f>
        <v/>
      </c>
      <c r="L24" s="73" t="n">
        <v>0</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83" t="n">
        <v>0</v>
      </c>
      <c r="G25" s="72" t="n"/>
      <c r="H25" s="84">
        <f>F25+G25</f>
        <v/>
      </c>
      <c r="I25" s="95" t="n">
        <v>1</v>
      </c>
      <c r="J25" s="68" t="n"/>
      <c r="K25" s="103">
        <f>IF(J25="",I25,J25)</f>
        <v/>
      </c>
      <c r="L25" s="83" t="n">
        <v>0</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3" t="n">
        <v>0</v>
      </c>
      <c r="G26" s="72" t="n"/>
      <c r="H26" s="27">
        <f>F26+G26</f>
        <v/>
      </c>
      <c r="I26" s="93" t="n">
        <v>1</v>
      </c>
      <c r="J26" s="68" t="n"/>
      <c r="K26" s="101">
        <f>IF(J26="",I26,J26)</f>
        <v/>
      </c>
      <c r="L26" s="73" t="n">
        <v>0</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83" t="n">
        <v>0</v>
      </c>
      <c r="G27" s="72" t="n"/>
      <c r="H27" s="84">
        <f>F27+G27</f>
        <v/>
      </c>
      <c r="I27" s="95" t="n">
        <v>1</v>
      </c>
      <c r="J27" s="68" t="n"/>
      <c r="K27" s="103">
        <f>IF(J27="",I27,J27)</f>
        <v/>
      </c>
      <c r="L27" s="83" t="n">
        <v>0</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3" t="n">
        <v>0</v>
      </c>
      <c r="G28" s="72" t="n"/>
      <c r="H28" s="27">
        <f>F28+G28</f>
        <v/>
      </c>
      <c r="I28" s="93" t="n">
        <v>1</v>
      </c>
      <c r="J28" s="68" t="n"/>
      <c r="K28" s="101">
        <f>IF(J28="",I28,J28)</f>
        <v/>
      </c>
      <c r="L28" s="73" t="n">
        <v>0</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83" t="n">
        <v>0</v>
      </c>
      <c r="G29" s="72" t="n"/>
      <c r="H29" s="84">
        <f>F29+G29</f>
        <v/>
      </c>
      <c r="I29" s="95" t="n">
        <v>1</v>
      </c>
      <c r="J29" s="68" t="n"/>
      <c r="K29" s="103">
        <f>IF(J29="",I29,J29)</f>
        <v/>
      </c>
      <c r="L29" s="83" t="n">
        <v>0</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3" t="n">
        <v>0</v>
      </c>
      <c r="G30" s="72" t="n"/>
      <c r="H30" s="27">
        <f>F30+G30</f>
        <v/>
      </c>
      <c r="I30" s="93" t="n">
        <v>1</v>
      </c>
      <c r="J30" s="68" t="n"/>
      <c r="K30" s="101">
        <f>IF(J30="",I30,J30)</f>
        <v/>
      </c>
      <c r="L30" s="73" t="n">
        <v>0</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83" t="n">
        <v>0</v>
      </c>
      <c r="G31" s="72" t="n"/>
      <c r="H31" s="84">
        <f>F31+G31</f>
        <v/>
      </c>
      <c r="I31" s="95" t="n">
        <v>1</v>
      </c>
      <c r="J31" s="68" t="n"/>
      <c r="K31" s="103">
        <f>IF(J31="",I31,J31)</f>
        <v/>
      </c>
      <c r="L31" s="83" t="n">
        <v>0</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3" t="n">
        <v>0</v>
      </c>
      <c r="G32" s="72" t="n"/>
      <c r="H32" s="27">
        <f>F32+G32</f>
        <v/>
      </c>
      <c r="I32" s="93" t="n">
        <v>1</v>
      </c>
      <c r="J32" s="68" t="n"/>
      <c r="K32" s="101">
        <f>IF(J32="",I32,J32)</f>
        <v/>
      </c>
      <c r="L32" s="73" t="n">
        <v>0</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83" t="n">
        <v>0</v>
      </c>
      <c r="G33" s="72" t="n"/>
      <c r="H33" s="84">
        <f>F33+G33</f>
        <v/>
      </c>
      <c r="I33" s="95" t="n">
        <v>1</v>
      </c>
      <c r="J33" s="68" t="n"/>
      <c r="K33" s="103">
        <f>IF(J33="",I33,J33)</f>
        <v/>
      </c>
      <c r="L33" s="83" t="n">
        <v>0</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3" t="n">
        <v>0</v>
      </c>
      <c r="G34" s="72" t="n"/>
      <c r="H34" s="27">
        <f>F34+G34</f>
        <v/>
      </c>
      <c r="I34" s="93" t="n">
        <v>1</v>
      </c>
      <c r="J34" s="68" t="n"/>
      <c r="K34" s="101">
        <f>IF(J34="",I34,J34)</f>
        <v/>
      </c>
      <c r="L34" s="73" t="n">
        <v>0</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83" t="n">
        <v>0</v>
      </c>
      <c r="G35" s="72" t="n"/>
      <c r="H35" s="84">
        <f>F35+G35</f>
        <v/>
      </c>
      <c r="I35" s="95" t="n">
        <v>1</v>
      </c>
      <c r="J35" s="68" t="n"/>
      <c r="K35" s="103">
        <f>IF(J35="",I35,J35)</f>
        <v/>
      </c>
      <c r="L35" s="83" t="n">
        <v>0</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3" t="n">
        <v>0</v>
      </c>
      <c r="G36" s="72" t="n"/>
      <c r="H36" s="27">
        <f>F36+G36</f>
        <v/>
      </c>
      <c r="I36" s="93" t="n">
        <v>1</v>
      </c>
      <c r="J36" s="68" t="n"/>
      <c r="K36" s="101">
        <f>IF(J36="",I36,J36)</f>
        <v/>
      </c>
      <c r="L36" s="73" t="n">
        <v>0</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83" t="n">
        <v>0</v>
      </c>
      <c r="G37" s="72" t="n"/>
      <c r="H37" s="84">
        <f>F37+G37</f>
        <v/>
      </c>
      <c r="I37" s="95" t="n">
        <v>1</v>
      </c>
      <c r="J37" s="68" t="n"/>
      <c r="K37" s="103">
        <f>IF(J37="",I37,J37)</f>
        <v/>
      </c>
      <c r="L37" s="83" t="n">
        <v>0</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3" t="n">
        <v>0</v>
      </c>
      <c r="G38" s="72" t="n"/>
      <c r="H38" s="27">
        <f>F38+G38</f>
        <v/>
      </c>
      <c r="I38" s="93" t="n">
        <v>1</v>
      </c>
      <c r="J38" s="68" t="n"/>
      <c r="K38" s="101">
        <f>IF(J38="",I38,J38)</f>
        <v/>
      </c>
      <c r="L38" s="73" t="n">
        <v>0</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83" t="n">
        <v>0</v>
      </c>
      <c r="G39" s="72" t="n"/>
      <c r="H39" s="84">
        <f>F39+G39</f>
        <v/>
      </c>
      <c r="I39" s="95" t="n">
        <v>1</v>
      </c>
      <c r="J39" s="68" t="n"/>
      <c r="K39" s="103">
        <f>IF(J39="",I39,J39)</f>
        <v/>
      </c>
      <c r="L39" s="83" t="n">
        <v>0</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3" t="n">
        <v>0</v>
      </c>
      <c r="G40" s="72" t="n"/>
      <c r="H40" s="27">
        <f>F40+G40</f>
        <v/>
      </c>
      <c r="I40" s="93" t="n">
        <v>1</v>
      </c>
      <c r="J40" s="68" t="n"/>
      <c r="K40" s="101">
        <f>IF(J40="",I40,J40)</f>
        <v/>
      </c>
      <c r="L40" s="73" t="n">
        <v>0</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83" t="n">
        <v>0</v>
      </c>
      <c r="G41" s="72" t="n"/>
      <c r="H41" s="84">
        <f>F41+G41</f>
        <v/>
      </c>
      <c r="I41" s="95" t="n">
        <v>1</v>
      </c>
      <c r="J41" s="68" t="n"/>
      <c r="K41" s="103">
        <f>IF(J41="",I41,J41)</f>
        <v/>
      </c>
      <c r="L41" s="83" t="n">
        <v>0</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3" t="n">
        <v>0</v>
      </c>
      <c r="G42" s="72" t="n"/>
      <c r="H42" s="27">
        <f>F42+G42</f>
        <v/>
      </c>
      <c r="I42" s="93" t="n">
        <v>1</v>
      </c>
      <c r="J42" s="68" t="n"/>
      <c r="K42" s="101">
        <f>IF(J42="",I42,J42)</f>
        <v/>
      </c>
      <c r="L42" s="73" t="n">
        <v>0</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83" t="n">
        <v>0</v>
      </c>
      <c r="G43" s="72" t="n"/>
      <c r="H43" s="84">
        <f>F43+G43</f>
        <v/>
      </c>
      <c r="I43" s="95" t="n">
        <v>1</v>
      </c>
      <c r="J43" s="68" t="n"/>
      <c r="K43" s="103">
        <f>IF(J43="",I43,J43)</f>
        <v/>
      </c>
      <c r="L43" s="83" t="n">
        <v>0</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3" t="n">
        <v>0</v>
      </c>
      <c r="G44" s="72" t="n"/>
      <c r="H44" s="27">
        <f>F44+G44</f>
        <v/>
      </c>
      <c r="I44" s="93" t="n">
        <v>1</v>
      </c>
      <c r="J44" s="68" t="n"/>
      <c r="K44" s="101">
        <f>IF(J44="",I44,J44)</f>
        <v/>
      </c>
      <c r="L44" s="73" t="n">
        <v>0</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83" t="n">
        <v>0</v>
      </c>
      <c r="G45" s="72" t="n"/>
      <c r="H45" s="84">
        <f>F45+G45</f>
        <v/>
      </c>
      <c r="I45" s="95" t="n">
        <v>1</v>
      </c>
      <c r="J45" s="68" t="n"/>
      <c r="K45" s="103">
        <f>IF(J45="",I45,J45)</f>
        <v/>
      </c>
      <c r="L45" s="83" t="n">
        <v>0</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3" t="n">
        <v>0</v>
      </c>
      <c r="G46" s="72" t="n"/>
      <c r="H46" s="27">
        <f>F46+G46</f>
        <v/>
      </c>
      <c r="I46" s="93" t="n">
        <v>1</v>
      </c>
      <c r="J46" s="68" t="n"/>
      <c r="K46" s="101">
        <f>IF(J46="",I46,J46)</f>
        <v/>
      </c>
      <c r="L46" s="73" t="n">
        <v>0</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83" t="n">
        <v>0</v>
      </c>
      <c r="G47" s="72" t="n"/>
      <c r="H47" s="84">
        <f>F47+G47</f>
        <v/>
      </c>
      <c r="I47" s="95" t="n">
        <v>1</v>
      </c>
      <c r="J47" s="68" t="n"/>
      <c r="K47" s="103">
        <f>IF(J47="",I47,J47)</f>
        <v/>
      </c>
      <c r="L47" s="83" t="n">
        <v>0</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3" t="n">
        <v>0</v>
      </c>
      <c r="G48" s="72" t="n"/>
      <c r="H48" s="27">
        <f>F48+G48</f>
        <v/>
      </c>
      <c r="I48" s="93" t="n">
        <v>1</v>
      </c>
      <c r="J48" s="68" t="n"/>
      <c r="K48" s="101">
        <f>IF(J48="",I48,J48)</f>
        <v/>
      </c>
      <c r="L48" s="73" t="n">
        <v>0</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83" t="n">
        <v>0</v>
      </c>
      <c r="G49" s="72" t="n"/>
      <c r="H49" s="84">
        <f>F49+G49</f>
        <v/>
      </c>
      <c r="I49" s="95" t="n">
        <v>1</v>
      </c>
      <c r="J49" s="68" t="n"/>
      <c r="K49" s="103">
        <f>IF(J49="",I49,J49)</f>
        <v/>
      </c>
      <c r="L49" s="83" t="n">
        <v>0</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3" t="n">
        <v>0</v>
      </c>
      <c r="G50" s="72" t="n"/>
      <c r="H50" s="27">
        <f>F50+G50</f>
        <v/>
      </c>
      <c r="I50" s="93" t="n">
        <v>1</v>
      </c>
      <c r="J50" s="68" t="n"/>
      <c r="K50" s="101">
        <f>IF(J50="",I50,J50)</f>
        <v/>
      </c>
      <c r="L50" s="73" t="n">
        <v>0</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83" t="n">
        <v>0</v>
      </c>
      <c r="G51" s="72" t="n"/>
      <c r="H51" s="84">
        <f>F51+G51</f>
        <v/>
      </c>
      <c r="I51" s="95" t="n">
        <v>1</v>
      </c>
      <c r="J51" s="68" t="n"/>
      <c r="K51" s="103">
        <f>IF(J51="",I51,J51)</f>
        <v/>
      </c>
      <c r="L51" s="83" t="n">
        <v>0</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3" t="n">
        <v>0</v>
      </c>
      <c r="G52" s="72" t="n"/>
      <c r="H52" s="27">
        <f>F52+G52</f>
        <v/>
      </c>
      <c r="I52" s="93" t="n">
        <v>1</v>
      </c>
      <c r="J52" s="68" t="n"/>
      <c r="K52" s="101">
        <f>IF(J52="",I52,J52)</f>
        <v/>
      </c>
      <c r="L52" s="73" t="n">
        <v>0</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83" t="n">
        <v>0</v>
      </c>
      <c r="G53" s="72" t="n"/>
      <c r="H53" s="84">
        <f>F53+G53</f>
        <v/>
      </c>
      <c r="I53" s="95" t="n">
        <v>1</v>
      </c>
      <c r="J53" s="68" t="n"/>
      <c r="K53" s="103">
        <f>IF(J53="",I53,J53)</f>
        <v/>
      </c>
      <c r="L53" s="83" t="n">
        <v>0</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3" t="n">
        <v>0</v>
      </c>
      <c r="G54" s="72" t="n"/>
      <c r="H54" s="27">
        <f>F54+G54</f>
        <v/>
      </c>
      <c r="I54" s="93" t="n">
        <v>1</v>
      </c>
      <c r="J54" s="68" t="n"/>
      <c r="K54" s="101">
        <f>IF(J54="",I54,J54)</f>
        <v/>
      </c>
      <c r="L54" s="73" t="n">
        <v>0</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83" t="n">
        <v>0</v>
      </c>
      <c r="G55" s="72" t="n"/>
      <c r="H55" s="84">
        <f>F55+G55</f>
        <v/>
      </c>
      <c r="I55" s="95" t="n">
        <v>1</v>
      </c>
      <c r="J55" s="68" t="n"/>
      <c r="K55" s="103">
        <f>IF(J55="",I55,J55)</f>
        <v/>
      </c>
      <c r="L55" s="83" t="n">
        <v>0</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3" t="n">
        <v>0</v>
      </c>
      <c r="G56" s="72" t="n"/>
      <c r="H56" s="27">
        <f>F56+G56</f>
        <v/>
      </c>
      <c r="I56" s="93" t="n">
        <v>1</v>
      </c>
      <c r="J56" s="68" t="n"/>
      <c r="K56" s="101">
        <f>IF(J56="",I56,J56)</f>
        <v/>
      </c>
      <c r="L56" s="73" t="n">
        <v>0</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83" t="n">
        <v>0</v>
      </c>
      <c r="G57" s="72" t="n"/>
      <c r="H57" s="84">
        <f>F57+G57</f>
        <v/>
      </c>
      <c r="I57" s="95" t="n">
        <v>1</v>
      </c>
      <c r="J57" s="68" t="n"/>
      <c r="K57" s="103">
        <f>IF(J57="",I57,J57)</f>
        <v/>
      </c>
      <c r="L57" s="83" t="n">
        <v>0</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3" t="n">
        <v>0</v>
      </c>
      <c r="G58" s="72" t="n"/>
      <c r="H58" s="27">
        <f>F58+G58</f>
        <v/>
      </c>
      <c r="I58" s="93" t="n">
        <v>1</v>
      </c>
      <c r="J58" s="68" t="n"/>
      <c r="K58" s="101">
        <f>IF(J58="",I58,J58)</f>
        <v/>
      </c>
      <c r="L58" s="73" t="n">
        <v>0</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83" t="n">
        <v>0</v>
      </c>
      <c r="G59" s="72" t="n"/>
      <c r="H59" s="84">
        <f>F59+G59</f>
        <v/>
      </c>
      <c r="I59" s="95" t="n">
        <v>1</v>
      </c>
      <c r="J59" s="68" t="n"/>
      <c r="K59" s="103">
        <f>IF(J59="",I59,J59)</f>
        <v/>
      </c>
      <c r="L59" s="83" t="n">
        <v>0</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3" t="n">
        <v>0</v>
      </c>
      <c r="G60" s="72" t="n"/>
      <c r="H60" s="27">
        <f>F60+G60</f>
        <v/>
      </c>
      <c r="I60" s="93" t="n">
        <v>1</v>
      </c>
      <c r="J60" s="68" t="n"/>
      <c r="K60" s="101">
        <f>IF(J60="",I60,J60)</f>
        <v/>
      </c>
      <c r="L60" s="73" t="n">
        <v>0</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83" t="n">
        <v>0</v>
      </c>
      <c r="G61" s="72" t="n"/>
      <c r="H61" s="84">
        <f>F61+G61</f>
        <v/>
      </c>
      <c r="I61" s="95" t="n">
        <v>1</v>
      </c>
      <c r="J61" s="68" t="n"/>
      <c r="K61" s="103">
        <f>IF(J61="",I61,J61)</f>
        <v/>
      </c>
      <c r="L61" s="83" t="n">
        <v>0</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3" t="n">
        <v>0</v>
      </c>
      <c r="G62" s="72" t="n"/>
      <c r="H62" s="27">
        <f>F62+G62</f>
        <v/>
      </c>
      <c r="I62" s="93" t="n">
        <v>1</v>
      </c>
      <c r="J62" s="68" t="n"/>
      <c r="K62" s="101">
        <f>IF(J62="",I62,J62)</f>
        <v/>
      </c>
      <c r="L62" s="73" t="n">
        <v>0</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83" t="n">
        <v>0</v>
      </c>
      <c r="G63" s="72" t="n"/>
      <c r="H63" s="84">
        <f>F63+G63</f>
        <v/>
      </c>
      <c r="I63" s="95" t="n">
        <v>1</v>
      </c>
      <c r="J63" s="68" t="n"/>
      <c r="K63" s="103">
        <f>IF(J63="",I63,J63)</f>
        <v/>
      </c>
      <c r="L63" s="83" t="n">
        <v>0</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3" t="n">
        <v>0</v>
      </c>
      <c r="G64" s="72" t="n"/>
      <c r="H64" s="27">
        <f>F64+G64</f>
        <v/>
      </c>
      <c r="I64" s="93" t="n">
        <v>1</v>
      </c>
      <c r="J64" s="68" t="n"/>
      <c r="K64" s="101">
        <f>IF(J64="",I64,J64)</f>
        <v/>
      </c>
      <c r="L64" s="73" t="n">
        <v>0</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83" t="n">
        <v>0</v>
      </c>
      <c r="G65" s="72" t="n"/>
      <c r="H65" s="84">
        <f>F65+G65</f>
        <v/>
      </c>
      <c r="I65" s="95" t="n">
        <v>1</v>
      </c>
      <c r="J65" s="68" t="n"/>
      <c r="K65" s="103">
        <f>IF(J65="",I65,J65)</f>
        <v/>
      </c>
      <c r="L65" s="83" t="n">
        <v>0</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3" t="n">
        <v>0</v>
      </c>
      <c r="G66" s="72" t="n"/>
      <c r="H66" s="27">
        <f>F66+G66</f>
        <v/>
      </c>
      <c r="I66" s="93" t="n">
        <v>1</v>
      </c>
      <c r="J66" s="68" t="n"/>
      <c r="K66" s="101">
        <f>IF(J66="",I66,J66)</f>
        <v/>
      </c>
      <c r="L66" s="73" t="n">
        <v>0</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83" t="n">
        <v>0</v>
      </c>
      <c r="G67" s="72" t="n"/>
      <c r="H67" s="84">
        <f>F67+G67</f>
        <v/>
      </c>
      <c r="I67" s="95" t="n">
        <v>1</v>
      </c>
      <c r="J67" s="68" t="n"/>
      <c r="K67" s="103">
        <f>IF(J67="",I67,J67)</f>
        <v/>
      </c>
      <c r="L67" s="83" t="n">
        <v>0</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3" t="n">
        <v>0</v>
      </c>
      <c r="G68" s="72" t="n"/>
      <c r="H68" s="27">
        <f>F68+G68</f>
        <v/>
      </c>
      <c r="I68" s="93" t="n">
        <v>1</v>
      </c>
      <c r="J68" s="68" t="n"/>
      <c r="K68" s="101">
        <f>IF(J68="",I68,J68)</f>
        <v/>
      </c>
      <c r="L68" s="73" t="n">
        <v>0</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83" t="n">
        <v>0</v>
      </c>
      <c r="G69" s="72" t="n"/>
      <c r="H69" s="84">
        <f>F69+G69</f>
        <v/>
      </c>
      <c r="I69" s="95" t="n">
        <v>1</v>
      </c>
      <c r="J69" s="68" t="n"/>
      <c r="K69" s="103">
        <f>IF(J69="",I69,J69)</f>
        <v/>
      </c>
      <c r="L69" s="83" t="n">
        <v>0</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3" t="n">
        <v>0</v>
      </c>
      <c r="G70" s="72" t="n"/>
      <c r="H70" s="27">
        <f>F70+G70</f>
        <v/>
      </c>
      <c r="I70" s="93" t="n">
        <v>1</v>
      </c>
      <c r="J70" s="68" t="n"/>
      <c r="K70" s="101">
        <f>IF(J70="",I70,J70)</f>
        <v/>
      </c>
      <c r="L70" s="73" t="n">
        <v>0</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83" t="n">
        <v>0</v>
      </c>
      <c r="G71" s="72" t="n"/>
      <c r="H71" s="84">
        <f>F71+G71</f>
        <v/>
      </c>
      <c r="I71" s="95" t="n">
        <v>1</v>
      </c>
      <c r="J71" s="68" t="n"/>
      <c r="K71" s="103">
        <f>IF(J71="",I71,J71)</f>
        <v/>
      </c>
      <c r="L71" s="83" t="n">
        <v>0</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3" t="n">
        <v>0</v>
      </c>
      <c r="G72" s="72" t="n"/>
      <c r="H72" s="27">
        <f>F72+G72</f>
        <v/>
      </c>
      <c r="I72" s="93" t="n">
        <v>1</v>
      </c>
      <c r="J72" s="68" t="n"/>
      <c r="K72" s="101">
        <f>IF(J72="",I72,J72)</f>
        <v/>
      </c>
      <c r="L72" s="73" t="n">
        <v>0</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83" t="n">
        <v>0</v>
      </c>
      <c r="G73" s="72" t="n"/>
      <c r="H73" s="84">
        <f>F73+G73</f>
        <v/>
      </c>
      <c r="I73" s="95" t="n">
        <v>1</v>
      </c>
      <c r="J73" s="68" t="n"/>
      <c r="K73" s="103">
        <f>IF(J73="",I73,J73)</f>
        <v/>
      </c>
      <c r="L73" s="83" t="n">
        <v>0</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3" t="n">
        <v>0</v>
      </c>
      <c r="G74" s="72" t="n"/>
      <c r="H74" s="27">
        <f>F74+G74</f>
        <v/>
      </c>
      <c r="I74" s="93" t="n">
        <v>1</v>
      </c>
      <c r="J74" s="68" t="n"/>
      <c r="K74" s="101">
        <f>IF(J74="",I74,J74)</f>
        <v/>
      </c>
      <c r="L74" s="73" t="n">
        <v>0</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83" t="n">
        <v>0</v>
      </c>
      <c r="G75" s="72" t="n"/>
      <c r="H75" s="84">
        <f>F75+G75</f>
        <v/>
      </c>
      <c r="I75" s="95" t="n">
        <v>1</v>
      </c>
      <c r="J75" s="68" t="n"/>
      <c r="K75" s="103">
        <f>IF(J75="",I75,J75)</f>
        <v/>
      </c>
      <c r="L75" s="83" t="n">
        <v>0</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3" t="n">
        <v>0</v>
      </c>
      <c r="G76" s="72" t="n"/>
      <c r="H76" s="27">
        <f>F76+G76</f>
        <v/>
      </c>
      <c r="I76" s="93" t="n">
        <v>1</v>
      </c>
      <c r="J76" s="68" t="n"/>
      <c r="K76" s="101">
        <f>IF(J76="",I76,J76)</f>
        <v/>
      </c>
      <c r="L76" s="73" t="n">
        <v>0</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83" t="n">
        <v>0</v>
      </c>
      <c r="G77" s="72" t="n"/>
      <c r="H77" s="84">
        <f>F77+G77</f>
        <v/>
      </c>
      <c r="I77" s="95" t="n">
        <v>1</v>
      </c>
      <c r="J77" s="68" t="n"/>
      <c r="K77" s="103">
        <f>IF(J77="",I77,J77)</f>
        <v/>
      </c>
      <c r="L77" s="83" t="n">
        <v>0</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3" t="n">
        <v>0</v>
      </c>
      <c r="G78" s="72" t="n"/>
      <c r="H78" s="27">
        <f>F78+G78</f>
        <v/>
      </c>
      <c r="I78" s="93" t="n">
        <v>1</v>
      </c>
      <c r="J78" s="68" t="n"/>
      <c r="K78" s="101">
        <f>IF(J78="",I78,J78)</f>
        <v/>
      </c>
      <c r="L78" s="73" t="n">
        <v>0</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83" t="n">
        <v>0</v>
      </c>
      <c r="G79" s="72" t="n"/>
      <c r="H79" s="84">
        <f>F79+G79</f>
        <v/>
      </c>
      <c r="I79" s="95" t="n">
        <v>1</v>
      </c>
      <c r="J79" s="68" t="n"/>
      <c r="K79" s="103">
        <f>IF(J79="",I79,J79)</f>
        <v/>
      </c>
      <c r="L79" s="83" t="n">
        <v>0</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3" t="n">
        <v>0</v>
      </c>
      <c r="G80" s="72" t="n"/>
      <c r="H80" s="27">
        <f>F80+G80</f>
        <v/>
      </c>
      <c r="I80" s="93" t="n">
        <v>1</v>
      </c>
      <c r="J80" s="68" t="n"/>
      <c r="K80" s="101">
        <f>IF(J80="",I80,J80)</f>
        <v/>
      </c>
      <c r="L80" s="73" t="n">
        <v>0</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83" t="n">
        <v>0</v>
      </c>
      <c r="G81" s="72" t="n"/>
      <c r="H81" s="84">
        <f>F81+G81</f>
        <v/>
      </c>
      <c r="I81" s="95" t="n">
        <v>1</v>
      </c>
      <c r="J81" s="68" t="n"/>
      <c r="K81" s="103">
        <f>IF(J81="",I81,J81)</f>
        <v/>
      </c>
      <c r="L81" s="83" t="n">
        <v>0</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3" t="n">
        <v>0</v>
      </c>
      <c r="G82" s="72" t="n"/>
      <c r="H82" s="27">
        <f>F82+G82</f>
        <v/>
      </c>
      <c r="I82" s="93" t="n">
        <v>1</v>
      </c>
      <c r="J82" s="68" t="n"/>
      <c r="K82" s="101">
        <f>IF(J82="",I82,J82)</f>
        <v/>
      </c>
      <c r="L82" s="73" t="n">
        <v>0</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83" t="n">
        <v>0</v>
      </c>
      <c r="G83" s="72" t="n"/>
      <c r="H83" s="84">
        <f>F83+G83</f>
        <v/>
      </c>
      <c r="I83" s="95" t="n">
        <v>1</v>
      </c>
      <c r="J83" s="68" t="n"/>
      <c r="K83" s="103">
        <f>IF(J83="",I83,J83)</f>
        <v/>
      </c>
      <c r="L83" s="83" t="n">
        <v>0</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3" t="n">
        <v>0</v>
      </c>
      <c r="G84" s="72" t="n"/>
      <c r="H84" s="27">
        <f>F84+G84</f>
        <v/>
      </c>
      <c r="I84" s="93" t="n">
        <v>1</v>
      </c>
      <c r="J84" s="68" t="n"/>
      <c r="K84" s="101">
        <f>IF(J84="",I84,J84)</f>
        <v/>
      </c>
      <c r="L84" s="73" t="n">
        <v>0</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83" t="n">
        <v>0</v>
      </c>
      <c r="G85" s="72" t="n"/>
      <c r="H85" s="84">
        <f>F85+G85</f>
        <v/>
      </c>
      <c r="I85" s="95" t="n">
        <v>1</v>
      </c>
      <c r="J85" s="68" t="n"/>
      <c r="K85" s="103">
        <f>IF(J85="",I85,J85)</f>
        <v/>
      </c>
      <c r="L85" s="83" t="n">
        <v>0</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3" t="n">
        <v>0</v>
      </c>
      <c r="G86" s="72" t="n"/>
      <c r="H86" s="27">
        <f>F86+G86</f>
        <v/>
      </c>
      <c r="I86" s="93" t="n">
        <v>1</v>
      </c>
      <c r="J86" s="68" t="n"/>
      <c r="K86" s="101">
        <f>IF(J86="",I86,J86)</f>
        <v/>
      </c>
      <c r="L86" s="73" t="n">
        <v>0</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83" t="n">
        <v>0</v>
      </c>
      <c r="G87" s="72" t="n"/>
      <c r="H87" s="84">
        <f>F87+G87</f>
        <v/>
      </c>
      <c r="I87" s="95" t="n">
        <v>1</v>
      </c>
      <c r="J87" s="68" t="n"/>
      <c r="K87" s="103">
        <f>IF(J87="",I87,J87)</f>
        <v/>
      </c>
      <c r="L87" s="83" t="n">
        <v>0</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3" t="n">
        <v>0</v>
      </c>
      <c r="G88" s="72" t="n"/>
      <c r="H88" s="27">
        <f>F88+G88</f>
        <v/>
      </c>
      <c r="I88" s="93" t="n">
        <v>1</v>
      </c>
      <c r="J88" s="68" t="n"/>
      <c r="K88" s="101">
        <f>IF(J88="",I88,J88)</f>
        <v/>
      </c>
      <c r="L88" s="73" t="n">
        <v>0</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83" t="n">
        <v>0</v>
      </c>
      <c r="G89" s="72" t="n"/>
      <c r="H89" s="84">
        <f>F89+G89</f>
        <v/>
      </c>
      <c r="I89" s="95" t="n">
        <v>1</v>
      </c>
      <c r="J89" s="68" t="n"/>
      <c r="K89" s="103">
        <f>IF(J89="",I89,J89)</f>
        <v/>
      </c>
      <c r="L89" s="83" t="n">
        <v>0</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3" t="n">
        <v>0</v>
      </c>
      <c r="G90" s="72" t="n"/>
      <c r="H90" s="27">
        <f>F90+G90</f>
        <v/>
      </c>
      <c r="I90" s="93" t="n">
        <v>1</v>
      </c>
      <c r="J90" s="68" t="n"/>
      <c r="K90" s="101">
        <f>IF(J90="",I90,J90)</f>
        <v/>
      </c>
      <c r="L90" s="73" t="n">
        <v>0</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83" t="n">
        <v>0</v>
      </c>
      <c r="G91" s="72" t="n"/>
      <c r="H91" s="84">
        <f>F91+G91</f>
        <v/>
      </c>
      <c r="I91" s="95" t="n">
        <v>1</v>
      </c>
      <c r="J91" s="68" t="n"/>
      <c r="K91" s="103">
        <f>IF(J91="",I91,J91)</f>
        <v/>
      </c>
      <c r="L91" s="83" t="n">
        <v>0</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3" t="n">
        <v>0</v>
      </c>
      <c r="G92" s="72" t="n"/>
      <c r="H92" s="27">
        <f>F92+G92</f>
        <v/>
      </c>
      <c r="I92" s="93" t="n">
        <v>1</v>
      </c>
      <c r="J92" s="68" t="n"/>
      <c r="K92" s="101">
        <f>IF(J92="",I92,J92)</f>
        <v/>
      </c>
      <c r="L92" s="73" t="n">
        <v>0</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83" t="n">
        <v>0</v>
      </c>
      <c r="G93" s="72" t="n"/>
      <c r="H93" s="84">
        <f>F93+G93</f>
        <v/>
      </c>
      <c r="I93" s="95" t="n">
        <v>1</v>
      </c>
      <c r="J93" s="68" t="n"/>
      <c r="K93" s="103">
        <f>IF(J93="",I93,J93)</f>
        <v/>
      </c>
      <c r="L93" s="83" t="n">
        <v>0</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3" t="n">
        <v>0</v>
      </c>
      <c r="G94" s="72" t="n"/>
      <c r="H94" s="27">
        <f>F94+G94</f>
        <v/>
      </c>
      <c r="I94" s="93" t="n">
        <v>1</v>
      </c>
      <c r="J94" s="68" t="n"/>
      <c r="K94" s="101">
        <f>IF(J94="",I94,J94)</f>
        <v/>
      </c>
      <c r="L94" s="73" t="n">
        <v>0</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83" t="n">
        <v>0</v>
      </c>
      <c r="G95" s="72" t="n"/>
      <c r="H95" s="84">
        <f>F95+G95</f>
        <v/>
      </c>
      <c r="I95" s="95" t="n">
        <v>1</v>
      </c>
      <c r="J95" s="68" t="n"/>
      <c r="K95" s="103">
        <f>IF(J95="",I95,J95)</f>
        <v/>
      </c>
      <c r="L95" s="83" t="n">
        <v>0</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3" t="n">
        <v>0</v>
      </c>
      <c r="G96" s="72" t="n"/>
      <c r="H96" s="27">
        <f>F96+G96</f>
        <v/>
      </c>
      <c r="I96" s="93" t="n">
        <v>1</v>
      </c>
      <c r="J96" s="68" t="n"/>
      <c r="K96" s="101">
        <f>IF(J96="",I96,J96)</f>
        <v/>
      </c>
      <c r="L96" s="73" t="n">
        <v>0</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83" t="n">
        <v>0</v>
      </c>
      <c r="G97" s="72" t="n"/>
      <c r="H97" s="84">
        <f>F97+G97</f>
        <v/>
      </c>
      <c r="I97" s="95" t="n">
        <v>1</v>
      </c>
      <c r="J97" s="68" t="n"/>
      <c r="K97" s="103">
        <f>IF(J97="",I97,J97)</f>
        <v/>
      </c>
      <c r="L97" s="83" t="n">
        <v>0</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3" t="n">
        <v>0</v>
      </c>
      <c r="G98" s="72" t="n"/>
      <c r="H98" s="27">
        <f>F98+G98</f>
        <v/>
      </c>
      <c r="I98" s="93" t="n">
        <v>1</v>
      </c>
      <c r="J98" s="68" t="n"/>
      <c r="K98" s="101">
        <f>IF(J98="",I98,J98)</f>
        <v/>
      </c>
      <c r="L98" s="73" t="n">
        <v>0</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83" t="n">
        <v>0</v>
      </c>
      <c r="G99" s="72" t="n"/>
      <c r="H99" s="84">
        <f>F99+G99</f>
        <v/>
      </c>
      <c r="I99" s="95" t="n">
        <v>1</v>
      </c>
      <c r="J99" s="68" t="n"/>
      <c r="K99" s="103">
        <f>IF(J99="",I99,J99)</f>
        <v/>
      </c>
      <c r="L99" s="83" t="n">
        <v>0</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3" t="n">
        <v>0</v>
      </c>
      <c r="G100" s="72" t="n"/>
      <c r="H100" s="27">
        <f>F100+G100</f>
        <v/>
      </c>
      <c r="I100" s="93" t="n">
        <v>1</v>
      </c>
      <c r="J100" s="68" t="n"/>
      <c r="K100" s="101">
        <f>IF(J100="",I100,J100)</f>
        <v/>
      </c>
      <c r="L100" s="73" t="n">
        <v>0</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83" t="n">
        <v>0</v>
      </c>
      <c r="G101" s="72" t="n"/>
      <c r="H101" s="84">
        <f>F101+G101</f>
        <v/>
      </c>
      <c r="I101" s="95" t="n">
        <v>1</v>
      </c>
      <c r="J101" s="68" t="n"/>
      <c r="K101" s="103">
        <f>IF(J101="",I101,J101)</f>
        <v/>
      </c>
      <c r="L101" s="83" t="n">
        <v>0</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3" t="n">
        <v>0</v>
      </c>
      <c r="G102" s="72" t="n"/>
      <c r="H102" s="27">
        <f>F102+G102</f>
        <v/>
      </c>
      <c r="I102" s="93" t="n">
        <v>1</v>
      </c>
      <c r="J102" s="68" t="n"/>
      <c r="K102" s="101">
        <f>IF(J102="",I102,J102)</f>
        <v/>
      </c>
      <c r="L102" s="73" t="n">
        <v>0</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83" t="n">
        <v>0</v>
      </c>
      <c r="G103" s="72" t="n"/>
      <c r="H103" s="84">
        <f>F103+G103</f>
        <v/>
      </c>
      <c r="I103" s="95" t="n">
        <v>1</v>
      </c>
      <c r="J103" s="68" t="n"/>
      <c r="K103" s="103">
        <f>IF(J103="",I103,J103)</f>
        <v/>
      </c>
      <c r="L103" s="83" t="n">
        <v>0</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3" t="n">
        <v>0</v>
      </c>
      <c r="G104" s="72" t="n"/>
      <c r="H104" s="27">
        <f>F104+G104</f>
        <v/>
      </c>
      <c r="I104" s="93" t="n">
        <v>1</v>
      </c>
      <c r="J104" s="68" t="n"/>
      <c r="K104" s="101">
        <f>IF(J104="",I104,J104)</f>
        <v/>
      </c>
      <c r="L104" s="73" t="n">
        <v>0</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83" t="n">
        <v>0</v>
      </c>
      <c r="G105" s="72" t="n"/>
      <c r="H105" s="84">
        <f>F105+G105</f>
        <v/>
      </c>
      <c r="I105" s="95" t="n">
        <v>1</v>
      </c>
      <c r="J105" s="68" t="n"/>
      <c r="K105" s="103">
        <f>IF(J105="",I105,J105)</f>
        <v/>
      </c>
      <c r="L105" s="83" t="n">
        <v>0</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3" t="n">
        <v>0</v>
      </c>
      <c r="G106" s="72" t="n"/>
      <c r="H106" s="27">
        <f>F106+G106</f>
        <v/>
      </c>
      <c r="I106" s="93" t="n">
        <v>1</v>
      </c>
      <c r="J106" s="68" t="n"/>
      <c r="K106" s="101">
        <f>IF(J106="",I106,J106)</f>
        <v/>
      </c>
      <c r="L106" s="73" t="n">
        <v>0</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83" t="n">
        <v>0</v>
      </c>
      <c r="G107" s="72" t="n"/>
      <c r="H107" s="84">
        <f>F107+G107</f>
        <v/>
      </c>
      <c r="I107" s="95" t="n">
        <v>1</v>
      </c>
      <c r="J107" s="68" t="n"/>
      <c r="K107" s="103">
        <f>IF(J107="",I107,J107)</f>
        <v/>
      </c>
      <c r="L107" s="83" t="n">
        <v>0</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3" t="n">
        <v>0</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3" t="n">
        <v>0</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t="n">
        <v>0</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3" t="n">
        <v>0</v>
      </c>
      <c r="M114" s="27">
        <f>'الدفعات المقدمة'!I25</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3" t="n">
        <v>0</v>
      </c>
      <c r="M115" s="27">
        <f>'ضمان الأعمال'!I16</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3" t="n">
        <v>0</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3" t="n">
        <v>0</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t="n">
        <v>0</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3">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I117:K117"/>
    <mergeCell ref="E4:F4"/>
    <mergeCell ref="I111:K111"/>
    <mergeCell ref="M121:P121"/>
    <mergeCell ref="I118:K118"/>
    <mergeCell ref="H121:L121"/>
    <mergeCell ref="M122:P122"/>
    <mergeCell ref="C121:G121"/>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N3" location="'مستخلص 2'!A1" display="المستخلص التالي (2)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t>
        </is>
      </c>
      <c r="M3" s="4" t="n"/>
      <c r="N3" s="4" t="inlineStr">
        <is>
          <t>المستخلص التالي (3) ▶</t>
        </is>
      </c>
      <c r="O3" s="4" t="n"/>
      <c r="P3" s="4" t="n"/>
    </row>
    <row r="4" ht="24" customHeight="1">
      <c r="A4" s="96" t="inlineStr">
        <is>
          <t>رقم</t>
        </is>
      </c>
      <c r="B4" s="97" t="n">
        <v>2</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1'!H8</f>
        <v/>
      </c>
      <c r="G8" s="72" t="n"/>
      <c r="H8" s="27">
        <f>F8+G8</f>
        <v/>
      </c>
      <c r="I8" s="107">
        <f>'مستخلص 1'!K8</f>
        <v/>
      </c>
      <c r="J8" s="68" t="n"/>
      <c r="K8" s="101">
        <f>IF(J8="",I8,J8)</f>
        <v/>
      </c>
      <c r="L8" s="74">
        <f>'مستخلص 1'!N8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1'!H9</f>
        <v/>
      </c>
      <c r="G9" s="72" t="n"/>
      <c r="H9" s="84">
        <f>F9+G9</f>
        <v/>
      </c>
      <c r="I9" s="109">
        <f>'مستخلص 1'!K9</f>
        <v/>
      </c>
      <c r="J9" s="68" t="n"/>
      <c r="K9" s="103">
        <f>IF(J9="",I9,J9)</f>
        <v/>
      </c>
      <c r="L9" s="108">
        <f>'مستخلص 1'!N9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1'!H10</f>
        <v/>
      </c>
      <c r="G10" s="72" t="n"/>
      <c r="H10" s="27">
        <f>F10+G10</f>
        <v/>
      </c>
      <c r="I10" s="107">
        <f>'مستخلص 1'!K10</f>
        <v/>
      </c>
      <c r="J10" s="68" t="n"/>
      <c r="K10" s="101">
        <f>IF(J10="",I10,J10)</f>
        <v/>
      </c>
      <c r="L10" s="74">
        <f>'مستخلص 1'!N10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1'!H11</f>
        <v/>
      </c>
      <c r="G11" s="72" t="n"/>
      <c r="H11" s="84">
        <f>F11+G11</f>
        <v/>
      </c>
      <c r="I11" s="109">
        <f>'مستخلص 1'!K11</f>
        <v/>
      </c>
      <c r="J11" s="68" t="n"/>
      <c r="K11" s="103">
        <f>IF(J11="",I11,J11)</f>
        <v/>
      </c>
      <c r="L11" s="108">
        <f>'مستخلص 1'!N11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1'!H12</f>
        <v/>
      </c>
      <c r="G12" s="72" t="n"/>
      <c r="H12" s="27">
        <f>F12+G12</f>
        <v/>
      </c>
      <c r="I12" s="107">
        <f>'مستخلص 1'!K12</f>
        <v/>
      </c>
      <c r="J12" s="68" t="n"/>
      <c r="K12" s="101">
        <f>IF(J12="",I12,J12)</f>
        <v/>
      </c>
      <c r="L12" s="74">
        <f>'مستخلص 1'!N12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1'!H13</f>
        <v/>
      </c>
      <c r="G13" s="72" t="n"/>
      <c r="H13" s="84">
        <f>F13+G13</f>
        <v/>
      </c>
      <c r="I13" s="109">
        <f>'مستخلص 1'!K13</f>
        <v/>
      </c>
      <c r="J13" s="68" t="n"/>
      <c r="K13" s="103">
        <f>IF(J13="",I13,J13)</f>
        <v/>
      </c>
      <c r="L13" s="108">
        <f>'مستخلص 1'!N13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1'!H14</f>
        <v/>
      </c>
      <c r="G14" s="72" t="n"/>
      <c r="H14" s="27">
        <f>F14+G14</f>
        <v/>
      </c>
      <c r="I14" s="107">
        <f>'مستخلص 1'!K14</f>
        <v/>
      </c>
      <c r="J14" s="68" t="n"/>
      <c r="K14" s="101">
        <f>IF(J14="",I14,J14)</f>
        <v/>
      </c>
      <c r="L14" s="74">
        <f>'مستخلص 1'!N14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1'!H15</f>
        <v/>
      </c>
      <c r="G15" s="72" t="n"/>
      <c r="H15" s="84">
        <f>F15+G15</f>
        <v/>
      </c>
      <c r="I15" s="109">
        <f>'مستخلص 1'!K15</f>
        <v/>
      </c>
      <c r="J15" s="68" t="n"/>
      <c r="K15" s="103">
        <f>IF(J15="",I15,J15)</f>
        <v/>
      </c>
      <c r="L15" s="108">
        <f>'مستخلص 1'!N15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1'!H16</f>
        <v/>
      </c>
      <c r="G16" s="72" t="n"/>
      <c r="H16" s="27">
        <f>F16+G16</f>
        <v/>
      </c>
      <c r="I16" s="107">
        <f>'مستخلص 1'!K16</f>
        <v/>
      </c>
      <c r="J16" s="68" t="n"/>
      <c r="K16" s="101">
        <f>IF(J16="",I16,J16)</f>
        <v/>
      </c>
      <c r="L16" s="74">
        <f>'مستخلص 1'!N16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1'!H17</f>
        <v/>
      </c>
      <c r="G17" s="72" t="n"/>
      <c r="H17" s="84">
        <f>F17+G17</f>
        <v/>
      </c>
      <c r="I17" s="109">
        <f>'مستخلص 1'!K17</f>
        <v/>
      </c>
      <c r="J17" s="68" t="n"/>
      <c r="K17" s="103">
        <f>IF(J17="",I17,J17)</f>
        <v/>
      </c>
      <c r="L17" s="108">
        <f>'مستخلص 1'!N17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1'!H18</f>
        <v/>
      </c>
      <c r="G18" s="72" t="n"/>
      <c r="H18" s="27">
        <f>F18+G18</f>
        <v/>
      </c>
      <c r="I18" s="107">
        <f>'مستخلص 1'!K18</f>
        <v/>
      </c>
      <c r="J18" s="68" t="n"/>
      <c r="K18" s="101">
        <f>IF(J18="",I18,J18)</f>
        <v/>
      </c>
      <c r="L18" s="74">
        <f>'مستخلص 1'!N18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1'!H19</f>
        <v/>
      </c>
      <c r="G19" s="72" t="n"/>
      <c r="H19" s="84">
        <f>F19+G19</f>
        <v/>
      </c>
      <c r="I19" s="109">
        <f>'مستخلص 1'!K19</f>
        <v/>
      </c>
      <c r="J19" s="68" t="n"/>
      <c r="K19" s="103">
        <f>IF(J19="",I19,J19)</f>
        <v/>
      </c>
      <c r="L19" s="108">
        <f>'مستخلص 1'!N19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1'!H20</f>
        <v/>
      </c>
      <c r="G20" s="72" t="n"/>
      <c r="H20" s="27">
        <f>F20+G20</f>
        <v/>
      </c>
      <c r="I20" s="107">
        <f>'مستخلص 1'!K20</f>
        <v/>
      </c>
      <c r="J20" s="68" t="n"/>
      <c r="K20" s="101">
        <f>IF(J20="",I20,J20)</f>
        <v/>
      </c>
      <c r="L20" s="74">
        <f>'مستخلص 1'!N20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1'!H21</f>
        <v/>
      </c>
      <c r="G21" s="72" t="n"/>
      <c r="H21" s="84">
        <f>F21+G21</f>
        <v/>
      </c>
      <c r="I21" s="109">
        <f>'مستخلص 1'!K21</f>
        <v/>
      </c>
      <c r="J21" s="68" t="n"/>
      <c r="K21" s="103">
        <f>IF(J21="",I21,J21)</f>
        <v/>
      </c>
      <c r="L21" s="108">
        <f>'مستخلص 1'!N21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1'!H22</f>
        <v/>
      </c>
      <c r="G22" s="72" t="n"/>
      <c r="H22" s="27">
        <f>F22+G22</f>
        <v/>
      </c>
      <c r="I22" s="107">
        <f>'مستخلص 1'!K22</f>
        <v/>
      </c>
      <c r="J22" s="68" t="n"/>
      <c r="K22" s="101">
        <f>IF(J22="",I22,J22)</f>
        <v/>
      </c>
      <c r="L22" s="74">
        <f>'مستخلص 1'!N22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1'!H23</f>
        <v/>
      </c>
      <c r="G23" s="72" t="n"/>
      <c r="H23" s="84">
        <f>F23+G23</f>
        <v/>
      </c>
      <c r="I23" s="109">
        <f>'مستخلص 1'!K23</f>
        <v/>
      </c>
      <c r="J23" s="68" t="n"/>
      <c r="K23" s="103">
        <f>IF(J23="",I23,J23)</f>
        <v/>
      </c>
      <c r="L23" s="108">
        <f>'مستخلص 1'!N23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1'!H24</f>
        <v/>
      </c>
      <c r="G24" s="72" t="n"/>
      <c r="H24" s="27">
        <f>F24+G24</f>
        <v/>
      </c>
      <c r="I24" s="107">
        <f>'مستخلص 1'!K24</f>
        <v/>
      </c>
      <c r="J24" s="68" t="n"/>
      <c r="K24" s="101">
        <f>IF(J24="",I24,J24)</f>
        <v/>
      </c>
      <c r="L24" s="74">
        <f>'مستخلص 1'!N24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1'!H25</f>
        <v/>
      </c>
      <c r="G25" s="72" t="n"/>
      <c r="H25" s="84">
        <f>F25+G25</f>
        <v/>
      </c>
      <c r="I25" s="109">
        <f>'مستخلص 1'!K25</f>
        <v/>
      </c>
      <c r="J25" s="68" t="n"/>
      <c r="K25" s="103">
        <f>IF(J25="",I25,J25)</f>
        <v/>
      </c>
      <c r="L25" s="108">
        <f>'مستخلص 1'!N25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1'!H26</f>
        <v/>
      </c>
      <c r="G26" s="72" t="n"/>
      <c r="H26" s="27">
        <f>F26+G26</f>
        <v/>
      </c>
      <c r="I26" s="107">
        <f>'مستخلص 1'!K26</f>
        <v/>
      </c>
      <c r="J26" s="68" t="n"/>
      <c r="K26" s="101">
        <f>IF(J26="",I26,J26)</f>
        <v/>
      </c>
      <c r="L26" s="74">
        <f>'مستخلص 1'!N26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1'!H27</f>
        <v/>
      </c>
      <c r="G27" s="72" t="n"/>
      <c r="H27" s="84">
        <f>F27+G27</f>
        <v/>
      </c>
      <c r="I27" s="109">
        <f>'مستخلص 1'!K27</f>
        <v/>
      </c>
      <c r="J27" s="68" t="n"/>
      <c r="K27" s="103">
        <f>IF(J27="",I27,J27)</f>
        <v/>
      </c>
      <c r="L27" s="108">
        <f>'مستخلص 1'!N27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1'!H28</f>
        <v/>
      </c>
      <c r="G28" s="72" t="n"/>
      <c r="H28" s="27">
        <f>F28+G28</f>
        <v/>
      </c>
      <c r="I28" s="107">
        <f>'مستخلص 1'!K28</f>
        <v/>
      </c>
      <c r="J28" s="68" t="n"/>
      <c r="K28" s="101">
        <f>IF(J28="",I28,J28)</f>
        <v/>
      </c>
      <c r="L28" s="74">
        <f>'مستخلص 1'!N28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1'!H29</f>
        <v/>
      </c>
      <c r="G29" s="72" t="n"/>
      <c r="H29" s="84">
        <f>F29+G29</f>
        <v/>
      </c>
      <c r="I29" s="109">
        <f>'مستخلص 1'!K29</f>
        <v/>
      </c>
      <c r="J29" s="68" t="n"/>
      <c r="K29" s="103">
        <f>IF(J29="",I29,J29)</f>
        <v/>
      </c>
      <c r="L29" s="108">
        <f>'مستخلص 1'!N29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1'!H30</f>
        <v/>
      </c>
      <c r="G30" s="72" t="n"/>
      <c r="H30" s="27">
        <f>F30+G30</f>
        <v/>
      </c>
      <c r="I30" s="107">
        <f>'مستخلص 1'!K30</f>
        <v/>
      </c>
      <c r="J30" s="68" t="n"/>
      <c r="K30" s="101">
        <f>IF(J30="",I30,J30)</f>
        <v/>
      </c>
      <c r="L30" s="74">
        <f>'مستخلص 1'!N30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1'!H31</f>
        <v/>
      </c>
      <c r="G31" s="72" t="n"/>
      <c r="H31" s="84">
        <f>F31+G31</f>
        <v/>
      </c>
      <c r="I31" s="109">
        <f>'مستخلص 1'!K31</f>
        <v/>
      </c>
      <c r="J31" s="68" t="n"/>
      <c r="K31" s="103">
        <f>IF(J31="",I31,J31)</f>
        <v/>
      </c>
      <c r="L31" s="108">
        <f>'مستخلص 1'!N31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1'!H32</f>
        <v/>
      </c>
      <c r="G32" s="72" t="n"/>
      <c r="H32" s="27">
        <f>F32+G32</f>
        <v/>
      </c>
      <c r="I32" s="107">
        <f>'مستخلص 1'!K32</f>
        <v/>
      </c>
      <c r="J32" s="68" t="n"/>
      <c r="K32" s="101">
        <f>IF(J32="",I32,J32)</f>
        <v/>
      </c>
      <c r="L32" s="74">
        <f>'مستخلص 1'!N32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1'!H33</f>
        <v/>
      </c>
      <c r="G33" s="72" t="n"/>
      <c r="H33" s="84">
        <f>F33+G33</f>
        <v/>
      </c>
      <c r="I33" s="109">
        <f>'مستخلص 1'!K33</f>
        <v/>
      </c>
      <c r="J33" s="68" t="n"/>
      <c r="K33" s="103">
        <f>IF(J33="",I33,J33)</f>
        <v/>
      </c>
      <c r="L33" s="108">
        <f>'مستخلص 1'!N33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1'!H34</f>
        <v/>
      </c>
      <c r="G34" s="72" t="n"/>
      <c r="H34" s="27">
        <f>F34+G34</f>
        <v/>
      </c>
      <c r="I34" s="107">
        <f>'مستخلص 1'!K34</f>
        <v/>
      </c>
      <c r="J34" s="68" t="n"/>
      <c r="K34" s="101">
        <f>IF(J34="",I34,J34)</f>
        <v/>
      </c>
      <c r="L34" s="74">
        <f>'مستخلص 1'!N34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1'!H35</f>
        <v/>
      </c>
      <c r="G35" s="72" t="n"/>
      <c r="H35" s="84">
        <f>F35+G35</f>
        <v/>
      </c>
      <c r="I35" s="109">
        <f>'مستخلص 1'!K35</f>
        <v/>
      </c>
      <c r="J35" s="68" t="n"/>
      <c r="K35" s="103">
        <f>IF(J35="",I35,J35)</f>
        <v/>
      </c>
      <c r="L35" s="108">
        <f>'مستخلص 1'!N35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1'!H36</f>
        <v/>
      </c>
      <c r="G36" s="72" t="n"/>
      <c r="H36" s="27">
        <f>F36+G36</f>
        <v/>
      </c>
      <c r="I36" s="107">
        <f>'مستخلص 1'!K36</f>
        <v/>
      </c>
      <c r="J36" s="68" t="n"/>
      <c r="K36" s="101">
        <f>IF(J36="",I36,J36)</f>
        <v/>
      </c>
      <c r="L36" s="74">
        <f>'مستخلص 1'!N36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1'!H37</f>
        <v/>
      </c>
      <c r="G37" s="72" t="n"/>
      <c r="H37" s="84">
        <f>F37+G37</f>
        <v/>
      </c>
      <c r="I37" s="109">
        <f>'مستخلص 1'!K37</f>
        <v/>
      </c>
      <c r="J37" s="68" t="n"/>
      <c r="K37" s="103">
        <f>IF(J37="",I37,J37)</f>
        <v/>
      </c>
      <c r="L37" s="108">
        <f>'مستخلص 1'!N37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1'!H38</f>
        <v/>
      </c>
      <c r="G38" s="72" t="n"/>
      <c r="H38" s="27">
        <f>F38+G38</f>
        <v/>
      </c>
      <c r="I38" s="107">
        <f>'مستخلص 1'!K38</f>
        <v/>
      </c>
      <c r="J38" s="68" t="n"/>
      <c r="K38" s="101">
        <f>IF(J38="",I38,J38)</f>
        <v/>
      </c>
      <c r="L38" s="74">
        <f>'مستخلص 1'!N38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1'!H39</f>
        <v/>
      </c>
      <c r="G39" s="72" t="n"/>
      <c r="H39" s="84">
        <f>F39+G39</f>
        <v/>
      </c>
      <c r="I39" s="109">
        <f>'مستخلص 1'!K39</f>
        <v/>
      </c>
      <c r="J39" s="68" t="n"/>
      <c r="K39" s="103">
        <f>IF(J39="",I39,J39)</f>
        <v/>
      </c>
      <c r="L39" s="108">
        <f>'مستخلص 1'!N39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1'!H40</f>
        <v/>
      </c>
      <c r="G40" s="72" t="n"/>
      <c r="H40" s="27">
        <f>F40+G40</f>
        <v/>
      </c>
      <c r="I40" s="107">
        <f>'مستخلص 1'!K40</f>
        <v/>
      </c>
      <c r="J40" s="68" t="n"/>
      <c r="K40" s="101">
        <f>IF(J40="",I40,J40)</f>
        <v/>
      </c>
      <c r="L40" s="74">
        <f>'مستخلص 1'!N40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1'!H41</f>
        <v/>
      </c>
      <c r="G41" s="72" t="n"/>
      <c r="H41" s="84">
        <f>F41+G41</f>
        <v/>
      </c>
      <c r="I41" s="109">
        <f>'مستخلص 1'!K41</f>
        <v/>
      </c>
      <c r="J41" s="68" t="n"/>
      <c r="K41" s="103">
        <f>IF(J41="",I41,J41)</f>
        <v/>
      </c>
      <c r="L41" s="108">
        <f>'مستخلص 1'!N41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1'!H42</f>
        <v/>
      </c>
      <c r="G42" s="72" t="n"/>
      <c r="H42" s="27">
        <f>F42+G42</f>
        <v/>
      </c>
      <c r="I42" s="107">
        <f>'مستخلص 1'!K42</f>
        <v/>
      </c>
      <c r="J42" s="68" t="n"/>
      <c r="K42" s="101">
        <f>IF(J42="",I42,J42)</f>
        <v/>
      </c>
      <c r="L42" s="74">
        <f>'مستخلص 1'!N42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1'!H43</f>
        <v/>
      </c>
      <c r="G43" s="72" t="n"/>
      <c r="H43" s="84">
        <f>F43+G43</f>
        <v/>
      </c>
      <c r="I43" s="109">
        <f>'مستخلص 1'!K43</f>
        <v/>
      </c>
      <c r="J43" s="68" t="n"/>
      <c r="K43" s="103">
        <f>IF(J43="",I43,J43)</f>
        <v/>
      </c>
      <c r="L43" s="108">
        <f>'مستخلص 1'!N43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1'!H44</f>
        <v/>
      </c>
      <c r="G44" s="72" t="n"/>
      <c r="H44" s="27">
        <f>F44+G44</f>
        <v/>
      </c>
      <c r="I44" s="107">
        <f>'مستخلص 1'!K44</f>
        <v/>
      </c>
      <c r="J44" s="68" t="n"/>
      <c r="K44" s="101">
        <f>IF(J44="",I44,J44)</f>
        <v/>
      </c>
      <c r="L44" s="74">
        <f>'مستخلص 1'!N44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1'!H45</f>
        <v/>
      </c>
      <c r="G45" s="72" t="n"/>
      <c r="H45" s="84">
        <f>F45+G45</f>
        <v/>
      </c>
      <c r="I45" s="109">
        <f>'مستخلص 1'!K45</f>
        <v/>
      </c>
      <c r="J45" s="68" t="n"/>
      <c r="K45" s="103">
        <f>IF(J45="",I45,J45)</f>
        <v/>
      </c>
      <c r="L45" s="108">
        <f>'مستخلص 1'!N45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1'!H46</f>
        <v/>
      </c>
      <c r="G46" s="72" t="n"/>
      <c r="H46" s="27">
        <f>F46+G46</f>
        <v/>
      </c>
      <c r="I46" s="107">
        <f>'مستخلص 1'!K46</f>
        <v/>
      </c>
      <c r="J46" s="68" t="n"/>
      <c r="K46" s="101">
        <f>IF(J46="",I46,J46)</f>
        <v/>
      </c>
      <c r="L46" s="74">
        <f>'مستخلص 1'!N46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1'!H47</f>
        <v/>
      </c>
      <c r="G47" s="72" t="n"/>
      <c r="H47" s="84">
        <f>F47+G47</f>
        <v/>
      </c>
      <c r="I47" s="109">
        <f>'مستخلص 1'!K47</f>
        <v/>
      </c>
      <c r="J47" s="68" t="n"/>
      <c r="K47" s="103">
        <f>IF(J47="",I47,J47)</f>
        <v/>
      </c>
      <c r="L47" s="108">
        <f>'مستخلص 1'!N47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1'!H48</f>
        <v/>
      </c>
      <c r="G48" s="72" t="n"/>
      <c r="H48" s="27">
        <f>F48+G48</f>
        <v/>
      </c>
      <c r="I48" s="107">
        <f>'مستخلص 1'!K48</f>
        <v/>
      </c>
      <c r="J48" s="68" t="n"/>
      <c r="K48" s="101">
        <f>IF(J48="",I48,J48)</f>
        <v/>
      </c>
      <c r="L48" s="74">
        <f>'مستخلص 1'!N48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1'!H49</f>
        <v/>
      </c>
      <c r="G49" s="72" t="n"/>
      <c r="H49" s="84">
        <f>F49+G49</f>
        <v/>
      </c>
      <c r="I49" s="109">
        <f>'مستخلص 1'!K49</f>
        <v/>
      </c>
      <c r="J49" s="68" t="n"/>
      <c r="K49" s="103">
        <f>IF(J49="",I49,J49)</f>
        <v/>
      </c>
      <c r="L49" s="108">
        <f>'مستخلص 1'!N49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1'!H50</f>
        <v/>
      </c>
      <c r="G50" s="72" t="n"/>
      <c r="H50" s="27">
        <f>F50+G50</f>
        <v/>
      </c>
      <c r="I50" s="107">
        <f>'مستخلص 1'!K50</f>
        <v/>
      </c>
      <c r="J50" s="68" t="n"/>
      <c r="K50" s="101">
        <f>IF(J50="",I50,J50)</f>
        <v/>
      </c>
      <c r="L50" s="74">
        <f>'مستخلص 1'!N50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1'!H51</f>
        <v/>
      </c>
      <c r="G51" s="72" t="n"/>
      <c r="H51" s="84">
        <f>F51+G51</f>
        <v/>
      </c>
      <c r="I51" s="109">
        <f>'مستخلص 1'!K51</f>
        <v/>
      </c>
      <c r="J51" s="68" t="n"/>
      <c r="K51" s="103">
        <f>IF(J51="",I51,J51)</f>
        <v/>
      </c>
      <c r="L51" s="108">
        <f>'مستخلص 1'!N51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1'!H52</f>
        <v/>
      </c>
      <c r="G52" s="72" t="n"/>
      <c r="H52" s="27">
        <f>F52+G52</f>
        <v/>
      </c>
      <c r="I52" s="107">
        <f>'مستخلص 1'!K52</f>
        <v/>
      </c>
      <c r="J52" s="68" t="n"/>
      <c r="K52" s="101">
        <f>IF(J52="",I52,J52)</f>
        <v/>
      </c>
      <c r="L52" s="74">
        <f>'مستخلص 1'!N52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1'!H53</f>
        <v/>
      </c>
      <c r="G53" s="72" t="n"/>
      <c r="H53" s="84">
        <f>F53+G53</f>
        <v/>
      </c>
      <c r="I53" s="109">
        <f>'مستخلص 1'!K53</f>
        <v/>
      </c>
      <c r="J53" s="68" t="n"/>
      <c r="K53" s="103">
        <f>IF(J53="",I53,J53)</f>
        <v/>
      </c>
      <c r="L53" s="108">
        <f>'مستخلص 1'!N53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1'!H54</f>
        <v/>
      </c>
      <c r="G54" s="72" t="n"/>
      <c r="H54" s="27">
        <f>F54+G54</f>
        <v/>
      </c>
      <c r="I54" s="107">
        <f>'مستخلص 1'!K54</f>
        <v/>
      </c>
      <c r="J54" s="68" t="n"/>
      <c r="K54" s="101">
        <f>IF(J54="",I54,J54)</f>
        <v/>
      </c>
      <c r="L54" s="74">
        <f>'مستخلص 1'!N54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1'!H55</f>
        <v/>
      </c>
      <c r="G55" s="72" t="n"/>
      <c r="H55" s="84">
        <f>F55+G55</f>
        <v/>
      </c>
      <c r="I55" s="109">
        <f>'مستخلص 1'!K55</f>
        <v/>
      </c>
      <c r="J55" s="68" t="n"/>
      <c r="K55" s="103">
        <f>IF(J55="",I55,J55)</f>
        <v/>
      </c>
      <c r="L55" s="108">
        <f>'مستخلص 1'!N55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1'!H56</f>
        <v/>
      </c>
      <c r="G56" s="72" t="n"/>
      <c r="H56" s="27">
        <f>F56+G56</f>
        <v/>
      </c>
      <c r="I56" s="107">
        <f>'مستخلص 1'!K56</f>
        <v/>
      </c>
      <c r="J56" s="68" t="n"/>
      <c r="K56" s="101">
        <f>IF(J56="",I56,J56)</f>
        <v/>
      </c>
      <c r="L56" s="74">
        <f>'مستخلص 1'!N56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1'!H57</f>
        <v/>
      </c>
      <c r="G57" s="72" t="n"/>
      <c r="H57" s="84">
        <f>F57+G57</f>
        <v/>
      </c>
      <c r="I57" s="109">
        <f>'مستخلص 1'!K57</f>
        <v/>
      </c>
      <c r="J57" s="68" t="n"/>
      <c r="K57" s="103">
        <f>IF(J57="",I57,J57)</f>
        <v/>
      </c>
      <c r="L57" s="108">
        <f>'مستخلص 1'!N57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1'!H58</f>
        <v/>
      </c>
      <c r="G58" s="72" t="n"/>
      <c r="H58" s="27">
        <f>F58+G58</f>
        <v/>
      </c>
      <c r="I58" s="107">
        <f>'مستخلص 1'!K58</f>
        <v/>
      </c>
      <c r="J58" s="68" t="n"/>
      <c r="K58" s="101">
        <f>IF(J58="",I58,J58)</f>
        <v/>
      </c>
      <c r="L58" s="74">
        <f>'مستخلص 1'!N58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1'!H59</f>
        <v/>
      </c>
      <c r="G59" s="72" t="n"/>
      <c r="H59" s="84">
        <f>F59+G59</f>
        <v/>
      </c>
      <c r="I59" s="109">
        <f>'مستخلص 1'!K59</f>
        <v/>
      </c>
      <c r="J59" s="68" t="n"/>
      <c r="K59" s="103">
        <f>IF(J59="",I59,J59)</f>
        <v/>
      </c>
      <c r="L59" s="108">
        <f>'مستخلص 1'!N59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1'!H60</f>
        <v/>
      </c>
      <c r="G60" s="72" t="n"/>
      <c r="H60" s="27">
        <f>F60+G60</f>
        <v/>
      </c>
      <c r="I60" s="107">
        <f>'مستخلص 1'!K60</f>
        <v/>
      </c>
      <c r="J60" s="68" t="n"/>
      <c r="K60" s="101">
        <f>IF(J60="",I60,J60)</f>
        <v/>
      </c>
      <c r="L60" s="74">
        <f>'مستخلص 1'!N60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1'!H61</f>
        <v/>
      </c>
      <c r="G61" s="72" t="n"/>
      <c r="H61" s="84">
        <f>F61+G61</f>
        <v/>
      </c>
      <c r="I61" s="109">
        <f>'مستخلص 1'!K61</f>
        <v/>
      </c>
      <c r="J61" s="68" t="n"/>
      <c r="K61" s="103">
        <f>IF(J61="",I61,J61)</f>
        <v/>
      </c>
      <c r="L61" s="108">
        <f>'مستخلص 1'!N61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1'!H62</f>
        <v/>
      </c>
      <c r="G62" s="72" t="n"/>
      <c r="H62" s="27">
        <f>F62+G62</f>
        <v/>
      </c>
      <c r="I62" s="107">
        <f>'مستخلص 1'!K62</f>
        <v/>
      </c>
      <c r="J62" s="68" t="n"/>
      <c r="K62" s="101">
        <f>IF(J62="",I62,J62)</f>
        <v/>
      </c>
      <c r="L62" s="74">
        <f>'مستخلص 1'!N62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1'!H63</f>
        <v/>
      </c>
      <c r="G63" s="72" t="n"/>
      <c r="H63" s="84">
        <f>F63+G63</f>
        <v/>
      </c>
      <c r="I63" s="109">
        <f>'مستخلص 1'!K63</f>
        <v/>
      </c>
      <c r="J63" s="68" t="n"/>
      <c r="K63" s="103">
        <f>IF(J63="",I63,J63)</f>
        <v/>
      </c>
      <c r="L63" s="108">
        <f>'مستخلص 1'!N63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1'!H64</f>
        <v/>
      </c>
      <c r="G64" s="72" t="n"/>
      <c r="H64" s="27">
        <f>F64+G64</f>
        <v/>
      </c>
      <c r="I64" s="107">
        <f>'مستخلص 1'!K64</f>
        <v/>
      </c>
      <c r="J64" s="68" t="n"/>
      <c r="K64" s="101">
        <f>IF(J64="",I64,J64)</f>
        <v/>
      </c>
      <c r="L64" s="74">
        <f>'مستخلص 1'!N64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1'!H65</f>
        <v/>
      </c>
      <c r="G65" s="72" t="n"/>
      <c r="H65" s="84">
        <f>F65+G65</f>
        <v/>
      </c>
      <c r="I65" s="109">
        <f>'مستخلص 1'!K65</f>
        <v/>
      </c>
      <c r="J65" s="68" t="n"/>
      <c r="K65" s="103">
        <f>IF(J65="",I65,J65)</f>
        <v/>
      </c>
      <c r="L65" s="108">
        <f>'مستخلص 1'!N65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1'!H66</f>
        <v/>
      </c>
      <c r="G66" s="72" t="n"/>
      <c r="H66" s="27">
        <f>F66+G66</f>
        <v/>
      </c>
      <c r="I66" s="107">
        <f>'مستخلص 1'!K66</f>
        <v/>
      </c>
      <c r="J66" s="68" t="n"/>
      <c r="K66" s="101">
        <f>IF(J66="",I66,J66)</f>
        <v/>
      </c>
      <c r="L66" s="74">
        <f>'مستخلص 1'!N66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1'!H67</f>
        <v/>
      </c>
      <c r="G67" s="72" t="n"/>
      <c r="H67" s="84">
        <f>F67+G67</f>
        <v/>
      </c>
      <c r="I67" s="109">
        <f>'مستخلص 1'!K67</f>
        <v/>
      </c>
      <c r="J67" s="68" t="n"/>
      <c r="K67" s="103">
        <f>IF(J67="",I67,J67)</f>
        <v/>
      </c>
      <c r="L67" s="108">
        <f>'مستخلص 1'!N67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1'!H68</f>
        <v/>
      </c>
      <c r="G68" s="72" t="n"/>
      <c r="H68" s="27">
        <f>F68+G68</f>
        <v/>
      </c>
      <c r="I68" s="107">
        <f>'مستخلص 1'!K68</f>
        <v/>
      </c>
      <c r="J68" s="68" t="n"/>
      <c r="K68" s="101">
        <f>IF(J68="",I68,J68)</f>
        <v/>
      </c>
      <c r="L68" s="74">
        <f>'مستخلص 1'!N68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1'!H69</f>
        <v/>
      </c>
      <c r="G69" s="72" t="n"/>
      <c r="H69" s="84">
        <f>F69+G69</f>
        <v/>
      </c>
      <c r="I69" s="109">
        <f>'مستخلص 1'!K69</f>
        <v/>
      </c>
      <c r="J69" s="68" t="n"/>
      <c r="K69" s="103">
        <f>IF(J69="",I69,J69)</f>
        <v/>
      </c>
      <c r="L69" s="108">
        <f>'مستخلص 1'!N69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1'!H70</f>
        <v/>
      </c>
      <c r="G70" s="72" t="n"/>
      <c r="H70" s="27">
        <f>F70+G70</f>
        <v/>
      </c>
      <c r="I70" s="107">
        <f>'مستخلص 1'!K70</f>
        <v/>
      </c>
      <c r="J70" s="68" t="n"/>
      <c r="K70" s="101">
        <f>IF(J70="",I70,J70)</f>
        <v/>
      </c>
      <c r="L70" s="74">
        <f>'مستخلص 1'!N70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1'!H71</f>
        <v/>
      </c>
      <c r="G71" s="72" t="n"/>
      <c r="H71" s="84">
        <f>F71+G71</f>
        <v/>
      </c>
      <c r="I71" s="109">
        <f>'مستخلص 1'!K71</f>
        <v/>
      </c>
      <c r="J71" s="68" t="n"/>
      <c r="K71" s="103">
        <f>IF(J71="",I71,J71)</f>
        <v/>
      </c>
      <c r="L71" s="108">
        <f>'مستخلص 1'!N71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1'!H72</f>
        <v/>
      </c>
      <c r="G72" s="72" t="n"/>
      <c r="H72" s="27">
        <f>F72+G72</f>
        <v/>
      </c>
      <c r="I72" s="107">
        <f>'مستخلص 1'!K72</f>
        <v/>
      </c>
      <c r="J72" s="68" t="n"/>
      <c r="K72" s="101">
        <f>IF(J72="",I72,J72)</f>
        <v/>
      </c>
      <c r="L72" s="74">
        <f>'مستخلص 1'!N72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1'!H73</f>
        <v/>
      </c>
      <c r="G73" s="72" t="n"/>
      <c r="H73" s="84">
        <f>F73+G73</f>
        <v/>
      </c>
      <c r="I73" s="109">
        <f>'مستخلص 1'!K73</f>
        <v/>
      </c>
      <c r="J73" s="68" t="n"/>
      <c r="K73" s="103">
        <f>IF(J73="",I73,J73)</f>
        <v/>
      </c>
      <c r="L73" s="108">
        <f>'مستخلص 1'!N73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1'!H74</f>
        <v/>
      </c>
      <c r="G74" s="72" t="n"/>
      <c r="H74" s="27">
        <f>F74+G74</f>
        <v/>
      </c>
      <c r="I74" s="107">
        <f>'مستخلص 1'!K74</f>
        <v/>
      </c>
      <c r="J74" s="68" t="n"/>
      <c r="K74" s="101">
        <f>IF(J74="",I74,J74)</f>
        <v/>
      </c>
      <c r="L74" s="74">
        <f>'مستخلص 1'!N74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1'!H75</f>
        <v/>
      </c>
      <c r="G75" s="72" t="n"/>
      <c r="H75" s="84">
        <f>F75+G75</f>
        <v/>
      </c>
      <c r="I75" s="109">
        <f>'مستخلص 1'!K75</f>
        <v/>
      </c>
      <c r="J75" s="68" t="n"/>
      <c r="K75" s="103">
        <f>IF(J75="",I75,J75)</f>
        <v/>
      </c>
      <c r="L75" s="108">
        <f>'مستخلص 1'!N75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1'!H76</f>
        <v/>
      </c>
      <c r="G76" s="72" t="n"/>
      <c r="H76" s="27">
        <f>F76+G76</f>
        <v/>
      </c>
      <c r="I76" s="107">
        <f>'مستخلص 1'!K76</f>
        <v/>
      </c>
      <c r="J76" s="68" t="n"/>
      <c r="K76" s="101">
        <f>IF(J76="",I76,J76)</f>
        <v/>
      </c>
      <c r="L76" s="74">
        <f>'مستخلص 1'!N76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1'!H77</f>
        <v/>
      </c>
      <c r="G77" s="72" t="n"/>
      <c r="H77" s="84">
        <f>F77+G77</f>
        <v/>
      </c>
      <c r="I77" s="109">
        <f>'مستخلص 1'!K77</f>
        <v/>
      </c>
      <c r="J77" s="68" t="n"/>
      <c r="K77" s="103">
        <f>IF(J77="",I77,J77)</f>
        <v/>
      </c>
      <c r="L77" s="108">
        <f>'مستخلص 1'!N77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1'!H78</f>
        <v/>
      </c>
      <c r="G78" s="72" t="n"/>
      <c r="H78" s="27">
        <f>F78+G78</f>
        <v/>
      </c>
      <c r="I78" s="107">
        <f>'مستخلص 1'!K78</f>
        <v/>
      </c>
      <c r="J78" s="68" t="n"/>
      <c r="K78" s="101">
        <f>IF(J78="",I78,J78)</f>
        <v/>
      </c>
      <c r="L78" s="74">
        <f>'مستخلص 1'!N78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1'!H79</f>
        <v/>
      </c>
      <c r="G79" s="72" t="n"/>
      <c r="H79" s="84">
        <f>F79+G79</f>
        <v/>
      </c>
      <c r="I79" s="109">
        <f>'مستخلص 1'!K79</f>
        <v/>
      </c>
      <c r="J79" s="68" t="n"/>
      <c r="K79" s="103">
        <f>IF(J79="",I79,J79)</f>
        <v/>
      </c>
      <c r="L79" s="108">
        <f>'مستخلص 1'!N79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1'!H80</f>
        <v/>
      </c>
      <c r="G80" s="72" t="n"/>
      <c r="H80" s="27">
        <f>F80+G80</f>
        <v/>
      </c>
      <c r="I80" s="107">
        <f>'مستخلص 1'!K80</f>
        <v/>
      </c>
      <c r="J80" s="68" t="n"/>
      <c r="K80" s="101">
        <f>IF(J80="",I80,J80)</f>
        <v/>
      </c>
      <c r="L80" s="74">
        <f>'مستخلص 1'!N80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1'!H81</f>
        <v/>
      </c>
      <c r="G81" s="72" t="n"/>
      <c r="H81" s="84">
        <f>F81+G81</f>
        <v/>
      </c>
      <c r="I81" s="109">
        <f>'مستخلص 1'!K81</f>
        <v/>
      </c>
      <c r="J81" s="68" t="n"/>
      <c r="K81" s="103">
        <f>IF(J81="",I81,J81)</f>
        <v/>
      </c>
      <c r="L81" s="108">
        <f>'مستخلص 1'!N81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1'!H82</f>
        <v/>
      </c>
      <c r="G82" s="72" t="n"/>
      <c r="H82" s="27">
        <f>F82+G82</f>
        <v/>
      </c>
      <c r="I82" s="107">
        <f>'مستخلص 1'!K82</f>
        <v/>
      </c>
      <c r="J82" s="68" t="n"/>
      <c r="K82" s="101">
        <f>IF(J82="",I82,J82)</f>
        <v/>
      </c>
      <c r="L82" s="74">
        <f>'مستخلص 1'!N82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1'!H83</f>
        <v/>
      </c>
      <c r="G83" s="72" t="n"/>
      <c r="H83" s="84">
        <f>F83+G83</f>
        <v/>
      </c>
      <c r="I83" s="109">
        <f>'مستخلص 1'!K83</f>
        <v/>
      </c>
      <c r="J83" s="68" t="n"/>
      <c r="K83" s="103">
        <f>IF(J83="",I83,J83)</f>
        <v/>
      </c>
      <c r="L83" s="108">
        <f>'مستخلص 1'!N83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1'!H84</f>
        <v/>
      </c>
      <c r="G84" s="72" t="n"/>
      <c r="H84" s="27">
        <f>F84+G84</f>
        <v/>
      </c>
      <c r="I84" s="107">
        <f>'مستخلص 1'!K84</f>
        <v/>
      </c>
      <c r="J84" s="68" t="n"/>
      <c r="K84" s="101">
        <f>IF(J84="",I84,J84)</f>
        <v/>
      </c>
      <c r="L84" s="74">
        <f>'مستخلص 1'!N84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1'!H85</f>
        <v/>
      </c>
      <c r="G85" s="72" t="n"/>
      <c r="H85" s="84">
        <f>F85+G85</f>
        <v/>
      </c>
      <c r="I85" s="109">
        <f>'مستخلص 1'!K85</f>
        <v/>
      </c>
      <c r="J85" s="68" t="n"/>
      <c r="K85" s="103">
        <f>IF(J85="",I85,J85)</f>
        <v/>
      </c>
      <c r="L85" s="108">
        <f>'مستخلص 1'!N85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1'!H86</f>
        <v/>
      </c>
      <c r="G86" s="72" t="n"/>
      <c r="H86" s="27">
        <f>F86+G86</f>
        <v/>
      </c>
      <c r="I86" s="107">
        <f>'مستخلص 1'!K86</f>
        <v/>
      </c>
      <c r="J86" s="68" t="n"/>
      <c r="K86" s="101">
        <f>IF(J86="",I86,J86)</f>
        <v/>
      </c>
      <c r="L86" s="74">
        <f>'مستخلص 1'!N86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1'!H87</f>
        <v/>
      </c>
      <c r="G87" s="72" t="n"/>
      <c r="H87" s="84">
        <f>F87+G87</f>
        <v/>
      </c>
      <c r="I87" s="109">
        <f>'مستخلص 1'!K87</f>
        <v/>
      </c>
      <c r="J87" s="68" t="n"/>
      <c r="K87" s="103">
        <f>IF(J87="",I87,J87)</f>
        <v/>
      </c>
      <c r="L87" s="108">
        <f>'مستخلص 1'!N87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1'!H88</f>
        <v/>
      </c>
      <c r="G88" s="72" t="n"/>
      <c r="H88" s="27">
        <f>F88+G88</f>
        <v/>
      </c>
      <c r="I88" s="107">
        <f>'مستخلص 1'!K88</f>
        <v/>
      </c>
      <c r="J88" s="68" t="n"/>
      <c r="K88" s="101">
        <f>IF(J88="",I88,J88)</f>
        <v/>
      </c>
      <c r="L88" s="74">
        <f>'مستخلص 1'!N88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1'!H89</f>
        <v/>
      </c>
      <c r="G89" s="72" t="n"/>
      <c r="H89" s="84">
        <f>F89+G89</f>
        <v/>
      </c>
      <c r="I89" s="109">
        <f>'مستخلص 1'!K89</f>
        <v/>
      </c>
      <c r="J89" s="68" t="n"/>
      <c r="K89" s="103">
        <f>IF(J89="",I89,J89)</f>
        <v/>
      </c>
      <c r="L89" s="108">
        <f>'مستخلص 1'!N89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1'!H90</f>
        <v/>
      </c>
      <c r="G90" s="72" t="n"/>
      <c r="H90" s="27">
        <f>F90+G90</f>
        <v/>
      </c>
      <c r="I90" s="107">
        <f>'مستخلص 1'!K90</f>
        <v/>
      </c>
      <c r="J90" s="68" t="n"/>
      <c r="K90" s="101">
        <f>IF(J90="",I90,J90)</f>
        <v/>
      </c>
      <c r="L90" s="74">
        <f>'مستخلص 1'!N90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1'!H91</f>
        <v/>
      </c>
      <c r="G91" s="72" t="n"/>
      <c r="H91" s="84">
        <f>F91+G91</f>
        <v/>
      </c>
      <c r="I91" s="109">
        <f>'مستخلص 1'!K91</f>
        <v/>
      </c>
      <c r="J91" s="68" t="n"/>
      <c r="K91" s="103">
        <f>IF(J91="",I91,J91)</f>
        <v/>
      </c>
      <c r="L91" s="108">
        <f>'مستخلص 1'!N91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1'!H92</f>
        <v/>
      </c>
      <c r="G92" s="72" t="n"/>
      <c r="H92" s="27">
        <f>F92+G92</f>
        <v/>
      </c>
      <c r="I92" s="107">
        <f>'مستخلص 1'!K92</f>
        <v/>
      </c>
      <c r="J92" s="68" t="n"/>
      <c r="K92" s="101">
        <f>IF(J92="",I92,J92)</f>
        <v/>
      </c>
      <c r="L92" s="74">
        <f>'مستخلص 1'!N92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1'!H93</f>
        <v/>
      </c>
      <c r="G93" s="72" t="n"/>
      <c r="H93" s="84">
        <f>F93+G93</f>
        <v/>
      </c>
      <c r="I93" s="109">
        <f>'مستخلص 1'!K93</f>
        <v/>
      </c>
      <c r="J93" s="68" t="n"/>
      <c r="K93" s="103">
        <f>IF(J93="",I93,J93)</f>
        <v/>
      </c>
      <c r="L93" s="108">
        <f>'مستخلص 1'!N93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1'!H94</f>
        <v/>
      </c>
      <c r="G94" s="72" t="n"/>
      <c r="H94" s="27">
        <f>F94+G94</f>
        <v/>
      </c>
      <c r="I94" s="107">
        <f>'مستخلص 1'!K94</f>
        <v/>
      </c>
      <c r="J94" s="68" t="n"/>
      <c r="K94" s="101">
        <f>IF(J94="",I94,J94)</f>
        <v/>
      </c>
      <c r="L94" s="74">
        <f>'مستخلص 1'!N94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1'!H95</f>
        <v/>
      </c>
      <c r="G95" s="72" t="n"/>
      <c r="H95" s="84">
        <f>F95+G95</f>
        <v/>
      </c>
      <c r="I95" s="109">
        <f>'مستخلص 1'!K95</f>
        <v/>
      </c>
      <c r="J95" s="68" t="n"/>
      <c r="K95" s="103">
        <f>IF(J95="",I95,J95)</f>
        <v/>
      </c>
      <c r="L95" s="108">
        <f>'مستخلص 1'!N95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1'!H96</f>
        <v/>
      </c>
      <c r="G96" s="72" t="n"/>
      <c r="H96" s="27">
        <f>F96+G96</f>
        <v/>
      </c>
      <c r="I96" s="107">
        <f>'مستخلص 1'!K96</f>
        <v/>
      </c>
      <c r="J96" s="68" t="n"/>
      <c r="K96" s="101">
        <f>IF(J96="",I96,J96)</f>
        <v/>
      </c>
      <c r="L96" s="74">
        <f>'مستخلص 1'!N96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1'!H97</f>
        <v/>
      </c>
      <c r="G97" s="72" t="n"/>
      <c r="H97" s="84">
        <f>F97+G97</f>
        <v/>
      </c>
      <c r="I97" s="109">
        <f>'مستخلص 1'!K97</f>
        <v/>
      </c>
      <c r="J97" s="68" t="n"/>
      <c r="K97" s="103">
        <f>IF(J97="",I97,J97)</f>
        <v/>
      </c>
      <c r="L97" s="108">
        <f>'مستخلص 1'!N97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1'!H98</f>
        <v/>
      </c>
      <c r="G98" s="72" t="n"/>
      <c r="H98" s="27">
        <f>F98+G98</f>
        <v/>
      </c>
      <c r="I98" s="107">
        <f>'مستخلص 1'!K98</f>
        <v/>
      </c>
      <c r="J98" s="68" t="n"/>
      <c r="K98" s="101">
        <f>IF(J98="",I98,J98)</f>
        <v/>
      </c>
      <c r="L98" s="74">
        <f>'مستخلص 1'!N98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1'!H99</f>
        <v/>
      </c>
      <c r="G99" s="72" t="n"/>
      <c r="H99" s="84">
        <f>F99+G99</f>
        <v/>
      </c>
      <c r="I99" s="109">
        <f>'مستخلص 1'!K99</f>
        <v/>
      </c>
      <c r="J99" s="68" t="n"/>
      <c r="K99" s="103">
        <f>IF(J99="",I99,J99)</f>
        <v/>
      </c>
      <c r="L99" s="108">
        <f>'مستخلص 1'!N99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1'!H100</f>
        <v/>
      </c>
      <c r="G100" s="72" t="n"/>
      <c r="H100" s="27">
        <f>F100+G100</f>
        <v/>
      </c>
      <c r="I100" s="107">
        <f>'مستخلص 1'!K100</f>
        <v/>
      </c>
      <c r="J100" s="68" t="n"/>
      <c r="K100" s="101">
        <f>IF(J100="",I100,J100)</f>
        <v/>
      </c>
      <c r="L100" s="74">
        <f>'مستخلص 1'!N100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1'!H101</f>
        <v/>
      </c>
      <c r="G101" s="72" t="n"/>
      <c r="H101" s="84">
        <f>F101+G101</f>
        <v/>
      </c>
      <c r="I101" s="109">
        <f>'مستخلص 1'!K101</f>
        <v/>
      </c>
      <c r="J101" s="68" t="n"/>
      <c r="K101" s="103">
        <f>IF(J101="",I101,J101)</f>
        <v/>
      </c>
      <c r="L101" s="108">
        <f>'مستخلص 1'!N101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1'!H102</f>
        <v/>
      </c>
      <c r="G102" s="72" t="n"/>
      <c r="H102" s="27">
        <f>F102+G102</f>
        <v/>
      </c>
      <c r="I102" s="107">
        <f>'مستخلص 1'!K102</f>
        <v/>
      </c>
      <c r="J102" s="68" t="n"/>
      <c r="K102" s="101">
        <f>IF(J102="",I102,J102)</f>
        <v/>
      </c>
      <c r="L102" s="74">
        <f>'مستخلص 1'!N102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1'!H103</f>
        <v/>
      </c>
      <c r="G103" s="72" t="n"/>
      <c r="H103" s="84">
        <f>F103+G103</f>
        <v/>
      </c>
      <c r="I103" s="109">
        <f>'مستخلص 1'!K103</f>
        <v/>
      </c>
      <c r="J103" s="68" t="n"/>
      <c r="K103" s="103">
        <f>IF(J103="",I103,J103)</f>
        <v/>
      </c>
      <c r="L103" s="108">
        <f>'مستخلص 1'!N103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1'!H104</f>
        <v/>
      </c>
      <c r="G104" s="72" t="n"/>
      <c r="H104" s="27">
        <f>F104+G104</f>
        <v/>
      </c>
      <c r="I104" s="107">
        <f>'مستخلص 1'!K104</f>
        <v/>
      </c>
      <c r="J104" s="68" t="n"/>
      <c r="K104" s="101">
        <f>IF(J104="",I104,J104)</f>
        <v/>
      </c>
      <c r="L104" s="74">
        <f>'مستخلص 1'!N104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1'!H105</f>
        <v/>
      </c>
      <c r="G105" s="72" t="n"/>
      <c r="H105" s="84">
        <f>F105+G105</f>
        <v/>
      </c>
      <c r="I105" s="109">
        <f>'مستخلص 1'!K105</f>
        <v/>
      </c>
      <c r="J105" s="68" t="n"/>
      <c r="K105" s="103">
        <f>IF(J105="",I105,J105)</f>
        <v/>
      </c>
      <c r="L105" s="108">
        <f>'مستخلص 1'!N105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1'!H106</f>
        <v/>
      </c>
      <c r="G106" s="72" t="n"/>
      <c r="H106" s="27">
        <f>F106+G106</f>
        <v/>
      </c>
      <c r="I106" s="107">
        <f>'مستخلص 1'!K106</f>
        <v/>
      </c>
      <c r="J106" s="68" t="n"/>
      <c r="K106" s="101">
        <f>IF(J106="",I106,J106)</f>
        <v/>
      </c>
      <c r="L106" s="74">
        <f>'مستخلص 1'!N106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1'!H107</f>
        <v/>
      </c>
      <c r="G107" s="72" t="n"/>
      <c r="H107" s="84">
        <f>F107+G107</f>
        <v/>
      </c>
      <c r="I107" s="109">
        <f>'مستخلص 1'!K107</f>
        <v/>
      </c>
      <c r="J107" s="68" t="n"/>
      <c r="K107" s="103">
        <f>IF(J107="",I107,J107)</f>
        <v/>
      </c>
      <c r="L107" s="108">
        <f>'مستخلص 1'!N107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1'!N114</f>
        <v/>
      </c>
      <c r="M114" s="27">
        <f>'الدفعات المقدمة'!I26</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1'!N115</f>
        <v/>
      </c>
      <c r="M115" s="27">
        <f>'ضمان الأعمال'!I17</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A1" display="◀ المستخلص السابق (1)"/>
    <hyperlink ref="N3" location="'مستخلص 3'!A1" display="المستخلص التالي (3)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( 3 )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t>
        </is>
      </c>
      <c r="M3" s="4" t="n"/>
      <c r="N3" s="4" t="inlineStr">
        <is>
          <t>المستخلص التالي (4) ▶</t>
        </is>
      </c>
      <c r="O3" s="4" t="n"/>
      <c r="P3" s="4" t="n"/>
    </row>
    <row r="4" ht="24" customHeight="1">
      <c r="A4" s="96" t="inlineStr">
        <is>
          <t>رقم</t>
        </is>
      </c>
      <c r="B4" s="97" t="n">
        <v>3</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2'!H8</f>
        <v/>
      </c>
      <c r="G8" s="72" t="n"/>
      <c r="H8" s="27">
        <f>F8+G8</f>
        <v/>
      </c>
      <c r="I8" s="107">
        <f>'مستخلص 2'!K8</f>
        <v/>
      </c>
      <c r="J8" s="68" t="n"/>
      <c r="K8" s="101">
        <f>IF(J8="",I8,J8)</f>
        <v/>
      </c>
      <c r="L8" s="74">
        <f>'مستخلص 2'!N8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2'!H9</f>
        <v/>
      </c>
      <c r="G9" s="72" t="n"/>
      <c r="H9" s="84">
        <f>F9+G9</f>
        <v/>
      </c>
      <c r="I9" s="109">
        <f>'مستخلص 2'!K9</f>
        <v/>
      </c>
      <c r="J9" s="68" t="n"/>
      <c r="K9" s="103">
        <f>IF(J9="",I9,J9)</f>
        <v/>
      </c>
      <c r="L9" s="108">
        <f>'مستخلص 2'!N9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2'!H10</f>
        <v/>
      </c>
      <c r="G10" s="72" t="n"/>
      <c r="H10" s="27">
        <f>F10+G10</f>
        <v/>
      </c>
      <c r="I10" s="107">
        <f>'مستخلص 2'!K10</f>
        <v/>
      </c>
      <c r="J10" s="68" t="n"/>
      <c r="K10" s="101">
        <f>IF(J10="",I10,J10)</f>
        <v/>
      </c>
      <c r="L10" s="74">
        <f>'مستخلص 2'!N10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2'!H11</f>
        <v/>
      </c>
      <c r="G11" s="72" t="n"/>
      <c r="H11" s="84">
        <f>F11+G11</f>
        <v/>
      </c>
      <c r="I11" s="109">
        <f>'مستخلص 2'!K11</f>
        <v/>
      </c>
      <c r="J11" s="68" t="n"/>
      <c r="K11" s="103">
        <f>IF(J11="",I11,J11)</f>
        <v/>
      </c>
      <c r="L11" s="108">
        <f>'مستخلص 2'!N11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2'!H12</f>
        <v/>
      </c>
      <c r="G12" s="72" t="n"/>
      <c r="H12" s="27">
        <f>F12+G12</f>
        <v/>
      </c>
      <c r="I12" s="107">
        <f>'مستخلص 2'!K12</f>
        <v/>
      </c>
      <c r="J12" s="68" t="n"/>
      <c r="K12" s="101">
        <f>IF(J12="",I12,J12)</f>
        <v/>
      </c>
      <c r="L12" s="74">
        <f>'مستخلص 2'!N12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2'!H13</f>
        <v/>
      </c>
      <c r="G13" s="72" t="n"/>
      <c r="H13" s="84">
        <f>F13+G13</f>
        <v/>
      </c>
      <c r="I13" s="109">
        <f>'مستخلص 2'!K13</f>
        <v/>
      </c>
      <c r="J13" s="68" t="n"/>
      <c r="K13" s="103">
        <f>IF(J13="",I13,J13)</f>
        <v/>
      </c>
      <c r="L13" s="108">
        <f>'مستخلص 2'!N13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2'!H14</f>
        <v/>
      </c>
      <c r="G14" s="72" t="n"/>
      <c r="H14" s="27">
        <f>F14+G14</f>
        <v/>
      </c>
      <c r="I14" s="107">
        <f>'مستخلص 2'!K14</f>
        <v/>
      </c>
      <c r="J14" s="68" t="n"/>
      <c r="K14" s="101">
        <f>IF(J14="",I14,J14)</f>
        <v/>
      </c>
      <c r="L14" s="74">
        <f>'مستخلص 2'!N14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2'!H15</f>
        <v/>
      </c>
      <c r="G15" s="72" t="n"/>
      <c r="H15" s="84">
        <f>F15+G15</f>
        <v/>
      </c>
      <c r="I15" s="109">
        <f>'مستخلص 2'!K15</f>
        <v/>
      </c>
      <c r="J15" s="68" t="n"/>
      <c r="K15" s="103">
        <f>IF(J15="",I15,J15)</f>
        <v/>
      </c>
      <c r="L15" s="108">
        <f>'مستخلص 2'!N15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2'!H16</f>
        <v/>
      </c>
      <c r="G16" s="72" t="n"/>
      <c r="H16" s="27">
        <f>F16+G16</f>
        <v/>
      </c>
      <c r="I16" s="107">
        <f>'مستخلص 2'!K16</f>
        <v/>
      </c>
      <c r="J16" s="68" t="n"/>
      <c r="K16" s="101">
        <f>IF(J16="",I16,J16)</f>
        <v/>
      </c>
      <c r="L16" s="74">
        <f>'مستخلص 2'!N16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2'!H17</f>
        <v/>
      </c>
      <c r="G17" s="72" t="n"/>
      <c r="H17" s="84">
        <f>F17+G17</f>
        <v/>
      </c>
      <c r="I17" s="109">
        <f>'مستخلص 2'!K17</f>
        <v/>
      </c>
      <c r="J17" s="68" t="n"/>
      <c r="K17" s="103">
        <f>IF(J17="",I17,J17)</f>
        <v/>
      </c>
      <c r="L17" s="108">
        <f>'مستخلص 2'!N17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2'!H18</f>
        <v/>
      </c>
      <c r="G18" s="72" t="n"/>
      <c r="H18" s="27">
        <f>F18+G18</f>
        <v/>
      </c>
      <c r="I18" s="107">
        <f>'مستخلص 2'!K18</f>
        <v/>
      </c>
      <c r="J18" s="68" t="n"/>
      <c r="K18" s="101">
        <f>IF(J18="",I18,J18)</f>
        <v/>
      </c>
      <c r="L18" s="74">
        <f>'مستخلص 2'!N18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2'!H19</f>
        <v/>
      </c>
      <c r="G19" s="72" t="n"/>
      <c r="H19" s="84">
        <f>F19+G19</f>
        <v/>
      </c>
      <c r="I19" s="109">
        <f>'مستخلص 2'!K19</f>
        <v/>
      </c>
      <c r="J19" s="68" t="n"/>
      <c r="K19" s="103">
        <f>IF(J19="",I19,J19)</f>
        <v/>
      </c>
      <c r="L19" s="108">
        <f>'مستخلص 2'!N19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2'!H20</f>
        <v/>
      </c>
      <c r="G20" s="72" t="n"/>
      <c r="H20" s="27">
        <f>F20+G20</f>
        <v/>
      </c>
      <c r="I20" s="107">
        <f>'مستخلص 2'!K20</f>
        <v/>
      </c>
      <c r="J20" s="68" t="n"/>
      <c r="K20" s="101">
        <f>IF(J20="",I20,J20)</f>
        <v/>
      </c>
      <c r="L20" s="74">
        <f>'مستخلص 2'!N20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2'!H21</f>
        <v/>
      </c>
      <c r="G21" s="72" t="n"/>
      <c r="H21" s="84">
        <f>F21+G21</f>
        <v/>
      </c>
      <c r="I21" s="109">
        <f>'مستخلص 2'!K21</f>
        <v/>
      </c>
      <c r="J21" s="68" t="n"/>
      <c r="K21" s="103">
        <f>IF(J21="",I21,J21)</f>
        <v/>
      </c>
      <c r="L21" s="108">
        <f>'مستخلص 2'!N21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2'!H22</f>
        <v/>
      </c>
      <c r="G22" s="72" t="n"/>
      <c r="H22" s="27">
        <f>F22+G22</f>
        <v/>
      </c>
      <c r="I22" s="107">
        <f>'مستخلص 2'!K22</f>
        <v/>
      </c>
      <c r="J22" s="68" t="n"/>
      <c r="K22" s="101">
        <f>IF(J22="",I22,J22)</f>
        <v/>
      </c>
      <c r="L22" s="74">
        <f>'مستخلص 2'!N22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2'!H23</f>
        <v/>
      </c>
      <c r="G23" s="72" t="n"/>
      <c r="H23" s="84">
        <f>F23+G23</f>
        <v/>
      </c>
      <c r="I23" s="109">
        <f>'مستخلص 2'!K23</f>
        <v/>
      </c>
      <c r="J23" s="68" t="n"/>
      <c r="K23" s="103">
        <f>IF(J23="",I23,J23)</f>
        <v/>
      </c>
      <c r="L23" s="108">
        <f>'مستخلص 2'!N23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2'!H24</f>
        <v/>
      </c>
      <c r="G24" s="72" t="n"/>
      <c r="H24" s="27">
        <f>F24+G24</f>
        <v/>
      </c>
      <c r="I24" s="107">
        <f>'مستخلص 2'!K24</f>
        <v/>
      </c>
      <c r="J24" s="68" t="n"/>
      <c r="K24" s="101">
        <f>IF(J24="",I24,J24)</f>
        <v/>
      </c>
      <c r="L24" s="74">
        <f>'مستخلص 2'!N24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2'!H25</f>
        <v/>
      </c>
      <c r="G25" s="72" t="n"/>
      <c r="H25" s="84">
        <f>F25+G25</f>
        <v/>
      </c>
      <c r="I25" s="109">
        <f>'مستخلص 2'!K25</f>
        <v/>
      </c>
      <c r="J25" s="68" t="n"/>
      <c r="K25" s="103">
        <f>IF(J25="",I25,J25)</f>
        <v/>
      </c>
      <c r="L25" s="108">
        <f>'مستخلص 2'!N25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2'!H26</f>
        <v/>
      </c>
      <c r="G26" s="72" t="n"/>
      <c r="H26" s="27">
        <f>F26+G26</f>
        <v/>
      </c>
      <c r="I26" s="107">
        <f>'مستخلص 2'!K26</f>
        <v/>
      </c>
      <c r="J26" s="68" t="n"/>
      <c r="K26" s="101">
        <f>IF(J26="",I26,J26)</f>
        <v/>
      </c>
      <c r="L26" s="74">
        <f>'مستخلص 2'!N26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2'!H27</f>
        <v/>
      </c>
      <c r="G27" s="72" t="n"/>
      <c r="H27" s="84">
        <f>F27+G27</f>
        <v/>
      </c>
      <c r="I27" s="109">
        <f>'مستخلص 2'!K27</f>
        <v/>
      </c>
      <c r="J27" s="68" t="n"/>
      <c r="K27" s="103">
        <f>IF(J27="",I27,J27)</f>
        <v/>
      </c>
      <c r="L27" s="108">
        <f>'مستخلص 2'!N27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2'!H28</f>
        <v/>
      </c>
      <c r="G28" s="72" t="n"/>
      <c r="H28" s="27">
        <f>F28+G28</f>
        <v/>
      </c>
      <c r="I28" s="107">
        <f>'مستخلص 2'!K28</f>
        <v/>
      </c>
      <c r="J28" s="68" t="n"/>
      <c r="K28" s="101">
        <f>IF(J28="",I28,J28)</f>
        <v/>
      </c>
      <c r="L28" s="74">
        <f>'مستخلص 2'!N28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2'!H29</f>
        <v/>
      </c>
      <c r="G29" s="72" t="n"/>
      <c r="H29" s="84">
        <f>F29+G29</f>
        <v/>
      </c>
      <c r="I29" s="109">
        <f>'مستخلص 2'!K29</f>
        <v/>
      </c>
      <c r="J29" s="68" t="n"/>
      <c r="K29" s="103">
        <f>IF(J29="",I29,J29)</f>
        <v/>
      </c>
      <c r="L29" s="108">
        <f>'مستخلص 2'!N29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2'!H30</f>
        <v/>
      </c>
      <c r="G30" s="72" t="n"/>
      <c r="H30" s="27">
        <f>F30+G30</f>
        <v/>
      </c>
      <c r="I30" s="107">
        <f>'مستخلص 2'!K30</f>
        <v/>
      </c>
      <c r="J30" s="68" t="n"/>
      <c r="K30" s="101">
        <f>IF(J30="",I30,J30)</f>
        <v/>
      </c>
      <c r="L30" s="74">
        <f>'مستخلص 2'!N30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2'!H31</f>
        <v/>
      </c>
      <c r="G31" s="72" t="n"/>
      <c r="H31" s="84">
        <f>F31+G31</f>
        <v/>
      </c>
      <c r="I31" s="109">
        <f>'مستخلص 2'!K31</f>
        <v/>
      </c>
      <c r="J31" s="68" t="n"/>
      <c r="K31" s="103">
        <f>IF(J31="",I31,J31)</f>
        <v/>
      </c>
      <c r="L31" s="108">
        <f>'مستخلص 2'!N31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2'!H32</f>
        <v/>
      </c>
      <c r="G32" s="72" t="n"/>
      <c r="H32" s="27">
        <f>F32+G32</f>
        <v/>
      </c>
      <c r="I32" s="107">
        <f>'مستخلص 2'!K32</f>
        <v/>
      </c>
      <c r="J32" s="68" t="n"/>
      <c r="K32" s="101">
        <f>IF(J32="",I32,J32)</f>
        <v/>
      </c>
      <c r="L32" s="74">
        <f>'مستخلص 2'!N32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2'!H33</f>
        <v/>
      </c>
      <c r="G33" s="72" t="n"/>
      <c r="H33" s="84">
        <f>F33+G33</f>
        <v/>
      </c>
      <c r="I33" s="109">
        <f>'مستخلص 2'!K33</f>
        <v/>
      </c>
      <c r="J33" s="68" t="n"/>
      <c r="K33" s="103">
        <f>IF(J33="",I33,J33)</f>
        <v/>
      </c>
      <c r="L33" s="108">
        <f>'مستخلص 2'!N33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2'!H34</f>
        <v/>
      </c>
      <c r="G34" s="72" t="n"/>
      <c r="H34" s="27">
        <f>F34+G34</f>
        <v/>
      </c>
      <c r="I34" s="107">
        <f>'مستخلص 2'!K34</f>
        <v/>
      </c>
      <c r="J34" s="68" t="n"/>
      <c r="K34" s="101">
        <f>IF(J34="",I34,J34)</f>
        <v/>
      </c>
      <c r="L34" s="74">
        <f>'مستخلص 2'!N34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2'!H35</f>
        <v/>
      </c>
      <c r="G35" s="72" t="n"/>
      <c r="H35" s="84">
        <f>F35+G35</f>
        <v/>
      </c>
      <c r="I35" s="109">
        <f>'مستخلص 2'!K35</f>
        <v/>
      </c>
      <c r="J35" s="68" t="n"/>
      <c r="K35" s="103">
        <f>IF(J35="",I35,J35)</f>
        <v/>
      </c>
      <c r="L35" s="108">
        <f>'مستخلص 2'!N35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2'!H36</f>
        <v/>
      </c>
      <c r="G36" s="72" t="n"/>
      <c r="H36" s="27">
        <f>F36+G36</f>
        <v/>
      </c>
      <c r="I36" s="107">
        <f>'مستخلص 2'!K36</f>
        <v/>
      </c>
      <c r="J36" s="68" t="n"/>
      <c r="K36" s="101">
        <f>IF(J36="",I36,J36)</f>
        <v/>
      </c>
      <c r="L36" s="74">
        <f>'مستخلص 2'!N36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2'!H37</f>
        <v/>
      </c>
      <c r="G37" s="72" t="n"/>
      <c r="H37" s="84">
        <f>F37+G37</f>
        <v/>
      </c>
      <c r="I37" s="109">
        <f>'مستخلص 2'!K37</f>
        <v/>
      </c>
      <c r="J37" s="68" t="n"/>
      <c r="K37" s="103">
        <f>IF(J37="",I37,J37)</f>
        <v/>
      </c>
      <c r="L37" s="108">
        <f>'مستخلص 2'!N37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2'!H38</f>
        <v/>
      </c>
      <c r="G38" s="72" t="n"/>
      <c r="H38" s="27">
        <f>F38+G38</f>
        <v/>
      </c>
      <c r="I38" s="107">
        <f>'مستخلص 2'!K38</f>
        <v/>
      </c>
      <c r="J38" s="68" t="n"/>
      <c r="K38" s="101">
        <f>IF(J38="",I38,J38)</f>
        <v/>
      </c>
      <c r="L38" s="74">
        <f>'مستخلص 2'!N38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2'!H39</f>
        <v/>
      </c>
      <c r="G39" s="72" t="n"/>
      <c r="H39" s="84">
        <f>F39+G39</f>
        <v/>
      </c>
      <c r="I39" s="109">
        <f>'مستخلص 2'!K39</f>
        <v/>
      </c>
      <c r="J39" s="68" t="n"/>
      <c r="K39" s="103">
        <f>IF(J39="",I39,J39)</f>
        <v/>
      </c>
      <c r="L39" s="108">
        <f>'مستخلص 2'!N39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2'!H40</f>
        <v/>
      </c>
      <c r="G40" s="72" t="n"/>
      <c r="H40" s="27">
        <f>F40+G40</f>
        <v/>
      </c>
      <c r="I40" s="107">
        <f>'مستخلص 2'!K40</f>
        <v/>
      </c>
      <c r="J40" s="68" t="n"/>
      <c r="K40" s="101">
        <f>IF(J40="",I40,J40)</f>
        <v/>
      </c>
      <c r="L40" s="74">
        <f>'مستخلص 2'!N40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2'!H41</f>
        <v/>
      </c>
      <c r="G41" s="72" t="n"/>
      <c r="H41" s="84">
        <f>F41+G41</f>
        <v/>
      </c>
      <c r="I41" s="109">
        <f>'مستخلص 2'!K41</f>
        <v/>
      </c>
      <c r="J41" s="68" t="n"/>
      <c r="K41" s="103">
        <f>IF(J41="",I41,J41)</f>
        <v/>
      </c>
      <c r="L41" s="108">
        <f>'مستخلص 2'!N41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2'!H42</f>
        <v/>
      </c>
      <c r="G42" s="72" t="n"/>
      <c r="H42" s="27">
        <f>F42+G42</f>
        <v/>
      </c>
      <c r="I42" s="107">
        <f>'مستخلص 2'!K42</f>
        <v/>
      </c>
      <c r="J42" s="68" t="n"/>
      <c r="K42" s="101">
        <f>IF(J42="",I42,J42)</f>
        <v/>
      </c>
      <c r="L42" s="74">
        <f>'مستخلص 2'!N42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2'!H43</f>
        <v/>
      </c>
      <c r="G43" s="72" t="n"/>
      <c r="H43" s="84">
        <f>F43+G43</f>
        <v/>
      </c>
      <c r="I43" s="109">
        <f>'مستخلص 2'!K43</f>
        <v/>
      </c>
      <c r="J43" s="68" t="n"/>
      <c r="K43" s="103">
        <f>IF(J43="",I43,J43)</f>
        <v/>
      </c>
      <c r="L43" s="108">
        <f>'مستخلص 2'!N43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2'!H44</f>
        <v/>
      </c>
      <c r="G44" s="72" t="n"/>
      <c r="H44" s="27">
        <f>F44+G44</f>
        <v/>
      </c>
      <c r="I44" s="107">
        <f>'مستخلص 2'!K44</f>
        <v/>
      </c>
      <c r="J44" s="68" t="n"/>
      <c r="K44" s="101">
        <f>IF(J44="",I44,J44)</f>
        <v/>
      </c>
      <c r="L44" s="74">
        <f>'مستخلص 2'!N44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2'!H45</f>
        <v/>
      </c>
      <c r="G45" s="72" t="n"/>
      <c r="H45" s="84">
        <f>F45+G45</f>
        <v/>
      </c>
      <c r="I45" s="109">
        <f>'مستخلص 2'!K45</f>
        <v/>
      </c>
      <c r="J45" s="68" t="n"/>
      <c r="K45" s="103">
        <f>IF(J45="",I45,J45)</f>
        <v/>
      </c>
      <c r="L45" s="108">
        <f>'مستخلص 2'!N45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2'!H46</f>
        <v/>
      </c>
      <c r="G46" s="72" t="n"/>
      <c r="H46" s="27">
        <f>F46+G46</f>
        <v/>
      </c>
      <c r="I46" s="107">
        <f>'مستخلص 2'!K46</f>
        <v/>
      </c>
      <c r="J46" s="68" t="n"/>
      <c r="K46" s="101">
        <f>IF(J46="",I46,J46)</f>
        <v/>
      </c>
      <c r="L46" s="74">
        <f>'مستخلص 2'!N46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2'!H47</f>
        <v/>
      </c>
      <c r="G47" s="72" t="n"/>
      <c r="H47" s="84">
        <f>F47+G47</f>
        <v/>
      </c>
      <c r="I47" s="109">
        <f>'مستخلص 2'!K47</f>
        <v/>
      </c>
      <c r="J47" s="68" t="n"/>
      <c r="K47" s="103">
        <f>IF(J47="",I47,J47)</f>
        <v/>
      </c>
      <c r="L47" s="108">
        <f>'مستخلص 2'!N47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2'!H48</f>
        <v/>
      </c>
      <c r="G48" s="72" t="n"/>
      <c r="H48" s="27">
        <f>F48+G48</f>
        <v/>
      </c>
      <c r="I48" s="107">
        <f>'مستخلص 2'!K48</f>
        <v/>
      </c>
      <c r="J48" s="68" t="n"/>
      <c r="K48" s="101">
        <f>IF(J48="",I48,J48)</f>
        <v/>
      </c>
      <c r="L48" s="74">
        <f>'مستخلص 2'!N48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2'!H49</f>
        <v/>
      </c>
      <c r="G49" s="72" t="n"/>
      <c r="H49" s="84">
        <f>F49+G49</f>
        <v/>
      </c>
      <c r="I49" s="109">
        <f>'مستخلص 2'!K49</f>
        <v/>
      </c>
      <c r="J49" s="68" t="n"/>
      <c r="K49" s="103">
        <f>IF(J49="",I49,J49)</f>
        <v/>
      </c>
      <c r="L49" s="108">
        <f>'مستخلص 2'!N49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2'!H50</f>
        <v/>
      </c>
      <c r="G50" s="72" t="n"/>
      <c r="H50" s="27">
        <f>F50+G50</f>
        <v/>
      </c>
      <c r="I50" s="107">
        <f>'مستخلص 2'!K50</f>
        <v/>
      </c>
      <c r="J50" s="68" t="n"/>
      <c r="K50" s="101">
        <f>IF(J50="",I50,J50)</f>
        <v/>
      </c>
      <c r="L50" s="74">
        <f>'مستخلص 2'!N50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2'!H51</f>
        <v/>
      </c>
      <c r="G51" s="72" t="n"/>
      <c r="H51" s="84">
        <f>F51+G51</f>
        <v/>
      </c>
      <c r="I51" s="109">
        <f>'مستخلص 2'!K51</f>
        <v/>
      </c>
      <c r="J51" s="68" t="n"/>
      <c r="K51" s="103">
        <f>IF(J51="",I51,J51)</f>
        <v/>
      </c>
      <c r="L51" s="108">
        <f>'مستخلص 2'!N51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2'!H52</f>
        <v/>
      </c>
      <c r="G52" s="72" t="n"/>
      <c r="H52" s="27">
        <f>F52+G52</f>
        <v/>
      </c>
      <c r="I52" s="107">
        <f>'مستخلص 2'!K52</f>
        <v/>
      </c>
      <c r="J52" s="68" t="n"/>
      <c r="K52" s="101">
        <f>IF(J52="",I52,J52)</f>
        <v/>
      </c>
      <c r="L52" s="74">
        <f>'مستخلص 2'!N52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2'!H53</f>
        <v/>
      </c>
      <c r="G53" s="72" t="n"/>
      <c r="H53" s="84">
        <f>F53+G53</f>
        <v/>
      </c>
      <c r="I53" s="109">
        <f>'مستخلص 2'!K53</f>
        <v/>
      </c>
      <c r="J53" s="68" t="n"/>
      <c r="K53" s="103">
        <f>IF(J53="",I53,J53)</f>
        <v/>
      </c>
      <c r="L53" s="108">
        <f>'مستخلص 2'!N53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2'!H54</f>
        <v/>
      </c>
      <c r="G54" s="72" t="n"/>
      <c r="H54" s="27">
        <f>F54+G54</f>
        <v/>
      </c>
      <c r="I54" s="107">
        <f>'مستخلص 2'!K54</f>
        <v/>
      </c>
      <c r="J54" s="68" t="n"/>
      <c r="K54" s="101">
        <f>IF(J54="",I54,J54)</f>
        <v/>
      </c>
      <c r="L54" s="74">
        <f>'مستخلص 2'!N54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2'!H55</f>
        <v/>
      </c>
      <c r="G55" s="72" t="n"/>
      <c r="H55" s="84">
        <f>F55+G55</f>
        <v/>
      </c>
      <c r="I55" s="109">
        <f>'مستخلص 2'!K55</f>
        <v/>
      </c>
      <c r="J55" s="68" t="n"/>
      <c r="K55" s="103">
        <f>IF(J55="",I55,J55)</f>
        <v/>
      </c>
      <c r="L55" s="108">
        <f>'مستخلص 2'!N55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2'!H56</f>
        <v/>
      </c>
      <c r="G56" s="72" t="n"/>
      <c r="H56" s="27">
        <f>F56+G56</f>
        <v/>
      </c>
      <c r="I56" s="107">
        <f>'مستخلص 2'!K56</f>
        <v/>
      </c>
      <c r="J56" s="68" t="n"/>
      <c r="K56" s="101">
        <f>IF(J56="",I56,J56)</f>
        <v/>
      </c>
      <c r="L56" s="74">
        <f>'مستخلص 2'!N56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2'!H57</f>
        <v/>
      </c>
      <c r="G57" s="72" t="n"/>
      <c r="H57" s="84">
        <f>F57+G57</f>
        <v/>
      </c>
      <c r="I57" s="109">
        <f>'مستخلص 2'!K57</f>
        <v/>
      </c>
      <c r="J57" s="68" t="n"/>
      <c r="K57" s="103">
        <f>IF(J57="",I57,J57)</f>
        <v/>
      </c>
      <c r="L57" s="108">
        <f>'مستخلص 2'!N57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2'!H58</f>
        <v/>
      </c>
      <c r="G58" s="72" t="n"/>
      <c r="H58" s="27">
        <f>F58+G58</f>
        <v/>
      </c>
      <c r="I58" s="107">
        <f>'مستخلص 2'!K58</f>
        <v/>
      </c>
      <c r="J58" s="68" t="n"/>
      <c r="K58" s="101">
        <f>IF(J58="",I58,J58)</f>
        <v/>
      </c>
      <c r="L58" s="74">
        <f>'مستخلص 2'!N58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2'!H59</f>
        <v/>
      </c>
      <c r="G59" s="72" t="n"/>
      <c r="H59" s="84">
        <f>F59+G59</f>
        <v/>
      </c>
      <c r="I59" s="109">
        <f>'مستخلص 2'!K59</f>
        <v/>
      </c>
      <c r="J59" s="68" t="n"/>
      <c r="K59" s="103">
        <f>IF(J59="",I59,J59)</f>
        <v/>
      </c>
      <c r="L59" s="108">
        <f>'مستخلص 2'!N59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2'!H60</f>
        <v/>
      </c>
      <c r="G60" s="72" t="n"/>
      <c r="H60" s="27">
        <f>F60+G60</f>
        <v/>
      </c>
      <c r="I60" s="107">
        <f>'مستخلص 2'!K60</f>
        <v/>
      </c>
      <c r="J60" s="68" t="n"/>
      <c r="K60" s="101">
        <f>IF(J60="",I60,J60)</f>
        <v/>
      </c>
      <c r="L60" s="74">
        <f>'مستخلص 2'!N60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2'!H61</f>
        <v/>
      </c>
      <c r="G61" s="72" t="n"/>
      <c r="H61" s="84">
        <f>F61+G61</f>
        <v/>
      </c>
      <c r="I61" s="109">
        <f>'مستخلص 2'!K61</f>
        <v/>
      </c>
      <c r="J61" s="68" t="n"/>
      <c r="K61" s="103">
        <f>IF(J61="",I61,J61)</f>
        <v/>
      </c>
      <c r="L61" s="108">
        <f>'مستخلص 2'!N61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2'!H62</f>
        <v/>
      </c>
      <c r="G62" s="72" t="n"/>
      <c r="H62" s="27">
        <f>F62+G62</f>
        <v/>
      </c>
      <c r="I62" s="107">
        <f>'مستخلص 2'!K62</f>
        <v/>
      </c>
      <c r="J62" s="68" t="n"/>
      <c r="K62" s="101">
        <f>IF(J62="",I62,J62)</f>
        <v/>
      </c>
      <c r="L62" s="74">
        <f>'مستخلص 2'!N62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2'!H63</f>
        <v/>
      </c>
      <c r="G63" s="72" t="n"/>
      <c r="H63" s="84">
        <f>F63+G63</f>
        <v/>
      </c>
      <c r="I63" s="109">
        <f>'مستخلص 2'!K63</f>
        <v/>
      </c>
      <c r="J63" s="68" t="n"/>
      <c r="K63" s="103">
        <f>IF(J63="",I63,J63)</f>
        <v/>
      </c>
      <c r="L63" s="108">
        <f>'مستخلص 2'!N63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2'!H64</f>
        <v/>
      </c>
      <c r="G64" s="72" t="n"/>
      <c r="H64" s="27">
        <f>F64+G64</f>
        <v/>
      </c>
      <c r="I64" s="107">
        <f>'مستخلص 2'!K64</f>
        <v/>
      </c>
      <c r="J64" s="68" t="n"/>
      <c r="K64" s="101">
        <f>IF(J64="",I64,J64)</f>
        <v/>
      </c>
      <c r="L64" s="74">
        <f>'مستخلص 2'!N64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2'!H65</f>
        <v/>
      </c>
      <c r="G65" s="72" t="n"/>
      <c r="H65" s="84">
        <f>F65+G65</f>
        <v/>
      </c>
      <c r="I65" s="109">
        <f>'مستخلص 2'!K65</f>
        <v/>
      </c>
      <c r="J65" s="68" t="n"/>
      <c r="K65" s="103">
        <f>IF(J65="",I65,J65)</f>
        <v/>
      </c>
      <c r="L65" s="108">
        <f>'مستخلص 2'!N65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2'!H66</f>
        <v/>
      </c>
      <c r="G66" s="72" t="n"/>
      <c r="H66" s="27">
        <f>F66+G66</f>
        <v/>
      </c>
      <c r="I66" s="107">
        <f>'مستخلص 2'!K66</f>
        <v/>
      </c>
      <c r="J66" s="68" t="n"/>
      <c r="K66" s="101">
        <f>IF(J66="",I66,J66)</f>
        <v/>
      </c>
      <c r="L66" s="74">
        <f>'مستخلص 2'!N66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2'!H67</f>
        <v/>
      </c>
      <c r="G67" s="72" t="n"/>
      <c r="H67" s="84">
        <f>F67+G67</f>
        <v/>
      </c>
      <c r="I67" s="109">
        <f>'مستخلص 2'!K67</f>
        <v/>
      </c>
      <c r="J67" s="68" t="n"/>
      <c r="K67" s="103">
        <f>IF(J67="",I67,J67)</f>
        <v/>
      </c>
      <c r="L67" s="108">
        <f>'مستخلص 2'!N67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2'!H68</f>
        <v/>
      </c>
      <c r="G68" s="72" t="n"/>
      <c r="H68" s="27">
        <f>F68+G68</f>
        <v/>
      </c>
      <c r="I68" s="107">
        <f>'مستخلص 2'!K68</f>
        <v/>
      </c>
      <c r="J68" s="68" t="n"/>
      <c r="K68" s="101">
        <f>IF(J68="",I68,J68)</f>
        <v/>
      </c>
      <c r="L68" s="74">
        <f>'مستخلص 2'!N68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2'!H69</f>
        <v/>
      </c>
      <c r="G69" s="72" t="n"/>
      <c r="H69" s="84">
        <f>F69+G69</f>
        <v/>
      </c>
      <c r="I69" s="109">
        <f>'مستخلص 2'!K69</f>
        <v/>
      </c>
      <c r="J69" s="68" t="n"/>
      <c r="K69" s="103">
        <f>IF(J69="",I69,J69)</f>
        <v/>
      </c>
      <c r="L69" s="108">
        <f>'مستخلص 2'!N69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2'!H70</f>
        <v/>
      </c>
      <c r="G70" s="72" t="n"/>
      <c r="H70" s="27">
        <f>F70+G70</f>
        <v/>
      </c>
      <c r="I70" s="107">
        <f>'مستخلص 2'!K70</f>
        <v/>
      </c>
      <c r="J70" s="68" t="n"/>
      <c r="K70" s="101">
        <f>IF(J70="",I70,J70)</f>
        <v/>
      </c>
      <c r="L70" s="74">
        <f>'مستخلص 2'!N70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2'!H71</f>
        <v/>
      </c>
      <c r="G71" s="72" t="n"/>
      <c r="H71" s="84">
        <f>F71+G71</f>
        <v/>
      </c>
      <c r="I71" s="109">
        <f>'مستخلص 2'!K71</f>
        <v/>
      </c>
      <c r="J71" s="68" t="n"/>
      <c r="K71" s="103">
        <f>IF(J71="",I71,J71)</f>
        <v/>
      </c>
      <c r="L71" s="108">
        <f>'مستخلص 2'!N71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2'!H72</f>
        <v/>
      </c>
      <c r="G72" s="72" t="n"/>
      <c r="H72" s="27">
        <f>F72+G72</f>
        <v/>
      </c>
      <c r="I72" s="107">
        <f>'مستخلص 2'!K72</f>
        <v/>
      </c>
      <c r="J72" s="68" t="n"/>
      <c r="K72" s="101">
        <f>IF(J72="",I72,J72)</f>
        <v/>
      </c>
      <c r="L72" s="74">
        <f>'مستخلص 2'!N72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2'!H73</f>
        <v/>
      </c>
      <c r="G73" s="72" t="n"/>
      <c r="H73" s="84">
        <f>F73+G73</f>
        <v/>
      </c>
      <c r="I73" s="109">
        <f>'مستخلص 2'!K73</f>
        <v/>
      </c>
      <c r="J73" s="68" t="n"/>
      <c r="K73" s="103">
        <f>IF(J73="",I73,J73)</f>
        <v/>
      </c>
      <c r="L73" s="108">
        <f>'مستخلص 2'!N73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2'!H74</f>
        <v/>
      </c>
      <c r="G74" s="72" t="n"/>
      <c r="H74" s="27">
        <f>F74+G74</f>
        <v/>
      </c>
      <c r="I74" s="107">
        <f>'مستخلص 2'!K74</f>
        <v/>
      </c>
      <c r="J74" s="68" t="n"/>
      <c r="K74" s="101">
        <f>IF(J74="",I74,J74)</f>
        <v/>
      </c>
      <c r="L74" s="74">
        <f>'مستخلص 2'!N74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2'!H75</f>
        <v/>
      </c>
      <c r="G75" s="72" t="n"/>
      <c r="H75" s="84">
        <f>F75+G75</f>
        <v/>
      </c>
      <c r="I75" s="109">
        <f>'مستخلص 2'!K75</f>
        <v/>
      </c>
      <c r="J75" s="68" t="n"/>
      <c r="K75" s="103">
        <f>IF(J75="",I75,J75)</f>
        <v/>
      </c>
      <c r="L75" s="108">
        <f>'مستخلص 2'!N75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2'!H76</f>
        <v/>
      </c>
      <c r="G76" s="72" t="n"/>
      <c r="H76" s="27">
        <f>F76+G76</f>
        <v/>
      </c>
      <c r="I76" s="107">
        <f>'مستخلص 2'!K76</f>
        <v/>
      </c>
      <c r="J76" s="68" t="n"/>
      <c r="K76" s="101">
        <f>IF(J76="",I76,J76)</f>
        <v/>
      </c>
      <c r="L76" s="74">
        <f>'مستخلص 2'!N76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2'!H77</f>
        <v/>
      </c>
      <c r="G77" s="72" t="n"/>
      <c r="H77" s="84">
        <f>F77+G77</f>
        <v/>
      </c>
      <c r="I77" s="109">
        <f>'مستخلص 2'!K77</f>
        <v/>
      </c>
      <c r="J77" s="68" t="n"/>
      <c r="K77" s="103">
        <f>IF(J77="",I77,J77)</f>
        <v/>
      </c>
      <c r="L77" s="108">
        <f>'مستخلص 2'!N77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2'!H78</f>
        <v/>
      </c>
      <c r="G78" s="72" t="n"/>
      <c r="H78" s="27">
        <f>F78+G78</f>
        <v/>
      </c>
      <c r="I78" s="107">
        <f>'مستخلص 2'!K78</f>
        <v/>
      </c>
      <c r="J78" s="68" t="n"/>
      <c r="K78" s="101">
        <f>IF(J78="",I78,J78)</f>
        <v/>
      </c>
      <c r="L78" s="74">
        <f>'مستخلص 2'!N78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2'!H79</f>
        <v/>
      </c>
      <c r="G79" s="72" t="n"/>
      <c r="H79" s="84">
        <f>F79+G79</f>
        <v/>
      </c>
      <c r="I79" s="109">
        <f>'مستخلص 2'!K79</f>
        <v/>
      </c>
      <c r="J79" s="68" t="n"/>
      <c r="K79" s="103">
        <f>IF(J79="",I79,J79)</f>
        <v/>
      </c>
      <c r="L79" s="108">
        <f>'مستخلص 2'!N79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2'!H80</f>
        <v/>
      </c>
      <c r="G80" s="72" t="n"/>
      <c r="H80" s="27">
        <f>F80+G80</f>
        <v/>
      </c>
      <c r="I80" s="107">
        <f>'مستخلص 2'!K80</f>
        <v/>
      </c>
      <c r="J80" s="68" t="n"/>
      <c r="K80" s="101">
        <f>IF(J80="",I80,J80)</f>
        <v/>
      </c>
      <c r="L80" s="74">
        <f>'مستخلص 2'!N80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2'!H81</f>
        <v/>
      </c>
      <c r="G81" s="72" t="n"/>
      <c r="H81" s="84">
        <f>F81+G81</f>
        <v/>
      </c>
      <c r="I81" s="109">
        <f>'مستخلص 2'!K81</f>
        <v/>
      </c>
      <c r="J81" s="68" t="n"/>
      <c r="K81" s="103">
        <f>IF(J81="",I81,J81)</f>
        <v/>
      </c>
      <c r="L81" s="108">
        <f>'مستخلص 2'!N81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2'!H82</f>
        <v/>
      </c>
      <c r="G82" s="72" t="n"/>
      <c r="H82" s="27">
        <f>F82+G82</f>
        <v/>
      </c>
      <c r="I82" s="107">
        <f>'مستخلص 2'!K82</f>
        <v/>
      </c>
      <c r="J82" s="68" t="n"/>
      <c r="K82" s="101">
        <f>IF(J82="",I82,J82)</f>
        <v/>
      </c>
      <c r="L82" s="74">
        <f>'مستخلص 2'!N82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2'!H83</f>
        <v/>
      </c>
      <c r="G83" s="72" t="n"/>
      <c r="H83" s="84">
        <f>F83+G83</f>
        <v/>
      </c>
      <c r="I83" s="109">
        <f>'مستخلص 2'!K83</f>
        <v/>
      </c>
      <c r="J83" s="68" t="n"/>
      <c r="K83" s="103">
        <f>IF(J83="",I83,J83)</f>
        <v/>
      </c>
      <c r="L83" s="108">
        <f>'مستخلص 2'!N83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2'!H84</f>
        <v/>
      </c>
      <c r="G84" s="72" t="n"/>
      <c r="H84" s="27">
        <f>F84+G84</f>
        <v/>
      </c>
      <c r="I84" s="107">
        <f>'مستخلص 2'!K84</f>
        <v/>
      </c>
      <c r="J84" s="68" t="n"/>
      <c r="K84" s="101">
        <f>IF(J84="",I84,J84)</f>
        <v/>
      </c>
      <c r="L84" s="74">
        <f>'مستخلص 2'!N84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2'!H85</f>
        <v/>
      </c>
      <c r="G85" s="72" t="n"/>
      <c r="H85" s="84">
        <f>F85+G85</f>
        <v/>
      </c>
      <c r="I85" s="109">
        <f>'مستخلص 2'!K85</f>
        <v/>
      </c>
      <c r="J85" s="68" t="n"/>
      <c r="K85" s="103">
        <f>IF(J85="",I85,J85)</f>
        <v/>
      </c>
      <c r="L85" s="108">
        <f>'مستخلص 2'!N85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2'!H86</f>
        <v/>
      </c>
      <c r="G86" s="72" t="n"/>
      <c r="H86" s="27">
        <f>F86+G86</f>
        <v/>
      </c>
      <c r="I86" s="107">
        <f>'مستخلص 2'!K86</f>
        <v/>
      </c>
      <c r="J86" s="68" t="n"/>
      <c r="K86" s="101">
        <f>IF(J86="",I86,J86)</f>
        <v/>
      </c>
      <c r="L86" s="74">
        <f>'مستخلص 2'!N86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2'!H87</f>
        <v/>
      </c>
      <c r="G87" s="72" t="n"/>
      <c r="H87" s="84">
        <f>F87+G87</f>
        <v/>
      </c>
      <c r="I87" s="109">
        <f>'مستخلص 2'!K87</f>
        <v/>
      </c>
      <c r="J87" s="68" t="n"/>
      <c r="K87" s="103">
        <f>IF(J87="",I87,J87)</f>
        <v/>
      </c>
      <c r="L87" s="108">
        <f>'مستخلص 2'!N87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2'!H88</f>
        <v/>
      </c>
      <c r="G88" s="72" t="n"/>
      <c r="H88" s="27">
        <f>F88+G88</f>
        <v/>
      </c>
      <c r="I88" s="107">
        <f>'مستخلص 2'!K88</f>
        <v/>
      </c>
      <c r="J88" s="68" t="n"/>
      <c r="K88" s="101">
        <f>IF(J88="",I88,J88)</f>
        <v/>
      </c>
      <c r="L88" s="74">
        <f>'مستخلص 2'!N88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2'!H89</f>
        <v/>
      </c>
      <c r="G89" s="72" t="n"/>
      <c r="H89" s="84">
        <f>F89+G89</f>
        <v/>
      </c>
      <c r="I89" s="109">
        <f>'مستخلص 2'!K89</f>
        <v/>
      </c>
      <c r="J89" s="68" t="n"/>
      <c r="K89" s="103">
        <f>IF(J89="",I89,J89)</f>
        <v/>
      </c>
      <c r="L89" s="108">
        <f>'مستخلص 2'!N89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2'!H90</f>
        <v/>
      </c>
      <c r="G90" s="72" t="n"/>
      <c r="H90" s="27">
        <f>F90+G90</f>
        <v/>
      </c>
      <c r="I90" s="107">
        <f>'مستخلص 2'!K90</f>
        <v/>
      </c>
      <c r="J90" s="68" t="n"/>
      <c r="K90" s="101">
        <f>IF(J90="",I90,J90)</f>
        <v/>
      </c>
      <c r="L90" s="74">
        <f>'مستخلص 2'!N90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2'!H91</f>
        <v/>
      </c>
      <c r="G91" s="72" t="n"/>
      <c r="H91" s="84">
        <f>F91+G91</f>
        <v/>
      </c>
      <c r="I91" s="109">
        <f>'مستخلص 2'!K91</f>
        <v/>
      </c>
      <c r="J91" s="68" t="n"/>
      <c r="K91" s="103">
        <f>IF(J91="",I91,J91)</f>
        <v/>
      </c>
      <c r="L91" s="108">
        <f>'مستخلص 2'!N91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2'!H92</f>
        <v/>
      </c>
      <c r="G92" s="72" t="n"/>
      <c r="H92" s="27">
        <f>F92+G92</f>
        <v/>
      </c>
      <c r="I92" s="107">
        <f>'مستخلص 2'!K92</f>
        <v/>
      </c>
      <c r="J92" s="68" t="n"/>
      <c r="K92" s="101">
        <f>IF(J92="",I92,J92)</f>
        <v/>
      </c>
      <c r="L92" s="74">
        <f>'مستخلص 2'!N92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2'!H93</f>
        <v/>
      </c>
      <c r="G93" s="72" t="n"/>
      <c r="H93" s="84">
        <f>F93+G93</f>
        <v/>
      </c>
      <c r="I93" s="109">
        <f>'مستخلص 2'!K93</f>
        <v/>
      </c>
      <c r="J93" s="68" t="n"/>
      <c r="K93" s="103">
        <f>IF(J93="",I93,J93)</f>
        <v/>
      </c>
      <c r="L93" s="108">
        <f>'مستخلص 2'!N93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2'!H94</f>
        <v/>
      </c>
      <c r="G94" s="72" t="n"/>
      <c r="H94" s="27">
        <f>F94+G94</f>
        <v/>
      </c>
      <c r="I94" s="107">
        <f>'مستخلص 2'!K94</f>
        <v/>
      </c>
      <c r="J94" s="68" t="n"/>
      <c r="K94" s="101">
        <f>IF(J94="",I94,J94)</f>
        <v/>
      </c>
      <c r="L94" s="74">
        <f>'مستخلص 2'!N94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2'!H95</f>
        <v/>
      </c>
      <c r="G95" s="72" t="n"/>
      <c r="H95" s="84">
        <f>F95+G95</f>
        <v/>
      </c>
      <c r="I95" s="109">
        <f>'مستخلص 2'!K95</f>
        <v/>
      </c>
      <c r="J95" s="68" t="n"/>
      <c r="K95" s="103">
        <f>IF(J95="",I95,J95)</f>
        <v/>
      </c>
      <c r="L95" s="108">
        <f>'مستخلص 2'!N95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2'!H96</f>
        <v/>
      </c>
      <c r="G96" s="72" t="n"/>
      <c r="H96" s="27">
        <f>F96+G96</f>
        <v/>
      </c>
      <c r="I96" s="107">
        <f>'مستخلص 2'!K96</f>
        <v/>
      </c>
      <c r="J96" s="68" t="n"/>
      <c r="K96" s="101">
        <f>IF(J96="",I96,J96)</f>
        <v/>
      </c>
      <c r="L96" s="74">
        <f>'مستخلص 2'!N96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2'!H97</f>
        <v/>
      </c>
      <c r="G97" s="72" t="n"/>
      <c r="H97" s="84">
        <f>F97+G97</f>
        <v/>
      </c>
      <c r="I97" s="109">
        <f>'مستخلص 2'!K97</f>
        <v/>
      </c>
      <c r="J97" s="68" t="n"/>
      <c r="K97" s="103">
        <f>IF(J97="",I97,J97)</f>
        <v/>
      </c>
      <c r="L97" s="108">
        <f>'مستخلص 2'!N97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2'!H98</f>
        <v/>
      </c>
      <c r="G98" s="72" t="n"/>
      <c r="H98" s="27">
        <f>F98+G98</f>
        <v/>
      </c>
      <c r="I98" s="107">
        <f>'مستخلص 2'!K98</f>
        <v/>
      </c>
      <c r="J98" s="68" t="n"/>
      <c r="K98" s="101">
        <f>IF(J98="",I98,J98)</f>
        <v/>
      </c>
      <c r="L98" s="74">
        <f>'مستخلص 2'!N98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2'!H99</f>
        <v/>
      </c>
      <c r="G99" s="72" t="n"/>
      <c r="H99" s="84">
        <f>F99+G99</f>
        <v/>
      </c>
      <c r="I99" s="109">
        <f>'مستخلص 2'!K99</f>
        <v/>
      </c>
      <c r="J99" s="68" t="n"/>
      <c r="K99" s="103">
        <f>IF(J99="",I99,J99)</f>
        <v/>
      </c>
      <c r="L99" s="108">
        <f>'مستخلص 2'!N99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2'!H100</f>
        <v/>
      </c>
      <c r="G100" s="72" t="n"/>
      <c r="H100" s="27">
        <f>F100+G100</f>
        <v/>
      </c>
      <c r="I100" s="107">
        <f>'مستخلص 2'!K100</f>
        <v/>
      </c>
      <c r="J100" s="68" t="n"/>
      <c r="K100" s="101">
        <f>IF(J100="",I100,J100)</f>
        <v/>
      </c>
      <c r="L100" s="74">
        <f>'مستخلص 2'!N100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2'!H101</f>
        <v/>
      </c>
      <c r="G101" s="72" t="n"/>
      <c r="H101" s="84">
        <f>F101+G101</f>
        <v/>
      </c>
      <c r="I101" s="109">
        <f>'مستخلص 2'!K101</f>
        <v/>
      </c>
      <c r="J101" s="68" t="n"/>
      <c r="K101" s="103">
        <f>IF(J101="",I101,J101)</f>
        <v/>
      </c>
      <c r="L101" s="108">
        <f>'مستخلص 2'!N101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2'!H102</f>
        <v/>
      </c>
      <c r="G102" s="72" t="n"/>
      <c r="H102" s="27">
        <f>F102+G102</f>
        <v/>
      </c>
      <c r="I102" s="107">
        <f>'مستخلص 2'!K102</f>
        <v/>
      </c>
      <c r="J102" s="68" t="n"/>
      <c r="K102" s="101">
        <f>IF(J102="",I102,J102)</f>
        <v/>
      </c>
      <c r="L102" s="74">
        <f>'مستخلص 2'!N102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2'!H103</f>
        <v/>
      </c>
      <c r="G103" s="72" t="n"/>
      <c r="H103" s="84">
        <f>F103+G103</f>
        <v/>
      </c>
      <c r="I103" s="109">
        <f>'مستخلص 2'!K103</f>
        <v/>
      </c>
      <c r="J103" s="68" t="n"/>
      <c r="K103" s="103">
        <f>IF(J103="",I103,J103)</f>
        <v/>
      </c>
      <c r="L103" s="108">
        <f>'مستخلص 2'!N103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2'!H104</f>
        <v/>
      </c>
      <c r="G104" s="72" t="n"/>
      <c r="H104" s="27">
        <f>F104+G104</f>
        <v/>
      </c>
      <c r="I104" s="107">
        <f>'مستخلص 2'!K104</f>
        <v/>
      </c>
      <c r="J104" s="68" t="n"/>
      <c r="K104" s="101">
        <f>IF(J104="",I104,J104)</f>
        <v/>
      </c>
      <c r="L104" s="74">
        <f>'مستخلص 2'!N104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2'!H105</f>
        <v/>
      </c>
      <c r="G105" s="72" t="n"/>
      <c r="H105" s="84">
        <f>F105+G105</f>
        <v/>
      </c>
      <c r="I105" s="109">
        <f>'مستخلص 2'!K105</f>
        <v/>
      </c>
      <c r="J105" s="68" t="n"/>
      <c r="K105" s="103">
        <f>IF(J105="",I105,J105)</f>
        <v/>
      </c>
      <c r="L105" s="108">
        <f>'مستخلص 2'!N105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2'!H106</f>
        <v/>
      </c>
      <c r="G106" s="72" t="n"/>
      <c r="H106" s="27">
        <f>F106+G106</f>
        <v/>
      </c>
      <c r="I106" s="107">
        <f>'مستخلص 2'!K106</f>
        <v/>
      </c>
      <c r="J106" s="68" t="n"/>
      <c r="K106" s="101">
        <f>IF(J106="",I106,J106)</f>
        <v/>
      </c>
      <c r="L106" s="74">
        <f>'مستخلص 2'!N106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2'!H107</f>
        <v/>
      </c>
      <c r="G107" s="72" t="n"/>
      <c r="H107" s="84">
        <f>F107+G107</f>
        <v/>
      </c>
      <c r="I107" s="109">
        <f>'مستخلص 2'!K107</f>
        <v/>
      </c>
      <c r="J107" s="68" t="n"/>
      <c r="K107" s="103">
        <f>IF(J107="",I107,J107)</f>
        <v/>
      </c>
      <c r="L107" s="108">
        <f>'مستخلص 2'!N107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2'!N111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2'!N112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2'!N113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2'!N114</f>
        <v/>
      </c>
      <c r="M114" s="27">
        <f>'الدفعات المقدمة'!I27</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2'!N115</f>
        <v/>
      </c>
      <c r="M115" s="27">
        <f>'ضمان الأعمال'!I18</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2'!N116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2'!N117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2'!N118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A1" display="◀ المستخلص السابق (2)"/>
    <hyperlink ref="N3" location="'مستخلص 4'!A1" display="المستخلص التالي (4)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( 4 )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(3)</t>
        </is>
      </c>
      <c r="M3" s="4" t="n"/>
      <c r="N3" s="4" t="inlineStr">
        <is>
          <t>المستخلص التالي (5) ▶</t>
        </is>
      </c>
      <c r="O3" s="4" t="n"/>
      <c r="P3" s="4" t="n"/>
    </row>
    <row r="4" ht="24" customHeight="1">
      <c r="A4" s="96" t="inlineStr">
        <is>
          <t>رقم</t>
        </is>
      </c>
      <c r="B4" s="97" t="n">
        <v>4</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3'!H8</f>
        <v/>
      </c>
      <c r="G8" s="72" t="n"/>
      <c r="H8" s="27">
        <f>F8+G8</f>
        <v/>
      </c>
      <c r="I8" s="107">
        <f>'مستخلص 3'!K8</f>
        <v/>
      </c>
      <c r="J8" s="68" t="n"/>
      <c r="K8" s="101">
        <f>IF(J8="",I8,J8)</f>
        <v/>
      </c>
      <c r="L8" s="74">
        <f>'مستخلص 3'!N8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3'!H9</f>
        <v/>
      </c>
      <c r="G9" s="72" t="n"/>
      <c r="H9" s="84">
        <f>F9+G9</f>
        <v/>
      </c>
      <c r="I9" s="109">
        <f>'مستخلص 3'!K9</f>
        <v/>
      </c>
      <c r="J9" s="68" t="n"/>
      <c r="K9" s="103">
        <f>IF(J9="",I9,J9)</f>
        <v/>
      </c>
      <c r="L9" s="108">
        <f>'مستخلص 3'!N9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3'!H10</f>
        <v/>
      </c>
      <c r="G10" s="72" t="n"/>
      <c r="H10" s="27">
        <f>F10+G10</f>
        <v/>
      </c>
      <c r="I10" s="107">
        <f>'مستخلص 3'!K10</f>
        <v/>
      </c>
      <c r="J10" s="68" t="n"/>
      <c r="K10" s="101">
        <f>IF(J10="",I10,J10)</f>
        <v/>
      </c>
      <c r="L10" s="74">
        <f>'مستخلص 3'!N10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3'!H11</f>
        <v/>
      </c>
      <c r="G11" s="72" t="n"/>
      <c r="H11" s="84">
        <f>F11+G11</f>
        <v/>
      </c>
      <c r="I11" s="109">
        <f>'مستخلص 3'!K11</f>
        <v/>
      </c>
      <c r="J11" s="68" t="n"/>
      <c r="K11" s="103">
        <f>IF(J11="",I11,J11)</f>
        <v/>
      </c>
      <c r="L11" s="108">
        <f>'مستخلص 3'!N11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3'!H12</f>
        <v/>
      </c>
      <c r="G12" s="72" t="n"/>
      <c r="H12" s="27">
        <f>F12+G12</f>
        <v/>
      </c>
      <c r="I12" s="107">
        <f>'مستخلص 3'!K12</f>
        <v/>
      </c>
      <c r="J12" s="68" t="n"/>
      <c r="K12" s="101">
        <f>IF(J12="",I12,J12)</f>
        <v/>
      </c>
      <c r="L12" s="74">
        <f>'مستخلص 3'!N12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3'!H13</f>
        <v/>
      </c>
      <c r="G13" s="72" t="n"/>
      <c r="H13" s="84">
        <f>F13+G13</f>
        <v/>
      </c>
      <c r="I13" s="109">
        <f>'مستخلص 3'!K13</f>
        <v/>
      </c>
      <c r="J13" s="68" t="n"/>
      <c r="K13" s="103">
        <f>IF(J13="",I13,J13)</f>
        <v/>
      </c>
      <c r="L13" s="108">
        <f>'مستخلص 3'!N13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3'!H14</f>
        <v/>
      </c>
      <c r="G14" s="72" t="n"/>
      <c r="H14" s="27">
        <f>F14+G14</f>
        <v/>
      </c>
      <c r="I14" s="107">
        <f>'مستخلص 3'!K14</f>
        <v/>
      </c>
      <c r="J14" s="68" t="n"/>
      <c r="K14" s="101">
        <f>IF(J14="",I14,J14)</f>
        <v/>
      </c>
      <c r="L14" s="74">
        <f>'مستخلص 3'!N14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3'!H15</f>
        <v/>
      </c>
      <c r="G15" s="72" t="n"/>
      <c r="H15" s="84">
        <f>F15+G15</f>
        <v/>
      </c>
      <c r="I15" s="109">
        <f>'مستخلص 3'!K15</f>
        <v/>
      </c>
      <c r="J15" s="68" t="n"/>
      <c r="K15" s="103">
        <f>IF(J15="",I15,J15)</f>
        <v/>
      </c>
      <c r="L15" s="108">
        <f>'مستخلص 3'!N15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3'!H16</f>
        <v/>
      </c>
      <c r="G16" s="72" t="n"/>
      <c r="H16" s="27">
        <f>F16+G16</f>
        <v/>
      </c>
      <c r="I16" s="107">
        <f>'مستخلص 3'!K16</f>
        <v/>
      </c>
      <c r="J16" s="68" t="n"/>
      <c r="K16" s="101">
        <f>IF(J16="",I16,J16)</f>
        <v/>
      </c>
      <c r="L16" s="74">
        <f>'مستخلص 3'!N16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3'!H17</f>
        <v/>
      </c>
      <c r="G17" s="72" t="n"/>
      <c r="H17" s="84">
        <f>F17+G17</f>
        <v/>
      </c>
      <c r="I17" s="109">
        <f>'مستخلص 3'!K17</f>
        <v/>
      </c>
      <c r="J17" s="68" t="n"/>
      <c r="K17" s="103">
        <f>IF(J17="",I17,J17)</f>
        <v/>
      </c>
      <c r="L17" s="108">
        <f>'مستخلص 3'!N17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3'!H18</f>
        <v/>
      </c>
      <c r="G18" s="72" t="n"/>
      <c r="H18" s="27">
        <f>F18+G18</f>
        <v/>
      </c>
      <c r="I18" s="107">
        <f>'مستخلص 3'!K18</f>
        <v/>
      </c>
      <c r="J18" s="68" t="n"/>
      <c r="K18" s="101">
        <f>IF(J18="",I18,J18)</f>
        <v/>
      </c>
      <c r="L18" s="74">
        <f>'مستخلص 3'!N18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3'!H19</f>
        <v/>
      </c>
      <c r="G19" s="72" t="n"/>
      <c r="H19" s="84">
        <f>F19+G19</f>
        <v/>
      </c>
      <c r="I19" s="109">
        <f>'مستخلص 3'!K19</f>
        <v/>
      </c>
      <c r="J19" s="68" t="n"/>
      <c r="K19" s="103">
        <f>IF(J19="",I19,J19)</f>
        <v/>
      </c>
      <c r="L19" s="108">
        <f>'مستخلص 3'!N19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3'!H20</f>
        <v/>
      </c>
      <c r="G20" s="72" t="n"/>
      <c r="H20" s="27">
        <f>F20+G20</f>
        <v/>
      </c>
      <c r="I20" s="107">
        <f>'مستخلص 3'!K20</f>
        <v/>
      </c>
      <c r="J20" s="68" t="n"/>
      <c r="K20" s="101">
        <f>IF(J20="",I20,J20)</f>
        <v/>
      </c>
      <c r="L20" s="74">
        <f>'مستخلص 3'!N20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3'!H21</f>
        <v/>
      </c>
      <c r="G21" s="72" t="n"/>
      <c r="H21" s="84">
        <f>F21+G21</f>
        <v/>
      </c>
      <c r="I21" s="109">
        <f>'مستخلص 3'!K21</f>
        <v/>
      </c>
      <c r="J21" s="68" t="n"/>
      <c r="K21" s="103">
        <f>IF(J21="",I21,J21)</f>
        <v/>
      </c>
      <c r="L21" s="108">
        <f>'مستخلص 3'!N21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3'!H22</f>
        <v/>
      </c>
      <c r="G22" s="72" t="n"/>
      <c r="H22" s="27">
        <f>F22+G22</f>
        <v/>
      </c>
      <c r="I22" s="107">
        <f>'مستخلص 3'!K22</f>
        <v/>
      </c>
      <c r="J22" s="68" t="n"/>
      <c r="K22" s="101">
        <f>IF(J22="",I22,J22)</f>
        <v/>
      </c>
      <c r="L22" s="74">
        <f>'مستخلص 3'!N22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3'!H23</f>
        <v/>
      </c>
      <c r="G23" s="72" t="n"/>
      <c r="H23" s="84">
        <f>F23+G23</f>
        <v/>
      </c>
      <c r="I23" s="109">
        <f>'مستخلص 3'!K23</f>
        <v/>
      </c>
      <c r="J23" s="68" t="n"/>
      <c r="K23" s="103">
        <f>IF(J23="",I23,J23)</f>
        <v/>
      </c>
      <c r="L23" s="108">
        <f>'مستخلص 3'!N23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3'!H24</f>
        <v/>
      </c>
      <c r="G24" s="72" t="n"/>
      <c r="H24" s="27">
        <f>F24+G24</f>
        <v/>
      </c>
      <c r="I24" s="107">
        <f>'مستخلص 3'!K24</f>
        <v/>
      </c>
      <c r="J24" s="68" t="n"/>
      <c r="K24" s="101">
        <f>IF(J24="",I24,J24)</f>
        <v/>
      </c>
      <c r="L24" s="74">
        <f>'مستخلص 3'!N24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3'!H25</f>
        <v/>
      </c>
      <c r="G25" s="72" t="n"/>
      <c r="H25" s="84">
        <f>F25+G25</f>
        <v/>
      </c>
      <c r="I25" s="109">
        <f>'مستخلص 3'!K25</f>
        <v/>
      </c>
      <c r="J25" s="68" t="n"/>
      <c r="K25" s="103">
        <f>IF(J25="",I25,J25)</f>
        <v/>
      </c>
      <c r="L25" s="108">
        <f>'مستخلص 3'!N25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3'!H26</f>
        <v/>
      </c>
      <c r="G26" s="72" t="n"/>
      <c r="H26" s="27">
        <f>F26+G26</f>
        <v/>
      </c>
      <c r="I26" s="107">
        <f>'مستخلص 3'!K26</f>
        <v/>
      </c>
      <c r="J26" s="68" t="n"/>
      <c r="K26" s="101">
        <f>IF(J26="",I26,J26)</f>
        <v/>
      </c>
      <c r="L26" s="74">
        <f>'مستخلص 3'!N26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3'!H27</f>
        <v/>
      </c>
      <c r="G27" s="72" t="n"/>
      <c r="H27" s="84">
        <f>F27+G27</f>
        <v/>
      </c>
      <c r="I27" s="109">
        <f>'مستخلص 3'!K27</f>
        <v/>
      </c>
      <c r="J27" s="68" t="n"/>
      <c r="K27" s="103">
        <f>IF(J27="",I27,J27)</f>
        <v/>
      </c>
      <c r="L27" s="108">
        <f>'مستخلص 3'!N27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3'!H28</f>
        <v/>
      </c>
      <c r="G28" s="72" t="n"/>
      <c r="H28" s="27">
        <f>F28+G28</f>
        <v/>
      </c>
      <c r="I28" s="107">
        <f>'مستخلص 3'!K28</f>
        <v/>
      </c>
      <c r="J28" s="68" t="n"/>
      <c r="K28" s="101">
        <f>IF(J28="",I28,J28)</f>
        <v/>
      </c>
      <c r="L28" s="74">
        <f>'مستخلص 3'!N28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3'!H29</f>
        <v/>
      </c>
      <c r="G29" s="72" t="n"/>
      <c r="H29" s="84">
        <f>F29+G29</f>
        <v/>
      </c>
      <c r="I29" s="109">
        <f>'مستخلص 3'!K29</f>
        <v/>
      </c>
      <c r="J29" s="68" t="n"/>
      <c r="K29" s="103">
        <f>IF(J29="",I29,J29)</f>
        <v/>
      </c>
      <c r="L29" s="108">
        <f>'مستخلص 3'!N29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3'!H30</f>
        <v/>
      </c>
      <c r="G30" s="72" t="n"/>
      <c r="H30" s="27">
        <f>F30+G30</f>
        <v/>
      </c>
      <c r="I30" s="107">
        <f>'مستخلص 3'!K30</f>
        <v/>
      </c>
      <c r="J30" s="68" t="n"/>
      <c r="K30" s="101">
        <f>IF(J30="",I30,J30)</f>
        <v/>
      </c>
      <c r="L30" s="74">
        <f>'مستخلص 3'!N30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3'!H31</f>
        <v/>
      </c>
      <c r="G31" s="72" t="n"/>
      <c r="H31" s="84">
        <f>F31+G31</f>
        <v/>
      </c>
      <c r="I31" s="109">
        <f>'مستخلص 3'!K31</f>
        <v/>
      </c>
      <c r="J31" s="68" t="n"/>
      <c r="K31" s="103">
        <f>IF(J31="",I31,J31)</f>
        <v/>
      </c>
      <c r="L31" s="108">
        <f>'مستخلص 3'!N31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3'!H32</f>
        <v/>
      </c>
      <c r="G32" s="72" t="n"/>
      <c r="H32" s="27">
        <f>F32+G32</f>
        <v/>
      </c>
      <c r="I32" s="107">
        <f>'مستخلص 3'!K32</f>
        <v/>
      </c>
      <c r="J32" s="68" t="n"/>
      <c r="K32" s="101">
        <f>IF(J32="",I32,J32)</f>
        <v/>
      </c>
      <c r="L32" s="74">
        <f>'مستخلص 3'!N32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3'!H33</f>
        <v/>
      </c>
      <c r="G33" s="72" t="n"/>
      <c r="H33" s="84">
        <f>F33+G33</f>
        <v/>
      </c>
      <c r="I33" s="109">
        <f>'مستخلص 3'!K33</f>
        <v/>
      </c>
      <c r="J33" s="68" t="n"/>
      <c r="K33" s="103">
        <f>IF(J33="",I33,J33)</f>
        <v/>
      </c>
      <c r="L33" s="108">
        <f>'مستخلص 3'!N33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3'!H34</f>
        <v/>
      </c>
      <c r="G34" s="72" t="n"/>
      <c r="H34" s="27">
        <f>F34+G34</f>
        <v/>
      </c>
      <c r="I34" s="107">
        <f>'مستخلص 3'!K34</f>
        <v/>
      </c>
      <c r="J34" s="68" t="n"/>
      <c r="K34" s="101">
        <f>IF(J34="",I34,J34)</f>
        <v/>
      </c>
      <c r="L34" s="74">
        <f>'مستخلص 3'!N34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3'!H35</f>
        <v/>
      </c>
      <c r="G35" s="72" t="n"/>
      <c r="H35" s="84">
        <f>F35+G35</f>
        <v/>
      </c>
      <c r="I35" s="109">
        <f>'مستخلص 3'!K35</f>
        <v/>
      </c>
      <c r="J35" s="68" t="n"/>
      <c r="K35" s="103">
        <f>IF(J35="",I35,J35)</f>
        <v/>
      </c>
      <c r="L35" s="108">
        <f>'مستخلص 3'!N35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3'!H36</f>
        <v/>
      </c>
      <c r="G36" s="72" t="n"/>
      <c r="H36" s="27">
        <f>F36+G36</f>
        <v/>
      </c>
      <c r="I36" s="107">
        <f>'مستخلص 3'!K36</f>
        <v/>
      </c>
      <c r="J36" s="68" t="n"/>
      <c r="K36" s="101">
        <f>IF(J36="",I36,J36)</f>
        <v/>
      </c>
      <c r="L36" s="74">
        <f>'مستخلص 3'!N36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3'!H37</f>
        <v/>
      </c>
      <c r="G37" s="72" t="n"/>
      <c r="H37" s="84">
        <f>F37+G37</f>
        <v/>
      </c>
      <c r="I37" s="109">
        <f>'مستخلص 3'!K37</f>
        <v/>
      </c>
      <c r="J37" s="68" t="n"/>
      <c r="K37" s="103">
        <f>IF(J37="",I37,J37)</f>
        <v/>
      </c>
      <c r="L37" s="108">
        <f>'مستخلص 3'!N37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3'!H38</f>
        <v/>
      </c>
      <c r="G38" s="72" t="n"/>
      <c r="H38" s="27">
        <f>F38+G38</f>
        <v/>
      </c>
      <c r="I38" s="107">
        <f>'مستخلص 3'!K38</f>
        <v/>
      </c>
      <c r="J38" s="68" t="n"/>
      <c r="K38" s="101">
        <f>IF(J38="",I38,J38)</f>
        <v/>
      </c>
      <c r="L38" s="74">
        <f>'مستخلص 3'!N38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3'!H39</f>
        <v/>
      </c>
      <c r="G39" s="72" t="n"/>
      <c r="H39" s="84">
        <f>F39+G39</f>
        <v/>
      </c>
      <c r="I39" s="109">
        <f>'مستخلص 3'!K39</f>
        <v/>
      </c>
      <c r="J39" s="68" t="n"/>
      <c r="K39" s="103">
        <f>IF(J39="",I39,J39)</f>
        <v/>
      </c>
      <c r="L39" s="108">
        <f>'مستخلص 3'!N39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3'!H40</f>
        <v/>
      </c>
      <c r="G40" s="72" t="n"/>
      <c r="H40" s="27">
        <f>F40+G40</f>
        <v/>
      </c>
      <c r="I40" s="107">
        <f>'مستخلص 3'!K40</f>
        <v/>
      </c>
      <c r="J40" s="68" t="n"/>
      <c r="K40" s="101">
        <f>IF(J40="",I40,J40)</f>
        <v/>
      </c>
      <c r="L40" s="74">
        <f>'مستخلص 3'!N40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3'!H41</f>
        <v/>
      </c>
      <c r="G41" s="72" t="n"/>
      <c r="H41" s="84">
        <f>F41+G41</f>
        <v/>
      </c>
      <c r="I41" s="109">
        <f>'مستخلص 3'!K41</f>
        <v/>
      </c>
      <c r="J41" s="68" t="n"/>
      <c r="K41" s="103">
        <f>IF(J41="",I41,J41)</f>
        <v/>
      </c>
      <c r="L41" s="108">
        <f>'مستخلص 3'!N41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3'!H42</f>
        <v/>
      </c>
      <c r="G42" s="72" t="n"/>
      <c r="H42" s="27">
        <f>F42+G42</f>
        <v/>
      </c>
      <c r="I42" s="107">
        <f>'مستخلص 3'!K42</f>
        <v/>
      </c>
      <c r="J42" s="68" t="n"/>
      <c r="K42" s="101">
        <f>IF(J42="",I42,J42)</f>
        <v/>
      </c>
      <c r="L42" s="74">
        <f>'مستخلص 3'!N42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3'!H43</f>
        <v/>
      </c>
      <c r="G43" s="72" t="n"/>
      <c r="H43" s="84">
        <f>F43+G43</f>
        <v/>
      </c>
      <c r="I43" s="109">
        <f>'مستخلص 3'!K43</f>
        <v/>
      </c>
      <c r="J43" s="68" t="n"/>
      <c r="K43" s="103">
        <f>IF(J43="",I43,J43)</f>
        <v/>
      </c>
      <c r="L43" s="108">
        <f>'مستخلص 3'!N43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3'!H44</f>
        <v/>
      </c>
      <c r="G44" s="72" t="n"/>
      <c r="H44" s="27">
        <f>F44+G44</f>
        <v/>
      </c>
      <c r="I44" s="107">
        <f>'مستخلص 3'!K44</f>
        <v/>
      </c>
      <c r="J44" s="68" t="n"/>
      <c r="K44" s="101">
        <f>IF(J44="",I44,J44)</f>
        <v/>
      </c>
      <c r="L44" s="74">
        <f>'مستخلص 3'!N44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3'!H45</f>
        <v/>
      </c>
      <c r="G45" s="72" t="n"/>
      <c r="H45" s="84">
        <f>F45+G45</f>
        <v/>
      </c>
      <c r="I45" s="109">
        <f>'مستخلص 3'!K45</f>
        <v/>
      </c>
      <c r="J45" s="68" t="n"/>
      <c r="K45" s="103">
        <f>IF(J45="",I45,J45)</f>
        <v/>
      </c>
      <c r="L45" s="108">
        <f>'مستخلص 3'!N45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3'!H46</f>
        <v/>
      </c>
      <c r="G46" s="72" t="n"/>
      <c r="H46" s="27">
        <f>F46+G46</f>
        <v/>
      </c>
      <c r="I46" s="107">
        <f>'مستخلص 3'!K46</f>
        <v/>
      </c>
      <c r="J46" s="68" t="n"/>
      <c r="K46" s="101">
        <f>IF(J46="",I46,J46)</f>
        <v/>
      </c>
      <c r="L46" s="74">
        <f>'مستخلص 3'!N46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3'!H47</f>
        <v/>
      </c>
      <c r="G47" s="72" t="n"/>
      <c r="H47" s="84">
        <f>F47+G47</f>
        <v/>
      </c>
      <c r="I47" s="109">
        <f>'مستخلص 3'!K47</f>
        <v/>
      </c>
      <c r="J47" s="68" t="n"/>
      <c r="K47" s="103">
        <f>IF(J47="",I47,J47)</f>
        <v/>
      </c>
      <c r="L47" s="108">
        <f>'مستخلص 3'!N47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3'!H48</f>
        <v/>
      </c>
      <c r="G48" s="72" t="n"/>
      <c r="H48" s="27">
        <f>F48+G48</f>
        <v/>
      </c>
      <c r="I48" s="107">
        <f>'مستخلص 3'!K48</f>
        <v/>
      </c>
      <c r="J48" s="68" t="n"/>
      <c r="K48" s="101">
        <f>IF(J48="",I48,J48)</f>
        <v/>
      </c>
      <c r="L48" s="74">
        <f>'مستخلص 3'!N48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3'!H49</f>
        <v/>
      </c>
      <c r="G49" s="72" t="n"/>
      <c r="H49" s="84">
        <f>F49+G49</f>
        <v/>
      </c>
      <c r="I49" s="109">
        <f>'مستخلص 3'!K49</f>
        <v/>
      </c>
      <c r="J49" s="68" t="n"/>
      <c r="K49" s="103">
        <f>IF(J49="",I49,J49)</f>
        <v/>
      </c>
      <c r="L49" s="108">
        <f>'مستخلص 3'!N49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3'!H50</f>
        <v/>
      </c>
      <c r="G50" s="72" t="n"/>
      <c r="H50" s="27">
        <f>F50+G50</f>
        <v/>
      </c>
      <c r="I50" s="107">
        <f>'مستخلص 3'!K50</f>
        <v/>
      </c>
      <c r="J50" s="68" t="n"/>
      <c r="K50" s="101">
        <f>IF(J50="",I50,J50)</f>
        <v/>
      </c>
      <c r="L50" s="74">
        <f>'مستخلص 3'!N50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3'!H51</f>
        <v/>
      </c>
      <c r="G51" s="72" t="n"/>
      <c r="H51" s="84">
        <f>F51+G51</f>
        <v/>
      </c>
      <c r="I51" s="109">
        <f>'مستخلص 3'!K51</f>
        <v/>
      </c>
      <c r="J51" s="68" t="n"/>
      <c r="K51" s="103">
        <f>IF(J51="",I51,J51)</f>
        <v/>
      </c>
      <c r="L51" s="108">
        <f>'مستخلص 3'!N51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3'!H52</f>
        <v/>
      </c>
      <c r="G52" s="72" t="n"/>
      <c r="H52" s="27">
        <f>F52+G52</f>
        <v/>
      </c>
      <c r="I52" s="107">
        <f>'مستخلص 3'!K52</f>
        <v/>
      </c>
      <c r="J52" s="68" t="n"/>
      <c r="K52" s="101">
        <f>IF(J52="",I52,J52)</f>
        <v/>
      </c>
      <c r="L52" s="74">
        <f>'مستخلص 3'!N52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3'!H53</f>
        <v/>
      </c>
      <c r="G53" s="72" t="n"/>
      <c r="H53" s="84">
        <f>F53+G53</f>
        <v/>
      </c>
      <c r="I53" s="109">
        <f>'مستخلص 3'!K53</f>
        <v/>
      </c>
      <c r="J53" s="68" t="n"/>
      <c r="K53" s="103">
        <f>IF(J53="",I53,J53)</f>
        <v/>
      </c>
      <c r="L53" s="108">
        <f>'مستخلص 3'!N53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3'!H54</f>
        <v/>
      </c>
      <c r="G54" s="72" t="n"/>
      <c r="H54" s="27">
        <f>F54+G54</f>
        <v/>
      </c>
      <c r="I54" s="107">
        <f>'مستخلص 3'!K54</f>
        <v/>
      </c>
      <c r="J54" s="68" t="n"/>
      <c r="K54" s="101">
        <f>IF(J54="",I54,J54)</f>
        <v/>
      </c>
      <c r="L54" s="74">
        <f>'مستخلص 3'!N54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3'!H55</f>
        <v/>
      </c>
      <c r="G55" s="72" t="n"/>
      <c r="H55" s="84">
        <f>F55+G55</f>
        <v/>
      </c>
      <c r="I55" s="109">
        <f>'مستخلص 3'!K55</f>
        <v/>
      </c>
      <c r="J55" s="68" t="n"/>
      <c r="K55" s="103">
        <f>IF(J55="",I55,J55)</f>
        <v/>
      </c>
      <c r="L55" s="108">
        <f>'مستخلص 3'!N55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3'!H56</f>
        <v/>
      </c>
      <c r="G56" s="72" t="n"/>
      <c r="H56" s="27">
        <f>F56+G56</f>
        <v/>
      </c>
      <c r="I56" s="107">
        <f>'مستخلص 3'!K56</f>
        <v/>
      </c>
      <c r="J56" s="68" t="n"/>
      <c r="K56" s="101">
        <f>IF(J56="",I56,J56)</f>
        <v/>
      </c>
      <c r="L56" s="74">
        <f>'مستخلص 3'!N56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3'!H57</f>
        <v/>
      </c>
      <c r="G57" s="72" t="n"/>
      <c r="H57" s="84">
        <f>F57+G57</f>
        <v/>
      </c>
      <c r="I57" s="109">
        <f>'مستخلص 3'!K57</f>
        <v/>
      </c>
      <c r="J57" s="68" t="n"/>
      <c r="K57" s="103">
        <f>IF(J57="",I57,J57)</f>
        <v/>
      </c>
      <c r="L57" s="108">
        <f>'مستخلص 3'!N57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3'!H58</f>
        <v/>
      </c>
      <c r="G58" s="72" t="n"/>
      <c r="H58" s="27">
        <f>F58+G58</f>
        <v/>
      </c>
      <c r="I58" s="107">
        <f>'مستخلص 3'!K58</f>
        <v/>
      </c>
      <c r="J58" s="68" t="n"/>
      <c r="K58" s="101">
        <f>IF(J58="",I58,J58)</f>
        <v/>
      </c>
      <c r="L58" s="74">
        <f>'مستخلص 3'!N58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3'!H59</f>
        <v/>
      </c>
      <c r="G59" s="72" t="n"/>
      <c r="H59" s="84">
        <f>F59+G59</f>
        <v/>
      </c>
      <c r="I59" s="109">
        <f>'مستخلص 3'!K59</f>
        <v/>
      </c>
      <c r="J59" s="68" t="n"/>
      <c r="K59" s="103">
        <f>IF(J59="",I59,J59)</f>
        <v/>
      </c>
      <c r="L59" s="108">
        <f>'مستخلص 3'!N59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3'!H60</f>
        <v/>
      </c>
      <c r="G60" s="72" t="n"/>
      <c r="H60" s="27">
        <f>F60+G60</f>
        <v/>
      </c>
      <c r="I60" s="107">
        <f>'مستخلص 3'!K60</f>
        <v/>
      </c>
      <c r="J60" s="68" t="n"/>
      <c r="K60" s="101">
        <f>IF(J60="",I60,J60)</f>
        <v/>
      </c>
      <c r="L60" s="74">
        <f>'مستخلص 3'!N60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3'!H61</f>
        <v/>
      </c>
      <c r="G61" s="72" t="n"/>
      <c r="H61" s="84">
        <f>F61+G61</f>
        <v/>
      </c>
      <c r="I61" s="109">
        <f>'مستخلص 3'!K61</f>
        <v/>
      </c>
      <c r="J61" s="68" t="n"/>
      <c r="K61" s="103">
        <f>IF(J61="",I61,J61)</f>
        <v/>
      </c>
      <c r="L61" s="108">
        <f>'مستخلص 3'!N61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3'!H62</f>
        <v/>
      </c>
      <c r="G62" s="72" t="n"/>
      <c r="H62" s="27">
        <f>F62+G62</f>
        <v/>
      </c>
      <c r="I62" s="107">
        <f>'مستخلص 3'!K62</f>
        <v/>
      </c>
      <c r="J62" s="68" t="n"/>
      <c r="K62" s="101">
        <f>IF(J62="",I62,J62)</f>
        <v/>
      </c>
      <c r="L62" s="74">
        <f>'مستخلص 3'!N62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3'!H63</f>
        <v/>
      </c>
      <c r="G63" s="72" t="n"/>
      <c r="H63" s="84">
        <f>F63+G63</f>
        <v/>
      </c>
      <c r="I63" s="109">
        <f>'مستخلص 3'!K63</f>
        <v/>
      </c>
      <c r="J63" s="68" t="n"/>
      <c r="K63" s="103">
        <f>IF(J63="",I63,J63)</f>
        <v/>
      </c>
      <c r="L63" s="108">
        <f>'مستخلص 3'!N63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3'!H64</f>
        <v/>
      </c>
      <c r="G64" s="72" t="n"/>
      <c r="H64" s="27">
        <f>F64+G64</f>
        <v/>
      </c>
      <c r="I64" s="107">
        <f>'مستخلص 3'!K64</f>
        <v/>
      </c>
      <c r="J64" s="68" t="n"/>
      <c r="K64" s="101">
        <f>IF(J64="",I64,J64)</f>
        <v/>
      </c>
      <c r="L64" s="74">
        <f>'مستخلص 3'!N64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3'!H65</f>
        <v/>
      </c>
      <c r="G65" s="72" t="n"/>
      <c r="H65" s="84">
        <f>F65+G65</f>
        <v/>
      </c>
      <c r="I65" s="109">
        <f>'مستخلص 3'!K65</f>
        <v/>
      </c>
      <c r="J65" s="68" t="n"/>
      <c r="K65" s="103">
        <f>IF(J65="",I65,J65)</f>
        <v/>
      </c>
      <c r="L65" s="108">
        <f>'مستخلص 3'!N65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3'!H66</f>
        <v/>
      </c>
      <c r="G66" s="72" t="n"/>
      <c r="H66" s="27">
        <f>F66+G66</f>
        <v/>
      </c>
      <c r="I66" s="107">
        <f>'مستخلص 3'!K66</f>
        <v/>
      </c>
      <c r="J66" s="68" t="n"/>
      <c r="K66" s="101">
        <f>IF(J66="",I66,J66)</f>
        <v/>
      </c>
      <c r="L66" s="74">
        <f>'مستخلص 3'!N66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3'!H67</f>
        <v/>
      </c>
      <c r="G67" s="72" t="n"/>
      <c r="H67" s="84">
        <f>F67+G67</f>
        <v/>
      </c>
      <c r="I67" s="109">
        <f>'مستخلص 3'!K67</f>
        <v/>
      </c>
      <c r="J67" s="68" t="n"/>
      <c r="K67" s="103">
        <f>IF(J67="",I67,J67)</f>
        <v/>
      </c>
      <c r="L67" s="108">
        <f>'مستخلص 3'!N67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3'!H68</f>
        <v/>
      </c>
      <c r="G68" s="72" t="n"/>
      <c r="H68" s="27">
        <f>F68+G68</f>
        <v/>
      </c>
      <c r="I68" s="107">
        <f>'مستخلص 3'!K68</f>
        <v/>
      </c>
      <c r="J68" s="68" t="n"/>
      <c r="K68" s="101">
        <f>IF(J68="",I68,J68)</f>
        <v/>
      </c>
      <c r="L68" s="74">
        <f>'مستخلص 3'!N68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3'!H69</f>
        <v/>
      </c>
      <c r="G69" s="72" t="n"/>
      <c r="H69" s="84">
        <f>F69+G69</f>
        <v/>
      </c>
      <c r="I69" s="109">
        <f>'مستخلص 3'!K69</f>
        <v/>
      </c>
      <c r="J69" s="68" t="n"/>
      <c r="K69" s="103">
        <f>IF(J69="",I69,J69)</f>
        <v/>
      </c>
      <c r="L69" s="108">
        <f>'مستخلص 3'!N69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3'!H70</f>
        <v/>
      </c>
      <c r="G70" s="72" t="n"/>
      <c r="H70" s="27">
        <f>F70+G70</f>
        <v/>
      </c>
      <c r="I70" s="107">
        <f>'مستخلص 3'!K70</f>
        <v/>
      </c>
      <c r="J70" s="68" t="n"/>
      <c r="K70" s="101">
        <f>IF(J70="",I70,J70)</f>
        <v/>
      </c>
      <c r="L70" s="74">
        <f>'مستخلص 3'!N70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3'!H71</f>
        <v/>
      </c>
      <c r="G71" s="72" t="n"/>
      <c r="H71" s="84">
        <f>F71+G71</f>
        <v/>
      </c>
      <c r="I71" s="109">
        <f>'مستخلص 3'!K71</f>
        <v/>
      </c>
      <c r="J71" s="68" t="n"/>
      <c r="K71" s="103">
        <f>IF(J71="",I71,J71)</f>
        <v/>
      </c>
      <c r="L71" s="108">
        <f>'مستخلص 3'!N71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3'!H72</f>
        <v/>
      </c>
      <c r="G72" s="72" t="n"/>
      <c r="H72" s="27">
        <f>F72+G72</f>
        <v/>
      </c>
      <c r="I72" s="107">
        <f>'مستخلص 3'!K72</f>
        <v/>
      </c>
      <c r="J72" s="68" t="n"/>
      <c r="K72" s="101">
        <f>IF(J72="",I72,J72)</f>
        <v/>
      </c>
      <c r="L72" s="74">
        <f>'مستخلص 3'!N72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3'!H73</f>
        <v/>
      </c>
      <c r="G73" s="72" t="n"/>
      <c r="H73" s="84">
        <f>F73+G73</f>
        <v/>
      </c>
      <c r="I73" s="109">
        <f>'مستخلص 3'!K73</f>
        <v/>
      </c>
      <c r="J73" s="68" t="n"/>
      <c r="K73" s="103">
        <f>IF(J73="",I73,J73)</f>
        <v/>
      </c>
      <c r="L73" s="108">
        <f>'مستخلص 3'!N73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3'!H74</f>
        <v/>
      </c>
      <c r="G74" s="72" t="n"/>
      <c r="H74" s="27">
        <f>F74+G74</f>
        <v/>
      </c>
      <c r="I74" s="107">
        <f>'مستخلص 3'!K74</f>
        <v/>
      </c>
      <c r="J74" s="68" t="n"/>
      <c r="K74" s="101">
        <f>IF(J74="",I74,J74)</f>
        <v/>
      </c>
      <c r="L74" s="74">
        <f>'مستخلص 3'!N74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3'!H75</f>
        <v/>
      </c>
      <c r="G75" s="72" t="n"/>
      <c r="H75" s="84">
        <f>F75+G75</f>
        <v/>
      </c>
      <c r="I75" s="109">
        <f>'مستخلص 3'!K75</f>
        <v/>
      </c>
      <c r="J75" s="68" t="n"/>
      <c r="K75" s="103">
        <f>IF(J75="",I75,J75)</f>
        <v/>
      </c>
      <c r="L75" s="108">
        <f>'مستخلص 3'!N75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3'!H76</f>
        <v/>
      </c>
      <c r="G76" s="72" t="n"/>
      <c r="H76" s="27">
        <f>F76+G76</f>
        <v/>
      </c>
      <c r="I76" s="107">
        <f>'مستخلص 3'!K76</f>
        <v/>
      </c>
      <c r="J76" s="68" t="n"/>
      <c r="K76" s="101">
        <f>IF(J76="",I76,J76)</f>
        <v/>
      </c>
      <c r="L76" s="74">
        <f>'مستخلص 3'!N76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3'!H77</f>
        <v/>
      </c>
      <c r="G77" s="72" t="n"/>
      <c r="H77" s="84">
        <f>F77+G77</f>
        <v/>
      </c>
      <c r="I77" s="109">
        <f>'مستخلص 3'!K77</f>
        <v/>
      </c>
      <c r="J77" s="68" t="n"/>
      <c r="K77" s="103">
        <f>IF(J77="",I77,J77)</f>
        <v/>
      </c>
      <c r="L77" s="108">
        <f>'مستخلص 3'!N77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3'!H78</f>
        <v/>
      </c>
      <c r="G78" s="72" t="n"/>
      <c r="H78" s="27">
        <f>F78+G78</f>
        <v/>
      </c>
      <c r="I78" s="107">
        <f>'مستخلص 3'!K78</f>
        <v/>
      </c>
      <c r="J78" s="68" t="n"/>
      <c r="K78" s="101">
        <f>IF(J78="",I78,J78)</f>
        <v/>
      </c>
      <c r="L78" s="74">
        <f>'مستخلص 3'!N78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3'!H79</f>
        <v/>
      </c>
      <c r="G79" s="72" t="n"/>
      <c r="H79" s="84">
        <f>F79+G79</f>
        <v/>
      </c>
      <c r="I79" s="109">
        <f>'مستخلص 3'!K79</f>
        <v/>
      </c>
      <c r="J79" s="68" t="n"/>
      <c r="K79" s="103">
        <f>IF(J79="",I79,J79)</f>
        <v/>
      </c>
      <c r="L79" s="108">
        <f>'مستخلص 3'!N79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3'!H80</f>
        <v/>
      </c>
      <c r="G80" s="72" t="n"/>
      <c r="H80" s="27">
        <f>F80+G80</f>
        <v/>
      </c>
      <c r="I80" s="107">
        <f>'مستخلص 3'!K80</f>
        <v/>
      </c>
      <c r="J80" s="68" t="n"/>
      <c r="K80" s="101">
        <f>IF(J80="",I80,J80)</f>
        <v/>
      </c>
      <c r="L80" s="74">
        <f>'مستخلص 3'!N80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3'!H81</f>
        <v/>
      </c>
      <c r="G81" s="72" t="n"/>
      <c r="H81" s="84">
        <f>F81+G81</f>
        <v/>
      </c>
      <c r="I81" s="109">
        <f>'مستخلص 3'!K81</f>
        <v/>
      </c>
      <c r="J81" s="68" t="n"/>
      <c r="K81" s="103">
        <f>IF(J81="",I81,J81)</f>
        <v/>
      </c>
      <c r="L81" s="108">
        <f>'مستخلص 3'!N81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3'!H82</f>
        <v/>
      </c>
      <c r="G82" s="72" t="n"/>
      <c r="H82" s="27">
        <f>F82+G82</f>
        <v/>
      </c>
      <c r="I82" s="107">
        <f>'مستخلص 3'!K82</f>
        <v/>
      </c>
      <c r="J82" s="68" t="n"/>
      <c r="K82" s="101">
        <f>IF(J82="",I82,J82)</f>
        <v/>
      </c>
      <c r="L82" s="74">
        <f>'مستخلص 3'!N82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3'!H83</f>
        <v/>
      </c>
      <c r="G83" s="72" t="n"/>
      <c r="H83" s="84">
        <f>F83+G83</f>
        <v/>
      </c>
      <c r="I83" s="109">
        <f>'مستخلص 3'!K83</f>
        <v/>
      </c>
      <c r="J83" s="68" t="n"/>
      <c r="K83" s="103">
        <f>IF(J83="",I83,J83)</f>
        <v/>
      </c>
      <c r="L83" s="108">
        <f>'مستخلص 3'!N83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3'!H84</f>
        <v/>
      </c>
      <c r="G84" s="72" t="n"/>
      <c r="H84" s="27">
        <f>F84+G84</f>
        <v/>
      </c>
      <c r="I84" s="107">
        <f>'مستخلص 3'!K84</f>
        <v/>
      </c>
      <c r="J84" s="68" t="n"/>
      <c r="K84" s="101">
        <f>IF(J84="",I84,J84)</f>
        <v/>
      </c>
      <c r="L84" s="74">
        <f>'مستخلص 3'!N84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3'!H85</f>
        <v/>
      </c>
      <c r="G85" s="72" t="n"/>
      <c r="H85" s="84">
        <f>F85+G85</f>
        <v/>
      </c>
      <c r="I85" s="109">
        <f>'مستخلص 3'!K85</f>
        <v/>
      </c>
      <c r="J85" s="68" t="n"/>
      <c r="K85" s="103">
        <f>IF(J85="",I85,J85)</f>
        <v/>
      </c>
      <c r="L85" s="108">
        <f>'مستخلص 3'!N85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3'!H86</f>
        <v/>
      </c>
      <c r="G86" s="72" t="n"/>
      <c r="H86" s="27">
        <f>F86+G86</f>
        <v/>
      </c>
      <c r="I86" s="107">
        <f>'مستخلص 3'!K86</f>
        <v/>
      </c>
      <c r="J86" s="68" t="n"/>
      <c r="K86" s="101">
        <f>IF(J86="",I86,J86)</f>
        <v/>
      </c>
      <c r="L86" s="74">
        <f>'مستخلص 3'!N86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3'!H87</f>
        <v/>
      </c>
      <c r="G87" s="72" t="n"/>
      <c r="H87" s="84">
        <f>F87+G87</f>
        <v/>
      </c>
      <c r="I87" s="109">
        <f>'مستخلص 3'!K87</f>
        <v/>
      </c>
      <c r="J87" s="68" t="n"/>
      <c r="K87" s="103">
        <f>IF(J87="",I87,J87)</f>
        <v/>
      </c>
      <c r="L87" s="108">
        <f>'مستخلص 3'!N87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3'!H88</f>
        <v/>
      </c>
      <c r="G88" s="72" t="n"/>
      <c r="H88" s="27">
        <f>F88+G88</f>
        <v/>
      </c>
      <c r="I88" s="107">
        <f>'مستخلص 3'!K88</f>
        <v/>
      </c>
      <c r="J88" s="68" t="n"/>
      <c r="K88" s="101">
        <f>IF(J88="",I88,J88)</f>
        <v/>
      </c>
      <c r="L88" s="74">
        <f>'مستخلص 3'!N88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3'!H89</f>
        <v/>
      </c>
      <c r="G89" s="72" t="n"/>
      <c r="H89" s="84">
        <f>F89+G89</f>
        <v/>
      </c>
      <c r="I89" s="109">
        <f>'مستخلص 3'!K89</f>
        <v/>
      </c>
      <c r="J89" s="68" t="n"/>
      <c r="K89" s="103">
        <f>IF(J89="",I89,J89)</f>
        <v/>
      </c>
      <c r="L89" s="108">
        <f>'مستخلص 3'!N89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3'!H90</f>
        <v/>
      </c>
      <c r="G90" s="72" t="n"/>
      <c r="H90" s="27">
        <f>F90+G90</f>
        <v/>
      </c>
      <c r="I90" s="107">
        <f>'مستخلص 3'!K90</f>
        <v/>
      </c>
      <c r="J90" s="68" t="n"/>
      <c r="K90" s="101">
        <f>IF(J90="",I90,J90)</f>
        <v/>
      </c>
      <c r="L90" s="74">
        <f>'مستخلص 3'!N90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3'!H91</f>
        <v/>
      </c>
      <c r="G91" s="72" t="n"/>
      <c r="H91" s="84">
        <f>F91+G91</f>
        <v/>
      </c>
      <c r="I91" s="109">
        <f>'مستخلص 3'!K91</f>
        <v/>
      </c>
      <c r="J91" s="68" t="n"/>
      <c r="K91" s="103">
        <f>IF(J91="",I91,J91)</f>
        <v/>
      </c>
      <c r="L91" s="108">
        <f>'مستخلص 3'!N91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3'!H92</f>
        <v/>
      </c>
      <c r="G92" s="72" t="n"/>
      <c r="H92" s="27">
        <f>F92+G92</f>
        <v/>
      </c>
      <c r="I92" s="107">
        <f>'مستخلص 3'!K92</f>
        <v/>
      </c>
      <c r="J92" s="68" t="n"/>
      <c r="K92" s="101">
        <f>IF(J92="",I92,J92)</f>
        <v/>
      </c>
      <c r="L92" s="74">
        <f>'مستخلص 3'!N92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3'!H93</f>
        <v/>
      </c>
      <c r="G93" s="72" t="n"/>
      <c r="H93" s="84">
        <f>F93+G93</f>
        <v/>
      </c>
      <c r="I93" s="109">
        <f>'مستخلص 3'!K93</f>
        <v/>
      </c>
      <c r="J93" s="68" t="n"/>
      <c r="K93" s="103">
        <f>IF(J93="",I93,J93)</f>
        <v/>
      </c>
      <c r="L93" s="108">
        <f>'مستخلص 3'!N93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3'!H94</f>
        <v/>
      </c>
      <c r="G94" s="72" t="n"/>
      <c r="H94" s="27">
        <f>F94+G94</f>
        <v/>
      </c>
      <c r="I94" s="107">
        <f>'مستخلص 3'!K94</f>
        <v/>
      </c>
      <c r="J94" s="68" t="n"/>
      <c r="K94" s="101">
        <f>IF(J94="",I94,J94)</f>
        <v/>
      </c>
      <c r="L94" s="74">
        <f>'مستخلص 3'!N94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3'!H95</f>
        <v/>
      </c>
      <c r="G95" s="72" t="n"/>
      <c r="H95" s="84">
        <f>F95+G95</f>
        <v/>
      </c>
      <c r="I95" s="109">
        <f>'مستخلص 3'!K95</f>
        <v/>
      </c>
      <c r="J95" s="68" t="n"/>
      <c r="K95" s="103">
        <f>IF(J95="",I95,J95)</f>
        <v/>
      </c>
      <c r="L95" s="108">
        <f>'مستخلص 3'!N95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3'!H96</f>
        <v/>
      </c>
      <c r="G96" s="72" t="n"/>
      <c r="H96" s="27">
        <f>F96+G96</f>
        <v/>
      </c>
      <c r="I96" s="107">
        <f>'مستخلص 3'!K96</f>
        <v/>
      </c>
      <c r="J96" s="68" t="n"/>
      <c r="K96" s="101">
        <f>IF(J96="",I96,J96)</f>
        <v/>
      </c>
      <c r="L96" s="74">
        <f>'مستخلص 3'!N96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3'!H97</f>
        <v/>
      </c>
      <c r="G97" s="72" t="n"/>
      <c r="H97" s="84">
        <f>F97+G97</f>
        <v/>
      </c>
      <c r="I97" s="109">
        <f>'مستخلص 3'!K97</f>
        <v/>
      </c>
      <c r="J97" s="68" t="n"/>
      <c r="K97" s="103">
        <f>IF(J97="",I97,J97)</f>
        <v/>
      </c>
      <c r="L97" s="108">
        <f>'مستخلص 3'!N97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3'!H98</f>
        <v/>
      </c>
      <c r="G98" s="72" t="n"/>
      <c r="H98" s="27">
        <f>F98+G98</f>
        <v/>
      </c>
      <c r="I98" s="107">
        <f>'مستخلص 3'!K98</f>
        <v/>
      </c>
      <c r="J98" s="68" t="n"/>
      <c r="K98" s="101">
        <f>IF(J98="",I98,J98)</f>
        <v/>
      </c>
      <c r="L98" s="74">
        <f>'مستخلص 3'!N98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3'!H99</f>
        <v/>
      </c>
      <c r="G99" s="72" t="n"/>
      <c r="H99" s="84">
        <f>F99+G99</f>
        <v/>
      </c>
      <c r="I99" s="109">
        <f>'مستخلص 3'!K99</f>
        <v/>
      </c>
      <c r="J99" s="68" t="n"/>
      <c r="K99" s="103">
        <f>IF(J99="",I99,J99)</f>
        <v/>
      </c>
      <c r="L99" s="108">
        <f>'مستخلص 3'!N99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3'!H100</f>
        <v/>
      </c>
      <c r="G100" s="72" t="n"/>
      <c r="H100" s="27">
        <f>F100+G100</f>
        <v/>
      </c>
      <c r="I100" s="107">
        <f>'مستخلص 3'!K100</f>
        <v/>
      </c>
      <c r="J100" s="68" t="n"/>
      <c r="K100" s="101">
        <f>IF(J100="",I100,J100)</f>
        <v/>
      </c>
      <c r="L100" s="74">
        <f>'مستخلص 3'!N100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3'!H101</f>
        <v/>
      </c>
      <c r="G101" s="72" t="n"/>
      <c r="H101" s="84">
        <f>F101+G101</f>
        <v/>
      </c>
      <c r="I101" s="109">
        <f>'مستخلص 3'!K101</f>
        <v/>
      </c>
      <c r="J101" s="68" t="n"/>
      <c r="K101" s="103">
        <f>IF(J101="",I101,J101)</f>
        <v/>
      </c>
      <c r="L101" s="108">
        <f>'مستخلص 3'!N101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3'!H102</f>
        <v/>
      </c>
      <c r="G102" s="72" t="n"/>
      <c r="H102" s="27">
        <f>F102+G102</f>
        <v/>
      </c>
      <c r="I102" s="107">
        <f>'مستخلص 3'!K102</f>
        <v/>
      </c>
      <c r="J102" s="68" t="n"/>
      <c r="K102" s="101">
        <f>IF(J102="",I102,J102)</f>
        <v/>
      </c>
      <c r="L102" s="74">
        <f>'مستخلص 3'!N102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3'!H103</f>
        <v/>
      </c>
      <c r="G103" s="72" t="n"/>
      <c r="H103" s="84">
        <f>F103+G103</f>
        <v/>
      </c>
      <c r="I103" s="109">
        <f>'مستخلص 3'!K103</f>
        <v/>
      </c>
      <c r="J103" s="68" t="n"/>
      <c r="K103" s="103">
        <f>IF(J103="",I103,J103)</f>
        <v/>
      </c>
      <c r="L103" s="108">
        <f>'مستخلص 3'!N103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3'!H104</f>
        <v/>
      </c>
      <c r="G104" s="72" t="n"/>
      <c r="H104" s="27">
        <f>F104+G104</f>
        <v/>
      </c>
      <c r="I104" s="107">
        <f>'مستخلص 3'!K104</f>
        <v/>
      </c>
      <c r="J104" s="68" t="n"/>
      <c r="K104" s="101">
        <f>IF(J104="",I104,J104)</f>
        <v/>
      </c>
      <c r="L104" s="74">
        <f>'مستخلص 3'!N104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3'!H105</f>
        <v/>
      </c>
      <c r="G105" s="72" t="n"/>
      <c r="H105" s="84">
        <f>F105+G105</f>
        <v/>
      </c>
      <c r="I105" s="109">
        <f>'مستخلص 3'!K105</f>
        <v/>
      </c>
      <c r="J105" s="68" t="n"/>
      <c r="K105" s="103">
        <f>IF(J105="",I105,J105)</f>
        <v/>
      </c>
      <c r="L105" s="108">
        <f>'مستخلص 3'!N105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3'!H106</f>
        <v/>
      </c>
      <c r="G106" s="72" t="n"/>
      <c r="H106" s="27">
        <f>F106+G106</f>
        <v/>
      </c>
      <c r="I106" s="107">
        <f>'مستخلص 3'!K106</f>
        <v/>
      </c>
      <c r="J106" s="68" t="n"/>
      <c r="K106" s="101">
        <f>IF(J106="",I106,J106)</f>
        <v/>
      </c>
      <c r="L106" s="74">
        <f>'مستخلص 3'!N106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3'!H107</f>
        <v/>
      </c>
      <c r="G107" s="72" t="n"/>
      <c r="H107" s="84">
        <f>F107+G107</f>
        <v/>
      </c>
      <c r="I107" s="109">
        <f>'مستخلص 3'!K107</f>
        <v/>
      </c>
      <c r="J107" s="68" t="n"/>
      <c r="K107" s="103">
        <f>IF(J107="",I107,J107)</f>
        <v/>
      </c>
      <c r="L107" s="108">
        <f>'مستخلص 3'!N107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3'!N111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3'!N112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3'!N113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3'!N114</f>
        <v/>
      </c>
      <c r="M114" s="27">
        <f>'الدفعات المقدمة'!I28</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3'!N115</f>
        <v/>
      </c>
      <c r="M115" s="27">
        <f>'ضمان الأعمال'!I19</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3'!N116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3'!N117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3'!N118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3'!A1" display="◀ المستخلص السابق (3)"/>
    <hyperlink ref="N3" location="'مستخلص 5'!A1" display="المستخلص التالي (5)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( 5 )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(4)</t>
        </is>
      </c>
      <c r="M3" s="4" t="n"/>
      <c r="N3" s="4" t="inlineStr">
        <is>
          <t>المستخلص التالي (6) ▶</t>
        </is>
      </c>
      <c r="O3" s="4" t="n"/>
      <c r="P3" s="4" t="n"/>
    </row>
    <row r="4" ht="24" customHeight="1">
      <c r="A4" s="96" t="inlineStr">
        <is>
          <t>رقم</t>
        </is>
      </c>
      <c r="B4" s="97" t="n">
        <v>5</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4'!H8</f>
        <v/>
      </c>
      <c r="G8" s="72" t="n"/>
      <c r="H8" s="27">
        <f>F8+G8</f>
        <v/>
      </c>
      <c r="I8" s="107">
        <f>'مستخلص 4'!K8</f>
        <v/>
      </c>
      <c r="J8" s="68" t="n"/>
      <c r="K8" s="101">
        <f>IF(J8="",I8,J8)</f>
        <v/>
      </c>
      <c r="L8" s="74">
        <f>'مستخلص 4'!N8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4'!H9</f>
        <v/>
      </c>
      <c r="G9" s="72" t="n"/>
      <c r="H9" s="84">
        <f>F9+G9</f>
        <v/>
      </c>
      <c r="I9" s="109">
        <f>'مستخلص 4'!K9</f>
        <v/>
      </c>
      <c r="J9" s="68" t="n"/>
      <c r="K9" s="103">
        <f>IF(J9="",I9,J9)</f>
        <v/>
      </c>
      <c r="L9" s="108">
        <f>'مستخلص 4'!N9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4'!H10</f>
        <v/>
      </c>
      <c r="G10" s="72" t="n"/>
      <c r="H10" s="27">
        <f>F10+G10</f>
        <v/>
      </c>
      <c r="I10" s="107">
        <f>'مستخلص 4'!K10</f>
        <v/>
      </c>
      <c r="J10" s="68" t="n"/>
      <c r="K10" s="101">
        <f>IF(J10="",I10,J10)</f>
        <v/>
      </c>
      <c r="L10" s="74">
        <f>'مستخلص 4'!N10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4'!H11</f>
        <v/>
      </c>
      <c r="G11" s="72" t="n"/>
      <c r="H11" s="84">
        <f>F11+G11</f>
        <v/>
      </c>
      <c r="I11" s="109">
        <f>'مستخلص 4'!K11</f>
        <v/>
      </c>
      <c r="J11" s="68" t="n"/>
      <c r="K11" s="103">
        <f>IF(J11="",I11,J11)</f>
        <v/>
      </c>
      <c r="L11" s="108">
        <f>'مستخلص 4'!N11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4'!H12</f>
        <v/>
      </c>
      <c r="G12" s="72" t="n"/>
      <c r="H12" s="27">
        <f>F12+G12</f>
        <v/>
      </c>
      <c r="I12" s="107">
        <f>'مستخلص 4'!K12</f>
        <v/>
      </c>
      <c r="J12" s="68" t="n"/>
      <c r="K12" s="101">
        <f>IF(J12="",I12,J12)</f>
        <v/>
      </c>
      <c r="L12" s="74">
        <f>'مستخلص 4'!N12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4'!H13</f>
        <v/>
      </c>
      <c r="G13" s="72" t="n"/>
      <c r="H13" s="84">
        <f>F13+G13</f>
        <v/>
      </c>
      <c r="I13" s="109">
        <f>'مستخلص 4'!K13</f>
        <v/>
      </c>
      <c r="J13" s="68" t="n"/>
      <c r="K13" s="103">
        <f>IF(J13="",I13,J13)</f>
        <v/>
      </c>
      <c r="L13" s="108">
        <f>'مستخلص 4'!N13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4'!H14</f>
        <v/>
      </c>
      <c r="G14" s="72" t="n"/>
      <c r="H14" s="27">
        <f>F14+G14</f>
        <v/>
      </c>
      <c r="I14" s="107">
        <f>'مستخلص 4'!K14</f>
        <v/>
      </c>
      <c r="J14" s="68" t="n"/>
      <c r="K14" s="101">
        <f>IF(J14="",I14,J14)</f>
        <v/>
      </c>
      <c r="L14" s="74">
        <f>'مستخلص 4'!N14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4'!H15</f>
        <v/>
      </c>
      <c r="G15" s="72" t="n"/>
      <c r="H15" s="84">
        <f>F15+G15</f>
        <v/>
      </c>
      <c r="I15" s="109">
        <f>'مستخلص 4'!K15</f>
        <v/>
      </c>
      <c r="J15" s="68" t="n"/>
      <c r="K15" s="103">
        <f>IF(J15="",I15,J15)</f>
        <v/>
      </c>
      <c r="L15" s="108">
        <f>'مستخلص 4'!N15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4'!H16</f>
        <v/>
      </c>
      <c r="G16" s="72" t="n"/>
      <c r="H16" s="27">
        <f>F16+G16</f>
        <v/>
      </c>
      <c r="I16" s="107">
        <f>'مستخلص 4'!K16</f>
        <v/>
      </c>
      <c r="J16" s="68" t="n"/>
      <c r="K16" s="101">
        <f>IF(J16="",I16,J16)</f>
        <v/>
      </c>
      <c r="L16" s="74">
        <f>'مستخلص 4'!N16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4'!H17</f>
        <v/>
      </c>
      <c r="G17" s="72" t="n"/>
      <c r="H17" s="84">
        <f>F17+G17</f>
        <v/>
      </c>
      <c r="I17" s="109">
        <f>'مستخلص 4'!K17</f>
        <v/>
      </c>
      <c r="J17" s="68" t="n"/>
      <c r="K17" s="103">
        <f>IF(J17="",I17,J17)</f>
        <v/>
      </c>
      <c r="L17" s="108">
        <f>'مستخلص 4'!N17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4'!H18</f>
        <v/>
      </c>
      <c r="G18" s="72" t="n"/>
      <c r="H18" s="27">
        <f>F18+G18</f>
        <v/>
      </c>
      <c r="I18" s="107">
        <f>'مستخلص 4'!K18</f>
        <v/>
      </c>
      <c r="J18" s="68" t="n"/>
      <c r="K18" s="101">
        <f>IF(J18="",I18,J18)</f>
        <v/>
      </c>
      <c r="L18" s="74">
        <f>'مستخلص 4'!N18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4'!H19</f>
        <v/>
      </c>
      <c r="G19" s="72" t="n"/>
      <c r="H19" s="84">
        <f>F19+G19</f>
        <v/>
      </c>
      <c r="I19" s="109">
        <f>'مستخلص 4'!K19</f>
        <v/>
      </c>
      <c r="J19" s="68" t="n"/>
      <c r="K19" s="103">
        <f>IF(J19="",I19,J19)</f>
        <v/>
      </c>
      <c r="L19" s="108">
        <f>'مستخلص 4'!N19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4'!H20</f>
        <v/>
      </c>
      <c r="G20" s="72" t="n"/>
      <c r="H20" s="27">
        <f>F20+G20</f>
        <v/>
      </c>
      <c r="I20" s="107">
        <f>'مستخلص 4'!K20</f>
        <v/>
      </c>
      <c r="J20" s="68" t="n"/>
      <c r="K20" s="101">
        <f>IF(J20="",I20,J20)</f>
        <v/>
      </c>
      <c r="L20" s="74">
        <f>'مستخلص 4'!N20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4'!H21</f>
        <v/>
      </c>
      <c r="G21" s="72" t="n"/>
      <c r="H21" s="84">
        <f>F21+G21</f>
        <v/>
      </c>
      <c r="I21" s="109">
        <f>'مستخلص 4'!K21</f>
        <v/>
      </c>
      <c r="J21" s="68" t="n"/>
      <c r="K21" s="103">
        <f>IF(J21="",I21,J21)</f>
        <v/>
      </c>
      <c r="L21" s="108">
        <f>'مستخلص 4'!N21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4'!H22</f>
        <v/>
      </c>
      <c r="G22" s="72" t="n"/>
      <c r="H22" s="27">
        <f>F22+G22</f>
        <v/>
      </c>
      <c r="I22" s="107">
        <f>'مستخلص 4'!K22</f>
        <v/>
      </c>
      <c r="J22" s="68" t="n"/>
      <c r="K22" s="101">
        <f>IF(J22="",I22,J22)</f>
        <v/>
      </c>
      <c r="L22" s="74">
        <f>'مستخلص 4'!N22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4'!H23</f>
        <v/>
      </c>
      <c r="G23" s="72" t="n"/>
      <c r="H23" s="84">
        <f>F23+G23</f>
        <v/>
      </c>
      <c r="I23" s="109">
        <f>'مستخلص 4'!K23</f>
        <v/>
      </c>
      <c r="J23" s="68" t="n"/>
      <c r="K23" s="103">
        <f>IF(J23="",I23,J23)</f>
        <v/>
      </c>
      <c r="L23" s="108">
        <f>'مستخلص 4'!N23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4'!H24</f>
        <v/>
      </c>
      <c r="G24" s="72" t="n"/>
      <c r="H24" s="27">
        <f>F24+G24</f>
        <v/>
      </c>
      <c r="I24" s="107">
        <f>'مستخلص 4'!K24</f>
        <v/>
      </c>
      <c r="J24" s="68" t="n"/>
      <c r="K24" s="101">
        <f>IF(J24="",I24,J24)</f>
        <v/>
      </c>
      <c r="L24" s="74">
        <f>'مستخلص 4'!N24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4'!H25</f>
        <v/>
      </c>
      <c r="G25" s="72" t="n"/>
      <c r="H25" s="84">
        <f>F25+G25</f>
        <v/>
      </c>
      <c r="I25" s="109">
        <f>'مستخلص 4'!K25</f>
        <v/>
      </c>
      <c r="J25" s="68" t="n"/>
      <c r="K25" s="103">
        <f>IF(J25="",I25,J25)</f>
        <v/>
      </c>
      <c r="L25" s="108">
        <f>'مستخلص 4'!N25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4'!H26</f>
        <v/>
      </c>
      <c r="G26" s="72" t="n"/>
      <c r="H26" s="27">
        <f>F26+G26</f>
        <v/>
      </c>
      <c r="I26" s="107">
        <f>'مستخلص 4'!K26</f>
        <v/>
      </c>
      <c r="J26" s="68" t="n"/>
      <c r="K26" s="101">
        <f>IF(J26="",I26,J26)</f>
        <v/>
      </c>
      <c r="L26" s="74">
        <f>'مستخلص 4'!N26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4'!H27</f>
        <v/>
      </c>
      <c r="G27" s="72" t="n"/>
      <c r="H27" s="84">
        <f>F27+G27</f>
        <v/>
      </c>
      <c r="I27" s="109">
        <f>'مستخلص 4'!K27</f>
        <v/>
      </c>
      <c r="J27" s="68" t="n"/>
      <c r="K27" s="103">
        <f>IF(J27="",I27,J27)</f>
        <v/>
      </c>
      <c r="L27" s="108">
        <f>'مستخلص 4'!N27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4'!H28</f>
        <v/>
      </c>
      <c r="G28" s="72" t="n"/>
      <c r="H28" s="27">
        <f>F28+G28</f>
        <v/>
      </c>
      <c r="I28" s="107">
        <f>'مستخلص 4'!K28</f>
        <v/>
      </c>
      <c r="J28" s="68" t="n"/>
      <c r="K28" s="101">
        <f>IF(J28="",I28,J28)</f>
        <v/>
      </c>
      <c r="L28" s="74">
        <f>'مستخلص 4'!N28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4'!H29</f>
        <v/>
      </c>
      <c r="G29" s="72" t="n"/>
      <c r="H29" s="84">
        <f>F29+G29</f>
        <v/>
      </c>
      <c r="I29" s="109">
        <f>'مستخلص 4'!K29</f>
        <v/>
      </c>
      <c r="J29" s="68" t="n"/>
      <c r="K29" s="103">
        <f>IF(J29="",I29,J29)</f>
        <v/>
      </c>
      <c r="L29" s="108">
        <f>'مستخلص 4'!N29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4'!H30</f>
        <v/>
      </c>
      <c r="G30" s="72" t="n"/>
      <c r="H30" s="27">
        <f>F30+G30</f>
        <v/>
      </c>
      <c r="I30" s="107">
        <f>'مستخلص 4'!K30</f>
        <v/>
      </c>
      <c r="J30" s="68" t="n"/>
      <c r="K30" s="101">
        <f>IF(J30="",I30,J30)</f>
        <v/>
      </c>
      <c r="L30" s="74">
        <f>'مستخلص 4'!N30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4'!H31</f>
        <v/>
      </c>
      <c r="G31" s="72" t="n"/>
      <c r="H31" s="84">
        <f>F31+G31</f>
        <v/>
      </c>
      <c r="I31" s="109">
        <f>'مستخلص 4'!K31</f>
        <v/>
      </c>
      <c r="J31" s="68" t="n"/>
      <c r="K31" s="103">
        <f>IF(J31="",I31,J31)</f>
        <v/>
      </c>
      <c r="L31" s="108">
        <f>'مستخلص 4'!N31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4'!H32</f>
        <v/>
      </c>
      <c r="G32" s="72" t="n"/>
      <c r="H32" s="27">
        <f>F32+G32</f>
        <v/>
      </c>
      <c r="I32" s="107">
        <f>'مستخلص 4'!K32</f>
        <v/>
      </c>
      <c r="J32" s="68" t="n"/>
      <c r="K32" s="101">
        <f>IF(J32="",I32,J32)</f>
        <v/>
      </c>
      <c r="L32" s="74">
        <f>'مستخلص 4'!N32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4'!H33</f>
        <v/>
      </c>
      <c r="G33" s="72" t="n"/>
      <c r="H33" s="84">
        <f>F33+G33</f>
        <v/>
      </c>
      <c r="I33" s="109">
        <f>'مستخلص 4'!K33</f>
        <v/>
      </c>
      <c r="J33" s="68" t="n"/>
      <c r="K33" s="103">
        <f>IF(J33="",I33,J33)</f>
        <v/>
      </c>
      <c r="L33" s="108">
        <f>'مستخلص 4'!N33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4'!H34</f>
        <v/>
      </c>
      <c r="G34" s="72" t="n"/>
      <c r="H34" s="27">
        <f>F34+G34</f>
        <v/>
      </c>
      <c r="I34" s="107">
        <f>'مستخلص 4'!K34</f>
        <v/>
      </c>
      <c r="J34" s="68" t="n"/>
      <c r="K34" s="101">
        <f>IF(J34="",I34,J34)</f>
        <v/>
      </c>
      <c r="L34" s="74">
        <f>'مستخلص 4'!N34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4'!H35</f>
        <v/>
      </c>
      <c r="G35" s="72" t="n"/>
      <c r="H35" s="84">
        <f>F35+G35</f>
        <v/>
      </c>
      <c r="I35" s="109">
        <f>'مستخلص 4'!K35</f>
        <v/>
      </c>
      <c r="J35" s="68" t="n"/>
      <c r="K35" s="103">
        <f>IF(J35="",I35,J35)</f>
        <v/>
      </c>
      <c r="L35" s="108">
        <f>'مستخلص 4'!N35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4'!H36</f>
        <v/>
      </c>
      <c r="G36" s="72" t="n"/>
      <c r="H36" s="27">
        <f>F36+G36</f>
        <v/>
      </c>
      <c r="I36" s="107">
        <f>'مستخلص 4'!K36</f>
        <v/>
      </c>
      <c r="J36" s="68" t="n"/>
      <c r="K36" s="101">
        <f>IF(J36="",I36,J36)</f>
        <v/>
      </c>
      <c r="L36" s="74">
        <f>'مستخلص 4'!N36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4'!H37</f>
        <v/>
      </c>
      <c r="G37" s="72" t="n"/>
      <c r="H37" s="84">
        <f>F37+G37</f>
        <v/>
      </c>
      <c r="I37" s="109">
        <f>'مستخلص 4'!K37</f>
        <v/>
      </c>
      <c r="J37" s="68" t="n"/>
      <c r="K37" s="103">
        <f>IF(J37="",I37,J37)</f>
        <v/>
      </c>
      <c r="L37" s="108">
        <f>'مستخلص 4'!N37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4'!H38</f>
        <v/>
      </c>
      <c r="G38" s="72" t="n"/>
      <c r="H38" s="27">
        <f>F38+G38</f>
        <v/>
      </c>
      <c r="I38" s="107">
        <f>'مستخلص 4'!K38</f>
        <v/>
      </c>
      <c r="J38" s="68" t="n"/>
      <c r="K38" s="101">
        <f>IF(J38="",I38,J38)</f>
        <v/>
      </c>
      <c r="L38" s="74">
        <f>'مستخلص 4'!N38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4'!H39</f>
        <v/>
      </c>
      <c r="G39" s="72" t="n"/>
      <c r="H39" s="84">
        <f>F39+G39</f>
        <v/>
      </c>
      <c r="I39" s="109">
        <f>'مستخلص 4'!K39</f>
        <v/>
      </c>
      <c r="J39" s="68" t="n"/>
      <c r="K39" s="103">
        <f>IF(J39="",I39,J39)</f>
        <v/>
      </c>
      <c r="L39" s="108">
        <f>'مستخلص 4'!N39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4'!H40</f>
        <v/>
      </c>
      <c r="G40" s="72" t="n"/>
      <c r="H40" s="27">
        <f>F40+G40</f>
        <v/>
      </c>
      <c r="I40" s="107">
        <f>'مستخلص 4'!K40</f>
        <v/>
      </c>
      <c r="J40" s="68" t="n"/>
      <c r="K40" s="101">
        <f>IF(J40="",I40,J40)</f>
        <v/>
      </c>
      <c r="L40" s="74">
        <f>'مستخلص 4'!N40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4'!H41</f>
        <v/>
      </c>
      <c r="G41" s="72" t="n"/>
      <c r="H41" s="84">
        <f>F41+G41</f>
        <v/>
      </c>
      <c r="I41" s="109">
        <f>'مستخلص 4'!K41</f>
        <v/>
      </c>
      <c r="J41" s="68" t="n"/>
      <c r="K41" s="103">
        <f>IF(J41="",I41,J41)</f>
        <v/>
      </c>
      <c r="L41" s="108">
        <f>'مستخلص 4'!N41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4'!H42</f>
        <v/>
      </c>
      <c r="G42" s="72" t="n"/>
      <c r="H42" s="27">
        <f>F42+G42</f>
        <v/>
      </c>
      <c r="I42" s="107">
        <f>'مستخلص 4'!K42</f>
        <v/>
      </c>
      <c r="J42" s="68" t="n"/>
      <c r="K42" s="101">
        <f>IF(J42="",I42,J42)</f>
        <v/>
      </c>
      <c r="L42" s="74">
        <f>'مستخلص 4'!N42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4'!H43</f>
        <v/>
      </c>
      <c r="G43" s="72" t="n"/>
      <c r="H43" s="84">
        <f>F43+G43</f>
        <v/>
      </c>
      <c r="I43" s="109">
        <f>'مستخلص 4'!K43</f>
        <v/>
      </c>
      <c r="J43" s="68" t="n"/>
      <c r="K43" s="103">
        <f>IF(J43="",I43,J43)</f>
        <v/>
      </c>
      <c r="L43" s="108">
        <f>'مستخلص 4'!N43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4'!H44</f>
        <v/>
      </c>
      <c r="G44" s="72" t="n"/>
      <c r="H44" s="27">
        <f>F44+G44</f>
        <v/>
      </c>
      <c r="I44" s="107">
        <f>'مستخلص 4'!K44</f>
        <v/>
      </c>
      <c r="J44" s="68" t="n"/>
      <c r="K44" s="101">
        <f>IF(J44="",I44,J44)</f>
        <v/>
      </c>
      <c r="L44" s="74">
        <f>'مستخلص 4'!N44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4'!H45</f>
        <v/>
      </c>
      <c r="G45" s="72" t="n"/>
      <c r="H45" s="84">
        <f>F45+G45</f>
        <v/>
      </c>
      <c r="I45" s="109">
        <f>'مستخلص 4'!K45</f>
        <v/>
      </c>
      <c r="J45" s="68" t="n"/>
      <c r="K45" s="103">
        <f>IF(J45="",I45,J45)</f>
        <v/>
      </c>
      <c r="L45" s="108">
        <f>'مستخلص 4'!N45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4'!H46</f>
        <v/>
      </c>
      <c r="G46" s="72" t="n"/>
      <c r="H46" s="27">
        <f>F46+G46</f>
        <v/>
      </c>
      <c r="I46" s="107">
        <f>'مستخلص 4'!K46</f>
        <v/>
      </c>
      <c r="J46" s="68" t="n"/>
      <c r="K46" s="101">
        <f>IF(J46="",I46,J46)</f>
        <v/>
      </c>
      <c r="L46" s="74">
        <f>'مستخلص 4'!N46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4'!H47</f>
        <v/>
      </c>
      <c r="G47" s="72" t="n"/>
      <c r="H47" s="84">
        <f>F47+G47</f>
        <v/>
      </c>
      <c r="I47" s="109">
        <f>'مستخلص 4'!K47</f>
        <v/>
      </c>
      <c r="J47" s="68" t="n"/>
      <c r="K47" s="103">
        <f>IF(J47="",I47,J47)</f>
        <v/>
      </c>
      <c r="L47" s="108">
        <f>'مستخلص 4'!N47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4'!H48</f>
        <v/>
      </c>
      <c r="G48" s="72" t="n"/>
      <c r="H48" s="27">
        <f>F48+G48</f>
        <v/>
      </c>
      <c r="I48" s="107">
        <f>'مستخلص 4'!K48</f>
        <v/>
      </c>
      <c r="J48" s="68" t="n"/>
      <c r="K48" s="101">
        <f>IF(J48="",I48,J48)</f>
        <v/>
      </c>
      <c r="L48" s="74">
        <f>'مستخلص 4'!N48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4'!H49</f>
        <v/>
      </c>
      <c r="G49" s="72" t="n"/>
      <c r="H49" s="84">
        <f>F49+G49</f>
        <v/>
      </c>
      <c r="I49" s="109">
        <f>'مستخلص 4'!K49</f>
        <v/>
      </c>
      <c r="J49" s="68" t="n"/>
      <c r="K49" s="103">
        <f>IF(J49="",I49,J49)</f>
        <v/>
      </c>
      <c r="L49" s="108">
        <f>'مستخلص 4'!N49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4'!H50</f>
        <v/>
      </c>
      <c r="G50" s="72" t="n"/>
      <c r="H50" s="27">
        <f>F50+G50</f>
        <v/>
      </c>
      <c r="I50" s="107">
        <f>'مستخلص 4'!K50</f>
        <v/>
      </c>
      <c r="J50" s="68" t="n"/>
      <c r="K50" s="101">
        <f>IF(J50="",I50,J50)</f>
        <v/>
      </c>
      <c r="L50" s="74">
        <f>'مستخلص 4'!N50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4'!H51</f>
        <v/>
      </c>
      <c r="G51" s="72" t="n"/>
      <c r="H51" s="84">
        <f>F51+G51</f>
        <v/>
      </c>
      <c r="I51" s="109">
        <f>'مستخلص 4'!K51</f>
        <v/>
      </c>
      <c r="J51" s="68" t="n"/>
      <c r="K51" s="103">
        <f>IF(J51="",I51,J51)</f>
        <v/>
      </c>
      <c r="L51" s="108">
        <f>'مستخلص 4'!N51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4'!H52</f>
        <v/>
      </c>
      <c r="G52" s="72" t="n"/>
      <c r="H52" s="27">
        <f>F52+G52</f>
        <v/>
      </c>
      <c r="I52" s="107">
        <f>'مستخلص 4'!K52</f>
        <v/>
      </c>
      <c r="J52" s="68" t="n"/>
      <c r="K52" s="101">
        <f>IF(J52="",I52,J52)</f>
        <v/>
      </c>
      <c r="L52" s="74">
        <f>'مستخلص 4'!N52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4'!H53</f>
        <v/>
      </c>
      <c r="G53" s="72" t="n"/>
      <c r="H53" s="84">
        <f>F53+G53</f>
        <v/>
      </c>
      <c r="I53" s="109">
        <f>'مستخلص 4'!K53</f>
        <v/>
      </c>
      <c r="J53" s="68" t="n"/>
      <c r="K53" s="103">
        <f>IF(J53="",I53,J53)</f>
        <v/>
      </c>
      <c r="L53" s="108">
        <f>'مستخلص 4'!N53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4'!H54</f>
        <v/>
      </c>
      <c r="G54" s="72" t="n"/>
      <c r="H54" s="27">
        <f>F54+G54</f>
        <v/>
      </c>
      <c r="I54" s="107">
        <f>'مستخلص 4'!K54</f>
        <v/>
      </c>
      <c r="J54" s="68" t="n"/>
      <c r="K54" s="101">
        <f>IF(J54="",I54,J54)</f>
        <v/>
      </c>
      <c r="L54" s="74">
        <f>'مستخلص 4'!N54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4'!H55</f>
        <v/>
      </c>
      <c r="G55" s="72" t="n"/>
      <c r="H55" s="84">
        <f>F55+G55</f>
        <v/>
      </c>
      <c r="I55" s="109">
        <f>'مستخلص 4'!K55</f>
        <v/>
      </c>
      <c r="J55" s="68" t="n"/>
      <c r="K55" s="103">
        <f>IF(J55="",I55,J55)</f>
        <v/>
      </c>
      <c r="L55" s="108">
        <f>'مستخلص 4'!N55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4'!H56</f>
        <v/>
      </c>
      <c r="G56" s="72" t="n"/>
      <c r="H56" s="27">
        <f>F56+G56</f>
        <v/>
      </c>
      <c r="I56" s="107">
        <f>'مستخلص 4'!K56</f>
        <v/>
      </c>
      <c r="J56" s="68" t="n"/>
      <c r="K56" s="101">
        <f>IF(J56="",I56,J56)</f>
        <v/>
      </c>
      <c r="L56" s="74">
        <f>'مستخلص 4'!N56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4'!H57</f>
        <v/>
      </c>
      <c r="G57" s="72" t="n"/>
      <c r="H57" s="84">
        <f>F57+G57</f>
        <v/>
      </c>
      <c r="I57" s="109">
        <f>'مستخلص 4'!K57</f>
        <v/>
      </c>
      <c r="J57" s="68" t="n"/>
      <c r="K57" s="103">
        <f>IF(J57="",I57,J57)</f>
        <v/>
      </c>
      <c r="L57" s="108">
        <f>'مستخلص 4'!N57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4'!H58</f>
        <v/>
      </c>
      <c r="G58" s="72" t="n"/>
      <c r="H58" s="27">
        <f>F58+G58</f>
        <v/>
      </c>
      <c r="I58" s="107">
        <f>'مستخلص 4'!K58</f>
        <v/>
      </c>
      <c r="J58" s="68" t="n"/>
      <c r="K58" s="101">
        <f>IF(J58="",I58,J58)</f>
        <v/>
      </c>
      <c r="L58" s="74">
        <f>'مستخلص 4'!N58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4'!H59</f>
        <v/>
      </c>
      <c r="G59" s="72" t="n"/>
      <c r="H59" s="84">
        <f>F59+G59</f>
        <v/>
      </c>
      <c r="I59" s="109">
        <f>'مستخلص 4'!K59</f>
        <v/>
      </c>
      <c r="J59" s="68" t="n"/>
      <c r="K59" s="103">
        <f>IF(J59="",I59,J59)</f>
        <v/>
      </c>
      <c r="L59" s="108">
        <f>'مستخلص 4'!N59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4'!H60</f>
        <v/>
      </c>
      <c r="G60" s="72" t="n"/>
      <c r="H60" s="27">
        <f>F60+G60</f>
        <v/>
      </c>
      <c r="I60" s="107">
        <f>'مستخلص 4'!K60</f>
        <v/>
      </c>
      <c r="J60" s="68" t="n"/>
      <c r="K60" s="101">
        <f>IF(J60="",I60,J60)</f>
        <v/>
      </c>
      <c r="L60" s="74">
        <f>'مستخلص 4'!N60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4'!H61</f>
        <v/>
      </c>
      <c r="G61" s="72" t="n"/>
      <c r="H61" s="84">
        <f>F61+G61</f>
        <v/>
      </c>
      <c r="I61" s="109">
        <f>'مستخلص 4'!K61</f>
        <v/>
      </c>
      <c r="J61" s="68" t="n"/>
      <c r="K61" s="103">
        <f>IF(J61="",I61,J61)</f>
        <v/>
      </c>
      <c r="L61" s="108">
        <f>'مستخلص 4'!N61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4'!H62</f>
        <v/>
      </c>
      <c r="G62" s="72" t="n"/>
      <c r="H62" s="27">
        <f>F62+G62</f>
        <v/>
      </c>
      <c r="I62" s="107">
        <f>'مستخلص 4'!K62</f>
        <v/>
      </c>
      <c r="J62" s="68" t="n"/>
      <c r="K62" s="101">
        <f>IF(J62="",I62,J62)</f>
        <v/>
      </c>
      <c r="L62" s="74">
        <f>'مستخلص 4'!N62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4'!H63</f>
        <v/>
      </c>
      <c r="G63" s="72" t="n"/>
      <c r="H63" s="84">
        <f>F63+G63</f>
        <v/>
      </c>
      <c r="I63" s="109">
        <f>'مستخلص 4'!K63</f>
        <v/>
      </c>
      <c r="J63" s="68" t="n"/>
      <c r="K63" s="103">
        <f>IF(J63="",I63,J63)</f>
        <v/>
      </c>
      <c r="L63" s="108">
        <f>'مستخلص 4'!N63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4'!H64</f>
        <v/>
      </c>
      <c r="G64" s="72" t="n"/>
      <c r="H64" s="27">
        <f>F64+G64</f>
        <v/>
      </c>
      <c r="I64" s="107">
        <f>'مستخلص 4'!K64</f>
        <v/>
      </c>
      <c r="J64" s="68" t="n"/>
      <c r="K64" s="101">
        <f>IF(J64="",I64,J64)</f>
        <v/>
      </c>
      <c r="L64" s="74">
        <f>'مستخلص 4'!N64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4'!H65</f>
        <v/>
      </c>
      <c r="G65" s="72" t="n"/>
      <c r="H65" s="84">
        <f>F65+G65</f>
        <v/>
      </c>
      <c r="I65" s="109">
        <f>'مستخلص 4'!K65</f>
        <v/>
      </c>
      <c r="J65" s="68" t="n"/>
      <c r="K65" s="103">
        <f>IF(J65="",I65,J65)</f>
        <v/>
      </c>
      <c r="L65" s="108">
        <f>'مستخلص 4'!N65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4'!H66</f>
        <v/>
      </c>
      <c r="G66" s="72" t="n"/>
      <c r="H66" s="27">
        <f>F66+G66</f>
        <v/>
      </c>
      <c r="I66" s="107">
        <f>'مستخلص 4'!K66</f>
        <v/>
      </c>
      <c r="J66" s="68" t="n"/>
      <c r="K66" s="101">
        <f>IF(J66="",I66,J66)</f>
        <v/>
      </c>
      <c r="L66" s="74">
        <f>'مستخلص 4'!N66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4'!H67</f>
        <v/>
      </c>
      <c r="G67" s="72" t="n"/>
      <c r="H67" s="84">
        <f>F67+G67</f>
        <v/>
      </c>
      <c r="I67" s="109">
        <f>'مستخلص 4'!K67</f>
        <v/>
      </c>
      <c r="J67" s="68" t="n"/>
      <c r="K67" s="103">
        <f>IF(J67="",I67,J67)</f>
        <v/>
      </c>
      <c r="L67" s="108">
        <f>'مستخلص 4'!N67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4'!H68</f>
        <v/>
      </c>
      <c r="G68" s="72" t="n"/>
      <c r="H68" s="27">
        <f>F68+G68</f>
        <v/>
      </c>
      <c r="I68" s="107">
        <f>'مستخلص 4'!K68</f>
        <v/>
      </c>
      <c r="J68" s="68" t="n"/>
      <c r="K68" s="101">
        <f>IF(J68="",I68,J68)</f>
        <v/>
      </c>
      <c r="L68" s="74">
        <f>'مستخلص 4'!N68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4'!H69</f>
        <v/>
      </c>
      <c r="G69" s="72" t="n"/>
      <c r="H69" s="84">
        <f>F69+G69</f>
        <v/>
      </c>
      <c r="I69" s="109">
        <f>'مستخلص 4'!K69</f>
        <v/>
      </c>
      <c r="J69" s="68" t="n"/>
      <c r="K69" s="103">
        <f>IF(J69="",I69,J69)</f>
        <v/>
      </c>
      <c r="L69" s="108">
        <f>'مستخلص 4'!N69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4'!H70</f>
        <v/>
      </c>
      <c r="G70" s="72" t="n"/>
      <c r="H70" s="27">
        <f>F70+G70</f>
        <v/>
      </c>
      <c r="I70" s="107">
        <f>'مستخلص 4'!K70</f>
        <v/>
      </c>
      <c r="J70" s="68" t="n"/>
      <c r="K70" s="101">
        <f>IF(J70="",I70,J70)</f>
        <v/>
      </c>
      <c r="L70" s="74">
        <f>'مستخلص 4'!N70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4'!H71</f>
        <v/>
      </c>
      <c r="G71" s="72" t="n"/>
      <c r="H71" s="84">
        <f>F71+G71</f>
        <v/>
      </c>
      <c r="I71" s="109">
        <f>'مستخلص 4'!K71</f>
        <v/>
      </c>
      <c r="J71" s="68" t="n"/>
      <c r="K71" s="103">
        <f>IF(J71="",I71,J71)</f>
        <v/>
      </c>
      <c r="L71" s="108">
        <f>'مستخلص 4'!N71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4'!H72</f>
        <v/>
      </c>
      <c r="G72" s="72" t="n"/>
      <c r="H72" s="27">
        <f>F72+G72</f>
        <v/>
      </c>
      <c r="I72" s="107">
        <f>'مستخلص 4'!K72</f>
        <v/>
      </c>
      <c r="J72" s="68" t="n"/>
      <c r="K72" s="101">
        <f>IF(J72="",I72,J72)</f>
        <v/>
      </c>
      <c r="L72" s="74">
        <f>'مستخلص 4'!N72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4'!H73</f>
        <v/>
      </c>
      <c r="G73" s="72" t="n"/>
      <c r="H73" s="84">
        <f>F73+G73</f>
        <v/>
      </c>
      <c r="I73" s="109">
        <f>'مستخلص 4'!K73</f>
        <v/>
      </c>
      <c r="J73" s="68" t="n"/>
      <c r="K73" s="103">
        <f>IF(J73="",I73,J73)</f>
        <v/>
      </c>
      <c r="L73" s="108">
        <f>'مستخلص 4'!N73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4'!H74</f>
        <v/>
      </c>
      <c r="G74" s="72" t="n"/>
      <c r="H74" s="27">
        <f>F74+G74</f>
        <v/>
      </c>
      <c r="I74" s="107">
        <f>'مستخلص 4'!K74</f>
        <v/>
      </c>
      <c r="J74" s="68" t="n"/>
      <c r="K74" s="101">
        <f>IF(J74="",I74,J74)</f>
        <v/>
      </c>
      <c r="L74" s="74">
        <f>'مستخلص 4'!N74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4'!H75</f>
        <v/>
      </c>
      <c r="G75" s="72" t="n"/>
      <c r="H75" s="84">
        <f>F75+G75</f>
        <v/>
      </c>
      <c r="I75" s="109">
        <f>'مستخلص 4'!K75</f>
        <v/>
      </c>
      <c r="J75" s="68" t="n"/>
      <c r="K75" s="103">
        <f>IF(J75="",I75,J75)</f>
        <v/>
      </c>
      <c r="L75" s="108">
        <f>'مستخلص 4'!N75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4'!H76</f>
        <v/>
      </c>
      <c r="G76" s="72" t="n"/>
      <c r="H76" s="27">
        <f>F76+G76</f>
        <v/>
      </c>
      <c r="I76" s="107">
        <f>'مستخلص 4'!K76</f>
        <v/>
      </c>
      <c r="J76" s="68" t="n"/>
      <c r="K76" s="101">
        <f>IF(J76="",I76,J76)</f>
        <v/>
      </c>
      <c r="L76" s="74">
        <f>'مستخلص 4'!N76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4'!H77</f>
        <v/>
      </c>
      <c r="G77" s="72" t="n"/>
      <c r="H77" s="84">
        <f>F77+G77</f>
        <v/>
      </c>
      <c r="I77" s="109">
        <f>'مستخلص 4'!K77</f>
        <v/>
      </c>
      <c r="J77" s="68" t="n"/>
      <c r="K77" s="103">
        <f>IF(J77="",I77,J77)</f>
        <v/>
      </c>
      <c r="L77" s="108">
        <f>'مستخلص 4'!N77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4'!H78</f>
        <v/>
      </c>
      <c r="G78" s="72" t="n"/>
      <c r="H78" s="27">
        <f>F78+G78</f>
        <v/>
      </c>
      <c r="I78" s="107">
        <f>'مستخلص 4'!K78</f>
        <v/>
      </c>
      <c r="J78" s="68" t="n"/>
      <c r="K78" s="101">
        <f>IF(J78="",I78,J78)</f>
        <v/>
      </c>
      <c r="L78" s="74">
        <f>'مستخلص 4'!N78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4'!H79</f>
        <v/>
      </c>
      <c r="G79" s="72" t="n"/>
      <c r="H79" s="84">
        <f>F79+G79</f>
        <v/>
      </c>
      <c r="I79" s="109">
        <f>'مستخلص 4'!K79</f>
        <v/>
      </c>
      <c r="J79" s="68" t="n"/>
      <c r="K79" s="103">
        <f>IF(J79="",I79,J79)</f>
        <v/>
      </c>
      <c r="L79" s="108">
        <f>'مستخلص 4'!N79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4'!H80</f>
        <v/>
      </c>
      <c r="G80" s="72" t="n"/>
      <c r="H80" s="27">
        <f>F80+G80</f>
        <v/>
      </c>
      <c r="I80" s="107">
        <f>'مستخلص 4'!K80</f>
        <v/>
      </c>
      <c r="J80" s="68" t="n"/>
      <c r="K80" s="101">
        <f>IF(J80="",I80,J80)</f>
        <v/>
      </c>
      <c r="L80" s="74">
        <f>'مستخلص 4'!N80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4'!H81</f>
        <v/>
      </c>
      <c r="G81" s="72" t="n"/>
      <c r="H81" s="84">
        <f>F81+G81</f>
        <v/>
      </c>
      <c r="I81" s="109">
        <f>'مستخلص 4'!K81</f>
        <v/>
      </c>
      <c r="J81" s="68" t="n"/>
      <c r="K81" s="103">
        <f>IF(J81="",I81,J81)</f>
        <v/>
      </c>
      <c r="L81" s="108">
        <f>'مستخلص 4'!N81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4'!H82</f>
        <v/>
      </c>
      <c r="G82" s="72" t="n"/>
      <c r="H82" s="27">
        <f>F82+G82</f>
        <v/>
      </c>
      <c r="I82" s="107">
        <f>'مستخلص 4'!K82</f>
        <v/>
      </c>
      <c r="J82" s="68" t="n"/>
      <c r="K82" s="101">
        <f>IF(J82="",I82,J82)</f>
        <v/>
      </c>
      <c r="L82" s="74">
        <f>'مستخلص 4'!N82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4'!H83</f>
        <v/>
      </c>
      <c r="G83" s="72" t="n"/>
      <c r="H83" s="84">
        <f>F83+G83</f>
        <v/>
      </c>
      <c r="I83" s="109">
        <f>'مستخلص 4'!K83</f>
        <v/>
      </c>
      <c r="J83" s="68" t="n"/>
      <c r="K83" s="103">
        <f>IF(J83="",I83,J83)</f>
        <v/>
      </c>
      <c r="L83" s="108">
        <f>'مستخلص 4'!N83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4'!H84</f>
        <v/>
      </c>
      <c r="G84" s="72" t="n"/>
      <c r="H84" s="27">
        <f>F84+G84</f>
        <v/>
      </c>
      <c r="I84" s="107">
        <f>'مستخلص 4'!K84</f>
        <v/>
      </c>
      <c r="J84" s="68" t="n"/>
      <c r="K84" s="101">
        <f>IF(J84="",I84,J84)</f>
        <v/>
      </c>
      <c r="L84" s="74">
        <f>'مستخلص 4'!N84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4'!H85</f>
        <v/>
      </c>
      <c r="G85" s="72" t="n"/>
      <c r="H85" s="84">
        <f>F85+G85</f>
        <v/>
      </c>
      <c r="I85" s="109">
        <f>'مستخلص 4'!K85</f>
        <v/>
      </c>
      <c r="J85" s="68" t="n"/>
      <c r="K85" s="103">
        <f>IF(J85="",I85,J85)</f>
        <v/>
      </c>
      <c r="L85" s="108">
        <f>'مستخلص 4'!N85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4'!H86</f>
        <v/>
      </c>
      <c r="G86" s="72" t="n"/>
      <c r="H86" s="27">
        <f>F86+G86</f>
        <v/>
      </c>
      <c r="I86" s="107">
        <f>'مستخلص 4'!K86</f>
        <v/>
      </c>
      <c r="J86" s="68" t="n"/>
      <c r="K86" s="101">
        <f>IF(J86="",I86,J86)</f>
        <v/>
      </c>
      <c r="L86" s="74">
        <f>'مستخلص 4'!N86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4'!H87</f>
        <v/>
      </c>
      <c r="G87" s="72" t="n"/>
      <c r="H87" s="84">
        <f>F87+G87</f>
        <v/>
      </c>
      <c r="I87" s="109">
        <f>'مستخلص 4'!K87</f>
        <v/>
      </c>
      <c r="J87" s="68" t="n"/>
      <c r="K87" s="103">
        <f>IF(J87="",I87,J87)</f>
        <v/>
      </c>
      <c r="L87" s="108">
        <f>'مستخلص 4'!N87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4'!H88</f>
        <v/>
      </c>
      <c r="G88" s="72" t="n"/>
      <c r="H88" s="27">
        <f>F88+G88</f>
        <v/>
      </c>
      <c r="I88" s="107">
        <f>'مستخلص 4'!K88</f>
        <v/>
      </c>
      <c r="J88" s="68" t="n"/>
      <c r="K88" s="101">
        <f>IF(J88="",I88,J88)</f>
        <v/>
      </c>
      <c r="L88" s="74">
        <f>'مستخلص 4'!N88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4'!H89</f>
        <v/>
      </c>
      <c r="G89" s="72" t="n"/>
      <c r="H89" s="84">
        <f>F89+G89</f>
        <v/>
      </c>
      <c r="I89" s="109">
        <f>'مستخلص 4'!K89</f>
        <v/>
      </c>
      <c r="J89" s="68" t="n"/>
      <c r="K89" s="103">
        <f>IF(J89="",I89,J89)</f>
        <v/>
      </c>
      <c r="L89" s="108">
        <f>'مستخلص 4'!N89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4'!H90</f>
        <v/>
      </c>
      <c r="G90" s="72" t="n"/>
      <c r="H90" s="27">
        <f>F90+G90</f>
        <v/>
      </c>
      <c r="I90" s="107">
        <f>'مستخلص 4'!K90</f>
        <v/>
      </c>
      <c r="J90" s="68" t="n"/>
      <c r="K90" s="101">
        <f>IF(J90="",I90,J90)</f>
        <v/>
      </c>
      <c r="L90" s="74">
        <f>'مستخلص 4'!N90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4'!H91</f>
        <v/>
      </c>
      <c r="G91" s="72" t="n"/>
      <c r="H91" s="84">
        <f>F91+G91</f>
        <v/>
      </c>
      <c r="I91" s="109">
        <f>'مستخلص 4'!K91</f>
        <v/>
      </c>
      <c r="J91" s="68" t="n"/>
      <c r="K91" s="103">
        <f>IF(J91="",I91,J91)</f>
        <v/>
      </c>
      <c r="L91" s="108">
        <f>'مستخلص 4'!N91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4'!H92</f>
        <v/>
      </c>
      <c r="G92" s="72" t="n"/>
      <c r="H92" s="27">
        <f>F92+G92</f>
        <v/>
      </c>
      <c r="I92" s="107">
        <f>'مستخلص 4'!K92</f>
        <v/>
      </c>
      <c r="J92" s="68" t="n"/>
      <c r="K92" s="101">
        <f>IF(J92="",I92,J92)</f>
        <v/>
      </c>
      <c r="L92" s="74">
        <f>'مستخلص 4'!N92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4'!H93</f>
        <v/>
      </c>
      <c r="G93" s="72" t="n"/>
      <c r="H93" s="84">
        <f>F93+G93</f>
        <v/>
      </c>
      <c r="I93" s="109">
        <f>'مستخلص 4'!K93</f>
        <v/>
      </c>
      <c r="J93" s="68" t="n"/>
      <c r="K93" s="103">
        <f>IF(J93="",I93,J93)</f>
        <v/>
      </c>
      <c r="L93" s="108">
        <f>'مستخلص 4'!N93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4'!H94</f>
        <v/>
      </c>
      <c r="G94" s="72" t="n"/>
      <c r="H94" s="27">
        <f>F94+G94</f>
        <v/>
      </c>
      <c r="I94" s="107">
        <f>'مستخلص 4'!K94</f>
        <v/>
      </c>
      <c r="J94" s="68" t="n"/>
      <c r="K94" s="101">
        <f>IF(J94="",I94,J94)</f>
        <v/>
      </c>
      <c r="L94" s="74">
        <f>'مستخلص 4'!N94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4'!H95</f>
        <v/>
      </c>
      <c r="G95" s="72" t="n"/>
      <c r="H95" s="84">
        <f>F95+G95</f>
        <v/>
      </c>
      <c r="I95" s="109">
        <f>'مستخلص 4'!K95</f>
        <v/>
      </c>
      <c r="J95" s="68" t="n"/>
      <c r="K95" s="103">
        <f>IF(J95="",I95,J95)</f>
        <v/>
      </c>
      <c r="L95" s="108">
        <f>'مستخلص 4'!N95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4'!H96</f>
        <v/>
      </c>
      <c r="G96" s="72" t="n"/>
      <c r="H96" s="27">
        <f>F96+G96</f>
        <v/>
      </c>
      <c r="I96" s="107">
        <f>'مستخلص 4'!K96</f>
        <v/>
      </c>
      <c r="J96" s="68" t="n"/>
      <c r="K96" s="101">
        <f>IF(J96="",I96,J96)</f>
        <v/>
      </c>
      <c r="L96" s="74">
        <f>'مستخلص 4'!N96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4'!H97</f>
        <v/>
      </c>
      <c r="G97" s="72" t="n"/>
      <c r="H97" s="84">
        <f>F97+G97</f>
        <v/>
      </c>
      <c r="I97" s="109">
        <f>'مستخلص 4'!K97</f>
        <v/>
      </c>
      <c r="J97" s="68" t="n"/>
      <c r="K97" s="103">
        <f>IF(J97="",I97,J97)</f>
        <v/>
      </c>
      <c r="L97" s="108">
        <f>'مستخلص 4'!N97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4'!H98</f>
        <v/>
      </c>
      <c r="G98" s="72" t="n"/>
      <c r="H98" s="27">
        <f>F98+G98</f>
        <v/>
      </c>
      <c r="I98" s="107">
        <f>'مستخلص 4'!K98</f>
        <v/>
      </c>
      <c r="J98" s="68" t="n"/>
      <c r="K98" s="101">
        <f>IF(J98="",I98,J98)</f>
        <v/>
      </c>
      <c r="L98" s="74">
        <f>'مستخلص 4'!N98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4'!H99</f>
        <v/>
      </c>
      <c r="G99" s="72" t="n"/>
      <c r="H99" s="84">
        <f>F99+G99</f>
        <v/>
      </c>
      <c r="I99" s="109">
        <f>'مستخلص 4'!K99</f>
        <v/>
      </c>
      <c r="J99" s="68" t="n"/>
      <c r="K99" s="103">
        <f>IF(J99="",I99,J99)</f>
        <v/>
      </c>
      <c r="L99" s="108">
        <f>'مستخلص 4'!N99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4'!H100</f>
        <v/>
      </c>
      <c r="G100" s="72" t="n"/>
      <c r="H100" s="27">
        <f>F100+G100</f>
        <v/>
      </c>
      <c r="I100" s="107">
        <f>'مستخلص 4'!K100</f>
        <v/>
      </c>
      <c r="J100" s="68" t="n"/>
      <c r="K100" s="101">
        <f>IF(J100="",I100,J100)</f>
        <v/>
      </c>
      <c r="L100" s="74">
        <f>'مستخلص 4'!N100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4'!H101</f>
        <v/>
      </c>
      <c r="G101" s="72" t="n"/>
      <c r="H101" s="84">
        <f>F101+G101</f>
        <v/>
      </c>
      <c r="I101" s="109">
        <f>'مستخلص 4'!K101</f>
        <v/>
      </c>
      <c r="J101" s="68" t="n"/>
      <c r="K101" s="103">
        <f>IF(J101="",I101,J101)</f>
        <v/>
      </c>
      <c r="L101" s="108">
        <f>'مستخلص 4'!N101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4'!H102</f>
        <v/>
      </c>
      <c r="G102" s="72" t="n"/>
      <c r="H102" s="27">
        <f>F102+G102</f>
        <v/>
      </c>
      <c r="I102" s="107">
        <f>'مستخلص 4'!K102</f>
        <v/>
      </c>
      <c r="J102" s="68" t="n"/>
      <c r="K102" s="101">
        <f>IF(J102="",I102,J102)</f>
        <v/>
      </c>
      <c r="L102" s="74">
        <f>'مستخلص 4'!N102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4'!H103</f>
        <v/>
      </c>
      <c r="G103" s="72" t="n"/>
      <c r="H103" s="84">
        <f>F103+G103</f>
        <v/>
      </c>
      <c r="I103" s="109">
        <f>'مستخلص 4'!K103</f>
        <v/>
      </c>
      <c r="J103" s="68" t="n"/>
      <c r="K103" s="103">
        <f>IF(J103="",I103,J103)</f>
        <v/>
      </c>
      <c r="L103" s="108">
        <f>'مستخلص 4'!N103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4'!H104</f>
        <v/>
      </c>
      <c r="G104" s="72" t="n"/>
      <c r="H104" s="27">
        <f>F104+G104</f>
        <v/>
      </c>
      <c r="I104" s="107">
        <f>'مستخلص 4'!K104</f>
        <v/>
      </c>
      <c r="J104" s="68" t="n"/>
      <c r="K104" s="101">
        <f>IF(J104="",I104,J104)</f>
        <v/>
      </c>
      <c r="L104" s="74">
        <f>'مستخلص 4'!N104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4'!H105</f>
        <v/>
      </c>
      <c r="G105" s="72" t="n"/>
      <c r="H105" s="84">
        <f>F105+G105</f>
        <v/>
      </c>
      <c r="I105" s="109">
        <f>'مستخلص 4'!K105</f>
        <v/>
      </c>
      <c r="J105" s="68" t="n"/>
      <c r="K105" s="103">
        <f>IF(J105="",I105,J105)</f>
        <v/>
      </c>
      <c r="L105" s="108">
        <f>'مستخلص 4'!N105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4'!H106</f>
        <v/>
      </c>
      <c r="G106" s="72" t="n"/>
      <c r="H106" s="27">
        <f>F106+G106</f>
        <v/>
      </c>
      <c r="I106" s="107">
        <f>'مستخلص 4'!K106</f>
        <v/>
      </c>
      <c r="J106" s="68" t="n"/>
      <c r="K106" s="101">
        <f>IF(J106="",I106,J106)</f>
        <v/>
      </c>
      <c r="L106" s="74">
        <f>'مستخلص 4'!N106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4'!H107</f>
        <v/>
      </c>
      <c r="G107" s="72" t="n"/>
      <c r="H107" s="84">
        <f>F107+G107</f>
        <v/>
      </c>
      <c r="I107" s="109">
        <f>'مستخلص 4'!K107</f>
        <v/>
      </c>
      <c r="J107" s="68" t="n"/>
      <c r="K107" s="103">
        <f>IF(J107="",I107,J107)</f>
        <v/>
      </c>
      <c r="L107" s="108">
        <f>'مستخلص 4'!N107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4'!N111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4'!N112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4'!N113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4'!N114</f>
        <v/>
      </c>
      <c r="M114" s="27">
        <f>'الدفعات المقدمة'!I29</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4'!N115</f>
        <v/>
      </c>
      <c r="M115" s="27">
        <f>'ضمان الأعمال'!I20</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4'!N116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4'!N117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4'!N118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4'!A1" display="◀ المستخلص السابق (4)"/>
    <hyperlink ref="N3" location="'مستخلص 6'!A1" display="المستخلص التالي (6)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( 6 )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(5)</t>
        </is>
      </c>
      <c r="M3" s="4" t="n"/>
      <c r="N3" s="4" t="inlineStr">
        <is>
          <t>المستخلص التالي (7) ▶</t>
        </is>
      </c>
      <c r="O3" s="4" t="n"/>
      <c r="P3" s="4" t="n"/>
    </row>
    <row r="4" ht="24" customHeight="1">
      <c r="A4" s="96" t="inlineStr">
        <is>
          <t>رقم</t>
        </is>
      </c>
      <c r="B4" s="97" t="n">
        <v>6</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5'!H8</f>
        <v/>
      </c>
      <c r="G8" s="72" t="n"/>
      <c r="H8" s="27">
        <f>F8+G8</f>
        <v/>
      </c>
      <c r="I8" s="107">
        <f>'مستخلص 5'!K8</f>
        <v/>
      </c>
      <c r="J8" s="68" t="n"/>
      <c r="K8" s="101">
        <f>IF(J8="",I8,J8)</f>
        <v/>
      </c>
      <c r="L8" s="74">
        <f>'مستخلص 5'!N8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5'!H9</f>
        <v/>
      </c>
      <c r="G9" s="72" t="n"/>
      <c r="H9" s="84">
        <f>F9+G9</f>
        <v/>
      </c>
      <c r="I9" s="109">
        <f>'مستخلص 5'!K9</f>
        <v/>
      </c>
      <c r="J9" s="68" t="n"/>
      <c r="K9" s="103">
        <f>IF(J9="",I9,J9)</f>
        <v/>
      </c>
      <c r="L9" s="108">
        <f>'مستخلص 5'!N9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5'!H10</f>
        <v/>
      </c>
      <c r="G10" s="72" t="n"/>
      <c r="H10" s="27">
        <f>F10+G10</f>
        <v/>
      </c>
      <c r="I10" s="107">
        <f>'مستخلص 5'!K10</f>
        <v/>
      </c>
      <c r="J10" s="68" t="n"/>
      <c r="K10" s="101">
        <f>IF(J10="",I10,J10)</f>
        <v/>
      </c>
      <c r="L10" s="74">
        <f>'مستخلص 5'!N10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5'!H11</f>
        <v/>
      </c>
      <c r="G11" s="72" t="n"/>
      <c r="H11" s="84">
        <f>F11+G11</f>
        <v/>
      </c>
      <c r="I11" s="109">
        <f>'مستخلص 5'!K11</f>
        <v/>
      </c>
      <c r="J11" s="68" t="n"/>
      <c r="K11" s="103">
        <f>IF(J11="",I11,J11)</f>
        <v/>
      </c>
      <c r="L11" s="108">
        <f>'مستخلص 5'!N11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5'!H12</f>
        <v/>
      </c>
      <c r="G12" s="72" t="n"/>
      <c r="H12" s="27">
        <f>F12+G12</f>
        <v/>
      </c>
      <c r="I12" s="107">
        <f>'مستخلص 5'!K12</f>
        <v/>
      </c>
      <c r="J12" s="68" t="n"/>
      <c r="K12" s="101">
        <f>IF(J12="",I12,J12)</f>
        <v/>
      </c>
      <c r="L12" s="74">
        <f>'مستخلص 5'!N12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5'!H13</f>
        <v/>
      </c>
      <c r="G13" s="72" t="n"/>
      <c r="H13" s="84">
        <f>F13+G13</f>
        <v/>
      </c>
      <c r="I13" s="109">
        <f>'مستخلص 5'!K13</f>
        <v/>
      </c>
      <c r="J13" s="68" t="n"/>
      <c r="K13" s="103">
        <f>IF(J13="",I13,J13)</f>
        <v/>
      </c>
      <c r="L13" s="108">
        <f>'مستخلص 5'!N13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5'!H14</f>
        <v/>
      </c>
      <c r="G14" s="72" t="n"/>
      <c r="H14" s="27">
        <f>F14+G14</f>
        <v/>
      </c>
      <c r="I14" s="107">
        <f>'مستخلص 5'!K14</f>
        <v/>
      </c>
      <c r="J14" s="68" t="n"/>
      <c r="K14" s="101">
        <f>IF(J14="",I14,J14)</f>
        <v/>
      </c>
      <c r="L14" s="74">
        <f>'مستخلص 5'!N14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5'!H15</f>
        <v/>
      </c>
      <c r="G15" s="72" t="n"/>
      <c r="H15" s="84">
        <f>F15+G15</f>
        <v/>
      </c>
      <c r="I15" s="109">
        <f>'مستخلص 5'!K15</f>
        <v/>
      </c>
      <c r="J15" s="68" t="n"/>
      <c r="K15" s="103">
        <f>IF(J15="",I15,J15)</f>
        <v/>
      </c>
      <c r="L15" s="108">
        <f>'مستخلص 5'!N15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5'!H16</f>
        <v/>
      </c>
      <c r="G16" s="72" t="n"/>
      <c r="H16" s="27">
        <f>F16+G16</f>
        <v/>
      </c>
      <c r="I16" s="107">
        <f>'مستخلص 5'!K16</f>
        <v/>
      </c>
      <c r="J16" s="68" t="n"/>
      <c r="K16" s="101">
        <f>IF(J16="",I16,J16)</f>
        <v/>
      </c>
      <c r="L16" s="74">
        <f>'مستخلص 5'!N16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5'!H17</f>
        <v/>
      </c>
      <c r="G17" s="72" t="n"/>
      <c r="H17" s="84">
        <f>F17+G17</f>
        <v/>
      </c>
      <c r="I17" s="109">
        <f>'مستخلص 5'!K17</f>
        <v/>
      </c>
      <c r="J17" s="68" t="n"/>
      <c r="K17" s="103">
        <f>IF(J17="",I17,J17)</f>
        <v/>
      </c>
      <c r="L17" s="108">
        <f>'مستخلص 5'!N17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5'!H18</f>
        <v/>
      </c>
      <c r="G18" s="72" t="n"/>
      <c r="H18" s="27">
        <f>F18+G18</f>
        <v/>
      </c>
      <c r="I18" s="107">
        <f>'مستخلص 5'!K18</f>
        <v/>
      </c>
      <c r="J18" s="68" t="n"/>
      <c r="K18" s="101">
        <f>IF(J18="",I18,J18)</f>
        <v/>
      </c>
      <c r="L18" s="74">
        <f>'مستخلص 5'!N18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5'!H19</f>
        <v/>
      </c>
      <c r="G19" s="72" t="n"/>
      <c r="H19" s="84">
        <f>F19+G19</f>
        <v/>
      </c>
      <c r="I19" s="109">
        <f>'مستخلص 5'!K19</f>
        <v/>
      </c>
      <c r="J19" s="68" t="n"/>
      <c r="K19" s="103">
        <f>IF(J19="",I19,J19)</f>
        <v/>
      </c>
      <c r="L19" s="108">
        <f>'مستخلص 5'!N19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5'!H20</f>
        <v/>
      </c>
      <c r="G20" s="72" t="n"/>
      <c r="H20" s="27">
        <f>F20+G20</f>
        <v/>
      </c>
      <c r="I20" s="107">
        <f>'مستخلص 5'!K20</f>
        <v/>
      </c>
      <c r="J20" s="68" t="n"/>
      <c r="K20" s="101">
        <f>IF(J20="",I20,J20)</f>
        <v/>
      </c>
      <c r="L20" s="74">
        <f>'مستخلص 5'!N20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5'!H21</f>
        <v/>
      </c>
      <c r="G21" s="72" t="n"/>
      <c r="H21" s="84">
        <f>F21+G21</f>
        <v/>
      </c>
      <c r="I21" s="109">
        <f>'مستخلص 5'!K21</f>
        <v/>
      </c>
      <c r="J21" s="68" t="n"/>
      <c r="K21" s="103">
        <f>IF(J21="",I21,J21)</f>
        <v/>
      </c>
      <c r="L21" s="108">
        <f>'مستخلص 5'!N21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5'!H22</f>
        <v/>
      </c>
      <c r="G22" s="72" t="n"/>
      <c r="H22" s="27">
        <f>F22+G22</f>
        <v/>
      </c>
      <c r="I22" s="107">
        <f>'مستخلص 5'!K22</f>
        <v/>
      </c>
      <c r="J22" s="68" t="n"/>
      <c r="K22" s="101">
        <f>IF(J22="",I22,J22)</f>
        <v/>
      </c>
      <c r="L22" s="74">
        <f>'مستخلص 5'!N22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5'!H23</f>
        <v/>
      </c>
      <c r="G23" s="72" t="n"/>
      <c r="H23" s="84">
        <f>F23+G23</f>
        <v/>
      </c>
      <c r="I23" s="109">
        <f>'مستخلص 5'!K23</f>
        <v/>
      </c>
      <c r="J23" s="68" t="n"/>
      <c r="K23" s="103">
        <f>IF(J23="",I23,J23)</f>
        <v/>
      </c>
      <c r="L23" s="108">
        <f>'مستخلص 5'!N23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5'!H24</f>
        <v/>
      </c>
      <c r="G24" s="72" t="n"/>
      <c r="H24" s="27">
        <f>F24+G24</f>
        <v/>
      </c>
      <c r="I24" s="107">
        <f>'مستخلص 5'!K24</f>
        <v/>
      </c>
      <c r="J24" s="68" t="n"/>
      <c r="K24" s="101">
        <f>IF(J24="",I24,J24)</f>
        <v/>
      </c>
      <c r="L24" s="74">
        <f>'مستخلص 5'!N24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5'!H25</f>
        <v/>
      </c>
      <c r="G25" s="72" t="n"/>
      <c r="H25" s="84">
        <f>F25+G25</f>
        <v/>
      </c>
      <c r="I25" s="109">
        <f>'مستخلص 5'!K25</f>
        <v/>
      </c>
      <c r="J25" s="68" t="n"/>
      <c r="K25" s="103">
        <f>IF(J25="",I25,J25)</f>
        <v/>
      </c>
      <c r="L25" s="108">
        <f>'مستخلص 5'!N25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5'!H26</f>
        <v/>
      </c>
      <c r="G26" s="72" t="n"/>
      <c r="H26" s="27">
        <f>F26+G26</f>
        <v/>
      </c>
      <c r="I26" s="107">
        <f>'مستخلص 5'!K26</f>
        <v/>
      </c>
      <c r="J26" s="68" t="n"/>
      <c r="K26" s="101">
        <f>IF(J26="",I26,J26)</f>
        <v/>
      </c>
      <c r="L26" s="74">
        <f>'مستخلص 5'!N26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5'!H27</f>
        <v/>
      </c>
      <c r="G27" s="72" t="n"/>
      <c r="H27" s="84">
        <f>F27+G27</f>
        <v/>
      </c>
      <c r="I27" s="109">
        <f>'مستخلص 5'!K27</f>
        <v/>
      </c>
      <c r="J27" s="68" t="n"/>
      <c r="K27" s="103">
        <f>IF(J27="",I27,J27)</f>
        <v/>
      </c>
      <c r="L27" s="108">
        <f>'مستخلص 5'!N27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5'!H28</f>
        <v/>
      </c>
      <c r="G28" s="72" t="n"/>
      <c r="H28" s="27">
        <f>F28+G28</f>
        <v/>
      </c>
      <c r="I28" s="107">
        <f>'مستخلص 5'!K28</f>
        <v/>
      </c>
      <c r="J28" s="68" t="n"/>
      <c r="K28" s="101">
        <f>IF(J28="",I28,J28)</f>
        <v/>
      </c>
      <c r="L28" s="74">
        <f>'مستخلص 5'!N28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5'!H29</f>
        <v/>
      </c>
      <c r="G29" s="72" t="n"/>
      <c r="H29" s="84">
        <f>F29+G29</f>
        <v/>
      </c>
      <c r="I29" s="109">
        <f>'مستخلص 5'!K29</f>
        <v/>
      </c>
      <c r="J29" s="68" t="n"/>
      <c r="K29" s="103">
        <f>IF(J29="",I29,J29)</f>
        <v/>
      </c>
      <c r="L29" s="108">
        <f>'مستخلص 5'!N29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5'!H30</f>
        <v/>
      </c>
      <c r="G30" s="72" t="n"/>
      <c r="H30" s="27">
        <f>F30+G30</f>
        <v/>
      </c>
      <c r="I30" s="107">
        <f>'مستخلص 5'!K30</f>
        <v/>
      </c>
      <c r="J30" s="68" t="n"/>
      <c r="K30" s="101">
        <f>IF(J30="",I30,J30)</f>
        <v/>
      </c>
      <c r="L30" s="74">
        <f>'مستخلص 5'!N30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5'!H31</f>
        <v/>
      </c>
      <c r="G31" s="72" t="n"/>
      <c r="H31" s="84">
        <f>F31+G31</f>
        <v/>
      </c>
      <c r="I31" s="109">
        <f>'مستخلص 5'!K31</f>
        <v/>
      </c>
      <c r="J31" s="68" t="n"/>
      <c r="K31" s="103">
        <f>IF(J31="",I31,J31)</f>
        <v/>
      </c>
      <c r="L31" s="108">
        <f>'مستخلص 5'!N31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5'!H32</f>
        <v/>
      </c>
      <c r="G32" s="72" t="n"/>
      <c r="H32" s="27">
        <f>F32+G32</f>
        <v/>
      </c>
      <c r="I32" s="107">
        <f>'مستخلص 5'!K32</f>
        <v/>
      </c>
      <c r="J32" s="68" t="n"/>
      <c r="K32" s="101">
        <f>IF(J32="",I32,J32)</f>
        <v/>
      </c>
      <c r="L32" s="74">
        <f>'مستخلص 5'!N32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5'!H33</f>
        <v/>
      </c>
      <c r="G33" s="72" t="n"/>
      <c r="H33" s="84">
        <f>F33+G33</f>
        <v/>
      </c>
      <c r="I33" s="109">
        <f>'مستخلص 5'!K33</f>
        <v/>
      </c>
      <c r="J33" s="68" t="n"/>
      <c r="K33" s="103">
        <f>IF(J33="",I33,J33)</f>
        <v/>
      </c>
      <c r="L33" s="108">
        <f>'مستخلص 5'!N33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5'!H34</f>
        <v/>
      </c>
      <c r="G34" s="72" t="n"/>
      <c r="H34" s="27">
        <f>F34+G34</f>
        <v/>
      </c>
      <c r="I34" s="107">
        <f>'مستخلص 5'!K34</f>
        <v/>
      </c>
      <c r="J34" s="68" t="n"/>
      <c r="K34" s="101">
        <f>IF(J34="",I34,J34)</f>
        <v/>
      </c>
      <c r="L34" s="74">
        <f>'مستخلص 5'!N34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5'!H35</f>
        <v/>
      </c>
      <c r="G35" s="72" t="n"/>
      <c r="H35" s="84">
        <f>F35+G35</f>
        <v/>
      </c>
      <c r="I35" s="109">
        <f>'مستخلص 5'!K35</f>
        <v/>
      </c>
      <c r="J35" s="68" t="n"/>
      <c r="K35" s="103">
        <f>IF(J35="",I35,J35)</f>
        <v/>
      </c>
      <c r="L35" s="108">
        <f>'مستخلص 5'!N35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5'!H36</f>
        <v/>
      </c>
      <c r="G36" s="72" t="n"/>
      <c r="H36" s="27">
        <f>F36+G36</f>
        <v/>
      </c>
      <c r="I36" s="107">
        <f>'مستخلص 5'!K36</f>
        <v/>
      </c>
      <c r="J36" s="68" t="n"/>
      <c r="K36" s="101">
        <f>IF(J36="",I36,J36)</f>
        <v/>
      </c>
      <c r="L36" s="74">
        <f>'مستخلص 5'!N36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5'!H37</f>
        <v/>
      </c>
      <c r="G37" s="72" t="n"/>
      <c r="H37" s="84">
        <f>F37+G37</f>
        <v/>
      </c>
      <c r="I37" s="109">
        <f>'مستخلص 5'!K37</f>
        <v/>
      </c>
      <c r="J37" s="68" t="n"/>
      <c r="K37" s="103">
        <f>IF(J37="",I37,J37)</f>
        <v/>
      </c>
      <c r="L37" s="108">
        <f>'مستخلص 5'!N37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5'!H38</f>
        <v/>
      </c>
      <c r="G38" s="72" t="n"/>
      <c r="H38" s="27">
        <f>F38+G38</f>
        <v/>
      </c>
      <c r="I38" s="107">
        <f>'مستخلص 5'!K38</f>
        <v/>
      </c>
      <c r="J38" s="68" t="n"/>
      <c r="K38" s="101">
        <f>IF(J38="",I38,J38)</f>
        <v/>
      </c>
      <c r="L38" s="74">
        <f>'مستخلص 5'!N38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5'!H39</f>
        <v/>
      </c>
      <c r="G39" s="72" t="n"/>
      <c r="H39" s="84">
        <f>F39+G39</f>
        <v/>
      </c>
      <c r="I39" s="109">
        <f>'مستخلص 5'!K39</f>
        <v/>
      </c>
      <c r="J39" s="68" t="n"/>
      <c r="K39" s="103">
        <f>IF(J39="",I39,J39)</f>
        <v/>
      </c>
      <c r="L39" s="108">
        <f>'مستخلص 5'!N39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5'!H40</f>
        <v/>
      </c>
      <c r="G40" s="72" t="n"/>
      <c r="H40" s="27">
        <f>F40+G40</f>
        <v/>
      </c>
      <c r="I40" s="107">
        <f>'مستخلص 5'!K40</f>
        <v/>
      </c>
      <c r="J40" s="68" t="n"/>
      <c r="K40" s="101">
        <f>IF(J40="",I40,J40)</f>
        <v/>
      </c>
      <c r="L40" s="74">
        <f>'مستخلص 5'!N40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5'!H41</f>
        <v/>
      </c>
      <c r="G41" s="72" t="n"/>
      <c r="H41" s="84">
        <f>F41+G41</f>
        <v/>
      </c>
      <c r="I41" s="109">
        <f>'مستخلص 5'!K41</f>
        <v/>
      </c>
      <c r="J41" s="68" t="n"/>
      <c r="K41" s="103">
        <f>IF(J41="",I41,J41)</f>
        <v/>
      </c>
      <c r="L41" s="108">
        <f>'مستخلص 5'!N41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5'!H42</f>
        <v/>
      </c>
      <c r="G42" s="72" t="n"/>
      <c r="H42" s="27">
        <f>F42+G42</f>
        <v/>
      </c>
      <c r="I42" s="107">
        <f>'مستخلص 5'!K42</f>
        <v/>
      </c>
      <c r="J42" s="68" t="n"/>
      <c r="K42" s="101">
        <f>IF(J42="",I42,J42)</f>
        <v/>
      </c>
      <c r="L42" s="74">
        <f>'مستخلص 5'!N42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5'!H43</f>
        <v/>
      </c>
      <c r="G43" s="72" t="n"/>
      <c r="H43" s="84">
        <f>F43+G43</f>
        <v/>
      </c>
      <c r="I43" s="109">
        <f>'مستخلص 5'!K43</f>
        <v/>
      </c>
      <c r="J43" s="68" t="n"/>
      <c r="K43" s="103">
        <f>IF(J43="",I43,J43)</f>
        <v/>
      </c>
      <c r="L43" s="108">
        <f>'مستخلص 5'!N43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5'!H44</f>
        <v/>
      </c>
      <c r="G44" s="72" t="n"/>
      <c r="H44" s="27">
        <f>F44+G44</f>
        <v/>
      </c>
      <c r="I44" s="107">
        <f>'مستخلص 5'!K44</f>
        <v/>
      </c>
      <c r="J44" s="68" t="n"/>
      <c r="K44" s="101">
        <f>IF(J44="",I44,J44)</f>
        <v/>
      </c>
      <c r="L44" s="74">
        <f>'مستخلص 5'!N44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5'!H45</f>
        <v/>
      </c>
      <c r="G45" s="72" t="n"/>
      <c r="H45" s="84">
        <f>F45+G45</f>
        <v/>
      </c>
      <c r="I45" s="109">
        <f>'مستخلص 5'!K45</f>
        <v/>
      </c>
      <c r="J45" s="68" t="n"/>
      <c r="K45" s="103">
        <f>IF(J45="",I45,J45)</f>
        <v/>
      </c>
      <c r="L45" s="108">
        <f>'مستخلص 5'!N45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5'!H46</f>
        <v/>
      </c>
      <c r="G46" s="72" t="n"/>
      <c r="H46" s="27">
        <f>F46+G46</f>
        <v/>
      </c>
      <c r="I46" s="107">
        <f>'مستخلص 5'!K46</f>
        <v/>
      </c>
      <c r="J46" s="68" t="n"/>
      <c r="K46" s="101">
        <f>IF(J46="",I46,J46)</f>
        <v/>
      </c>
      <c r="L46" s="74">
        <f>'مستخلص 5'!N46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5'!H47</f>
        <v/>
      </c>
      <c r="G47" s="72" t="n"/>
      <c r="H47" s="84">
        <f>F47+G47</f>
        <v/>
      </c>
      <c r="I47" s="109">
        <f>'مستخلص 5'!K47</f>
        <v/>
      </c>
      <c r="J47" s="68" t="n"/>
      <c r="K47" s="103">
        <f>IF(J47="",I47,J47)</f>
        <v/>
      </c>
      <c r="L47" s="108">
        <f>'مستخلص 5'!N47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5'!H48</f>
        <v/>
      </c>
      <c r="G48" s="72" t="n"/>
      <c r="H48" s="27">
        <f>F48+G48</f>
        <v/>
      </c>
      <c r="I48" s="107">
        <f>'مستخلص 5'!K48</f>
        <v/>
      </c>
      <c r="J48" s="68" t="n"/>
      <c r="K48" s="101">
        <f>IF(J48="",I48,J48)</f>
        <v/>
      </c>
      <c r="L48" s="74">
        <f>'مستخلص 5'!N48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5'!H49</f>
        <v/>
      </c>
      <c r="G49" s="72" t="n"/>
      <c r="H49" s="84">
        <f>F49+G49</f>
        <v/>
      </c>
      <c r="I49" s="109">
        <f>'مستخلص 5'!K49</f>
        <v/>
      </c>
      <c r="J49" s="68" t="n"/>
      <c r="K49" s="103">
        <f>IF(J49="",I49,J49)</f>
        <v/>
      </c>
      <c r="L49" s="108">
        <f>'مستخلص 5'!N49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5'!H50</f>
        <v/>
      </c>
      <c r="G50" s="72" t="n"/>
      <c r="H50" s="27">
        <f>F50+G50</f>
        <v/>
      </c>
      <c r="I50" s="107">
        <f>'مستخلص 5'!K50</f>
        <v/>
      </c>
      <c r="J50" s="68" t="n"/>
      <c r="K50" s="101">
        <f>IF(J50="",I50,J50)</f>
        <v/>
      </c>
      <c r="L50" s="74">
        <f>'مستخلص 5'!N50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5'!H51</f>
        <v/>
      </c>
      <c r="G51" s="72" t="n"/>
      <c r="H51" s="84">
        <f>F51+G51</f>
        <v/>
      </c>
      <c r="I51" s="109">
        <f>'مستخلص 5'!K51</f>
        <v/>
      </c>
      <c r="J51" s="68" t="n"/>
      <c r="K51" s="103">
        <f>IF(J51="",I51,J51)</f>
        <v/>
      </c>
      <c r="L51" s="108">
        <f>'مستخلص 5'!N51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5'!H52</f>
        <v/>
      </c>
      <c r="G52" s="72" t="n"/>
      <c r="H52" s="27">
        <f>F52+G52</f>
        <v/>
      </c>
      <c r="I52" s="107">
        <f>'مستخلص 5'!K52</f>
        <v/>
      </c>
      <c r="J52" s="68" t="n"/>
      <c r="K52" s="101">
        <f>IF(J52="",I52,J52)</f>
        <v/>
      </c>
      <c r="L52" s="74">
        <f>'مستخلص 5'!N52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5'!H53</f>
        <v/>
      </c>
      <c r="G53" s="72" t="n"/>
      <c r="H53" s="84">
        <f>F53+G53</f>
        <v/>
      </c>
      <c r="I53" s="109">
        <f>'مستخلص 5'!K53</f>
        <v/>
      </c>
      <c r="J53" s="68" t="n"/>
      <c r="K53" s="103">
        <f>IF(J53="",I53,J53)</f>
        <v/>
      </c>
      <c r="L53" s="108">
        <f>'مستخلص 5'!N53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5'!H54</f>
        <v/>
      </c>
      <c r="G54" s="72" t="n"/>
      <c r="H54" s="27">
        <f>F54+G54</f>
        <v/>
      </c>
      <c r="I54" s="107">
        <f>'مستخلص 5'!K54</f>
        <v/>
      </c>
      <c r="J54" s="68" t="n"/>
      <c r="K54" s="101">
        <f>IF(J54="",I54,J54)</f>
        <v/>
      </c>
      <c r="L54" s="74">
        <f>'مستخلص 5'!N54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5'!H55</f>
        <v/>
      </c>
      <c r="G55" s="72" t="n"/>
      <c r="H55" s="84">
        <f>F55+G55</f>
        <v/>
      </c>
      <c r="I55" s="109">
        <f>'مستخلص 5'!K55</f>
        <v/>
      </c>
      <c r="J55" s="68" t="n"/>
      <c r="K55" s="103">
        <f>IF(J55="",I55,J55)</f>
        <v/>
      </c>
      <c r="L55" s="108">
        <f>'مستخلص 5'!N55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5'!H56</f>
        <v/>
      </c>
      <c r="G56" s="72" t="n"/>
      <c r="H56" s="27">
        <f>F56+G56</f>
        <v/>
      </c>
      <c r="I56" s="107">
        <f>'مستخلص 5'!K56</f>
        <v/>
      </c>
      <c r="J56" s="68" t="n"/>
      <c r="K56" s="101">
        <f>IF(J56="",I56,J56)</f>
        <v/>
      </c>
      <c r="L56" s="74">
        <f>'مستخلص 5'!N56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5'!H57</f>
        <v/>
      </c>
      <c r="G57" s="72" t="n"/>
      <c r="H57" s="84">
        <f>F57+G57</f>
        <v/>
      </c>
      <c r="I57" s="109">
        <f>'مستخلص 5'!K57</f>
        <v/>
      </c>
      <c r="J57" s="68" t="n"/>
      <c r="K57" s="103">
        <f>IF(J57="",I57,J57)</f>
        <v/>
      </c>
      <c r="L57" s="108">
        <f>'مستخلص 5'!N57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5'!H58</f>
        <v/>
      </c>
      <c r="G58" s="72" t="n"/>
      <c r="H58" s="27">
        <f>F58+G58</f>
        <v/>
      </c>
      <c r="I58" s="107">
        <f>'مستخلص 5'!K58</f>
        <v/>
      </c>
      <c r="J58" s="68" t="n"/>
      <c r="K58" s="101">
        <f>IF(J58="",I58,J58)</f>
        <v/>
      </c>
      <c r="L58" s="74">
        <f>'مستخلص 5'!N58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5'!H59</f>
        <v/>
      </c>
      <c r="G59" s="72" t="n"/>
      <c r="H59" s="84">
        <f>F59+G59</f>
        <v/>
      </c>
      <c r="I59" s="109">
        <f>'مستخلص 5'!K59</f>
        <v/>
      </c>
      <c r="J59" s="68" t="n"/>
      <c r="K59" s="103">
        <f>IF(J59="",I59,J59)</f>
        <v/>
      </c>
      <c r="L59" s="108">
        <f>'مستخلص 5'!N59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5'!H60</f>
        <v/>
      </c>
      <c r="G60" s="72" t="n"/>
      <c r="H60" s="27">
        <f>F60+G60</f>
        <v/>
      </c>
      <c r="I60" s="107">
        <f>'مستخلص 5'!K60</f>
        <v/>
      </c>
      <c r="J60" s="68" t="n"/>
      <c r="K60" s="101">
        <f>IF(J60="",I60,J60)</f>
        <v/>
      </c>
      <c r="L60" s="74">
        <f>'مستخلص 5'!N60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5'!H61</f>
        <v/>
      </c>
      <c r="G61" s="72" t="n"/>
      <c r="H61" s="84">
        <f>F61+G61</f>
        <v/>
      </c>
      <c r="I61" s="109">
        <f>'مستخلص 5'!K61</f>
        <v/>
      </c>
      <c r="J61" s="68" t="n"/>
      <c r="K61" s="103">
        <f>IF(J61="",I61,J61)</f>
        <v/>
      </c>
      <c r="L61" s="108">
        <f>'مستخلص 5'!N61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5'!H62</f>
        <v/>
      </c>
      <c r="G62" s="72" t="n"/>
      <c r="H62" s="27">
        <f>F62+G62</f>
        <v/>
      </c>
      <c r="I62" s="107">
        <f>'مستخلص 5'!K62</f>
        <v/>
      </c>
      <c r="J62" s="68" t="n"/>
      <c r="K62" s="101">
        <f>IF(J62="",I62,J62)</f>
        <v/>
      </c>
      <c r="L62" s="74">
        <f>'مستخلص 5'!N62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5'!H63</f>
        <v/>
      </c>
      <c r="G63" s="72" t="n"/>
      <c r="H63" s="84">
        <f>F63+G63</f>
        <v/>
      </c>
      <c r="I63" s="109">
        <f>'مستخلص 5'!K63</f>
        <v/>
      </c>
      <c r="J63" s="68" t="n"/>
      <c r="K63" s="103">
        <f>IF(J63="",I63,J63)</f>
        <v/>
      </c>
      <c r="L63" s="108">
        <f>'مستخلص 5'!N63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5'!H64</f>
        <v/>
      </c>
      <c r="G64" s="72" t="n"/>
      <c r="H64" s="27">
        <f>F64+G64</f>
        <v/>
      </c>
      <c r="I64" s="107">
        <f>'مستخلص 5'!K64</f>
        <v/>
      </c>
      <c r="J64" s="68" t="n"/>
      <c r="K64" s="101">
        <f>IF(J64="",I64,J64)</f>
        <v/>
      </c>
      <c r="L64" s="74">
        <f>'مستخلص 5'!N64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5'!H65</f>
        <v/>
      </c>
      <c r="G65" s="72" t="n"/>
      <c r="H65" s="84">
        <f>F65+G65</f>
        <v/>
      </c>
      <c r="I65" s="109">
        <f>'مستخلص 5'!K65</f>
        <v/>
      </c>
      <c r="J65" s="68" t="n"/>
      <c r="K65" s="103">
        <f>IF(J65="",I65,J65)</f>
        <v/>
      </c>
      <c r="L65" s="108">
        <f>'مستخلص 5'!N65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5'!H66</f>
        <v/>
      </c>
      <c r="G66" s="72" t="n"/>
      <c r="H66" s="27">
        <f>F66+G66</f>
        <v/>
      </c>
      <c r="I66" s="107">
        <f>'مستخلص 5'!K66</f>
        <v/>
      </c>
      <c r="J66" s="68" t="n"/>
      <c r="K66" s="101">
        <f>IF(J66="",I66,J66)</f>
        <v/>
      </c>
      <c r="L66" s="74">
        <f>'مستخلص 5'!N66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5'!H67</f>
        <v/>
      </c>
      <c r="G67" s="72" t="n"/>
      <c r="H67" s="84">
        <f>F67+G67</f>
        <v/>
      </c>
      <c r="I67" s="109">
        <f>'مستخلص 5'!K67</f>
        <v/>
      </c>
      <c r="J67" s="68" t="n"/>
      <c r="K67" s="103">
        <f>IF(J67="",I67,J67)</f>
        <v/>
      </c>
      <c r="L67" s="108">
        <f>'مستخلص 5'!N67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5'!H68</f>
        <v/>
      </c>
      <c r="G68" s="72" t="n"/>
      <c r="H68" s="27">
        <f>F68+G68</f>
        <v/>
      </c>
      <c r="I68" s="107">
        <f>'مستخلص 5'!K68</f>
        <v/>
      </c>
      <c r="J68" s="68" t="n"/>
      <c r="K68" s="101">
        <f>IF(J68="",I68,J68)</f>
        <v/>
      </c>
      <c r="L68" s="74">
        <f>'مستخلص 5'!N68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5'!H69</f>
        <v/>
      </c>
      <c r="G69" s="72" t="n"/>
      <c r="H69" s="84">
        <f>F69+G69</f>
        <v/>
      </c>
      <c r="I69" s="109">
        <f>'مستخلص 5'!K69</f>
        <v/>
      </c>
      <c r="J69" s="68" t="n"/>
      <c r="K69" s="103">
        <f>IF(J69="",I69,J69)</f>
        <v/>
      </c>
      <c r="L69" s="108">
        <f>'مستخلص 5'!N69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5'!H70</f>
        <v/>
      </c>
      <c r="G70" s="72" t="n"/>
      <c r="H70" s="27">
        <f>F70+G70</f>
        <v/>
      </c>
      <c r="I70" s="107">
        <f>'مستخلص 5'!K70</f>
        <v/>
      </c>
      <c r="J70" s="68" t="n"/>
      <c r="K70" s="101">
        <f>IF(J70="",I70,J70)</f>
        <v/>
      </c>
      <c r="L70" s="74">
        <f>'مستخلص 5'!N70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5'!H71</f>
        <v/>
      </c>
      <c r="G71" s="72" t="n"/>
      <c r="H71" s="84">
        <f>F71+G71</f>
        <v/>
      </c>
      <c r="I71" s="109">
        <f>'مستخلص 5'!K71</f>
        <v/>
      </c>
      <c r="J71" s="68" t="n"/>
      <c r="K71" s="103">
        <f>IF(J71="",I71,J71)</f>
        <v/>
      </c>
      <c r="L71" s="108">
        <f>'مستخلص 5'!N71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5'!H72</f>
        <v/>
      </c>
      <c r="G72" s="72" t="n"/>
      <c r="H72" s="27">
        <f>F72+G72</f>
        <v/>
      </c>
      <c r="I72" s="107">
        <f>'مستخلص 5'!K72</f>
        <v/>
      </c>
      <c r="J72" s="68" t="n"/>
      <c r="K72" s="101">
        <f>IF(J72="",I72,J72)</f>
        <v/>
      </c>
      <c r="L72" s="74">
        <f>'مستخلص 5'!N72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5'!H73</f>
        <v/>
      </c>
      <c r="G73" s="72" t="n"/>
      <c r="H73" s="84">
        <f>F73+G73</f>
        <v/>
      </c>
      <c r="I73" s="109">
        <f>'مستخلص 5'!K73</f>
        <v/>
      </c>
      <c r="J73" s="68" t="n"/>
      <c r="K73" s="103">
        <f>IF(J73="",I73,J73)</f>
        <v/>
      </c>
      <c r="L73" s="108">
        <f>'مستخلص 5'!N73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5'!H74</f>
        <v/>
      </c>
      <c r="G74" s="72" t="n"/>
      <c r="H74" s="27">
        <f>F74+G74</f>
        <v/>
      </c>
      <c r="I74" s="107">
        <f>'مستخلص 5'!K74</f>
        <v/>
      </c>
      <c r="J74" s="68" t="n"/>
      <c r="K74" s="101">
        <f>IF(J74="",I74,J74)</f>
        <v/>
      </c>
      <c r="L74" s="74">
        <f>'مستخلص 5'!N74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5'!H75</f>
        <v/>
      </c>
      <c r="G75" s="72" t="n"/>
      <c r="H75" s="84">
        <f>F75+G75</f>
        <v/>
      </c>
      <c r="I75" s="109">
        <f>'مستخلص 5'!K75</f>
        <v/>
      </c>
      <c r="J75" s="68" t="n"/>
      <c r="K75" s="103">
        <f>IF(J75="",I75,J75)</f>
        <v/>
      </c>
      <c r="L75" s="108">
        <f>'مستخلص 5'!N75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5'!H76</f>
        <v/>
      </c>
      <c r="G76" s="72" t="n"/>
      <c r="H76" s="27">
        <f>F76+G76</f>
        <v/>
      </c>
      <c r="I76" s="107">
        <f>'مستخلص 5'!K76</f>
        <v/>
      </c>
      <c r="J76" s="68" t="n"/>
      <c r="K76" s="101">
        <f>IF(J76="",I76,J76)</f>
        <v/>
      </c>
      <c r="L76" s="74">
        <f>'مستخلص 5'!N76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5'!H77</f>
        <v/>
      </c>
      <c r="G77" s="72" t="n"/>
      <c r="H77" s="84">
        <f>F77+G77</f>
        <v/>
      </c>
      <c r="I77" s="109">
        <f>'مستخلص 5'!K77</f>
        <v/>
      </c>
      <c r="J77" s="68" t="n"/>
      <c r="K77" s="103">
        <f>IF(J77="",I77,J77)</f>
        <v/>
      </c>
      <c r="L77" s="108">
        <f>'مستخلص 5'!N77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5'!H78</f>
        <v/>
      </c>
      <c r="G78" s="72" t="n"/>
      <c r="H78" s="27">
        <f>F78+G78</f>
        <v/>
      </c>
      <c r="I78" s="107">
        <f>'مستخلص 5'!K78</f>
        <v/>
      </c>
      <c r="J78" s="68" t="n"/>
      <c r="K78" s="101">
        <f>IF(J78="",I78,J78)</f>
        <v/>
      </c>
      <c r="L78" s="74">
        <f>'مستخلص 5'!N78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5'!H79</f>
        <v/>
      </c>
      <c r="G79" s="72" t="n"/>
      <c r="H79" s="84">
        <f>F79+G79</f>
        <v/>
      </c>
      <c r="I79" s="109">
        <f>'مستخلص 5'!K79</f>
        <v/>
      </c>
      <c r="J79" s="68" t="n"/>
      <c r="K79" s="103">
        <f>IF(J79="",I79,J79)</f>
        <v/>
      </c>
      <c r="L79" s="108">
        <f>'مستخلص 5'!N79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5'!H80</f>
        <v/>
      </c>
      <c r="G80" s="72" t="n"/>
      <c r="H80" s="27">
        <f>F80+G80</f>
        <v/>
      </c>
      <c r="I80" s="107">
        <f>'مستخلص 5'!K80</f>
        <v/>
      </c>
      <c r="J80" s="68" t="n"/>
      <c r="K80" s="101">
        <f>IF(J80="",I80,J80)</f>
        <v/>
      </c>
      <c r="L80" s="74">
        <f>'مستخلص 5'!N80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5'!H81</f>
        <v/>
      </c>
      <c r="G81" s="72" t="n"/>
      <c r="H81" s="84">
        <f>F81+G81</f>
        <v/>
      </c>
      <c r="I81" s="109">
        <f>'مستخلص 5'!K81</f>
        <v/>
      </c>
      <c r="J81" s="68" t="n"/>
      <c r="K81" s="103">
        <f>IF(J81="",I81,J81)</f>
        <v/>
      </c>
      <c r="L81" s="108">
        <f>'مستخلص 5'!N81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5'!H82</f>
        <v/>
      </c>
      <c r="G82" s="72" t="n"/>
      <c r="H82" s="27">
        <f>F82+G82</f>
        <v/>
      </c>
      <c r="I82" s="107">
        <f>'مستخلص 5'!K82</f>
        <v/>
      </c>
      <c r="J82" s="68" t="n"/>
      <c r="K82" s="101">
        <f>IF(J82="",I82,J82)</f>
        <v/>
      </c>
      <c r="L82" s="74">
        <f>'مستخلص 5'!N82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5'!H83</f>
        <v/>
      </c>
      <c r="G83" s="72" t="n"/>
      <c r="H83" s="84">
        <f>F83+G83</f>
        <v/>
      </c>
      <c r="I83" s="109">
        <f>'مستخلص 5'!K83</f>
        <v/>
      </c>
      <c r="J83" s="68" t="n"/>
      <c r="K83" s="103">
        <f>IF(J83="",I83,J83)</f>
        <v/>
      </c>
      <c r="L83" s="108">
        <f>'مستخلص 5'!N83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5'!H84</f>
        <v/>
      </c>
      <c r="G84" s="72" t="n"/>
      <c r="H84" s="27">
        <f>F84+G84</f>
        <v/>
      </c>
      <c r="I84" s="107">
        <f>'مستخلص 5'!K84</f>
        <v/>
      </c>
      <c r="J84" s="68" t="n"/>
      <c r="K84" s="101">
        <f>IF(J84="",I84,J84)</f>
        <v/>
      </c>
      <c r="L84" s="74">
        <f>'مستخلص 5'!N84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5'!H85</f>
        <v/>
      </c>
      <c r="G85" s="72" t="n"/>
      <c r="H85" s="84">
        <f>F85+G85</f>
        <v/>
      </c>
      <c r="I85" s="109">
        <f>'مستخلص 5'!K85</f>
        <v/>
      </c>
      <c r="J85" s="68" t="n"/>
      <c r="K85" s="103">
        <f>IF(J85="",I85,J85)</f>
        <v/>
      </c>
      <c r="L85" s="108">
        <f>'مستخلص 5'!N85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5'!H86</f>
        <v/>
      </c>
      <c r="G86" s="72" t="n"/>
      <c r="H86" s="27">
        <f>F86+G86</f>
        <v/>
      </c>
      <c r="I86" s="107">
        <f>'مستخلص 5'!K86</f>
        <v/>
      </c>
      <c r="J86" s="68" t="n"/>
      <c r="K86" s="101">
        <f>IF(J86="",I86,J86)</f>
        <v/>
      </c>
      <c r="L86" s="74">
        <f>'مستخلص 5'!N86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5'!H87</f>
        <v/>
      </c>
      <c r="G87" s="72" t="n"/>
      <c r="H87" s="84">
        <f>F87+G87</f>
        <v/>
      </c>
      <c r="I87" s="109">
        <f>'مستخلص 5'!K87</f>
        <v/>
      </c>
      <c r="J87" s="68" t="n"/>
      <c r="K87" s="103">
        <f>IF(J87="",I87,J87)</f>
        <v/>
      </c>
      <c r="L87" s="108">
        <f>'مستخلص 5'!N87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5'!H88</f>
        <v/>
      </c>
      <c r="G88" s="72" t="n"/>
      <c r="H88" s="27">
        <f>F88+G88</f>
        <v/>
      </c>
      <c r="I88" s="107">
        <f>'مستخلص 5'!K88</f>
        <v/>
      </c>
      <c r="J88" s="68" t="n"/>
      <c r="K88" s="101">
        <f>IF(J88="",I88,J88)</f>
        <v/>
      </c>
      <c r="L88" s="74">
        <f>'مستخلص 5'!N88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5'!H89</f>
        <v/>
      </c>
      <c r="G89" s="72" t="n"/>
      <c r="H89" s="84">
        <f>F89+G89</f>
        <v/>
      </c>
      <c r="I89" s="109">
        <f>'مستخلص 5'!K89</f>
        <v/>
      </c>
      <c r="J89" s="68" t="n"/>
      <c r="K89" s="103">
        <f>IF(J89="",I89,J89)</f>
        <v/>
      </c>
      <c r="L89" s="108">
        <f>'مستخلص 5'!N89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5'!H90</f>
        <v/>
      </c>
      <c r="G90" s="72" t="n"/>
      <c r="H90" s="27">
        <f>F90+G90</f>
        <v/>
      </c>
      <c r="I90" s="107">
        <f>'مستخلص 5'!K90</f>
        <v/>
      </c>
      <c r="J90" s="68" t="n"/>
      <c r="K90" s="101">
        <f>IF(J90="",I90,J90)</f>
        <v/>
      </c>
      <c r="L90" s="74">
        <f>'مستخلص 5'!N90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5'!H91</f>
        <v/>
      </c>
      <c r="G91" s="72" t="n"/>
      <c r="H91" s="84">
        <f>F91+G91</f>
        <v/>
      </c>
      <c r="I91" s="109">
        <f>'مستخلص 5'!K91</f>
        <v/>
      </c>
      <c r="J91" s="68" t="n"/>
      <c r="K91" s="103">
        <f>IF(J91="",I91,J91)</f>
        <v/>
      </c>
      <c r="L91" s="108">
        <f>'مستخلص 5'!N91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5'!H92</f>
        <v/>
      </c>
      <c r="G92" s="72" t="n"/>
      <c r="H92" s="27">
        <f>F92+G92</f>
        <v/>
      </c>
      <c r="I92" s="107">
        <f>'مستخلص 5'!K92</f>
        <v/>
      </c>
      <c r="J92" s="68" t="n"/>
      <c r="K92" s="101">
        <f>IF(J92="",I92,J92)</f>
        <v/>
      </c>
      <c r="L92" s="74">
        <f>'مستخلص 5'!N92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5'!H93</f>
        <v/>
      </c>
      <c r="G93" s="72" t="n"/>
      <c r="H93" s="84">
        <f>F93+G93</f>
        <v/>
      </c>
      <c r="I93" s="109">
        <f>'مستخلص 5'!K93</f>
        <v/>
      </c>
      <c r="J93" s="68" t="n"/>
      <c r="K93" s="103">
        <f>IF(J93="",I93,J93)</f>
        <v/>
      </c>
      <c r="L93" s="108">
        <f>'مستخلص 5'!N93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5'!H94</f>
        <v/>
      </c>
      <c r="G94" s="72" t="n"/>
      <c r="H94" s="27">
        <f>F94+G94</f>
        <v/>
      </c>
      <c r="I94" s="107">
        <f>'مستخلص 5'!K94</f>
        <v/>
      </c>
      <c r="J94" s="68" t="n"/>
      <c r="K94" s="101">
        <f>IF(J94="",I94,J94)</f>
        <v/>
      </c>
      <c r="L94" s="74">
        <f>'مستخلص 5'!N94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5'!H95</f>
        <v/>
      </c>
      <c r="G95" s="72" t="n"/>
      <c r="H95" s="84">
        <f>F95+G95</f>
        <v/>
      </c>
      <c r="I95" s="109">
        <f>'مستخلص 5'!K95</f>
        <v/>
      </c>
      <c r="J95" s="68" t="n"/>
      <c r="K95" s="103">
        <f>IF(J95="",I95,J95)</f>
        <v/>
      </c>
      <c r="L95" s="108">
        <f>'مستخلص 5'!N95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5'!H96</f>
        <v/>
      </c>
      <c r="G96" s="72" t="n"/>
      <c r="H96" s="27">
        <f>F96+G96</f>
        <v/>
      </c>
      <c r="I96" s="107">
        <f>'مستخلص 5'!K96</f>
        <v/>
      </c>
      <c r="J96" s="68" t="n"/>
      <c r="K96" s="101">
        <f>IF(J96="",I96,J96)</f>
        <v/>
      </c>
      <c r="L96" s="74">
        <f>'مستخلص 5'!N96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5'!H97</f>
        <v/>
      </c>
      <c r="G97" s="72" t="n"/>
      <c r="H97" s="84">
        <f>F97+G97</f>
        <v/>
      </c>
      <c r="I97" s="109">
        <f>'مستخلص 5'!K97</f>
        <v/>
      </c>
      <c r="J97" s="68" t="n"/>
      <c r="K97" s="103">
        <f>IF(J97="",I97,J97)</f>
        <v/>
      </c>
      <c r="L97" s="108">
        <f>'مستخلص 5'!N97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5'!H98</f>
        <v/>
      </c>
      <c r="G98" s="72" t="n"/>
      <c r="H98" s="27">
        <f>F98+G98</f>
        <v/>
      </c>
      <c r="I98" s="107">
        <f>'مستخلص 5'!K98</f>
        <v/>
      </c>
      <c r="J98" s="68" t="n"/>
      <c r="K98" s="101">
        <f>IF(J98="",I98,J98)</f>
        <v/>
      </c>
      <c r="L98" s="74">
        <f>'مستخلص 5'!N98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5'!H99</f>
        <v/>
      </c>
      <c r="G99" s="72" t="n"/>
      <c r="H99" s="84">
        <f>F99+G99</f>
        <v/>
      </c>
      <c r="I99" s="109">
        <f>'مستخلص 5'!K99</f>
        <v/>
      </c>
      <c r="J99" s="68" t="n"/>
      <c r="K99" s="103">
        <f>IF(J99="",I99,J99)</f>
        <v/>
      </c>
      <c r="L99" s="108">
        <f>'مستخلص 5'!N99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5'!H100</f>
        <v/>
      </c>
      <c r="G100" s="72" t="n"/>
      <c r="H100" s="27">
        <f>F100+G100</f>
        <v/>
      </c>
      <c r="I100" s="107">
        <f>'مستخلص 5'!K100</f>
        <v/>
      </c>
      <c r="J100" s="68" t="n"/>
      <c r="K100" s="101">
        <f>IF(J100="",I100,J100)</f>
        <v/>
      </c>
      <c r="L100" s="74">
        <f>'مستخلص 5'!N100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5'!H101</f>
        <v/>
      </c>
      <c r="G101" s="72" t="n"/>
      <c r="H101" s="84">
        <f>F101+G101</f>
        <v/>
      </c>
      <c r="I101" s="109">
        <f>'مستخلص 5'!K101</f>
        <v/>
      </c>
      <c r="J101" s="68" t="n"/>
      <c r="K101" s="103">
        <f>IF(J101="",I101,J101)</f>
        <v/>
      </c>
      <c r="L101" s="108">
        <f>'مستخلص 5'!N101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5'!H102</f>
        <v/>
      </c>
      <c r="G102" s="72" t="n"/>
      <c r="H102" s="27">
        <f>F102+G102</f>
        <v/>
      </c>
      <c r="I102" s="107">
        <f>'مستخلص 5'!K102</f>
        <v/>
      </c>
      <c r="J102" s="68" t="n"/>
      <c r="K102" s="101">
        <f>IF(J102="",I102,J102)</f>
        <v/>
      </c>
      <c r="L102" s="74">
        <f>'مستخلص 5'!N102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5'!H103</f>
        <v/>
      </c>
      <c r="G103" s="72" t="n"/>
      <c r="H103" s="84">
        <f>F103+G103</f>
        <v/>
      </c>
      <c r="I103" s="109">
        <f>'مستخلص 5'!K103</f>
        <v/>
      </c>
      <c r="J103" s="68" t="n"/>
      <c r="K103" s="103">
        <f>IF(J103="",I103,J103)</f>
        <v/>
      </c>
      <c r="L103" s="108">
        <f>'مستخلص 5'!N103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5'!H104</f>
        <v/>
      </c>
      <c r="G104" s="72" t="n"/>
      <c r="H104" s="27">
        <f>F104+G104</f>
        <v/>
      </c>
      <c r="I104" s="107">
        <f>'مستخلص 5'!K104</f>
        <v/>
      </c>
      <c r="J104" s="68" t="n"/>
      <c r="K104" s="101">
        <f>IF(J104="",I104,J104)</f>
        <v/>
      </c>
      <c r="L104" s="74">
        <f>'مستخلص 5'!N104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5'!H105</f>
        <v/>
      </c>
      <c r="G105" s="72" t="n"/>
      <c r="H105" s="84">
        <f>F105+G105</f>
        <v/>
      </c>
      <c r="I105" s="109">
        <f>'مستخلص 5'!K105</f>
        <v/>
      </c>
      <c r="J105" s="68" t="n"/>
      <c r="K105" s="103">
        <f>IF(J105="",I105,J105)</f>
        <v/>
      </c>
      <c r="L105" s="108">
        <f>'مستخلص 5'!N105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5'!H106</f>
        <v/>
      </c>
      <c r="G106" s="72" t="n"/>
      <c r="H106" s="27">
        <f>F106+G106</f>
        <v/>
      </c>
      <c r="I106" s="107">
        <f>'مستخلص 5'!K106</f>
        <v/>
      </c>
      <c r="J106" s="68" t="n"/>
      <c r="K106" s="101">
        <f>IF(J106="",I106,J106)</f>
        <v/>
      </c>
      <c r="L106" s="74">
        <f>'مستخلص 5'!N106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5'!H107</f>
        <v/>
      </c>
      <c r="G107" s="72" t="n"/>
      <c r="H107" s="84">
        <f>F107+G107</f>
        <v/>
      </c>
      <c r="I107" s="109">
        <f>'مستخلص 5'!K107</f>
        <v/>
      </c>
      <c r="J107" s="68" t="n"/>
      <c r="K107" s="103">
        <f>IF(J107="",I107,J107)</f>
        <v/>
      </c>
      <c r="L107" s="108">
        <f>'مستخلص 5'!N107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5'!N111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5'!N112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5'!N113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5'!N114</f>
        <v/>
      </c>
      <c r="M114" s="27">
        <f>'الدفعات المقدمة'!I30</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5'!N115</f>
        <v/>
      </c>
      <c r="M115" s="27">
        <f>'ضمان الأعمال'!I21</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5'!N116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5'!N117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5'!N118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5'!A1" display="◀ المستخلص السابق (5)"/>
    <hyperlink ref="N3" location="'مستخلص 7'!A1" display="المستخلص التالي (7)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( 7 )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(6)</t>
        </is>
      </c>
      <c r="M3" s="4" t="n"/>
      <c r="N3" s="4" t="inlineStr">
        <is>
          <t>المستخلص التالي (8) ▶</t>
        </is>
      </c>
      <c r="O3" s="4" t="n"/>
      <c r="P3" s="4" t="n"/>
    </row>
    <row r="4" ht="24" customHeight="1">
      <c r="A4" s="96" t="inlineStr">
        <is>
          <t>رقم</t>
        </is>
      </c>
      <c r="B4" s="97" t="n">
        <v>7</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6'!H8</f>
        <v/>
      </c>
      <c r="G8" s="72" t="n"/>
      <c r="H8" s="27">
        <f>F8+G8</f>
        <v/>
      </c>
      <c r="I8" s="107">
        <f>'مستخلص 6'!K8</f>
        <v/>
      </c>
      <c r="J8" s="68" t="n"/>
      <c r="K8" s="101">
        <f>IF(J8="",I8,J8)</f>
        <v/>
      </c>
      <c r="L8" s="74">
        <f>'مستخلص 6'!N8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6'!H9</f>
        <v/>
      </c>
      <c r="G9" s="72" t="n"/>
      <c r="H9" s="84">
        <f>F9+G9</f>
        <v/>
      </c>
      <c r="I9" s="109">
        <f>'مستخلص 6'!K9</f>
        <v/>
      </c>
      <c r="J9" s="68" t="n"/>
      <c r="K9" s="103">
        <f>IF(J9="",I9,J9)</f>
        <v/>
      </c>
      <c r="L9" s="108">
        <f>'مستخلص 6'!N9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6'!H10</f>
        <v/>
      </c>
      <c r="G10" s="72" t="n"/>
      <c r="H10" s="27">
        <f>F10+G10</f>
        <v/>
      </c>
      <c r="I10" s="107">
        <f>'مستخلص 6'!K10</f>
        <v/>
      </c>
      <c r="J10" s="68" t="n"/>
      <c r="K10" s="101">
        <f>IF(J10="",I10,J10)</f>
        <v/>
      </c>
      <c r="L10" s="74">
        <f>'مستخلص 6'!N10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6'!H11</f>
        <v/>
      </c>
      <c r="G11" s="72" t="n"/>
      <c r="H11" s="84">
        <f>F11+G11</f>
        <v/>
      </c>
      <c r="I11" s="109">
        <f>'مستخلص 6'!K11</f>
        <v/>
      </c>
      <c r="J11" s="68" t="n"/>
      <c r="K11" s="103">
        <f>IF(J11="",I11,J11)</f>
        <v/>
      </c>
      <c r="L11" s="108">
        <f>'مستخلص 6'!N11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6'!H12</f>
        <v/>
      </c>
      <c r="G12" s="72" t="n"/>
      <c r="H12" s="27">
        <f>F12+G12</f>
        <v/>
      </c>
      <c r="I12" s="107">
        <f>'مستخلص 6'!K12</f>
        <v/>
      </c>
      <c r="J12" s="68" t="n"/>
      <c r="K12" s="101">
        <f>IF(J12="",I12,J12)</f>
        <v/>
      </c>
      <c r="L12" s="74">
        <f>'مستخلص 6'!N12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6'!H13</f>
        <v/>
      </c>
      <c r="G13" s="72" t="n"/>
      <c r="H13" s="84">
        <f>F13+G13</f>
        <v/>
      </c>
      <c r="I13" s="109">
        <f>'مستخلص 6'!K13</f>
        <v/>
      </c>
      <c r="J13" s="68" t="n"/>
      <c r="K13" s="103">
        <f>IF(J13="",I13,J13)</f>
        <v/>
      </c>
      <c r="L13" s="108">
        <f>'مستخلص 6'!N13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6'!H14</f>
        <v/>
      </c>
      <c r="G14" s="72" t="n"/>
      <c r="H14" s="27">
        <f>F14+G14</f>
        <v/>
      </c>
      <c r="I14" s="107">
        <f>'مستخلص 6'!K14</f>
        <v/>
      </c>
      <c r="J14" s="68" t="n"/>
      <c r="K14" s="101">
        <f>IF(J14="",I14,J14)</f>
        <v/>
      </c>
      <c r="L14" s="74">
        <f>'مستخلص 6'!N14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6'!H15</f>
        <v/>
      </c>
      <c r="G15" s="72" t="n"/>
      <c r="H15" s="84">
        <f>F15+G15</f>
        <v/>
      </c>
      <c r="I15" s="109">
        <f>'مستخلص 6'!K15</f>
        <v/>
      </c>
      <c r="J15" s="68" t="n"/>
      <c r="K15" s="103">
        <f>IF(J15="",I15,J15)</f>
        <v/>
      </c>
      <c r="L15" s="108">
        <f>'مستخلص 6'!N15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6'!H16</f>
        <v/>
      </c>
      <c r="G16" s="72" t="n"/>
      <c r="H16" s="27">
        <f>F16+G16</f>
        <v/>
      </c>
      <c r="I16" s="107">
        <f>'مستخلص 6'!K16</f>
        <v/>
      </c>
      <c r="J16" s="68" t="n"/>
      <c r="K16" s="101">
        <f>IF(J16="",I16,J16)</f>
        <v/>
      </c>
      <c r="L16" s="74">
        <f>'مستخلص 6'!N16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6'!H17</f>
        <v/>
      </c>
      <c r="G17" s="72" t="n"/>
      <c r="H17" s="84">
        <f>F17+G17</f>
        <v/>
      </c>
      <c r="I17" s="109">
        <f>'مستخلص 6'!K17</f>
        <v/>
      </c>
      <c r="J17" s="68" t="n"/>
      <c r="K17" s="103">
        <f>IF(J17="",I17,J17)</f>
        <v/>
      </c>
      <c r="L17" s="108">
        <f>'مستخلص 6'!N17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6'!H18</f>
        <v/>
      </c>
      <c r="G18" s="72" t="n"/>
      <c r="H18" s="27">
        <f>F18+G18</f>
        <v/>
      </c>
      <c r="I18" s="107">
        <f>'مستخلص 6'!K18</f>
        <v/>
      </c>
      <c r="J18" s="68" t="n"/>
      <c r="K18" s="101">
        <f>IF(J18="",I18,J18)</f>
        <v/>
      </c>
      <c r="L18" s="74">
        <f>'مستخلص 6'!N18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6'!H19</f>
        <v/>
      </c>
      <c r="G19" s="72" t="n"/>
      <c r="H19" s="84">
        <f>F19+G19</f>
        <v/>
      </c>
      <c r="I19" s="109">
        <f>'مستخلص 6'!K19</f>
        <v/>
      </c>
      <c r="J19" s="68" t="n"/>
      <c r="K19" s="103">
        <f>IF(J19="",I19,J19)</f>
        <v/>
      </c>
      <c r="L19" s="108">
        <f>'مستخلص 6'!N19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6'!H20</f>
        <v/>
      </c>
      <c r="G20" s="72" t="n"/>
      <c r="H20" s="27">
        <f>F20+G20</f>
        <v/>
      </c>
      <c r="I20" s="107">
        <f>'مستخلص 6'!K20</f>
        <v/>
      </c>
      <c r="J20" s="68" t="n"/>
      <c r="K20" s="101">
        <f>IF(J20="",I20,J20)</f>
        <v/>
      </c>
      <c r="L20" s="74">
        <f>'مستخلص 6'!N20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6'!H21</f>
        <v/>
      </c>
      <c r="G21" s="72" t="n"/>
      <c r="H21" s="84">
        <f>F21+G21</f>
        <v/>
      </c>
      <c r="I21" s="109">
        <f>'مستخلص 6'!K21</f>
        <v/>
      </c>
      <c r="J21" s="68" t="n"/>
      <c r="K21" s="103">
        <f>IF(J21="",I21,J21)</f>
        <v/>
      </c>
      <c r="L21" s="108">
        <f>'مستخلص 6'!N21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6'!H22</f>
        <v/>
      </c>
      <c r="G22" s="72" t="n"/>
      <c r="H22" s="27">
        <f>F22+G22</f>
        <v/>
      </c>
      <c r="I22" s="107">
        <f>'مستخلص 6'!K22</f>
        <v/>
      </c>
      <c r="J22" s="68" t="n"/>
      <c r="K22" s="101">
        <f>IF(J22="",I22,J22)</f>
        <v/>
      </c>
      <c r="L22" s="74">
        <f>'مستخلص 6'!N22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6'!H23</f>
        <v/>
      </c>
      <c r="G23" s="72" t="n"/>
      <c r="H23" s="84">
        <f>F23+G23</f>
        <v/>
      </c>
      <c r="I23" s="109">
        <f>'مستخلص 6'!K23</f>
        <v/>
      </c>
      <c r="J23" s="68" t="n"/>
      <c r="K23" s="103">
        <f>IF(J23="",I23,J23)</f>
        <v/>
      </c>
      <c r="L23" s="108">
        <f>'مستخلص 6'!N23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6'!H24</f>
        <v/>
      </c>
      <c r="G24" s="72" t="n"/>
      <c r="H24" s="27">
        <f>F24+G24</f>
        <v/>
      </c>
      <c r="I24" s="107">
        <f>'مستخلص 6'!K24</f>
        <v/>
      </c>
      <c r="J24" s="68" t="n"/>
      <c r="K24" s="101">
        <f>IF(J24="",I24,J24)</f>
        <v/>
      </c>
      <c r="L24" s="74">
        <f>'مستخلص 6'!N24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6'!H25</f>
        <v/>
      </c>
      <c r="G25" s="72" t="n"/>
      <c r="H25" s="84">
        <f>F25+G25</f>
        <v/>
      </c>
      <c r="I25" s="109">
        <f>'مستخلص 6'!K25</f>
        <v/>
      </c>
      <c r="J25" s="68" t="n"/>
      <c r="K25" s="103">
        <f>IF(J25="",I25,J25)</f>
        <v/>
      </c>
      <c r="L25" s="108">
        <f>'مستخلص 6'!N25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6'!H26</f>
        <v/>
      </c>
      <c r="G26" s="72" t="n"/>
      <c r="H26" s="27">
        <f>F26+G26</f>
        <v/>
      </c>
      <c r="I26" s="107">
        <f>'مستخلص 6'!K26</f>
        <v/>
      </c>
      <c r="J26" s="68" t="n"/>
      <c r="K26" s="101">
        <f>IF(J26="",I26,J26)</f>
        <v/>
      </c>
      <c r="L26" s="74">
        <f>'مستخلص 6'!N26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6'!H27</f>
        <v/>
      </c>
      <c r="G27" s="72" t="n"/>
      <c r="H27" s="84">
        <f>F27+G27</f>
        <v/>
      </c>
      <c r="I27" s="109">
        <f>'مستخلص 6'!K27</f>
        <v/>
      </c>
      <c r="J27" s="68" t="n"/>
      <c r="K27" s="103">
        <f>IF(J27="",I27,J27)</f>
        <v/>
      </c>
      <c r="L27" s="108">
        <f>'مستخلص 6'!N27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6'!H28</f>
        <v/>
      </c>
      <c r="G28" s="72" t="n"/>
      <c r="H28" s="27">
        <f>F28+G28</f>
        <v/>
      </c>
      <c r="I28" s="107">
        <f>'مستخلص 6'!K28</f>
        <v/>
      </c>
      <c r="J28" s="68" t="n"/>
      <c r="K28" s="101">
        <f>IF(J28="",I28,J28)</f>
        <v/>
      </c>
      <c r="L28" s="74">
        <f>'مستخلص 6'!N28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6'!H29</f>
        <v/>
      </c>
      <c r="G29" s="72" t="n"/>
      <c r="H29" s="84">
        <f>F29+G29</f>
        <v/>
      </c>
      <c r="I29" s="109">
        <f>'مستخلص 6'!K29</f>
        <v/>
      </c>
      <c r="J29" s="68" t="n"/>
      <c r="K29" s="103">
        <f>IF(J29="",I29,J29)</f>
        <v/>
      </c>
      <c r="L29" s="108">
        <f>'مستخلص 6'!N29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6'!H30</f>
        <v/>
      </c>
      <c r="G30" s="72" t="n"/>
      <c r="H30" s="27">
        <f>F30+G30</f>
        <v/>
      </c>
      <c r="I30" s="107">
        <f>'مستخلص 6'!K30</f>
        <v/>
      </c>
      <c r="J30" s="68" t="n"/>
      <c r="K30" s="101">
        <f>IF(J30="",I30,J30)</f>
        <v/>
      </c>
      <c r="L30" s="74">
        <f>'مستخلص 6'!N30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6'!H31</f>
        <v/>
      </c>
      <c r="G31" s="72" t="n"/>
      <c r="H31" s="84">
        <f>F31+G31</f>
        <v/>
      </c>
      <c r="I31" s="109">
        <f>'مستخلص 6'!K31</f>
        <v/>
      </c>
      <c r="J31" s="68" t="n"/>
      <c r="K31" s="103">
        <f>IF(J31="",I31,J31)</f>
        <v/>
      </c>
      <c r="L31" s="108">
        <f>'مستخلص 6'!N31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6'!H32</f>
        <v/>
      </c>
      <c r="G32" s="72" t="n"/>
      <c r="H32" s="27">
        <f>F32+G32</f>
        <v/>
      </c>
      <c r="I32" s="107">
        <f>'مستخلص 6'!K32</f>
        <v/>
      </c>
      <c r="J32" s="68" t="n"/>
      <c r="K32" s="101">
        <f>IF(J32="",I32,J32)</f>
        <v/>
      </c>
      <c r="L32" s="74">
        <f>'مستخلص 6'!N32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6'!H33</f>
        <v/>
      </c>
      <c r="G33" s="72" t="n"/>
      <c r="H33" s="84">
        <f>F33+G33</f>
        <v/>
      </c>
      <c r="I33" s="109">
        <f>'مستخلص 6'!K33</f>
        <v/>
      </c>
      <c r="J33" s="68" t="n"/>
      <c r="K33" s="103">
        <f>IF(J33="",I33,J33)</f>
        <v/>
      </c>
      <c r="L33" s="108">
        <f>'مستخلص 6'!N33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6'!H34</f>
        <v/>
      </c>
      <c r="G34" s="72" t="n"/>
      <c r="H34" s="27">
        <f>F34+G34</f>
        <v/>
      </c>
      <c r="I34" s="107">
        <f>'مستخلص 6'!K34</f>
        <v/>
      </c>
      <c r="J34" s="68" t="n"/>
      <c r="K34" s="101">
        <f>IF(J34="",I34,J34)</f>
        <v/>
      </c>
      <c r="L34" s="74">
        <f>'مستخلص 6'!N34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6'!H35</f>
        <v/>
      </c>
      <c r="G35" s="72" t="n"/>
      <c r="H35" s="84">
        <f>F35+G35</f>
        <v/>
      </c>
      <c r="I35" s="109">
        <f>'مستخلص 6'!K35</f>
        <v/>
      </c>
      <c r="J35" s="68" t="n"/>
      <c r="K35" s="103">
        <f>IF(J35="",I35,J35)</f>
        <v/>
      </c>
      <c r="L35" s="108">
        <f>'مستخلص 6'!N35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6'!H36</f>
        <v/>
      </c>
      <c r="G36" s="72" t="n"/>
      <c r="H36" s="27">
        <f>F36+G36</f>
        <v/>
      </c>
      <c r="I36" s="107">
        <f>'مستخلص 6'!K36</f>
        <v/>
      </c>
      <c r="J36" s="68" t="n"/>
      <c r="K36" s="101">
        <f>IF(J36="",I36,J36)</f>
        <v/>
      </c>
      <c r="L36" s="74">
        <f>'مستخلص 6'!N36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6'!H37</f>
        <v/>
      </c>
      <c r="G37" s="72" t="n"/>
      <c r="H37" s="84">
        <f>F37+G37</f>
        <v/>
      </c>
      <c r="I37" s="109">
        <f>'مستخلص 6'!K37</f>
        <v/>
      </c>
      <c r="J37" s="68" t="n"/>
      <c r="K37" s="103">
        <f>IF(J37="",I37,J37)</f>
        <v/>
      </c>
      <c r="L37" s="108">
        <f>'مستخلص 6'!N37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6'!H38</f>
        <v/>
      </c>
      <c r="G38" s="72" t="n"/>
      <c r="H38" s="27">
        <f>F38+G38</f>
        <v/>
      </c>
      <c r="I38" s="107">
        <f>'مستخلص 6'!K38</f>
        <v/>
      </c>
      <c r="J38" s="68" t="n"/>
      <c r="K38" s="101">
        <f>IF(J38="",I38,J38)</f>
        <v/>
      </c>
      <c r="L38" s="74">
        <f>'مستخلص 6'!N38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6'!H39</f>
        <v/>
      </c>
      <c r="G39" s="72" t="n"/>
      <c r="H39" s="84">
        <f>F39+G39</f>
        <v/>
      </c>
      <c r="I39" s="109">
        <f>'مستخلص 6'!K39</f>
        <v/>
      </c>
      <c r="J39" s="68" t="n"/>
      <c r="K39" s="103">
        <f>IF(J39="",I39,J39)</f>
        <v/>
      </c>
      <c r="L39" s="108">
        <f>'مستخلص 6'!N39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6'!H40</f>
        <v/>
      </c>
      <c r="G40" s="72" t="n"/>
      <c r="H40" s="27">
        <f>F40+G40</f>
        <v/>
      </c>
      <c r="I40" s="107">
        <f>'مستخلص 6'!K40</f>
        <v/>
      </c>
      <c r="J40" s="68" t="n"/>
      <c r="K40" s="101">
        <f>IF(J40="",I40,J40)</f>
        <v/>
      </c>
      <c r="L40" s="74">
        <f>'مستخلص 6'!N40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6'!H41</f>
        <v/>
      </c>
      <c r="G41" s="72" t="n"/>
      <c r="H41" s="84">
        <f>F41+G41</f>
        <v/>
      </c>
      <c r="I41" s="109">
        <f>'مستخلص 6'!K41</f>
        <v/>
      </c>
      <c r="J41" s="68" t="n"/>
      <c r="K41" s="103">
        <f>IF(J41="",I41,J41)</f>
        <v/>
      </c>
      <c r="L41" s="108">
        <f>'مستخلص 6'!N41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6'!H42</f>
        <v/>
      </c>
      <c r="G42" s="72" t="n"/>
      <c r="H42" s="27">
        <f>F42+G42</f>
        <v/>
      </c>
      <c r="I42" s="107">
        <f>'مستخلص 6'!K42</f>
        <v/>
      </c>
      <c r="J42" s="68" t="n"/>
      <c r="K42" s="101">
        <f>IF(J42="",I42,J42)</f>
        <v/>
      </c>
      <c r="L42" s="74">
        <f>'مستخلص 6'!N42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6'!H43</f>
        <v/>
      </c>
      <c r="G43" s="72" t="n"/>
      <c r="H43" s="84">
        <f>F43+G43</f>
        <v/>
      </c>
      <c r="I43" s="109">
        <f>'مستخلص 6'!K43</f>
        <v/>
      </c>
      <c r="J43" s="68" t="n"/>
      <c r="K43" s="103">
        <f>IF(J43="",I43,J43)</f>
        <v/>
      </c>
      <c r="L43" s="108">
        <f>'مستخلص 6'!N43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6'!H44</f>
        <v/>
      </c>
      <c r="G44" s="72" t="n"/>
      <c r="H44" s="27">
        <f>F44+G44</f>
        <v/>
      </c>
      <c r="I44" s="107">
        <f>'مستخلص 6'!K44</f>
        <v/>
      </c>
      <c r="J44" s="68" t="n"/>
      <c r="K44" s="101">
        <f>IF(J44="",I44,J44)</f>
        <v/>
      </c>
      <c r="L44" s="74">
        <f>'مستخلص 6'!N44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6'!H45</f>
        <v/>
      </c>
      <c r="G45" s="72" t="n"/>
      <c r="H45" s="84">
        <f>F45+G45</f>
        <v/>
      </c>
      <c r="I45" s="109">
        <f>'مستخلص 6'!K45</f>
        <v/>
      </c>
      <c r="J45" s="68" t="n"/>
      <c r="K45" s="103">
        <f>IF(J45="",I45,J45)</f>
        <v/>
      </c>
      <c r="L45" s="108">
        <f>'مستخلص 6'!N45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6'!H46</f>
        <v/>
      </c>
      <c r="G46" s="72" t="n"/>
      <c r="H46" s="27">
        <f>F46+G46</f>
        <v/>
      </c>
      <c r="I46" s="107">
        <f>'مستخلص 6'!K46</f>
        <v/>
      </c>
      <c r="J46" s="68" t="n"/>
      <c r="K46" s="101">
        <f>IF(J46="",I46,J46)</f>
        <v/>
      </c>
      <c r="L46" s="74">
        <f>'مستخلص 6'!N46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6'!H47</f>
        <v/>
      </c>
      <c r="G47" s="72" t="n"/>
      <c r="H47" s="84">
        <f>F47+G47</f>
        <v/>
      </c>
      <c r="I47" s="109">
        <f>'مستخلص 6'!K47</f>
        <v/>
      </c>
      <c r="J47" s="68" t="n"/>
      <c r="K47" s="103">
        <f>IF(J47="",I47,J47)</f>
        <v/>
      </c>
      <c r="L47" s="108">
        <f>'مستخلص 6'!N47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6'!H48</f>
        <v/>
      </c>
      <c r="G48" s="72" t="n"/>
      <c r="H48" s="27">
        <f>F48+G48</f>
        <v/>
      </c>
      <c r="I48" s="107">
        <f>'مستخلص 6'!K48</f>
        <v/>
      </c>
      <c r="J48" s="68" t="n"/>
      <c r="K48" s="101">
        <f>IF(J48="",I48,J48)</f>
        <v/>
      </c>
      <c r="L48" s="74">
        <f>'مستخلص 6'!N48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6'!H49</f>
        <v/>
      </c>
      <c r="G49" s="72" t="n"/>
      <c r="H49" s="84">
        <f>F49+G49</f>
        <v/>
      </c>
      <c r="I49" s="109">
        <f>'مستخلص 6'!K49</f>
        <v/>
      </c>
      <c r="J49" s="68" t="n"/>
      <c r="K49" s="103">
        <f>IF(J49="",I49,J49)</f>
        <v/>
      </c>
      <c r="L49" s="108">
        <f>'مستخلص 6'!N49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6'!H50</f>
        <v/>
      </c>
      <c r="G50" s="72" t="n"/>
      <c r="H50" s="27">
        <f>F50+G50</f>
        <v/>
      </c>
      <c r="I50" s="107">
        <f>'مستخلص 6'!K50</f>
        <v/>
      </c>
      <c r="J50" s="68" t="n"/>
      <c r="K50" s="101">
        <f>IF(J50="",I50,J50)</f>
        <v/>
      </c>
      <c r="L50" s="74">
        <f>'مستخلص 6'!N50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6'!H51</f>
        <v/>
      </c>
      <c r="G51" s="72" t="n"/>
      <c r="H51" s="84">
        <f>F51+G51</f>
        <v/>
      </c>
      <c r="I51" s="109">
        <f>'مستخلص 6'!K51</f>
        <v/>
      </c>
      <c r="J51" s="68" t="n"/>
      <c r="K51" s="103">
        <f>IF(J51="",I51,J51)</f>
        <v/>
      </c>
      <c r="L51" s="108">
        <f>'مستخلص 6'!N51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6'!H52</f>
        <v/>
      </c>
      <c r="G52" s="72" t="n"/>
      <c r="H52" s="27">
        <f>F52+G52</f>
        <v/>
      </c>
      <c r="I52" s="107">
        <f>'مستخلص 6'!K52</f>
        <v/>
      </c>
      <c r="J52" s="68" t="n"/>
      <c r="K52" s="101">
        <f>IF(J52="",I52,J52)</f>
        <v/>
      </c>
      <c r="L52" s="74">
        <f>'مستخلص 6'!N52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6'!H53</f>
        <v/>
      </c>
      <c r="G53" s="72" t="n"/>
      <c r="H53" s="84">
        <f>F53+G53</f>
        <v/>
      </c>
      <c r="I53" s="109">
        <f>'مستخلص 6'!K53</f>
        <v/>
      </c>
      <c r="J53" s="68" t="n"/>
      <c r="K53" s="103">
        <f>IF(J53="",I53,J53)</f>
        <v/>
      </c>
      <c r="L53" s="108">
        <f>'مستخلص 6'!N53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6'!H54</f>
        <v/>
      </c>
      <c r="G54" s="72" t="n"/>
      <c r="H54" s="27">
        <f>F54+G54</f>
        <v/>
      </c>
      <c r="I54" s="107">
        <f>'مستخلص 6'!K54</f>
        <v/>
      </c>
      <c r="J54" s="68" t="n"/>
      <c r="K54" s="101">
        <f>IF(J54="",I54,J54)</f>
        <v/>
      </c>
      <c r="L54" s="74">
        <f>'مستخلص 6'!N54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6'!H55</f>
        <v/>
      </c>
      <c r="G55" s="72" t="n"/>
      <c r="H55" s="84">
        <f>F55+G55</f>
        <v/>
      </c>
      <c r="I55" s="109">
        <f>'مستخلص 6'!K55</f>
        <v/>
      </c>
      <c r="J55" s="68" t="n"/>
      <c r="K55" s="103">
        <f>IF(J55="",I55,J55)</f>
        <v/>
      </c>
      <c r="L55" s="108">
        <f>'مستخلص 6'!N55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6'!H56</f>
        <v/>
      </c>
      <c r="G56" s="72" t="n"/>
      <c r="H56" s="27">
        <f>F56+G56</f>
        <v/>
      </c>
      <c r="I56" s="107">
        <f>'مستخلص 6'!K56</f>
        <v/>
      </c>
      <c r="J56" s="68" t="n"/>
      <c r="K56" s="101">
        <f>IF(J56="",I56,J56)</f>
        <v/>
      </c>
      <c r="L56" s="74">
        <f>'مستخلص 6'!N56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6'!H57</f>
        <v/>
      </c>
      <c r="G57" s="72" t="n"/>
      <c r="H57" s="84">
        <f>F57+G57</f>
        <v/>
      </c>
      <c r="I57" s="109">
        <f>'مستخلص 6'!K57</f>
        <v/>
      </c>
      <c r="J57" s="68" t="n"/>
      <c r="K57" s="103">
        <f>IF(J57="",I57,J57)</f>
        <v/>
      </c>
      <c r="L57" s="108">
        <f>'مستخلص 6'!N57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6'!H58</f>
        <v/>
      </c>
      <c r="G58" s="72" t="n"/>
      <c r="H58" s="27">
        <f>F58+G58</f>
        <v/>
      </c>
      <c r="I58" s="107">
        <f>'مستخلص 6'!K58</f>
        <v/>
      </c>
      <c r="J58" s="68" t="n"/>
      <c r="K58" s="101">
        <f>IF(J58="",I58,J58)</f>
        <v/>
      </c>
      <c r="L58" s="74">
        <f>'مستخلص 6'!N58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6'!H59</f>
        <v/>
      </c>
      <c r="G59" s="72" t="n"/>
      <c r="H59" s="84">
        <f>F59+G59</f>
        <v/>
      </c>
      <c r="I59" s="109">
        <f>'مستخلص 6'!K59</f>
        <v/>
      </c>
      <c r="J59" s="68" t="n"/>
      <c r="K59" s="103">
        <f>IF(J59="",I59,J59)</f>
        <v/>
      </c>
      <c r="L59" s="108">
        <f>'مستخلص 6'!N59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6'!H60</f>
        <v/>
      </c>
      <c r="G60" s="72" t="n"/>
      <c r="H60" s="27">
        <f>F60+G60</f>
        <v/>
      </c>
      <c r="I60" s="107">
        <f>'مستخلص 6'!K60</f>
        <v/>
      </c>
      <c r="J60" s="68" t="n"/>
      <c r="K60" s="101">
        <f>IF(J60="",I60,J60)</f>
        <v/>
      </c>
      <c r="L60" s="74">
        <f>'مستخلص 6'!N60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6'!H61</f>
        <v/>
      </c>
      <c r="G61" s="72" t="n"/>
      <c r="H61" s="84">
        <f>F61+G61</f>
        <v/>
      </c>
      <c r="I61" s="109">
        <f>'مستخلص 6'!K61</f>
        <v/>
      </c>
      <c r="J61" s="68" t="n"/>
      <c r="K61" s="103">
        <f>IF(J61="",I61,J61)</f>
        <v/>
      </c>
      <c r="L61" s="108">
        <f>'مستخلص 6'!N61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6'!H62</f>
        <v/>
      </c>
      <c r="G62" s="72" t="n"/>
      <c r="H62" s="27">
        <f>F62+G62</f>
        <v/>
      </c>
      <c r="I62" s="107">
        <f>'مستخلص 6'!K62</f>
        <v/>
      </c>
      <c r="J62" s="68" t="n"/>
      <c r="K62" s="101">
        <f>IF(J62="",I62,J62)</f>
        <v/>
      </c>
      <c r="L62" s="74">
        <f>'مستخلص 6'!N62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6'!H63</f>
        <v/>
      </c>
      <c r="G63" s="72" t="n"/>
      <c r="H63" s="84">
        <f>F63+G63</f>
        <v/>
      </c>
      <c r="I63" s="109">
        <f>'مستخلص 6'!K63</f>
        <v/>
      </c>
      <c r="J63" s="68" t="n"/>
      <c r="K63" s="103">
        <f>IF(J63="",I63,J63)</f>
        <v/>
      </c>
      <c r="L63" s="108">
        <f>'مستخلص 6'!N63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6'!H64</f>
        <v/>
      </c>
      <c r="G64" s="72" t="n"/>
      <c r="H64" s="27">
        <f>F64+G64</f>
        <v/>
      </c>
      <c r="I64" s="107">
        <f>'مستخلص 6'!K64</f>
        <v/>
      </c>
      <c r="J64" s="68" t="n"/>
      <c r="K64" s="101">
        <f>IF(J64="",I64,J64)</f>
        <v/>
      </c>
      <c r="L64" s="74">
        <f>'مستخلص 6'!N64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6'!H65</f>
        <v/>
      </c>
      <c r="G65" s="72" t="n"/>
      <c r="H65" s="84">
        <f>F65+G65</f>
        <v/>
      </c>
      <c r="I65" s="109">
        <f>'مستخلص 6'!K65</f>
        <v/>
      </c>
      <c r="J65" s="68" t="n"/>
      <c r="K65" s="103">
        <f>IF(J65="",I65,J65)</f>
        <v/>
      </c>
      <c r="L65" s="108">
        <f>'مستخلص 6'!N65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6'!H66</f>
        <v/>
      </c>
      <c r="G66" s="72" t="n"/>
      <c r="H66" s="27">
        <f>F66+G66</f>
        <v/>
      </c>
      <c r="I66" s="107">
        <f>'مستخلص 6'!K66</f>
        <v/>
      </c>
      <c r="J66" s="68" t="n"/>
      <c r="K66" s="101">
        <f>IF(J66="",I66,J66)</f>
        <v/>
      </c>
      <c r="L66" s="74">
        <f>'مستخلص 6'!N66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6'!H67</f>
        <v/>
      </c>
      <c r="G67" s="72" t="n"/>
      <c r="H67" s="84">
        <f>F67+G67</f>
        <v/>
      </c>
      <c r="I67" s="109">
        <f>'مستخلص 6'!K67</f>
        <v/>
      </c>
      <c r="J67" s="68" t="n"/>
      <c r="K67" s="103">
        <f>IF(J67="",I67,J67)</f>
        <v/>
      </c>
      <c r="L67" s="108">
        <f>'مستخلص 6'!N67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6'!H68</f>
        <v/>
      </c>
      <c r="G68" s="72" t="n"/>
      <c r="H68" s="27">
        <f>F68+G68</f>
        <v/>
      </c>
      <c r="I68" s="107">
        <f>'مستخلص 6'!K68</f>
        <v/>
      </c>
      <c r="J68" s="68" t="n"/>
      <c r="K68" s="101">
        <f>IF(J68="",I68,J68)</f>
        <v/>
      </c>
      <c r="L68" s="74">
        <f>'مستخلص 6'!N68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6'!H69</f>
        <v/>
      </c>
      <c r="G69" s="72" t="n"/>
      <c r="H69" s="84">
        <f>F69+G69</f>
        <v/>
      </c>
      <c r="I69" s="109">
        <f>'مستخلص 6'!K69</f>
        <v/>
      </c>
      <c r="J69" s="68" t="n"/>
      <c r="K69" s="103">
        <f>IF(J69="",I69,J69)</f>
        <v/>
      </c>
      <c r="L69" s="108">
        <f>'مستخلص 6'!N69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6'!H70</f>
        <v/>
      </c>
      <c r="G70" s="72" t="n"/>
      <c r="H70" s="27">
        <f>F70+G70</f>
        <v/>
      </c>
      <c r="I70" s="107">
        <f>'مستخلص 6'!K70</f>
        <v/>
      </c>
      <c r="J70" s="68" t="n"/>
      <c r="K70" s="101">
        <f>IF(J70="",I70,J70)</f>
        <v/>
      </c>
      <c r="L70" s="74">
        <f>'مستخلص 6'!N70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6'!H71</f>
        <v/>
      </c>
      <c r="G71" s="72" t="n"/>
      <c r="H71" s="84">
        <f>F71+G71</f>
        <v/>
      </c>
      <c r="I71" s="109">
        <f>'مستخلص 6'!K71</f>
        <v/>
      </c>
      <c r="J71" s="68" t="n"/>
      <c r="K71" s="103">
        <f>IF(J71="",I71,J71)</f>
        <v/>
      </c>
      <c r="L71" s="108">
        <f>'مستخلص 6'!N71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6'!H72</f>
        <v/>
      </c>
      <c r="G72" s="72" t="n"/>
      <c r="H72" s="27">
        <f>F72+G72</f>
        <v/>
      </c>
      <c r="I72" s="107">
        <f>'مستخلص 6'!K72</f>
        <v/>
      </c>
      <c r="J72" s="68" t="n"/>
      <c r="K72" s="101">
        <f>IF(J72="",I72,J72)</f>
        <v/>
      </c>
      <c r="L72" s="74">
        <f>'مستخلص 6'!N72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6'!H73</f>
        <v/>
      </c>
      <c r="G73" s="72" t="n"/>
      <c r="H73" s="84">
        <f>F73+G73</f>
        <v/>
      </c>
      <c r="I73" s="109">
        <f>'مستخلص 6'!K73</f>
        <v/>
      </c>
      <c r="J73" s="68" t="n"/>
      <c r="K73" s="103">
        <f>IF(J73="",I73,J73)</f>
        <v/>
      </c>
      <c r="L73" s="108">
        <f>'مستخلص 6'!N73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6'!H74</f>
        <v/>
      </c>
      <c r="G74" s="72" t="n"/>
      <c r="H74" s="27">
        <f>F74+G74</f>
        <v/>
      </c>
      <c r="I74" s="107">
        <f>'مستخلص 6'!K74</f>
        <v/>
      </c>
      <c r="J74" s="68" t="n"/>
      <c r="K74" s="101">
        <f>IF(J74="",I74,J74)</f>
        <v/>
      </c>
      <c r="L74" s="74">
        <f>'مستخلص 6'!N74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6'!H75</f>
        <v/>
      </c>
      <c r="G75" s="72" t="n"/>
      <c r="H75" s="84">
        <f>F75+G75</f>
        <v/>
      </c>
      <c r="I75" s="109">
        <f>'مستخلص 6'!K75</f>
        <v/>
      </c>
      <c r="J75" s="68" t="n"/>
      <c r="K75" s="103">
        <f>IF(J75="",I75,J75)</f>
        <v/>
      </c>
      <c r="L75" s="108">
        <f>'مستخلص 6'!N75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6'!H76</f>
        <v/>
      </c>
      <c r="G76" s="72" t="n"/>
      <c r="H76" s="27">
        <f>F76+G76</f>
        <v/>
      </c>
      <c r="I76" s="107">
        <f>'مستخلص 6'!K76</f>
        <v/>
      </c>
      <c r="J76" s="68" t="n"/>
      <c r="K76" s="101">
        <f>IF(J76="",I76,J76)</f>
        <v/>
      </c>
      <c r="L76" s="74">
        <f>'مستخلص 6'!N76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6'!H77</f>
        <v/>
      </c>
      <c r="G77" s="72" t="n"/>
      <c r="H77" s="84">
        <f>F77+G77</f>
        <v/>
      </c>
      <c r="I77" s="109">
        <f>'مستخلص 6'!K77</f>
        <v/>
      </c>
      <c r="J77" s="68" t="n"/>
      <c r="K77" s="103">
        <f>IF(J77="",I77,J77)</f>
        <v/>
      </c>
      <c r="L77" s="108">
        <f>'مستخلص 6'!N77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6'!H78</f>
        <v/>
      </c>
      <c r="G78" s="72" t="n"/>
      <c r="H78" s="27">
        <f>F78+G78</f>
        <v/>
      </c>
      <c r="I78" s="107">
        <f>'مستخلص 6'!K78</f>
        <v/>
      </c>
      <c r="J78" s="68" t="n"/>
      <c r="K78" s="101">
        <f>IF(J78="",I78,J78)</f>
        <v/>
      </c>
      <c r="L78" s="74">
        <f>'مستخلص 6'!N78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6'!H79</f>
        <v/>
      </c>
      <c r="G79" s="72" t="n"/>
      <c r="H79" s="84">
        <f>F79+G79</f>
        <v/>
      </c>
      <c r="I79" s="109">
        <f>'مستخلص 6'!K79</f>
        <v/>
      </c>
      <c r="J79" s="68" t="n"/>
      <c r="K79" s="103">
        <f>IF(J79="",I79,J79)</f>
        <v/>
      </c>
      <c r="L79" s="108">
        <f>'مستخلص 6'!N79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6'!H80</f>
        <v/>
      </c>
      <c r="G80" s="72" t="n"/>
      <c r="H80" s="27">
        <f>F80+G80</f>
        <v/>
      </c>
      <c r="I80" s="107">
        <f>'مستخلص 6'!K80</f>
        <v/>
      </c>
      <c r="J80" s="68" t="n"/>
      <c r="K80" s="101">
        <f>IF(J80="",I80,J80)</f>
        <v/>
      </c>
      <c r="L80" s="74">
        <f>'مستخلص 6'!N80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6'!H81</f>
        <v/>
      </c>
      <c r="G81" s="72" t="n"/>
      <c r="H81" s="84">
        <f>F81+G81</f>
        <v/>
      </c>
      <c r="I81" s="109">
        <f>'مستخلص 6'!K81</f>
        <v/>
      </c>
      <c r="J81" s="68" t="n"/>
      <c r="K81" s="103">
        <f>IF(J81="",I81,J81)</f>
        <v/>
      </c>
      <c r="L81" s="108">
        <f>'مستخلص 6'!N81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6'!H82</f>
        <v/>
      </c>
      <c r="G82" s="72" t="n"/>
      <c r="H82" s="27">
        <f>F82+G82</f>
        <v/>
      </c>
      <c r="I82" s="107">
        <f>'مستخلص 6'!K82</f>
        <v/>
      </c>
      <c r="J82" s="68" t="n"/>
      <c r="K82" s="101">
        <f>IF(J82="",I82,J82)</f>
        <v/>
      </c>
      <c r="L82" s="74">
        <f>'مستخلص 6'!N82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6'!H83</f>
        <v/>
      </c>
      <c r="G83" s="72" t="n"/>
      <c r="H83" s="84">
        <f>F83+G83</f>
        <v/>
      </c>
      <c r="I83" s="109">
        <f>'مستخلص 6'!K83</f>
        <v/>
      </c>
      <c r="J83" s="68" t="n"/>
      <c r="K83" s="103">
        <f>IF(J83="",I83,J83)</f>
        <v/>
      </c>
      <c r="L83" s="108">
        <f>'مستخلص 6'!N83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6'!H84</f>
        <v/>
      </c>
      <c r="G84" s="72" t="n"/>
      <c r="H84" s="27">
        <f>F84+G84</f>
        <v/>
      </c>
      <c r="I84" s="107">
        <f>'مستخلص 6'!K84</f>
        <v/>
      </c>
      <c r="J84" s="68" t="n"/>
      <c r="K84" s="101">
        <f>IF(J84="",I84,J84)</f>
        <v/>
      </c>
      <c r="L84" s="74">
        <f>'مستخلص 6'!N84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6'!H85</f>
        <v/>
      </c>
      <c r="G85" s="72" t="n"/>
      <c r="H85" s="84">
        <f>F85+G85</f>
        <v/>
      </c>
      <c r="I85" s="109">
        <f>'مستخلص 6'!K85</f>
        <v/>
      </c>
      <c r="J85" s="68" t="n"/>
      <c r="K85" s="103">
        <f>IF(J85="",I85,J85)</f>
        <v/>
      </c>
      <c r="L85" s="108">
        <f>'مستخلص 6'!N85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6'!H86</f>
        <v/>
      </c>
      <c r="G86" s="72" t="n"/>
      <c r="H86" s="27">
        <f>F86+G86</f>
        <v/>
      </c>
      <c r="I86" s="107">
        <f>'مستخلص 6'!K86</f>
        <v/>
      </c>
      <c r="J86" s="68" t="n"/>
      <c r="K86" s="101">
        <f>IF(J86="",I86,J86)</f>
        <v/>
      </c>
      <c r="L86" s="74">
        <f>'مستخلص 6'!N86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6'!H87</f>
        <v/>
      </c>
      <c r="G87" s="72" t="n"/>
      <c r="H87" s="84">
        <f>F87+G87</f>
        <v/>
      </c>
      <c r="I87" s="109">
        <f>'مستخلص 6'!K87</f>
        <v/>
      </c>
      <c r="J87" s="68" t="n"/>
      <c r="K87" s="103">
        <f>IF(J87="",I87,J87)</f>
        <v/>
      </c>
      <c r="L87" s="108">
        <f>'مستخلص 6'!N87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6'!H88</f>
        <v/>
      </c>
      <c r="G88" s="72" t="n"/>
      <c r="H88" s="27">
        <f>F88+G88</f>
        <v/>
      </c>
      <c r="I88" s="107">
        <f>'مستخلص 6'!K88</f>
        <v/>
      </c>
      <c r="J88" s="68" t="n"/>
      <c r="K88" s="101">
        <f>IF(J88="",I88,J88)</f>
        <v/>
      </c>
      <c r="L88" s="74">
        <f>'مستخلص 6'!N88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6'!H89</f>
        <v/>
      </c>
      <c r="G89" s="72" t="n"/>
      <c r="H89" s="84">
        <f>F89+G89</f>
        <v/>
      </c>
      <c r="I89" s="109">
        <f>'مستخلص 6'!K89</f>
        <v/>
      </c>
      <c r="J89" s="68" t="n"/>
      <c r="K89" s="103">
        <f>IF(J89="",I89,J89)</f>
        <v/>
      </c>
      <c r="L89" s="108">
        <f>'مستخلص 6'!N89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6'!H90</f>
        <v/>
      </c>
      <c r="G90" s="72" t="n"/>
      <c r="H90" s="27">
        <f>F90+G90</f>
        <v/>
      </c>
      <c r="I90" s="107">
        <f>'مستخلص 6'!K90</f>
        <v/>
      </c>
      <c r="J90" s="68" t="n"/>
      <c r="K90" s="101">
        <f>IF(J90="",I90,J90)</f>
        <v/>
      </c>
      <c r="L90" s="74">
        <f>'مستخلص 6'!N90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6'!H91</f>
        <v/>
      </c>
      <c r="G91" s="72" t="n"/>
      <c r="H91" s="84">
        <f>F91+G91</f>
        <v/>
      </c>
      <c r="I91" s="109">
        <f>'مستخلص 6'!K91</f>
        <v/>
      </c>
      <c r="J91" s="68" t="n"/>
      <c r="K91" s="103">
        <f>IF(J91="",I91,J91)</f>
        <v/>
      </c>
      <c r="L91" s="108">
        <f>'مستخلص 6'!N91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6'!H92</f>
        <v/>
      </c>
      <c r="G92" s="72" t="n"/>
      <c r="H92" s="27">
        <f>F92+G92</f>
        <v/>
      </c>
      <c r="I92" s="107">
        <f>'مستخلص 6'!K92</f>
        <v/>
      </c>
      <c r="J92" s="68" t="n"/>
      <c r="K92" s="101">
        <f>IF(J92="",I92,J92)</f>
        <v/>
      </c>
      <c r="L92" s="74">
        <f>'مستخلص 6'!N92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6'!H93</f>
        <v/>
      </c>
      <c r="G93" s="72" t="n"/>
      <c r="H93" s="84">
        <f>F93+G93</f>
        <v/>
      </c>
      <c r="I93" s="109">
        <f>'مستخلص 6'!K93</f>
        <v/>
      </c>
      <c r="J93" s="68" t="n"/>
      <c r="K93" s="103">
        <f>IF(J93="",I93,J93)</f>
        <v/>
      </c>
      <c r="L93" s="108">
        <f>'مستخلص 6'!N93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6'!H94</f>
        <v/>
      </c>
      <c r="G94" s="72" t="n"/>
      <c r="H94" s="27">
        <f>F94+G94</f>
        <v/>
      </c>
      <c r="I94" s="107">
        <f>'مستخلص 6'!K94</f>
        <v/>
      </c>
      <c r="J94" s="68" t="n"/>
      <c r="K94" s="101">
        <f>IF(J94="",I94,J94)</f>
        <v/>
      </c>
      <c r="L94" s="74">
        <f>'مستخلص 6'!N94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6'!H95</f>
        <v/>
      </c>
      <c r="G95" s="72" t="n"/>
      <c r="H95" s="84">
        <f>F95+G95</f>
        <v/>
      </c>
      <c r="I95" s="109">
        <f>'مستخلص 6'!K95</f>
        <v/>
      </c>
      <c r="J95" s="68" t="n"/>
      <c r="K95" s="103">
        <f>IF(J95="",I95,J95)</f>
        <v/>
      </c>
      <c r="L95" s="108">
        <f>'مستخلص 6'!N95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6'!H96</f>
        <v/>
      </c>
      <c r="G96" s="72" t="n"/>
      <c r="H96" s="27">
        <f>F96+G96</f>
        <v/>
      </c>
      <c r="I96" s="107">
        <f>'مستخلص 6'!K96</f>
        <v/>
      </c>
      <c r="J96" s="68" t="n"/>
      <c r="K96" s="101">
        <f>IF(J96="",I96,J96)</f>
        <v/>
      </c>
      <c r="L96" s="74">
        <f>'مستخلص 6'!N96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6'!H97</f>
        <v/>
      </c>
      <c r="G97" s="72" t="n"/>
      <c r="H97" s="84">
        <f>F97+G97</f>
        <v/>
      </c>
      <c r="I97" s="109">
        <f>'مستخلص 6'!K97</f>
        <v/>
      </c>
      <c r="J97" s="68" t="n"/>
      <c r="K97" s="103">
        <f>IF(J97="",I97,J97)</f>
        <v/>
      </c>
      <c r="L97" s="108">
        <f>'مستخلص 6'!N97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6'!H98</f>
        <v/>
      </c>
      <c r="G98" s="72" t="n"/>
      <c r="H98" s="27">
        <f>F98+G98</f>
        <v/>
      </c>
      <c r="I98" s="107">
        <f>'مستخلص 6'!K98</f>
        <v/>
      </c>
      <c r="J98" s="68" t="n"/>
      <c r="K98" s="101">
        <f>IF(J98="",I98,J98)</f>
        <v/>
      </c>
      <c r="L98" s="74">
        <f>'مستخلص 6'!N98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6'!H99</f>
        <v/>
      </c>
      <c r="G99" s="72" t="n"/>
      <c r="H99" s="84">
        <f>F99+G99</f>
        <v/>
      </c>
      <c r="I99" s="109">
        <f>'مستخلص 6'!K99</f>
        <v/>
      </c>
      <c r="J99" s="68" t="n"/>
      <c r="K99" s="103">
        <f>IF(J99="",I99,J99)</f>
        <v/>
      </c>
      <c r="L99" s="108">
        <f>'مستخلص 6'!N99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6'!H100</f>
        <v/>
      </c>
      <c r="G100" s="72" t="n"/>
      <c r="H100" s="27">
        <f>F100+G100</f>
        <v/>
      </c>
      <c r="I100" s="107">
        <f>'مستخلص 6'!K100</f>
        <v/>
      </c>
      <c r="J100" s="68" t="n"/>
      <c r="K100" s="101">
        <f>IF(J100="",I100,J100)</f>
        <v/>
      </c>
      <c r="L100" s="74">
        <f>'مستخلص 6'!N100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6'!H101</f>
        <v/>
      </c>
      <c r="G101" s="72" t="n"/>
      <c r="H101" s="84">
        <f>F101+G101</f>
        <v/>
      </c>
      <c r="I101" s="109">
        <f>'مستخلص 6'!K101</f>
        <v/>
      </c>
      <c r="J101" s="68" t="n"/>
      <c r="K101" s="103">
        <f>IF(J101="",I101,J101)</f>
        <v/>
      </c>
      <c r="L101" s="108">
        <f>'مستخلص 6'!N101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6'!H102</f>
        <v/>
      </c>
      <c r="G102" s="72" t="n"/>
      <c r="H102" s="27">
        <f>F102+G102</f>
        <v/>
      </c>
      <c r="I102" s="107">
        <f>'مستخلص 6'!K102</f>
        <v/>
      </c>
      <c r="J102" s="68" t="n"/>
      <c r="K102" s="101">
        <f>IF(J102="",I102,J102)</f>
        <v/>
      </c>
      <c r="L102" s="74">
        <f>'مستخلص 6'!N102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6'!H103</f>
        <v/>
      </c>
      <c r="G103" s="72" t="n"/>
      <c r="H103" s="84">
        <f>F103+G103</f>
        <v/>
      </c>
      <c r="I103" s="109">
        <f>'مستخلص 6'!K103</f>
        <v/>
      </c>
      <c r="J103" s="68" t="n"/>
      <c r="K103" s="103">
        <f>IF(J103="",I103,J103)</f>
        <v/>
      </c>
      <c r="L103" s="108">
        <f>'مستخلص 6'!N103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6'!H104</f>
        <v/>
      </c>
      <c r="G104" s="72" t="n"/>
      <c r="H104" s="27">
        <f>F104+G104</f>
        <v/>
      </c>
      <c r="I104" s="107">
        <f>'مستخلص 6'!K104</f>
        <v/>
      </c>
      <c r="J104" s="68" t="n"/>
      <c r="K104" s="101">
        <f>IF(J104="",I104,J104)</f>
        <v/>
      </c>
      <c r="L104" s="74">
        <f>'مستخلص 6'!N104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6'!H105</f>
        <v/>
      </c>
      <c r="G105" s="72" t="n"/>
      <c r="H105" s="84">
        <f>F105+G105</f>
        <v/>
      </c>
      <c r="I105" s="109">
        <f>'مستخلص 6'!K105</f>
        <v/>
      </c>
      <c r="J105" s="68" t="n"/>
      <c r="K105" s="103">
        <f>IF(J105="",I105,J105)</f>
        <v/>
      </c>
      <c r="L105" s="108">
        <f>'مستخلص 6'!N105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6'!H106</f>
        <v/>
      </c>
      <c r="G106" s="72" t="n"/>
      <c r="H106" s="27">
        <f>F106+G106</f>
        <v/>
      </c>
      <c r="I106" s="107">
        <f>'مستخلص 6'!K106</f>
        <v/>
      </c>
      <c r="J106" s="68" t="n"/>
      <c r="K106" s="101">
        <f>IF(J106="",I106,J106)</f>
        <v/>
      </c>
      <c r="L106" s="74">
        <f>'مستخلص 6'!N106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6'!H107</f>
        <v/>
      </c>
      <c r="G107" s="72" t="n"/>
      <c r="H107" s="84">
        <f>F107+G107</f>
        <v/>
      </c>
      <c r="I107" s="109">
        <f>'مستخلص 6'!K107</f>
        <v/>
      </c>
      <c r="J107" s="68" t="n"/>
      <c r="K107" s="103">
        <f>IF(J107="",I107,J107)</f>
        <v/>
      </c>
      <c r="L107" s="108">
        <f>'مستخلص 6'!N107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6'!N111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6'!N112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6'!N113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6'!N114</f>
        <v/>
      </c>
      <c r="M114" s="27">
        <f>'الدفعات المقدمة'!I31</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6'!N115</f>
        <v/>
      </c>
      <c r="M115" s="27">
        <f>'ضمان الأعمال'!I22</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6'!N116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6'!N117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6'!N118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6'!A1" display="◀ المستخلص السابق (6)"/>
    <hyperlink ref="N3" location="'مستخلص 8'!A1" display="المستخلص التالي (8)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( 8 )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(7)</t>
        </is>
      </c>
      <c r="M3" s="4" t="n"/>
      <c r="N3" s="4" t="inlineStr">
        <is>
          <t>المستخلص التالي (9) ▶</t>
        </is>
      </c>
      <c r="O3" s="4" t="n"/>
      <c r="P3" s="4" t="n"/>
    </row>
    <row r="4" ht="24" customHeight="1">
      <c r="A4" s="96" t="inlineStr">
        <is>
          <t>رقم</t>
        </is>
      </c>
      <c r="B4" s="97" t="n">
        <v>8</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7'!H8</f>
        <v/>
      </c>
      <c r="G8" s="72" t="n"/>
      <c r="H8" s="27">
        <f>F8+G8</f>
        <v/>
      </c>
      <c r="I8" s="107">
        <f>'مستخلص 7'!K8</f>
        <v/>
      </c>
      <c r="J8" s="68" t="n"/>
      <c r="K8" s="101">
        <f>IF(J8="",I8,J8)</f>
        <v/>
      </c>
      <c r="L8" s="74">
        <f>'مستخلص 7'!N8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7'!H9</f>
        <v/>
      </c>
      <c r="G9" s="72" t="n"/>
      <c r="H9" s="84">
        <f>F9+G9</f>
        <v/>
      </c>
      <c r="I9" s="109">
        <f>'مستخلص 7'!K9</f>
        <v/>
      </c>
      <c r="J9" s="68" t="n"/>
      <c r="K9" s="103">
        <f>IF(J9="",I9,J9)</f>
        <v/>
      </c>
      <c r="L9" s="108">
        <f>'مستخلص 7'!N9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7'!H10</f>
        <v/>
      </c>
      <c r="G10" s="72" t="n"/>
      <c r="H10" s="27">
        <f>F10+G10</f>
        <v/>
      </c>
      <c r="I10" s="107">
        <f>'مستخلص 7'!K10</f>
        <v/>
      </c>
      <c r="J10" s="68" t="n"/>
      <c r="K10" s="101">
        <f>IF(J10="",I10,J10)</f>
        <v/>
      </c>
      <c r="L10" s="74">
        <f>'مستخلص 7'!N10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7'!H11</f>
        <v/>
      </c>
      <c r="G11" s="72" t="n"/>
      <c r="H11" s="84">
        <f>F11+G11</f>
        <v/>
      </c>
      <c r="I11" s="109">
        <f>'مستخلص 7'!K11</f>
        <v/>
      </c>
      <c r="J11" s="68" t="n"/>
      <c r="K11" s="103">
        <f>IF(J11="",I11,J11)</f>
        <v/>
      </c>
      <c r="L11" s="108">
        <f>'مستخلص 7'!N11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7'!H12</f>
        <v/>
      </c>
      <c r="G12" s="72" t="n"/>
      <c r="H12" s="27">
        <f>F12+G12</f>
        <v/>
      </c>
      <c r="I12" s="107">
        <f>'مستخلص 7'!K12</f>
        <v/>
      </c>
      <c r="J12" s="68" t="n"/>
      <c r="K12" s="101">
        <f>IF(J12="",I12,J12)</f>
        <v/>
      </c>
      <c r="L12" s="74">
        <f>'مستخلص 7'!N12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7'!H13</f>
        <v/>
      </c>
      <c r="G13" s="72" t="n"/>
      <c r="H13" s="84">
        <f>F13+G13</f>
        <v/>
      </c>
      <c r="I13" s="109">
        <f>'مستخلص 7'!K13</f>
        <v/>
      </c>
      <c r="J13" s="68" t="n"/>
      <c r="K13" s="103">
        <f>IF(J13="",I13,J13)</f>
        <v/>
      </c>
      <c r="L13" s="108">
        <f>'مستخلص 7'!N13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7'!H14</f>
        <v/>
      </c>
      <c r="G14" s="72" t="n"/>
      <c r="H14" s="27">
        <f>F14+G14</f>
        <v/>
      </c>
      <c r="I14" s="107">
        <f>'مستخلص 7'!K14</f>
        <v/>
      </c>
      <c r="J14" s="68" t="n"/>
      <c r="K14" s="101">
        <f>IF(J14="",I14,J14)</f>
        <v/>
      </c>
      <c r="L14" s="74">
        <f>'مستخلص 7'!N14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7'!H15</f>
        <v/>
      </c>
      <c r="G15" s="72" t="n"/>
      <c r="H15" s="84">
        <f>F15+G15</f>
        <v/>
      </c>
      <c r="I15" s="109">
        <f>'مستخلص 7'!K15</f>
        <v/>
      </c>
      <c r="J15" s="68" t="n"/>
      <c r="K15" s="103">
        <f>IF(J15="",I15,J15)</f>
        <v/>
      </c>
      <c r="L15" s="108">
        <f>'مستخلص 7'!N15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7'!H16</f>
        <v/>
      </c>
      <c r="G16" s="72" t="n"/>
      <c r="H16" s="27">
        <f>F16+G16</f>
        <v/>
      </c>
      <c r="I16" s="107">
        <f>'مستخلص 7'!K16</f>
        <v/>
      </c>
      <c r="J16" s="68" t="n"/>
      <c r="K16" s="101">
        <f>IF(J16="",I16,J16)</f>
        <v/>
      </c>
      <c r="L16" s="74">
        <f>'مستخلص 7'!N16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7'!H17</f>
        <v/>
      </c>
      <c r="G17" s="72" t="n"/>
      <c r="H17" s="84">
        <f>F17+G17</f>
        <v/>
      </c>
      <c r="I17" s="109">
        <f>'مستخلص 7'!K17</f>
        <v/>
      </c>
      <c r="J17" s="68" t="n"/>
      <c r="K17" s="103">
        <f>IF(J17="",I17,J17)</f>
        <v/>
      </c>
      <c r="L17" s="108">
        <f>'مستخلص 7'!N17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7'!H18</f>
        <v/>
      </c>
      <c r="G18" s="72" t="n"/>
      <c r="H18" s="27">
        <f>F18+G18</f>
        <v/>
      </c>
      <c r="I18" s="107">
        <f>'مستخلص 7'!K18</f>
        <v/>
      </c>
      <c r="J18" s="68" t="n"/>
      <c r="K18" s="101">
        <f>IF(J18="",I18,J18)</f>
        <v/>
      </c>
      <c r="L18" s="74">
        <f>'مستخلص 7'!N18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7'!H19</f>
        <v/>
      </c>
      <c r="G19" s="72" t="n"/>
      <c r="H19" s="84">
        <f>F19+G19</f>
        <v/>
      </c>
      <c r="I19" s="109">
        <f>'مستخلص 7'!K19</f>
        <v/>
      </c>
      <c r="J19" s="68" t="n"/>
      <c r="K19" s="103">
        <f>IF(J19="",I19,J19)</f>
        <v/>
      </c>
      <c r="L19" s="108">
        <f>'مستخلص 7'!N19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7'!H20</f>
        <v/>
      </c>
      <c r="G20" s="72" t="n"/>
      <c r="H20" s="27">
        <f>F20+G20</f>
        <v/>
      </c>
      <c r="I20" s="107">
        <f>'مستخلص 7'!K20</f>
        <v/>
      </c>
      <c r="J20" s="68" t="n"/>
      <c r="K20" s="101">
        <f>IF(J20="",I20,J20)</f>
        <v/>
      </c>
      <c r="L20" s="74">
        <f>'مستخلص 7'!N20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7'!H21</f>
        <v/>
      </c>
      <c r="G21" s="72" t="n"/>
      <c r="H21" s="84">
        <f>F21+G21</f>
        <v/>
      </c>
      <c r="I21" s="109">
        <f>'مستخلص 7'!K21</f>
        <v/>
      </c>
      <c r="J21" s="68" t="n"/>
      <c r="K21" s="103">
        <f>IF(J21="",I21,J21)</f>
        <v/>
      </c>
      <c r="L21" s="108">
        <f>'مستخلص 7'!N21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7'!H22</f>
        <v/>
      </c>
      <c r="G22" s="72" t="n"/>
      <c r="H22" s="27">
        <f>F22+G22</f>
        <v/>
      </c>
      <c r="I22" s="107">
        <f>'مستخلص 7'!K22</f>
        <v/>
      </c>
      <c r="J22" s="68" t="n"/>
      <c r="K22" s="101">
        <f>IF(J22="",I22,J22)</f>
        <v/>
      </c>
      <c r="L22" s="74">
        <f>'مستخلص 7'!N22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7'!H23</f>
        <v/>
      </c>
      <c r="G23" s="72" t="n"/>
      <c r="H23" s="84">
        <f>F23+G23</f>
        <v/>
      </c>
      <c r="I23" s="109">
        <f>'مستخلص 7'!K23</f>
        <v/>
      </c>
      <c r="J23" s="68" t="n"/>
      <c r="K23" s="103">
        <f>IF(J23="",I23,J23)</f>
        <v/>
      </c>
      <c r="L23" s="108">
        <f>'مستخلص 7'!N23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7'!H24</f>
        <v/>
      </c>
      <c r="G24" s="72" t="n"/>
      <c r="H24" s="27">
        <f>F24+G24</f>
        <v/>
      </c>
      <c r="I24" s="107">
        <f>'مستخلص 7'!K24</f>
        <v/>
      </c>
      <c r="J24" s="68" t="n"/>
      <c r="K24" s="101">
        <f>IF(J24="",I24,J24)</f>
        <v/>
      </c>
      <c r="L24" s="74">
        <f>'مستخلص 7'!N24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7'!H25</f>
        <v/>
      </c>
      <c r="G25" s="72" t="n"/>
      <c r="H25" s="84">
        <f>F25+G25</f>
        <v/>
      </c>
      <c r="I25" s="109">
        <f>'مستخلص 7'!K25</f>
        <v/>
      </c>
      <c r="J25" s="68" t="n"/>
      <c r="K25" s="103">
        <f>IF(J25="",I25,J25)</f>
        <v/>
      </c>
      <c r="L25" s="108">
        <f>'مستخلص 7'!N25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7'!H26</f>
        <v/>
      </c>
      <c r="G26" s="72" t="n"/>
      <c r="H26" s="27">
        <f>F26+G26</f>
        <v/>
      </c>
      <c r="I26" s="107">
        <f>'مستخلص 7'!K26</f>
        <v/>
      </c>
      <c r="J26" s="68" t="n"/>
      <c r="K26" s="101">
        <f>IF(J26="",I26,J26)</f>
        <v/>
      </c>
      <c r="L26" s="74">
        <f>'مستخلص 7'!N26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7'!H27</f>
        <v/>
      </c>
      <c r="G27" s="72" t="n"/>
      <c r="H27" s="84">
        <f>F27+G27</f>
        <v/>
      </c>
      <c r="I27" s="109">
        <f>'مستخلص 7'!K27</f>
        <v/>
      </c>
      <c r="J27" s="68" t="n"/>
      <c r="K27" s="103">
        <f>IF(J27="",I27,J27)</f>
        <v/>
      </c>
      <c r="L27" s="108">
        <f>'مستخلص 7'!N27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7'!H28</f>
        <v/>
      </c>
      <c r="G28" s="72" t="n"/>
      <c r="H28" s="27">
        <f>F28+G28</f>
        <v/>
      </c>
      <c r="I28" s="107">
        <f>'مستخلص 7'!K28</f>
        <v/>
      </c>
      <c r="J28" s="68" t="n"/>
      <c r="K28" s="101">
        <f>IF(J28="",I28,J28)</f>
        <v/>
      </c>
      <c r="L28" s="74">
        <f>'مستخلص 7'!N28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7'!H29</f>
        <v/>
      </c>
      <c r="G29" s="72" t="n"/>
      <c r="H29" s="84">
        <f>F29+G29</f>
        <v/>
      </c>
      <c r="I29" s="109">
        <f>'مستخلص 7'!K29</f>
        <v/>
      </c>
      <c r="J29" s="68" t="n"/>
      <c r="K29" s="103">
        <f>IF(J29="",I29,J29)</f>
        <v/>
      </c>
      <c r="L29" s="108">
        <f>'مستخلص 7'!N29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7'!H30</f>
        <v/>
      </c>
      <c r="G30" s="72" t="n"/>
      <c r="H30" s="27">
        <f>F30+G30</f>
        <v/>
      </c>
      <c r="I30" s="107">
        <f>'مستخلص 7'!K30</f>
        <v/>
      </c>
      <c r="J30" s="68" t="n"/>
      <c r="K30" s="101">
        <f>IF(J30="",I30,J30)</f>
        <v/>
      </c>
      <c r="L30" s="74">
        <f>'مستخلص 7'!N30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7'!H31</f>
        <v/>
      </c>
      <c r="G31" s="72" t="n"/>
      <c r="H31" s="84">
        <f>F31+G31</f>
        <v/>
      </c>
      <c r="I31" s="109">
        <f>'مستخلص 7'!K31</f>
        <v/>
      </c>
      <c r="J31" s="68" t="n"/>
      <c r="K31" s="103">
        <f>IF(J31="",I31,J31)</f>
        <v/>
      </c>
      <c r="L31" s="108">
        <f>'مستخلص 7'!N31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7'!H32</f>
        <v/>
      </c>
      <c r="G32" s="72" t="n"/>
      <c r="H32" s="27">
        <f>F32+G32</f>
        <v/>
      </c>
      <c r="I32" s="107">
        <f>'مستخلص 7'!K32</f>
        <v/>
      </c>
      <c r="J32" s="68" t="n"/>
      <c r="K32" s="101">
        <f>IF(J32="",I32,J32)</f>
        <v/>
      </c>
      <c r="L32" s="74">
        <f>'مستخلص 7'!N32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7'!H33</f>
        <v/>
      </c>
      <c r="G33" s="72" t="n"/>
      <c r="H33" s="84">
        <f>F33+G33</f>
        <v/>
      </c>
      <c r="I33" s="109">
        <f>'مستخلص 7'!K33</f>
        <v/>
      </c>
      <c r="J33" s="68" t="n"/>
      <c r="K33" s="103">
        <f>IF(J33="",I33,J33)</f>
        <v/>
      </c>
      <c r="L33" s="108">
        <f>'مستخلص 7'!N33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7'!H34</f>
        <v/>
      </c>
      <c r="G34" s="72" t="n"/>
      <c r="H34" s="27">
        <f>F34+G34</f>
        <v/>
      </c>
      <c r="I34" s="107">
        <f>'مستخلص 7'!K34</f>
        <v/>
      </c>
      <c r="J34" s="68" t="n"/>
      <c r="K34" s="101">
        <f>IF(J34="",I34,J34)</f>
        <v/>
      </c>
      <c r="L34" s="74">
        <f>'مستخلص 7'!N34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7'!H35</f>
        <v/>
      </c>
      <c r="G35" s="72" t="n"/>
      <c r="H35" s="84">
        <f>F35+G35</f>
        <v/>
      </c>
      <c r="I35" s="109">
        <f>'مستخلص 7'!K35</f>
        <v/>
      </c>
      <c r="J35" s="68" t="n"/>
      <c r="K35" s="103">
        <f>IF(J35="",I35,J35)</f>
        <v/>
      </c>
      <c r="L35" s="108">
        <f>'مستخلص 7'!N35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7'!H36</f>
        <v/>
      </c>
      <c r="G36" s="72" t="n"/>
      <c r="H36" s="27">
        <f>F36+G36</f>
        <v/>
      </c>
      <c r="I36" s="107">
        <f>'مستخلص 7'!K36</f>
        <v/>
      </c>
      <c r="J36" s="68" t="n"/>
      <c r="K36" s="101">
        <f>IF(J36="",I36,J36)</f>
        <v/>
      </c>
      <c r="L36" s="74">
        <f>'مستخلص 7'!N36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7'!H37</f>
        <v/>
      </c>
      <c r="G37" s="72" t="n"/>
      <c r="H37" s="84">
        <f>F37+G37</f>
        <v/>
      </c>
      <c r="I37" s="109">
        <f>'مستخلص 7'!K37</f>
        <v/>
      </c>
      <c r="J37" s="68" t="n"/>
      <c r="K37" s="103">
        <f>IF(J37="",I37,J37)</f>
        <v/>
      </c>
      <c r="L37" s="108">
        <f>'مستخلص 7'!N37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7'!H38</f>
        <v/>
      </c>
      <c r="G38" s="72" t="n"/>
      <c r="H38" s="27">
        <f>F38+G38</f>
        <v/>
      </c>
      <c r="I38" s="107">
        <f>'مستخلص 7'!K38</f>
        <v/>
      </c>
      <c r="J38" s="68" t="n"/>
      <c r="K38" s="101">
        <f>IF(J38="",I38,J38)</f>
        <v/>
      </c>
      <c r="L38" s="74">
        <f>'مستخلص 7'!N38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7'!H39</f>
        <v/>
      </c>
      <c r="G39" s="72" t="n"/>
      <c r="H39" s="84">
        <f>F39+G39</f>
        <v/>
      </c>
      <c r="I39" s="109">
        <f>'مستخلص 7'!K39</f>
        <v/>
      </c>
      <c r="J39" s="68" t="n"/>
      <c r="K39" s="103">
        <f>IF(J39="",I39,J39)</f>
        <v/>
      </c>
      <c r="L39" s="108">
        <f>'مستخلص 7'!N39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7'!H40</f>
        <v/>
      </c>
      <c r="G40" s="72" t="n"/>
      <c r="H40" s="27">
        <f>F40+G40</f>
        <v/>
      </c>
      <c r="I40" s="107">
        <f>'مستخلص 7'!K40</f>
        <v/>
      </c>
      <c r="J40" s="68" t="n"/>
      <c r="K40" s="101">
        <f>IF(J40="",I40,J40)</f>
        <v/>
      </c>
      <c r="L40" s="74">
        <f>'مستخلص 7'!N40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7'!H41</f>
        <v/>
      </c>
      <c r="G41" s="72" t="n"/>
      <c r="H41" s="84">
        <f>F41+G41</f>
        <v/>
      </c>
      <c r="I41" s="109">
        <f>'مستخلص 7'!K41</f>
        <v/>
      </c>
      <c r="J41" s="68" t="n"/>
      <c r="K41" s="103">
        <f>IF(J41="",I41,J41)</f>
        <v/>
      </c>
      <c r="L41" s="108">
        <f>'مستخلص 7'!N41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7'!H42</f>
        <v/>
      </c>
      <c r="G42" s="72" t="n"/>
      <c r="H42" s="27">
        <f>F42+G42</f>
        <v/>
      </c>
      <c r="I42" s="107">
        <f>'مستخلص 7'!K42</f>
        <v/>
      </c>
      <c r="J42" s="68" t="n"/>
      <c r="K42" s="101">
        <f>IF(J42="",I42,J42)</f>
        <v/>
      </c>
      <c r="L42" s="74">
        <f>'مستخلص 7'!N42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7'!H43</f>
        <v/>
      </c>
      <c r="G43" s="72" t="n"/>
      <c r="H43" s="84">
        <f>F43+G43</f>
        <v/>
      </c>
      <c r="I43" s="109">
        <f>'مستخلص 7'!K43</f>
        <v/>
      </c>
      <c r="J43" s="68" t="n"/>
      <c r="K43" s="103">
        <f>IF(J43="",I43,J43)</f>
        <v/>
      </c>
      <c r="L43" s="108">
        <f>'مستخلص 7'!N43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7'!H44</f>
        <v/>
      </c>
      <c r="G44" s="72" t="n"/>
      <c r="H44" s="27">
        <f>F44+G44</f>
        <v/>
      </c>
      <c r="I44" s="107">
        <f>'مستخلص 7'!K44</f>
        <v/>
      </c>
      <c r="J44" s="68" t="n"/>
      <c r="K44" s="101">
        <f>IF(J44="",I44,J44)</f>
        <v/>
      </c>
      <c r="L44" s="74">
        <f>'مستخلص 7'!N44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7'!H45</f>
        <v/>
      </c>
      <c r="G45" s="72" t="n"/>
      <c r="H45" s="84">
        <f>F45+G45</f>
        <v/>
      </c>
      <c r="I45" s="109">
        <f>'مستخلص 7'!K45</f>
        <v/>
      </c>
      <c r="J45" s="68" t="n"/>
      <c r="K45" s="103">
        <f>IF(J45="",I45,J45)</f>
        <v/>
      </c>
      <c r="L45" s="108">
        <f>'مستخلص 7'!N45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7'!H46</f>
        <v/>
      </c>
      <c r="G46" s="72" t="n"/>
      <c r="H46" s="27">
        <f>F46+G46</f>
        <v/>
      </c>
      <c r="I46" s="107">
        <f>'مستخلص 7'!K46</f>
        <v/>
      </c>
      <c r="J46" s="68" t="n"/>
      <c r="K46" s="101">
        <f>IF(J46="",I46,J46)</f>
        <v/>
      </c>
      <c r="L46" s="74">
        <f>'مستخلص 7'!N46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7'!H47</f>
        <v/>
      </c>
      <c r="G47" s="72" t="n"/>
      <c r="H47" s="84">
        <f>F47+G47</f>
        <v/>
      </c>
      <c r="I47" s="109">
        <f>'مستخلص 7'!K47</f>
        <v/>
      </c>
      <c r="J47" s="68" t="n"/>
      <c r="K47" s="103">
        <f>IF(J47="",I47,J47)</f>
        <v/>
      </c>
      <c r="L47" s="108">
        <f>'مستخلص 7'!N47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7'!H48</f>
        <v/>
      </c>
      <c r="G48" s="72" t="n"/>
      <c r="H48" s="27">
        <f>F48+G48</f>
        <v/>
      </c>
      <c r="I48" s="107">
        <f>'مستخلص 7'!K48</f>
        <v/>
      </c>
      <c r="J48" s="68" t="n"/>
      <c r="K48" s="101">
        <f>IF(J48="",I48,J48)</f>
        <v/>
      </c>
      <c r="L48" s="74">
        <f>'مستخلص 7'!N48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7'!H49</f>
        <v/>
      </c>
      <c r="G49" s="72" t="n"/>
      <c r="H49" s="84">
        <f>F49+G49</f>
        <v/>
      </c>
      <c r="I49" s="109">
        <f>'مستخلص 7'!K49</f>
        <v/>
      </c>
      <c r="J49" s="68" t="n"/>
      <c r="K49" s="103">
        <f>IF(J49="",I49,J49)</f>
        <v/>
      </c>
      <c r="L49" s="108">
        <f>'مستخلص 7'!N49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7'!H50</f>
        <v/>
      </c>
      <c r="G50" s="72" t="n"/>
      <c r="H50" s="27">
        <f>F50+G50</f>
        <v/>
      </c>
      <c r="I50" s="107">
        <f>'مستخلص 7'!K50</f>
        <v/>
      </c>
      <c r="J50" s="68" t="n"/>
      <c r="K50" s="101">
        <f>IF(J50="",I50,J50)</f>
        <v/>
      </c>
      <c r="L50" s="74">
        <f>'مستخلص 7'!N50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7'!H51</f>
        <v/>
      </c>
      <c r="G51" s="72" t="n"/>
      <c r="H51" s="84">
        <f>F51+G51</f>
        <v/>
      </c>
      <c r="I51" s="109">
        <f>'مستخلص 7'!K51</f>
        <v/>
      </c>
      <c r="J51" s="68" t="n"/>
      <c r="K51" s="103">
        <f>IF(J51="",I51,J51)</f>
        <v/>
      </c>
      <c r="L51" s="108">
        <f>'مستخلص 7'!N51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7'!H52</f>
        <v/>
      </c>
      <c r="G52" s="72" t="n"/>
      <c r="H52" s="27">
        <f>F52+G52</f>
        <v/>
      </c>
      <c r="I52" s="107">
        <f>'مستخلص 7'!K52</f>
        <v/>
      </c>
      <c r="J52" s="68" t="n"/>
      <c r="K52" s="101">
        <f>IF(J52="",I52,J52)</f>
        <v/>
      </c>
      <c r="L52" s="74">
        <f>'مستخلص 7'!N52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7'!H53</f>
        <v/>
      </c>
      <c r="G53" s="72" t="n"/>
      <c r="H53" s="84">
        <f>F53+G53</f>
        <v/>
      </c>
      <c r="I53" s="109">
        <f>'مستخلص 7'!K53</f>
        <v/>
      </c>
      <c r="J53" s="68" t="n"/>
      <c r="K53" s="103">
        <f>IF(J53="",I53,J53)</f>
        <v/>
      </c>
      <c r="L53" s="108">
        <f>'مستخلص 7'!N53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7'!H54</f>
        <v/>
      </c>
      <c r="G54" s="72" t="n"/>
      <c r="H54" s="27">
        <f>F54+G54</f>
        <v/>
      </c>
      <c r="I54" s="107">
        <f>'مستخلص 7'!K54</f>
        <v/>
      </c>
      <c r="J54" s="68" t="n"/>
      <c r="K54" s="101">
        <f>IF(J54="",I54,J54)</f>
        <v/>
      </c>
      <c r="L54" s="74">
        <f>'مستخلص 7'!N54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7'!H55</f>
        <v/>
      </c>
      <c r="G55" s="72" t="n"/>
      <c r="H55" s="84">
        <f>F55+G55</f>
        <v/>
      </c>
      <c r="I55" s="109">
        <f>'مستخلص 7'!K55</f>
        <v/>
      </c>
      <c r="J55" s="68" t="n"/>
      <c r="K55" s="103">
        <f>IF(J55="",I55,J55)</f>
        <v/>
      </c>
      <c r="L55" s="108">
        <f>'مستخلص 7'!N55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7'!H56</f>
        <v/>
      </c>
      <c r="G56" s="72" t="n"/>
      <c r="H56" s="27">
        <f>F56+G56</f>
        <v/>
      </c>
      <c r="I56" s="107">
        <f>'مستخلص 7'!K56</f>
        <v/>
      </c>
      <c r="J56" s="68" t="n"/>
      <c r="K56" s="101">
        <f>IF(J56="",I56,J56)</f>
        <v/>
      </c>
      <c r="L56" s="74">
        <f>'مستخلص 7'!N56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7'!H57</f>
        <v/>
      </c>
      <c r="G57" s="72" t="n"/>
      <c r="H57" s="84">
        <f>F57+G57</f>
        <v/>
      </c>
      <c r="I57" s="109">
        <f>'مستخلص 7'!K57</f>
        <v/>
      </c>
      <c r="J57" s="68" t="n"/>
      <c r="K57" s="103">
        <f>IF(J57="",I57,J57)</f>
        <v/>
      </c>
      <c r="L57" s="108">
        <f>'مستخلص 7'!N57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7'!H58</f>
        <v/>
      </c>
      <c r="G58" s="72" t="n"/>
      <c r="H58" s="27">
        <f>F58+G58</f>
        <v/>
      </c>
      <c r="I58" s="107">
        <f>'مستخلص 7'!K58</f>
        <v/>
      </c>
      <c r="J58" s="68" t="n"/>
      <c r="K58" s="101">
        <f>IF(J58="",I58,J58)</f>
        <v/>
      </c>
      <c r="L58" s="74">
        <f>'مستخلص 7'!N58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7'!H59</f>
        <v/>
      </c>
      <c r="G59" s="72" t="n"/>
      <c r="H59" s="84">
        <f>F59+G59</f>
        <v/>
      </c>
      <c r="I59" s="109">
        <f>'مستخلص 7'!K59</f>
        <v/>
      </c>
      <c r="J59" s="68" t="n"/>
      <c r="K59" s="103">
        <f>IF(J59="",I59,J59)</f>
        <v/>
      </c>
      <c r="L59" s="108">
        <f>'مستخلص 7'!N59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7'!H60</f>
        <v/>
      </c>
      <c r="G60" s="72" t="n"/>
      <c r="H60" s="27">
        <f>F60+G60</f>
        <v/>
      </c>
      <c r="I60" s="107">
        <f>'مستخلص 7'!K60</f>
        <v/>
      </c>
      <c r="J60" s="68" t="n"/>
      <c r="K60" s="101">
        <f>IF(J60="",I60,J60)</f>
        <v/>
      </c>
      <c r="L60" s="74">
        <f>'مستخلص 7'!N60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7'!H61</f>
        <v/>
      </c>
      <c r="G61" s="72" t="n"/>
      <c r="H61" s="84">
        <f>F61+G61</f>
        <v/>
      </c>
      <c r="I61" s="109">
        <f>'مستخلص 7'!K61</f>
        <v/>
      </c>
      <c r="J61" s="68" t="n"/>
      <c r="K61" s="103">
        <f>IF(J61="",I61,J61)</f>
        <v/>
      </c>
      <c r="L61" s="108">
        <f>'مستخلص 7'!N61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7'!H62</f>
        <v/>
      </c>
      <c r="G62" s="72" t="n"/>
      <c r="H62" s="27">
        <f>F62+G62</f>
        <v/>
      </c>
      <c r="I62" s="107">
        <f>'مستخلص 7'!K62</f>
        <v/>
      </c>
      <c r="J62" s="68" t="n"/>
      <c r="K62" s="101">
        <f>IF(J62="",I62,J62)</f>
        <v/>
      </c>
      <c r="L62" s="74">
        <f>'مستخلص 7'!N62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7'!H63</f>
        <v/>
      </c>
      <c r="G63" s="72" t="n"/>
      <c r="H63" s="84">
        <f>F63+G63</f>
        <v/>
      </c>
      <c r="I63" s="109">
        <f>'مستخلص 7'!K63</f>
        <v/>
      </c>
      <c r="J63" s="68" t="n"/>
      <c r="K63" s="103">
        <f>IF(J63="",I63,J63)</f>
        <v/>
      </c>
      <c r="L63" s="108">
        <f>'مستخلص 7'!N63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7'!H64</f>
        <v/>
      </c>
      <c r="G64" s="72" t="n"/>
      <c r="H64" s="27">
        <f>F64+G64</f>
        <v/>
      </c>
      <c r="I64" s="107">
        <f>'مستخلص 7'!K64</f>
        <v/>
      </c>
      <c r="J64" s="68" t="n"/>
      <c r="K64" s="101">
        <f>IF(J64="",I64,J64)</f>
        <v/>
      </c>
      <c r="L64" s="74">
        <f>'مستخلص 7'!N64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7'!H65</f>
        <v/>
      </c>
      <c r="G65" s="72" t="n"/>
      <c r="H65" s="84">
        <f>F65+G65</f>
        <v/>
      </c>
      <c r="I65" s="109">
        <f>'مستخلص 7'!K65</f>
        <v/>
      </c>
      <c r="J65" s="68" t="n"/>
      <c r="K65" s="103">
        <f>IF(J65="",I65,J65)</f>
        <v/>
      </c>
      <c r="L65" s="108">
        <f>'مستخلص 7'!N65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7'!H66</f>
        <v/>
      </c>
      <c r="G66" s="72" t="n"/>
      <c r="H66" s="27">
        <f>F66+G66</f>
        <v/>
      </c>
      <c r="I66" s="107">
        <f>'مستخلص 7'!K66</f>
        <v/>
      </c>
      <c r="J66" s="68" t="n"/>
      <c r="K66" s="101">
        <f>IF(J66="",I66,J66)</f>
        <v/>
      </c>
      <c r="L66" s="74">
        <f>'مستخلص 7'!N66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7'!H67</f>
        <v/>
      </c>
      <c r="G67" s="72" t="n"/>
      <c r="H67" s="84">
        <f>F67+G67</f>
        <v/>
      </c>
      <c r="I67" s="109">
        <f>'مستخلص 7'!K67</f>
        <v/>
      </c>
      <c r="J67" s="68" t="n"/>
      <c r="K67" s="103">
        <f>IF(J67="",I67,J67)</f>
        <v/>
      </c>
      <c r="L67" s="108">
        <f>'مستخلص 7'!N67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7'!H68</f>
        <v/>
      </c>
      <c r="G68" s="72" t="n"/>
      <c r="H68" s="27">
        <f>F68+G68</f>
        <v/>
      </c>
      <c r="I68" s="107">
        <f>'مستخلص 7'!K68</f>
        <v/>
      </c>
      <c r="J68" s="68" t="n"/>
      <c r="K68" s="101">
        <f>IF(J68="",I68,J68)</f>
        <v/>
      </c>
      <c r="L68" s="74">
        <f>'مستخلص 7'!N68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7'!H69</f>
        <v/>
      </c>
      <c r="G69" s="72" t="n"/>
      <c r="H69" s="84">
        <f>F69+G69</f>
        <v/>
      </c>
      <c r="I69" s="109">
        <f>'مستخلص 7'!K69</f>
        <v/>
      </c>
      <c r="J69" s="68" t="n"/>
      <c r="K69" s="103">
        <f>IF(J69="",I69,J69)</f>
        <v/>
      </c>
      <c r="L69" s="108">
        <f>'مستخلص 7'!N69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7'!H70</f>
        <v/>
      </c>
      <c r="G70" s="72" t="n"/>
      <c r="H70" s="27">
        <f>F70+G70</f>
        <v/>
      </c>
      <c r="I70" s="107">
        <f>'مستخلص 7'!K70</f>
        <v/>
      </c>
      <c r="J70" s="68" t="n"/>
      <c r="K70" s="101">
        <f>IF(J70="",I70,J70)</f>
        <v/>
      </c>
      <c r="L70" s="74">
        <f>'مستخلص 7'!N70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7'!H71</f>
        <v/>
      </c>
      <c r="G71" s="72" t="n"/>
      <c r="H71" s="84">
        <f>F71+G71</f>
        <v/>
      </c>
      <c r="I71" s="109">
        <f>'مستخلص 7'!K71</f>
        <v/>
      </c>
      <c r="J71" s="68" t="n"/>
      <c r="K71" s="103">
        <f>IF(J71="",I71,J71)</f>
        <v/>
      </c>
      <c r="L71" s="108">
        <f>'مستخلص 7'!N71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7'!H72</f>
        <v/>
      </c>
      <c r="G72" s="72" t="n"/>
      <c r="H72" s="27">
        <f>F72+G72</f>
        <v/>
      </c>
      <c r="I72" s="107">
        <f>'مستخلص 7'!K72</f>
        <v/>
      </c>
      <c r="J72" s="68" t="n"/>
      <c r="K72" s="101">
        <f>IF(J72="",I72,J72)</f>
        <v/>
      </c>
      <c r="L72" s="74">
        <f>'مستخلص 7'!N72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7'!H73</f>
        <v/>
      </c>
      <c r="G73" s="72" t="n"/>
      <c r="H73" s="84">
        <f>F73+G73</f>
        <v/>
      </c>
      <c r="I73" s="109">
        <f>'مستخلص 7'!K73</f>
        <v/>
      </c>
      <c r="J73" s="68" t="n"/>
      <c r="K73" s="103">
        <f>IF(J73="",I73,J73)</f>
        <v/>
      </c>
      <c r="L73" s="108">
        <f>'مستخلص 7'!N73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7'!H74</f>
        <v/>
      </c>
      <c r="G74" s="72" t="n"/>
      <c r="H74" s="27">
        <f>F74+G74</f>
        <v/>
      </c>
      <c r="I74" s="107">
        <f>'مستخلص 7'!K74</f>
        <v/>
      </c>
      <c r="J74" s="68" t="n"/>
      <c r="K74" s="101">
        <f>IF(J74="",I74,J74)</f>
        <v/>
      </c>
      <c r="L74" s="74">
        <f>'مستخلص 7'!N74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7'!H75</f>
        <v/>
      </c>
      <c r="G75" s="72" t="n"/>
      <c r="H75" s="84">
        <f>F75+G75</f>
        <v/>
      </c>
      <c r="I75" s="109">
        <f>'مستخلص 7'!K75</f>
        <v/>
      </c>
      <c r="J75" s="68" t="n"/>
      <c r="K75" s="103">
        <f>IF(J75="",I75,J75)</f>
        <v/>
      </c>
      <c r="L75" s="108">
        <f>'مستخلص 7'!N75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7'!H76</f>
        <v/>
      </c>
      <c r="G76" s="72" t="n"/>
      <c r="H76" s="27">
        <f>F76+G76</f>
        <v/>
      </c>
      <c r="I76" s="107">
        <f>'مستخلص 7'!K76</f>
        <v/>
      </c>
      <c r="J76" s="68" t="n"/>
      <c r="K76" s="101">
        <f>IF(J76="",I76,J76)</f>
        <v/>
      </c>
      <c r="L76" s="74">
        <f>'مستخلص 7'!N76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7'!H77</f>
        <v/>
      </c>
      <c r="G77" s="72" t="n"/>
      <c r="H77" s="84">
        <f>F77+G77</f>
        <v/>
      </c>
      <c r="I77" s="109">
        <f>'مستخلص 7'!K77</f>
        <v/>
      </c>
      <c r="J77" s="68" t="n"/>
      <c r="K77" s="103">
        <f>IF(J77="",I77,J77)</f>
        <v/>
      </c>
      <c r="L77" s="108">
        <f>'مستخلص 7'!N77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7'!H78</f>
        <v/>
      </c>
      <c r="G78" s="72" t="n"/>
      <c r="H78" s="27">
        <f>F78+G78</f>
        <v/>
      </c>
      <c r="I78" s="107">
        <f>'مستخلص 7'!K78</f>
        <v/>
      </c>
      <c r="J78" s="68" t="n"/>
      <c r="K78" s="101">
        <f>IF(J78="",I78,J78)</f>
        <v/>
      </c>
      <c r="L78" s="74">
        <f>'مستخلص 7'!N78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7'!H79</f>
        <v/>
      </c>
      <c r="G79" s="72" t="n"/>
      <c r="H79" s="84">
        <f>F79+G79</f>
        <v/>
      </c>
      <c r="I79" s="109">
        <f>'مستخلص 7'!K79</f>
        <v/>
      </c>
      <c r="J79" s="68" t="n"/>
      <c r="K79" s="103">
        <f>IF(J79="",I79,J79)</f>
        <v/>
      </c>
      <c r="L79" s="108">
        <f>'مستخلص 7'!N79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7'!H80</f>
        <v/>
      </c>
      <c r="G80" s="72" t="n"/>
      <c r="H80" s="27">
        <f>F80+G80</f>
        <v/>
      </c>
      <c r="I80" s="107">
        <f>'مستخلص 7'!K80</f>
        <v/>
      </c>
      <c r="J80" s="68" t="n"/>
      <c r="K80" s="101">
        <f>IF(J80="",I80,J80)</f>
        <v/>
      </c>
      <c r="L80" s="74">
        <f>'مستخلص 7'!N80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7'!H81</f>
        <v/>
      </c>
      <c r="G81" s="72" t="n"/>
      <c r="H81" s="84">
        <f>F81+G81</f>
        <v/>
      </c>
      <c r="I81" s="109">
        <f>'مستخلص 7'!K81</f>
        <v/>
      </c>
      <c r="J81" s="68" t="n"/>
      <c r="K81" s="103">
        <f>IF(J81="",I81,J81)</f>
        <v/>
      </c>
      <c r="L81" s="108">
        <f>'مستخلص 7'!N81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7'!H82</f>
        <v/>
      </c>
      <c r="G82" s="72" t="n"/>
      <c r="H82" s="27">
        <f>F82+G82</f>
        <v/>
      </c>
      <c r="I82" s="107">
        <f>'مستخلص 7'!K82</f>
        <v/>
      </c>
      <c r="J82" s="68" t="n"/>
      <c r="K82" s="101">
        <f>IF(J82="",I82,J82)</f>
        <v/>
      </c>
      <c r="L82" s="74">
        <f>'مستخلص 7'!N82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7'!H83</f>
        <v/>
      </c>
      <c r="G83" s="72" t="n"/>
      <c r="H83" s="84">
        <f>F83+G83</f>
        <v/>
      </c>
      <c r="I83" s="109">
        <f>'مستخلص 7'!K83</f>
        <v/>
      </c>
      <c r="J83" s="68" t="n"/>
      <c r="K83" s="103">
        <f>IF(J83="",I83,J83)</f>
        <v/>
      </c>
      <c r="L83" s="108">
        <f>'مستخلص 7'!N83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7'!H84</f>
        <v/>
      </c>
      <c r="G84" s="72" t="n"/>
      <c r="H84" s="27">
        <f>F84+G84</f>
        <v/>
      </c>
      <c r="I84" s="107">
        <f>'مستخلص 7'!K84</f>
        <v/>
      </c>
      <c r="J84" s="68" t="n"/>
      <c r="K84" s="101">
        <f>IF(J84="",I84,J84)</f>
        <v/>
      </c>
      <c r="L84" s="74">
        <f>'مستخلص 7'!N84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7'!H85</f>
        <v/>
      </c>
      <c r="G85" s="72" t="n"/>
      <c r="H85" s="84">
        <f>F85+G85</f>
        <v/>
      </c>
      <c r="I85" s="109">
        <f>'مستخلص 7'!K85</f>
        <v/>
      </c>
      <c r="J85" s="68" t="n"/>
      <c r="K85" s="103">
        <f>IF(J85="",I85,J85)</f>
        <v/>
      </c>
      <c r="L85" s="108">
        <f>'مستخلص 7'!N85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7'!H86</f>
        <v/>
      </c>
      <c r="G86" s="72" t="n"/>
      <c r="H86" s="27">
        <f>F86+G86</f>
        <v/>
      </c>
      <c r="I86" s="107">
        <f>'مستخلص 7'!K86</f>
        <v/>
      </c>
      <c r="J86" s="68" t="n"/>
      <c r="K86" s="101">
        <f>IF(J86="",I86,J86)</f>
        <v/>
      </c>
      <c r="L86" s="74">
        <f>'مستخلص 7'!N86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7'!H87</f>
        <v/>
      </c>
      <c r="G87" s="72" t="n"/>
      <c r="H87" s="84">
        <f>F87+G87</f>
        <v/>
      </c>
      <c r="I87" s="109">
        <f>'مستخلص 7'!K87</f>
        <v/>
      </c>
      <c r="J87" s="68" t="n"/>
      <c r="K87" s="103">
        <f>IF(J87="",I87,J87)</f>
        <v/>
      </c>
      <c r="L87" s="108">
        <f>'مستخلص 7'!N87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7'!H88</f>
        <v/>
      </c>
      <c r="G88" s="72" t="n"/>
      <c r="H88" s="27">
        <f>F88+G88</f>
        <v/>
      </c>
      <c r="I88" s="107">
        <f>'مستخلص 7'!K88</f>
        <v/>
      </c>
      <c r="J88" s="68" t="n"/>
      <c r="K88" s="101">
        <f>IF(J88="",I88,J88)</f>
        <v/>
      </c>
      <c r="L88" s="74">
        <f>'مستخلص 7'!N88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7'!H89</f>
        <v/>
      </c>
      <c r="G89" s="72" t="n"/>
      <c r="H89" s="84">
        <f>F89+G89</f>
        <v/>
      </c>
      <c r="I89" s="109">
        <f>'مستخلص 7'!K89</f>
        <v/>
      </c>
      <c r="J89" s="68" t="n"/>
      <c r="K89" s="103">
        <f>IF(J89="",I89,J89)</f>
        <v/>
      </c>
      <c r="L89" s="108">
        <f>'مستخلص 7'!N89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7'!H90</f>
        <v/>
      </c>
      <c r="G90" s="72" t="n"/>
      <c r="H90" s="27">
        <f>F90+G90</f>
        <v/>
      </c>
      <c r="I90" s="107">
        <f>'مستخلص 7'!K90</f>
        <v/>
      </c>
      <c r="J90" s="68" t="n"/>
      <c r="K90" s="101">
        <f>IF(J90="",I90,J90)</f>
        <v/>
      </c>
      <c r="L90" s="74">
        <f>'مستخلص 7'!N90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7'!H91</f>
        <v/>
      </c>
      <c r="G91" s="72" t="n"/>
      <c r="H91" s="84">
        <f>F91+G91</f>
        <v/>
      </c>
      <c r="I91" s="109">
        <f>'مستخلص 7'!K91</f>
        <v/>
      </c>
      <c r="J91" s="68" t="n"/>
      <c r="K91" s="103">
        <f>IF(J91="",I91,J91)</f>
        <v/>
      </c>
      <c r="L91" s="108">
        <f>'مستخلص 7'!N91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7'!H92</f>
        <v/>
      </c>
      <c r="G92" s="72" t="n"/>
      <c r="H92" s="27">
        <f>F92+G92</f>
        <v/>
      </c>
      <c r="I92" s="107">
        <f>'مستخلص 7'!K92</f>
        <v/>
      </c>
      <c r="J92" s="68" t="n"/>
      <c r="K92" s="101">
        <f>IF(J92="",I92,J92)</f>
        <v/>
      </c>
      <c r="L92" s="74">
        <f>'مستخلص 7'!N92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7'!H93</f>
        <v/>
      </c>
      <c r="G93" s="72" t="n"/>
      <c r="H93" s="84">
        <f>F93+G93</f>
        <v/>
      </c>
      <c r="I93" s="109">
        <f>'مستخلص 7'!K93</f>
        <v/>
      </c>
      <c r="J93" s="68" t="n"/>
      <c r="K93" s="103">
        <f>IF(J93="",I93,J93)</f>
        <v/>
      </c>
      <c r="L93" s="108">
        <f>'مستخلص 7'!N93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7'!H94</f>
        <v/>
      </c>
      <c r="G94" s="72" t="n"/>
      <c r="H94" s="27">
        <f>F94+G94</f>
        <v/>
      </c>
      <c r="I94" s="107">
        <f>'مستخلص 7'!K94</f>
        <v/>
      </c>
      <c r="J94" s="68" t="n"/>
      <c r="K94" s="101">
        <f>IF(J94="",I94,J94)</f>
        <v/>
      </c>
      <c r="L94" s="74">
        <f>'مستخلص 7'!N94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7'!H95</f>
        <v/>
      </c>
      <c r="G95" s="72" t="n"/>
      <c r="H95" s="84">
        <f>F95+G95</f>
        <v/>
      </c>
      <c r="I95" s="109">
        <f>'مستخلص 7'!K95</f>
        <v/>
      </c>
      <c r="J95" s="68" t="n"/>
      <c r="K95" s="103">
        <f>IF(J95="",I95,J95)</f>
        <v/>
      </c>
      <c r="L95" s="108">
        <f>'مستخلص 7'!N95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7'!H96</f>
        <v/>
      </c>
      <c r="G96" s="72" t="n"/>
      <c r="H96" s="27">
        <f>F96+G96</f>
        <v/>
      </c>
      <c r="I96" s="107">
        <f>'مستخلص 7'!K96</f>
        <v/>
      </c>
      <c r="J96" s="68" t="n"/>
      <c r="K96" s="101">
        <f>IF(J96="",I96,J96)</f>
        <v/>
      </c>
      <c r="L96" s="74">
        <f>'مستخلص 7'!N96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7'!H97</f>
        <v/>
      </c>
      <c r="G97" s="72" t="n"/>
      <c r="H97" s="84">
        <f>F97+G97</f>
        <v/>
      </c>
      <c r="I97" s="109">
        <f>'مستخلص 7'!K97</f>
        <v/>
      </c>
      <c r="J97" s="68" t="n"/>
      <c r="K97" s="103">
        <f>IF(J97="",I97,J97)</f>
        <v/>
      </c>
      <c r="L97" s="108">
        <f>'مستخلص 7'!N97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7'!H98</f>
        <v/>
      </c>
      <c r="G98" s="72" t="n"/>
      <c r="H98" s="27">
        <f>F98+G98</f>
        <v/>
      </c>
      <c r="I98" s="107">
        <f>'مستخلص 7'!K98</f>
        <v/>
      </c>
      <c r="J98" s="68" t="n"/>
      <c r="K98" s="101">
        <f>IF(J98="",I98,J98)</f>
        <v/>
      </c>
      <c r="L98" s="74">
        <f>'مستخلص 7'!N98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7'!H99</f>
        <v/>
      </c>
      <c r="G99" s="72" t="n"/>
      <c r="H99" s="84">
        <f>F99+G99</f>
        <v/>
      </c>
      <c r="I99" s="109">
        <f>'مستخلص 7'!K99</f>
        <v/>
      </c>
      <c r="J99" s="68" t="n"/>
      <c r="K99" s="103">
        <f>IF(J99="",I99,J99)</f>
        <v/>
      </c>
      <c r="L99" s="108">
        <f>'مستخلص 7'!N99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7'!H100</f>
        <v/>
      </c>
      <c r="G100" s="72" t="n"/>
      <c r="H100" s="27">
        <f>F100+G100</f>
        <v/>
      </c>
      <c r="I100" s="107">
        <f>'مستخلص 7'!K100</f>
        <v/>
      </c>
      <c r="J100" s="68" t="n"/>
      <c r="K100" s="101">
        <f>IF(J100="",I100,J100)</f>
        <v/>
      </c>
      <c r="L100" s="74">
        <f>'مستخلص 7'!N100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7'!H101</f>
        <v/>
      </c>
      <c r="G101" s="72" t="n"/>
      <c r="H101" s="84">
        <f>F101+G101</f>
        <v/>
      </c>
      <c r="I101" s="109">
        <f>'مستخلص 7'!K101</f>
        <v/>
      </c>
      <c r="J101" s="68" t="n"/>
      <c r="K101" s="103">
        <f>IF(J101="",I101,J101)</f>
        <v/>
      </c>
      <c r="L101" s="108">
        <f>'مستخلص 7'!N101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7'!H102</f>
        <v/>
      </c>
      <c r="G102" s="72" t="n"/>
      <c r="H102" s="27">
        <f>F102+G102</f>
        <v/>
      </c>
      <c r="I102" s="107">
        <f>'مستخلص 7'!K102</f>
        <v/>
      </c>
      <c r="J102" s="68" t="n"/>
      <c r="K102" s="101">
        <f>IF(J102="",I102,J102)</f>
        <v/>
      </c>
      <c r="L102" s="74">
        <f>'مستخلص 7'!N102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7'!H103</f>
        <v/>
      </c>
      <c r="G103" s="72" t="n"/>
      <c r="H103" s="84">
        <f>F103+G103</f>
        <v/>
      </c>
      <c r="I103" s="109">
        <f>'مستخلص 7'!K103</f>
        <v/>
      </c>
      <c r="J103" s="68" t="n"/>
      <c r="K103" s="103">
        <f>IF(J103="",I103,J103)</f>
        <v/>
      </c>
      <c r="L103" s="108">
        <f>'مستخلص 7'!N103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7'!H104</f>
        <v/>
      </c>
      <c r="G104" s="72" t="n"/>
      <c r="H104" s="27">
        <f>F104+G104</f>
        <v/>
      </c>
      <c r="I104" s="107">
        <f>'مستخلص 7'!K104</f>
        <v/>
      </c>
      <c r="J104" s="68" t="n"/>
      <c r="K104" s="101">
        <f>IF(J104="",I104,J104)</f>
        <v/>
      </c>
      <c r="L104" s="74">
        <f>'مستخلص 7'!N104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7'!H105</f>
        <v/>
      </c>
      <c r="G105" s="72" t="n"/>
      <c r="H105" s="84">
        <f>F105+G105</f>
        <v/>
      </c>
      <c r="I105" s="109">
        <f>'مستخلص 7'!K105</f>
        <v/>
      </c>
      <c r="J105" s="68" t="n"/>
      <c r="K105" s="103">
        <f>IF(J105="",I105,J105)</f>
        <v/>
      </c>
      <c r="L105" s="108">
        <f>'مستخلص 7'!N105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7'!H106</f>
        <v/>
      </c>
      <c r="G106" s="72" t="n"/>
      <c r="H106" s="27">
        <f>F106+G106</f>
        <v/>
      </c>
      <c r="I106" s="107">
        <f>'مستخلص 7'!K106</f>
        <v/>
      </c>
      <c r="J106" s="68" t="n"/>
      <c r="K106" s="101">
        <f>IF(J106="",I106,J106)</f>
        <v/>
      </c>
      <c r="L106" s="74">
        <f>'مستخلص 7'!N106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7'!H107</f>
        <v/>
      </c>
      <c r="G107" s="72" t="n"/>
      <c r="H107" s="84">
        <f>F107+G107</f>
        <v/>
      </c>
      <c r="I107" s="109">
        <f>'مستخلص 7'!K107</f>
        <v/>
      </c>
      <c r="J107" s="68" t="n"/>
      <c r="K107" s="103">
        <f>IF(J107="",I107,J107)</f>
        <v/>
      </c>
      <c r="L107" s="108">
        <f>'مستخلص 7'!N107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7'!N111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7'!N112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7'!N113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7'!N114</f>
        <v/>
      </c>
      <c r="M114" s="27">
        <f>'الدفعات المقدمة'!I32</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7'!N115</f>
        <v/>
      </c>
      <c r="M115" s="27">
        <f>'ضمان الأعمال'!I23</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7'!N116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7'!N117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7'!N118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7'!A1" display="◀ المستخلص السابق (7)"/>
    <hyperlink ref="N3" location="'مستخلص 9'!A1" display="المستخلص التالي (9)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( 9 )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(8)</t>
        </is>
      </c>
      <c r="M3" s="4" t="n"/>
      <c r="N3" s="4" t="inlineStr">
        <is>
          <t>المستخلص التالي (10) ▶</t>
        </is>
      </c>
      <c r="O3" s="4" t="n"/>
      <c r="P3" s="4" t="n"/>
    </row>
    <row r="4" ht="24" customHeight="1">
      <c r="A4" s="96" t="inlineStr">
        <is>
          <t>رقم</t>
        </is>
      </c>
      <c r="B4" s="97" t="n">
        <v>9</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8'!H8</f>
        <v/>
      </c>
      <c r="G8" s="72" t="n"/>
      <c r="H8" s="27">
        <f>F8+G8</f>
        <v/>
      </c>
      <c r="I8" s="107">
        <f>'مستخلص 8'!K8</f>
        <v/>
      </c>
      <c r="J8" s="68" t="n"/>
      <c r="K8" s="101">
        <f>IF(J8="",I8,J8)</f>
        <v/>
      </c>
      <c r="L8" s="74">
        <f>'مستخلص 8'!N8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8'!H9</f>
        <v/>
      </c>
      <c r="G9" s="72" t="n"/>
      <c r="H9" s="84">
        <f>F9+G9</f>
        <v/>
      </c>
      <c r="I9" s="109">
        <f>'مستخلص 8'!K9</f>
        <v/>
      </c>
      <c r="J9" s="68" t="n"/>
      <c r="K9" s="103">
        <f>IF(J9="",I9,J9)</f>
        <v/>
      </c>
      <c r="L9" s="108">
        <f>'مستخلص 8'!N9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8'!H10</f>
        <v/>
      </c>
      <c r="G10" s="72" t="n"/>
      <c r="H10" s="27">
        <f>F10+G10</f>
        <v/>
      </c>
      <c r="I10" s="107">
        <f>'مستخلص 8'!K10</f>
        <v/>
      </c>
      <c r="J10" s="68" t="n"/>
      <c r="K10" s="101">
        <f>IF(J10="",I10,J10)</f>
        <v/>
      </c>
      <c r="L10" s="74">
        <f>'مستخلص 8'!N10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8'!H11</f>
        <v/>
      </c>
      <c r="G11" s="72" t="n"/>
      <c r="H11" s="84">
        <f>F11+G11</f>
        <v/>
      </c>
      <c r="I11" s="109">
        <f>'مستخلص 8'!K11</f>
        <v/>
      </c>
      <c r="J11" s="68" t="n"/>
      <c r="K11" s="103">
        <f>IF(J11="",I11,J11)</f>
        <v/>
      </c>
      <c r="L11" s="108">
        <f>'مستخلص 8'!N11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8'!H12</f>
        <v/>
      </c>
      <c r="G12" s="72" t="n"/>
      <c r="H12" s="27">
        <f>F12+G12</f>
        <v/>
      </c>
      <c r="I12" s="107">
        <f>'مستخلص 8'!K12</f>
        <v/>
      </c>
      <c r="J12" s="68" t="n"/>
      <c r="K12" s="101">
        <f>IF(J12="",I12,J12)</f>
        <v/>
      </c>
      <c r="L12" s="74">
        <f>'مستخلص 8'!N12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8'!H13</f>
        <v/>
      </c>
      <c r="G13" s="72" t="n"/>
      <c r="H13" s="84">
        <f>F13+G13</f>
        <v/>
      </c>
      <c r="I13" s="109">
        <f>'مستخلص 8'!K13</f>
        <v/>
      </c>
      <c r="J13" s="68" t="n"/>
      <c r="K13" s="103">
        <f>IF(J13="",I13,J13)</f>
        <v/>
      </c>
      <c r="L13" s="108">
        <f>'مستخلص 8'!N13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8'!H14</f>
        <v/>
      </c>
      <c r="G14" s="72" t="n"/>
      <c r="H14" s="27">
        <f>F14+G14</f>
        <v/>
      </c>
      <c r="I14" s="107">
        <f>'مستخلص 8'!K14</f>
        <v/>
      </c>
      <c r="J14" s="68" t="n"/>
      <c r="K14" s="101">
        <f>IF(J14="",I14,J14)</f>
        <v/>
      </c>
      <c r="L14" s="74">
        <f>'مستخلص 8'!N14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8'!H15</f>
        <v/>
      </c>
      <c r="G15" s="72" t="n"/>
      <c r="H15" s="84">
        <f>F15+G15</f>
        <v/>
      </c>
      <c r="I15" s="109">
        <f>'مستخلص 8'!K15</f>
        <v/>
      </c>
      <c r="J15" s="68" t="n"/>
      <c r="K15" s="103">
        <f>IF(J15="",I15,J15)</f>
        <v/>
      </c>
      <c r="L15" s="108">
        <f>'مستخلص 8'!N15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8'!H16</f>
        <v/>
      </c>
      <c r="G16" s="72" t="n"/>
      <c r="H16" s="27">
        <f>F16+G16</f>
        <v/>
      </c>
      <c r="I16" s="107">
        <f>'مستخلص 8'!K16</f>
        <v/>
      </c>
      <c r="J16" s="68" t="n"/>
      <c r="K16" s="101">
        <f>IF(J16="",I16,J16)</f>
        <v/>
      </c>
      <c r="L16" s="74">
        <f>'مستخلص 8'!N16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8'!H17</f>
        <v/>
      </c>
      <c r="G17" s="72" t="n"/>
      <c r="H17" s="84">
        <f>F17+G17</f>
        <v/>
      </c>
      <c r="I17" s="109">
        <f>'مستخلص 8'!K17</f>
        <v/>
      </c>
      <c r="J17" s="68" t="n"/>
      <c r="K17" s="103">
        <f>IF(J17="",I17,J17)</f>
        <v/>
      </c>
      <c r="L17" s="108">
        <f>'مستخلص 8'!N17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8'!H18</f>
        <v/>
      </c>
      <c r="G18" s="72" t="n"/>
      <c r="H18" s="27">
        <f>F18+G18</f>
        <v/>
      </c>
      <c r="I18" s="107">
        <f>'مستخلص 8'!K18</f>
        <v/>
      </c>
      <c r="J18" s="68" t="n"/>
      <c r="K18" s="101">
        <f>IF(J18="",I18,J18)</f>
        <v/>
      </c>
      <c r="L18" s="74">
        <f>'مستخلص 8'!N18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8'!H19</f>
        <v/>
      </c>
      <c r="G19" s="72" t="n"/>
      <c r="H19" s="84">
        <f>F19+G19</f>
        <v/>
      </c>
      <c r="I19" s="109">
        <f>'مستخلص 8'!K19</f>
        <v/>
      </c>
      <c r="J19" s="68" t="n"/>
      <c r="K19" s="103">
        <f>IF(J19="",I19,J19)</f>
        <v/>
      </c>
      <c r="L19" s="108">
        <f>'مستخلص 8'!N19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8'!H20</f>
        <v/>
      </c>
      <c r="G20" s="72" t="n"/>
      <c r="H20" s="27">
        <f>F20+G20</f>
        <v/>
      </c>
      <c r="I20" s="107">
        <f>'مستخلص 8'!K20</f>
        <v/>
      </c>
      <c r="J20" s="68" t="n"/>
      <c r="K20" s="101">
        <f>IF(J20="",I20,J20)</f>
        <v/>
      </c>
      <c r="L20" s="74">
        <f>'مستخلص 8'!N20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8'!H21</f>
        <v/>
      </c>
      <c r="G21" s="72" t="n"/>
      <c r="H21" s="84">
        <f>F21+G21</f>
        <v/>
      </c>
      <c r="I21" s="109">
        <f>'مستخلص 8'!K21</f>
        <v/>
      </c>
      <c r="J21" s="68" t="n"/>
      <c r="K21" s="103">
        <f>IF(J21="",I21,J21)</f>
        <v/>
      </c>
      <c r="L21" s="108">
        <f>'مستخلص 8'!N21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8'!H22</f>
        <v/>
      </c>
      <c r="G22" s="72" t="n"/>
      <c r="H22" s="27">
        <f>F22+G22</f>
        <v/>
      </c>
      <c r="I22" s="107">
        <f>'مستخلص 8'!K22</f>
        <v/>
      </c>
      <c r="J22" s="68" t="n"/>
      <c r="K22" s="101">
        <f>IF(J22="",I22,J22)</f>
        <v/>
      </c>
      <c r="L22" s="74">
        <f>'مستخلص 8'!N22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8'!H23</f>
        <v/>
      </c>
      <c r="G23" s="72" t="n"/>
      <c r="H23" s="84">
        <f>F23+G23</f>
        <v/>
      </c>
      <c r="I23" s="109">
        <f>'مستخلص 8'!K23</f>
        <v/>
      </c>
      <c r="J23" s="68" t="n"/>
      <c r="K23" s="103">
        <f>IF(J23="",I23,J23)</f>
        <v/>
      </c>
      <c r="L23" s="108">
        <f>'مستخلص 8'!N23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8'!H24</f>
        <v/>
      </c>
      <c r="G24" s="72" t="n"/>
      <c r="H24" s="27">
        <f>F24+G24</f>
        <v/>
      </c>
      <c r="I24" s="107">
        <f>'مستخلص 8'!K24</f>
        <v/>
      </c>
      <c r="J24" s="68" t="n"/>
      <c r="K24" s="101">
        <f>IF(J24="",I24,J24)</f>
        <v/>
      </c>
      <c r="L24" s="74">
        <f>'مستخلص 8'!N24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8'!H25</f>
        <v/>
      </c>
      <c r="G25" s="72" t="n"/>
      <c r="H25" s="84">
        <f>F25+G25</f>
        <v/>
      </c>
      <c r="I25" s="109">
        <f>'مستخلص 8'!K25</f>
        <v/>
      </c>
      <c r="J25" s="68" t="n"/>
      <c r="K25" s="103">
        <f>IF(J25="",I25,J25)</f>
        <v/>
      </c>
      <c r="L25" s="108">
        <f>'مستخلص 8'!N25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8'!H26</f>
        <v/>
      </c>
      <c r="G26" s="72" t="n"/>
      <c r="H26" s="27">
        <f>F26+G26</f>
        <v/>
      </c>
      <c r="I26" s="107">
        <f>'مستخلص 8'!K26</f>
        <v/>
      </c>
      <c r="J26" s="68" t="n"/>
      <c r="K26" s="101">
        <f>IF(J26="",I26,J26)</f>
        <v/>
      </c>
      <c r="L26" s="74">
        <f>'مستخلص 8'!N26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8'!H27</f>
        <v/>
      </c>
      <c r="G27" s="72" t="n"/>
      <c r="H27" s="84">
        <f>F27+G27</f>
        <v/>
      </c>
      <c r="I27" s="109">
        <f>'مستخلص 8'!K27</f>
        <v/>
      </c>
      <c r="J27" s="68" t="n"/>
      <c r="K27" s="103">
        <f>IF(J27="",I27,J27)</f>
        <v/>
      </c>
      <c r="L27" s="108">
        <f>'مستخلص 8'!N27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8'!H28</f>
        <v/>
      </c>
      <c r="G28" s="72" t="n"/>
      <c r="H28" s="27">
        <f>F28+G28</f>
        <v/>
      </c>
      <c r="I28" s="107">
        <f>'مستخلص 8'!K28</f>
        <v/>
      </c>
      <c r="J28" s="68" t="n"/>
      <c r="K28" s="101">
        <f>IF(J28="",I28,J28)</f>
        <v/>
      </c>
      <c r="L28" s="74">
        <f>'مستخلص 8'!N28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8'!H29</f>
        <v/>
      </c>
      <c r="G29" s="72" t="n"/>
      <c r="H29" s="84">
        <f>F29+G29</f>
        <v/>
      </c>
      <c r="I29" s="109">
        <f>'مستخلص 8'!K29</f>
        <v/>
      </c>
      <c r="J29" s="68" t="n"/>
      <c r="K29" s="103">
        <f>IF(J29="",I29,J29)</f>
        <v/>
      </c>
      <c r="L29" s="108">
        <f>'مستخلص 8'!N29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8'!H30</f>
        <v/>
      </c>
      <c r="G30" s="72" t="n"/>
      <c r="H30" s="27">
        <f>F30+G30</f>
        <v/>
      </c>
      <c r="I30" s="107">
        <f>'مستخلص 8'!K30</f>
        <v/>
      </c>
      <c r="J30" s="68" t="n"/>
      <c r="K30" s="101">
        <f>IF(J30="",I30,J30)</f>
        <v/>
      </c>
      <c r="L30" s="74">
        <f>'مستخلص 8'!N30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8'!H31</f>
        <v/>
      </c>
      <c r="G31" s="72" t="n"/>
      <c r="H31" s="84">
        <f>F31+G31</f>
        <v/>
      </c>
      <c r="I31" s="109">
        <f>'مستخلص 8'!K31</f>
        <v/>
      </c>
      <c r="J31" s="68" t="n"/>
      <c r="K31" s="103">
        <f>IF(J31="",I31,J31)</f>
        <v/>
      </c>
      <c r="L31" s="108">
        <f>'مستخلص 8'!N31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8'!H32</f>
        <v/>
      </c>
      <c r="G32" s="72" t="n"/>
      <c r="H32" s="27">
        <f>F32+G32</f>
        <v/>
      </c>
      <c r="I32" s="107">
        <f>'مستخلص 8'!K32</f>
        <v/>
      </c>
      <c r="J32" s="68" t="n"/>
      <c r="K32" s="101">
        <f>IF(J32="",I32,J32)</f>
        <v/>
      </c>
      <c r="L32" s="74">
        <f>'مستخلص 8'!N32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8'!H33</f>
        <v/>
      </c>
      <c r="G33" s="72" t="n"/>
      <c r="H33" s="84">
        <f>F33+G33</f>
        <v/>
      </c>
      <c r="I33" s="109">
        <f>'مستخلص 8'!K33</f>
        <v/>
      </c>
      <c r="J33" s="68" t="n"/>
      <c r="K33" s="103">
        <f>IF(J33="",I33,J33)</f>
        <v/>
      </c>
      <c r="L33" s="108">
        <f>'مستخلص 8'!N33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8'!H34</f>
        <v/>
      </c>
      <c r="G34" s="72" t="n"/>
      <c r="H34" s="27">
        <f>F34+G34</f>
        <v/>
      </c>
      <c r="I34" s="107">
        <f>'مستخلص 8'!K34</f>
        <v/>
      </c>
      <c r="J34" s="68" t="n"/>
      <c r="K34" s="101">
        <f>IF(J34="",I34,J34)</f>
        <v/>
      </c>
      <c r="L34" s="74">
        <f>'مستخلص 8'!N34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8'!H35</f>
        <v/>
      </c>
      <c r="G35" s="72" t="n"/>
      <c r="H35" s="84">
        <f>F35+G35</f>
        <v/>
      </c>
      <c r="I35" s="109">
        <f>'مستخلص 8'!K35</f>
        <v/>
      </c>
      <c r="J35" s="68" t="n"/>
      <c r="K35" s="103">
        <f>IF(J35="",I35,J35)</f>
        <v/>
      </c>
      <c r="L35" s="108">
        <f>'مستخلص 8'!N35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8'!H36</f>
        <v/>
      </c>
      <c r="G36" s="72" t="n"/>
      <c r="H36" s="27">
        <f>F36+G36</f>
        <v/>
      </c>
      <c r="I36" s="107">
        <f>'مستخلص 8'!K36</f>
        <v/>
      </c>
      <c r="J36" s="68" t="n"/>
      <c r="K36" s="101">
        <f>IF(J36="",I36,J36)</f>
        <v/>
      </c>
      <c r="L36" s="74">
        <f>'مستخلص 8'!N36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8'!H37</f>
        <v/>
      </c>
      <c r="G37" s="72" t="n"/>
      <c r="H37" s="84">
        <f>F37+G37</f>
        <v/>
      </c>
      <c r="I37" s="109">
        <f>'مستخلص 8'!K37</f>
        <v/>
      </c>
      <c r="J37" s="68" t="n"/>
      <c r="K37" s="103">
        <f>IF(J37="",I37,J37)</f>
        <v/>
      </c>
      <c r="L37" s="108">
        <f>'مستخلص 8'!N37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8'!H38</f>
        <v/>
      </c>
      <c r="G38" s="72" t="n"/>
      <c r="H38" s="27">
        <f>F38+G38</f>
        <v/>
      </c>
      <c r="I38" s="107">
        <f>'مستخلص 8'!K38</f>
        <v/>
      </c>
      <c r="J38" s="68" t="n"/>
      <c r="K38" s="101">
        <f>IF(J38="",I38,J38)</f>
        <v/>
      </c>
      <c r="L38" s="74">
        <f>'مستخلص 8'!N38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8'!H39</f>
        <v/>
      </c>
      <c r="G39" s="72" t="n"/>
      <c r="H39" s="84">
        <f>F39+G39</f>
        <v/>
      </c>
      <c r="I39" s="109">
        <f>'مستخلص 8'!K39</f>
        <v/>
      </c>
      <c r="J39" s="68" t="n"/>
      <c r="K39" s="103">
        <f>IF(J39="",I39,J39)</f>
        <v/>
      </c>
      <c r="L39" s="108">
        <f>'مستخلص 8'!N39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8'!H40</f>
        <v/>
      </c>
      <c r="G40" s="72" t="n"/>
      <c r="H40" s="27">
        <f>F40+G40</f>
        <v/>
      </c>
      <c r="I40" s="107">
        <f>'مستخلص 8'!K40</f>
        <v/>
      </c>
      <c r="J40" s="68" t="n"/>
      <c r="K40" s="101">
        <f>IF(J40="",I40,J40)</f>
        <v/>
      </c>
      <c r="L40" s="74">
        <f>'مستخلص 8'!N40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8'!H41</f>
        <v/>
      </c>
      <c r="G41" s="72" t="n"/>
      <c r="H41" s="84">
        <f>F41+G41</f>
        <v/>
      </c>
      <c r="I41" s="109">
        <f>'مستخلص 8'!K41</f>
        <v/>
      </c>
      <c r="J41" s="68" t="n"/>
      <c r="K41" s="103">
        <f>IF(J41="",I41,J41)</f>
        <v/>
      </c>
      <c r="L41" s="108">
        <f>'مستخلص 8'!N41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8'!H42</f>
        <v/>
      </c>
      <c r="G42" s="72" t="n"/>
      <c r="H42" s="27">
        <f>F42+G42</f>
        <v/>
      </c>
      <c r="I42" s="107">
        <f>'مستخلص 8'!K42</f>
        <v/>
      </c>
      <c r="J42" s="68" t="n"/>
      <c r="K42" s="101">
        <f>IF(J42="",I42,J42)</f>
        <v/>
      </c>
      <c r="L42" s="74">
        <f>'مستخلص 8'!N42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8'!H43</f>
        <v/>
      </c>
      <c r="G43" s="72" t="n"/>
      <c r="H43" s="84">
        <f>F43+G43</f>
        <v/>
      </c>
      <c r="I43" s="109">
        <f>'مستخلص 8'!K43</f>
        <v/>
      </c>
      <c r="J43" s="68" t="n"/>
      <c r="K43" s="103">
        <f>IF(J43="",I43,J43)</f>
        <v/>
      </c>
      <c r="L43" s="108">
        <f>'مستخلص 8'!N43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8'!H44</f>
        <v/>
      </c>
      <c r="G44" s="72" t="n"/>
      <c r="H44" s="27">
        <f>F44+G44</f>
        <v/>
      </c>
      <c r="I44" s="107">
        <f>'مستخلص 8'!K44</f>
        <v/>
      </c>
      <c r="J44" s="68" t="n"/>
      <c r="K44" s="101">
        <f>IF(J44="",I44,J44)</f>
        <v/>
      </c>
      <c r="L44" s="74">
        <f>'مستخلص 8'!N44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8'!H45</f>
        <v/>
      </c>
      <c r="G45" s="72" t="n"/>
      <c r="H45" s="84">
        <f>F45+G45</f>
        <v/>
      </c>
      <c r="I45" s="109">
        <f>'مستخلص 8'!K45</f>
        <v/>
      </c>
      <c r="J45" s="68" t="n"/>
      <c r="K45" s="103">
        <f>IF(J45="",I45,J45)</f>
        <v/>
      </c>
      <c r="L45" s="108">
        <f>'مستخلص 8'!N45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8'!H46</f>
        <v/>
      </c>
      <c r="G46" s="72" t="n"/>
      <c r="H46" s="27">
        <f>F46+G46</f>
        <v/>
      </c>
      <c r="I46" s="107">
        <f>'مستخلص 8'!K46</f>
        <v/>
      </c>
      <c r="J46" s="68" t="n"/>
      <c r="K46" s="101">
        <f>IF(J46="",I46,J46)</f>
        <v/>
      </c>
      <c r="L46" s="74">
        <f>'مستخلص 8'!N46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8'!H47</f>
        <v/>
      </c>
      <c r="G47" s="72" t="n"/>
      <c r="H47" s="84">
        <f>F47+G47</f>
        <v/>
      </c>
      <c r="I47" s="109">
        <f>'مستخلص 8'!K47</f>
        <v/>
      </c>
      <c r="J47" s="68" t="n"/>
      <c r="K47" s="103">
        <f>IF(J47="",I47,J47)</f>
        <v/>
      </c>
      <c r="L47" s="108">
        <f>'مستخلص 8'!N47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8'!H48</f>
        <v/>
      </c>
      <c r="G48" s="72" t="n"/>
      <c r="H48" s="27">
        <f>F48+G48</f>
        <v/>
      </c>
      <c r="I48" s="107">
        <f>'مستخلص 8'!K48</f>
        <v/>
      </c>
      <c r="J48" s="68" t="n"/>
      <c r="K48" s="101">
        <f>IF(J48="",I48,J48)</f>
        <v/>
      </c>
      <c r="L48" s="74">
        <f>'مستخلص 8'!N48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8'!H49</f>
        <v/>
      </c>
      <c r="G49" s="72" t="n"/>
      <c r="H49" s="84">
        <f>F49+G49</f>
        <v/>
      </c>
      <c r="I49" s="109">
        <f>'مستخلص 8'!K49</f>
        <v/>
      </c>
      <c r="J49" s="68" t="n"/>
      <c r="K49" s="103">
        <f>IF(J49="",I49,J49)</f>
        <v/>
      </c>
      <c r="L49" s="108">
        <f>'مستخلص 8'!N49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8'!H50</f>
        <v/>
      </c>
      <c r="G50" s="72" t="n"/>
      <c r="H50" s="27">
        <f>F50+G50</f>
        <v/>
      </c>
      <c r="I50" s="107">
        <f>'مستخلص 8'!K50</f>
        <v/>
      </c>
      <c r="J50" s="68" t="n"/>
      <c r="K50" s="101">
        <f>IF(J50="",I50,J50)</f>
        <v/>
      </c>
      <c r="L50" s="74">
        <f>'مستخلص 8'!N50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8'!H51</f>
        <v/>
      </c>
      <c r="G51" s="72" t="n"/>
      <c r="H51" s="84">
        <f>F51+G51</f>
        <v/>
      </c>
      <c r="I51" s="109">
        <f>'مستخلص 8'!K51</f>
        <v/>
      </c>
      <c r="J51" s="68" t="n"/>
      <c r="K51" s="103">
        <f>IF(J51="",I51,J51)</f>
        <v/>
      </c>
      <c r="L51" s="108">
        <f>'مستخلص 8'!N51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8'!H52</f>
        <v/>
      </c>
      <c r="G52" s="72" t="n"/>
      <c r="H52" s="27">
        <f>F52+G52</f>
        <v/>
      </c>
      <c r="I52" s="107">
        <f>'مستخلص 8'!K52</f>
        <v/>
      </c>
      <c r="J52" s="68" t="n"/>
      <c r="K52" s="101">
        <f>IF(J52="",I52,J52)</f>
        <v/>
      </c>
      <c r="L52" s="74">
        <f>'مستخلص 8'!N52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8'!H53</f>
        <v/>
      </c>
      <c r="G53" s="72" t="n"/>
      <c r="H53" s="84">
        <f>F53+G53</f>
        <v/>
      </c>
      <c r="I53" s="109">
        <f>'مستخلص 8'!K53</f>
        <v/>
      </c>
      <c r="J53" s="68" t="n"/>
      <c r="K53" s="103">
        <f>IF(J53="",I53,J53)</f>
        <v/>
      </c>
      <c r="L53" s="108">
        <f>'مستخلص 8'!N53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8'!H54</f>
        <v/>
      </c>
      <c r="G54" s="72" t="n"/>
      <c r="H54" s="27">
        <f>F54+G54</f>
        <v/>
      </c>
      <c r="I54" s="107">
        <f>'مستخلص 8'!K54</f>
        <v/>
      </c>
      <c r="J54" s="68" t="n"/>
      <c r="K54" s="101">
        <f>IF(J54="",I54,J54)</f>
        <v/>
      </c>
      <c r="L54" s="74">
        <f>'مستخلص 8'!N54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8'!H55</f>
        <v/>
      </c>
      <c r="G55" s="72" t="n"/>
      <c r="H55" s="84">
        <f>F55+G55</f>
        <v/>
      </c>
      <c r="I55" s="109">
        <f>'مستخلص 8'!K55</f>
        <v/>
      </c>
      <c r="J55" s="68" t="n"/>
      <c r="K55" s="103">
        <f>IF(J55="",I55,J55)</f>
        <v/>
      </c>
      <c r="L55" s="108">
        <f>'مستخلص 8'!N55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8'!H56</f>
        <v/>
      </c>
      <c r="G56" s="72" t="n"/>
      <c r="H56" s="27">
        <f>F56+G56</f>
        <v/>
      </c>
      <c r="I56" s="107">
        <f>'مستخلص 8'!K56</f>
        <v/>
      </c>
      <c r="J56" s="68" t="n"/>
      <c r="K56" s="101">
        <f>IF(J56="",I56,J56)</f>
        <v/>
      </c>
      <c r="L56" s="74">
        <f>'مستخلص 8'!N56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8'!H57</f>
        <v/>
      </c>
      <c r="G57" s="72" t="n"/>
      <c r="H57" s="84">
        <f>F57+G57</f>
        <v/>
      </c>
      <c r="I57" s="109">
        <f>'مستخلص 8'!K57</f>
        <v/>
      </c>
      <c r="J57" s="68" t="n"/>
      <c r="K57" s="103">
        <f>IF(J57="",I57,J57)</f>
        <v/>
      </c>
      <c r="L57" s="108">
        <f>'مستخلص 8'!N57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8'!H58</f>
        <v/>
      </c>
      <c r="G58" s="72" t="n"/>
      <c r="H58" s="27">
        <f>F58+G58</f>
        <v/>
      </c>
      <c r="I58" s="107">
        <f>'مستخلص 8'!K58</f>
        <v/>
      </c>
      <c r="J58" s="68" t="n"/>
      <c r="K58" s="101">
        <f>IF(J58="",I58,J58)</f>
        <v/>
      </c>
      <c r="L58" s="74">
        <f>'مستخلص 8'!N58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8'!H59</f>
        <v/>
      </c>
      <c r="G59" s="72" t="n"/>
      <c r="H59" s="84">
        <f>F59+G59</f>
        <v/>
      </c>
      <c r="I59" s="109">
        <f>'مستخلص 8'!K59</f>
        <v/>
      </c>
      <c r="J59" s="68" t="n"/>
      <c r="K59" s="103">
        <f>IF(J59="",I59,J59)</f>
        <v/>
      </c>
      <c r="L59" s="108">
        <f>'مستخلص 8'!N59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8'!H60</f>
        <v/>
      </c>
      <c r="G60" s="72" t="n"/>
      <c r="H60" s="27">
        <f>F60+G60</f>
        <v/>
      </c>
      <c r="I60" s="107">
        <f>'مستخلص 8'!K60</f>
        <v/>
      </c>
      <c r="J60" s="68" t="n"/>
      <c r="K60" s="101">
        <f>IF(J60="",I60,J60)</f>
        <v/>
      </c>
      <c r="L60" s="74">
        <f>'مستخلص 8'!N60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8'!H61</f>
        <v/>
      </c>
      <c r="G61" s="72" t="n"/>
      <c r="H61" s="84">
        <f>F61+G61</f>
        <v/>
      </c>
      <c r="I61" s="109">
        <f>'مستخلص 8'!K61</f>
        <v/>
      </c>
      <c r="J61" s="68" t="n"/>
      <c r="K61" s="103">
        <f>IF(J61="",I61,J61)</f>
        <v/>
      </c>
      <c r="L61" s="108">
        <f>'مستخلص 8'!N61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8'!H62</f>
        <v/>
      </c>
      <c r="G62" s="72" t="n"/>
      <c r="H62" s="27">
        <f>F62+G62</f>
        <v/>
      </c>
      <c r="I62" s="107">
        <f>'مستخلص 8'!K62</f>
        <v/>
      </c>
      <c r="J62" s="68" t="n"/>
      <c r="K62" s="101">
        <f>IF(J62="",I62,J62)</f>
        <v/>
      </c>
      <c r="L62" s="74">
        <f>'مستخلص 8'!N62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8'!H63</f>
        <v/>
      </c>
      <c r="G63" s="72" t="n"/>
      <c r="H63" s="84">
        <f>F63+G63</f>
        <v/>
      </c>
      <c r="I63" s="109">
        <f>'مستخلص 8'!K63</f>
        <v/>
      </c>
      <c r="J63" s="68" t="n"/>
      <c r="K63" s="103">
        <f>IF(J63="",I63,J63)</f>
        <v/>
      </c>
      <c r="L63" s="108">
        <f>'مستخلص 8'!N63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8'!H64</f>
        <v/>
      </c>
      <c r="G64" s="72" t="n"/>
      <c r="H64" s="27">
        <f>F64+G64</f>
        <v/>
      </c>
      <c r="I64" s="107">
        <f>'مستخلص 8'!K64</f>
        <v/>
      </c>
      <c r="J64" s="68" t="n"/>
      <c r="K64" s="101">
        <f>IF(J64="",I64,J64)</f>
        <v/>
      </c>
      <c r="L64" s="74">
        <f>'مستخلص 8'!N64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8'!H65</f>
        <v/>
      </c>
      <c r="G65" s="72" t="n"/>
      <c r="H65" s="84">
        <f>F65+G65</f>
        <v/>
      </c>
      <c r="I65" s="109">
        <f>'مستخلص 8'!K65</f>
        <v/>
      </c>
      <c r="J65" s="68" t="n"/>
      <c r="K65" s="103">
        <f>IF(J65="",I65,J65)</f>
        <v/>
      </c>
      <c r="L65" s="108">
        <f>'مستخلص 8'!N65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8'!H66</f>
        <v/>
      </c>
      <c r="G66" s="72" t="n"/>
      <c r="H66" s="27">
        <f>F66+G66</f>
        <v/>
      </c>
      <c r="I66" s="107">
        <f>'مستخلص 8'!K66</f>
        <v/>
      </c>
      <c r="J66" s="68" t="n"/>
      <c r="K66" s="101">
        <f>IF(J66="",I66,J66)</f>
        <v/>
      </c>
      <c r="L66" s="74">
        <f>'مستخلص 8'!N66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8'!H67</f>
        <v/>
      </c>
      <c r="G67" s="72" t="n"/>
      <c r="H67" s="84">
        <f>F67+G67</f>
        <v/>
      </c>
      <c r="I67" s="109">
        <f>'مستخلص 8'!K67</f>
        <v/>
      </c>
      <c r="J67" s="68" t="n"/>
      <c r="K67" s="103">
        <f>IF(J67="",I67,J67)</f>
        <v/>
      </c>
      <c r="L67" s="108">
        <f>'مستخلص 8'!N67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8'!H68</f>
        <v/>
      </c>
      <c r="G68" s="72" t="n"/>
      <c r="H68" s="27">
        <f>F68+G68</f>
        <v/>
      </c>
      <c r="I68" s="107">
        <f>'مستخلص 8'!K68</f>
        <v/>
      </c>
      <c r="J68" s="68" t="n"/>
      <c r="K68" s="101">
        <f>IF(J68="",I68,J68)</f>
        <v/>
      </c>
      <c r="L68" s="74">
        <f>'مستخلص 8'!N68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8'!H69</f>
        <v/>
      </c>
      <c r="G69" s="72" t="n"/>
      <c r="H69" s="84">
        <f>F69+G69</f>
        <v/>
      </c>
      <c r="I69" s="109">
        <f>'مستخلص 8'!K69</f>
        <v/>
      </c>
      <c r="J69" s="68" t="n"/>
      <c r="K69" s="103">
        <f>IF(J69="",I69,J69)</f>
        <v/>
      </c>
      <c r="L69" s="108">
        <f>'مستخلص 8'!N69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8'!H70</f>
        <v/>
      </c>
      <c r="G70" s="72" t="n"/>
      <c r="H70" s="27">
        <f>F70+G70</f>
        <v/>
      </c>
      <c r="I70" s="107">
        <f>'مستخلص 8'!K70</f>
        <v/>
      </c>
      <c r="J70" s="68" t="n"/>
      <c r="K70" s="101">
        <f>IF(J70="",I70,J70)</f>
        <v/>
      </c>
      <c r="L70" s="74">
        <f>'مستخلص 8'!N70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8'!H71</f>
        <v/>
      </c>
      <c r="G71" s="72" t="n"/>
      <c r="H71" s="84">
        <f>F71+G71</f>
        <v/>
      </c>
      <c r="I71" s="109">
        <f>'مستخلص 8'!K71</f>
        <v/>
      </c>
      <c r="J71" s="68" t="n"/>
      <c r="K71" s="103">
        <f>IF(J71="",I71,J71)</f>
        <v/>
      </c>
      <c r="L71" s="108">
        <f>'مستخلص 8'!N71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8'!H72</f>
        <v/>
      </c>
      <c r="G72" s="72" t="n"/>
      <c r="H72" s="27">
        <f>F72+G72</f>
        <v/>
      </c>
      <c r="I72" s="107">
        <f>'مستخلص 8'!K72</f>
        <v/>
      </c>
      <c r="J72" s="68" t="n"/>
      <c r="K72" s="101">
        <f>IF(J72="",I72,J72)</f>
        <v/>
      </c>
      <c r="L72" s="74">
        <f>'مستخلص 8'!N72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8'!H73</f>
        <v/>
      </c>
      <c r="G73" s="72" t="n"/>
      <c r="H73" s="84">
        <f>F73+G73</f>
        <v/>
      </c>
      <c r="I73" s="109">
        <f>'مستخلص 8'!K73</f>
        <v/>
      </c>
      <c r="J73" s="68" t="n"/>
      <c r="K73" s="103">
        <f>IF(J73="",I73,J73)</f>
        <v/>
      </c>
      <c r="L73" s="108">
        <f>'مستخلص 8'!N73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8'!H74</f>
        <v/>
      </c>
      <c r="G74" s="72" t="n"/>
      <c r="H74" s="27">
        <f>F74+G74</f>
        <v/>
      </c>
      <c r="I74" s="107">
        <f>'مستخلص 8'!K74</f>
        <v/>
      </c>
      <c r="J74" s="68" t="n"/>
      <c r="K74" s="101">
        <f>IF(J74="",I74,J74)</f>
        <v/>
      </c>
      <c r="L74" s="74">
        <f>'مستخلص 8'!N74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8'!H75</f>
        <v/>
      </c>
      <c r="G75" s="72" t="n"/>
      <c r="H75" s="84">
        <f>F75+G75</f>
        <v/>
      </c>
      <c r="I75" s="109">
        <f>'مستخلص 8'!K75</f>
        <v/>
      </c>
      <c r="J75" s="68" t="n"/>
      <c r="K75" s="103">
        <f>IF(J75="",I75,J75)</f>
        <v/>
      </c>
      <c r="L75" s="108">
        <f>'مستخلص 8'!N75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8'!H76</f>
        <v/>
      </c>
      <c r="G76" s="72" t="n"/>
      <c r="H76" s="27">
        <f>F76+G76</f>
        <v/>
      </c>
      <c r="I76" s="107">
        <f>'مستخلص 8'!K76</f>
        <v/>
      </c>
      <c r="J76" s="68" t="n"/>
      <c r="K76" s="101">
        <f>IF(J76="",I76,J76)</f>
        <v/>
      </c>
      <c r="L76" s="74">
        <f>'مستخلص 8'!N76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8'!H77</f>
        <v/>
      </c>
      <c r="G77" s="72" t="n"/>
      <c r="H77" s="84">
        <f>F77+G77</f>
        <v/>
      </c>
      <c r="I77" s="109">
        <f>'مستخلص 8'!K77</f>
        <v/>
      </c>
      <c r="J77" s="68" t="n"/>
      <c r="K77" s="103">
        <f>IF(J77="",I77,J77)</f>
        <v/>
      </c>
      <c r="L77" s="108">
        <f>'مستخلص 8'!N77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8'!H78</f>
        <v/>
      </c>
      <c r="G78" s="72" t="n"/>
      <c r="H78" s="27">
        <f>F78+G78</f>
        <v/>
      </c>
      <c r="I78" s="107">
        <f>'مستخلص 8'!K78</f>
        <v/>
      </c>
      <c r="J78" s="68" t="n"/>
      <c r="K78" s="101">
        <f>IF(J78="",I78,J78)</f>
        <v/>
      </c>
      <c r="L78" s="74">
        <f>'مستخلص 8'!N78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8'!H79</f>
        <v/>
      </c>
      <c r="G79" s="72" t="n"/>
      <c r="H79" s="84">
        <f>F79+G79</f>
        <v/>
      </c>
      <c r="I79" s="109">
        <f>'مستخلص 8'!K79</f>
        <v/>
      </c>
      <c r="J79" s="68" t="n"/>
      <c r="K79" s="103">
        <f>IF(J79="",I79,J79)</f>
        <v/>
      </c>
      <c r="L79" s="108">
        <f>'مستخلص 8'!N79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8'!H80</f>
        <v/>
      </c>
      <c r="G80" s="72" t="n"/>
      <c r="H80" s="27">
        <f>F80+G80</f>
        <v/>
      </c>
      <c r="I80" s="107">
        <f>'مستخلص 8'!K80</f>
        <v/>
      </c>
      <c r="J80" s="68" t="n"/>
      <c r="K80" s="101">
        <f>IF(J80="",I80,J80)</f>
        <v/>
      </c>
      <c r="L80" s="74">
        <f>'مستخلص 8'!N80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8'!H81</f>
        <v/>
      </c>
      <c r="G81" s="72" t="n"/>
      <c r="H81" s="84">
        <f>F81+G81</f>
        <v/>
      </c>
      <c r="I81" s="109">
        <f>'مستخلص 8'!K81</f>
        <v/>
      </c>
      <c r="J81" s="68" t="n"/>
      <c r="K81" s="103">
        <f>IF(J81="",I81,J81)</f>
        <v/>
      </c>
      <c r="L81" s="108">
        <f>'مستخلص 8'!N81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8'!H82</f>
        <v/>
      </c>
      <c r="G82" s="72" t="n"/>
      <c r="H82" s="27">
        <f>F82+G82</f>
        <v/>
      </c>
      <c r="I82" s="107">
        <f>'مستخلص 8'!K82</f>
        <v/>
      </c>
      <c r="J82" s="68" t="n"/>
      <c r="K82" s="101">
        <f>IF(J82="",I82,J82)</f>
        <v/>
      </c>
      <c r="L82" s="74">
        <f>'مستخلص 8'!N82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8'!H83</f>
        <v/>
      </c>
      <c r="G83" s="72" t="n"/>
      <c r="H83" s="84">
        <f>F83+G83</f>
        <v/>
      </c>
      <c r="I83" s="109">
        <f>'مستخلص 8'!K83</f>
        <v/>
      </c>
      <c r="J83" s="68" t="n"/>
      <c r="K83" s="103">
        <f>IF(J83="",I83,J83)</f>
        <v/>
      </c>
      <c r="L83" s="108">
        <f>'مستخلص 8'!N83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8'!H84</f>
        <v/>
      </c>
      <c r="G84" s="72" t="n"/>
      <c r="H84" s="27">
        <f>F84+G84</f>
        <v/>
      </c>
      <c r="I84" s="107">
        <f>'مستخلص 8'!K84</f>
        <v/>
      </c>
      <c r="J84" s="68" t="n"/>
      <c r="K84" s="101">
        <f>IF(J84="",I84,J84)</f>
        <v/>
      </c>
      <c r="L84" s="74">
        <f>'مستخلص 8'!N84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8'!H85</f>
        <v/>
      </c>
      <c r="G85" s="72" t="n"/>
      <c r="H85" s="84">
        <f>F85+G85</f>
        <v/>
      </c>
      <c r="I85" s="109">
        <f>'مستخلص 8'!K85</f>
        <v/>
      </c>
      <c r="J85" s="68" t="n"/>
      <c r="K85" s="103">
        <f>IF(J85="",I85,J85)</f>
        <v/>
      </c>
      <c r="L85" s="108">
        <f>'مستخلص 8'!N85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8'!H86</f>
        <v/>
      </c>
      <c r="G86" s="72" t="n"/>
      <c r="H86" s="27">
        <f>F86+G86</f>
        <v/>
      </c>
      <c r="I86" s="107">
        <f>'مستخلص 8'!K86</f>
        <v/>
      </c>
      <c r="J86" s="68" t="n"/>
      <c r="K86" s="101">
        <f>IF(J86="",I86,J86)</f>
        <v/>
      </c>
      <c r="L86" s="74">
        <f>'مستخلص 8'!N86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8'!H87</f>
        <v/>
      </c>
      <c r="G87" s="72" t="n"/>
      <c r="H87" s="84">
        <f>F87+G87</f>
        <v/>
      </c>
      <c r="I87" s="109">
        <f>'مستخلص 8'!K87</f>
        <v/>
      </c>
      <c r="J87" s="68" t="n"/>
      <c r="K87" s="103">
        <f>IF(J87="",I87,J87)</f>
        <v/>
      </c>
      <c r="L87" s="108">
        <f>'مستخلص 8'!N87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8'!H88</f>
        <v/>
      </c>
      <c r="G88" s="72" t="n"/>
      <c r="H88" s="27">
        <f>F88+G88</f>
        <v/>
      </c>
      <c r="I88" s="107">
        <f>'مستخلص 8'!K88</f>
        <v/>
      </c>
      <c r="J88" s="68" t="n"/>
      <c r="K88" s="101">
        <f>IF(J88="",I88,J88)</f>
        <v/>
      </c>
      <c r="L88" s="74">
        <f>'مستخلص 8'!N88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8'!H89</f>
        <v/>
      </c>
      <c r="G89" s="72" t="n"/>
      <c r="H89" s="84">
        <f>F89+G89</f>
        <v/>
      </c>
      <c r="I89" s="109">
        <f>'مستخلص 8'!K89</f>
        <v/>
      </c>
      <c r="J89" s="68" t="n"/>
      <c r="K89" s="103">
        <f>IF(J89="",I89,J89)</f>
        <v/>
      </c>
      <c r="L89" s="108">
        <f>'مستخلص 8'!N89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8'!H90</f>
        <v/>
      </c>
      <c r="G90" s="72" t="n"/>
      <c r="H90" s="27">
        <f>F90+G90</f>
        <v/>
      </c>
      <c r="I90" s="107">
        <f>'مستخلص 8'!K90</f>
        <v/>
      </c>
      <c r="J90" s="68" t="n"/>
      <c r="K90" s="101">
        <f>IF(J90="",I90,J90)</f>
        <v/>
      </c>
      <c r="L90" s="74">
        <f>'مستخلص 8'!N90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8'!H91</f>
        <v/>
      </c>
      <c r="G91" s="72" t="n"/>
      <c r="H91" s="84">
        <f>F91+G91</f>
        <v/>
      </c>
      <c r="I91" s="109">
        <f>'مستخلص 8'!K91</f>
        <v/>
      </c>
      <c r="J91" s="68" t="n"/>
      <c r="K91" s="103">
        <f>IF(J91="",I91,J91)</f>
        <v/>
      </c>
      <c r="L91" s="108">
        <f>'مستخلص 8'!N91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8'!H92</f>
        <v/>
      </c>
      <c r="G92" s="72" t="n"/>
      <c r="H92" s="27">
        <f>F92+G92</f>
        <v/>
      </c>
      <c r="I92" s="107">
        <f>'مستخلص 8'!K92</f>
        <v/>
      </c>
      <c r="J92" s="68" t="n"/>
      <c r="K92" s="101">
        <f>IF(J92="",I92,J92)</f>
        <v/>
      </c>
      <c r="L92" s="74">
        <f>'مستخلص 8'!N92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8'!H93</f>
        <v/>
      </c>
      <c r="G93" s="72" t="n"/>
      <c r="H93" s="84">
        <f>F93+G93</f>
        <v/>
      </c>
      <c r="I93" s="109">
        <f>'مستخلص 8'!K93</f>
        <v/>
      </c>
      <c r="J93" s="68" t="n"/>
      <c r="K93" s="103">
        <f>IF(J93="",I93,J93)</f>
        <v/>
      </c>
      <c r="L93" s="108">
        <f>'مستخلص 8'!N93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8'!H94</f>
        <v/>
      </c>
      <c r="G94" s="72" t="n"/>
      <c r="H94" s="27">
        <f>F94+G94</f>
        <v/>
      </c>
      <c r="I94" s="107">
        <f>'مستخلص 8'!K94</f>
        <v/>
      </c>
      <c r="J94" s="68" t="n"/>
      <c r="K94" s="101">
        <f>IF(J94="",I94,J94)</f>
        <v/>
      </c>
      <c r="L94" s="74">
        <f>'مستخلص 8'!N94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8'!H95</f>
        <v/>
      </c>
      <c r="G95" s="72" t="n"/>
      <c r="H95" s="84">
        <f>F95+G95</f>
        <v/>
      </c>
      <c r="I95" s="109">
        <f>'مستخلص 8'!K95</f>
        <v/>
      </c>
      <c r="J95" s="68" t="n"/>
      <c r="K95" s="103">
        <f>IF(J95="",I95,J95)</f>
        <v/>
      </c>
      <c r="L95" s="108">
        <f>'مستخلص 8'!N95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8'!H96</f>
        <v/>
      </c>
      <c r="G96" s="72" t="n"/>
      <c r="H96" s="27">
        <f>F96+G96</f>
        <v/>
      </c>
      <c r="I96" s="107">
        <f>'مستخلص 8'!K96</f>
        <v/>
      </c>
      <c r="J96" s="68" t="n"/>
      <c r="K96" s="101">
        <f>IF(J96="",I96,J96)</f>
        <v/>
      </c>
      <c r="L96" s="74">
        <f>'مستخلص 8'!N96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8'!H97</f>
        <v/>
      </c>
      <c r="G97" s="72" t="n"/>
      <c r="H97" s="84">
        <f>F97+G97</f>
        <v/>
      </c>
      <c r="I97" s="109">
        <f>'مستخلص 8'!K97</f>
        <v/>
      </c>
      <c r="J97" s="68" t="n"/>
      <c r="K97" s="103">
        <f>IF(J97="",I97,J97)</f>
        <v/>
      </c>
      <c r="L97" s="108">
        <f>'مستخلص 8'!N97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8'!H98</f>
        <v/>
      </c>
      <c r="G98" s="72" t="n"/>
      <c r="H98" s="27">
        <f>F98+G98</f>
        <v/>
      </c>
      <c r="I98" s="107">
        <f>'مستخلص 8'!K98</f>
        <v/>
      </c>
      <c r="J98" s="68" t="n"/>
      <c r="K98" s="101">
        <f>IF(J98="",I98,J98)</f>
        <v/>
      </c>
      <c r="L98" s="74">
        <f>'مستخلص 8'!N98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8'!H99</f>
        <v/>
      </c>
      <c r="G99" s="72" t="n"/>
      <c r="H99" s="84">
        <f>F99+G99</f>
        <v/>
      </c>
      <c r="I99" s="109">
        <f>'مستخلص 8'!K99</f>
        <v/>
      </c>
      <c r="J99" s="68" t="n"/>
      <c r="K99" s="103">
        <f>IF(J99="",I99,J99)</f>
        <v/>
      </c>
      <c r="L99" s="108">
        <f>'مستخلص 8'!N99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8'!H100</f>
        <v/>
      </c>
      <c r="G100" s="72" t="n"/>
      <c r="H100" s="27">
        <f>F100+G100</f>
        <v/>
      </c>
      <c r="I100" s="107">
        <f>'مستخلص 8'!K100</f>
        <v/>
      </c>
      <c r="J100" s="68" t="n"/>
      <c r="K100" s="101">
        <f>IF(J100="",I100,J100)</f>
        <v/>
      </c>
      <c r="L100" s="74">
        <f>'مستخلص 8'!N100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8'!H101</f>
        <v/>
      </c>
      <c r="G101" s="72" t="n"/>
      <c r="H101" s="84">
        <f>F101+G101</f>
        <v/>
      </c>
      <c r="I101" s="109">
        <f>'مستخلص 8'!K101</f>
        <v/>
      </c>
      <c r="J101" s="68" t="n"/>
      <c r="K101" s="103">
        <f>IF(J101="",I101,J101)</f>
        <v/>
      </c>
      <c r="L101" s="108">
        <f>'مستخلص 8'!N101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8'!H102</f>
        <v/>
      </c>
      <c r="G102" s="72" t="n"/>
      <c r="H102" s="27">
        <f>F102+G102</f>
        <v/>
      </c>
      <c r="I102" s="107">
        <f>'مستخلص 8'!K102</f>
        <v/>
      </c>
      <c r="J102" s="68" t="n"/>
      <c r="K102" s="101">
        <f>IF(J102="",I102,J102)</f>
        <v/>
      </c>
      <c r="L102" s="74">
        <f>'مستخلص 8'!N102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8'!H103</f>
        <v/>
      </c>
      <c r="G103" s="72" t="n"/>
      <c r="H103" s="84">
        <f>F103+G103</f>
        <v/>
      </c>
      <c r="I103" s="109">
        <f>'مستخلص 8'!K103</f>
        <v/>
      </c>
      <c r="J103" s="68" t="n"/>
      <c r="K103" s="103">
        <f>IF(J103="",I103,J103)</f>
        <v/>
      </c>
      <c r="L103" s="108">
        <f>'مستخلص 8'!N103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8'!H104</f>
        <v/>
      </c>
      <c r="G104" s="72" t="n"/>
      <c r="H104" s="27">
        <f>F104+G104</f>
        <v/>
      </c>
      <c r="I104" s="107">
        <f>'مستخلص 8'!K104</f>
        <v/>
      </c>
      <c r="J104" s="68" t="n"/>
      <c r="K104" s="101">
        <f>IF(J104="",I104,J104)</f>
        <v/>
      </c>
      <c r="L104" s="74">
        <f>'مستخلص 8'!N104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8'!H105</f>
        <v/>
      </c>
      <c r="G105" s="72" t="n"/>
      <c r="H105" s="84">
        <f>F105+G105</f>
        <v/>
      </c>
      <c r="I105" s="109">
        <f>'مستخلص 8'!K105</f>
        <v/>
      </c>
      <c r="J105" s="68" t="n"/>
      <c r="K105" s="103">
        <f>IF(J105="",I105,J105)</f>
        <v/>
      </c>
      <c r="L105" s="108">
        <f>'مستخلص 8'!N105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8'!H106</f>
        <v/>
      </c>
      <c r="G106" s="72" t="n"/>
      <c r="H106" s="27">
        <f>F106+G106</f>
        <v/>
      </c>
      <c r="I106" s="107">
        <f>'مستخلص 8'!K106</f>
        <v/>
      </c>
      <c r="J106" s="68" t="n"/>
      <c r="K106" s="101">
        <f>IF(J106="",I106,J106)</f>
        <v/>
      </c>
      <c r="L106" s="74">
        <f>'مستخلص 8'!N106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8'!H107</f>
        <v/>
      </c>
      <c r="G107" s="72" t="n"/>
      <c r="H107" s="84">
        <f>F107+G107</f>
        <v/>
      </c>
      <c r="I107" s="109">
        <f>'مستخلص 8'!K107</f>
        <v/>
      </c>
      <c r="J107" s="68" t="n"/>
      <c r="K107" s="103">
        <f>IF(J107="",I107,J107)</f>
        <v/>
      </c>
      <c r="L107" s="108">
        <f>'مستخلص 8'!N107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8'!N111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8'!N112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8'!N113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8'!N114</f>
        <v/>
      </c>
      <c r="M114" s="27">
        <f>'الدفعات المقدمة'!I33</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8'!N115</f>
        <v/>
      </c>
      <c r="M115" s="27">
        <f>'ضمان الأعمال'!I24</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8'!N116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8'!N117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8'!N118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8'!A1" display="◀ المستخلص السابق (8)"/>
    <hyperlink ref="N3" location="'مستخلص 10'!A1" display="المستخلص التالي (10)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( 10 )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(9)</t>
        </is>
      </c>
      <c r="M3" s="4" t="n"/>
      <c r="N3" s="4" t="inlineStr">
        <is>
          <t>المستخلص التالي (11) ▶</t>
        </is>
      </c>
      <c r="O3" s="4" t="n"/>
      <c r="P3" s="4" t="n"/>
    </row>
    <row r="4" ht="24" customHeight="1">
      <c r="A4" s="96" t="inlineStr">
        <is>
          <t>رقم</t>
        </is>
      </c>
      <c r="B4" s="97" t="n">
        <v>10</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9'!H8</f>
        <v/>
      </c>
      <c r="G8" s="72" t="n"/>
      <c r="H8" s="27">
        <f>F8+G8</f>
        <v/>
      </c>
      <c r="I8" s="107">
        <f>'مستخلص 9'!K8</f>
        <v/>
      </c>
      <c r="J8" s="68" t="n"/>
      <c r="K8" s="101">
        <f>IF(J8="",I8,J8)</f>
        <v/>
      </c>
      <c r="L8" s="74">
        <f>'مستخلص 9'!N8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9'!H9</f>
        <v/>
      </c>
      <c r="G9" s="72" t="n"/>
      <c r="H9" s="84">
        <f>F9+G9</f>
        <v/>
      </c>
      <c r="I9" s="109">
        <f>'مستخلص 9'!K9</f>
        <v/>
      </c>
      <c r="J9" s="68" t="n"/>
      <c r="K9" s="103">
        <f>IF(J9="",I9,J9)</f>
        <v/>
      </c>
      <c r="L9" s="108">
        <f>'مستخلص 9'!N9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9'!H10</f>
        <v/>
      </c>
      <c r="G10" s="72" t="n"/>
      <c r="H10" s="27">
        <f>F10+G10</f>
        <v/>
      </c>
      <c r="I10" s="107">
        <f>'مستخلص 9'!K10</f>
        <v/>
      </c>
      <c r="J10" s="68" t="n"/>
      <c r="K10" s="101">
        <f>IF(J10="",I10,J10)</f>
        <v/>
      </c>
      <c r="L10" s="74">
        <f>'مستخلص 9'!N10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9'!H11</f>
        <v/>
      </c>
      <c r="G11" s="72" t="n"/>
      <c r="H11" s="84">
        <f>F11+G11</f>
        <v/>
      </c>
      <c r="I11" s="109">
        <f>'مستخلص 9'!K11</f>
        <v/>
      </c>
      <c r="J11" s="68" t="n"/>
      <c r="K11" s="103">
        <f>IF(J11="",I11,J11)</f>
        <v/>
      </c>
      <c r="L11" s="108">
        <f>'مستخلص 9'!N11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9'!H12</f>
        <v/>
      </c>
      <c r="G12" s="72" t="n"/>
      <c r="H12" s="27">
        <f>F12+G12</f>
        <v/>
      </c>
      <c r="I12" s="107">
        <f>'مستخلص 9'!K12</f>
        <v/>
      </c>
      <c r="J12" s="68" t="n"/>
      <c r="K12" s="101">
        <f>IF(J12="",I12,J12)</f>
        <v/>
      </c>
      <c r="L12" s="74">
        <f>'مستخلص 9'!N12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9'!H13</f>
        <v/>
      </c>
      <c r="G13" s="72" t="n"/>
      <c r="H13" s="84">
        <f>F13+G13</f>
        <v/>
      </c>
      <c r="I13" s="109">
        <f>'مستخلص 9'!K13</f>
        <v/>
      </c>
      <c r="J13" s="68" t="n"/>
      <c r="K13" s="103">
        <f>IF(J13="",I13,J13)</f>
        <v/>
      </c>
      <c r="L13" s="108">
        <f>'مستخلص 9'!N13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9'!H14</f>
        <v/>
      </c>
      <c r="G14" s="72" t="n"/>
      <c r="H14" s="27">
        <f>F14+G14</f>
        <v/>
      </c>
      <c r="I14" s="107">
        <f>'مستخلص 9'!K14</f>
        <v/>
      </c>
      <c r="J14" s="68" t="n"/>
      <c r="K14" s="101">
        <f>IF(J14="",I14,J14)</f>
        <v/>
      </c>
      <c r="L14" s="74">
        <f>'مستخلص 9'!N14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9'!H15</f>
        <v/>
      </c>
      <c r="G15" s="72" t="n"/>
      <c r="H15" s="84">
        <f>F15+G15</f>
        <v/>
      </c>
      <c r="I15" s="109">
        <f>'مستخلص 9'!K15</f>
        <v/>
      </c>
      <c r="J15" s="68" t="n"/>
      <c r="K15" s="103">
        <f>IF(J15="",I15,J15)</f>
        <v/>
      </c>
      <c r="L15" s="108">
        <f>'مستخلص 9'!N15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9'!H16</f>
        <v/>
      </c>
      <c r="G16" s="72" t="n"/>
      <c r="H16" s="27">
        <f>F16+G16</f>
        <v/>
      </c>
      <c r="I16" s="107">
        <f>'مستخلص 9'!K16</f>
        <v/>
      </c>
      <c r="J16" s="68" t="n"/>
      <c r="K16" s="101">
        <f>IF(J16="",I16,J16)</f>
        <v/>
      </c>
      <c r="L16" s="74">
        <f>'مستخلص 9'!N16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9'!H17</f>
        <v/>
      </c>
      <c r="G17" s="72" t="n"/>
      <c r="H17" s="84">
        <f>F17+G17</f>
        <v/>
      </c>
      <c r="I17" s="109">
        <f>'مستخلص 9'!K17</f>
        <v/>
      </c>
      <c r="J17" s="68" t="n"/>
      <c r="K17" s="103">
        <f>IF(J17="",I17,J17)</f>
        <v/>
      </c>
      <c r="L17" s="108">
        <f>'مستخلص 9'!N17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9'!H18</f>
        <v/>
      </c>
      <c r="G18" s="72" t="n"/>
      <c r="H18" s="27">
        <f>F18+G18</f>
        <v/>
      </c>
      <c r="I18" s="107">
        <f>'مستخلص 9'!K18</f>
        <v/>
      </c>
      <c r="J18" s="68" t="n"/>
      <c r="K18" s="101">
        <f>IF(J18="",I18,J18)</f>
        <v/>
      </c>
      <c r="L18" s="74">
        <f>'مستخلص 9'!N18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9'!H19</f>
        <v/>
      </c>
      <c r="G19" s="72" t="n"/>
      <c r="H19" s="84">
        <f>F19+G19</f>
        <v/>
      </c>
      <c r="I19" s="109">
        <f>'مستخلص 9'!K19</f>
        <v/>
      </c>
      <c r="J19" s="68" t="n"/>
      <c r="K19" s="103">
        <f>IF(J19="",I19,J19)</f>
        <v/>
      </c>
      <c r="L19" s="108">
        <f>'مستخلص 9'!N19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9'!H20</f>
        <v/>
      </c>
      <c r="G20" s="72" t="n"/>
      <c r="H20" s="27">
        <f>F20+G20</f>
        <v/>
      </c>
      <c r="I20" s="107">
        <f>'مستخلص 9'!K20</f>
        <v/>
      </c>
      <c r="J20" s="68" t="n"/>
      <c r="K20" s="101">
        <f>IF(J20="",I20,J20)</f>
        <v/>
      </c>
      <c r="L20" s="74">
        <f>'مستخلص 9'!N20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9'!H21</f>
        <v/>
      </c>
      <c r="G21" s="72" t="n"/>
      <c r="H21" s="84">
        <f>F21+G21</f>
        <v/>
      </c>
      <c r="I21" s="109">
        <f>'مستخلص 9'!K21</f>
        <v/>
      </c>
      <c r="J21" s="68" t="n"/>
      <c r="K21" s="103">
        <f>IF(J21="",I21,J21)</f>
        <v/>
      </c>
      <c r="L21" s="108">
        <f>'مستخلص 9'!N21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9'!H22</f>
        <v/>
      </c>
      <c r="G22" s="72" t="n"/>
      <c r="H22" s="27">
        <f>F22+G22</f>
        <v/>
      </c>
      <c r="I22" s="107">
        <f>'مستخلص 9'!K22</f>
        <v/>
      </c>
      <c r="J22" s="68" t="n"/>
      <c r="K22" s="101">
        <f>IF(J22="",I22,J22)</f>
        <v/>
      </c>
      <c r="L22" s="74">
        <f>'مستخلص 9'!N22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9'!H23</f>
        <v/>
      </c>
      <c r="G23" s="72" t="n"/>
      <c r="H23" s="84">
        <f>F23+G23</f>
        <v/>
      </c>
      <c r="I23" s="109">
        <f>'مستخلص 9'!K23</f>
        <v/>
      </c>
      <c r="J23" s="68" t="n"/>
      <c r="K23" s="103">
        <f>IF(J23="",I23,J23)</f>
        <v/>
      </c>
      <c r="L23" s="108">
        <f>'مستخلص 9'!N23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9'!H24</f>
        <v/>
      </c>
      <c r="G24" s="72" t="n"/>
      <c r="H24" s="27">
        <f>F24+G24</f>
        <v/>
      </c>
      <c r="I24" s="107">
        <f>'مستخلص 9'!K24</f>
        <v/>
      </c>
      <c r="J24" s="68" t="n"/>
      <c r="K24" s="101">
        <f>IF(J24="",I24,J24)</f>
        <v/>
      </c>
      <c r="L24" s="74">
        <f>'مستخلص 9'!N24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9'!H25</f>
        <v/>
      </c>
      <c r="G25" s="72" t="n"/>
      <c r="H25" s="84">
        <f>F25+G25</f>
        <v/>
      </c>
      <c r="I25" s="109">
        <f>'مستخلص 9'!K25</f>
        <v/>
      </c>
      <c r="J25" s="68" t="n"/>
      <c r="K25" s="103">
        <f>IF(J25="",I25,J25)</f>
        <v/>
      </c>
      <c r="L25" s="108">
        <f>'مستخلص 9'!N25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9'!H26</f>
        <v/>
      </c>
      <c r="G26" s="72" t="n"/>
      <c r="H26" s="27">
        <f>F26+G26</f>
        <v/>
      </c>
      <c r="I26" s="107">
        <f>'مستخلص 9'!K26</f>
        <v/>
      </c>
      <c r="J26" s="68" t="n"/>
      <c r="K26" s="101">
        <f>IF(J26="",I26,J26)</f>
        <v/>
      </c>
      <c r="L26" s="74">
        <f>'مستخلص 9'!N26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9'!H27</f>
        <v/>
      </c>
      <c r="G27" s="72" t="n"/>
      <c r="H27" s="84">
        <f>F27+G27</f>
        <v/>
      </c>
      <c r="I27" s="109">
        <f>'مستخلص 9'!K27</f>
        <v/>
      </c>
      <c r="J27" s="68" t="n"/>
      <c r="K27" s="103">
        <f>IF(J27="",I27,J27)</f>
        <v/>
      </c>
      <c r="L27" s="108">
        <f>'مستخلص 9'!N27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9'!H28</f>
        <v/>
      </c>
      <c r="G28" s="72" t="n"/>
      <c r="H28" s="27">
        <f>F28+G28</f>
        <v/>
      </c>
      <c r="I28" s="107">
        <f>'مستخلص 9'!K28</f>
        <v/>
      </c>
      <c r="J28" s="68" t="n"/>
      <c r="K28" s="101">
        <f>IF(J28="",I28,J28)</f>
        <v/>
      </c>
      <c r="L28" s="74">
        <f>'مستخلص 9'!N28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9'!H29</f>
        <v/>
      </c>
      <c r="G29" s="72" t="n"/>
      <c r="H29" s="84">
        <f>F29+G29</f>
        <v/>
      </c>
      <c r="I29" s="109">
        <f>'مستخلص 9'!K29</f>
        <v/>
      </c>
      <c r="J29" s="68" t="n"/>
      <c r="K29" s="103">
        <f>IF(J29="",I29,J29)</f>
        <v/>
      </c>
      <c r="L29" s="108">
        <f>'مستخلص 9'!N29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9'!H30</f>
        <v/>
      </c>
      <c r="G30" s="72" t="n"/>
      <c r="H30" s="27">
        <f>F30+G30</f>
        <v/>
      </c>
      <c r="I30" s="107">
        <f>'مستخلص 9'!K30</f>
        <v/>
      </c>
      <c r="J30" s="68" t="n"/>
      <c r="K30" s="101">
        <f>IF(J30="",I30,J30)</f>
        <v/>
      </c>
      <c r="L30" s="74">
        <f>'مستخلص 9'!N30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9'!H31</f>
        <v/>
      </c>
      <c r="G31" s="72" t="n"/>
      <c r="H31" s="84">
        <f>F31+G31</f>
        <v/>
      </c>
      <c r="I31" s="109">
        <f>'مستخلص 9'!K31</f>
        <v/>
      </c>
      <c r="J31" s="68" t="n"/>
      <c r="K31" s="103">
        <f>IF(J31="",I31,J31)</f>
        <v/>
      </c>
      <c r="L31" s="108">
        <f>'مستخلص 9'!N31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9'!H32</f>
        <v/>
      </c>
      <c r="G32" s="72" t="n"/>
      <c r="H32" s="27">
        <f>F32+G32</f>
        <v/>
      </c>
      <c r="I32" s="107">
        <f>'مستخلص 9'!K32</f>
        <v/>
      </c>
      <c r="J32" s="68" t="n"/>
      <c r="K32" s="101">
        <f>IF(J32="",I32,J32)</f>
        <v/>
      </c>
      <c r="L32" s="74">
        <f>'مستخلص 9'!N32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9'!H33</f>
        <v/>
      </c>
      <c r="G33" s="72" t="n"/>
      <c r="H33" s="84">
        <f>F33+G33</f>
        <v/>
      </c>
      <c r="I33" s="109">
        <f>'مستخلص 9'!K33</f>
        <v/>
      </c>
      <c r="J33" s="68" t="n"/>
      <c r="K33" s="103">
        <f>IF(J33="",I33,J33)</f>
        <v/>
      </c>
      <c r="L33" s="108">
        <f>'مستخلص 9'!N33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9'!H34</f>
        <v/>
      </c>
      <c r="G34" s="72" t="n"/>
      <c r="H34" s="27">
        <f>F34+G34</f>
        <v/>
      </c>
      <c r="I34" s="107">
        <f>'مستخلص 9'!K34</f>
        <v/>
      </c>
      <c r="J34" s="68" t="n"/>
      <c r="K34" s="101">
        <f>IF(J34="",I34,J34)</f>
        <v/>
      </c>
      <c r="L34" s="74">
        <f>'مستخلص 9'!N34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9'!H35</f>
        <v/>
      </c>
      <c r="G35" s="72" t="n"/>
      <c r="H35" s="84">
        <f>F35+G35</f>
        <v/>
      </c>
      <c r="I35" s="109">
        <f>'مستخلص 9'!K35</f>
        <v/>
      </c>
      <c r="J35" s="68" t="n"/>
      <c r="K35" s="103">
        <f>IF(J35="",I35,J35)</f>
        <v/>
      </c>
      <c r="L35" s="108">
        <f>'مستخلص 9'!N35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9'!H36</f>
        <v/>
      </c>
      <c r="G36" s="72" t="n"/>
      <c r="H36" s="27">
        <f>F36+G36</f>
        <v/>
      </c>
      <c r="I36" s="107">
        <f>'مستخلص 9'!K36</f>
        <v/>
      </c>
      <c r="J36" s="68" t="n"/>
      <c r="K36" s="101">
        <f>IF(J36="",I36,J36)</f>
        <v/>
      </c>
      <c r="L36" s="74">
        <f>'مستخلص 9'!N36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9'!H37</f>
        <v/>
      </c>
      <c r="G37" s="72" t="n"/>
      <c r="H37" s="84">
        <f>F37+G37</f>
        <v/>
      </c>
      <c r="I37" s="109">
        <f>'مستخلص 9'!K37</f>
        <v/>
      </c>
      <c r="J37" s="68" t="n"/>
      <c r="K37" s="103">
        <f>IF(J37="",I37,J37)</f>
        <v/>
      </c>
      <c r="L37" s="108">
        <f>'مستخلص 9'!N37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9'!H38</f>
        <v/>
      </c>
      <c r="G38" s="72" t="n"/>
      <c r="H38" s="27">
        <f>F38+G38</f>
        <v/>
      </c>
      <c r="I38" s="107">
        <f>'مستخلص 9'!K38</f>
        <v/>
      </c>
      <c r="J38" s="68" t="n"/>
      <c r="K38" s="101">
        <f>IF(J38="",I38,J38)</f>
        <v/>
      </c>
      <c r="L38" s="74">
        <f>'مستخلص 9'!N38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9'!H39</f>
        <v/>
      </c>
      <c r="G39" s="72" t="n"/>
      <c r="H39" s="84">
        <f>F39+G39</f>
        <v/>
      </c>
      <c r="I39" s="109">
        <f>'مستخلص 9'!K39</f>
        <v/>
      </c>
      <c r="J39" s="68" t="n"/>
      <c r="K39" s="103">
        <f>IF(J39="",I39,J39)</f>
        <v/>
      </c>
      <c r="L39" s="108">
        <f>'مستخلص 9'!N39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9'!H40</f>
        <v/>
      </c>
      <c r="G40" s="72" t="n"/>
      <c r="H40" s="27">
        <f>F40+G40</f>
        <v/>
      </c>
      <c r="I40" s="107">
        <f>'مستخلص 9'!K40</f>
        <v/>
      </c>
      <c r="J40" s="68" t="n"/>
      <c r="K40" s="101">
        <f>IF(J40="",I40,J40)</f>
        <v/>
      </c>
      <c r="L40" s="74">
        <f>'مستخلص 9'!N40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9'!H41</f>
        <v/>
      </c>
      <c r="G41" s="72" t="n"/>
      <c r="H41" s="84">
        <f>F41+G41</f>
        <v/>
      </c>
      <c r="I41" s="109">
        <f>'مستخلص 9'!K41</f>
        <v/>
      </c>
      <c r="J41" s="68" t="n"/>
      <c r="K41" s="103">
        <f>IF(J41="",I41,J41)</f>
        <v/>
      </c>
      <c r="L41" s="108">
        <f>'مستخلص 9'!N41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9'!H42</f>
        <v/>
      </c>
      <c r="G42" s="72" t="n"/>
      <c r="H42" s="27">
        <f>F42+G42</f>
        <v/>
      </c>
      <c r="I42" s="107">
        <f>'مستخلص 9'!K42</f>
        <v/>
      </c>
      <c r="J42" s="68" t="n"/>
      <c r="K42" s="101">
        <f>IF(J42="",I42,J42)</f>
        <v/>
      </c>
      <c r="L42" s="74">
        <f>'مستخلص 9'!N42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9'!H43</f>
        <v/>
      </c>
      <c r="G43" s="72" t="n"/>
      <c r="H43" s="84">
        <f>F43+G43</f>
        <v/>
      </c>
      <c r="I43" s="109">
        <f>'مستخلص 9'!K43</f>
        <v/>
      </c>
      <c r="J43" s="68" t="n"/>
      <c r="K43" s="103">
        <f>IF(J43="",I43,J43)</f>
        <v/>
      </c>
      <c r="L43" s="108">
        <f>'مستخلص 9'!N43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9'!H44</f>
        <v/>
      </c>
      <c r="G44" s="72" t="n"/>
      <c r="H44" s="27">
        <f>F44+G44</f>
        <v/>
      </c>
      <c r="I44" s="107">
        <f>'مستخلص 9'!K44</f>
        <v/>
      </c>
      <c r="J44" s="68" t="n"/>
      <c r="K44" s="101">
        <f>IF(J44="",I44,J44)</f>
        <v/>
      </c>
      <c r="L44" s="74">
        <f>'مستخلص 9'!N44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9'!H45</f>
        <v/>
      </c>
      <c r="G45" s="72" t="n"/>
      <c r="H45" s="84">
        <f>F45+G45</f>
        <v/>
      </c>
      <c r="I45" s="109">
        <f>'مستخلص 9'!K45</f>
        <v/>
      </c>
      <c r="J45" s="68" t="n"/>
      <c r="K45" s="103">
        <f>IF(J45="",I45,J45)</f>
        <v/>
      </c>
      <c r="L45" s="108">
        <f>'مستخلص 9'!N45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9'!H46</f>
        <v/>
      </c>
      <c r="G46" s="72" t="n"/>
      <c r="H46" s="27">
        <f>F46+G46</f>
        <v/>
      </c>
      <c r="I46" s="107">
        <f>'مستخلص 9'!K46</f>
        <v/>
      </c>
      <c r="J46" s="68" t="n"/>
      <c r="K46" s="101">
        <f>IF(J46="",I46,J46)</f>
        <v/>
      </c>
      <c r="L46" s="74">
        <f>'مستخلص 9'!N46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9'!H47</f>
        <v/>
      </c>
      <c r="G47" s="72" t="n"/>
      <c r="H47" s="84">
        <f>F47+G47</f>
        <v/>
      </c>
      <c r="I47" s="109">
        <f>'مستخلص 9'!K47</f>
        <v/>
      </c>
      <c r="J47" s="68" t="n"/>
      <c r="K47" s="103">
        <f>IF(J47="",I47,J47)</f>
        <v/>
      </c>
      <c r="L47" s="108">
        <f>'مستخلص 9'!N47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9'!H48</f>
        <v/>
      </c>
      <c r="G48" s="72" t="n"/>
      <c r="H48" s="27">
        <f>F48+G48</f>
        <v/>
      </c>
      <c r="I48" s="107">
        <f>'مستخلص 9'!K48</f>
        <v/>
      </c>
      <c r="J48" s="68" t="n"/>
      <c r="K48" s="101">
        <f>IF(J48="",I48,J48)</f>
        <v/>
      </c>
      <c r="L48" s="74">
        <f>'مستخلص 9'!N48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9'!H49</f>
        <v/>
      </c>
      <c r="G49" s="72" t="n"/>
      <c r="H49" s="84">
        <f>F49+G49</f>
        <v/>
      </c>
      <c r="I49" s="109">
        <f>'مستخلص 9'!K49</f>
        <v/>
      </c>
      <c r="J49" s="68" t="n"/>
      <c r="K49" s="103">
        <f>IF(J49="",I49,J49)</f>
        <v/>
      </c>
      <c r="L49" s="108">
        <f>'مستخلص 9'!N49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9'!H50</f>
        <v/>
      </c>
      <c r="G50" s="72" t="n"/>
      <c r="H50" s="27">
        <f>F50+G50</f>
        <v/>
      </c>
      <c r="I50" s="107">
        <f>'مستخلص 9'!K50</f>
        <v/>
      </c>
      <c r="J50" s="68" t="n"/>
      <c r="K50" s="101">
        <f>IF(J50="",I50,J50)</f>
        <v/>
      </c>
      <c r="L50" s="74">
        <f>'مستخلص 9'!N50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9'!H51</f>
        <v/>
      </c>
      <c r="G51" s="72" t="n"/>
      <c r="H51" s="84">
        <f>F51+G51</f>
        <v/>
      </c>
      <c r="I51" s="109">
        <f>'مستخلص 9'!K51</f>
        <v/>
      </c>
      <c r="J51" s="68" t="n"/>
      <c r="K51" s="103">
        <f>IF(J51="",I51,J51)</f>
        <v/>
      </c>
      <c r="L51" s="108">
        <f>'مستخلص 9'!N51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9'!H52</f>
        <v/>
      </c>
      <c r="G52" s="72" t="n"/>
      <c r="H52" s="27">
        <f>F52+G52</f>
        <v/>
      </c>
      <c r="I52" s="107">
        <f>'مستخلص 9'!K52</f>
        <v/>
      </c>
      <c r="J52" s="68" t="n"/>
      <c r="K52" s="101">
        <f>IF(J52="",I52,J52)</f>
        <v/>
      </c>
      <c r="L52" s="74">
        <f>'مستخلص 9'!N52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9'!H53</f>
        <v/>
      </c>
      <c r="G53" s="72" t="n"/>
      <c r="H53" s="84">
        <f>F53+G53</f>
        <v/>
      </c>
      <c r="I53" s="109">
        <f>'مستخلص 9'!K53</f>
        <v/>
      </c>
      <c r="J53" s="68" t="n"/>
      <c r="K53" s="103">
        <f>IF(J53="",I53,J53)</f>
        <v/>
      </c>
      <c r="L53" s="108">
        <f>'مستخلص 9'!N53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9'!H54</f>
        <v/>
      </c>
      <c r="G54" s="72" t="n"/>
      <c r="H54" s="27">
        <f>F54+G54</f>
        <v/>
      </c>
      <c r="I54" s="107">
        <f>'مستخلص 9'!K54</f>
        <v/>
      </c>
      <c r="J54" s="68" t="n"/>
      <c r="K54" s="101">
        <f>IF(J54="",I54,J54)</f>
        <v/>
      </c>
      <c r="L54" s="74">
        <f>'مستخلص 9'!N54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9'!H55</f>
        <v/>
      </c>
      <c r="G55" s="72" t="n"/>
      <c r="H55" s="84">
        <f>F55+G55</f>
        <v/>
      </c>
      <c r="I55" s="109">
        <f>'مستخلص 9'!K55</f>
        <v/>
      </c>
      <c r="J55" s="68" t="n"/>
      <c r="K55" s="103">
        <f>IF(J55="",I55,J55)</f>
        <v/>
      </c>
      <c r="L55" s="108">
        <f>'مستخلص 9'!N55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9'!H56</f>
        <v/>
      </c>
      <c r="G56" s="72" t="n"/>
      <c r="H56" s="27">
        <f>F56+G56</f>
        <v/>
      </c>
      <c r="I56" s="107">
        <f>'مستخلص 9'!K56</f>
        <v/>
      </c>
      <c r="J56" s="68" t="n"/>
      <c r="K56" s="101">
        <f>IF(J56="",I56,J56)</f>
        <v/>
      </c>
      <c r="L56" s="74">
        <f>'مستخلص 9'!N56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9'!H57</f>
        <v/>
      </c>
      <c r="G57" s="72" t="n"/>
      <c r="H57" s="84">
        <f>F57+G57</f>
        <v/>
      </c>
      <c r="I57" s="109">
        <f>'مستخلص 9'!K57</f>
        <v/>
      </c>
      <c r="J57" s="68" t="n"/>
      <c r="K57" s="103">
        <f>IF(J57="",I57,J57)</f>
        <v/>
      </c>
      <c r="L57" s="108">
        <f>'مستخلص 9'!N57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9'!H58</f>
        <v/>
      </c>
      <c r="G58" s="72" t="n"/>
      <c r="H58" s="27">
        <f>F58+G58</f>
        <v/>
      </c>
      <c r="I58" s="107">
        <f>'مستخلص 9'!K58</f>
        <v/>
      </c>
      <c r="J58" s="68" t="n"/>
      <c r="K58" s="101">
        <f>IF(J58="",I58,J58)</f>
        <v/>
      </c>
      <c r="L58" s="74">
        <f>'مستخلص 9'!N58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9'!H59</f>
        <v/>
      </c>
      <c r="G59" s="72" t="n"/>
      <c r="H59" s="84">
        <f>F59+G59</f>
        <v/>
      </c>
      <c r="I59" s="109">
        <f>'مستخلص 9'!K59</f>
        <v/>
      </c>
      <c r="J59" s="68" t="n"/>
      <c r="K59" s="103">
        <f>IF(J59="",I59,J59)</f>
        <v/>
      </c>
      <c r="L59" s="108">
        <f>'مستخلص 9'!N59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9'!H60</f>
        <v/>
      </c>
      <c r="G60" s="72" t="n"/>
      <c r="H60" s="27">
        <f>F60+G60</f>
        <v/>
      </c>
      <c r="I60" s="107">
        <f>'مستخلص 9'!K60</f>
        <v/>
      </c>
      <c r="J60" s="68" t="n"/>
      <c r="K60" s="101">
        <f>IF(J60="",I60,J60)</f>
        <v/>
      </c>
      <c r="L60" s="74">
        <f>'مستخلص 9'!N60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9'!H61</f>
        <v/>
      </c>
      <c r="G61" s="72" t="n"/>
      <c r="H61" s="84">
        <f>F61+G61</f>
        <v/>
      </c>
      <c r="I61" s="109">
        <f>'مستخلص 9'!K61</f>
        <v/>
      </c>
      <c r="J61" s="68" t="n"/>
      <c r="K61" s="103">
        <f>IF(J61="",I61,J61)</f>
        <v/>
      </c>
      <c r="L61" s="108">
        <f>'مستخلص 9'!N61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9'!H62</f>
        <v/>
      </c>
      <c r="G62" s="72" t="n"/>
      <c r="H62" s="27">
        <f>F62+G62</f>
        <v/>
      </c>
      <c r="I62" s="107">
        <f>'مستخلص 9'!K62</f>
        <v/>
      </c>
      <c r="J62" s="68" t="n"/>
      <c r="K62" s="101">
        <f>IF(J62="",I62,J62)</f>
        <v/>
      </c>
      <c r="L62" s="74">
        <f>'مستخلص 9'!N62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9'!H63</f>
        <v/>
      </c>
      <c r="G63" s="72" t="n"/>
      <c r="H63" s="84">
        <f>F63+G63</f>
        <v/>
      </c>
      <c r="I63" s="109">
        <f>'مستخلص 9'!K63</f>
        <v/>
      </c>
      <c r="J63" s="68" t="n"/>
      <c r="K63" s="103">
        <f>IF(J63="",I63,J63)</f>
        <v/>
      </c>
      <c r="L63" s="108">
        <f>'مستخلص 9'!N63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9'!H64</f>
        <v/>
      </c>
      <c r="G64" s="72" t="n"/>
      <c r="H64" s="27">
        <f>F64+G64</f>
        <v/>
      </c>
      <c r="I64" s="107">
        <f>'مستخلص 9'!K64</f>
        <v/>
      </c>
      <c r="J64" s="68" t="n"/>
      <c r="K64" s="101">
        <f>IF(J64="",I64,J64)</f>
        <v/>
      </c>
      <c r="L64" s="74">
        <f>'مستخلص 9'!N64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9'!H65</f>
        <v/>
      </c>
      <c r="G65" s="72" t="n"/>
      <c r="H65" s="84">
        <f>F65+G65</f>
        <v/>
      </c>
      <c r="I65" s="109">
        <f>'مستخلص 9'!K65</f>
        <v/>
      </c>
      <c r="J65" s="68" t="n"/>
      <c r="K65" s="103">
        <f>IF(J65="",I65,J65)</f>
        <v/>
      </c>
      <c r="L65" s="108">
        <f>'مستخلص 9'!N65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9'!H66</f>
        <v/>
      </c>
      <c r="G66" s="72" t="n"/>
      <c r="H66" s="27">
        <f>F66+G66</f>
        <v/>
      </c>
      <c r="I66" s="107">
        <f>'مستخلص 9'!K66</f>
        <v/>
      </c>
      <c r="J66" s="68" t="n"/>
      <c r="K66" s="101">
        <f>IF(J66="",I66,J66)</f>
        <v/>
      </c>
      <c r="L66" s="74">
        <f>'مستخلص 9'!N66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9'!H67</f>
        <v/>
      </c>
      <c r="G67" s="72" t="n"/>
      <c r="H67" s="84">
        <f>F67+G67</f>
        <v/>
      </c>
      <c r="I67" s="109">
        <f>'مستخلص 9'!K67</f>
        <v/>
      </c>
      <c r="J67" s="68" t="n"/>
      <c r="K67" s="103">
        <f>IF(J67="",I67,J67)</f>
        <v/>
      </c>
      <c r="L67" s="108">
        <f>'مستخلص 9'!N67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9'!H68</f>
        <v/>
      </c>
      <c r="G68" s="72" t="n"/>
      <c r="H68" s="27">
        <f>F68+G68</f>
        <v/>
      </c>
      <c r="I68" s="107">
        <f>'مستخلص 9'!K68</f>
        <v/>
      </c>
      <c r="J68" s="68" t="n"/>
      <c r="K68" s="101">
        <f>IF(J68="",I68,J68)</f>
        <v/>
      </c>
      <c r="L68" s="74">
        <f>'مستخلص 9'!N68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9'!H69</f>
        <v/>
      </c>
      <c r="G69" s="72" t="n"/>
      <c r="H69" s="84">
        <f>F69+G69</f>
        <v/>
      </c>
      <c r="I69" s="109">
        <f>'مستخلص 9'!K69</f>
        <v/>
      </c>
      <c r="J69" s="68" t="n"/>
      <c r="K69" s="103">
        <f>IF(J69="",I69,J69)</f>
        <v/>
      </c>
      <c r="L69" s="108">
        <f>'مستخلص 9'!N69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9'!H70</f>
        <v/>
      </c>
      <c r="G70" s="72" t="n"/>
      <c r="H70" s="27">
        <f>F70+G70</f>
        <v/>
      </c>
      <c r="I70" s="107">
        <f>'مستخلص 9'!K70</f>
        <v/>
      </c>
      <c r="J70" s="68" t="n"/>
      <c r="K70" s="101">
        <f>IF(J70="",I70,J70)</f>
        <v/>
      </c>
      <c r="L70" s="74">
        <f>'مستخلص 9'!N70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9'!H71</f>
        <v/>
      </c>
      <c r="G71" s="72" t="n"/>
      <c r="H71" s="84">
        <f>F71+G71</f>
        <v/>
      </c>
      <c r="I71" s="109">
        <f>'مستخلص 9'!K71</f>
        <v/>
      </c>
      <c r="J71" s="68" t="n"/>
      <c r="K71" s="103">
        <f>IF(J71="",I71,J71)</f>
        <v/>
      </c>
      <c r="L71" s="108">
        <f>'مستخلص 9'!N71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9'!H72</f>
        <v/>
      </c>
      <c r="G72" s="72" t="n"/>
      <c r="H72" s="27">
        <f>F72+G72</f>
        <v/>
      </c>
      <c r="I72" s="107">
        <f>'مستخلص 9'!K72</f>
        <v/>
      </c>
      <c r="J72" s="68" t="n"/>
      <c r="K72" s="101">
        <f>IF(J72="",I72,J72)</f>
        <v/>
      </c>
      <c r="L72" s="74">
        <f>'مستخلص 9'!N72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9'!H73</f>
        <v/>
      </c>
      <c r="G73" s="72" t="n"/>
      <c r="H73" s="84">
        <f>F73+G73</f>
        <v/>
      </c>
      <c r="I73" s="109">
        <f>'مستخلص 9'!K73</f>
        <v/>
      </c>
      <c r="J73" s="68" t="n"/>
      <c r="K73" s="103">
        <f>IF(J73="",I73,J73)</f>
        <v/>
      </c>
      <c r="L73" s="108">
        <f>'مستخلص 9'!N73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9'!H74</f>
        <v/>
      </c>
      <c r="G74" s="72" t="n"/>
      <c r="H74" s="27">
        <f>F74+G74</f>
        <v/>
      </c>
      <c r="I74" s="107">
        <f>'مستخلص 9'!K74</f>
        <v/>
      </c>
      <c r="J74" s="68" t="n"/>
      <c r="K74" s="101">
        <f>IF(J74="",I74,J74)</f>
        <v/>
      </c>
      <c r="L74" s="74">
        <f>'مستخلص 9'!N74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9'!H75</f>
        <v/>
      </c>
      <c r="G75" s="72" t="n"/>
      <c r="H75" s="84">
        <f>F75+G75</f>
        <v/>
      </c>
      <c r="I75" s="109">
        <f>'مستخلص 9'!K75</f>
        <v/>
      </c>
      <c r="J75" s="68" t="n"/>
      <c r="K75" s="103">
        <f>IF(J75="",I75,J75)</f>
        <v/>
      </c>
      <c r="L75" s="108">
        <f>'مستخلص 9'!N75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9'!H76</f>
        <v/>
      </c>
      <c r="G76" s="72" t="n"/>
      <c r="H76" s="27">
        <f>F76+G76</f>
        <v/>
      </c>
      <c r="I76" s="107">
        <f>'مستخلص 9'!K76</f>
        <v/>
      </c>
      <c r="J76" s="68" t="n"/>
      <c r="K76" s="101">
        <f>IF(J76="",I76,J76)</f>
        <v/>
      </c>
      <c r="L76" s="74">
        <f>'مستخلص 9'!N76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9'!H77</f>
        <v/>
      </c>
      <c r="G77" s="72" t="n"/>
      <c r="H77" s="84">
        <f>F77+G77</f>
        <v/>
      </c>
      <c r="I77" s="109">
        <f>'مستخلص 9'!K77</f>
        <v/>
      </c>
      <c r="J77" s="68" t="n"/>
      <c r="K77" s="103">
        <f>IF(J77="",I77,J77)</f>
        <v/>
      </c>
      <c r="L77" s="108">
        <f>'مستخلص 9'!N77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9'!H78</f>
        <v/>
      </c>
      <c r="G78" s="72" t="n"/>
      <c r="H78" s="27">
        <f>F78+G78</f>
        <v/>
      </c>
      <c r="I78" s="107">
        <f>'مستخلص 9'!K78</f>
        <v/>
      </c>
      <c r="J78" s="68" t="n"/>
      <c r="K78" s="101">
        <f>IF(J78="",I78,J78)</f>
        <v/>
      </c>
      <c r="L78" s="74">
        <f>'مستخلص 9'!N78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9'!H79</f>
        <v/>
      </c>
      <c r="G79" s="72" t="n"/>
      <c r="H79" s="84">
        <f>F79+G79</f>
        <v/>
      </c>
      <c r="I79" s="109">
        <f>'مستخلص 9'!K79</f>
        <v/>
      </c>
      <c r="J79" s="68" t="n"/>
      <c r="K79" s="103">
        <f>IF(J79="",I79,J79)</f>
        <v/>
      </c>
      <c r="L79" s="108">
        <f>'مستخلص 9'!N79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9'!H80</f>
        <v/>
      </c>
      <c r="G80" s="72" t="n"/>
      <c r="H80" s="27">
        <f>F80+G80</f>
        <v/>
      </c>
      <c r="I80" s="107">
        <f>'مستخلص 9'!K80</f>
        <v/>
      </c>
      <c r="J80" s="68" t="n"/>
      <c r="K80" s="101">
        <f>IF(J80="",I80,J80)</f>
        <v/>
      </c>
      <c r="L80" s="74">
        <f>'مستخلص 9'!N80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9'!H81</f>
        <v/>
      </c>
      <c r="G81" s="72" t="n"/>
      <c r="H81" s="84">
        <f>F81+G81</f>
        <v/>
      </c>
      <c r="I81" s="109">
        <f>'مستخلص 9'!K81</f>
        <v/>
      </c>
      <c r="J81" s="68" t="n"/>
      <c r="K81" s="103">
        <f>IF(J81="",I81,J81)</f>
        <v/>
      </c>
      <c r="L81" s="108">
        <f>'مستخلص 9'!N81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9'!H82</f>
        <v/>
      </c>
      <c r="G82" s="72" t="n"/>
      <c r="H82" s="27">
        <f>F82+G82</f>
        <v/>
      </c>
      <c r="I82" s="107">
        <f>'مستخلص 9'!K82</f>
        <v/>
      </c>
      <c r="J82" s="68" t="n"/>
      <c r="K82" s="101">
        <f>IF(J82="",I82,J82)</f>
        <v/>
      </c>
      <c r="L82" s="74">
        <f>'مستخلص 9'!N82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9'!H83</f>
        <v/>
      </c>
      <c r="G83" s="72" t="n"/>
      <c r="H83" s="84">
        <f>F83+G83</f>
        <v/>
      </c>
      <c r="I83" s="109">
        <f>'مستخلص 9'!K83</f>
        <v/>
      </c>
      <c r="J83" s="68" t="n"/>
      <c r="K83" s="103">
        <f>IF(J83="",I83,J83)</f>
        <v/>
      </c>
      <c r="L83" s="108">
        <f>'مستخلص 9'!N83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9'!H84</f>
        <v/>
      </c>
      <c r="G84" s="72" t="n"/>
      <c r="H84" s="27">
        <f>F84+G84</f>
        <v/>
      </c>
      <c r="I84" s="107">
        <f>'مستخلص 9'!K84</f>
        <v/>
      </c>
      <c r="J84" s="68" t="n"/>
      <c r="K84" s="101">
        <f>IF(J84="",I84,J84)</f>
        <v/>
      </c>
      <c r="L84" s="74">
        <f>'مستخلص 9'!N84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9'!H85</f>
        <v/>
      </c>
      <c r="G85" s="72" t="n"/>
      <c r="H85" s="84">
        <f>F85+G85</f>
        <v/>
      </c>
      <c r="I85" s="109">
        <f>'مستخلص 9'!K85</f>
        <v/>
      </c>
      <c r="J85" s="68" t="n"/>
      <c r="K85" s="103">
        <f>IF(J85="",I85,J85)</f>
        <v/>
      </c>
      <c r="L85" s="108">
        <f>'مستخلص 9'!N85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9'!H86</f>
        <v/>
      </c>
      <c r="G86" s="72" t="n"/>
      <c r="H86" s="27">
        <f>F86+G86</f>
        <v/>
      </c>
      <c r="I86" s="107">
        <f>'مستخلص 9'!K86</f>
        <v/>
      </c>
      <c r="J86" s="68" t="n"/>
      <c r="K86" s="101">
        <f>IF(J86="",I86,J86)</f>
        <v/>
      </c>
      <c r="L86" s="74">
        <f>'مستخلص 9'!N86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9'!H87</f>
        <v/>
      </c>
      <c r="G87" s="72" t="n"/>
      <c r="H87" s="84">
        <f>F87+G87</f>
        <v/>
      </c>
      <c r="I87" s="109">
        <f>'مستخلص 9'!K87</f>
        <v/>
      </c>
      <c r="J87" s="68" t="n"/>
      <c r="K87" s="103">
        <f>IF(J87="",I87,J87)</f>
        <v/>
      </c>
      <c r="L87" s="108">
        <f>'مستخلص 9'!N87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9'!H88</f>
        <v/>
      </c>
      <c r="G88" s="72" t="n"/>
      <c r="H88" s="27">
        <f>F88+G88</f>
        <v/>
      </c>
      <c r="I88" s="107">
        <f>'مستخلص 9'!K88</f>
        <v/>
      </c>
      <c r="J88" s="68" t="n"/>
      <c r="K88" s="101">
        <f>IF(J88="",I88,J88)</f>
        <v/>
      </c>
      <c r="L88" s="74">
        <f>'مستخلص 9'!N88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9'!H89</f>
        <v/>
      </c>
      <c r="G89" s="72" t="n"/>
      <c r="H89" s="84">
        <f>F89+G89</f>
        <v/>
      </c>
      <c r="I89" s="109">
        <f>'مستخلص 9'!K89</f>
        <v/>
      </c>
      <c r="J89" s="68" t="n"/>
      <c r="K89" s="103">
        <f>IF(J89="",I89,J89)</f>
        <v/>
      </c>
      <c r="L89" s="108">
        <f>'مستخلص 9'!N89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9'!H90</f>
        <v/>
      </c>
      <c r="G90" s="72" t="n"/>
      <c r="H90" s="27">
        <f>F90+G90</f>
        <v/>
      </c>
      <c r="I90" s="107">
        <f>'مستخلص 9'!K90</f>
        <v/>
      </c>
      <c r="J90" s="68" t="n"/>
      <c r="K90" s="101">
        <f>IF(J90="",I90,J90)</f>
        <v/>
      </c>
      <c r="L90" s="74">
        <f>'مستخلص 9'!N90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9'!H91</f>
        <v/>
      </c>
      <c r="G91" s="72" t="n"/>
      <c r="H91" s="84">
        <f>F91+G91</f>
        <v/>
      </c>
      <c r="I91" s="109">
        <f>'مستخلص 9'!K91</f>
        <v/>
      </c>
      <c r="J91" s="68" t="n"/>
      <c r="K91" s="103">
        <f>IF(J91="",I91,J91)</f>
        <v/>
      </c>
      <c r="L91" s="108">
        <f>'مستخلص 9'!N91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9'!H92</f>
        <v/>
      </c>
      <c r="G92" s="72" t="n"/>
      <c r="H92" s="27">
        <f>F92+G92</f>
        <v/>
      </c>
      <c r="I92" s="107">
        <f>'مستخلص 9'!K92</f>
        <v/>
      </c>
      <c r="J92" s="68" t="n"/>
      <c r="K92" s="101">
        <f>IF(J92="",I92,J92)</f>
        <v/>
      </c>
      <c r="L92" s="74">
        <f>'مستخلص 9'!N92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9'!H93</f>
        <v/>
      </c>
      <c r="G93" s="72" t="n"/>
      <c r="H93" s="84">
        <f>F93+G93</f>
        <v/>
      </c>
      <c r="I93" s="109">
        <f>'مستخلص 9'!K93</f>
        <v/>
      </c>
      <c r="J93" s="68" t="n"/>
      <c r="K93" s="103">
        <f>IF(J93="",I93,J93)</f>
        <v/>
      </c>
      <c r="L93" s="108">
        <f>'مستخلص 9'!N93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9'!H94</f>
        <v/>
      </c>
      <c r="G94" s="72" t="n"/>
      <c r="H94" s="27">
        <f>F94+G94</f>
        <v/>
      </c>
      <c r="I94" s="107">
        <f>'مستخلص 9'!K94</f>
        <v/>
      </c>
      <c r="J94" s="68" t="n"/>
      <c r="K94" s="101">
        <f>IF(J94="",I94,J94)</f>
        <v/>
      </c>
      <c r="L94" s="74">
        <f>'مستخلص 9'!N94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9'!H95</f>
        <v/>
      </c>
      <c r="G95" s="72" t="n"/>
      <c r="H95" s="84">
        <f>F95+G95</f>
        <v/>
      </c>
      <c r="I95" s="109">
        <f>'مستخلص 9'!K95</f>
        <v/>
      </c>
      <c r="J95" s="68" t="n"/>
      <c r="K95" s="103">
        <f>IF(J95="",I95,J95)</f>
        <v/>
      </c>
      <c r="L95" s="108">
        <f>'مستخلص 9'!N95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9'!H96</f>
        <v/>
      </c>
      <c r="G96" s="72" t="n"/>
      <c r="H96" s="27">
        <f>F96+G96</f>
        <v/>
      </c>
      <c r="I96" s="107">
        <f>'مستخلص 9'!K96</f>
        <v/>
      </c>
      <c r="J96" s="68" t="n"/>
      <c r="K96" s="101">
        <f>IF(J96="",I96,J96)</f>
        <v/>
      </c>
      <c r="L96" s="74">
        <f>'مستخلص 9'!N96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9'!H97</f>
        <v/>
      </c>
      <c r="G97" s="72" t="n"/>
      <c r="H97" s="84">
        <f>F97+G97</f>
        <v/>
      </c>
      <c r="I97" s="109">
        <f>'مستخلص 9'!K97</f>
        <v/>
      </c>
      <c r="J97" s="68" t="n"/>
      <c r="K97" s="103">
        <f>IF(J97="",I97,J97)</f>
        <v/>
      </c>
      <c r="L97" s="108">
        <f>'مستخلص 9'!N97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9'!H98</f>
        <v/>
      </c>
      <c r="G98" s="72" t="n"/>
      <c r="H98" s="27">
        <f>F98+G98</f>
        <v/>
      </c>
      <c r="I98" s="107">
        <f>'مستخلص 9'!K98</f>
        <v/>
      </c>
      <c r="J98" s="68" t="n"/>
      <c r="K98" s="101">
        <f>IF(J98="",I98,J98)</f>
        <v/>
      </c>
      <c r="L98" s="74">
        <f>'مستخلص 9'!N98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9'!H99</f>
        <v/>
      </c>
      <c r="G99" s="72" t="n"/>
      <c r="H99" s="84">
        <f>F99+G99</f>
        <v/>
      </c>
      <c r="I99" s="109">
        <f>'مستخلص 9'!K99</f>
        <v/>
      </c>
      <c r="J99" s="68" t="n"/>
      <c r="K99" s="103">
        <f>IF(J99="",I99,J99)</f>
        <v/>
      </c>
      <c r="L99" s="108">
        <f>'مستخلص 9'!N99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9'!H100</f>
        <v/>
      </c>
      <c r="G100" s="72" t="n"/>
      <c r="H100" s="27">
        <f>F100+G100</f>
        <v/>
      </c>
      <c r="I100" s="107">
        <f>'مستخلص 9'!K100</f>
        <v/>
      </c>
      <c r="J100" s="68" t="n"/>
      <c r="K100" s="101">
        <f>IF(J100="",I100,J100)</f>
        <v/>
      </c>
      <c r="L100" s="74">
        <f>'مستخلص 9'!N100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9'!H101</f>
        <v/>
      </c>
      <c r="G101" s="72" t="n"/>
      <c r="H101" s="84">
        <f>F101+G101</f>
        <v/>
      </c>
      <c r="I101" s="109">
        <f>'مستخلص 9'!K101</f>
        <v/>
      </c>
      <c r="J101" s="68" t="n"/>
      <c r="K101" s="103">
        <f>IF(J101="",I101,J101)</f>
        <v/>
      </c>
      <c r="L101" s="108">
        <f>'مستخلص 9'!N101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9'!H102</f>
        <v/>
      </c>
      <c r="G102" s="72" t="n"/>
      <c r="H102" s="27">
        <f>F102+G102</f>
        <v/>
      </c>
      <c r="I102" s="107">
        <f>'مستخلص 9'!K102</f>
        <v/>
      </c>
      <c r="J102" s="68" t="n"/>
      <c r="K102" s="101">
        <f>IF(J102="",I102,J102)</f>
        <v/>
      </c>
      <c r="L102" s="74">
        <f>'مستخلص 9'!N102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9'!H103</f>
        <v/>
      </c>
      <c r="G103" s="72" t="n"/>
      <c r="H103" s="84">
        <f>F103+G103</f>
        <v/>
      </c>
      <c r="I103" s="109">
        <f>'مستخلص 9'!K103</f>
        <v/>
      </c>
      <c r="J103" s="68" t="n"/>
      <c r="K103" s="103">
        <f>IF(J103="",I103,J103)</f>
        <v/>
      </c>
      <c r="L103" s="108">
        <f>'مستخلص 9'!N103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9'!H104</f>
        <v/>
      </c>
      <c r="G104" s="72" t="n"/>
      <c r="H104" s="27">
        <f>F104+G104</f>
        <v/>
      </c>
      <c r="I104" s="107">
        <f>'مستخلص 9'!K104</f>
        <v/>
      </c>
      <c r="J104" s="68" t="n"/>
      <c r="K104" s="101">
        <f>IF(J104="",I104,J104)</f>
        <v/>
      </c>
      <c r="L104" s="74">
        <f>'مستخلص 9'!N104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9'!H105</f>
        <v/>
      </c>
      <c r="G105" s="72" t="n"/>
      <c r="H105" s="84">
        <f>F105+G105</f>
        <v/>
      </c>
      <c r="I105" s="109">
        <f>'مستخلص 9'!K105</f>
        <v/>
      </c>
      <c r="J105" s="68" t="n"/>
      <c r="K105" s="103">
        <f>IF(J105="",I105,J105)</f>
        <v/>
      </c>
      <c r="L105" s="108">
        <f>'مستخلص 9'!N105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9'!H106</f>
        <v/>
      </c>
      <c r="G106" s="72" t="n"/>
      <c r="H106" s="27">
        <f>F106+G106</f>
        <v/>
      </c>
      <c r="I106" s="107">
        <f>'مستخلص 9'!K106</f>
        <v/>
      </c>
      <c r="J106" s="68" t="n"/>
      <c r="K106" s="101">
        <f>IF(J106="",I106,J106)</f>
        <v/>
      </c>
      <c r="L106" s="74">
        <f>'مستخلص 9'!N106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9'!H107</f>
        <v/>
      </c>
      <c r="G107" s="72" t="n"/>
      <c r="H107" s="84">
        <f>F107+G107</f>
        <v/>
      </c>
      <c r="I107" s="109">
        <f>'مستخلص 9'!K107</f>
        <v/>
      </c>
      <c r="J107" s="68" t="n"/>
      <c r="K107" s="103">
        <f>IF(J107="",I107,J107)</f>
        <v/>
      </c>
      <c r="L107" s="108">
        <f>'مستخلص 9'!N107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9'!N111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9'!N112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9'!N113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9'!N114</f>
        <v/>
      </c>
      <c r="M114" s="27">
        <f>'الدفعات المقدمة'!I34</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9'!N115</f>
        <v/>
      </c>
      <c r="M115" s="27">
        <f>'ضمان الأعمال'!I25</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9'!N116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9'!N117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9'!N118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9'!A1" display="◀ المستخلص السابق (9)"/>
    <hyperlink ref="N3" location="'مستخلص 11'!A1" display="المستخلص التالي (11)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( 11 )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(10)</t>
        </is>
      </c>
      <c r="M3" s="4" t="n"/>
      <c r="N3" s="4" t="inlineStr">
        <is>
          <t>المستخلص التالي (12) ▶</t>
        </is>
      </c>
      <c r="O3" s="4" t="n"/>
      <c r="P3" s="4" t="n"/>
    </row>
    <row r="4" ht="24" customHeight="1">
      <c r="A4" s="96" t="inlineStr">
        <is>
          <t>رقم</t>
        </is>
      </c>
      <c r="B4" s="97" t="n">
        <v>11</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10'!H8</f>
        <v/>
      </c>
      <c r="G8" s="72" t="n"/>
      <c r="H8" s="27">
        <f>F8+G8</f>
        <v/>
      </c>
      <c r="I8" s="107">
        <f>'مستخلص 10'!K8</f>
        <v/>
      </c>
      <c r="J8" s="68" t="n"/>
      <c r="K8" s="101">
        <f>IF(J8="",I8,J8)</f>
        <v/>
      </c>
      <c r="L8" s="74">
        <f>'مستخلص 10'!N8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10'!H9</f>
        <v/>
      </c>
      <c r="G9" s="72" t="n"/>
      <c r="H9" s="84">
        <f>F9+G9</f>
        <v/>
      </c>
      <c r="I9" s="109">
        <f>'مستخلص 10'!K9</f>
        <v/>
      </c>
      <c r="J9" s="68" t="n"/>
      <c r="K9" s="103">
        <f>IF(J9="",I9,J9)</f>
        <v/>
      </c>
      <c r="L9" s="108">
        <f>'مستخلص 10'!N9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10'!H10</f>
        <v/>
      </c>
      <c r="G10" s="72" t="n"/>
      <c r="H10" s="27">
        <f>F10+G10</f>
        <v/>
      </c>
      <c r="I10" s="107">
        <f>'مستخلص 10'!K10</f>
        <v/>
      </c>
      <c r="J10" s="68" t="n"/>
      <c r="K10" s="101">
        <f>IF(J10="",I10,J10)</f>
        <v/>
      </c>
      <c r="L10" s="74">
        <f>'مستخلص 10'!N10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10'!H11</f>
        <v/>
      </c>
      <c r="G11" s="72" t="n"/>
      <c r="H11" s="84">
        <f>F11+G11</f>
        <v/>
      </c>
      <c r="I11" s="109">
        <f>'مستخلص 10'!K11</f>
        <v/>
      </c>
      <c r="J11" s="68" t="n"/>
      <c r="K11" s="103">
        <f>IF(J11="",I11,J11)</f>
        <v/>
      </c>
      <c r="L11" s="108">
        <f>'مستخلص 10'!N11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10'!H12</f>
        <v/>
      </c>
      <c r="G12" s="72" t="n"/>
      <c r="H12" s="27">
        <f>F12+G12</f>
        <v/>
      </c>
      <c r="I12" s="107">
        <f>'مستخلص 10'!K12</f>
        <v/>
      </c>
      <c r="J12" s="68" t="n"/>
      <c r="K12" s="101">
        <f>IF(J12="",I12,J12)</f>
        <v/>
      </c>
      <c r="L12" s="74">
        <f>'مستخلص 10'!N12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10'!H13</f>
        <v/>
      </c>
      <c r="G13" s="72" t="n"/>
      <c r="H13" s="84">
        <f>F13+G13</f>
        <v/>
      </c>
      <c r="I13" s="109">
        <f>'مستخلص 10'!K13</f>
        <v/>
      </c>
      <c r="J13" s="68" t="n"/>
      <c r="K13" s="103">
        <f>IF(J13="",I13,J13)</f>
        <v/>
      </c>
      <c r="L13" s="108">
        <f>'مستخلص 10'!N13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10'!H14</f>
        <v/>
      </c>
      <c r="G14" s="72" t="n"/>
      <c r="H14" s="27">
        <f>F14+G14</f>
        <v/>
      </c>
      <c r="I14" s="107">
        <f>'مستخلص 10'!K14</f>
        <v/>
      </c>
      <c r="J14" s="68" t="n"/>
      <c r="K14" s="101">
        <f>IF(J14="",I14,J14)</f>
        <v/>
      </c>
      <c r="L14" s="74">
        <f>'مستخلص 10'!N14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10'!H15</f>
        <v/>
      </c>
      <c r="G15" s="72" t="n"/>
      <c r="H15" s="84">
        <f>F15+G15</f>
        <v/>
      </c>
      <c r="I15" s="109">
        <f>'مستخلص 10'!K15</f>
        <v/>
      </c>
      <c r="J15" s="68" t="n"/>
      <c r="K15" s="103">
        <f>IF(J15="",I15,J15)</f>
        <v/>
      </c>
      <c r="L15" s="108">
        <f>'مستخلص 10'!N15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10'!H16</f>
        <v/>
      </c>
      <c r="G16" s="72" t="n"/>
      <c r="H16" s="27">
        <f>F16+G16</f>
        <v/>
      </c>
      <c r="I16" s="107">
        <f>'مستخلص 10'!K16</f>
        <v/>
      </c>
      <c r="J16" s="68" t="n"/>
      <c r="K16" s="101">
        <f>IF(J16="",I16,J16)</f>
        <v/>
      </c>
      <c r="L16" s="74">
        <f>'مستخلص 10'!N16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10'!H17</f>
        <v/>
      </c>
      <c r="G17" s="72" t="n"/>
      <c r="H17" s="84">
        <f>F17+G17</f>
        <v/>
      </c>
      <c r="I17" s="109">
        <f>'مستخلص 10'!K17</f>
        <v/>
      </c>
      <c r="J17" s="68" t="n"/>
      <c r="K17" s="103">
        <f>IF(J17="",I17,J17)</f>
        <v/>
      </c>
      <c r="L17" s="108">
        <f>'مستخلص 10'!N17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10'!H18</f>
        <v/>
      </c>
      <c r="G18" s="72" t="n"/>
      <c r="H18" s="27">
        <f>F18+G18</f>
        <v/>
      </c>
      <c r="I18" s="107">
        <f>'مستخلص 10'!K18</f>
        <v/>
      </c>
      <c r="J18" s="68" t="n"/>
      <c r="K18" s="101">
        <f>IF(J18="",I18,J18)</f>
        <v/>
      </c>
      <c r="L18" s="74">
        <f>'مستخلص 10'!N18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10'!H19</f>
        <v/>
      </c>
      <c r="G19" s="72" t="n"/>
      <c r="H19" s="84">
        <f>F19+G19</f>
        <v/>
      </c>
      <c r="I19" s="109">
        <f>'مستخلص 10'!K19</f>
        <v/>
      </c>
      <c r="J19" s="68" t="n"/>
      <c r="K19" s="103">
        <f>IF(J19="",I19,J19)</f>
        <v/>
      </c>
      <c r="L19" s="108">
        <f>'مستخلص 10'!N19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10'!H20</f>
        <v/>
      </c>
      <c r="G20" s="72" t="n"/>
      <c r="H20" s="27">
        <f>F20+G20</f>
        <v/>
      </c>
      <c r="I20" s="107">
        <f>'مستخلص 10'!K20</f>
        <v/>
      </c>
      <c r="J20" s="68" t="n"/>
      <c r="K20" s="101">
        <f>IF(J20="",I20,J20)</f>
        <v/>
      </c>
      <c r="L20" s="74">
        <f>'مستخلص 10'!N20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10'!H21</f>
        <v/>
      </c>
      <c r="G21" s="72" t="n"/>
      <c r="H21" s="84">
        <f>F21+G21</f>
        <v/>
      </c>
      <c r="I21" s="109">
        <f>'مستخلص 10'!K21</f>
        <v/>
      </c>
      <c r="J21" s="68" t="n"/>
      <c r="K21" s="103">
        <f>IF(J21="",I21,J21)</f>
        <v/>
      </c>
      <c r="L21" s="108">
        <f>'مستخلص 10'!N21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10'!H22</f>
        <v/>
      </c>
      <c r="G22" s="72" t="n"/>
      <c r="H22" s="27">
        <f>F22+G22</f>
        <v/>
      </c>
      <c r="I22" s="107">
        <f>'مستخلص 10'!K22</f>
        <v/>
      </c>
      <c r="J22" s="68" t="n"/>
      <c r="K22" s="101">
        <f>IF(J22="",I22,J22)</f>
        <v/>
      </c>
      <c r="L22" s="74">
        <f>'مستخلص 10'!N22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10'!H23</f>
        <v/>
      </c>
      <c r="G23" s="72" t="n"/>
      <c r="H23" s="84">
        <f>F23+G23</f>
        <v/>
      </c>
      <c r="I23" s="109">
        <f>'مستخلص 10'!K23</f>
        <v/>
      </c>
      <c r="J23" s="68" t="n"/>
      <c r="K23" s="103">
        <f>IF(J23="",I23,J23)</f>
        <v/>
      </c>
      <c r="L23" s="108">
        <f>'مستخلص 10'!N23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10'!H24</f>
        <v/>
      </c>
      <c r="G24" s="72" t="n"/>
      <c r="H24" s="27">
        <f>F24+G24</f>
        <v/>
      </c>
      <c r="I24" s="107">
        <f>'مستخلص 10'!K24</f>
        <v/>
      </c>
      <c r="J24" s="68" t="n"/>
      <c r="K24" s="101">
        <f>IF(J24="",I24,J24)</f>
        <v/>
      </c>
      <c r="L24" s="74">
        <f>'مستخلص 10'!N24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10'!H25</f>
        <v/>
      </c>
      <c r="G25" s="72" t="n"/>
      <c r="H25" s="84">
        <f>F25+G25</f>
        <v/>
      </c>
      <c r="I25" s="109">
        <f>'مستخلص 10'!K25</f>
        <v/>
      </c>
      <c r="J25" s="68" t="n"/>
      <c r="K25" s="103">
        <f>IF(J25="",I25,J25)</f>
        <v/>
      </c>
      <c r="L25" s="108">
        <f>'مستخلص 10'!N25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10'!H26</f>
        <v/>
      </c>
      <c r="G26" s="72" t="n"/>
      <c r="H26" s="27">
        <f>F26+G26</f>
        <v/>
      </c>
      <c r="I26" s="107">
        <f>'مستخلص 10'!K26</f>
        <v/>
      </c>
      <c r="J26" s="68" t="n"/>
      <c r="K26" s="101">
        <f>IF(J26="",I26,J26)</f>
        <v/>
      </c>
      <c r="L26" s="74">
        <f>'مستخلص 10'!N26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10'!H27</f>
        <v/>
      </c>
      <c r="G27" s="72" t="n"/>
      <c r="H27" s="84">
        <f>F27+G27</f>
        <v/>
      </c>
      <c r="I27" s="109">
        <f>'مستخلص 10'!K27</f>
        <v/>
      </c>
      <c r="J27" s="68" t="n"/>
      <c r="K27" s="103">
        <f>IF(J27="",I27,J27)</f>
        <v/>
      </c>
      <c r="L27" s="108">
        <f>'مستخلص 10'!N27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10'!H28</f>
        <v/>
      </c>
      <c r="G28" s="72" t="n"/>
      <c r="H28" s="27">
        <f>F28+G28</f>
        <v/>
      </c>
      <c r="I28" s="107">
        <f>'مستخلص 10'!K28</f>
        <v/>
      </c>
      <c r="J28" s="68" t="n"/>
      <c r="K28" s="101">
        <f>IF(J28="",I28,J28)</f>
        <v/>
      </c>
      <c r="L28" s="74">
        <f>'مستخلص 10'!N28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10'!H29</f>
        <v/>
      </c>
      <c r="G29" s="72" t="n"/>
      <c r="H29" s="84">
        <f>F29+G29</f>
        <v/>
      </c>
      <c r="I29" s="109">
        <f>'مستخلص 10'!K29</f>
        <v/>
      </c>
      <c r="J29" s="68" t="n"/>
      <c r="K29" s="103">
        <f>IF(J29="",I29,J29)</f>
        <v/>
      </c>
      <c r="L29" s="108">
        <f>'مستخلص 10'!N29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10'!H30</f>
        <v/>
      </c>
      <c r="G30" s="72" t="n"/>
      <c r="H30" s="27">
        <f>F30+G30</f>
        <v/>
      </c>
      <c r="I30" s="107">
        <f>'مستخلص 10'!K30</f>
        <v/>
      </c>
      <c r="J30" s="68" t="n"/>
      <c r="K30" s="101">
        <f>IF(J30="",I30,J30)</f>
        <v/>
      </c>
      <c r="L30" s="74">
        <f>'مستخلص 10'!N30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10'!H31</f>
        <v/>
      </c>
      <c r="G31" s="72" t="n"/>
      <c r="H31" s="84">
        <f>F31+G31</f>
        <v/>
      </c>
      <c r="I31" s="109">
        <f>'مستخلص 10'!K31</f>
        <v/>
      </c>
      <c r="J31" s="68" t="n"/>
      <c r="K31" s="103">
        <f>IF(J31="",I31,J31)</f>
        <v/>
      </c>
      <c r="L31" s="108">
        <f>'مستخلص 10'!N31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10'!H32</f>
        <v/>
      </c>
      <c r="G32" s="72" t="n"/>
      <c r="H32" s="27">
        <f>F32+G32</f>
        <v/>
      </c>
      <c r="I32" s="107">
        <f>'مستخلص 10'!K32</f>
        <v/>
      </c>
      <c r="J32" s="68" t="n"/>
      <c r="K32" s="101">
        <f>IF(J32="",I32,J32)</f>
        <v/>
      </c>
      <c r="L32" s="74">
        <f>'مستخلص 10'!N32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10'!H33</f>
        <v/>
      </c>
      <c r="G33" s="72" t="n"/>
      <c r="H33" s="84">
        <f>F33+G33</f>
        <v/>
      </c>
      <c r="I33" s="109">
        <f>'مستخلص 10'!K33</f>
        <v/>
      </c>
      <c r="J33" s="68" t="n"/>
      <c r="K33" s="103">
        <f>IF(J33="",I33,J33)</f>
        <v/>
      </c>
      <c r="L33" s="108">
        <f>'مستخلص 10'!N33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10'!H34</f>
        <v/>
      </c>
      <c r="G34" s="72" t="n"/>
      <c r="H34" s="27">
        <f>F34+G34</f>
        <v/>
      </c>
      <c r="I34" s="107">
        <f>'مستخلص 10'!K34</f>
        <v/>
      </c>
      <c r="J34" s="68" t="n"/>
      <c r="K34" s="101">
        <f>IF(J34="",I34,J34)</f>
        <v/>
      </c>
      <c r="L34" s="74">
        <f>'مستخلص 10'!N34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10'!H35</f>
        <v/>
      </c>
      <c r="G35" s="72" t="n"/>
      <c r="H35" s="84">
        <f>F35+G35</f>
        <v/>
      </c>
      <c r="I35" s="109">
        <f>'مستخلص 10'!K35</f>
        <v/>
      </c>
      <c r="J35" s="68" t="n"/>
      <c r="K35" s="103">
        <f>IF(J35="",I35,J35)</f>
        <v/>
      </c>
      <c r="L35" s="108">
        <f>'مستخلص 10'!N35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10'!H36</f>
        <v/>
      </c>
      <c r="G36" s="72" t="n"/>
      <c r="H36" s="27">
        <f>F36+G36</f>
        <v/>
      </c>
      <c r="I36" s="107">
        <f>'مستخلص 10'!K36</f>
        <v/>
      </c>
      <c r="J36" s="68" t="n"/>
      <c r="K36" s="101">
        <f>IF(J36="",I36,J36)</f>
        <v/>
      </c>
      <c r="L36" s="74">
        <f>'مستخلص 10'!N36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10'!H37</f>
        <v/>
      </c>
      <c r="G37" s="72" t="n"/>
      <c r="H37" s="84">
        <f>F37+G37</f>
        <v/>
      </c>
      <c r="I37" s="109">
        <f>'مستخلص 10'!K37</f>
        <v/>
      </c>
      <c r="J37" s="68" t="n"/>
      <c r="K37" s="103">
        <f>IF(J37="",I37,J37)</f>
        <v/>
      </c>
      <c r="L37" s="108">
        <f>'مستخلص 10'!N37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10'!H38</f>
        <v/>
      </c>
      <c r="G38" s="72" t="n"/>
      <c r="H38" s="27">
        <f>F38+G38</f>
        <v/>
      </c>
      <c r="I38" s="107">
        <f>'مستخلص 10'!K38</f>
        <v/>
      </c>
      <c r="J38" s="68" t="n"/>
      <c r="K38" s="101">
        <f>IF(J38="",I38,J38)</f>
        <v/>
      </c>
      <c r="L38" s="74">
        <f>'مستخلص 10'!N38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10'!H39</f>
        <v/>
      </c>
      <c r="G39" s="72" t="n"/>
      <c r="H39" s="84">
        <f>F39+G39</f>
        <v/>
      </c>
      <c r="I39" s="109">
        <f>'مستخلص 10'!K39</f>
        <v/>
      </c>
      <c r="J39" s="68" t="n"/>
      <c r="K39" s="103">
        <f>IF(J39="",I39,J39)</f>
        <v/>
      </c>
      <c r="L39" s="108">
        <f>'مستخلص 10'!N39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10'!H40</f>
        <v/>
      </c>
      <c r="G40" s="72" t="n"/>
      <c r="H40" s="27">
        <f>F40+G40</f>
        <v/>
      </c>
      <c r="I40" s="107">
        <f>'مستخلص 10'!K40</f>
        <v/>
      </c>
      <c r="J40" s="68" t="n"/>
      <c r="K40" s="101">
        <f>IF(J40="",I40,J40)</f>
        <v/>
      </c>
      <c r="L40" s="74">
        <f>'مستخلص 10'!N40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10'!H41</f>
        <v/>
      </c>
      <c r="G41" s="72" t="n"/>
      <c r="H41" s="84">
        <f>F41+G41</f>
        <v/>
      </c>
      <c r="I41" s="109">
        <f>'مستخلص 10'!K41</f>
        <v/>
      </c>
      <c r="J41" s="68" t="n"/>
      <c r="K41" s="103">
        <f>IF(J41="",I41,J41)</f>
        <v/>
      </c>
      <c r="L41" s="108">
        <f>'مستخلص 10'!N41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10'!H42</f>
        <v/>
      </c>
      <c r="G42" s="72" t="n"/>
      <c r="H42" s="27">
        <f>F42+G42</f>
        <v/>
      </c>
      <c r="I42" s="107">
        <f>'مستخلص 10'!K42</f>
        <v/>
      </c>
      <c r="J42" s="68" t="n"/>
      <c r="K42" s="101">
        <f>IF(J42="",I42,J42)</f>
        <v/>
      </c>
      <c r="L42" s="74">
        <f>'مستخلص 10'!N42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10'!H43</f>
        <v/>
      </c>
      <c r="G43" s="72" t="n"/>
      <c r="H43" s="84">
        <f>F43+G43</f>
        <v/>
      </c>
      <c r="I43" s="109">
        <f>'مستخلص 10'!K43</f>
        <v/>
      </c>
      <c r="J43" s="68" t="n"/>
      <c r="K43" s="103">
        <f>IF(J43="",I43,J43)</f>
        <v/>
      </c>
      <c r="L43" s="108">
        <f>'مستخلص 10'!N43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10'!H44</f>
        <v/>
      </c>
      <c r="G44" s="72" t="n"/>
      <c r="H44" s="27">
        <f>F44+G44</f>
        <v/>
      </c>
      <c r="I44" s="107">
        <f>'مستخلص 10'!K44</f>
        <v/>
      </c>
      <c r="J44" s="68" t="n"/>
      <c r="K44" s="101">
        <f>IF(J44="",I44,J44)</f>
        <v/>
      </c>
      <c r="L44" s="74">
        <f>'مستخلص 10'!N44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10'!H45</f>
        <v/>
      </c>
      <c r="G45" s="72" t="n"/>
      <c r="H45" s="84">
        <f>F45+G45</f>
        <v/>
      </c>
      <c r="I45" s="109">
        <f>'مستخلص 10'!K45</f>
        <v/>
      </c>
      <c r="J45" s="68" t="n"/>
      <c r="K45" s="103">
        <f>IF(J45="",I45,J45)</f>
        <v/>
      </c>
      <c r="L45" s="108">
        <f>'مستخلص 10'!N45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10'!H46</f>
        <v/>
      </c>
      <c r="G46" s="72" t="n"/>
      <c r="H46" s="27">
        <f>F46+G46</f>
        <v/>
      </c>
      <c r="I46" s="107">
        <f>'مستخلص 10'!K46</f>
        <v/>
      </c>
      <c r="J46" s="68" t="n"/>
      <c r="K46" s="101">
        <f>IF(J46="",I46,J46)</f>
        <v/>
      </c>
      <c r="L46" s="74">
        <f>'مستخلص 10'!N46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10'!H47</f>
        <v/>
      </c>
      <c r="G47" s="72" t="n"/>
      <c r="H47" s="84">
        <f>F47+G47</f>
        <v/>
      </c>
      <c r="I47" s="109">
        <f>'مستخلص 10'!K47</f>
        <v/>
      </c>
      <c r="J47" s="68" t="n"/>
      <c r="K47" s="103">
        <f>IF(J47="",I47,J47)</f>
        <v/>
      </c>
      <c r="L47" s="108">
        <f>'مستخلص 10'!N47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10'!H48</f>
        <v/>
      </c>
      <c r="G48" s="72" t="n"/>
      <c r="H48" s="27">
        <f>F48+G48</f>
        <v/>
      </c>
      <c r="I48" s="107">
        <f>'مستخلص 10'!K48</f>
        <v/>
      </c>
      <c r="J48" s="68" t="n"/>
      <c r="K48" s="101">
        <f>IF(J48="",I48,J48)</f>
        <v/>
      </c>
      <c r="L48" s="74">
        <f>'مستخلص 10'!N48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10'!H49</f>
        <v/>
      </c>
      <c r="G49" s="72" t="n"/>
      <c r="H49" s="84">
        <f>F49+G49</f>
        <v/>
      </c>
      <c r="I49" s="109">
        <f>'مستخلص 10'!K49</f>
        <v/>
      </c>
      <c r="J49" s="68" t="n"/>
      <c r="K49" s="103">
        <f>IF(J49="",I49,J49)</f>
        <v/>
      </c>
      <c r="L49" s="108">
        <f>'مستخلص 10'!N49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10'!H50</f>
        <v/>
      </c>
      <c r="G50" s="72" t="n"/>
      <c r="H50" s="27">
        <f>F50+G50</f>
        <v/>
      </c>
      <c r="I50" s="107">
        <f>'مستخلص 10'!K50</f>
        <v/>
      </c>
      <c r="J50" s="68" t="n"/>
      <c r="K50" s="101">
        <f>IF(J50="",I50,J50)</f>
        <v/>
      </c>
      <c r="L50" s="74">
        <f>'مستخلص 10'!N50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10'!H51</f>
        <v/>
      </c>
      <c r="G51" s="72" t="n"/>
      <c r="H51" s="84">
        <f>F51+G51</f>
        <v/>
      </c>
      <c r="I51" s="109">
        <f>'مستخلص 10'!K51</f>
        <v/>
      </c>
      <c r="J51" s="68" t="n"/>
      <c r="K51" s="103">
        <f>IF(J51="",I51,J51)</f>
        <v/>
      </c>
      <c r="L51" s="108">
        <f>'مستخلص 10'!N51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10'!H52</f>
        <v/>
      </c>
      <c r="G52" s="72" t="n"/>
      <c r="H52" s="27">
        <f>F52+G52</f>
        <v/>
      </c>
      <c r="I52" s="107">
        <f>'مستخلص 10'!K52</f>
        <v/>
      </c>
      <c r="J52" s="68" t="n"/>
      <c r="K52" s="101">
        <f>IF(J52="",I52,J52)</f>
        <v/>
      </c>
      <c r="L52" s="74">
        <f>'مستخلص 10'!N52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10'!H53</f>
        <v/>
      </c>
      <c r="G53" s="72" t="n"/>
      <c r="H53" s="84">
        <f>F53+G53</f>
        <v/>
      </c>
      <c r="I53" s="109">
        <f>'مستخلص 10'!K53</f>
        <v/>
      </c>
      <c r="J53" s="68" t="n"/>
      <c r="K53" s="103">
        <f>IF(J53="",I53,J53)</f>
        <v/>
      </c>
      <c r="L53" s="108">
        <f>'مستخلص 10'!N53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10'!H54</f>
        <v/>
      </c>
      <c r="G54" s="72" t="n"/>
      <c r="H54" s="27">
        <f>F54+G54</f>
        <v/>
      </c>
      <c r="I54" s="107">
        <f>'مستخلص 10'!K54</f>
        <v/>
      </c>
      <c r="J54" s="68" t="n"/>
      <c r="K54" s="101">
        <f>IF(J54="",I54,J54)</f>
        <v/>
      </c>
      <c r="L54" s="74">
        <f>'مستخلص 10'!N54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10'!H55</f>
        <v/>
      </c>
      <c r="G55" s="72" t="n"/>
      <c r="H55" s="84">
        <f>F55+G55</f>
        <v/>
      </c>
      <c r="I55" s="109">
        <f>'مستخلص 10'!K55</f>
        <v/>
      </c>
      <c r="J55" s="68" t="n"/>
      <c r="K55" s="103">
        <f>IF(J55="",I55,J55)</f>
        <v/>
      </c>
      <c r="L55" s="108">
        <f>'مستخلص 10'!N55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10'!H56</f>
        <v/>
      </c>
      <c r="G56" s="72" t="n"/>
      <c r="H56" s="27">
        <f>F56+G56</f>
        <v/>
      </c>
      <c r="I56" s="107">
        <f>'مستخلص 10'!K56</f>
        <v/>
      </c>
      <c r="J56" s="68" t="n"/>
      <c r="K56" s="101">
        <f>IF(J56="",I56,J56)</f>
        <v/>
      </c>
      <c r="L56" s="74">
        <f>'مستخلص 10'!N56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10'!H57</f>
        <v/>
      </c>
      <c r="G57" s="72" t="n"/>
      <c r="H57" s="84">
        <f>F57+G57</f>
        <v/>
      </c>
      <c r="I57" s="109">
        <f>'مستخلص 10'!K57</f>
        <v/>
      </c>
      <c r="J57" s="68" t="n"/>
      <c r="K57" s="103">
        <f>IF(J57="",I57,J57)</f>
        <v/>
      </c>
      <c r="L57" s="108">
        <f>'مستخلص 10'!N57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10'!H58</f>
        <v/>
      </c>
      <c r="G58" s="72" t="n"/>
      <c r="H58" s="27">
        <f>F58+G58</f>
        <v/>
      </c>
      <c r="I58" s="107">
        <f>'مستخلص 10'!K58</f>
        <v/>
      </c>
      <c r="J58" s="68" t="n"/>
      <c r="K58" s="101">
        <f>IF(J58="",I58,J58)</f>
        <v/>
      </c>
      <c r="L58" s="74">
        <f>'مستخلص 10'!N58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10'!H59</f>
        <v/>
      </c>
      <c r="G59" s="72" t="n"/>
      <c r="H59" s="84">
        <f>F59+G59</f>
        <v/>
      </c>
      <c r="I59" s="109">
        <f>'مستخلص 10'!K59</f>
        <v/>
      </c>
      <c r="J59" s="68" t="n"/>
      <c r="K59" s="103">
        <f>IF(J59="",I59,J59)</f>
        <v/>
      </c>
      <c r="L59" s="108">
        <f>'مستخلص 10'!N59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10'!H60</f>
        <v/>
      </c>
      <c r="G60" s="72" t="n"/>
      <c r="H60" s="27">
        <f>F60+G60</f>
        <v/>
      </c>
      <c r="I60" s="107">
        <f>'مستخلص 10'!K60</f>
        <v/>
      </c>
      <c r="J60" s="68" t="n"/>
      <c r="K60" s="101">
        <f>IF(J60="",I60,J60)</f>
        <v/>
      </c>
      <c r="L60" s="74">
        <f>'مستخلص 10'!N60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10'!H61</f>
        <v/>
      </c>
      <c r="G61" s="72" t="n"/>
      <c r="H61" s="84">
        <f>F61+G61</f>
        <v/>
      </c>
      <c r="I61" s="109">
        <f>'مستخلص 10'!K61</f>
        <v/>
      </c>
      <c r="J61" s="68" t="n"/>
      <c r="K61" s="103">
        <f>IF(J61="",I61,J61)</f>
        <v/>
      </c>
      <c r="L61" s="108">
        <f>'مستخلص 10'!N61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10'!H62</f>
        <v/>
      </c>
      <c r="G62" s="72" t="n"/>
      <c r="H62" s="27">
        <f>F62+G62</f>
        <v/>
      </c>
      <c r="I62" s="107">
        <f>'مستخلص 10'!K62</f>
        <v/>
      </c>
      <c r="J62" s="68" t="n"/>
      <c r="K62" s="101">
        <f>IF(J62="",I62,J62)</f>
        <v/>
      </c>
      <c r="L62" s="74">
        <f>'مستخلص 10'!N62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10'!H63</f>
        <v/>
      </c>
      <c r="G63" s="72" t="n"/>
      <c r="H63" s="84">
        <f>F63+G63</f>
        <v/>
      </c>
      <c r="I63" s="109">
        <f>'مستخلص 10'!K63</f>
        <v/>
      </c>
      <c r="J63" s="68" t="n"/>
      <c r="K63" s="103">
        <f>IF(J63="",I63,J63)</f>
        <v/>
      </c>
      <c r="L63" s="108">
        <f>'مستخلص 10'!N63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10'!H64</f>
        <v/>
      </c>
      <c r="G64" s="72" t="n"/>
      <c r="H64" s="27">
        <f>F64+G64</f>
        <v/>
      </c>
      <c r="I64" s="107">
        <f>'مستخلص 10'!K64</f>
        <v/>
      </c>
      <c r="J64" s="68" t="n"/>
      <c r="K64" s="101">
        <f>IF(J64="",I64,J64)</f>
        <v/>
      </c>
      <c r="L64" s="74">
        <f>'مستخلص 10'!N64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10'!H65</f>
        <v/>
      </c>
      <c r="G65" s="72" t="n"/>
      <c r="H65" s="84">
        <f>F65+G65</f>
        <v/>
      </c>
      <c r="I65" s="109">
        <f>'مستخلص 10'!K65</f>
        <v/>
      </c>
      <c r="J65" s="68" t="n"/>
      <c r="K65" s="103">
        <f>IF(J65="",I65,J65)</f>
        <v/>
      </c>
      <c r="L65" s="108">
        <f>'مستخلص 10'!N65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10'!H66</f>
        <v/>
      </c>
      <c r="G66" s="72" t="n"/>
      <c r="H66" s="27">
        <f>F66+G66</f>
        <v/>
      </c>
      <c r="I66" s="107">
        <f>'مستخلص 10'!K66</f>
        <v/>
      </c>
      <c r="J66" s="68" t="n"/>
      <c r="K66" s="101">
        <f>IF(J66="",I66,J66)</f>
        <v/>
      </c>
      <c r="L66" s="74">
        <f>'مستخلص 10'!N66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10'!H67</f>
        <v/>
      </c>
      <c r="G67" s="72" t="n"/>
      <c r="H67" s="84">
        <f>F67+G67</f>
        <v/>
      </c>
      <c r="I67" s="109">
        <f>'مستخلص 10'!K67</f>
        <v/>
      </c>
      <c r="J67" s="68" t="n"/>
      <c r="K67" s="103">
        <f>IF(J67="",I67,J67)</f>
        <v/>
      </c>
      <c r="L67" s="108">
        <f>'مستخلص 10'!N67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10'!H68</f>
        <v/>
      </c>
      <c r="G68" s="72" t="n"/>
      <c r="H68" s="27">
        <f>F68+G68</f>
        <v/>
      </c>
      <c r="I68" s="107">
        <f>'مستخلص 10'!K68</f>
        <v/>
      </c>
      <c r="J68" s="68" t="n"/>
      <c r="K68" s="101">
        <f>IF(J68="",I68,J68)</f>
        <v/>
      </c>
      <c r="L68" s="74">
        <f>'مستخلص 10'!N68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10'!H69</f>
        <v/>
      </c>
      <c r="G69" s="72" t="n"/>
      <c r="H69" s="84">
        <f>F69+G69</f>
        <v/>
      </c>
      <c r="I69" s="109">
        <f>'مستخلص 10'!K69</f>
        <v/>
      </c>
      <c r="J69" s="68" t="n"/>
      <c r="K69" s="103">
        <f>IF(J69="",I69,J69)</f>
        <v/>
      </c>
      <c r="L69" s="108">
        <f>'مستخلص 10'!N69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10'!H70</f>
        <v/>
      </c>
      <c r="G70" s="72" t="n"/>
      <c r="H70" s="27">
        <f>F70+G70</f>
        <v/>
      </c>
      <c r="I70" s="107">
        <f>'مستخلص 10'!K70</f>
        <v/>
      </c>
      <c r="J70" s="68" t="n"/>
      <c r="K70" s="101">
        <f>IF(J70="",I70,J70)</f>
        <v/>
      </c>
      <c r="L70" s="74">
        <f>'مستخلص 10'!N70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10'!H71</f>
        <v/>
      </c>
      <c r="G71" s="72" t="n"/>
      <c r="H71" s="84">
        <f>F71+G71</f>
        <v/>
      </c>
      <c r="I71" s="109">
        <f>'مستخلص 10'!K71</f>
        <v/>
      </c>
      <c r="J71" s="68" t="n"/>
      <c r="K71" s="103">
        <f>IF(J71="",I71,J71)</f>
        <v/>
      </c>
      <c r="L71" s="108">
        <f>'مستخلص 10'!N71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10'!H72</f>
        <v/>
      </c>
      <c r="G72" s="72" t="n"/>
      <c r="H72" s="27">
        <f>F72+G72</f>
        <v/>
      </c>
      <c r="I72" s="107">
        <f>'مستخلص 10'!K72</f>
        <v/>
      </c>
      <c r="J72" s="68" t="n"/>
      <c r="K72" s="101">
        <f>IF(J72="",I72,J72)</f>
        <v/>
      </c>
      <c r="L72" s="74">
        <f>'مستخلص 10'!N72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10'!H73</f>
        <v/>
      </c>
      <c r="G73" s="72" t="n"/>
      <c r="H73" s="84">
        <f>F73+G73</f>
        <v/>
      </c>
      <c r="I73" s="109">
        <f>'مستخلص 10'!K73</f>
        <v/>
      </c>
      <c r="J73" s="68" t="n"/>
      <c r="K73" s="103">
        <f>IF(J73="",I73,J73)</f>
        <v/>
      </c>
      <c r="L73" s="108">
        <f>'مستخلص 10'!N73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10'!H74</f>
        <v/>
      </c>
      <c r="G74" s="72" t="n"/>
      <c r="H74" s="27">
        <f>F74+G74</f>
        <v/>
      </c>
      <c r="I74" s="107">
        <f>'مستخلص 10'!K74</f>
        <v/>
      </c>
      <c r="J74" s="68" t="n"/>
      <c r="K74" s="101">
        <f>IF(J74="",I74,J74)</f>
        <v/>
      </c>
      <c r="L74" s="74">
        <f>'مستخلص 10'!N74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10'!H75</f>
        <v/>
      </c>
      <c r="G75" s="72" t="n"/>
      <c r="H75" s="84">
        <f>F75+G75</f>
        <v/>
      </c>
      <c r="I75" s="109">
        <f>'مستخلص 10'!K75</f>
        <v/>
      </c>
      <c r="J75" s="68" t="n"/>
      <c r="K75" s="103">
        <f>IF(J75="",I75,J75)</f>
        <v/>
      </c>
      <c r="L75" s="108">
        <f>'مستخلص 10'!N75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10'!H76</f>
        <v/>
      </c>
      <c r="G76" s="72" t="n"/>
      <c r="H76" s="27">
        <f>F76+G76</f>
        <v/>
      </c>
      <c r="I76" s="107">
        <f>'مستخلص 10'!K76</f>
        <v/>
      </c>
      <c r="J76" s="68" t="n"/>
      <c r="K76" s="101">
        <f>IF(J76="",I76,J76)</f>
        <v/>
      </c>
      <c r="L76" s="74">
        <f>'مستخلص 10'!N76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10'!H77</f>
        <v/>
      </c>
      <c r="G77" s="72" t="n"/>
      <c r="H77" s="84">
        <f>F77+G77</f>
        <v/>
      </c>
      <c r="I77" s="109">
        <f>'مستخلص 10'!K77</f>
        <v/>
      </c>
      <c r="J77" s="68" t="n"/>
      <c r="K77" s="103">
        <f>IF(J77="",I77,J77)</f>
        <v/>
      </c>
      <c r="L77" s="108">
        <f>'مستخلص 10'!N77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10'!H78</f>
        <v/>
      </c>
      <c r="G78" s="72" t="n"/>
      <c r="H78" s="27">
        <f>F78+G78</f>
        <v/>
      </c>
      <c r="I78" s="107">
        <f>'مستخلص 10'!K78</f>
        <v/>
      </c>
      <c r="J78" s="68" t="n"/>
      <c r="K78" s="101">
        <f>IF(J78="",I78,J78)</f>
        <v/>
      </c>
      <c r="L78" s="74">
        <f>'مستخلص 10'!N78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10'!H79</f>
        <v/>
      </c>
      <c r="G79" s="72" t="n"/>
      <c r="H79" s="84">
        <f>F79+G79</f>
        <v/>
      </c>
      <c r="I79" s="109">
        <f>'مستخلص 10'!K79</f>
        <v/>
      </c>
      <c r="J79" s="68" t="n"/>
      <c r="K79" s="103">
        <f>IF(J79="",I79,J79)</f>
        <v/>
      </c>
      <c r="L79" s="108">
        <f>'مستخلص 10'!N79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10'!H80</f>
        <v/>
      </c>
      <c r="G80" s="72" t="n"/>
      <c r="H80" s="27">
        <f>F80+G80</f>
        <v/>
      </c>
      <c r="I80" s="107">
        <f>'مستخلص 10'!K80</f>
        <v/>
      </c>
      <c r="J80" s="68" t="n"/>
      <c r="K80" s="101">
        <f>IF(J80="",I80,J80)</f>
        <v/>
      </c>
      <c r="L80" s="74">
        <f>'مستخلص 10'!N80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10'!H81</f>
        <v/>
      </c>
      <c r="G81" s="72" t="n"/>
      <c r="H81" s="84">
        <f>F81+G81</f>
        <v/>
      </c>
      <c r="I81" s="109">
        <f>'مستخلص 10'!K81</f>
        <v/>
      </c>
      <c r="J81" s="68" t="n"/>
      <c r="K81" s="103">
        <f>IF(J81="",I81,J81)</f>
        <v/>
      </c>
      <c r="L81" s="108">
        <f>'مستخلص 10'!N81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10'!H82</f>
        <v/>
      </c>
      <c r="G82" s="72" t="n"/>
      <c r="H82" s="27">
        <f>F82+G82</f>
        <v/>
      </c>
      <c r="I82" s="107">
        <f>'مستخلص 10'!K82</f>
        <v/>
      </c>
      <c r="J82" s="68" t="n"/>
      <c r="K82" s="101">
        <f>IF(J82="",I82,J82)</f>
        <v/>
      </c>
      <c r="L82" s="74">
        <f>'مستخلص 10'!N82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10'!H83</f>
        <v/>
      </c>
      <c r="G83" s="72" t="n"/>
      <c r="H83" s="84">
        <f>F83+G83</f>
        <v/>
      </c>
      <c r="I83" s="109">
        <f>'مستخلص 10'!K83</f>
        <v/>
      </c>
      <c r="J83" s="68" t="n"/>
      <c r="K83" s="103">
        <f>IF(J83="",I83,J83)</f>
        <v/>
      </c>
      <c r="L83" s="108">
        <f>'مستخلص 10'!N83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10'!H84</f>
        <v/>
      </c>
      <c r="G84" s="72" t="n"/>
      <c r="H84" s="27">
        <f>F84+G84</f>
        <v/>
      </c>
      <c r="I84" s="107">
        <f>'مستخلص 10'!K84</f>
        <v/>
      </c>
      <c r="J84" s="68" t="n"/>
      <c r="K84" s="101">
        <f>IF(J84="",I84,J84)</f>
        <v/>
      </c>
      <c r="L84" s="74">
        <f>'مستخلص 10'!N84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10'!H85</f>
        <v/>
      </c>
      <c r="G85" s="72" t="n"/>
      <c r="H85" s="84">
        <f>F85+G85</f>
        <v/>
      </c>
      <c r="I85" s="109">
        <f>'مستخلص 10'!K85</f>
        <v/>
      </c>
      <c r="J85" s="68" t="n"/>
      <c r="K85" s="103">
        <f>IF(J85="",I85,J85)</f>
        <v/>
      </c>
      <c r="L85" s="108">
        <f>'مستخلص 10'!N85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10'!H86</f>
        <v/>
      </c>
      <c r="G86" s="72" t="n"/>
      <c r="H86" s="27">
        <f>F86+G86</f>
        <v/>
      </c>
      <c r="I86" s="107">
        <f>'مستخلص 10'!K86</f>
        <v/>
      </c>
      <c r="J86" s="68" t="n"/>
      <c r="K86" s="101">
        <f>IF(J86="",I86,J86)</f>
        <v/>
      </c>
      <c r="L86" s="74">
        <f>'مستخلص 10'!N86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10'!H87</f>
        <v/>
      </c>
      <c r="G87" s="72" t="n"/>
      <c r="H87" s="84">
        <f>F87+G87</f>
        <v/>
      </c>
      <c r="I87" s="109">
        <f>'مستخلص 10'!K87</f>
        <v/>
      </c>
      <c r="J87" s="68" t="n"/>
      <c r="K87" s="103">
        <f>IF(J87="",I87,J87)</f>
        <v/>
      </c>
      <c r="L87" s="108">
        <f>'مستخلص 10'!N87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10'!H88</f>
        <v/>
      </c>
      <c r="G88" s="72" t="n"/>
      <c r="H88" s="27">
        <f>F88+G88</f>
        <v/>
      </c>
      <c r="I88" s="107">
        <f>'مستخلص 10'!K88</f>
        <v/>
      </c>
      <c r="J88" s="68" t="n"/>
      <c r="K88" s="101">
        <f>IF(J88="",I88,J88)</f>
        <v/>
      </c>
      <c r="L88" s="74">
        <f>'مستخلص 10'!N88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10'!H89</f>
        <v/>
      </c>
      <c r="G89" s="72" t="n"/>
      <c r="H89" s="84">
        <f>F89+G89</f>
        <v/>
      </c>
      <c r="I89" s="109">
        <f>'مستخلص 10'!K89</f>
        <v/>
      </c>
      <c r="J89" s="68" t="n"/>
      <c r="K89" s="103">
        <f>IF(J89="",I89,J89)</f>
        <v/>
      </c>
      <c r="L89" s="108">
        <f>'مستخلص 10'!N89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10'!H90</f>
        <v/>
      </c>
      <c r="G90" s="72" t="n"/>
      <c r="H90" s="27">
        <f>F90+G90</f>
        <v/>
      </c>
      <c r="I90" s="107">
        <f>'مستخلص 10'!K90</f>
        <v/>
      </c>
      <c r="J90" s="68" t="n"/>
      <c r="K90" s="101">
        <f>IF(J90="",I90,J90)</f>
        <v/>
      </c>
      <c r="L90" s="74">
        <f>'مستخلص 10'!N90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10'!H91</f>
        <v/>
      </c>
      <c r="G91" s="72" t="n"/>
      <c r="H91" s="84">
        <f>F91+G91</f>
        <v/>
      </c>
      <c r="I91" s="109">
        <f>'مستخلص 10'!K91</f>
        <v/>
      </c>
      <c r="J91" s="68" t="n"/>
      <c r="K91" s="103">
        <f>IF(J91="",I91,J91)</f>
        <v/>
      </c>
      <c r="L91" s="108">
        <f>'مستخلص 10'!N91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10'!H92</f>
        <v/>
      </c>
      <c r="G92" s="72" t="n"/>
      <c r="H92" s="27">
        <f>F92+G92</f>
        <v/>
      </c>
      <c r="I92" s="107">
        <f>'مستخلص 10'!K92</f>
        <v/>
      </c>
      <c r="J92" s="68" t="n"/>
      <c r="K92" s="101">
        <f>IF(J92="",I92,J92)</f>
        <v/>
      </c>
      <c r="L92" s="74">
        <f>'مستخلص 10'!N92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10'!H93</f>
        <v/>
      </c>
      <c r="G93" s="72" t="n"/>
      <c r="H93" s="84">
        <f>F93+G93</f>
        <v/>
      </c>
      <c r="I93" s="109">
        <f>'مستخلص 10'!K93</f>
        <v/>
      </c>
      <c r="J93" s="68" t="n"/>
      <c r="K93" s="103">
        <f>IF(J93="",I93,J93)</f>
        <v/>
      </c>
      <c r="L93" s="108">
        <f>'مستخلص 10'!N93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10'!H94</f>
        <v/>
      </c>
      <c r="G94" s="72" t="n"/>
      <c r="H94" s="27">
        <f>F94+G94</f>
        <v/>
      </c>
      <c r="I94" s="107">
        <f>'مستخلص 10'!K94</f>
        <v/>
      </c>
      <c r="J94" s="68" t="n"/>
      <c r="K94" s="101">
        <f>IF(J94="",I94,J94)</f>
        <v/>
      </c>
      <c r="L94" s="74">
        <f>'مستخلص 10'!N94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10'!H95</f>
        <v/>
      </c>
      <c r="G95" s="72" t="n"/>
      <c r="H95" s="84">
        <f>F95+G95</f>
        <v/>
      </c>
      <c r="I95" s="109">
        <f>'مستخلص 10'!K95</f>
        <v/>
      </c>
      <c r="J95" s="68" t="n"/>
      <c r="K95" s="103">
        <f>IF(J95="",I95,J95)</f>
        <v/>
      </c>
      <c r="L95" s="108">
        <f>'مستخلص 10'!N95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10'!H96</f>
        <v/>
      </c>
      <c r="G96" s="72" t="n"/>
      <c r="H96" s="27">
        <f>F96+G96</f>
        <v/>
      </c>
      <c r="I96" s="107">
        <f>'مستخلص 10'!K96</f>
        <v/>
      </c>
      <c r="J96" s="68" t="n"/>
      <c r="K96" s="101">
        <f>IF(J96="",I96,J96)</f>
        <v/>
      </c>
      <c r="L96" s="74">
        <f>'مستخلص 10'!N96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10'!H97</f>
        <v/>
      </c>
      <c r="G97" s="72" t="n"/>
      <c r="H97" s="84">
        <f>F97+G97</f>
        <v/>
      </c>
      <c r="I97" s="109">
        <f>'مستخلص 10'!K97</f>
        <v/>
      </c>
      <c r="J97" s="68" t="n"/>
      <c r="K97" s="103">
        <f>IF(J97="",I97,J97)</f>
        <v/>
      </c>
      <c r="L97" s="108">
        <f>'مستخلص 10'!N97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10'!H98</f>
        <v/>
      </c>
      <c r="G98" s="72" t="n"/>
      <c r="H98" s="27">
        <f>F98+G98</f>
        <v/>
      </c>
      <c r="I98" s="107">
        <f>'مستخلص 10'!K98</f>
        <v/>
      </c>
      <c r="J98" s="68" t="n"/>
      <c r="K98" s="101">
        <f>IF(J98="",I98,J98)</f>
        <v/>
      </c>
      <c r="L98" s="74">
        <f>'مستخلص 10'!N98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10'!H99</f>
        <v/>
      </c>
      <c r="G99" s="72" t="n"/>
      <c r="H99" s="84">
        <f>F99+G99</f>
        <v/>
      </c>
      <c r="I99" s="109">
        <f>'مستخلص 10'!K99</f>
        <v/>
      </c>
      <c r="J99" s="68" t="n"/>
      <c r="K99" s="103">
        <f>IF(J99="",I99,J99)</f>
        <v/>
      </c>
      <c r="L99" s="108">
        <f>'مستخلص 10'!N99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10'!H100</f>
        <v/>
      </c>
      <c r="G100" s="72" t="n"/>
      <c r="H100" s="27">
        <f>F100+G100</f>
        <v/>
      </c>
      <c r="I100" s="107">
        <f>'مستخلص 10'!K100</f>
        <v/>
      </c>
      <c r="J100" s="68" t="n"/>
      <c r="K100" s="101">
        <f>IF(J100="",I100,J100)</f>
        <v/>
      </c>
      <c r="L100" s="74">
        <f>'مستخلص 10'!N100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10'!H101</f>
        <v/>
      </c>
      <c r="G101" s="72" t="n"/>
      <c r="H101" s="84">
        <f>F101+G101</f>
        <v/>
      </c>
      <c r="I101" s="109">
        <f>'مستخلص 10'!K101</f>
        <v/>
      </c>
      <c r="J101" s="68" t="n"/>
      <c r="K101" s="103">
        <f>IF(J101="",I101,J101)</f>
        <v/>
      </c>
      <c r="L101" s="108">
        <f>'مستخلص 10'!N101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10'!H102</f>
        <v/>
      </c>
      <c r="G102" s="72" t="n"/>
      <c r="H102" s="27">
        <f>F102+G102</f>
        <v/>
      </c>
      <c r="I102" s="107">
        <f>'مستخلص 10'!K102</f>
        <v/>
      </c>
      <c r="J102" s="68" t="n"/>
      <c r="K102" s="101">
        <f>IF(J102="",I102,J102)</f>
        <v/>
      </c>
      <c r="L102" s="74">
        <f>'مستخلص 10'!N102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10'!H103</f>
        <v/>
      </c>
      <c r="G103" s="72" t="n"/>
      <c r="H103" s="84">
        <f>F103+G103</f>
        <v/>
      </c>
      <c r="I103" s="109">
        <f>'مستخلص 10'!K103</f>
        <v/>
      </c>
      <c r="J103" s="68" t="n"/>
      <c r="K103" s="103">
        <f>IF(J103="",I103,J103)</f>
        <v/>
      </c>
      <c r="L103" s="108">
        <f>'مستخلص 10'!N103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10'!H104</f>
        <v/>
      </c>
      <c r="G104" s="72" t="n"/>
      <c r="H104" s="27">
        <f>F104+G104</f>
        <v/>
      </c>
      <c r="I104" s="107">
        <f>'مستخلص 10'!K104</f>
        <v/>
      </c>
      <c r="J104" s="68" t="n"/>
      <c r="K104" s="101">
        <f>IF(J104="",I104,J104)</f>
        <v/>
      </c>
      <c r="L104" s="74">
        <f>'مستخلص 10'!N104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10'!H105</f>
        <v/>
      </c>
      <c r="G105" s="72" t="n"/>
      <c r="H105" s="84">
        <f>F105+G105</f>
        <v/>
      </c>
      <c r="I105" s="109">
        <f>'مستخلص 10'!K105</f>
        <v/>
      </c>
      <c r="J105" s="68" t="n"/>
      <c r="K105" s="103">
        <f>IF(J105="",I105,J105)</f>
        <v/>
      </c>
      <c r="L105" s="108">
        <f>'مستخلص 10'!N105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10'!H106</f>
        <v/>
      </c>
      <c r="G106" s="72" t="n"/>
      <c r="H106" s="27">
        <f>F106+G106</f>
        <v/>
      </c>
      <c r="I106" s="107">
        <f>'مستخلص 10'!K106</f>
        <v/>
      </c>
      <c r="J106" s="68" t="n"/>
      <c r="K106" s="101">
        <f>IF(J106="",I106,J106)</f>
        <v/>
      </c>
      <c r="L106" s="74">
        <f>'مستخلص 10'!N106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10'!H107</f>
        <v/>
      </c>
      <c r="G107" s="72" t="n"/>
      <c r="H107" s="84">
        <f>F107+G107</f>
        <v/>
      </c>
      <c r="I107" s="109">
        <f>'مستخلص 10'!K107</f>
        <v/>
      </c>
      <c r="J107" s="68" t="n"/>
      <c r="K107" s="103">
        <f>IF(J107="",I107,J107)</f>
        <v/>
      </c>
      <c r="L107" s="108">
        <f>'مستخلص 10'!N107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10'!N111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10'!N112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10'!N113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10'!N114</f>
        <v/>
      </c>
      <c r="M114" s="27">
        <f>'الدفعات المقدمة'!I35</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10'!N115</f>
        <v/>
      </c>
      <c r="M115" s="27">
        <f>'ضمان الأعمال'!I26</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10'!N116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10'!N117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10'!N118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0'!A1" display="◀ المستخلص السابق (10)"/>
    <hyperlink ref="N3" location="'مستخلص 12'!A1" display="المستخلص التالي (12)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( 12 )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(11)</t>
        </is>
      </c>
      <c r="M3" s="4" t="n"/>
      <c r="N3" s="4" t="inlineStr">
        <is>
          <t>المستخلص التالي (13) ▶</t>
        </is>
      </c>
      <c r="O3" s="4" t="n"/>
      <c r="P3" s="4" t="n"/>
    </row>
    <row r="4" ht="24" customHeight="1">
      <c r="A4" s="96" t="inlineStr">
        <is>
          <t>رقم</t>
        </is>
      </c>
      <c r="B4" s="97" t="n">
        <v>12</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11'!H8</f>
        <v/>
      </c>
      <c r="G8" s="72" t="n"/>
      <c r="H8" s="27">
        <f>F8+G8</f>
        <v/>
      </c>
      <c r="I8" s="107">
        <f>'مستخلص 11'!K8</f>
        <v/>
      </c>
      <c r="J8" s="68" t="n"/>
      <c r="K8" s="101">
        <f>IF(J8="",I8,J8)</f>
        <v/>
      </c>
      <c r="L8" s="74">
        <f>'مستخلص 11'!N8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11'!H9</f>
        <v/>
      </c>
      <c r="G9" s="72" t="n"/>
      <c r="H9" s="84">
        <f>F9+G9</f>
        <v/>
      </c>
      <c r="I9" s="109">
        <f>'مستخلص 11'!K9</f>
        <v/>
      </c>
      <c r="J9" s="68" t="n"/>
      <c r="K9" s="103">
        <f>IF(J9="",I9,J9)</f>
        <v/>
      </c>
      <c r="L9" s="108">
        <f>'مستخلص 11'!N9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11'!H10</f>
        <v/>
      </c>
      <c r="G10" s="72" t="n"/>
      <c r="H10" s="27">
        <f>F10+G10</f>
        <v/>
      </c>
      <c r="I10" s="107">
        <f>'مستخلص 11'!K10</f>
        <v/>
      </c>
      <c r="J10" s="68" t="n"/>
      <c r="K10" s="101">
        <f>IF(J10="",I10,J10)</f>
        <v/>
      </c>
      <c r="L10" s="74">
        <f>'مستخلص 11'!N10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11'!H11</f>
        <v/>
      </c>
      <c r="G11" s="72" t="n"/>
      <c r="H11" s="84">
        <f>F11+G11</f>
        <v/>
      </c>
      <c r="I11" s="109">
        <f>'مستخلص 11'!K11</f>
        <v/>
      </c>
      <c r="J11" s="68" t="n"/>
      <c r="K11" s="103">
        <f>IF(J11="",I11,J11)</f>
        <v/>
      </c>
      <c r="L11" s="108">
        <f>'مستخلص 11'!N11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11'!H12</f>
        <v/>
      </c>
      <c r="G12" s="72" t="n"/>
      <c r="H12" s="27">
        <f>F12+G12</f>
        <v/>
      </c>
      <c r="I12" s="107">
        <f>'مستخلص 11'!K12</f>
        <v/>
      </c>
      <c r="J12" s="68" t="n"/>
      <c r="K12" s="101">
        <f>IF(J12="",I12,J12)</f>
        <v/>
      </c>
      <c r="L12" s="74">
        <f>'مستخلص 11'!N12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11'!H13</f>
        <v/>
      </c>
      <c r="G13" s="72" t="n"/>
      <c r="H13" s="84">
        <f>F13+G13</f>
        <v/>
      </c>
      <c r="I13" s="109">
        <f>'مستخلص 11'!K13</f>
        <v/>
      </c>
      <c r="J13" s="68" t="n"/>
      <c r="K13" s="103">
        <f>IF(J13="",I13,J13)</f>
        <v/>
      </c>
      <c r="L13" s="108">
        <f>'مستخلص 11'!N13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11'!H14</f>
        <v/>
      </c>
      <c r="G14" s="72" t="n"/>
      <c r="H14" s="27">
        <f>F14+G14</f>
        <v/>
      </c>
      <c r="I14" s="107">
        <f>'مستخلص 11'!K14</f>
        <v/>
      </c>
      <c r="J14" s="68" t="n"/>
      <c r="K14" s="101">
        <f>IF(J14="",I14,J14)</f>
        <v/>
      </c>
      <c r="L14" s="74">
        <f>'مستخلص 11'!N14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11'!H15</f>
        <v/>
      </c>
      <c r="G15" s="72" t="n"/>
      <c r="H15" s="84">
        <f>F15+G15</f>
        <v/>
      </c>
      <c r="I15" s="109">
        <f>'مستخلص 11'!K15</f>
        <v/>
      </c>
      <c r="J15" s="68" t="n"/>
      <c r="K15" s="103">
        <f>IF(J15="",I15,J15)</f>
        <v/>
      </c>
      <c r="L15" s="108">
        <f>'مستخلص 11'!N15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11'!H16</f>
        <v/>
      </c>
      <c r="G16" s="72" t="n"/>
      <c r="H16" s="27">
        <f>F16+G16</f>
        <v/>
      </c>
      <c r="I16" s="107">
        <f>'مستخلص 11'!K16</f>
        <v/>
      </c>
      <c r="J16" s="68" t="n"/>
      <c r="K16" s="101">
        <f>IF(J16="",I16,J16)</f>
        <v/>
      </c>
      <c r="L16" s="74">
        <f>'مستخلص 11'!N16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11'!H17</f>
        <v/>
      </c>
      <c r="G17" s="72" t="n"/>
      <c r="H17" s="84">
        <f>F17+G17</f>
        <v/>
      </c>
      <c r="I17" s="109">
        <f>'مستخلص 11'!K17</f>
        <v/>
      </c>
      <c r="J17" s="68" t="n"/>
      <c r="K17" s="103">
        <f>IF(J17="",I17,J17)</f>
        <v/>
      </c>
      <c r="L17" s="108">
        <f>'مستخلص 11'!N17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11'!H18</f>
        <v/>
      </c>
      <c r="G18" s="72" t="n"/>
      <c r="H18" s="27">
        <f>F18+G18</f>
        <v/>
      </c>
      <c r="I18" s="107">
        <f>'مستخلص 11'!K18</f>
        <v/>
      </c>
      <c r="J18" s="68" t="n"/>
      <c r="K18" s="101">
        <f>IF(J18="",I18,J18)</f>
        <v/>
      </c>
      <c r="L18" s="74">
        <f>'مستخلص 11'!N18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11'!H19</f>
        <v/>
      </c>
      <c r="G19" s="72" t="n"/>
      <c r="H19" s="84">
        <f>F19+G19</f>
        <v/>
      </c>
      <c r="I19" s="109">
        <f>'مستخلص 11'!K19</f>
        <v/>
      </c>
      <c r="J19" s="68" t="n"/>
      <c r="K19" s="103">
        <f>IF(J19="",I19,J19)</f>
        <v/>
      </c>
      <c r="L19" s="108">
        <f>'مستخلص 11'!N19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11'!H20</f>
        <v/>
      </c>
      <c r="G20" s="72" t="n"/>
      <c r="H20" s="27">
        <f>F20+G20</f>
        <v/>
      </c>
      <c r="I20" s="107">
        <f>'مستخلص 11'!K20</f>
        <v/>
      </c>
      <c r="J20" s="68" t="n"/>
      <c r="K20" s="101">
        <f>IF(J20="",I20,J20)</f>
        <v/>
      </c>
      <c r="L20" s="74">
        <f>'مستخلص 11'!N20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11'!H21</f>
        <v/>
      </c>
      <c r="G21" s="72" t="n"/>
      <c r="H21" s="84">
        <f>F21+G21</f>
        <v/>
      </c>
      <c r="I21" s="109">
        <f>'مستخلص 11'!K21</f>
        <v/>
      </c>
      <c r="J21" s="68" t="n"/>
      <c r="K21" s="103">
        <f>IF(J21="",I21,J21)</f>
        <v/>
      </c>
      <c r="L21" s="108">
        <f>'مستخلص 11'!N21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11'!H22</f>
        <v/>
      </c>
      <c r="G22" s="72" t="n"/>
      <c r="H22" s="27">
        <f>F22+G22</f>
        <v/>
      </c>
      <c r="I22" s="107">
        <f>'مستخلص 11'!K22</f>
        <v/>
      </c>
      <c r="J22" s="68" t="n"/>
      <c r="K22" s="101">
        <f>IF(J22="",I22,J22)</f>
        <v/>
      </c>
      <c r="L22" s="74">
        <f>'مستخلص 11'!N22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11'!H23</f>
        <v/>
      </c>
      <c r="G23" s="72" t="n"/>
      <c r="H23" s="84">
        <f>F23+G23</f>
        <v/>
      </c>
      <c r="I23" s="109">
        <f>'مستخلص 11'!K23</f>
        <v/>
      </c>
      <c r="J23" s="68" t="n"/>
      <c r="K23" s="103">
        <f>IF(J23="",I23,J23)</f>
        <v/>
      </c>
      <c r="L23" s="108">
        <f>'مستخلص 11'!N23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11'!H24</f>
        <v/>
      </c>
      <c r="G24" s="72" t="n"/>
      <c r="H24" s="27">
        <f>F24+G24</f>
        <v/>
      </c>
      <c r="I24" s="107">
        <f>'مستخلص 11'!K24</f>
        <v/>
      </c>
      <c r="J24" s="68" t="n"/>
      <c r="K24" s="101">
        <f>IF(J24="",I24,J24)</f>
        <v/>
      </c>
      <c r="L24" s="74">
        <f>'مستخلص 11'!N24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11'!H25</f>
        <v/>
      </c>
      <c r="G25" s="72" t="n"/>
      <c r="H25" s="84">
        <f>F25+G25</f>
        <v/>
      </c>
      <c r="I25" s="109">
        <f>'مستخلص 11'!K25</f>
        <v/>
      </c>
      <c r="J25" s="68" t="n"/>
      <c r="K25" s="103">
        <f>IF(J25="",I25,J25)</f>
        <v/>
      </c>
      <c r="L25" s="108">
        <f>'مستخلص 11'!N25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11'!H26</f>
        <v/>
      </c>
      <c r="G26" s="72" t="n"/>
      <c r="H26" s="27">
        <f>F26+G26</f>
        <v/>
      </c>
      <c r="I26" s="107">
        <f>'مستخلص 11'!K26</f>
        <v/>
      </c>
      <c r="J26" s="68" t="n"/>
      <c r="K26" s="101">
        <f>IF(J26="",I26,J26)</f>
        <v/>
      </c>
      <c r="L26" s="74">
        <f>'مستخلص 11'!N26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11'!H27</f>
        <v/>
      </c>
      <c r="G27" s="72" t="n"/>
      <c r="H27" s="84">
        <f>F27+G27</f>
        <v/>
      </c>
      <c r="I27" s="109">
        <f>'مستخلص 11'!K27</f>
        <v/>
      </c>
      <c r="J27" s="68" t="n"/>
      <c r="K27" s="103">
        <f>IF(J27="",I27,J27)</f>
        <v/>
      </c>
      <c r="L27" s="108">
        <f>'مستخلص 11'!N27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11'!H28</f>
        <v/>
      </c>
      <c r="G28" s="72" t="n"/>
      <c r="H28" s="27">
        <f>F28+G28</f>
        <v/>
      </c>
      <c r="I28" s="107">
        <f>'مستخلص 11'!K28</f>
        <v/>
      </c>
      <c r="J28" s="68" t="n"/>
      <c r="K28" s="101">
        <f>IF(J28="",I28,J28)</f>
        <v/>
      </c>
      <c r="L28" s="74">
        <f>'مستخلص 11'!N28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11'!H29</f>
        <v/>
      </c>
      <c r="G29" s="72" t="n"/>
      <c r="H29" s="84">
        <f>F29+G29</f>
        <v/>
      </c>
      <c r="I29" s="109">
        <f>'مستخلص 11'!K29</f>
        <v/>
      </c>
      <c r="J29" s="68" t="n"/>
      <c r="K29" s="103">
        <f>IF(J29="",I29,J29)</f>
        <v/>
      </c>
      <c r="L29" s="108">
        <f>'مستخلص 11'!N29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11'!H30</f>
        <v/>
      </c>
      <c r="G30" s="72" t="n"/>
      <c r="H30" s="27">
        <f>F30+G30</f>
        <v/>
      </c>
      <c r="I30" s="107">
        <f>'مستخلص 11'!K30</f>
        <v/>
      </c>
      <c r="J30" s="68" t="n"/>
      <c r="K30" s="101">
        <f>IF(J30="",I30,J30)</f>
        <v/>
      </c>
      <c r="L30" s="74">
        <f>'مستخلص 11'!N30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11'!H31</f>
        <v/>
      </c>
      <c r="G31" s="72" t="n"/>
      <c r="H31" s="84">
        <f>F31+G31</f>
        <v/>
      </c>
      <c r="I31" s="109">
        <f>'مستخلص 11'!K31</f>
        <v/>
      </c>
      <c r="J31" s="68" t="n"/>
      <c r="K31" s="103">
        <f>IF(J31="",I31,J31)</f>
        <v/>
      </c>
      <c r="L31" s="108">
        <f>'مستخلص 11'!N31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11'!H32</f>
        <v/>
      </c>
      <c r="G32" s="72" t="n"/>
      <c r="H32" s="27">
        <f>F32+G32</f>
        <v/>
      </c>
      <c r="I32" s="107">
        <f>'مستخلص 11'!K32</f>
        <v/>
      </c>
      <c r="J32" s="68" t="n"/>
      <c r="K32" s="101">
        <f>IF(J32="",I32,J32)</f>
        <v/>
      </c>
      <c r="L32" s="74">
        <f>'مستخلص 11'!N32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11'!H33</f>
        <v/>
      </c>
      <c r="G33" s="72" t="n"/>
      <c r="H33" s="84">
        <f>F33+G33</f>
        <v/>
      </c>
      <c r="I33" s="109">
        <f>'مستخلص 11'!K33</f>
        <v/>
      </c>
      <c r="J33" s="68" t="n"/>
      <c r="K33" s="103">
        <f>IF(J33="",I33,J33)</f>
        <v/>
      </c>
      <c r="L33" s="108">
        <f>'مستخلص 11'!N33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11'!H34</f>
        <v/>
      </c>
      <c r="G34" s="72" t="n"/>
      <c r="H34" s="27">
        <f>F34+G34</f>
        <v/>
      </c>
      <c r="I34" s="107">
        <f>'مستخلص 11'!K34</f>
        <v/>
      </c>
      <c r="J34" s="68" t="n"/>
      <c r="K34" s="101">
        <f>IF(J34="",I34,J34)</f>
        <v/>
      </c>
      <c r="L34" s="74">
        <f>'مستخلص 11'!N34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11'!H35</f>
        <v/>
      </c>
      <c r="G35" s="72" t="n"/>
      <c r="H35" s="84">
        <f>F35+G35</f>
        <v/>
      </c>
      <c r="I35" s="109">
        <f>'مستخلص 11'!K35</f>
        <v/>
      </c>
      <c r="J35" s="68" t="n"/>
      <c r="K35" s="103">
        <f>IF(J35="",I35,J35)</f>
        <v/>
      </c>
      <c r="L35" s="108">
        <f>'مستخلص 11'!N35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11'!H36</f>
        <v/>
      </c>
      <c r="G36" s="72" t="n"/>
      <c r="H36" s="27">
        <f>F36+G36</f>
        <v/>
      </c>
      <c r="I36" s="107">
        <f>'مستخلص 11'!K36</f>
        <v/>
      </c>
      <c r="J36" s="68" t="n"/>
      <c r="K36" s="101">
        <f>IF(J36="",I36,J36)</f>
        <v/>
      </c>
      <c r="L36" s="74">
        <f>'مستخلص 11'!N36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11'!H37</f>
        <v/>
      </c>
      <c r="G37" s="72" t="n"/>
      <c r="H37" s="84">
        <f>F37+G37</f>
        <v/>
      </c>
      <c r="I37" s="109">
        <f>'مستخلص 11'!K37</f>
        <v/>
      </c>
      <c r="J37" s="68" t="n"/>
      <c r="K37" s="103">
        <f>IF(J37="",I37,J37)</f>
        <v/>
      </c>
      <c r="L37" s="108">
        <f>'مستخلص 11'!N37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11'!H38</f>
        <v/>
      </c>
      <c r="G38" s="72" t="n"/>
      <c r="H38" s="27">
        <f>F38+G38</f>
        <v/>
      </c>
      <c r="I38" s="107">
        <f>'مستخلص 11'!K38</f>
        <v/>
      </c>
      <c r="J38" s="68" t="n"/>
      <c r="K38" s="101">
        <f>IF(J38="",I38,J38)</f>
        <v/>
      </c>
      <c r="L38" s="74">
        <f>'مستخلص 11'!N38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11'!H39</f>
        <v/>
      </c>
      <c r="G39" s="72" t="n"/>
      <c r="H39" s="84">
        <f>F39+G39</f>
        <v/>
      </c>
      <c r="I39" s="109">
        <f>'مستخلص 11'!K39</f>
        <v/>
      </c>
      <c r="J39" s="68" t="n"/>
      <c r="K39" s="103">
        <f>IF(J39="",I39,J39)</f>
        <v/>
      </c>
      <c r="L39" s="108">
        <f>'مستخلص 11'!N39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11'!H40</f>
        <v/>
      </c>
      <c r="G40" s="72" t="n"/>
      <c r="H40" s="27">
        <f>F40+G40</f>
        <v/>
      </c>
      <c r="I40" s="107">
        <f>'مستخلص 11'!K40</f>
        <v/>
      </c>
      <c r="J40" s="68" t="n"/>
      <c r="K40" s="101">
        <f>IF(J40="",I40,J40)</f>
        <v/>
      </c>
      <c r="L40" s="74">
        <f>'مستخلص 11'!N40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11'!H41</f>
        <v/>
      </c>
      <c r="G41" s="72" t="n"/>
      <c r="H41" s="84">
        <f>F41+G41</f>
        <v/>
      </c>
      <c r="I41" s="109">
        <f>'مستخلص 11'!K41</f>
        <v/>
      </c>
      <c r="J41" s="68" t="n"/>
      <c r="K41" s="103">
        <f>IF(J41="",I41,J41)</f>
        <v/>
      </c>
      <c r="L41" s="108">
        <f>'مستخلص 11'!N41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11'!H42</f>
        <v/>
      </c>
      <c r="G42" s="72" t="n"/>
      <c r="H42" s="27">
        <f>F42+G42</f>
        <v/>
      </c>
      <c r="I42" s="107">
        <f>'مستخلص 11'!K42</f>
        <v/>
      </c>
      <c r="J42" s="68" t="n"/>
      <c r="K42" s="101">
        <f>IF(J42="",I42,J42)</f>
        <v/>
      </c>
      <c r="L42" s="74">
        <f>'مستخلص 11'!N42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11'!H43</f>
        <v/>
      </c>
      <c r="G43" s="72" t="n"/>
      <c r="H43" s="84">
        <f>F43+G43</f>
        <v/>
      </c>
      <c r="I43" s="109">
        <f>'مستخلص 11'!K43</f>
        <v/>
      </c>
      <c r="J43" s="68" t="n"/>
      <c r="K43" s="103">
        <f>IF(J43="",I43,J43)</f>
        <v/>
      </c>
      <c r="L43" s="108">
        <f>'مستخلص 11'!N43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11'!H44</f>
        <v/>
      </c>
      <c r="G44" s="72" t="n"/>
      <c r="H44" s="27">
        <f>F44+G44</f>
        <v/>
      </c>
      <c r="I44" s="107">
        <f>'مستخلص 11'!K44</f>
        <v/>
      </c>
      <c r="J44" s="68" t="n"/>
      <c r="K44" s="101">
        <f>IF(J44="",I44,J44)</f>
        <v/>
      </c>
      <c r="L44" s="74">
        <f>'مستخلص 11'!N44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11'!H45</f>
        <v/>
      </c>
      <c r="G45" s="72" t="n"/>
      <c r="H45" s="84">
        <f>F45+G45</f>
        <v/>
      </c>
      <c r="I45" s="109">
        <f>'مستخلص 11'!K45</f>
        <v/>
      </c>
      <c r="J45" s="68" t="n"/>
      <c r="K45" s="103">
        <f>IF(J45="",I45,J45)</f>
        <v/>
      </c>
      <c r="L45" s="108">
        <f>'مستخلص 11'!N45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11'!H46</f>
        <v/>
      </c>
      <c r="G46" s="72" t="n"/>
      <c r="H46" s="27">
        <f>F46+G46</f>
        <v/>
      </c>
      <c r="I46" s="107">
        <f>'مستخلص 11'!K46</f>
        <v/>
      </c>
      <c r="J46" s="68" t="n"/>
      <c r="K46" s="101">
        <f>IF(J46="",I46,J46)</f>
        <v/>
      </c>
      <c r="L46" s="74">
        <f>'مستخلص 11'!N46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11'!H47</f>
        <v/>
      </c>
      <c r="G47" s="72" t="n"/>
      <c r="H47" s="84">
        <f>F47+G47</f>
        <v/>
      </c>
      <c r="I47" s="109">
        <f>'مستخلص 11'!K47</f>
        <v/>
      </c>
      <c r="J47" s="68" t="n"/>
      <c r="K47" s="103">
        <f>IF(J47="",I47,J47)</f>
        <v/>
      </c>
      <c r="L47" s="108">
        <f>'مستخلص 11'!N47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11'!H48</f>
        <v/>
      </c>
      <c r="G48" s="72" t="n"/>
      <c r="H48" s="27">
        <f>F48+G48</f>
        <v/>
      </c>
      <c r="I48" s="107">
        <f>'مستخلص 11'!K48</f>
        <v/>
      </c>
      <c r="J48" s="68" t="n"/>
      <c r="K48" s="101">
        <f>IF(J48="",I48,J48)</f>
        <v/>
      </c>
      <c r="L48" s="74">
        <f>'مستخلص 11'!N48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11'!H49</f>
        <v/>
      </c>
      <c r="G49" s="72" t="n"/>
      <c r="H49" s="84">
        <f>F49+G49</f>
        <v/>
      </c>
      <c r="I49" s="109">
        <f>'مستخلص 11'!K49</f>
        <v/>
      </c>
      <c r="J49" s="68" t="n"/>
      <c r="K49" s="103">
        <f>IF(J49="",I49,J49)</f>
        <v/>
      </c>
      <c r="L49" s="108">
        <f>'مستخلص 11'!N49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11'!H50</f>
        <v/>
      </c>
      <c r="G50" s="72" t="n"/>
      <c r="H50" s="27">
        <f>F50+G50</f>
        <v/>
      </c>
      <c r="I50" s="107">
        <f>'مستخلص 11'!K50</f>
        <v/>
      </c>
      <c r="J50" s="68" t="n"/>
      <c r="K50" s="101">
        <f>IF(J50="",I50,J50)</f>
        <v/>
      </c>
      <c r="L50" s="74">
        <f>'مستخلص 11'!N50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11'!H51</f>
        <v/>
      </c>
      <c r="G51" s="72" t="n"/>
      <c r="H51" s="84">
        <f>F51+G51</f>
        <v/>
      </c>
      <c r="I51" s="109">
        <f>'مستخلص 11'!K51</f>
        <v/>
      </c>
      <c r="J51" s="68" t="n"/>
      <c r="K51" s="103">
        <f>IF(J51="",I51,J51)</f>
        <v/>
      </c>
      <c r="L51" s="108">
        <f>'مستخلص 11'!N51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11'!H52</f>
        <v/>
      </c>
      <c r="G52" s="72" t="n"/>
      <c r="H52" s="27">
        <f>F52+G52</f>
        <v/>
      </c>
      <c r="I52" s="107">
        <f>'مستخلص 11'!K52</f>
        <v/>
      </c>
      <c r="J52" s="68" t="n"/>
      <c r="K52" s="101">
        <f>IF(J52="",I52,J52)</f>
        <v/>
      </c>
      <c r="L52" s="74">
        <f>'مستخلص 11'!N52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11'!H53</f>
        <v/>
      </c>
      <c r="G53" s="72" t="n"/>
      <c r="H53" s="84">
        <f>F53+G53</f>
        <v/>
      </c>
      <c r="I53" s="109">
        <f>'مستخلص 11'!K53</f>
        <v/>
      </c>
      <c r="J53" s="68" t="n"/>
      <c r="K53" s="103">
        <f>IF(J53="",I53,J53)</f>
        <v/>
      </c>
      <c r="L53" s="108">
        <f>'مستخلص 11'!N53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11'!H54</f>
        <v/>
      </c>
      <c r="G54" s="72" t="n"/>
      <c r="H54" s="27">
        <f>F54+G54</f>
        <v/>
      </c>
      <c r="I54" s="107">
        <f>'مستخلص 11'!K54</f>
        <v/>
      </c>
      <c r="J54" s="68" t="n"/>
      <c r="K54" s="101">
        <f>IF(J54="",I54,J54)</f>
        <v/>
      </c>
      <c r="L54" s="74">
        <f>'مستخلص 11'!N54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11'!H55</f>
        <v/>
      </c>
      <c r="G55" s="72" t="n"/>
      <c r="H55" s="84">
        <f>F55+G55</f>
        <v/>
      </c>
      <c r="I55" s="109">
        <f>'مستخلص 11'!K55</f>
        <v/>
      </c>
      <c r="J55" s="68" t="n"/>
      <c r="K55" s="103">
        <f>IF(J55="",I55,J55)</f>
        <v/>
      </c>
      <c r="L55" s="108">
        <f>'مستخلص 11'!N55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11'!H56</f>
        <v/>
      </c>
      <c r="G56" s="72" t="n"/>
      <c r="H56" s="27">
        <f>F56+G56</f>
        <v/>
      </c>
      <c r="I56" s="107">
        <f>'مستخلص 11'!K56</f>
        <v/>
      </c>
      <c r="J56" s="68" t="n"/>
      <c r="K56" s="101">
        <f>IF(J56="",I56,J56)</f>
        <v/>
      </c>
      <c r="L56" s="74">
        <f>'مستخلص 11'!N56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11'!H57</f>
        <v/>
      </c>
      <c r="G57" s="72" t="n"/>
      <c r="H57" s="84">
        <f>F57+G57</f>
        <v/>
      </c>
      <c r="I57" s="109">
        <f>'مستخلص 11'!K57</f>
        <v/>
      </c>
      <c r="J57" s="68" t="n"/>
      <c r="K57" s="103">
        <f>IF(J57="",I57,J57)</f>
        <v/>
      </c>
      <c r="L57" s="108">
        <f>'مستخلص 11'!N57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11'!H58</f>
        <v/>
      </c>
      <c r="G58" s="72" t="n"/>
      <c r="H58" s="27">
        <f>F58+G58</f>
        <v/>
      </c>
      <c r="I58" s="107">
        <f>'مستخلص 11'!K58</f>
        <v/>
      </c>
      <c r="J58" s="68" t="n"/>
      <c r="K58" s="101">
        <f>IF(J58="",I58,J58)</f>
        <v/>
      </c>
      <c r="L58" s="74">
        <f>'مستخلص 11'!N58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11'!H59</f>
        <v/>
      </c>
      <c r="G59" s="72" t="n"/>
      <c r="H59" s="84">
        <f>F59+G59</f>
        <v/>
      </c>
      <c r="I59" s="109">
        <f>'مستخلص 11'!K59</f>
        <v/>
      </c>
      <c r="J59" s="68" t="n"/>
      <c r="K59" s="103">
        <f>IF(J59="",I59,J59)</f>
        <v/>
      </c>
      <c r="L59" s="108">
        <f>'مستخلص 11'!N59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11'!H60</f>
        <v/>
      </c>
      <c r="G60" s="72" t="n"/>
      <c r="H60" s="27">
        <f>F60+G60</f>
        <v/>
      </c>
      <c r="I60" s="107">
        <f>'مستخلص 11'!K60</f>
        <v/>
      </c>
      <c r="J60" s="68" t="n"/>
      <c r="K60" s="101">
        <f>IF(J60="",I60,J60)</f>
        <v/>
      </c>
      <c r="L60" s="74">
        <f>'مستخلص 11'!N60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11'!H61</f>
        <v/>
      </c>
      <c r="G61" s="72" t="n"/>
      <c r="H61" s="84">
        <f>F61+G61</f>
        <v/>
      </c>
      <c r="I61" s="109">
        <f>'مستخلص 11'!K61</f>
        <v/>
      </c>
      <c r="J61" s="68" t="n"/>
      <c r="K61" s="103">
        <f>IF(J61="",I61,J61)</f>
        <v/>
      </c>
      <c r="L61" s="108">
        <f>'مستخلص 11'!N61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11'!H62</f>
        <v/>
      </c>
      <c r="G62" s="72" t="n"/>
      <c r="H62" s="27">
        <f>F62+G62</f>
        <v/>
      </c>
      <c r="I62" s="107">
        <f>'مستخلص 11'!K62</f>
        <v/>
      </c>
      <c r="J62" s="68" t="n"/>
      <c r="K62" s="101">
        <f>IF(J62="",I62,J62)</f>
        <v/>
      </c>
      <c r="L62" s="74">
        <f>'مستخلص 11'!N62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11'!H63</f>
        <v/>
      </c>
      <c r="G63" s="72" t="n"/>
      <c r="H63" s="84">
        <f>F63+G63</f>
        <v/>
      </c>
      <c r="I63" s="109">
        <f>'مستخلص 11'!K63</f>
        <v/>
      </c>
      <c r="J63" s="68" t="n"/>
      <c r="K63" s="103">
        <f>IF(J63="",I63,J63)</f>
        <v/>
      </c>
      <c r="L63" s="108">
        <f>'مستخلص 11'!N63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11'!H64</f>
        <v/>
      </c>
      <c r="G64" s="72" t="n"/>
      <c r="H64" s="27">
        <f>F64+G64</f>
        <v/>
      </c>
      <c r="I64" s="107">
        <f>'مستخلص 11'!K64</f>
        <v/>
      </c>
      <c r="J64" s="68" t="n"/>
      <c r="K64" s="101">
        <f>IF(J64="",I64,J64)</f>
        <v/>
      </c>
      <c r="L64" s="74">
        <f>'مستخلص 11'!N64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11'!H65</f>
        <v/>
      </c>
      <c r="G65" s="72" t="n"/>
      <c r="H65" s="84">
        <f>F65+G65</f>
        <v/>
      </c>
      <c r="I65" s="109">
        <f>'مستخلص 11'!K65</f>
        <v/>
      </c>
      <c r="J65" s="68" t="n"/>
      <c r="K65" s="103">
        <f>IF(J65="",I65,J65)</f>
        <v/>
      </c>
      <c r="L65" s="108">
        <f>'مستخلص 11'!N65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11'!H66</f>
        <v/>
      </c>
      <c r="G66" s="72" t="n"/>
      <c r="H66" s="27">
        <f>F66+G66</f>
        <v/>
      </c>
      <c r="I66" s="107">
        <f>'مستخلص 11'!K66</f>
        <v/>
      </c>
      <c r="J66" s="68" t="n"/>
      <c r="K66" s="101">
        <f>IF(J66="",I66,J66)</f>
        <v/>
      </c>
      <c r="L66" s="74">
        <f>'مستخلص 11'!N66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11'!H67</f>
        <v/>
      </c>
      <c r="G67" s="72" t="n"/>
      <c r="H67" s="84">
        <f>F67+G67</f>
        <v/>
      </c>
      <c r="I67" s="109">
        <f>'مستخلص 11'!K67</f>
        <v/>
      </c>
      <c r="J67" s="68" t="n"/>
      <c r="K67" s="103">
        <f>IF(J67="",I67,J67)</f>
        <v/>
      </c>
      <c r="L67" s="108">
        <f>'مستخلص 11'!N67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11'!H68</f>
        <v/>
      </c>
      <c r="G68" s="72" t="n"/>
      <c r="H68" s="27">
        <f>F68+G68</f>
        <v/>
      </c>
      <c r="I68" s="107">
        <f>'مستخلص 11'!K68</f>
        <v/>
      </c>
      <c r="J68" s="68" t="n"/>
      <c r="K68" s="101">
        <f>IF(J68="",I68,J68)</f>
        <v/>
      </c>
      <c r="L68" s="74">
        <f>'مستخلص 11'!N68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11'!H69</f>
        <v/>
      </c>
      <c r="G69" s="72" t="n"/>
      <c r="H69" s="84">
        <f>F69+G69</f>
        <v/>
      </c>
      <c r="I69" s="109">
        <f>'مستخلص 11'!K69</f>
        <v/>
      </c>
      <c r="J69" s="68" t="n"/>
      <c r="K69" s="103">
        <f>IF(J69="",I69,J69)</f>
        <v/>
      </c>
      <c r="L69" s="108">
        <f>'مستخلص 11'!N69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11'!H70</f>
        <v/>
      </c>
      <c r="G70" s="72" t="n"/>
      <c r="H70" s="27">
        <f>F70+G70</f>
        <v/>
      </c>
      <c r="I70" s="107">
        <f>'مستخلص 11'!K70</f>
        <v/>
      </c>
      <c r="J70" s="68" t="n"/>
      <c r="K70" s="101">
        <f>IF(J70="",I70,J70)</f>
        <v/>
      </c>
      <c r="L70" s="74">
        <f>'مستخلص 11'!N70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11'!H71</f>
        <v/>
      </c>
      <c r="G71" s="72" t="n"/>
      <c r="H71" s="84">
        <f>F71+G71</f>
        <v/>
      </c>
      <c r="I71" s="109">
        <f>'مستخلص 11'!K71</f>
        <v/>
      </c>
      <c r="J71" s="68" t="n"/>
      <c r="K71" s="103">
        <f>IF(J71="",I71,J71)</f>
        <v/>
      </c>
      <c r="L71" s="108">
        <f>'مستخلص 11'!N71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11'!H72</f>
        <v/>
      </c>
      <c r="G72" s="72" t="n"/>
      <c r="H72" s="27">
        <f>F72+G72</f>
        <v/>
      </c>
      <c r="I72" s="107">
        <f>'مستخلص 11'!K72</f>
        <v/>
      </c>
      <c r="J72" s="68" t="n"/>
      <c r="K72" s="101">
        <f>IF(J72="",I72,J72)</f>
        <v/>
      </c>
      <c r="L72" s="74">
        <f>'مستخلص 11'!N72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11'!H73</f>
        <v/>
      </c>
      <c r="G73" s="72" t="n"/>
      <c r="H73" s="84">
        <f>F73+G73</f>
        <v/>
      </c>
      <c r="I73" s="109">
        <f>'مستخلص 11'!K73</f>
        <v/>
      </c>
      <c r="J73" s="68" t="n"/>
      <c r="K73" s="103">
        <f>IF(J73="",I73,J73)</f>
        <v/>
      </c>
      <c r="L73" s="108">
        <f>'مستخلص 11'!N73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11'!H74</f>
        <v/>
      </c>
      <c r="G74" s="72" t="n"/>
      <c r="H74" s="27">
        <f>F74+G74</f>
        <v/>
      </c>
      <c r="I74" s="107">
        <f>'مستخلص 11'!K74</f>
        <v/>
      </c>
      <c r="J74" s="68" t="n"/>
      <c r="K74" s="101">
        <f>IF(J74="",I74,J74)</f>
        <v/>
      </c>
      <c r="L74" s="74">
        <f>'مستخلص 11'!N74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11'!H75</f>
        <v/>
      </c>
      <c r="G75" s="72" t="n"/>
      <c r="H75" s="84">
        <f>F75+G75</f>
        <v/>
      </c>
      <c r="I75" s="109">
        <f>'مستخلص 11'!K75</f>
        <v/>
      </c>
      <c r="J75" s="68" t="n"/>
      <c r="K75" s="103">
        <f>IF(J75="",I75,J75)</f>
        <v/>
      </c>
      <c r="L75" s="108">
        <f>'مستخلص 11'!N75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11'!H76</f>
        <v/>
      </c>
      <c r="G76" s="72" t="n"/>
      <c r="H76" s="27">
        <f>F76+G76</f>
        <v/>
      </c>
      <c r="I76" s="107">
        <f>'مستخلص 11'!K76</f>
        <v/>
      </c>
      <c r="J76" s="68" t="n"/>
      <c r="K76" s="101">
        <f>IF(J76="",I76,J76)</f>
        <v/>
      </c>
      <c r="L76" s="74">
        <f>'مستخلص 11'!N76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11'!H77</f>
        <v/>
      </c>
      <c r="G77" s="72" t="n"/>
      <c r="H77" s="84">
        <f>F77+G77</f>
        <v/>
      </c>
      <c r="I77" s="109">
        <f>'مستخلص 11'!K77</f>
        <v/>
      </c>
      <c r="J77" s="68" t="n"/>
      <c r="K77" s="103">
        <f>IF(J77="",I77,J77)</f>
        <v/>
      </c>
      <c r="L77" s="108">
        <f>'مستخلص 11'!N77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11'!H78</f>
        <v/>
      </c>
      <c r="G78" s="72" t="n"/>
      <c r="H78" s="27">
        <f>F78+G78</f>
        <v/>
      </c>
      <c r="I78" s="107">
        <f>'مستخلص 11'!K78</f>
        <v/>
      </c>
      <c r="J78" s="68" t="n"/>
      <c r="K78" s="101">
        <f>IF(J78="",I78,J78)</f>
        <v/>
      </c>
      <c r="L78" s="74">
        <f>'مستخلص 11'!N78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11'!H79</f>
        <v/>
      </c>
      <c r="G79" s="72" t="n"/>
      <c r="H79" s="84">
        <f>F79+G79</f>
        <v/>
      </c>
      <c r="I79" s="109">
        <f>'مستخلص 11'!K79</f>
        <v/>
      </c>
      <c r="J79" s="68" t="n"/>
      <c r="K79" s="103">
        <f>IF(J79="",I79,J79)</f>
        <v/>
      </c>
      <c r="L79" s="108">
        <f>'مستخلص 11'!N79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11'!H80</f>
        <v/>
      </c>
      <c r="G80" s="72" t="n"/>
      <c r="H80" s="27">
        <f>F80+G80</f>
        <v/>
      </c>
      <c r="I80" s="107">
        <f>'مستخلص 11'!K80</f>
        <v/>
      </c>
      <c r="J80" s="68" t="n"/>
      <c r="K80" s="101">
        <f>IF(J80="",I80,J80)</f>
        <v/>
      </c>
      <c r="L80" s="74">
        <f>'مستخلص 11'!N80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11'!H81</f>
        <v/>
      </c>
      <c r="G81" s="72" t="n"/>
      <c r="H81" s="84">
        <f>F81+G81</f>
        <v/>
      </c>
      <c r="I81" s="109">
        <f>'مستخلص 11'!K81</f>
        <v/>
      </c>
      <c r="J81" s="68" t="n"/>
      <c r="K81" s="103">
        <f>IF(J81="",I81,J81)</f>
        <v/>
      </c>
      <c r="L81" s="108">
        <f>'مستخلص 11'!N81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11'!H82</f>
        <v/>
      </c>
      <c r="G82" s="72" t="n"/>
      <c r="H82" s="27">
        <f>F82+G82</f>
        <v/>
      </c>
      <c r="I82" s="107">
        <f>'مستخلص 11'!K82</f>
        <v/>
      </c>
      <c r="J82" s="68" t="n"/>
      <c r="K82" s="101">
        <f>IF(J82="",I82,J82)</f>
        <v/>
      </c>
      <c r="L82" s="74">
        <f>'مستخلص 11'!N82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11'!H83</f>
        <v/>
      </c>
      <c r="G83" s="72" t="n"/>
      <c r="H83" s="84">
        <f>F83+G83</f>
        <v/>
      </c>
      <c r="I83" s="109">
        <f>'مستخلص 11'!K83</f>
        <v/>
      </c>
      <c r="J83" s="68" t="n"/>
      <c r="K83" s="103">
        <f>IF(J83="",I83,J83)</f>
        <v/>
      </c>
      <c r="L83" s="108">
        <f>'مستخلص 11'!N83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11'!H84</f>
        <v/>
      </c>
      <c r="G84" s="72" t="n"/>
      <c r="H84" s="27">
        <f>F84+G84</f>
        <v/>
      </c>
      <c r="I84" s="107">
        <f>'مستخلص 11'!K84</f>
        <v/>
      </c>
      <c r="J84" s="68" t="n"/>
      <c r="K84" s="101">
        <f>IF(J84="",I84,J84)</f>
        <v/>
      </c>
      <c r="L84" s="74">
        <f>'مستخلص 11'!N84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11'!H85</f>
        <v/>
      </c>
      <c r="G85" s="72" t="n"/>
      <c r="H85" s="84">
        <f>F85+G85</f>
        <v/>
      </c>
      <c r="I85" s="109">
        <f>'مستخلص 11'!K85</f>
        <v/>
      </c>
      <c r="J85" s="68" t="n"/>
      <c r="K85" s="103">
        <f>IF(J85="",I85,J85)</f>
        <v/>
      </c>
      <c r="L85" s="108">
        <f>'مستخلص 11'!N85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11'!H86</f>
        <v/>
      </c>
      <c r="G86" s="72" t="n"/>
      <c r="H86" s="27">
        <f>F86+G86</f>
        <v/>
      </c>
      <c r="I86" s="107">
        <f>'مستخلص 11'!K86</f>
        <v/>
      </c>
      <c r="J86" s="68" t="n"/>
      <c r="K86" s="101">
        <f>IF(J86="",I86,J86)</f>
        <v/>
      </c>
      <c r="L86" s="74">
        <f>'مستخلص 11'!N86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11'!H87</f>
        <v/>
      </c>
      <c r="G87" s="72" t="n"/>
      <c r="H87" s="84">
        <f>F87+G87</f>
        <v/>
      </c>
      <c r="I87" s="109">
        <f>'مستخلص 11'!K87</f>
        <v/>
      </c>
      <c r="J87" s="68" t="n"/>
      <c r="K87" s="103">
        <f>IF(J87="",I87,J87)</f>
        <v/>
      </c>
      <c r="L87" s="108">
        <f>'مستخلص 11'!N87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11'!H88</f>
        <v/>
      </c>
      <c r="G88" s="72" t="n"/>
      <c r="H88" s="27">
        <f>F88+G88</f>
        <v/>
      </c>
      <c r="I88" s="107">
        <f>'مستخلص 11'!K88</f>
        <v/>
      </c>
      <c r="J88" s="68" t="n"/>
      <c r="K88" s="101">
        <f>IF(J88="",I88,J88)</f>
        <v/>
      </c>
      <c r="L88" s="74">
        <f>'مستخلص 11'!N88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11'!H89</f>
        <v/>
      </c>
      <c r="G89" s="72" t="n"/>
      <c r="H89" s="84">
        <f>F89+G89</f>
        <v/>
      </c>
      <c r="I89" s="109">
        <f>'مستخلص 11'!K89</f>
        <v/>
      </c>
      <c r="J89" s="68" t="n"/>
      <c r="K89" s="103">
        <f>IF(J89="",I89,J89)</f>
        <v/>
      </c>
      <c r="L89" s="108">
        <f>'مستخلص 11'!N89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11'!H90</f>
        <v/>
      </c>
      <c r="G90" s="72" t="n"/>
      <c r="H90" s="27">
        <f>F90+G90</f>
        <v/>
      </c>
      <c r="I90" s="107">
        <f>'مستخلص 11'!K90</f>
        <v/>
      </c>
      <c r="J90" s="68" t="n"/>
      <c r="K90" s="101">
        <f>IF(J90="",I90,J90)</f>
        <v/>
      </c>
      <c r="L90" s="74">
        <f>'مستخلص 11'!N90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11'!H91</f>
        <v/>
      </c>
      <c r="G91" s="72" t="n"/>
      <c r="H91" s="84">
        <f>F91+G91</f>
        <v/>
      </c>
      <c r="I91" s="109">
        <f>'مستخلص 11'!K91</f>
        <v/>
      </c>
      <c r="J91" s="68" t="n"/>
      <c r="K91" s="103">
        <f>IF(J91="",I91,J91)</f>
        <v/>
      </c>
      <c r="L91" s="108">
        <f>'مستخلص 11'!N91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11'!H92</f>
        <v/>
      </c>
      <c r="G92" s="72" t="n"/>
      <c r="H92" s="27">
        <f>F92+G92</f>
        <v/>
      </c>
      <c r="I92" s="107">
        <f>'مستخلص 11'!K92</f>
        <v/>
      </c>
      <c r="J92" s="68" t="n"/>
      <c r="K92" s="101">
        <f>IF(J92="",I92,J92)</f>
        <v/>
      </c>
      <c r="L92" s="74">
        <f>'مستخلص 11'!N92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11'!H93</f>
        <v/>
      </c>
      <c r="G93" s="72" t="n"/>
      <c r="H93" s="84">
        <f>F93+G93</f>
        <v/>
      </c>
      <c r="I93" s="109">
        <f>'مستخلص 11'!K93</f>
        <v/>
      </c>
      <c r="J93" s="68" t="n"/>
      <c r="K93" s="103">
        <f>IF(J93="",I93,J93)</f>
        <v/>
      </c>
      <c r="L93" s="108">
        <f>'مستخلص 11'!N93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11'!H94</f>
        <v/>
      </c>
      <c r="G94" s="72" t="n"/>
      <c r="H94" s="27">
        <f>F94+G94</f>
        <v/>
      </c>
      <c r="I94" s="107">
        <f>'مستخلص 11'!K94</f>
        <v/>
      </c>
      <c r="J94" s="68" t="n"/>
      <c r="K94" s="101">
        <f>IF(J94="",I94,J94)</f>
        <v/>
      </c>
      <c r="L94" s="74">
        <f>'مستخلص 11'!N94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11'!H95</f>
        <v/>
      </c>
      <c r="G95" s="72" t="n"/>
      <c r="H95" s="84">
        <f>F95+G95</f>
        <v/>
      </c>
      <c r="I95" s="109">
        <f>'مستخلص 11'!K95</f>
        <v/>
      </c>
      <c r="J95" s="68" t="n"/>
      <c r="K95" s="103">
        <f>IF(J95="",I95,J95)</f>
        <v/>
      </c>
      <c r="L95" s="108">
        <f>'مستخلص 11'!N95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11'!H96</f>
        <v/>
      </c>
      <c r="G96" s="72" t="n"/>
      <c r="H96" s="27">
        <f>F96+G96</f>
        <v/>
      </c>
      <c r="I96" s="107">
        <f>'مستخلص 11'!K96</f>
        <v/>
      </c>
      <c r="J96" s="68" t="n"/>
      <c r="K96" s="101">
        <f>IF(J96="",I96,J96)</f>
        <v/>
      </c>
      <c r="L96" s="74">
        <f>'مستخلص 11'!N96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11'!H97</f>
        <v/>
      </c>
      <c r="G97" s="72" t="n"/>
      <c r="H97" s="84">
        <f>F97+G97</f>
        <v/>
      </c>
      <c r="I97" s="109">
        <f>'مستخلص 11'!K97</f>
        <v/>
      </c>
      <c r="J97" s="68" t="n"/>
      <c r="K97" s="103">
        <f>IF(J97="",I97,J97)</f>
        <v/>
      </c>
      <c r="L97" s="108">
        <f>'مستخلص 11'!N97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11'!H98</f>
        <v/>
      </c>
      <c r="G98" s="72" t="n"/>
      <c r="H98" s="27">
        <f>F98+G98</f>
        <v/>
      </c>
      <c r="I98" s="107">
        <f>'مستخلص 11'!K98</f>
        <v/>
      </c>
      <c r="J98" s="68" t="n"/>
      <c r="K98" s="101">
        <f>IF(J98="",I98,J98)</f>
        <v/>
      </c>
      <c r="L98" s="74">
        <f>'مستخلص 11'!N98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11'!H99</f>
        <v/>
      </c>
      <c r="G99" s="72" t="n"/>
      <c r="H99" s="84">
        <f>F99+G99</f>
        <v/>
      </c>
      <c r="I99" s="109">
        <f>'مستخلص 11'!K99</f>
        <v/>
      </c>
      <c r="J99" s="68" t="n"/>
      <c r="K99" s="103">
        <f>IF(J99="",I99,J99)</f>
        <v/>
      </c>
      <c r="L99" s="108">
        <f>'مستخلص 11'!N99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11'!H100</f>
        <v/>
      </c>
      <c r="G100" s="72" t="n"/>
      <c r="H100" s="27">
        <f>F100+G100</f>
        <v/>
      </c>
      <c r="I100" s="107">
        <f>'مستخلص 11'!K100</f>
        <v/>
      </c>
      <c r="J100" s="68" t="n"/>
      <c r="K100" s="101">
        <f>IF(J100="",I100,J100)</f>
        <v/>
      </c>
      <c r="L100" s="74">
        <f>'مستخلص 11'!N100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11'!H101</f>
        <v/>
      </c>
      <c r="G101" s="72" t="n"/>
      <c r="H101" s="84">
        <f>F101+G101</f>
        <v/>
      </c>
      <c r="I101" s="109">
        <f>'مستخلص 11'!K101</f>
        <v/>
      </c>
      <c r="J101" s="68" t="n"/>
      <c r="K101" s="103">
        <f>IF(J101="",I101,J101)</f>
        <v/>
      </c>
      <c r="L101" s="108">
        <f>'مستخلص 11'!N101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11'!H102</f>
        <v/>
      </c>
      <c r="G102" s="72" t="n"/>
      <c r="H102" s="27">
        <f>F102+G102</f>
        <v/>
      </c>
      <c r="I102" s="107">
        <f>'مستخلص 11'!K102</f>
        <v/>
      </c>
      <c r="J102" s="68" t="n"/>
      <c r="K102" s="101">
        <f>IF(J102="",I102,J102)</f>
        <v/>
      </c>
      <c r="L102" s="74">
        <f>'مستخلص 11'!N102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11'!H103</f>
        <v/>
      </c>
      <c r="G103" s="72" t="n"/>
      <c r="H103" s="84">
        <f>F103+G103</f>
        <v/>
      </c>
      <c r="I103" s="109">
        <f>'مستخلص 11'!K103</f>
        <v/>
      </c>
      <c r="J103" s="68" t="n"/>
      <c r="K103" s="103">
        <f>IF(J103="",I103,J103)</f>
        <v/>
      </c>
      <c r="L103" s="108">
        <f>'مستخلص 11'!N103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11'!H104</f>
        <v/>
      </c>
      <c r="G104" s="72" t="n"/>
      <c r="H104" s="27">
        <f>F104+G104</f>
        <v/>
      </c>
      <c r="I104" s="107">
        <f>'مستخلص 11'!K104</f>
        <v/>
      </c>
      <c r="J104" s="68" t="n"/>
      <c r="K104" s="101">
        <f>IF(J104="",I104,J104)</f>
        <v/>
      </c>
      <c r="L104" s="74">
        <f>'مستخلص 11'!N104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11'!H105</f>
        <v/>
      </c>
      <c r="G105" s="72" t="n"/>
      <c r="H105" s="84">
        <f>F105+G105</f>
        <v/>
      </c>
      <c r="I105" s="109">
        <f>'مستخلص 11'!K105</f>
        <v/>
      </c>
      <c r="J105" s="68" t="n"/>
      <c r="K105" s="103">
        <f>IF(J105="",I105,J105)</f>
        <v/>
      </c>
      <c r="L105" s="108">
        <f>'مستخلص 11'!N105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11'!H106</f>
        <v/>
      </c>
      <c r="G106" s="72" t="n"/>
      <c r="H106" s="27">
        <f>F106+G106</f>
        <v/>
      </c>
      <c r="I106" s="107">
        <f>'مستخلص 11'!K106</f>
        <v/>
      </c>
      <c r="J106" s="68" t="n"/>
      <c r="K106" s="101">
        <f>IF(J106="",I106,J106)</f>
        <v/>
      </c>
      <c r="L106" s="74">
        <f>'مستخلص 11'!N106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11'!H107</f>
        <v/>
      </c>
      <c r="G107" s="72" t="n"/>
      <c r="H107" s="84">
        <f>F107+G107</f>
        <v/>
      </c>
      <c r="I107" s="109">
        <f>'مستخلص 11'!K107</f>
        <v/>
      </c>
      <c r="J107" s="68" t="n"/>
      <c r="K107" s="103">
        <f>IF(J107="",I107,J107)</f>
        <v/>
      </c>
      <c r="L107" s="108">
        <f>'مستخلص 11'!N107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11'!N111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11'!N112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11'!N113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11'!N114</f>
        <v/>
      </c>
      <c r="M114" s="27">
        <f>'الدفعات المقدمة'!I36</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11'!N115</f>
        <v/>
      </c>
      <c r="M115" s="27">
        <f>'ضمان الأعمال'!I27</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11'!N116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11'!N117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11'!N118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1'!A1" display="◀ المستخلص السابق (11)"/>
    <hyperlink ref="N3" location="'مستخلص 13'!A1" display="المستخلص التالي (13)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( 13 )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(12)</t>
        </is>
      </c>
      <c r="M3" s="4" t="n"/>
      <c r="N3" s="4" t="inlineStr">
        <is>
          <t>المستخلص التالي (14) ▶</t>
        </is>
      </c>
      <c r="O3" s="4" t="n"/>
      <c r="P3" s="4" t="n"/>
    </row>
    <row r="4" ht="24" customHeight="1">
      <c r="A4" s="96" t="inlineStr">
        <is>
          <t>رقم</t>
        </is>
      </c>
      <c r="B4" s="97" t="n">
        <v>13</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12'!H8</f>
        <v/>
      </c>
      <c r="G8" s="72" t="n"/>
      <c r="H8" s="27">
        <f>F8+G8</f>
        <v/>
      </c>
      <c r="I8" s="107">
        <f>'مستخلص 12'!K8</f>
        <v/>
      </c>
      <c r="J8" s="68" t="n"/>
      <c r="K8" s="101">
        <f>IF(J8="",I8,J8)</f>
        <v/>
      </c>
      <c r="L8" s="74">
        <f>'مستخلص 12'!N8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12'!H9</f>
        <v/>
      </c>
      <c r="G9" s="72" t="n"/>
      <c r="H9" s="84">
        <f>F9+G9</f>
        <v/>
      </c>
      <c r="I9" s="109">
        <f>'مستخلص 12'!K9</f>
        <v/>
      </c>
      <c r="J9" s="68" t="n"/>
      <c r="K9" s="103">
        <f>IF(J9="",I9,J9)</f>
        <v/>
      </c>
      <c r="L9" s="108">
        <f>'مستخلص 12'!N9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12'!H10</f>
        <v/>
      </c>
      <c r="G10" s="72" t="n"/>
      <c r="H10" s="27">
        <f>F10+G10</f>
        <v/>
      </c>
      <c r="I10" s="107">
        <f>'مستخلص 12'!K10</f>
        <v/>
      </c>
      <c r="J10" s="68" t="n"/>
      <c r="K10" s="101">
        <f>IF(J10="",I10,J10)</f>
        <v/>
      </c>
      <c r="L10" s="74">
        <f>'مستخلص 12'!N10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12'!H11</f>
        <v/>
      </c>
      <c r="G11" s="72" t="n"/>
      <c r="H11" s="84">
        <f>F11+G11</f>
        <v/>
      </c>
      <c r="I11" s="109">
        <f>'مستخلص 12'!K11</f>
        <v/>
      </c>
      <c r="J11" s="68" t="n"/>
      <c r="K11" s="103">
        <f>IF(J11="",I11,J11)</f>
        <v/>
      </c>
      <c r="L11" s="108">
        <f>'مستخلص 12'!N11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12'!H12</f>
        <v/>
      </c>
      <c r="G12" s="72" t="n"/>
      <c r="H12" s="27">
        <f>F12+G12</f>
        <v/>
      </c>
      <c r="I12" s="107">
        <f>'مستخلص 12'!K12</f>
        <v/>
      </c>
      <c r="J12" s="68" t="n"/>
      <c r="K12" s="101">
        <f>IF(J12="",I12,J12)</f>
        <v/>
      </c>
      <c r="L12" s="74">
        <f>'مستخلص 12'!N12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12'!H13</f>
        <v/>
      </c>
      <c r="G13" s="72" t="n"/>
      <c r="H13" s="84">
        <f>F13+G13</f>
        <v/>
      </c>
      <c r="I13" s="109">
        <f>'مستخلص 12'!K13</f>
        <v/>
      </c>
      <c r="J13" s="68" t="n"/>
      <c r="K13" s="103">
        <f>IF(J13="",I13,J13)</f>
        <v/>
      </c>
      <c r="L13" s="108">
        <f>'مستخلص 12'!N13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12'!H14</f>
        <v/>
      </c>
      <c r="G14" s="72" t="n"/>
      <c r="H14" s="27">
        <f>F14+G14</f>
        <v/>
      </c>
      <c r="I14" s="107">
        <f>'مستخلص 12'!K14</f>
        <v/>
      </c>
      <c r="J14" s="68" t="n"/>
      <c r="K14" s="101">
        <f>IF(J14="",I14,J14)</f>
        <v/>
      </c>
      <c r="L14" s="74">
        <f>'مستخلص 12'!N14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12'!H15</f>
        <v/>
      </c>
      <c r="G15" s="72" t="n"/>
      <c r="H15" s="84">
        <f>F15+G15</f>
        <v/>
      </c>
      <c r="I15" s="109">
        <f>'مستخلص 12'!K15</f>
        <v/>
      </c>
      <c r="J15" s="68" t="n"/>
      <c r="K15" s="103">
        <f>IF(J15="",I15,J15)</f>
        <v/>
      </c>
      <c r="L15" s="108">
        <f>'مستخلص 12'!N15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12'!H16</f>
        <v/>
      </c>
      <c r="G16" s="72" t="n"/>
      <c r="H16" s="27">
        <f>F16+G16</f>
        <v/>
      </c>
      <c r="I16" s="107">
        <f>'مستخلص 12'!K16</f>
        <v/>
      </c>
      <c r="J16" s="68" t="n"/>
      <c r="K16" s="101">
        <f>IF(J16="",I16,J16)</f>
        <v/>
      </c>
      <c r="L16" s="74">
        <f>'مستخلص 12'!N16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12'!H17</f>
        <v/>
      </c>
      <c r="G17" s="72" t="n"/>
      <c r="H17" s="84">
        <f>F17+G17</f>
        <v/>
      </c>
      <c r="I17" s="109">
        <f>'مستخلص 12'!K17</f>
        <v/>
      </c>
      <c r="J17" s="68" t="n"/>
      <c r="K17" s="103">
        <f>IF(J17="",I17,J17)</f>
        <v/>
      </c>
      <c r="L17" s="108">
        <f>'مستخلص 12'!N17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12'!H18</f>
        <v/>
      </c>
      <c r="G18" s="72" t="n"/>
      <c r="H18" s="27">
        <f>F18+G18</f>
        <v/>
      </c>
      <c r="I18" s="107">
        <f>'مستخلص 12'!K18</f>
        <v/>
      </c>
      <c r="J18" s="68" t="n"/>
      <c r="K18" s="101">
        <f>IF(J18="",I18,J18)</f>
        <v/>
      </c>
      <c r="L18" s="74">
        <f>'مستخلص 12'!N18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12'!H19</f>
        <v/>
      </c>
      <c r="G19" s="72" t="n"/>
      <c r="H19" s="84">
        <f>F19+G19</f>
        <v/>
      </c>
      <c r="I19" s="109">
        <f>'مستخلص 12'!K19</f>
        <v/>
      </c>
      <c r="J19" s="68" t="n"/>
      <c r="K19" s="103">
        <f>IF(J19="",I19,J19)</f>
        <v/>
      </c>
      <c r="L19" s="108">
        <f>'مستخلص 12'!N19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12'!H20</f>
        <v/>
      </c>
      <c r="G20" s="72" t="n"/>
      <c r="H20" s="27">
        <f>F20+G20</f>
        <v/>
      </c>
      <c r="I20" s="107">
        <f>'مستخلص 12'!K20</f>
        <v/>
      </c>
      <c r="J20" s="68" t="n"/>
      <c r="K20" s="101">
        <f>IF(J20="",I20,J20)</f>
        <v/>
      </c>
      <c r="L20" s="74">
        <f>'مستخلص 12'!N20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12'!H21</f>
        <v/>
      </c>
      <c r="G21" s="72" t="n"/>
      <c r="H21" s="84">
        <f>F21+G21</f>
        <v/>
      </c>
      <c r="I21" s="109">
        <f>'مستخلص 12'!K21</f>
        <v/>
      </c>
      <c r="J21" s="68" t="n"/>
      <c r="K21" s="103">
        <f>IF(J21="",I21,J21)</f>
        <v/>
      </c>
      <c r="L21" s="108">
        <f>'مستخلص 12'!N21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12'!H22</f>
        <v/>
      </c>
      <c r="G22" s="72" t="n"/>
      <c r="H22" s="27">
        <f>F22+G22</f>
        <v/>
      </c>
      <c r="I22" s="107">
        <f>'مستخلص 12'!K22</f>
        <v/>
      </c>
      <c r="J22" s="68" t="n"/>
      <c r="K22" s="101">
        <f>IF(J22="",I22,J22)</f>
        <v/>
      </c>
      <c r="L22" s="74">
        <f>'مستخلص 12'!N22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12'!H23</f>
        <v/>
      </c>
      <c r="G23" s="72" t="n"/>
      <c r="H23" s="84">
        <f>F23+G23</f>
        <v/>
      </c>
      <c r="I23" s="109">
        <f>'مستخلص 12'!K23</f>
        <v/>
      </c>
      <c r="J23" s="68" t="n"/>
      <c r="K23" s="103">
        <f>IF(J23="",I23,J23)</f>
        <v/>
      </c>
      <c r="L23" s="108">
        <f>'مستخلص 12'!N23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12'!H24</f>
        <v/>
      </c>
      <c r="G24" s="72" t="n"/>
      <c r="H24" s="27">
        <f>F24+G24</f>
        <v/>
      </c>
      <c r="I24" s="107">
        <f>'مستخلص 12'!K24</f>
        <v/>
      </c>
      <c r="J24" s="68" t="n"/>
      <c r="K24" s="101">
        <f>IF(J24="",I24,J24)</f>
        <v/>
      </c>
      <c r="L24" s="74">
        <f>'مستخلص 12'!N24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12'!H25</f>
        <v/>
      </c>
      <c r="G25" s="72" t="n"/>
      <c r="H25" s="84">
        <f>F25+G25</f>
        <v/>
      </c>
      <c r="I25" s="109">
        <f>'مستخلص 12'!K25</f>
        <v/>
      </c>
      <c r="J25" s="68" t="n"/>
      <c r="K25" s="103">
        <f>IF(J25="",I25,J25)</f>
        <v/>
      </c>
      <c r="L25" s="108">
        <f>'مستخلص 12'!N25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12'!H26</f>
        <v/>
      </c>
      <c r="G26" s="72" t="n"/>
      <c r="H26" s="27">
        <f>F26+G26</f>
        <v/>
      </c>
      <c r="I26" s="107">
        <f>'مستخلص 12'!K26</f>
        <v/>
      </c>
      <c r="J26" s="68" t="n"/>
      <c r="K26" s="101">
        <f>IF(J26="",I26,J26)</f>
        <v/>
      </c>
      <c r="L26" s="74">
        <f>'مستخلص 12'!N26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12'!H27</f>
        <v/>
      </c>
      <c r="G27" s="72" t="n"/>
      <c r="H27" s="84">
        <f>F27+G27</f>
        <v/>
      </c>
      <c r="I27" s="109">
        <f>'مستخلص 12'!K27</f>
        <v/>
      </c>
      <c r="J27" s="68" t="n"/>
      <c r="K27" s="103">
        <f>IF(J27="",I27,J27)</f>
        <v/>
      </c>
      <c r="L27" s="108">
        <f>'مستخلص 12'!N27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12'!H28</f>
        <v/>
      </c>
      <c r="G28" s="72" t="n"/>
      <c r="H28" s="27">
        <f>F28+G28</f>
        <v/>
      </c>
      <c r="I28" s="107">
        <f>'مستخلص 12'!K28</f>
        <v/>
      </c>
      <c r="J28" s="68" t="n"/>
      <c r="K28" s="101">
        <f>IF(J28="",I28,J28)</f>
        <v/>
      </c>
      <c r="L28" s="74">
        <f>'مستخلص 12'!N28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12'!H29</f>
        <v/>
      </c>
      <c r="G29" s="72" t="n"/>
      <c r="H29" s="84">
        <f>F29+G29</f>
        <v/>
      </c>
      <c r="I29" s="109">
        <f>'مستخلص 12'!K29</f>
        <v/>
      </c>
      <c r="J29" s="68" t="n"/>
      <c r="K29" s="103">
        <f>IF(J29="",I29,J29)</f>
        <v/>
      </c>
      <c r="L29" s="108">
        <f>'مستخلص 12'!N29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12'!H30</f>
        <v/>
      </c>
      <c r="G30" s="72" t="n"/>
      <c r="H30" s="27">
        <f>F30+G30</f>
        <v/>
      </c>
      <c r="I30" s="107">
        <f>'مستخلص 12'!K30</f>
        <v/>
      </c>
      <c r="J30" s="68" t="n"/>
      <c r="K30" s="101">
        <f>IF(J30="",I30,J30)</f>
        <v/>
      </c>
      <c r="L30" s="74">
        <f>'مستخلص 12'!N30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12'!H31</f>
        <v/>
      </c>
      <c r="G31" s="72" t="n"/>
      <c r="H31" s="84">
        <f>F31+G31</f>
        <v/>
      </c>
      <c r="I31" s="109">
        <f>'مستخلص 12'!K31</f>
        <v/>
      </c>
      <c r="J31" s="68" t="n"/>
      <c r="K31" s="103">
        <f>IF(J31="",I31,J31)</f>
        <v/>
      </c>
      <c r="L31" s="108">
        <f>'مستخلص 12'!N31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12'!H32</f>
        <v/>
      </c>
      <c r="G32" s="72" t="n"/>
      <c r="H32" s="27">
        <f>F32+G32</f>
        <v/>
      </c>
      <c r="I32" s="107">
        <f>'مستخلص 12'!K32</f>
        <v/>
      </c>
      <c r="J32" s="68" t="n"/>
      <c r="K32" s="101">
        <f>IF(J32="",I32,J32)</f>
        <v/>
      </c>
      <c r="L32" s="74">
        <f>'مستخلص 12'!N32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12'!H33</f>
        <v/>
      </c>
      <c r="G33" s="72" t="n"/>
      <c r="H33" s="84">
        <f>F33+G33</f>
        <v/>
      </c>
      <c r="I33" s="109">
        <f>'مستخلص 12'!K33</f>
        <v/>
      </c>
      <c r="J33" s="68" t="n"/>
      <c r="K33" s="103">
        <f>IF(J33="",I33,J33)</f>
        <v/>
      </c>
      <c r="L33" s="108">
        <f>'مستخلص 12'!N33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12'!H34</f>
        <v/>
      </c>
      <c r="G34" s="72" t="n"/>
      <c r="H34" s="27">
        <f>F34+G34</f>
        <v/>
      </c>
      <c r="I34" s="107">
        <f>'مستخلص 12'!K34</f>
        <v/>
      </c>
      <c r="J34" s="68" t="n"/>
      <c r="K34" s="101">
        <f>IF(J34="",I34,J34)</f>
        <v/>
      </c>
      <c r="L34" s="74">
        <f>'مستخلص 12'!N34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12'!H35</f>
        <v/>
      </c>
      <c r="G35" s="72" t="n"/>
      <c r="H35" s="84">
        <f>F35+G35</f>
        <v/>
      </c>
      <c r="I35" s="109">
        <f>'مستخلص 12'!K35</f>
        <v/>
      </c>
      <c r="J35" s="68" t="n"/>
      <c r="K35" s="103">
        <f>IF(J35="",I35,J35)</f>
        <v/>
      </c>
      <c r="L35" s="108">
        <f>'مستخلص 12'!N35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12'!H36</f>
        <v/>
      </c>
      <c r="G36" s="72" t="n"/>
      <c r="H36" s="27">
        <f>F36+G36</f>
        <v/>
      </c>
      <c r="I36" s="107">
        <f>'مستخلص 12'!K36</f>
        <v/>
      </c>
      <c r="J36" s="68" t="n"/>
      <c r="K36" s="101">
        <f>IF(J36="",I36,J36)</f>
        <v/>
      </c>
      <c r="L36" s="74">
        <f>'مستخلص 12'!N36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12'!H37</f>
        <v/>
      </c>
      <c r="G37" s="72" t="n"/>
      <c r="H37" s="84">
        <f>F37+G37</f>
        <v/>
      </c>
      <c r="I37" s="109">
        <f>'مستخلص 12'!K37</f>
        <v/>
      </c>
      <c r="J37" s="68" t="n"/>
      <c r="K37" s="103">
        <f>IF(J37="",I37,J37)</f>
        <v/>
      </c>
      <c r="L37" s="108">
        <f>'مستخلص 12'!N37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12'!H38</f>
        <v/>
      </c>
      <c r="G38" s="72" t="n"/>
      <c r="H38" s="27">
        <f>F38+G38</f>
        <v/>
      </c>
      <c r="I38" s="107">
        <f>'مستخلص 12'!K38</f>
        <v/>
      </c>
      <c r="J38" s="68" t="n"/>
      <c r="K38" s="101">
        <f>IF(J38="",I38,J38)</f>
        <v/>
      </c>
      <c r="L38" s="74">
        <f>'مستخلص 12'!N38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12'!H39</f>
        <v/>
      </c>
      <c r="G39" s="72" t="n"/>
      <c r="H39" s="84">
        <f>F39+G39</f>
        <v/>
      </c>
      <c r="I39" s="109">
        <f>'مستخلص 12'!K39</f>
        <v/>
      </c>
      <c r="J39" s="68" t="n"/>
      <c r="K39" s="103">
        <f>IF(J39="",I39,J39)</f>
        <v/>
      </c>
      <c r="L39" s="108">
        <f>'مستخلص 12'!N39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12'!H40</f>
        <v/>
      </c>
      <c r="G40" s="72" t="n"/>
      <c r="H40" s="27">
        <f>F40+G40</f>
        <v/>
      </c>
      <c r="I40" s="107">
        <f>'مستخلص 12'!K40</f>
        <v/>
      </c>
      <c r="J40" s="68" t="n"/>
      <c r="K40" s="101">
        <f>IF(J40="",I40,J40)</f>
        <v/>
      </c>
      <c r="L40" s="74">
        <f>'مستخلص 12'!N40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12'!H41</f>
        <v/>
      </c>
      <c r="G41" s="72" t="n"/>
      <c r="H41" s="84">
        <f>F41+G41</f>
        <v/>
      </c>
      <c r="I41" s="109">
        <f>'مستخلص 12'!K41</f>
        <v/>
      </c>
      <c r="J41" s="68" t="n"/>
      <c r="K41" s="103">
        <f>IF(J41="",I41,J41)</f>
        <v/>
      </c>
      <c r="L41" s="108">
        <f>'مستخلص 12'!N41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12'!H42</f>
        <v/>
      </c>
      <c r="G42" s="72" t="n"/>
      <c r="H42" s="27">
        <f>F42+G42</f>
        <v/>
      </c>
      <c r="I42" s="107">
        <f>'مستخلص 12'!K42</f>
        <v/>
      </c>
      <c r="J42" s="68" t="n"/>
      <c r="K42" s="101">
        <f>IF(J42="",I42,J42)</f>
        <v/>
      </c>
      <c r="L42" s="74">
        <f>'مستخلص 12'!N42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12'!H43</f>
        <v/>
      </c>
      <c r="G43" s="72" t="n"/>
      <c r="H43" s="84">
        <f>F43+G43</f>
        <v/>
      </c>
      <c r="I43" s="109">
        <f>'مستخلص 12'!K43</f>
        <v/>
      </c>
      <c r="J43" s="68" t="n"/>
      <c r="K43" s="103">
        <f>IF(J43="",I43,J43)</f>
        <v/>
      </c>
      <c r="L43" s="108">
        <f>'مستخلص 12'!N43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12'!H44</f>
        <v/>
      </c>
      <c r="G44" s="72" t="n"/>
      <c r="H44" s="27">
        <f>F44+G44</f>
        <v/>
      </c>
      <c r="I44" s="107">
        <f>'مستخلص 12'!K44</f>
        <v/>
      </c>
      <c r="J44" s="68" t="n"/>
      <c r="K44" s="101">
        <f>IF(J44="",I44,J44)</f>
        <v/>
      </c>
      <c r="L44" s="74">
        <f>'مستخلص 12'!N44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12'!H45</f>
        <v/>
      </c>
      <c r="G45" s="72" t="n"/>
      <c r="H45" s="84">
        <f>F45+G45</f>
        <v/>
      </c>
      <c r="I45" s="109">
        <f>'مستخلص 12'!K45</f>
        <v/>
      </c>
      <c r="J45" s="68" t="n"/>
      <c r="K45" s="103">
        <f>IF(J45="",I45,J45)</f>
        <v/>
      </c>
      <c r="L45" s="108">
        <f>'مستخلص 12'!N45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12'!H46</f>
        <v/>
      </c>
      <c r="G46" s="72" t="n"/>
      <c r="H46" s="27">
        <f>F46+G46</f>
        <v/>
      </c>
      <c r="I46" s="107">
        <f>'مستخلص 12'!K46</f>
        <v/>
      </c>
      <c r="J46" s="68" t="n"/>
      <c r="K46" s="101">
        <f>IF(J46="",I46,J46)</f>
        <v/>
      </c>
      <c r="L46" s="74">
        <f>'مستخلص 12'!N46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12'!H47</f>
        <v/>
      </c>
      <c r="G47" s="72" t="n"/>
      <c r="H47" s="84">
        <f>F47+G47</f>
        <v/>
      </c>
      <c r="I47" s="109">
        <f>'مستخلص 12'!K47</f>
        <v/>
      </c>
      <c r="J47" s="68" t="n"/>
      <c r="K47" s="103">
        <f>IF(J47="",I47,J47)</f>
        <v/>
      </c>
      <c r="L47" s="108">
        <f>'مستخلص 12'!N47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12'!H48</f>
        <v/>
      </c>
      <c r="G48" s="72" t="n"/>
      <c r="H48" s="27">
        <f>F48+G48</f>
        <v/>
      </c>
      <c r="I48" s="107">
        <f>'مستخلص 12'!K48</f>
        <v/>
      </c>
      <c r="J48" s="68" t="n"/>
      <c r="K48" s="101">
        <f>IF(J48="",I48,J48)</f>
        <v/>
      </c>
      <c r="L48" s="74">
        <f>'مستخلص 12'!N48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12'!H49</f>
        <v/>
      </c>
      <c r="G49" s="72" t="n"/>
      <c r="H49" s="84">
        <f>F49+G49</f>
        <v/>
      </c>
      <c r="I49" s="109">
        <f>'مستخلص 12'!K49</f>
        <v/>
      </c>
      <c r="J49" s="68" t="n"/>
      <c r="K49" s="103">
        <f>IF(J49="",I49,J49)</f>
        <v/>
      </c>
      <c r="L49" s="108">
        <f>'مستخلص 12'!N49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12'!H50</f>
        <v/>
      </c>
      <c r="G50" s="72" t="n"/>
      <c r="H50" s="27">
        <f>F50+G50</f>
        <v/>
      </c>
      <c r="I50" s="107">
        <f>'مستخلص 12'!K50</f>
        <v/>
      </c>
      <c r="J50" s="68" t="n"/>
      <c r="K50" s="101">
        <f>IF(J50="",I50,J50)</f>
        <v/>
      </c>
      <c r="L50" s="74">
        <f>'مستخلص 12'!N50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12'!H51</f>
        <v/>
      </c>
      <c r="G51" s="72" t="n"/>
      <c r="H51" s="84">
        <f>F51+G51</f>
        <v/>
      </c>
      <c r="I51" s="109">
        <f>'مستخلص 12'!K51</f>
        <v/>
      </c>
      <c r="J51" s="68" t="n"/>
      <c r="K51" s="103">
        <f>IF(J51="",I51,J51)</f>
        <v/>
      </c>
      <c r="L51" s="108">
        <f>'مستخلص 12'!N51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12'!H52</f>
        <v/>
      </c>
      <c r="G52" s="72" t="n"/>
      <c r="H52" s="27">
        <f>F52+G52</f>
        <v/>
      </c>
      <c r="I52" s="107">
        <f>'مستخلص 12'!K52</f>
        <v/>
      </c>
      <c r="J52" s="68" t="n"/>
      <c r="K52" s="101">
        <f>IF(J52="",I52,J52)</f>
        <v/>
      </c>
      <c r="L52" s="74">
        <f>'مستخلص 12'!N52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12'!H53</f>
        <v/>
      </c>
      <c r="G53" s="72" t="n"/>
      <c r="H53" s="84">
        <f>F53+G53</f>
        <v/>
      </c>
      <c r="I53" s="109">
        <f>'مستخلص 12'!K53</f>
        <v/>
      </c>
      <c r="J53" s="68" t="n"/>
      <c r="K53" s="103">
        <f>IF(J53="",I53,J53)</f>
        <v/>
      </c>
      <c r="L53" s="108">
        <f>'مستخلص 12'!N53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12'!H54</f>
        <v/>
      </c>
      <c r="G54" s="72" t="n"/>
      <c r="H54" s="27">
        <f>F54+G54</f>
        <v/>
      </c>
      <c r="I54" s="107">
        <f>'مستخلص 12'!K54</f>
        <v/>
      </c>
      <c r="J54" s="68" t="n"/>
      <c r="K54" s="101">
        <f>IF(J54="",I54,J54)</f>
        <v/>
      </c>
      <c r="L54" s="74">
        <f>'مستخلص 12'!N54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12'!H55</f>
        <v/>
      </c>
      <c r="G55" s="72" t="n"/>
      <c r="H55" s="84">
        <f>F55+G55</f>
        <v/>
      </c>
      <c r="I55" s="109">
        <f>'مستخلص 12'!K55</f>
        <v/>
      </c>
      <c r="J55" s="68" t="n"/>
      <c r="K55" s="103">
        <f>IF(J55="",I55,J55)</f>
        <v/>
      </c>
      <c r="L55" s="108">
        <f>'مستخلص 12'!N55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12'!H56</f>
        <v/>
      </c>
      <c r="G56" s="72" t="n"/>
      <c r="H56" s="27">
        <f>F56+G56</f>
        <v/>
      </c>
      <c r="I56" s="107">
        <f>'مستخلص 12'!K56</f>
        <v/>
      </c>
      <c r="J56" s="68" t="n"/>
      <c r="K56" s="101">
        <f>IF(J56="",I56,J56)</f>
        <v/>
      </c>
      <c r="L56" s="74">
        <f>'مستخلص 12'!N56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12'!H57</f>
        <v/>
      </c>
      <c r="G57" s="72" t="n"/>
      <c r="H57" s="84">
        <f>F57+G57</f>
        <v/>
      </c>
      <c r="I57" s="109">
        <f>'مستخلص 12'!K57</f>
        <v/>
      </c>
      <c r="J57" s="68" t="n"/>
      <c r="K57" s="103">
        <f>IF(J57="",I57,J57)</f>
        <v/>
      </c>
      <c r="L57" s="108">
        <f>'مستخلص 12'!N57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12'!H58</f>
        <v/>
      </c>
      <c r="G58" s="72" t="n"/>
      <c r="H58" s="27">
        <f>F58+G58</f>
        <v/>
      </c>
      <c r="I58" s="107">
        <f>'مستخلص 12'!K58</f>
        <v/>
      </c>
      <c r="J58" s="68" t="n"/>
      <c r="K58" s="101">
        <f>IF(J58="",I58,J58)</f>
        <v/>
      </c>
      <c r="L58" s="74">
        <f>'مستخلص 12'!N58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12'!H59</f>
        <v/>
      </c>
      <c r="G59" s="72" t="n"/>
      <c r="H59" s="84">
        <f>F59+G59</f>
        <v/>
      </c>
      <c r="I59" s="109">
        <f>'مستخلص 12'!K59</f>
        <v/>
      </c>
      <c r="J59" s="68" t="n"/>
      <c r="K59" s="103">
        <f>IF(J59="",I59,J59)</f>
        <v/>
      </c>
      <c r="L59" s="108">
        <f>'مستخلص 12'!N59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12'!H60</f>
        <v/>
      </c>
      <c r="G60" s="72" t="n"/>
      <c r="H60" s="27">
        <f>F60+G60</f>
        <v/>
      </c>
      <c r="I60" s="107">
        <f>'مستخلص 12'!K60</f>
        <v/>
      </c>
      <c r="J60" s="68" t="n"/>
      <c r="K60" s="101">
        <f>IF(J60="",I60,J60)</f>
        <v/>
      </c>
      <c r="L60" s="74">
        <f>'مستخلص 12'!N60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12'!H61</f>
        <v/>
      </c>
      <c r="G61" s="72" t="n"/>
      <c r="H61" s="84">
        <f>F61+G61</f>
        <v/>
      </c>
      <c r="I61" s="109">
        <f>'مستخلص 12'!K61</f>
        <v/>
      </c>
      <c r="J61" s="68" t="n"/>
      <c r="K61" s="103">
        <f>IF(J61="",I61,J61)</f>
        <v/>
      </c>
      <c r="L61" s="108">
        <f>'مستخلص 12'!N61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12'!H62</f>
        <v/>
      </c>
      <c r="G62" s="72" t="n"/>
      <c r="H62" s="27">
        <f>F62+G62</f>
        <v/>
      </c>
      <c r="I62" s="107">
        <f>'مستخلص 12'!K62</f>
        <v/>
      </c>
      <c r="J62" s="68" t="n"/>
      <c r="K62" s="101">
        <f>IF(J62="",I62,J62)</f>
        <v/>
      </c>
      <c r="L62" s="74">
        <f>'مستخلص 12'!N62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12'!H63</f>
        <v/>
      </c>
      <c r="G63" s="72" t="n"/>
      <c r="H63" s="84">
        <f>F63+G63</f>
        <v/>
      </c>
      <c r="I63" s="109">
        <f>'مستخلص 12'!K63</f>
        <v/>
      </c>
      <c r="J63" s="68" t="n"/>
      <c r="K63" s="103">
        <f>IF(J63="",I63,J63)</f>
        <v/>
      </c>
      <c r="L63" s="108">
        <f>'مستخلص 12'!N63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12'!H64</f>
        <v/>
      </c>
      <c r="G64" s="72" t="n"/>
      <c r="H64" s="27">
        <f>F64+G64</f>
        <v/>
      </c>
      <c r="I64" s="107">
        <f>'مستخلص 12'!K64</f>
        <v/>
      </c>
      <c r="J64" s="68" t="n"/>
      <c r="K64" s="101">
        <f>IF(J64="",I64,J64)</f>
        <v/>
      </c>
      <c r="L64" s="74">
        <f>'مستخلص 12'!N64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12'!H65</f>
        <v/>
      </c>
      <c r="G65" s="72" t="n"/>
      <c r="H65" s="84">
        <f>F65+G65</f>
        <v/>
      </c>
      <c r="I65" s="109">
        <f>'مستخلص 12'!K65</f>
        <v/>
      </c>
      <c r="J65" s="68" t="n"/>
      <c r="K65" s="103">
        <f>IF(J65="",I65,J65)</f>
        <v/>
      </c>
      <c r="L65" s="108">
        <f>'مستخلص 12'!N65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12'!H66</f>
        <v/>
      </c>
      <c r="G66" s="72" t="n"/>
      <c r="H66" s="27">
        <f>F66+G66</f>
        <v/>
      </c>
      <c r="I66" s="107">
        <f>'مستخلص 12'!K66</f>
        <v/>
      </c>
      <c r="J66" s="68" t="n"/>
      <c r="K66" s="101">
        <f>IF(J66="",I66,J66)</f>
        <v/>
      </c>
      <c r="L66" s="74">
        <f>'مستخلص 12'!N66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12'!H67</f>
        <v/>
      </c>
      <c r="G67" s="72" t="n"/>
      <c r="H67" s="84">
        <f>F67+G67</f>
        <v/>
      </c>
      <c r="I67" s="109">
        <f>'مستخلص 12'!K67</f>
        <v/>
      </c>
      <c r="J67" s="68" t="n"/>
      <c r="K67" s="103">
        <f>IF(J67="",I67,J67)</f>
        <v/>
      </c>
      <c r="L67" s="108">
        <f>'مستخلص 12'!N67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12'!H68</f>
        <v/>
      </c>
      <c r="G68" s="72" t="n"/>
      <c r="H68" s="27">
        <f>F68+G68</f>
        <v/>
      </c>
      <c r="I68" s="107">
        <f>'مستخلص 12'!K68</f>
        <v/>
      </c>
      <c r="J68" s="68" t="n"/>
      <c r="K68" s="101">
        <f>IF(J68="",I68,J68)</f>
        <v/>
      </c>
      <c r="L68" s="74">
        <f>'مستخلص 12'!N68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12'!H69</f>
        <v/>
      </c>
      <c r="G69" s="72" t="n"/>
      <c r="H69" s="84">
        <f>F69+G69</f>
        <v/>
      </c>
      <c r="I69" s="109">
        <f>'مستخلص 12'!K69</f>
        <v/>
      </c>
      <c r="J69" s="68" t="n"/>
      <c r="K69" s="103">
        <f>IF(J69="",I69,J69)</f>
        <v/>
      </c>
      <c r="L69" s="108">
        <f>'مستخلص 12'!N69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12'!H70</f>
        <v/>
      </c>
      <c r="G70" s="72" t="n"/>
      <c r="H70" s="27">
        <f>F70+G70</f>
        <v/>
      </c>
      <c r="I70" s="107">
        <f>'مستخلص 12'!K70</f>
        <v/>
      </c>
      <c r="J70" s="68" t="n"/>
      <c r="K70" s="101">
        <f>IF(J70="",I70,J70)</f>
        <v/>
      </c>
      <c r="L70" s="74">
        <f>'مستخلص 12'!N70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12'!H71</f>
        <v/>
      </c>
      <c r="G71" s="72" t="n"/>
      <c r="H71" s="84">
        <f>F71+G71</f>
        <v/>
      </c>
      <c r="I71" s="109">
        <f>'مستخلص 12'!K71</f>
        <v/>
      </c>
      <c r="J71" s="68" t="n"/>
      <c r="K71" s="103">
        <f>IF(J71="",I71,J71)</f>
        <v/>
      </c>
      <c r="L71" s="108">
        <f>'مستخلص 12'!N71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12'!H72</f>
        <v/>
      </c>
      <c r="G72" s="72" t="n"/>
      <c r="H72" s="27">
        <f>F72+G72</f>
        <v/>
      </c>
      <c r="I72" s="107">
        <f>'مستخلص 12'!K72</f>
        <v/>
      </c>
      <c r="J72" s="68" t="n"/>
      <c r="K72" s="101">
        <f>IF(J72="",I72,J72)</f>
        <v/>
      </c>
      <c r="L72" s="74">
        <f>'مستخلص 12'!N72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12'!H73</f>
        <v/>
      </c>
      <c r="G73" s="72" t="n"/>
      <c r="H73" s="84">
        <f>F73+G73</f>
        <v/>
      </c>
      <c r="I73" s="109">
        <f>'مستخلص 12'!K73</f>
        <v/>
      </c>
      <c r="J73" s="68" t="n"/>
      <c r="K73" s="103">
        <f>IF(J73="",I73,J73)</f>
        <v/>
      </c>
      <c r="L73" s="108">
        <f>'مستخلص 12'!N73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12'!H74</f>
        <v/>
      </c>
      <c r="G74" s="72" t="n"/>
      <c r="H74" s="27">
        <f>F74+G74</f>
        <v/>
      </c>
      <c r="I74" s="107">
        <f>'مستخلص 12'!K74</f>
        <v/>
      </c>
      <c r="J74" s="68" t="n"/>
      <c r="K74" s="101">
        <f>IF(J74="",I74,J74)</f>
        <v/>
      </c>
      <c r="L74" s="74">
        <f>'مستخلص 12'!N74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12'!H75</f>
        <v/>
      </c>
      <c r="G75" s="72" t="n"/>
      <c r="H75" s="84">
        <f>F75+G75</f>
        <v/>
      </c>
      <c r="I75" s="109">
        <f>'مستخلص 12'!K75</f>
        <v/>
      </c>
      <c r="J75" s="68" t="n"/>
      <c r="K75" s="103">
        <f>IF(J75="",I75,J75)</f>
        <v/>
      </c>
      <c r="L75" s="108">
        <f>'مستخلص 12'!N75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12'!H76</f>
        <v/>
      </c>
      <c r="G76" s="72" t="n"/>
      <c r="H76" s="27">
        <f>F76+G76</f>
        <v/>
      </c>
      <c r="I76" s="107">
        <f>'مستخلص 12'!K76</f>
        <v/>
      </c>
      <c r="J76" s="68" t="n"/>
      <c r="K76" s="101">
        <f>IF(J76="",I76,J76)</f>
        <v/>
      </c>
      <c r="L76" s="74">
        <f>'مستخلص 12'!N76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12'!H77</f>
        <v/>
      </c>
      <c r="G77" s="72" t="n"/>
      <c r="H77" s="84">
        <f>F77+G77</f>
        <v/>
      </c>
      <c r="I77" s="109">
        <f>'مستخلص 12'!K77</f>
        <v/>
      </c>
      <c r="J77" s="68" t="n"/>
      <c r="K77" s="103">
        <f>IF(J77="",I77,J77)</f>
        <v/>
      </c>
      <c r="L77" s="108">
        <f>'مستخلص 12'!N77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12'!H78</f>
        <v/>
      </c>
      <c r="G78" s="72" t="n"/>
      <c r="H78" s="27">
        <f>F78+G78</f>
        <v/>
      </c>
      <c r="I78" s="107">
        <f>'مستخلص 12'!K78</f>
        <v/>
      </c>
      <c r="J78" s="68" t="n"/>
      <c r="K78" s="101">
        <f>IF(J78="",I78,J78)</f>
        <v/>
      </c>
      <c r="L78" s="74">
        <f>'مستخلص 12'!N78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12'!H79</f>
        <v/>
      </c>
      <c r="G79" s="72" t="n"/>
      <c r="H79" s="84">
        <f>F79+G79</f>
        <v/>
      </c>
      <c r="I79" s="109">
        <f>'مستخلص 12'!K79</f>
        <v/>
      </c>
      <c r="J79" s="68" t="n"/>
      <c r="K79" s="103">
        <f>IF(J79="",I79,J79)</f>
        <v/>
      </c>
      <c r="L79" s="108">
        <f>'مستخلص 12'!N79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12'!H80</f>
        <v/>
      </c>
      <c r="G80" s="72" t="n"/>
      <c r="H80" s="27">
        <f>F80+G80</f>
        <v/>
      </c>
      <c r="I80" s="107">
        <f>'مستخلص 12'!K80</f>
        <v/>
      </c>
      <c r="J80" s="68" t="n"/>
      <c r="K80" s="101">
        <f>IF(J80="",I80,J80)</f>
        <v/>
      </c>
      <c r="L80" s="74">
        <f>'مستخلص 12'!N80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12'!H81</f>
        <v/>
      </c>
      <c r="G81" s="72" t="n"/>
      <c r="H81" s="84">
        <f>F81+G81</f>
        <v/>
      </c>
      <c r="I81" s="109">
        <f>'مستخلص 12'!K81</f>
        <v/>
      </c>
      <c r="J81" s="68" t="n"/>
      <c r="K81" s="103">
        <f>IF(J81="",I81,J81)</f>
        <v/>
      </c>
      <c r="L81" s="108">
        <f>'مستخلص 12'!N81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12'!H82</f>
        <v/>
      </c>
      <c r="G82" s="72" t="n"/>
      <c r="H82" s="27">
        <f>F82+G82</f>
        <v/>
      </c>
      <c r="I82" s="107">
        <f>'مستخلص 12'!K82</f>
        <v/>
      </c>
      <c r="J82" s="68" t="n"/>
      <c r="K82" s="101">
        <f>IF(J82="",I82,J82)</f>
        <v/>
      </c>
      <c r="L82" s="74">
        <f>'مستخلص 12'!N82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12'!H83</f>
        <v/>
      </c>
      <c r="G83" s="72" t="n"/>
      <c r="H83" s="84">
        <f>F83+G83</f>
        <v/>
      </c>
      <c r="I83" s="109">
        <f>'مستخلص 12'!K83</f>
        <v/>
      </c>
      <c r="J83" s="68" t="n"/>
      <c r="K83" s="103">
        <f>IF(J83="",I83,J83)</f>
        <v/>
      </c>
      <c r="L83" s="108">
        <f>'مستخلص 12'!N83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12'!H84</f>
        <v/>
      </c>
      <c r="G84" s="72" t="n"/>
      <c r="H84" s="27">
        <f>F84+G84</f>
        <v/>
      </c>
      <c r="I84" s="107">
        <f>'مستخلص 12'!K84</f>
        <v/>
      </c>
      <c r="J84" s="68" t="n"/>
      <c r="K84" s="101">
        <f>IF(J84="",I84,J84)</f>
        <v/>
      </c>
      <c r="L84" s="74">
        <f>'مستخلص 12'!N84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12'!H85</f>
        <v/>
      </c>
      <c r="G85" s="72" t="n"/>
      <c r="H85" s="84">
        <f>F85+G85</f>
        <v/>
      </c>
      <c r="I85" s="109">
        <f>'مستخلص 12'!K85</f>
        <v/>
      </c>
      <c r="J85" s="68" t="n"/>
      <c r="K85" s="103">
        <f>IF(J85="",I85,J85)</f>
        <v/>
      </c>
      <c r="L85" s="108">
        <f>'مستخلص 12'!N85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12'!H86</f>
        <v/>
      </c>
      <c r="G86" s="72" t="n"/>
      <c r="H86" s="27">
        <f>F86+G86</f>
        <v/>
      </c>
      <c r="I86" s="107">
        <f>'مستخلص 12'!K86</f>
        <v/>
      </c>
      <c r="J86" s="68" t="n"/>
      <c r="K86" s="101">
        <f>IF(J86="",I86,J86)</f>
        <v/>
      </c>
      <c r="L86" s="74">
        <f>'مستخلص 12'!N86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12'!H87</f>
        <v/>
      </c>
      <c r="G87" s="72" t="n"/>
      <c r="H87" s="84">
        <f>F87+G87</f>
        <v/>
      </c>
      <c r="I87" s="109">
        <f>'مستخلص 12'!K87</f>
        <v/>
      </c>
      <c r="J87" s="68" t="n"/>
      <c r="K87" s="103">
        <f>IF(J87="",I87,J87)</f>
        <v/>
      </c>
      <c r="L87" s="108">
        <f>'مستخلص 12'!N87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12'!H88</f>
        <v/>
      </c>
      <c r="G88" s="72" t="n"/>
      <c r="H88" s="27">
        <f>F88+G88</f>
        <v/>
      </c>
      <c r="I88" s="107">
        <f>'مستخلص 12'!K88</f>
        <v/>
      </c>
      <c r="J88" s="68" t="n"/>
      <c r="K88" s="101">
        <f>IF(J88="",I88,J88)</f>
        <v/>
      </c>
      <c r="L88" s="74">
        <f>'مستخلص 12'!N88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12'!H89</f>
        <v/>
      </c>
      <c r="G89" s="72" t="n"/>
      <c r="H89" s="84">
        <f>F89+G89</f>
        <v/>
      </c>
      <c r="I89" s="109">
        <f>'مستخلص 12'!K89</f>
        <v/>
      </c>
      <c r="J89" s="68" t="n"/>
      <c r="K89" s="103">
        <f>IF(J89="",I89,J89)</f>
        <v/>
      </c>
      <c r="L89" s="108">
        <f>'مستخلص 12'!N89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12'!H90</f>
        <v/>
      </c>
      <c r="G90" s="72" t="n"/>
      <c r="H90" s="27">
        <f>F90+G90</f>
        <v/>
      </c>
      <c r="I90" s="107">
        <f>'مستخلص 12'!K90</f>
        <v/>
      </c>
      <c r="J90" s="68" t="n"/>
      <c r="K90" s="101">
        <f>IF(J90="",I90,J90)</f>
        <v/>
      </c>
      <c r="L90" s="74">
        <f>'مستخلص 12'!N90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12'!H91</f>
        <v/>
      </c>
      <c r="G91" s="72" t="n"/>
      <c r="H91" s="84">
        <f>F91+G91</f>
        <v/>
      </c>
      <c r="I91" s="109">
        <f>'مستخلص 12'!K91</f>
        <v/>
      </c>
      <c r="J91" s="68" t="n"/>
      <c r="K91" s="103">
        <f>IF(J91="",I91,J91)</f>
        <v/>
      </c>
      <c r="L91" s="108">
        <f>'مستخلص 12'!N91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12'!H92</f>
        <v/>
      </c>
      <c r="G92" s="72" t="n"/>
      <c r="H92" s="27">
        <f>F92+G92</f>
        <v/>
      </c>
      <c r="I92" s="107">
        <f>'مستخلص 12'!K92</f>
        <v/>
      </c>
      <c r="J92" s="68" t="n"/>
      <c r="K92" s="101">
        <f>IF(J92="",I92,J92)</f>
        <v/>
      </c>
      <c r="L92" s="74">
        <f>'مستخلص 12'!N92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12'!H93</f>
        <v/>
      </c>
      <c r="G93" s="72" t="n"/>
      <c r="H93" s="84">
        <f>F93+G93</f>
        <v/>
      </c>
      <c r="I93" s="109">
        <f>'مستخلص 12'!K93</f>
        <v/>
      </c>
      <c r="J93" s="68" t="n"/>
      <c r="K93" s="103">
        <f>IF(J93="",I93,J93)</f>
        <v/>
      </c>
      <c r="L93" s="108">
        <f>'مستخلص 12'!N93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12'!H94</f>
        <v/>
      </c>
      <c r="G94" s="72" t="n"/>
      <c r="H94" s="27">
        <f>F94+G94</f>
        <v/>
      </c>
      <c r="I94" s="107">
        <f>'مستخلص 12'!K94</f>
        <v/>
      </c>
      <c r="J94" s="68" t="n"/>
      <c r="K94" s="101">
        <f>IF(J94="",I94,J94)</f>
        <v/>
      </c>
      <c r="L94" s="74">
        <f>'مستخلص 12'!N94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12'!H95</f>
        <v/>
      </c>
      <c r="G95" s="72" t="n"/>
      <c r="H95" s="84">
        <f>F95+G95</f>
        <v/>
      </c>
      <c r="I95" s="109">
        <f>'مستخلص 12'!K95</f>
        <v/>
      </c>
      <c r="J95" s="68" t="n"/>
      <c r="K95" s="103">
        <f>IF(J95="",I95,J95)</f>
        <v/>
      </c>
      <c r="L95" s="108">
        <f>'مستخلص 12'!N95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12'!H96</f>
        <v/>
      </c>
      <c r="G96" s="72" t="n"/>
      <c r="H96" s="27">
        <f>F96+G96</f>
        <v/>
      </c>
      <c r="I96" s="107">
        <f>'مستخلص 12'!K96</f>
        <v/>
      </c>
      <c r="J96" s="68" t="n"/>
      <c r="K96" s="101">
        <f>IF(J96="",I96,J96)</f>
        <v/>
      </c>
      <c r="L96" s="74">
        <f>'مستخلص 12'!N96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12'!H97</f>
        <v/>
      </c>
      <c r="G97" s="72" t="n"/>
      <c r="H97" s="84">
        <f>F97+G97</f>
        <v/>
      </c>
      <c r="I97" s="109">
        <f>'مستخلص 12'!K97</f>
        <v/>
      </c>
      <c r="J97" s="68" t="n"/>
      <c r="K97" s="103">
        <f>IF(J97="",I97,J97)</f>
        <v/>
      </c>
      <c r="L97" s="108">
        <f>'مستخلص 12'!N97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12'!H98</f>
        <v/>
      </c>
      <c r="G98" s="72" t="n"/>
      <c r="H98" s="27">
        <f>F98+G98</f>
        <v/>
      </c>
      <c r="I98" s="107">
        <f>'مستخلص 12'!K98</f>
        <v/>
      </c>
      <c r="J98" s="68" t="n"/>
      <c r="K98" s="101">
        <f>IF(J98="",I98,J98)</f>
        <v/>
      </c>
      <c r="L98" s="74">
        <f>'مستخلص 12'!N98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12'!H99</f>
        <v/>
      </c>
      <c r="G99" s="72" t="n"/>
      <c r="H99" s="84">
        <f>F99+G99</f>
        <v/>
      </c>
      <c r="I99" s="109">
        <f>'مستخلص 12'!K99</f>
        <v/>
      </c>
      <c r="J99" s="68" t="n"/>
      <c r="K99" s="103">
        <f>IF(J99="",I99,J99)</f>
        <v/>
      </c>
      <c r="L99" s="108">
        <f>'مستخلص 12'!N99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12'!H100</f>
        <v/>
      </c>
      <c r="G100" s="72" t="n"/>
      <c r="H100" s="27">
        <f>F100+G100</f>
        <v/>
      </c>
      <c r="I100" s="107">
        <f>'مستخلص 12'!K100</f>
        <v/>
      </c>
      <c r="J100" s="68" t="n"/>
      <c r="K100" s="101">
        <f>IF(J100="",I100,J100)</f>
        <v/>
      </c>
      <c r="L100" s="74">
        <f>'مستخلص 12'!N100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12'!H101</f>
        <v/>
      </c>
      <c r="G101" s="72" t="n"/>
      <c r="H101" s="84">
        <f>F101+G101</f>
        <v/>
      </c>
      <c r="I101" s="109">
        <f>'مستخلص 12'!K101</f>
        <v/>
      </c>
      <c r="J101" s="68" t="n"/>
      <c r="K101" s="103">
        <f>IF(J101="",I101,J101)</f>
        <v/>
      </c>
      <c r="L101" s="108">
        <f>'مستخلص 12'!N101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12'!H102</f>
        <v/>
      </c>
      <c r="G102" s="72" t="n"/>
      <c r="H102" s="27">
        <f>F102+G102</f>
        <v/>
      </c>
      <c r="I102" s="107">
        <f>'مستخلص 12'!K102</f>
        <v/>
      </c>
      <c r="J102" s="68" t="n"/>
      <c r="K102" s="101">
        <f>IF(J102="",I102,J102)</f>
        <v/>
      </c>
      <c r="L102" s="74">
        <f>'مستخلص 12'!N102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12'!H103</f>
        <v/>
      </c>
      <c r="G103" s="72" t="n"/>
      <c r="H103" s="84">
        <f>F103+G103</f>
        <v/>
      </c>
      <c r="I103" s="109">
        <f>'مستخلص 12'!K103</f>
        <v/>
      </c>
      <c r="J103" s="68" t="n"/>
      <c r="K103" s="103">
        <f>IF(J103="",I103,J103)</f>
        <v/>
      </c>
      <c r="L103" s="108">
        <f>'مستخلص 12'!N103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12'!H104</f>
        <v/>
      </c>
      <c r="G104" s="72" t="n"/>
      <c r="H104" s="27">
        <f>F104+G104</f>
        <v/>
      </c>
      <c r="I104" s="107">
        <f>'مستخلص 12'!K104</f>
        <v/>
      </c>
      <c r="J104" s="68" t="n"/>
      <c r="K104" s="101">
        <f>IF(J104="",I104,J104)</f>
        <v/>
      </c>
      <c r="L104" s="74">
        <f>'مستخلص 12'!N104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12'!H105</f>
        <v/>
      </c>
      <c r="G105" s="72" t="n"/>
      <c r="H105" s="84">
        <f>F105+G105</f>
        <v/>
      </c>
      <c r="I105" s="109">
        <f>'مستخلص 12'!K105</f>
        <v/>
      </c>
      <c r="J105" s="68" t="n"/>
      <c r="K105" s="103">
        <f>IF(J105="",I105,J105)</f>
        <v/>
      </c>
      <c r="L105" s="108">
        <f>'مستخلص 12'!N105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12'!H106</f>
        <v/>
      </c>
      <c r="G106" s="72" t="n"/>
      <c r="H106" s="27">
        <f>F106+G106</f>
        <v/>
      </c>
      <c r="I106" s="107">
        <f>'مستخلص 12'!K106</f>
        <v/>
      </c>
      <c r="J106" s="68" t="n"/>
      <c r="K106" s="101">
        <f>IF(J106="",I106,J106)</f>
        <v/>
      </c>
      <c r="L106" s="74">
        <f>'مستخلص 12'!N106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12'!H107</f>
        <v/>
      </c>
      <c r="G107" s="72" t="n"/>
      <c r="H107" s="84">
        <f>F107+G107</f>
        <v/>
      </c>
      <c r="I107" s="109">
        <f>'مستخلص 12'!K107</f>
        <v/>
      </c>
      <c r="J107" s="68" t="n"/>
      <c r="K107" s="103">
        <f>IF(J107="",I107,J107)</f>
        <v/>
      </c>
      <c r="L107" s="108">
        <f>'مستخلص 12'!N107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12'!N111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12'!N112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12'!N113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12'!N114</f>
        <v/>
      </c>
      <c r="M114" s="27">
        <f>'الدفعات المقدمة'!I37</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12'!N115</f>
        <v/>
      </c>
      <c r="M115" s="27">
        <f>'ضمان الأعمال'!I28</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12'!N116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12'!N117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12'!N118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2'!A1" display="◀ المستخلص السابق (12)"/>
    <hyperlink ref="N3" location="'مستخلص 14'!A1" display="المستخلص التالي (14)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( 14 )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(13)</t>
        </is>
      </c>
      <c r="M3" s="4" t="n"/>
      <c r="N3" s="4" t="inlineStr">
        <is>
          <t>المستخلص التالي (15) ▶</t>
        </is>
      </c>
      <c r="O3" s="4" t="n"/>
      <c r="P3" s="4" t="n"/>
    </row>
    <row r="4" ht="24" customHeight="1">
      <c r="A4" s="96" t="inlineStr">
        <is>
          <t>رقم</t>
        </is>
      </c>
      <c r="B4" s="97" t="n">
        <v>14</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13'!H8</f>
        <v/>
      </c>
      <c r="G8" s="72" t="n"/>
      <c r="H8" s="27">
        <f>F8+G8</f>
        <v/>
      </c>
      <c r="I8" s="107">
        <f>'مستخلص 13'!K8</f>
        <v/>
      </c>
      <c r="J8" s="68" t="n"/>
      <c r="K8" s="101">
        <f>IF(J8="",I8,J8)</f>
        <v/>
      </c>
      <c r="L8" s="74">
        <f>'مستخلص 13'!N8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13'!H9</f>
        <v/>
      </c>
      <c r="G9" s="72" t="n"/>
      <c r="H9" s="84">
        <f>F9+G9</f>
        <v/>
      </c>
      <c r="I9" s="109">
        <f>'مستخلص 13'!K9</f>
        <v/>
      </c>
      <c r="J9" s="68" t="n"/>
      <c r="K9" s="103">
        <f>IF(J9="",I9,J9)</f>
        <v/>
      </c>
      <c r="L9" s="108">
        <f>'مستخلص 13'!N9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13'!H10</f>
        <v/>
      </c>
      <c r="G10" s="72" t="n"/>
      <c r="H10" s="27">
        <f>F10+G10</f>
        <v/>
      </c>
      <c r="I10" s="107">
        <f>'مستخلص 13'!K10</f>
        <v/>
      </c>
      <c r="J10" s="68" t="n"/>
      <c r="K10" s="101">
        <f>IF(J10="",I10,J10)</f>
        <v/>
      </c>
      <c r="L10" s="74">
        <f>'مستخلص 13'!N10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13'!H11</f>
        <v/>
      </c>
      <c r="G11" s="72" t="n"/>
      <c r="H11" s="84">
        <f>F11+G11</f>
        <v/>
      </c>
      <c r="I11" s="109">
        <f>'مستخلص 13'!K11</f>
        <v/>
      </c>
      <c r="J11" s="68" t="n"/>
      <c r="K11" s="103">
        <f>IF(J11="",I11,J11)</f>
        <v/>
      </c>
      <c r="L11" s="108">
        <f>'مستخلص 13'!N11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13'!H12</f>
        <v/>
      </c>
      <c r="G12" s="72" t="n"/>
      <c r="H12" s="27">
        <f>F12+G12</f>
        <v/>
      </c>
      <c r="I12" s="107">
        <f>'مستخلص 13'!K12</f>
        <v/>
      </c>
      <c r="J12" s="68" t="n"/>
      <c r="K12" s="101">
        <f>IF(J12="",I12,J12)</f>
        <v/>
      </c>
      <c r="L12" s="74">
        <f>'مستخلص 13'!N12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13'!H13</f>
        <v/>
      </c>
      <c r="G13" s="72" t="n"/>
      <c r="H13" s="84">
        <f>F13+G13</f>
        <v/>
      </c>
      <c r="I13" s="109">
        <f>'مستخلص 13'!K13</f>
        <v/>
      </c>
      <c r="J13" s="68" t="n"/>
      <c r="K13" s="103">
        <f>IF(J13="",I13,J13)</f>
        <v/>
      </c>
      <c r="L13" s="108">
        <f>'مستخلص 13'!N13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13'!H14</f>
        <v/>
      </c>
      <c r="G14" s="72" t="n"/>
      <c r="H14" s="27">
        <f>F14+G14</f>
        <v/>
      </c>
      <c r="I14" s="107">
        <f>'مستخلص 13'!K14</f>
        <v/>
      </c>
      <c r="J14" s="68" t="n"/>
      <c r="K14" s="101">
        <f>IF(J14="",I14,J14)</f>
        <v/>
      </c>
      <c r="L14" s="74">
        <f>'مستخلص 13'!N14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13'!H15</f>
        <v/>
      </c>
      <c r="G15" s="72" t="n"/>
      <c r="H15" s="84">
        <f>F15+G15</f>
        <v/>
      </c>
      <c r="I15" s="109">
        <f>'مستخلص 13'!K15</f>
        <v/>
      </c>
      <c r="J15" s="68" t="n"/>
      <c r="K15" s="103">
        <f>IF(J15="",I15,J15)</f>
        <v/>
      </c>
      <c r="L15" s="108">
        <f>'مستخلص 13'!N15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13'!H16</f>
        <v/>
      </c>
      <c r="G16" s="72" t="n"/>
      <c r="H16" s="27">
        <f>F16+G16</f>
        <v/>
      </c>
      <c r="I16" s="107">
        <f>'مستخلص 13'!K16</f>
        <v/>
      </c>
      <c r="J16" s="68" t="n"/>
      <c r="K16" s="101">
        <f>IF(J16="",I16,J16)</f>
        <v/>
      </c>
      <c r="L16" s="74">
        <f>'مستخلص 13'!N16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13'!H17</f>
        <v/>
      </c>
      <c r="G17" s="72" t="n"/>
      <c r="H17" s="84">
        <f>F17+G17</f>
        <v/>
      </c>
      <c r="I17" s="109">
        <f>'مستخلص 13'!K17</f>
        <v/>
      </c>
      <c r="J17" s="68" t="n"/>
      <c r="K17" s="103">
        <f>IF(J17="",I17,J17)</f>
        <v/>
      </c>
      <c r="L17" s="108">
        <f>'مستخلص 13'!N17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13'!H18</f>
        <v/>
      </c>
      <c r="G18" s="72" t="n"/>
      <c r="H18" s="27">
        <f>F18+G18</f>
        <v/>
      </c>
      <c r="I18" s="107">
        <f>'مستخلص 13'!K18</f>
        <v/>
      </c>
      <c r="J18" s="68" t="n"/>
      <c r="K18" s="101">
        <f>IF(J18="",I18,J18)</f>
        <v/>
      </c>
      <c r="L18" s="74">
        <f>'مستخلص 13'!N18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13'!H19</f>
        <v/>
      </c>
      <c r="G19" s="72" t="n"/>
      <c r="H19" s="84">
        <f>F19+G19</f>
        <v/>
      </c>
      <c r="I19" s="109">
        <f>'مستخلص 13'!K19</f>
        <v/>
      </c>
      <c r="J19" s="68" t="n"/>
      <c r="K19" s="103">
        <f>IF(J19="",I19,J19)</f>
        <v/>
      </c>
      <c r="L19" s="108">
        <f>'مستخلص 13'!N19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13'!H20</f>
        <v/>
      </c>
      <c r="G20" s="72" t="n"/>
      <c r="H20" s="27">
        <f>F20+G20</f>
        <v/>
      </c>
      <c r="I20" s="107">
        <f>'مستخلص 13'!K20</f>
        <v/>
      </c>
      <c r="J20" s="68" t="n"/>
      <c r="K20" s="101">
        <f>IF(J20="",I20,J20)</f>
        <v/>
      </c>
      <c r="L20" s="74">
        <f>'مستخلص 13'!N20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13'!H21</f>
        <v/>
      </c>
      <c r="G21" s="72" t="n"/>
      <c r="H21" s="84">
        <f>F21+G21</f>
        <v/>
      </c>
      <c r="I21" s="109">
        <f>'مستخلص 13'!K21</f>
        <v/>
      </c>
      <c r="J21" s="68" t="n"/>
      <c r="K21" s="103">
        <f>IF(J21="",I21,J21)</f>
        <v/>
      </c>
      <c r="L21" s="108">
        <f>'مستخلص 13'!N21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13'!H22</f>
        <v/>
      </c>
      <c r="G22" s="72" t="n"/>
      <c r="H22" s="27">
        <f>F22+G22</f>
        <v/>
      </c>
      <c r="I22" s="107">
        <f>'مستخلص 13'!K22</f>
        <v/>
      </c>
      <c r="J22" s="68" t="n"/>
      <c r="K22" s="101">
        <f>IF(J22="",I22,J22)</f>
        <v/>
      </c>
      <c r="L22" s="74">
        <f>'مستخلص 13'!N22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13'!H23</f>
        <v/>
      </c>
      <c r="G23" s="72" t="n"/>
      <c r="H23" s="84">
        <f>F23+G23</f>
        <v/>
      </c>
      <c r="I23" s="109">
        <f>'مستخلص 13'!K23</f>
        <v/>
      </c>
      <c r="J23" s="68" t="n"/>
      <c r="K23" s="103">
        <f>IF(J23="",I23,J23)</f>
        <v/>
      </c>
      <c r="L23" s="108">
        <f>'مستخلص 13'!N23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13'!H24</f>
        <v/>
      </c>
      <c r="G24" s="72" t="n"/>
      <c r="H24" s="27">
        <f>F24+G24</f>
        <v/>
      </c>
      <c r="I24" s="107">
        <f>'مستخلص 13'!K24</f>
        <v/>
      </c>
      <c r="J24" s="68" t="n"/>
      <c r="K24" s="101">
        <f>IF(J24="",I24,J24)</f>
        <v/>
      </c>
      <c r="L24" s="74">
        <f>'مستخلص 13'!N24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13'!H25</f>
        <v/>
      </c>
      <c r="G25" s="72" t="n"/>
      <c r="H25" s="84">
        <f>F25+G25</f>
        <v/>
      </c>
      <c r="I25" s="109">
        <f>'مستخلص 13'!K25</f>
        <v/>
      </c>
      <c r="J25" s="68" t="n"/>
      <c r="K25" s="103">
        <f>IF(J25="",I25,J25)</f>
        <v/>
      </c>
      <c r="L25" s="108">
        <f>'مستخلص 13'!N25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13'!H26</f>
        <v/>
      </c>
      <c r="G26" s="72" t="n"/>
      <c r="H26" s="27">
        <f>F26+G26</f>
        <v/>
      </c>
      <c r="I26" s="107">
        <f>'مستخلص 13'!K26</f>
        <v/>
      </c>
      <c r="J26" s="68" t="n"/>
      <c r="K26" s="101">
        <f>IF(J26="",I26,J26)</f>
        <v/>
      </c>
      <c r="L26" s="74">
        <f>'مستخلص 13'!N26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13'!H27</f>
        <v/>
      </c>
      <c r="G27" s="72" t="n"/>
      <c r="H27" s="84">
        <f>F27+G27</f>
        <v/>
      </c>
      <c r="I27" s="109">
        <f>'مستخلص 13'!K27</f>
        <v/>
      </c>
      <c r="J27" s="68" t="n"/>
      <c r="K27" s="103">
        <f>IF(J27="",I27,J27)</f>
        <v/>
      </c>
      <c r="L27" s="108">
        <f>'مستخلص 13'!N27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13'!H28</f>
        <v/>
      </c>
      <c r="G28" s="72" t="n"/>
      <c r="H28" s="27">
        <f>F28+G28</f>
        <v/>
      </c>
      <c r="I28" s="107">
        <f>'مستخلص 13'!K28</f>
        <v/>
      </c>
      <c r="J28" s="68" t="n"/>
      <c r="K28" s="101">
        <f>IF(J28="",I28,J28)</f>
        <v/>
      </c>
      <c r="L28" s="74">
        <f>'مستخلص 13'!N28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13'!H29</f>
        <v/>
      </c>
      <c r="G29" s="72" t="n"/>
      <c r="H29" s="84">
        <f>F29+G29</f>
        <v/>
      </c>
      <c r="I29" s="109">
        <f>'مستخلص 13'!K29</f>
        <v/>
      </c>
      <c r="J29" s="68" t="n"/>
      <c r="K29" s="103">
        <f>IF(J29="",I29,J29)</f>
        <v/>
      </c>
      <c r="L29" s="108">
        <f>'مستخلص 13'!N29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13'!H30</f>
        <v/>
      </c>
      <c r="G30" s="72" t="n"/>
      <c r="H30" s="27">
        <f>F30+G30</f>
        <v/>
      </c>
      <c r="I30" s="107">
        <f>'مستخلص 13'!K30</f>
        <v/>
      </c>
      <c r="J30" s="68" t="n"/>
      <c r="K30" s="101">
        <f>IF(J30="",I30,J30)</f>
        <v/>
      </c>
      <c r="L30" s="74">
        <f>'مستخلص 13'!N30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13'!H31</f>
        <v/>
      </c>
      <c r="G31" s="72" t="n"/>
      <c r="H31" s="84">
        <f>F31+G31</f>
        <v/>
      </c>
      <c r="I31" s="109">
        <f>'مستخلص 13'!K31</f>
        <v/>
      </c>
      <c r="J31" s="68" t="n"/>
      <c r="K31" s="103">
        <f>IF(J31="",I31,J31)</f>
        <v/>
      </c>
      <c r="L31" s="108">
        <f>'مستخلص 13'!N31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13'!H32</f>
        <v/>
      </c>
      <c r="G32" s="72" t="n"/>
      <c r="H32" s="27">
        <f>F32+G32</f>
        <v/>
      </c>
      <c r="I32" s="107">
        <f>'مستخلص 13'!K32</f>
        <v/>
      </c>
      <c r="J32" s="68" t="n"/>
      <c r="K32" s="101">
        <f>IF(J32="",I32,J32)</f>
        <v/>
      </c>
      <c r="L32" s="74">
        <f>'مستخلص 13'!N32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13'!H33</f>
        <v/>
      </c>
      <c r="G33" s="72" t="n"/>
      <c r="H33" s="84">
        <f>F33+G33</f>
        <v/>
      </c>
      <c r="I33" s="109">
        <f>'مستخلص 13'!K33</f>
        <v/>
      </c>
      <c r="J33" s="68" t="n"/>
      <c r="K33" s="103">
        <f>IF(J33="",I33,J33)</f>
        <v/>
      </c>
      <c r="L33" s="108">
        <f>'مستخلص 13'!N33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13'!H34</f>
        <v/>
      </c>
      <c r="G34" s="72" t="n"/>
      <c r="H34" s="27">
        <f>F34+G34</f>
        <v/>
      </c>
      <c r="I34" s="107">
        <f>'مستخلص 13'!K34</f>
        <v/>
      </c>
      <c r="J34" s="68" t="n"/>
      <c r="K34" s="101">
        <f>IF(J34="",I34,J34)</f>
        <v/>
      </c>
      <c r="L34" s="74">
        <f>'مستخلص 13'!N34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13'!H35</f>
        <v/>
      </c>
      <c r="G35" s="72" t="n"/>
      <c r="H35" s="84">
        <f>F35+G35</f>
        <v/>
      </c>
      <c r="I35" s="109">
        <f>'مستخلص 13'!K35</f>
        <v/>
      </c>
      <c r="J35" s="68" t="n"/>
      <c r="K35" s="103">
        <f>IF(J35="",I35,J35)</f>
        <v/>
      </c>
      <c r="L35" s="108">
        <f>'مستخلص 13'!N35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13'!H36</f>
        <v/>
      </c>
      <c r="G36" s="72" t="n"/>
      <c r="H36" s="27">
        <f>F36+G36</f>
        <v/>
      </c>
      <c r="I36" s="107">
        <f>'مستخلص 13'!K36</f>
        <v/>
      </c>
      <c r="J36" s="68" t="n"/>
      <c r="K36" s="101">
        <f>IF(J36="",I36,J36)</f>
        <v/>
      </c>
      <c r="L36" s="74">
        <f>'مستخلص 13'!N36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13'!H37</f>
        <v/>
      </c>
      <c r="G37" s="72" t="n"/>
      <c r="H37" s="84">
        <f>F37+G37</f>
        <v/>
      </c>
      <c r="I37" s="109">
        <f>'مستخلص 13'!K37</f>
        <v/>
      </c>
      <c r="J37" s="68" t="n"/>
      <c r="K37" s="103">
        <f>IF(J37="",I37,J37)</f>
        <v/>
      </c>
      <c r="L37" s="108">
        <f>'مستخلص 13'!N37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13'!H38</f>
        <v/>
      </c>
      <c r="G38" s="72" t="n"/>
      <c r="H38" s="27">
        <f>F38+G38</f>
        <v/>
      </c>
      <c r="I38" s="107">
        <f>'مستخلص 13'!K38</f>
        <v/>
      </c>
      <c r="J38" s="68" t="n"/>
      <c r="K38" s="101">
        <f>IF(J38="",I38,J38)</f>
        <v/>
      </c>
      <c r="L38" s="74">
        <f>'مستخلص 13'!N38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13'!H39</f>
        <v/>
      </c>
      <c r="G39" s="72" t="n"/>
      <c r="H39" s="84">
        <f>F39+G39</f>
        <v/>
      </c>
      <c r="I39" s="109">
        <f>'مستخلص 13'!K39</f>
        <v/>
      </c>
      <c r="J39" s="68" t="n"/>
      <c r="K39" s="103">
        <f>IF(J39="",I39,J39)</f>
        <v/>
      </c>
      <c r="L39" s="108">
        <f>'مستخلص 13'!N39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13'!H40</f>
        <v/>
      </c>
      <c r="G40" s="72" t="n"/>
      <c r="H40" s="27">
        <f>F40+G40</f>
        <v/>
      </c>
      <c r="I40" s="107">
        <f>'مستخلص 13'!K40</f>
        <v/>
      </c>
      <c r="J40" s="68" t="n"/>
      <c r="K40" s="101">
        <f>IF(J40="",I40,J40)</f>
        <v/>
      </c>
      <c r="L40" s="74">
        <f>'مستخلص 13'!N40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13'!H41</f>
        <v/>
      </c>
      <c r="G41" s="72" t="n"/>
      <c r="H41" s="84">
        <f>F41+G41</f>
        <v/>
      </c>
      <c r="I41" s="109">
        <f>'مستخلص 13'!K41</f>
        <v/>
      </c>
      <c r="J41" s="68" t="n"/>
      <c r="K41" s="103">
        <f>IF(J41="",I41,J41)</f>
        <v/>
      </c>
      <c r="L41" s="108">
        <f>'مستخلص 13'!N41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13'!H42</f>
        <v/>
      </c>
      <c r="G42" s="72" t="n"/>
      <c r="H42" s="27">
        <f>F42+G42</f>
        <v/>
      </c>
      <c r="I42" s="107">
        <f>'مستخلص 13'!K42</f>
        <v/>
      </c>
      <c r="J42" s="68" t="n"/>
      <c r="K42" s="101">
        <f>IF(J42="",I42,J42)</f>
        <v/>
      </c>
      <c r="L42" s="74">
        <f>'مستخلص 13'!N42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13'!H43</f>
        <v/>
      </c>
      <c r="G43" s="72" t="n"/>
      <c r="H43" s="84">
        <f>F43+G43</f>
        <v/>
      </c>
      <c r="I43" s="109">
        <f>'مستخلص 13'!K43</f>
        <v/>
      </c>
      <c r="J43" s="68" t="n"/>
      <c r="K43" s="103">
        <f>IF(J43="",I43,J43)</f>
        <v/>
      </c>
      <c r="L43" s="108">
        <f>'مستخلص 13'!N43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13'!H44</f>
        <v/>
      </c>
      <c r="G44" s="72" t="n"/>
      <c r="H44" s="27">
        <f>F44+G44</f>
        <v/>
      </c>
      <c r="I44" s="107">
        <f>'مستخلص 13'!K44</f>
        <v/>
      </c>
      <c r="J44" s="68" t="n"/>
      <c r="K44" s="101">
        <f>IF(J44="",I44,J44)</f>
        <v/>
      </c>
      <c r="L44" s="74">
        <f>'مستخلص 13'!N44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13'!H45</f>
        <v/>
      </c>
      <c r="G45" s="72" t="n"/>
      <c r="H45" s="84">
        <f>F45+G45</f>
        <v/>
      </c>
      <c r="I45" s="109">
        <f>'مستخلص 13'!K45</f>
        <v/>
      </c>
      <c r="J45" s="68" t="n"/>
      <c r="K45" s="103">
        <f>IF(J45="",I45,J45)</f>
        <v/>
      </c>
      <c r="L45" s="108">
        <f>'مستخلص 13'!N45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13'!H46</f>
        <v/>
      </c>
      <c r="G46" s="72" t="n"/>
      <c r="H46" s="27">
        <f>F46+G46</f>
        <v/>
      </c>
      <c r="I46" s="107">
        <f>'مستخلص 13'!K46</f>
        <v/>
      </c>
      <c r="J46" s="68" t="n"/>
      <c r="K46" s="101">
        <f>IF(J46="",I46,J46)</f>
        <v/>
      </c>
      <c r="L46" s="74">
        <f>'مستخلص 13'!N46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13'!H47</f>
        <v/>
      </c>
      <c r="G47" s="72" t="n"/>
      <c r="H47" s="84">
        <f>F47+G47</f>
        <v/>
      </c>
      <c r="I47" s="109">
        <f>'مستخلص 13'!K47</f>
        <v/>
      </c>
      <c r="J47" s="68" t="n"/>
      <c r="K47" s="103">
        <f>IF(J47="",I47,J47)</f>
        <v/>
      </c>
      <c r="L47" s="108">
        <f>'مستخلص 13'!N47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13'!H48</f>
        <v/>
      </c>
      <c r="G48" s="72" t="n"/>
      <c r="H48" s="27">
        <f>F48+G48</f>
        <v/>
      </c>
      <c r="I48" s="107">
        <f>'مستخلص 13'!K48</f>
        <v/>
      </c>
      <c r="J48" s="68" t="n"/>
      <c r="K48" s="101">
        <f>IF(J48="",I48,J48)</f>
        <v/>
      </c>
      <c r="L48" s="74">
        <f>'مستخلص 13'!N48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13'!H49</f>
        <v/>
      </c>
      <c r="G49" s="72" t="n"/>
      <c r="H49" s="84">
        <f>F49+G49</f>
        <v/>
      </c>
      <c r="I49" s="109">
        <f>'مستخلص 13'!K49</f>
        <v/>
      </c>
      <c r="J49" s="68" t="n"/>
      <c r="K49" s="103">
        <f>IF(J49="",I49,J49)</f>
        <v/>
      </c>
      <c r="L49" s="108">
        <f>'مستخلص 13'!N49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13'!H50</f>
        <v/>
      </c>
      <c r="G50" s="72" t="n"/>
      <c r="H50" s="27">
        <f>F50+G50</f>
        <v/>
      </c>
      <c r="I50" s="107">
        <f>'مستخلص 13'!K50</f>
        <v/>
      </c>
      <c r="J50" s="68" t="n"/>
      <c r="K50" s="101">
        <f>IF(J50="",I50,J50)</f>
        <v/>
      </c>
      <c r="L50" s="74">
        <f>'مستخلص 13'!N50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13'!H51</f>
        <v/>
      </c>
      <c r="G51" s="72" t="n"/>
      <c r="H51" s="84">
        <f>F51+G51</f>
        <v/>
      </c>
      <c r="I51" s="109">
        <f>'مستخلص 13'!K51</f>
        <v/>
      </c>
      <c r="J51" s="68" t="n"/>
      <c r="K51" s="103">
        <f>IF(J51="",I51,J51)</f>
        <v/>
      </c>
      <c r="L51" s="108">
        <f>'مستخلص 13'!N51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13'!H52</f>
        <v/>
      </c>
      <c r="G52" s="72" t="n"/>
      <c r="H52" s="27">
        <f>F52+G52</f>
        <v/>
      </c>
      <c r="I52" s="107">
        <f>'مستخلص 13'!K52</f>
        <v/>
      </c>
      <c r="J52" s="68" t="n"/>
      <c r="K52" s="101">
        <f>IF(J52="",I52,J52)</f>
        <v/>
      </c>
      <c r="L52" s="74">
        <f>'مستخلص 13'!N52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13'!H53</f>
        <v/>
      </c>
      <c r="G53" s="72" t="n"/>
      <c r="H53" s="84">
        <f>F53+G53</f>
        <v/>
      </c>
      <c r="I53" s="109">
        <f>'مستخلص 13'!K53</f>
        <v/>
      </c>
      <c r="J53" s="68" t="n"/>
      <c r="K53" s="103">
        <f>IF(J53="",I53,J53)</f>
        <v/>
      </c>
      <c r="L53" s="108">
        <f>'مستخلص 13'!N53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13'!H54</f>
        <v/>
      </c>
      <c r="G54" s="72" t="n"/>
      <c r="H54" s="27">
        <f>F54+G54</f>
        <v/>
      </c>
      <c r="I54" s="107">
        <f>'مستخلص 13'!K54</f>
        <v/>
      </c>
      <c r="J54" s="68" t="n"/>
      <c r="K54" s="101">
        <f>IF(J54="",I54,J54)</f>
        <v/>
      </c>
      <c r="L54" s="74">
        <f>'مستخلص 13'!N54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13'!H55</f>
        <v/>
      </c>
      <c r="G55" s="72" t="n"/>
      <c r="H55" s="84">
        <f>F55+G55</f>
        <v/>
      </c>
      <c r="I55" s="109">
        <f>'مستخلص 13'!K55</f>
        <v/>
      </c>
      <c r="J55" s="68" t="n"/>
      <c r="K55" s="103">
        <f>IF(J55="",I55,J55)</f>
        <v/>
      </c>
      <c r="L55" s="108">
        <f>'مستخلص 13'!N55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13'!H56</f>
        <v/>
      </c>
      <c r="G56" s="72" t="n"/>
      <c r="H56" s="27">
        <f>F56+G56</f>
        <v/>
      </c>
      <c r="I56" s="107">
        <f>'مستخلص 13'!K56</f>
        <v/>
      </c>
      <c r="J56" s="68" t="n"/>
      <c r="K56" s="101">
        <f>IF(J56="",I56,J56)</f>
        <v/>
      </c>
      <c r="L56" s="74">
        <f>'مستخلص 13'!N56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13'!H57</f>
        <v/>
      </c>
      <c r="G57" s="72" t="n"/>
      <c r="H57" s="84">
        <f>F57+G57</f>
        <v/>
      </c>
      <c r="I57" s="109">
        <f>'مستخلص 13'!K57</f>
        <v/>
      </c>
      <c r="J57" s="68" t="n"/>
      <c r="K57" s="103">
        <f>IF(J57="",I57,J57)</f>
        <v/>
      </c>
      <c r="L57" s="108">
        <f>'مستخلص 13'!N57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13'!H58</f>
        <v/>
      </c>
      <c r="G58" s="72" t="n"/>
      <c r="H58" s="27">
        <f>F58+G58</f>
        <v/>
      </c>
      <c r="I58" s="107">
        <f>'مستخلص 13'!K58</f>
        <v/>
      </c>
      <c r="J58" s="68" t="n"/>
      <c r="K58" s="101">
        <f>IF(J58="",I58,J58)</f>
        <v/>
      </c>
      <c r="L58" s="74">
        <f>'مستخلص 13'!N58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13'!H59</f>
        <v/>
      </c>
      <c r="G59" s="72" t="n"/>
      <c r="H59" s="84">
        <f>F59+G59</f>
        <v/>
      </c>
      <c r="I59" s="109">
        <f>'مستخلص 13'!K59</f>
        <v/>
      </c>
      <c r="J59" s="68" t="n"/>
      <c r="K59" s="103">
        <f>IF(J59="",I59,J59)</f>
        <v/>
      </c>
      <c r="L59" s="108">
        <f>'مستخلص 13'!N59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13'!H60</f>
        <v/>
      </c>
      <c r="G60" s="72" t="n"/>
      <c r="H60" s="27">
        <f>F60+G60</f>
        <v/>
      </c>
      <c r="I60" s="107">
        <f>'مستخلص 13'!K60</f>
        <v/>
      </c>
      <c r="J60" s="68" t="n"/>
      <c r="K60" s="101">
        <f>IF(J60="",I60,J60)</f>
        <v/>
      </c>
      <c r="L60" s="74">
        <f>'مستخلص 13'!N60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13'!H61</f>
        <v/>
      </c>
      <c r="G61" s="72" t="n"/>
      <c r="H61" s="84">
        <f>F61+G61</f>
        <v/>
      </c>
      <c r="I61" s="109">
        <f>'مستخلص 13'!K61</f>
        <v/>
      </c>
      <c r="J61" s="68" t="n"/>
      <c r="K61" s="103">
        <f>IF(J61="",I61,J61)</f>
        <v/>
      </c>
      <c r="L61" s="108">
        <f>'مستخلص 13'!N61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13'!H62</f>
        <v/>
      </c>
      <c r="G62" s="72" t="n"/>
      <c r="H62" s="27">
        <f>F62+G62</f>
        <v/>
      </c>
      <c r="I62" s="107">
        <f>'مستخلص 13'!K62</f>
        <v/>
      </c>
      <c r="J62" s="68" t="n"/>
      <c r="K62" s="101">
        <f>IF(J62="",I62,J62)</f>
        <v/>
      </c>
      <c r="L62" s="74">
        <f>'مستخلص 13'!N62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13'!H63</f>
        <v/>
      </c>
      <c r="G63" s="72" t="n"/>
      <c r="H63" s="84">
        <f>F63+G63</f>
        <v/>
      </c>
      <c r="I63" s="109">
        <f>'مستخلص 13'!K63</f>
        <v/>
      </c>
      <c r="J63" s="68" t="n"/>
      <c r="K63" s="103">
        <f>IF(J63="",I63,J63)</f>
        <v/>
      </c>
      <c r="L63" s="108">
        <f>'مستخلص 13'!N63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13'!H64</f>
        <v/>
      </c>
      <c r="G64" s="72" t="n"/>
      <c r="H64" s="27">
        <f>F64+G64</f>
        <v/>
      </c>
      <c r="I64" s="107">
        <f>'مستخلص 13'!K64</f>
        <v/>
      </c>
      <c r="J64" s="68" t="n"/>
      <c r="K64" s="101">
        <f>IF(J64="",I64,J64)</f>
        <v/>
      </c>
      <c r="L64" s="74">
        <f>'مستخلص 13'!N64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13'!H65</f>
        <v/>
      </c>
      <c r="G65" s="72" t="n"/>
      <c r="H65" s="84">
        <f>F65+G65</f>
        <v/>
      </c>
      <c r="I65" s="109">
        <f>'مستخلص 13'!K65</f>
        <v/>
      </c>
      <c r="J65" s="68" t="n"/>
      <c r="K65" s="103">
        <f>IF(J65="",I65,J65)</f>
        <v/>
      </c>
      <c r="L65" s="108">
        <f>'مستخلص 13'!N65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13'!H66</f>
        <v/>
      </c>
      <c r="G66" s="72" t="n"/>
      <c r="H66" s="27">
        <f>F66+G66</f>
        <v/>
      </c>
      <c r="I66" s="107">
        <f>'مستخلص 13'!K66</f>
        <v/>
      </c>
      <c r="J66" s="68" t="n"/>
      <c r="K66" s="101">
        <f>IF(J66="",I66,J66)</f>
        <v/>
      </c>
      <c r="L66" s="74">
        <f>'مستخلص 13'!N66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13'!H67</f>
        <v/>
      </c>
      <c r="G67" s="72" t="n"/>
      <c r="H67" s="84">
        <f>F67+G67</f>
        <v/>
      </c>
      <c r="I67" s="109">
        <f>'مستخلص 13'!K67</f>
        <v/>
      </c>
      <c r="J67" s="68" t="n"/>
      <c r="K67" s="103">
        <f>IF(J67="",I67,J67)</f>
        <v/>
      </c>
      <c r="L67" s="108">
        <f>'مستخلص 13'!N67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13'!H68</f>
        <v/>
      </c>
      <c r="G68" s="72" t="n"/>
      <c r="H68" s="27">
        <f>F68+G68</f>
        <v/>
      </c>
      <c r="I68" s="107">
        <f>'مستخلص 13'!K68</f>
        <v/>
      </c>
      <c r="J68" s="68" t="n"/>
      <c r="K68" s="101">
        <f>IF(J68="",I68,J68)</f>
        <v/>
      </c>
      <c r="L68" s="74">
        <f>'مستخلص 13'!N68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13'!H69</f>
        <v/>
      </c>
      <c r="G69" s="72" t="n"/>
      <c r="H69" s="84">
        <f>F69+G69</f>
        <v/>
      </c>
      <c r="I69" s="109">
        <f>'مستخلص 13'!K69</f>
        <v/>
      </c>
      <c r="J69" s="68" t="n"/>
      <c r="K69" s="103">
        <f>IF(J69="",I69,J69)</f>
        <v/>
      </c>
      <c r="L69" s="108">
        <f>'مستخلص 13'!N69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13'!H70</f>
        <v/>
      </c>
      <c r="G70" s="72" t="n"/>
      <c r="H70" s="27">
        <f>F70+G70</f>
        <v/>
      </c>
      <c r="I70" s="107">
        <f>'مستخلص 13'!K70</f>
        <v/>
      </c>
      <c r="J70" s="68" t="n"/>
      <c r="K70" s="101">
        <f>IF(J70="",I70,J70)</f>
        <v/>
      </c>
      <c r="L70" s="74">
        <f>'مستخلص 13'!N70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13'!H71</f>
        <v/>
      </c>
      <c r="G71" s="72" t="n"/>
      <c r="H71" s="84">
        <f>F71+G71</f>
        <v/>
      </c>
      <c r="I71" s="109">
        <f>'مستخلص 13'!K71</f>
        <v/>
      </c>
      <c r="J71" s="68" t="n"/>
      <c r="K71" s="103">
        <f>IF(J71="",I71,J71)</f>
        <v/>
      </c>
      <c r="L71" s="108">
        <f>'مستخلص 13'!N71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13'!H72</f>
        <v/>
      </c>
      <c r="G72" s="72" t="n"/>
      <c r="H72" s="27">
        <f>F72+G72</f>
        <v/>
      </c>
      <c r="I72" s="107">
        <f>'مستخلص 13'!K72</f>
        <v/>
      </c>
      <c r="J72" s="68" t="n"/>
      <c r="K72" s="101">
        <f>IF(J72="",I72,J72)</f>
        <v/>
      </c>
      <c r="L72" s="74">
        <f>'مستخلص 13'!N72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13'!H73</f>
        <v/>
      </c>
      <c r="G73" s="72" t="n"/>
      <c r="H73" s="84">
        <f>F73+G73</f>
        <v/>
      </c>
      <c r="I73" s="109">
        <f>'مستخلص 13'!K73</f>
        <v/>
      </c>
      <c r="J73" s="68" t="n"/>
      <c r="K73" s="103">
        <f>IF(J73="",I73,J73)</f>
        <v/>
      </c>
      <c r="L73" s="108">
        <f>'مستخلص 13'!N73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13'!H74</f>
        <v/>
      </c>
      <c r="G74" s="72" t="n"/>
      <c r="H74" s="27">
        <f>F74+G74</f>
        <v/>
      </c>
      <c r="I74" s="107">
        <f>'مستخلص 13'!K74</f>
        <v/>
      </c>
      <c r="J74" s="68" t="n"/>
      <c r="K74" s="101">
        <f>IF(J74="",I74,J74)</f>
        <v/>
      </c>
      <c r="L74" s="74">
        <f>'مستخلص 13'!N74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13'!H75</f>
        <v/>
      </c>
      <c r="G75" s="72" t="n"/>
      <c r="H75" s="84">
        <f>F75+G75</f>
        <v/>
      </c>
      <c r="I75" s="109">
        <f>'مستخلص 13'!K75</f>
        <v/>
      </c>
      <c r="J75" s="68" t="n"/>
      <c r="K75" s="103">
        <f>IF(J75="",I75,J75)</f>
        <v/>
      </c>
      <c r="L75" s="108">
        <f>'مستخلص 13'!N75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13'!H76</f>
        <v/>
      </c>
      <c r="G76" s="72" t="n"/>
      <c r="H76" s="27">
        <f>F76+G76</f>
        <v/>
      </c>
      <c r="I76" s="107">
        <f>'مستخلص 13'!K76</f>
        <v/>
      </c>
      <c r="J76" s="68" t="n"/>
      <c r="K76" s="101">
        <f>IF(J76="",I76,J76)</f>
        <v/>
      </c>
      <c r="L76" s="74">
        <f>'مستخلص 13'!N76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13'!H77</f>
        <v/>
      </c>
      <c r="G77" s="72" t="n"/>
      <c r="H77" s="84">
        <f>F77+G77</f>
        <v/>
      </c>
      <c r="I77" s="109">
        <f>'مستخلص 13'!K77</f>
        <v/>
      </c>
      <c r="J77" s="68" t="n"/>
      <c r="K77" s="103">
        <f>IF(J77="",I77,J77)</f>
        <v/>
      </c>
      <c r="L77" s="108">
        <f>'مستخلص 13'!N77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13'!H78</f>
        <v/>
      </c>
      <c r="G78" s="72" t="n"/>
      <c r="H78" s="27">
        <f>F78+G78</f>
        <v/>
      </c>
      <c r="I78" s="107">
        <f>'مستخلص 13'!K78</f>
        <v/>
      </c>
      <c r="J78" s="68" t="n"/>
      <c r="K78" s="101">
        <f>IF(J78="",I78,J78)</f>
        <v/>
      </c>
      <c r="L78" s="74">
        <f>'مستخلص 13'!N78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13'!H79</f>
        <v/>
      </c>
      <c r="G79" s="72" t="n"/>
      <c r="H79" s="84">
        <f>F79+G79</f>
        <v/>
      </c>
      <c r="I79" s="109">
        <f>'مستخلص 13'!K79</f>
        <v/>
      </c>
      <c r="J79" s="68" t="n"/>
      <c r="K79" s="103">
        <f>IF(J79="",I79,J79)</f>
        <v/>
      </c>
      <c r="L79" s="108">
        <f>'مستخلص 13'!N79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13'!H80</f>
        <v/>
      </c>
      <c r="G80" s="72" t="n"/>
      <c r="H80" s="27">
        <f>F80+G80</f>
        <v/>
      </c>
      <c r="I80" s="107">
        <f>'مستخلص 13'!K80</f>
        <v/>
      </c>
      <c r="J80" s="68" t="n"/>
      <c r="K80" s="101">
        <f>IF(J80="",I80,J80)</f>
        <v/>
      </c>
      <c r="L80" s="74">
        <f>'مستخلص 13'!N80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13'!H81</f>
        <v/>
      </c>
      <c r="G81" s="72" t="n"/>
      <c r="H81" s="84">
        <f>F81+G81</f>
        <v/>
      </c>
      <c r="I81" s="109">
        <f>'مستخلص 13'!K81</f>
        <v/>
      </c>
      <c r="J81" s="68" t="n"/>
      <c r="K81" s="103">
        <f>IF(J81="",I81,J81)</f>
        <v/>
      </c>
      <c r="L81" s="108">
        <f>'مستخلص 13'!N81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13'!H82</f>
        <v/>
      </c>
      <c r="G82" s="72" t="n"/>
      <c r="H82" s="27">
        <f>F82+G82</f>
        <v/>
      </c>
      <c r="I82" s="107">
        <f>'مستخلص 13'!K82</f>
        <v/>
      </c>
      <c r="J82" s="68" t="n"/>
      <c r="K82" s="101">
        <f>IF(J82="",I82,J82)</f>
        <v/>
      </c>
      <c r="L82" s="74">
        <f>'مستخلص 13'!N82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13'!H83</f>
        <v/>
      </c>
      <c r="G83" s="72" t="n"/>
      <c r="H83" s="84">
        <f>F83+G83</f>
        <v/>
      </c>
      <c r="I83" s="109">
        <f>'مستخلص 13'!K83</f>
        <v/>
      </c>
      <c r="J83" s="68" t="n"/>
      <c r="K83" s="103">
        <f>IF(J83="",I83,J83)</f>
        <v/>
      </c>
      <c r="L83" s="108">
        <f>'مستخلص 13'!N83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13'!H84</f>
        <v/>
      </c>
      <c r="G84" s="72" t="n"/>
      <c r="H84" s="27">
        <f>F84+G84</f>
        <v/>
      </c>
      <c r="I84" s="107">
        <f>'مستخلص 13'!K84</f>
        <v/>
      </c>
      <c r="J84" s="68" t="n"/>
      <c r="K84" s="101">
        <f>IF(J84="",I84,J84)</f>
        <v/>
      </c>
      <c r="L84" s="74">
        <f>'مستخلص 13'!N84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13'!H85</f>
        <v/>
      </c>
      <c r="G85" s="72" t="n"/>
      <c r="H85" s="84">
        <f>F85+G85</f>
        <v/>
      </c>
      <c r="I85" s="109">
        <f>'مستخلص 13'!K85</f>
        <v/>
      </c>
      <c r="J85" s="68" t="n"/>
      <c r="K85" s="103">
        <f>IF(J85="",I85,J85)</f>
        <v/>
      </c>
      <c r="L85" s="108">
        <f>'مستخلص 13'!N85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13'!H86</f>
        <v/>
      </c>
      <c r="G86" s="72" t="n"/>
      <c r="H86" s="27">
        <f>F86+G86</f>
        <v/>
      </c>
      <c r="I86" s="107">
        <f>'مستخلص 13'!K86</f>
        <v/>
      </c>
      <c r="J86" s="68" t="n"/>
      <c r="K86" s="101">
        <f>IF(J86="",I86,J86)</f>
        <v/>
      </c>
      <c r="L86" s="74">
        <f>'مستخلص 13'!N86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13'!H87</f>
        <v/>
      </c>
      <c r="G87" s="72" t="n"/>
      <c r="H87" s="84">
        <f>F87+G87</f>
        <v/>
      </c>
      <c r="I87" s="109">
        <f>'مستخلص 13'!K87</f>
        <v/>
      </c>
      <c r="J87" s="68" t="n"/>
      <c r="K87" s="103">
        <f>IF(J87="",I87,J87)</f>
        <v/>
      </c>
      <c r="L87" s="108">
        <f>'مستخلص 13'!N87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13'!H88</f>
        <v/>
      </c>
      <c r="G88" s="72" t="n"/>
      <c r="H88" s="27">
        <f>F88+G88</f>
        <v/>
      </c>
      <c r="I88" s="107">
        <f>'مستخلص 13'!K88</f>
        <v/>
      </c>
      <c r="J88" s="68" t="n"/>
      <c r="K88" s="101">
        <f>IF(J88="",I88,J88)</f>
        <v/>
      </c>
      <c r="L88" s="74">
        <f>'مستخلص 13'!N88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13'!H89</f>
        <v/>
      </c>
      <c r="G89" s="72" t="n"/>
      <c r="H89" s="84">
        <f>F89+G89</f>
        <v/>
      </c>
      <c r="I89" s="109">
        <f>'مستخلص 13'!K89</f>
        <v/>
      </c>
      <c r="J89" s="68" t="n"/>
      <c r="K89" s="103">
        <f>IF(J89="",I89,J89)</f>
        <v/>
      </c>
      <c r="L89" s="108">
        <f>'مستخلص 13'!N89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13'!H90</f>
        <v/>
      </c>
      <c r="G90" s="72" t="n"/>
      <c r="H90" s="27">
        <f>F90+G90</f>
        <v/>
      </c>
      <c r="I90" s="107">
        <f>'مستخلص 13'!K90</f>
        <v/>
      </c>
      <c r="J90" s="68" t="n"/>
      <c r="K90" s="101">
        <f>IF(J90="",I90,J90)</f>
        <v/>
      </c>
      <c r="L90" s="74">
        <f>'مستخلص 13'!N90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13'!H91</f>
        <v/>
      </c>
      <c r="G91" s="72" t="n"/>
      <c r="H91" s="84">
        <f>F91+G91</f>
        <v/>
      </c>
      <c r="I91" s="109">
        <f>'مستخلص 13'!K91</f>
        <v/>
      </c>
      <c r="J91" s="68" t="n"/>
      <c r="K91" s="103">
        <f>IF(J91="",I91,J91)</f>
        <v/>
      </c>
      <c r="L91" s="108">
        <f>'مستخلص 13'!N91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13'!H92</f>
        <v/>
      </c>
      <c r="G92" s="72" t="n"/>
      <c r="H92" s="27">
        <f>F92+G92</f>
        <v/>
      </c>
      <c r="I92" s="107">
        <f>'مستخلص 13'!K92</f>
        <v/>
      </c>
      <c r="J92" s="68" t="n"/>
      <c r="K92" s="101">
        <f>IF(J92="",I92,J92)</f>
        <v/>
      </c>
      <c r="L92" s="74">
        <f>'مستخلص 13'!N92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13'!H93</f>
        <v/>
      </c>
      <c r="G93" s="72" t="n"/>
      <c r="H93" s="84">
        <f>F93+G93</f>
        <v/>
      </c>
      <c r="I93" s="109">
        <f>'مستخلص 13'!K93</f>
        <v/>
      </c>
      <c r="J93" s="68" t="n"/>
      <c r="K93" s="103">
        <f>IF(J93="",I93,J93)</f>
        <v/>
      </c>
      <c r="L93" s="108">
        <f>'مستخلص 13'!N93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13'!H94</f>
        <v/>
      </c>
      <c r="G94" s="72" t="n"/>
      <c r="H94" s="27">
        <f>F94+G94</f>
        <v/>
      </c>
      <c r="I94" s="107">
        <f>'مستخلص 13'!K94</f>
        <v/>
      </c>
      <c r="J94" s="68" t="n"/>
      <c r="K94" s="101">
        <f>IF(J94="",I94,J94)</f>
        <v/>
      </c>
      <c r="L94" s="74">
        <f>'مستخلص 13'!N94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13'!H95</f>
        <v/>
      </c>
      <c r="G95" s="72" t="n"/>
      <c r="H95" s="84">
        <f>F95+G95</f>
        <v/>
      </c>
      <c r="I95" s="109">
        <f>'مستخلص 13'!K95</f>
        <v/>
      </c>
      <c r="J95" s="68" t="n"/>
      <c r="K95" s="103">
        <f>IF(J95="",I95,J95)</f>
        <v/>
      </c>
      <c r="L95" s="108">
        <f>'مستخلص 13'!N95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13'!H96</f>
        <v/>
      </c>
      <c r="G96" s="72" t="n"/>
      <c r="H96" s="27">
        <f>F96+G96</f>
        <v/>
      </c>
      <c r="I96" s="107">
        <f>'مستخلص 13'!K96</f>
        <v/>
      </c>
      <c r="J96" s="68" t="n"/>
      <c r="K96" s="101">
        <f>IF(J96="",I96,J96)</f>
        <v/>
      </c>
      <c r="L96" s="74">
        <f>'مستخلص 13'!N96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13'!H97</f>
        <v/>
      </c>
      <c r="G97" s="72" t="n"/>
      <c r="H97" s="84">
        <f>F97+G97</f>
        <v/>
      </c>
      <c r="I97" s="109">
        <f>'مستخلص 13'!K97</f>
        <v/>
      </c>
      <c r="J97" s="68" t="n"/>
      <c r="K97" s="103">
        <f>IF(J97="",I97,J97)</f>
        <v/>
      </c>
      <c r="L97" s="108">
        <f>'مستخلص 13'!N97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13'!H98</f>
        <v/>
      </c>
      <c r="G98" s="72" t="n"/>
      <c r="H98" s="27">
        <f>F98+G98</f>
        <v/>
      </c>
      <c r="I98" s="107">
        <f>'مستخلص 13'!K98</f>
        <v/>
      </c>
      <c r="J98" s="68" t="n"/>
      <c r="K98" s="101">
        <f>IF(J98="",I98,J98)</f>
        <v/>
      </c>
      <c r="L98" s="74">
        <f>'مستخلص 13'!N98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13'!H99</f>
        <v/>
      </c>
      <c r="G99" s="72" t="n"/>
      <c r="H99" s="84">
        <f>F99+G99</f>
        <v/>
      </c>
      <c r="I99" s="109">
        <f>'مستخلص 13'!K99</f>
        <v/>
      </c>
      <c r="J99" s="68" t="n"/>
      <c r="K99" s="103">
        <f>IF(J99="",I99,J99)</f>
        <v/>
      </c>
      <c r="L99" s="108">
        <f>'مستخلص 13'!N99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13'!H100</f>
        <v/>
      </c>
      <c r="G100" s="72" t="n"/>
      <c r="H100" s="27">
        <f>F100+G100</f>
        <v/>
      </c>
      <c r="I100" s="107">
        <f>'مستخلص 13'!K100</f>
        <v/>
      </c>
      <c r="J100" s="68" t="n"/>
      <c r="K100" s="101">
        <f>IF(J100="",I100,J100)</f>
        <v/>
      </c>
      <c r="L100" s="74">
        <f>'مستخلص 13'!N100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13'!H101</f>
        <v/>
      </c>
      <c r="G101" s="72" t="n"/>
      <c r="H101" s="84">
        <f>F101+G101</f>
        <v/>
      </c>
      <c r="I101" s="109">
        <f>'مستخلص 13'!K101</f>
        <v/>
      </c>
      <c r="J101" s="68" t="n"/>
      <c r="K101" s="103">
        <f>IF(J101="",I101,J101)</f>
        <v/>
      </c>
      <c r="L101" s="108">
        <f>'مستخلص 13'!N101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13'!H102</f>
        <v/>
      </c>
      <c r="G102" s="72" t="n"/>
      <c r="H102" s="27">
        <f>F102+G102</f>
        <v/>
      </c>
      <c r="I102" s="107">
        <f>'مستخلص 13'!K102</f>
        <v/>
      </c>
      <c r="J102" s="68" t="n"/>
      <c r="K102" s="101">
        <f>IF(J102="",I102,J102)</f>
        <v/>
      </c>
      <c r="L102" s="74">
        <f>'مستخلص 13'!N102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13'!H103</f>
        <v/>
      </c>
      <c r="G103" s="72" t="n"/>
      <c r="H103" s="84">
        <f>F103+G103</f>
        <v/>
      </c>
      <c r="I103" s="109">
        <f>'مستخلص 13'!K103</f>
        <v/>
      </c>
      <c r="J103" s="68" t="n"/>
      <c r="K103" s="103">
        <f>IF(J103="",I103,J103)</f>
        <v/>
      </c>
      <c r="L103" s="108">
        <f>'مستخلص 13'!N103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13'!H104</f>
        <v/>
      </c>
      <c r="G104" s="72" t="n"/>
      <c r="H104" s="27">
        <f>F104+G104</f>
        <v/>
      </c>
      <c r="I104" s="107">
        <f>'مستخلص 13'!K104</f>
        <v/>
      </c>
      <c r="J104" s="68" t="n"/>
      <c r="K104" s="101">
        <f>IF(J104="",I104,J104)</f>
        <v/>
      </c>
      <c r="L104" s="74">
        <f>'مستخلص 13'!N104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13'!H105</f>
        <v/>
      </c>
      <c r="G105" s="72" t="n"/>
      <c r="H105" s="84">
        <f>F105+G105</f>
        <v/>
      </c>
      <c r="I105" s="109">
        <f>'مستخلص 13'!K105</f>
        <v/>
      </c>
      <c r="J105" s="68" t="n"/>
      <c r="K105" s="103">
        <f>IF(J105="",I105,J105)</f>
        <v/>
      </c>
      <c r="L105" s="108">
        <f>'مستخلص 13'!N105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13'!H106</f>
        <v/>
      </c>
      <c r="G106" s="72" t="n"/>
      <c r="H106" s="27">
        <f>F106+G106</f>
        <v/>
      </c>
      <c r="I106" s="107">
        <f>'مستخلص 13'!K106</f>
        <v/>
      </c>
      <c r="J106" s="68" t="n"/>
      <c r="K106" s="101">
        <f>IF(J106="",I106,J106)</f>
        <v/>
      </c>
      <c r="L106" s="74">
        <f>'مستخلص 13'!N106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13'!H107</f>
        <v/>
      </c>
      <c r="G107" s="72" t="n"/>
      <c r="H107" s="84">
        <f>F107+G107</f>
        <v/>
      </c>
      <c r="I107" s="109">
        <f>'مستخلص 13'!K107</f>
        <v/>
      </c>
      <c r="J107" s="68" t="n"/>
      <c r="K107" s="103">
        <f>IF(J107="",I107,J107)</f>
        <v/>
      </c>
      <c r="L107" s="108">
        <f>'مستخلص 13'!N107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13'!N111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13'!N112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13'!N113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13'!N114</f>
        <v/>
      </c>
      <c r="M114" s="27">
        <f>'الدفعات المقدمة'!I38</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13'!N115</f>
        <v/>
      </c>
      <c r="M115" s="27">
        <f>'ضمان الأعمال'!I29</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13'!N116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13'!N117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13'!N118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3'!A1" display="◀ المستخلص السابق (13)"/>
    <hyperlink ref="N3" location="'مستخلص 15'!A1" display="المستخلص التالي (15)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( 15 )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(14)</t>
        </is>
      </c>
      <c r="M3" s="4" t="n"/>
      <c r="N3" s="4" t="inlineStr">
        <is>
          <t>المستخلص التالي (16) ▶</t>
        </is>
      </c>
      <c r="O3" s="4" t="n"/>
      <c r="P3" s="4" t="n"/>
    </row>
    <row r="4" ht="24" customHeight="1">
      <c r="A4" s="96" t="inlineStr">
        <is>
          <t>رقم</t>
        </is>
      </c>
      <c r="B4" s="97" t="n">
        <v>15</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14'!H8</f>
        <v/>
      </c>
      <c r="G8" s="72" t="n"/>
      <c r="H8" s="27">
        <f>F8+G8</f>
        <v/>
      </c>
      <c r="I8" s="107">
        <f>'مستخلص 14'!K8</f>
        <v/>
      </c>
      <c r="J8" s="68" t="n"/>
      <c r="K8" s="101">
        <f>IF(J8="",I8,J8)</f>
        <v/>
      </c>
      <c r="L8" s="74">
        <f>'مستخلص 14'!N8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14'!H9</f>
        <v/>
      </c>
      <c r="G9" s="72" t="n"/>
      <c r="H9" s="84">
        <f>F9+G9</f>
        <v/>
      </c>
      <c r="I9" s="109">
        <f>'مستخلص 14'!K9</f>
        <v/>
      </c>
      <c r="J9" s="68" t="n"/>
      <c r="K9" s="103">
        <f>IF(J9="",I9,J9)</f>
        <v/>
      </c>
      <c r="L9" s="108">
        <f>'مستخلص 14'!N9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14'!H10</f>
        <v/>
      </c>
      <c r="G10" s="72" t="n"/>
      <c r="H10" s="27">
        <f>F10+G10</f>
        <v/>
      </c>
      <c r="I10" s="107">
        <f>'مستخلص 14'!K10</f>
        <v/>
      </c>
      <c r="J10" s="68" t="n"/>
      <c r="K10" s="101">
        <f>IF(J10="",I10,J10)</f>
        <v/>
      </c>
      <c r="L10" s="74">
        <f>'مستخلص 14'!N10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14'!H11</f>
        <v/>
      </c>
      <c r="G11" s="72" t="n"/>
      <c r="H11" s="84">
        <f>F11+G11</f>
        <v/>
      </c>
      <c r="I11" s="109">
        <f>'مستخلص 14'!K11</f>
        <v/>
      </c>
      <c r="J11" s="68" t="n"/>
      <c r="K11" s="103">
        <f>IF(J11="",I11,J11)</f>
        <v/>
      </c>
      <c r="L11" s="108">
        <f>'مستخلص 14'!N11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14'!H12</f>
        <v/>
      </c>
      <c r="G12" s="72" t="n"/>
      <c r="H12" s="27">
        <f>F12+G12</f>
        <v/>
      </c>
      <c r="I12" s="107">
        <f>'مستخلص 14'!K12</f>
        <v/>
      </c>
      <c r="J12" s="68" t="n"/>
      <c r="K12" s="101">
        <f>IF(J12="",I12,J12)</f>
        <v/>
      </c>
      <c r="L12" s="74">
        <f>'مستخلص 14'!N12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14'!H13</f>
        <v/>
      </c>
      <c r="G13" s="72" t="n"/>
      <c r="H13" s="84">
        <f>F13+G13</f>
        <v/>
      </c>
      <c r="I13" s="109">
        <f>'مستخلص 14'!K13</f>
        <v/>
      </c>
      <c r="J13" s="68" t="n"/>
      <c r="K13" s="103">
        <f>IF(J13="",I13,J13)</f>
        <v/>
      </c>
      <c r="L13" s="108">
        <f>'مستخلص 14'!N13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14'!H14</f>
        <v/>
      </c>
      <c r="G14" s="72" t="n"/>
      <c r="H14" s="27">
        <f>F14+G14</f>
        <v/>
      </c>
      <c r="I14" s="107">
        <f>'مستخلص 14'!K14</f>
        <v/>
      </c>
      <c r="J14" s="68" t="n"/>
      <c r="K14" s="101">
        <f>IF(J14="",I14,J14)</f>
        <v/>
      </c>
      <c r="L14" s="74">
        <f>'مستخلص 14'!N14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14'!H15</f>
        <v/>
      </c>
      <c r="G15" s="72" t="n"/>
      <c r="H15" s="84">
        <f>F15+G15</f>
        <v/>
      </c>
      <c r="I15" s="109">
        <f>'مستخلص 14'!K15</f>
        <v/>
      </c>
      <c r="J15" s="68" t="n"/>
      <c r="K15" s="103">
        <f>IF(J15="",I15,J15)</f>
        <v/>
      </c>
      <c r="L15" s="108">
        <f>'مستخلص 14'!N15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14'!H16</f>
        <v/>
      </c>
      <c r="G16" s="72" t="n"/>
      <c r="H16" s="27">
        <f>F16+G16</f>
        <v/>
      </c>
      <c r="I16" s="107">
        <f>'مستخلص 14'!K16</f>
        <v/>
      </c>
      <c r="J16" s="68" t="n"/>
      <c r="K16" s="101">
        <f>IF(J16="",I16,J16)</f>
        <v/>
      </c>
      <c r="L16" s="74">
        <f>'مستخلص 14'!N16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14'!H17</f>
        <v/>
      </c>
      <c r="G17" s="72" t="n"/>
      <c r="H17" s="84">
        <f>F17+G17</f>
        <v/>
      </c>
      <c r="I17" s="109">
        <f>'مستخلص 14'!K17</f>
        <v/>
      </c>
      <c r="J17" s="68" t="n"/>
      <c r="K17" s="103">
        <f>IF(J17="",I17,J17)</f>
        <v/>
      </c>
      <c r="L17" s="108">
        <f>'مستخلص 14'!N17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14'!H18</f>
        <v/>
      </c>
      <c r="G18" s="72" t="n"/>
      <c r="H18" s="27">
        <f>F18+G18</f>
        <v/>
      </c>
      <c r="I18" s="107">
        <f>'مستخلص 14'!K18</f>
        <v/>
      </c>
      <c r="J18" s="68" t="n"/>
      <c r="K18" s="101">
        <f>IF(J18="",I18,J18)</f>
        <v/>
      </c>
      <c r="L18" s="74">
        <f>'مستخلص 14'!N18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14'!H19</f>
        <v/>
      </c>
      <c r="G19" s="72" t="n"/>
      <c r="H19" s="84">
        <f>F19+G19</f>
        <v/>
      </c>
      <c r="I19" s="109">
        <f>'مستخلص 14'!K19</f>
        <v/>
      </c>
      <c r="J19" s="68" t="n"/>
      <c r="K19" s="103">
        <f>IF(J19="",I19,J19)</f>
        <v/>
      </c>
      <c r="L19" s="108">
        <f>'مستخلص 14'!N19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14'!H20</f>
        <v/>
      </c>
      <c r="G20" s="72" t="n"/>
      <c r="H20" s="27">
        <f>F20+G20</f>
        <v/>
      </c>
      <c r="I20" s="107">
        <f>'مستخلص 14'!K20</f>
        <v/>
      </c>
      <c r="J20" s="68" t="n"/>
      <c r="K20" s="101">
        <f>IF(J20="",I20,J20)</f>
        <v/>
      </c>
      <c r="L20" s="74">
        <f>'مستخلص 14'!N20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14'!H21</f>
        <v/>
      </c>
      <c r="G21" s="72" t="n"/>
      <c r="H21" s="84">
        <f>F21+G21</f>
        <v/>
      </c>
      <c r="I21" s="109">
        <f>'مستخلص 14'!K21</f>
        <v/>
      </c>
      <c r="J21" s="68" t="n"/>
      <c r="K21" s="103">
        <f>IF(J21="",I21,J21)</f>
        <v/>
      </c>
      <c r="L21" s="108">
        <f>'مستخلص 14'!N21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14'!H22</f>
        <v/>
      </c>
      <c r="G22" s="72" t="n"/>
      <c r="H22" s="27">
        <f>F22+G22</f>
        <v/>
      </c>
      <c r="I22" s="107">
        <f>'مستخلص 14'!K22</f>
        <v/>
      </c>
      <c r="J22" s="68" t="n"/>
      <c r="K22" s="101">
        <f>IF(J22="",I22,J22)</f>
        <v/>
      </c>
      <c r="L22" s="74">
        <f>'مستخلص 14'!N22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14'!H23</f>
        <v/>
      </c>
      <c r="G23" s="72" t="n"/>
      <c r="H23" s="84">
        <f>F23+G23</f>
        <v/>
      </c>
      <c r="I23" s="109">
        <f>'مستخلص 14'!K23</f>
        <v/>
      </c>
      <c r="J23" s="68" t="n"/>
      <c r="K23" s="103">
        <f>IF(J23="",I23,J23)</f>
        <v/>
      </c>
      <c r="L23" s="108">
        <f>'مستخلص 14'!N23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14'!H24</f>
        <v/>
      </c>
      <c r="G24" s="72" t="n"/>
      <c r="H24" s="27">
        <f>F24+G24</f>
        <v/>
      </c>
      <c r="I24" s="107">
        <f>'مستخلص 14'!K24</f>
        <v/>
      </c>
      <c r="J24" s="68" t="n"/>
      <c r="K24" s="101">
        <f>IF(J24="",I24,J24)</f>
        <v/>
      </c>
      <c r="L24" s="74">
        <f>'مستخلص 14'!N24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14'!H25</f>
        <v/>
      </c>
      <c r="G25" s="72" t="n"/>
      <c r="H25" s="84">
        <f>F25+G25</f>
        <v/>
      </c>
      <c r="I25" s="109">
        <f>'مستخلص 14'!K25</f>
        <v/>
      </c>
      <c r="J25" s="68" t="n"/>
      <c r="K25" s="103">
        <f>IF(J25="",I25,J25)</f>
        <v/>
      </c>
      <c r="L25" s="108">
        <f>'مستخلص 14'!N25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14'!H26</f>
        <v/>
      </c>
      <c r="G26" s="72" t="n"/>
      <c r="H26" s="27">
        <f>F26+G26</f>
        <v/>
      </c>
      <c r="I26" s="107">
        <f>'مستخلص 14'!K26</f>
        <v/>
      </c>
      <c r="J26" s="68" t="n"/>
      <c r="K26" s="101">
        <f>IF(J26="",I26,J26)</f>
        <v/>
      </c>
      <c r="L26" s="74">
        <f>'مستخلص 14'!N26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14'!H27</f>
        <v/>
      </c>
      <c r="G27" s="72" t="n"/>
      <c r="H27" s="84">
        <f>F27+G27</f>
        <v/>
      </c>
      <c r="I27" s="109">
        <f>'مستخلص 14'!K27</f>
        <v/>
      </c>
      <c r="J27" s="68" t="n"/>
      <c r="K27" s="103">
        <f>IF(J27="",I27,J27)</f>
        <v/>
      </c>
      <c r="L27" s="108">
        <f>'مستخلص 14'!N27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14'!H28</f>
        <v/>
      </c>
      <c r="G28" s="72" t="n"/>
      <c r="H28" s="27">
        <f>F28+G28</f>
        <v/>
      </c>
      <c r="I28" s="107">
        <f>'مستخلص 14'!K28</f>
        <v/>
      </c>
      <c r="J28" s="68" t="n"/>
      <c r="K28" s="101">
        <f>IF(J28="",I28,J28)</f>
        <v/>
      </c>
      <c r="L28" s="74">
        <f>'مستخلص 14'!N28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14'!H29</f>
        <v/>
      </c>
      <c r="G29" s="72" t="n"/>
      <c r="H29" s="84">
        <f>F29+G29</f>
        <v/>
      </c>
      <c r="I29" s="109">
        <f>'مستخلص 14'!K29</f>
        <v/>
      </c>
      <c r="J29" s="68" t="n"/>
      <c r="K29" s="103">
        <f>IF(J29="",I29,J29)</f>
        <v/>
      </c>
      <c r="L29" s="108">
        <f>'مستخلص 14'!N29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14'!H30</f>
        <v/>
      </c>
      <c r="G30" s="72" t="n"/>
      <c r="H30" s="27">
        <f>F30+G30</f>
        <v/>
      </c>
      <c r="I30" s="107">
        <f>'مستخلص 14'!K30</f>
        <v/>
      </c>
      <c r="J30" s="68" t="n"/>
      <c r="K30" s="101">
        <f>IF(J30="",I30,J30)</f>
        <v/>
      </c>
      <c r="L30" s="74">
        <f>'مستخلص 14'!N30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14'!H31</f>
        <v/>
      </c>
      <c r="G31" s="72" t="n"/>
      <c r="H31" s="84">
        <f>F31+G31</f>
        <v/>
      </c>
      <c r="I31" s="109">
        <f>'مستخلص 14'!K31</f>
        <v/>
      </c>
      <c r="J31" s="68" t="n"/>
      <c r="K31" s="103">
        <f>IF(J31="",I31,J31)</f>
        <v/>
      </c>
      <c r="L31" s="108">
        <f>'مستخلص 14'!N31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14'!H32</f>
        <v/>
      </c>
      <c r="G32" s="72" t="n"/>
      <c r="H32" s="27">
        <f>F32+G32</f>
        <v/>
      </c>
      <c r="I32" s="107">
        <f>'مستخلص 14'!K32</f>
        <v/>
      </c>
      <c r="J32" s="68" t="n"/>
      <c r="K32" s="101">
        <f>IF(J32="",I32,J32)</f>
        <v/>
      </c>
      <c r="L32" s="74">
        <f>'مستخلص 14'!N32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14'!H33</f>
        <v/>
      </c>
      <c r="G33" s="72" t="n"/>
      <c r="H33" s="84">
        <f>F33+G33</f>
        <v/>
      </c>
      <c r="I33" s="109">
        <f>'مستخلص 14'!K33</f>
        <v/>
      </c>
      <c r="J33" s="68" t="n"/>
      <c r="K33" s="103">
        <f>IF(J33="",I33,J33)</f>
        <v/>
      </c>
      <c r="L33" s="108">
        <f>'مستخلص 14'!N33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14'!H34</f>
        <v/>
      </c>
      <c r="G34" s="72" t="n"/>
      <c r="H34" s="27">
        <f>F34+G34</f>
        <v/>
      </c>
      <c r="I34" s="107">
        <f>'مستخلص 14'!K34</f>
        <v/>
      </c>
      <c r="J34" s="68" t="n"/>
      <c r="K34" s="101">
        <f>IF(J34="",I34,J34)</f>
        <v/>
      </c>
      <c r="L34" s="74">
        <f>'مستخلص 14'!N34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14'!H35</f>
        <v/>
      </c>
      <c r="G35" s="72" t="n"/>
      <c r="H35" s="84">
        <f>F35+G35</f>
        <v/>
      </c>
      <c r="I35" s="109">
        <f>'مستخلص 14'!K35</f>
        <v/>
      </c>
      <c r="J35" s="68" t="n"/>
      <c r="K35" s="103">
        <f>IF(J35="",I35,J35)</f>
        <v/>
      </c>
      <c r="L35" s="108">
        <f>'مستخلص 14'!N35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14'!H36</f>
        <v/>
      </c>
      <c r="G36" s="72" t="n"/>
      <c r="H36" s="27">
        <f>F36+G36</f>
        <v/>
      </c>
      <c r="I36" s="107">
        <f>'مستخلص 14'!K36</f>
        <v/>
      </c>
      <c r="J36" s="68" t="n"/>
      <c r="K36" s="101">
        <f>IF(J36="",I36,J36)</f>
        <v/>
      </c>
      <c r="L36" s="74">
        <f>'مستخلص 14'!N36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14'!H37</f>
        <v/>
      </c>
      <c r="G37" s="72" t="n"/>
      <c r="H37" s="84">
        <f>F37+G37</f>
        <v/>
      </c>
      <c r="I37" s="109">
        <f>'مستخلص 14'!K37</f>
        <v/>
      </c>
      <c r="J37" s="68" t="n"/>
      <c r="K37" s="103">
        <f>IF(J37="",I37,J37)</f>
        <v/>
      </c>
      <c r="L37" s="108">
        <f>'مستخلص 14'!N37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14'!H38</f>
        <v/>
      </c>
      <c r="G38" s="72" t="n"/>
      <c r="H38" s="27">
        <f>F38+G38</f>
        <v/>
      </c>
      <c r="I38" s="107">
        <f>'مستخلص 14'!K38</f>
        <v/>
      </c>
      <c r="J38" s="68" t="n"/>
      <c r="K38" s="101">
        <f>IF(J38="",I38,J38)</f>
        <v/>
      </c>
      <c r="L38" s="74">
        <f>'مستخلص 14'!N38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14'!H39</f>
        <v/>
      </c>
      <c r="G39" s="72" t="n"/>
      <c r="H39" s="84">
        <f>F39+G39</f>
        <v/>
      </c>
      <c r="I39" s="109">
        <f>'مستخلص 14'!K39</f>
        <v/>
      </c>
      <c r="J39" s="68" t="n"/>
      <c r="K39" s="103">
        <f>IF(J39="",I39,J39)</f>
        <v/>
      </c>
      <c r="L39" s="108">
        <f>'مستخلص 14'!N39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14'!H40</f>
        <v/>
      </c>
      <c r="G40" s="72" t="n"/>
      <c r="H40" s="27">
        <f>F40+G40</f>
        <v/>
      </c>
      <c r="I40" s="107">
        <f>'مستخلص 14'!K40</f>
        <v/>
      </c>
      <c r="J40" s="68" t="n"/>
      <c r="K40" s="101">
        <f>IF(J40="",I40,J40)</f>
        <v/>
      </c>
      <c r="L40" s="74">
        <f>'مستخلص 14'!N40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14'!H41</f>
        <v/>
      </c>
      <c r="G41" s="72" t="n"/>
      <c r="H41" s="84">
        <f>F41+G41</f>
        <v/>
      </c>
      <c r="I41" s="109">
        <f>'مستخلص 14'!K41</f>
        <v/>
      </c>
      <c r="J41" s="68" t="n"/>
      <c r="K41" s="103">
        <f>IF(J41="",I41,J41)</f>
        <v/>
      </c>
      <c r="L41" s="108">
        <f>'مستخلص 14'!N41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14'!H42</f>
        <v/>
      </c>
      <c r="G42" s="72" t="n"/>
      <c r="H42" s="27">
        <f>F42+G42</f>
        <v/>
      </c>
      <c r="I42" s="107">
        <f>'مستخلص 14'!K42</f>
        <v/>
      </c>
      <c r="J42" s="68" t="n"/>
      <c r="K42" s="101">
        <f>IF(J42="",I42,J42)</f>
        <v/>
      </c>
      <c r="L42" s="74">
        <f>'مستخلص 14'!N42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14'!H43</f>
        <v/>
      </c>
      <c r="G43" s="72" t="n"/>
      <c r="H43" s="84">
        <f>F43+G43</f>
        <v/>
      </c>
      <c r="I43" s="109">
        <f>'مستخلص 14'!K43</f>
        <v/>
      </c>
      <c r="J43" s="68" t="n"/>
      <c r="K43" s="103">
        <f>IF(J43="",I43,J43)</f>
        <v/>
      </c>
      <c r="L43" s="108">
        <f>'مستخلص 14'!N43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14'!H44</f>
        <v/>
      </c>
      <c r="G44" s="72" t="n"/>
      <c r="H44" s="27">
        <f>F44+G44</f>
        <v/>
      </c>
      <c r="I44" s="107">
        <f>'مستخلص 14'!K44</f>
        <v/>
      </c>
      <c r="J44" s="68" t="n"/>
      <c r="K44" s="101">
        <f>IF(J44="",I44,J44)</f>
        <v/>
      </c>
      <c r="L44" s="74">
        <f>'مستخلص 14'!N44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14'!H45</f>
        <v/>
      </c>
      <c r="G45" s="72" t="n"/>
      <c r="H45" s="84">
        <f>F45+G45</f>
        <v/>
      </c>
      <c r="I45" s="109">
        <f>'مستخلص 14'!K45</f>
        <v/>
      </c>
      <c r="J45" s="68" t="n"/>
      <c r="K45" s="103">
        <f>IF(J45="",I45,J45)</f>
        <v/>
      </c>
      <c r="L45" s="108">
        <f>'مستخلص 14'!N45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14'!H46</f>
        <v/>
      </c>
      <c r="G46" s="72" t="n"/>
      <c r="H46" s="27">
        <f>F46+G46</f>
        <v/>
      </c>
      <c r="I46" s="107">
        <f>'مستخلص 14'!K46</f>
        <v/>
      </c>
      <c r="J46" s="68" t="n"/>
      <c r="K46" s="101">
        <f>IF(J46="",I46,J46)</f>
        <v/>
      </c>
      <c r="L46" s="74">
        <f>'مستخلص 14'!N46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14'!H47</f>
        <v/>
      </c>
      <c r="G47" s="72" t="n"/>
      <c r="H47" s="84">
        <f>F47+G47</f>
        <v/>
      </c>
      <c r="I47" s="109">
        <f>'مستخلص 14'!K47</f>
        <v/>
      </c>
      <c r="J47" s="68" t="n"/>
      <c r="K47" s="103">
        <f>IF(J47="",I47,J47)</f>
        <v/>
      </c>
      <c r="L47" s="108">
        <f>'مستخلص 14'!N47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14'!H48</f>
        <v/>
      </c>
      <c r="G48" s="72" t="n"/>
      <c r="H48" s="27">
        <f>F48+G48</f>
        <v/>
      </c>
      <c r="I48" s="107">
        <f>'مستخلص 14'!K48</f>
        <v/>
      </c>
      <c r="J48" s="68" t="n"/>
      <c r="K48" s="101">
        <f>IF(J48="",I48,J48)</f>
        <v/>
      </c>
      <c r="L48" s="74">
        <f>'مستخلص 14'!N48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14'!H49</f>
        <v/>
      </c>
      <c r="G49" s="72" t="n"/>
      <c r="H49" s="84">
        <f>F49+G49</f>
        <v/>
      </c>
      <c r="I49" s="109">
        <f>'مستخلص 14'!K49</f>
        <v/>
      </c>
      <c r="J49" s="68" t="n"/>
      <c r="K49" s="103">
        <f>IF(J49="",I49,J49)</f>
        <v/>
      </c>
      <c r="L49" s="108">
        <f>'مستخلص 14'!N49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14'!H50</f>
        <v/>
      </c>
      <c r="G50" s="72" t="n"/>
      <c r="H50" s="27">
        <f>F50+G50</f>
        <v/>
      </c>
      <c r="I50" s="107">
        <f>'مستخلص 14'!K50</f>
        <v/>
      </c>
      <c r="J50" s="68" t="n"/>
      <c r="K50" s="101">
        <f>IF(J50="",I50,J50)</f>
        <v/>
      </c>
      <c r="L50" s="74">
        <f>'مستخلص 14'!N50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14'!H51</f>
        <v/>
      </c>
      <c r="G51" s="72" t="n"/>
      <c r="H51" s="84">
        <f>F51+G51</f>
        <v/>
      </c>
      <c r="I51" s="109">
        <f>'مستخلص 14'!K51</f>
        <v/>
      </c>
      <c r="J51" s="68" t="n"/>
      <c r="K51" s="103">
        <f>IF(J51="",I51,J51)</f>
        <v/>
      </c>
      <c r="L51" s="108">
        <f>'مستخلص 14'!N51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14'!H52</f>
        <v/>
      </c>
      <c r="G52" s="72" t="n"/>
      <c r="H52" s="27">
        <f>F52+G52</f>
        <v/>
      </c>
      <c r="I52" s="107">
        <f>'مستخلص 14'!K52</f>
        <v/>
      </c>
      <c r="J52" s="68" t="n"/>
      <c r="K52" s="101">
        <f>IF(J52="",I52,J52)</f>
        <v/>
      </c>
      <c r="L52" s="74">
        <f>'مستخلص 14'!N52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14'!H53</f>
        <v/>
      </c>
      <c r="G53" s="72" t="n"/>
      <c r="H53" s="84">
        <f>F53+G53</f>
        <v/>
      </c>
      <c r="I53" s="109">
        <f>'مستخلص 14'!K53</f>
        <v/>
      </c>
      <c r="J53" s="68" t="n"/>
      <c r="K53" s="103">
        <f>IF(J53="",I53,J53)</f>
        <v/>
      </c>
      <c r="L53" s="108">
        <f>'مستخلص 14'!N53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14'!H54</f>
        <v/>
      </c>
      <c r="G54" s="72" t="n"/>
      <c r="H54" s="27">
        <f>F54+G54</f>
        <v/>
      </c>
      <c r="I54" s="107">
        <f>'مستخلص 14'!K54</f>
        <v/>
      </c>
      <c r="J54" s="68" t="n"/>
      <c r="K54" s="101">
        <f>IF(J54="",I54,J54)</f>
        <v/>
      </c>
      <c r="L54" s="74">
        <f>'مستخلص 14'!N54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14'!H55</f>
        <v/>
      </c>
      <c r="G55" s="72" t="n"/>
      <c r="H55" s="84">
        <f>F55+G55</f>
        <v/>
      </c>
      <c r="I55" s="109">
        <f>'مستخلص 14'!K55</f>
        <v/>
      </c>
      <c r="J55" s="68" t="n"/>
      <c r="K55" s="103">
        <f>IF(J55="",I55,J55)</f>
        <v/>
      </c>
      <c r="L55" s="108">
        <f>'مستخلص 14'!N55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14'!H56</f>
        <v/>
      </c>
      <c r="G56" s="72" t="n"/>
      <c r="H56" s="27">
        <f>F56+G56</f>
        <v/>
      </c>
      <c r="I56" s="107">
        <f>'مستخلص 14'!K56</f>
        <v/>
      </c>
      <c r="J56" s="68" t="n"/>
      <c r="K56" s="101">
        <f>IF(J56="",I56,J56)</f>
        <v/>
      </c>
      <c r="L56" s="74">
        <f>'مستخلص 14'!N56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14'!H57</f>
        <v/>
      </c>
      <c r="G57" s="72" t="n"/>
      <c r="H57" s="84">
        <f>F57+G57</f>
        <v/>
      </c>
      <c r="I57" s="109">
        <f>'مستخلص 14'!K57</f>
        <v/>
      </c>
      <c r="J57" s="68" t="n"/>
      <c r="K57" s="103">
        <f>IF(J57="",I57,J57)</f>
        <v/>
      </c>
      <c r="L57" s="108">
        <f>'مستخلص 14'!N57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14'!H58</f>
        <v/>
      </c>
      <c r="G58" s="72" t="n"/>
      <c r="H58" s="27">
        <f>F58+G58</f>
        <v/>
      </c>
      <c r="I58" s="107">
        <f>'مستخلص 14'!K58</f>
        <v/>
      </c>
      <c r="J58" s="68" t="n"/>
      <c r="K58" s="101">
        <f>IF(J58="",I58,J58)</f>
        <v/>
      </c>
      <c r="L58" s="74">
        <f>'مستخلص 14'!N58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14'!H59</f>
        <v/>
      </c>
      <c r="G59" s="72" t="n"/>
      <c r="H59" s="84">
        <f>F59+G59</f>
        <v/>
      </c>
      <c r="I59" s="109">
        <f>'مستخلص 14'!K59</f>
        <v/>
      </c>
      <c r="J59" s="68" t="n"/>
      <c r="K59" s="103">
        <f>IF(J59="",I59,J59)</f>
        <v/>
      </c>
      <c r="L59" s="108">
        <f>'مستخلص 14'!N59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14'!H60</f>
        <v/>
      </c>
      <c r="G60" s="72" t="n"/>
      <c r="H60" s="27">
        <f>F60+G60</f>
        <v/>
      </c>
      <c r="I60" s="107">
        <f>'مستخلص 14'!K60</f>
        <v/>
      </c>
      <c r="J60" s="68" t="n"/>
      <c r="K60" s="101">
        <f>IF(J60="",I60,J60)</f>
        <v/>
      </c>
      <c r="L60" s="74">
        <f>'مستخلص 14'!N60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14'!H61</f>
        <v/>
      </c>
      <c r="G61" s="72" t="n"/>
      <c r="H61" s="84">
        <f>F61+G61</f>
        <v/>
      </c>
      <c r="I61" s="109">
        <f>'مستخلص 14'!K61</f>
        <v/>
      </c>
      <c r="J61" s="68" t="n"/>
      <c r="K61" s="103">
        <f>IF(J61="",I61,J61)</f>
        <v/>
      </c>
      <c r="L61" s="108">
        <f>'مستخلص 14'!N61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14'!H62</f>
        <v/>
      </c>
      <c r="G62" s="72" t="n"/>
      <c r="H62" s="27">
        <f>F62+G62</f>
        <v/>
      </c>
      <c r="I62" s="107">
        <f>'مستخلص 14'!K62</f>
        <v/>
      </c>
      <c r="J62" s="68" t="n"/>
      <c r="K62" s="101">
        <f>IF(J62="",I62,J62)</f>
        <v/>
      </c>
      <c r="L62" s="74">
        <f>'مستخلص 14'!N62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14'!H63</f>
        <v/>
      </c>
      <c r="G63" s="72" t="n"/>
      <c r="H63" s="84">
        <f>F63+G63</f>
        <v/>
      </c>
      <c r="I63" s="109">
        <f>'مستخلص 14'!K63</f>
        <v/>
      </c>
      <c r="J63" s="68" t="n"/>
      <c r="K63" s="103">
        <f>IF(J63="",I63,J63)</f>
        <v/>
      </c>
      <c r="L63" s="108">
        <f>'مستخلص 14'!N63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14'!H64</f>
        <v/>
      </c>
      <c r="G64" s="72" t="n"/>
      <c r="H64" s="27">
        <f>F64+G64</f>
        <v/>
      </c>
      <c r="I64" s="107">
        <f>'مستخلص 14'!K64</f>
        <v/>
      </c>
      <c r="J64" s="68" t="n"/>
      <c r="K64" s="101">
        <f>IF(J64="",I64,J64)</f>
        <v/>
      </c>
      <c r="L64" s="74">
        <f>'مستخلص 14'!N64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14'!H65</f>
        <v/>
      </c>
      <c r="G65" s="72" t="n"/>
      <c r="H65" s="84">
        <f>F65+G65</f>
        <v/>
      </c>
      <c r="I65" s="109">
        <f>'مستخلص 14'!K65</f>
        <v/>
      </c>
      <c r="J65" s="68" t="n"/>
      <c r="K65" s="103">
        <f>IF(J65="",I65,J65)</f>
        <v/>
      </c>
      <c r="L65" s="108">
        <f>'مستخلص 14'!N65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14'!H66</f>
        <v/>
      </c>
      <c r="G66" s="72" t="n"/>
      <c r="H66" s="27">
        <f>F66+G66</f>
        <v/>
      </c>
      <c r="I66" s="107">
        <f>'مستخلص 14'!K66</f>
        <v/>
      </c>
      <c r="J66" s="68" t="n"/>
      <c r="K66" s="101">
        <f>IF(J66="",I66,J66)</f>
        <v/>
      </c>
      <c r="L66" s="74">
        <f>'مستخلص 14'!N66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14'!H67</f>
        <v/>
      </c>
      <c r="G67" s="72" t="n"/>
      <c r="H67" s="84">
        <f>F67+G67</f>
        <v/>
      </c>
      <c r="I67" s="109">
        <f>'مستخلص 14'!K67</f>
        <v/>
      </c>
      <c r="J67" s="68" t="n"/>
      <c r="K67" s="103">
        <f>IF(J67="",I67,J67)</f>
        <v/>
      </c>
      <c r="L67" s="108">
        <f>'مستخلص 14'!N67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14'!H68</f>
        <v/>
      </c>
      <c r="G68" s="72" t="n"/>
      <c r="H68" s="27">
        <f>F68+G68</f>
        <v/>
      </c>
      <c r="I68" s="107">
        <f>'مستخلص 14'!K68</f>
        <v/>
      </c>
      <c r="J68" s="68" t="n"/>
      <c r="K68" s="101">
        <f>IF(J68="",I68,J68)</f>
        <v/>
      </c>
      <c r="L68" s="74">
        <f>'مستخلص 14'!N68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14'!H69</f>
        <v/>
      </c>
      <c r="G69" s="72" t="n"/>
      <c r="H69" s="84">
        <f>F69+G69</f>
        <v/>
      </c>
      <c r="I69" s="109">
        <f>'مستخلص 14'!K69</f>
        <v/>
      </c>
      <c r="J69" s="68" t="n"/>
      <c r="K69" s="103">
        <f>IF(J69="",I69,J69)</f>
        <v/>
      </c>
      <c r="L69" s="108">
        <f>'مستخلص 14'!N69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14'!H70</f>
        <v/>
      </c>
      <c r="G70" s="72" t="n"/>
      <c r="H70" s="27">
        <f>F70+G70</f>
        <v/>
      </c>
      <c r="I70" s="107">
        <f>'مستخلص 14'!K70</f>
        <v/>
      </c>
      <c r="J70" s="68" t="n"/>
      <c r="K70" s="101">
        <f>IF(J70="",I70,J70)</f>
        <v/>
      </c>
      <c r="L70" s="74">
        <f>'مستخلص 14'!N70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14'!H71</f>
        <v/>
      </c>
      <c r="G71" s="72" t="n"/>
      <c r="H71" s="84">
        <f>F71+G71</f>
        <v/>
      </c>
      <c r="I71" s="109">
        <f>'مستخلص 14'!K71</f>
        <v/>
      </c>
      <c r="J71" s="68" t="n"/>
      <c r="K71" s="103">
        <f>IF(J71="",I71,J71)</f>
        <v/>
      </c>
      <c r="L71" s="108">
        <f>'مستخلص 14'!N71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14'!H72</f>
        <v/>
      </c>
      <c r="G72" s="72" t="n"/>
      <c r="H72" s="27">
        <f>F72+G72</f>
        <v/>
      </c>
      <c r="I72" s="107">
        <f>'مستخلص 14'!K72</f>
        <v/>
      </c>
      <c r="J72" s="68" t="n"/>
      <c r="K72" s="101">
        <f>IF(J72="",I72,J72)</f>
        <v/>
      </c>
      <c r="L72" s="74">
        <f>'مستخلص 14'!N72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14'!H73</f>
        <v/>
      </c>
      <c r="G73" s="72" t="n"/>
      <c r="H73" s="84">
        <f>F73+G73</f>
        <v/>
      </c>
      <c r="I73" s="109">
        <f>'مستخلص 14'!K73</f>
        <v/>
      </c>
      <c r="J73" s="68" t="n"/>
      <c r="K73" s="103">
        <f>IF(J73="",I73,J73)</f>
        <v/>
      </c>
      <c r="L73" s="108">
        <f>'مستخلص 14'!N73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14'!H74</f>
        <v/>
      </c>
      <c r="G74" s="72" t="n"/>
      <c r="H74" s="27">
        <f>F74+G74</f>
        <v/>
      </c>
      <c r="I74" s="107">
        <f>'مستخلص 14'!K74</f>
        <v/>
      </c>
      <c r="J74" s="68" t="n"/>
      <c r="K74" s="101">
        <f>IF(J74="",I74,J74)</f>
        <v/>
      </c>
      <c r="L74" s="74">
        <f>'مستخلص 14'!N74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14'!H75</f>
        <v/>
      </c>
      <c r="G75" s="72" t="n"/>
      <c r="H75" s="84">
        <f>F75+G75</f>
        <v/>
      </c>
      <c r="I75" s="109">
        <f>'مستخلص 14'!K75</f>
        <v/>
      </c>
      <c r="J75" s="68" t="n"/>
      <c r="K75" s="103">
        <f>IF(J75="",I75,J75)</f>
        <v/>
      </c>
      <c r="L75" s="108">
        <f>'مستخلص 14'!N75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14'!H76</f>
        <v/>
      </c>
      <c r="G76" s="72" t="n"/>
      <c r="H76" s="27">
        <f>F76+G76</f>
        <v/>
      </c>
      <c r="I76" s="107">
        <f>'مستخلص 14'!K76</f>
        <v/>
      </c>
      <c r="J76" s="68" t="n"/>
      <c r="K76" s="101">
        <f>IF(J76="",I76,J76)</f>
        <v/>
      </c>
      <c r="L76" s="74">
        <f>'مستخلص 14'!N76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14'!H77</f>
        <v/>
      </c>
      <c r="G77" s="72" t="n"/>
      <c r="H77" s="84">
        <f>F77+G77</f>
        <v/>
      </c>
      <c r="I77" s="109">
        <f>'مستخلص 14'!K77</f>
        <v/>
      </c>
      <c r="J77" s="68" t="n"/>
      <c r="K77" s="103">
        <f>IF(J77="",I77,J77)</f>
        <v/>
      </c>
      <c r="L77" s="108">
        <f>'مستخلص 14'!N77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14'!H78</f>
        <v/>
      </c>
      <c r="G78" s="72" t="n"/>
      <c r="H78" s="27">
        <f>F78+G78</f>
        <v/>
      </c>
      <c r="I78" s="107">
        <f>'مستخلص 14'!K78</f>
        <v/>
      </c>
      <c r="J78" s="68" t="n"/>
      <c r="K78" s="101">
        <f>IF(J78="",I78,J78)</f>
        <v/>
      </c>
      <c r="L78" s="74">
        <f>'مستخلص 14'!N78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14'!H79</f>
        <v/>
      </c>
      <c r="G79" s="72" t="n"/>
      <c r="H79" s="84">
        <f>F79+G79</f>
        <v/>
      </c>
      <c r="I79" s="109">
        <f>'مستخلص 14'!K79</f>
        <v/>
      </c>
      <c r="J79" s="68" t="n"/>
      <c r="K79" s="103">
        <f>IF(J79="",I79,J79)</f>
        <v/>
      </c>
      <c r="L79" s="108">
        <f>'مستخلص 14'!N79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14'!H80</f>
        <v/>
      </c>
      <c r="G80" s="72" t="n"/>
      <c r="H80" s="27">
        <f>F80+G80</f>
        <v/>
      </c>
      <c r="I80" s="107">
        <f>'مستخلص 14'!K80</f>
        <v/>
      </c>
      <c r="J80" s="68" t="n"/>
      <c r="K80" s="101">
        <f>IF(J80="",I80,J80)</f>
        <v/>
      </c>
      <c r="L80" s="74">
        <f>'مستخلص 14'!N80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14'!H81</f>
        <v/>
      </c>
      <c r="G81" s="72" t="n"/>
      <c r="H81" s="84">
        <f>F81+G81</f>
        <v/>
      </c>
      <c r="I81" s="109">
        <f>'مستخلص 14'!K81</f>
        <v/>
      </c>
      <c r="J81" s="68" t="n"/>
      <c r="K81" s="103">
        <f>IF(J81="",I81,J81)</f>
        <v/>
      </c>
      <c r="L81" s="108">
        <f>'مستخلص 14'!N81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14'!H82</f>
        <v/>
      </c>
      <c r="G82" s="72" t="n"/>
      <c r="H82" s="27">
        <f>F82+G82</f>
        <v/>
      </c>
      <c r="I82" s="107">
        <f>'مستخلص 14'!K82</f>
        <v/>
      </c>
      <c r="J82" s="68" t="n"/>
      <c r="K82" s="101">
        <f>IF(J82="",I82,J82)</f>
        <v/>
      </c>
      <c r="L82" s="74">
        <f>'مستخلص 14'!N82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14'!H83</f>
        <v/>
      </c>
      <c r="G83" s="72" t="n"/>
      <c r="H83" s="84">
        <f>F83+G83</f>
        <v/>
      </c>
      <c r="I83" s="109">
        <f>'مستخلص 14'!K83</f>
        <v/>
      </c>
      <c r="J83" s="68" t="n"/>
      <c r="K83" s="103">
        <f>IF(J83="",I83,J83)</f>
        <v/>
      </c>
      <c r="L83" s="108">
        <f>'مستخلص 14'!N83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14'!H84</f>
        <v/>
      </c>
      <c r="G84" s="72" t="n"/>
      <c r="H84" s="27">
        <f>F84+G84</f>
        <v/>
      </c>
      <c r="I84" s="107">
        <f>'مستخلص 14'!K84</f>
        <v/>
      </c>
      <c r="J84" s="68" t="n"/>
      <c r="K84" s="101">
        <f>IF(J84="",I84,J84)</f>
        <v/>
      </c>
      <c r="L84" s="74">
        <f>'مستخلص 14'!N84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14'!H85</f>
        <v/>
      </c>
      <c r="G85" s="72" t="n"/>
      <c r="H85" s="84">
        <f>F85+G85</f>
        <v/>
      </c>
      <c r="I85" s="109">
        <f>'مستخلص 14'!K85</f>
        <v/>
      </c>
      <c r="J85" s="68" t="n"/>
      <c r="K85" s="103">
        <f>IF(J85="",I85,J85)</f>
        <v/>
      </c>
      <c r="L85" s="108">
        <f>'مستخلص 14'!N85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14'!H86</f>
        <v/>
      </c>
      <c r="G86" s="72" t="n"/>
      <c r="H86" s="27">
        <f>F86+G86</f>
        <v/>
      </c>
      <c r="I86" s="107">
        <f>'مستخلص 14'!K86</f>
        <v/>
      </c>
      <c r="J86" s="68" t="n"/>
      <c r="K86" s="101">
        <f>IF(J86="",I86,J86)</f>
        <v/>
      </c>
      <c r="L86" s="74">
        <f>'مستخلص 14'!N86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14'!H87</f>
        <v/>
      </c>
      <c r="G87" s="72" t="n"/>
      <c r="H87" s="84">
        <f>F87+G87</f>
        <v/>
      </c>
      <c r="I87" s="109">
        <f>'مستخلص 14'!K87</f>
        <v/>
      </c>
      <c r="J87" s="68" t="n"/>
      <c r="K87" s="103">
        <f>IF(J87="",I87,J87)</f>
        <v/>
      </c>
      <c r="L87" s="108">
        <f>'مستخلص 14'!N87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14'!H88</f>
        <v/>
      </c>
      <c r="G88" s="72" t="n"/>
      <c r="H88" s="27">
        <f>F88+G88</f>
        <v/>
      </c>
      <c r="I88" s="107">
        <f>'مستخلص 14'!K88</f>
        <v/>
      </c>
      <c r="J88" s="68" t="n"/>
      <c r="K88" s="101">
        <f>IF(J88="",I88,J88)</f>
        <v/>
      </c>
      <c r="L88" s="74">
        <f>'مستخلص 14'!N88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14'!H89</f>
        <v/>
      </c>
      <c r="G89" s="72" t="n"/>
      <c r="H89" s="84">
        <f>F89+G89</f>
        <v/>
      </c>
      <c r="I89" s="109">
        <f>'مستخلص 14'!K89</f>
        <v/>
      </c>
      <c r="J89" s="68" t="n"/>
      <c r="K89" s="103">
        <f>IF(J89="",I89,J89)</f>
        <v/>
      </c>
      <c r="L89" s="108">
        <f>'مستخلص 14'!N89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14'!H90</f>
        <v/>
      </c>
      <c r="G90" s="72" t="n"/>
      <c r="H90" s="27">
        <f>F90+G90</f>
        <v/>
      </c>
      <c r="I90" s="107">
        <f>'مستخلص 14'!K90</f>
        <v/>
      </c>
      <c r="J90" s="68" t="n"/>
      <c r="K90" s="101">
        <f>IF(J90="",I90,J90)</f>
        <v/>
      </c>
      <c r="L90" s="74">
        <f>'مستخلص 14'!N90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14'!H91</f>
        <v/>
      </c>
      <c r="G91" s="72" t="n"/>
      <c r="H91" s="84">
        <f>F91+G91</f>
        <v/>
      </c>
      <c r="I91" s="109">
        <f>'مستخلص 14'!K91</f>
        <v/>
      </c>
      <c r="J91" s="68" t="n"/>
      <c r="K91" s="103">
        <f>IF(J91="",I91,J91)</f>
        <v/>
      </c>
      <c r="L91" s="108">
        <f>'مستخلص 14'!N91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14'!H92</f>
        <v/>
      </c>
      <c r="G92" s="72" t="n"/>
      <c r="H92" s="27">
        <f>F92+G92</f>
        <v/>
      </c>
      <c r="I92" s="107">
        <f>'مستخلص 14'!K92</f>
        <v/>
      </c>
      <c r="J92" s="68" t="n"/>
      <c r="K92" s="101">
        <f>IF(J92="",I92,J92)</f>
        <v/>
      </c>
      <c r="L92" s="74">
        <f>'مستخلص 14'!N92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14'!H93</f>
        <v/>
      </c>
      <c r="G93" s="72" t="n"/>
      <c r="H93" s="84">
        <f>F93+G93</f>
        <v/>
      </c>
      <c r="I93" s="109">
        <f>'مستخلص 14'!K93</f>
        <v/>
      </c>
      <c r="J93" s="68" t="n"/>
      <c r="K93" s="103">
        <f>IF(J93="",I93,J93)</f>
        <v/>
      </c>
      <c r="L93" s="108">
        <f>'مستخلص 14'!N93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14'!H94</f>
        <v/>
      </c>
      <c r="G94" s="72" t="n"/>
      <c r="H94" s="27">
        <f>F94+G94</f>
        <v/>
      </c>
      <c r="I94" s="107">
        <f>'مستخلص 14'!K94</f>
        <v/>
      </c>
      <c r="J94" s="68" t="n"/>
      <c r="K94" s="101">
        <f>IF(J94="",I94,J94)</f>
        <v/>
      </c>
      <c r="L94" s="74">
        <f>'مستخلص 14'!N94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14'!H95</f>
        <v/>
      </c>
      <c r="G95" s="72" t="n"/>
      <c r="H95" s="84">
        <f>F95+G95</f>
        <v/>
      </c>
      <c r="I95" s="109">
        <f>'مستخلص 14'!K95</f>
        <v/>
      </c>
      <c r="J95" s="68" t="n"/>
      <c r="K95" s="103">
        <f>IF(J95="",I95,J95)</f>
        <v/>
      </c>
      <c r="L95" s="108">
        <f>'مستخلص 14'!N95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14'!H96</f>
        <v/>
      </c>
      <c r="G96" s="72" t="n"/>
      <c r="H96" s="27">
        <f>F96+G96</f>
        <v/>
      </c>
      <c r="I96" s="107">
        <f>'مستخلص 14'!K96</f>
        <v/>
      </c>
      <c r="J96" s="68" t="n"/>
      <c r="K96" s="101">
        <f>IF(J96="",I96,J96)</f>
        <v/>
      </c>
      <c r="L96" s="74">
        <f>'مستخلص 14'!N96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14'!H97</f>
        <v/>
      </c>
      <c r="G97" s="72" t="n"/>
      <c r="H97" s="84">
        <f>F97+G97</f>
        <v/>
      </c>
      <c r="I97" s="109">
        <f>'مستخلص 14'!K97</f>
        <v/>
      </c>
      <c r="J97" s="68" t="n"/>
      <c r="K97" s="103">
        <f>IF(J97="",I97,J97)</f>
        <v/>
      </c>
      <c r="L97" s="108">
        <f>'مستخلص 14'!N97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14'!H98</f>
        <v/>
      </c>
      <c r="G98" s="72" t="n"/>
      <c r="H98" s="27">
        <f>F98+G98</f>
        <v/>
      </c>
      <c r="I98" s="107">
        <f>'مستخلص 14'!K98</f>
        <v/>
      </c>
      <c r="J98" s="68" t="n"/>
      <c r="K98" s="101">
        <f>IF(J98="",I98,J98)</f>
        <v/>
      </c>
      <c r="L98" s="74">
        <f>'مستخلص 14'!N98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14'!H99</f>
        <v/>
      </c>
      <c r="G99" s="72" t="n"/>
      <c r="H99" s="84">
        <f>F99+G99</f>
        <v/>
      </c>
      <c r="I99" s="109">
        <f>'مستخلص 14'!K99</f>
        <v/>
      </c>
      <c r="J99" s="68" t="n"/>
      <c r="K99" s="103">
        <f>IF(J99="",I99,J99)</f>
        <v/>
      </c>
      <c r="L99" s="108">
        <f>'مستخلص 14'!N99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14'!H100</f>
        <v/>
      </c>
      <c r="G100" s="72" t="n"/>
      <c r="H100" s="27">
        <f>F100+G100</f>
        <v/>
      </c>
      <c r="I100" s="107">
        <f>'مستخلص 14'!K100</f>
        <v/>
      </c>
      <c r="J100" s="68" t="n"/>
      <c r="K100" s="101">
        <f>IF(J100="",I100,J100)</f>
        <v/>
      </c>
      <c r="L100" s="74">
        <f>'مستخلص 14'!N100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14'!H101</f>
        <v/>
      </c>
      <c r="G101" s="72" t="n"/>
      <c r="H101" s="84">
        <f>F101+G101</f>
        <v/>
      </c>
      <c r="I101" s="109">
        <f>'مستخلص 14'!K101</f>
        <v/>
      </c>
      <c r="J101" s="68" t="n"/>
      <c r="K101" s="103">
        <f>IF(J101="",I101,J101)</f>
        <v/>
      </c>
      <c r="L101" s="108">
        <f>'مستخلص 14'!N101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14'!H102</f>
        <v/>
      </c>
      <c r="G102" s="72" t="n"/>
      <c r="H102" s="27">
        <f>F102+G102</f>
        <v/>
      </c>
      <c r="I102" s="107">
        <f>'مستخلص 14'!K102</f>
        <v/>
      </c>
      <c r="J102" s="68" t="n"/>
      <c r="K102" s="101">
        <f>IF(J102="",I102,J102)</f>
        <v/>
      </c>
      <c r="L102" s="74">
        <f>'مستخلص 14'!N102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14'!H103</f>
        <v/>
      </c>
      <c r="G103" s="72" t="n"/>
      <c r="H103" s="84">
        <f>F103+G103</f>
        <v/>
      </c>
      <c r="I103" s="109">
        <f>'مستخلص 14'!K103</f>
        <v/>
      </c>
      <c r="J103" s="68" t="n"/>
      <c r="K103" s="103">
        <f>IF(J103="",I103,J103)</f>
        <v/>
      </c>
      <c r="L103" s="108">
        <f>'مستخلص 14'!N103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14'!H104</f>
        <v/>
      </c>
      <c r="G104" s="72" t="n"/>
      <c r="H104" s="27">
        <f>F104+G104</f>
        <v/>
      </c>
      <c r="I104" s="107">
        <f>'مستخلص 14'!K104</f>
        <v/>
      </c>
      <c r="J104" s="68" t="n"/>
      <c r="K104" s="101">
        <f>IF(J104="",I104,J104)</f>
        <v/>
      </c>
      <c r="L104" s="74">
        <f>'مستخلص 14'!N104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14'!H105</f>
        <v/>
      </c>
      <c r="G105" s="72" t="n"/>
      <c r="H105" s="84">
        <f>F105+G105</f>
        <v/>
      </c>
      <c r="I105" s="109">
        <f>'مستخلص 14'!K105</f>
        <v/>
      </c>
      <c r="J105" s="68" t="n"/>
      <c r="K105" s="103">
        <f>IF(J105="",I105,J105)</f>
        <v/>
      </c>
      <c r="L105" s="108">
        <f>'مستخلص 14'!N105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14'!H106</f>
        <v/>
      </c>
      <c r="G106" s="72" t="n"/>
      <c r="H106" s="27">
        <f>F106+G106</f>
        <v/>
      </c>
      <c r="I106" s="107">
        <f>'مستخلص 14'!K106</f>
        <v/>
      </c>
      <c r="J106" s="68" t="n"/>
      <c r="K106" s="101">
        <f>IF(J106="",I106,J106)</f>
        <v/>
      </c>
      <c r="L106" s="74">
        <f>'مستخلص 14'!N106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14'!H107</f>
        <v/>
      </c>
      <c r="G107" s="72" t="n"/>
      <c r="H107" s="84">
        <f>F107+G107</f>
        <v/>
      </c>
      <c r="I107" s="109">
        <f>'مستخلص 14'!K107</f>
        <v/>
      </c>
      <c r="J107" s="68" t="n"/>
      <c r="K107" s="103">
        <f>IF(J107="",I107,J107)</f>
        <v/>
      </c>
      <c r="L107" s="108">
        <f>'مستخلص 14'!N107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14'!N111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14'!N112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14'!N113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14'!N114</f>
        <v/>
      </c>
      <c r="M114" s="27">
        <f>'الدفعات المقدمة'!I39</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14'!N115</f>
        <v/>
      </c>
      <c r="M115" s="27">
        <f>'ضمان الأعمال'!I30</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14'!N116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14'!N117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14'!N118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4'!A1" display="◀ المستخلص السابق (14)"/>
    <hyperlink ref="N3" location="'مستخلص 16'!A1" display="المستخلص التالي (16)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( 16 )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(15)</t>
        </is>
      </c>
      <c r="M3" s="4" t="n"/>
      <c r="N3" s="4" t="inlineStr">
        <is>
          <t>المستخلص التالي (17) ▶</t>
        </is>
      </c>
      <c r="O3" s="4" t="n"/>
      <c r="P3" s="4" t="n"/>
    </row>
    <row r="4" ht="24" customHeight="1">
      <c r="A4" s="96" t="inlineStr">
        <is>
          <t>رقم</t>
        </is>
      </c>
      <c r="B4" s="97" t="n">
        <v>16</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15'!H8</f>
        <v/>
      </c>
      <c r="G8" s="72" t="n"/>
      <c r="H8" s="27">
        <f>F8+G8</f>
        <v/>
      </c>
      <c r="I8" s="107">
        <f>'مستخلص 15'!K8</f>
        <v/>
      </c>
      <c r="J8" s="68" t="n"/>
      <c r="K8" s="101">
        <f>IF(J8="",I8,J8)</f>
        <v/>
      </c>
      <c r="L8" s="74">
        <f>'مستخلص 15'!N8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15'!H9</f>
        <v/>
      </c>
      <c r="G9" s="72" t="n"/>
      <c r="H9" s="84">
        <f>F9+G9</f>
        <v/>
      </c>
      <c r="I9" s="109">
        <f>'مستخلص 15'!K9</f>
        <v/>
      </c>
      <c r="J9" s="68" t="n"/>
      <c r="K9" s="103">
        <f>IF(J9="",I9,J9)</f>
        <v/>
      </c>
      <c r="L9" s="108">
        <f>'مستخلص 15'!N9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15'!H10</f>
        <v/>
      </c>
      <c r="G10" s="72" t="n"/>
      <c r="H10" s="27">
        <f>F10+G10</f>
        <v/>
      </c>
      <c r="I10" s="107">
        <f>'مستخلص 15'!K10</f>
        <v/>
      </c>
      <c r="J10" s="68" t="n"/>
      <c r="K10" s="101">
        <f>IF(J10="",I10,J10)</f>
        <v/>
      </c>
      <c r="L10" s="74">
        <f>'مستخلص 15'!N10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15'!H11</f>
        <v/>
      </c>
      <c r="G11" s="72" t="n"/>
      <c r="H11" s="84">
        <f>F11+G11</f>
        <v/>
      </c>
      <c r="I11" s="109">
        <f>'مستخلص 15'!K11</f>
        <v/>
      </c>
      <c r="J11" s="68" t="n"/>
      <c r="K11" s="103">
        <f>IF(J11="",I11,J11)</f>
        <v/>
      </c>
      <c r="L11" s="108">
        <f>'مستخلص 15'!N11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15'!H12</f>
        <v/>
      </c>
      <c r="G12" s="72" t="n"/>
      <c r="H12" s="27">
        <f>F12+G12</f>
        <v/>
      </c>
      <c r="I12" s="107">
        <f>'مستخلص 15'!K12</f>
        <v/>
      </c>
      <c r="J12" s="68" t="n"/>
      <c r="K12" s="101">
        <f>IF(J12="",I12,J12)</f>
        <v/>
      </c>
      <c r="L12" s="74">
        <f>'مستخلص 15'!N12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15'!H13</f>
        <v/>
      </c>
      <c r="G13" s="72" t="n"/>
      <c r="H13" s="84">
        <f>F13+G13</f>
        <v/>
      </c>
      <c r="I13" s="109">
        <f>'مستخلص 15'!K13</f>
        <v/>
      </c>
      <c r="J13" s="68" t="n"/>
      <c r="K13" s="103">
        <f>IF(J13="",I13,J13)</f>
        <v/>
      </c>
      <c r="L13" s="108">
        <f>'مستخلص 15'!N13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15'!H14</f>
        <v/>
      </c>
      <c r="G14" s="72" t="n"/>
      <c r="H14" s="27">
        <f>F14+G14</f>
        <v/>
      </c>
      <c r="I14" s="107">
        <f>'مستخلص 15'!K14</f>
        <v/>
      </c>
      <c r="J14" s="68" t="n"/>
      <c r="K14" s="101">
        <f>IF(J14="",I14,J14)</f>
        <v/>
      </c>
      <c r="L14" s="74">
        <f>'مستخلص 15'!N14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15'!H15</f>
        <v/>
      </c>
      <c r="G15" s="72" t="n"/>
      <c r="H15" s="84">
        <f>F15+G15</f>
        <v/>
      </c>
      <c r="I15" s="109">
        <f>'مستخلص 15'!K15</f>
        <v/>
      </c>
      <c r="J15" s="68" t="n"/>
      <c r="K15" s="103">
        <f>IF(J15="",I15,J15)</f>
        <v/>
      </c>
      <c r="L15" s="108">
        <f>'مستخلص 15'!N15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15'!H16</f>
        <v/>
      </c>
      <c r="G16" s="72" t="n"/>
      <c r="H16" s="27">
        <f>F16+G16</f>
        <v/>
      </c>
      <c r="I16" s="107">
        <f>'مستخلص 15'!K16</f>
        <v/>
      </c>
      <c r="J16" s="68" t="n"/>
      <c r="K16" s="101">
        <f>IF(J16="",I16,J16)</f>
        <v/>
      </c>
      <c r="L16" s="74">
        <f>'مستخلص 15'!N16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15'!H17</f>
        <v/>
      </c>
      <c r="G17" s="72" t="n"/>
      <c r="H17" s="84">
        <f>F17+G17</f>
        <v/>
      </c>
      <c r="I17" s="109">
        <f>'مستخلص 15'!K17</f>
        <v/>
      </c>
      <c r="J17" s="68" t="n"/>
      <c r="K17" s="103">
        <f>IF(J17="",I17,J17)</f>
        <v/>
      </c>
      <c r="L17" s="108">
        <f>'مستخلص 15'!N17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15'!H18</f>
        <v/>
      </c>
      <c r="G18" s="72" t="n"/>
      <c r="H18" s="27">
        <f>F18+G18</f>
        <v/>
      </c>
      <c r="I18" s="107">
        <f>'مستخلص 15'!K18</f>
        <v/>
      </c>
      <c r="J18" s="68" t="n"/>
      <c r="K18" s="101">
        <f>IF(J18="",I18,J18)</f>
        <v/>
      </c>
      <c r="L18" s="74">
        <f>'مستخلص 15'!N18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15'!H19</f>
        <v/>
      </c>
      <c r="G19" s="72" t="n"/>
      <c r="H19" s="84">
        <f>F19+G19</f>
        <v/>
      </c>
      <c r="I19" s="109">
        <f>'مستخلص 15'!K19</f>
        <v/>
      </c>
      <c r="J19" s="68" t="n"/>
      <c r="K19" s="103">
        <f>IF(J19="",I19,J19)</f>
        <v/>
      </c>
      <c r="L19" s="108">
        <f>'مستخلص 15'!N19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15'!H20</f>
        <v/>
      </c>
      <c r="G20" s="72" t="n"/>
      <c r="H20" s="27">
        <f>F20+G20</f>
        <v/>
      </c>
      <c r="I20" s="107">
        <f>'مستخلص 15'!K20</f>
        <v/>
      </c>
      <c r="J20" s="68" t="n"/>
      <c r="K20" s="101">
        <f>IF(J20="",I20,J20)</f>
        <v/>
      </c>
      <c r="L20" s="74">
        <f>'مستخلص 15'!N20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15'!H21</f>
        <v/>
      </c>
      <c r="G21" s="72" t="n"/>
      <c r="H21" s="84">
        <f>F21+G21</f>
        <v/>
      </c>
      <c r="I21" s="109">
        <f>'مستخلص 15'!K21</f>
        <v/>
      </c>
      <c r="J21" s="68" t="n"/>
      <c r="K21" s="103">
        <f>IF(J21="",I21,J21)</f>
        <v/>
      </c>
      <c r="L21" s="108">
        <f>'مستخلص 15'!N21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15'!H22</f>
        <v/>
      </c>
      <c r="G22" s="72" t="n"/>
      <c r="H22" s="27">
        <f>F22+G22</f>
        <v/>
      </c>
      <c r="I22" s="107">
        <f>'مستخلص 15'!K22</f>
        <v/>
      </c>
      <c r="J22" s="68" t="n"/>
      <c r="K22" s="101">
        <f>IF(J22="",I22,J22)</f>
        <v/>
      </c>
      <c r="L22" s="74">
        <f>'مستخلص 15'!N22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15'!H23</f>
        <v/>
      </c>
      <c r="G23" s="72" t="n"/>
      <c r="H23" s="84">
        <f>F23+G23</f>
        <v/>
      </c>
      <c r="I23" s="109">
        <f>'مستخلص 15'!K23</f>
        <v/>
      </c>
      <c r="J23" s="68" t="n"/>
      <c r="K23" s="103">
        <f>IF(J23="",I23,J23)</f>
        <v/>
      </c>
      <c r="L23" s="108">
        <f>'مستخلص 15'!N23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15'!H24</f>
        <v/>
      </c>
      <c r="G24" s="72" t="n"/>
      <c r="H24" s="27">
        <f>F24+G24</f>
        <v/>
      </c>
      <c r="I24" s="107">
        <f>'مستخلص 15'!K24</f>
        <v/>
      </c>
      <c r="J24" s="68" t="n"/>
      <c r="K24" s="101">
        <f>IF(J24="",I24,J24)</f>
        <v/>
      </c>
      <c r="L24" s="74">
        <f>'مستخلص 15'!N24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15'!H25</f>
        <v/>
      </c>
      <c r="G25" s="72" t="n"/>
      <c r="H25" s="84">
        <f>F25+G25</f>
        <v/>
      </c>
      <c r="I25" s="109">
        <f>'مستخلص 15'!K25</f>
        <v/>
      </c>
      <c r="J25" s="68" t="n"/>
      <c r="K25" s="103">
        <f>IF(J25="",I25,J25)</f>
        <v/>
      </c>
      <c r="L25" s="108">
        <f>'مستخلص 15'!N25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15'!H26</f>
        <v/>
      </c>
      <c r="G26" s="72" t="n"/>
      <c r="H26" s="27">
        <f>F26+G26</f>
        <v/>
      </c>
      <c r="I26" s="107">
        <f>'مستخلص 15'!K26</f>
        <v/>
      </c>
      <c r="J26" s="68" t="n"/>
      <c r="K26" s="101">
        <f>IF(J26="",I26,J26)</f>
        <v/>
      </c>
      <c r="L26" s="74">
        <f>'مستخلص 15'!N26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15'!H27</f>
        <v/>
      </c>
      <c r="G27" s="72" t="n"/>
      <c r="H27" s="84">
        <f>F27+G27</f>
        <v/>
      </c>
      <c r="I27" s="109">
        <f>'مستخلص 15'!K27</f>
        <v/>
      </c>
      <c r="J27" s="68" t="n"/>
      <c r="K27" s="103">
        <f>IF(J27="",I27,J27)</f>
        <v/>
      </c>
      <c r="L27" s="108">
        <f>'مستخلص 15'!N27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15'!H28</f>
        <v/>
      </c>
      <c r="G28" s="72" t="n"/>
      <c r="H28" s="27">
        <f>F28+G28</f>
        <v/>
      </c>
      <c r="I28" s="107">
        <f>'مستخلص 15'!K28</f>
        <v/>
      </c>
      <c r="J28" s="68" t="n"/>
      <c r="K28" s="101">
        <f>IF(J28="",I28,J28)</f>
        <v/>
      </c>
      <c r="L28" s="74">
        <f>'مستخلص 15'!N28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15'!H29</f>
        <v/>
      </c>
      <c r="G29" s="72" t="n"/>
      <c r="H29" s="84">
        <f>F29+G29</f>
        <v/>
      </c>
      <c r="I29" s="109">
        <f>'مستخلص 15'!K29</f>
        <v/>
      </c>
      <c r="J29" s="68" t="n"/>
      <c r="K29" s="103">
        <f>IF(J29="",I29,J29)</f>
        <v/>
      </c>
      <c r="L29" s="108">
        <f>'مستخلص 15'!N29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15'!H30</f>
        <v/>
      </c>
      <c r="G30" s="72" t="n"/>
      <c r="H30" s="27">
        <f>F30+G30</f>
        <v/>
      </c>
      <c r="I30" s="107">
        <f>'مستخلص 15'!K30</f>
        <v/>
      </c>
      <c r="J30" s="68" t="n"/>
      <c r="K30" s="101">
        <f>IF(J30="",I30,J30)</f>
        <v/>
      </c>
      <c r="L30" s="74">
        <f>'مستخلص 15'!N30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15'!H31</f>
        <v/>
      </c>
      <c r="G31" s="72" t="n"/>
      <c r="H31" s="84">
        <f>F31+G31</f>
        <v/>
      </c>
      <c r="I31" s="109">
        <f>'مستخلص 15'!K31</f>
        <v/>
      </c>
      <c r="J31" s="68" t="n"/>
      <c r="K31" s="103">
        <f>IF(J31="",I31,J31)</f>
        <v/>
      </c>
      <c r="L31" s="108">
        <f>'مستخلص 15'!N31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15'!H32</f>
        <v/>
      </c>
      <c r="G32" s="72" t="n"/>
      <c r="H32" s="27">
        <f>F32+G32</f>
        <v/>
      </c>
      <c r="I32" s="107">
        <f>'مستخلص 15'!K32</f>
        <v/>
      </c>
      <c r="J32" s="68" t="n"/>
      <c r="K32" s="101">
        <f>IF(J32="",I32,J32)</f>
        <v/>
      </c>
      <c r="L32" s="74">
        <f>'مستخلص 15'!N32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15'!H33</f>
        <v/>
      </c>
      <c r="G33" s="72" t="n"/>
      <c r="H33" s="84">
        <f>F33+G33</f>
        <v/>
      </c>
      <c r="I33" s="109">
        <f>'مستخلص 15'!K33</f>
        <v/>
      </c>
      <c r="J33" s="68" t="n"/>
      <c r="K33" s="103">
        <f>IF(J33="",I33,J33)</f>
        <v/>
      </c>
      <c r="L33" s="108">
        <f>'مستخلص 15'!N33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15'!H34</f>
        <v/>
      </c>
      <c r="G34" s="72" t="n"/>
      <c r="H34" s="27">
        <f>F34+G34</f>
        <v/>
      </c>
      <c r="I34" s="107">
        <f>'مستخلص 15'!K34</f>
        <v/>
      </c>
      <c r="J34" s="68" t="n"/>
      <c r="K34" s="101">
        <f>IF(J34="",I34,J34)</f>
        <v/>
      </c>
      <c r="L34" s="74">
        <f>'مستخلص 15'!N34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15'!H35</f>
        <v/>
      </c>
      <c r="G35" s="72" t="n"/>
      <c r="H35" s="84">
        <f>F35+G35</f>
        <v/>
      </c>
      <c r="I35" s="109">
        <f>'مستخلص 15'!K35</f>
        <v/>
      </c>
      <c r="J35" s="68" t="n"/>
      <c r="K35" s="103">
        <f>IF(J35="",I35,J35)</f>
        <v/>
      </c>
      <c r="L35" s="108">
        <f>'مستخلص 15'!N35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15'!H36</f>
        <v/>
      </c>
      <c r="G36" s="72" t="n"/>
      <c r="H36" s="27">
        <f>F36+G36</f>
        <v/>
      </c>
      <c r="I36" s="107">
        <f>'مستخلص 15'!K36</f>
        <v/>
      </c>
      <c r="J36" s="68" t="n"/>
      <c r="K36" s="101">
        <f>IF(J36="",I36,J36)</f>
        <v/>
      </c>
      <c r="L36" s="74">
        <f>'مستخلص 15'!N36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15'!H37</f>
        <v/>
      </c>
      <c r="G37" s="72" t="n"/>
      <c r="H37" s="84">
        <f>F37+G37</f>
        <v/>
      </c>
      <c r="I37" s="109">
        <f>'مستخلص 15'!K37</f>
        <v/>
      </c>
      <c r="J37" s="68" t="n"/>
      <c r="K37" s="103">
        <f>IF(J37="",I37,J37)</f>
        <v/>
      </c>
      <c r="L37" s="108">
        <f>'مستخلص 15'!N37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15'!H38</f>
        <v/>
      </c>
      <c r="G38" s="72" t="n"/>
      <c r="H38" s="27">
        <f>F38+G38</f>
        <v/>
      </c>
      <c r="I38" s="107">
        <f>'مستخلص 15'!K38</f>
        <v/>
      </c>
      <c r="J38" s="68" t="n"/>
      <c r="K38" s="101">
        <f>IF(J38="",I38,J38)</f>
        <v/>
      </c>
      <c r="L38" s="74">
        <f>'مستخلص 15'!N38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15'!H39</f>
        <v/>
      </c>
      <c r="G39" s="72" t="n"/>
      <c r="H39" s="84">
        <f>F39+G39</f>
        <v/>
      </c>
      <c r="I39" s="109">
        <f>'مستخلص 15'!K39</f>
        <v/>
      </c>
      <c r="J39" s="68" t="n"/>
      <c r="K39" s="103">
        <f>IF(J39="",I39,J39)</f>
        <v/>
      </c>
      <c r="L39" s="108">
        <f>'مستخلص 15'!N39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15'!H40</f>
        <v/>
      </c>
      <c r="G40" s="72" t="n"/>
      <c r="H40" s="27">
        <f>F40+G40</f>
        <v/>
      </c>
      <c r="I40" s="107">
        <f>'مستخلص 15'!K40</f>
        <v/>
      </c>
      <c r="J40" s="68" t="n"/>
      <c r="K40" s="101">
        <f>IF(J40="",I40,J40)</f>
        <v/>
      </c>
      <c r="L40" s="74">
        <f>'مستخلص 15'!N40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15'!H41</f>
        <v/>
      </c>
      <c r="G41" s="72" t="n"/>
      <c r="H41" s="84">
        <f>F41+G41</f>
        <v/>
      </c>
      <c r="I41" s="109">
        <f>'مستخلص 15'!K41</f>
        <v/>
      </c>
      <c r="J41" s="68" t="n"/>
      <c r="K41" s="103">
        <f>IF(J41="",I41,J41)</f>
        <v/>
      </c>
      <c r="L41" s="108">
        <f>'مستخلص 15'!N41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15'!H42</f>
        <v/>
      </c>
      <c r="G42" s="72" t="n"/>
      <c r="H42" s="27">
        <f>F42+G42</f>
        <v/>
      </c>
      <c r="I42" s="107">
        <f>'مستخلص 15'!K42</f>
        <v/>
      </c>
      <c r="J42" s="68" t="n"/>
      <c r="K42" s="101">
        <f>IF(J42="",I42,J42)</f>
        <v/>
      </c>
      <c r="L42" s="74">
        <f>'مستخلص 15'!N42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15'!H43</f>
        <v/>
      </c>
      <c r="G43" s="72" t="n"/>
      <c r="H43" s="84">
        <f>F43+G43</f>
        <v/>
      </c>
      <c r="I43" s="109">
        <f>'مستخلص 15'!K43</f>
        <v/>
      </c>
      <c r="J43" s="68" t="n"/>
      <c r="K43" s="103">
        <f>IF(J43="",I43,J43)</f>
        <v/>
      </c>
      <c r="L43" s="108">
        <f>'مستخلص 15'!N43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15'!H44</f>
        <v/>
      </c>
      <c r="G44" s="72" t="n"/>
      <c r="H44" s="27">
        <f>F44+G44</f>
        <v/>
      </c>
      <c r="I44" s="107">
        <f>'مستخلص 15'!K44</f>
        <v/>
      </c>
      <c r="J44" s="68" t="n"/>
      <c r="K44" s="101">
        <f>IF(J44="",I44,J44)</f>
        <v/>
      </c>
      <c r="L44" s="74">
        <f>'مستخلص 15'!N44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15'!H45</f>
        <v/>
      </c>
      <c r="G45" s="72" t="n"/>
      <c r="H45" s="84">
        <f>F45+G45</f>
        <v/>
      </c>
      <c r="I45" s="109">
        <f>'مستخلص 15'!K45</f>
        <v/>
      </c>
      <c r="J45" s="68" t="n"/>
      <c r="K45" s="103">
        <f>IF(J45="",I45,J45)</f>
        <v/>
      </c>
      <c r="L45" s="108">
        <f>'مستخلص 15'!N45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15'!H46</f>
        <v/>
      </c>
      <c r="G46" s="72" t="n"/>
      <c r="H46" s="27">
        <f>F46+G46</f>
        <v/>
      </c>
      <c r="I46" s="107">
        <f>'مستخلص 15'!K46</f>
        <v/>
      </c>
      <c r="J46" s="68" t="n"/>
      <c r="K46" s="101">
        <f>IF(J46="",I46,J46)</f>
        <v/>
      </c>
      <c r="L46" s="74">
        <f>'مستخلص 15'!N46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15'!H47</f>
        <v/>
      </c>
      <c r="G47" s="72" t="n"/>
      <c r="H47" s="84">
        <f>F47+G47</f>
        <v/>
      </c>
      <c r="I47" s="109">
        <f>'مستخلص 15'!K47</f>
        <v/>
      </c>
      <c r="J47" s="68" t="n"/>
      <c r="K47" s="103">
        <f>IF(J47="",I47,J47)</f>
        <v/>
      </c>
      <c r="L47" s="108">
        <f>'مستخلص 15'!N47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15'!H48</f>
        <v/>
      </c>
      <c r="G48" s="72" t="n"/>
      <c r="H48" s="27">
        <f>F48+G48</f>
        <v/>
      </c>
      <c r="I48" s="107">
        <f>'مستخلص 15'!K48</f>
        <v/>
      </c>
      <c r="J48" s="68" t="n"/>
      <c r="K48" s="101">
        <f>IF(J48="",I48,J48)</f>
        <v/>
      </c>
      <c r="L48" s="74">
        <f>'مستخلص 15'!N48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15'!H49</f>
        <v/>
      </c>
      <c r="G49" s="72" t="n"/>
      <c r="H49" s="84">
        <f>F49+G49</f>
        <v/>
      </c>
      <c r="I49" s="109">
        <f>'مستخلص 15'!K49</f>
        <v/>
      </c>
      <c r="J49" s="68" t="n"/>
      <c r="K49" s="103">
        <f>IF(J49="",I49,J49)</f>
        <v/>
      </c>
      <c r="L49" s="108">
        <f>'مستخلص 15'!N49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15'!H50</f>
        <v/>
      </c>
      <c r="G50" s="72" t="n"/>
      <c r="H50" s="27">
        <f>F50+G50</f>
        <v/>
      </c>
      <c r="I50" s="107">
        <f>'مستخلص 15'!K50</f>
        <v/>
      </c>
      <c r="J50" s="68" t="n"/>
      <c r="K50" s="101">
        <f>IF(J50="",I50,J50)</f>
        <v/>
      </c>
      <c r="L50" s="74">
        <f>'مستخلص 15'!N50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15'!H51</f>
        <v/>
      </c>
      <c r="G51" s="72" t="n"/>
      <c r="H51" s="84">
        <f>F51+G51</f>
        <v/>
      </c>
      <c r="I51" s="109">
        <f>'مستخلص 15'!K51</f>
        <v/>
      </c>
      <c r="J51" s="68" t="n"/>
      <c r="K51" s="103">
        <f>IF(J51="",I51,J51)</f>
        <v/>
      </c>
      <c r="L51" s="108">
        <f>'مستخلص 15'!N51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15'!H52</f>
        <v/>
      </c>
      <c r="G52" s="72" t="n"/>
      <c r="H52" s="27">
        <f>F52+G52</f>
        <v/>
      </c>
      <c r="I52" s="107">
        <f>'مستخلص 15'!K52</f>
        <v/>
      </c>
      <c r="J52" s="68" t="n"/>
      <c r="K52" s="101">
        <f>IF(J52="",I52,J52)</f>
        <v/>
      </c>
      <c r="L52" s="74">
        <f>'مستخلص 15'!N52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15'!H53</f>
        <v/>
      </c>
      <c r="G53" s="72" t="n"/>
      <c r="H53" s="84">
        <f>F53+G53</f>
        <v/>
      </c>
      <c r="I53" s="109">
        <f>'مستخلص 15'!K53</f>
        <v/>
      </c>
      <c r="J53" s="68" t="n"/>
      <c r="K53" s="103">
        <f>IF(J53="",I53,J53)</f>
        <v/>
      </c>
      <c r="L53" s="108">
        <f>'مستخلص 15'!N53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15'!H54</f>
        <v/>
      </c>
      <c r="G54" s="72" t="n"/>
      <c r="H54" s="27">
        <f>F54+G54</f>
        <v/>
      </c>
      <c r="I54" s="107">
        <f>'مستخلص 15'!K54</f>
        <v/>
      </c>
      <c r="J54" s="68" t="n"/>
      <c r="K54" s="101">
        <f>IF(J54="",I54,J54)</f>
        <v/>
      </c>
      <c r="L54" s="74">
        <f>'مستخلص 15'!N54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15'!H55</f>
        <v/>
      </c>
      <c r="G55" s="72" t="n"/>
      <c r="H55" s="84">
        <f>F55+G55</f>
        <v/>
      </c>
      <c r="I55" s="109">
        <f>'مستخلص 15'!K55</f>
        <v/>
      </c>
      <c r="J55" s="68" t="n"/>
      <c r="K55" s="103">
        <f>IF(J55="",I55,J55)</f>
        <v/>
      </c>
      <c r="L55" s="108">
        <f>'مستخلص 15'!N55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15'!H56</f>
        <v/>
      </c>
      <c r="G56" s="72" t="n"/>
      <c r="H56" s="27">
        <f>F56+G56</f>
        <v/>
      </c>
      <c r="I56" s="107">
        <f>'مستخلص 15'!K56</f>
        <v/>
      </c>
      <c r="J56" s="68" t="n"/>
      <c r="K56" s="101">
        <f>IF(J56="",I56,J56)</f>
        <v/>
      </c>
      <c r="L56" s="74">
        <f>'مستخلص 15'!N56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15'!H57</f>
        <v/>
      </c>
      <c r="G57" s="72" t="n"/>
      <c r="H57" s="84">
        <f>F57+G57</f>
        <v/>
      </c>
      <c r="I57" s="109">
        <f>'مستخلص 15'!K57</f>
        <v/>
      </c>
      <c r="J57" s="68" t="n"/>
      <c r="K57" s="103">
        <f>IF(J57="",I57,J57)</f>
        <v/>
      </c>
      <c r="L57" s="108">
        <f>'مستخلص 15'!N57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15'!H58</f>
        <v/>
      </c>
      <c r="G58" s="72" t="n"/>
      <c r="H58" s="27">
        <f>F58+G58</f>
        <v/>
      </c>
      <c r="I58" s="107">
        <f>'مستخلص 15'!K58</f>
        <v/>
      </c>
      <c r="J58" s="68" t="n"/>
      <c r="K58" s="101">
        <f>IF(J58="",I58,J58)</f>
        <v/>
      </c>
      <c r="L58" s="74">
        <f>'مستخلص 15'!N58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15'!H59</f>
        <v/>
      </c>
      <c r="G59" s="72" t="n"/>
      <c r="H59" s="84">
        <f>F59+G59</f>
        <v/>
      </c>
      <c r="I59" s="109">
        <f>'مستخلص 15'!K59</f>
        <v/>
      </c>
      <c r="J59" s="68" t="n"/>
      <c r="K59" s="103">
        <f>IF(J59="",I59,J59)</f>
        <v/>
      </c>
      <c r="L59" s="108">
        <f>'مستخلص 15'!N59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15'!H60</f>
        <v/>
      </c>
      <c r="G60" s="72" t="n"/>
      <c r="H60" s="27">
        <f>F60+G60</f>
        <v/>
      </c>
      <c r="I60" s="107">
        <f>'مستخلص 15'!K60</f>
        <v/>
      </c>
      <c r="J60" s="68" t="n"/>
      <c r="K60" s="101">
        <f>IF(J60="",I60,J60)</f>
        <v/>
      </c>
      <c r="L60" s="74">
        <f>'مستخلص 15'!N60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15'!H61</f>
        <v/>
      </c>
      <c r="G61" s="72" t="n"/>
      <c r="H61" s="84">
        <f>F61+G61</f>
        <v/>
      </c>
      <c r="I61" s="109">
        <f>'مستخلص 15'!K61</f>
        <v/>
      </c>
      <c r="J61" s="68" t="n"/>
      <c r="K61" s="103">
        <f>IF(J61="",I61,J61)</f>
        <v/>
      </c>
      <c r="L61" s="108">
        <f>'مستخلص 15'!N61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15'!H62</f>
        <v/>
      </c>
      <c r="G62" s="72" t="n"/>
      <c r="H62" s="27">
        <f>F62+G62</f>
        <v/>
      </c>
      <c r="I62" s="107">
        <f>'مستخلص 15'!K62</f>
        <v/>
      </c>
      <c r="J62" s="68" t="n"/>
      <c r="K62" s="101">
        <f>IF(J62="",I62,J62)</f>
        <v/>
      </c>
      <c r="L62" s="74">
        <f>'مستخلص 15'!N62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15'!H63</f>
        <v/>
      </c>
      <c r="G63" s="72" t="n"/>
      <c r="H63" s="84">
        <f>F63+G63</f>
        <v/>
      </c>
      <c r="I63" s="109">
        <f>'مستخلص 15'!K63</f>
        <v/>
      </c>
      <c r="J63" s="68" t="n"/>
      <c r="K63" s="103">
        <f>IF(J63="",I63,J63)</f>
        <v/>
      </c>
      <c r="L63" s="108">
        <f>'مستخلص 15'!N63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15'!H64</f>
        <v/>
      </c>
      <c r="G64" s="72" t="n"/>
      <c r="H64" s="27">
        <f>F64+G64</f>
        <v/>
      </c>
      <c r="I64" s="107">
        <f>'مستخلص 15'!K64</f>
        <v/>
      </c>
      <c r="J64" s="68" t="n"/>
      <c r="K64" s="101">
        <f>IF(J64="",I64,J64)</f>
        <v/>
      </c>
      <c r="L64" s="74">
        <f>'مستخلص 15'!N64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15'!H65</f>
        <v/>
      </c>
      <c r="G65" s="72" t="n"/>
      <c r="H65" s="84">
        <f>F65+G65</f>
        <v/>
      </c>
      <c r="I65" s="109">
        <f>'مستخلص 15'!K65</f>
        <v/>
      </c>
      <c r="J65" s="68" t="n"/>
      <c r="K65" s="103">
        <f>IF(J65="",I65,J65)</f>
        <v/>
      </c>
      <c r="L65" s="108">
        <f>'مستخلص 15'!N65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15'!H66</f>
        <v/>
      </c>
      <c r="G66" s="72" t="n"/>
      <c r="H66" s="27">
        <f>F66+G66</f>
        <v/>
      </c>
      <c r="I66" s="107">
        <f>'مستخلص 15'!K66</f>
        <v/>
      </c>
      <c r="J66" s="68" t="n"/>
      <c r="K66" s="101">
        <f>IF(J66="",I66,J66)</f>
        <v/>
      </c>
      <c r="L66" s="74">
        <f>'مستخلص 15'!N66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15'!H67</f>
        <v/>
      </c>
      <c r="G67" s="72" t="n"/>
      <c r="H67" s="84">
        <f>F67+G67</f>
        <v/>
      </c>
      <c r="I67" s="109">
        <f>'مستخلص 15'!K67</f>
        <v/>
      </c>
      <c r="J67" s="68" t="n"/>
      <c r="K67" s="103">
        <f>IF(J67="",I67,J67)</f>
        <v/>
      </c>
      <c r="L67" s="108">
        <f>'مستخلص 15'!N67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15'!H68</f>
        <v/>
      </c>
      <c r="G68" s="72" t="n"/>
      <c r="H68" s="27">
        <f>F68+G68</f>
        <v/>
      </c>
      <c r="I68" s="107">
        <f>'مستخلص 15'!K68</f>
        <v/>
      </c>
      <c r="J68" s="68" t="n"/>
      <c r="K68" s="101">
        <f>IF(J68="",I68,J68)</f>
        <v/>
      </c>
      <c r="L68" s="74">
        <f>'مستخلص 15'!N68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15'!H69</f>
        <v/>
      </c>
      <c r="G69" s="72" t="n"/>
      <c r="H69" s="84">
        <f>F69+G69</f>
        <v/>
      </c>
      <c r="I69" s="109">
        <f>'مستخلص 15'!K69</f>
        <v/>
      </c>
      <c r="J69" s="68" t="n"/>
      <c r="K69" s="103">
        <f>IF(J69="",I69,J69)</f>
        <v/>
      </c>
      <c r="L69" s="108">
        <f>'مستخلص 15'!N69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15'!H70</f>
        <v/>
      </c>
      <c r="G70" s="72" t="n"/>
      <c r="H70" s="27">
        <f>F70+G70</f>
        <v/>
      </c>
      <c r="I70" s="107">
        <f>'مستخلص 15'!K70</f>
        <v/>
      </c>
      <c r="J70" s="68" t="n"/>
      <c r="K70" s="101">
        <f>IF(J70="",I70,J70)</f>
        <v/>
      </c>
      <c r="L70" s="74">
        <f>'مستخلص 15'!N70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15'!H71</f>
        <v/>
      </c>
      <c r="G71" s="72" t="n"/>
      <c r="H71" s="84">
        <f>F71+G71</f>
        <v/>
      </c>
      <c r="I71" s="109">
        <f>'مستخلص 15'!K71</f>
        <v/>
      </c>
      <c r="J71" s="68" t="n"/>
      <c r="K71" s="103">
        <f>IF(J71="",I71,J71)</f>
        <v/>
      </c>
      <c r="L71" s="108">
        <f>'مستخلص 15'!N71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15'!H72</f>
        <v/>
      </c>
      <c r="G72" s="72" t="n"/>
      <c r="H72" s="27">
        <f>F72+G72</f>
        <v/>
      </c>
      <c r="I72" s="107">
        <f>'مستخلص 15'!K72</f>
        <v/>
      </c>
      <c r="J72" s="68" t="n"/>
      <c r="K72" s="101">
        <f>IF(J72="",I72,J72)</f>
        <v/>
      </c>
      <c r="L72" s="74">
        <f>'مستخلص 15'!N72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15'!H73</f>
        <v/>
      </c>
      <c r="G73" s="72" t="n"/>
      <c r="H73" s="84">
        <f>F73+G73</f>
        <v/>
      </c>
      <c r="I73" s="109">
        <f>'مستخلص 15'!K73</f>
        <v/>
      </c>
      <c r="J73" s="68" t="n"/>
      <c r="K73" s="103">
        <f>IF(J73="",I73,J73)</f>
        <v/>
      </c>
      <c r="L73" s="108">
        <f>'مستخلص 15'!N73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15'!H74</f>
        <v/>
      </c>
      <c r="G74" s="72" t="n"/>
      <c r="H74" s="27">
        <f>F74+G74</f>
        <v/>
      </c>
      <c r="I74" s="107">
        <f>'مستخلص 15'!K74</f>
        <v/>
      </c>
      <c r="J74" s="68" t="n"/>
      <c r="K74" s="101">
        <f>IF(J74="",I74,J74)</f>
        <v/>
      </c>
      <c r="L74" s="74">
        <f>'مستخلص 15'!N74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15'!H75</f>
        <v/>
      </c>
      <c r="G75" s="72" t="n"/>
      <c r="H75" s="84">
        <f>F75+G75</f>
        <v/>
      </c>
      <c r="I75" s="109">
        <f>'مستخلص 15'!K75</f>
        <v/>
      </c>
      <c r="J75" s="68" t="n"/>
      <c r="K75" s="103">
        <f>IF(J75="",I75,J75)</f>
        <v/>
      </c>
      <c r="L75" s="108">
        <f>'مستخلص 15'!N75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15'!H76</f>
        <v/>
      </c>
      <c r="G76" s="72" t="n"/>
      <c r="H76" s="27">
        <f>F76+G76</f>
        <v/>
      </c>
      <c r="I76" s="107">
        <f>'مستخلص 15'!K76</f>
        <v/>
      </c>
      <c r="J76" s="68" t="n"/>
      <c r="K76" s="101">
        <f>IF(J76="",I76,J76)</f>
        <v/>
      </c>
      <c r="L76" s="74">
        <f>'مستخلص 15'!N76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15'!H77</f>
        <v/>
      </c>
      <c r="G77" s="72" t="n"/>
      <c r="H77" s="84">
        <f>F77+G77</f>
        <v/>
      </c>
      <c r="I77" s="109">
        <f>'مستخلص 15'!K77</f>
        <v/>
      </c>
      <c r="J77" s="68" t="n"/>
      <c r="K77" s="103">
        <f>IF(J77="",I77,J77)</f>
        <v/>
      </c>
      <c r="L77" s="108">
        <f>'مستخلص 15'!N77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15'!H78</f>
        <v/>
      </c>
      <c r="G78" s="72" t="n"/>
      <c r="H78" s="27">
        <f>F78+G78</f>
        <v/>
      </c>
      <c r="I78" s="107">
        <f>'مستخلص 15'!K78</f>
        <v/>
      </c>
      <c r="J78" s="68" t="n"/>
      <c r="K78" s="101">
        <f>IF(J78="",I78,J78)</f>
        <v/>
      </c>
      <c r="L78" s="74">
        <f>'مستخلص 15'!N78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15'!H79</f>
        <v/>
      </c>
      <c r="G79" s="72" t="n"/>
      <c r="H79" s="84">
        <f>F79+G79</f>
        <v/>
      </c>
      <c r="I79" s="109">
        <f>'مستخلص 15'!K79</f>
        <v/>
      </c>
      <c r="J79" s="68" t="n"/>
      <c r="K79" s="103">
        <f>IF(J79="",I79,J79)</f>
        <v/>
      </c>
      <c r="L79" s="108">
        <f>'مستخلص 15'!N79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15'!H80</f>
        <v/>
      </c>
      <c r="G80" s="72" t="n"/>
      <c r="H80" s="27">
        <f>F80+G80</f>
        <v/>
      </c>
      <c r="I80" s="107">
        <f>'مستخلص 15'!K80</f>
        <v/>
      </c>
      <c r="J80" s="68" t="n"/>
      <c r="K80" s="101">
        <f>IF(J80="",I80,J80)</f>
        <v/>
      </c>
      <c r="L80" s="74">
        <f>'مستخلص 15'!N80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15'!H81</f>
        <v/>
      </c>
      <c r="G81" s="72" t="n"/>
      <c r="H81" s="84">
        <f>F81+G81</f>
        <v/>
      </c>
      <c r="I81" s="109">
        <f>'مستخلص 15'!K81</f>
        <v/>
      </c>
      <c r="J81" s="68" t="n"/>
      <c r="K81" s="103">
        <f>IF(J81="",I81,J81)</f>
        <v/>
      </c>
      <c r="L81" s="108">
        <f>'مستخلص 15'!N81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15'!H82</f>
        <v/>
      </c>
      <c r="G82" s="72" t="n"/>
      <c r="H82" s="27">
        <f>F82+G82</f>
        <v/>
      </c>
      <c r="I82" s="107">
        <f>'مستخلص 15'!K82</f>
        <v/>
      </c>
      <c r="J82" s="68" t="n"/>
      <c r="K82" s="101">
        <f>IF(J82="",I82,J82)</f>
        <v/>
      </c>
      <c r="L82" s="74">
        <f>'مستخلص 15'!N82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15'!H83</f>
        <v/>
      </c>
      <c r="G83" s="72" t="n"/>
      <c r="H83" s="84">
        <f>F83+G83</f>
        <v/>
      </c>
      <c r="I83" s="109">
        <f>'مستخلص 15'!K83</f>
        <v/>
      </c>
      <c r="J83" s="68" t="n"/>
      <c r="K83" s="103">
        <f>IF(J83="",I83,J83)</f>
        <v/>
      </c>
      <c r="L83" s="108">
        <f>'مستخلص 15'!N83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15'!H84</f>
        <v/>
      </c>
      <c r="G84" s="72" t="n"/>
      <c r="H84" s="27">
        <f>F84+G84</f>
        <v/>
      </c>
      <c r="I84" s="107">
        <f>'مستخلص 15'!K84</f>
        <v/>
      </c>
      <c r="J84" s="68" t="n"/>
      <c r="K84" s="101">
        <f>IF(J84="",I84,J84)</f>
        <v/>
      </c>
      <c r="L84" s="74">
        <f>'مستخلص 15'!N84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15'!H85</f>
        <v/>
      </c>
      <c r="G85" s="72" t="n"/>
      <c r="H85" s="84">
        <f>F85+G85</f>
        <v/>
      </c>
      <c r="I85" s="109">
        <f>'مستخلص 15'!K85</f>
        <v/>
      </c>
      <c r="J85" s="68" t="n"/>
      <c r="K85" s="103">
        <f>IF(J85="",I85,J85)</f>
        <v/>
      </c>
      <c r="L85" s="108">
        <f>'مستخلص 15'!N85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15'!H86</f>
        <v/>
      </c>
      <c r="G86" s="72" t="n"/>
      <c r="H86" s="27">
        <f>F86+G86</f>
        <v/>
      </c>
      <c r="I86" s="107">
        <f>'مستخلص 15'!K86</f>
        <v/>
      </c>
      <c r="J86" s="68" t="n"/>
      <c r="K86" s="101">
        <f>IF(J86="",I86,J86)</f>
        <v/>
      </c>
      <c r="L86" s="74">
        <f>'مستخلص 15'!N86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15'!H87</f>
        <v/>
      </c>
      <c r="G87" s="72" t="n"/>
      <c r="H87" s="84">
        <f>F87+G87</f>
        <v/>
      </c>
      <c r="I87" s="109">
        <f>'مستخلص 15'!K87</f>
        <v/>
      </c>
      <c r="J87" s="68" t="n"/>
      <c r="K87" s="103">
        <f>IF(J87="",I87,J87)</f>
        <v/>
      </c>
      <c r="L87" s="108">
        <f>'مستخلص 15'!N87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15'!H88</f>
        <v/>
      </c>
      <c r="G88" s="72" t="n"/>
      <c r="H88" s="27">
        <f>F88+G88</f>
        <v/>
      </c>
      <c r="I88" s="107">
        <f>'مستخلص 15'!K88</f>
        <v/>
      </c>
      <c r="J88" s="68" t="n"/>
      <c r="K88" s="101">
        <f>IF(J88="",I88,J88)</f>
        <v/>
      </c>
      <c r="L88" s="74">
        <f>'مستخلص 15'!N88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15'!H89</f>
        <v/>
      </c>
      <c r="G89" s="72" t="n"/>
      <c r="H89" s="84">
        <f>F89+G89</f>
        <v/>
      </c>
      <c r="I89" s="109">
        <f>'مستخلص 15'!K89</f>
        <v/>
      </c>
      <c r="J89" s="68" t="n"/>
      <c r="K89" s="103">
        <f>IF(J89="",I89,J89)</f>
        <v/>
      </c>
      <c r="L89" s="108">
        <f>'مستخلص 15'!N89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15'!H90</f>
        <v/>
      </c>
      <c r="G90" s="72" t="n"/>
      <c r="H90" s="27">
        <f>F90+G90</f>
        <v/>
      </c>
      <c r="I90" s="107">
        <f>'مستخلص 15'!K90</f>
        <v/>
      </c>
      <c r="J90" s="68" t="n"/>
      <c r="K90" s="101">
        <f>IF(J90="",I90,J90)</f>
        <v/>
      </c>
      <c r="L90" s="74">
        <f>'مستخلص 15'!N90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15'!H91</f>
        <v/>
      </c>
      <c r="G91" s="72" t="n"/>
      <c r="H91" s="84">
        <f>F91+G91</f>
        <v/>
      </c>
      <c r="I91" s="109">
        <f>'مستخلص 15'!K91</f>
        <v/>
      </c>
      <c r="J91" s="68" t="n"/>
      <c r="K91" s="103">
        <f>IF(J91="",I91,J91)</f>
        <v/>
      </c>
      <c r="L91" s="108">
        <f>'مستخلص 15'!N91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15'!H92</f>
        <v/>
      </c>
      <c r="G92" s="72" t="n"/>
      <c r="H92" s="27">
        <f>F92+G92</f>
        <v/>
      </c>
      <c r="I92" s="107">
        <f>'مستخلص 15'!K92</f>
        <v/>
      </c>
      <c r="J92" s="68" t="n"/>
      <c r="K92" s="101">
        <f>IF(J92="",I92,J92)</f>
        <v/>
      </c>
      <c r="L92" s="74">
        <f>'مستخلص 15'!N92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15'!H93</f>
        <v/>
      </c>
      <c r="G93" s="72" t="n"/>
      <c r="H93" s="84">
        <f>F93+G93</f>
        <v/>
      </c>
      <c r="I93" s="109">
        <f>'مستخلص 15'!K93</f>
        <v/>
      </c>
      <c r="J93" s="68" t="n"/>
      <c r="K93" s="103">
        <f>IF(J93="",I93,J93)</f>
        <v/>
      </c>
      <c r="L93" s="108">
        <f>'مستخلص 15'!N93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15'!H94</f>
        <v/>
      </c>
      <c r="G94" s="72" t="n"/>
      <c r="H94" s="27">
        <f>F94+G94</f>
        <v/>
      </c>
      <c r="I94" s="107">
        <f>'مستخلص 15'!K94</f>
        <v/>
      </c>
      <c r="J94" s="68" t="n"/>
      <c r="K94" s="101">
        <f>IF(J94="",I94,J94)</f>
        <v/>
      </c>
      <c r="L94" s="74">
        <f>'مستخلص 15'!N94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15'!H95</f>
        <v/>
      </c>
      <c r="G95" s="72" t="n"/>
      <c r="H95" s="84">
        <f>F95+G95</f>
        <v/>
      </c>
      <c r="I95" s="109">
        <f>'مستخلص 15'!K95</f>
        <v/>
      </c>
      <c r="J95" s="68" t="n"/>
      <c r="K95" s="103">
        <f>IF(J95="",I95,J95)</f>
        <v/>
      </c>
      <c r="L95" s="108">
        <f>'مستخلص 15'!N95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15'!H96</f>
        <v/>
      </c>
      <c r="G96" s="72" t="n"/>
      <c r="H96" s="27">
        <f>F96+G96</f>
        <v/>
      </c>
      <c r="I96" s="107">
        <f>'مستخلص 15'!K96</f>
        <v/>
      </c>
      <c r="J96" s="68" t="n"/>
      <c r="K96" s="101">
        <f>IF(J96="",I96,J96)</f>
        <v/>
      </c>
      <c r="L96" s="74">
        <f>'مستخلص 15'!N96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15'!H97</f>
        <v/>
      </c>
      <c r="G97" s="72" t="n"/>
      <c r="H97" s="84">
        <f>F97+G97</f>
        <v/>
      </c>
      <c r="I97" s="109">
        <f>'مستخلص 15'!K97</f>
        <v/>
      </c>
      <c r="J97" s="68" t="n"/>
      <c r="K97" s="103">
        <f>IF(J97="",I97,J97)</f>
        <v/>
      </c>
      <c r="L97" s="108">
        <f>'مستخلص 15'!N97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15'!H98</f>
        <v/>
      </c>
      <c r="G98" s="72" t="n"/>
      <c r="H98" s="27">
        <f>F98+G98</f>
        <v/>
      </c>
      <c r="I98" s="107">
        <f>'مستخلص 15'!K98</f>
        <v/>
      </c>
      <c r="J98" s="68" t="n"/>
      <c r="K98" s="101">
        <f>IF(J98="",I98,J98)</f>
        <v/>
      </c>
      <c r="L98" s="74">
        <f>'مستخلص 15'!N98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15'!H99</f>
        <v/>
      </c>
      <c r="G99" s="72" t="n"/>
      <c r="H99" s="84">
        <f>F99+G99</f>
        <v/>
      </c>
      <c r="I99" s="109">
        <f>'مستخلص 15'!K99</f>
        <v/>
      </c>
      <c r="J99" s="68" t="n"/>
      <c r="K99" s="103">
        <f>IF(J99="",I99,J99)</f>
        <v/>
      </c>
      <c r="L99" s="108">
        <f>'مستخلص 15'!N99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15'!H100</f>
        <v/>
      </c>
      <c r="G100" s="72" t="n"/>
      <c r="H100" s="27">
        <f>F100+G100</f>
        <v/>
      </c>
      <c r="I100" s="107">
        <f>'مستخلص 15'!K100</f>
        <v/>
      </c>
      <c r="J100" s="68" t="n"/>
      <c r="K100" s="101">
        <f>IF(J100="",I100,J100)</f>
        <v/>
      </c>
      <c r="L100" s="74">
        <f>'مستخلص 15'!N100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15'!H101</f>
        <v/>
      </c>
      <c r="G101" s="72" t="n"/>
      <c r="H101" s="84">
        <f>F101+G101</f>
        <v/>
      </c>
      <c r="I101" s="109">
        <f>'مستخلص 15'!K101</f>
        <v/>
      </c>
      <c r="J101" s="68" t="n"/>
      <c r="K101" s="103">
        <f>IF(J101="",I101,J101)</f>
        <v/>
      </c>
      <c r="L101" s="108">
        <f>'مستخلص 15'!N101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15'!H102</f>
        <v/>
      </c>
      <c r="G102" s="72" t="n"/>
      <c r="H102" s="27">
        <f>F102+G102</f>
        <v/>
      </c>
      <c r="I102" s="107">
        <f>'مستخلص 15'!K102</f>
        <v/>
      </c>
      <c r="J102" s="68" t="n"/>
      <c r="K102" s="101">
        <f>IF(J102="",I102,J102)</f>
        <v/>
      </c>
      <c r="L102" s="74">
        <f>'مستخلص 15'!N102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15'!H103</f>
        <v/>
      </c>
      <c r="G103" s="72" t="n"/>
      <c r="H103" s="84">
        <f>F103+G103</f>
        <v/>
      </c>
      <c r="I103" s="109">
        <f>'مستخلص 15'!K103</f>
        <v/>
      </c>
      <c r="J103" s="68" t="n"/>
      <c r="K103" s="103">
        <f>IF(J103="",I103,J103)</f>
        <v/>
      </c>
      <c r="L103" s="108">
        <f>'مستخلص 15'!N103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15'!H104</f>
        <v/>
      </c>
      <c r="G104" s="72" t="n"/>
      <c r="H104" s="27">
        <f>F104+G104</f>
        <v/>
      </c>
      <c r="I104" s="107">
        <f>'مستخلص 15'!K104</f>
        <v/>
      </c>
      <c r="J104" s="68" t="n"/>
      <c r="K104" s="101">
        <f>IF(J104="",I104,J104)</f>
        <v/>
      </c>
      <c r="L104" s="74">
        <f>'مستخلص 15'!N104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15'!H105</f>
        <v/>
      </c>
      <c r="G105" s="72" t="n"/>
      <c r="H105" s="84">
        <f>F105+G105</f>
        <v/>
      </c>
      <c r="I105" s="109">
        <f>'مستخلص 15'!K105</f>
        <v/>
      </c>
      <c r="J105" s="68" t="n"/>
      <c r="K105" s="103">
        <f>IF(J105="",I105,J105)</f>
        <v/>
      </c>
      <c r="L105" s="108">
        <f>'مستخلص 15'!N105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15'!H106</f>
        <v/>
      </c>
      <c r="G106" s="72" t="n"/>
      <c r="H106" s="27">
        <f>F106+G106</f>
        <v/>
      </c>
      <c r="I106" s="107">
        <f>'مستخلص 15'!K106</f>
        <v/>
      </c>
      <c r="J106" s="68" t="n"/>
      <c r="K106" s="101">
        <f>IF(J106="",I106,J106)</f>
        <v/>
      </c>
      <c r="L106" s="74">
        <f>'مستخلص 15'!N106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15'!H107</f>
        <v/>
      </c>
      <c r="G107" s="72" t="n"/>
      <c r="H107" s="84">
        <f>F107+G107</f>
        <v/>
      </c>
      <c r="I107" s="109">
        <f>'مستخلص 15'!K107</f>
        <v/>
      </c>
      <c r="J107" s="68" t="n"/>
      <c r="K107" s="103">
        <f>IF(J107="",I107,J107)</f>
        <v/>
      </c>
      <c r="L107" s="108">
        <f>'مستخلص 15'!N107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15'!N111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15'!N112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15'!N113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15'!N114</f>
        <v/>
      </c>
      <c r="M114" s="27">
        <f>'الدفعات المقدمة'!I40</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15'!N115</f>
        <v/>
      </c>
      <c r="M115" s="27">
        <f>'ضمان الأعمال'!I31</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15'!N116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15'!N117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15'!N118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5'!A1" display="◀ المستخلص السابق (15)"/>
    <hyperlink ref="N3" location="'مستخلص 17'!A1" display="المستخلص التالي (17)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( 17 )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(16)</t>
        </is>
      </c>
      <c r="M3" s="4" t="n"/>
      <c r="N3" s="4" t="inlineStr">
        <is>
          <t>المستخلص التالي (18) ▶</t>
        </is>
      </c>
      <c r="O3" s="4" t="n"/>
      <c r="P3" s="4" t="n"/>
    </row>
    <row r="4" ht="24" customHeight="1">
      <c r="A4" s="96" t="inlineStr">
        <is>
          <t>رقم</t>
        </is>
      </c>
      <c r="B4" s="97" t="n">
        <v>17</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16'!H8</f>
        <v/>
      </c>
      <c r="G8" s="72" t="n"/>
      <c r="H8" s="27">
        <f>F8+G8</f>
        <v/>
      </c>
      <c r="I8" s="107">
        <f>'مستخلص 16'!K8</f>
        <v/>
      </c>
      <c r="J8" s="68" t="n"/>
      <c r="K8" s="101">
        <f>IF(J8="",I8,J8)</f>
        <v/>
      </c>
      <c r="L8" s="74">
        <f>'مستخلص 16'!N8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16'!H9</f>
        <v/>
      </c>
      <c r="G9" s="72" t="n"/>
      <c r="H9" s="84">
        <f>F9+G9</f>
        <v/>
      </c>
      <c r="I9" s="109">
        <f>'مستخلص 16'!K9</f>
        <v/>
      </c>
      <c r="J9" s="68" t="n"/>
      <c r="K9" s="103">
        <f>IF(J9="",I9,J9)</f>
        <v/>
      </c>
      <c r="L9" s="108">
        <f>'مستخلص 16'!N9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16'!H10</f>
        <v/>
      </c>
      <c r="G10" s="72" t="n"/>
      <c r="H10" s="27">
        <f>F10+G10</f>
        <v/>
      </c>
      <c r="I10" s="107">
        <f>'مستخلص 16'!K10</f>
        <v/>
      </c>
      <c r="J10" s="68" t="n"/>
      <c r="K10" s="101">
        <f>IF(J10="",I10,J10)</f>
        <v/>
      </c>
      <c r="L10" s="74">
        <f>'مستخلص 16'!N10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16'!H11</f>
        <v/>
      </c>
      <c r="G11" s="72" t="n"/>
      <c r="H11" s="84">
        <f>F11+G11</f>
        <v/>
      </c>
      <c r="I11" s="109">
        <f>'مستخلص 16'!K11</f>
        <v/>
      </c>
      <c r="J11" s="68" t="n"/>
      <c r="K11" s="103">
        <f>IF(J11="",I11,J11)</f>
        <v/>
      </c>
      <c r="L11" s="108">
        <f>'مستخلص 16'!N11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16'!H12</f>
        <v/>
      </c>
      <c r="G12" s="72" t="n"/>
      <c r="H12" s="27">
        <f>F12+G12</f>
        <v/>
      </c>
      <c r="I12" s="107">
        <f>'مستخلص 16'!K12</f>
        <v/>
      </c>
      <c r="J12" s="68" t="n"/>
      <c r="K12" s="101">
        <f>IF(J12="",I12,J12)</f>
        <v/>
      </c>
      <c r="L12" s="74">
        <f>'مستخلص 16'!N12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16'!H13</f>
        <v/>
      </c>
      <c r="G13" s="72" t="n"/>
      <c r="H13" s="84">
        <f>F13+G13</f>
        <v/>
      </c>
      <c r="I13" s="109">
        <f>'مستخلص 16'!K13</f>
        <v/>
      </c>
      <c r="J13" s="68" t="n"/>
      <c r="K13" s="103">
        <f>IF(J13="",I13,J13)</f>
        <v/>
      </c>
      <c r="L13" s="108">
        <f>'مستخلص 16'!N13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16'!H14</f>
        <v/>
      </c>
      <c r="G14" s="72" t="n"/>
      <c r="H14" s="27">
        <f>F14+G14</f>
        <v/>
      </c>
      <c r="I14" s="107">
        <f>'مستخلص 16'!K14</f>
        <v/>
      </c>
      <c r="J14" s="68" t="n"/>
      <c r="K14" s="101">
        <f>IF(J14="",I14,J14)</f>
        <v/>
      </c>
      <c r="L14" s="74">
        <f>'مستخلص 16'!N14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16'!H15</f>
        <v/>
      </c>
      <c r="G15" s="72" t="n"/>
      <c r="H15" s="84">
        <f>F15+G15</f>
        <v/>
      </c>
      <c r="I15" s="109">
        <f>'مستخلص 16'!K15</f>
        <v/>
      </c>
      <c r="J15" s="68" t="n"/>
      <c r="K15" s="103">
        <f>IF(J15="",I15,J15)</f>
        <v/>
      </c>
      <c r="L15" s="108">
        <f>'مستخلص 16'!N15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16'!H16</f>
        <v/>
      </c>
      <c r="G16" s="72" t="n"/>
      <c r="H16" s="27">
        <f>F16+G16</f>
        <v/>
      </c>
      <c r="I16" s="107">
        <f>'مستخلص 16'!K16</f>
        <v/>
      </c>
      <c r="J16" s="68" t="n"/>
      <c r="K16" s="101">
        <f>IF(J16="",I16,J16)</f>
        <v/>
      </c>
      <c r="L16" s="74">
        <f>'مستخلص 16'!N16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16'!H17</f>
        <v/>
      </c>
      <c r="G17" s="72" t="n"/>
      <c r="H17" s="84">
        <f>F17+G17</f>
        <v/>
      </c>
      <c r="I17" s="109">
        <f>'مستخلص 16'!K17</f>
        <v/>
      </c>
      <c r="J17" s="68" t="n"/>
      <c r="K17" s="103">
        <f>IF(J17="",I17,J17)</f>
        <v/>
      </c>
      <c r="L17" s="108">
        <f>'مستخلص 16'!N17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16'!H18</f>
        <v/>
      </c>
      <c r="G18" s="72" t="n"/>
      <c r="H18" s="27">
        <f>F18+G18</f>
        <v/>
      </c>
      <c r="I18" s="107">
        <f>'مستخلص 16'!K18</f>
        <v/>
      </c>
      <c r="J18" s="68" t="n"/>
      <c r="K18" s="101">
        <f>IF(J18="",I18,J18)</f>
        <v/>
      </c>
      <c r="L18" s="74">
        <f>'مستخلص 16'!N18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16'!H19</f>
        <v/>
      </c>
      <c r="G19" s="72" t="n"/>
      <c r="H19" s="84">
        <f>F19+G19</f>
        <v/>
      </c>
      <c r="I19" s="109">
        <f>'مستخلص 16'!K19</f>
        <v/>
      </c>
      <c r="J19" s="68" t="n"/>
      <c r="K19" s="103">
        <f>IF(J19="",I19,J19)</f>
        <v/>
      </c>
      <c r="L19" s="108">
        <f>'مستخلص 16'!N19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16'!H20</f>
        <v/>
      </c>
      <c r="G20" s="72" t="n"/>
      <c r="H20" s="27">
        <f>F20+G20</f>
        <v/>
      </c>
      <c r="I20" s="107">
        <f>'مستخلص 16'!K20</f>
        <v/>
      </c>
      <c r="J20" s="68" t="n"/>
      <c r="K20" s="101">
        <f>IF(J20="",I20,J20)</f>
        <v/>
      </c>
      <c r="L20" s="74">
        <f>'مستخلص 16'!N20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16'!H21</f>
        <v/>
      </c>
      <c r="G21" s="72" t="n"/>
      <c r="H21" s="84">
        <f>F21+G21</f>
        <v/>
      </c>
      <c r="I21" s="109">
        <f>'مستخلص 16'!K21</f>
        <v/>
      </c>
      <c r="J21" s="68" t="n"/>
      <c r="K21" s="103">
        <f>IF(J21="",I21,J21)</f>
        <v/>
      </c>
      <c r="L21" s="108">
        <f>'مستخلص 16'!N21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16'!H22</f>
        <v/>
      </c>
      <c r="G22" s="72" t="n"/>
      <c r="H22" s="27">
        <f>F22+G22</f>
        <v/>
      </c>
      <c r="I22" s="107">
        <f>'مستخلص 16'!K22</f>
        <v/>
      </c>
      <c r="J22" s="68" t="n"/>
      <c r="K22" s="101">
        <f>IF(J22="",I22,J22)</f>
        <v/>
      </c>
      <c r="L22" s="74">
        <f>'مستخلص 16'!N22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16'!H23</f>
        <v/>
      </c>
      <c r="G23" s="72" t="n"/>
      <c r="H23" s="84">
        <f>F23+G23</f>
        <v/>
      </c>
      <c r="I23" s="109">
        <f>'مستخلص 16'!K23</f>
        <v/>
      </c>
      <c r="J23" s="68" t="n"/>
      <c r="K23" s="103">
        <f>IF(J23="",I23,J23)</f>
        <v/>
      </c>
      <c r="L23" s="108">
        <f>'مستخلص 16'!N23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16'!H24</f>
        <v/>
      </c>
      <c r="G24" s="72" t="n"/>
      <c r="H24" s="27">
        <f>F24+G24</f>
        <v/>
      </c>
      <c r="I24" s="107">
        <f>'مستخلص 16'!K24</f>
        <v/>
      </c>
      <c r="J24" s="68" t="n"/>
      <c r="K24" s="101">
        <f>IF(J24="",I24,J24)</f>
        <v/>
      </c>
      <c r="L24" s="74">
        <f>'مستخلص 16'!N24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16'!H25</f>
        <v/>
      </c>
      <c r="G25" s="72" t="n"/>
      <c r="H25" s="84">
        <f>F25+G25</f>
        <v/>
      </c>
      <c r="I25" s="109">
        <f>'مستخلص 16'!K25</f>
        <v/>
      </c>
      <c r="J25" s="68" t="n"/>
      <c r="K25" s="103">
        <f>IF(J25="",I25,J25)</f>
        <v/>
      </c>
      <c r="L25" s="108">
        <f>'مستخلص 16'!N25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16'!H26</f>
        <v/>
      </c>
      <c r="G26" s="72" t="n"/>
      <c r="H26" s="27">
        <f>F26+G26</f>
        <v/>
      </c>
      <c r="I26" s="107">
        <f>'مستخلص 16'!K26</f>
        <v/>
      </c>
      <c r="J26" s="68" t="n"/>
      <c r="K26" s="101">
        <f>IF(J26="",I26,J26)</f>
        <v/>
      </c>
      <c r="L26" s="74">
        <f>'مستخلص 16'!N26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16'!H27</f>
        <v/>
      </c>
      <c r="G27" s="72" t="n"/>
      <c r="H27" s="84">
        <f>F27+G27</f>
        <v/>
      </c>
      <c r="I27" s="109">
        <f>'مستخلص 16'!K27</f>
        <v/>
      </c>
      <c r="J27" s="68" t="n"/>
      <c r="K27" s="103">
        <f>IF(J27="",I27,J27)</f>
        <v/>
      </c>
      <c r="L27" s="108">
        <f>'مستخلص 16'!N27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16'!H28</f>
        <v/>
      </c>
      <c r="G28" s="72" t="n"/>
      <c r="H28" s="27">
        <f>F28+G28</f>
        <v/>
      </c>
      <c r="I28" s="107">
        <f>'مستخلص 16'!K28</f>
        <v/>
      </c>
      <c r="J28" s="68" t="n"/>
      <c r="K28" s="101">
        <f>IF(J28="",I28,J28)</f>
        <v/>
      </c>
      <c r="L28" s="74">
        <f>'مستخلص 16'!N28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16'!H29</f>
        <v/>
      </c>
      <c r="G29" s="72" t="n"/>
      <c r="H29" s="84">
        <f>F29+G29</f>
        <v/>
      </c>
      <c r="I29" s="109">
        <f>'مستخلص 16'!K29</f>
        <v/>
      </c>
      <c r="J29" s="68" t="n"/>
      <c r="K29" s="103">
        <f>IF(J29="",I29,J29)</f>
        <v/>
      </c>
      <c r="L29" s="108">
        <f>'مستخلص 16'!N29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16'!H30</f>
        <v/>
      </c>
      <c r="G30" s="72" t="n"/>
      <c r="H30" s="27">
        <f>F30+G30</f>
        <v/>
      </c>
      <c r="I30" s="107">
        <f>'مستخلص 16'!K30</f>
        <v/>
      </c>
      <c r="J30" s="68" t="n"/>
      <c r="K30" s="101">
        <f>IF(J30="",I30,J30)</f>
        <v/>
      </c>
      <c r="L30" s="74">
        <f>'مستخلص 16'!N30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16'!H31</f>
        <v/>
      </c>
      <c r="G31" s="72" t="n"/>
      <c r="H31" s="84">
        <f>F31+G31</f>
        <v/>
      </c>
      <c r="I31" s="109">
        <f>'مستخلص 16'!K31</f>
        <v/>
      </c>
      <c r="J31" s="68" t="n"/>
      <c r="K31" s="103">
        <f>IF(J31="",I31,J31)</f>
        <v/>
      </c>
      <c r="L31" s="108">
        <f>'مستخلص 16'!N31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16'!H32</f>
        <v/>
      </c>
      <c r="G32" s="72" t="n"/>
      <c r="H32" s="27">
        <f>F32+G32</f>
        <v/>
      </c>
      <c r="I32" s="107">
        <f>'مستخلص 16'!K32</f>
        <v/>
      </c>
      <c r="J32" s="68" t="n"/>
      <c r="K32" s="101">
        <f>IF(J32="",I32,J32)</f>
        <v/>
      </c>
      <c r="L32" s="74">
        <f>'مستخلص 16'!N32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16'!H33</f>
        <v/>
      </c>
      <c r="G33" s="72" t="n"/>
      <c r="H33" s="84">
        <f>F33+G33</f>
        <v/>
      </c>
      <c r="I33" s="109">
        <f>'مستخلص 16'!K33</f>
        <v/>
      </c>
      <c r="J33" s="68" t="n"/>
      <c r="K33" s="103">
        <f>IF(J33="",I33,J33)</f>
        <v/>
      </c>
      <c r="L33" s="108">
        <f>'مستخلص 16'!N33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16'!H34</f>
        <v/>
      </c>
      <c r="G34" s="72" t="n"/>
      <c r="H34" s="27">
        <f>F34+G34</f>
        <v/>
      </c>
      <c r="I34" s="107">
        <f>'مستخلص 16'!K34</f>
        <v/>
      </c>
      <c r="J34" s="68" t="n"/>
      <c r="K34" s="101">
        <f>IF(J34="",I34,J34)</f>
        <v/>
      </c>
      <c r="L34" s="74">
        <f>'مستخلص 16'!N34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16'!H35</f>
        <v/>
      </c>
      <c r="G35" s="72" t="n"/>
      <c r="H35" s="84">
        <f>F35+G35</f>
        <v/>
      </c>
      <c r="I35" s="109">
        <f>'مستخلص 16'!K35</f>
        <v/>
      </c>
      <c r="J35" s="68" t="n"/>
      <c r="K35" s="103">
        <f>IF(J35="",I35,J35)</f>
        <v/>
      </c>
      <c r="L35" s="108">
        <f>'مستخلص 16'!N35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16'!H36</f>
        <v/>
      </c>
      <c r="G36" s="72" t="n"/>
      <c r="H36" s="27">
        <f>F36+G36</f>
        <v/>
      </c>
      <c r="I36" s="107">
        <f>'مستخلص 16'!K36</f>
        <v/>
      </c>
      <c r="J36" s="68" t="n"/>
      <c r="K36" s="101">
        <f>IF(J36="",I36,J36)</f>
        <v/>
      </c>
      <c r="L36" s="74">
        <f>'مستخلص 16'!N36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16'!H37</f>
        <v/>
      </c>
      <c r="G37" s="72" t="n"/>
      <c r="H37" s="84">
        <f>F37+G37</f>
        <v/>
      </c>
      <c r="I37" s="109">
        <f>'مستخلص 16'!K37</f>
        <v/>
      </c>
      <c r="J37" s="68" t="n"/>
      <c r="K37" s="103">
        <f>IF(J37="",I37,J37)</f>
        <v/>
      </c>
      <c r="L37" s="108">
        <f>'مستخلص 16'!N37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16'!H38</f>
        <v/>
      </c>
      <c r="G38" s="72" t="n"/>
      <c r="H38" s="27">
        <f>F38+G38</f>
        <v/>
      </c>
      <c r="I38" s="107">
        <f>'مستخلص 16'!K38</f>
        <v/>
      </c>
      <c r="J38" s="68" t="n"/>
      <c r="K38" s="101">
        <f>IF(J38="",I38,J38)</f>
        <v/>
      </c>
      <c r="L38" s="74">
        <f>'مستخلص 16'!N38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16'!H39</f>
        <v/>
      </c>
      <c r="G39" s="72" t="n"/>
      <c r="H39" s="84">
        <f>F39+G39</f>
        <v/>
      </c>
      <c r="I39" s="109">
        <f>'مستخلص 16'!K39</f>
        <v/>
      </c>
      <c r="J39" s="68" t="n"/>
      <c r="K39" s="103">
        <f>IF(J39="",I39,J39)</f>
        <v/>
      </c>
      <c r="L39" s="108">
        <f>'مستخلص 16'!N39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16'!H40</f>
        <v/>
      </c>
      <c r="G40" s="72" t="n"/>
      <c r="H40" s="27">
        <f>F40+G40</f>
        <v/>
      </c>
      <c r="I40" s="107">
        <f>'مستخلص 16'!K40</f>
        <v/>
      </c>
      <c r="J40" s="68" t="n"/>
      <c r="K40" s="101">
        <f>IF(J40="",I40,J40)</f>
        <v/>
      </c>
      <c r="L40" s="74">
        <f>'مستخلص 16'!N40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16'!H41</f>
        <v/>
      </c>
      <c r="G41" s="72" t="n"/>
      <c r="H41" s="84">
        <f>F41+G41</f>
        <v/>
      </c>
      <c r="I41" s="109">
        <f>'مستخلص 16'!K41</f>
        <v/>
      </c>
      <c r="J41" s="68" t="n"/>
      <c r="K41" s="103">
        <f>IF(J41="",I41,J41)</f>
        <v/>
      </c>
      <c r="L41" s="108">
        <f>'مستخلص 16'!N41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16'!H42</f>
        <v/>
      </c>
      <c r="G42" s="72" t="n"/>
      <c r="H42" s="27">
        <f>F42+G42</f>
        <v/>
      </c>
      <c r="I42" s="107">
        <f>'مستخلص 16'!K42</f>
        <v/>
      </c>
      <c r="J42" s="68" t="n"/>
      <c r="K42" s="101">
        <f>IF(J42="",I42,J42)</f>
        <v/>
      </c>
      <c r="L42" s="74">
        <f>'مستخلص 16'!N42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16'!H43</f>
        <v/>
      </c>
      <c r="G43" s="72" t="n"/>
      <c r="H43" s="84">
        <f>F43+G43</f>
        <v/>
      </c>
      <c r="I43" s="109">
        <f>'مستخلص 16'!K43</f>
        <v/>
      </c>
      <c r="J43" s="68" t="n"/>
      <c r="K43" s="103">
        <f>IF(J43="",I43,J43)</f>
        <v/>
      </c>
      <c r="L43" s="108">
        <f>'مستخلص 16'!N43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16'!H44</f>
        <v/>
      </c>
      <c r="G44" s="72" t="n"/>
      <c r="H44" s="27">
        <f>F44+G44</f>
        <v/>
      </c>
      <c r="I44" s="107">
        <f>'مستخلص 16'!K44</f>
        <v/>
      </c>
      <c r="J44" s="68" t="n"/>
      <c r="K44" s="101">
        <f>IF(J44="",I44,J44)</f>
        <v/>
      </c>
      <c r="L44" s="74">
        <f>'مستخلص 16'!N44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16'!H45</f>
        <v/>
      </c>
      <c r="G45" s="72" t="n"/>
      <c r="H45" s="84">
        <f>F45+G45</f>
        <v/>
      </c>
      <c r="I45" s="109">
        <f>'مستخلص 16'!K45</f>
        <v/>
      </c>
      <c r="J45" s="68" t="n"/>
      <c r="K45" s="103">
        <f>IF(J45="",I45,J45)</f>
        <v/>
      </c>
      <c r="L45" s="108">
        <f>'مستخلص 16'!N45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16'!H46</f>
        <v/>
      </c>
      <c r="G46" s="72" t="n"/>
      <c r="H46" s="27">
        <f>F46+G46</f>
        <v/>
      </c>
      <c r="I46" s="107">
        <f>'مستخلص 16'!K46</f>
        <v/>
      </c>
      <c r="J46" s="68" t="n"/>
      <c r="K46" s="101">
        <f>IF(J46="",I46,J46)</f>
        <v/>
      </c>
      <c r="L46" s="74">
        <f>'مستخلص 16'!N46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16'!H47</f>
        <v/>
      </c>
      <c r="G47" s="72" t="n"/>
      <c r="H47" s="84">
        <f>F47+G47</f>
        <v/>
      </c>
      <c r="I47" s="109">
        <f>'مستخلص 16'!K47</f>
        <v/>
      </c>
      <c r="J47" s="68" t="n"/>
      <c r="K47" s="103">
        <f>IF(J47="",I47,J47)</f>
        <v/>
      </c>
      <c r="L47" s="108">
        <f>'مستخلص 16'!N47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16'!H48</f>
        <v/>
      </c>
      <c r="G48" s="72" t="n"/>
      <c r="H48" s="27">
        <f>F48+G48</f>
        <v/>
      </c>
      <c r="I48" s="107">
        <f>'مستخلص 16'!K48</f>
        <v/>
      </c>
      <c r="J48" s="68" t="n"/>
      <c r="K48" s="101">
        <f>IF(J48="",I48,J48)</f>
        <v/>
      </c>
      <c r="L48" s="74">
        <f>'مستخلص 16'!N48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16'!H49</f>
        <v/>
      </c>
      <c r="G49" s="72" t="n"/>
      <c r="H49" s="84">
        <f>F49+G49</f>
        <v/>
      </c>
      <c r="I49" s="109">
        <f>'مستخلص 16'!K49</f>
        <v/>
      </c>
      <c r="J49" s="68" t="n"/>
      <c r="K49" s="103">
        <f>IF(J49="",I49,J49)</f>
        <v/>
      </c>
      <c r="L49" s="108">
        <f>'مستخلص 16'!N49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16'!H50</f>
        <v/>
      </c>
      <c r="G50" s="72" t="n"/>
      <c r="H50" s="27">
        <f>F50+G50</f>
        <v/>
      </c>
      <c r="I50" s="107">
        <f>'مستخلص 16'!K50</f>
        <v/>
      </c>
      <c r="J50" s="68" t="n"/>
      <c r="K50" s="101">
        <f>IF(J50="",I50,J50)</f>
        <v/>
      </c>
      <c r="L50" s="74">
        <f>'مستخلص 16'!N50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16'!H51</f>
        <v/>
      </c>
      <c r="G51" s="72" t="n"/>
      <c r="H51" s="84">
        <f>F51+G51</f>
        <v/>
      </c>
      <c r="I51" s="109">
        <f>'مستخلص 16'!K51</f>
        <v/>
      </c>
      <c r="J51" s="68" t="n"/>
      <c r="K51" s="103">
        <f>IF(J51="",I51,J51)</f>
        <v/>
      </c>
      <c r="L51" s="108">
        <f>'مستخلص 16'!N51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16'!H52</f>
        <v/>
      </c>
      <c r="G52" s="72" t="n"/>
      <c r="H52" s="27">
        <f>F52+G52</f>
        <v/>
      </c>
      <c r="I52" s="107">
        <f>'مستخلص 16'!K52</f>
        <v/>
      </c>
      <c r="J52" s="68" t="n"/>
      <c r="K52" s="101">
        <f>IF(J52="",I52,J52)</f>
        <v/>
      </c>
      <c r="L52" s="74">
        <f>'مستخلص 16'!N52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16'!H53</f>
        <v/>
      </c>
      <c r="G53" s="72" t="n"/>
      <c r="H53" s="84">
        <f>F53+G53</f>
        <v/>
      </c>
      <c r="I53" s="109">
        <f>'مستخلص 16'!K53</f>
        <v/>
      </c>
      <c r="J53" s="68" t="n"/>
      <c r="K53" s="103">
        <f>IF(J53="",I53,J53)</f>
        <v/>
      </c>
      <c r="L53" s="108">
        <f>'مستخلص 16'!N53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16'!H54</f>
        <v/>
      </c>
      <c r="G54" s="72" t="n"/>
      <c r="H54" s="27">
        <f>F54+G54</f>
        <v/>
      </c>
      <c r="I54" s="107">
        <f>'مستخلص 16'!K54</f>
        <v/>
      </c>
      <c r="J54" s="68" t="n"/>
      <c r="K54" s="101">
        <f>IF(J54="",I54,J54)</f>
        <v/>
      </c>
      <c r="L54" s="74">
        <f>'مستخلص 16'!N54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16'!H55</f>
        <v/>
      </c>
      <c r="G55" s="72" t="n"/>
      <c r="H55" s="84">
        <f>F55+G55</f>
        <v/>
      </c>
      <c r="I55" s="109">
        <f>'مستخلص 16'!K55</f>
        <v/>
      </c>
      <c r="J55" s="68" t="n"/>
      <c r="K55" s="103">
        <f>IF(J55="",I55,J55)</f>
        <v/>
      </c>
      <c r="L55" s="108">
        <f>'مستخلص 16'!N55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16'!H56</f>
        <v/>
      </c>
      <c r="G56" s="72" t="n"/>
      <c r="H56" s="27">
        <f>F56+G56</f>
        <v/>
      </c>
      <c r="I56" s="107">
        <f>'مستخلص 16'!K56</f>
        <v/>
      </c>
      <c r="J56" s="68" t="n"/>
      <c r="K56" s="101">
        <f>IF(J56="",I56,J56)</f>
        <v/>
      </c>
      <c r="L56" s="74">
        <f>'مستخلص 16'!N56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16'!H57</f>
        <v/>
      </c>
      <c r="G57" s="72" t="n"/>
      <c r="H57" s="84">
        <f>F57+G57</f>
        <v/>
      </c>
      <c r="I57" s="109">
        <f>'مستخلص 16'!K57</f>
        <v/>
      </c>
      <c r="J57" s="68" t="n"/>
      <c r="K57" s="103">
        <f>IF(J57="",I57,J57)</f>
        <v/>
      </c>
      <c r="L57" s="108">
        <f>'مستخلص 16'!N57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16'!H58</f>
        <v/>
      </c>
      <c r="G58" s="72" t="n"/>
      <c r="H58" s="27">
        <f>F58+G58</f>
        <v/>
      </c>
      <c r="I58" s="107">
        <f>'مستخلص 16'!K58</f>
        <v/>
      </c>
      <c r="J58" s="68" t="n"/>
      <c r="K58" s="101">
        <f>IF(J58="",I58,J58)</f>
        <v/>
      </c>
      <c r="L58" s="74">
        <f>'مستخلص 16'!N58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16'!H59</f>
        <v/>
      </c>
      <c r="G59" s="72" t="n"/>
      <c r="H59" s="84">
        <f>F59+G59</f>
        <v/>
      </c>
      <c r="I59" s="109">
        <f>'مستخلص 16'!K59</f>
        <v/>
      </c>
      <c r="J59" s="68" t="n"/>
      <c r="K59" s="103">
        <f>IF(J59="",I59,J59)</f>
        <v/>
      </c>
      <c r="L59" s="108">
        <f>'مستخلص 16'!N59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16'!H60</f>
        <v/>
      </c>
      <c r="G60" s="72" t="n"/>
      <c r="H60" s="27">
        <f>F60+G60</f>
        <v/>
      </c>
      <c r="I60" s="107">
        <f>'مستخلص 16'!K60</f>
        <v/>
      </c>
      <c r="J60" s="68" t="n"/>
      <c r="K60" s="101">
        <f>IF(J60="",I60,J60)</f>
        <v/>
      </c>
      <c r="L60" s="74">
        <f>'مستخلص 16'!N60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16'!H61</f>
        <v/>
      </c>
      <c r="G61" s="72" t="n"/>
      <c r="H61" s="84">
        <f>F61+G61</f>
        <v/>
      </c>
      <c r="I61" s="109">
        <f>'مستخلص 16'!K61</f>
        <v/>
      </c>
      <c r="J61" s="68" t="n"/>
      <c r="K61" s="103">
        <f>IF(J61="",I61,J61)</f>
        <v/>
      </c>
      <c r="L61" s="108">
        <f>'مستخلص 16'!N61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16'!H62</f>
        <v/>
      </c>
      <c r="G62" s="72" t="n"/>
      <c r="H62" s="27">
        <f>F62+G62</f>
        <v/>
      </c>
      <c r="I62" s="107">
        <f>'مستخلص 16'!K62</f>
        <v/>
      </c>
      <c r="J62" s="68" t="n"/>
      <c r="K62" s="101">
        <f>IF(J62="",I62,J62)</f>
        <v/>
      </c>
      <c r="L62" s="74">
        <f>'مستخلص 16'!N62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16'!H63</f>
        <v/>
      </c>
      <c r="G63" s="72" t="n"/>
      <c r="H63" s="84">
        <f>F63+G63</f>
        <v/>
      </c>
      <c r="I63" s="109">
        <f>'مستخلص 16'!K63</f>
        <v/>
      </c>
      <c r="J63" s="68" t="n"/>
      <c r="K63" s="103">
        <f>IF(J63="",I63,J63)</f>
        <v/>
      </c>
      <c r="L63" s="108">
        <f>'مستخلص 16'!N63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16'!H64</f>
        <v/>
      </c>
      <c r="G64" s="72" t="n"/>
      <c r="H64" s="27">
        <f>F64+G64</f>
        <v/>
      </c>
      <c r="I64" s="107">
        <f>'مستخلص 16'!K64</f>
        <v/>
      </c>
      <c r="J64" s="68" t="n"/>
      <c r="K64" s="101">
        <f>IF(J64="",I64,J64)</f>
        <v/>
      </c>
      <c r="L64" s="74">
        <f>'مستخلص 16'!N64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16'!H65</f>
        <v/>
      </c>
      <c r="G65" s="72" t="n"/>
      <c r="H65" s="84">
        <f>F65+G65</f>
        <v/>
      </c>
      <c r="I65" s="109">
        <f>'مستخلص 16'!K65</f>
        <v/>
      </c>
      <c r="J65" s="68" t="n"/>
      <c r="K65" s="103">
        <f>IF(J65="",I65,J65)</f>
        <v/>
      </c>
      <c r="L65" s="108">
        <f>'مستخلص 16'!N65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16'!H66</f>
        <v/>
      </c>
      <c r="G66" s="72" t="n"/>
      <c r="H66" s="27">
        <f>F66+G66</f>
        <v/>
      </c>
      <c r="I66" s="107">
        <f>'مستخلص 16'!K66</f>
        <v/>
      </c>
      <c r="J66" s="68" t="n"/>
      <c r="K66" s="101">
        <f>IF(J66="",I66,J66)</f>
        <v/>
      </c>
      <c r="L66" s="74">
        <f>'مستخلص 16'!N66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16'!H67</f>
        <v/>
      </c>
      <c r="G67" s="72" t="n"/>
      <c r="H67" s="84">
        <f>F67+G67</f>
        <v/>
      </c>
      <c r="I67" s="109">
        <f>'مستخلص 16'!K67</f>
        <v/>
      </c>
      <c r="J67" s="68" t="n"/>
      <c r="K67" s="103">
        <f>IF(J67="",I67,J67)</f>
        <v/>
      </c>
      <c r="L67" s="108">
        <f>'مستخلص 16'!N67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16'!H68</f>
        <v/>
      </c>
      <c r="G68" s="72" t="n"/>
      <c r="H68" s="27">
        <f>F68+G68</f>
        <v/>
      </c>
      <c r="I68" s="107">
        <f>'مستخلص 16'!K68</f>
        <v/>
      </c>
      <c r="J68" s="68" t="n"/>
      <c r="K68" s="101">
        <f>IF(J68="",I68,J68)</f>
        <v/>
      </c>
      <c r="L68" s="74">
        <f>'مستخلص 16'!N68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16'!H69</f>
        <v/>
      </c>
      <c r="G69" s="72" t="n"/>
      <c r="H69" s="84">
        <f>F69+G69</f>
        <v/>
      </c>
      <c r="I69" s="109">
        <f>'مستخلص 16'!K69</f>
        <v/>
      </c>
      <c r="J69" s="68" t="n"/>
      <c r="K69" s="103">
        <f>IF(J69="",I69,J69)</f>
        <v/>
      </c>
      <c r="L69" s="108">
        <f>'مستخلص 16'!N69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16'!H70</f>
        <v/>
      </c>
      <c r="G70" s="72" t="n"/>
      <c r="H70" s="27">
        <f>F70+G70</f>
        <v/>
      </c>
      <c r="I70" s="107">
        <f>'مستخلص 16'!K70</f>
        <v/>
      </c>
      <c r="J70" s="68" t="n"/>
      <c r="K70" s="101">
        <f>IF(J70="",I70,J70)</f>
        <v/>
      </c>
      <c r="L70" s="74">
        <f>'مستخلص 16'!N70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16'!H71</f>
        <v/>
      </c>
      <c r="G71" s="72" t="n"/>
      <c r="H71" s="84">
        <f>F71+G71</f>
        <v/>
      </c>
      <c r="I71" s="109">
        <f>'مستخلص 16'!K71</f>
        <v/>
      </c>
      <c r="J71" s="68" t="n"/>
      <c r="K71" s="103">
        <f>IF(J71="",I71,J71)</f>
        <v/>
      </c>
      <c r="L71" s="108">
        <f>'مستخلص 16'!N71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16'!H72</f>
        <v/>
      </c>
      <c r="G72" s="72" t="n"/>
      <c r="H72" s="27">
        <f>F72+G72</f>
        <v/>
      </c>
      <c r="I72" s="107">
        <f>'مستخلص 16'!K72</f>
        <v/>
      </c>
      <c r="J72" s="68" t="n"/>
      <c r="K72" s="101">
        <f>IF(J72="",I72,J72)</f>
        <v/>
      </c>
      <c r="L72" s="74">
        <f>'مستخلص 16'!N72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16'!H73</f>
        <v/>
      </c>
      <c r="G73" s="72" t="n"/>
      <c r="H73" s="84">
        <f>F73+G73</f>
        <v/>
      </c>
      <c r="I73" s="109">
        <f>'مستخلص 16'!K73</f>
        <v/>
      </c>
      <c r="J73" s="68" t="n"/>
      <c r="K73" s="103">
        <f>IF(J73="",I73,J73)</f>
        <v/>
      </c>
      <c r="L73" s="108">
        <f>'مستخلص 16'!N73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16'!H74</f>
        <v/>
      </c>
      <c r="G74" s="72" t="n"/>
      <c r="H74" s="27">
        <f>F74+G74</f>
        <v/>
      </c>
      <c r="I74" s="107">
        <f>'مستخلص 16'!K74</f>
        <v/>
      </c>
      <c r="J74" s="68" t="n"/>
      <c r="K74" s="101">
        <f>IF(J74="",I74,J74)</f>
        <v/>
      </c>
      <c r="L74" s="74">
        <f>'مستخلص 16'!N74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16'!H75</f>
        <v/>
      </c>
      <c r="G75" s="72" t="n"/>
      <c r="H75" s="84">
        <f>F75+G75</f>
        <v/>
      </c>
      <c r="I75" s="109">
        <f>'مستخلص 16'!K75</f>
        <v/>
      </c>
      <c r="J75" s="68" t="n"/>
      <c r="K75" s="103">
        <f>IF(J75="",I75,J75)</f>
        <v/>
      </c>
      <c r="L75" s="108">
        <f>'مستخلص 16'!N75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16'!H76</f>
        <v/>
      </c>
      <c r="G76" s="72" t="n"/>
      <c r="H76" s="27">
        <f>F76+G76</f>
        <v/>
      </c>
      <c r="I76" s="107">
        <f>'مستخلص 16'!K76</f>
        <v/>
      </c>
      <c r="J76" s="68" t="n"/>
      <c r="K76" s="101">
        <f>IF(J76="",I76,J76)</f>
        <v/>
      </c>
      <c r="L76" s="74">
        <f>'مستخلص 16'!N76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16'!H77</f>
        <v/>
      </c>
      <c r="G77" s="72" t="n"/>
      <c r="H77" s="84">
        <f>F77+G77</f>
        <v/>
      </c>
      <c r="I77" s="109">
        <f>'مستخلص 16'!K77</f>
        <v/>
      </c>
      <c r="J77" s="68" t="n"/>
      <c r="K77" s="103">
        <f>IF(J77="",I77,J77)</f>
        <v/>
      </c>
      <c r="L77" s="108">
        <f>'مستخلص 16'!N77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16'!H78</f>
        <v/>
      </c>
      <c r="G78" s="72" t="n"/>
      <c r="H78" s="27">
        <f>F78+G78</f>
        <v/>
      </c>
      <c r="I78" s="107">
        <f>'مستخلص 16'!K78</f>
        <v/>
      </c>
      <c r="J78" s="68" t="n"/>
      <c r="K78" s="101">
        <f>IF(J78="",I78,J78)</f>
        <v/>
      </c>
      <c r="L78" s="74">
        <f>'مستخلص 16'!N78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16'!H79</f>
        <v/>
      </c>
      <c r="G79" s="72" t="n"/>
      <c r="H79" s="84">
        <f>F79+G79</f>
        <v/>
      </c>
      <c r="I79" s="109">
        <f>'مستخلص 16'!K79</f>
        <v/>
      </c>
      <c r="J79" s="68" t="n"/>
      <c r="K79" s="103">
        <f>IF(J79="",I79,J79)</f>
        <v/>
      </c>
      <c r="L79" s="108">
        <f>'مستخلص 16'!N79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16'!H80</f>
        <v/>
      </c>
      <c r="G80" s="72" t="n"/>
      <c r="H80" s="27">
        <f>F80+G80</f>
        <v/>
      </c>
      <c r="I80" s="107">
        <f>'مستخلص 16'!K80</f>
        <v/>
      </c>
      <c r="J80" s="68" t="n"/>
      <c r="K80" s="101">
        <f>IF(J80="",I80,J80)</f>
        <v/>
      </c>
      <c r="L80" s="74">
        <f>'مستخلص 16'!N80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16'!H81</f>
        <v/>
      </c>
      <c r="G81" s="72" t="n"/>
      <c r="H81" s="84">
        <f>F81+G81</f>
        <v/>
      </c>
      <c r="I81" s="109">
        <f>'مستخلص 16'!K81</f>
        <v/>
      </c>
      <c r="J81" s="68" t="n"/>
      <c r="K81" s="103">
        <f>IF(J81="",I81,J81)</f>
        <v/>
      </c>
      <c r="L81" s="108">
        <f>'مستخلص 16'!N81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16'!H82</f>
        <v/>
      </c>
      <c r="G82" s="72" t="n"/>
      <c r="H82" s="27">
        <f>F82+G82</f>
        <v/>
      </c>
      <c r="I82" s="107">
        <f>'مستخلص 16'!K82</f>
        <v/>
      </c>
      <c r="J82" s="68" t="n"/>
      <c r="K82" s="101">
        <f>IF(J82="",I82,J82)</f>
        <v/>
      </c>
      <c r="L82" s="74">
        <f>'مستخلص 16'!N82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16'!H83</f>
        <v/>
      </c>
      <c r="G83" s="72" t="n"/>
      <c r="H83" s="84">
        <f>F83+G83</f>
        <v/>
      </c>
      <c r="I83" s="109">
        <f>'مستخلص 16'!K83</f>
        <v/>
      </c>
      <c r="J83" s="68" t="n"/>
      <c r="K83" s="103">
        <f>IF(J83="",I83,J83)</f>
        <v/>
      </c>
      <c r="L83" s="108">
        <f>'مستخلص 16'!N83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16'!H84</f>
        <v/>
      </c>
      <c r="G84" s="72" t="n"/>
      <c r="H84" s="27">
        <f>F84+G84</f>
        <v/>
      </c>
      <c r="I84" s="107">
        <f>'مستخلص 16'!K84</f>
        <v/>
      </c>
      <c r="J84" s="68" t="n"/>
      <c r="K84" s="101">
        <f>IF(J84="",I84,J84)</f>
        <v/>
      </c>
      <c r="L84" s="74">
        <f>'مستخلص 16'!N84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16'!H85</f>
        <v/>
      </c>
      <c r="G85" s="72" t="n"/>
      <c r="H85" s="84">
        <f>F85+G85</f>
        <v/>
      </c>
      <c r="I85" s="109">
        <f>'مستخلص 16'!K85</f>
        <v/>
      </c>
      <c r="J85" s="68" t="n"/>
      <c r="K85" s="103">
        <f>IF(J85="",I85,J85)</f>
        <v/>
      </c>
      <c r="L85" s="108">
        <f>'مستخلص 16'!N85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16'!H86</f>
        <v/>
      </c>
      <c r="G86" s="72" t="n"/>
      <c r="H86" s="27">
        <f>F86+G86</f>
        <v/>
      </c>
      <c r="I86" s="107">
        <f>'مستخلص 16'!K86</f>
        <v/>
      </c>
      <c r="J86" s="68" t="n"/>
      <c r="K86" s="101">
        <f>IF(J86="",I86,J86)</f>
        <v/>
      </c>
      <c r="L86" s="74">
        <f>'مستخلص 16'!N86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16'!H87</f>
        <v/>
      </c>
      <c r="G87" s="72" t="n"/>
      <c r="H87" s="84">
        <f>F87+G87</f>
        <v/>
      </c>
      <c r="I87" s="109">
        <f>'مستخلص 16'!K87</f>
        <v/>
      </c>
      <c r="J87" s="68" t="n"/>
      <c r="K87" s="103">
        <f>IF(J87="",I87,J87)</f>
        <v/>
      </c>
      <c r="L87" s="108">
        <f>'مستخلص 16'!N87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16'!H88</f>
        <v/>
      </c>
      <c r="G88" s="72" t="n"/>
      <c r="H88" s="27">
        <f>F88+G88</f>
        <v/>
      </c>
      <c r="I88" s="107">
        <f>'مستخلص 16'!K88</f>
        <v/>
      </c>
      <c r="J88" s="68" t="n"/>
      <c r="K88" s="101">
        <f>IF(J88="",I88,J88)</f>
        <v/>
      </c>
      <c r="L88" s="74">
        <f>'مستخلص 16'!N88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16'!H89</f>
        <v/>
      </c>
      <c r="G89" s="72" t="n"/>
      <c r="H89" s="84">
        <f>F89+G89</f>
        <v/>
      </c>
      <c r="I89" s="109">
        <f>'مستخلص 16'!K89</f>
        <v/>
      </c>
      <c r="J89" s="68" t="n"/>
      <c r="K89" s="103">
        <f>IF(J89="",I89,J89)</f>
        <v/>
      </c>
      <c r="L89" s="108">
        <f>'مستخلص 16'!N89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16'!H90</f>
        <v/>
      </c>
      <c r="G90" s="72" t="n"/>
      <c r="H90" s="27">
        <f>F90+G90</f>
        <v/>
      </c>
      <c r="I90" s="107">
        <f>'مستخلص 16'!K90</f>
        <v/>
      </c>
      <c r="J90" s="68" t="n"/>
      <c r="K90" s="101">
        <f>IF(J90="",I90,J90)</f>
        <v/>
      </c>
      <c r="L90" s="74">
        <f>'مستخلص 16'!N90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16'!H91</f>
        <v/>
      </c>
      <c r="G91" s="72" t="n"/>
      <c r="H91" s="84">
        <f>F91+G91</f>
        <v/>
      </c>
      <c r="I91" s="109">
        <f>'مستخلص 16'!K91</f>
        <v/>
      </c>
      <c r="J91" s="68" t="n"/>
      <c r="K91" s="103">
        <f>IF(J91="",I91,J91)</f>
        <v/>
      </c>
      <c r="L91" s="108">
        <f>'مستخلص 16'!N91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16'!H92</f>
        <v/>
      </c>
      <c r="G92" s="72" t="n"/>
      <c r="H92" s="27">
        <f>F92+G92</f>
        <v/>
      </c>
      <c r="I92" s="107">
        <f>'مستخلص 16'!K92</f>
        <v/>
      </c>
      <c r="J92" s="68" t="n"/>
      <c r="K92" s="101">
        <f>IF(J92="",I92,J92)</f>
        <v/>
      </c>
      <c r="L92" s="74">
        <f>'مستخلص 16'!N92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16'!H93</f>
        <v/>
      </c>
      <c r="G93" s="72" t="n"/>
      <c r="H93" s="84">
        <f>F93+G93</f>
        <v/>
      </c>
      <c r="I93" s="109">
        <f>'مستخلص 16'!K93</f>
        <v/>
      </c>
      <c r="J93" s="68" t="n"/>
      <c r="K93" s="103">
        <f>IF(J93="",I93,J93)</f>
        <v/>
      </c>
      <c r="L93" s="108">
        <f>'مستخلص 16'!N93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16'!H94</f>
        <v/>
      </c>
      <c r="G94" s="72" t="n"/>
      <c r="H94" s="27">
        <f>F94+G94</f>
        <v/>
      </c>
      <c r="I94" s="107">
        <f>'مستخلص 16'!K94</f>
        <v/>
      </c>
      <c r="J94" s="68" t="n"/>
      <c r="K94" s="101">
        <f>IF(J94="",I94,J94)</f>
        <v/>
      </c>
      <c r="L94" s="74">
        <f>'مستخلص 16'!N94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16'!H95</f>
        <v/>
      </c>
      <c r="G95" s="72" t="n"/>
      <c r="H95" s="84">
        <f>F95+G95</f>
        <v/>
      </c>
      <c r="I95" s="109">
        <f>'مستخلص 16'!K95</f>
        <v/>
      </c>
      <c r="J95" s="68" t="n"/>
      <c r="K95" s="103">
        <f>IF(J95="",I95,J95)</f>
        <v/>
      </c>
      <c r="L95" s="108">
        <f>'مستخلص 16'!N95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16'!H96</f>
        <v/>
      </c>
      <c r="G96" s="72" t="n"/>
      <c r="H96" s="27">
        <f>F96+G96</f>
        <v/>
      </c>
      <c r="I96" s="107">
        <f>'مستخلص 16'!K96</f>
        <v/>
      </c>
      <c r="J96" s="68" t="n"/>
      <c r="K96" s="101">
        <f>IF(J96="",I96,J96)</f>
        <v/>
      </c>
      <c r="L96" s="74">
        <f>'مستخلص 16'!N96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16'!H97</f>
        <v/>
      </c>
      <c r="G97" s="72" t="n"/>
      <c r="H97" s="84">
        <f>F97+G97</f>
        <v/>
      </c>
      <c r="I97" s="109">
        <f>'مستخلص 16'!K97</f>
        <v/>
      </c>
      <c r="J97" s="68" t="n"/>
      <c r="K97" s="103">
        <f>IF(J97="",I97,J97)</f>
        <v/>
      </c>
      <c r="L97" s="108">
        <f>'مستخلص 16'!N97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16'!H98</f>
        <v/>
      </c>
      <c r="G98" s="72" t="n"/>
      <c r="H98" s="27">
        <f>F98+G98</f>
        <v/>
      </c>
      <c r="I98" s="107">
        <f>'مستخلص 16'!K98</f>
        <v/>
      </c>
      <c r="J98" s="68" t="n"/>
      <c r="K98" s="101">
        <f>IF(J98="",I98,J98)</f>
        <v/>
      </c>
      <c r="L98" s="74">
        <f>'مستخلص 16'!N98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16'!H99</f>
        <v/>
      </c>
      <c r="G99" s="72" t="n"/>
      <c r="H99" s="84">
        <f>F99+G99</f>
        <v/>
      </c>
      <c r="I99" s="109">
        <f>'مستخلص 16'!K99</f>
        <v/>
      </c>
      <c r="J99" s="68" t="n"/>
      <c r="K99" s="103">
        <f>IF(J99="",I99,J99)</f>
        <v/>
      </c>
      <c r="L99" s="108">
        <f>'مستخلص 16'!N99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16'!H100</f>
        <v/>
      </c>
      <c r="G100" s="72" t="n"/>
      <c r="H100" s="27">
        <f>F100+G100</f>
        <v/>
      </c>
      <c r="I100" s="107">
        <f>'مستخلص 16'!K100</f>
        <v/>
      </c>
      <c r="J100" s="68" t="n"/>
      <c r="K100" s="101">
        <f>IF(J100="",I100,J100)</f>
        <v/>
      </c>
      <c r="L100" s="74">
        <f>'مستخلص 16'!N100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16'!H101</f>
        <v/>
      </c>
      <c r="G101" s="72" t="n"/>
      <c r="H101" s="84">
        <f>F101+G101</f>
        <v/>
      </c>
      <c r="I101" s="109">
        <f>'مستخلص 16'!K101</f>
        <v/>
      </c>
      <c r="J101" s="68" t="n"/>
      <c r="K101" s="103">
        <f>IF(J101="",I101,J101)</f>
        <v/>
      </c>
      <c r="L101" s="108">
        <f>'مستخلص 16'!N101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16'!H102</f>
        <v/>
      </c>
      <c r="G102" s="72" t="n"/>
      <c r="H102" s="27">
        <f>F102+G102</f>
        <v/>
      </c>
      <c r="I102" s="107">
        <f>'مستخلص 16'!K102</f>
        <v/>
      </c>
      <c r="J102" s="68" t="n"/>
      <c r="K102" s="101">
        <f>IF(J102="",I102,J102)</f>
        <v/>
      </c>
      <c r="L102" s="74">
        <f>'مستخلص 16'!N102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16'!H103</f>
        <v/>
      </c>
      <c r="G103" s="72" t="n"/>
      <c r="H103" s="84">
        <f>F103+G103</f>
        <v/>
      </c>
      <c r="I103" s="109">
        <f>'مستخلص 16'!K103</f>
        <v/>
      </c>
      <c r="J103" s="68" t="n"/>
      <c r="K103" s="103">
        <f>IF(J103="",I103,J103)</f>
        <v/>
      </c>
      <c r="L103" s="108">
        <f>'مستخلص 16'!N103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16'!H104</f>
        <v/>
      </c>
      <c r="G104" s="72" t="n"/>
      <c r="H104" s="27">
        <f>F104+G104</f>
        <v/>
      </c>
      <c r="I104" s="107">
        <f>'مستخلص 16'!K104</f>
        <v/>
      </c>
      <c r="J104" s="68" t="n"/>
      <c r="K104" s="101">
        <f>IF(J104="",I104,J104)</f>
        <v/>
      </c>
      <c r="L104" s="74">
        <f>'مستخلص 16'!N104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16'!H105</f>
        <v/>
      </c>
      <c r="G105" s="72" t="n"/>
      <c r="H105" s="84">
        <f>F105+G105</f>
        <v/>
      </c>
      <c r="I105" s="109">
        <f>'مستخلص 16'!K105</f>
        <v/>
      </c>
      <c r="J105" s="68" t="n"/>
      <c r="K105" s="103">
        <f>IF(J105="",I105,J105)</f>
        <v/>
      </c>
      <c r="L105" s="108">
        <f>'مستخلص 16'!N105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16'!H106</f>
        <v/>
      </c>
      <c r="G106" s="72" t="n"/>
      <c r="H106" s="27">
        <f>F106+G106</f>
        <v/>
      </c>
      <c r="I106" s="107">
        <f>'مستخلص 16'!K106</f>
        <v/>
      </c>
      <c r="J106" s="68" t="n"/>
      <c r="K106" s="101">
        <f>IF(J106="",I106,J106)</f>
        <v/>
      </c>
      <c r="L106" s="74">
        <f>'مستخلص 16'!N106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16'!H107</f>
        <v/>
      </c>
      <c r="G107" s="72" t="n"/>
      <c r="H107" s="84">
        <f>F107+G107</f>
        <v/>
      </c>
      <c r="I107" s="109">
        <f>'مستخلص 16'!K107</f>
        <v/>
      </c>
      <c r="J107" s="68" t="n"/>
      <c r="K107" s="103">
        <f>IF(J107="",I107,J107)</f>
        <v/>
      </c>
      <c r="L107" s="108">
        <f>'مستخلص 16'!N107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16'!N111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16'!N112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16'!N113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16'!N114</f>
        <v/>
      </c>
      <c r="M114" s="27">
        <f>'الدفعات المقدمة'!I41</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16'!N115</f>
        <v/>
      </c>
      <c r="M115" s="27">
        <f>'ضمان الأعمال'!I32</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16'!N116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16'!N117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16'!N118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6'!A1" display="◀ المستخلص السابق (16)"/>
    <hyperlink ref="N3" location="'مستخلص 18'!A1" display="المستخلص التالي (18)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( 18 )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(17)</t>
        </is>
      </c>
      <c r="M3" s="4" t="n"/>
      <c r="N3" s="4" t="inlineStr">
        <is>
          <t>المستخلص التالي (19) ▶</t>
        </is>
      </c>
      <c r="O3" s="4" t="n"/>
      <c r="P3" s="4" t="n"/>
    </row>
    <row r="4" ht="24" customHeight="1">
      <c r="A4" s="96" t="inlineStr">
        <is>
          <t>رقم</t>
        </is>
      </c>
      <c r="B4" s="97" t="n">
        <v>18</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17'!H8</f>
        <v/>
      </c>
      <c r="G8" s="72" t="n"/>
      <c r="H8" s="27">
        <f>F8+G8</f>
        <v/>
      </c>
      <c r="I8" s="107">
        <f>'مستخلص 17'!K8</f>
        <v/>
      </c>
      <c r="J8" s="68" t="n"/>
      <c r="K8" s="101">
        <f>IF(J8="",I8,J8)</f>
        <v/>
      </c>
      <c r="L8" s="74">
        <f>'مستخلص 17'!N8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17'!H9</f>
        <v/>
      </c>
      <c r="G9" s="72" t="n"/>
      <c r="H9" s="84">
        <f>F9+G9</f>
        <v/>
      </c>
      <c r="I9" s="109">
        <f>'مستخلص 17'!K9</f>
        <v/>
      </c>
      <c r="J9" s="68" t="n"/>
      <c r="K9" s="103">
        <f>IF(J9="",I9,J9)</f>
        <v/>
      </c>
      <c r="L9" s="108">
        <f>'مستخلص 17'!N9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17'!H10</f>
        <v/>
      </c>
      <c r="G10" s="72" t="n"/>
      <c r="H10" s="27">
        <f>F10+G10</f>
        <v/>
      </c>
      <c r="I10" s="107">
        <f>'مستخلص 17'!K10</f>
        <v/>
      </c>
      <c r="J10" s="68" t="n"/>
      <c r="K10" s="101">
        <f>IF(J10="",I10,J10)</f>
        <v/>
      </c>
      <c r="L10" s="74">
        <f>'مستخلص 17'!N10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17'!H11</f>
        <v/>
      </c>
      <c r="G11" s="72" t="n"/>
      <c r="H11" s="84">
        <f>F11+G11</f>
        <v/>
      </c>
      <c r="I11" s="109">
        <f>'مستخلص 17'!K11</f>
        <v/>
      </c>
      <c r="J11" s="68" t="n"/>
      <c r="K11" s="103">
        <f>IF(J11="",I11,J11)</f>
        <v/>
      </c>
      <c r="L11" s="108">
        <f>'مستخلص 17'!N11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17'!H12</f>
        <v/>
      </c>
      <c r="G12" s="72" t="n"/>
      <c r="H12" s="27">
        <f>F12+G12</f>
        <v/>
      </c>
      <c r="I12" s="107">
        <f>'مستخلص 17'!K12</f>
        <v/>
      </c>
      <c r="J12" s="68" t="n"/>
      <c r="K12" s="101">
        <f>IF(J12="",I12,J12)</f>
        <v/>
      </c>
      <c r="L12" s="74">
        <f>'مستخلص 17'!N12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17'!H13</f>
        <v/>
      </c>
      <c r="G13" s="72" t="n"/>
      <c r="H13" s="84">
        <f>F13+G13</f>
        <v/>
      </c>
      <c r="I13" s="109">
        <f>'مستخلص 17'!K13</f>
        <v/>
      </c>
      <c r="J13" s="68" t="n"/>
      <c r="K13" s="103">
        <f>IF(J13="",I13,J13)</f>
        <v/>
      </c>
      <c r="L13" s="108">
        <f>'مستخلص 17'!N13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17'!H14</f>
        <v/>
      </c>
      <c r="G14" s="72" t="n"/>
      <c r="H14" s="27">
        <f>F14+G14</f>
        <v/>
      </c>
      <c r="I14" s="107">
        <f>'مستخلص 17'!K14</f>
        <v/>
      </c>
      <c r="J14" s="68" t="n"/>
      <c r="K14" s="101">
        <f>IF(J14="",I14,J14)</f>
        <v/>
      </c>
      <c r="L14" s="74">
        <f>'مستخلص 17'!N14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17'!H15</f>
        <v/>
      </c>
      <c r="G15" s="72" t="n"/>
      <c r="H15" s="84">
        <f>F15+G15</f>
        <v/>
      </c>
      <c r="I15" s="109">
        <f>'مستخلص 17'!K15</f>
        <v/>
      </c>
      <c r="J15" s="68" t="n"/>
      <c r="K15" s="103">
        <f>IF(J15="",I15,J15)</f>
        <v/>
      </c>
      <c r="L15" s="108">
        <f>'مستخلص 17'!N15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17'!H16</f>
        <v/>
      </c>
      <c r="G16" s="72" t="n"/>
      <c r="H16" s="27">
        <f>F16+G16</f>
        <v/>
      </c>
      <c r="I16" s="107">
        <f>'مستخلص 17'!K16</f>
        <v/>
      </c>
      <c r="J16" s="68" t="n"/>
      <c r="K16" s="101">
        <f>IF(J16="",I16,J16)</f>
        <v/>
      </c>
      <c r="L16" s="74">
        <f>'مستخلص 17'!N16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17'!H17</f>
        <v/>
      </c>
      <c r="G17" s="72" t="n"/>
      <c r="H17" s="84">
        <f>F17+G17</f>
        <v/>
      </c>
      <c r="I17" s="109">
        <f>'مستخلص 17'!K17</f>
        <v/>
      </c>
      <c r="J17" s="68" t="n"/>
      <c r="K17" s="103">
        <f>IF(J17="",I17,J17)</f>
        <v/>
      </c>
      <c r="L17" s="108">
        <f>'مستخلص 17'!N17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17'!H18</f>
        <v/>
      </c>
      <c r="G18" s="72" t="n"/>
      <c r="H18" s="27">
        <f>F18+G18</f>
        <v/>
      </c>
      <c r="I18" s="107">
        <f>'مستخلص 17'!K18</f>
        <v/>
      </c>
      <c r="J18" s="68" t="n"/>
      <c r="K18" s="101">
        <f>IF(J18="",I18,J18)</f>
        <v/>
      </c>
      <c r="L18" s="74">
        <f>'مستخلص 17'!N18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17'!H19</f>
        <v/>
      </c>
      <c r="G19" s="72" t="n"/>
      <c r="H19" s="84">
        <f>F19+G19</f>
        <v/>
      </c>
      <c r="I19" s="109">
        <f>'مستخلص 17'!K19</f>
        <v/>
      </c>
      <c r="J19" s="68" t="n"/>
      <c r="K19" s="103">
        <f>IF(J19="",I19,J19)</f>
        <v/>
      </c>
      <c r="L19" s="108">
        <f>'مستخلص 17'!N19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17'!H20</f>
        <v/>
      </c>
      <c r="G20" s="72" t="n"/>
      <c r="H20" s="27">
        <f>F20+G20</f>
        <v/>
      </c>
      <c r="I20" s="107">
        <f>'مستخلص 17'!K20</f>
        <v/>
      </c>
      <c r="J20" s="68" t="n"/>
      <c r="K20" s="101">
        <f>IF(J20="",I20,J20)</f>
        <v/>
      </c>
      <c r="L20" s="74">
        <f>'مستخلص 17'!N20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17'!H21</f>
        <v/>
      </c>
      <c r="G21" s="72" t="n"/>
      <c r="H21" s="84">
        <f>F21+G21</f>
        <v/>
      </c>
      <c r="I21" s="109">
        <f>'مستخلص 17'!K21</f>
        <v/>
      </c>
      <c r="J21" s="68" t="n"/>
      <c r="K21" s="103">
        <f>IF(J21="",I21,J21)</f>
        <v/>
      </c>
      <c r="L21" s="108">
        <f>'مستخلص 17'!N21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17'!H22</f>
        <v/>
      </c>
      <c r="G22" s="72" t="n"/>
      <c r="H22" s="27">
        <f>F22+G22</f>
        <v/>
      </c>
      <c r="I22" s="107">
        <f>'مستخلص 17'!K22</f>
        <v/>
      </c>
      <c r="J22" s="68" t="n"/>
      <c r="K22" s="101">
        <f>IF(J22="",I22,J22)</f>
        <v/>
      </c>
      <c r="L22" s="74">
        <f>'مستخلص 17'!N22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17'!H23</f>
        <v/>
      </c>
      <c r="G23" s="72" t="n"/>
      <c r="H23" s="84">
        <f>F23+G23</f>
        <v/>
      </c>
      <c r="I23" s="109">
        <f>'مستخلص 17'!K23</f>
        <v/>
      </c>
      <c r="J23" s="68" t="n"/>
      <c r="K23" s="103">
        <f>IF(J23="",I23,J23)</f>
        <v/>
      </c>
      <c r="L23" s="108">
        <f>'مستخلص 17'!N23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17'!H24</f>
        <v/>
      </c>
      <c r="G24" s="72" t="n"/>
      <c r="H24" s="27">
        <f>F24+G24</f>
        <v/>
      </c>
      <c r="I24" s="107">
        <f>'مستخلص 17'!K24</f>
        <v/>
      </c>
      <c r="J24" s="68" t="n"/>
      <c r="K24" s="101">
        <f>IF(J24="",I24,J24)</f>
        <v/>
      </c>
      <c r="L24" s="74">
        <f>'مستخلص 17'!N24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17'!H25</f>
        <v/>
      </c>
      <c r="G25" s="72" t="n"/>
      <c r="H25" s="84">
        <f>F25+G25</f>
        <v/>
      </c>
      <c r="I25" s="109">
        <f>'مستخلص 17'!K25</f>
        <v/>
      </c>
      <c r="J25" s="68" t="n"/>
      <c r="K25" s="103">
        <f>IF(J25="",I25,J25)</f>
        <v/>
      </c>
      <c r="L25" s="108">
        <f>'مستخلص 17'!N25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17'!H26</f>
        <v/>
      </c>
      <c r="G26" s="72" t="n"/>
      <c r="H26" s="27">
        <f>F26+G26</f>
        <v/>
      </c>
      <c r="I26" s="107">
        <f>'مستخلص 17'!K26</f>
        <v/>
      </c>
      <c r="J26" s="68" t="n"/>
      <c r="K26" s="101">
        <f>IF(J26="",I26,J26)</f>
        <v/>
      </c>
      <c r="L26" s="74">
        <f>'مستخلص 17'!N26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17'!H27</f>
        <v/>
      </c>
      <c r="G27" s="72" t="n"/>
      <c r="H27" s="84">
        <f>F27+G27</f>
        <v/>
      </c>
      <c r="I27" s="109">
        <f>'مستخلص 17'!K27</f>
        <v/>
      </c>
      <c r="J27" s="68" t="n"/>
      <c r="K27" s="103">
        <f>IF(J27="",I27,J27)</f>
        <v/>
      </c>
      <c r="L27" s="108">
        <f>'مستخلص 17'!N27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17'!H28</f>
        <v/>
      </c>
      <c r="G28" s="72" t="n"/>
      <c r="H28" s="27">
        <f>F28+G28</f>
        <v/>
      </c>
      <c r="I28" s="107">
        <f>'مستخلص 17'!K28</f>
        <v/>
      </c>
      <c r="J28" s="68" t="n"/>
      <c r="K28" s="101">
        <f>IF(J28="",I28,J28)</f>
        <v/>
      </c>
      <c r="L28" s="74">
        <f>'مستخلص 17'!N28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17'!H29</f>
        <v/>
      </c>
      <c r="G29" s="72" t="n"/>
      <c r="H29" s="84">
        <f>F29+G29</f>
        <v/>
      </c>
      <c r="I29" s="109">
        <f>'مستخلص 17'!K29</f>
        <v/>
      </c>
      <c r="J29" s="68" t="n"/>
      <c r="K29" s="103">
        <f>IF(J29="",I29,J29)</f>
        <v/>
      </c>
      <c r="L29" s="108">
        <f>'مستخلص 17'!N29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17'!H30</f>
        <v/>
      </c>
      <c r="G30" s="72" t="n"/>
      <c r="H30" s="27">
        <f>F30+G30</f>
        <v/>
      </c>
      <c r="I30" s="107">
        <f>'مستخلص 17'!K30</f>
        <v/>
      </c>
      <c r="J30" s="68" t="n"/>
      <c r="K30" s="101">
        <f>IF(J30="",I30,J30)</f>
        <v/>
      </c>
      <c r="L30" s="74">
        <f>'مستخلص 17'!N30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17'!H31</f>
        <v/>
      </c>
      <c r="G31" s="72" t="n"/>
      <c r="H31" s="84">
        <f>F31+G31</f>
        <v/>
      </c>
      <c r="I31" s="109">
        <f>'مستخلص 17'!K31</f>
        <v/>
      </c>
      <c r="J31" s="68" t="n"/>
      <c r="K31" s="103">
        <f>IF(J31="",I31,J31)</f>
        <v/>
      </c>
      <c r="L31" s="108">
        <f>'مستخلص 17'!N31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17'!H32</f>
        <v/>
      </c>
      <c r="G32" s="72" t="n"/>
      <c r="H32" s="27">
        <f>F32+G32</f>
        <v/>
      </c>
      <c r="I32" s="107">
        <f>'مستخلص 17'!K32</f>
        <v/>
      </c>
      <c r="J32" s="68" t="n"/>
      <c r="K32" s="101">
        <f>IF(J32="",I32,J32)</f>
        <v/>
      </c>
      <c r="L32" s="74">
        <f>'مستخلص 17'!N32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17'!H33</f>
        <v/>
      </c>
      <c r="G33" s="72" t="n"/>
      <c r="H33" s="84">
        <f>F33+G33</f>
        <v/>
      </c>
      <c r="I33" s="109">
        <f>'مستخلص 17'!K33</f>
        <v/>
      </c>
      <c r="J33" s="68" t="n"/>
      <c r="K33" s="103">
        <f>IF(J33="",I33,J33)</f>
        <v/>
      </c>
      <c r="L33" s="108">
        <f>'مستخلص 17'!N33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17'!H34</f>
        <v/>
      </c>
      <c r="G34" s="72" t="n"/>
      <c r="H34" s="27">
        <f>F34+G34</f>
        <v/>
      </c>
      <c r="I34" s="107">
        <f>'مستخلص 17'!K34</f>
        <v/>
      </c>
      <c r="J34" s="68" t="n"/>
      <c r="K34" s="101">
        <f>IF(J34="",I34,J34)</f>
        <v/>
      </c>
      <c r="L34" s="74">
        <f>'مستخلص 17'!N34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17'!H35</f>
        <v/>
      </c>
      <c r="G35" s="72" t="n"/>
      <c r="H35" s="84">
        <f>F35+G35</f>
        <v/>
      </c>
      <c r="I35" s="109">
        <f>'مستخلص 17'!K35</f>
        <v/>
      </c>
      <c r="J35" s="68" t="n"/>
      <c r="K35" s="103">
        <f>IF(J35="",I35,J35)</f>
        <v/>
      </c>
      <c r="L35" s="108">
        <f>'مستخلص 17'!N35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17'!H36</f>
        <v/>
      </c>
      <c r="G36" s="72" t="n"/>
      <c r="H36" s="27">
        <f>F36+G36</f>
        <v/>
      </c>
      <c r="I36" s="107">
        <f>'مستخلص 17'!K36</f>
        <v/>
      </c>
      <c r="J36" s="68" t="n"/>
      <c r="K36" s="101">
        <f>IF(J36="",I36,J36)</f>
        <v/>
      </c>
      <c r="L36" s="74">
        <f>'مستخلص 17'!N36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17'!H37</f>
        <v/>
      </c>
      <c r="G37" s="72" t="n"/>
      <c r="H37" s="84">
        <f>F37+G37</f>
        <v/>
      </c>
      <c r="I37" s="109">
        <f>'مستخلص 17'!K37</f>
        <v/>
      </c>
      <c r="J37" s="68" t="n"/>
      <c r="K37" s="103">
        <f>IF(J37="",I37,J37)</f>
        <v/>
      </c>
      <c r="L37" s="108">
        <f>'مستخلص 17'!N37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17'!H38</f>
        <v/>
      </c>
      <c r="G38" s="72" t="n"/>
      <c r="H38" s="27">
        <f>F38+G38</f>
        <v/>
      </c>
      <c r="I38" s="107">
        <f>'مستخلص 17'!K38</f>
        <v/>
      </c>
      <c r="J38" s="68" t="n"/>
      <c r="K38" s="101">
        <f>IF(J38="",I38,J38)</f>
        <v/>
      </c>
      <c r="L38" s="74">
        <f>'مستخلص 17'!N38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17'!H39</f>
        <v/>
      </c>
      <c r="G39" s="72" t="n"/>
      <c r="H39" s="84">
        <f>F39+G39</f>
        <v/>
      </c>
      <c r="I39" s="109">
        <f>'مستخلص 17'!K39</f>
        <v/>
      </c>
      <c r="J39" s="68" t="n"/>
      <c r="K39" s="103">
        <f>IF(J39="",I39,J39)</f>
        <v/>
      </c>
      <c r="L39" s="108">
        <f>'مستخلص 17'!N39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17'!H40</f>
        <v/>
      </c>
      <c r="G40" s="72" t="n"/>
      <c r="H40" s="27">
        <f>F40+G40</f>
        <v/>
      </c>
      <c r="I40" s="107">
        <f>'مستخلص 17'!K40</f>
        <v/>
      </c>
      <c r="J40" s="68" t="n"/>
      <c r="K40" s="101">
        <f>IF(J40="",I40,J40)</f>
        <v/>
      </c>
      <c r="L40" s="74">
        <f>'مستخلص 17'!N40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17'!H41</f>
        <v/>
      </c>
      <c r="G41" s="72" t="n"/>
      <c r="H41" s="84">
        <f>F41+G41</f>
        <v/>
      </c>
      <c r="I41" s="109">
        <f>'مستخلص 17'!K41</f>
        <v/>
      </c>
      <c r="J41" s="68" t="n"/>
      <c r="K41" s="103">
        <f>IF(J41="",I41,J41)</f>
        <v/>
      </c>
      <c r="L41" s="108">
        <f>'مستخلص 17'!N41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17'!H42</f>
        <v/>
      </c>
      <c r="G42" s="72" t="n"/>
      <c r="H42" s="27">
        <f>F42+G42</f>
        <v/>
      </c>
      <c r="I42" s="107">
        <f>'مستخلص 17'!K42</f>
        <v/>
      </c>
      <c r="J42" s="68" t="n"/>
      <c r="K42" s="101">
        <f>IF(J42="",I42,J42)</f>
        <v/>
      </c>
      <c r="L42" s="74">
        <f>'مستخلص 17'!N42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17'!H43</f>
        <v/>
      </c>
      <c r="G43" s="72" t="n"/>
      <c r="H43" s="84">
        <f>F43+G43</f>
        <v/>
      </c>
      <c r="I43" s="109">
        <f>'مستخلص 17'!K43</f>
        <v/>
      </c>
      <c r="J43" s="68" t="n"/>
      <c r="K43" s="103">
        <f>IF(J43="",I43,J43)</f>
        <v/>
      </c>
      <c r="L43" s="108">
        <f>'مستخلص 17'!N43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17'!H44</f>
        <v/>
      </c>
      <c r="G44" s="72" t="n"/>
      <c r="H44" s="27">
        <f>F44+G44</f>
        <v/>
      </c>
      <c r="I44" s="107">
        <f>'مستخلص 17'!K44</f>
        <v/>
      </c>
      <c r="J44" s="68" t="n"/>
      <c r="K44" s="101">
        <f>IF(J44="",I44,J44)</f>
        <v/>
      </c>
      <c r="L44" s="74">
        <f>'مستخلص 17'!N44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17'!H45</f>
        <v/>
      </c>
      <c r="G45" s="72" t="n"/>
      <c r="H45" s="84">
        <f>F45+G45</f>
        <v/>
      </c>
      <c r="I45" s="109">
        <f>'مستخلص 17'!K45</f>
        <v/>
      </c>
      <c r="J45" s="68" t="n"/>
      <c r="K45" s="103">
        <f>IF(J45="",I45,J45)</f>
        <v/>
      </c>
      <c r="L45" s="108">
        <f>'مستخلص 17'!N45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17'!H46</f>
        <v/>
      </c>
      <c r="G46" s="72" t="n"/>
      <c r="H46" s="27">
        <f>F46+G46</f>
        <v/>
      </c>
      <c r="I46" s="107">
        <f>'مستخلص 17'!K46</f>
        <v/>
      </c>
      <c r="J46" s="68" t="n"/>
      <c r="K46" s="101">
        <f>IF(J46="",I46,J46)</f>
        <v/>
      </c>
      <c r="L46" s="74">
        <f>'مستخلص 17'!N46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17'!H47</f>
        <v/>
      </c>
      <c r="G47" s="72" t="n"/>
      <c r="H47" s="84">
        <f>F47+G47</f>
        <v/>
      </c>
      <c r="I47" s="109">
        <f>'مستخلص 17'!K47</f>
        <v/>
      </c>
      <c r="J47" s="68" t="n"/>
      <c r="K47" s="103">
        <f>IF(J47="",I47,J47)</f>
        <v/>
      </c>
      <c r="L47" s="108">
        <f>'مستخلص 17'!N47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17'!H48</f>
        <v/>
      </c>
      <c r="G48" s="72" t="n"/>
      <c r="H48" s="27">
        <f>F48+G48</f>
        <v/>
      </c>
      <c r="I48" s="107">
        <f>'مستخلص 17'!K48</f>
        <v/>
      </c>
      <c r="J48" s="68" t="n"/>
      <c r="K48" s="101">
        <f>IF(J48="",I48,J48)</f>
        <v/>
      </c>
      <c r="L48" s="74">
        <f>'مستخلص 17'!N48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17'!H49</f>
        <v/>
      </c>
      <c r="G49" s="72" t="n"/>
      <c r="H49" s="84">
        <f>F49+G49</f>
        <v/>
      </c>
      <c r="I49" s="109">
        <f>'مستخلص 17'!K49</f>
        <v/>
      </c>
      <c r="J49" s="68" t="n"/>
      <c r="K49" s="103">
        <f>IF(J49="",I49,J49)</f>
        <v/>
      </c>
      <c r="L49" s="108">
        <f>'مستخلص 17'!N49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17'!H50</f>
        <v/>
      </c>
      <c r="G50" s="72" t="n"/>
      <c r="H50" s="27">
        <f>F50+G50</f>
        <v/>
      </c>
      <c r="I50" s="107">
        <f>'مستخلص 17'!K50</f>
        <v/>
      </c>
      <c r="J50" s="68" t="n"/>
      <c r="K50" s="101">
        <f>IF(J50="",I50,J50)</f>
        <v/>
      </c>
      <c r="L50" s="74">
        <f>'مستخلص 17'!N50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17'!H51</f>
        <v/>
      </c>
      <c r="G51" s="72" t="n"/>
      <c r="H51" s="84">
        <f>F51+G51</f>
        <v/>
      </c>
      <c r="I51" s="109">
        <f>'مستخلص 17'!K51</f>
        <v/>
      </c>
      <c r="J51" s="68" t="n"/>
      <c r="K51" s="103">
        <f>IF(J51="",I51,J51)</f>
        <v/>
      </c>
      <c r="L51" s="108">
        <f>'مستخلص 17'!N51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17'!H52</f>
        <v/>
      </c>
      <c r="G52" s="72" t="n"/>
      <c r="H52" s="27">
        <f>F52+G52</f>
        <v/>
      </c>
      <c r="I52" s="107">
        <f>'مستخلص 17'!K52</f>
        <v/>
      </c>
      <c r="J52" s="68" t="n"/>
      <c r="K52" s="101">
        <f>IF(J52="",I52,J52)</f>
        <v/>
      </c>
      <c r="L52" s="74">
        <f>'مستخلص 17'!N52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17'!H53</f>
        <v/>
      </c>
      <c r="G53" s="72" t="n"/>
      <c r="H53" s="84">
        <f>F53+G53</f>
        <v/>
      </c>
      <c r="I53" s="109">
        <f>'مستخلص 17'!K53</f>
        <v/>
      </c>
      <c r="J53" s="68" t="n"/>
      <c r="K53" s="103">
        <f>IF(J53="",I53,J53)</f>
        <v/>
      </c>
      <c r="L53" s="108">
        <f>'مستخلص 17'!N53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17'!H54</f>
        <v/>
      </c>
      <c r="G54" s="72" t="n"/>
      <c r="H54" s="27">
        <f>F54+G54</f>
        <v/>
      </c>
      <c r="I54" s="107">
        <f>'مستخلص 17'!K54</f>
        <v/>
      </c>
      <c r="J54" s="68" t="n"/>
      <c r="K54" s="101">
        <f>IF(J54="",I54,J54)</f>
        <v/>
      </c>
      <c r="L54" s="74">
        <f>'مستخلص 17'!N54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17'!H55</f>
        <v/>
      </c>
      <c r="G55" s="72" t="n"/>
      <c r="H55" s="84">
        <f>F55+G55</f>
        <v/>
      </c>
      <c r="I55" s="109">
        <f>'مستخلص 17'!K55</f>
        <v/>
      </c>
      <c r="J55" s="68" t="n"/>
      <c r="K55" s="103">
        <f>IF(J55="",I55,J55)</f>
        <v/>
      </c>
      <c r="L55" s="108">
        <f>'مستخلص 17'!N55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17'!H56</f>
        <v/>
      </c>
      <c r="G56" s="72" t="n"/>
      <c r="H56" s="27">
        <f>F56+G56</f>
        <v/>
      </c>
      <c r="I56" s="107">
        <f>'مستخلص 17'!K56</f>
        <v/>
      </c>
      <c r="J56" s="68" t="n"/>
      <c r="K56" s="101">
        <f>IF(J56="",I56,J56)</f>
        <v/>
      </c>
      <c r="L56" s="74">
        <f>'مستخلص 17'!N56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17'!H57</f>
        <v/>
      </c>
      <c r="G57" s="72" t="n"/>
      <c r="H57" s="84">
        <f>F57+G57</f>
        <v/>
      </c>
      <c r="I57" s="109">
        <f>'مستخلص 17'!K57</f>
        <v/>
      </c>
      <c r="J57" s="68" t="n"/>
      <c r="K57" s="103">
        <f>IF(J57="",I57,J57)</f>
        <v/>
      </c>
      <c r="L57" s="108">
        <f>'مستخلص 17'!N57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17'!H58</f>
        <v/>
      </c>
      <c r="G58" s="72" t="n"/>
      <c r="H58" s="27">
        <f>F58+G58</f>
        <v/>
      </c>
      <c r="I58" s="107">
        <f>'مستخلص 17'!K58</f>
        <v/>
      </c>
      <c r="J58" s="68" t="n"/>
      <c r="K58" s="101">
        <f>IF(J58="",I58,J58)</f>
        <v/>
      </c>
      <c r="L58" s="74">
        <f>'مستخلص 17'!N58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17'!H59</f>
        <v/>
      </c>
      <c r="G59" s="72" t="n"/>
      <c r="H59" s="84">
        <f>F59+G59</f>
        <v/>
      </c>
      <c r="I59" s="109">
        <f>'مستخلص 17'!K59</f>
        <v/>
      </c>
      <c r="J59" s="68" t="n"/>
      <c r="K59" s="103">
        <f>IF(J59="",I59,J59)</f>
        <v/>
      </c>
      <c r="L59" s="108">
        <f>'مستخلص 17'!N59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17'!H60</f>
        <v/>
      </c>
      <c r="G60" s="72" t="n"/>
      <c r="H60" s="27">
        <f>F60+G60</f>
        <v/>
      </c>
      <c r="I60" s="107">
        <f>'مستخلص 17'!K60</f>
        <v/>
      </c>
      <c r="J60" s="68" t="n"/>
      <c r="K60" s="101">
        <f>IF(J60="",I60,J60)</f>
        <v/>
      </c>
      <c r="L60" s="74">
        <f>'مستخلص 17'!N60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17'!H61</f>
        <v/>
      </c>
      <c r="G61" s="72" t="n"/>
      <c r="H61" s="84">
        <f>F61+G61</f>
        <v/>
      </c>
      <c r="I61" s="109">
        <f>'مستخلص 17'!K61</f>
        <v/>
      </c>
      <c r="J61" s="68" t="n"/>
      <c r="K61" s="103">
        <f>IF(J61="",I61,J61)</f>
        <v/>
      </c>
      <c r="L61" s="108">
        <f>'مستخلص 17'!N61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17'!H62</f>
        <v/>
      </c>
      <c r="G62" s="72" t="n"/>
      <c r="H62" s="27">
        <f>F62+G62</f>
        <v/>
      </c>
      <c r="I62" s="107">
        <f>'مستخلص 17'!K62</f>
        <v/>
      </c>
      <c r="J62" s="68" t="n"/>
      <c r="K62" s="101">
        <f>IF(J62="",I62,J62)</f>
        <v/>
      </c>
      <c r="L62" s="74">
        <f>'مستخلص 17'!N62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17'!H63</f>
        <v/>
      </c>
      <c r="G63" s="72" t="n"/>
      <c r="H63" s="84">
        <f>F63+G63</f>
        <v/>
      </c>
      <c r="I63" s="109">
        <f>'مستخلص 17'!K63</f>
        <v/>
      </c>
      <c r="J63" s="68" t="n"/>
      <c r="K63" s="103">
        <f>IF(J63="",I63,J63)</f>
        <v/>
      </c>
      <c r="L63" s="108">
        <f>'مستخلص 17'!N63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17'!H64</f>
        <v/>
      </c>
      <c r="G64" s="72" t="n"/>
      <c r="H64" s="27">
        <f>F64+G64</f>
        <v/>
      </c>
      <c r="I64" s="107">
        <f>'مستخلص 17'!K64</f>
        <v/>
      </c>
      <c r="J64" s="68" t="n"/>
      <c r="K64" s="101">
        <f>IF(J64="",I64,J64)</f>
        <v/>
      </c>
      <c r="L64" s="74">
        <f>'مستخلص 17'!N64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17'!H65</f>
        <v/>
      </c>
      <c r="G65" s="72" t="n"/>
      <c r="H65" s="84">
        <f>F65+G65</f>
        <v/>
      </c>
      <c r="I65" s="109">
        <f>'مستخلص 17'!K65</f>
        <v/>
      </c>
      <c r="J65" s="68" t="n"/>
      <c r="K65" s="103">
        <f>IF(J65="",I65,J65)</f>
        <v/>
      </c>
      <c r="L65" s="108">
        <f>'مستخلص 17'!N65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17'!H66</f>
        <v/>
      </c>
      <c r="G66" s="72" t="n"/>
      <c r="H66" s="27">
        <f>F66+G66</f>
        <v/>
      </c>
      <c r="I66" s="107">
        <f>'مستخلص 17'!K66</f>
        <v/>
      </c>
      <c r="J66" s="68" t="n"/>
      <c r="K66" s="101">
        <f>IF(J66="",I66,J66)</f>
        <v/>
      </c>
      <c r="L66" s="74">
        <f>'مستخلص 17'!N66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17'!H67</f>
        <v/>
      </c>
      <c r="G67" s="72" t="n"/>
      <c r="H67" s="84">
        <f>F67+G67</f>
        <v/>
      </c>
      <c r="I67" s="109">
        <f>'مستخلص 17'!K67</f>
        <v/>
      </c>
      <c r="J67" s="68" t="n"/>
      <c r="K67" s="103">
        <f>IF(J67="",I67,J67)</f>
        <v/>
      </c>
      <c r="L67" s="108">
        <f>'مستخلص 17'!N67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17'!H68</f>
        <v/>
      </c>
      <c r="G68" s="72" t="n"/>
      <c r="H68" s="27">
        <f>F68+G68</f>
        <v/>
      </c>
      <c r="I68" s="107">
        <f>'مستخلص 17'!K68</f>
        <v/>
      </c>
      <c r="J68" s="68" t="n"/>
      <c r="K68" s="101">
        <f>IF(J68="",I68,J68)</f>
        <v/>
      </c>
      <c r="L68" s="74">
        <f>'مستخلص 17'!N68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17'!H69</f>
        <v/>
      </c>
      <c r="G69" s="72" t="n"/>
      <c r="H69" s="84">
        <f>F69+G69</f>
        <v/>
      </c>
      <c r="I69" s="109">
        <f>'مستخلص 17'!K69</f>
        <v/>
      </c>
      <c r="J69" s="68" t="n"/>
      <c r="K69" s="103">
        <f>IF(J69="",I69,J69)</f>
        <v/>
      </c>
      <c r="L69" s="108">
        <f>'مستخلص 17'!N69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17'!H70</f>
        <v/>
      </c>
      <c r="G70" s="72" t="n"/>
      <c r="H70" s="27">
        <f>F70+G70</f>
        <v/>
      </c>
      <c r="I70" s="107">
        <f>'مستخلص 17'!K70</f>
        <v/>
      </c>
      <c r="J70" s="68" t="n"/>
      <c r="K70" s="101">
        <f>IF(J70="",I70,J70)</f>
        <v/>
      </c>
      <c r="L70" s="74">
        <f>'مستخلص 17'!N70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17'!H71</f>
        <v/>
      </c>
      <c r="G71" s="72" t="n"/>
      <c r="H71" s="84">
        <f>F71+G71</f>
        <v/>
      </c>
      <c r="I71" s="109">
        <f>'مستخلص 17'!K71</f>
        <v/>
      </c>
      <c r="J71" s="68" t="n"/>
      <c r="K71" s="103">
        <f>IF(J71="",I71,J71)</f>
        <v/>
      </c>
      <c r="L71" s="108">
        <f>'مستخلص 17'!N71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17'!H72</f>
        <v/>
      </c>
      <c r="G72" s="72" t="n"/>
      <c r="H72" s="27">
        <f>F72+G72</f>
        <v/>
      </c>
      <c r="I72" s="107">
        <f>'مستخلص 17'!K72</f>
        <v/>
      </c>
      <c r="J72" s="68" t="n"/>
      <c r="K72" s="101">
        <f>IF(J72="",I72,J72)</f>
        <v/>
      </c>
      <c r="L72" s="74">
        <f>'مستخلص 17'!N72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17'!H73</f>
        <v/>
      </c>
      <c r="G73" s="72" t="n"/>
      <c r="H73" s="84">
        <f>F73+G73</f>
        <v/>
      </c>
      <c r="I73" s="109">
        <f>'مستخلص 17'!K73</f>
        <v/>
      </c>
      <c r="J73" s="68" t="n"/>
      <c r="K73" s="103">
        <f>IF(J73="",I73,J73)</f>
        <v/>
      </c>
      <c r="L73" s="108">
        <f>'مستخلص 17'!N73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17'!H74</f>
        <v/>
      </c>
      <c r="G74" s="72" t="n"/>
      <c r="H74" s="27">
        <f>F74+G74</f>
        <v/>
      </c>
      <c r="I74" s="107">
        <f>'مستخلص 17'!K74</f>
        <v/>
      </c>
      <c r="J74" s="68" t="n"/>
      <c r="K74" s="101">
        <f>IF(J74="",I74,J74)</f>
        <v/>
      </c>
      <c r="L74" s="74">
        <f>'مستخلص 17'!N74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17'!H75</f>
        <v/>
      </c>
      <c r="G75" s="72" t="n"/>
      <c r="H75" s="84">
        <f>F75+G75</f>
        <v/>
      </c>
      <c r="I75" s="109">
        <f>'مستخلص 17'!K75</f>
        <v/>
      </c>
      <c r="J75" s="68" t="n"/>
      <c r="K75" s="103">
        <f>IF(J75="",I75,J75)</f>
        <v/>
      </c>
      <c r="L75" s="108">
        <f>'مستخلص 17'!N75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17'!H76</f>
        <v/>
      </c>
      <c r="G76" s="72" t="n"/>
      <c r="H76" s="27">
        <f>F76+G76</f>
        <v/>
      </c>
      <c r="I76" s="107">
        <f>'مستخلص 17'!K76</f>
        <v/>
      </c>
      <c r="J76" s="68" t="n"/>
      <c r="K76" s="101">
        <f>IF(J76="",I76,J76)</f>
        <v/>
      </c>
      <c r="L76" s="74">
        <f>'مستخلص 17'!N76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17'!H77</f>
        <v/>
      </c>
      <c r="G77" s="72" t="n"/>
      <c r="H77" s="84">
        <f>F77+G77</f>
        <v/>
      </c>
      <c r="I77" s="109">
        <f>'مستخلص 17'!K77</f>
        <v/>
      </c>
      <c r="J77" s="68" t="n"/>
      <c r="K77" s="103">
        <f>IF(J77="",I77,J77)</f>
        <v/>
      </c>
      <c r="L77" s="108">
        <f>'مستخلص 17'!N77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17'!H78</f>
        <v/>
      </c>
      <c r="G78" s="72" t="n"/>
      <c r="H78" s="27">
        <f>F78+G78</f>
        <v/>
      </c>
      <c r="I78" s="107">
        <f>'مستخلص 17'!K78</f>
        <v/>
      </c>
      <c r="J78" s="68" t="n"/>
      <c r="K78" s="101">
        <f>IF(J78="",I78,J78)</f>
        <v/>
      </c>
      <c r="L78" s="74">
        <f>'مستخلص 17'!N78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17'!H79</f>
        <v/>
      </c>
      <c r="G79" s="72" t="n"/>
      <c r="H79" s="84">
        <f>F79+G79</f>
        <v/>
      </c>
      <c r="I79" s="109">
        <f>'مستخلص 17'!K79</f>
        <v/>
      </c>
      <c r="J79" s="68" t="n"/>
      <c r="K79" s="103">
        <f>IF(J79="",I79,J79)</f>
        <v/>
      </c>
      <c r="L79" s="108">
        <f>'مستخلص 17'!N79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17'!H80</f>
        <v/>
      </c>
      <c r="G80" s="72" t="n"/>
      <c r="H80" s="27">
        <f>F80+G80</f>
        <v/>
      </c>
      <c r="I80" s="107">
        <f>'مستخلص 17'!K80</f>
        <v/>
      </c>
      <c r="J80" s="68" t="n"/>
      <c r="K80" s="101">
        <f>IF(J80="",I80,J80)</f>
        <v/>
      </c>
      <c r="L80" s="74">
        <f>'مستخلص 17'!N80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17'!H81</f>
        <v/>
      </c>
      <c r="G81" s="72" t="n"/>
      <c r="H81" s="84">
        <f>F81+G81</f>
        <v/>
      </c>
      <c r="I81" s="109">
        <f>'مستخلص 17'!K81</f>
        <v/>
      </c>
      <c r="J81" s="68" t="n"/>
      <c r="K81" s="103">
        <f>IF(J81="",I81,J81)</f>
        <v/>
      </c>
      <c r="L81" s="108">
        <f>'مستخلص 17'!N81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17'!H82</f>
        <v/>
      </c>
      <c r="G82" s="72" t="n"/>
      <c r="H82" s="27">
        <f>F82+G82</f>
        <v/>
      </c>
      <c r="I82" s="107">
        <f>'مستخلص 17'!K82</f>
        <v/>
      </c>
      <c r="J82" s="68" t="n"/>
      <c r="K82" s="101">
        <f>IF(J82="",I82,J82)</f>
        <v/>
      </c>
      <c r="L82" s="74">
        <f>'مستخلص 17'!N82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17'!H83</f>
        <v/>
      </c>
      <c r="G83" s="72" t="n"/>
      <c r="H83" s="84">
        <f>F83+G83</f>
        <v/>
      </c>
      <c r="I83" s="109">
        <f>'مستخلص 17'!K83</f>
        <v/>
      </c>
      <c r="J83" s="68" t="n"/>
      <c r="K83" s="103">
        <f>IF(J83="",I83,J83)</f>
        <v/>
      </c>
      <c r="L83" s="108">
        <f>'مستخلص 17'!N83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17'!H84</f>
        <v/>
      </c>
      <c r="G84" s="72" t="n"/>
      <c r="H84" s="27">
        <f>F84+G84</f>
        <v/>
      </c>
      <c r="I84" s="107">
        <f>'مستخلص 17'!K84</f>
        <v/>
      </c>
      <c r="J84" s="68" t="n"/>
      <c r="K84" s="101">
        <f>IF(J84="",I84,J84)</f>
        <v/>
      </c>
      <c r="L84" s="74">
        <f>'مستخلص 17'!N84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17'!H85</f>
        <v/>
      </c>
      <c r="G85" s="72" t="n"/>
      <c r="H85" s="84">
        <f>F85+G85</f>
        <v/>
      </c>
      <c r="I85" s="109">
        <f>'مستخلص 17'!K85</f>
        <v/>
      </c>
      <c r="J85" s="68" t="n"/>
      <c r="K85" s="103">
        <f>IF(J85="",I85,J85)</f>
        <v/>
      </c>
      <c r="L85" s="108">
        <f>'مستخلص 17'!N85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17'!H86</f>
        <v/>
      </c>
      <c r="G86" s="72" t="n"/>
      <c r="H86" s="27">
        <f>F86+G86</f>
        <v/>
      </c>
      <c r="I86" s="107">
        <f>'مستخلص 17'!K86</f>
        <v/>
      </c>
      <c r="J86" s="68" t="n"/>
      <c r="K86" s="101">
        <f>IF(J86="",I86,J86)</f>
        <v/>
      </c>
      <c r="L86" s="74">
        <f>'مستخلص 17'!N86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17'!H87</f>
        <v/>
      </c>
      <c r="G87" s="72" t="n"/>
      <c r="H87" s="84">
        <f>F87+G87</f>
        <v/>
      </c>
      <c r="I87" s="109">
        <f>'مستخلص 17'!K87</f>
        <v/>
      </c>
      <c r="J87" s="68" t="n"/>
      <c r="K87" s="103">
        <f>IF(J87="",I87,J87)</f>
        <v/>
      </c>
      <c r="L87" s="108">
        <f>'مستخلص 17'!N87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17'!H88</f>
        <v/>
      </c>
      <c r="G88" s="72" t="n"/>
      <c r="H88" s="27">
        <f>F88+G88</f>
        <v/>
      </c>
      <c r="I88" s="107">
        <f>'مستخلص 17'!K88</f>
        <v/>
      </c>
      <c r="J88" s="68" t="n"/>
      <c r="K88" s="101">
        <f>IF(J88="",I88,J88)</f>
        <v/>
      </c>
      <c r="L88" s="74">
        <f>'مستخلص 17'!N88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17'!H89</f>
        <v/>
      </c>
      <c r="G89" s="72" t="n"/>
      <c r="H89" s="84">
        <f>F89+G89</f>
        <v/>
      </c>
      <c r="I89" s="109">
        <f>'مستخلص 17'!K89</f>
        <v/>
      </c>
      <c r="J89" s="68" t="n"/>
      <c r="K89" s="103">
        <f>IF(J89="",I89,J89)</f>
        <v/>
      </c>
      <c r="L89" s="108">
        <f>'مستخلص 17'!N89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17'!H90</f>
        <v/>
      </c>
      <c r="G90" s="72" t="n"/>
      <c r="H90" s="27">
        <f>F90+G90</f>
        <v/>
      </c>
      <c r="I90" s="107">
        <f>'مستخلص 17'!K90</f>
        <v/>
      </c>
      <c r="J90" s="68" t="n"/>
      <c r="K90" s="101">
        <f>IF(J90="",I90,J90)</f>
        <v/>
      </c>
      <c r="L90" s="74">
        <f>'مستخلص 17'!N90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17'!H91</f>
        <v/>
      </c>
      <c r="G91" s="72" t="n"/>
      <c r="H91" s="84">
        <f>F91+G91</f>
        <v/>
      </c>
      <c r="I91" s="109">
        <f>'مستخلص 17'!K91</f>
        <v/>
      </c>
      <c r="J91" s="68" t="n"/>
      <c r="K91" s="103">
        <f>IF(J91="",I91,J91)</f>
        <v/>
      </c>
      <c r="L91" s="108">
        <f>'مستخلص 17'!N91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17'!H92</f>
        <v/>
      </c>
      <c r="G92" s="72" t="n"/>
      <c r="H92" s="27">
        <f>F92+G92</f>
        <v/>
      </c>
      <c r="I92" s="107">
        <f>'مستخلص 17'!K92</f>
        <v/>
      </c>
      <c r="J92" s="68" t="n"/>
      <c r="K92" s="101">
        <f>IF(J92="",I92,J92)</f>
        <v/>
      </c>
      <c r="L92" s="74">
        <f>'مستخلص 17'!N92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17'!H93</f>
        <v/>
      </c>
      <c r="G93" s="72" t="n"/>
      <c r="H93" s="84">
        <f>F93+G93</f>
        <v/>
      </c>
      <c r="I93" s="109">
        <f>'مستخلص 17'!K93</f>
        <v/>
      </c>
      <c r="J93" s="68" t="n"/>
      <c r="K93" s="103">
        <f>IF(J93="",I93,J93)</f>
        <v/>
      </c>
      <c r="L93" s="108">
        <f>'مستخلص 17'!N93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17'!H94</f>
        <v/>
      </c>
      <c r="G94" s="72" t="n"/>
      <c r="H94" s="27">
        <f>F94+G94</f>
        <v/>
      </c>
      <c r="I94" s="107">
        <f>'مستخلص 17'!K94</f>
        <v/>
      </c>
      <c r="J94" s="68" t="n"/>
      <c r="K94" s="101">
        <f>IF(J94="",I94,J94)</f>
        <v/>
      </c>
      <c r="L94" s="74">
        <f>'مستخلص 17'!N94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17'!H95</f>
        <v/>
      </c>
      <c r="G95" s="72" t="n"/>
      <c r="H95" s="84">
        <f>F95+G95</f>
        <v/>
      </c>
      <c r="I95" s="109">
        <f>'مستخلص 17'!K95</f>
        <v/>
      </c>
      <c r="J95" s="68" t="n"/>
      <c r="K95" s="103">
        <f>IF(J95="",I95,J95)</f>
        <v/>
      </c>
      <c r="L95" s="108">
        <f>'مستخلص 17'!N95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17'!H96</f>
        <v/>
      </c>
      <c r="G96" s="72" t="n"/>
      <c r="H96" s="27">
        <f>F96+G96</f>
        <v/>
      </c>
      <c r="I96" s="107">
        <f>'مستخلص 17'!K96</f>
        <v/>
      </c>
      <c r="J96" s="68" t="n"/>
      <c r="K96" s="101">
        <f>IF(J96="",I96,J96)</f>
        <v/>
      </c>
      <c r="L96" s="74">
        <f>'مستخلص 17'!N96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17'!H97</f>
        <v/>
      </c>
      <c r="G97" s="72" t="n"/>
      <c r="H97" s="84">
        <f>F97+G97</f>
        <v/>
      </c>
      <c r="I97" s="109">
        <f>'مستخلص 17'!K97</f>
        <v/>
      </c>
      <c r="J97" s="68" t="n"/>
      <c r="K97" s="103">
        <f>IF(J97="",I97,J97)</f>
        <v/>
      </c>
      <c r="L97" s="108">
        <f>'مستخلص 17'!N97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17'!H98</f>
        <v/>
      </c>
      <c r="G98" s="72" t="n"/>
      <c r="H98" s="27">
        <f>F98+G98</f>
        <v/>
      </c>
      <c r="I98" s="107">
        <f>'مستخلص 17'!K98</f>
        <v/>
      </c>
      <c r="J98" s="68" t="n"/>
      <c r="K98" s="101">
        <f>IF(J98="",I98,J98)</f>
        <v/>
      </c>
      <c r="L98" s="74">
        <f>'مستخلص 17'!N98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17'!H99</f>
        <v/>
      </c>
      <c r="G99" s="72" t="n"/>
      <c r="H99" s="84">
        <f>F99+G99</f>
        <v/>
      </c>
      <c r="I99" s="109">
        <f>'مستخلص 17'!K99</f>
        <v/>
      </c>
      <c r="J99" s="68" t="n"/>
      <c r="K99" s="103">
        <f>IF(J99="",I99,J99)</f>
        <v/>
      </c>
      <c r="L99" s="108">
        <f>'مستخلص 17'!N99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17'!H100</f>
        <v/>
      </c>
      <c r="G100" s="72" t="n"/>
      <c r="H100" s="27">
        <f>F100+G100</f>
        <v/>
      </c>
      <c r="I100" s="107">
        <f>'مستخلص 17'!K100</f>
        <v/>
      </c>
      <c r="J100" s="68" t="n"/>
      <c r="K100" s="101">
        <f>IF(J100="",I100,J100)</f>
        <v/>
      </c>
      <c r="L100" s="74">
        <f>'مستخلص 17'!N100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17'!H101</f>
        <v/>
      </c>
      <c r="G101" s="72" t="n"/>
      <c r="H101" s="84">
        <f>F101+G101</f>
        <v/>
      </c>
      <c r="I101" s="109">
        <f>'مستخلص 17'!K101</f>
        <v/>
      </c>
      <c r="J101" s="68" t="n"/>
      <c r="K101" s="103">
        <f>IF(J101="",I101,J101)</f>
        <v/>
      </c>
      <c r="L101" s="108">
        <f>'مستخلص 17'!N101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17'!H102</f>
        <v/>
      </c>
      <c r="G102" s="72" t="n"/>
      <c r="H102" s="27">
        <f>F102+G102</f>
        <v/>
      </c>
      <c r="I102" s="107">
        <f>'مستخلص 17'!K102</f>
        <v/>
      </c>
      <c r="J102" s="68" t="n"/>
      <c r="K102" s="101">
        <f>IF(J102="",I102,J102)</f>
        <v/>
      </c>
      <c r="L102" s="74">
        <f>'مستخلص 17'!N102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17'!H103</f>
        <v/>
      </c>
      <c r="G103" s="72" t="n"/>
      <c r="H103" s="84">
        <f>F103+G103</f>
        <v/>
      </c>
      <c r="I103" s="109">
        <f>'مستخلص 17'!K103</f>
        <v/>
      </c>
      <c r="J103" s="68" t="n"/>
      <c r="K103" s="103">
        <f>IF(J103="",I103,J103)</f>
        <v/>
      </c>
      <c r="L103" s="108">
        <f>'مستخلص 17'!N103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17'!H104</f>
        <v/>
      </c>
      <c r="G104" s="72" t="n"/>
      <c r="H104" s="27">
        <f>F104+G104</f>
        <v/>
      </c>
      <c r="I104" s="107">
        <f>'مستخلص 17'!K104</f>
        <v/>
      </c>
      <c r="J104" s="68" t="n"/>
      <c r="K104" s="101">
        <f>IF(J104="",I104,J104)</f>
        <v/>
      </c>
      <c r="L104" s="74">
        <f>'مستخلص 17'!N104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17'!H105</f>
        <v/>
      </c>
      <c r="G105" s="72" t="n"/>
      <c r="H105" s="84">
        <f>F105+G105</f>
        <v/>
      </c>
      <c r="I105" s="109">
        <f>'مستخلص 17'!K105</f>
        <v/>
      </c>
      <c r="J105" s="68" t="n"/>
      <c r="K105" s="103">
        <f>IF(J105="",I105,J105)</f>
        <v/>
      </c>
      <c r="L105" s="108">
        <f>'مستخلص 17'!N105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17'!H106</f>
        <v/>
      </c>
      <c r="G106" s="72" t="n"/>
      <c r="H106" s="27">
        <f>F106+G106</f>
        <v/>
      </c>
      <c r="I106" s="107">
        <f>'مستخلص 17'!K106</f>
        <v/>
      </c>
      <c r="J106" s="68" t="n"/>
      <c r="K106" s="101">
        <f>IF(J106="",I106,J106)</f>
        <v/>
      </c>
      <c r="L106" s="74">
        <f>'مستخلص 17'!N106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17'!H107</f>
        <v/>
      </c>
      <c r="G107" s="72" t="n"/>
      <c r="H107" s="84">
        <f>F107+G107</f>
        <v/>
      </c>
      <c r="I107" s="109">
        <f>'مستخلص 17'!K107</f>
        <v/>
      </c>
      <c r="J107" s="68" t="n"/>
      <c r="K107" s="103">
        <f>IF(J107="",I107,J107)</f>
        <v/>
      </c>
      <c r="L107" s="108">
        <f>'مستخلص 17'!N107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17'!N111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17'!N112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17'!N113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17'!N114</f>
        <v/>
      </c>
      <c r="M114" s="27">
        <f>'الدفعات المقدمة'!I42</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17'!N115</f>
        <v/>
      </c>
      <c r="M115" s="27">
        <f>'ضمان الأعمال'!I33</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17'!N116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17'!N117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17'!N118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7'!A1" display="◀ المستخلص السابق (17)"/>
    <hyperlink ref="N3" location="'مستخلص 19'!A1" display="المستخلص التالي (19)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( 19 )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(18)</t>
        </is>
      </c>
      <c r="M3" s="4" t="n"/>
      <c r="N3" s="4" t="inlineStr">
        <is>
          <t>المستخلص التالي (20) ▶</t>
        </is>
      </c>
      <c r="O3" s="4" t="n"/>
      <c r="P3" s="4" t="n"/>
    </row>
    <row r="4" ht="24" customHeight="1">
      <c r="A4" s="96" t="inlineStr">
        <is>
          <t>رقم</t>
        </is>
      </c>
      <c r="B4" s="97" t="n">
        <v>19</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18'!H8</f>
        <v/>
      </c>
      <c r="G8" s="72" t="n"/>
      <c r="H8" s="27">
        <f>F8+G8</f>
        <v/>
      </c>
      <c r="I8" s="107">
        <f>'مستخلص 18'!K8</f>
        <v/>
      </c>
      <c r="J8" s="68" t="n"/>
      <c r="K8" s="101">
        <f>IF(J8="",I8,J8)</f>
        <v/>
      </c>
      <c r="L8" s="74">
        <f>'مستخلص 18'!N8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18'!H9</f>
        <v/>
      </c>
      <c r="G9" s="72" t="n"/>
      <c r="H9" s="84">
        <f>F9+G9</f>
        <v/>
      </c>
      <c r="I9" s="109">
        <f>'مستخلص 18'!K9</f>
        <v/>
      </c>
      <c r="J9" s="68" t="n"/>
      <c r="K9" s="103">
        <f>IF(J9="",I9,J9)</f>
        <v/>
      </c>
      <c r="L9" s="108">
        <f>'مستخلص 18'!N9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18'!H10</f>
        <v/>
      </c>
      <c r="G10" s="72" t="n"/>
      <c r="H10" s="27">
        <f>F10+G10</f>
        <v/>
      </c>
      <c r="I10" s="107">
        <f>'مستخلص 18'!K10</f>
        <v/>
      </c>
      <c r="J10" s="68" t="n"/>
      <c r="K10" s="101">
        <f>IF(J10="",I10,J10)</f>
        <v/>
      </c>
      <c r="L10" s="74">
        <f>'مستخلص 18'!N10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18'!H11</f>
        <v/>
      </c>
      <c r="G11" s="72" t="n"/>
      <c r="H11" s="84">
        <f>F11+G11</f>
        <v/>
      </c>
      <c r="I11" s="109">
        <f>'مستخلص 18'!K11</f>
        <v/>
      </c>
      <c r="J11" s="68" t="n"/>
      <c r="K11" s="103">
        <f>IF(J11="",I11,J11)</f>
        <v/>
      </c>
      <c r="L11" s="108">
        <f>'مستخلص 18'!N11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18'!H12</f>
        <v/>
      </c>
      <c r="G12" s="72" t="n"/>
      <c r="H12" s="27">
        <f>F12+G12</f>
        <v/>
      </c>
      <c r="I12" s="107">
        <f>'مستخلص 18'!K12</f>
        <v/>
      </c>
      <c r="J12" s="68" t="n"/>
      <c r="K12" s="101">
        <f>IF(J12="",I12,J12)</f>
        <v/>
      </c>
      <c r="L12" s="74">
        <f>'مستخلص 18'!N12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18'!H13</f>
        <v/>
      </c>
      <c r="G13" s="72" t="n"/>
      <c r="H13" s="84">
        <f>F13+G13</f>
        <v/>
      </c>
      <c r="I13" s="109">
        <f>'مستخلص 18'!K13</f>
        <v/>
      </c>
      <c r="J13" s="68" t="n"/>
      <c r="K13" s="103">
        <f>IF(J13="",I13,J13)</f>
        <v/>
      </c>
      <c r="L13" s="108">
        <f>'مستخلص 18'!N13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18'!H14</f>
        <v/>
      </c>
      <c r="G14" s="72" t="n"/>
      <c r="H14" s="27">
        <f>F14+G14</f>
        <v/>
      </c>
      <c r="I14" s="107">
        <f>'مستخلص 18'!K14</f>
        <v/>
      </c>
      <c r="J14" s="68" t="n"/>
      <c r="K14" s="101">
        <f>IF(J14="",I14,J14)</f>
        <v/>
      </c>
      <c r="L14" s="74">
        <f>'مستخلص 18'!N14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18'!H15</f>
        <v/>
      </c>
      <c r="G15" s="72" t="n"/>
      <c r="H15" s="84">
        <f>F15+G15</f>
        <v/>
      </c>
      <c r="I15" s="109">
        <f>'مستخلص 18'!K15</f>
        <v/>
      </c>
      <c r="J15" s="68" t="n"/>
      <c r="K15" s="103">
        <f>IF(J15="",I15,J15)</f>
        <v/>
      </c>
      <c r="L15" s="108">
        <f>'مستخلص 18'!N15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18'!H16</f>
        <v/>
      </c>
      <c r="G16" s="72" t="n"/>
      <c r="H16" s="27">
        <f>F16+G16</f>
        <v/>
      </c>
      <c r="I16" s="107">
        <f>'مستخلص 18'!K16</f>
        <v/>
      </c>
      <c r="J16" s="68" t="n"/>
      <c r="K16" s="101">
        <f>IF(J16="",I16,J16)</f>
        <v/>
      </c>
      <c r="L16" s="74">
        <f>'مستخلص 18'!N16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18'!H17</f>
        <v/>
      </c>
      <c r="G17" s="72" t="n"/>
      <c r="H17" s="84">
        <f>F17+G17</f>
        <v/>
      </c>
      <c r="I17" s="109">
        <f>'مستخلص 18'!K17</f>
        <v/>
      </c>
      <c r="J17" s="68" t="n"/>
      <c r="K17" s="103">
        <f>IF(J17="",I17,J17)</f>
        <v/>
      </c>
      <c r="L17" s="108">
        <f>'مستخلص 18'!N17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18'!H18</f>
        <v/>
      </c>
      <c r="G18" s="72" t="n"/>
      <c r="H18" s="27">
        <f>F18+G18</f>
        <v/>
      </c>
      <c r="I18" s="107">
        <f>'مستخلص 18'!K18</f>
        <v/>
      </c>
      <c r="J18" s="68" t="n"/>
      <c r="K18" s="101">
        <f>IF(J18="",I18,J18)</f>
        <v/>
      </c>
      <c r="L18" s="74">
        <f>'مستخلص 18'!N18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18'!H19</f>
        <v/>
      </c>
      <c r="G19" s="72" t="n"/>
      <c r="H19" s="84">
        <f>F19+G19</f>
        <v/>
      </c>
      <c r="I19" s="109">
        <f>'مستخلص 18'!K19</f>
        <v/>
      </c>
      <c r="J19" s="68" t="n"/>
      <c r="K19" s="103">
        <f>IF(J19="",I19,J19)</f>
        <v/>
      </c>
      <c r="L19" s="108">
        <f>'مستخلص 18'!N19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18'!H20</f>
        <v/>
      </c>
      <c r="G20" s="72" t="n"/>
      <c r="H20" s="27">
        <f>F20+G20</f>
        <v/>
      </c>
      <c r="I20" s="107">
        <f>'مستخلص 18'!K20</f>
        <v/>
      </c>
      <c r="J20" s="68" t="n"/>
      <c r="K20" s="101">
        <f>IF(J20="",I20,J20)</f>
        <v/>
      </c>
      <c r="L20" s="74">
        <f>'مستخلص 18'!N20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18'!H21</f>
        <v/>
      </c>
      <c r="G21" s="72" t="n"/>
      <c r="H21" s="84">
        <f>F21+G21</f>
        <v/>
      </c>
      <c r="I21" s="109">
        <f>'مستخلص 18'!K21</f>
        <v/>
      </c>
      <c r="J21" s="68" t="n"/>
      <c r="K21" s="103">
        <f>IF(J21="",I21,J21)</f>
        <v/>
      </c>
      <c r="L21" s="108">
        <f>'مستخلص 18'!N21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18'!H22</f>
        <v/>
      </c>
      <c r="G22" s="72" t="n"/>
      <c r="H22" s="27">
        <f>F22+G22</f>
        <v/>
      </c>
      <c r="I22" s="107">
        <f>'مستخلص 18'!K22</f>
        <v/>
      </c>
      <c r="J22" s="68" t="n"/>
      <c r="K22" s="101">
        <f>IF(J22="",I22,J22)</f>
        <v/>
      </c>
      <c r="L22" s="74">
        <f>'مستخلص 18'!N22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18'!H23</f>
        <v/>
      </c>
      <c r="G23" s="72" t="n"/>
      <c r="H23" s="84">
        <f>F23+G23</f>
        <v/>
      </c>
      <c r="I23" s="109">
        <f>'مستخلص 18'!K23</f>
        <v/>
      </c>
      <c r="J23" s="68" t="n"/>
      <c r="K23" s="103">
        <f>IF(J23="",I23,J23)</f>
        <v/>
      </c>
      <c r="L23" s="108">
        <f>'مستخلص 18'!N23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18'!H24</f>
        <v/>
      </c>
      <c r="G24" s="72" t="n"/>
      <c r="H24" s="27">
        <f>F24+G24</f>
        <v/>
      </c>
      <c r="I24" s="107">
        <f>'مستخلص 18'!K24</f>
        <v/>
      </c>
      <c r="J24" s="68" t="n"/>
      <c r="K24" s="101">
        <f>IF(J24="",I24,J24)</f>
        <v/>
      </c>
      <c r="L24" s="74">
        <f>'مستخلص 18'!N24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18'!H25</f>
        <v/>
      </c>
      <c r="G25" s="72" t="n"/>
      <c r="H25" s="84">
        <f>F25+G25</f>
        <v/>
      </c>
      <c r="I25" s="109">
        <f>'مستخلص 18'!K25</f>
        <v/>
      </c>
      <c r="J25" s="68" t="n"/>
      <c r="K25" s="103">
        <f>IF(J25="",I25,J25)</f>
        <v/>
      </c>
      <c r="L25" s="108">
        <f>'مستخلص 18'!N25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18'!H26</f>
        <v/>
      </c>
      <c r="G26" s="72" t="n"/>
      <c r="H26" s="27">
        <f>F26+G26</f>
        <v/>
      </c>
      <c r="I26" s="107">
        <f>'مستخلص 18'!K26</f>
        <v/>
      </c>
      <c r="J26" s="68" t="n"/>
      <c r="K26" s="101">
        <f>IF(J26="",I26,J26)</f>
        <v/>
      </c>
      <c r="L26" s="74">
        <f>'مستخلص 18'!N26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18'!H27</f>
        <v/>
      </c>
      <c r="G27" s="72" t="n"/>
      <c r="H27" s="84">
        <f>F27+G27</f>
        <v/>
      </c>
      <c r="I27" s="109">
        <f>'مستخلص 18'!K27</f>
        <v/>
      </c>
      <c r="J27" s="68" t="n"/>
      <c r="K27" s="103">
        <f>IF(J27="",I27,J27)</f>
        <v/>
      </c>
      <c r="L27" s="108">
        <f>'مستخلص 18'!N27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18'!H28</f>
        <v/>
      </c>
      <c r="G28" s="72" t="n"/>
      <c r="H28" s="27">
        <f>F28+G28</f>
        <v/>
      </c>
      <c r="I28" s="107">
        <f>'مستخلص 18'!K28</f>
        <v/>
      </c>
      <c r="J28" s="68" t="n"/>
      <c r="K28" s="101">
        <f>IF(J28="",I28,J28)</f>
        <v/>
      </c>
      <c r="L28" s="74">
        <f>'مستخلص 18'!N28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18'!H29</f>
        <v/>
      </c>
      <c r="G29" s="72" t="n"/>
      <c r="H29" s="84">
        <f>F29+G29</f>
        <v/>
      </c>
      <c r="I29" s="109">
        <f>'مستخلص 18'!K29</f>
        <v/>
      </c>
      <c r="J29" s="68" t="n"/>
      <c r="K29" s="103">
        <f>IF(J29="",I29,J29)</f>
        <v/>
      </c>
      <c r="L29" s="108">
        <f>'مستخلص 18'!N29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18'!H30</f>
        <v/>
      </c>
      <c r="G30" s="72" t="n"/>
      <c r="H30" s="27">
        <f>F30+G30</f>
        <v/>
      </c>
      <c r="I30" s="107">
        <f>'مستخلص 18'!K30</f>
        <v/>
      </c>
      <c r="J30" s="68" t="n"/>
      <c r="K30" s="101">
        <f>IF(J30="",I30,J30)</f>
        <v/>
      </c>
      <c r="L30" s="74">
        <f>'مستخلص 18'!N30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18'!H31</f>
        <v/>
      </c>
      <c r="G31" s="72" t="n"/>
      <c r="H31" s="84">
        <f>F31+G31</f>
        <v/>
      </c>
      <c r="I31" s="109">
        <f>'مستخلص 18'!K31</f>
        <v/>
      </c>
      <c r="J31" s="68" t="n"/>
      <c r="K31" s="103">
        <f>IF(J31="",I31,J31)</f>
        <v/>
      </c>
      <c r="L31" s="108">
        <f>'مستخلص 18'!N31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18'!H32</f>
        <v/>
      </c>
      <c r="G32" s="72" t="n"/>
      <c r="H32" s="27">
        <f>F32+G32</f>
        <v/>
      </c>
      <c r="I32" s="107">
        <f>'مستخلص 18'!K32</f>
        <v/>
      </c>
      <c r="J32" s="68" t="n"/>
      <c r="K32" s="101">
        <f>IF(J32="",I32,J32)</f>
        <v/>
      </c>
      <c r="L32" s="74">
        <f>'مستخلص 18'!N32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18'!H33</f>
        <v/>
      </c>
      <c r="G33" s="72" t="n"/>
      <c r="H33" s="84">
        <f>F33+G33</f>
        <v/>
      </c>
      <c r="I33" s="109">
        <f>'مستخلص 18'!K33</f>
        <v/>
      </c>
      <c r="J33" s="68" t="n"/>
      <c r="K33" s="103">
        <f>IF(J33="",I33,J33)</f>
        <v/>
      </c>
      <c r="L33" s="108">
        <f>'مستخلص 18'!N33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18'!H34</f>
        <v/>
      </c>
      <c r="G34" s="72" t="n"/>
      <c r="H34" s="27">
        <f>F34+G34</f>
        <v/>
      </c>
      <c r="I34" s="107">
        <f>'مستخلص 18'!K34</f>
        <v/>
      </c>
      <c r="J34" s="68" t="n"/>
      <c r="K34" s="101">
        <f>IF(J34="",I34,J34)</f>
        <v/>
      </c>
      <c r="L34" s="74">
        <f>'مستخلص 18'!N34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18'!H35</f>
        <v/>
      </c>
      <c r="G35" s="72" t="n"/>
      <c r="H35" s="84">
        <f>F35+G35</f>
        <v/>
      </c>
      <c r="I35" s="109">
        <f>'مستخلص 18'!K35</f>
        <v/>
      </c>
      <c r="J35" s="68" t="n"/>
      <c r="K35" s="103">
        <f>IF(J35="",I35,J35)</f>
        <v/>
      </c>
      <c r="L35" s="108">
        <f>'مستخلص 18'!N35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18'!H36</f>
        <v/>
      </c>
      <c r="G36" s="72" t="n"/>
      <c r="H36" s="27">
        <f>F36+G36</f>
        <v/>
      </c>
      <c r="I36" s="107">
        <f>'مستخلص 18'!K36</f>
        <v/>
      </c>
      <c r="J36" s="68" t="n"/>
      <c r="K36" s="101">
        <f>IF(J36="",I36,J36)</f>
        <v/>
      </c>
      <c r="L36" s="74">
        <f>'مستخلص 18'!N36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18'!H37</f>
        <v/>
      </c>
      <c r="G37" s="72" t="n"/>
      <c r="H37" s="84">
        <f>F37+G37</f>
        <v/>
      </c>
      <c r="I37" s="109">
        <f>'مستخلص 18'!K37</f>
        <v/>
      </c>
      <c r="J37" s="68" t="n"/>
      <c r="K37" s="103">
        <f>IF(J37="",I37,J37)</f>
        <v/>
      </c>
      <c r="L37" s="108">
        <f>'مستخلص 18'!N37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18'!H38</f>
        <v/>
      </c>
      <c r="G38" s="72" t="n"/>
      <c r="H38" s="27">
        <f>F38+G38</f>
        <v/>
      </c>
      <c r="I38" s="107">
        <f>'مستخلص 18'!K38</f>
        <v/>
      </c>
      <c r="J38" s="68" t="n"/>
      <c r="K38" s="101">
        <f>IF(J38="",I38,J38)</f>
        <v/>
      </c>
      <c r="L38" s="74">
        <f>'مستخلص 18'!N38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18'!H39</f>
        <v/>
      </c>
      <c r="G39" s="72" t="n"/>
      <c r="H39" s="84">
        <f>F39+G39</f>
        <v/>
      </c>
      <c r="I39" s="109">
        <f>'مستخلص 18'!K39</f>
        <v/>
      </c>
      <c r="J39" s="68" t="n"/>
      <c r="K39" s="103">
        <f>IF(J39="",I39,J39)</f>
        <v/>
      </c>
      <c r="L39" s="108">
        <f>'مستخلص 18'!N39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18'!H40</f>
        <v/>
      </c>
      <c r="G40" s="72" t="n"/>
      <c r="H40" s="27">
        <f>F40+G40</f>
        <v/>
      </c>
      <c r="I40" s="107">
        <f>'مستخلص 18'!K40</f>
        <v/>
      </c>
      <c r="J40" s="68" t="n"/>
      <c r="K40" s="101">
        <f>IF(J40="",I40,J40)</f>
        <v/>
      </c>
      <c r="L40" s="74">
        <f>'مستخلص 18'!N40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18'!H41</f>
        <v/>
      </c>
      <c r="G41" s="72" t="n"/>
      <c r="H41" s="84">
        <f>F41+G41</f>
        <v/>
      </c>
      <c r="I41" s="109">
        <f>'مستخلص 18'!K41</f>
        <v/>
      </c>
      <c r="J41" s="68" t="n"/>
      <c r="K41" s="103">
        <f>IF(J41="",I41,J41)</f>
        <v/>
      </c>
      <c r="L41" s="108">
        <f>'مستخلص 18'!N41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18'!H42</f>
        <v/>
      </c>
      <c r="G42" s="72" t="n"/>
      <c r="H42" s="27">
        <f>F42+G42</f>
        <v/>
      </c>
      <c r="I42" s="107">
        <f>'مستخلص 18'!K42</f>
        <v/>
      </c>
      <c r="J42" s="68" t="n"/>
      <c r="K42" s="101">
        <f>IF(J42="",I42,J42)</f>
        <v/>
      </c>
      <c r="L42" s="74">
        <f>'مستخلص 18'!N42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18'!H43</f>
        <v/>
      </c>
      <c r="G43" s="72" t="n"/>
      <c r="H43" s="84">
        <f>F43+G43</f>
        <v/>
      </c>
      <c r="I43" s="109">
        <f>'مستخلص 18'!K43</f>
        <v/>
      </c>
      <c r="J43" s="68" t="n"/>
      <c r="K43" s="103">
        <f>IF(J43="",I43,J43)</f>
        <v/>
      </c>
      <c r="L43" s="108">
        <f>'مستخلص 18'!N43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18'!H44</f>
        <v/>
      </c>
      <c r="G44" s="72" t="n"/>
      <c r="H44" s="27">
        <f>F44+G44</f>
        <v/>
      </c>
      <c r="I44" s="107">
        <f>'مستخلص 18'!K44</f>
        <v/>
      </c>
      <c r="J44" s="68" t="n"/>
      <c r="K44" s="101">
        <f>IF(J44="",I44,J44)</f>
        <v/>
      </c>
      <c r="L44" s="74">
        <f>'مستخلص 18'!N44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18'!H45</f>
        <v/>
      </c>
      <c r="G45" s="72" t="n"/>
      <c r="H45" s="84">
        <f>F45+G45</f>
        <v/>
      </c>
      <c r="I45" s="109">
        <f>'مستخلص 18'!K45</f>
        <v/>
      </c>
      <c r="J45" s="68" t="n"/>
      <c r="K45" s="103">
        <f>IF(J45="",I45,J45)</f>
        <v/>
      </c>
      <c r="L45" s="108">
        <f>'مستخلص 18'!N45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18'!H46</f>
        <v/>
      </c>
      <c r="G46" s="72" t="n"/>
      <c r="H46" s="27">
        <f>F46+G46</f>
        <v/>
      </c>
      <c r="I46" s="107">
        <f>'مستخلص 18'!K46</f>
        <v/>
      </c>
      <c r="J46" s="68" t="n"/>
      <c r="K46" s="101">
        <f>IF(J46="",I46,J46)</f>
        <v/>
      </c>
      <c r="L46" s="74">
        <f>'مستخلص 18'!N46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18'!H47</f>
        <v/>
      </c>
      <c r="G47" s="72" t="n"/>
      <c r="H47" s="84">
        <f>F47+G47</f>
        <v/>
      </c>
      <c r="I47" s="109">
        <f>'مستخلص 18'!K47</f>
        <v/>
      </c>
      <c r="J47" s="68" t="n"/>
      <c r="K47" s="103">
        <f>IF(J47="",I47,J47)</f>
        <v/>
      </c>
      <c r="L47" s="108">
        <f>'مستخلص 18'!N47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18'!H48</f>
        <v/>
      </c>
      <c r="G48" s="72" t="n"/>
      <c r="H48" s="27">
        <f>F48+G48</f>
        <v/>
      </c>
      <c r="I48" s="107">
        <f>'مستخلص 18'!K48</f>
        <v/>
      </c>
      <c r="J48" s="68" t="n"/>
      <c r="K48" s="101">
        <f>IF(J48="",I48,J48)</f>
        <v/>
      </c>
      <c r="L48" s="74">
        <f>'مستخلص 18'!N48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18'!H49</f>
        <v/>
      </c>
      <c r="G49" s="72" t="n"/>
      <c r="H49" s="84">
        <f>F49+G49</f>
        <v/>
      </c>
      <c r="I49" s="109">
        <f>'مستخلص 18'!K49</f>
        <v/>
      </c>
      <c r="J49" s="68" t="n"/>
      <c r="K49" s="103">
        <f>IF(J49="",I49,J49)</f>
        <v/>
      </c>
      <c r="L49" s="108">
        <f>'مستخلص 18'!N49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18'!H50</f>
        <v/>
      </c>
      <c r="G50" s="72" t="n"/>
      <c r="H50" s="27">
        <f>F50+G50</f>
        <v/>
      </c>
      <c r="I50" s="107">
        <f>'مستخلص 18'!K50</f>
        <v/>
      </c>
      <c r="J50" s="68" t="n"/>
      <c r="K50" s="101">
        <f>IF(J50="",I50,J50)</f>
        <v/>
      </c>
      <c r="L50" s="74">
        <f>'مستخلص 18'!N50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18'!H51</f>
        <v/>
      </c>
      <c r="G51" s="72" t="n"/>
      <c r="H51" s="84">
        <f>F51+G51</f>
        <v/>
      </c>
      <c r="I51" s="109">
        <f>'مستخلص 18'!K51</f>
        <v/>
      </c>
      <c r="J51" s="68" t="n"/>
      <c r="K51" s="103">
        <f>IF(J51="",I51,J51)</f>
        <v/>
      </c>
      <c r="L51" s="108">
        <f>'مستخلص 18'!N51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18'!H52</f>
        <v/>
      </c>
      <c r="G52" s="72" t="n"/>
      <c r="H52" s="27">
        <f>F52+G52</f>
        <v/>
      </c>
      <c r="I52" s="107">
        <f>'مستخلص 18'!K52</f>
        <v/>
      </c>
      <c r="J52" s="68" t="n"/>
      <c r="K52" s="101">
        <f>IF(J52="",I52,J52)</f>
        <v/>
      </c>
      <c r="L52" s="74">
        <f>'مستخلص 18'!N52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18'!H53</f>
        <v/>
      </c>
      <c r="G53" s="72" t="n"/>
      <c r="H53" s="84">
        <f>F53+G53</f>
        <v/>
      </c>
      <c r="I53" s="109">
        <f>'مستخلص 18'!K53</f>
        <v/>
      </c>
      <c r="J53" s="68" t="n"/>
      <c r="K53" s="103">
        <f>IF(J53="",I53,J53)</f>
        <v/>
      </c>
      <c r="L53" s="108">
        <f>'مستخلص 18'!N53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18'!H54</f>
        <v/>
      </c>
      <c r="G54" s="72" t="n"/>
      <c r="H54" s="27">
        <f>F54+G54</f>
        <v/>
      </c>
      <c r="I54" s="107">
        <f>'مستخلص 18'!K54</f>
        <v/>
      </c>
      <c r="J54" s="68" t="n"/>
      <c r="K54" s="101">
        <f>IF(J54="",I54,J54)</f>
        <v/>
      </c>
      <c r="L54" s="74">
        <f>'مستخلص 18'!N54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18'!H55</f>
        <v/>
      </c>
      <c r="G55" s="72" t="n"/>
      <c r="H55" s="84">
        <f>F55+G55</f>
        <v/>
      </c>
      <c r="I55" s="109">
        <f>'مستخلص 18'!K55</f>
        <v/>
      </c>
      <c r="J55" s="68" t="n"/>
      <c r="K55" s="103">
        <f>IF(J55="",I55,J55)</f>
        <v/>
      </c>
      <c r="L55" s="108">
        <f>'مستخلص 18'!N55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18'!H56</f>
        <v/>
      </c>
      <c r="G56" s="72" t="n"/>
      <c r="H56" s="27">
        <f>F56+G56</f>
        <v/>
      </c>
      <c r="I56" s="107">
        <f>'مستخلص 18'!K56</f>
        <v/>
      </c>
      <c r="J56" s="68" t="n"/>
      <c r="K56" s="101">
        <f>IF(J56="",I56,J56)</f>
        <v/>
      </c>
      <c r="L56" s="74">
        <f>'مستخلص 18'!N56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18'!H57</f>
        <v/>
      </c>
      <c r="G57" s="72" t="n"/>
      <c r="H57" s="84">
        <f>F57+G57</f>
        <v/>
      </c>
      <c r="I57" s="109">
        <f>'مستخلص 18'!K57</f>
        <v/>
      </c>
      <c r="J57" s="68" t="n"/>
      <c r="K57" s="103">
        <f>IF(J57="",I57,J57)</f>
        <v/>
      </c>
      <c r="L57" s="108">
        <f>'مستخلص 18'!N57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18'!H58</f>
        <v/>
      </c>
      <c r="G58" s="72" t="n"/>
      <c r="H58" s="27">
        <f>F58+G58</f>
        <v/>
      </c>
      <c r="I58" s="107">
        <f>'مستخلص 18'!K58</f>
        <v/>
      </c>
      <c r="J58" s="68" t="n"/>
      <c r="K58" s="101">
        <f>IF(J58="",I58,J58)</f>
        <v/>
      </c>
      <c r="L58" s="74">
        <f>'مستخلص 18'!N58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18'!H59</f>
        <v/>
      </c>
      <c r="G59" s="72" t="n"/>
      <c r="H59" s="84">
        <f>F59+G59</f>
        <v/>
      </c>
      <c r="I59" s="109">
        <f>'مستخلص 18'!K59</f>
        <v/>
      </c>
      <c r="J59" s="68" t="n"/>
      <c r="K59" s="103">
        <f>IF(J59="",I59,J59)</f>
        <v/>
      </c>
      <c r="L59" s="108">
        <f>'مستخلص 18'!N59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18'!H60</f>
        <v/>
      </c>
      <c r="G60" s="72" t="n"/>
      <c r="H60" s="27">
        <f>F60+G60</f>
        <v/>
      </c>
      <c r="I60" s="107">
        <f>'مستخلص 18'!K60</f>
        <v/>
      </c>
      <c r="J60" s="68" t="n"/>
      <c r="K60" s="101">
        <f>IF(J60="",I60,J60)</f>
        <v/>
      </c>
      <c r="L60" s="74">
        <f>'مستخلص 18'!N60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18'!H61</f>
        <v/>
      </c>
      <c r="G61" s="72" t="n"/>
      <c r="H61" s="84">
        <f>F61+G61</f>
        <v/>
      </c>
      <c r="I61" s="109">
        <f>'مستخلص 18'!K61</f>
        <v/>
      </c>
      <c r="J61" s="68" t="n"/>
      <c r="K61" s="103">
        <f>IF(J61="",I61,J61)</f>
        <v/>
      </c>
      <c r="L61" s="108">
        <f>'مستخلص 18'!N61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18'!H62</f>
        <v/>
      </c>
      <c r="G62" s="72" t="n"/>
      <c r="H62" s="27">
        <f>F62+G62</f>
        <v/>
      </c>
      <c r="I62" s="107">
        <f>'مستخلص 18'!K62</f>
        <v/>
      </c>
      <c r="J62" s="68" t="n"/>
      <c r="K62" s="101">
        <f>IF(J62="",I62,J62)</f>
        <v/>
      </c>
      <c r="L62" s="74">
        <f>'مستخلص 18'!N62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18'!H63</f>
        <v/>
      </c>
      <c r="G63" s="72" t="n"/>
      <c r="H63" s="84">
        <f>F63+G63</f>
        <v/>
      </c>
      <c r="I63" s="109">
        <f>'مستخلص 18'!K63</f>
        <v/>
      </c>
      <c r="J63" s="68" t="n"/>
      <c r="K63" s="103">
        <f>IF(J63="",I63,J63)</f>
        <v/>
      </c>
      <c r="L63" s="108">
        <f>'مستخلص 18'!N63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18'!H64</f>
        <v/>
      </c>
      <c r="G64" s="72" t="n"/>
      <c r="H64" s="27">
        <f>F64+G64</f>
        <v/>
      </c>
      <c r="I64" s="107">
        <f>'مستخلص 18'!K64</f>
        <v/>
      </c>
      <c r="J64" s="68" t="n"/>
      <c r="K64" s="101">
        <f>IF(J64="",I64,J64)</f>
        <v/>
      </c>
      <c r="L64" s="74">
        <f>'مستخلص 18'!N64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18'!H65</f>
        <v/>
      </c>
      <c r="G65" s="72" t="n"/>
      <c r="H65" s="84">
        <f>F65+G65</f>
        <v/>
      </c>
      <c r="I65" s="109">
        <f>'مستخلص 18'!K65</f>
        <v/>
      </c>
      <c r="J65" s="68" t="n"/>
      <c r="K65" s="103">
        <f>IF(J65="",I65,J65)</f>
        <v/>
      </c>
      <c r="L65" s="108">
        <f>'مستخلص 18'!N65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18'!H66</f>
        <v/>
      </c>
      <c r="G66" s="72" t="n"/>
      <c r="H66" s="27">
        <f>F66+G66</f>
        <v/>
      </c>
      <c r="I66" s="107">
        <f>'مستخلص 18'!K66</f>
        <v/>
      </c>
      <c r="J66" s="68" t="n"/>
      <c r="K66" s="101">
        <f>IF(J66="",I66,J66)</f>
        <v/>
      </c>
      <c r="L66" s="74">
        <f>'مستخلص 18'!N66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18'!H67</f>
        <v/>
      </c>
      <c r="G67" s="72" t="n"/>
      <c r="H67" s="84">
        <f>F67+G67</f>
        <v/>
      </c>
      <c r="I67" s="109">
        <f>'مستخلص 18'!K67</f>
        <v/>
      </c>
      <c r="J67" s="68" t="n"/>
      <c r="K67" s="103">
        <f>IF(J67="",I67,J67)</f>
        <v/>
      </c>
      <c r="L67" s="108">
        <f>'مستخلص 18'!N67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18'!H68</f>
        <v/>
      </c>
      <c r="G68" s="72" t="n"/>
      <c r="H68" s="27">
        <f>F68+G68</f>
        <v/>
      </c>
      <c r="I68" s="107">
        <f>'مستخلص 18'!K68</f>
        <v/>
      </c>
      <c r="J68" s="68" t="n"/>
      <c r="K68" s="101">
        <f>IF(J68="",I68,J68)</f>
        <v/>
      </c>
      <c r="L68" s="74">
        <f>'مستخلص 18'!N68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18'!H69</f>
        <v/>
      </c>
      <c r="G69" s="72" t="n"/>
      <c r="H69" s="84">
        <f>F69+G69</f>
        <v/>
      </c>
      <c r="I69" s="109">
        <f>'مستخلص 18'!K69</f>
        <v/>
      </c>
      <c r="J69" s="68" t="n"/>
      <c r="K69" s="103">
        <f>IF(J69="",I69,J69)</f>
        <v/>
      </c>
      <c r="L69" s="108">
        <f>'مستخلص 18'!N69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18'!H70</f>
        <v/>
      </c>
      <c r="G70" s="72" t="n"/>
      <c r="H70" s="27">
        <f>F70+G70</f>
        <v/>
      </c>
      <c r="I70" s="107">
        <f>'مستخلص 18'!K70</f>
        <v/>
      </c>
      <c r="J70" s="68" t="n"/>
      <c r="K70" s="101">
        <f>IF(J70="",I70,J70)</f>
        <v/>
      </c>
      <c r="L70" s="74">
        <f>'مستخلص 18'!N70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18'!H71</f>
        <v/>
      </c>
      <c r="G71" s="72" t="n"/>
      <c r="H71" s="84">
        <f>F71+G71</f>
        <v/>
      </c>
      <c r="I71" s="109">
        <f>'مستخلص 18'!K71</f>
        <v/>
      </c>
      <c r="J71" s="68" t="n"/>
      <c r="K71" s="103">
        <f>IF(J71="",I71,J71)</f>
        <v/>
      </c>
      <c r="L71" s="108">
        <f>'مستخلص 18'!N71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18'!H72</f>
        <v/>
      </c>
      <c r="G72" s="72" t="n"/>
      <c r="H72" s="27">
        <f>F72+G72</f>
        <v/>
      </c>
      <c r="I72" s="107">
        <f>'مستخلص 18'!K72</f>
        <v/>
      </c>
      <c r="J72" s="68" t="n"/>
      <c r="K72" s="101">
        <f>IF(J72="",I72,J72)</f>
        <v/>
      </c>
      <c r="L72" s="74">
        <f>'مستخلص 18'!N72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18'!H73</f>
        <v/>
      </c>
      <c r="G73" s="72" t="n"/>
      <c r="H73" s="84">
        <f>F73+G73</f>
        <v/>
      </c>
      <c r="I73" s="109">
        <f>'مستخلص 18'!K73</f>
        <v/>
      </c>
      <c r="J73" s="68" t="n"/>
      <c r="K73" s="103">
        <f>IF(J73="",I73,J73)</f>
        <v/>
      </c>
      <c r="L73" s="108">
        <f>'مستخلص 18'!N73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18'!H74</f>
        <v/>
      </c>
      <c r="G74" s="72" t="n"/>
      <c r="H74" s="27">
        <f>F74+G74</f>
        <v/>
      </c>
      <c r="I74" s="107">
        <f>'مستخلص 18'!K74</f>
        <v/>
      </c>
      <c r="J74" s="68" t="n"/>
      <c r="K74" s="101">
        <f>IF(J74="",I74,J74)</f>
        <v/>
      </c>
      <c r="L74" s="74">
        <f>'مستخلص 18'!N74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18'!H75</f>
        <v/>
      </c>
      <c r="G75" s="72" t="n"/>
      <c r="H75" s="84">
        <f>F75+G75</f>
        <v/>
      </c>
      <c r="I75" s="109">
        <f>'مستخلص 18'!K75</f>
        <v/>
      </c>
      <c r="J75" s="68" t="n"/>
      <c r="K75" s="103">
        <f>IF(J75="",I75,J75)</f>
        <v/>
      </c>
      <c r="L75" s="108">
        <f>'مستخلص 18'!N75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18'!H76</f>
        <v/>
      </c>
      <c r="G76" s="72" t="n"/>
      <c r="H76" s="27">
        <f>F76+G76</f>
        <v/>
      </c>
      <c r="I76" s="107">
        <f>'مستخلص 18'!K76</f>
        <v/>
      </c>
      <c r="J76" s="68" t="n"/>
      <c r="K76" s="101">
        <f>IF(J76="",I76,J76)</f>
        <v/>
      </c>
      <c r="L76" s="74">
        <f>'مستخلص 18'!N76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18'!H77</f>
        <v/>
      </c>
      <c r="G77" s="72" t="n"/>
      <c r="H77" s="84">
        <f>F77+G77</f>
        <v/>
      </c>
      <c r="I77" s="109">
        <f>'مستخلص 18'!K77</f>
        <v/>
      </c>
      <c r="J77" s="68" t="n"/>
      <c r="K77" s="103">
        <f>IF(J77="",I77,J77)</f>
        <v/>
      </c>
      <c r="L77" s="108">
        <f>'مستخلص 18'!N77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18'!H78</f>
        <v/>
      </c>
      <c r="G78" s="72" t="n"/>
      <c r="H78" s="27">
        <f>F78+G78</f>
        <v/>
      </c>
      <c r="I78" s="107">
        <f>'مستخلص 18'!K78</f>
        <v/>
      </c>
      <c r="J78" s="68" t="n"/>
      <c r="K78" s="101">
        <f>IF(J78="",I78,J78)</f>
        <v/>
      </c>
      <c r="L78" s="74">
        <f>'مستخلص 18'!N78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18'!H79</f>
        <v/>
      </c>
      <c r="G79" s="72" t="n"/>
      <c r="H79" s="84">
        <f>F79+G79</f>
        <v/>
      </c>
      <c r="I79" s="109">
        <f>'مستخلص 18'!K79</f>
        <v/>
      </c>
      <c r="J79" s="68" t="n"/>
      <c r="K79" s="103">
        <f>IF(J79="",I79,J79)</f>
        <v/>
      </c>
      <c r="L79" s="108">
        <f>'مستخلص 18'!N79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18'!H80</f>
        <v/>
      </c>
      <c r="G80" s="72" t="n"/>
      <c r="H80" s="27">
        <f>F80+G80</f>
        <v/>
      </c>
      <c r="I80" s="107">
        <f>'مستخلص 18'!K80</f>
        <v/>
      </c>
      <c r="J80" s="68" t="n"/>
      <c r="K80" s="101">
        <f>IF(J80="",I80,J80)</f>
        <v/>
      </c>
      <c r="L80" s="74">
        <f>'مستخلص 18'!N80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18'!H81</f>
        <v/>
      </c>
      <c r="G81" s="72" t="n"/>
      <c r="H81" s="84">
        <f>F81+G81</f>
        <v/>
      </c>
      <c r="I81" s="109">
        <f>'مستخلص 18'!K81</f>
        <v/>
      </c>
      <c r="J81" s="68" t="n"/>
      <c r="K81" s="103">
        <f>IF(J81="",I81,J81)</f>
        <v/>
      </c>
      <c r="L81" s="108">
        <f>'مستخلص 18'!N81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18'!H82</f>
        <v/>
      </c>
      <c r="G82" s="72" t="n"/>
      <c r="H82" s="27">
        <f>F82+G82</f>
        <v/>
      </c>
      <c r="I82" s="107">
        <f>'مستخلص 18'!K82</f>
        <v/>
      </c>
      <c r="J82" s="68" t="n"/>
      <c r="K82" s="101">
        <f>IF(J82="",I82,J82)</f>
        <v/>
      </c>
      <c r="L82" s="74">
        <f>'مستخلص 18'!N82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18'!H83</f>
        <v/>
      </c>
      <c r="G83" s="72" t="n"/>
      <c r="H83" s="84">
        <f>F83+G83</f>
        <v/>
      </c>
      <c r="I83" s="109">
        <f>'مستخلص 18'!K83</f>
        <v/>
      </c>
      <c r="J83" s="68" t="n"/>
      <c r="K83" s="103">
        <f>IF(J83="",I83,J83)</f>
        <v/>
      </c>
      <c r="L83" s="108">
        <f>'مستخلص 18'!N83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18'!H84</f>
        <v/>
      </c>
      <c r="G84" s="72" t="n"/>
      <c r="H84" s="27">
        <f>F84+G84</f>
        <v/>
      </c>
      <c r="I84" s="107">
        <f>'مستخلص 18'!K84</f>
        <v/>
      </c>
      <c r="J84" s="68" t="n"/>
      <c r="K84" s="101">
        <f>IF(J84="",I84,J84)</f>
        <v/>
      </c>
      <c r="L84" s="74">
        <f>'مستخلص 18'!N84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18'!H85</f>
        <v/>
      </c>
      <c r="G85" s="72" t="n"/>
      <c r="H85" s="84">
        <f>F85+G85</f>
        <v/>
      </c>
      <c r="I85" s="109">
        <f>'مستخلص 18'!K85</f>
        <v/>
      </c>
      <c r="J85" s="68" t="n"/>
      <c r="K85" s="103">
        <f>IF(J85="",I85,J85)</f>
        <v/>
      </c>
      <c r="L85" s="108">
        <f>'مستخلص 18'!N85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18'!H86</f>
        <v/>
      </c>
      <c r="G86" s="72" t="n"/>
      <c r="H86" s="27">
        <f>F86+G86</f>
        <v/>
      </c>
      <c r="I86" s="107">
        <f>'مستخلص 18'!K86</f>
        <v/>
      </c>
      <c r="J86" s="68" t="n"/>
      <c r="K86" s="101">
        <f>IF(J86="",I86,J86)</f>
        <v/>
      </c>
      <c r="L86" s="74">
        <f>'مستخلص 18'!N86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18'!H87</f>
        <v/>
      </c>
      <c r="G87" s="72" t="n"/>
      <c r="H87" s="84">
        <f>F87+G87</f>
        <v/>
      </c>
      <c r="I87" s="109">
        <f>'مستخلص 18'!K87</f>
        <v/>
      </c>
      <c r="J87" s="68" t="n"/>
      <c r="K87" s="103">
        <f>IF(J87="",I87,J87)</f>
        <v/>
      </c>
      <c r="L87" s="108">
        <f>'مستخلص 18'!N87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18'!H88</f>
        <v/>
      </c>
      <c r="G88" s="72" t="n"/>
      <c r="H88" s="27">
        <f>F88+G88</f>
        <v/>
      </c>
      <c r="I88" s="107">
        <f>'مستخلص 18'!K88</f>
        <v/>
      </c>
      <c r="J88" s="68" t="n"/>
      <c r="K88" s="101">
        <f>IF(J88="",I88,J88)</f>
        <v/>
      </c>
      <c r="L88" s="74">
        <f>'مستخلص 18'!N88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18'!H89</f>
        <v/>
      </c>
      <c r="G89" s="72" t="n"/>
      <c r="H89" s="84">
        <f>F89+G89</f>
        <v/>
      </c>
      <c r="I89" s="109">
        <f>'مستخلص 18'!K89</f>
        <v/>
      </c>
      <c r="J89" s="68" t="n"/>
      <c r="K89" s="103">
        <f>IF(J89="",I89,J89)</f>
        <v/>
      </c>
      <c r="L89" s="108">
        <f>'مستخلص 18'!N89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18'!H90</f>
        <v/>
      </c>
      <c r="G90" s="72" t="n"/>
      <c r="H90" s="27">
        <f>F90+G90</f>
        <v/>
      </c>
      <c r="I90" s="107">
        <f>'مستخلص 18'!K90</f>
        <v/>
      </c>
      <c r="J90" s="68" t="n"/>
      <c r="K90" s="101">
        <f>IF(J90="",I90,J90)</f>
        <v/>
      </c>
      <c r="L90" s="74">
        <f>'مستخلص 18'!N90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18'!H91</f>
        <v/>
      </c>
      <c r="G91" s="72" t="n"/>
      <c r="H91" s="84">
        <f>F91+G91</f>
        <v/>
      </c>
      <c r="I91" s="109">
        <f>'مستخلص 18'!K91</f>
        <v/>
      </c>
      <c r="J91" s="68" t="n"/>
      <c r="K91" s="103">
        <f>IF(J91="",I91,J91)</f>
        <v/>
      </c>
      <c r="L91" s="108">
        <f>'مستخلص 18'!N91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18'!H92</f>
        <v/>
      </c>
      <c r="G92" s="72" t="n"/>
      <c r="H92" s="27">
        <f>F92+G92</f>
        <v/>
      </c>
      <c r="I92" s="107">
        <f>'مستخلص 18'!K92</f>
        <v/>
      </c>
      <c r="J92" s="68" t="n"/>
      <c r="K92" s="101">
        <f>IF(J92="",I92,J92)</f>
        <v/>
      </c>
      <c r="L92" s="74">
        <f>'مستخلص 18'!N92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18'!H93</f>
        <v/>
      </c>
      <c r="G93" s="72" t="n"/>
      <c r="H93" s="84">
        <f>F93+G93</f>
        <v/>
      </c>
      <c r="I93" s="109">
        <f>'مستخلص 18'!K93</f>
        <v/>
      </c>
      <c r="J93" s="68" t="n"/>
      <c r="K93" s="103">
        <f>IF(J93="",I93,J93)</f>
        <v/>
      </c>
      <c r="L93" s="108">
        <f>'مستخلص 18'!N93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18'!H94</f>
        <v/>
      </c>
      <c r="G94" s="72" t="n"/>
      <c r="H94" s="27">
        <f>F94+G94</f>
        <v/>
      </c>
      <c r="I94" s="107">
        <f>'مستخلص 18'!K94</f>
        <v/>
      </c>
      <c r="J94" s="68" t="n"/>
      <c r="K94" s="101">
        <f>IF(J94="",I94,J94)</f>
        <v/>
      </c>
      <c r="L94" s="74">
        <f>'مستخلص 18'!N94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18'!H95</f>
        <v/>
      </c>
      <c r="G95" s="72" t="n"/>
      <c r="H95" s="84">
        <f>F95+G95</f>
        <v/>
      </c>
      <c r="I95" s="109">
        <f>'مستخلص 18'!K95</f>
        <v/>
      </c>
      <c r="J95" s="68" t="n"/>
      <c r="K95" s="103">
        <f>IF(J95="",I95,J95)</f>
        <v/>
      </c>
      <c r="L95" s="108">
        <f>'مستخلص 18'!N95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18'!H96</f>
        <v/>
      </c>
      <c r="G96" s="72" t="n"/>
      <c r="H96" s="27">
        <f>F96+G96</f>
        <v/>
      </c>
      <c r="I96" s="107">
        <f>'مستخلص 18'!K96</f>
        <v/>
      </c>
      <c r="J96" s="68" t="n"/>
      <c r="K96" s="101">
        <f>IF(J96="",I96,J96)</f>
        <v/>
      </c>
      <c r="L96" s="74">
        <f>'مستخلص 18'!N96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18'!H97</f>
        <v/>
      </c>
      <c r="G97" s="72" t="n"/>
      <c r="H97" s="84">
        <f>F97+G97</f>
        <v/>
      </c>
      <c r="I97" s="109">
        <f>'مستخلص 18'!K97</f>
        <v/>
      </c>
      <c r="J97" s="68" t="n"/>
      <c r="K97" s="103">
        <f>IF(J97="",I97,J97)</f>
        <v/>
      </c>
      <c r="L97" s="108">
        <f>'مستخلص 18'!N97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18'!H98</f>
        <v/>
      </c>
      <c r="G98" s="72" t="n"/>
      <c r="H98" s="27">
        <f>F98+G98</f>
        <v/>
      </c>
      <c r="I98" s="107">
        <f>'مستخلص 18'!K98</f>
        <v/>
      </c>
      <c r="J98" s="68" t="n"/>
      <c r="K98" s="101">
        <f>IF(J98="",I98,J98)</f>
        <v/>
      </c>
      <c r="L98" s="74">
        <f>'مستخلص 18'!N98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18'!H99</f>
        <v/>
      </c>
      <c r="G99" s="72" t="n"/>
      <c r="H99" s="84">
        <f>F99+G99</f>
        <v/>
      </c>
      <c r="I99" s="109">
        <f>'مستخلص 18'!K99</f>
        <v/>
      </c>
      <c r="J99" s="68" t="n"/>
      <c r="K99" s="103">
        <f>IF(J99="",I99,J99)</f>
        <v/>
      </c>
      <c r="L99" s="108">
        <f>'مستخلص 18'!N99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18'!H100</f>
        <v/>
      </c>
      <c r="G100" s="72" t="n"/>
      <c r="H100" s="27">
        <f>F100+G100</f>
        <v/>
      </c>
      <c r="I100" s="107">
        <f>'مستخلص 18'!K100</f>
        <v/>
      </c>
      <c r="J100" s="68" t="n"/>
      <c r="K100" s="101">
        <f>IF(J100="",I100,J100)</f>
        <v/>
      </c>
      <c r="L100" s="74">
        <f>'مستخلص 18'!N100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18'!H101</f>
        <v/>
      </c>
      <c r="G101" s="72" t="n"/>
      <c r="H101" s="84">
        <f>F101+G101</f>
        <v/>
      </c>
      <c r="I101" s="109">
        <f>'مستخلص 18'!K101</f>
        <v/>
      </c>
      <c r="J101" s="68" t="n"/>
      <c r="K101" s="103">
        <f>IF(J101="",I101,J101)</f>
        <v/>
      </c>
      <c r="L101" s="108">
        <f>'مستخلص 18'!N101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18'!H102</f>
        <v/>
      </c>
      <c r="G102" s="72" t="n"/>
      <c r="H102" s="27">
        <f>F102+G102</f>
        <v/>
      </c>
      <c r="I102" s="107">
        <f>'مستخلص 18'!K102</f>
        <v/>
      </c>
      <c r="J102" s="68" t="n"/>
      <c r="K102" s="101">
        <f>IF(J102="",I102,J102)</f>
        <v/>
      </c>
      <c r="L102" s="74">
        <f>'مستخلص 18'!N102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18'!H103</f>
        <v/>
      </c>
      <c r="G103" s="72" t="n"/>
      <c r="H103" s="84">
        <f>F103+G103</f>
        <v/>
      </c>
      <c r="I103" s="109">
        <f>'مستخلص 18'!K103</f>
        <v/>
      </c>
      <c r="J103" s="68" t="n"/>
      <c r="K103" s="103">
        <f>IF(J103="",I103,J103)</f>
        <v/>
      </c>
      <c r="L103" s="108">
        <f>'مستخلص 18'!N103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18'!H104</f>
        <v/>
      </c>
      <c r="G104" s="72" t="n"/>
      <c r="H104" s="27">
        <f>F104+G104</f>
        <v/>
      </c>
      <c r="I104" s="107">
        <f>'مستخلص 18'!K104</f>
        <v/>
      </c>
      <c r="J104" s="68" t="n"/>
      <c r="K104" s="101">
        <f>IF(J104="",I104,J104)</f>
        <v/>
      </c>
      <c r="L104" s="74">
        <f>'مستخلص 18'!N104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18'!H105</f>
        <v/>
      </c>
      <c r="G105" s="72" t="n"/>
      <c r="H105" s="84">
        <f>F105+G105</f>
        <v/>
      </c>
      <c r="I105" s="109">
        <f>'مستخلص 18'!K105</f>
        <v/>
      </c>
      <c r="J105" s="68" t="n"/>
      <c r="K105" s="103">
        <f>IF(J105="",I105,J105)</f>
        <v/>
      </c>
      <c r="L105" s="108">
        <f>'مستخلص 18'!N105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18'!H106</f>
        <v/>
      </c>
      <c r="G106" s="72" t="n"/>
      <c r="H106" s="27">
        <f>F106+G106</f>
        <v/>
      </c>
      <c r="I106" s="107">
        <f>'مستخلص 18'!K106</f>
        <v/>
      </c>
      <c r="J106" s="68" t="n"/>
      <c r="K106" s="101">
        <f>IF(J106="",I106,J106)</f>
        <v/>
      </c>
      <c r="L106" s="74">
        <f>'مستخلص 18'!N106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18'!H107</f>
        <v/>
      </c>
      <c r="G107" s="72" t="n"/>
      <c r="H107" s="84">
        <f>F107+G107</f>
        <v/>
      </c>
      <c r="I107" s="109">
        <f>'مستخلص 18'!K107</f>
        <v/>
      </c>
      <c r="J107" s="68" t="n"/>
      <c r="K107" s="103">
        <f>IF(J107="",I107,J107)</f>
        <v/>
      </c>
      <c r="L107" s="108">
        <f>'مستخلص 18'!N107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18'!N111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18'!N112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18'!N113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18'!N114</f>
        <v/>
      </c>
      <c r="M114" s="27">
        <f>'الدفعات المقدمة'!I43</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18'!N115</f>
        <v/>
      </c>
      <c r="M115" s="27">
        <f>'ضمان الأعمال'!I34</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18'!N116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18'!N117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18'!N118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8'!A1" display="◀ المستخلص السابق (18)"/>
    <hyperlink ref="N3" location="'مستخلص 20'!A1" display="المستخلص التالي (20)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( 20 )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(19)</t>
        </is>
      </c>
      <c r="M3" s="4" t="n"/>
      <c r="N3" s="4" t="inlineStr">
        <is>
          <t>المستخلص التالي (21) ▶</t>
        </is>
      </c>
      <c r="O3" s="4" t="n"/>
      <c r="P3" s="4" t="n"/>
    </row>
    <row r="4" ht="24" customHeight="1">
      <c r="A4" s="96" t="inlineStr">
        <is>
          <t>رقم</t>
        </is>
      </c>
      <c r="B4" s="97" t="n">
        <v>20</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19'!H8</f>
        <v/>
      </c>
      <c r="G8" s="72" t="n"/>
      <c r="H8" s="27">
        <f>F8+G8</f>
        <v/>
      </c>
      <c r="I8" s="107">
        <f>'مستخلص 19'!K8</f>
        <v/>
      </c>
      <c r="J8" s="68" t="n"/>
      <c r="K8" s="101">
        <f>IF(J8="",I8,J8)</f>
        <v/>
      </c>
      <c r="L8" s="74">
        <f>'مستخلص 19'!N8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19'!H9</f>
        <v/>
      </c>
      <c r="G9" s="72" t="n"/>
      <c r="H9" s="84">
        <f>F9+G9</f>
        <v/>
      </c>
      <c r="I9" s="109">
        <f>'مستخلص 19'!K9</f>
        <v/>
      </c>
      <c r="J9" s="68" t="n"/>
      <c r="K9" s="103">
        <f>IF(J9="",I9,J9)</f>
        <v/>
      </c>
      <c r="L9" s="108">
        <f>'مستخلص 19'!N9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19'!H10</f>
        <v/>
      </c>
      <c r="G10" s="72" t="n"/>
      <c r="H10" s="27">
        <f>F10+G10</f>
        <v/>
      </c>
      <c r="I10" s="107">
        <f>'مستخلص 19'!K10</f>
        <v/>
      </c>
      <c r="J10" s="68" t="n"/>
      <c r="K10" s="101">
        <f>IF(J10="",I10,J10)</f>
        <v/>
      </c>
      <c r="L10" s="74">
        <f>'مستخلص 19'!N10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19'!H11</f>
        <v/>
      </c>
      <c r="G11" s="72" t="n"/>
      <c r="H11" s="84">
        <f>F11+G11</f>
        <v/>
      </c>
      <c r="I11" s="109">
        <f>'مستخلص 19'!K11</f>
        <v/>
      </c>
      <c r="J11" s="68" t="n"/>
      <c r="K11" s="103">
        <f>IF(J11="",I11,J11)</f>
        <v/>
      </c>
      <c r="L11" s="108">
        <f>'مستخلص 19'!N11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19'!H12</f>
        <v/>
      </c>
      <c r="G12" s="72" t="n"/>
      <c r="H12" s="27">
        <f>F12+G12</f>
        <v/>
      </c>
      <c r="I12" s="107">
        <f>'مستخلص 19'!K12</f>
        <v/>
      </c>
      <c r="J12" s="68" t="n"/>
      <c r="K12" s="101">
        <f>IF(J12="",I12,J12)</f>
        <v/>
      </c>
      <c r="L12" s="74">
        <f>'مستخلص 19'!N12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19'!H13</f>
        <v/>
      </c>
      <c r="G13" s="72" t="n"/>
      <c r="H13" s="84">
        <f>F13+G13</f>
        <v/>
      </c>
      <c r="I13" s="109">
        <f>'مستخلص 19'!K13</f>
        <v/>
      </c>
      <c r="J13" s="68" t="n"/>
      <c r="K13" s="103">
        <f>IF(J13="",I13,J13)</f>
        <v/>
      </c>
      <c r="L13" s="108">
        <f>'مستخلص 19'!N13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19'!H14</f>
        <v/>
      </c>
      <c r="G14" s="72" t="n"/>
      <c r="H14" s="27">
        <f>F14+G14</f>
        <v/>
      </c>
      <c r="I14" s="107">
        <f>'مستخلص 19'!K14</f>
        <v/>
      </c>
      <c r="J14" s="68" t="n"/>
      <c r="K14" s="101">
        <f>IF(J14="",I14,J14)</f>
        <v/>
      </c>
      <c r="L14" s="74">
        <f>'مستخلص 19'!N14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19'!H15</f>
        <v/>
      </c>
      <c r="G15" s="72" t="n"/>
      <c r="H15" s="84">
        <f>F15+G15</f>
        <v/>
      </c>
      <c r="I15" s="109">
        <f>'مستخلص 19'!K15</f>
        <v/>
      </c>
      <c r="J15" s="68" t="n"/>
      <c r="K15" s="103">
        <f>IF(J15="",I15,J15)</f>
        <v/>
      </c>
      <c r="L15" s="108">
        <f>'مستخلص 19'!N15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19'!H16</f>
        <v/>
      </c>
      <c r="G16" s="72" t="n"/>
      <c r="H16" s="27">
        <f>F16+G16</f>
        <v/>
      </c>
      <c r="I16" s="107">
        <f>'مستخلص 19'!K16</f>
        <v/>
      </c>
      <c r="J16" s="68" t="n"/>
      <c r="K16" s="101">
        <f>IF(J16="",I16,J16)</f>
        <v/>
      </c>
      <c r="L16" s="74">
        <f>'مستخلص 19'!N16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19'!H17</f>
        <v/>
      </c>
      <c r="G17" s="72" t="n"/>
      <c r="H17" s="84">
        <f>F17+G17</f>
        <v/>
      </c>
      <c r="I17" s="109">
        <f>'مستخلص 19'!K17</f>
        <v/>
      </c>
      <c r="J17" s="68" t="n"/>
      <c r="K17" s="103">
        <f>IF(J17="",I17,J17)</f>
        <v/>
      </c>
      <c r="L17" s="108">
        <f>'مستخلص 19'!N17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19'!H18</f>
        <v/>
      </c>
      <c r="G18" s="72" t="n"/>
      <c r="H18" s="27">
        <f>F18+G18</f>
        <v/>
      </c>
      <c r="I18" s="107">
        <f>'مستخلص 19'!K18</f>
        <v/>
      </c>
      <c r="J18" s="68" t="n"/>
      <c r="K18" s="101">
        <f>IF(J18="",I18,J18)</f>
        <v/>
      </c>
      <c r="L18" s="74">
        <f>'مستخلص 19'!N18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19'!H19</f>
        <v/>
      </c>
      <c r="G19" s="72" t="n"/>
      <c r="H19" s="84">
        <f>F19+G19</f>
        <v/>
      </c>
      <c r="I19" s="109">
        <f>'مستخلص 19'!K19</f>
        <v/>
      </c>
      <c r="J19" s="68" t="n"/>
      <c r="K19" s="103">
        <f>IF(J19="",I19,J19)</f>
        <v/>
      </c>
      <c r="L19" s="108">
        <f>'مستخلص 19'!N19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19'!H20</f>
        <v/>
      </c>
      <c r="G20" s="72" t="n"/>
      <c r="H20" s="27">
        <f>F20+G20</f>
        <v/>
      </c>
      <c r="I20" s="107">
        <f>'مستخلص 19'!K20</f>
        <v/>
      </c>
      <c r="J20" s="68" t="n"/>
      <c r="K20" s="101">
        <f>IF(J20="",I20,J20)</f>
        <v/>
      </c>
      <c r="L20" s="74">
        <f>'مستخلص 19'!N20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19'!H21</f>
        <v/>
      </c>
      <c r="G21" s="72" t="n"/>
      <c r="H21" s="84">
        <f>F21+G21</f>
        <v/>
      </c>
      <c r="I21" s="109">
        <f>'مستخلص 19'!K21</f>
        <v/>
      </c>
      <c r="J21" s="68" t="n"/>
      <c r="K21" s="103">
        <f>IF(J21="",I21,J21)</f>
        <v/>
      </c>
      <c r="L21" s="108">
        <f>'مستخلص 19'!N21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19'!H22</f>
        <v/>
      </c>
      <c r="G22" s="72" t="n"/>
      <c r="H22" s="27">
        <f>F22+G22</f>
        <v/>
      </c>
      <c r="I22" s="107">
        <f>'مستخلص 19'!K22</f>
        <v/>
      </c>
      <c r="J22" s="68" t="n"/>
      <c r="K22" s="101">
        <f>IF(J22="",I22,J22)</f>
        <v/>
      </c>
      <c r="L22" s="74">
        <f>'مستخلص 19'!N22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19'!H23</f>
        <v/>
      </c>
      <c r="G23" s="72" t="n"/>
      <c r="H23" s="84">
        <f>F23+G23</f>
        <v/>
      </c>
      <c r="I23" s="109">
        <f>'مستخلص 19'!K23</f>
        <v/>
      </c>
      <c r="J23" s="68" t="n"/>
      <c r="K23" s="103">
        <f>IF(J23="",I23,J23)</f>
        <v/>
      </c>
      <c r="L23" s="108">
        <f>'مستخلص 19'!N23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19'!H24</f>
        <v/>
      </c>
      <c r="G24" s="72" t="n"/>
      <c r="H24" s="27">
        <f>F24+G24</f>
        <v/>
      </c>
      <c r="I24" s="107">
        <f>'مستخلص 19'!K24</f>
        <v/>
      </c>
      <c r="J24" s="68" t="n"/>
      <c r="K24" s="101">
        <f>IF(J24="",I24,J24)</f>
        <v/>
      </c>
      <c r="L24" s="74">
        <f>'مستخلص 19'!N24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19'!H25</f>
        <v/>
      </c>
      <c r="G25" s="72" t="n"/>
      <c r="H25" s="84">
        <f>F25+G25</f>
        <v/>
      </c>
      <c r="I25" s="109">
        <f>'مستخلص 19'!K25</f>
        <v/>
      </c>
      <c r="J25" s="68" t="n"/>
      <c r="K25" s="103">
        <f>IF(J25="",I25,J25)</f>
        <v/>
      </c>
      <c r="L25" s="108">
        <f>'مستخلص 19'!N25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19'!H26</f>
        <v/>
      </c>
      <c r="G26" s="72" t="n"/>
      <c r="H26" s="27">
        <f>F26+G26</f>
        <v/>
      </c>
      <c r="I26" s="107">
        <f>'مستخلص 19'!K26</f>
        <v/>
      </c>
      <c r="J26" s="68" t="n"/>
      <c r="K26" s="101">
        <f>IF(J26="",I26,J26)</f>
        <v/>
      </c>
      <c r="L26" s="74">
        <f>'مستخلص 19'!N26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19'!H27</f>
        <v/>
      </c>
      <c r="G27" s="72" t="n"/>
      <c r="H27" s="84">
        <f>F27+G27</f>
        <v/>
      </c>
      <c r="I27" s="109">
        <f>'مستخلص 19'!K27</f>
        <v/>
      </c>
      <c r="J27" s="68" t="n"/>
      <c r="K27" s="103">
        <f>IF(J27="",I27,J27)</f>
        <v/>
      </c>
      <c r="L27" s="108">
        <f>'مستخلص 19'!N27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19'!H28</f>
        <v/>
      </c>
      <c r="G28" s="72" t="n"/>
      <c r="H28" s="27">
        <f>F28+G28</f>
        <v/>
      </c>
      <c r="I28" s="107">
        <f>'مستخلص 19'!K28</f>
        <v/>
      </c>
      <c r="J28" s="68" t="n"/>
      <c r="K28" s="101">
        <f>IF(J28="",I28,J28)</f>
        <v/>
      </c>
      <c r="L28" s="74">
        <f>'مستخلص 19'!N28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19'!H29</f>
        <v/>
      </c>
      <c r="G29" s="72" t="n"/>
      <c r="H29" s="84">
        <f>F29+G29</f>
        <v/>
      </c>
      <c r="I29" s="109">
        <f>'مستخلص 19'!K29</f>
        <v/>
      </c>
      <c r="J29" s="68" t="n"/>
      <c r="K29" s="103">
        <f>IF(J29="",I29,J29)</f>
        <v/>
      </c>
      <c r="L29" s="108">
        <f>'مستخلص 19'!N29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19'!H30</f>
        <v/>
      </c>
      <c r="G30" s="72" t="n"/>
      <c r="H30" s="27">
        <f>F30+G30</f>
        <v/>
      </c>
      <c r="I30" s="107">
        <f>'مستخلص 19'!K30</f>
        <v/>
      </c>
      <c r="J30" s="68" t="n"/>
      <c r="K30" s="101">
        <f>IF(J30="",I30,J30)</f>
        <v/>
      </c>
      <c r="L30" s="74">
        <f>'مستخلص 19'!N30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19'!H31</f>
        <v/>
      </c>
      <c r="G31" s="72" t="n"/>
      <c r="H31" s="84">
        <f>F31+G31</f>
        <v/>
      </c>
      <c r="I31" s="109">
        <f>'مستخلص 19'!K31</f>
        <v/>
      </c>
      <c r="J31" s="68" t="n"/>
      <c r="K31" s="103">
        <f>IF(J31="",I31,J31)</f>
        <v/>
      </c>
      <c r="L31" s="108">
        <f>'مستخلص 19'!N31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19'!H32</f>
        <v/>
      </c>
      <c r="G32" s="72" t="n"/>
      <c r="H32" s="27">
        <f>F32+G32</f>
        <v/>
      </c>
      <c r="I32" s="107">
        <f>'مستخلص 19'!K32</f>
        <v/>
      </c>
      <c r="J32" s="68" t="n"/>
      <c r="K32" s="101">
        <f>IF(J32="",I32,J32)</f>
        <v/>
      </c>
      <c r="L32" s="74">
        <f>'مستخلص 19'!N32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19'!H33</f>
        <v/>
      </c>
      <c r="G33" s="72" t="n"/>
      <c r="H33" s="84">
        <f>F33+G33</f>
        <v/>
      </c>
      <c r="I33" s="109">
        <f>'مستخلص 19'!K33</f>
        <v/>
      </c>
      <c r="J33" s="68" t="n"/>
      <c r="K33" s="103">
        <f>IF(J33="",I33,J33)</f>
        <v/>
      </c>
      <c r="L33" s="108">
        <f>'مستخلص 19'!N33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19'!H34</f>
        <v/>
      </c>
      <c r="G34" s="72" t="n"/>
      <c r="H34" s="27">
        <f>F34+G34</f>
        <v/>
      </c>
      <c r="I34" s="107">
        <f>'مستخلص 19'!K34</f>
        <v/>
      </c>
      <c r="J34" s="68" t="n"/>
      <c r="K34" s="101">
        <f>IF(J34="",I34,J34)</f>
        <v/>
      </c>
      <c r="L34" s="74">
        <f>'مستخلص 19'!N34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19'!H35</f>
        <v/>
      </c>
      <c r="G35" s="72" t="n"/>
      <c r="H35" s="84">
        <f>F35+G35</f>
        <v/>
      </c>
      <c r="I35" s="109">
        <f>'مستخلص 19'!K35</f>
        <v/>
      </c>
      <c r="J35" s="68" t="n"/>
      <c r="K35" s="103">
        <f>IF(J35="",I35,J35)</f>
        <v/>
      </c>
      <c r="L35" s="108">
        <f>'مستخلص 19'!N35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19'!H36</f>
        <v/>
      </c>
      <c r="G36" s="72" t="n"/>
      <c r="H36" s="27">
        <f>F36+G36</f>
        <v/>
      </c>
      <c r="I36" s="107">
        <f>'مستخلص 19'!K36</f>
        <v/>
      </c>
      <c r="J36" s="68" t="n"/>
      <c r="K36" s="101">
        <f>IF(J36="",I36,J36)</f>
        <v/>
      </c>
      <c r="L36" s="74">
        <f>'مستخلص 19'!N36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19'!H37</f>
        <v/>
      </c>
      <c r="G37" s="72" t="n"/>
      <c r="H37" s="84">
        <f>F37+G37</f>
        <v/>
      </c>
      <c r="I37" s="109">
        <f>'مستخلص 19'!K37</f>
        <v/>
      </c>
      <c r="J37" s="68" t="n"/>
      <c r="K37" s="103">
        <f>IF(J37="",I37,J37)</f>
        <v/>
      </c>
      <c r="L37" s="108">
        <f>'مستخلص 19'!N37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19'!H38</f>
        <v/>
      </c>
      <c r="G38" s="72" t="n"/>
      <c r="H38" s="27">
        <f>F38+G38</f>
        <v/>
      </c>
      <c r="I38" s="107">
        <f>'مستخلص 19'!K38</f>
        <v/>
      </c>
      <c r="J38" s="68" t="n"/>
      <c r="K38" s="101">
        <f>IF(J38="",I38,J38)</f>
        <v/>
      </c>
      <c r="L38" s="74">
        <f>'مستخلص 19'!N38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19'!H39</f>
        <v/>
      </c>
      <c r="G39" s="72" t="n"/>
      <c r="H39" s="84">
        <f>F39+G39</f>
        <v/>
      </c>
      <c r="I39" s="109">
        <f>'مستخلص 19'!K39</f>
        <v/>
      </c>
      <c r="J39" s="68" t="n"/>
      <c r="K39" s="103">
        <f>IF(J39="",I39,J39)</f>
        <v/>
      </c>
      <c r="L39" s="108">
        <f>'مستخلص 19'!N39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19'!H40</f>
        <v/>
      </c>
      <c r="G40" s="72" t="n"/>
      <c r="H40" s="27">
        <f>F40+G40</f>
        <v/>
      </c>
      <c r="I40" s="107">
        <f>'مستخلص 19'!K40</f>
        <v/>
      </c>
      <c r="J40" s="68" t="n"/>
      <c r="K40" s="101">
        <f>IF(J40="",I40,J40)</f>
        <v/>
      </c>
      <c r="L40" s="74">
        <f>'مستخلص 19'!N40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19'!H41</f>
        <v/>
      </c>
      <c r="G41" s="72" t="n"/>
      <c r="H41" s="84">
        <f>F41+G41</f>
        <v/>
      </c>
      <c r="I41" s="109">
        <f>'مستخلص 19'!K41</f>
        <v/>
      </c>
      <c r="J41" s="68" t="n"/>
      <c r="K41" s="103">
        <f>IF(J41="",I41,J41)</f>
        <v/>
      </c>
      <c r="L41" s="108">
        <f>'مستخلص 19'!N41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19'!H42</f>
        <v/>
      </c>
      <c r="G42" s="72" t="n"/>
      <c r="H42" s="27">
        <f>F42+G42</f>
        <v/>
      </c>
      <c r="I42" s="107">
        <f>'مستخلص 19'!K42</f>
        <v/>
      </c>
      <c r="J42" s="68" t="n"/>
      <c r="K42" s="101">
        <f>IF(J42="",I42,J42)</f>
        <v/>
      </c>
      <c r="L42" s="74">
        <f>'مستخلص 19'!N42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19'!H43</f>
        <v/>
      </c>
      <c r="G43" s="72" t="n"/>
      <c r="H43" s="84">
        <f>F43+G43</f>
        <v/>
      </c>
      <c r="I43" s="109">
        <f>'مستخلص 19'!K43</f>
        <v/>
      </c>
      <c r="J43" s="68" t="n"/>
      <c r="K43" s="103">
        <f>IF(J43="",I43,J43)</f>
        <v/>
      </c>
      <c r="L43" s="108">
        <f>'مستخلص 19'!N43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19'!H44</f>
        <v/>
      </c>
      <c r="G44" s="72" t="n"/>
      <c r="H44" s="27">
        <f>F44+G44</f>
        <v/>
      </c>
      <c r="I44" s="107">
        <f>'مستخلص 19'!K44</f>
        <v/>
      </c>
      <c r="J44" s="68" t="n"/>
      <c r="K44" s="101">
        <f>IF(J44="",I44,J44)</f>
        <v/>
      </c>
      <c r="L44" s="74">
        <f>'مستخلص 19'!N44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19'!H45</f>
        <v/>
      </c>
      <c r="G45" s="72" t="n"/>
      <c r="H45" s="84">
        <f>F45+G45</f>
        <v/>
      </c>
      <c r="I45" s="109">
        <f>'مستخلص 19'!K45</f>
        <v/>
      </c>
      <c r="J45" s="68" t="n"/>
      <c r="K45" s="103">
        <f>IF(J45="",I45,J45)</f>
        <v/>
      </c>
      <c r="L45" s="108">
        <f>'مستخلص 19'!N45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19'!H46</f>
        <v/>
      </c>
      <c r="G46" s="72" t="n"/>
      <c r="H46" s="27">
        <f>F46+G46</f>
        <v/>
      </c>
      <c r="I46" s="107">
        <f>'مستخلص 19'!K46</f>
        <v/>
      </c>
      <c r="J46" s="68" t="n"/>
      <c r="K46" s="101">
        <f>IF(J46="",I46,J46)</f>
        <v/>
      </c>
      <c r="L46" s="74">
        <f>'مستخلص 19'!N46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19'!H47</f>
        <v/>
      </c>
      <c r="G47" s="72" t="n"/>
      <c r="H47" s="84">
        <f>F47+G47</f>
        <v/>
      </c>
      <c r="I47" s="109">
        <f>'مستخلص 19'!K47</f>
        <v/>
      </c>
      <c r="J47" s="68" t="n"/>
      <c r="K47" s="103">
        <f>IF(J47="",I47,J47)</f>
        <v/>
      </c>
      <c r="L47" s="108">
        <f>'مستخلص 19'!N47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19'!H48</f>
        <v/>
      </c>
      <c r="G48" s="72" t="n"/>
      <c r="H48" s="27">
        <f>F48+G48</f>
        <v/>
      </c>
      <c r="I48" s="107">
        <f>'مستخلص 19'!K48</f>
        <v/>
      </c>
      <c r="J48" s="68" t="n"/>
      <c r="K48" s="101">
        <f>IF(J48="",I48,J48)</f>
        <v/>
      </c>
      <c r="L48" s="74">
        <f>'مستخلص 19'!N48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19'!H49</f>
        <v/>
      </c>
      <c r="G49" s="72" t="n"/>
      <c r="H49" s="84">
        <f>F49+G49</f>
        <v/>
      </c>
      <c r="I49" s="109">
        <f>'مستخلص 19'!K49</f>
        <v/>
      </c>
      <c r="J49" s="68" t="n"/>
      <c r="K49" s="103">
        <f>IF(J49="",I49,J49)</f>
        <v/>
      </c>
      <c r="L49" s="108">
        <f>'مستخلص 19'!N49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19'!H50</f>
        <v/>
      </c>
      <c r="G50" s="72" t="n"/>
      <c r="H50" s="27">
        <f>F50+G50</f>
        <v/>
      </c>
      <c r="I50" s="107">
        <f>'مستخلص 19'!K50</f>
        <v/>
      </c>
      <c r="J50" s="68" t="n"/>
      <c r="K50" s="101">
        <f>IF(J50="",I50,J50)</f>
        <v/>
      </c>
      <c r="L50" s="74">
        <f>'مستخلص 19'!N50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19'!H51</f>
        <v/>
      </c>
      <c r="G51" s="72" t="n"/>
      <c r="H51" s="84">
        <f>F51+G51</f>
        <v/>
      </c>
      <c r="I51" s="109">
        <f>'مستخلص 19'!K51</f>
        <v/>
      </c>
      <c r="J51" s="68" t="n"/>
      <c r="K51" s="103">
        <f>IF(J51="",I51,J51)</f>
        <v/>
      </c>
      <c r="L51" s="108">
        <f>'مستخلص 19'!N51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19'!H52</f>
        <v/>
      </c>
      <c r="G52" s="72" t="n"/>
      <c r="H52" s="27">
        <f>F52+G52</f>
        <v/>
      </c>
      <c r="I52" s="107">
        <f>'مستخلص 19'!K52</f>
        <v/>
      </c>
      <c r="J52" s="68" t="n"/>
      <c r="K52" s="101">
        <f>IF(J52="",I52,J52)</f>
        <v/>
      </c>
      <c r="L52" s="74">
        <f>'مستخلص 19'!N52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19'!H53</f>
        <v/>
      </c>
      <c r="G53" s="72" t="n"/>
      <c r="H53" s="84">
        <f>F53+G53</f>
        <v/>
      </c>
      <c r="I53" s="109">
        <f>'مستخلص 19'!K53</f>
        <v/>
      </c>
      <c r="J53" s="68" t="n"/>
      <c r="K53" s="103">
        <f>IF(J53="",I53,J53)</f>
        <v/>
      </c>
      <c r="L53" s="108">
        <f>'مستخلص 19'!N53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19'!H54</f>
        <v/>
      </c>
      <c r="G54" s="72" t="n"/>
      <c r="H54" s="27">
        <f>F54+G54</f>
        <v/>
      </c>
      <c r="I54" s="107">
        <f>'مستخلص 19'!K54</f>
        <v/>
      </c>
      <c r="J54" s="68" t="n"/>
      <c r="K54" s="101">
        <f>IF(J54="",I54,J54)</f>
        <v/>
      </c>
      <c r="L54" s="74">
        <f>'مستخلص 19'!N54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19'!H55</f>
        <v/>
      </c>
      <c r="G55" s="72" t="n"/>
      <c r="H55" s="84">
        <f>F55+G55</f>
        <v/>
      </c>
      <c r="I55" s="109">
        <f>'مستخلص 19'!K55</f>
        <v/>
      </c>
      <c r="J55" s="68" t="n"/>
      <c r="K55" s="103">
        <f>IF(J55="",I55,J55)</f>
        <v/>
      </c>
      <c r="L55" s="108">
        <f>'مستخلص 19'!N55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19'!H56</f>
        <v/>
      </c>
      <c r="G56" s="72" t="n"/>
      <c r="H56" s="27">
        <f>F56+G56</f>
        <v/>
      </c>
      <c r="I56" s="107">
        <f>'مستخلص 19'!K56</f>
        <v/>
      </c>
      <c r="J56" s="68" t="n"/>
      <c r="K56" s="101">
        <f>IF(J56="",I56,J56)</f>
        <v/>
      </c>
      <c r="L56" s="74">
        <f>'مستخلص 19'!N56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19'!H57</f>
        <v/>
      </c>
      <c r="G57" s="72" t="n"/>
      <c r="H57" s="84">
        <f>F57+G57</f>
        <v/>
      </c>
      <c r="I57" s="109">
        <f>'مستخلص 19'!K57</f>
        <v/>
      </c>
      <c r="J57" s="68" t="n"/>
      <c r="K57" s="103">
        <f>IF(J57="",I57,J57)</f>
        <v/>
      </c>
      <c r="L57" s="108">
        <f>'مستخلص 19'!N57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19'!H58</f>
        <v/>
      </c>
      <c r="G58" s="72" t="n"/>
      <c r="H58" s="27">
        <f>F58+G58</f>
        <v/>
      </c>
      <c r="I58" s="107">
        <f>'مستخلص 19'!K58</f>
        <v/>
      </c>
      <c r="J58" s="68" t="n"/>
      <c r="K58" s="101">
        <f>IF(J58="",I58,J58)</f>
        <v/>
      </c>
      <c r="L58" s="74">
        <f>'مستخلص 19'!N58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19'!H59</f>
        <v/>
      </c>
      <c r="G59" s="72" t="n"/>
      <c r="H59" s="84">
        <f>F59+G59</f>
        <v/>
      </c>
      <c r="I59" s="109">
        <f>'مستخلص 19'!K59</f>
        <v/>
      </c>
      <c r="J59" s="68" t="n"/>
      <c r="K59" s="103">
        <f>IF(J59="",I59,J59)</f>
        <v/>
      </c>
      <c r="L59" s="108">
        <f>'مستخلص 19'!N59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19'!H60</f>
        <v/>
      </c>
      <c r="G60" s="72" t="n"/>
      <c r="H60" s="27">
        <f>F60+G60</f>
        <v/>
      </c>
      <c r="I60" s="107">
        <f>'مستخلص 19'!K60</f>
        <v/>
      </c>
      <c r="J60" s="68" t="n"/>
      <c r="K60" s="101">
        <f>IF(J60="",I60,J60)</f>
        <v/>
      </c>
      <c r="L60" s="74">
        <f>'مستخلص 19'!N60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19'!H61</f>
        <v/>
      </c>
      <c r="G61" s="72" t="n"/>
      <c r="H61" s="84">
        <f>F61+G61</f>
        <v/>
      </c>
      <c r="I61" s="109">
        <f>'مستخلص 19'!K61</f>
        <v/>
      </c>
      <c r="J61" s="68" t="n"/>
      <c r="K61" s="103">
        <f>IF(J61="",I61,J61)</f>
        <v/>
      </c>
      <c r="L61" s="108">
        <f>'مستخلص 19'!N61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19'!H62</f>
        <v/>
      </c>
      <c r="G62" s="72" t="n"/>
      <c r="H62" s="27">
        <f>F62+G62</f>
        <v/>
      </c>
      <c r="I62" s="107">
        <f>'مستخلص 19'!K62</f>
        <v/>
      </c>
      <c r="J62" s="68" t="n"/>
      <c r="K62" s="101">
        <f>IF(J62="",I62,J62)</f>
        <v/>
      </c>
      <c r="L62" s="74">
        <f>'مستخلص 19'!N62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19'!H63</f>
        <v/>
      </c>
      <c r="G63" s="72" t="n"/>
      <c r="H63" s="84">
        <f>F63+G63</f>
        <v/>
      </c>
      <c r="I63" s="109">
        <f>'مستخلص 19'!K63</f>
        <v/>
      </c>
      <c r="J63" s="68" t="n"/>
      <c r="K63" s="103">
        <f>IF(J63="",I63,J63)</f>
        <v/>
      </c>
      <c r="L63" s="108">
        <f>'مستخلص 19'!N63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19'!H64</f>
        <v/>
      </c>
      <c r="G64" s="72" t="n"/>
      <c r="H64" s="27">
        <f>F64+G64</f>
        <v/>
      </c>
      <c r="I64" s="107">
        <f>'مستخلص 19'!K64</f>
        <v/>
      </c>
      <c r="J64" s="68" t="n"/>
      <c r="K64" s="101">
        <f>IF(J64="",I64,J64)</f>
        <v/>
      </c>
      <c r="L64" s="74">
        <f>'مستخلص 19'!N64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19'!H65</f>
        <v/>
      </c>
      <c r="G65" s="72" t="n"/>
      <c r="H65" s="84">
        <f>F65+G65</f>
        <v/>
      </c>
      <c r="I65" s="109">
        <f>'مستخلص 19'!K65</f>
        <v/>
      </c>
      <c r="J65" s="68" t="n"/>
      <c r="K65" s="103">
        <f>IF(J65="",I65,J65)</f>
        <v/>
      </c>
      <c r="L65" s="108">
        <f>'مستخلص 19'!N65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19'!H66</f>
        <v/>
      </c>
      <c r="G66" s="72" t="n"/>
      <c r="H66" s="27">
        <f>F66+G66</f>
        <v/>
      </c>
      <c r="I66" s="107">
        <f>'مستخلص 19'!K66</f>
        <v/>
      </c>
      <c r="J66" s="68" t="n"/>
      <c r="K66" s="101">
        <f>IF(J66="",I66,J66)</f>
        <v/>
      </c>
      <c r="L66" s="74">
        <f>'مستخلص 19'!N66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19'!H67</f>
        <v/>
      </c>
      <c r="G67" s="72" t="n"/>
      <c r="H67" s="84">
        <f>F67+G67</f>
        <v/>
      </c>
      <c r="I67" s="109">
        <f>'مستخلص 19'!K67</f>
        <v/>
      </c>
      <c r="J67" s="68" t="n"/>
      <c r="K67" s="103">
        <f>IF(J67="",I67,J67)</f>
        <v/>
      </c>
      <c r="L67" s="108">
        <f>'مستخلص 19'!N67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19'!H68</f>
        <v/>
      </c>
      <c r="G68" s="72" t="n"/>
      <c r="H68" s="27">
        <f>F68+G68</f>
        <v/>
      </c>
      <c r="I68" s="107">
        <f>'مستخلص 19'!K68</f>
        <v/>
      </c>
      <c r="J68" s="68" t="n"/>
      <c r="K68" s="101">
        <f>IF(J68="",I68,J68)</f>
        <v/>
      </c>
      <c r="L68" s="74">
        <f>'مستخلص 19'!N68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19'!H69</f>
        <v/>
      </c>
      <c r="G69" s="72" t="n"/>
      <c r="H69" s="84">
        <f>F69+G69</f>
        <v/>
      </c>
      <c r="I69" s="109">
        <f>'مستخلص 19'!K69</f>
        <v/>
      </c>
      <c r="J69" s="68" t="n"/>
      <c r="K69" s="103">
        <f>IF(J69="",I69,J69)</f>
        <v/>
      </c>
      <c r="L69" s="108">
        <f>'مستخلص 19'!N69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19'!H70</f>
        <v/>
      </c>
      <c r="G70" s="72" t="n"/>
      <c r="H70" s="27">
        <f>F70+G70</f>
        <v/>
      </c>
      <c r="I70" s="107">
        <f>'مستخلص 19'!K70</f>
        <v/>
      </c>
      <c r="J70" s="68" t="n"/>
      <c r="K70" s="101">
        <f>IF(J70="",I70,J70)</f>
        <v/>
      </c>
      <c r="L70" s="74">
        <f>'مستخلص 19'!N70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19'!H71</f>
        <v/>
      </c>
      <c r="G71" s="72" t="n"/>
      <c r="H71" s="84">
        <f>F71+G71</f>
        <v/>
      </c>
      <c r="I71" s="109">
        <f>'مستخلص 19'!K71</f>
        <v/>
      </c>
      <c r="J71" s="68" t="n"/>
      <c r="K71" s="103">
        <f>IF(J71="",I71,J71)</f>
        <v/>
      </c>
      <c r="L71" s="108">
        <f>'مستخلص 19'!N71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19'!H72</f>
        <v/>
      </c>
      <c r="G72" s="72" t="n"/>
      <c r="H72" s="27">
        <f>F72+G72</f>
        <v/>
      </c>
      <c r="I72" s="107">
        <f>'مستخلص 19'!K72</f>
        <v/>
      </c>
      <c r="J72" s="68" t="n"/>
      <c r="K72" s="101">
        <f>IF(J72="",I72,J72)</f>
        <v/>
      </c>
      <c r="L72" s="74">
        <f>'مستخلص 19'!N72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19'!H73</f>
        <v/>
      </c>
      <c r="G73" s="72" t="n"/>
      <c r="H73" s="84">
        <f>F73+G73</f>
        <v/>
      </c>
      <c r="I73" s="109">
        <f>'مستخلص 19'!K73</f>
        <v/>
      </c>
      <c r="J73" s="68" t="n"/>
      <c r="K73" s="103">
        <f>IF(J73="",I73,J73)</f>
        <v/>
      </c>
      <c r="L73" s="108">
        <f>'مستخلص 19'!N73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19'!H74</f>
        <v/>
      </c>
      <c r="G74" s="72" t="n"/>
      <c r="H74" s="27">
        <f>F74+G74</f>
        <v/>
      </c>
      <c r="I74" s="107">
        <f>'مستخلص 19'!K74</f>
        <v/>
      </c>
      <c r="J74" s="68" t="n"/>
      <c r="K74" s="101">
        <f>IF(J74="",I74,J74)</f>
        <v/>
      </c>
      <c r="L74" s="74">
        <f>'مستخلص 19'!N74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19'!H75</f>
        <v/>
      </c>
      <c r="G75" s="72" t="n"/>
      <c r="H75" s="84">
        <f>F75+G75</f>
        <v/>
      </c>
      <c r="I75" s="109">
        <f>'مستخلص 19'!K75</f>
        <v/>
      </c>
      <c r="J75" s="68" t="n"/>
      <c r="K75" s="103">
        <f>IF(J75="",I75,J75)</f>
        <v/>
      </c>
      <c r="L75" s="108">
        <f>'مستخلص 19'!N75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19'!H76</f>
        <v/>
      </c>
      <c r="G76" s="72" t="n"/>
      <c r="H76" s="27">
        <f>F76+G76</f>
        <v/>
      </c>
      <c r="I76" s="107">
        <f>'مستخلص 19'!K76</f>
        <v/>
      </c>
      <c r="J76" s="68" t="n"/>
      <c r="K76" s="101">
        <f>IF(J76="",I76,J76)</f>
        <v/>
      </c>
      <c r="L76" s="74">
        <f>'مستخلص 19'!N76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19'!H77</f>
        <v/>
      </c>
      <c r="G77" s="72" t="n"/>
      <c r="H77" s="84">
        <f>F77+G77</f>
        <v/>
      </c>
      <c r="I77" s="109">
        <f>'مستخلص 19'!K77</f>
        <v/>
      </c>
      <c r="J77" s="68" t="n"/>
      <c r="K77" s="103">
        <f>IF(J77="",I77,J77)</f>
        <v/>
      </c>
      <c r="L77" s="108">
        <f>'مستخلص 19'!N77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19'!H78</f>
        <v/>
      </c>
      <c r="G78" s="72" t="n"/>
      <c r="H78" s="27">
        <f>F78+G78</f>
        <v/>
      </c>
      <c r="I78" s="107">
        <f>'مستخلص 19'!K78</f>
        <v/>
      </c>
      <c r="J78" s="68" t="n"/>
      <c r="K78" s="101">
        <f>IF(J78="",I78,J78)</f>
        <v/>
      </c>
      <c r="L78" s="74">
        <f>'مستخلص 19'!N78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19'!H79</f>
        <v/>
      </c>
      <c r="G79" s="72" t="n"/>
      <c r="H79" s="84">
        <f>F79+G79</f>
        <v/>
      </c>
      <c r="I79" s="109">
        <f>'مستخلص 19'!K79</f>
        <v/>
      </c>
      <c r="J79" s="68" t="n"/>
      <c r="K79" s="103">
        <f>IF(J79="",I79,J79)</f>
        <v/>
      </c>
      <c r="L79" s="108">
        <f>'مستخلص 19'!N79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19'!H80</f>
        <v/>
      </c>
      <c r="G80" s="72" t="n"/>
      <c r="H80" s="27">
        <f>F80+G80</f>
        <v/>
      </c>
      <c r="I80" s="107">
        <f>'مستخلص 19'!K80</f>
        <v/>
      </c>
      <c r="J80" s="68" t="n"/>
      <c r="K80" s="101">
        <f>IF(J80="",I80,J80)</f>
        <v/>
      </c>
      <c r="L80" s="74">
        <f>'مستخلص 19'!N80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19'!H81</f>
        <v/>
      </c>
      <c r="G81" s="72" t="n"/>
      <c r="H81" s="84">
        <f>F81+G81</f>
        <v/>
      </c>
      <c r="I81" s="109">
        <f>'مستخلص 19'!K81</f>
        <v/>
      </c>
      <c r="J81" s="68" t="n"/>
      <c r="K81" s="103">
        <f>IF(J81="",I81,J81)</f>
        <v/>
      </c>
      <c r="L81" s="108">
        <f>'مستخلص 19'!N81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19'!H82</f>
        <v/>
      </c>
      <c r="G82" s="72" t="n"/>
      <c r="H82" s="27">
        <f>F82+G82</f>
        <v/>
      </c>
      <c r="I82" s="107">
        <f>'مستخلص 19'!K82</f>
        <v/>
      </c>
      <c r="J82" s="68" t="n"/>
      <c r="K82" s="101">
        <f>IF(J82="",I82,J82)</f>
        <v/>
      </c>
      <c r="L82" s="74">
        <f>'مستخلص 19'!N82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19'!H83</f>
        <v/>
      </c>
      <c r="G83" s="72" t="n"/>
      <c r="H83" s="84">
        <f>F83+G83</f>
        <v/>
      </c>
      <c r="I83" s="109">
        <f>'مستخلص 19'!K83</f>
        <v/>
      </c>
      <c r="J83" s="68" t="n"/>
      <c r="K83" s="103">
        <f>IF(J83="",I83,J83)</f>
        <v/>
      </c>
      <c r="L83" s="108">
        <f>'مستخلص 19'!N83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19'!H84</f>
        <v/>
      </c>
      <c r="G84" s="72" t="n"/>
      <c r="H84" s="27">
        <f>F84+G84</f>
        <v/>
      </c>
      <c r="I84" s="107">
        <f>'مستخلص 19'!K84</f>
        <v/>
      </c>
      <c r="J84" s="68" t="n"/>
      <c r="K84" s="101">
        <f>IF(J84="",I84,J84)</f>
        <v/>
      </c>
      <c r="L84" s="74">
        <f>'مستخلص 19'!N84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19'!H85</f>
        <v/>
      </c>
      <c r="G85" s="72" t="n"/>
      <c r="H85" s="84">
        <f>F85+G85</f>
        <v/>
      </c>
      <c r="I85" s="109">
        <f>'مستخلص 19'!K85</f>
        <v/>
      </c>
      <c r="J85" s="68" t="n"/>
      <c r="K85" s="103">
        <f>IF(J85="",I85,J85)</f>
        <v/>
      </c>
      <c r="L85" s="108">
        <f>'مستخلص 19'!N85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19'!H86</f>
        <v/>
      </c>
      <c r="G86" s="72" t="n"/>
      <c r="H86" s="27">
        <f>F86+G86</f>
        <v/>
      </c>
      <c r="I86" s="107">
        <f>'مستخلص 19'!K86</f>
        <v/>
      </c>
      <c r="J86" s="68" t="n"/>
      <c r="K86" s="101">
        <f>IF(J86="",I86,J86)</f>
        <v/>
      </c>
      <c r="L86" s="74">
        <f>'مستخلص 19'!N86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19'!H87</f>
        <v/>
      </c>
      <c r="G87" s="72" t="n"/>
      <c r="H87" s="84">
        <f>F87+G87</f>
        <v/>
      </c>
      <c r="I87" s="109">
        <f>'مستخلص 19'!K87</f>
        <v/>
      </c>
      <c r="J87" s="68" t="n"/>
      <c r="K87" s="103">
        <f>IF(J87="",I87,J87)</f>
        <v/>
      </c>
      <c r="L87" s="108">
        <f>'مستخلص 19'!N87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19'!H88</f>
        <v/>
      </c>
      <c r="G88" s="72" t="n"/>
      <c r="H88" s="27">
        <f>F88+G88</f>
        <v/>
      </c>
      <c r="I88" s="107">
        <f>'مستخلص 19'!K88</f>
        <v/>
      </c>
      <c r="J88" s="68" t="n"/>
      <c r="K88" s="101">
        <f>IF(J88="",I88,J88)</f>
        <v/>
      </c>
      <c r="L88" s="74">
        <f>'مستخلص 19'!N88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19'!H89</f>
        <v/>
      </c>
      <c r="G89" s="72" t="n"/>
      <c r="H89" s="84">
        <f>F89+G89</f>
        <v/>
      </c>
      <c r="I89" s="109">
        <f>'مستخلص 19'!K89</f>
        <v/>
      </c>
      <c r="J89" s="68" t="n"/>
      <c r="K89" s="103">
        <f>IF(J89="",I89,J89)</f>
        <v/>
      </c>
      <c r="L89" s="108">
        <f>'مستخلص 19'!N89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19'!H90</f>
        <v/>
      </c>
      <c r="G90" s="72" t="n"/>
      <c r="H90" s="27">
        <f>F90+G90</f>
        <v/>
      </c>
      <c r="I90" s="107">
        <f>'مستخلص 19'!K90</f>
        <v/>
      </c>
      <c r="J90" s="68" t="n"/>
      <c r="K90" s="101">
        <f>IF(J90="",I90,J90)</f>
        <v/>
      </c>
      <c r="L90" s="74">
        <f>'مستخلص 19'!N90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19'!H91</f>
        <v/>
      </c>
      <c r="G91" s="72" t="n"/>
      <c r="H91" s="84">
        <f>F91+G91</f>
        <v/>
      </c>
      <c r="I91" s="109">
        <f>'مستخلص 19'!K91</f>
        <v/>
      </c>
      <c r="J91" s="68" t="n"/>
      <c r="K91" s="103">
        <f>IF(J91="",I91,J91)</f>
        <v/>
      </c>
      <c r="L91" s="108">
        <f>'مستخلص 19'!N91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19'!H92</f>
        <v/>
      </c>
      <c r="G92" s="72" t="n"/>
      <c r="H92" s="27">
        <f>F92+G92</f>
        <v/>
      </c>
      <c r="I92" s="107">
        <f>'مستخلص 19'!K92</f>
        <v/>
      </c>
      <c r="J92" s="68" t="n"/>
      <c r="K92" s="101">
        <f>IF(J92="",I92,J92)</f>
        <v/>
      </c>
      <c r="L92" s="74">
        <f>'مستخلص 19'!N92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19'!H93</f>
        <v/>
      </c>
      <c r="G93" s="72" t="n"/>
      <c r="H93" s="84">
        <f>F93+G93</f>
        <v/>
      </c>
      <c r="I93" s="109">
        <f>'مستخلص 19'!K93</f>
        <v/>
      </c>
      <c r="J93" s="68" t="n"/>
      <c r="K93" s="103">
        <f>IF(J93="",I93,J93)</f>
        <v/>
      </c>
      <c r="L93" s="108">
        <f>'مستخلص 19'!N93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19'!H94</f>
        <v/>
      </c>
      <c r="G94" s="72" t="n"/>
      <c r="H94" s="27">
        <f>F94+G94</f>
        <v/>
      </c>
      <c r="I94" s="107">
        <f>'مستخلص 19'!K94</f>
        <v/>
      </c>
      <c r="J94" s="68" t="n"/>
      <c r="K94" s="101">
        <f>IF(J94="",I94,J94)</f>
        <v/>
      </c>
      <c r="L94" s="74">
        <f>'مستخلص 19'!N94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19'!H95</f>
        <v/>
      </c>
      <c r="G95" s="72" t="n"/>
      <c r="H95" s="84">
        <f>F95+G95</f>
        <v/>
      </c>
      <c r="I95" s="109">
        <f>'مستخلص 19'!K95</f>
        <v/>
      </c>
      <c r="J95" s="68" t="n"/>
      <c r="K95" s="103">
        <f>IF(J95="",I95,J95)</f>
        <v/>
      </c>
      <c r="L95" s="108">
        <f>'مستخلص 19'!N95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19'!H96</f>
        <v/>
      </c>
      <c r="G96" s="72" t="n"/>
      <c r="H96" s="27">
        <f>F96+G96</f>
        <v/>
      </c>
      <c r="I96" s="107">
        <f>'مستخلص 19'!K96</f>
        <v/>
      </c>
      <c r="J96" s="68" t="n"/>
      <c r="K96" s="101">
        <f>IF(J96="",I96,J96)</f>
        <v/>
      </c>
      <c r="L96" s="74">
        <f>'مستخلص 19'!N96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19'!H97</f>
        <v/>
      </c>
      <c r="G97" s="72" t="n"/>
      <c r="H97" s="84">
        <f>F97+G97</f>
        <v/>
      </c>
      <c r="I97" s="109">
        <f>'مستخلص 19'!K97</f>
        <v/>
      </c>
      <c r="J97" s="68" t="n"/>
      <c r="K97" s="103">
        <f>IF(J97="",I97,J97)</f>
        <v/>
      </c>
      <c r="L97" s="108">
        <f>'مستخلص 19'!N97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19'!H98</f>
        <v/>
      </c>
      <c r="G98" s="72" t="n"/>
      <c r="H98" s="27">
        <f>F98+G98</f>
        <v/>
      </c>
      <c r="I98" s="107">
        <f>'مستخلص 19'!K98</f>
        <v/>
      </c>
      <c r="J98" s="68" t="n"/>
      <c r="K98" s="101">
        <f>IF(J98="",I98,J98)</f>
        <v/>
      </c>
      <c r="L98" s="74">
        <f>'مستخلص 19'!N98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19'!H99</f>
        <v/>
      </c>
      <c r="G99" s="72" t="n"/>
      <c r="H99" s="84">
        <f>F99+G99</f>
        <v/>
      </c>
      <c r="I99" s="109">
        <f>'مستخلص 19'!K99</f>
        <v/>
      </c>
      <c r="J99" s="68" t="n"/>
      <c r="K99" s="103">
        <f>IF(J99="",I99,J99)</f>
        <v/>
      </c>
      <c r="L99" s="108">
        <f>'مستخلص 19'!N99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19'!H100</f>
        <v/>
      </c>
      <c r="G100" s="72" t="n"/>
      <c r="H100" s="27">
        <f>F100+G100</f>
        <v/>
      </c>
      <c r="I100" s="107">
        <f>'مستخلص 19'!K100</f>
        <v/>
      </c>
      <c r="J100" s="68" t="n"/>
      <c r="K100" s="101">
        <f>IF(J100="",I100,J100)</f>
        <v/>
      </c>
      <c r="L100" s="74">
        <f>'مستخلص 19'!N100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19'!H101</f>
        <v/>
      </c>
      <c r="G101" s="72" t="n"/>
      <c r="H101" s="84">
        <f>F101+G101</f>
        <v/>
      </c>
      <c r="I101" s="109">
        <f>'مستخلص 19'!K101</f>
        <v/>
      </c>
      <c r="J101" s="68" t="n"/>
      <c r="K101" s="103">
        <f>IF(J101="",I101,J101)</f>
        <v/>
      </c>
      <c r="L101" s="108">
        <f>'مستخلص 19'!N101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19'!H102</f>
        <v/>
      </c>
      <c r="G102" s="72" t="n"/>
      <c r="H102" s="27">
        <f>F102+G102</f>
        <v/>
      </c>
      <c r="I102" s="107">
        <f>'مستخلص 19'!K102</f>
        <v/>
      </c>
      <c r="J102" s="68" t="n"/>
      <c r="K102" s="101">
        <f>IF(J102="",I102,J102)</f>
        <v/>
      </c>
      <c r="L102" s="74">
        <f>'مستخلص 19'!N102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19'!H103</f>
        <v/>
      </c>
      <c r="G103" s="72" t="n"/>
      <c r="H103" s="84">
        <f>F103+G103</f>
        <v/>
      </c>
      <c r="I103" s="109">
        <f>'مستخلص 19'!K103</f>
        <v/>
      </c>
      <c r="J103" s="68" t="n"/>
      <c r="K103" s="103">
        <f>IF(J103="",I103,J103)</f>
        <v/>
      </c>
      <c r="L103" s="108">
        <f>'مستخلص 19'!N103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19'!H104</f>
        <v/>
      </c>
      <c r="G104" s="72" t="n"/>
      <c r="H104" s="27">
        <f>F104+G104</f>
        <v/>
      </c>
      <c r="I104" s="107">
        <f>'مستخلص 19'!K104</f>
        <v/>
      </c>
      <c r="J104" s="68" t="n"/>
      <c r="K104" s="101">
        <f>IF(J104="",I104,J104)</f>
        <v/>
      </c>
      <c r="L104" s="74">
        <f>'مستخلص 19'!N104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19'!H105</f>
        <v/>
      </c>
      <c r="G105" s="72" t="n"/>
      <c r="H105" s="84">
        <f>F105+G105</f>
        <v/>
      </c>
      <c r="I105" s="109">
        <f>'مستخلص 19'!K105</f>
        <v/>
      </c>
      <c r="J105" s="68" t="n"/>
      <c r="K105" s="103">
        <f>IF(J105="",I105,J105)</f>
        <v/>
      </c>
      <c r="L105" s="108">
        <f>'مستخلص 19'!N105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19'!H106</f>
        <v/>
      </c>
      <c r="G106" s="72" t="n"/>
      <c r="H106" s="27">
        <f>F106+G106</f>
        <v/>
      </c>
      <c r="I106" s="107">
        <f>'مستخلص 19'!K106</f>
        <v/>
      </c>
      <c r="J106" s="68" t="n"/>
      <c r="K106" s="101">
        <f>IF(J106="",I106,J106)</f>
        <v/>
      </c>
      <c r="L106" s="74">
        <f>'مستخلص 19'!N106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19'!H107</f>
        <v/>
      </c>
      <c r="G107" s="72" t="n"/>
      <c r="H107" s="84">
        <f>F107+G107</f>
        <v/>
      </c>
      <c r="I107" s="109">
        <f>'مستخلص 19'!K107</f>
        <v/>
      </c>
      <c r="J107" s="68" t="n"/>
      <c r="K107" s="103">
        <f>IF(J107="",I107,J107)</f>
        <v/>
      </c>
      <c r="L107" s="108">
        <f>'مستخلص 19'!N107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19'!N111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19'!N112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19'!N113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19'!N114</f>
        <v/>
      </c>
      <c r="M114" s="27">
        <f>'الدفعات المقدمة'!I44</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19'!N115</f>
        <v/>
      </c>
      <c r="M115" s="27">
        <f>'ضمان الأعمال'!I35</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19'!N116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19'!N117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19'!N118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9'!A1" display="◀ المستخلص السابق (19)"/>
    <hyperlink ref="N3" location="'مستخلص 21'!A1" display="المستخلص التالي (21)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( 21 )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(20)</t>
        </is>
      </c>
      <c r="M3" s="4" t="n"/>
      <c r="N3" s="4" t="inlineStr">
        <is>
          <t>المستخلص التالي (22) ▶</t>
        </is>
      </c>
      <c r="O3" s="4" t="n"/>
      <c r="P3" s="4" t="n"/>
    </row>
    <row r="4" ht="24" customHeight="1">
      <c r="A4" s="96" t="inlineStr">
        <is>
          <t>رقم</t>
        </is>
      </c>
      <c r="B4" s="97" t="n">
        <v>21</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20'!H8</f>
        <v/>
      </c>
      <c r="G8" s="72" t="n"/>
      <c r="H8" s="27">
        <f>F8+G8</f>
        <v/>
      </c>
      <c r="I8" s="107">
        <f>'مستخلص 20'!K8</f>
        <v/>
      </c>
      <c r="J8" s="68" t="n"/>
      <c r="K8" s="101">
        <f>IF(J8="",I8,J8)</f>
        <v/>
      </c>
      <c r="L8" s="74">
        <f>'مستخلص 20'!N8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20'!H9</f>
        <v/>
      </c>
      <c r="G9" s="72" t="n"/>
      <c r="H9" s="84">
        <f>F9+G9</f>
        <v/>
      </c>
      <c r="I9" s="109">
        <f>'مستخلص 20'!K9</f>
        <v/>
      </c>
      <c r="J9" s="68" t="n"/>
      <c r="K9" s="103">
        <f>IF(J9="",I9,J9)</f>
        <v/>
      </c>
      <c r="L9" s="108">
        <f>'مستخلص 20'!N9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20'!H10</f>
        <v/>
      </c>
      <c r="G10" s="72" t="n"/>
      <c r="H10" s="27">
        <f>F10+G10</f>
        <v/>
      </c>
      <c r="I10" s="107">
        <f>'مستخلص 20'!K10</f>
        <v/>
      </c>
      <c r="J10" s="68" t="n"/>
      <c r="K10" s="101">
        <f>IF(J10="",I10,J10)</f>
        <v/>
      </c>
      <c r="L10" s="74">
        <f>'مستخلص 20'!N10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20'!H11</f>
        <v/>
      </c>
      <c r="G11" s="72" t="n"/>
      <c r="H11" s="84">
        <f>F11+G11</f>
        <v/>
      </c>
      <c r="I11" s="109">
        <f>'مستخلص 20'!K11</f>
        <v/>
      </c>
      <c r="J11" s="68" t="n"/>
      <c r="K11" s="103">
        <f>IF(J11="",I11,J11)</f>
        <v/>
      </c>
      <c r="L11" s="108">
        <f>'مستخلص 20'!N11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20'!H12</f>
        <v/>
      </c>
      <c r="G12" s="72" t="n"/>
      <c r="H12" s="27">
        <f>F12+G12</f>
        <v/>
      </c>
      <c r="I12" s="107">
        <f>'مستخلص 20'!K12</f>
        <v/>
      </c>
      <c r="J12" s="68" t="n"/>
      <c r="K12" s="101">
        <f>IF(J12="",I12,J12)</f>
        <v/>
      </c>
      <c r="L12" s="74">
        <f>'مستخلص 20'!N12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20'!H13</f>
        <v/>
      </c>
      <c r="G13" s="72" t="n"/>
      <c r="H13" s="84">
        <f>F13+G13</f>
        <v/>
      </c>
      <c r="I13" s="109">
        <f>'مستخلص 20'!K13</f>
        <v/>
      </c>
      <c r="J13" s="68" t="n"/>
      <c r="K13" s="103">
        <f>IF(J13="",I13,J13)</f>
        <v/>
      </c>
      <c r="L13" s="108">
        <f>'مستخلص 20'!N13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20'!H14</f>
        <v/>
      </c>
      <c r="G14" s="72" t="n"/>
      <c r="H14" s="27">
        <f>F14+G14</f>
        <v/>
      </c>
      <c r="I14" s="107">
        <f>'مستخلص 20'!K14</f>
        <v/>
      </c>
      <c r="J14" s="68" t="n"/>
      <c r="K14" s="101">
        <f>IF(J14="",I14,J14)</f>
        <v/>
      </c>
      <c r="L14" s="74">
        <f>'مستخلص 20'!N14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20'!H15</f>
        <v/>
      </c>
      <c r="G15" s="72" t="n"/>
      <c r="H15" s="84">
        <f>F15+G15</f>
        <v/>
      </c>
      <c r="I15" s="109">
        <f>'مستخلص 20'!K15</f>
        <v/>
      </c>
      <c r="J15" s="68" t="n"/>
      <c r="K15" s="103">
        <f>IF(J15="",I15,J15)</f>
        <v/>
      </c>
      <c r="L15" s="108">
        <f>'مستخلص 20'!N15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20'!H16</f>
        <v/>
      </c>
      <c r="G16" s="72" t="n"/>
      <c r="H16" s="27">
        <f>F16+G16</f>
        <v/>
      </c>
      <c r="I16" s="107">
        <f>'مستخلص 20'!K16</f>
        <v/>
      </c>
      <c r="J16" s="68" t="n"/>
      <c r="K16" s="101">
        <f>IF(J16="",I16,J16)</f>
        <v/>
      </c>
      <c r="L16" s="74">
        <f>'مستخلص 20'!N16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20'!H17</f>
        <v/>
      </c>
      <c r="G17" s="72" t="n"/>
      <c r="H17" s="84">
        <f>F17+G17</f>
        <v/>
      </c>
      <c r="I17" s="109">
        <f>'مستخلص 20'!K17</f>
        <v/>
      </c>
      <c r="J17" s="68" t="n"/>
      <c r="K17" s="103">
        <f>IF(J17="",I17,J17)</f>
        <v/>
      </c>
      <c r="L17" s="108">
        <f>'مستخلص 20'!N17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20'!H18</f>
        <v/>
      </c>
      <c r="G18" s="72" t="n"/>
      <c r="H18" s="27">
        <f>F18+G18</f>
        <v/>
      </c>
      <c r="I18" s="107">
        <f>'مستخلص 20'!K18</f>
        <v/>
      </c>
      <c r="J18" s="68" t="n"/>
      <c r="K18" s="101">
        <f>IF(J18="",I18,J18)</f>
        <v/>
      </c>
      <c r="L18" s="74">
        <f>'مستخلص 20'!N18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20'!H19</f>
        <v/>
      </c>
      <c r="G19" s="72" t="n"/>
      <c r="H19" s="84">
        <f>F19+G19</f>
        <v/>
      </c>
      <c r="I19" s="109">
        <f>'مستخلص 20'!K19</f>
        <v/>
      </c>
      <c r="J19" s="68" t="n"/>
      <c r="K19" s="103">
        <f>IF(J19="",I19,J19)</f>
        <v/>
      </c>
      <c r="L19" s="108">
        <f>'مستخلص 20'!N19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20'!H20</f>
        <v/>
      </c>
      <c r="G20" s="72" t="n"/>
      <c r="H20" s="27">
        <f>F20+G20</f>
        <v/>
      </c>
      <c r="I20" s="107">
        <f>'مستخلص 20'!K20</f>
        <v/>
      </c>
      <c r="J20" s="68" t="n"/>
      <c r="K20" s="101">
        <f>IF(J20="",I20,J20)</f>
        <v/>
      </c>
      <c r="L20" s="74">
        <f>'مستخلص 20'!N20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20'!H21</f>
        <v/>
      </c>
      <c r="G21" s="72" t="n"/>
      <c r="H21" s="84">
        <f>F21+G21</f>
        <v/>
      </c>
      <c r="I21" s="109">
        <f>'مستخلص 20'!K21</f>
        <v/>
      </c>
      <c r="J21" s="68" t="n"/>
      <c r="K21" s="103">
        <f>IF(J21="",I21,J21)</f>
        <v/>
      </c>
      <c r="L21" s="108">
        <f>'مستخلص 20'!N21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20'!H22</f>
        <v/>
      </c>
      <c r="G22" s="72" t="n"/>
      <c r="H22" s="27">
        <f>F22+G22</f>
        <v/>
      </c>
      <c r="I22" s="107">
        <f>'مستخلص 20'!K22</f>
        <v/>
      </c>
      <c r="J22" s="68" t="n"/>
      <c r="K22" s="101">
        <f>IF(J22="",I22,J22)</f>
        <v/>
      </c>
      <c r="L22" s="74">
        <f>'مستخلص 20'!N22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20'!H23</f>
        <v/>
      </c>
      <c r="G23" s="72" t="n"/>
      <c r="H23" s="84">
        <f>F23+G23</f>
        <v/>
      </c>
      <c r="I23" s="109">
        <f>'مستخلص 20'!K23</f>
        <v/>
      </c>
      <c r="J23" s="68" t="n"/>
      <c r="K23" s="103">
        <f>IF(J23="",I23,J23)</f>
        <v/>
      </c>
      <c r="L23" s="108">
        <f>'مستخلص 20'!N23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20'!H24</f>
        <v/>
      </c>
      <c r="G24" s="72" t="n"/>
      <c r="H24" s="27">
        <f>F24+G24</f>
        <v/>
      </c>
      <c r="I24" s="107">
        <f>'مستخلص 20'!K24</f>
        <v/>
      </c>
      <c r="J24" s="68" t="n"/>
      <c r="K24" s="101">
        <f>IF(J24="",I24,J24)</f>
        <v/>
      </c>
      <c r="L24" s="74">
        <f>'مستخلص 20'!N24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20'!H25</f>
        <v/>
      </c>
      <c r="G25" s="72" t="n"/>
      <c r="H25" s="84">
        <f>F25+G25</f>
        <v/>
      </c>
      <c r="I25" s="109">
        <f>'مستخلص 20'!K25</f>
        <v/>
      </c>
      <c r="J25" s="68" t="n"/>
      <c r="K25" s="103">
        <f>IF(J25="",I25,J25)</f>
        <v/>
      </c>
      <c r="L25" s="108">
        <f>'مستخلص 20'!N25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20'!H26</f>
        <v/>
      </c>
      <c r="G26" s="72" t="n"/>
      <c r="H26" s="27">
        <f>F26+G26</f>
        <v/>
      </c>
      <c r="I26" s="107">
        <f>'مستخلص 20'!K26</f>
        <v/>
      </c>
      <c r="J26" s="68" t="n"/>
      <c r="K26" s="101">
        <f>IF(J26="",I26,J26)</f>
        <v/>
      </c>
      <c r="L26" s="74">
        <f>'مستخلص 20'!N26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20'!H27</f>
        <v/>
      </c>
      <c r="G27" s="72" t="n"/>
      <c r="H27" s="84">
        <f>F27+G27</f>
        <v/>
      </c>
      <c r="I27" s="109">
        <f>'مستخلص 20'!K27</f>
        <v/>
      </c>
      <c r="J27" s="68" t="n"/>
      <c r="K27" s="103">
        <f>IF(J27="",I27,J27)</f>
        <v/>
      </c>
      <c r="L27" s="108">
        <f>'مستخلص 20'!N27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20'!H28</f>
        <v/>
      </c>
      <c r="G28" s="72" t="n"/>
      <c r="H28" s="27">
        <f>F28+G28</f>
        <v/>
      </c>
      <c r="I28" s="107">
        <f>'مستخلص 20'!K28</f>
        <v/>
      </c>
      <c r="J28" s="68" t="n"/>
      <c r="K28" s="101">
        <f>IF(J28="",I28,J28)</f>
        <v/>
      </c>
      <c r="L28" s="74">
        <f>'مستخلص 20'!N28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20'!H29</f>
        <v/>
      </c>
      <c r="G29" s="72" t="n"/>
      <c r="H29" s="84">
        <f>F29+G29</f>
        <v/>
      </c>
      <c r="I29" s="109">
        <f>'مستخلص 20'!K29</f>
        <v/>
      </c>
      <c r="J29" s="68" t="n"/>
      <c r="K29" s="103">
        <f>IF(J29="",I29,J29)</f>
        <v/>
      </c>
      <c r="L29" s="108">
        <f>'مستخلص 20'!N29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20'!H30</f>
        <v/>
      </c>
      <c r="G30" s="72" t="n"/>
      <c r="H30" s="27">
        <f>F30+G30</f>
        <v/>
      </c>
      <c r="I30" s="107">
        <f>'مستخلص 20'!K30</f>
        <v/>
      </c>
      <c r="J30" s="68" t="n"/>
      <c r="K30" s="101">
        <f>IF(J30="",I30,J30)</f>
        <v/>
      </c>
      <c r="L30" s="74">
        <f>'مستخلص 20'!N30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20'!H31</f>
        <v/>
      </c>
      <c r="G31" s="72" t="n"/>
      <c r="H31" s="84">
        <f>F31+G31</f>
        <v/>
      </c>
      <c r="I31" s="109">
        <f>'مستخلص 20'!K31</f>
        <v/>
      </c>
      <c r="J31" s="68" t="n"/>
      <c r="K31" s="103">
        <f>IF(J31="",I31,J31)</f>
        <v/>
      </c>
      <c r="L31" s="108">
        <f>'مستخلص 20'!N31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20'!H32</f>
        <v/>
      </c>
      <c r="G32" s="72" t="n"/>
      <c r="H32" s="27">
        <f>F32+G32</f>
        <v/>
      </c>
      <c r="I32" s="107">
        <f>'مستخلص 20'!K32</f>
        <v/>
      </c>
      <c r="J32" s="68" t="n"/>
      <c r="K32" s="101">
        <f>IF(J32="",I32,J32)</f>
        <v/>
      </c>
      <c r="L32" s="74">
        <f>'مستخلص 20'!N32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20'!H33</f>
        <v/>
      </c>
      <c r="G33" s="72" t="n"/>
      <c r="H33" s="84">
        <f>F33+G33</f>
        <v/>
      </c>
      <c r="I33" s="109">
        <f>'مستخلص 20'!K33</f>
        <v/>
      </c>
      <c r="J33" s="68" t="n"/>
      <c r="K33" s="103">
        <f>IF(J33="",I33,J33)</f>
        <v/>
      </c>
      <c r="L33" s="108">
        <f>'مستخلص 20'!N33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20'!H34</f>
        <v/>
      </c>
      <c r="G34" s="72" t="n"/>
      <c r="H34" s="27">
        <f>F34+G34</f>
        <v/>
      </c>
      <c r="I34" s="107">
        <f>'مستخلص 20'!K34</f>
        <v/>
      </c>
      <c r="J34" s="68" t="n"/>
      <c r="K34" s="101">
        <f>IF(J34="",I34,J34)</f>
        <v/>
      </c>
      <c r="L34" s="74">
        <f>'مستخلص 20'!N34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20'!H35</f>
        <v/>
      </c>
      <c r="G35" s="72" t="n"/>
      <c r="H35" s="84">
        <f>F35+G35</f>
        <v/>
      </c>
      <c r="I35" s="109">
        <f>'مستخلص 20'!K35</f>
        <v/>
      </c>
      <c r="J35" s="68" t="n"/>
      <c r="K35" s="103">
        <f>IF(J35="",I35,J35)</f>
        <v/>
      </c>
      <c r="L35" s="108">
        <f>'مستخلص 20'!N35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20'!H36</f>
        <v/>
      </c>
      <c r="G36" s="72" t="n"/>
      <c r="H36" s="27">
        <f>F36+G36</f>
        <v/>
      </c>
      <c r="I36" s="107">
        <f>'مستخلص 20'!K36</f>
        <v/>
      </c>
      <c r="J36" s="68" t="n"/>
      <c r="K36" s="101">
        <f>IF(J36="",I36,J36)</f>
        <v/>
      </c>
      <c r="L36" s="74">
        <f>'مستخلص 20'!N36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20'!H37</f>
        <v/>
      </c>
      <c r="G37" s="72" t="n"/>
      <c r="H37" s="84">
        <f>F37+G37</f>
        <v/>
      </c>
      <c r="I37" s="109">
        <f>'مستخلص 20'!K37</f>
        <v/>
      </c>
      <c r="J37" s="68" t="n"/>
      <c r="K37" s="103">
        <f>IF(J37="",I37,J37)</f>
        <v/>
      </c>
      <c r="L37" s="108">
        <f>'مستخلص 20'!N37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20'!H38</f>
        <v/>
      </c>
      <c r="G38" s="72" t="n"/>
      <c r="H38" s="27">
        <f>F38+G38</f>
        <v/>
      </c>
      <c r="I38" s="107">
        <f>'مستخلص 20'!K38</f>
        <v/>
      </c>
      <c r="J38" s="68" t="n"/>
      <c r="K38" s="101">
        <f>IF(J38="",I38,J38)</f>
        <v/>
      </c>
      <c r="L38" s="74">
        <f>'مستخلص 20'!N38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20'!H39</f>
        <v/>
      </c>
      <c r="G39" s="72" t="n"/>
      <c r="H39" s="84">
        <f>F39+G39</f>
        <v/>
      </c>
      <c r="I39" s="109">
        <f>'مستخلص 20'!K39</f>
        <v/>
      </c>
      <c r="J39" s="68" t="n"/>
      <c r="K39" s="103">
        <f>IF(J39="",I39,J39)</f>
        <v/>
      </c>
      <c r="L39" s="108">
        <f>'مستخلص 20'!N39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20'!H40</f>
        <v/>
      </c>
      <c r="G40" s="72" t="n"/>
      <c r="H40" s="27">
        <f>F40+G40</f>
        <v/>
      </c>
      <c r="I40" s="107">
        <f>'مستخلص 20'!K40</f>
        <v/>
      </c>
      <c r="J40" s="68" t="n"/>
      <c r="K40" s="101">
        <f>IF(J40="",I40,J40)</f>
        <v/>
      </c>
      <c r="L40" s="74">
        <f>'مستخلص 20'!N40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20'!H41</f>
        <v/>
      </c>
      <c r="G41" s="72" t="n"/>
      <c r="H41" s="84">
        <f>F41+G41</f>
        <v/>
      </c>
      <c r="I41" s="109">
        <f>'مستخلص 20'!K41</f>
        <v/>
      </c>
      <c r="J41" s="68" t="n"/>
      <c r="K41" s="103">
        <f>IF(J41="",I41,J41)</f>
        <v/>
      </c>
      <c r="L41" s="108">
        <f>'مستخلص 20'!N41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20'!H42</f>
        <v/>
      </c>
      <c r="G42" s="72" t="n"/>
      <c r="H42" s="27">
        <f>F42+G42</f>
        <v/>
      </c>
      <c r="I42" s="107">
        <f>'مستخلص 20'!K42</f>
        <v/>
      </c>
      <c r="J42" s="68" t="n"/>
      <c r="K42" s="101">
        <f>IF(J42="",I42,J42)</f>
        <v/>
      </c>
      <c r="L42" s="74">
        <f>'مستخلص 20'!N42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20'!H43</f>
        <v/>
      </c>
      <c r="G43" s="72" t="n"/>
      <c r="H43" s="84">
        <f>F43+G43</f>
        <v/>
      </c>
      <c r="I43" s="109">
        <f>'مستخلص 20'!K43</f>
        <v/>
      </c>
      <c r="J43" s="68" t="n"/>
      <c r="K43" s="103">
        <f>IF(J43="",I43,J43)</f>
        <v/>
      </c>
      <c r="L43" s="108">
        <f>'مستخلص 20'!N43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20'!H44</f>
        <v/>
      </c>
      <c r="G44" s="72" t="n"/>
      <c r="H44" s="27">
        <f>F44+G44</f>
        <v/>
      </c>
      <c r="I44" s="107">
        <f>'مستخلص 20'!K44</f>
        <v/>
      </c>
      <c r="J44" s="68" t="n"/>
      <c r="K44" s="101">
        <f>IF(J44="",I44,J44)</f>
        <v/>
      </c>
      <c r="L44" s="74">
        <f>'مستخلص 20'!N44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20'!H45</f>
        <v/>
      </c>
      <c r="G45" s="72" t="n"/>
      <c r="H45" s="84">
        <f>F45+G45</f>
        <v/>
      </c>
      <c r="I45" s="109">
        <f>'مستخلص 20'!K45</f>
        <v/>
      </c>
      <c r="J45" s="68" t="n"/>
      <c r="K45" s="103">
        <f>IF(J45="",I45,J45)</f>
        <v/>
      </c>
      <c r="L45" s="108">
        <f>'مستخلص 20'!N45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20'!H46</f>
        <v/>
      </c>
      <c r="G46" s="72" t="n"/>
      <c r="H46" s="27">
        <f>F46+G46</f>
        <v/>
      </c>
      <c r="I46" s="107">
        <f>'مستخلص 20'!K46</f>
        <v/>
      </c>
      <c r="J46" s="68" t="n"/>
      <c r="K46" s="101">
        <f>IF(J46="",I46,J46)</f>
        <v/>
      </c>
      <c r="L46" s="74">
        <f>'مستخلص 20'!N46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20'!H47</f>
        <v/>
      </c>
      <c r="G47" s="72" t="n"/>
      <c r="H47" s="84">
        <f>F47+G47</f>
        <v/>
      </c>
      <c r="I47" s="109">
        <f>'مستخلص 20'!K47</f>
        <v/>
      </c>
      <c r="J47" s="68" t="n"/>
      <c r="K47" s="103">
        <f>IF(J47="",I47,J47)</f>
        <v/>
      </c>
      <c r="L47" s="108">
        <f>'مستخلص 20'!N47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20'!H48</f>
        <v/>
      </c>
      <c r="G48" s="72" t="n"/>
      <c r="H48" s="27">
        <f>F48+G48</f>
        <v/>
      </c>
      <c r="I48" s="107">
        <f>'مستخلص 20'!K48</f>
        <v/>
      </c>
      <c r="J48" s="68" t="n"/>
      <c r="K48" s="101">
        <f>IF(J48="",I48,J48)</f>
        <v/>
      </c>
      <c r="L48" s="74">
        <f>'مستخلص 20'!N48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20'!H49</f>
        <v/>
      </c>
      <c r="G49" s="72" t="n"/>
      <c r="H49" s="84">
        <f>F49+G49</f>
        <v/>
      </c>
      <c r="I49" s="109">
        <f>'مستخلص 20'!K49</f>
        <v/>
      </c>
      <c r="J49" s="68" t="n"/>
      <c r="K49" s="103">
        <f>IF(J49="",I49,J49)</f>
        <v/>
      </c>
      <c r="L49" s="108">
        <f>'مستخلص 20'!N49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20'!H50</f>
        <v/>
      </c>
      <c r="G50" s="72" t="n"/>
      <c r="H50" s="27">
        <f>F50+G50</f>
        <v/>
      </c>
      <c r="I50" s="107">
        <f>'مستخلص 20'!K50</f>
        <v/>
      </c>
      <c r="J50" s="68" t="n"/>
      <c r="K50" s="101">
        <f>IF(J50="",I50,J50)</f>
        <v/>
      </c>
      <c r="L50" s="74">
        <f>'مستخلص 20'!N50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20'!H51</f>
        <v/>
      </c>
      <c r="G51" s="72" t="n"/>
      <c r="H51" s="84">
        <f>F51+G51</f>
        <v/>
      </c>
      <c r="I51" s="109">
        <f>'مستخلص 20'!K51</f>
        <v/>
      </c>
      <c r="J51" s="68" t="n"/>
      <c r="K51" s="103">
        <f>IF(J51="",I51,J51)</f>
        <v/>
      </c>
      <c r="L51" s="108">
        <f>'مستخلص 20'!N51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20'!H52</f>
        <v/>
      </c>
      <c r="G52" s="72" t="n"/>
      <c r="H52" s="27">
        <f>F52+G52</f>
        <v/>
      </c>
      <c r="I52" s="107">
        <f>'مستخلص 20'!K52</f>
        <v/>
      </c>
      <c r="J52" s="68" t="n"/>
      <c r="K52" s="101">
        <f>IF(J52="",I52,J52)</f>
        <v/>
      </c>
      <c r="L52" s="74">
        <f>'مستخلص 20'!N52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20'!H53</f>
        <v/>
      </c>
      <c r="G53" s="72" t="n"/>
      <c r="H53" s="84">
        <f>F53+G53</f>
        <v/>
      </c>
      <c r="I53" s="109">
        <f>'مستخلص 20'!K53</f>
        <v/>
      </c>
      <c r="J53" s="68" t="n"/>
      <c r="K53" s="103">
        <f>IF(J53="",I53,J53)</f>
        <v/>
      </c>
      <c r="L53" s="108">
        <f>'مستخلص 20'!N53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20'!H54</f>
        <v/>
      </c>
      <c r="G54" s="72" t="n"/>
      <c r="H54" s="27">
        <f>F54+G54</f>
        <v/>
      </c>
      <c r="I54" s="107">
        <f>'مستخلص 20'!K54</f>
        <v/>
      </c>
      <c r="J54" s="68" t="n"/>
      <c r="K54" s="101">
        <f>IF(J54="",I54,J54)</f>
        <v/>
      </c>
      <c r="L54" s="74">
        <f>'مستخلص 20'!N54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20'!H55</f>
        <v/>
      </c>
      <c r="G55" s="72" t="n"/>
      <c r="H55" s="84">
        <f>F55+G55</f>
        <v/>
      </c>
      <c r="I55" s="109">
        <f>'مستخلص 20'!K55</f>
        <v/>
      </c>
      <c r="J55" s="68" t="n"/>
      <c r="K55" s="103">
        <f>IF(J55="",I55,J55)</f>
        <v/>
      </c>
      <c r="L55" s="108">
        <f>'مستخلص 20'!N55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20'!H56</f>
        <v/>
      </c>
      <c r="G56" s="72" t="n"/>
      <c r="H56" s="27">
        <f>F56+G56</f>
        <v/>
      </c>
      <c r="I56" s="107">
        <f>'مستخلص 20'!K56</f>
        <v/>
      </c>
      <c r="J56" s="68" t="n"/>
      <c r="K56" s="101">
        <f>IF(J56="",I56,J56)</f>
        <v/>
      </c>
      <c r="L56" s="74">
        <f>'مستخلص 20'!N56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20'!H57</f>
        <v/>
      </c>
      <c r="G57" s="72" t="n"/>
      <c r="H57" s="84">
        <f>F57+G57</f>
        <v/>
      </c>
      <c r="I57" s="109">
        <f>'مستخلص 20'!K57</f>
        <v/>
      </c>
      <c r="J57" s="68" t="n"/>
      <c r="K57" s="103">
        <f>IF(J57="",I57,J57)</f>
        <v/>
      </c>
      <c r="L57" s="108">
        <f>'مستخلص 20'!N57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20'!H58</f>
        <v/>
      </c>
      <c r="G58" s="72" t="n"/>
      <c r="H58" s="27">
        <f>F58+G58</f>
        <v/>
      </c>
      <c r="I58" s="107">
        <f>'مستخلص 20'!K58</f>
        <v/>
      </c>
      <c r="J58" s="68" t="n"/>
      <c r="K58" s="101">
        <f>IF(J58="",I58,J58)</f>
        <v/>
      </c>
      <c r="L58" s="74">
        <f>'مستخلص 20'!N58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20'!H59</f>
        <v/>
      </c>
      <c r="G59" s="72" t="n"/>
      <c r="H59" s="84">
        <f>F59+G59</f>
        <v/>
      </c>
      <c r="I59" s="109">
        <f>'مستخلص 20'!K59</f>
        <v/>
      </c>
      <c r="J59" s="68" t="n"/>
      <c r="K59" s="103">
        <f>IF(J59="",I59,J59)</f>
        <v/>
      </c>
      <c r="L59" s="108">
        <f>'مستخلص 20'!N59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20'!H60</f>
        <v/>
      </c>
      <c r="G60" s="72" t="n"/>
      <c r="H60" s="27">
        <f>F60+G60</f>
        <v/>
      </c>
      <c r="I60" s="107">
        <f>'مستخلص 20'!K60</f>
        <v/>
      </c>
      <c r="J60" s="68" t="n"/>
      <c r="K60" s="101">
        <f>IF(J60="",I60,J60)</f>
        <v/>
      </c>
      <c r="L60" s="74">
        <f>'مستخلص 20'!N60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20'!H61</f>
        <v/>
      </c>
      <c r="G61" s="72" t="n"/>
      <c r="H61" s="84">
        <f>F61+G61</f>
        <v/>
      </c>
      <c r="I61" s="109">
        <f>'مستخلص 20'!K61</f>
        <v/>
      </c>
      <c r="J61" s="68" t="n"/>
      <c r="K61" s="103">
        <f>IF(J61="",I61,J61)</f>
        <v/>
      </c>
      <c r="L61" s="108">
        <f>'مستخلص 20'!N61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20'!H62</f>
        <v/>
      </c>
      <c r="G62" s="72" t="n"/>
      <c r="H62" s="27">
        <f>F62+G62</f>
        <v/>
      </c>
      <c r="I62" s="107">
        <f>'مستخلص 20'!K62</f>
        <v/>
      </c>
      <c r="J62" s="68" t="n"/>
      <c r="K62" s="101">
        <f>IF(J62="",I62,J62)</f>
        <v/>
      </c>
      <c r="L62" s="74">
        <f>'مستخلص 20'!N62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20'!H63</f>
        <v/>
      </c>
      <c r="G63" s="72" t="n"/>
      <c r="H63" s="84">
        <f>F63+G63</f>
        <v/>
      </c>
      <c r="I63" s="109">
        <f>'مستخلص 20'!K63</f>
        <v/>
      </c>
      <c r="J63" s="68" t="n"/>
      <c r="K63" s="103">
        <f>IF(J63="",I63,J63)</f>
        <v/>
      </c>
      <c r="L63" s="108">
        <f>'مستخلص 20'!N63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20'!H64</f>
        <v/>
      </c>
      <c r="G64" s="72" t="n"/>
      <c r="H64" s="27">
        <f>F64+G64</f>
        <v/>
      </c>
      <c r="I64" s="107">
        <f>'مستخلص 20'!K64</f>
        <v/>
      </c>
      <c r="J64" s="68" t="n"/>
      <c r="K64" s="101">
        <f>IF(J64="",I64,J64)</f>
        <v/>
      </c>
      <c r="L64" s="74">
        <f>'مستخلص 20'!N64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20'!H65</f>
        <v/>
      </c>
      <c r="G65" s="72" t="n"/>
      <c r="H65" s="84">
        <f>F65+G65</f>
        <v/>
      </c>
      <c r="I65" s="109">
        <f>'مستخلص 20'!K65</f>
        <v/>
      </c>
      <c r="J65" s="68" t="n"/>
      <c r="K65" s="103">
        <f>IF(J65="",I65,J65)</f>
        <v/>
      </c>
      <c r="L65" s="108">
        <f>'مستخلص 20'!N65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20'!H66</f>
        <v/>
      </c>
      <c r="G66" s="72" t="n"/>
      <c r="H66" s="27">
        <f>F66+G66</f>
        <v/>
      </c>
      <c r="I66" s="107">
        <f>'مستخلص 20'!K66</f>
        <v/>
      </c>
      <c r="J66" s="68" t="n"/>
      <c r="K66" s="101">
        <f>IF(J66="",I66,J66)</f>
        <v/>
      </c>
      <c r="L66" s="74">
        <f>'مستخلص 20'!N66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20'!H67</f>
        <v/>
      </c>
      <c r="G67" s="72" t="n"/>
      <c r="H67" s="84">
        <f>F67+G67</f>
        <v/>
      </c>
      <c r="I67" s="109">
        <f>'مستخلص 20'!K67</f>
        <v/>
      </c>
      <c r="J67" s="68" t="n"/>
      <c r="K67" s="103">
        <f>IF(J67="",I67,J67)</f>
        <v/>
      </c>
      <c r="L67" s="108">
        <f>'مستخلص 20'!N67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20'!H68</f>
        <v/>
      </c>
      <c r="G68" s="72" t="n"/>
      <c r="H68" s="27">
        <f>F68+G68</f>
        <v/>
      </c>
      <c r="I68" s="107">
        <f>'مستخلص 20'!K68</f>
        <v/>
      </c>
      <c r="J68" s="68" t="n"/>
      <c r="K68" s="101">
        <f>IF(J68="",I68,J68)</f>
        <v/>
      </c>
      <c r="L68" s="74">
        <f>'مستخلص 20'!N68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20'!H69</f>
        <v/>
      </c>
      <c r="G69" s="72" t="n"/>
      <c r="H69" s="84">
        <f>F69+G69</f>
        <v/>
      </c>
      <c r="I69" s="109">
        <f>'مستخلص 20'!K69</f>
        <v/>
      </c>
      <c r="J69" s="68" t="n"/>
      <c r="K69" s="103">
        <f>IF(J69="",I69,J69)</f>
        <v/>
      </c>
      <c r="L69" s="108">
        <f>'مستخلص 20'!N69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20'!H70</f>
        <v/>
      </c>
      <c r="G70" s="72" t="n"/>
      <c r="H70" s="27">
        <f>F70+G70</f>
        <v/>
      </c>
      <c r="I70" s="107">
        <f>'مستخلص 20'!K70</f>
        <v/>
      </c>
      <c r="J70" s="68" t="n"/>
      <c r="K70" s="101">
        <f>IF(J70="",I70,J70)</f>
        <v/>
      </c>
      <c r="L70" s="74">
        <f>'مستخلص 20'!N70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20'!H71</f>
        <v/>
      </c>
      <c r="G71" s="72" t="n"/>
      <c r="H71" s="84">
        <f>F71+G71</f>
        <v/>
      </c>
      <c r="I71" s="109">
        <f>'مستخلص 20'!K71</f>
        <v/>
      </c>
      <c r="J71" s="68" t="n"/>
      <c r="K71" s="103">
        <f>IF(J71="",I71,J71)</f>
        <v/>
      </c>
      <c r="L71" s="108">
        <f>'مستخلص 20'!N71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20'!H72</f>
        <v/>
      </c>
      <c r="G72" s="72" t="n"/>
      <c r="H72" s="27">
        <f>F72+G72</f>
        <v/>
      </c>
      <c r="I72" s="107">
        <f>'مستخلص 20'!K72</f>
        <v/>
      </c>
      <c r="J72" s="68" t="n"/>
      <c r="K72" s="101">
        <f>IF(J72="",I72,J72)</f>
        <v/>
      </c>
      <c r="L72" s="74">
        <f>'مستخلص 20'!N72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20'!H73</f>
        <v/>
      </c>
      <c r="G73" s="72" t="n"/>
      <c r="H73" s="84">
        <f>F73+G73</f>
        <v/>
      </c>
      <c r="I73" s="109">
        <f>'مستخلص 20'!K73</f>
        <v/>
      </c>
      <c r="J73" s="68" t="n"/>
      <c r="K73" s="103">
        <f>IF(J73="",I73,J73)</f>
        <v/>
      </c>
      <c r="L73" s="108">
        <f>'مستخلص 20'!N73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20'!H74</f>
        <v/>
      </c>
      <c r="G74" s="72" t="n"/>
      <c r="H74" s="27">
        <f>F74+G74</f>
        <v/>
      </c>
      <c r="I74" s="107">
        <f>'مستخلص 20'!K74</f>
        <v/>
      </c>
      <c r="J74" s="68" t="n"/>
      <c r="K74" s="101">
        <f>IF(J74="",I74,J74)</f>
        <v/>
      </c>
      <c r="L74" s="74">
        <f>'مستخلص 20'!N74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20'!H75</f>
        <v/>
      </c>
      <c r="G75" s="72" t="n"/>
      <c r="H75" s="84">
        <f>F75+G75</f>
        <v/>
      </c>
      <c r="I75" s="109">
        <f>'مستخلص 20'!K75</f>
        <v/>
      </c>
      <c r="J75" s="68" t="n"/>
      <c r="K75" s="103">
        <f>IF(J75="",I75,J75)</f>
        <v/>
      </c>
      <c r="L75" s="108">
        <f>'مستخلص 20'!N75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20'!H76</f>
        <v/>
      </c>
      <c r="G76" s="72" t="n"/>
      <c r="H76" s="27">
        <f>F76+G76</f>
        <v/>
      </c>
      <c r="I76" s="107">
        <f>'مستخلص 20'!K76</f>
        <v/>
      </c>
      <c r="J76" s="68" t="n"/>
      <c r="K76" s="101">
        <f>IF(J76="",I76,J76)</f>
        <v/>
      </c>
      <c r="L76" s="74">
        <f>'مستخلص 20'!N76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20'!H77</f>
        <v/>
      </c>
      <c r="G77" s="72" t="n"/>
      <c r="H77" s="84">
        <f>F77+G77</f>
        <v/>
      </c>
      <c r="I77" s="109">
        <f>'مستخلص 20'!K77</f>
        <v/>
      </c>
      <c r="J77" s="68" t="n"/>
      <c r="K77" s="103">
        <f>IF(J77="",I77,J77)</f>
        <v/>
      </c>
      <c r="L77" s="108">
        <f>'مستخلص 20'!N77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20'!H78</f>
        <v/>
      </c>
      <c r="G78" s="72" t="n"/>
      <c r="H78" s="27">
        <f>F78+G78</f>
        <v/>
      </c>
      <c r="I78" s="107">
        <f>'مستخلص 20'!K78</f>
        <v/>
      </c>
      <c r="J78" s="68" t="n"/>
      <c r="K78" s="101">
        <f>IF(J78="",I78,J78)</f>
        <v/>
      </c>
      <c r="L78" s="74">
        <f>'مستخلص 20'!N78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20'!H79</f>
        <v/>
      </c>
      <c r="G79" s="72" t="n"/>
      <c r="H79" s="84">
        <f>F79+G79</f>
        <v/>
      </c>
      <c r="I79" s="109">
        <f>'مستخلص 20'!K79</f>
        <v/>
      </c>
      <c r="J79" s="68" t="n"/>
      <c r="K79" s="103">
        <f>IF(J79="",I79,J79)</f>
        <v/>
      </c>
      <c r="L79" s="108">
        <f>'مستخلص 20'!N79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20'!H80</f>
        <v/>
      </c>
      <c r="G80" s="72" t="n"/>
      <c r="H80" s="27">
        <f>F80+G80</f>
        <v/>
      </c>
      <c r="I80" s="107">
        <f>'مستخلص 20'!K80</f>
        <v/>
      </c>
      <c r="J80" s="68" t="n"/>
      <c r="K80" s="101">
        <f>IF(J80="",I80,J80)</f>
        <v/>
      </c>
      <c r="L80" s="74">
        <f>'مستخلص 20'!N80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20'!H81</f>
        <v/>
      </c>
      <c r="G81" s="72" t="n"/>
      <c r="H81" s="84">
        <f>F81+G81</f>
        <v/>
      </c>
      <c r="I81" s="109">
        <f>'مستخلص 20'!K81</f>
        <v/>
      </c>
      <c r="J81" s="68" t="n"/>
      <c r="K81" s="103">
        <f>IF(J81="",I81,J81)</f>
        <v/>
      </c>
      <c r="L81" s="108">
        <f>'مستخلص 20'!N81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20'!H82</f>
        <v/>
      </c>
      <c r="G82" s="72" t="n"/>
      <c r="H82" s="27">
        <f>F82+G82</f>
        <v/>
      </c>
      <c r="I82" s="107">
        <f>'مستخلص 20'!K82</f>
        <v/>
      </c>
      <c r="J82" s="68" t="n"/>
      <c r="K82" s="101">
        <f>IF(J82="",I82,J82)</f>
        <v/>
      </c>
      <c r="L82" s="74">
        <f>'مستخلص 20'!N82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20'!H83</f>
        <v/>
      </c>
      <c r="G83" s="72" t="n"/>
      <c r="H83" s="84">
        <f>F83+G83</f>
        <v/>
      </c>
      <c r="I83" s="109">
        <f>'مستخلص 20'!K83</f>
        <v/>
      </c>
      <c r="J83" s="68" t="n"/>
      <c r="K83" s="103">
        <f>IF(J83="",I83,J83)</f>
        <v/>
      </c>
      <c r="L83" s="108">
        <f>'مستخلص 20'!N83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20'!H84</f>
        <v/>
      </c>
      <c r="G84" s="72" t="n"/>
      <c r="H84" s="27">
        <f>F84+G84</f>
        <v/>
      </c>
      <c r="I84" s="107">
        <f>'مستخلص 20'!K84</f>
        <v/>
      </c>
      <c r="J84" s="68" t="n"/>
      <c r="K84" s="101">
        <f>IF(J84="",I84,J84)</f>
        <v/>
      </c>
      <c r="L84" s="74">
        <f>'مستخلص 20'!N84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20'!H85</f>
        <v/>
      </c>
      <c r="G85" s="72" t="n"/>
      <c r="H85" s="84">
        <f>F85+G85</f>
        <v/>
      </c>
      <c r="I85" s="109">
        <f>'مستخلص 20'!K85</f>
        <v/>
      </c>
      <c r="J85" s="68" t="n"/>
      <c r="K85" s="103">
        <f>IF(J85="",I85,J85)</f>
        <v/>
      </c>
      <c r="L85" s="108">
        <f>'مستخلص 20'!N85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20'!H86</f>
        <v/>
      </c>
      <c r="G86" s="72" t="n"/>
      <c r="H86" s="27">
        <f>F86+G86</f>
        <v/>
      </c>
      <c r="I86" s="107">
        <f>'مستخلص 20'!K86</f>
        <v/>
      </c>
      <c r="J86" s="68" t="n"/>
      <c r="K86" s="101">
        <f>IF(J86="",I86,J86)</f>
        <v/>
      </c>
      <c r="L86" s="74">
        <f>'مستخلص 20'!N86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20'!H87</f>
        <v/>
      </c>
      <c r="G87" s="72" t="n"/>
      <c r="H87" s="84">
        <f>F87+G87</f>
        <v/>
      </c>
      <c r="I87" s="109">
        <f>'مستخلص 20'!K87</f>
        <v/>
      </c>
      <c r="J87" s="68" t="n"/>
      <c r="K87" s="103">
        <f>IF(J87="",I87,J87)</f>
        <v/>
      </c>
      <c r="L87" s="108">
        <f>'مستخلص 20'!N87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20'!H88</f>
        <v/>
      </c>
      <c r="G88" s="72" t="n"/>
      <c r="H88" s="27">
        <f>F88+G88</f>
        <v/>
      </c>
      <c r="I88" s="107">
        <f>'مستخلص 20'!K88</f>
        <v/>
      </c>
      <c r="J88" s="68" t="n"/>
      <c r="K88" s="101">
        <f>IF(J88="",I88,J88)</f>
        <v/>
      </c>
      <c r="L88" s="74">
        <f>'مستخلص 20'!N88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20'!H89</f>
        <v/>
      </c>
      <c r="G89" s="72" t="n"/>
      <c r="H89" s="84">
        <f>F89+G89</f>
        <v/>
      </c>
      <c r="I89" s="109">
        <f>'مستخلص 20'!K89</f>
        <v/>
      </c>
      <c r="J89" s="68" t="n"/>
      <c r="K89" s="103">
        <f>IF(J89="",I89,J89)</f>
        <v/>
      </c>
      <c r="L89" s="108">
        <f>'مستخلص 20'!N89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20'!H90</f>
        <v/>
      </c>
      <c r="G90" s="72" t="n"/>
      <c r="H90" s="27">
        <f>F90+G90</f>
        <v/>
      </c>
      <c r="I90" s="107">
        <f>'مستخلص 20'!K90</f>
        <v/>
      </c>
      <c r="J90" s="68" t="n"/>
      <c r="K90" s="101">
        <f>IF(J90="",I90,J90)</f>
        <v/>
      </c>
      <c r="L90" s="74">
        <f>'مستخلص 20'!N90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20'!H91</f>
        <v/>
      </c>
      <c r="G91" s="72" t="n"/>
      <c r="H91" s="84">
        <f>F91+G91</f>
        <v/>
      </c>
      <c r="I91" s="109">
        <f>'مستخلص 20'!K91</f>
        <v/>
      </c>
      <c r="J91" s="68" t="n"/>
      <c r="K91" s="103">
        <f>IF(J91="",I91,J91)</f>
        <v/>
      </c>
      <c r="L91" s="108">
        <f>'مستخلص 20'!N91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20'!H92</f>
        <v/>
      </c>
      <c r="G92" s="72" t="n"/>
      <c r="H92" s="27">
        <f>F92+G92</f>
        <v/>
      </c>
      <c r="I92" s="107">
        <f>'مستخلص 20'!K92</f>
        <v/>
      </c>
      <c r="J92" s="68" t="n"/>
      <c r="K92" s="101">
        <f>IF(J92="",I92,J92)</f>
        <v/>
      </c>
      <c r="L92" s="74">
        <f>'مستخلص 20'!N92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20'!H93</f>
        <v/>
      </c>
      <c r="G93" s="72" t="n"/>
      <c r="H93" s="84">
        <f>F93+G93</f>
        <v/>
      </c>
      <c r="I93" s="109">
        <f>'مستخلص 20'!K93</f>
        <v/>
      </c>
      <c r="J93" s="68" t="n"/>
      <c r="K93" s="103">
        <f>IF(J93="",I93,J93)</f>
        <v/>
      </c>
      <c r="L93" s="108">
        <f>'مستخلص 20'!N93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20'!H94</f>
        <v/>
      </c>
      <c r="G94" s="72" t="n"/>
      <c r="H94" s="27">
        <f>F94+G94</f>
        <v/>
      </c>
      <c r="I94" s="107">
        <f>'مستخلص 20'!K94</f>
        <v/>
      </c>
      <c r="J94" s="68" t="n"/>
      <c r="K94" s="101">
        <f>IF(J94="",I94,J94)</f>
        <v/>
      </c>
      <c r="L94" s="74">
        <f>'مستخلص 20'!N94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20'!H95</f>
        <v/>
      </c>
      <c r="G95" s="72" t="n"/>
      <c r="H95" s="84">
        <f>F95+G95</f>
        <v/>
      </c>
      <c r="I95" s="109">
        <f>'مستخلص 20'!K95</f>
        <v/>
      </c>
      <c r="J95" s="68" t="n"/>
      <c r="K95" s="103">
        <f>IF(J95="",I95,J95)</f>
        <v/>
      </c>
      <c r="L95" s="108">
        <f>'مستخلص 20'!N95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20'!H96</f>
        <v/>
      </c>
      <c r="G96" s="72" t="n"/>
      <c r="H96" s="27">
        <f>F96+G96</f>
        <v/>
      </c>
      <c r="I96" s="107">
        <f>'مستخلص 20'!K96</f>
        <v/>
      </c>
      <c r="J96" s="68" t="n"/>
      <c r="K96" s="101">
        <f>IF(J96="",I96,J96)</f>
        <v/>
      </c>
      <c r="L96" s="74">
        <f>'مستخلص 20'!N96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20'!H97</f>
        <v/>
      </c>
      <c r="G97" s="72" t="n"/>
      <c r="H97" s="84">
        <f>F97+G97</f>
        <v/>
      </c>
      <c r="I97" s="109">
        <f>'مستخلص 20'!K97</f>
        <v/>
      </c>
      <c r="J97" s="68" t="n"/>
      <c r="K97" s="103">
        <f>IF(J97="",I97,J97)</f>
        <v/>
      </c>
      <c r="L97" s="108">
        <f>'مستخلص 20'!N97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20'!H98</f>
        <v/>
      </c>
      <c r="G98" s="72" t="n"/>
      <c r="H98" s="27">
        <f>F98+G98</f>
        <v/>
      </c>
      <c r="I98" s="107">
        <f>'مستخلص 20'!K98</f>
        <v/>
      </c>
      <c r="J98" s="68" t="n"/>
      <c r="K98" s="101">
        <f>IF(J98="",I98,J98)</f>
        <v/>
      </c>
      <c r="L98" s="74">
        <f>'مستخلص 20'!N98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20'!H99</f>
        <v/>
      </c>
      <c r="G99" s="72" t="n"/>
      <c r="H99" s="84">
        <f>F99+G99</f>
        <v/>
      </c>
      <c r="I99" s="109">
        <f>'مستخلص 20'!K99</f>
        <v/>
      </c>
      <c r="J99" s="68" t="n"/>
      <c r="K99" s="103">
        <f>IF(J99="",I99,J99)</f>
        <v/>
      </c>
      <c r="L99" s="108">
        <f>'مستخلص 20'!N99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20'!H100</f>
        <v/>
      </c>
      <c r="G100" s="72" t="n"/>
      <c r="H100" s="27">
        <f>F100+G100</f>
        <v/>
      </c>
      <c r="I100" s="107">
        <f>'مستخلص 20'!K100</f>
        <v/>
      </c>
      <c r="J100" s="68" t="n"/>
      <c r="K100" s="101">
        <f>IF(J100="",I100,J100)</f>
        <v/>
      </c>
      <c r="L100" s="74">
        <f>'مستخلص 20'!N100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20'!H101</f>
        <v/>
      </c>
      <c r="G101" s="72" t="n"/>
      <c r="H101" s="84">
        <f>F101+G101</f>
        <v/>
      </c>
      <c r="I101" s="109">
        <f>'مستخلص 20'!K101</f>
        <v/>
      </c>
      <c r="J101" s="68" t="n"/>
      <c r="K101" s="103">
        <f>IF(J101="",I101,J101)</f>
        <v/>
      </c>
      <c r="L101" s="108">
        <f>'مستخلص 20'!N101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20'!H102</f>
        <v/>
      </c>
      <c r="G102" s="72" t="n"/>
      <c r="H102" s="27">
        <f>F102+G102</f>
        <v/>
      </c>
      <c r="I102" s="107">
        <f>'مستخلص 20'!K102</f>
        <v/>
      </c>
      <c r="J102" s="68" t="n"/>
      <c r="K102" s="101">
        <f>IF(J102="",I102,J102)</f>
        <v/>
      </c>
      <c r="L102" s="74">
        <f>'مستخلص 20'!N102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20'!H103</f>
        <v/>
      </c>
      <c r="G103" s="72" t="n"/>
      <c r="H103" s="84">
        <f>F103+G103</f>
        <v/>
      </c>
      <c r="I103" s="109">
        <f>'مستخلص 20'!K103</f>
        <v/>
      </c>
      <c r="J103" s="68" t="n"/>
      <c r="K103" s="103">
        <f>IF(J103="",I103,J103)</f>
        <v/>
      </c>
      <c r="L103" s="108">
        <f>'مستخلص 20'!N103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20'!H104</f>
        <v/>
      </c>
      <c r="G104" s="72" t="n"/>
      <c r="H104" s="27">
        <f>F104+G104</f>
        <v/>
      </c>
      <c r="I104" s="107">
        <f>'مستخلص 20'!K104</f>
        <v/>
      </c>
      <c r="J104" s="68" t="n"/>
      <c r="K104" s="101">
        <f>IF(J104="",I104,J104)</f>
        <v/>
      </c>
      <c r="L104" s="74">
        <f>'مستخلص 20'!N104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20'!H105</f>
        <v/>
      </c>
      <c r="G105" s="72" t="n"/>
      <c r="H105" s="84">
        <f>F105+G105</f>
        <v/>
      </c>
      <c r="I105" s="109">
        <f>'مستخلص 20'!K105</f>
        <v/>
      </c>
      <c r="J105" s="68" t="n"/>
      <c r="K105" s="103">
        <f>IF(J105="",I105,J105)</f>
        <v/>
      </c>
      <c r="L105" s="108">
        <f>'مستخلص 20'!N105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20'!H106</f>
        <v/>
      </c>
      <c r="G106" s="72" t="n"/>
      <c r="H106" s="27">
        <f>F106+G106</f>
        <v/>
      </c>
      <c r="I106" s="107">
        <f>'مستخلص 20'!K106</f>
        <v/>
      </c>
      <c r="J106" s="68" t="n"/>
      <c r="K106" s="101">
        <f>IF(J106="",I106,J106)</f>
        <v/>
      </c>
      <c r="L106" s="74">
        <f>'مستخلص 20'!N106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20'!H107</f>
        <v/>
      </c>
      <c r="G107" s="72" t="n"/>
      <c r="H107" s="84">
        <f>F107+G107</f>
        <v/>
      </c>
      <c r="I107" s="109">
        <f>'مستخلص 20'!K107</f>
        <v/>
      </c>
      <c r="J107" s="68" t="n"/>
      <c r="K107" s="103">
        <f>IF(J107="",I107,J107)</f>
        <v/>
      </c>
      <c r="L107" s="108">
        <f>'مستخلص 20'!N107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20'!N111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20'!N112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20'!N113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20'!N114</f>
        <v/>
      </c>
      <c r="M114" s="27">
        <f>'الدفعات المقدمة'!I45</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20'!N115</f>
        <v/>
      </c>
      <c r="M115" s="27">
        <f>'ضمان الأعمال'!I36</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20'!N116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20'!N117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20'!N118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0'!A1" display="◀ المستخلص السابق (20)"/>
    <hyperlink ref="N3" location="'مستخلص 22'!A1" display="المستخلص التالي (22)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( 22 )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(21)</t>
        </is>
      </c>
      <c r="M3" s="4" t="n"/>
      <c r="N3" s="4" t="inlineStr">
        <is>
          <t>المستخلص التالي (23) ▶</t>
        </is>
      </c>
      <c r="O3" s="4" t="n"/>
      <c r="P3" s="4" t="n"/>
    </row>
    <row r="4" ht="24" customHeight="1">
      <c r="A4" s="96" t="inlineStr">
        <is>
          <t>رقم</t>
        </is>
      </c>
      <c r="B4" s="97" t="n">
        <v>22</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21'!H8</f>
        <v/>
      </c>
      <c r="G8" s="72" t="n"/>
      <c r="H8" s="27">
        <f>F8+G8</f>
        <v/>
      </c>
      <c r="I8" s="107">
        <f>'مستخلص 21'!K8</f>
        <v/>
      </c>
      <c r="J8" s="68" t="n"/>
      <c r="K8" s="101">
        <f>IF(J8="",I8,J8)</f>
        <v/>
      </c>
      <c r="L8" s="74">
        <f>'مستخلص 21'!N8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21'!H9</f>
        <v/>
      </c>
      <c r="G9" s="72" t="n"/>
      <c r="H9" s="84">
        <f>F9+G9</f>
        <v/>
      </c>
      <c r="I9" s="109">
        <f>'مستخلص 21'!K9</f>
        <v/>
      </c>
      <c r="J9" s="68" t="n"/>
      <c r="K9" s="103">
        <f>IF(J9="",I9,J9)</f>
        <v/>
      </c>
      <c r="L9" s="108">
        <f>'مستخلص 21'!N9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21'!H10</f>
        <v/>
      </c>
      <c r="G10" s="72" t="n"/>
      <c r="H10" s="27">
        <f>F10+G10</f>
        <v/>
      </c>
      <c r="I10" s="107">
        <f>'مستخلص 21'!K10</f>
        <v/>
      </c>
      <c r="J10" s="68" t="n"/>
      <c r="K10" s="101">
        <f>IF(J10="",I10,J10)</f>
        <v/>
      </c>
      <c r="L10" s="74">
        <f>'مستخلص 21'!N10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21'!H11</f>
        <v/>
      </c>
      <c r="G11" s="72" t="n"/>
      <c r="H11" s="84">
        <f>F11+G11</f>
        <v/>
      </c>
      <c r="I11" s="109">
        <f>'مستخلص 21'!K11</f>
        <v/>
      </c>
      <c r="J11" s="68" t="n"/>
      <c r="K11" s="103">
        <f>IF(J11="",I11,J11)</f>
        <v/>
      </c>
      <c r="L11" s="108">
        <f>'مستخلص 21'!N11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21'!H12</f>
        <v/>
      </c>
      <c r="G12" s="72" t="n"/>
      <c r="H12" s="27">
        <f>F12+G12</f>
        <v/>
      </c>
      <c r="I12" s="107">
        <f>'مستخلص 21'!K12</f>
        <v/>
      </c>
      <c r="J12" s="68" t="n"/>
      <c r="K12" s="101">
        <f>IF(J12="",I12,J12)</f>
        <v/>
      </c>
      <c r="L12" s="74">
        <f>'مستخلص 21'!N12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21'!H13</f>
        <v/>
      </c>
      <c r="G13" s="72" t="n"/>
      <c r="H13" s="84">
        <f>F13+G13</f>
        <v/>
      </c>
      <c r="I13" s="109">
        <f>'مستخلص 21'!K13</f>
        <v/>
      </c>
      <c r="J13" s="68" t="n"/>
      <c r="K13" s="103">
        <f>IF(J13="",I13,J13)</f>
        <v/>
      </c>
      <c r="L13" s="108">
        <f>'مستخلص 21'!N13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21'!H14</f>
        <v/>
      </c>
      <c r="G14" s="72" t="n"/>
      <c r="H14" s="27">
        <f>F14+G14</f>
        <v/>
      </c>
      <c r="I14" s="107">
        <f>'مستخلص 21'!K14</f>
        <v/>
      </c>
      <c r="J14" s="68" t="n"/>
      <c r="K14" s="101">
        <f>IF(J14="",I14,J14)</f>
        <v/>
      </c>
      <c r="L14" s="74">
        <f>'مستخلص 21'!N14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21'!H15</f>
        <v/>
      </c>
      <c r="G15" s="72" t="n"/>
      <c r="H15" s="84">
        <f>F15+G15</f>
        <v/>
      </c>
      <c r="I15" s="109">
        <f>'مستخلص 21'!K15</f>
        <v/>
      </c>
      <c r="J15" s="68" t="n"/>
      <c r="K15" s="103">
        <f>IF(J15="",I15,J15)</f>
        <v/>
      </c>
      <c r="L15" s="108">
        <f>'مستخلص 21'!N15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21'!H16</f>
        <v/>
      </c>
      <c r="G16" s="72" t="n"/>
      <c r="H16" s="27">
        <f>F16+G16</f>
        <v/>
      </c>
      <c r="I16" s="107">
        <f>'مستخلص 21'!K16</f>
        <v/>
      </c>
      <c r="J16" s="68" t="n"/>
      <c r="K16" s="101">
        <f>IF(J16="",I16,J16)</f>
        <v/>
      </c>
      <c r="L16" s="74">
        <f>'مستخلص 21'!N16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21'!H17</f>
        <v/>
      </c>
      <c r="G17" s="72" t="n"/>
      <c r="H17" s="84">
        <f>F17+G17</f>
        <v/>
      </c>
      <c r="I17" s="109">
        <f>'مستخلص 21'!K17</f>
        <v/>
      </c>
      <c r="J17" s="68" t="n"/>
      <c r="K17" s="103">
        <f>IF(J17="",I17,J17)</f>
        <v/>
      </c>
      <c r="L17" s="108">
        <f>'مستخلص 21'!N17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21'!H18</f>
        <v/>
      </c>
      <c r="G18" s="72" t="n"/>
      <c r="H18" s="27">
        <f>F18+G18</f>
        <v/>
      </c>
      <c r="I18" s="107">
        <f>'مستخلص 21'!K18</f>
        <v/>
      </c>
      <c r="J18" s="68" t="n"/>
      <c r="K18" s="101">
        <f>IF(J18="",I18,J18)</f>
        <v/>
      </c>
      <c r="L18" s="74">
        <f>'مستخلص 21'!N18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21'!H19</f>
        <v/>
      </c>
      <c r="G19" s="72" t="n"/>
      <c r="H19" s="84">
        <f>F19+G19</f>
        <v/>
      </c>
      <c r="I19" s="109">
        <f>'مستخلص 21'!K19</f>
        <v/>
      </c>
      <c r="J19" s="68" t="n"/>
      <c r="K19" s="103">
        <f>IF(J19="",I19,J19)</f>
        <v/>
      </c>
      <c r="L19" s="108">
        <f>'مستخلص 21'!N19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21'!H20</f>
        <v/>
      </c>
      <c r="G20" s="72" t="n"/>
      <c r="H20" s="27">
        <f>F20+G20</f>
        <v/>
      </c>
      <c r="I20" s="107">
        <f>'مستخلص 21'!K20</f>
        <v/>
      </c>
      <c r="J20" s="68" t="n"/>
      <c r="K20" s="101">
        <f>IF(J20="",I20,J20)</f>
        <v/>
      </c>
      <c r="L20" s="74">
        <f>'مستخلص 21'!N20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21'!H21</f>
        <v/>
      </c>
      <c r="G21" s="72" t="n"/>
      <c r="H21" s="84">
        <f>F21+G21</f>
        <v/>
      </c>
      <c r="I21" s="109">
        <f>'مستخلص 21'!K21</f>
        <v/>
      </c>
      <c r="J21" s="68" t="n"/>
      <c r="K21" s="103">
        <f>IF(J21="",I21,J21)</f>
        <v/>
      </c>
      <c r="L21" s="108">
        <f>'مستخلص 21'!N21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21'!H22</f>
        <v/>
      </c>
      <c r="G22" s="72" t="n"/>
      <c r="H22" s="27">
        <f>F22+G22</f>
        <v/>
      </c>
      <c r="I22" s="107">
        <f>'مستخلص 21'!K22</f>
        <v/>
      </c>
      <c r="J22" s="68" t="n"/>
      <c r="K22" s="101">
        <f>IF(J22="",I22,J22)</f>
        <v/>
      </c>
      <c r="L22" s="74">
        <f>'مستخلص 21'!N22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21'!H23</f>
        <v/>
      </c>
      <c r="G23" s="72" t="n"/>
      <c r="H23" s="84">
        <f>F23+G23</f>
        <v/>
      </c>
      <c r="I23" s="109">
        <f>'مستخلص 21'!K23</f>
        <v/>
      </c>
      <c r="J23" s="68" t="n"/>
      <c r="K23" s="103">
        <f>IF(J23="",I23,J23)</f>
        <v/>
      </c>
      <c r="L23" s="108">
        <f>'مستخلص 21'!N23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21'!H24</f>
        <v/>
      </c>
      <c r="G24" s="72" t="n"/>
      <c r="H24" s="27">
        <f>F24+G24</f>
        <v/>
      </c>
      <c r="I24" s="107">
        <f>'مستخلص 21'!K24</f>
        <v/>
      </c>
      <c r="J24" s="68" t="n"/>
      <c r="K24" s="101">
        <f>IF(J24="",I24,J24)</f>
        <v/>
      </c>
      <c r="L24" s="74">
        <f>'مستخلص 21'!N24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21'!H25</f>
        <v/>
      </c>
      <c r="G25" s="72" t="n"/>
      <c r="H25" s="84">
        <f>F25+G25</f>
        <v/>
      </c>
      <c r="I25" s="109">
        <f>'مستخلص 21'!K25</f>
        <v/>
      </c>
      <c r="J25" s="68" t="n"/>
      <c r="K25" s="103">
        <f>IF(J25="",I25,J25)</f>
        <v/>
      </c>
      <c r="L25" s="108">
        <f>'مستخلص 21'!N25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21'!H26</f>
        <v/>
      </c>
      <c r="G26" s="72" t="n"/>
      <c r="H26" s="27">
        <f>F26+G26</f>
        <v/>
      </c>
      <c r="I26" s="107">
        <f>'مستخلص 21'!K26</f>
        <v/>
      </c>
      <c r="J26" s="68" t="n"/>
      <c r="K26" s="101">
        <f>IF(J26="",I26,J26)</f>
        <v/>
      </c>
      <c r="L26" s="74">
        <f>'مستخلص 21'!N26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21'!H27</f>
        <v/>
      </c>
      <c r="G27" s="72" t="n"/>
      <c r="H27" s="84">
        <f>F27+G27</f>
        <v/>
      </c>
      <c r="I27" s="109">
        <f>'مستخلص 21'!K27</f>
        <v/>
      </c>
      <c r="J27" s="68" t="n"/>
      <c r="K27" s="103">
        <f>IF(J27="",I27,J27)</f>
        <v/>
      </c>
      <c r="L27" s="108">
        <f>'مستخلص 21'!N27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21'!H28</f>
        <v/>
      </c>
      <c r="G28" s="72" t="n"/>
      <c r="H28" s="27">
        <f>F28+G28</f>
        <v/>
      </c>
      <c r="I28" s="107">
        <f>'مستخلص 21'!K28</f>
        <v/>
      </c>
      <c r="J28" s="68" t="n"/>
      <c r="K28" s="101">
        <f>IF(J28="",I28,J28)</f>
        <v/>
      </c>
      <c r="L28" s="74">
        <f>'مستخلص 21'!N28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21'!H29</f>
        <v/>
      </c>
      <c r="G29" s="72" t="n"/>
      <c r="H29" s="84">
        <f>F29+G29</f>
        <v/>
      </c>
      <c r="I29" s="109">
        <f>'مستخلص 21'!K29</f>
        <v/>
      </c>
      <c r="J29" s="68" t="n"/>
      <c r="K29" s="103">
        <f>IF(J29="",I29,J29)</f>
        <v/>
      </c>
      <c r="L29" s="108">
        <f>'مستخلص 21'!N29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21'!H30</f>
        <v/>
      </c>
      <c r="G30" s="72" t="n"/>
      <c r="H30" s="27">
        <f>F30+G30</f>
        <v/>
      </c>
      <c r="I30" s="107">
        <f>'مستخلص 21'!K30</f>
        <v/>
      </c>
      <c r="J30" s="68" t="n"/>
      <c r="K30" s="101">
        <f>IF(J30="",I30,J30)</f>
        <v/>
      </c>
      <c r="L30" s="74">
        <f>'مستخلص 21'!N30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21'!H31</f>
        <v/>
      </c>
      <c r="G31" s="72" t="n"/>
      <c r="H31" s="84">
        <f>F31+G31</f>
        <v/>
      </c>
      <c r="I31" s="109">
        <f>'مستخلص 21'!K31</f>
        <v/>
      </c>
      <c r="J31" s="68" t="n"/>
      <c r="K31" s="103">
        <f>IF(J31="",I31,J31)</f>
        <v/>
      </c>
      <c r="L31" s="108">
        <f>'مستخلص 21'!N31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21'!H32</f>
        <v/>
      </c>
      <c r="G32" s="72" t="n"/>
      <c r="H32" s="27">
        <f>F32+G32</f>
        <v/>
      </c>
      <c r="I32" s="107">
        <f>'مستخلص 21'!K32</f>
        <v/>
      </c>
      <c r="J32" s="68" t="n"/>
      <c r="K32" s="101">
        <f>IF(J32="",I32,J32)</f>
        <v/>
      </c>
      <c r="L32" s="74">
        <f>'مستخلص 21'!N32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21'!H33</f>
        <v/>
      </c>
      <c r="G33" s="72" t="n"/>
      <c r="H33" s="84">
        <f>F33+G33</f>
        <v/>
      </c>
      <c r="I33" s="109">
        <f>'مستخلص 21'!K33</f>
        <v/>
      </c>
      <c r="J33" s="68" t="n"/>
      <c r="K33" s="103">
        <f>IF(J33="",I33,J33)</f>
        <v/>
      </c>
      <c r="L33" s="108">
        <f>'مستخلص 21'!N33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21'!H34</f>
        <v/>
      </c>
      <c r="G34" s="72" t="n"/>
      <c r="H34" s="27">
        <f>F34+G34</f>
        <v/>
      </c>
      <c r="I34" s="107">
        <f>'مستخلص 21'!K34</f>
        <v/>
      </c>
      <c r="J34" s="68" t="n"/>
      <c r="K34" s="101">
        <f>IF(J34="",I34,J34)</f>
        <v/>
      </c>
      <c r="L34" s="74">
        <f>'مستخلص 21'!N34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21'!H35</f>
        <v/>
      </c>
      <c r="G35" s="72" t="n"/>
      <c r="H35" s="84">
        <f>F35+G35</f>
        <v/>
      </c>
      <c r="I35" s="109">
        <f>'مستخلص 21'!K35</f>
        <v/>
      </c>
      <c r="J35" s="68" t="n"/>
      <c r="K35" s="103">
        <f>IF(J35="",I35,J35)</f>
        <v/>
      </c>
      <c r="L35" s="108">
        <f>'مستخلص 21'!N35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21'!H36</f>
        <v/>
      </c>
      <c r="G36" s="72" t="n"/>
      <c r="H36" s="27">
        <f>F36+G36</f>
        <v/>
      </c>
      <c r="I36" s="107">
        <f>'مستخلص 21'!K36</f>
        <v/>
      </c>
      <c r="J36" s="68" t="n"/>
      <c r="K36" s="101">
        <f>IF(J36="",I36,J36)</f>
        <v/>
      </c>
      <c r="L36" s="74">
        <f>'مستخلص 21'!N36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21'!H37</f>
        <v/>
      </c>
      <c r="G37" s="72" t="n"/>
      <c r="H37" s="84">
        <f>F37+G37</f>
        <v/>
      </c>
      <c r="I37" s="109">
        <f>'مستخلص 21'!K37</f>
        <v/>
      </c>
      <c r="J37" s="68" t="n"/>
      <c r="K37" s="103">
        <f>IF(J37="",I37,J37)</f>
        <v/>
      </c>
      <c r="L37" s="108">
        <f>'مستخلص 21'!N37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21'!H38</f>
        <v/>
      </c>
      <c r="G38" s="72" t="n"/>
      <c r="H38" s="27">
        <f>F38+G38</f>
        <v/>
      </c>
      <c r="I38" s="107">
        <f>'مستخلص 21'!K38</f>
        <v/>
      </c>
      <c r="J38" s="68" t="n"/>
      <c r="K38" s="101">
        <f>IF(J38="",I38,J38)</f>
        <v/>
      </c>
      <c r="L38" s="74">
        <f>'مستخلص 21'!N38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21'!H39</f>
        <v/>
      </c>
      <c r="G39" s="72" t="n"/>
      <c r="H39" s="84">
        <f>F39+G39</f>
        <v/>
      </c>
      <c r="I39" s="109">
        <f>'مستخلص 21'!K39</f>
        <v/>
      </c>
      <c r="J39" s="68" t="n"/>
      <c r="K39" s="103">
        <f>IF(J39="",I39,J39)</f>
        <v/>
      </c>
      <c r="L39" s="108">
        <f>'مستخلص 21'!N39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21'!H40</f>
        <v/>
      </c>
      <c r="G40" s="72" t="n"/>
      <c r="H40" s="27">
        <f>F40+G40</f>
        <v/>
      </c>
      <c r="I40" s="107">
        <f>'مستخلص 21'!K40</f>
        <v/>
      </c>
      <c r="J40" s="68" t="n"/>
      <c r="K40" s="101">
        <f>IF(J40="",I40,J40)</f>
        <v/>
      </c>
      <c r="L40" s="74">
        <f>'مستخلص 21'!N40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21'!H41</f>
        <v/>
      </c>
      <c r="G41" s="72" t="n"/>
      <c r="H41" s="84">
        <f>F41+G41</f>
        <v/>
      </c>
      <c r="I41" s="109">
        <f>'مستخلص 21'!K41</f>
        <v/>
      </c>
      <c r="J41" s="68" t="n"/>
      <c r="K41" s="103">
        <f>IF(J41="",I41,J41)</f>
        <v/>
      </c>
      <c r="L41" s="108">
        <f>'مستخلص 21'!N41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21'!H42</f>
        <v/>
      </c>
      <c r="G42" s="72" t="n"/>
      <c r="H42" s="27">
        <f>F42+G42</f>
        <v/>
      </c>
      <c r="I42" s="107">
        <f>'مستخلص 21'!K42</f>
        <v/>
      </c>
      <c r="J42" s="68" t="n"/>
      <c r="K42" s="101">
        <f>IF(J42="",I42,J42)</f>
        <v/>
      </c>
      <c r="L42" s="74">
        <f>'مستخلص 21'!N42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21'!H43</f>
        <v/>
      </c>
      <c r="G43" s="72" t="n"/>
      <c r="H43" s="84">
        <f>F43+G43</f>
        <v/>
      </c>
      <c r="I43" s="109">
        <f>'مستخلص 21'!K43</f>
        <v/>
      </c>
      <c r="J43" s="68" t="n"/>
      <c r="K43" s="103">
        <f>IF(J43="",I43,J43)</f>
        <v/>
      </c>
      <c r="L43" s="108">
        <f>'مستخلص 21'!N43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21'!H44</f>
        <v/>
      </c>
      <c r="G44" s="72" t="n"/>
      <c r="H44" s="27">
        <f>F44+G44</f>
        <v/>
      </c>
      <c r="I44" s="107">
        <f>'مستخلص 21'!K44</f>
        <v/>
      </c>
      <c r="J44" s="68" t="n"/>
      <c r="K44" s="101">
        <f>IF(J44="",I44,J44)</f>
        <v/>
      </c>
      <c r="L44" s="74">
        <f>'مستخلص 21'!N44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21'!H45</f>
        <v/>
      </c>
      <c r="G45" s="72" t="n"/>
      <c r="H45" s="84">
        <f>F45+G45</f>
        <v/>
      </c>
      <c r="I45" s="109">
        <f>'مستخلص 21'!K45</f>
        <v/>
      </c>
      <c r="J45" s="68" t="n"/>
      <c r="K45" s="103">
        <f>IF(J45="",I45,J45)</f>
        <v/>
      </c>
      <c r="L45" s="108">
        <f>'مستخلص 21'!N45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21'!H46</f>
        <v/>
      </c>
      <c r="G46" s="72" t="n"/>
      <c r="H46" s="27">
        <f>F46+G46</f>
        <v/>
      </c>
      <c r="I46" s="107">
        <f>'مستخلص 21'!K46</f>
        <v/>
      </c>
      <c r="J46" s="68" t="n"/>
      <c r="K46" s="101">
        <f>IF(J46="",I46,J46)</f>
        <v/>
      </c>
      <c r="L46" s="74">
        <f>'مستخلص 21'!N46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21'!H47</f>
        <v/>
      </c>
      <c r="G47" s="72" t="n"/>
      <c r="H47" s="84">
        <f>F47+G47</f>
        <v/>
      </c>
      <c r="I47" s="109">
        <f>'مستخلص 21'!K47</f>
        <v/>
      </c>
      <c r="J47" s="68" t="n"/>
      <c r="K47" s="103">
        <f>IF(J47="",I47,J47)</f>
        <v/>
      </c>
      <c r="L47" s="108">
        <f>'مستخلص 21'!N47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21'!H48</f>
        <v/>
      </c>
      <c r="G48" s="72" t="n"/>
      <c r="H48" s="27">
        <f>F48+G48</f>
        <v/>
      </c>
      <c r="I48" s="107">
        <f>'مستخلص 21'!K48</f>
        <v/>
      </c>
      <c r="J48" s="68" t="n"/>
      <c r="K48" s="101">
        <f>IF(J48="",I48,J48)</f>
        <v/>
      </c>
      <c r="L48" s="74">
        <f>'مستخلص 21'!N48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21'!H49</f>
        <v/>
      </c>
      <c r="G49" s="72" t="n"/>
      <c r="H49" s="84">
        <f>F49+G49</f>
        <v/>
      </c>
      <c r="I49" s="109">
        <f>'مستخلص 21'!K49</f>
        <v/>
      </c>
      <c r="J49" s="68" t="n"/>
      <c r="K49" s="103">
        <f>IF(J49="",I49,J49)</f>
        <v/>
      </c>
      <c r="L49" s="108">
        <f>'مستخلص 21'!N49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21'!H50</f>
        <v/>
      </c>
      <c r="G50" s="72" t="n"/>
      <c r="H50" s="27">
        <f>F50+G50</f>
        <v/>
      </c>
      <c r="I50" s="107">
        <f>'مستخلص 21'!K50</f>
        <v/>
      </c>
      <c r="J50" s="68" t="n"/>
      <c r="K50" s="101">
        <f>IF(J50="",I50,J50)</f>
        <v/>
      </c>
      <c r="L50" s="74">
        <f>'مستخلص 21'!N50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21'!H51</f>
        <v/>
      </c>
      <c r="G51" s="72" t="n"/>
      <c r="H51" s="84">
        <f>F51+G51</f>
        <v/>
      </c>
      <c r="I51" s="109">
        <f>'مستخلص 21'!K51</f>
        <v/>
      </c>
      <c r="J51" s="68" t="n"/>
      <c r="K51" s="103">
        <f>IF(J51="",I51,J51)</f>
        <v/>
      </c>
      <c r="L51" s="108">
        <f>'مستخلص 21'!N51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21'!H52</f>
        <v/>
      </c>
      <c r="G52" s="72" t="n"/>
      <c r="H52" s="27">
        <f>F52+G52</f>
        <v/>
      </c>
      <c r="I52" s="107">
        <f>'مستخلص 21'!K52</f>
        <v/>
      </c>
      <c r="J52" s="68" t="n"/>
      <c r="K52" s="101">
        <f>IF(J52="",I52,J52)</f>
        <v/>
      </c>
      <c r="L52" s="74">
        <f>'مستخلص 21'!N52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21'!H53</f>
        <v/>
      </c>
      <c r="G53" s="72" t="n"/>
      <c r="H53" s="84">
        <f>F53+G53</f>
        <v/>
      </c>
      <c r="I53" s="109">
        <f>'مستخلص 21'!K53</f>
        <v/>
      </c>
      <c r="J53" s="68" t="n"/>
      <c r="K53" s="103">
        <f>IF(J53="",I53,J53)</f>
        <v/>
      </c>
      <c r="L53" s="108">
        <f>'مستخلص 21'!N53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21'!H54</f>
        <v/>
      </c>
      <c r="G54" s="72" t="n"/>
      <c r="H54" s="27">
        <f>F54+G54</f>
        <v/>
      </c>
      <c r="I54" s="107">
        <f>'مستخلص 21'!K54</f>
        <v/>
      </c>
      <c r="J54" s="68" t="n"/>
      <c r="K54" s="101">
        <f>IF(J54="",I54,J54)</f>
        <v/>
      </c>
      <c r="L54" s="74">
        <f>'مستخلص 21'!N54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21'!H55</f>
        <v/>
      </c>
      <c r="G55" s="72" t="n"/>
      <c r="H55" s="84">
        <f>F55+G55</f>
        <v/>
      </c>
      <c r="I55" s="109">
        <f>'مستخلص 21'!K55</f>
        <v/>
      </c>
      <c r="J55" s="68" t="n"/>
      <c r="K55" s="103">
        <f>IF(J55="",I55,J55)</f>
        <v/>
      </c>
      <c r="L55" s="108">
        <f>'مستخلص 21'!N55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21'!H56</f>
        <v/>
      </c>
      <c r="G56" s="72" t="n"/>
      <c r="H56" s="27">
        <f>F56+G56</f>
        <v/>
      </c>
      <c r="I56" s="107">
        <f>'مستخلص 21'!K56</f>
        <v/>
      </c>
      <c r="J56" s="68" t="n"/>
      <c r="K56" s="101">
        <f>IF(J56="",I56,J56)</f>
        <v/>
      </c>
      <c r="L56" s="74">
        <f>'مستخلص 21'!N56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21'!H57</f>
        <v/>
      </c>
      <c r="G57" s="72" t="n"/>
      <c r="H57" s="84">
        <f>F57+G57</f>
        <v/>
      </c>
      <c r="I57" s="109">
        <f>'مستخلص 21'!K57</f>
        <v/>
      </c>
      <c r="J57" s="68" t="n"/>
      <c r="K57" s="103">
        <f>IF(J57="",I57,J57)</f>
        <v/>
      </c>
      <c r="L57" s="108">
        <f>'مستخلص 21'!N57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21'!H58</f>
        <v/>
      </c>
      <c r="G58" s="72" t="n"/>
      <c r="H58" s="27">
        <f>F58+G58</f>
        <v/>
      </c>
      <c r="I58" s="107">
        <f>'مستخلص 21'!K58</f>
        <v/>
      </c>
      <c r="J58" s="68" t="n"/>
      <c r="K58" s="101">
        <f>IF(J58="",I58,J58)</f>
        <v/>
      </c>
      <c r="L58" s="74">
        <f>'مستخلص 21'!N58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21'!H59</f>
        <v/>
      </c>
      <c r="G59" s="72" t="n"/>
      <c r="H59" s="84">
        <f>F59+G59</f>
        <v/>
      </c>
      <c r="I59" s="109">
        <f>'مستخلص 21'!K59</f>
        <v/>
      </c>
      <c r="J59" s="68" t="n"/>
      <c r="K59" s="103">
        <f>IF(J59="",I59,J59)</f>
        <v/>
      </c>
      <c r="L59" s="108">
        <f>'مستخلص 21'!N59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21'!H60</f>
        <v/>
      </c>
      <c r="G60" s="72" t="n"/>
      <c r="H60" s="27">
        <f>F60+G60</f>
        <v/>
      </c>
      <c r="I60" s="107">
        <f>'مستخلص 21'!K60</f>
        <v/>
      </c>
      <c r="J60" s="68" t="n"/>
      <c r="K60" s="101">
        <f>IF(J60="",I60,J60)</f>
        <v/>
      </c>
      <c r="L60" s="74">
        <f>'مستخلص 21'!N60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21'!H61</f>
        <v/>
      </c>
      <c r="G61" s="72" t="n"/>
      <c r="H61" s="84">
        <f>F61+G61</f>
        <v/>
      </c>
      <c r="I61" s="109">
        <f>'مستخلص 21'!K61</f>
        <v/>
      </c>
      <c r="J61" s="68" t="n"/>
      <c r="K61" s="103">
        <f>IF(J61="",I61,J61)</f>
        <v/>
      </c>
      <c r="L61" s="108">
        <f>'مستخلص 21'!N61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21'!H62</f>
        <v/>
      </c>
      <c r="G62" s="72" t="n"/>
      <c r="H62" s="27">
        <f>F62+G62</f>
        <v/>
      </c>
      <c r="I62" s="107">
        <f>'مستخلص 21'!K62</f>
        <v/>
      </c>
      <c r="J62" s="68" t="n"/>
      <c r="K62" s="101">
        <f>IF(J62="",I62,J62)</f>
        <v/>
      </c>
      <c r="L62" s="74">
        <f>'مستخلص 21'!N62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21'!H63</f>
        <v/>
      </c>
      <c r="G63" s="72" t="n"/>
      <c r="H63" s="84">
        <f>F63+G63</f>
        <v/>
      </c>
      <c r="I63" s="109">
        <f>'مستخلص 21'!K63</f>
        <v/>
      </c>
      <c r="J63" s="68" t="n"/>
      <c r="K63" s="103">
        <f>IF(J63="",I63,J63)</f>
        <v/>
      </c>
      <c r="L63" s="108">
        <f>'مستخلص 21'!N63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21'!H64</f>
        <v/>
      </c>
      <c r="G64" s="72" t="n"/>
      <c r="H64" s="27">
        <f>F64+G64</f>
        <v/>
      </c>
      <c r="I64" s="107">
        <f>'مستخلص 21'!K64</f>
        <v/>
      </c>
      <c r="J64" s="68" t="n"/>
      <c r="K64" s="101">
        <f>IF(J64="",I64,J64)</f>
        <v/>
      </c>
      <c r="L64" s="74">
        <f>'مستخلص 21'!N64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21'!H65</f>
        <v/>
      </c>
      <c r="G65" s="72" t="n"/>
      <c r="H65" s="84">
        <f>F65+G65</f>
        <v/>
      </c>
      <c r="I65" s="109">
        <f>'مستخلص 21'!K65</f>
        <v/>
      </c>
      <c r="J65" s="68" t="n"/>
      <c r="K65" s="103">
        <f>IF(J65="",I65,J65)</f>
        <v/>
      </c>
      <c r="L65" s="108">
        <f>'مستخلص 21'!N65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21'!H66</f>
        <v/>
      </c>
      <c r="G66" s="72" t="n"/>
      <c r="H66" s="27">
        <f>F66+G66</f>
        <v/>
      </c>
      <c r="I66" s="107">
        <f>'مستخلص 21'!K66</f>
        <v/>
      </c>
      <c r="J66" s="68" t="n"/>
      <c r="K66" s="101">
        <f>IF(J66="",I66,J66)</f>
        <v/>
      </c>
      <c r="L66" s="74">
        <f>'مستخلص 21'!N66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21'!H67</f>
        <v/>
      </c>
      <c r="G67" s="72" t="n"/>
      <c r="H67" s="84">
        <f>F67+G67</f>
        <v/>
      </c>
      <c r="I67" s="109">
        <f>'مستخلص 21'!K67</f>
        <v/>
      </c>
      <c r="J67" s="68" t="n"/>
      <c r="K67" s="103">
        <f>IF(J67="",I67,J67)</f>
        <v/>
      </c>
      <c r="L67" s="108">
        <f>'مستخلص 21'!N67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21'!H68</f>
        <v/>
      </c>
      <c r="G68" s="72" t="n"/>
      <c r="H68" s="27">
        <f>F68+G68</f>
        <v/>
      </c>
      <c r="I68" s="107">
        <f>'مستخلص 21'!K68</f>
        <v/>
      </c>
      <c r="J68" s="68" t="n"/>
      <c r="K68" s="101">
        <f>IF(J68="",I68,J68)</f>
        <v/>
      </c>
      <c r="L68" s="74">
        <f>'مستخلص 21'!N68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21'!H69</f>
        <v/>
      </c>
      <c r="G69" s="72" t="n"/>
      <c r="H69" s="84">
        <f>F69+G69</f>
        <v/>
      </c>
      <c r="I69" s="109">
        <f>'مستخلص 21'!K69</f>
        <v/>
      </c>
      <c r="J69" s="68" t="n"/>
      <c r="K69" s="103">
        <f>IF(J69="",I69,J69)</f>
        <v/>
      </c>
      <c r="L69" s="108">
        <f>'مستخلص 21'!N69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21'!H70</f>
        <v/>
      </c>
      <c r="G70" s="72" t="n"/>
      <c r="H70" s="27">
        <f>F70+G70</f>
        <v/>
      </c>
      <c r="I70" s="107">
        <f>'مستخلص 21'!K70</f>
        <v/>
      </c>
      <c r="J70" s="68" t="n"/>
      <c r="K70" s="101">
        <f>IF(J70="",I70,J70)</f>
        <v/>
      </c>
      <c r="L70" s="74">
        <f>'مستخلص 21'!N70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21'!H71</f>
        <v/>
      </c>
      <c r="G71" s="72" t="n"/>
      <c r="H71" s="84">
        <f>F71+G71</f>
        <v/>
      </c>
      <c r="I71" s="109">
        <f>'مستخلص 21'!K71</f>
        <v/>
      </c>
      <c r="J71" s="68" t="n"/>
      <c r="K71" s="103">
        <f>IF(J71="",I71,J71)</f>
        <v/>
      </c>
      <c r="L71" s="108">
        <f>'مستخلص 21'!N71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21'!H72</f>
        <v/>
      </c>
      <c r="G72" s="72" t="n"/>
      <c r="H72" s="27">
        <f>F72+G72</f>
        <v/>
      </c>
      <c r="I72" s="107">
        <f>'مستخلص 21'!K72</f>
        <v/>
      </c>
      <c r="J72" s="68" t="n"/>
      <c r="K72" s="101">
        <f>IF(J72="",I72,J72)</f>
        <v/>
      </c>
      <c r="L72" s="74">
        <f>'مستخلص 21'!N72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21'!H73</f>
        <v/>
      </c>
      <c r="G73" s="72" t="n"/>
      <c r="H73" s="84">
        <f>F73+G73</f>
        <v/>
      </c>
      <c r="I73" s="109">
        <f>'مستخلص 21'!K73</f>
        <v/>
      </c>
      <c r="J73" s="68" t="n"/>
      <c r="K73" s="103">
        <f>IF(J73="",I73,J73)</f>
        <v/>
      </c>
      <c r="L73" s="108">
        <f>'مستخلص 21'!N73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21'!H74</f>
        <v/>
      </c>
      <c r="G74" s="72" t="n"/>
      <c r="H74" s="27">
        <f>F74+G74</f>
        <v/>
      </c>
      <c r="I74" s="107">
        <f>'مستخلص 21'!K74</f>
        <v/>
      </c>
      <c r="J74" s="68" t="n"/>
      <c r="K74" s="101">
        <f>IF(J74="",I74,J74)</f>
        <v/>
      </c>
      <c r="L74" s="74">
        <f>'مستخلص 21'!N74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21'!H75</f>
        <v/>
      </c>
      <c r="G75" s="72" t="n"/>
      <c r="H75" s="84">
        <f>F75+G75</f>
        <v/>
      </c>
      <c r="I75" s="109">
        <f>'مستخلص 21'!K75</f>
        <v/>
      </c>
      <c r="J75" s="68" t="n"/>
      <c r="K75" s="103">
        <f>IF(J75="",I75,J75)</f>
        <v/>
      </c>
      <c r="L75" s="108">
        <f>'مستخلص 21'!N75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21'!H76</f>
        <v/>
      </c>
      <c r="G76" s="72" t="n"/>
      <c r="H76" s="27">
        <f>F76+G76</f>
        <v/>
      </c>
      <c r="I76" s="107">
        <f>'مستخلص 21'!K76</f>
        <v/>
      </c>
      <c r="J76" s="68" t="n"/>
      <c r="K76" s="101">
        <f>IF(J76="",I76,J76)</f>
        <v/>
      </c>
      <c r="L76" s="74">
        <f>'مستخلص 21'!N76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21'!H77</f>
        <v/>
      </c>
      <c r="G77" s="72" t="n"/>
      <c r="H77" s="84">
        <f>F77+G77</f>
        <v/>
      </c>
      <c r="I77" s="109">
        <f>'مستخلص 21'!K77</f>
        <v/>
      </c>
      <c r="J77" s="68" t="n"/>
      <c r="K77" s="103">
        <f>IF(J77="",I77,J77)</f>
        <v/>
      </c>
      <c r="L77" s="108">
        <f>'مستخلص 21'!N77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21'!H78</f>
        <v/>
      </c>
      <c r="G78" s="72" t="n"/>
      <c r="H78" s="27">
        <f>F78+G78</f>
        <v/>
      </c>
      <c r="I78" s="107">
        <f>'مستخلص 21'!K78</f>
        <v/>
      </c>
      <c r="J78" s="68" t="n"/>
      <c r="K78" s="101">
        <f>IF(J78="",I78,J78)</f>
        <v/>
      </c>
      <c r="L78" s="74">
        <f>'مستخلص 21'!N78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21'!H79</f>
        <v/>
      </c>
      <c r="G79" s="72" t="n"/>
      <c r="H79" s="84">
        <f>F79+G79</f>
        <v/>
      </c>
      <c r="I79" s="109">
        <f>'مستخلص 21'!K79</f>
        <v/>
      </c>
      <c r="J79" s="68" t="n"/>
      <c r="K79" s="103">
        <f>IF(J79="",I79,J79)</f>
        <v/>
      </c>
      <c r="L79" s="108">
        <f>'مستخلص 21'!N79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21'!H80</f>
        <v/>
      </c>
      <c r="G80" s="72" t="n"/>
      <c r="H80" s="27">
        <f>F80+G80</f>
        <v/>
      </c>
      <c r="I80" s="107">
        <f>'مستخلص 21'!K80</f>
        <v/>
      </c>
      <c r="J80" s="68" t="n"/>
      <c r="K80" s="101">
        <f>IF(J80="",I80,J80)</f>
        <v/>
      </c>
      <c r="L80" s="74">
        <f>'مستخلص 21'!N80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21'!H81</f>
        <v/>
      </c>
      <c r="G81" s="72" t="n"/>
      <c r="H81" s="84">
        <f>F81+G81</f>
        <v/>
      </c>
      <c r="I81" s="109">
        <f>'مستخلص 21'!K81</f>
        <v/>
      </c>
      <c r="J81" s="68" t="n"/>
      <c r="K81" s="103">
        <f>IF(J81="",I81,J81)</f>
        <v/>
      </c>
      <c r="L81" s="108">
        <f>'مستخلص 21'!N81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21'!H82</f>
        <v/>
      </c>
      <c r="G82" s="72" t="n"/>
      <c r="H82" s="27">
        <f>F82+G82</f>
        <v/>
      </c>
      <c r="I82" s="107">
        <f>'مستخلص 21'!K82</f>
        <v/>
      </c>
      <c r="J82" s="68" t="n"/>
      <c r="K82" s="101">
        <f>IF(J82="",I82,J82)</f>
        <v/>
      </c>
      <c r="L82" s="74">
        <f>'مستخلص 21'!N82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21'!H83</f>
        <v/>
      </c>
      <c r="G83" s="72" t="n"/>
      <c r="H83" s="84">
        <f>F83+G83</f>
        <v/>
      </c>
      <c r="I83" s="109">
        <f>'مستخلص 21'!K83</f>
        <v/>
      </c>
      <c r="J83" s="68" t="n"/>
      <c r="K83" s="103">
        <f>IF(J83="",I83,J83)</f>
        <v/>
      </c>
      <c r="L83" s="108">
        <f>'مستخلص 21'!N83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21'!H84</f>
        <v/>
      </c>
      <c r="G84" s="72" t="n"/>
      <c r="H84" s="27">
        <f>F84+G84</f>
        <v/>
      </c>
      <c r="I84" s="107">
        <f>'مستخلص 21'!K84</f>
        <v/>
      </c>
      <c r="J84" s="68" t="n"/>
      <c r="K84" s="101">
        <f>IF(J84="",I84,J84)</f>
        <v/>
      </c>
      <c r="L84" s="74">
        <f>'مستخلص 21'!N84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21'!H85</f>
        <v/>
      </c>
      <c r="G85" s="72" t="n"/>
      <c r="H85" s="84">
        <f>F85+G85</f>
        <v/>
      </c>
      <c r="I85" s="109">
        <f>'مستخلص 21'!K85</f>
        <v/>
      </c>
      <c r="J85" s="68" t="n"/>
      <c r="K85" s="103">
        <f>IF(J85="",I85,J85)</f>
        <v/>
      </c>
      <c r="L85" s="108">
        <f>'مستخلص 21'!N85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21'!H86</f>
        <v/>
      </c>
      <c r="G86" s="72" t="n"/>
      <c r="H86" s="27">
        <f>F86+G86</f>
        <v/>
      </c>
      <c r="I86" s="107">
        <f>'مستخلص 21'!K86</f>
        <v/>
      </c>
      <c r="J86" s="68" t="n"/>
      <c r="K86" s="101">
        <f>IF(J86="",I86,J86)</f>
        <v/>
      </c>
      <c r="L86" s="74">
        <f>'مستخلص 21'!N86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21'!H87</f>
        <v/>
      </c>
      <c r="G87" s="72" t="n"/>
      <c r="H87" s="84">
        <f>F87+G87</f>
        <v/>
      </c>
      <c r="I87" s="109">
        <f>'مستخلص 21'!K87</f>
        <v/>
      </c>
      <c r="J87" s="68" t="n"/>
      <c r="K87" s="103">
        <f>IF(J87="",I87,J87)</f>
        <v/>
      </c>
      <c r="L87" s="108">
        <f>'مستخلص 21'!N87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21'!H88</f>
        <v/>
      </c>
      <c r="G88" s="72" t="n"/>
      <c r="H88" s="27">
        <f>F88+G88</f>
        <v/>
      </c>
      <c r="I88" s="107">
        <f>'مستخلص 21'!K88</f>
        <v/>
      </c>
      <c r="J88" s="68" t="n"/>
      <c r="K88" s="101">
        <f>IF(J88="",I88,J88)</f>
        <v/>
      </c>
      <c r="L88" s="74">
        <f>'مستخلص 21'!N88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21'!H89</f>
        <v/>
      </c>
      <c r="G89" s="72" t="n"/>
      <c r="H89" s="84">
        <f>F89+G89</f>
        <v/>
      </c>
      <c r="I89" s="109">
        <f>'مستخلص 21'!K89</f>
        <v/>
      </c>
      <c r="J89" s="68" t="n"/>
      <c r="K89" s="103">
        <f>IF(J89="",I89,J89)</f>
        <v/>
      </c>
      <c r="L89" s="108">
        <f>'مستخلص 21'!N89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21'!H90</f>
        <v/>
      </c>
      <c r="G90" s="72" t="n"/>
      <c r="H90" s="27">
        <f>F90+G90</f>
        <v/>
      </c>
      <c r="I90" s="107">
        <f>'مستخلص 21'!K90</f>
        <v/>
      </c>
      <c r="J90" s="68" t="n"/>
      <c r="K90" s="101">
        <f>IF(J90="",I90,J90)</f>
        <v/>
      </c>
      <c r="L90" s="74">
        <f>'مستخلص 21'!N90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21'!H91</f>
        <v/>
      </c>
      <c r="G91" s="72" t="n"/>
      <c r="H91" s="84">
        <f>F91+G91</f>
        <v/>
      </c>
      <c r="I91" s="109">
        <f>'مستخلص 21'!K91</f>
        <v/>
      </c>
      <c r="J91" s="68" t="n"/>
      <c r="K91" s="103">
        <f>IF(J91="",I91,J91)</f>
        <v/>
      </c>
      <c r="L91" s="108">
        <f>'مستخلص 21'!N91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21'!H92</f>
        <v/>
      </c>
      <c r="G92" s="72" t="n"/>
      <c r="H92" s="27">
        <f>F92+G92</f>
        <v/>
      </c>
      <c r="I92" s="107">
        <f>'مستخلص 21'!K92</f>
        <v/>
      </c>
      <c r="J92" s="68" t="n"/>
      <c r="K92" s="101">
        <f>IF(J92="",I92,J92)</f>
        <v/>
      </c>
      <c r="L92" s="74">
        <f>'مستخلص 21'!N92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21'!H93</f>
        <v/>
      </c>
      <c r="G93" s="72" t="n"/>
      <c r="H93" s="84">
        <f>F93+G93</f>
        <v/>
      </c>
      <c r="I93" s="109">
        <f>'مستخلص 21'!K93</f>
        <v/>
      </c>
      <c r="J93" s="68" t="n"/>
      <c r="K93" s="103">
        <f>IF(J93="",I93,J93)</f>
        <v/>
      </c>
      <c r="L93" s="108">
        <f>'مستخلص 21'!N93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21'!H94</f>
        <v/>
      </c>
      <c r="G94" s="72" t="n"/>
      <c r="H94" s="27">
        <f>F94+G94</f>
        <v/>
      </c>
      <c r="I94" s="107">
        <f>'مستخلص 21'!K94</f>
        <v/>
      </c>
      <c r="J94" s="68" t="n"/>
      <c r="K94" s="101">
        <f>IF(J94="",I94,J94)</f>
        <v/>
      </c>
      <c r="L94" s="74">
        <f>'مستخلص 21'!N94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21'!H95</f>
        <v/>
      </c>
      <c r="G95" s="72" t="n"/>
      <c r="H95" s="84">
        <f>F95+G95</f>
        <v/>
      </c>
      <c r="I95" s="109">
        <f>'مستخلص 21'!K95</f>
        <v/>
      </c>
      <c r="J95" s="68" t="n"/>
      <c r="K95" s="103">
        <f>IF(J95="",I95,J95)</f>
        <v/>
      </c>
      <c r="L95" s="108">
        <f>'مستخلص 21'!N95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21'!H96</f>
        <v/>
      </c>
      <c r="G96" s="72" t="n"/>
      <c r="H96" s="27">
        <f>F96+G96</f>
        <v/>
      </c>
      <c r="I96" s="107">
        <f>'مستخلص 21'!K96</f>
        <v/>
      </c>
      <c r="J96" s="68" t="n"/>
      <c r="K96" s="101">
        <f>IF(J96="",I96,J96)</f>
        <v/>
      </c>
      <c r="L96" s="74">
        <f>'مستخلص 21'!N96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21'!H97</f>
        <v/>
      </c>
      <c r="G97" s="72" t="n"/>
      <c r="H97" s="84">
        <f>F97+G97</f>
        <v/>
      </c>
      <c r="I97" s="109">
        <f>'مستخلص 21'!K97</f>
        <v/>
      </c>
      <c r="J97" s="68" t="n"/>
      <c r="K97" s="103">
        <f>IF(J97="",I97,J97)</f>
        <v/>
      </c>
      <c r="L97" s="108">
        <f>'مستخلص 21'!N97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21'!H98</f>
        <v/>
      </c>
      <c r="G98" s="72" t="n"/>
      <c r="H98" s="27">
        <f>F98+G98</f>
        <v/>
      </c>
      <c r="I98" s="107">
        <f>'مستخلص 21'!K98</f>
        <v/>
      </c>
      <c r="J98" s="68" t="n"/>
      <c r="K98" s="101">
        <f>IF(J98="",I98,J98)</f>
        <v/>
      </c>
      <c r="L98" s="74">
        <f>'مستخلص 21'!N98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21'!H99</f>
        <v/>
      </c>
      <c r="G99" s="72" t="n"/>
      <c r="H99" s="84">
        <f>F99+G99</f>
        <v/>
      </c>
      <c r="I99" s="109">
        <f>'مستخلص 21'!K99</f>
        <v/>
      </c>
      <c r="J99" s="68" t="n"/>
      <c r="K99" s="103">
        <f>IF(J99="",I99,J99)</f>
        <v/>
      </c>
      <c r="L99" s="108">
        <f>'مستخلص 21'!N99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21'!H100</f>
        <v/>
      </c>
      <c r="G100" s="72" t="n"/>
      <c r="H100" s="27">
        <f>F100+G100</f>
        <v/>
      </c>
      <c r="I100" s="107">
        <f>'مستخلص 21'!K100</f>
        <v/>
      </c>
      <c r="J100" s="68" t="n"/>
      <c r="K100" s="101">
        <f>IF(J100="",I100,J100)</f>
        <v/>
      </c>
      <c r="L100" s="74">
        <f>'مستخلص 21'!N100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21'!H101</f>
        <v/>
      </c>
      <c r="G101" s="72" t="n"/>
      <c r="H101" s="84">
        <f>F101+G101</f>
        <v/>
      </c>
      <c r="I101" s="109">
        <f>'مستخلص 21'!K101</f>
        <v/>
      </c>
      <c r="J101" s="68" t="n"/>
      <c r="K101" s="103">
        <f>IF(J101="",I101,J101)</f>
        <v/>
      </c>
      <c r="L101" s="108">
        <f>'مستخلص 21'!N101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21'!H102</f>
        <v/>
      </c>
      <c r="G102" s="72" t="n"/>
      <c r="H102" s="27">
        <f>F102+G102</f>
        <v/>
      </c>
      <c r="I102" s="107">
        <f>'مستخلص 21'!K102</f>
        <v/>
      </c>
      <c r="J102" s="68" t="n"/>
      <c r="K102" s="101">
        <f>IF(J102="",I102,J102)</f>
        <v/>
      </c>
      <c r="L102" s="74">
        <f>'مستخلص 21'!N102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21'!H103</f>
        <v/>
      </c>
      <c r="G103" s="72" t="n"/>
      <c r="H103" s="84">
        <f>F103+G103</f>
        <v/>
      </c>
      <c r="I103" s="109">
        <f>'مستخلص 21'!K103</f>
        <v/>
      </c>
      <c r="J103" s="68" t="n"/>
      <c r="K103" s="103">
        <f>IF(J103="",I103,J103)</f>
        <v/>
      </c>
      <c r="L103" s="108">
        <f>'مستخلص 21'!N103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21'!H104</f>
        <v/>
      </c>
      <c r="G104" s="72" t="n"/>
      <c r="H104" s="27">
        <f>F104+G104</f>
        <v/>
      </c>
      <c r="I104" s="107">
        <f>'مستخلص 21'!K104</f>
        <v/>
      </c>
      <c r="J104" s="68" t="n"/>
      <c r="K104" s="101">
        <f>IF(J104="",I104,J104)</f>
        <v/>
      </c>
      <c r="L104" s="74">
        <f>'مستخلص 21'!N104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21'!H105</f>
        <v/>
      </c>
      <c r="G105" s="72" t="n"/>
      <c r="H105" s="84">
        <f>F105+G105</f>
        <v/>
      </c>
      <c r="I105" s="109">
        <f>'مستخلص 21'!K105</f>
        <v/>
      </c>
      <c r="J105" s="68" t="n"/>
      <c r="K105" s="103">
        <f>IF(J105="",I105,J105)</f>
        <v/>
      </c>
      <c r="L105" s="108">
        <f>'مستخلص 21'!N105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21'!H106</f>
        <v/>
      </c>
      <c r="G106" s="72" t="n"/>
      <c r="H106" s="27">
        <f>F106+G106</f>
        <v/>
      </c>
      <c r="I106" s="107">
        <f>'مستخلص 21'!K106</f>
        <v/>
      </c>
      <c r="J106" s="68" t="n"/>
      <c r="K106" s="101">
        <f>IF(J106="",I106,J106)</f>
        <v/>
      </c>
      <c r="L106" s="74">
        <f>'مستخلص 21'!N106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21'!H107</f>
        <v/>
      </c>
      <c r="G107" s="72" t="n"/>
      <c r="H107" s="84">
        <f>F107+G107</f>
        <v/>
      </c>
      <c r="I107" s="109">
        <f>'مستخلص 21'!K107</f>
        <v/>
      </c>
      <c r="J107" s="68" t="n"/>
      <c r="K107" s="103">
        <f>IF(J107="",I107,J107)</f>
        <v/>
      </c>
      <c r="L107" s="108">
        <f>'مستخلص 21'!N107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21'!N111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21'!N112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21'!N113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21'!N114</f>
        <v/>
      </c>
      <c r="M114" s="27">
        <f>'الدفعات المقدمة'!I46</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21'!N115</f>
        <v/>
      </c>
      <c r="M115" s="27">
        <f>'ضمان الأعمال'!I37</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21'!N116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21'!N117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21'!N118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1'!A1" display="◀ المستخلص السابق (21)"/>
    <hyperlink ref="N3" location="'مستخلص 23'!A1" display="المستخلص التالي (23)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( 23 )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(22)</t>
        </is>
      </c>
      <c r="M3" s="4" t="n"/>
      <c r="N3" s="4" t="inlineStr">
        <is>
          <t>المستخلص التالي (24) ▶</t>
        </is>
      </c>
      <c r="O3" s="4" t="n"/>
      <c r="P3" s="4" t="n"/>
    </row>
    <row r="4" ht="24" customHeight="1">
      <c r="A4" s="96" t="inlineStr">
        <is>
          <t>رقم</t>
        </is>
      </c>
      <c r="B4" s="97" t="n">
        <v>23</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22'!H8</f>
        <v/>
      </c>
      <c r="G8" s="72" t="n"/>
      <c r="H8" s="27">
        <f>F8+G8</f>
        <v/>
      </c>
      <c r="I8" s="107">
        <f>'مستخلص 22'!K8</f>
        <v/>
      </c>
      <c r="J8" s="68" t="n"/>
      <c r="K8" s="101">
        <f>IF(J8="",I8,J8)</f>
        <v/>
      </c>
      <c r="L8" s="74">
        <f>'مستخلص 22'!N8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22'!H9</f>
        <v/>
      </c>
      <c r="G9" s="72" t="n"/>
      <c r="H9" s="84">
        <f>F9+G9</f>
        <v/>
      </c>
      <c r="I9" s="109">
        <f>'مستخلص 22'!K9</f>
        <v/>
      </c>
      <c r="J9" s="68" t="n"/>
      <c r="K9" s="103">
        <f>IF(J9="",I9,J9)</f>
        <v/>
      </c>
      <c r="L9" s="108">
        <f>'مستخلص 22'!N9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22'!H10</f>
        <v/>
      </c>
      <c r="G10" s="72" t="n"/>
      <c r="H10" s="27">
        <f>F10+G10</f>
        <v/>
      </c>
      <c r="I10" s="107">
        <f>'مستخلص 22'!K10</f>
        <v/>
      </c>
      <c r="J10" s="68" t="n"/>
      <c r="K10" s="101">
        <f>IF(J10="",I10,J10)</f>
        <v/>
      </c>
      <c r="L10" s="74">
        <f>'مستخلص 22'!N10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22'!H11</f>
        <v/>
      </c>
      <c r="G11" s="72" t="n"/>
      <c r="H11" s="84">
        <f>F11+G11</f>
        <v/>
      </c>
      <c r="I11" s="109">
        <f>'مستخلص 22'!K11</f>
        <v/>
      </c>
      <c r="J11" s="68" t="n"/>
      <c r="K11" s="103">
        <f>IF(J11="",I11,J11)</f>
        <v/>
      </c>
      <c r="L11" s="108">
        <f>'مستخلص 22'!N11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22'!H12</f>
        <v/>
      </c>
      <c r="G12" s="72" t="n"/>
      <c r="H12" s="27">
        <f>F12+G12</f>
        <v/>
      </c>
      <c r="I12" s="107">
        <f>'مستخلص 22'!K12</f>
        <v/>
      </c>
      <c r="J12" s="68" t="n"/>
      <c r="K12" s="101">
        <f>IF(J12="",I12,J12)</f>
        <v/>
      </c>
      <c r="L12" s="74">
        <f>'مستخلص 22'!N12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22'!H13</f>
        <v/>
      </c>
      <c r="G13" s="72" t="n"/>
      <c r="H13" s="84">
        <f>F13+G13</f>
        <v/>
      </c>
      <c r="I13" s="109">
        <f>'مستخلص 22'!K13</f>
        <v/>
      </c>
      <c r="J13" s="68" t="n"/>
      <c r="K13" s="103">
        <f>IF(J13="",I13,J13)</f>
        <v/>
      </c>
      <c r="L13" s="108">
        <f>'مستخلص 22'!N13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22'!H14</f>
        <v/>
      </c>
      <c r="G14" s="72" t="n"/>
      <c r="H14" s="27">
        <f>F14+G14</f>
        <v/>
      </c>
      <c r="I14" s="107">
        <f>'مستخلص 22'!K14</f>
        <v/>
      </c>
      <c r="J14" s="68" t="n"/>
      <c r="K14" s="101">
        <f>IF(J14="",I14,J14)</f>
        <v/>
      </c>
      <c r="L14" s="74">
        <f>'مستخلص 22'!N14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22'!H15</f>
        <v/>
      </c>
      <c r="G15" s="72" t="n"/>
      <c r="H15" s="84">
        <f>F15+G15</f>
        <v/>
      </c>
      <c r="I15" s="109">
        <f>'مستخلص 22'!K15</f>
        <v/>
      </c>
      <c r="J15" s="68" t="n"/>
      <c r="K15" s="103">
        <f>IF(J15="",I15,J15)</f>
        <v/>
      </c>
      <c r="L15" s="108">
        <f>'مستخلص 22'!N15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22'!H16</f>
        <v/>
      </c>
      <c r="G16" s="72" t="n"/>
      <c r="H16" s="27">
        <f>F16+G16</f>
        <v/>
      </c>
      <c r="I16" s="107">
        <f>'مستخلص 22'!K16</f>
        <v/>
      </c>
      <c r="J16" s="68" t="n"/>
      <c r="K16" s="101">
        <f>IF(J16="",I16,J16)</f>
        <v/>
      </c>
      <c r="L16" s="74">
        <f>'مستخلص 22'!N16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22'!H17</f>
        <v/>
      </c>
      <c r="G17" s="72" t="n"/>
      <c r="H17" s="84">
        <f>F17+G17</f>
        <v/>
      </c>
      <c r="I17" s="109">
        <f>'مستخلص 22'!K17</f>
        <v/>
      </c>
      <c r="J17" s="68" t="n"/>
      <c r="K17" s="103">
        <f>IF(J17="",I17,J17)</f>
        <v/>
      </c>
      <c r="L17" s="108">
        <f>'مستخلص 22'!N17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22'!H18</f>
        <v/>
      </c>
      <c r="G18" s="72" t="n"/>
      <c r="H18" s="27">
        <f>F18+G18</f>
        <v/>
      </c>
      <c r="I18" s="107">
        <f>'مستخلص 22'!K18</f>
        <v/>
      </c>
      <c r="J18" s="68" t="n"/>
      <c r="K18" s="101">
        <f>IF(J18="",I18,J18)</f>
        <v/>
      </c>
      <c r="L18" s="74">
        <f>'مستخلص 22'!N18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22'!H19</f>
        <v/>
      </c>
      <c r="G19" s="72" t="n"/>
      <c r="H19" s="84">
        <f>F19+G19</f>
        <v/>
      </c>
      <c r="I19" s="109">
        <f>'مستخلص 22'!K19</f>
        <v/>
      </c>
      <c r="J19" s="68" t="n"/>
      <c r="K19" s="103">
        <f>IF(J19="",I19,J19)</f>
        <v/>
      </c>
      <c r="L19" s="108">
        <f>'مستخلص 22'!N19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22'!H20</f>
        <v/>
      </c>
      <c r="G20" s="72" t="n"/>
      <c r="H20" s="27">
        <f>F20+G20</f>
        <v/>
      </c>
      <c r="I20" s="107">
        <f>'مستخلص 22'!K20</f>
        <v/>
      </c>
      <c r="J20" s="68" t="n"/>
      <c r="K20" s="101">
        <f>IF(J20="",I20,J20)</f>
        <v/>
      </c>
      <c r="L20" s="74">
        <f>'مستخلص 22'!N20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22'!H21</f>
        <v/>
      </c>
      <c r="G21" s="72" t="n"/>
      <c r="H21" s="84">
        <f>F21+G21</f>
        <v/>
      </c>
      <c r="I21" s="109">
        <f>'مستخلص 22'!K21</f>
        <v/>
      </c>
      <c r="J21" s="68" t="n"/>
      <c r="K21" s="103">
        <f>IF(J21="",I21,J21)</f>
        <v/>
      </c>
      <c r="L21" s="108">
        <f>'مستخلص 22'!N21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22'!H22</f>
        <v/>
      </c>
      <c r="G22" s="72" t="n"/>
      <c r="H22" s="27">
        <f>F22+G22</f>
        <v/>
      </c>
      <c r="I22" s="107">
        <f>'مستخلص 22'!K22</f>
        <v/>
      </c>
      <c r="J22" s="68" t="n"/>
      <c r="K22" s="101">
        <f>IF(J22="",I22,J22)</f>
        <v/>
      </c>
      <c r="L22" s="74">
        <f>'مستخلص 22'!N22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22'!H23</f>
        <v/>
      </c>
      <c r="G23" s="72" t="n"/>
      <c r="H23" s="84">
        <f>F23+G23</f>
        <v/>
      </c>
      <c r="I23" s="109">
        <f>'مستخلص 22'!K23</f>
        <v/>
      </c>
      <c r="J23" s="68" t="n"/>
      <c r="K23" s="103">
        <f>IF(J23="",I23,J23)</f>
        <v/>
      </c>
      <c r="L23" s="108">
        <f>'مستخلص 22'!N23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22'!H24</f>
        <v/>
      </c>
      <c r="G24" s="72" t="n"/>
      <c r="H24" s="27">
        <f>F24+G24</f>
        <v/>
      </c>
      <c r="I24" s="107">
        <f>'مستخلص 22'!K24</f>
        <v/>
      </c>
      <c r="J24" s="68" t="n"/>
      <c r="K24" s="101">
        <f>IF(J24="",I24,J24)</f>
        <v/>
      </c>
      <c r="L24" s="74">
        <f>'مستخلص 22'!N24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22'!H25</f>
        <v/>
      </c>
      <c r="G25" s="72" t="n"/>
      <c r="H25" s="84">
        <f>F25+G25</f>
        <v/>
      </c>
      <c r="I25" s="109">
        <f>'مستخلص 22'!K25</f>
        <v/>
      </c>
      <c r="J25" s="68" t="n"/>
      <c r="K25" s="103">
        <f>IF(J25="",I25,J25)</f>
        <v/>
      </c>
      <c r="L25" s="108">
        <f>'مستخلص 22'!N25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22'!H26</f>
        <v/>
      </c>
      <c r="G26" s="72" t="n"/>
      <c r="H26" s="27">
        <f>F26+G26</f>
        <v/>
      </c>
      <c r="I26" s="107">
        <f>'مستخلص 22'!K26</f>
        <v/>
      </c>
      <c r="J26" s="68" t="n"/>
      <c r="K26" s="101">
        <f>IF(J26="",I26,J26)</f>
        <v/>
      </c>
      <c r="L26" s="74">
        <f>'مستخلص 22'!N26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22'!H27</f>
        <v/>
      </c>
      <c r="G27" s="72" t="n"/>
      <c r="H27" s="84">
        <f>F27+G27</f>
        <v/>
      </c>
      <c r="I27" s="109">
        <f>'مستخلص 22'!K27</f>
        <v/>
      </c>
      <c r="J27" s="68" t="n"/>
      <c r="K27" s="103">
        <f>IF(J27="",I27,J27)</f>
        <v/>
      </c>
      <c r="L27" s="108">
        <f>'مستخلص 22'!N27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22'!H28</f>
        <v/>
      </c>
      <c r="G28" s="72" t="n"/>
      <c r="H28" s="27">
        <f>F28+G28</f>
        <v/>
      </c>
      <c r="I28" s="107">
        <f>'مستخلص 22'!K28</f>
        <v/>
      </c>
      <c r="J28" s="68" t="n"/>
      <c r="K28" s="101">
        <f>IF(J28="",I28,J28)</f>
        <v/>
      </c>
      <c r="L28" s="74">
        <f>'مستخلص 22'!N28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22'!H29</f>
        <v/>
      </c>
      <c r="G29" s="72" t="n"/>
      <c r="H29" s="84">
        <f>F29+G29</f>
        <v/>
      </c>
      <c r="I29" s="109">
        <f>'مستخلص 22'!K29</f>
        <v/>
      </c>
      <c r="J29" s="68" t="n"/>
      <c r="K29" s="103">
        <f>IF(J29="",I29,J29)</f>
        <v/>
      </c>
      <c r="L29" s="108">
        <f>'مستخلص 22'!N29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22'!H30</f>
        <v/>
      </c>
      <c r="G30" s="72" t="n"/>
      <c r="H30" s="27">
        <f>F30+G30</f>
        <v/>
      </c>
      <c r="I30" s="107">
        <f>'مستخلص 22'!K30</f>
        <v/>
      </c>
      <c r="J30" s="68" t="n"/>
      <c r="K30" s="101">
        <f>IF(J30="",I30,J30)</f>
        <v/>
      </c>
      <c r="L30" s="74">
        <f>'مستخلص 22'!N30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22'!H31</f>
        <v/>
      </c>
      <c r="G31" s="72" t="n"/>
      <c r="H31" s="84">
        <f>F31+G31</f>
        <v/>
      </c>
      <c r="I31" s="109">
        <f>'مستخلص 22'!K31</f>
        <v/>
      </c>
      <c r="J31" s="68" t="n"/>
      <c r="K31" s="103">
        <f>IF(J31="",I31,J31)</f>
        <v/>
      </c>
      <c r="L31" s="108">
        <f>'مستخلص 22'!N31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22'!H32</f>
        <v/>
      </c>
      <c r="G32" s="72" t="n"/>
      <c r="H32" s="27">
        <f>F32+G32</f>
        <v/>
      </c>
      <c r="I32" s="107">
        <f>'مستخلص 22'!K32</f>
        <v/>
      </c>
      <c r="J32" s="68" t="n"/>
      <c r="K32" s="101">
        <f>IF(J32="",I32,J32)</f>
        <v/>
      </c>
      <c r="L32" s="74">
        <f>'مستخلص 22'!N32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22'!H33</f>
        <v/>
      </c>
      <c r="G33" s="72" t="n"/>
      <c r="H33" s="84">
        <f>F33+G33</f>
        <v/>
      </c>
      <c r="I33" s="109">
        <f>'مستخلص 22'!K33</f>
        <v/>
      </c>
      <c r="J33" s="68" t="n"/>
      <c r="K33" s="103">
        <f>IF(J33="",I33,J33)</f>
        <v/>
      </c>
      <c r="L33" s="108">
        <f>'مستخلص 22'!N33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22'!H34</f>
        <v/>
      </c>
      <c r="G34" s="72" t="n"/>
      <c r="H34" s="27">
        <f>F34+G34</f>
        <v/>
      </c>
      <c r="I34" s="107">
        <f>'مستخلص 22'!K34</f>
        <v/>
      </c>
      <c r="J34" s="68" t="n"/>
      <c r="K34" s="101">
        <f>IF(J34="",I34,J34)</f>
        <v/>
      </c>
      <c r="L34" s="74">
        <f>'مستخلص 22'!N34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22'!H35</f>
        <v/>
      </c>
      <c r="G35" s="72" t="n"/>
      <c r="H35" s="84">
        <f>F35+G35</f>
        <v/>
      </c>
      <c r="I35" s="109">
        <f>'مستخلص 22'!K35</f>
        <v/>
      </c>
      <c r="J35" s="68" t="n"/>
      <c r="K35" s="103">
        <f>IF(J35="",I35,J35)</f>
        <v/>
      </c>
      <c r="L35" s="108">
        <f>'مستخلص 22'!N35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22'!H36</f>
        <v/>
      </c>
      <c r="G36" s="72" t="n"/>
      <c r="H36" s="27">
        <f>F36+G36</f>
        <v/>
      </c>
      <c r="I36" s="107">
        <f>'مستخلص 22'!K36</f>
        <v/>
      </c>
      <c r="J36" s="68" t="n"/>
      <c r="K36" s="101">
        <f>IF(J36="",I36,J36)</f>
        <v/>
      </c>
      <c r="L36" s="74">
        <f>'مستخلص 22'!N36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22'!H37</f>
        <v/>
      </c>
      <c r="G37" s="72" t="n"/>
      <c r="H37" s="84">
        <f>F37+G37</f>
        <v/>
      </c>
      <c r="I37" s="109">
        <f>'مستخلص 22'!K37</f>
        <v/>
      </c>
      <c r="J37" s="68" t="n"/>
      <c r="K37" s="103">
        <f>IF(J37="",I37,J37)</f>
        <v/>
      </c>
      <c r="L37" s="108">
        <f>'مستخلص 22'!N37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22'!H38</f>
        <v/>
      </c>
      <c r="G38" s="72" t="n"/>
      <c r="H38" s="27">
        <f>F38+G38</f>
        <v/>
      </c>
      <c r="I38" s="107">
        <f>'مستخلص 22'!K38</f>
        <v/>
      </c>
      <c r="J38" s="68" t="n"/>
      <c r="K38" s="101">
        <f>IF(J38="",I38,J38)</f>
        <v/>
      </c>
      <c r="L38" s="74">
        <f>'مستخلص 22'!N38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22'!H39</f>
        <v/>
      </c>
      <c r="G39" s="72" t="n"/>
      <c r="H39" s="84">
        <f>F39+G39</f>
        <v/>
      </c>
      <c r="I39" s="109">
        <f>'مستخلص 22'!K39</f>
        <v/>
      </c>
      <c r="J39" s="68" t="n"/>
      <c r="K39" s="103">
        <f>IF(J39="",I39,J39)</f>
        <v/>
      </c>
      <c r="L39" s="108">
        <f>'مستخلص 22'!N39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22'!H40</f>
        <v/>
      </c>
      <c r="G40" s="72" t="n"/>
      <c r="H40" s="27">
        <f>F40+G40</f>
        <v/>
      </c>
      <c r="I40" s="107">
        <f>'مستخلص 22'!K40</f>
        <v/>
      </c>
      <c r="J40" s="68" t="n"/>
      <c r="K40" s="101">
        <f>IF(J40="",I40,J40)</f>
        <v/>
      </c>
      <c r="L40" s="74">
        <f>'مستخلص 22'!N40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22'!H41</f>
        <v/>
      </c>
      <c r="G41" s="72" t="n"/>
      <c r="H41" s="84">
        <f>F41+G41</f>
        <v/>
      </c>
      <c r="I41" s="109">
        <f>'مستخلص 22'!K41</f>
        <v/>
      </c>
      <c r="J41" s="68" t="n"/>
      <c r="K41" s="103">
        <f>IF(J41="",I41,J41)</f>
        <v/>
      </c>
      <c r="L41" s="108">
        <f>'مستخلص 22'!N41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22'!H42</f>
        <v/>
      </c>
      <c r="G42" s="72" t="n"/>
      <c r="H42" s="27">
        <f>F42+G42</f>
        <v/>
      </c>
      <c r="I42" s="107">
        <f>'مستخلص 22'!K42</f>
        <v/>
      </c>
      <c r="J42" s="68" t="n"/>
      <c r="K42" s="101">
        <f>IF(J42="",I42,J42)</f>
        <v/>
      </c>
      <c r="L42" s="74">
        <f>'مستخلص 22'!N42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22'!H43</f>
        <v/>
      </c>
      <c r="G43" s="72" t="n"/>
      <c r="H43" s="84">
        <f>F43+G43</f>
        <v/>
      </c>
      <c r="I43" s="109">
        <f>'مستخلص 22'!K43</f>
        <v/>
      </c>
      <c r="J43" s="68" t="n"/>
      <c r="K43" s="103">
        <f>IF(J43="",I43,J43)</f>
        <v/>
      </c>
      <c r="L43" s="108">
        <f>'مستخلص 22'!N43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22'!H44</f>
        <v/>
      </c>
      <c r="G44" s="72" t="n"/>
      <c r="H44" s="27">
        <f>F44+G44</f>
        <v/>
      </c>
      <c r="I44" s="107">
        <f>'مستخلص 22'!K44</f>
        <v/>
      </c>
      <c r="J44" s="68" t="n"/>
      <c r="K44" s="101">
        <f>IF(J44="",I44,J44)</f>
        <v/>
      </c>
      <c r="L44" s="74">
        <f>'مستخلص 22'!N44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22'!H45</f>
        <v/>
      </c>
      <c r="G45" s="72" t="n"/>
      <c r="H45" s="84">
        <f>F45+G45</f>
        <v/>
      </c>
      <c r="I45" s="109">
        <f>'مستخلص 22'!K45</f>
        <v/>
      </c>
      <c r="J45" s="68" t="n"/>
      <c r="K45" s="103">
        <f>IF(J45="",I45,J45)</f>
        <v/>
      </c>
      <c r="L45" s="108">
        <f>'مستخلص 22'!N45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22'!H46</f>
        <v/>
      </c>
      <c r="G46" s="72" t="n"/>
      <c r="H46" s="27">
        <f>F46+G46</f>
        <v/>
      </c>
      <c r="I46" s="107">
        <f>'مستخلص 22'!K46</f>
        <v/>
      </c>
      <c r="J46" s="68" t="n"/>
      <c r="K46" s="101">
        <f>IF(J46="",I46,J46)</f>
        <v/>
      </c>
      <c r="L46" s="74">
        <f>'مستخلص 22'!N46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22'!H47</f>
        <v/>
      </c>
      <c r="G47" s="72" t="n"/>
      <c r="H47" s="84">
        <f>F47+G47</f>
        <v/>
      </c>
      <c r="I47" s="109">
        <f>'مستخلص 22'!K47</f>
        <v/>
      </c>
      <c r="J47" s="68" t="n"/>
      <c r="K47" s="103">
        <f>IF(J47="",I47,J47)</f>
        <v/>
      </c>
      <c r="L47" s="108">
        <f>'مستخلص 22'!N47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22'!H48</f>
        <v/>
      </c>
      <c r="G48" s="72" t="n"/>
      <c r="H48" s="27">
        <f>F48+G48</f>
        <v/>
      </c>
      <c r="I48" s="107">
        <f>'مستخلص 22'!K48</f>
        <v/>
      </c>
      <c r="J48" s="68" t="n"/>
      <c r="K48" s="101">
        <f>IF(J48="",I48,J48)</f>
        <v/>
      </c>
      <c r="L48" s="74">
        <f>'مستخلص 22'!N48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22'!H49</f>
        <v/>
      </c>
      <c r="G49" s="72" t="n"/>
      <c r="H49" s="84">
        <f>F49+G49</f>
        <v/>
      </c>
      <c r="I49" s="109">
        <f>'مستخلص 22'!K49</f>
        <v/>
      </c>
      <c r="J49" s="68" t="n"/>
      <c r="K49" s="103">
        <f>IF(J49="",I49,J49)</f>
        <v/>
      </c>
      <c r="L49" s="108">
        <f>'مستخلص 22'!N49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22'!H50</f>
        <v/>
      </c>
      <c r="G50" s="72" t="n"/>
      <c r="H50" s="27">
        <f>F50+G50</f>
        <v/>
      </c>
      <c r="I50" s="107">
        <f>'مستخلص 22'!K50</f>
        <v/>
      </c>
      <c r="J50" s="68" t="n"/>
      <c r="K50" s="101">
        <f>IF(J50="",I50,J50)</f>
        <v/>
      </c>
      <c r="L50" s="74">
        <f>'مستخلص 22'!N50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22'!H51</f>
        <v/>
      </c>
      <c r="G51" s="72" t="n"/>
      <c r="H51" s="84">
        <f>F51+G51</f>
        <v/>
      </c>
      <c r="I51" s="109">
        <f>'مستخلص 22'!K51</f>
        <v/>
      </c>
      <c r="J51" s="68" t="n"/>
      <c r="K51" s="103">
        <f>IF(J51="",I51,J51)</f>
        <v/>
      </c>
      <c r="L51" s="108">
        <f>'مستخلص 22'!N51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22'!H52</f>
        <v/>
      </c>
      <c r="G52" s="72" t="n"/>
      <c r="H52" s="27">
        <f>F52+G52</f>
        <v/>
      </c>
      <c r="I52" s="107">
        <f>'مستخلص 22'!K52</f>
        <v/>
      </c>
      <c r="J52" s="68" t="n"/>
      <c r="K52" s="101">
        <f>IF(J52="",I52,J52)</f>
        <v/>
      </c>
      <c r="L52" s="74">
        <f>'مستخلص 22'!N52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22'!H53</f>
        <v/>
      </c>
      <c r="G53" s="72" t="n"/>
      <c r="H53" s="84">
        <f>F53+G53</f>
        <v/>
      </c>
      <c r="I53" s="109">
        <f>'مستخلص 22'!K53</f>
        <v/>
      </c>
      <c r="J53" s="68" t="n"/>
      <c r="K53" s="103">
        <f>IF(J53="",I53,J53)</f>
        <v/>
      </c>
      <c r="L53" s="108">
        <f>'مستخلص 22'!N53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22'!H54</f>
        <v/>
      </c>
      <c r="G54" s="72" t="n"/>
      <c r="H54" s="27">
        <f>F54+G54</f>
        <v/>
      </c>
      <c r="I54" s="107">
        <f>'مستخلص 22'!K54</f>
        <v/>
      </c>
      <c r="J54" s="68" t="n"/>
      <c r="K54" s="101">
        <f>IF(J54="",I54,J54)</f>
        <v/>
      </c>
      <c r="L54" s="74">
        <f>'مستخلص 22'!N54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22'!H55</f>
        <v/>
      </c>
      <c r="G55" s="72" t="n"/>
      <c r="H55" s="84">
        <f>F55+G55</f>
        <v/>
      </c>
      <c r="I55" s="109">
        <f>'مستخلص 22'!K55</f>
        <v/>
      </c>
      <c r="J55" s="68" t="n"/>
      <c r="K55" s="103">
        <f>IF(J55="",I55,J55)</f>
        <v/>
      </c>
      <c r="L55" s="108">
        <f>'مستخلص 22'!N55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22'!H56</f>
        <v/>
      </c>
      <c r="G56" s="72" t="n"/>
      <c r="H56" s="27">
        <f>F56+G56</f>
        <v/>
      </c>
      <c r="I56" s="107">
        <f>'مستخلص 22'!K56</f>
        <v/>
      </c>
      <c r="J56" s="68" t="n"/>
      <c r="K56" s="101">
        <f>IF(J56="",I56,J56)</f>
        <v/>
      </c>
      <c r="L56" s="74">
        <f>'مستخلص 22'!N56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22'!H57</f>
        <v/>
      </c>
      <c r="G57" s="72" t="n"/>
      <c r="H57" s="84">
        <f>F57+G57</f>
        <v/>
      </c>
      <c r="I57" s="109">
        <f>'مستخلص 22'!K57</f>
        <v/>
      </c>
      <c r="J57" s="68" t="n"/>
      <c r="K57" s="103">
        <f>IF(J57="",I57,J57)</f>
        <v/>
      </c>
      <c r="L57" s="108">
        <f>'مستخلص 22'!N57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22'!H58</f>
        <v/>
      </c>
      <c r="G58" s="72" t="n"/>
      <c r="H58" s="27">
        <f>F58+G58</f>
        <v/>
      </c>
      <c r="I58" s="107">
        <f>'مستخلص 22'!K58</f>
        <v/>
      </c>
      <c r="J58" s="68" t="n"/>
      <c r="K58" s="101">
        <f>IF(J58="",I58,J58)</f>
        <v/>
      </c>
      <c r="L58" s="74">
        <f>'مستخلص 22'!N58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22'!H59</f>
        <v/>
      </c>
      <c r="G59" s="72" t="n"/>
      <c r="H59" s="84">
        <f>F59+G59</f>
        <v/>
      </c>
      <c r="I59" s="109">
        <f>'مستخلص 22'!K59</f>
        <v/>
      </c>
      <c r="J59" s="68" t="n"/>
      <c r="K59" s="103">
        <f>IF(J59="",I59,J59)</f>
        <v/>
      </c>
      <c r="L59" s="108">
        <f>'مستخلص 22'!N59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22'!H60</f>
        <v/>
      </c>
      <c r="G60" s="72" t="n"/>
      <c r="H60" s="27">
        <f>F60+G60</f>
        <v/>
      </c>
      <c r="I60" s="107">
        <f>'مستخلص 22'!K60</f>
        <v/>
      </c>
      <c r="J60" s="68" t="n"/>
      <c r="K60" s="101">
        <f>IF(J60="",I60,J60)</f>
        <v/>
      </c>
      <c r="L60" s="74">
        <f>'مستخلص 22'!N60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22'!H61</f>
        <v/>
      </c>
      <c r="G61" s="72" t="n"/>
      <c r="H61" s="84">
        <f>F61+G61</f>
        <v/>
      </c>
      <c r="I61" s="109">
        <f>'مستخلص 22'!K61</f>
        <v/>
      </c>
      <c r="J61" s="68" t="n"/>
      <c r="K61" s="103">
        <f>IF(J61="",I61,J61)</f>
        <v/>
      </c>
      <c r="L61" s="108">
        <f>'مستخلص 22'!N61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22'!H62</f>
        <v/>
      </c>
      <c r="G62" s="72" t="n"/>
      <c r="H62" s="27">
        <f>F62+G62</f>
        <v/>
      </c>
      <c r="I62" s="107">
        <f>'مستخلص 22'!K62</f>
        <v/>
      </c>
      <c r="J62" s="68" t="n"/>
      <c r="K62" s="101">
        <f>IF(J62="",I62,J62)</f>
        <v/>
      </c>
      <c r="L62" s="74">
        <f>'مستخلص 22'!N62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22'!H63</f>
        <v/>
      </c>
      <c r="G63" s="72" t="n"/>
      <c r="H63" s="84">
        <f>F63+G63</f>
        <v/>
      </c>
      <c r="I63" s="109">
        <f>'مستخلص 22'!K63</f>
        <v/>
      </c>
      <c r="J63" s="68" t="n"/>
      <c r="K63" s="103">
        <f>IF(J63="",I63,J63)</f>
        <v/>
      </c>
      <c r="L63" s="108">
        <f>'مستخلص 22'!N63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22'!H64</f>
        <v/>
      </c>
      <c r="G64" s="72" t="n"/>
      <c r="H64" s="27">
        <f>F64+G64</f>
        <v/>
      </c>
      <c r="I64" s="107">
        <f>'مستخلص 22'!K64</f>
        <v/>
      </c>
      <c r="J64" s="68" t="n"/>
      <c r="K64" s="101">
        <f>IF(J64="",I64,J64)</f>
        <v/>
      </c>
      <c r="L64" s="74">
        <f>'مستخلص 22'!N64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22'!H65</f>
        <v/>
      </c>
      <c r="G65" s="72" t="n"/>
      <c r="H65" s="84">
        <f>F65+G65</f>
        <v/>
      </c>
      <c r="I65" s="109">
        <f>'مستخلص 22'!K65</f>
        <v/>
      </c>
      <c r="J65" s="68" t="n"/>
      <c r="K65" s="103">
        <f>IF(J65="",I65,J65)</f>
        <v/>
      </c>
      <c r="L65" s="108">
        <f>'مستخلص 22'!N65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22'!H66</f>
        <v/>
      </c>
      <c r="G66" s="72" t="n"/>
      <c r="H66" s="27">
        <f>F66+G66</f>
        <v/>
      </c>
      <c r="I66" s="107">
        <f>'مستخلص 22'!K66</f>
        <v/>
      </c>
      <c r="J66" s="68" t="n"/>
      <c r="K66" s="101">
        <f>IF(J66="",I66,J66)</f>
        <v/>
      </c>
      <c r="L66" s="74">
        <f>'مستخلص 22'!N66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22'!H67</f>
        <v/>
      </c>
      <c r="G67" s="72" t="n"/>
      <c r="H67" s="84">
        <f>F67+G67</f>
        <v/>
      </c>
      <c r="I67" s="109">
        <f>'مستخلص 22'!K67</f>
        <v/>
      </c>
      <c r="J67" s="68" t="n"/>
      <c r="K67" s="103">
        <f>IF(J67="",I67,J67)</f>
        <v/>
      </c>
      <c r="L67" s="108">
        <f>'مستخلص 22'!N67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22'!H68</f>
        <v/>
      </c>
      <c r="G68" s="72" t="n"/>
      <c r="H68" s="27">
        <f>F68+G68</f>
        <v/>
      </c>
      <c r="I68" s="107">
        <f>'مستخلص 22'!K68</f>
        <v/>
      </c>
      <c r="J68" s="68" t="n"/>
      <c r="K68" s="101">
        <f>IF(J68="",I68,J68)</f>
        <v/>
      </c>
      <c r="L68" s="74">
        <f>'مستخلص 22'!N68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22'!H69</f>
        <v/>
      </c>
      <c r="G69" s="72" t="n"/>
      <c r="H69" s="84">
        <f>F69+G69</f>
        <v/>
      </c>
      <c r="I69" s="109">
        <f>'مستخلص 22'!K69</f>
        <v/>
      </c>
      <c r="J69" s="68" t="n"/>
      <c r="K69" s="103">
        <f>IF(J69="",I69,J69)</f>
        <v/>
      </c>
      <c r="L69" s="108">
        <f>'مستخلص 22'!N69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22'!H70</f>
        <v/>
      </c>
      <c r="G70" s="72" t="n"/>
      <c r="H70" s="27">
        <f>F70+G70</f>
        <v/>
      </c>
      <c r="I70" s="107">
        <f>'مستخلص 22'!K70</f>
        <v/>
      </c>
      <c r="J70" s="68" t="n"/>
      <c r="K70" s="101">
        <f>IF(J70="",I70,J70)</f>
        <v/>
      </c>
      <c r="L70" s="74">
        <f>'مستخلص 22'!N70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22'!H71</f>
        <v/>
      </c>
      <c r="G71" s="72" t="n"/>
      <c r="H71" s="84">
        <f>F71+G71</f>
        <v/>
      </c>
      <c r="I71" s="109">
        <f>'مستخلص 22'!K71</f>
        <v/>
      </c>
      <c r="J71" s="68" t="n"/>
      <c r="K71" s="103">
        <f>IF(J71="",I71,J71)</f>
        <v/>
      </c>
      <c r="L71" s="108">
        <f>'مستخلص 22'!N71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22'!H72</f>
        <v/>
      </c>
      <c r="G72" s="72" t="n"/>
      <c r="H72" s="27">
        <f>F72+G72</f>
        <v/>
      </c>
      <c r="I72" s="107">
        <f>'مستخلص 22'!K72</f>
        <v/>
      </c>
      <c r="J72" s="68" t="n"/>
      <c r="K72" s="101">
        <f>IF(J72="",I72,J72)</f>
        <v/>
      </c>
      <c r="L72" s="74">
        <f>'مستخلص 22'!N72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22'!H73</f>
        <v/>
      </c>
      <c r="G73" s="72" t="n"/>
      <c r="H73" s="84">
        <f>F73+G73</f>
        <v/>
      </c>
      <c r="I73" s="109">
        <f>'مستخلص 22'!K73</f>
        <v/>
      </c>
      <c r="J73" s="68" t="n"/>
      <c r="K73" s="103">
        <f>IF(J73="",I73,J73)</f>
        <v/>
      </c>
      <c r="L73" s="108">
        <f>'مستخلص 22'!N73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22'!H74</f>
        <v/>
      </c>
      <c r="G74" s="72" t="n"/>
      <c r="H74" s="27">
        <f>F74+G74</f>
        <v/>
      </c>
      <c r="I74" s="107">
        <f>'مستخلص 22'!K74</f>
        <v/>
      </c>
      <c r="J74" s="68" t="n"/>
      <c r="K74" s="101">
        <f>IF(J74="",I74,J74)</f>
        <v/>
      </c>
      <c r="L74" s="74">
        <f>'مستخلص 22'!N74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22'!H75</f>
        <v/>
      </c>
      <c r="G75" s="72" t="n"/>
      <c r="H75" s="84">
        <f>F75+G75</f>
        <v/>
      </c>
      <c r="I75" s="109">
        <f>'مستخلص 22'!K75</f>
        <v/>
      </c>
      <c r="J75" s="68" t="n"/>
      <c r="K75" s="103">
        <f>IF(J75="",I75,J75)</f>
        <v/>
      </c>
      <c r="L75" s="108">
        <f>'مستخلص 22'!N75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22'!H76</f>
        <v/>
      </c>
      <c r="G76" s="72" t="n"/>
      <c r="H76" s="27">
        <f>F76+G76</f>
        <v/>
      </c>
      <c r="I76" s="107">
        <f>'مستخلص 22'!K76</f>
        <v/>
      </c>
      <c r="J76" s="68" t="n"/>
      <c r="K76" s="101">
        <f>IF(J76="",I76,J76)</f>
        <v/>
      </c>
      <c r="L76" s="74">
        <f>'مستخلص 22'!N76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22'!H77</f>
        <v/>
      </c>
      <c r="G77" s="72" t="n"/>
      <c r="H77" s="84">
        <f>F77+G77</f>
        <v/>
      </c>
      <c r="I77" s="109">
        <f>'مستخلص 22'!K77</f>
        <v/>
      </c>
      <c r="J77" s="68" t="n"/>
      <c r="K77" s="103">
        <f>IF(J77="",I77,J77)</f>
        <v/>
      </c>
      <c r="L77" s="108">
        <f>'مستخلص 22'!N77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22'!H78</f>
        <v/>
      </c>
      <c r="G78" s="72" t="n"/>
      <c r="H78" s="27">
        <f>F78+G78</f>
        <v/>
      </c>
      <c r="I78" s="107">
        <f>'مستخلص 22'!K78</f>
        <v/>
      </c>
      <c r="J78" s="68" t="n"/>
      <c r="K78" s="101">
        <f>IF(J78="",I78,J78)</f>
        <v/>
      </c>
      <c r="L78" s="74">
        <f>'مستخلص 22'!N78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22'!H79</f>
        <v/>
      </c>
      <c r="G79" s="72" t="n"/>
      <c r="H79" s="84">
        <f>F79+G79</f>
        <v/>
      </c>
      <c r="I79" s="109">
        <f>'مستخلص 22'!K79</f>
        <v/>
      </c>
      <c r="J79" s="68" t="n"/>
      <c r="K79" s="103">
        <f>IF(J79="",I79,J79)</f>
        <v/>
      </c>
      <c r="L79" s="108">
        <f>'مستخلص 22'!N79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22'!H80</f>
        <v/>
      </c>
      <c r="G80" s="72" t="n"/>
      <c r="H80" s="27">
        <f>F80+G80</f>
        <v/>
      </c>
      <c r="I80" s="107">
        <f>'مستخلص 22'!K80</f>
        <v/>
      </c>
      <c r="J80" s="68" t="n"/>
      <c r="K80" s="101">
        <f>IF(J80="",I80,J80)</f>
        <v/>
      </c>
      <c r="L80" s="74">
        <f>'مستخلص 22'!N80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22'!H81</f>
        <v/>
      </c>
      <c r="G81" s="72" t="n"/>
      <c r="H81" s="84">
        <f>F81+G81</f>
        <v/>
      </c>
      <c r="I81" s="109">
        <f>'مستخلص 22'!K81</f>
        <v/>
      </c>
      <c r="J81" s="68" t="n"/>
      <c r="K81" s="103">
        <f>IF(J81="",I81,J81)</f>
        <v/>
      </c>
      <c r="L81" s="108">
        <f>'مستخلص 22'!N81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22'!H82</f>
        <v/>
      </c>
      <c r="G82" s="72" t="n"/>
      <c r="H82" s="27">
        <f>F82+G82</f>
        <v/>
      </c>
      <c r="I82" s="107">
        <f>'مستخلص 22'!K82</f>
        <v/>
      </c>
      <c r="J82" s="68" t="n"/>
      <c r="K82" s="101">
        <f>IF(J82="",I82,J82)</f>
        <v/>
      </c>
      <c r="L82" s="74">
        <f>'مستخلص 22'!N82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22'!H83</f>
        <v/>
      </c>
      <c r="G83" s="72" t="n"/>
      <c r="H83" s="84">
        <f>F83+G83</f>
        <v/>
      </c>
      <c r="I83" s="109">
        <f>'مستخلص 22'!K83</f>
        <v/>
      </c>
      <c r="J83" s="68" t="n"/>
      <c r="K83" s="103">
        <f>IF(J83="",I83,J83)</f>
        <v/>
      </c>
      <c r="L83" s="108">
        <f>'مستخلص 22'!N83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22'!H84</f>
        <v/>
      </c>
      <c r="G84" s="72" t="n"/>
      <c r="H84" s="27">
        <f>F84+G84</f>
        <v/>
      </c>
      <c r="I84" s="107">
        <f>'مستخلص 22'!K84</f>
        <v/>
      </c>
      <c r="J84" s="68" t="n"/>
      <c r="K84" s="101">
        <f>IF(J84="",I84,J84)</f>
        <v/>
      </c>
      <c r="L84" s="74">
        <f>'مستخلص 22'!N84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22'!H85</f>
        <v/>
      </c>
      <c r="G85" s="72" t="n"/>
      <c r="H85" s="84">
        <f>F85+G85</f>
        <v/>
      </c>
      <c r="I85" s="109">
        <f>'مستخلص 22'!K85</f>
        <v/>
      </c>
      <c r="J85" s="68" t="n"/>
      <c r="K85" s="103">
        <f>IF(J85="",I85,J85)</f>
        <v/>
      </c>
      <c r="L85" s="108">
        <f>'مستخلص 22'!N85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22'!H86</f>
        <v/>
      </c>
      <c r="G86" s="72" t="n"/>
      <c r="H86" s="27">
        <f>F86+G86</f>
        <v/>
      </c>
      <c r="I86" s="107">
        <f>'مستخلص 22'!K86</f>
        <v/>
      </c>
      <c r="J86" s="68" t="n"/>
      <c r="K86" s="101">
        <f>IF(J86="",I86,J86)</f>
        <v/>
      </c>
      <c r="L86" s="74">
        <f>'مستخلص 22'!N86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22'!H87</f>
        <v/>
      </c>
      <c r="G87" s="72" t="n"/>
      <c r="H87" s="84">
        <f>F87+G87</f>
        <v/>
      </c>
      <c r="I87" s="109">
        <f>'مستخلص 22'!K87</f>
        <v/>
      </c>
      <c r="J87" s="68" t="n"/>
      <c r="K87" s="103">
        <f>IF(J87="",I87,J87)</f>
        <v/>
      </c>
      <c r="L87" s="108">
        <f>'مستخلص 22'!N87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22'!H88</f>
        <v/>
      </c>
      <c r="G88" s="72" t="n"/>
      <c r="H88" s="27">
        <f>F88+G88</f>
        <v/>
      </c>
      <c r="I88" s="107">
        <f>'مستخلص 22'!K88</f>
        <v/>
      </c>
      <c r="J88" s="68" t="n"/>
      <c r="K88" s="101">
        <f>IF(J88="",I88,J88)</f>
        <v/>
      </c>
      <c r="L88" s="74">
        <f>'مستخلص 22'!N88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22'!H89</f>
        <v/>
      </c>
      <c r="G89" s="72" t="n"/>
      <c r="H89" s="84">
        <f>F89+G89</f>
        <v/>
      </c>
      <c r="I89" s="109">
        <f>'مستخلص 22'!K89</f>
        <v/>
      </c>
      <c r="J89" s="68" t="n"/>
      <c r="K89" s="103">
        <f>IF(J89="",I89,J89)</f>
        <v/>
      </c>
      <c r="L89" s="108">
        <f>'مستخلص 22'!N89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22'!H90</f>
        <v/>
      </c>
      <c r="G90" s="72" t="n"/>
      <c r="H90" s="27">
        <f>F90+G90</f>
        <v/>
      </c>
      <c r="I90" s="107">
        <f>'مستخلص 22'!K90</f>
        <v/>
      </c>
      <c r="J90" s="68" t="n"/>
      <c r="K90" s="101">
        <f>IF(J90="",I90,J90)</f>
        <v/>
      </c>
      <c r="L90" s="74">
        <f>'مستخلص 22'!N90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22'!H91</f>
        <v/>
      </c>
      <c r="G91" s="72" t="n"/>
      <c r="H91" s="84">
        <f>F91+G91</f>
        <v/>
      </c>
      <c r="I91" s="109">
        <f>'مستخلص 22'!K91</f>
        <v/>
      </c>
      <c r="J91" s="68" t="n"/>
      <c r="K91" s="103">
        <f>IF(J91="",I91,J91)</f>
        <v/>
      </c>
      <c r="L91" s="108">
        <f>'مستخلص 22'!N91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22'!H92</f>
        <v/>
      </c>
      <c r="G92" s="72" t="n"/>
      <c r="H92" s="27">
        <f>F92+G92</f>
        <v/>
      </c>
      <c r="I92" s="107">
        <f>'مستخلص 22'!K92</f>
        <v/>
      </c>
      <c r="J92" s="68" t="n"/>
      <c r="K92" s="101">
        <f>IF(J92="",I92,J92)</f>
        <v/>
      </c>
      <c r="L92" s="74">
        <f>'مستخلص 22'!N92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22'!H93</f>
        <v/>
      </c>
      <c r="G93" s="72" t="n"/>
      <c r="H93" s="84">
        <f>F93+G93</f>
        <v/>
      </c>
      <c r="I93" s="109">
        <f>'مستخلص 22'!K93</f>
        <v/>
      </c>
      <c r="J93" s="68" t="n"/>
      <c r="K93" s="103">
        <f>IF(J93="",I93,J93)</f>
        <v/>
      </c>
      <c r="L93" s="108">
        <f>'مستخلص 22'!N93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22'!H94</f>
        <v/>
      </c>
      <c r="G94" s="72" t="n"/>
      <c r="H94" s="27">
        <f>F94+G94</f>
        <v/>
      </c>
      <c r="I94" s="107">
        <f>'مستخلص 22'!K94</f>
        <v/>
      </c>
      <c r="J94" s="68" t="n"/>
      <c r="K94" s="101">
        <f>IF(J94="",I94,J94)</f>
        <v/>
      </c>
      <c r="L94" s="74">
        <f>'مستخلص 22'!N94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22'!H95</f>
        <v/>
      </c>
      <c r="G95" s="72" t="n"/>
      <c r="H95" s="84">
        <f>F95+G95</f>
        <v/>
      </c>
      <c r="I95" s="109">
        <f>'مستخلص 22'!K95</f>
        <v/>
      </c>
      <c r="J95" s="68" t="n"/>
      <c r="K95" s="103">
        <f>IF(J95="",I95,J95)</f>
        <v/>
      </c>
      <c r="L95" s="108">
        <f>'مستخلص 22'!N95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22'!H96</f>
        <v/>
      </c>
      <c r="G96" s="72" t="n"/>
      <c r="H96" s="27">
        <f>F96+G96</f>
        <v/>
      </c>
      <c r="I96" s="107">
        <f>'مستخلص 22'!K96</f>
        <v/>
      </c>
      <c r="J96" s="68" t="n"/>
      <c r="K96" s="101">
        <f>IF(J96="",I96,J96)</f>
        <v/>
      </c>
      <c r="L96" s="74">
        <f>'مستخلص 22'!N96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22'!H97</f>
        <v/>
      </c>
      <c r="G97" s="72" t="n"/>
      <c r="H97" s="84">
        <f>F97+G97</f>
        <v/>
      </c>
      <c r="I97" s="109">
        <f>'مستخلص 22'!K97</f>
        <v/>
      </c>
      <c r="J97" s="68" t="n"/>
      <c r="K97" s="103">
        <f>IF(J97="",I97,J97)</f>
        <v/>
      </c>
      <c r="L97" s="108">
        <f>'مستخلص 22'!N97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22'!H98</f>
        <v/>
      </c>
      <c r="G98" s="72" t="n"/>
      <c r="H98" s="27">
        <f>F98+G98</f>
        <v/>
      </c>
      <c r="I98" s="107">
        <f>'مستخلص 22'!K98</f>
        <v/>
      </c>
      <c r="J98" s="68" t="n"/>
      <c r="K98" s="101">
        <f>IF(J98="",I98,J98)</f>
        <v/>
      </c>
      <c r="L98" s="74">
        <f>'مستخلص 22'!N98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22'!H99</f>
        <v/>
      </c>
      <c r="G99" s="72" t="n"/>
      <c r="H99" s="84">
        <f>F99+G99</f>
        <v/>
      </c>
      <c r="I99" s="109">
        <f>'مستخلص 22'!K99</f>
        <v/>
      </c>
      <c r="J99" s="68" t="n"/>
      <c r="K99" s="103">
        <f>IF(J99="",I99,J99)</f>
        <v/>
      </c>
      <c r="L99" s="108">
        <f>'مستخلص 22'!N99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22'!H100</f>
        <v/>
      </c>
      <c r="G100" s="72" t="n"/>
      <c r="H100" s="27">
        <f>F100+G100</f>
        <v/>
      </c>
      <c r="I100" s="107">
        <f>'مستخلص 22'!K100</f>
        <v/>
      </c>
      <c r="J100" s="68" t="n"/>
      <c r="K100" s="101">
        <f>IF(J100="",I100,J100)</f>
        <v/>
      </c>
      <c r="L100" s="74">
        <f>'مستخلص 22'!N100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22'!H101</f>
        <v/>
      </c>
      <c r="G101" s="72" t="n"/>
      <c r="H101" s="84">
        <f>F101+G101</f>
        <v/>
      </c>
      <c r="I101" s="109">
        <f>'مستخلص 22'!K101</f>
        <v/>
      </c>
      <c r="J101" s="68" t="n"/>
      <c r="K101" s="103">
        <f>IF(J101="",I101,J101)</f>
        <v/>
      </c>
      <c r="L101" s="108">
        <f>'مستخلص 22'!N101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22'!H102</f>
        <v/>
      </c>
      <c r="G102" s="72" t="n"/>
      <c r="H102" s="27">
        <f>F102+G102</f>
        <v/>
      </c>
      <c r="I102" s="107">
        <f>'مستخلص 22'!K102</f>
        <v/>
      </c>
      <c r="J102" s="68" t="n"/>
      <c r="K102" s="101">
        <f>IF(J102="",I102,J102)</f>
        <v/>
      </c>
      <c r="L102" s="74">
        <f>'مستخلص 22'!N102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22'!H103</f>
        <v/>
      </c>
      <c r="G103" s="72" t="n"/>
      <c r="H103" s="84">
        <f>F103+G103</f>
        <v/>
      </c>
      <c r="I103" s="109">
        <f>'مستخلص 22'!K103</f>
        <v/>
      </c>
      <c r="J103" s="68" t="n"/>
      <c r="K103" s="103">
        <f>IF(J103="",I103,J103)</f>
        <v/>
      </c>
      <c r="L103" s="108">
        <f>'مستخلص 22'!N103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22'!H104</f>
        <v/>
      </c>
      <c r="G104" s="72" t="n"/>
      <c r="H104" s="27">
        <f>F104+G104</f>
        <v/>
      </c>
      <c r="I104" s="107">
        <f>'مستخلص 22'!K104</f>
        <v/>
      </c>
      <c r="J104" s="68" t="n"/>
      <c r="K104" s="101">
        <f>IF(J104="",I104,J104)</f>
        <v/>
      </c>
      <c r="L104" s="74">
        <f>'مستخلص 22'!N104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22'!H105</f>
        <v/>
      </c>
      <c r="G105" s="72" t="n"/>
      <c r="H105" s="84">
        <f>F105+G105</f>
        <v/>
      </c>
      <c r="I105" s="109">
        <f>'مستخلص 22'!K105</f>
        <v/>
      </c>
      <c r="J105" s="68" t="n"/>
      <c r="K105" s="103">
        <f>IF(J105="",I105,J105)</f>
        <v/>
      </c>
      <c r="L105" s="108">
        <f>'مستخلص 22'!N105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22'!H106</f>
        <v/>
      </c>
      <c r="G106" s="72" t="n"/>
      <c r="H106" s="27">
        <f>F106+G106</f>
        <v/>
      </c>
      <c r="I106" s="107">
        <f>'مستخلص 22'!K106</f>
        <v/>
      </c>
      <c r="J106" s="68" t="n"/>
      <c r="K106" s="101">
        <f>IF(J106="",I106,J106)</f>
        <v/>
      </c>
      <c r="L106" s="74">
        <f>'مستخلص 22'!N106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22'!H107</f>
        <v/>
      </c>
      <c r="G107" s="72" t="n"/>
      <c r="H107" s="84">
        <f>F107+G107</f>
        <v/>
      </c>
      <c r="I107" s="109">
        <f>'مستخلص 22'!K107</f>
        <v/>
      </c>
      <c r="J107" s="68" t="n"/>
      <c r="K107" s="103">
        <f>IF(J107="",I107,J107)</f>
        <v/>
      </c>
      <c r="L107" s="108">
        <f>'مستخلص 22'!N107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22'!N111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22'!N112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22'!N113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22'!N114</f>
        <v/>
      </c>
      <c r="M114" s="27">
        <f>'الدفعات المقدمة'!I47</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22'!N115</f>
        <v/>
      </c>
      <c r="M115" s="27">
        <f>'ضمان الأعمال'!I38</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22'!N116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22'!N117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22'!N118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2'!A1" display="◀ المستخلص السابق (22)"/>
    <hyperlink ref="N3" location="'مستخلص 24'!A1" display="المستخلص التالي (24)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tabColor rgb="FFB7791F"/>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( 24 )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(23)</t>
        </is>
      </c>
      <c r="M3" s="4" t="n"/>
      <c r="N3" s="4" t="inlineStr">
        <is>
          <t>المستخلص التالي (25) ▶</t>
        </is>
      </c>
      <c r="O3" s="4" t="n"/>
      <c r="P3" s="4" t="n"/>
    </row>
    <row r="4" ht="24" customHeight="1">
      <c r="A4" s="96" t="inlineStr">
        <is>
          <t>رقم</t>
        </is>
      </c>
      <c r="B4" s="97" t="n">
        <v>24</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23'!H8</f>
        <v/>
      </c>
      <c r="G8" s="72" t="n"/>
      <c r="H8" s="27">
        <f>F8+G8</f>
        <v/>
      </c>
      <c r="I8" s="107">
        <f>'مستخلص 23'!K8</f>
        <v/>
      </c>
      <c r="J8" s="68" t="n"/>
      <c r="K8" s="101">
        <f>IF(J8="",I8,J8)</f>
        <v/>
      </c>
      <c r="L8" s="74">
        <f>'مستخلص 23'!N8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23'!H9</f>
        <v/>
      </c>
      <c r="G9" s="72" t="n"/>
      <c r="H9" s="84">
        <f>F9+G9</f>
        <v/>
      </c>
      <c r="I9" s="109">
        <f>'مستخلص 23'!K9</f>
        <v/>
      </c>
      <c r="J9" s="68" t="n"/>
      <c r="K9" s="103">
        <f>IF(J9="",I9,J9)</f>
        <v/>
      </c>
      <c r="L9" s="108">
        <f>'مستخلص 23'!N9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23'!H10</f>
        <v/>
      </c>
      <c r="G10" s="72" t="n"/>
      <c r="H10" s="27">
        <f>F10+G10</f>
        <v/>
      </c>
      <c r="I10" s="107">
        <f>'مستخلص 23'!K10</f>
        <v/>
      </c>
      <c r="J10" s="68" t="n"/>
      <c r="K10" s="101">
        <f>IF(J10="",I10,J10)</f>
        <v/>
      </c>
      <c r="L10" s="74">
        <f>'مستخلص 23'!N10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23'!H11</f>
        <v/>
      </c>
      <c r="G11" s="72" t="n"/>
      <c r="H11" s="84">
        <f>F11+G11</f>
        <v/>
      </c>
      <c r="I11" s="109">
        <f>'مستخلص 23'!K11</f>
        <v/>
      </c>
      <c r="J11" s="68" t="n"/>
      <c r="K11" s="103">
        <f>IF(J11="",I11,J11)</f>
        <v/>
      </c>
      <c r="L11" s="108">
        <f>'مستخلص 23'!N11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23'!H12</f>
        <v/>
      </c>
      <c r="G12" s="72" t="n"/>
      <c r="H12" s="27">
        <f>F12+G12</f>
        <v/>
      </c>
      <c r="I12" s="107">
        <f>'مستخلص 23'!K12</f>
        <v/>
      </c>
      <c r="J12" s="68" t="n"/>
      <c r="K12" s="101">
        <f>IF(J12="",I12,J12)</f>
        <v/>
      </c>
      <c r="L12" s="74">
        <f>'مستخلص 23'!N12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23'!H13</f>
        <v/>
      </c>
      <c r="G13" s="72" t="n"/>
      <c r="H13" s="84">
        <f>F13+G13</f>
        <v/>
      </c>
      <c r="I13" s="109">
        <f>'مستخلص 23'!K13</f>
        <v/>
      </c>
      <c r="J13" s="68" t="n"/>
      <c r="K13" s="103">
        <f>IF(J13="",I13,J13)</f>
        <v/>
      </c>
      <c r="L13" s="108">
        <f>'مستخلص 23'!N13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23'!H14</f>
        <v/>
      </c>
      <c r="G14" s="72" t="n"/>
      <c r="H14" s="27">
        <f>F14+G14</f>
        <v/>
      </c>
      <c r="I14" s="107">
        <f>'مستخلص 23'!K14</f>
        <v/>
      </c>
      <c r="J14" s="68" t="n"/>
      <c r="K14" s="101">
        <f>IF(J14="",I14,J14)</f>
        <v/>
      </c>
      <c r="L14" s="74">
        <f>'مستخلص 23'!N14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23'!H15</f>
        <v/>
      </c>
      <c r="G15" s="72" t="n"/>
      <c r="H15" s="84">
        <f>F15+G15</f>
        <v/>
      </c>
      <c r="I15" s="109">
        <f>'مستخلص 23'!K15</f>
        <v/>
      </c>
      <c r="J15" s="68" t="n"/>
      <c r="K15" s="103">
        <f>IF(J15="",I15,J15)</f>
        <v/>
      </c>
      <c r="L15" s="108">
        <f>'مستخلص 23'!N15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23'!H16</f>
        <v/>
      </c>
      <c r="G16" s="72" t="n"/>
      <c r="H16" s="27">
        <f>F16+G16</f>
        <v/>
      </c>
      <c r="I16" s="107">
        <f>'مستخلص 23'!K16</f>
        <v/>
      </c>
      <c r="J16" s="68" t="n"/>
      <c r="K16" s="101">
        <f>IF(J16="",I16,J16)</f>
        <v/>
      </c>
      <c r="L16" s="74">
        <f>'مستخلص 23'!N16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23'!H17</f>
        <v/>
      </c>
      <c r="G17" s="72" t="n"/>
      <c r="H17" s="84">
        <f>F17+G17</f>
        <v/>
      </c>
      <c r="I17" s="109">
        <f>'مستخلص 23'!K17</f>
        <v/>
      </c>
      <c r="J17" s="68" t="n"/>
      <c r="K17" s="103">
        <f>IF(J17="",I17,J17)</f>
        <v/>
      </c>
      <c r="L17" s="108">
        <f>'مستخلص 23'!N17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23'!H18</f>
        <v/>
      </c>
      <c r="G18" s="72" t="n"/>
      <c r="H18" s="27">
        <f>F18+G18</f>
        <v/>
      </c>
      <c r="I18" s="107">
        <f>'مستخلص 23'!K18</f>
        <v/>
      </c>
      <c r="J18" s="68" t="n"/>
      <c r="K18" s="101">
        <f>IF(J18="",I18,J18)</f>
        <v/>
      </c>
      <c r="L18" s="74">
        <f>'مستخلص 23'!N18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23'!H19</f>
        <v/>
      </c>
      <c r="G19" s="72" t="n"/>
      <c r="H19" s="84">
        <f>F19+G19</f>
        <v/>
      </c>
      <c r="I19" s="109">
        <f>'مستخلص 23'!K19</f>
        <v/>
      </c>
      <c r="J19" s="68" t="n"/>
      <c r="K19" s="103">
        <f>IF(J19="",I19,J19)</f>
        <v/>
      </c>
      <c r="L19" s="108">
        <f>'مستخلص 23'!N19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23'!H20</f>
        <v/>
      </c>
      <c r="G20" s="72" t="n"/>
      <c r="H20" s="27">
        <f>F20+G20</f>
        <v/>
      </c>
      <c r="I20" s="107">
        <f>'مستخلص 23'!K20</f>
        <v/>
      </c>
      <c r="J20" s="68" t="n"/>
      <c r="K20" s="101">
        <f>IF(J20="",I20,J20)</f>
        <v/>
      </c>
      <c r="L20" s="74">
        <f>'مستخلص 23'!N20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23'!H21</f>
        <v/>
      </c>
      <c r="G21" s="72" t="n"/>
      <c r="H21" s="84">
        <f>F21+G21</f>
        <v/>
      </c>
      <c r="I21" s="109">
        <f>'مستخلص 23'!K21</f>
        <v/>
      </c>
      <c r="J21" s="68" t="n"/>
      <c r="K21" s="103">
        <f>IF(J21="",I21,J21)</f>
        <v/>
      </c>
      <c r="L21" s="108">
        <f>'مستخلص 23'!N21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23'!H22</f>
        <v/>
      </c>
      <c r="G22" s="72" t="n"/>
      <c r="H22" s="27">
        <f>F22+G22</f>
        <v/>
      </c>
      <c r="I22" s="107">
        <f>'مستخلص 23'!K22</f>
        <v/>
      </c>
      <c r="J22" s="68" t="n"/>
      <c r="K22" s="101">
        <f>IF(J22="",I22,J22)</f>
        <v/>
      </c>
      <c r="L22" s="74">
        <f>'مستخلص 23'!N22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23'!H23</f>
        <v/>
      </c>
      <c r="G23" s="72" t="n"/>
      <c r="H23" s="84">
        <f>F23+G23</f>
        <v/>
      </c>
      <c r="I23" s="109">
        <f>'مستخلص 23'!K23</f>
        <v/>
      </c>
      <c r="J23" s="68" t="n"/>
      <c r="K23" s="103">
        <f>IF(J23="",I23,J23)</f>
        <v/>
      </c>
      <c r="L23" s="108">
        <f>'مستخلص 23'!N23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23'!H24</f>
        <v/>
      </c>
      <c r="G24" s="72" t="n"/>
      <c r="H24" s="27">
        <f>F24+G24</f>
        <v/>
      </c>
      <c r="I24" s="107">
        <f>'مستخلص 23'!K24</f>
        <v/>
      </c>
      <c r="J24" s="68" t="n"/>
      <c r="K24" s="101">
        <f>IF(J24="",I24,J24)</f>
        <v/>
      </c>
      <c r="L24" s="74">
        <f>'مستخلص 23'!N24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23'!H25</f>
        <v/>
      </c>
      <c r="G25" s="72" t="n"/>
      <c r="H25" s="84">
        <f>F25+G25</f>
        <v/>
      </c>
      <c r="I25" s="109">
        <f>'مستخلص 23'!K25</f>
        <v/>
      </c>
      <c r="J25" s="68" t="n"/>
      <c r="K25" s="103">
        <f>IF(J25="",I25,J25)</f>
        <v/>
      </c>
      <c r="L25" s="108">
        <f>'مستخلص 23'!N25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23'!H26</f>
        <v/>
      </c>
      <c r="G26" s="72" t="n"/>
      <c r="H26" s="27">
        <f>F26+G26</f>
        <v/>
      </c>
      <c r="I26" s="107">
        <f>'مستخلص 23'!K26</f>
        <v/>
      </c>
      <c r="J26" s="68" t="n"/>
      <c r="K26" s="101">
        <f>IF(J26="",I26,J26)</f>
        <v/>
      </c>
      <c r="L26" s="74">
        <f>'مستخلص 23'!N26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23'!H27</f>
        <v/>
      </c>
      <c r="G27" s="72" t="n"/>
      <c r="H27" s="84">
        <f>F27+G27</f>
        <v/>
      </c>
      <c r="I27" s="109">
        <f>'مستخلص 23'!K27</f>
        <v/>
      </c>
      <c r="J27" s="68" t="n"/>
      <c r="K27" s="103">
        <f>IF(J27="",I27,J27)</f>
        <v/>
      </c>
      <c r="L27" s="108">
        <f>'مستخلص 23'!N27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23'!H28</f>
        <v/>
      </c>
      <c r="G28" s="72" t="n"/>
      <c r="H28" s="27">
        <f>F28+G28</f>
        <v/>
      </c>
      <c r="I28" s="107">
        <f>'مستخلص 23'!K28</f>
        <v/>
      </c>
      <c r="J28" s="68" t="n"/>
      <c r="K28" s="101">
        <f>IF(J28="",I28,J28)</f>
        <v/>
      </c>
      <c r="L28" s="74">
        <f>'مستخلص 23'!N28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23'!H29</f>
        <v/>
      </c>
      <c r="G29" s="72" t="n"/>
      <c r="H29" s="84">
        <f>F29+G29</f>
        <v/>
      </c>
      <c r="I29" s="109">
        <f>'مستخلص 23'!K29</f>
        <v/>
      </c>
      <c r="J29" s="68" t="n"/>
      <c r="K29" s="103">
        <f>IF(J29="",I29,J29)</f>
        <v/>
      </c>
      <c r="L29" s="108">
        <f>'مستخلص 23'!N29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23'!H30</f>
        <v/>
      </c>
      <c r="G30" s="72" t="n"/>
      <c r="H30" s="27">
        <f>F30+G30</f>
        <v/>
      </c>
      <c r="I30" s="107">
        <f>'مستخلص 23'!K30</f>
        <v/>
      </c>
      <c r="J30" s="68" t="n"/>
      <c r="K30" s="101">
        <f>IF(J30="",I30,J30)</f>
        <v/>
      </c>
      <c r="L30" s="74">
        <f>'مستخلص 23'!N30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23'!H31</f>
        <v/>
      </c>
      <c r="G31" s="72" t="n"/>
      <c r="H31" s="84">
        <f>F31+G31</f>
        <v/>
      </c>
      <c r="I31" s="109">
        <f>'مستخلص 23'!K31</f>
        <v/>
      </c>
      <c r="J31" s="68" t="n"/>
      <c r="K31" s="103">
        <f>IF(J31="",I31,J31)</f>
        <v/>
      </c>
      <c r="L31" s="108">
        <f>'مستخلص 23'!N31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23'!H32</f>
        <v/>
      </c>
      <c r="G32" s="72" t="n"/>
      <c r="H32" s="27">
        <f>F32+G32</f>
        <v/>
      </c>
      <c r="I32" s="107">
        <f>'مستخلص 23'!K32</f>
        <v/>
      </c>
      <c r="J32" s="68" t="n"/>
      <c r="K32" s="101">
        <f>IF(J32="",I32,J32)</f>
        <v/>
      </c>
      <c r="L32" s="74">
        <f>'مستخلص 23'!N32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23'!H33</f>
        <v/>
      </c>
      <c r="G33" s="72" t="n"/>
      <c r="H33" s="84">
        <f>F33+G33</f>
        <v/>
      </c>
      <c r="I33" s="109">
        <f>'مستخلص 23'!K33</f>
        <v/>
      </c>
      <c r="J33" s="68" t="n"/>
      <c r="K33" s="103">
        <f>IF(J33="",I33,J33)</f>
        <v/>
      </c>
      <c r="L33" s="108">
        <f>'مستخلص 23'!N33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23'!H34</f>
        <v/>
      </c>
      <c r="G34" s="72" t="n"/>
      <c r="H34" s="27">
        <f>F34+G34</f>
        <v/>
      </c>
      <c r="I34" s="107">
        <f>'مستخلص 23'!K34</f>
        <v/>
      </c>
      <c r="J34" s="68" t="n"/>
      <c r="K34" s="101">
        <f>IF(J34="",I34,J34)</f>
        <v/>
      </c>
      <c r="L34" s="74">
        <f>'مستخلص 23'!N34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23'!H35</f>
        <v/>
      </c>
      <c r="G35" s="72" t="n"/>
      <c r="H35" s="84">
        <f>F35+G35</f>
        <v/>
      </c>
      <c r="I35" s="109">
        <f>'مستخلص 23'!K35</f>
        <v/>
      </c>
      <c r="J35" s="68" t="n"/>
      <c r="K35" s="103">
        <f>IF(J35="",I35,J35)</f>
        <v/>
      </c>
      <c r="L35" s="108">
        <f>'مستخلص 23'!N35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23'!H36</f>
        <v/>
      </c>
      <c r="G36" s="72" t="n"/>
      <c r="H36" s="27">
        <f>F36+G36</f>
        <v/>
      </c>
      <c r="I36" s="107">
        <f>'مستخلص 23'!K36</f>
        <v/>
      </c>
      <c r="J36" s="68" t="n"/>
      <c r="K36" s="101">
        <f>IF(J36="",I36,J36)</f>
        <v/>
      </c>
      <c r="L36" s="74">
        <f>'مستخلص 23'!N36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23'!H37</f>
        <v/>
      </c>
      <c r="G37" s="72" t="n"/>
      <c r="H37" s="84">
        <f>F37+G37</f>
        <v/>
      </c>
      <c r="I37" s="109">
        <f>'مستخلص 23'!K37</f>
        <v/>
      </c>
      <c r="J37" s="68" t="n"/>
      <c r="K37" s="103">
        <f>IF(J37="",I37,J37)</f>
        <v/>
      </c>
      <c r="L37" s="108">
        <f>'مستخلص 23'!N37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23'!H38</f>
        <v/>
      </c>
      <c r="G38" s="72" t="n"/>
      <c r="H38" s="27">
        <f>F38+G38</f>
        <v/>
      </c>
      <c r="I38" s="107">
        <f>'مستخلص 23'!K38</f>
        <v/>
      </c>
      <c r="J38" s="68" t="n"/>
      <c r="K38" s="101">
        <f>IF(J38="",I38,J38)</f>
        <v/>
      </c>
      <c r="L38" s="74">
        <f>'مستخلص 23'!N38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23'!H39</f>
        <v/>
      </c>
      <c r="G39" s="72" t="n"/>
      <c r="H39" s="84">
        <f>F39+G39</f>
        <v/>
      </c>
      <c r="I39" s="109">
        <f>'مستخلص 23'!K39</f>
        <v/>
      </c>
      <c r="J39" s="68" t="n"/>
      <c r="K39" s="103">
        <f>IF(J39="",I39,J39)</f>
        <v/>
      </c>
      <c r="L39" s="108">
        <f>'مستخلص 23'!N39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23'!H40</f>
        <v/>
      </c>
      <c r="G40" s="72" t="n"/>
      <c r="H40" s="27">
        <f>F40+G40</f>
        <v/>
      </c>
      <c r="I40" s="107">
        <f>'مستخلص 23'!K40</f>
        <v/>
      </c>
      <c r="J40" s="68" t="n"/>
      <c r="K40" s="101">
        <f>IF(J40="",I40,J40)</f>
        <v/>
      </c>
      <c r="L40" s="74">
        <f>'مستخلص 23'!N40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23'!H41</f>
        <v/>
      </c>
      <c r="G41" s="72" t="n"/>
      <c r="H41" s="84">
        <f>F41+G41</f>
        <v/>
      </c>
      <c r="I41" s="109">
        <f>'مستخلص 23'!K41</f>
        <v/>
      </c>
      <c r="J41" s="68" t="n"/>
      <c r="K41" s="103">
        <f>IF(J41="",I41,J41)</f>
        <v/>
      </c>
      <c r="L41" s="108">
        <f>'مستخلص 23'!N41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23'!H42</f>
        <v/>
      </c>
      <c r="G42" s="72" t="n"/>
      <c r="H42" s="27">
        <f>F42+G42</f>
        <v/>
      </c>
      <c r="I42" s="107">
        <f>'مستخلص 23'!K42</f>
        <v/>
      </c>
      <c r="J42" s="68" t="n"/>
      <c r="K42" s="101">
        <f>IF(J42="",I42,J42)</f>
        <v/>
      </c>
      <c r="L42" s="74">
        <f>'مستخلص 23'!N42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23'!H43</f>
        <v/>
      </c>
      <c r="G43" s="72" t="n"/>
      <c r="H43" s="84">
        <f>F43+G43</f>
        <v/>
      </c>
      <c r="I43" s="109">
        <f>'مستخلص 23'!K43</f>
        <v/>
      </c>
      <c r="J43" s="68" t="n"/>
      <c r="K43" s="103">
        <f>IF(J43="",I43,J43)</f>
        <v/>
      </c>
      <c r="L43" s="108">
        <f>'مستخلص 23'!N43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23'!H44</f>
        <v/>
      </c>
      <c r="G44" s="72" t="n"/>
      <c r="H44" s="27">
        <f>F44+G44</f>
        <v/>
      </c>
      <c r="I44" s="107">
        <f>'مستخلص 23'!K44</f>
        <v/>
      </c>
      <c r="J44" s="68" t="n"/>
      <c r="K44" s="101">
        <f>IF(J44="",I44,J44)</f>
        <v/>
      </c>
      <c r="L44" s="74">
        <f>'مستخلص 23'!N44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23'!H45</f>
        <v/>
      </c>
      <c r="G45" s="72" t="n"/>
      <c r="H45" s="84">
        <f>F45+G45</f>
        <v/>
      </c>
      <c r="I45" s="109">
        <f>'مستخلص 23'!K45</f>
        <v/>
      </c>
      <c r="J45" s="68" t="n"/>
      <c r="K45" s="103">
        <f>IF(J45="",I45,J45)</f>
        <v/>
      </c>
      <c r="L45" s="108">
        <f>'مستخلص 23'!N45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23'!H46</f>
        <v/>
      </c>
      <c r="G46" s="72" t="n"/>
      <c r="H46" s="27">
        <f>F46+G46</f>
        <v/>
      </c>
      <c r="I46" s="107">
        <f>'مستخلص 23'!K46</f>
        <v/>
      </c>
      <c r="J46" s="68" t="n"/>
      <c r="K46" s="101">
        <f>IF(J46="",I46,J46)</f>
        <v/>
      </c>
      <c r="L46" s="74">
        <f>'مستخلص 23'!N46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23'!H47</f>
        <v/>
      </c>
      <c r="G47" s="72" t="n"/>
      <c r="H47" s="84">
        <f>F47+G47</f>
        <v/>
      </c>
      <c r="I47" s="109">
        <f>'مستخلص 23'!K47</f>
        <v/>
      </c>
      <c r="J47" s="68" t="n"/>
      <c r="K47" s="103">
        <f>IF(J47="",I47,J47)</f>
        <v/>
      </c>
      <c r="L47" s="108">
        <f>'مستخلص 23'!N47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23'!H48</f>
        <v/>
      </c>
      <c r="G48" s="72" t="n"/>
      <c r="H48" s="27">
        <f>F48+G48</f>
        <v/>
      </c>
      <c r="I48" s="107">
        <f>'مستخلص 23'!K48</f>
        <v/>
      </c>
      <c r="J48" s="68" t="n"/>
      <c r="K48" s="101">
        <f>IF(J48="",I48,J48)</f>
        <v/>
      </c>
      <c r="L48" s="74">
        <f>'مستخلص 23'!N48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23'!H49</f>
        <v/>
      </c>
      <c r="G49" s="72" t="n"/>
      <c r="H49" s="84">
        <f>F49+G49</f>
        <v/>
      </c>
      <c r="I49" s="109">
        <f>'مستخلص 23'!K49</f>
        <v/>
      </c>
      <c r="J49" s="68" t="n"/>
      <c r="K49" s="103">
        <f>IF(J49="",I49,J49)</f>
        <v/>
      </c>
      <c r="L49" s="108">
        <f>'مستخلص 23'!N49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23'!H50</f>
        <v/>
      </c>
      <c r="G50" s="72" t="n"/>
      <c r="H50" s="27">
        <f>F50+G50</f>
        <v/>
      </c>
      <c r="I50" s="107">
        <f>'مستخلص 23'!K50</f>
        <v/>
      </c>
      <c r="J50" s="68" t="n"/>
      <c r="K50" s="101">
        <f>IF(J50="",I50,J50)</f>
        <v/>
      </c>
      <c r="L50" s="74">
        <f>'مستخلص 23'!N50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23'!H51</f>
        <v/>
      </c>
      <c r="G51" s="72" t="n"/>
      <c r="H51" s="84">
        <f>F51+G51</f>
        <v/>
      </c>
      <c r="I51" s="109">
        <f>'مستخلص 23'!K51</f>
        <v/>
      </c>
      <c r="J51" s="68" t="n"/>
      <c r="K51" s="103">
        <f>IF(J51="",I51,J51)</f>
        <v/>
      </c>
      <c r="L51" s="108">
        <f>'مستخلص 23'!N51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23'!H52</f>
        <v/>
      </c>
      <c r="G52" s="72" t="n"/>
      <c r="H52" s="27">
        <f>F52+G52</f>
        <v/>
      </c>
      <c r="I52" s="107">
        <f>'مستخلص 23'!K52</f>
        <v/>
      </c>
      <c r="J52" s="68" t="n"/>
      <c r="K52" s="101">
        <f>IF(J52="",I52,J52)</f>
        <v/>
      </c>
      <c r="L52" s="74">
        <f>'مستخلص 23'!N52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23'!H53</f>
        <v/>
      </c>
      <c r="G53" s="72" t="n"/>
      <c r="H53" s="84">
        <f>F53+G53</f>
        <v/>
      </c>
      <c r="I53" s="109">
        <f>'مستخلص 23'!K53</f>
        <v/>
      </c>
      <c r="J53" s="68" t="n"/>
      <c r="K53" s="103">
        <f>IF(J53="",I53,J53)</f>
        <v/>
      </c>
      <c r="L53" s="108">
        <f>'مستخلص 23'!N53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23'!H54</f>
        <v/>
      </c>
      <c r="G54" s="72" t="n"/>
      <c r="H54" s="27">
        <f>F54+G54</f>
        <v/>
      </c>
      <c r="I54" s="107">
        <f>'مستخلص 23'!K54</f>
        <v/>
      </c>
      <c r="J54" s="68" t="n"/>
      <c r="K54" s="101">
        <f>IF(J54="",I54,J54)</f>
        <v/>
      </c>
      <c r="L54" s="74">
        <f>'مستخلص 23'!N54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23'!H55</f>
        <v/>
      </c>
      <c r="G55" s="72" t="n"/>
      <c r="H55" s="84">
        <f>F55+G55</f>
        <v/>
      </c>
      <c r="I55" s="109">
        <f>'مستخلص 23'!K55</f>
        <v/>
      </c>
      <c r="J55" s="68" t="n"/>
      <c r="K55" s="103">
        <f>IF(J55="",I55,J55)</f>
        <v/>
      </c>
      <c r="L55" s="108">
        <f>'مستخلص 23'!N55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23'!H56</f>
        <v/>
      </c>
      <c r="G56" s="72" t="n"/>
      <c r="H56" s="27">
        <f>F56+G56</f>
        <v/>
      </c>
      <c r="I56" s="107">
        <f>'مستخلص 23'!K56</f>
        <v/>
      </c>
      <c r="J56" s="68" t="n"/>
      <c r="K56" s="101">
        <f>IF(J56="",I56,J56)</f>
        <v/>
      </c>
      <c r="L56" s="74">
        <f>'مستخلص 23'!N56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23'!H57</f>
        <v/>
      </c>
      <c r="G57" s="72" t="n"/>
      <c r="H57" s="84">
        <f>F57+G57</f>
        <v/>
      </c>
      <c r="I57" s="109">
        <f>'مستخلص 23'!K57</f>
        <v/>
      </c>
      <c r="J57" s="68" t="n"/>
      <c r="K57" s="103">
        <f>IF(J57="",I57,J57)</f>
        <v/>
      </c>
      <c r="L57" s="108">
        <f>'مستخلص 23'!N57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23'!H58</f>
        <v/>
      </c>
      <c r="G58" s="72" t="n"/>
      <c r="H58" s="27">
        <f>F58+G58</f>
        <v/>
      </c>
      <c r="I58" s="107">
        <f>'مستخلص 23'!K58</f>
        <v/>
      </c>
      <c r="J58" s="68" t="n"/>
      <c r="K58" s="101">
        <f>IF(J58="",I58,J58)</f>
        <v/>
      </c>
      <c r="L58" s="74">
        <f>'مستخلص 23'!N58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23'!H59</f>
        <v/>
      </c>
      <c r="G59" s="72" t="n"/>
      <c r="H59" s="84">
        <f>F59+G59</f>
        <v/>
      </c>
      <c r="I59" s="109">
        <f>'مستخلص 23'!K59</f>
        <v/>
      </c>
      <c r="J59" s="68" t="n"/>
      <c r="K59" s="103">
        <f>IF(J59="",I59,J59)</f>
        <v/>
      </c>
      <c r="L59" s="108">
        <f>'مستخلص 23'!N59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23'!H60</f>
        <v/>
      </c>
      <c r="G60" s="72" t="n"/>
      <c r="H60" s="27">
        <f>F60+G60</f>
        <v/>
      </c>
      <c r="I60" s="107">
        <f>'مستخلص 23'!K60</f>
        <v/>
      </c>
      <c r="J60" s="68" t="n"/>
      <c r="K60" s="101">
        <f>IF(J60="",I60,J60)</f>
        <v/>
      </c>
      <c r="L60" s="74">
        <f>'مستخلص 23'!N60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23'!H61</f>
        <v/>
      </c>
      <c r="G61" s="72" t="n"/>
      <c r="H61" s="84">
        <f>F61+G61</f>
        <v/>
      </c>
      <c r="I61" s="109">
        <f>'مستخلص 23'!K61</f>
        <v/>
      </c>
      <c r="J61" s="68" t="n"/>
      <c r="K61" s="103">
        <f>IF(J61="",I61,J61)</f>
        <v/>
      </c>
      <c r="L61" s="108">
        <f>'مستخلص 23'!N61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23'!H62</f>
        <v/>
      </c>
      <c r="G62" s="72" t="n"/>
      <c r="H62" s="27">
        <f>F62+G62</f>
        <v/>
      </c>
      <c r="I62" s="107">
        <f>'مستخلص 23'!K62</f>
        <v/>
      </c>
      <c r="J62" s="68" t="n"/>
      <c r="K62" s="101">
        <f>IF(J62="",I62,J62)</f>
        <v/>
      </c>
      <c r="L62" s="74">
        <f>'مستخلص 23'!N62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23'!H63</f>
        <v/>
      </c>
      <c r="G63" s="72" t="n"/>
      <c r="H63" s="84">
        <f>F63+G63</f>
        <v/>
      </c>
      <c r="I63" s="109">
        <f>'مستخلص 23'!K63</f>
        <v/>
      </c>
      <c r="J63" s="68" t="n"/>
      <c r="K63" s="103">
        <f>IF(J63="",I63,J63)</f>
        <v/>
      </c>
      <c r="L63" s="108">
        <f>'مستخلص 23'!N63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23'!H64</f>
        <v/>
      </c>
      <c r="G64" s="72" t="n"/>
      <c r="H64" s="27">
        <f>F64+G64</f>
        <v/>
      </c>
      <c r="I64" s="107">
        <f>'مستخلص 23'!K64</f>
        <v/>
      </c>
      <c r="J64" s="68" t="n"/>
      <c r="K64" s="101">
        <f>IF(J64="",I64,J64)</f>
        <v/>
      </c>
      <c r="L64" s="74">
        <f>'مستخلص 23'!N64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23'!H65</f>
        <v/>
      </c>
      <c r="G65" s="72" t="n"/>
      <c r="H65" s="84">
        <f>F65+G65</f>
        <v/>
      </c>
      <c r="I65" s="109">
        <f>'مستخلص 23'!K65</f>
        <v/>
      </c>
      <c r="J65" s="68" t="n"/>
      <c r="K65" s="103">
        <f>IF(J65="",I65,J65)</f>
        <v/>
      </c>
      <c r="L65" s="108">
        <f>'مستخلص 23'!N65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23'!H66</f>
        <v/>
      </c>
      <c r="G66" s="72" t="n"/>
      <c r="H66" s="27">
        <f>F66+G66</f>
        <v/>
      </c>
      <c r="I66" s="107">
        <f>'مستخلص 23'!K66</f>
        <v/>
      </c>
      <c r="J66" s="68" t="n"/>
      <c r="K66" s="101">
        <f>IF(J66="",I66,J66)</f>
        <v/>
      </c>
      <c r="L66" s="74">
        <f>'مستخلص 23'!N66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23'!H67</f>
        <v/>
      </c>
      <c r="G67" s="72" t="n"/>
      <c r="H67" s="84">
        <f>F67+G67</f>
        <v/>
      </c>
      <c r="I67" s="109">
        <f>'مستخلص 23'!K67</f>
        <v/>
      </c>
      <c r="J67" s="68" t="n"/>
      <c r="K67" s="103">
        <f>IF(J67="",I67,J67)</f>
        <v/>
      </c>
      <c r="L67" s="108">
        <f>'مستخلص 23'!N67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23'!H68</f>
        <v/>
      </c>
      <c r="G68" s="72" t="n"/>
      <c r="H68" s="27">
        <f>F68+G68</f>
        <v/>
      </c>
      <c r="I68" s="107">
        <f>'مستخلص 23'!K68</f>
        <v/>
      </c>
      <c r="J68" s="68" t="n"/>
      <c r="K68" s="101">
        <f>IF(J68="",I68,J68)</f>
        <v/>
      </c>
      <c r="L68" s="74">
        <f>'مستخلص 23'!N68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23'!H69</f>
        <v/>
      </c>
      <c r="G69" s="72" t="n"/>
      <c r="H69" s="84">
        <f>F69+G69</f>
        <v/>
      </c>
      <c r="I69" s="109">
        <f>'مستخلص 23'!K69</f>
        <v/>
      </c>
      <c r="J69" s="68" t="n"/>
      <c r="K69" s="103">
        <f>IF(J69="",I69,J69)</f>
        <v/>
      </c>
      <c r="L69" s="108">
        <f>'مستخلص 23'!N69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23'!H70</f>
        <v/>
      </c>
      <c r="G70" s="72" t="n"/>
      <c r="H70" s="27">
        <f>F70+G70</f>
        <v/>
      </c>
      <c r="I70" s="107">
        <f>'مستخلص 23'!K70</f>
        <v/>
      </c>
      <c r="J70" s="68" t="n"/>
      <c r="K70" s="101">
        <f>IF(J70="",I70,J70)</f>
        <v/>
      </c>
      <c r="L70" s="74">
        <f>'مستخلص 23'!N70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23'!H71</f>
        <v/>
      </c>
      <c r="G71" s="72" t="n"/>
      <c r="H71" s="84">
        <f>F71+G71</f>
        <v/>
      </c>
      <c r="I71" s="109">
        <f>'مستخلص 23'!K71</f>
        <v/>
      </c>
      <c r="J71" s="68" t="n"/>
      <c r="K71" s="103">
        <f>IF(J71="",I71,J71)</f>
        <v/>
      </c>
      <c r="L71" s="108">
        <f>'مستخلص 23'!N71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23'!H72</f>
        <v/>
      </c>
      <c r="G72" s="72" t="n"/>
      <c r="H72" s="27">
        <f>F72+G72</f>
        <v/>
      </c>
      <c r="I72" s="107">
        <f>'مستخلص 23'!K72</f>
        <v/>
      </c>
      <c r="J72" s="68" t="n"/>
      <c r="K72" s="101">
        <f>IF(J72="",I72,J72)</f>
        <v/>
      </c>
      <c r="L72" s="74">
        <f>'مستخلص 23'!N72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23'!H73</f>
        <v/>
      </c>
      <c r="G73" s="72" t="n"/>
      <c r="H73" s="84">
        <f>F73+G73</f>
        <v/>
      </c>
      <c r="I73" s="109">
        <f>'مستخلص 23'!K73</f>
        <v/>
      </c>
      <c r="J73" s="68" t="n"/>
      <c r="K73" s="103">
        <f>IF(J73="",I73,J73)</f>
        <v/>
      </c>
      <c r="L73" s="108">
        <f>'مستخلص 23'!N73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23'!H74</f>
        <v/>
      </c>
      <c r="G74" s="72" t="n"/>
      <c r="H74" s="27">
        <f>F74+G74</f>
        <v/>
      </c>
      <c r="I74" s="107">
        <f>'مستخلص 23'!K74</f>
        <v/>
      </c>
      <c r="J74" s="68" t="n"/>
      <c r="K74" s="101">
        <f>IF(J74="",I74,J74)</f>
        <v/>
      </c>
      <c r="L74" s="74">
        <f>'مستخلص 23'!N74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23'!H75</f>
        <v/>
      </c>
      <c r="G75" s="72" t="n"/>
      <c r="H75" s="84">
        <f>F75+G75</f>
        <v/>
      </c>
      <c r="I75" s="109">
        <f>'مستخلص 23'!K75</f>
        <v/>
      </c>
      <c r="J75" s="68" t="n"/>
      <c r="K75" s="103">
        <f>IF(J75="",I75,J75)</f>
        <v/>
      </c>
      <c r="L75" s="108">
        <f>'مستخلص 23'!N75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23'!H76</f>
        <v/>
      </c>
      <c r="G76" s="72" t="n"/>
      <c r="H76" s="27">
        <f>F76+G76</f>
        <v/>
      </c>
      <c r="I76" s="107">
        <f>'مستخلص 23'!K76</f>
        <v/>
      </c>
      <c r="J76" s="68" t="n"/>
      <c r="K76" s="101">
        <f>IF(J76="",I76,J76)</f>
        <v/>
      </c>
      <c r="L76" s="74">
        <f>'مستخلص 23'!N76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23'!H77</f>
        <v/>
      </c>
      <c r="G77" s="72" t="n"/>
      <c r="H77" s="84">
        <f>F77+G77</f>
        <v/>
      </c>
      <c r="I77" s="109">
        <f>'مستخلص 23'!K77</f>
        <v/>
      </c>
      <c r="J77" s="68" t="n"/>
      <c r="K77" s="103">
        <f>IF(J77="",I77,J77)</f>
        <v/>
      </c>
      <c r="L77" s="108">
        <f>'مستخلص 23'!N77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23'!H78</f>
        <v/>
      </c>
      <c r="G78" s="72" t="n"/>
      <c r="H78" s="27">
        <f>F78+G78</f>
        <v/>
      </c>
      <c r="I78" s="107">
        <f>'مستخلص 23'!K78</f>
        <v/>
      </c>
      <c r="J78" s="68" t="n"/>
      <c r="K78" s="101">
        <f>IF(J78="",I78,J78)</f>
        <v/>
      </c>
      <c r="L78" s="74">
        <f>'مستخلص 23'!N78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23'!H79</f>
        <v/>
      </c>
      <c r="G79" s="72" t="n"/>
      <c r="H79" s="84">
        <f>F79+G79</f>
        <v/>
      </c>
      <c r="I79" s="109">
        <f>'مستخلص 23'!K79</f>
        <v/>
      </c>
      <c r="J79" s="68" t="n"/>
      <c r="K79" s="103">
        <f>IF(J79="",I79,J79)</f>
        <v/>
      </c>
      <c r="L79" s="108">
        <f>'مستخلص 23'!N79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23'!H80</f>
        <v/>
      </c>
      <c r="G80" s="72" t="n"/>
      <c r="H80" s="27">
        <f>F80+G80</f>
        <v/>
      </c>
      <c r="I80" s="107">
        <f>'مستخلص 23'!K80</f>
        <v/>
      </c>
      <c r="J80" s="68" t="n"/>
      <c r="K80" s="101">
        <f>IF(J80="",I80,J80)</f>
        <v/>
      </c>
      <c r="L80" s="74">
        <f>'مستخلص 23'!N80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23'!H81</f>
        <v/>
      </c>
      <c r="G81" s="72" t="n"/>
      <c r="H81" s="84">
        <f>F81+G81</f>
        <v/>
      </c>
      <c r="I81" s="109">
        <f>'مستخلص 23'!K81</f>
        <v/>
      </c>
      <c r="J81" s="68" t="n"/>
      <c r="K81" s="103">
        <f>IF(J81="",I81,J81)</f>
        <v/>
      </c>
      <c r="L81" s="108">
        <f>'مستخلص 23'!N81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23'!H82</f>
        <v/>
      </c>
      <c r="G82" s="72" t="n"/>
      <c r="H82" s="27">
        <f>F82+G82</f>
        <v/>
      </c>
      <c r="I82" s="107">
        <f>'مستخلص 23'!K82</f>
        <v/>
      </c>
      <c r="J82" s="68" t="n"/>
      <c r="K82" s="101">
        <f>IF(J82="",I82,J82)</f>
        <v/>
      </c>
      <c r="L82" s="74">
        <f>'مستخلص 23'!N82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23'!H83</f>
        <v/>
      </c>
      <c r="G83" s="72" t="n"/>
      <c r="H83" s="84">
        <f>F83+G83</f>
        <v/>
      </c>
      <c r="I83" s="109">
        <f>'مستخلص 23'!K83</f>
        <v/>
      </c>
      <c r="J83" s="68" t="n"/>
      <c r="K83" s="103">
        <f>IF(J83="",I83,J83)</f>
        <v/>
      </c>
      <c r="L83" s="108">
        <f>'مستخلص 23'!N83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23'!H84</f>
        <v/>
      </c>
      <c r="G84" s="72" t="n"/>
      <c r="H84" s="27">
        <f>F84+G84</f>
        <v/>
      </c>
      <c r="I84" s="107">
        <f>'مستخلص 23'!K84</f>
        <v/>
      </c>
      <c r="J84" s="68" t="n"/>
      <c r="K84" s="101">
        <f>IF(J84="",I84,J84)</f>
        <v/>
      </c>
      <c r="L84" s="74">
        <f>'مستخلص 23'!N84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23'!H85</f>
        <v/>
      </c>
      <c r="G85" s="72" t="n"/>
      <c r="H85" s="84">
        <f>F85+G85</f>
        <v/>
      </c>
      <c r="I85" s="109">
        <f>'مستخلص 23'!K85</f>
        <v/>
      </c>
      <c r="J85" s="68" t="n"/>
      <c r="K85" s="103">
        <f>IF(J85="",I85,J85)</f>
        <v/>
      </c>
      <c r="L85" s="108">
        <f>'مستخلص 23'!N85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23'!H86</f>
        <v/>
      </c>
      <c r="G86" s="72" t="n"/>
      <c r="H86" s="27">
        <f>F86+G86</f>
        <v/>
      </c>
      <c r="I86" s="107">
        <f>'مستخلص 23'!K86</f>
        <v/>
      </c>
      <c r="J86" s="68" t="n"/>
      <c r="K86" s="101">
        <f>IF(J86="",I86,J86)</f>
        <v/>
      </c>
      <c r="L86" s="74">
        <f>'مستخلص 23'!N86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23'!H87</f>
        <v/>
      </c>
      <c r="G87" s="72" t="n"/>
      <c r="H87" s="84">
        <f>F87+G87</f>
        <v/>
      </c>
      <c r="I87" s="109">
        <f>'مستخلص 23'!K87</f>
        <v/>
      </c>
      <c r="J87" s="68" t="n"/>
      <c r="K87" s="103">
        <f>IF(J87="",I87,J87)</f>
        <v/>
      </c>
      <c r="L87" s="108">
        <f>'مستخلص 23'!N87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23'!H88</f>
        <v/>
      </c>
      <c r="G88" s="72" t="n"/>
      <c r="H88" s="27">
        <f>F88+G88</f>
        <v/>
      </c>
      <c r="I88" s="107">
        <f>'مستخلص 23'!K88</f>
        <v/>
      </c>
      <c r="J88" s="68" t="n"/>
      <c r="K88" s="101">
        <f>IF(J88="",I88,J88)</f>
        <v/>
      </c>
      <c r="L88" s="74">
        <f>'مستخلص 23'!N88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23'!H89</f>
        <v/>
      </c>
      <c r="G89" s="72" t="n"/>
      <c r="H89" s="84">
        <f>F89+G89</f>
        <v/>
      </c>
      <c r="I89" s="109">
        <f>'مستخلص 23'!K89</f>
        <v/>
      </c>
      <c r="J89" s="68" t="n"/>
      <c r="K89" s="103">
        <f>IF(J89="",I89,J89)</f>
        <v/>
      </c>
      <c r="L89" s="108">
        <f>'مستخلص 23'!N89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23'!H90</f>
        <v/>
      </c>
      <c r="G90" s="72" t="n"/>
      <c r="H90" s="27">
        <f>F90+G90</f>
        <v/>
      </c>
      <c r="I90" s="107">
        <f>'مستخلص 23'!K90</f>
        <v/>
      </c>
      <c r="J90" s="68" t="n"/>
      <c r="K90" s="101">
        <f>IF(J90="",I90,J90)</f>
        <v/>
      </c>
      <c r="L90" s="74">
        <f>'مستخلص 23'!N90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23'!H91</f>
        <v/>
      </c>
      <c r="G91" s="72" t="n"/>
      <c r="H91" s="84">
        <f>F91+G91</f>
        <v/>
      </c>
      <c r="I91" s="109">
        <f>'مستخلص 23'!K91</f>
        <v/>
      </c>
      <c r="J91" s="68" t="n"/>
      <c r="K91" s="103">
        <f>IF(J91="",I91,J91)</f>
        <v/>
      </c>
      <c r="L91" s="108">
        <f>'مستخلص 23'!N91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23'!H92</f>
        <v/>
      </c>
      <c r="G92" s="72" t="n"/>
      <c r="H92" s="27">
        <f>F92+G92</f>
        <v/>
      </c>
      <c r="I92" s="107">
        <f>'مستخلص 23'!K92</f>
        <v/>
      </c>
      <c r="J92" s="68" t="n"/>
      <c r="K92" s="101">
        <f>IF(J92="",I92,J92)</f>
        <v/>
      </c>
      <c r="L92" s="74">
        <f>'مستخلص 23'!N92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23'!H93</f>
        <v/>
      </c>
      <c r="G93" s="72" t="n"/>
      <c r="H93" s="84">
        <f>F93+G93</f>
        <v/>
      </c>
      <c r="I93" s="109">
        <f>'مستخلص 23'!K93</f>
        <v/>
      </c>
      <c r="J93" s="68" t="n"/>
      <c r="K93" s="103">
        <f>IF(J93="",I93,J93)</f>
        <v/>
      </c>
      <c r="L93" s="108">
        <f>'مستخلص 23'!N93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23'!H94</f>
        <v/>
      </c>
      <c r="G94" s="72" t="n"/>
      <c r="H94" s="27">
        <f>F94+G94</f>
        <v/>
      </c>
      <c r="I94" s="107">
        <f>'مستخلص 23'!K94</f>
        <v/>
      </c>
      <c r="J94" s="68" t="n"/>
      <c r="K94" s="101">
        <f>IF(J94="",I94,J94)</f>
        <v/>
      </c>
      <c r="L94" s="74">
        <f>'مستخلص 23'!N94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23'!H95</f>
        <v/>
      </c>
      <c r="G95" s="72" t="n"/>
      <c r="H95" s="84">
        <f>F95+G95</f>
        <v/>
      </c>
      <c r="I95" s="109">
        <f>'مستخلص 23'!K95</f>
        <v/>
      </c>
      <c r="J95" s="68" t="n"/>
      <c r="K95" s="103">
        <f>IF(J95="",I95,J95)</f>
        <v/>
      </c>
      <c r="L95" s="108">
        <f>'مستخلص 23'!N95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23'!H96</f>
        <v/>
      </c>
      <c r="G96" s="72" t="n"/>
      <c r="H96" s="27">
        <f>F96+G96</f>
        <v/>
      </c>
      <c r="I96" s="107">
        <f>'مستخلص 23'!K96</f>
        <v/>
      </c>
      <c r="J96" s="68" t="n"/>
      <c r="K96" s="101">
        <f>IF(J96="",I96,J96)</f>
        <v/>
      </c>
      <c r="L96" s="74">
        <f>'مستخلص 23'!N96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23'!H97</f>
        <v/>
      </c>
      <c r="G97" s="72" t="n"/>
      <c r="H97" s="84">
        <f>F97+G97</f>
        <v/>
      </c>
      <c r="I97" s="109">
        <f>'مستخلص 23'!K97</f>
        <v/>
      </c>
      <c r="J97" s="68" t="n"/>
      <c r="K97" s="103">
        <f>IF(J97="",I97,J97)</f>
        <v/>
      </c>
      <c r="L97" s="108">
        <f>'مستخلص 23'!N97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23'!H98</f>
        <v/>
      </c>
      <c r="G98" s="72" t="n"/>
      <c r="H98" s="27">
        <f>F98+G98</f>
        <v/>
      </c>
      <c r="I98" s="107">
        <f>'مستخلص 23'!K98</f>
        <v/>
      </c>
      <c r="J98" s="68" t="n"/>
      <c r="K98" s="101">
        <f>IF(J98="",I98,J98)</f>
        <v/>
      </c>
      <c r="L98" s="74">
        <f>'مستخلص 23'!N98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23'!H99</f>
        <v/>
      </c>
      <c r="G99" s="72" t="n"/>
      <c r="H99" s="84">
        <f>F99+G99</f>
        <v/>
      </c>
      <c r="I99" s="109">
        <f>'مستخلص 23'!K99</f>
        <v/>
      </c>
      <c r="J99" s="68" t="n"/>
      <c r="K99" s="103">
        <f>IF(J99="",I99,J99)</f>
        <v/>
      </c>
      <c r="L99" s="108">
        <f>'مستخلص 23'!N99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23'!H100</f>
        <v/>
      </c>
      <c r="G100" s="72" t="n"/>
      <c r="H100" s="27">
        <f>F100+G100</f>
        <v/>
      </c>
      <c r="I100" s="107">
        <f>'مستخلص 23'!K100</f>
        <v/>
      </c>
      <c r="J100" s="68" t="n"/>
      <c r="K100" s="101">
        <f>IF(J100="",I100,J100)</f>
        <v/>
      </c>
      <c r="L100" s="74">
        <f>'مستخلص 23'!N100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23'!H101</f>
        <v/>
      </c>
      <c r="G101" s="72" t="n"/>
      <c r="H101" s="84">
        <f>F101+G101</f>
        <v/>
      </c>
      <c r="I101" s="109">
        <f>'مستخلص 23'!K101</f>
        <v/>
      </c>
      <c r="J101" s="68" t="n"/>
      <c r="K101" s="103">
        <f>IF(J101="",I101,J101)</f>
        <v/>
      </c>
      <c r="L101" s="108">
        <f>'مستخلص 23'!N101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23'!H102</f>
        <v/>
      </c>
      <c r="G102" s="72" t="n"/>
      <c r="H102" s="27">
        <f>F102+G102</f>
        <v/>
      </c>
      <c r="I102" s="107">
        <f>'مستخلص 23'!K102</f>
        <v/>
      </c>
      <c r="J102" s="68" t="n"/>
      <c r="K102" s="101">
        <f>IF(J102="",I102,J102)</f>
        <v/>
      </c>
      <c r="L102" s="74">
        <f>'مستخلص 23'!N102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23'!H103</f>
        <v/>
      </c>
      <c r="G103" s="72" t="n"/>
      <c r="H103" s="84">
        <f>F103+G103</f>
        <v/>
      </c>
      <c r="I103" s="109">
        <f>'مستخلص 23'!K103</f>
        <v/>
      </c>
      <c r="J103" s="68" t="n"/>
      <c r="K103" s="103">
        <f>IF(J103="",I103,J103)</f>
        <v/>
      </c>
      <c r="L103" s="108">
        <f>'مستخلص 23'!N103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23'!H104</f>
        <v/>
      </c>
      <c r="G104" s="72" t="n"/>
      <c r="H104" s="27">
        <f>F104+G104</f>
        <v/>
      </c>
      <c r="I104" s="107">
        <f>'مستخلص 23'!K104</f>
        <v/>
      </c>
      <c r="J104" s="68" t="n"/>
      <c r="K104" s="101">
        <f>IF(J104="",I104,J104)</f>
        <v/>
      </c>
      <c r="L104" s="74">
        <f>'مستخلص 23'!N104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23'!H105</f>
        <v/>
      </c>
      <c r="G105" s="72" t="n"/>
      <c r="H105" s="84">
        <f>F105+G105</f>
        <v/>
      </c>
      <c r="I105" s="109">
        <f>'مستخلص 23'!K105</f>
        <v/>
      </c>
      <c r="J105" s="68" t="n"/>
      <c r="K105" s="103">
        <f>IF(J105="",I105,J105)</f>
        <v/>
      </c>
      <c r="L105" s="108">
        <f>'مستخلص 23'!N105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23'!H106</f>
        <v/>
      </c>
      <c r="G106" s="72" t="n"/>
      <c r="H106" s="27">
        <f>F106+G106</f>
        <v/>
      </c>
      <c r="I106" s="107">
        <f>'مستخلص 23'!K106</f>
        <v/>
      </c>
      <c r="J106" s="68" t="n"/>
      <c r="K106" s="101">
        <f>IF(J106="",I106,J106)</f>
        <v/>
      </c>
      <c r="L106" s="74">
        <f>'مستخلص 23'!N106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23'!H107</f>
        <v/>
      </c>
      <c r="G107" s="72" t="n"/>
      <c r="H107" s="84">
        <f>F107+G107</f>
        <v/>
      </c>
      <c r="I107" s="109">
        <f>'مستخلص 23'!K107</f>
        <v/>
      </c>
      <c r="J107" s="68" t="n"/>
      <c r="K107" s="103">
        <f>IF(J107="",I107,J107)</f>
        <v/>
      </c>
      <c r="L107" s="108">
        <f>'مستخلص 23'!N107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23'!N111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23'!N112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23'!N113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23'!N114</f>
        <v/>
      </c>
      <c r="M114" s="27">
        <f>'الدفعات المقدمة'!I48</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23'!N115</f>
        <v/>
      </c>
      <c r="M115" s="27">
        <f>'ضمان الأعمال'!I39</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23'!N116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23'!N117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23'!N118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4">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N3:P3"/>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3'!A1" display="◀ المستخلص السابق (23)"/>
    <hyperlink ref="N3" location="'مستخلص 25'!A1" display="المستخلص التالي (25) ▶"/>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tabColor rgb="FF9A6B00"/>
    <outlinePr summaryBelow="1" summaryRight="1"/>
    <pageSetUpPr fitToPage="1"/>
  </sheetPr>
  <dimension ref="A1:P12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f>"مستخلص أعمال رقم ( 25 )  —  "&amp;'الإعدادات'!$C$6</f>
        <v/>
      </c>
      <c r="B1" s="1" t="n"/>
      <c r="C1" s="1" t="n"/>
      <c r="D1" s="1" t="n"/>
      <c r="E1" s="1" t="n"/>
      <c r="F1" s="1" t="n"/>
      <c r="G1" s="1" t="n"/>
      <c r="H1" s="1" t="n"/>
      <c r="I1" s="1" t="n"/>
      <c r="J1" s="1" t="n"/>
      <c r="K1" s="1" t="n"/>
      <c r="L1" s="1" t="n"/>
      <c r="M1" s="1" t="n"/>
      <c r="N1" s="1" t="n"/>
      <c r="O1" s="1" t="n"/>
      <c r="P1" s="1" t="n"/>
    </row>
    <row r="2" ht="20" customHeight="1">
      <c r="A2" s="2">
        <f>'الإعدادات'!$C$6&amp;"   |   العقد رقم: "&amp;'الإعدادات'!$C$7&amp;"   |   المالك: "&amp;'الإعدادات'!$C$8&amp;"   |   المقاول: "&amp;'الإعدادات'!$C$9</f>
        <v/>
      </c>
      <c r="B2" s="2" t="n"/>
      <c r="C2" s="2" t="n"/>
      <c r="D2" s="2" t="n"/>
      <c r="E2" s="2" t="n"/>
      <c r="F2" s="2" t="n"/>
      <c r="G2" s="2" t="n"/>
      <c r="H2" s="2" t="n"/>
      <c r="I2" s="2" t="n"/>
      <c r="J2" s="2" t="n"/>
      <c r="K2" s="2" t="n"/>
      <c r="L2" s="2" t="n"/>
      <c r="M2" s="2" t="n"/>
      <c r="N2" s="2" t="n"/>
      <c r="O2" s="2" t="n"/>
      <c r="P2" s="2" t="n"/>
    </row>
    <row r="3" ht="24" customHeight="1">
      <c r="A3" s="56"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(24)</t>
        </is>
      </c>
      <c r="M3" s="4" t="n"/>
    </row>
    <row r="4" ht="24" customHeight="1">
      <c r="A4" s="96" t="inlineStr">
        <is>
          <t>رقم</t>
        </is>
      </c>
      <c r="B4" s="97" t="n">
        <v>25</v>
      </c>
      <c r="C4" s="96" t="inlineStr">
        <is>
          <t>تاريخ المستخلص</t>
        </is>
      </c>
      <c r="D4" s="96" t="n"/>
      <c r="E4" s="79" t="n"/>
      <c r="F4" s="79" t="n"/>
      <c r="G4" s="96" t="inlineStr">
        <is>
          <t>الحالة</t>
        </is>
      </c>
      <c r="H4" s="62" t="n"/>
      <c r="I4" s="62" t="n"/>
      <c r="J4" s="96" t="inlineStr">
        <is>
          <t>الفترة من</t>
        </is>
      </c>
      <c r="K4" s="96" t="n"/>
      <c r="L4" s="79" t="n"/>
      <c r="M4" s="96" t="inlineStr">
        <is>
          <t>إلى</t>
        </is>
      </c>
      <c r="N4" s="79" t="n"/>
      <c r="O4" s="79" t="n"/>
      <c r="P4" s="79" t="n"/>
    </row>
    <row r="5" ht="22" customHeight="1">
      <c r="A5" s="96" t="inlineStr">
        <is>
          <t>المشروع</t>
        </is>
      </c>
      <c r="B5" s="45">
        <f>'الإعدادات'!$C$6</f>
        <v/>
      </c>
      <c r="C5" s="96" t="inlineStr">
        <is>
          <t>المالك</t>
        </is>
      </c>
      <c r="D5" s="96" t="n"/>
      <c r="E5" s="45">
        <f>'الإعدادات'!$C$8</f>
        <v/>
      </c>
      <c r="F5" s="45" t="n"/>
      <c r="G5" s="45" t="n"/>
      <c r="H5" s="45" t="n"/>
      <c r="I5" s="45" t="n"/>
      <c r="J5" s="96" t="inlineStr">
        <is>
          <t>المقاول</t>
        </is>
      </c>
      <c r="K5" s="96" t="n"/>
      <c r="L5" s="45">
        <f>'الإعدادات'!$C$9</f>
        <v/>
      </c>
      <c r="M5" s="45" t="n"/>
      <c r="N5" s="45" t="n"/>
      <c r="O5" s="45" t="n"/>
      <c r="P5" s="45" t="n"/>
    </row>
    <row r="6" ht="24" customHeight="1">
      <c r="A6" s="70" t="inlineStr">
        <is>
          <t>البند</t>
        </is>
      </c>
      <c r="B6" s="70" t="inlineStr">
        <is>
          <t>بيان الأعمال</t>
        </is>
      </c>
      <c r="C6" s="70" t="inlineStr">
        <is>
          <t>الوحدة</t>
        </is>
      </c>
      <c r="D6" s="70" t="inlineStr">
        <is>
          <t>الكمية التعاقدية</t>
        </is>
      </c>
      <c r="E6" s="70" t="inlineStr">
        <is>
          <t>سعر الوحدة</t>
        </is>
      </c>
      <c r="F6" s="98" t="inlineStr">
        <is>
          <t>الكمية المنفذة من واقع التمتير الفعلي</t>
        </is>
      </c>
      <c r="G6" s="98" t="n"/>
      <c r="H6" s="98" t="n"/>
      <c r="I6" s="42" t="inlineStr">
        <is>
          <t>نسبة الإنجاز / الاستحقاق للبند</t>
        </is>
      </c>
      <c r="J6" s="42" t="n"/>
      <c r="K6" s="42" t="n"/>
      <c r="L6" s="98" t="inlineStr">
        <is>
          <t>قيمة الأعمال المنفذة</t>
        </is>
      </c>
      <c r="M6" s="98" t="n"/>
      <c r="N6" s="98" t="n"/>
      <c r="O6" s="70" t="inlineStr">
        <is>
          <t>نسبة الإنجاز الفعلية</t>
        </is>
      </c>
      <c r="P6" s="70" t="inlineStr">
        <is>
          <t>ملاحظات</t>
        </is>
      </c>
    </row>
    <row r="7" ht="30" customHeight="1">
      <c r="A7" s="70" t="n"/>
      <c r="B7" s="70" t="n"/>
      <c r="C7" s="70" t="n"/>
      <c r="D7" s="70" t="n"/>
      <c r="E7" s="70" t="n"/>
      <c r="F7" s="98" t="inlineStr">
        <is>
          <t>سابق</t>
        </is>
      </c>
      <c r="G7" s="99" t="inlineStr">
        <is>
          <t>حالي ✎</t>
        </is>
      </c>
      <c r="H7" s="98" t="inlineStr">
        <is>
          <t>إجمالي</t>
        </is>
      </c>
      <c r="I7" s="42" t="inlineStr">
        <is>
          <t>سابقة</t>
        </is>
      </c>
      <c r="J7" s="99" t="inlineStr">
        <is>
          <t>حالية ✎ (اختياري)</t>
        </is>
      </c>
      <c r="K7" s="42" t="inlineStr">
        <is>
          <t>المعتمدة</t>
        </is>
      </c>
      <c r="L7" s="98" t="inlineStr">
        <is>
          <t>سابقة</t>
        </is>
      </c>
      <c r="M7" s="98" t="inlineStr">
        <is>
          <t>حالية</t>
        </is>
      </c>
      <c r="N7" s="98" t="inlineStr">
        <is>
          <t>إجمالية</t>
        </is>
      </c>
      <c r="O7" s="70" t="n"/>
      <c r="P7" s="70" t="n"/>
    </row>
    <row r="8">
      <c r="A8" s="30">
        <f>IF('جدول الكميات'!A6="","",'جدول الكميات'!A6)</f>
        <v/>
      </c>
      <c r="B8" s="100">
        <f>IF('جدول الكميات'!C6="","",'جدول الكميات'!C6)</f>
        <v/>
      </c>
      <c r="C8" s="30">
        <f>IF('جدول الكميات'!D6="","",'جدول الكميات'!D6)</f>
        <v/>
      </c>
      <c r="D8" s="73">
        <f>'جدول الكميات'!E6</f>
        <v/>
      </c>
      <c r="E8" s="73">
        <f>'جدول الكميات'!F6</f>
        <v/>
      </c>
      <c r="F8" s="74">
        <f>'مستخلص 24'!H8</f>
        <v/>
      </c>
      <c r="G8" s="72" t="n"/>
      <c r="H8" s="27">
        <f>F8+G8</f>
        <v/>
      </c>
      <c r="I8" s="107">
        <f>'مستخلص 24'!K8</f>
        <v/>
      </c>
      <c r="J8" s="68" t="n"/>
      <c r="K8" s="101">
        <f>IF(J8="",I8,J8)</f>
        <v/>
      </c>
      <c r="L8" s="74">
        <f>'مستخلص 24'!N8</f>
        <v/>
      </c>
      <c r="M8" s="27">
        <f>N8-L8</f>
        <v/>
      </c>
      <c r="N8" s="73">
        <f>ROUND(H8*E8*K8,2)</f>
        <v/>
      </c>
      <c r="O8" s="28">
        <f>IF(D8*E8=0,0,N8/(D8*E8))</f>
        <v/>
      </c>
      <c r="P8" s="61" t="n"/>
    </row>
    <row r="9">
      <c r="A9" s="82">
        <f>IF('جدول الكميات'!A7="","",'جدول الكميات'!A7)</f>
        <v/>
      </c>
      <c r="B9" s="102">
        <f>IF('جدول الكميات'!C7="","",'جدول الكميات'!C7)</f>
        <v/>
      </c>
      <c r="C9" s="82">
        <f>IF('جدول الكميات'!D7="","",'جدول الكميات'!D7)</f>
        <v/>
      </c>
      <c r="D9" s="83">
        <f>'جدول الكميات'!E7</f>
        <v/>
      </c>
      <c r="E9" s="83">
        <f>'جدول الكميات'!F7</f>
        <v/>
      </c>
      <c r="F9" s="108">
        <f>'مستخلص 24'!H9</f>
        <v/>
      </c>
      <c r="G9" s="72" t="n"/>
      <c r="H9" s="84">
        <f>F9+G9</f>
        <v/>
      </c>
      <c r="I9" s="109">
        <f>'مستخلص 24'!K9</f>
        <v/>
      </c>
      <c r="J9" s="68" t="n"/>
      <c r="K9" s="103">
        <f>IF(J9="",I9,J9)</f>
        <v/>
      </c>
      <c r="L9" s="108">
        <f>'مستخلص 24'!N9</f>
        <v/>
      </c>
      <c r="M9" s="84">
        <f>N9-L9</f>
        <v/>
      </c>
      <c r="N9" s="83">
        <f>ROUND(H9*E9*K9,2)</f>
        <v/>
      </c>
      <c r="O9" s="50">
        <f>IF(D9*E9=0,0,N9/(D9*E9))</f>
        <v/>
      </c>
      <c r="P9" s="61" t="n"/>
    </row>
    <row r="10">
      <c r="A10" s="30">
        <f>IF('جدول الكميات'!A8="","",'جدول الكميات'!A8)</f>
        <v/>
      </c>
      <c r="B10" s="100">
        <f>IF('جدول الكميات'!C8="","",'جدول الكميات'!C8)</f>
        <v/>
      </c>
      <c r="C10" s="30">
        <f>IF('جدول الكميات'!D8="","",'جدول الكميات'!D8)</f>
        <v/>
      </c>
      <c r="D10" s="73">
        <f>'جدول الكميات'!E8</f>
        <v/>
      </c>
      <c r="E10" s="73">
        <f>'جدول الكميات'!F8</f>
        <v/>
      </c>
      <c r="F10" s="74">
        <f>'مستخلص 24'!H10</f>
        <v/>
      </c>
      <c r="G10" s="72" t="n"/>
      <c r="H10" s="27">
        <f>F10+G10</f>
        <v/>
      </c>
      <c r="I10" s="107">
        <f>'مستخلص 24'!K10</f>
        <v/>
      </c>
      <c r="J10" s="68" t="n"/>
      <c r="K10" s="101">
        <f>IF(J10="",I10,J10)</f>
        <v/>
      </c>
      <c r="L10" s="74">
        <f>'مستخلص 24'!N10</f>
        <v/>
      </c>
      <c r="M10" s="27">
        <f>N10-L10</f>
        <v/>
      </c>
      <c r="N10" s="73">
        <f>ROUND(H10*E10*K10,2)</f>
        <v/>
      </c>
      <c r="O10" s="28">
        <f>IF(D10*E10=0,0,N10/(D10*E10))</f>
        <v/>
      </c>
      <c r="P10" s="61" t="n"/>
    </row>
    <row r="11">
      <c r="A11" s="82">
        <f>IF('جدول الكميات'!A9="","",'جدول الكميات'!A9)</f>
        <v/>
      </c>
      <c r="B11" s="102">
        <f>IF('جدول الكميات'!C9="","",'جدول الكميات'!C9)</f>
        <v/>
      </c>
      <c r="C11" s="82">
        <f>IF('جدول الكميات'!D9="","",'جدول الكميات'!D9)</f>
        <v/>
      </c>
      <c r="D11" s="83">
        <f>'جدول الكميات'!E9</f>
        <v/>
      </c>
      <c r="E11" s="83">
        <f>'جدول الكميات'!F9</f>
        <v/>
      </c>
      <c r="F11" s="108">
        <f>'مستخلص 24'!H11</f>
        <v/>
      </c>
      <c r="G11" s="72" t="n"/>
      <c r="H11" s="84">
        <f>F11+G11</f>
        <v/>
      </c>
      <c r="I11" s="109">
        <f>'مستخلص 24'!K11</f>
        <v/>
      </c>
      <c r="J11" s="68" t="n"/>
      <c r="K11" s="103">
        <f>IF(J11="",I11,J11)</f>
        <v/>
      </c>
      <c r="L11" s="108">
        <f>'مستخلص 24'!N11</f>
        <v/>
      </c>
      <c r="M11" s="84">
        <f>N11-L11</f>
        <v/>
      </c>
      <c r="N11" s="83">
        <f>ROUND(H11*E11*K11,2)</f>
        <v/>
      </c>
      <c r="O11" s="50">
        <f>IF(D11*E11=0,0,N11/(D11*E11))</f>
        <v/>
      </c>
      <c r="P11" s="61" t="n"/>
    </row>
    <row r="12">
      <c r="A12" s="30">
        <f>IF('جدول الكميات'!A10="","",'جدول الكميات'!A10)</f>
        <v/>
      </c>
      <c r="B12" s="100">
        <f>IF('جدول الكميات'!C10="","",'جدول الكميات'!C10)</f>
        <v/>
      </c>
      <c r="C12" s="30">
        <f>IF('جدول الكميات'!D10="","",'جدول الكميات'!D10)</f>
        <v/>
      </c>
      <c r="D12" s="73">
        <f>'جدول الكميات'!E10</f>
        <v/>
      </c>
      <c r="E12" s="73">
        <f>'جدول الكميات'!F10</f>
        <v/>
      </c>
      <c r="F12" s="74">
        <f>'مستخلص 24'!H12</f>
        <v/>
      </c>
      <c r="G12" s="72" t="n"/>
      <c r="H12" s="27">
        <f>F12+G12</f>
        <v/>
      </c>
      <c r="I12" s="107">
        <f>'مستخلص 24'!K12</f>
        <v/>
      </c>
      <c r="J12" s="68" t="n"/>
      <c r="K12" s="101">
        <f>IF(J12="",I12,J12)</f>
        <v/>
      </c>
      <c r="L12" s="74">
        <f>'مستخلص 24'!N12</f>
        <v/>
      </c>
      <c r="M12" s="27">
        <f>N12-L12</f>
        <v/>
      </c>
      <c r="N12" s="73">
        <f>ROUND(H12*E12*K12,2)</f>
        <v/>
      </c>
      <c r="O12" s="28">
        <f>IF(D12*E12=0,0,N12/(D12*E12))</f>
        <v/>
      </c>
      <c r="P12" s="61" t="n"/>
    </row>
    <row r="13">
      <c r="A13" s="82">
        <f>IF('جدول الكميات'!A11="","",'جدول الكميات'!A11)</f>
        <v/>
      </c>
      <c r="B13" s="102">
        <f>IF('جدول الكميات'!C11="","",'جدول الكميات'!C11)</f>
        <v/>
      </c>
      <c r="C13" s="82">
        <f>IF('جدول الكميات'!D11="","",'جدول الكميات'!D11)</f>
        <v/>
      </c>
      <c r="D13" s="83">
        <f>'جدول الكميات'!E11</f>
        <v/>
      </c>
      <c r="E13" s="83">
        <f>'جدول الكميات'!F11</f>
        <v/>
      </c>
      <c r="F13" s="108">
        <f>'مستخلص 24'!H13</f>
        <v/>
      </c>
      <c r="G13" s="72" t="n"/>
      <c r="H13" s="84">
        <f>F13+G13</f>
        <v/>
      </c>
      <c r="I13" s="109">
        <f>'مستخلص 24'!K13</f>
        <v/>
      </c>
      <c r="J13" s="68" t="n"/>
      <c r="K13" s="103">
        <f>IF(J13="",I13,J13)</f>
        <v/>
      </c>
      <c r="L13" s="108">
        <f>'مستخلص 24'!N13</f>
        <v/>
      </c>
      <c r="M13" s="84">
        <f>N13-L13</f>
        <v/>
      </c>
      <c r="N13" s="83">
        <f>ROUND(H13*E13*K13,2)</f>
        <v/>
      </c>
      <c r="O13" s="50">
        <f>IF(D13*E13=0,0,N13/(D13*E13))</f>
        <v/>
      </c>
      <c r="P13" s="61" t="n"/>
    </row>
    <row r="14">
      <c r="A14" s="30">
        <f>IF('جدول الكميات'!A12="","",'جدول الكميات'!A12)</f>
        <v/>
      </c>
      <c r="B14" s="100">
        <f>IF('جدول الكميات'!C12="","",'جدول الكميات'!C12)</f>
        <v/>
      </c>
      <c r="C14" s="30">
        <f>IF('جدول الكميات'!D12="","",'جدول الكميات'!D12)</f>
        <v/>
      </c>
      <c r="D14" s="73">
        <f>'جدول الكميات'!E12</f>
        <v/>
      </c>
      <c r="E14" s="73">
        <f>'جدول الكميات'!F12</f>
        <v/>
      </c>
      <c r="F14" s="74">
        <f>'مستخلص 24'!H14</f>
        <v/>
      </c>
      <c r="G14" s="72" t="n"/>
      <c r="H14" s="27">
        <f>F14+G14</f>
        <v/>
      </c>
      <c r="I14" s="107">
        <f>'مستخلص 24'!K14</f>
        <v/>
      </c>
      <c r="J14" s="68" t="n"/>
      <c r="K14" s="101">
        <f>IF(J14="",I14,J14)</f>
        <v/>
      </c>
      <c r="L14" s="74">
        <f>'مستخلص 24'!N14</f>
        <v/>
      </c>
      <c r="M14" s="27">
        <f>N14-L14</f>
        <v/>
      </c>
      <c r="N14" s="73">
        <f>ROUND(H14*E14*K14,2)</f>
        <v/>
      </c>
      <c r="O14" s="28">
        <f>IF(D14*E14=0,0,N14/(D14*E14))</f>
        <v/>
      </c>
      <c r="P14" s="61" t="n"/>
    </row>
    <row r="15">
      <c r="A15" s="82">
        <f>IF('جدول الكميات'!A13="","",'جدول الكميات'!A13)</f>
        <v/>
      </c>
      <c r="B15" s="102">
        <f>IF('جدول الكميات'!C13="","",'جدول الكميات'!C13)</f>
        <v/>
      </c>
      <c r="C15" s="82">
        <f>IF('جدول الكميات'!D13="","",'جدول الكميات'!D13)</f>
        <v/>
      </c>
      <c r="D15" s="83">
        <f>'جدول الكميات'!E13</f>
        <v/>
      </c>
      <c r="E15" s="83">
        <f>'جدول الكميات'!F13</f>
        <v/>
      </c>
      <c r="F15" s="108">
        <f>'مستخلص 24'!H15</f>
        <v/>
      </c>
      <c r="G15" s="72" t="n"/>
      <c r="H15" s="84">
        <f>F15+G15</f>
        <v/>
      </c>
      <c r="I15" s="109">
        <f>'مستخلص 24'!K15</f>
        <v/>
      </c>
      <c r="J15" s="68" t="n"/>
      <c r="K15" s="103">
        <f>IF(J15="",I15,J15)</f>
        <v/>
      </c>
      <c r="L15" s="108">
        <f>'مستخلص 24'!N15</f>
        <v/>
      </c>
      <c r="M15" s="84">
        <f>N15-L15</f>
        <v/>
      </c>
      <c r="N15" s="83">
        <f>ROUND(H15*E15*K15,2)</f>
        <v/>
      </c>
      <c r="O15" s="50">
        <f>IF(D15*E15=0,0,N15/(D15*E15))</f>
        <v/>
      </c>
      <c r="P15" s="61" t="n"/>
    </row>
    <row r="16">
      <c r="A16" s="30">
        <f>IF('جدول الكميات'!A14="","",'جدول الكميات'!A14)</f>
        <v/>
      </c>
      <c r="B16" s="100">
        <f>IF('جدول الكميات'!C14="","",'جدول الكميات'!C14)</f>
        <v/>
      </c>
      <c r="C16" s="30">
        <f>IF('جدول الكميات'!D14="","",'جدول الكميات'!D14)</f>
        <v/>
      </c>
      <c r="D16" s="73">
        <f>'جدول الكميات'!E14</f>
        <v/>
      </c>
      <c r="E16" s="73">
        <f>'جدول الكميات'!F14</f>
        <v/>
      </c>
      <c r="F16" s="74">
        <f>'مستخلص 24'!H16</f>
        <v/>
      </c>
      <c r="G16" s="72" t="n"/>
      <c r="H16" s="27">
        <f>F16+G16</f>
        <v/>
      </c>
      <c r="I16" s="107">
        <f>'مستخلص 24'!K16</f>
        <v/>
      </c>
      <c r="J16" s="68" t="n"/>
      <c r="K16" s="101">
        <f>IF(J16="",I16,J16)</f>
        <v/>
      </c>
      <c r="L16" s="74">
        <f>'مستخلص 24'!N16</f>
        <v/>
      </c>
      <c r="M16" s="27">
        <f>N16-L16</f>
        <v/>
      </c>
      <c r="N16" s="73">
        <f>ROUND(H16*E16*K16,2)</f>
        <v/>
      </c>
      <c r="O16" s="28">
        <f>IF(D16*E16=0,0,N16/(D16*E16))</f>
        <v/>
      </c>
      <c r="P16" s="61" t="n"/>
    </row>
    <row r="17">
      <c r="A17" s="82">
        <f>IF('جدول الكميات'!A15="","",'جدول الكميات'!A15)</f>
        <v/>
      </c>
      <c r="B17" s="102">
        <f>IF('جدول الكميات'!C15="","",'جدول الكميات'!C15)</f>
        <v/>
      </c>
      <c r="C17" s="82">
        <f>IF('جدول الكميات'!D15="","",'جدول الكميات'!D15)</f>
        <v/>
      </c>
      <c r="D17" s="83">
        <f>'جدول الكميات'!E15</f>
        <v/>
      </c>
      <c r="E17" s="83">
        <f>'جدول الكميات'!F15</f>
        <v/>
      </c>
      <c r="F17" s="108">
        <f>'مستخلص 24'!H17</f>
        <v/>
      </c>
      <c r="G17" s="72" t="n"/>
      <c r="H17" s="84">
        <f>F17+G17</f>
        <v/>
      </c>
      <c r="I17" s="109">
        <f>'مستخلص 24'!K17</f>
        <v/>
      </c>
      <c r="J17" s="68" t="n"/>
      <c r="K17" s="103">
        <f>IF(J17="",I17,J17)</f>
        <v/>
      </c>
      <c r="L17" s="108">
        <f>'مستخلص 24'!N17</f>
        <v/>
      </c>
      <c r="M17" s="84">
        <f>N17-L17</f>
        <v/>
      </c>
      <c r="N17" s="83">
        <f>ROUND(H17*E17*K17,2)</f>
        <v/>
      </c>
      <c r="O17" s="50">
        <f>IF(D17*E17=0,0,N17/(D17*E17))</f>
        <v/>
      </c>
      <c r="P17" s="61" t="n"/>
    </row>
    <row r="18">
      <c r="A18" s="30">
        <f>IF('جدول الكميات'!A16="","",'جدول الكميات'!A16)</f>
        <v/>
      </c>
      <c r="B18" s="100">
        <f>IF('جدول الكميات'!C16="","",'جدول الكميات'!C16)</f>
        <v/>
      </c>
      <c r="C18" s="30">
        <f>IF('جدول الكميات'!D16="","",'جدول الكميات'!D16)</f>
        <v/>
      </c>
      <c r="D18" s="73">
        <f>'جدول الكميات'!E16</f>
        <v/>
      </c>
      <c r="E18" s="73">
        <f>'جدول الكميات'!F16</f>
        <v/>
      </c>
      <c r="F18" s="74">
        <f>'مستخلص 24'!H18</f>
        <v/>
      </c>
      <c r="G18" s="72" t="n"/>
      <c r="H18" s="27">
        <f>F18+G18</f>
        <v/>
      </c>
      <c r="I18" s="107">
        <f>'مستخلص 24'!K18</f>
        <v/>
      </c>
      <c r="J18" s="68" t="n"/>
      <c r="K18" s="101">
        <f>IF(J18="",I18,J18)</f>
        <v/>
      </c>
      <c r="L18" s="74">
        <f>'مستخلص 24'!N18</f>
        <v/>
      </c>
      <c r="M18" s="27">
        <f>N18-L18</f>
        <v/>
      </c>
      <c r="N18" s="73">
        <f>ROUND(H18*E18*K18,2)</f>
        <v/>
      </c>
      <c r="O18" s="28">
        <f>IF(D18*E18=0,0,N18/(D18*E18))</f>
        <v/>
      </c>
      <c r="P18" s="61" t="n"/>
    </row>
    <row r="19">
      <c r="A19" s="82">
        <f>IF('جدول الكميات'!A17="","",'جدول الكميات'!A17)</f>
        <v/>
      </c>
      <c r="B19" s="102">
        <f>IF('جدول الكميات'!C17="","",'جدول الكميات'!C17)</f>
        <v/>
      </c>
      <c r="C19" s="82">
        <f>IF('جدول الكميات'!D17="","",'جدول الكميات'!D17)</f>
        <v/>
      </c>
      <c r="D19" s="83">
        <f>'جدول الكميات'!E17</f>
        <v/>
      </c>
      <c r="E19" s="83">
        <f>'جدول الكميات'!F17</f>
        <v/>
      </c>
      <c r="F19" s="108">
        <f>'مستخلص 24'!H19</f>
        <v/>
      </c>
      <c r="G19" s="72" t="n"/>
      <c r="H19" s="84">
        <f>F19+G19</f>
        <v/>
      </c>
      <c r="I19" s="109">
        <f>'مستخلص 24'!K19</f>
        <v/>
      </c>
      <c r="J19" s="68" t="n"/>
      <c r="K19" s="103">
        <f>IF(J19="",I19,J19)</f>
        <v/>
      </c>
      <c r="L19" s="108">
        <f>'مستخلص 24'!N19</f>
        <v/>
      </c>
      <c r="M19" s="84">
        <f>N19-L19</f>
        <v/>
      </c>
      <c r="N19" s="83">
        <f>ROUND(H19*E19*K19,2)</f>
        <v/>
      </c>
      <c r="O19" s="50">
        <f>IF(D19*E19=0,0,N19/(D19*E19))</f>
        <v/>
      </c>
      <c r="P19" s="61" t="n"/>
    </row>
    <row r="20">
      <c r="A20" s="30">
        <f>IF('جدول الكميات'!A18="","",'جدول الكميات'!A18)</f>
        <v/>
      </c>
      <c r="B20" s="100">
        <f>IF('جدول الكميات'!C18="","",'جدول الكميات'!C18)</f>
        <v/>
      </c>
      <c r="C20" s="30">
        <f>IF('جدول الكميات'!D18="","",'جدول الكميات'!D18)</f>
        <v/>
      </c>
      <c r="D20" s="73">
        <f>'جدول الكميات'!E18</f>
        <v/>
      </c>
      <c r="E20" s="73">
        <f>'جدول الكميات'!F18</f>
        <v/>
      </c>
      <c r="F20" s="74">
        <f>'مستخلص 24'!H20</f>
        <v/>
      </c>
      <c r="G20" s="72" t="n"/>
      <c r="H20" s="27">
        <f>F20+G20</f>
        <v/>
      </c>
      <c r="I20" s="107">
        <f>'مستخلص 24'!K20</f>
        <v/>
      </c>
      <c r="J20" s="68" t="n"/>
      <c r="K20" s="101">
        <f>IF(J20="",I20,J20)</f>
        <v/>
      </c>
      <c r="L20" s="74">
        <f>'مستخلص 24'!N20</f>
        <v/>
      </c>
      <c r="M20" s="27">
        <f>N20-L20</f>
        <v/>
      </c>
      <c r="N20" s="73">
        <f>ROUND(H20*E20*K20,2)</f>
        <v/>
      </c>
      <c r="O20" s="28">
        <f>IF(D20*E20=0,0,N20/(D20*E20))</f>
        <v/>
      </c>
      <c r="P20" s="61" t="n"/>
    </row>
    <row r="21">
      <c r="A21" s="82">
        <f>IF('جدول الكميات'!A19="","",'جدول الكميات'!A19)</f>
        <v/>
      </c>
      <c r="B21" s="102">
        <f>IF('جدول الكميات'!C19="","",'جدول الكميات'!C19)</f>
        <v/>
      </c>
      <c r="C21" s="82">
        <f>IF('جدول الكميات'!D19="","",'جدول الكميات'!D19)</f>
        <v/>
      </c>
      <c r="D21" s="83">
        <f>'جدول الكميات'!E19</f>
        <v/>
      </c>
      <c r="E21" s="83">
        <f>'جدول الكميات'!F19</f>
        <v/>
      </c>
      <c r="F21" s="108">
        <f>'مستخلص 24'!H21</f>
        <v/>
      </c>
      <c r="G21" s="72" t="n"/>
      <c r="H21" s="84">
        <f>F21+G21</f>
        <v/>
      </c>
      <c r="I21" s="109">
        <f>'مستخلص 24'!K21</f>
        <v/>
      </c>
      <c r="J21" s="68" t="n"/>
      <c r="K21" s="103">
        <f>IF(J21="",I21,J21)</f>
        <v/>
      </c>
      <c r="L21" s="108">
        <f>'مستخلص 24'!N21</f>
        <v/>
      </c>
      <c r="M21" s="84">
        <f>N21-L21</f>
        <v/>
      </c>
      <c r="N21" s="83">
        <f>ROUND(H21*E21*K21,2)</f>
        <v/>
      </c>
      <c r="O21" s="50">
        <f>IF(D21*E21=0,0,N21/(D21*E21))</f>
        <v/>
      </c>
      <c r="P21" s="61" t="n"/>
    </row>
    <row r="22">
      <c r="A22" s="30">
        <f>IF('جدول الكميات'!A20="","",'جدول الكميات'!A20)</f>
        <v/>
      </c>
      <c r="B22" s="100">
        <f>IF('جدول الكميات'!C20="","",'جدول الكميات'!C20)</f>
        <v/>
      </c>
      <c r="C22" s="30">
        <f>IF('جدول الكميات'!D20="","",'جدول الكميات'!D20)</f>
        <v/>
      </c>
      <c r="D22" s="73">
        <f>'جدول الكميات'!E20</f>
        <v/>
      </c>
      <c r="E22" s="73">
        <f>'جدول الكميات'!F20</f>
        <v/>
      </c>
      <c r="F22" s="74">
        <f>'مستخلص 24'!H22</f>
        <v/>
      </c>
      <c r="G22" s="72" t="n"/>
      <c r="H22" s="27">
        <f>F22+G22</f>
        <v/>
      </c>
      <c r="I22" s="107">
        <f>'مستخلص 24'!K22</f>
        <v/>
      </c>
      <c r="J22" s="68" t="n"/>
      <c r="K22" s="101">
        <f>IF(J22="",I22,J22)</f>
        <v/>
      </c>
      <c r="L22" s="74">
        <f>'مستخلص 24'!N22</f>
        <v/>
      </c>
      <c r="M22" s="27">
        <f>N22-L22</f>
        <v/>
      </c>
      <c r="N22" s="73">
        <f>ROUND(H22*E22*K22,2)</f>
        <v/>
      </c>
      <c r="O22" s="28">
        <f>IF(D22*E22=0,0,N22/(D22*E22))</f>
        <v/>
      </c>
      <c r="P22" s="61" t="n"/>
    </row>
    <row r="23">
      <c r="A23" s="82">
        <f>IF('جدول الكميات'!A21="","",'جدول الكميات'!A21)</f>
        <v/>
      </c>
      <c r="B23" s="102">
        <f>IF('جدول الكميات'!C21="","",'جدول الكميات'!C21)</f>
        <v/>
      </c>
      <c r="C23" s="82">
        <f>IF('جدول الكميات'!D21="","",'جدول الكميات'!D21)</f>
        <v/>
      </c>
      <c r="D23" s="83">
        <f>'جدول الكميات'!E21</f>
        <v/>
      </c>
      <c r="E23" s="83">
        <f>'جدول الكميات'!F21</f>
        <v/>
      </c>
      <c r="F23" s="108">
        <f>'مستخلص 24'!H23</f>
        <v/>
      </c>
      <c r="G23" s="72" t="n"/>
      <c r="H23" s="84">
        <f>F23+G23</f>
        <v/>
      </c>
      <c r="I23" s="109">
        <f>'مستخلص 24'!K23</f>
        <v/>
      </c>
      <c r="J23" s="68" t="n"/>
      <c r="K23" s="103">
        <f>IF(J23="",I23,J23)</f>
        <v/>
      </c>
      <c r="L23" s="108">
        <f>'مستخلص 24'!N23</f>
        <v/>
      </c>
      <c r="M23" s="84">
        <f>N23-L23</f>
        <v/>
      </c>
      <c r="N23" s="83">
        <f>ROUND(H23*E23*K23,2)</f>
        <v/>
      </c>
      <c r="O23" s="50">
        <f>IF(D23*E23=0,0,N23/(D23*E23))</f>
        <v/>
      </c>
      <c r="P23" s="61" t="n"/>
    </row>
    <row r="24">
      <c r="A24" s="30">
        <f>IF('جدول الكميات'!A22="","",'جدول الكميات'!A22)</f>
        <v/>
      </c>
      <c r="B24" s="100">
        <f>IF('جدول الكميات'!C22="","",'جدول الكميات'!C22)</f>
        <v/>
      </c>
      <c r="C24" s="30">
        <f>IF('جدول الكميات'!D22="","",'جدول الكميات'!D22)</f>
        <v/>
      </c>
      <c r="D24" s="73">
        <f>'جدول الكميات'!E22</f>
        <v/>
      </c>
      <c r="E24" s="73">
        <f>'جدول الكميات'!F22</f>
        <v/>
      </c>
      <c r="F24" s="74">
        <f>'مستخلص 24'!H24</f>
        <v/>
      </c>
      <c r="G24" s="72" t="n"/>
      <c r="H24" s="27">
        <f>F24+G24</f>
        <v/>
      </c>
      <c r="I24" s="107">
        <f>'مستخلص 24'!K24</f>
        <v/>
      </c>
      <c r="J24" s="68" t="n"/>
      <c r="K24" s="101">
        <f>IF(J24="",I24,J24)</f>
        <v/>
      </c>
      <c r="L24" s="74">
        <f>'مستخلص 24'!N24</f>
        <v/>
      </c>
      <c r="M24" s="27">
        <f>N24-L24</f>
        <v/>
      </c>
      <c r="N24" s="73">
        <f>ROUND(H24*E24*K24,2)</f>
        <v/>
      </c>
      <c r="O24" s="28">
        <f>IF(D24*E24=0,0,N24/(D24*E24))</f>
        <v/>
      </c>
      <c r="P24" s="61" t="n"/>
    </row>
    <row r="25">
      <c r="A25" s="82">
        <f>IF('جدول الكميات'!A23="","",'جدول الكميات'!A23)</f>
        <v/>
      </c>
      <c r="B25" s="102">
        <f>IF('جدول الكميات'!C23="","",'جدول الكميات'!C23)</f>
        <v/>
      </c>
      <c r="C25" s="82">
        <f>IF('جدول الكميات'!D23="","",'جدول الكميات'!D23)</f>
        <v/>
      </c>
      <c r="D25" s="83">
        <f>'جدول الكميات'!E23</f>
        <v/>
      </c>
      <c r="E25" s="83">
        <f>'جدول الكميات'!F23</f>
        <v/>
      </c>
      <c r="F25" s="108">
        <f>'مستخلص 24'!H25</f>
        <v/>
      </c>
      <c r="G25" s="72" t="n"/>
      <c r="H25" s="84">
        <f>F25+G25</f>
        <v/>
      </c>
      <c r="I25" s="109">
        <f>'مستخلص 24'!K25</f>
        <v/>
      </c>
      <c r="J25" s="68" t="n"/>
      <c r="K25" s="103">
        <f>IF(J25="",I25,J25)</f>
        <v/>
      </c>
      <c r="L25" s="108">
        <f>'مستخلص 24'!N25</f>
        <v/>
      </c>
      <c r="M25" s="84">
        <f>N25-L25</f>
        <v/>
      </c>
      <c r="N25" s="83">
        <f>ROUND(H25*E25*K25,2)</f>
        <v/>
      </c>
      <c r="O25" s="50">
        <f>IF(D25*E25=0,0,N25/(D25*E25))</f>
        <v/>
      </c>
      <c r="P25" s="61" t="n"/>
    </row>
    <row r="26">
      <c r="A26" s="30">
        <f>IF('جدول الكميات'!A24="","",'جدول الكميات'!A24)</f>
        <v/>
      </c>
      <c r="B26" s="100">
        <f>IF('جدول الكميات'!C24="","",'جدول الكميات'!C24)</f>
        <v/>
      </c>
      <c r="C26" s="30">
        <f>IF('جدول الكميات'!D24="","",'جدول الكميات'!D24)</f>
        <v/>
      </c>
      <c r="D26" s="73">
        <f>'جدول الكميات'!E24</f>
        <v/>
      </c>
      <c r="E26" s="73">
        <f>'جدول الكميات'!F24</f>
        <v/>
      </c>
      <c r="F26" s="74">
        <f>'مستخلص 24'!H26</f>
        <v/>
      </c>
      <c r="G26" s="72" t="n"/>
      <c r="H26" s="27">
        <f>F26+G26</f>
        <v/>
      </c>
      <c r="I26" s="107">
        <f>'مستخلص 24'!K26</f>
        <v/>
      </c>
      <c r="J26" s="68" t="n"/>
      <c r="K26" s="101">
        <f>IF(J26="",I26,J26)</f>
        <v/>
      </c>
      <c r="L26" s="74">
        <f>'مستخلص 24'!N26</f>
        <v/>
      </c>
      <c r="M26" s="27">
        <f>N26-L26</f>
        <v/>
      </c>
      <c r="N26" s="73">
        <f>ROUND(H26*E26*K26,2)</f>
        <v/>
      </c>
      <c r="O26" s="28">
        <f>IF(D26*E26=0,0,N26/(D26*E26))</f>
        <v/>
      </c>
      <c r="P26" s="61" t="n"/>
    </row>
    <row r="27">
      <c r="A27" s="82">
        <f>IF('جدول الكميات'!A25="","",'جدول الكميات'!A25)</f>
        <v/>
      </c>
      <c r="B27" s="102">
        <f>IF('جدول الكميات'!C25="","",'جدول الكميات'!C25)</f>
        <v/>
      </c>
      <c r="C27" s="82">
        <f>IF('جدول الكميات'!D25="","",'جدول الكميات'!D25)</f>
        <v/>
      </c>
      <c r="D27" s="83">
        <f>'جدول الكميات'!E25</f>
        <v/>
      </c>
      <c r="E27" s="83">
        <f>'جدول الكميات'!F25</f>
        <v/>
      </c>
      <c r="F27" s="108">
        <f>'مستخلص 24'!H27</f>
        <v/>
      </c>
      <c r="G27" s="72" t="n"/>
      <c r="H27" s="84">
        <f>F27+G27</f>
        <v/>
      </c>
      <c r="I27" s="109">
        <f>'مستخلص 24'!K27</f>
        <v/>
      </c>
      <c r="J27" s="68" t="n"/>
      <c r="K27" s="103">
        <f>IF(J27="",I27,J27)</f>
        <v/>
      </c>
      <c r="L27" s="108">
        <f>'مستخلص 24'!N27</f>
        <v/>
      </c>
      <c r="M27" s="84">
        <f>N27-L27</f>
        <v/>
      </c>
      <c r="N27" s="83">
        <f>ROUND(H27*E27*K27,2)</f>
        <v/>
      </c>
      <c r="O27" s="50">
        <f>IF(D27*E27=0,0,N27/(D27*E27))</f>
        <v/>
      </c>
      <c r="P27" s="61" t="n"/>
    </row>
    <row r="28">
      <c r="A28" s="30">
        <f>IF('جدول الكميات'!A26="","",'جدول الكميات'!A26)</f>
        <v/>
      </c>
      <c r="B28" s="100">
        <f>IF('جدول الكميات'!C26="","",'جدول الكميات'!C26)</f>
        <v/>
      </c>
      <c r="C28" s="30">
        <f>IF('جدول الكميات'!D26="","",'جدول الكميات'!D26)</f>
        <v/>
      </c>
      <c r="D28" s="73">
        <f>'جدول الكميات'!E26</f>
        <v/>
      </c>
      <c r="E28" s="73">
        <f>'جدول الكميات'!F26</f>
        <v/>
      </c>
      <c r="F28" s="74">
        <f>'مستخلص 24'!H28</f>
        <v/>
      </c>
      <c r="G28" s="72" t="n"/>
      <c r="H28" s="27">
        <f>F28+G28</f>
        <v/>
      </c>
      <c r="I28" s="107">
        <f>'مستخلص 24'!K28</f>
        <v/>
      </c>
      <c r="J28" s="68" t="n"/>
      <c r="K28" s="101">
        <f>IF(J28="",I28,J28)</f>
        <v/>
      </c>
      <c r="L28" s="74">
        <f>'مستخلص 24'!N28</f>
        <v/>
      </c>
      <c r="M28" s="27">
        <f>N28-L28</f>
        <v/>
      </c>
      <c r="N28" s="73">
        <f>ROUND(H28*E28*K28,2)</f>
        <v/>
      </c>
      <c r="O28" s="28">
        <f>IF(D28*E28=0,0,N28/(D28*E28))</f>
        <v/>
      </c>
      <c r="P28" s="61" t="n"/>
    </row>
    <row r="29">
      <c r="A29" s="82">
        <f>IF('جدول الكميات'!A27="","",'جدول الكميات'!A27)</f>
        <v/>
      </c>
      <c r="B29" s="102">
        <f>IF('جدول الكميات'!C27="","",'جدول الكميات'!C27)</f>
        <v/>
      </c>
      <c r="C29" s="82">
        <f>IF('جدول الكميات'!D27="","",'جدول الكميات'!D27)</f>
        <v/>
      </c>
      <c r="D29" s="83">
        <f>'جدول الكميات'!E27</f>
        <v/>
      </c>
      <c r="E29" s="83">
        <f>'جدول الكميات'!F27</f>
        <v/>
      </c>
      <c r="F29" s="108">
        <f>'مستخلص 24'!H29</f>
        <v/>
      </c>
      <c r="G29" s="72" t="n"/>
      <c r="H29" s="84">
        <f>F29+G29</f>
        <v/>
      </c>
      <c r="I29" s="109">
        <f>'مستخلص 24'!K29</f>
        <v/>
      </c>
      <c r="J29" s="68" t="n"/>
      <c r="K29" s="103">
        <f>IF(J29="",I29,J29)</f>
        <v/>
      </c>
      <c r="L29" s="108">
        <f>'مستخلص 24'!N29</f>
        <v/>
      </c>
      <c r="M29" s="84">
        <f>N29-L29</f>
        <v/>
      </c>
      <c r="N29" s="83">
        <f>ROUND(H29*E29*K29,2)</f>
        <v/>
      </c>
      <c r="O29" s="50">
        <f>IF(D29*E29=0,0,N29/(D29*E29))</f>
        <v/>
      </c>
      <c r="P29" s="61" t="n"/>
    </row>
    <row r="30">
      <c r="A30" s="30">
        <f>IF('جدول الكميات'!A28="","",'جدول الكميات'!A28)</f>
        <v/>
      </c>
      <c r="B30" s="100">
        <f>IF('جدول الكميات'!C28="","",'جدول الكميات'!C28)</f>
        <v/>
      </c>
      <c r="C30" s="30">
        <f>IF('جدول الكميات'!D28="","",'جدول الكميات'!D28)</f>
        <v/>
      </c>
      <c r="D30" s="73">
        <f>'جدول الكميات'!E28</f>
        <v/>
      </c>
      <c r="E30" s="73">
        <f>'جدول الكميات'!F28</f>
        <v/>
      </c>
      <c r="F30" s="74">
        <f>'مستخلص 24'!H30</f>
        <v/>
      </c>
      <c r="G30" s="72" t="n"/>
      <c r="H30" s="27">
        <f>F30+G30</f>
        <v/>
      </c>
      <c r="I30" s="107">
        <f>'مستخلص 24'!K30</f>
        <v/>
      </c>
      <c r="J30" s="68" t="n"/>
      <c r="K30" s="101">
        <f>IF(J30="",I30,J30)</f>
        <v/>
      </c>
      <c r="L30" s="74">
        <f>'مستخلص 24'!N30</f>
        <v/>
      </c>
      <c r="M30" s="27">
        <f>N30-L30</f>
        <v/>
      </c>
      <c r="N30" s="73">
        <f>ROUND(H30*E30*K30,2)</f>
        <v/>
      </c>
      <c r="O30" s="28">
        <f>IF(D30*E30=0,0,N30/(D30*E30))</f>
        <v/>
      </c>
      <c r="P30" s="61" t="n"/>
    </row>
    <row r="31">
      <c r="A31" s="82">
        <f>IF('جدول الكميات'!A29="","",'جدول الكميات'!A29)</f>
        <v/>
      </c>
      <c r="B31" s="102">
        <f>IF('جدول الكميات'!C29="","",'جدول الكميات'!C29)</f>
        <v/>
      </c>
      <c r="C31" s="82">
        <f>IF('جدول الكميات'!D29="","",'جدول الكميات'!D29)</f>
        <v/>
      </c>
      <c r="D31" s="83">
        <f>'جدول الكميات'!E29</f>
        <v/>
      </c>
      <c r="E31" s="83">
        <f>'جدول الكميات'!F29</f>
        <v/>
      </c>
      <c r="F31" s="108">
        <f>'مستخلص 24'!H31</f>
        <v/>
      </c>
      <c r="G31" s="72" t="n"/>
      <c r="H31" s="84">
        <f>F31+G31</f>
        <v/>
      </c>
      <c r="I31" s="109">
        <f>'مستخلص 24'!K31</f>
        <v/>
      </c>
      <c r="J31" s="68" t="n"/>
      <c r="K31" s="103">
        <f>IF(J31="",I31,J31)</f>
        <v/>
      </c>
      <c r="L31" s="108">
        <f>'مستخلص 24'!N31</f>
        <v/>
      </c>
      <c r="M31" s="84">
        <f>N31-L31</f>
        <v/>
      </c>
      <c r="N31" s="83">
        <f>ROUND(H31*E31*K31,2)</f>
        <v/>
      </c>
      <c r="O31" s="50">
        <f>IF(D31*E31=0,0,N31/(D31*E31))</f>
        <v/>
      </c>
      <c r="P31" s="61" t="n"/>
    </row>
    <row r="32">
      <c r="A32" s="30">
        <f>IF('جدول الكميات'!A30="","",'جدول الكميات'!A30)</f>
        <v/>
      </c>
      <c r="B32" s="100">
        <f>IF('جدول الكميات'!C30="","",'جدول الكميات'!C30)</f>
        <v/>
      </c>
      <c r="C32" s="30">
        <f>IF('جدول الكميات'!D30="","",'جدول الكميات'!D30)</f>
        <v/>
      </c>
      <c r="D32" s="73">
        <f>'جدول الكميات'!E30</f>
        <v/>
      </c>
      <c r="E32" s="73">
        <f>'جدول الكميات'!F30</f>
        <v/>
      </c>
      <c r="F32" s="74">
        <f>'مستخلص 24'!H32</f>
        <v/>
      </c>
      <c r="G32" s="72" t="n"/>
      <c r="H32" s="27">
        <f>F32+G32</f>
        <v/>
      </c>
      <c r="I32" s="107">
        <f>'مستخلص 24'!K32</f>
        <v/>
      </c>
      <c r="J32" s="68" t="n"/>
      <c r="K32" s="101">
        <f>IF(J32="",I32,J32)</f>
        <v/>
      </c>
      <c r="L32" s="74">
        <f>'مستخلص 24'!N32</f>
        <v/>
      </c>
      <c r="M32" s="27">
        <f>N32-L32</f>
        <v/>
      </c>
      <c r="N32" s="73">
        <f>ROUND(H32*E32*K32,2)</f>
        <v/>
      </c>
      <c r="O32" s="28">
        <f>IF(D32*E32=0,0,N32/(D32*E32))</f>
        <v/>
      </c>
      <c r="P32" s="61" t="n"/>
    </row>
    <row r="33">
      <c r="A33" s="82">
        <f>IF('جدول الكميات'!A31="","",'جدول الكميات'!A31)</f>
        <v/>
      </c>
      <c r="B33" s="102">
        <f>IF('جدول الكميات'!C31="","",'جدول الكميات'!C31)</f>
        <v/>
      </c>
      <c r="C33" s="82">
        <f>IF('جدول الكميات'!D31="","",'جدول الكميات'!D31)</f>
        <v/>
      </c>
      <c r="D33" s="83">
        <f>'جدول الكميات'!E31</f>
        <v/>
      </c>
      <c r="E33" s="83">
        <f>'جدول الكميات'!F31</f>
        <v/>
      </c>
      <c r="F33" s="108">
        <f>'مستخلص 24'!H33</f>
        <v/>
      </c>
      <c r="G33" s="72" t="n"/>
      <c r="H33" s="84">
        <f>F33+G33</f>
        <v/>
      </c>
      <c r="I33" s="109">
        <f>'مستخلص 24'!K33</f>
        <v/>
      </c>
      <c r="J33" s="68" t="n"/>
      <c r="K33" s="103">
        <f>IF(J33="",I33,J33)</f>
        <v/>
      </c>
      <c r="L33" s="108">
        <f>'مستخلص 24'!N33</f>
        <v/>
      </c>
      <c r="M33" s="84">
        <f>N33-L33</f>
        <v/>
      </c>
      <c r="N33" s="83">
        <f>ROUND(H33*E33*K33,2)</f>
        <v/>
      </c>
      <c r="O33" s="50">
        <f>IF(D33*E33=0,0,N33/(D33*E33))</f>
        <v/>
      </c>
      <c r="P33" s="61" t="n"/>
    </row>
    <row r="34">
      <c r="A34" s="30">
        <f>IF('جدول الكميات'!A32="","",'جدول الكميات'!A32)</f>
        <v/>
      </c>
      <c r="B34" s="100">
        <f>IF('جدول الكميات'!C32="","",'جدول الكميات'!C32)</f>
        <v/>
      </c>
      <c r="C34" s="30">
        <f>IF('جدول الكميات'!D32="","",'جدول الكميات'!D32)</f>
        <v/>
      </c>
      <c r="D34" s="73">
        <f>'جدول الكميات'!E32</f>
        <v/>
      </c>
      <c r="E34" s="73">
        <f>'جدول الكميات'!F32</f>
        <v/>
      </c>
      <c r="F34" s="74">
        <f>'مستخلص 24'!H34</f>
        <v/>
      </c>
      <c r="G34" s="72" t="n"/>
      <c r="H34" s="27">
        <f>F34+G34</f>
        <v/>
      </c>
      <c r="I34" s="107">
        <f>'مستخلص 24'!K34</f>
        <v/>
      </c>
      <c r="J34" s="68" t="n"/>
      <c r="K34" s="101">
        <f>IF(J34="",I34,J34)</f>
        <v/>
      </c>
      <c r="L34" s="74">
        <f>'مستخلص 24'!N34</f>
        <v/>
      </c>
      <c r="M34" s="27">
        <f>N34-L34</f>
        <v/>
      </c>
      <c r="N34" s="73">
        <f>ROUND(H34*E34*K34,2)</f>
        <v/>
      </c>
      <c r="O34" s="28">
        <f>IF(D34*E34=0,0,N34/(D34*E34))</f>
        <v/>
      </c>
      <c r="P34" s="61" t="n"/>
    </row>
    <row r="35">
      <c r="A35" s="82">
        <f>IF('جدول الكميات'!A33="","",'جدول الكميات'!A33)</f>
        <v/>
      </c>
      <c r="B35" s="102">
        <f>IF('جدول الكميات'!C33="","",'جدول الكميات'!C33)</f>
        <v/>
      </c>
      <c r="C35" s="82">
        <f>IF('جدول الكميات'!D33="","",'جدول الكميات'!D33)</f>
        <v/>
      </c>
      <c r="D35" s="83">
        <f>'جدول الكميات'!E33</f>
        <v/>
      </c>
      <c r="E35" s="83">
        <f>'جدول الكميات'!F33</f>
        <v/>
      </c>
      <c r="F35" s="108">
        <f>'مستخلص 24'!H35</f>
        <v/>
      </c>
      <c r="G35" s="72" t="n"/>
      <c r="H35" s="84">
        <f>F35+G35</f>
        <v/>
      </c>
      <c r="I35" s="109">
        <f>'مستخلص 24'!K35</f>
        <v/>
      </c>
      <c r="J35" s="68" t="n"/>
      <c r="K35" s="103">
        <f>IF(J35="",I35,J35)</f>
        <v/>
      </c>
      <c r="L35" s="108">
        <f>'مستخلص 24'!N35</f>
        <v/>
      </c>
      <c r="M35" s="84">
        <f>N35-L35</f>
        <v/>
      </c>
      <c r="N35" s="83">
        <f>ROUND(H35*E35*K35,2)</f>
        <v/>
      </c>
      <c r="O35" s="50">
        <f>IF(D35*E35=0,0,N35/(D35*E35))</f>
        <v/>
      </c>
      <c r="P35" s="61" t="n"/>
    </row>
    <row r="36">
      <c r="A36" s="30">
        <f>IF('جدول الكميات'!A34="","",'جدول الكميات'!A34)</f>
        <v/>
      </c>
      <c r="B36" s="100">
        <f>IF('جدول الكميات'!C34="","",'جدول الكميات'!C34)</f>
        <v/>
      </c>
      <c r="C36" s="30">
        <f>IF('جدول الكميات'!D34="","",'جدول الكميات'!D34)</f>
        <v/>
      </c>
      <c r="D36" s="73">
        <f>'جدول الكميات'!E34</f>
        <v/>
      </c>
      <c r="E36" s="73">
        <f>'جدول الكميات'!F34</f>
        <v/>
      </c>
      <c r="F36" s="74">
        <f>'مستخلص 24'!H36</f>
        <v/>
      </c>
      <c r="G36" s="72" t="n"/>
      <c r="H36" s="27">
        <f>F36+G36</f>
        <v/>
      </c>
      <c r="I36" s="107">
        <f>'مستخلص 24'!K36</f>
        <v/>
      </c>
      <c r="J36" s="68" t="n"/>
      <c r="K36" s="101">
        <f>IF(J36="",I36,J36)</f>
        <v/>
      </c>
      <c r="L36" s="74">
        <f>'مستخلص 24'!N36</f>
        <v/>
      </c>
      <c r="M36" s="27">
        <f>N36-L36</f>
        <v/>
      </c>
      <c r="N36" s="73">
        <f>ROUND(H36*E36*K36,2)</f>
        <v/>
      </c>
      <c r="O36" s="28">
        <f>IF(D36*E36=0,0,N36/(D36*E36))</f>
        <v/>
      </c>
      <c r="P36" s="61" t="n"/>
    </row>
    <row r="37">
      <c r="A37" s="82">
        <f>IF('جدول الكميات'!A35="","",'جدول الكميات'!A35)</f>
        <v/>
      </c>
      <c r="B37" s="102">
        <f>IF('جدول الكميات'!C35="","",'جدول الكميات'!C35)</f>
        <v/>
      </c>
      <c r="C37" s="82">
        <f>IF('جدول الكميات'!D35="","",'جدول الكميات'!D35)</f>
        <v/>
      </c>
      <c r="D37" s="83">
        <f>'جدول الكميات'!E35</f>
        <v/>
      </c>
      <c r="E37" s="83">
        <f>'جدول الكميات'!F35</f>
        <v/>
      </c>
      <c r="F37" s="108">
        <f>'مستخلص 24'!H37</f>
        <v/>
      </c>
      <c r="G37" s="72" t="n"/>
      <c r="H37" s="84">
        <f>F37+G37</f>
        <v/>
      </c>
      <c r="I37" s="109">
        <f>'مستخلص 24'!K37</f>
        <v/>
      </c>
      <c r="J37" s="68" t="n"/>
      <c r="K37" s="103">
        <f>IF(J37="",I37,J37)</f>
        <v/>
      </c>
      <c r="L37" s="108">
        <f>'مستخلص 24'!N37</f>
        <v/>
      </c>
      <c r="M37" s="84">
        <f>N37-L37</f>
        <v/>
      </c>
      <c r="N37" s="83">
        <f>ROUND(H37*E37*K37,2)</f>
        <v/>
      </c>
      <c r="O37" s="50">
        <f>IF(D37*E37=0,0,N37/(D37*E37))</f>
        <v/>
      </c>
      <c r="P37" s="61" t="n"/>
    </row>
    <row r="38">
      <c r="A38" s="30">
        <f>IF('جدول الكميات'!A36="","",'جدول الكميات'!A36)</f>
        <v/>
      </c>
      <c r="B38" s="100">
        <f>IF('جدول الكميات'!C36="","",'جدول الكميات'!C36)</f>
        <v/>
      </c>
      <c r="C38" s="30">
        <f>IF('جدول الكميات'!D36="","",'جدول الكميات'!D36)</f>
        <v/>
      </c>
      <c r="D38" s="73">
        <f>'جدول الكميات'!E36</f>
        <v/>
      </c>
      <c r="E38" s="73">
        <f>'جدول الكميات'!F36</f>
        <v/>
      </c>
      <c r="F38" s="74">
        <f>'مستخلص 24'!H38</f>
        <v/>
      </c>
      <c r="G38" s="72" t="n"/>
      <c r="H38" s="27">
        <f>F38+G38</f>
        <v/>
      </c>
      <c r="I38" s="107">
        <f>'مستخلص 24'!K38</f>
        <v/>
      </c>
      <c r="J38" s="68" t="n"/>
      <c r="K38" s="101">
        <f>IF(J38="",I38,J38)</f>
        <v/>
      </c>
      <c r="L38" s="74">
        <f>'مستخلص 24'!N38</f>
        <v/>
      </c>
      <c r="M38" s="27">
        <f>N38-L38</f>
        <v/>
      </c>
      <c r="N38" s="73">
        <f>ROUND(H38*E38*K38,2)</f>
        <v/>
      </c>
      <c r="O38" s="28">
        <f>IF(D38*E38=0,0,N38/(D38*E38))</f>
        <v/>
      </c>
      <c r="P38" s="61" t="n"/>
    </row>
    <row r="39">
      <c r="A39" s="82">
        <f>IF('جدول الكميات'!A37="","",'جدول الكميات'!A37)</f>
        <v/>
      </c>
      <c r="B39" s="102">
        <f>IF('جدول الكميات'!C37="","",'جدول الكميات'!C37)</f>
        <v/>
      </c>
      <c r="C39" s="82">
        <f>IF('جدول الكميات'!D37="","",'جدول الكميات'!D37)</f>
        <v/>
      </c>
      <c r="D39" s="83">
        <f>'جدول الكميات'!E37</f>
        <v/>
      </c>
      <c r="E39" s="83">
        <f>'جدول الكميات'!F37</f>
        <v/>
      </c>
      <c r="F39" s="108">
        <f>'مستخلص 24'!H39</f>
        <v/>
      </c>
      <c r="G39" s="72" t="n"/>
      <c r="H39" s="84">
        <f>F39+G39</f>
        <v/>
      </c>
      <c r="I39" s="109">
        <f>'مستخلص 24'!K39</f>
        <v/>
      </c>
      <c r="J39" s="68" t="n"/>
      <c r="K39" s="103">
        <f>IF(J39="",I39,J39)</f>
        <v/>
      </c>
      <c r="L39" s="108">
        <f>'مستخلص 24'!N39</f>
        <v/>
      </c>
      <c r="M39" s="84">
        <f>N39-L39</f>
        <v/>
      </c>
      <c r="N39" s="83">
        <f>ROUND(H39*E39*K39,2)</f>
        <v/>
      </c>
      <c r="O39" s="50">
        <f>IF(D39*E39=0,0,N39/(D39*E39))</f>
        <v/>
      </c>
      <c r="P39" s="61" t="n"/>
    </row>
    <row r="40">
      <c r="A40" s="30">
        <f>IF('جدول الكميات'!A38="","",'جدول الكميات'!A38)</f>
        <v/>
      </c>
      <c r="B40" s="100">
        <f>IF('جدول الكميات'!C38="","",'جدول الكميات'!C38)</f>
        <v/>
      </c>
      <c r="C40" s="30">
        <f>IF('جدول الكميات'!D38="","",'جدول الكميات'!D38)</f>
        <v/>
      </c>
      <c r="D40" s="73">
        <f>'جدول الكميات'!E38</f>
        <v/>
      </c>
      <c r="E40" s="73">
        <f>'جدول الكميات'!F38</f>
        <v/>
      </c>
      <c r="F40" s="74">
        <f>'مستخلص 24'!H40</f>
        <v/>
      </c>
      <c r="G40" s="72" t="n"/>
      <c r="H40" s="27">
        <f>F40+G40</f>
        <v/>
      </c>
      <c r="I40" s="107">
        <f>'مستخلص 24'!K40</f>
        <v/>
      </c>
      <c r="J40" s="68" t="n"/>
      <c r="K40" s="101">
        <f>IF(J40="",I40,J40)</f>
        <v/>
      </c>
      <c r="L40" s="74">
        <f>'مستخلص 24'!N40</f>
        <v/>
      </c>
      <c r="M40" s="27">
        <f>N40-L40</f>
        <v/>
      </c>
      <c r="N40" s="73">
        <f>ROUND(H40*E40*K40,2)</f>
        <v/>
      </c>
      <c r="O40" s="28">
        <f>IF(D40*E40=0,0,N40/(D40*E40))</f>
        <v/>
      </c>
      <c r="P40" s="61" t="n"/>
    </row>
    <row r="41">
      <c r="A41" s="82">
        <f>IF('جدول الكميات'!A39="","",'جدول الكميات'!A39)</f>
        <v/>
      </c>
      <c r="B41" s="102">
        <f>IF('جدول الكميات'!C39="","",'جدول الكميات'!C39)</f>
        <v/>
      </c>
      <c r="C41" s="82">
        <f>IF('جدول الكميات'!D39="","",'جدول الكميات'!D39)</f>
        <v/>
      </c>
      <c r="D41" s="83">
        <f>'جدول الكميات'!E39</f>
        <v/>
      </c>
      <c r="E41" s="83">
        <f>'جدول الكميات'!F39</f>
        <v/>
      </c>
      <c r="F41" s="108">
        <f>'مستخلص 24'!H41</f>
        <v/>
      </c>
      <c r="G41" s="72" t="n"/>
      <c r="H41" s="84">
        <f>F41+G41</f>
        <v/>
      </c>
      <c r="I41" s="109">
        <f>'مستخلص 24'!K41</f>
        <v/>
      </c>
      <c r="J41" s="68" t="n"/>
      <c r="K41" s="103">
        <f>IF(J41="",I41,J41)</f>
        <v/>
      </c>
      <c r="L41" s="108">
        <f>'مستخلص 24'!N41</f>
        <v/>
      </c>
      <c r="M41" s="84">
        <f>N41-L41</f>
        <v/>
      </c>
      <c r="N41" s="83">
        <f>ROUND(H41*E41*K41,2)</f>
        <v/>
      </c>
      <c r="O41" s="50">
        <f>IF(D41*E41=0,0,N41/(D41*E41))</f>
        <v/>
      </c>
      <c r="P41" s="61" t="n"/>
    </row>
    <row r="42">
      <c r="A42" s="30">
        <f>IF('جدول الكميات'!A40="","",'جدول الكميات'!A40)</f>
        <v/>
      </c>
      <c r="B42" s="100">
        <f>IF('جدول الكميات'!C40="","",'جدول الكميات'!C40)</f>
        <v/>
      </c>
      <c r="C42" s="30">
        <f>IF('جدول الكميات'!D40="","",'جدول الكميات'!D40)</f>
        <v/>
      </c>
      <c r="D42" s="73">
        <f>'جدول الكميات'!E40</f>
        <v/>
      </c>
      <c r="E42" s="73">
        <f>'جدول الكميات'!F40</f>
        <v/>
      </c>
      <c r="F42" s="74">
        <f>'مستخلص 24'!H42</f>
        <v/>
      </c>
      <c r="G42" s="72" t="n"/>
      <c r="H42" s="27">
        <f>F42+G42</f>
        <v/>
      </c>
      <c r="I42" s="107">
        <f>'مستخلص 24'!K42</f>
        <v/>
      </c>
      <c r="J42" s="68" t="n"/>
      <c r="K42" s="101">
        <f>IF(J42="",I42,J42)</f>
        <v/>
      </c>
      <c r="L42" s="74">
        <f>'مستخلص 24'!N42</f>
        <v/>
      </c>
      <c r="M42" s="27">
        <f>N42-L42</f>
        <v/>
      </c>
      <c r="N42" s="73">
        <f>ROUND(H42*E42*K42,2)</f>
        <v/>
      </c>
      <c r="O42" s="28">
        <f>IF(D42*E42=0,0,N42/(D42*E42))</f>
        <v/>
      </c>
      <c r="P42" s="61" t="n"/>
    </row>
    <row r="43">
      <c r="A43" s="82">
        <f>IF('جدول الكميات'!A41="","",'جدول الكميات'!A41)</f>
        <v/>
      </c>
      <c r="B43" s="102">
        <f>IF('جدول الكميات'!C41="","",'جدول الكميات'!C41)</f>
        <v/>
      </c>
      <c r="C43" s="82">
        <f>IF('جدول الكميات'!D41="","",'جدول الكميات'!D41)</f>
        <v/>
      </c>
      <c r="D43" s="83">
        <f>'جدول الكميات'!E41</f>
        <v/>
      </c>
      <c r="E43" s="83">
        <f>'جدول الكميات'!F41</f>
        <v/>
      </c>
      <c r="F43" s="108">
        <f>'مستخلص 24'!H43</f>
        <v/>
      </c>
      <c r="G43" s="72" t="n"/>
      <c r="H43" s="84">
        <f>F43+G43</f>
        <v/>
      </c>
      <c r="I43" s="109">
        <f>'مستخلص 24'!K43</f>
        <v/>
      </c>
      <c r="J43" s="68" t="n"/>
      <c r="K43" s="103">
        <f>IF(J43="",I43,J43)</f>
        <v/>
      </c>
      <c r="L43" s="108">
        <f>'مستخلص 24'!N43</f>
        <v/>
      </c>
      <c r="M43" s="84">
        <f>N43-L43</f>
        <v/>
      </c>
      <c r="N43" s="83">
        <f>ROUND(H43*E43*K43,2)</f>
        <v/>
      </c>
      <c r="O43" s="50">
        <f>IF(D43*E43=0,0,N43/(D43*E43))</f>
        <v/>
      </c>
      <c r="P43" s="61" t="n"/>
    </row>
    <row r="44">
      <c r="A44" s="30">
        <f>IF('جدول الكميات'!A42="","",'جدول الكميات'!A42)</f>
        <v/>
      </c>
      <c r="B44" s="100">
        <f>IF('جدول الكميات'!C42="","",'جدول الكميات'!C42)</f>
        <v/>
      </c>
      <c r="C44" s="30">
        <f>IF('جدول الكميات'!D42="","",'جدول الكميات'!D42)</f>
        <v/>
      </c>
      <c r="D44" s="73">
        <f>'جدول الكميات'!E42</f>
        <v/>
      </c>
      <c r="E44" s="73">
        <f>'جدول الكميات'!F42</f>
        <v/>
      </c>
      <c r="F44" s="74">
        <f>'مستخلص 24'!H44</f>
        <v/>
      </c>
      <c r="G44" s="72" t="n"/>
      <c r="H44" s="27">
        <f>F44+G44</f>
        <v/>
      </c>
      <c r="I44" s="107">
        <f>'مستخلص 24'!K44</f>
        <v/>
      </c>
      <c r="J44" s="68" t="n"/>
      <c r="K44" s="101">
        <f>IF(J44="",I44,J44)</f>
        <v/>
      </c>
      <c r="L44" s="74">
        <f>'مستخلص 24'!N44</f>
        <v/>
      </c>
      <c r="M44" s="27">
        <f>N44-L44</f>
        <v/>
      </c>
      <c r="N44" s="73">
        <f>ROUND(H44*E44*K44,2)</f>
        <v/>
      </c>
      <c r="O44" s="28">
        <f>IF(D44*E44=0,0,N44/(D44*E44))</f>
        <v/>
      </c>
      <c r="P44" s="61" t="n"/>
    </row>
    <row r="45">
      <c r="A45" s="82">
        <f>IF('جدول الكميات'!A43="","",'جدول الكميات'!A43)</f>
        <v/>
      </c>
      <c r="B45" s="102">
        <f>IF('جدول الكميات'!C43="","",'جدول الكميات'!C43)</f>
        <v/>
      </c>
      <c r="C45" s="82">
        <f>IF('جدول الكميات'!D43="","",'جدول الكميات'!D43)</f>
        <v/>
      </c>
      <c r="D45" s="83">
        <f>'جدول الكميات'!E43</f>
        <v/>
      </c>
      <c r="E45" s="83">
        <f>'جدول الكميات'!F43</f>
        <v/>
      </c>
      <c r="F45" s="108">
        <f>'مستخلص 24'!H45</f>
        <v/>
      </c>
      <c r="G45" s="72" t="n"/>
      <c r="H45" s="84">
        <f>F45+G45</f>
        <v/>
      </c>
      <c r="I45" s="109">
        <f>'مستخلص 24'!K45</f>
        <v/>
      </c>
      <c r="J45" s="68" t="n"/>
      <c r="K45" s="103">
        <f>IF(J45="",I45,J45)</f>
        <v/>
      </c>
      <c r="L45" s="108">
        <f>'مستخلص 24'!N45</f>
        <v/>
      </c>
      <c r="M45" s="84">
        <f>N45-L45</f>
        <v/>
      </c>
      <c r="N45" s="83">
        <f>ROUND(H45*E45*K45,2)</f>
        <v/>
      </c>
      <c r="O45" s="50">
        <f>IF(D45*E45=0,0,N45/(D45*E45))</f>
        <v/>
      </c>
      <c r="P45" s="61" t="n"/>
    </row>
    <row r="46">
      <c r="A46" s="30">
        <f>IF('جدول الكميات'!A44="","",'جدول الكميات'!A44)</f>
        <v/>
      </c>
      <c r="B46" s="100">
        <f>IF('جدول الكميات'!C44="","",'جدول الكميات'!C44)</f>
        <v/>
      </c>
      <c r="C46" s="30">
        <f>IF('جدول الكميات'!D44="","",'جدول الكميات'!D44)</f>
        <v/>
      </c>
      <c r="D46" s="73">
        <f>'جدول الكميات'!E44</f>
        <v/>
      </c>
      <c r="E46" s="73">
        <f>'جدول الكميات'!F44</f>
        <v/>
      </c>
      <c r="F46" s="74">
        <f>'مستخلص 24'!H46</f>
        <v/>
      </c>
      <c r="G46" s="72" t="n"/>
      <c r="H46" s="27">
        <f>F46+G46</f>
        <v/>
      </c>
      <c r="I46" s="107">
        <f>'مستخلص 24'!K46</f>
        <v/>
      </c>
      <c r="J46" s="68" t="n"/>
      <c r="K46" s="101">
        <f>IF(J46="",I46,J46)</f>
        <v/>
      </c>
      <c r="L46" s="74">
        <f>'مستخلص 24'!N46</f>
        <v/>
      </c>
      <c r="M46" s="27">
        <f>N46-L46</f>
        <v/>
      </c>
      <c r="N46" s="73">
        <f>ROUND(H46*E46*K46,2)</f>
        <v/>
      </c>
      <c r="O46" s="28">
        <f>IF(D46*E46=0,0,N46/(D46*E46))</f>
        <v/>
      </c>
      <c r="P46" s="61" t="n"/>
    </row>
    <row r="47">
      <c r="A47" s="82">
        <f>IF('جدول الكميات'!A45="","",'جدول الكميات'!A45)</f>
        <v/>
      </c>
      <c r="B47" s="102">
        <f>IF('جدول الكميات'!C45="","",'جدول الكميات'!C45)</f>
        <v/>
      </c>
      <c r="C47" s="82">
        <f>IF('جدول الكميات'!D45="","",'جدول الكميات'!D45)</f>
        <v/>
      </c>
      <c r="D47" s="83">
        <f>'جدول الكميات'!E45</f>
        <v/>
      </c>
      <c r="E47" s="83">
        <f>'جدول الكميات'!F45</f>
        <v/>
      </c>
      <c r="F47" s="108">
        <f>'مستخلص 24'!H47</f>
        <v/>
      </c>
      <c r="G47" s="72" t="n"/>
      <c r="H47" s="84">
        <f>F47+G47</f>
        <v/>
      </c>
      <c r="I47" s="109">
        <f>'مستخلص 24'!K47</f>
        <v/>
      </c>
      <c r="J47" s="68" t="n"/>
      <c r="K47" s="103">
        <f>IF(J47="",I47,J47)</f>
        <v/>
      </c>
      <c r="L47" s="108">
        <f>'مستخلص 24'!N47</f>
        <v/>
      </c>
      <c r="M47" s="84">
        <f>N47-L47</f>
        <v/>
      </c>
      <c r="N47" s="83">
        <f>ROUND(H47*E47*K47,2)</f>
        <v/>
      </c>
      <c r="O47" s="50">
        <f>IF(D47*E47=0,0,N47/(D47*E47))</f>
        <v/>
      </c>
      <c r="P47" s="61" t="n"/>
    </row>
    <row r="48">
      <c r="A48" s="30">
        <f>IF('جدول الكميات'!A46="","",'جدول الكميات'!A46)</f>
        <v/>
      </c>
      <c r="B48" s="100">
        <f>IF('جدول الكميات'!C46="","",'جدول الكميات'!C46)</f>
        <v/>
      </c>
      <c r="C48" s="30">
        <f>IF('جدول الكميات'!D46="","",'جدول الكميات'!D46)</f>
        <v/>
      </c>
      <c r="D48" s="73">
        <f>'جدول الكميات'!E46</f>
        <v/>
      </c>
      <c r="E48" s="73">
        <f>'جدول الكميات'!F46</f>
        <v/>
      </c>
      <c r="F48" s="74">
        <f>'مستخلص 24'!H48</f>
        <v/>
      </c>
      <c r="G48" s="72" t="n"/>
      <c r="H48" s="27">
        <f>F48+G48</f>
        <v/>
      </c>
      <c r="I48" s="107">
        <f>'مستخلص 24'!K48</f>
        <v/>
      </c>
      <c r="J48" s="68" t="n"/>
      <c r="K48" s="101">
        <f>IF(J48="",I48,J48)</f>
        <v/>
      </c>
      <c r="L48" s="74">
        <f>'مستخلص 24'!N48</f>
        <v/>
      </c>
      <c r="M48" s="27">
        <f>N48-L48</f>
        <v/>
      </c>
      <c r="N48" s="73">
        <f>ROUND(H48*E48*K48,2)</f>
        <v/>
      </c>
      <c r="O48" s="28">
        <f>IF(D48*E48=0,0,N48/(D48*E48))</f>
        <v/>
      </c>
      <c r="P48" s="61" t="n"/>
    </row>
    <row r="49">
      <c r="A49" s="82">
        <f>IF('جدول الكميات'!A47="","",'جدول الكميات'!A47)</f>
        <v/>
      </c>
      <c r="B49" s="102">
        <f>IF('جدول الكميات'!C47="","",'جدول الكميات'!C47)</f>
        <v/>
      </c>
      <c r="C49" s="82">
        <f>IF('جدول الكميات'!D47="","",'جدول الكميات'!D47)</f>
        <v/>
      </c>
      <c r="D49" s="83">
        <f>'جدول الكميات'!E47</f>
        <v/>
      </c>
      <c r="E49" s="83">
        <f>'جدول الكميات'!F47</f>
        <v/>
      </c>
      <c r="F49" s="108">
        <f>'مستخلص 24'!H49</f>
        <v/>
      </c>
      <c r="G49" s="72" t="n"/>
      <c r="H49" s="84">
        <f>F49+G49</f>
        <v/>
      </c>
      <c r="I49" s="109">
        <f>'مستخلص 24'!K49</f>
        <v/>
      </c>
      <c r="J49" s="68" t="n"/>
      <c r="K49" s="103">
        <f>IF(J49="",I49,J49)</f>
        <v/>
      </c>
      <c r="L49" s="108">
        <f>'مستخلص 24'!N49</f>
        <v/>
      </c>
      <c r="M49" s="84">
        <f>N49-L49</f>
        <v/>
      </c>
      <c r="N49" s="83">
        <f>ROUND(H49*E49*K49,2)</f>
        <v/>
      </c>
      <c r="O49" s="50">
        <f>IF(D49*E49=0,0,N49/(D49*E49))</f>
        <v/>
      </c>
      <c r="P49" s="61" t="n"/>
    </row>
    <row r="50">
      <c r="A50" s="30">
        <f>IF('جدول الكميات'!A48="","",'جدول الكميات'!A48)</f>
        <v/>
      </c>
      <c r="B50" s="100">
        <f>IF('جدول الكميات'!C48="","",'جدول الكميات'!C48)</f>
        <v/>
      </c>
      <c r="C50" s="30">
        <f>IF('جدول الكميات'!D48="","",'جدول الكميات'!D48)</f>
        <v/>
      </c>
      <c r="D50" s="73">
        <f>'جدول الكميات'!E48</f>
        <v/>
      </c>
      <c r="E50" s="73">
        <f>'جدول الكميات'!F48</f>
        <v/>
      </c>
      <c r="F50" s="74">
        <f>'مستخلص 24'!H50</f>
        <v/>
      </c>
      <c r="G50" s="72" t="n"/>
      <c r="H50" s="27">
        <f>F50+G50</f>
        <v/>
      </c>
      <c r="I50" s="107">
        <f>'مستخلص 24'!K50</f>
        <v/>
      </c>
      <c r="J50" s="68" t="n"/>
      <c r="K50" s="101">
        <f>IF(J50="",I50,J50)</f>
        <v/>
      </c>
      <c r="L50" s="74">
        <f>'مستخلص 24'!N50</f>
        <v/>
      </c>
      <c r="M50" s="27">
        <f>N50-L50</f>
        <v/>
      </c>
      <c r="N50" s="73">
        <f>ROUND(H50*E50*K50,2)</f>
        <v/>
      </c>
      <c r="O50" s="28">
        <f>IF(D50*E50=0,0,N50/(D50*E50))</f>
        <v/>
      </c>
      <c r="P50" s="61" t="n"/>
    </row>
    <row r="51">
      <c r="A51" s="82">
        <f>IF('جدول الكميات'!A49="","",'جدول الكميات'!A49)</f>
        <v/>
      </c>
      <c r="B51" s="102">
        <f>IF('جدول الكميات'!C49="","",'جدول الكميات'!C49)</f>
        <v/>
      </c>
      <c r="C51" s="82">
        <f>IF('جدول الكميات'!D49="","",'جدول الكميات'!D49)</f>
        <v/>
      </c>
      <c r="D51" s="83">
        <f>'جدول الكميات'!E49</f>
        <v/>
      </c>
      <c r="E51" s="83">
        <f>'جدول الكميات'!F49</f>
        <v/>
      </c>
      <c r="F51" s="108">
        <f>'مستخلص 24'!H51</f>
        <v/>
      </c>
      <c r="G51" s="72" t="n"/>
      <c r="H51" s="84">
        <f>F51+G51</f>
        <v/>
      </c>
      <c r="I51" s="109">
        <f>'مستخلص 24'!K51</f>
        <v/>
      </c>
      <c r="J51" s="68" t="n"/>
      <c r="K51" s="103">
        <f>IF(J51="",I51,J51)</f>
        <v/>
      </c>
      <c r="L51" s="108">
        <f>'مستخلص 24'!N51</f>
        <v/>
      </c>
      <c r="M51" s="84">
        <f>N51-L51</f>
        <v/>
      </c>
      <c r="N51" s="83">
        <f>ROUND(H51*E51*K51,2)</f>
        <v/>
      </c>
      <c r="O51" s="50">
        <f>IF(D51*E51=0,0,N51/(D51*E51))</f>
        <v/>
      </c>
      <c r="P51" s="61" t="n"/>
    </row>
    <row r="52">
      <c r="A52" s="30">
        <f>IF('جدول الكميات'!A50="","",'جدول الكميات'!A50)</f>
        <v/>
      </c>
      <c r="B52" s="100">
        <f>IF('جدول الكميات'!C50="","",'جدول الكميات'!C50)</f>
        <v/>
      </c>
      <c r="C52" s="30">
        <f>IF('جدول الكميات'!D50="","",'جدول الكميات'!D50)</f>
        <v/>
      </c>
      <c r="D52" s="73">
        <f>'جدول الكميات'!E50</f>
        <v/>
      </c>
      <c r="E52" s="73">
        <f>'جدول الكميات'!F50</f>
        <v/>
      </c>
      <c r="F52" s="74">
        <f>'مستخلص 24'!H52</f>
        <v/>
      </c>
      <c r="G52" s="72" t="n"/>
      <c r="H52" s="27">
        <f>F52+G52</f>
        <v/>
      </c>
      <c r="I52" s="107">
        <f>'مستخلص 24'!K52</f>
        <v/>
      </c>
      <c r="J52" s="68" t="n"/>
      <c r="K52" s="101">
        <f>IF(J52="",I52,J52)</f>
        <v/>
      </c>
      <c r="L52" s="74">
        <f>'مستخلص 24'!N52</f>
        <v/>
      </c>
      <c r="M52" s="27">
        <f>N52-L52</f>
        <v/>
      </c>
      <c r="N52" s="73">
        <f>ROUND(H52*E52*K52,2)</f>
        <v/>
      </c>
      <c r="O52" s="28">
        <f>IF(D52*E52=0,0,N52/(D52*E52))</f>
        <v/>
      </c>
      <c r="P52" s="61" t="n"/>
    </row>
    <row r="53">
      <c r="A53" s="82">
        <f>IF('جدول الكميات'!A51="","",'جدول الكميات'!A51)</f>
        <v/>
      </c>
      <c r="B53" s="102">
        <f>IF('جدول الكميات'!C51="","",'جدول الكميات'!C51)</f>
        <v/>
      </c>
      <c r="C53" s="82">
        <f>IF('جدول الكميات'!D51="","",'جدول الكميات'!D51)</f>
        <v/>
      </c>
      <c r="D53" s="83">
        <f>'جدول الكميات'!E51</f>
        <v/>
      </c>
      <c r="E53" s="83">
        <f>'جدول الكميات'!F51</f>
        <v/>
      </c>
      <c r="F53" s="108">
        <f>'مستخلص 24'!H53</f>
        <v/>
      </c>
      <c r="G53" s="72" t="n"/>
      <c r="H53" s="84">
        <f>F53+G53</f>
        <v/>
      </c>
      <c r="I53" s="109">
        <f>'مستخلص 24'!K53</f>
        <v/>
      </c>
      <c r="J53" s="68" t="n"/>
      <c r="K53" s="103">
        <f>IF(J53="",I53,J53)</f>
        <v/>
      </c>
      <c r="L53" s="108">
        <f>'مستخلص 24'!N53</f>
        <v/>
      </c>
      <c r="M53" s="84">
        <f>N53-L53</f>
        <v/>
      </c>
      <c r="N53" s="83">
        <f>ROUND(H53*E53*K53,2)</f>
        <v/>
      </c>
      <c r="O53" s="50">
        <f>IF(D53*E53=0,0,N53/(D53*E53))</f>
        <v/>
      </c>
      <c r="P53" s="61" t="n"/>
    </row>
    <row r="54">
      <c r="A54" s="30">
        <f>IF('جدول الكميات'!A52="","",'جدول الكميات'!A52)</f>
        <v/>
      </c>
      <c r="B54" s="100">
        <f>IF('جدول الكميات'!C52="","",'جدول الكميات'!C52)</f>
        <v/>
      </c>
      <c r="C54" s="30">
        <f>IF('جدول الكميات'!D52="","",'جدول الكميات'!D52)</f>
        <v/>
      </c>
      <c r="D54" s="73">
        <f>'جدول الكميات'!E52</f>
        <v/>
      </c>
      <c r="E54" s="73">
        <f>'جدول الكميات'!F52</f>
        <v/>
      </c>
      <c r="F54" s="74">
        <f>'مستخلص 24'!H54</f>
        <v/>
      </c>
      <c r="G54" s="72" t="n"/>
      <c r="H54" s="27">
        <f>F54+G54</f>
        <v/>
      </c>
      <c r="I54" s="107">
        <f>'مستخلص 24'!K54</f>
        <v/>
      </c>
      <c r="J54" s="68" t="n"/>
      <c r="K54" s="101">
        <f>IF(J54="",I54,J54)</f>
        <v/>
      </c>
      <c r="L54" s="74">
        <f>'مستخلص 24'!N54</f>
        <v/>
      </c>
      <c r="M54" s="27">
        <f>N54-L54</f>
        <v/>
      </c>
      <c r="N54" s="73">
        <f>ROUND(H54*E54*K54,2)</f>
        <v/>
      </c>
      <c r="O54" s="28">
        <f>IF(D54*E54=0,0,N54/(D54*E54))</f>
        <v/>
      </c>
      <c r="P54" s="61" t="n"/>
    </row>
    <row r="55">
      <c r="A55" s="82">
        <f>IF('جدول الكميات'!A53="","",'جدول الكميات'!A53)</f>
        <v/>
      </c>
      <c r="B55" s="102">
        <f>IF('جدول الكميات'!C53="","",'جدول الكميات'!C53)</f>
        <v/>
      </c>
      <c r="C55" s="82">
        <f>IF('جدول الكميات'!D53="","",'جدول الكميات'!D53)</f>
        <v/>
      </c>
      <c r="D55" s="83">
        <f>'جدول الكميات'!E53</f>
        <v/>
      </c>
      <c r="E55" s="83">
        <f>'جدول الكميات'!F53</f>
        <v/>
      </c>
      <c r="F55" s="108">
        <f>'مستخلص 24'!H55</f>
        <v/>
      </c>
      <c r="G55" s="72" t="n"/>
      <c r="H55" s="84">
        <f>F55+G55</f>
        <v/>
      </c>
      <c r="I55" s="109">
        <f>'مستخلص 24'!K55</f>
        <v/>
      </c>
      <c r="J55" s="68" t="n"/>
      <c r="K55" s="103">
        <f>IF(J55="",I55,J55)</f>
        <v/>
      </c>
      <c r="L55" s="108">
        <f>'مستخلص 24'!N55</f>
        <v/>
      </c>
      <c r="M55" s="84">
        <f>N55-L55</f>
        <v/>
      </c>
      <c r="N55" s="83">
        <f>ROUND(H55*E55*K55,2)</f>
        <v/>
      </c>
      <c r="O55" s="50">
        <f>IF(D55*E55=0,0,N55/(D55*E55))</f>
        <v/>
      </c>
      <c r="P55" s="61" t="n"/>
    </row>
    <row r="56">
      <c r="A56" s="30">
        <f>IF('جدول الكميات'!A54="","",'جدول الكميات'!A54)</f>
        <v/>
      </c>
      <c r="B56" s="100">
        <f>IF('جدول الكميات'!C54="","",'جدول الكميات'!C54)</f>
        <v/>
      </c>
      <c r="C56" s="30">
        <f>IF('جدول الكميات'!D54="","",'جدول الكميات'!D54)</f>
        <v/>
      </c>
      <c r="D56" s="73">
        <f>'جدول الكميات'!E54</f>
        <v/>
      </c>
      <c r="E56" s="73">
        <f>'جدول الكميات'!F54</f>
        <v/>
      </c>
      <c r="F56" s="74">
        <f>'مستخلص 24'!H56</f>
        <v/>
      </c>
      <c r="G56" s="72" t="n"/>
      <c r="H56" s="27">
        <f>F56+G56</f>
        <v/>
      </c>
      <c r="I56" s="107">
        <f>'مستخلص 24'!K56</f>
        <v/>
      </c>
      <c r="J56" s="68" t="n"/>
      <c r="K56" s="101">
        <f>IF(J56="",I56,J56)</f>
        <v/>
      </c>
      <c r="L56" s="74">
        <f>'مستخلص 24'!N56</f>
        <v/>
      </c>
      <c r="M56" s="27">
        <f>N56-L56</f>
        <v/>
      </c>
      <c r="N56" s="73">
        <f>ROUND(H56*E56*K56,2)</f>
        <v/>
      </c>
      <c r="O56" s="28">
        <f>IF(D56*E56=0,0,N56/(D56*E56))</f>
        <v/>
      </c>
      <c r="P56" s="61" t="n"/>
    </row>
    <row r="57">
      <c r="A57" s="82">
        <f>IF('جدول الكميات'!A55="","",'جدول الكميات'!A55)</f>
        <v/>
      </c>
      <c r="B57" s="102">
        <f>IF('جدول الكميات'!C55="","",'جدول الكميات'!C55)</f>
        <v/>
      </c>
      <c r="C57" s="82">
        <f>IF('جدول الكميات'!D55="","",'جدول الكميات'!D55)</f>
        <v/>
      </c>
      <c r="D57" s="83">
        <f>'جدول الكميات'!E55</f>
        <v/>
      </c>
      <c r="E57" s="83">
        <f>'جدول الكميات'!F55</f>
        <v/>
      </c>
      <c r="F57" s="108">
        <f>'مستخلص 24'!H57</f>
        <v/>
      </c>
      <c r="G57" s="72" t="n"/>
      <c r="H57" s="84">
        <f>F57+G57</f>
        <v/>
      </c>
      <c r="I57" s="109">
        <f>'مستخلص 24'!K57</f>
        <v/>
      </c>
      <c r="J57" s="68" t="n"/>
      <c r="K57" s="103">
        <f>IF(J57="",I57,J57)</f>
        <v/>
      </c>
      <c r="L57" s="108">
        <f>'مستخلص 24'!N57</f>
        <v/>
      </c>
      <c r="M57" s="84">
        <f>N57-L57</f>
        <v/>
      </c>
      <c r="N57" s="83">
        <f>ROUND(H57*E57*K57,2)</f>
        <v/>
      </c>
      <c r="O57" s="50">
        <f>IF(D57*E57=0,0,N57/(D57*E57))</f>
        <v/>
      </c>
      <c r="P57" s="61" t="n"/>
    </row>
    <row r="58">
      <c r="A58" s="30">
        <f>IF('جدول الكميات'!A56="","",'جدول الكميات'!A56)</f>
        <v/>
      </c>
      <c r="B58" s="100">
        <f>IF('جدول الكميات'!C56="","",'جدول الكميات'!C56)</f>
        <v/>
      </c>
      <c r="C58" s="30">
        <f>IF('جدول الكميات'!D56="","",'جدول الكميات'!D56)</f>
        <v/>
      </c>
      <c r="D58" s="73">
        <f>'جدول الكميات'!E56</f>
        <v/>
      </c>
      <c r="E58" s="73">
        <f>'جدول الكميات'!F56</f>
        <v/>
      </c>
      <c r="F58" s="74">
        <f>'مستخلص 24'!H58</f>
        <v/>
      </c>
      <c r="G58" s="72" t="n"/>
      <c r="H58" s="27">
        <f>F58+G58</f>
        <v/>
      </c>
      <c r="I58" s="107">
        <f>'مستخلص 24'!K58</f>
        <v/>
      </c>
      <c r="J58" s="68" t="n"/>
      <c r="K58" s="101">
        <f>IF(J58="",I58,J58)</f>
        <v/>
      </c>
      <c r="L58" s="74">
        <f>'مستخلص 24'!N58</f>
        <v/>
      </c>
      <c r="M58" s="27">
        <f>N58-L58</f>
        <v/>
      </c>
      <c r="N58" s="73">
        <f>ROUND(H58*E58*K58,2)</f>
        <v/>
      </c>
      <c r="O58" s="28">
        <f>IF(D58*E58=0,0,N58/(D58*E58))</f>
        <v/>
      </c>
      <c r="P58" s="61" t="n"/>
    </row>
    <row r="59">
      <c r="A59" s="82">
        <f>IF('جدول الكميات'!A57="","",'جدول الكميات'!A57)</f>
        <v/>
      </c>
      <c r="B59" s="102">
        <f>IF('جدول الكميات'!C57="","",'جدول الكميات'!C57)</f>
        <v/>
      </c>
      <c r="C59" s="82">
        <f>IF('جدول الكميات'!D57="","",'جدول الكميات'!D57)</f>
        <v/>
      </c>
      <c r="D59" s="83">
        <f>'جدول الكميات'!E57</f>
        <v/>
      </c>
      <c r="E59" s="83">
        <f>'جدول الكميات'!F57</f>
        <v/>
      </c>
      <c r="F59" s="108">
        <f>'مستخلص 24'!H59</f>
        <v/>
      </c>
      <c r="G59" s="72" t="n"/>
      <c r="H59" s="84">
        <f>F59+G59</f>
        <v/>
      </c>
      <c r="I59" s="109">
        <f>'مستخلص 24'!K59</f>
        <v/>
      </c>
      <c r="J59" s="68" t="n"/>
      <c r="K59" s="103">
        <f>IF(J59="",I59,J59)</f>
        <v/>
      </c>
      <c r="L59" s="108">
        <f>'مستخلص 24'!N59</f>
        <v/>
      </c>
      <c r="M59" s="84">
        <f>N59-L59</f>
        <v/>
      </c>
      <c r="N59" s="83">
        <f>ROUND(H59*E59*K59,2)</f>
        <v/>
      </c>
      <c r="O59" s="50">
        <f>IF(D59*E59=0,0,N59/(D59*E59))</f>
        <v/>
      </c>
      <c r="P59" s="61" t="n"/>
    </row>
    <row r="60">
      <c r="A60" s="30">
        <f>IF('جدول الكميات'!A58="","",'جدول الكميات'!A58)</f>
        <v/>
      </c>
      <c r="B60" s="100">
        <f>IF('جدول الكميات'!C58="","",'جدول الكميات'!C58)</f>
        <v/>
      </c>
      <c r="C60" s="30">
        <f>IF('جدول الكميات'!D58="","",'جدول الكميات'!D58)</f>
        <v/>
      </c>
      <c r="D60" s="73">
        <f>'جدول الكميات'!E58</f>
        <v/>
      </c>
      <c r="E60" s="73">
        <f>'جدول الكميات'!F58</f>
        <v/>
      </c>
      <c r="F60" s="74">
        <f>'مستخلص 24'!H60</f>
        <v/>
      </c>
      <c r="G60" s="72" t="n"/>
      <c r="H60" s="27">
        <f>F60+G60</f>
        <v/>
      </c>
      <c r="I60" s="107">
        <f>'مستخلص 24'!K60</f>
        <v/>
      </c>
      <c r="J60" s="68" t="n"/>
      <c r="K60" s="101">
        <f>IF(J60="",I60,J60)</f>
        <v/>
      </c>
      <c r="L60" s="74">
        <f>'مستخلص 24'!N60</f>
        <v/>
      </c>
      <c r="M60" s="27">
        <f>N60-L60</f>
        <v/>
      </c>
      <c r="N60" s="73">
        <f>ROUND(H60*E60*K60,2)</f>
        <v/>
      </c>
      <c r="O60" s="28">
        <f>IF(D60*E60=0,0,N60/(D60*E60))</f>
        <v/>
      </c>
      <c r="P60" s="61" t="n"/>
    </row>
    <row r="61">
      <c r="A61" s="82">
        <f>IF('جدول الكميات'!A59="","",'جدول الكميات'!A59)</f>
        <v/>
      </c>
      <c r="B61" s="102">
        <f>IF('جدول الكميات'!C59="","",'جدول الكميات'!C59)</f>
        <v/>
      </c>
      <c r="C61" s="82">
        <f>IF('جدول الكميات'!D59="","",'جدول الكميات'!D59)</f>
        <v/>
      </c>
      <c r="D61" s="83">
        <f>'جدول الكميات'!E59</f>
        <v/>
      </c>
      <c r="E61" s="83">
        <f>'جدول الكميات'!F59</f>
        <v/>
      </c>
      <c r="F61" s="108">
        <f>'مستخلص 24'!H61</f>
        <v/>
      </c>
      <c r="G61" s="72" t="n"/>
      <c r="H61" s="84">
        <f>F61+G61</f>
        <v/>
      </c>
      <c r="I61" s="109">
        <f>'مستخلص 24'!K61</f>
        <v/>
      </c>
      <c r="J61" s="68" t="n"/>
      <c r="K61" s="103">
        <f>IF(J61="",I61,J61)</f>
        <v/>
      </c>
      <c r="L61" s="108">
        <f>'مستخلص 24'!N61</f>
        <v/>
      </c>
      <c r="M61" s="84">
        <f>N61-L61</f>
        <v/>
      </c>
      <c r="N61" s="83">
        <f>ROUND(H61*E61*K61,2)</f>
        <v/>
      </c>
      <c r="O61" s="50">
        <f>IF(D61*E61=0,0,N61/(D61*E61))</f>
        <v/>
      </c>
      <c r="P61" s="61" t="n"/>
    </row>
    <row r="62">
      <c r="A62" s="30">
        <f>IF('جدول الكميات'!A60="","",'جدول الكميات'!A60)</f>
        <v/>
      </c>
      <c r="B62" s="100">
        <f>IF('جدول الكميات'!C60="","",'جدول الكميات'!C60)</f>
        <v/>
      </c>
      <c r="C62" s="30">
        <f>IF('جدول الكميات'!D60="","",'جدول الكميات'!D60)</f>
        <v/>
      </c>
      <c r="D62" s="73">
        <f>'جدول الكميات'!E60</f>
        <v/>
      </c>
      <c r="E62" s="73">
        <f>'جدول الكميات'!F60</f>
        <v/>
      </c>
      <c r="F62" s="74">
        <f>'مستخلص 24'!H62</f>
        <v/>
      </c>
      <c r="G62" s="72" t="n"/>
      <c r="H62" s="27">
        <f>F62+G62</f>
        <v/>
      </c>
      <c r="I62" s="107">
        <f>'مستخلص 24'!K62</f>
        <v/>
      </c>
      <c r="J62" s="68" t="n"/>
      <c r="K62" s="101">
        <f>IF(J62="",I62,J62)</f>
        <v/>
      </c>
      <c r="L62" s="74">
        <f>'مستخلص 24'!N62</f>
        <v/>
      </c>
      <c r="M62" s="27">
        <f>N62-L62</f>
        <v/>
      </c>
      <c r="N62" s="73">
        <f>ROUND(H62*E62*K62,2)</f>
        <v/>
      </c>
      <c r="O62" s="28">
        <f>IF(D62*E62=0,0,N62/(D62*E62))</f>
        <v/>
      </c>
      <c r="P62" s="61" t="n"/>
    </row>
    <row r="63">
      <c r="A63" s="82">
        <f>IF('جدول الكميات'!A61="","",'جدول الكميات'!A61)</f>
        <v/>
      </c>
      <c r="B63" s="102">
        <f>IF('جدول الكميات'!C61="","",'جدول الكميات'!C61)</f>
        <v/>
      </c>
      <c r="C63" s="82">
        <f>IF('جدول الكميات'!D61="","",'جدول الكميات'!D61)</f>
        <v/>
      </c>
      <c r="D63" s="83">
        <f>'جدول الكميات'!E61</f>
        <v/>
      </c>
      <c r="E63" s="83">
        <f>'جدول الكميات'!F61</f>
        <v/>
      </c>
      <c r="F63" s="108">
        <f>'مستخلص 24'!H63</f>
        <v/>
      </c>
      <c r="G63" s="72" t="n"/>
      <c r="H63" s="84">
        <f>F63+G63</f>
        <v/>
      </c>
      <c r="I63" s="109">
        <f>'مستخلص 24'!K63</f>
        <v/>
      </c>
      <c r="J63" s="68" t="n"/>
      <c r="K63" s="103">
        <f>IF(J63="",I63,J63)</f>
        <v/>
      </c>
      <c r="L63" s="108">
        <f>'مستخلص 24'!N63</f>
        <v/>
      </c>
      <c r="M63" s="84">
        <f>N63-L63</f>
        <v/>
      </c>
      <c r="N63" s="83">
        <f>ROUND(H63*E63*K63,2)</f>
        <v/>
      </c>
      <c r="O63" s="50">
        <f>IF(D63*E63=0,0,N63/(D63*E63))</f>
        <v/>
      </c>
      <c r="P63" s="61" t="n"/>
    </row>
    <row r="64">
      <c r="A64" s="30">
        <f>IF('جدول الكميات'!A62="","",'جدول الكميات'!A62)</f>
        <v/>
      </c>
      <c r="B64" s="100">
        <f>IF('جدول الكميات'!C62="","",'جدول الكميات'!C62)</f>
        <v/>
      </c>
      <c r="C64" s="30">
        <f>IF('جدول الكميات'!D62="","",'جدول الكميات'!D62)</f>
        <v/>
      </c>
      <c r="D64" s="73">
        <f>'جدول الكميات'!E62</f>
        <v/>
      </c>
      <c r="E64" s="73">
        <f>'جدول الكميات'!F62</f>
        <v/>
      </c>
      <c r="F64" s="74">
        <f>'مستخلص 24'!H64</f>
        <v/>
      </c>
      <c r="G64" s="72" t="n"/>
      <c r="H64" s="27">
        <f>F64+G64</f>
        <v/>
      </c>
      <c r="I64" s="107">
        <f>'مستخلص 24'!K64</f>
        <v/>
      </c>
      <c r="J64" s="68" t="n"/>
      <c r="K64" s="101">
        <f>IF(J64="",I64,J64)</f>
        <v/>
      </c>
      <c r="L64" s="74">
        <f>'مستخلص 24'!N64</f>
        <v/>
      </c>
      <c r="M64" s="27">
        <f>N64-L64</f>
        <v/>
      </c>
      <c r="N64" s="73">
        <f>ROUND(H64*E64*K64,2)</f>
        <v/>
      </c>
      <c r="O64" s="28">
        <f>IF(D64*E64=0,0,N64/(D64*E64))</f>
        <v/>
      </c>
      <c r="P64" s="61" t="n"/>
    </row>
    <row r="65">
      <c r="A65" s="82">
        <f>IF('جدول الكميات'!A63="","",'جدول الكميات'!A63)</f>
        <v/>
      </c>
      <c r="B65" s="102">
        <f>IF('جدول الكميات'!C63="","",'جدول الكميات'!C63)</f>
        <v/>
      </c>
      <c r="C65" s="82">
        <f>IF('جدول الكميات'!D63="","",'جدول الكميات'!D63)</f>
        <v/>
      </c>
      <c r="D65" s="83">
        <f>'جدول الكميات'!E63</f>
        <v/>
      </c>
      <c r="E65" s="83">
        <f>'جدول الكميات'!F63</f>
        <v/>
      </c>
      <c r="F65" s="108">
        <f>'مستخلص 24'!H65</f>
        <v/>
      </c>
      <c r="G65" s="72" t="n"/>
      <c r="H65" s="84">
        <f>F65+G65</f>
        <v/>
      </c>
      <c r="I65" s="109">
        <f>'مستخلص 24'!K65</f>
        <v/>
      </c>
      <c r="J65" s="68" t="n"/>
      <c r="K65" s="103">
        <f>IF(J65="",I65,J65)</f>
        <v/>
      </c>
      <c r="L65" s="108">
        <f>'مستخلص 24'!N65</f>
        <v/>
      </c>
      <c r="M65" s="84">
        <f>N65-L65</f>
        <v/>
      </c>
      <c r="N65" s="83">
        <f>ROUND(H65*E65*K65,2)</f>
        <v/>
      </c>
      <c r="O65" s="50">
        <f>IF(D65*E65=0,0,N65/(D65*E65))</f>
        <v/>
      </c>
      <c r="P65" s="61" t="n"/>
    </row>
    <row r="66">
      <c r="A66" s="30">
        <f>IF('جدول الكميات'!A64="","",'جدول الكميات'!A64)</f>
        <v/>
      </c>
      <c r="B66" s="100">
        <f>IF('جدول الكميات'!C64="","",'جدول الكميات'!C64)</f>
        <v/>
      </c>
      <c r="C66" s="30">
        <f>IF('جدول الكميات'!D64="","",'جدول الكميات'!D64)</f>
        <v/>
      </c>
      <c r="D66" s="73">
        <f>'جدول الكميات'!E64</f>
        <v/>
      </c>
      <c r="E66" s="73">
        <f>'جدول الكميات'!F64</f>
        <v/>
      </c>
      <c r="F66" s="74">
        <f>'مستخلص 24'!H66</f>
        <v/>
      </c>
      <c r="G66" s="72" t="n"/>
      <c r="H66" s="27">
        <f>F66+G66</f>
        <v/>
      </c>
      <c r="I66" s="107">
        <f>'مستخلص 24'!K66</f>
        <v/>
      </c>
      <c r="J66" s="68" t="n"/>
      <c r="K66" s="101">
        <f>IF(J66="",I66,J66)</f>
        <v/>
      </c>
      <c r="L66" s="74">
        <f>'مستخلص 24'!N66</f>
        <v/>
      </c>
      <c r="M66" s="27">
        <f>N66-L66</f>
        <v/>
      </c>
      <c r="N66" s="73">
        <f>ROUND(H66*E66*K66,2)</f>
        <v/>
      </c>
      <c r="O66" s="28">
        <f>IF(D66*E66=0,0,N66/(D66*E66))</f>
        <v/>
      </c>
      <c r="P66" s="61" t="n"/>
    </row>
    <row r="67">
      <c r="A67" s="82">
        <f>IF('جدول الكميات'!A65="","",'جدول الكميات'!A65)</f>
        <v/>
      </c>
      <c r="B67" s="102">
        <f>IF('جدول الكميات'!C65="","",'جدول الكميات'!C65)</f>
        <v/>
      </c>
      <c r="C67" s="82">
        <f>IF('جدول الكميات'!D65="","",'جدول الكميات'!D65)</f>
        <v/>
      </c>
      <c r="D67" s="83">
        <f>'جدول الكميات'!E65</f>
        <v/>
      </c>
      <c r="E67" s="83">
        <f>'جدول الكميات'!F65</f>
        <v/>
      </c>
      <c r="F67" s="108">
        <f>'مستخلص 24'!H67</f>
        <v/>
      </c>
      <c r="G67" s="72" t="n"/>
      <c r="H67" s="84">
        <f>F67+G67</f>
        <v/>
      </c>
      <c r="I67" s="109">
        <f>'مستخلص 24'!K67</f>
        <v/>
      </c>
      <c r="J67" s="68" t="n"/>
      <c r="K67" s="103">
        <f>IF(J67="",I67,J67)</f>
        <v/>
      </c>
      <c r="L67" s="108">
        <f>'مستخلص 24'!N67</f>
        <v/>
      </c>
      <c r="M67" s="84">
        <f>N67-L67</f>
        <v/>
      </c>
      <c r="N67" s="83">
        <f>ROUND(H67*E67*K67,2)</f>
        <v/>
      </c>
      <c r="O67" s="50">
        <f>IF(D67*E67=0,0,N67/(D67*E67))</f>
        <v/>
      </c>
      <c r="P67" s="61" t="n"/>
    </row>
    <row r="68">
      <c r="A68" s="30">
        <f>IF('جدول الكميات'!A66="","",'جدول الكميات'!A66)</f>
        <v/>
      </c>
      <c r="B68" s="100">
        <f>IF('جدول الكميات'!C66="","",'جدول الكميات'!C66)</f>
        <v/>
      </c>
      <c r="C68" s="30">
        <f>IF('جدول الكميات'!D66="","",'جدول الكميات'!D66)</f>
        <v/>
      </c>
      <c r="D68" s="73">
        <f>'جدول الكميات'!E66</f>
        <v/>
      </c>
      <c r="E68" s="73">
        <f>'جدول الكميات'!F66</f>
        <v/>
      </c>
      <c r="F68" s="74">
        <f>'مستخلص 24'!H68</f>
        <v/>
      </c>
      <c r="G68" s="72" t="n"/>
      <c r="H68" s="27">
        <f>F68+G68</f>
        <v/>
      </c>
      <c r="I68" s="107">
        <f>'مستخلص 24'!K68</f>
        <v/>
      </c>
      <c r="J68" s="68" t="n"/>
      <c r="K68" s="101">
        <f>IF(J68="",I68,J68)</f>
        <v/>
      </c>
      <c r="L68" s="74">
        <f>'مستخلص 24'!N68</f>
        <v/>
      </c>
      <c r="M68" s="27">
        <f>N68-L68</f>
        <v/>
      </c>
      <c r="N68" s="73">
        <f>ROUND(H68*E68*K68,2)</f>
        <v/>
      </c>
      <c r="O68" s="28">
        <f>IF(D68*E68=0,0,N68/(D68*E68))</f>
        <v/>
      </c>
      <c r="P68" s="61" t="n"/>
    </row>
    <row r="69">
      <c r="A69" s="82">
        <f>IF('جدول الكميات'!A67="","",'جدول الكميات'!A67)</f>
        <v/>
      </c>
      <c r="B69" s="102">
        <f>IF('جدول الكميات'!C67="","",'جدول الكميات'!C67)</f>
        <v/>
      </c>
      <c r="C69" s="82">
        <f>IF('جدول الكميات'!D67="","",'جدول الكميات'!D67)</f>
        <v/>
      </c>
      <c r="D69" s="83">
        <f>'جدول الكميات'!E67</f>
        <v/>
      </c>
      <c r="E69" s="83">
        <f>'جدول الكميات'!F67</f>
        <v/>
      </c>
      <c r="F69" s="108">
        <f>'مستخلص 24'!H69</f>
        <v/>
      </c>
      <c r="G69" s="72" t="n"/>
      <c r="H69" s="84">
        <f>F69+G69</f>
        <v/>
      </c>
      <c r="I69" s="109">
        <f>'مستخلص 24'!K69</f>
        <v/>
      </c>
      <c r="J69" s="68" t="n"/>
      <c r="K69" s="103">
        <f>IF(J69="",I69,J69)</f>
        <v/>
      </c>
      <c r="L69" s="108">
        <f>'مستخلص 24'!N69</f>
        <v/>
      </c>
      <c r="M69" s="84">
        <f>N69-L69</f>
        <v/>
      </c>
      <c r="N69" s="83">
        <f>ROUND(H69*E69*K69,2)</f>
        <v/>
      </c>
      <c r="O69" s="50">
        <f>IF(D69*E69=0,0,N69/(D69*E69))</f>
        <v/>
      </c>
      <c r="P69" s="61" t="n"/>
    </row>
    <row r="70">
      <c r="A70" s="30">
        <f>IF('جدول الكميات'!A68="","",'جدول الكميات'!A68)</f>
        <v/>
      </c>
      <c r="B70" s="100">
        <f>IF('جدول الكميات'!C68="","",'جدول الكميات'!C68)</f>
        <v/>
      </c>
      <c r="C70" s="30">
        <f>IF('جدول الكميات'!D68="","",'جدول الكميات'!D68)</f>
        <v/>
      </c>
      <c r="D70" s="73">
        <f>'جدول الكميات'!E68</f>
        <v/>
      </c>
      <c r="E70" s="73">
        <f>'جدول الكميات'!F68</f>
        <v/>
      </c>
      <c r="F70" s="74">
        <f>'مستخلص 24'!H70</f>
        <v/>
      </c>
      <c r="G70" s="72" t="n"/>
      <c r="H70" s="27">
        <f>F70+G70</f>
        <v/>
      </c>
      <c r="I70" s="107">
        <f>'مستخلص 24'!K70</f>
        <v/>
      </c>
      <c r="J70" s="68" t="n"/>
      <c r="K70" s="101">
        <f>IF(J70="",I70,J70)</f>
        <v/>
      </c>
      <c r="L70" s="74">
        <f>'مستخلص 24'!N70</f>
        <v/>
      </c>
      <c r="M70" s="27">
        <f>N70-L70</f>
        <v/>
      </c>
      <c r="N70" s="73">
        <f>ROUND(H70*E70*K70,2)</f>
        <v/>
      </c>
      <c r="O70" s="28">
        <f>IF(D70*E70=0,0,N70/(D70*E70))</f>
        <v/>
      </c>
      <c r="P70" s="61" t="n"/>
    </row>
    <row r="71">
      <c r="A71" s="82">
        <f>IF('جدول الكميات'!A69="","",'جدول الكميات'!A69)</f>
        <v/>
      </c>
      <c r="B71" s="102">
        <f>IF('جدول الكميات'!C69="","",'جدول الكميات'!C69)</f>
        <v/>
      </c>
      <c r="C71" s="82">
        <f>IF('جدول الكميات'!D69="","",'جدول الكميات'!D69)</f>
        <v/>
      </c>
      <c r="D71" s="83">
        <f>'جدول الكميات'!E69</f>
        <v/>
      </c>
      <c r="E71" s="83">
        <f>'جدول الكميات'!F69</f>
        <v/>
      </c>
      <c r="F71" s="108">
        <f>'مستخلص 24'!H71</f>
        <v/>
      </c>
      <c r="G71" s="72" t="n"/>
      <c r="H71" s="84">
        <f>F71+G71</f>
        <v/>
      </c>
      <c r="I71" s="109">
        <f>'مستخلص 24'!K71</f>
        <v/>
      </c>
      <c r="J71" s="68" t="n"/>
      <c r="K71" s="103">
        <f>IF(J71="",I71,J71)</f>
        <v/>
      </c>
      <c r="L71" s="108">
        <f>'مستخلص 24'!N71</f>
        <v/>
      </c>
      <c r="M71" s="84">
        <f>N71-L71</f>
        <v/>
      </c>
      <c r="N71" s="83">
        <f>ROUND(H71*E71*K71,2)</f>
        <v/>
      </c>
      <c r="O71" s="50">
        <f>IF(D71*E71=0,0,N71/(D71*E71))</f>
        <v/>
      </c>
      <c r="P71" s="61" t="n"/>
    </row>
    <row r="72">
      <c r="A72" s="30">
        <f>IF('جدول الكميات'!A70="","",'جدول الكميات'!A70)</f>
        <v/>
      </c>
      <c r="B72" s="100">
        <f>IF('جدول الكميات'!C70="","",'جدول الكميات'!C70)</f>
        <v/>
      </c>
      <c r="C72" s="30">
        <f>IF('جدول الكميات'!D70="","",'جدول الكميات'!D70)</f>
        <v/>
      </c>
      <c r="D72" s="73">
        <f>'جدول الكميات'!E70</f>
        <v/>
      </c>
      <c r="E72" s="73">
        <f>'جدول الكميات'!F70</f>
        <v/>
      </c>
      <c r="F72" s="74">
        <f>'مستخلص 24'!H72</f>
        <v/>
      </c>
      <c r="G72" s="72" t="n"/>
      <c r="H72" s="27">
        <f>F72+G72</f>
        <v/>
      </c>
      <c r="I72" s="107">
        <f>'مستخلص 24'!K72</f>
        <v/>
      </c>
      <c r="J72" s="68" t="n"/>
      <c r="K72" s="101">
        <f>IF(J72="",I72,J72)</f>
        <v/>
      </c>
      <c r="L72" s="74">
        <f>'مستخلص 24'!N72</f>
        <v/>
      </c>
      <c r="M72" s="27">
        <f>N72-L72</f>
        <v/>
      </c>
      <c r="N72" s="73">
        <f>ROUND(H72*E72*K72,2)</f>
        <v/>
      </c>
      <c r="O72" s="28">
        <f>IF(D72*E72=0,0,N72/(D72*E72))</f>
        <v/>
      </c>
      <c r="P72" s="61" t="n"/>
    </row>
    <row r="73">
      <c r="A73" s="82">
        <f>IF('جدول الكميات'!A71="","",'جدول الكميات'!A71)</f>
        <v/>
      </c>
      <c r="B73" s="102">
        <f>IF('جدول الكميات'!C71="","",'جدول الكميات'!C71)</f>
        <v/>
      </c>
      <c r="C73" s="82">
        <f>IF('جدول الكميات'!D71="","",'جدول الكميات'!D71)</f>
        <v/>
      </c>
      <c r="D73" s="83">
        <f>'جدول الكميات'!E71</f>
        <v/>
      </c>
      <c r="E73" s="83">
        <f>'جدول الكميات'!F71</f>
        <v/>
      </c>
      <c r="F73" s="108">
        <f>'مستخلص 24'!H73</f>
        <v/>
      </c>
      <c r="G73" s="72" t="n"/>
      <c r="H73" s="84">
        <f>F73+G73</f>
        <v/>
      </c>
      <c r="I73" s="109">
        <f>'مستخلص 24'!K73</f>
        <v/>
      </c>
      <c r="J73" s="68" t="n"/>
      <c r="K73" s="103">
        <f>IF(J73="",I73,J73)</f>
        <v/>
      </c>
      <c r="L73" s="108">
        <f>'مستخلص 24'!N73</f>
        <v/>
      </c>
      <c r="M73" s="84">
        <f>N73-L73</f>
        <v/>
      </c>
      <c r="N73" s="83">
        <f>ROUND(H73*E73*K73,2)</f>
        <v/>
      </c>
      <c r="O73" s="50">
        <f>IF(D73*E73=0,0,N73/(D73*E73))</f>
        <v/>
      </c>
      <c r="P73" s="61" t="n"/>
    </row>
    <row r="74">
      <c r="A74" s="30">
        <f>IF('جدول الكميات'!A72="","",'جدول الكميات'!A72)</f>
        <v/>
      </c>
      <c r="B74" s="100">
        <f>IF('جدول الكميات'!C72="","",'جدول الكميات'!C72)</f>
        <v/>
      </c>
      <c r="C74" s="30">
        <f>IF('جدول الكميات'!D72="","",'جدول الكميات'!D72)</f>
        <v/>
      </c>
      <c r="D74" s="73">
        <f>'جدول الكميات'!E72</f>
        <v/>
      </c>
      <c r="E74" s="73">
        <f>'جدول الكميات'!F72</f>
        <v/>
      </c>
      <c r="F74" s="74">
        <f>'مستخلص 24'!H74</f>
        <v/>
      </c>
      <c r="G74" s="72" t="n"/>
      <c r="H74" s="27">
        <f>F74+G74</f>
        <v/>
      </c>
      <c r="I74" s="107">
        <f>'مستخلص 24'!K74</f>
        <v/>
      </c>
      <c r="J74" s="68" t="n"/>
      <c r="K74" s="101">
        <f>IF(J74="",I74,J74)</f>
        <v/>
      </c>
      <c r="L74" s="74">
        <f>'مستخلص 24'!N74</f>
        <v/>
      </c>
      <c r="M74" s="27">
        <f>N74-L74</f>
        <v/>
      </c>
      <c r="N74" s="73">
        <f>ROUND(H74*E74*K74,2)</f>
        <v/>
      </c>
      <c r="O74" s="28">
        <f>IF(D74*E74=0,0,N74/(D74*E74))</f>
        <v/>
      </c>
      <c r="P74" s="61" t="n"/>
    </row>
    <row r="75">
      <c r="A75" s="82">
        <f>IF('جدول الكميات'!A73="","",'جدول الكميات'!A73)</f>
        <v/>
      </c>
      <c r="B75" s="102">
        <f>IF('جدول الكميات'!C73="","",'جدول الكميات'!C73)</f>
        <v/>
      </c>
      <c r="C75" s="82">
        <f>IF('جدول الكميات'!D73="","",'جدول الكميات'!D73)</f>
        <v/>
      </c>
      <c r="D75" s="83">
        <f>'جدول الكميات'!E73</f>
        <v/>
      </c>
      <c r="E75" s="83">
        <f>'جدول الكميات'!F73</f>
        <v/>
      </c>
      <c r="F75" s="108">
        <f>'مستخلص 24'!H75</f>
        <v/>
      </c>
      <c r="G75" s="72" t="n"/>
      <c r="H75" s="84">
        <f>F75+G75</f>
        <v/>
      </c>
      <c r="I75" s="109">
        <f>'مستخلص 24'!K75</f>
        <v/>
      </c>
      <c r="J75" s="68" t="n"/>
      <c r="K75" s="103">
        <f>IF(J75="",I75,J75)</f>
        <v/>
      </c>
      <c r="L75" s="108">
        <f>'مستخلص 24'!N75</f>
        <v/>
      </c>
      <c r="M75" s="84">
        <f>N75-L75</f>
        <v/>
      </c>
      <c r="N75" s="83">
        <f>ROUND(H75*E75*K75,2)</f>
        <v/>
      </c>
      <c r="O75" s="50">
        <f>IF(D75*E75=0,0,N75/(D75*E75))</f>
        <v/>
      </c>
      <c r="P75" s="61" t="n"/>
    </row>
    <row r="76">
      <c r="A76" s="30">
        <f>IF('جدول الكميات'!A74="","",'جدول الكميات'!A74)</f>
        <v/>
      </c>
      <c r="B76" s="100">
        <f>IF('جدول الكميات'!C74="","",'جدول الكميات'!C74)</f>
        <v/>
      </c>
      <c r="C76" s="30">
        <f>IF('جدول الكميات'!D74="","",'جدول الكميات'!D74)</f>
        <v/>
      </c>
      <c r="D76" s="73">
        <f>'جدول الكميات'!E74</f>
        <v/>
      </c>
      <c r="E76" s="73">
        <f>'جدول الكميات'!F74</f>
        <v/>
      </c>
      <c r="F76" s="74">
        <f>'مستخلص 24'!H76</f>
        <v/>
      </c>
      <c r="G76" s="72" t="n"/>
      <c r="H76" s="27">
        <f>F76+G76</f>
        <v/>
      </c>
      <c r="I76" s="107">
        <f>'مستخلص 24'!K76</f>
        <v/>
      </c>
      <c r="J76" s="68" t="n"/>
      <c r="K76" s="101">
        <f>IF(J76="",I76,J76)</f>
        <v/>
      </c>
      <c r="L76" s="74">
        <f>'مستخلص 24'!N76</f>
        <v/>
      </c>
      <c r="M76" s="27">
        <f>N76-L76</f>
        <v/>
      </c>
      <c r="N76" s="73">
        <f>ROUND(H76*E76*K76,2)</f>
        <v/>
      </c>
      <c r="O76" s="28">
        <f>IF(D76*E76=0,0,N76/(D76*E76))</f>
        <v/>
      </c>
      <c r="P76" s="61" t="n"/>
    </row>
    <row r="77">
      <c r="A77" s="82">
        <f>IF('جدول الكميات'!A75="","",'جدول الكميات'!A75)</f>
        <v/>
      </c>
      <c r="B77" s="102">
        <f>IF('جدول الكميات'!C75="","",'جدول الكميات'!C75)</f>
        <v/>
      </c>
      <c r="C77" s="82">
        <f>IF('جدول الكميات'!D75="","",'جدول الكميات'!D75)</f>
        <v/>
      </c>
      <c r="D77" s="83">
        <f>'جدول الكميات'!E75</f>
        <v/>
      </c>
      <c r="E77" s="83">
        <f>'جدول الكميات'!F75</f>
        <v/>
      </c>
      <c r="F77" s="108">
        <f>'مستخلص 24'!H77</f>
        <v/>
      </c>
      <c r="G77" s="72" t="n"/>
      <c r="H77" s="84">
        <f>F77+G77</f>
        <v/>
      </c>
      <c r="I77" s="109">
        <f>'مستخلص 24'!K77</f>
        <v/>
      </c>
      <c r="J77" s="68" t="n"/>
      <c r="K77" s="103">
        <f>IF(J77="",I77,J77)</f>
        <v/>
      </c>
      <c r="L77" s="108">
        <f>'مستخلص 24'!N77</f>
        <v/>
      </c>
      <c r="M77" s="84">
        <f>N77-L77</f>
        <v/>
      </c>
      <c r="N77" s="83">
        <f>ROUND(H77*E77*K77,2)</f>
        <v/>
      </c>
      <c r="O77" s="50">
        <f>IF(D77*E77=0,0,N77/(D77*E77))</f>
        <v/>
      </c>
      <c r="P77" s="61" t="n"/>
    </row>
    <row r="78">
      <c r="A78" s="30">
        <f>IF('جدول الكميات'!A76="","",'جدول الكميات'!A76)</f>
        <v/>
      </c>
      <c r="B78" s="100">
        <f>IF('جدول الكميات'!C76="","",'جدول الكميات'!C76)</f>
        <v/>
      </c>
      <c r="C78" s="30">
        <f>IF('جدول الكميات'!D76="","",'جدول الكميات'!D76)</f>
        <v/>
      </c>
      <c r="D78" s="73">
        <f>'جدول الكميات'!E76</f>
        <v/>
      </c>
      <c r="E78" s="73">
        <f>'جدول الكميات'!F76</f>
        <v/>
      </c>
      <c r="F78" s="74">
        <f>'مستخلص 24'!H78</f>
        <v/>
      </c>
      <c r="G78" s="72" t="n"/>
      <c r="H78" s="27">
        <f>F78+G78</f>
        <v/>
      </c>
      <c r="I78" s="107">
        <f>'مستخلص 24'!K78</f>
        <v/>
      </c>
      <c r="J78" s="68" t="n"/>
      <c r="K78" s="101">
        <f>IF(J78="",I78,J78)</f>
        <v/>
      </c>
      <c r="L78" s="74">
        <f>'مستخلص 24'!N78</f>
        <v/>
      </c>
      <c r="M78" s="27">
        <f>N78-L78</f>
        <v/>
      </c>
      <c r="N78" s="73">
        <f>ROUND(H78*E78*K78,2)</f>
        <v/>
      </c>
      <c r="O78" s="28">
        <f>IF(D78*E78=0,0,N78/(D78*E78))</f>
        <v/>
      </c>
      <c r="P78" s="61" t="n"/>
    </row>
    <row r="79">
      <c r="A79" s="82">
        <f>IF('جدول الكميات'!A77="","",'جدول الكميات'!A77)</f>
        <v/>
      </c>
      <c r="B79" s="102">
        <f>IF('جدول الكميات'!C77="","",'جدول الكميات'!C77)</f>
        <v/>
      </c>
      <c r="C79" s="82">
        <f>IF('جدول الكميات'!D77="","",'جدول الكميات'!D77)</f>
        <v/>
      </c>
      <c r="D79" s="83">
        <f>'جدول الكميات'!E77</f>
        <v/>
      </c>
      <c r="E79" s="83">
        <f>'جدول الكميات'!F77</f>
        <v/>
      </c>
      <c r="F79" s="108">
        <f>'مستخلص 24'!H79</f>
        <v/>
      </c>
      <c r="G79" s="72" t="n"/>
      <c r="H79" s="84">
        <f>F79+G79</f>
        <v/>
      </c>
      <c r="I79" s="109">
        <f>'مستخلص 24'!K79</f>
        <v/>
      </c>
      <c r="J79" s="68" t="n"/>
      <c r="K79" s="103">
        <f>IF(J79="",I79,J79)</f>
        <v/>
      </c>
      <c r="L79" s="108">
        <f>'مستخلص 24'!N79</f>
        <v/>
      </c>
      <c r="M79" s="84">
        <f>N79-L79</f>
        <v/>
      </c>
      <c r="N79" s="83">
        <f>ROUND(H79*E79*K79,2)</f>
        <v/>
      </c>
      <c r="O79" s="50">
        <f>IF(D79*E79=0,0,N79/(D79*E79))</f>
        <v/>
      </c>
      <c r="P79" s="61" t="n"/>
    </row>
    <row r="80">
      <c r="A80" s="30">
        <f>IF('جدول الكميات'!A78="","",'جدول الكميات'!A78)</f>
        <v/>
      </c>
      <c r="B80" s="100">
        <f>IF('جدول الكميات'!C78="","",'جدول الكميات'!C78)</f>
        <v/>
      </c>
      <c r="C80" s="30">
        <f>IF('جدول الكميات'!D78="","",'جدول الكميات'!D78)</f>
        <v/>
      </c>
      <c r="D80" s="73">
        <f>'جدول الكميات'!E78</f>
        <v/>
      </c>
      <c r="E80" s="73">
        <f>'جدول الكميات'!F78</f>
        <v/>
      </c>
      <c r="F80" s="74">
        <f>'مستخلص 24'!H80</f>
        <v/>
      </c>
      <c r="G80" s="72" t="n"/>
      <c r="H80" s="27">
        <f>F80+G80</f>
        <v/>
      </c>
      <c r="I80" s="107">
        <f>'مستخلص 24'!K80</f>
        <v/>
      </c>
      <c r="J80" s="68" t="n"/>
      <c r="K80" s="101">
        <f>IF(J80="",I80,J80)</f>
        <v/>
      </c>
      <c r="L80" s="74">
        <f>'مستخلص 24'!N80</f>
        <v/>
      </c>
      <c r="M80" s="27">
        <f>N80-L80</f>
        <v/>
      </c>
      <c r="N80" s="73">
        <f>ROUND(H80*E80*K80,2)</f>
        <v/>
      </c>
      <c r="O80" s="28">
        <f>IF(D80*E80=0,0,N80/(D80*E80))</f>
        <v/>
      </c>
      <c r="P80" s="61" t="n"/>
    </row>
    <row r="81">
      <c r="A81" s="82">
        <f>IF('جدول الكميات'!A79="","",'جدول الكميات'!A79)</f>
        <v/>
      </c>
      <c r="B81" s="102">
        <f>IF('جدول الكميات'!C79="","",'جدول الكميات'!C79)</f>
        <v/>
      </c>
      <c r="C81" s="82">
        <f>IF('جدول الكميات'!D79="","",'جدول الكميات'!D79)</f>
        <v/>
      </c>
      <c r="D81" s="83">
        <f>'جدول الكميات'!E79</f>
        <v/>
      </c>
      <c r="E81" s="83">
        <f>'جدول الكميات'!F79</f>
        <v/>
      </c>
      <c r="F81" s="108">
        <f>'مستخلص 24'!H81</f>
        <v/>
      </c>
      <c r="G81" s="72" t="n"/>
      <c r="H81" s="84">
        <f>F81+G81</f>
        <v/>
      </c>
      <c r="I81" s="109">
        <f>'مستخلص 24'!K81</f>
        <v/>
      </c>
      <c r="J81" s="68" t="n"/>
      <c r="K81" s="103">
        <f>IF(J81="",I81,J81)</f>
        <v/>
      </c>
      <c r="L81" s="108">
        <f>'مستخلص 24'!N81</f>
        <v/>
      </c>
      <c r="M81" s="84">
        <f>N81-L81</f>
        <v/>
      </c>
      <c r="N81" s="83">
        <f>ROUND(H81*E81*K81,2)</f>
        <v/>
      </c>
      <c r="O81" s="50">
        <f>IF(D81*E81=0,0,N81/(D81*E81))</f>
        <v/>
      </c>
      <c r="P81" s="61" t="n"/>
    </row>
    <row r="82">
      <c r="A82" s="30">
        <f>IF('جدول الكميات'!A80="","",'جدول الكميات'!A80)</f>
        <v/>
      </c>
      <c r="B82" s="100">
        <f>IF('جدول الكميات'!C80="","",'جدول الكميات'!C80)</f>
        <v/>
      </c>
      <c r="C82" s="30">
        <f>IF('جدول الكميات'!D80="","",'جدول الكميات'!D80)</f>
        <v/>
      </c>
      <c r="D82" s="73">
        <f>'جدول الكميات'!E80</f>
        <v/>
      </c>
      <c r="E82" s="73">
        <f>'جدول الكميات'!F80</f>
        <v/>
      </c>
      <c r="F82" s="74">
        <f>'مستخلص 24'!H82</f>
        <v/>
      </c>
      <c r="G82" s="72" t="n"/>
      <c r="H82" s="27">
        <f>F82+G82</f>
        <v/>
      </c>
      <c r="I82" s="107">
        <f>'مستخلص 24'!K82</f>
        <v/>
      </c>
      <c r="J82" s="68" t="n"/>
      <c r="K82" s="101">
        <f>IF(J82="",I82,J82)</f>
        <v/>
      </c>
      <c r="L82" s="74">
        <f>'مستخلص 24'!N82</f>
        <v/>
      </c>
      <c r="M82" s="27">
        <f>N82-L82</f>
        <v/>
      </c>
      <c r="N82" s="73">
        <f>ROUND(H82*E82*K82,2)</f>
        <v/>
      </c>
      <c r="O82" s="28">
        <f>IF(D82*E82=0,0,N82/(D82*E82))</f>
        <v/>
      </c>
      <c r="P82" s="61" t="n"/>
    </row>
    <row r="83">
      <c r="A83" s="82">
        <f>IF('جدول الكميات'!A81="","",'جدول الكميات'!A81)</f>
        <v/>
      </c>
      <c r="B83" s="102">
        <f>IF('جدول الكميات'!C81="","",'جدول الكميات'!C81)</f>
        <v/>
      </c>
      <c r="C83" s="82">
        <f>IF('جدول الكميات'!D81="","",'جدول الكميات'!D81)</f>
        <v/>
      </c>
      <c r="D83" s="83">
        <f>'جدول الكميات'!E81</f>
        <v/>
      </c>
      <c r="E83" s="83">
        <f>'جدول الكميات'!F81</f>
        <v/>
      </c>
      <c r="F83" s="108">
        <f>'مستخلص 24'!H83</f>
        <v/>
      </c>
      <c r="G83" s="72" t="n"/>
      <c r="H83" s="84">
        <f>F83+G83</f>
        <v/>
      </c>
      <c r="I83" s="109">
        <f>'مستخلص 24'!K83</f>
        <v/>
      </c>
      <c r="J83" s="68" t="n"/>
      <c r="K83" s="103">
        <f>IF(J83="",I83,J83)</f>
        <v/>
      </c>
      <c r="L83" s="108">
        <f>'مستخلص 24'!N83</f>
        <v/>
      </c>
      <c r="M83" s="84">
        <f>N83-L83</f>
        <v/>
      </c>
      <c r="N83" s="83">
        <f>ROUND(H83*E83*K83,2)</f>
        <v/>
      </c>
      <c r="O83" s="50">
        <f>IF(D83*E83=0,0,N83/(D83*E83))</f>
        <v/>
      </c>
      <c r="P83" s="61" t="n"/>
    </row>
    <row r="84">
      <c r="A84" s="30">
        <f>IF('جدول الكميات'!A82="","",'جدول الكميات'!A82)</f>
        <v/>
      </c>
      <c r="B84" s="100">
        <f>IF('جدول الكميات'!C82="","",'جدول الكميات'!C82)</f>
        <v/>
      </c>
      <c r="C84" s="30">
        <f>IF('جدول الكميات'!D82="","",'جدول الكميات'!D82)</f>
        <v/>
      </c>
      <c r="D84" s="73">
        <f>'جدول الكميات'!E82</f>
        <v/>
      </c>
      <c r="E84" s="73">
        <f>'جدول الكميات'!F82</f>
        <v/>
      </c>
      <c r="F84" s="74">
        <f>'مستخلص 24'!H84</f>
        <v/>
      </c>
      <c r="G84" s="72" t="n"/>
      <c r="H84" s="27">
        <f>F84+G84</f>
        <v/>
      </c>
      <c r="I84" s="107">
        <f>'مستخلص 24'!K84</f>
        <v/>
      </c>
      <c r="J84" s="68" t="n"/>
      <c r="K84" s="101">
        <f>IF(J84="",I84,J84)</f>
        <v/>
      </c>
      <c r="L84" s="74">
        <f>'مستخلص 24'!N84</f>
        <v/>
      </c>
      <c r="M84" s="27">
        <f>N84-L84</f>
        <v/>
      </c>
      <c r="N84" s="73">
        <f>ROUND(H84*E84*K84,2)</f>
        <v/>
      </c>
      <c r="O84" s="28">
        <f>IF(D84*E84=0,0,N84/(D84*E84))</f>
        <v/>
      </c>
      <c r="P84" s="61" t="n"/>
    </row>
    <row r="85">
      <c r="A85" s="82">
        <f>IF('جدول الكميات'!A83="","",'جدول الكميات'!A83)</f>
        <v/>
      </c>
      <c r="B85" s="102">
        <f>IF('جدول الكميات'!C83="","",'جدول الكميات'!C83)</f>
        <v/>
      </c>
      <c r="C85" s="82">
        <f>IF('جدول الكميات'!D83="","",'جدول الكميات'!D83)</f>
        <v/>
      </c>
      <c r="D85" s="83">
        <f>'جدول الكميات'!E83</f>
        <v/>
      </c>
      <c r="E85" s="83">
        <f>'جدول الكميات'!F83</f>
        <v/>
      </c>
      <c r="F85" s="108">
        <f>'مستخلص 24'!H85</f>
        <v/>
      </c>
      <c r="G85" s="72" t="n"/>
      <c r="H85" s="84">
        <f>F85+G85</f>
        <v/>
      </c>
      <c r="I85" s="109">
        <f>'مستخلص 24'!K85</f>
        <v/>
      </c>
      <c r="J85" s="68" t="n"/>
      <c r="K85" s="103">
        <f>IF(J85="",I85,J85)</f>
        <v/>
      </c>
      <c r="L85" s="108">
        <f>'مستخلص 24'!N85</f>
        <v/>
      </c>
      <c r="M85" s="84">
        <f>N85-L85</f>
        <v/>
      </c>
      <c r="N85" s="83">
        <f>ROUND(H85*E85*K85,2)</f>
        <v/>
      </c>
      <c r="O85" s="50">
        <f>IF(D85*E85=0,0,N85/(D85*E85))</f>
        <v/>
      </c>
      <c r="P85" s="61" t="n"/>
    </row>
    <row r="86">
      <c r="A86" s="30">
        <f>IF('جدول الكميات'!A84="","",'جدول الكميات'!A84)</f>
        <v/>
      </c>
      <c r="B86" s="100">
        <f>IF('جدول الكميات'!C84="","",'جدول الكميات'!C84)</f>
        <v/>
      </c>
      <c r="C86" s="30">
        <f>IF('جدول الكميات'!D84="","",'جدول الكميات'!D84)</f>
        <v/>
      </c>
      <c r="D86" s="73">
        <f>'جدول الكميات'!E84</f>
        <v/>
      </c>
      <c r="E86" s="73">
        <f>'جدول الكميات'!F84</f>
        <v/>
      </c>
      <c r="F86" s="74">
        <f>'مستخلص 24'!H86</f>
        <v/>
      </c>
      <c r="G86" s="72" t="n"/>
      <c r="H86" s="27">
        <f>F86+G86</f>
        <v/>
      </c>
      <c r="I86" s="107">
        <f>'مستخلص 24'!K86</f>
        <v/>
      </c>
      <c r="J86" s="68" t="n"/>
      <c r="K86" s="101">
        <f>IF(J86="",I86,J86)</f>
        <v/>
      </c>
      <c r="L86" s="74">
        <f>'مستخلص 24'!N86</f>
        <v/>
      </c>
      <c r="M86" s="27">
        <f>N86-L86</f>
        <v/>
      </c>
      <c r="N86" s="73">
        <f>ROUND(H86*E86*K86,2)</f>
        <v/>
      </c>
      <c r="O86" s="28">
        <f>IF(D86*E86=0,0,N86/(D86*E86))</f>
        <v/>
      </c>
      <c r="P86" s="61" t="n"/>
    </row>
    <row r="87">
      <c r="A87" s="82">
        <f>IF('جدول الكميات'!A85="","",'جدول الكميات'!A85)</f>
        <v/>
      </c>
      <c r="B87" s="102">
        <f>IF('جدول الكميات'!C85="","",'جدول الكميات'!C85)</f>
        <v/>
      </c>
      <c r="C87" s="82">
        <f>IF('جدول الكميات'!D85="","",'جدول الكميات'!D85)</f>
        <v/>
      </c>
      <c r="D87" s="83">
        <f>'جدول الكميات'!E85</f>
        <v/>
      </c>
      <c r="E87" s="83">
        <f>'جدول الكميات'!F85</f>
        <v/>
      </c>
      <c r="F87" s="108">
        <f>'مستخلص 24'!H87</f>
        <v/>
      </c>
      <c r="G87" s="72" t="n"/>
      <c r="H87" s="84">
        <f>F87+G87</f>
        <v/>
      </c>
      <c r="I87" s="109">
        <f>'مستخلص 24'!K87</f>
        <v/>
      </c>
      <c r="J87" s="68" t="n"/>
      <c r="K87" s="103">
        <f>IF(J87="",I87,J87)</f>
        <v/>
      </c>
      <c r="L87" s="108">
        <f>'مستخلص 24'!N87</f>
        <v/>
      </c>
      <c r="M87" s="84">
        <f>N87-L87</f>
        <v/>
      </c>
      <c r="N87" s="83">
        <f>ROUND(H87*E87*K87,2)</f>
        <v/>
      </c>
      <c r="O87" s="50">
        <f>IF(D87*E87=0,0,N87/(D87*E87))</f>
        <v/>
      </c>
      <c r="P87" s="61" t="n"/>
    </row>
    <row r="88">
      <c r="A88" s="30">
        <f>IF('جدول الكميات'!A86="","",'جدول الكميات'!A86)</f>
        <v/>
      </c>
      <c r="B88" s="100">
        <f>IF('جدول الكميات'!C86="","",'جدول الكميات'!C86)</f>
        <v/>
      </c>
      <c r="C88" s="30">
        <f>IF('جدول الكميات'!D86="","",'جدول الكميات'!D86)</f>
        <v/>
      </c>
      <c r="D88" s="73">
        <f>'جدول الكميات'!E86</f>
        <v/>
      </c>
      <c r="E88" s="73">
        <f>'جدول الكميات'!F86</f>
        <v/>
      </c>
      <c r="F88" s="74">
        <f>'مستخلص 24'!H88</f>
        <v/>
      </c>
      <c r="G88" s="72" t="n"/>
      <c r="H88" s="27">
        <f>F88+G88</f>
        <v/>
      </c>
      <c r="I88" s="107">
        <f>'مستخلص 24'!K88</f>
        <v/>
      </c>
      <c r="J88" s="68" t="n"/>
      <c r="K88" s="101">
        <f>IF(J88="",I88,J88)</f>
        <v/>
      </c>
      <c r="L88" s="74">
        <f>'مستخلص 24'!N88</f>
        <v/>
      </c>
      <c r="M88" s="27">
        <f>N88-L88</f>
        <v/>
      </c>
      <c r="N88" s="73">
        <f>ROUND(H88*E88*K88,2)</f>
        <v/>
      </c>
      <c r="O88" s="28">
        <f>IF(D88*E88=0,0,N88/(D88*E88))</f>
        <v/>
      </c>
      <c r="P88" s="61" t="n"/>
    </row>
    <row r="89">
      <c r="A89" s="82">
        <f>IF('جدول الكميات'!A87="","",'جدول الكميات'!A87)</f>
        <v/>
      </c>
      <c r="B89" s="102">
        <f>IF('جدول الكميات'!C87="","",'جدول الكميات'!C87)</f>
        <v/>
      </c>
      <c r="C89" s="82">
        <f>IF('جدول الكميات'!D87="","",'جدول الكميات'!D87)</f>
        <v/>
      </c>
      <c r="D89" s="83">
        <f>'جدول الكميات'!E87</f>
        <v/>
      </c>
      <c r="E89" s="83">
        <f>'جدول الكميات'!F87</f>
        <v/>
      </c>
      <c r="F89" s="108">
        <f>'مستخلص 24'!H89</f>
        <v/>
      </c>
      <c r="G89" s="72" t="n"/>
      <c r="H89" s="84">
        <f>F89+G89</f>
        <v/>
      </c>
      <c r="I89" s="109">
        <f>'مستخلص 24'!K89</f>
        <v/>
      </c>
      <c r="J89" s="68" t="n"/>
      <c r="K89" s="103">
        <f>IF(J89="",I89,J89)</f>
        <v/>
      </c>
      <c r="L89" s="108">
        <f>'مستخلص 24'!N89</f>
        <v/>
      </c>
      <c r="M89" s="84">
        <f>N89-L89</f>
        <v/>
      </c>
      <c r="N89" s="83">
        <f>ROUND(H89*E89*K89,2)</f>
        <v/>
      </c>
      <c r="O89" s="50">
        <f>IF(D89*E89=0,0,N89/(D89*E89))</f>
        <v/>
      </c>
      <c r="P89" s="61" t="n"/>
    </row>
    <row r="90">
      <c r="A90" s="30">
        <f>IF('جدول الكميات'!A88="","",'جدول الكميات'!A88)</f>
        <v/>
      </c>
      <c r="B90" s="100">
        <f>IF('جدول الكميات'!C88="","",'جدول الكميات'!C88)</f>
        <v/>
      </c>
      <c r="C90" s="30">
        <f>IF('جدول الكميات'!D88="","",'جدول الكميات'!D88)</f>
        <v/>
      </c>
      <c r="D90" s="73">
        <f>'جدول الكميات'!E88</f>
        <v/>
      </c>
      <c r="E90" s="73">
        <f>'جدول الكميات'!F88</f>
        <v/>
      </c>
      <c r="F90" s="74">
        <f>'مستخلص 24'!H90</f>
        <v/>
      </c>
      <c r="G90" s="72" t="n"/>
      <c r="H90" s="27">
        <f>F90+G90</f>
        <v/>
      </c>
      <c r="I90" s="107">
        <f>'مستخلص 24'!K90</f>
        <v/>
      </c>
      <c r="J90" s="68" t="n"/>
      <c r="K90" s="101">
        <f>IF(J90="",I90,J90)</f>
        <v/>
      </c>
      <c r="L90" s="74">
        <f>'مستخلص 24'!N90</f>
        <v/>
      </c>
      <c r="M90" s="27">
        <f>N90-L90</f>
        <v/>
      </c>
      <c r="N90" s="73">
        <f>ROUND(H90*E90*K90,2)</f>
        <v/>
      </c>
      <c r="O90" s="28">
        <f>IF(D90*E90=0,0,N90/(D90*E90))</f>
        <v/>
      </c>
      <c r="P90" s="61" t="n"/>
    </row>
    <row r="91">
      <c r="A91" s="82">
        <f>IF('جدول الكميات'!A89="","",'جدول الكميات'!A89)</f>
        <v/>
      </c>
      <c r="B91" s="102">
        <f>IF('جدول الكميات'!C89="","",'جدول الكميات'!C89)</f>
        <v/>
      </c>
      <c r="C91" s="82">
        <f>IF('جدول الكميات'!D89="","",'جدول الكميات'!D89)</f>
        <v/>
      </c>
      <c r="D91" s="83">
        <f>'جدول الكميات'!E89</f>
        <v/>
      </c>
      <c r="E91" s="83">
        <f>'جدول الكميات'!F89</f>
        <v/>
      </c>
      <c r="F91" s="108">
        <f>'مستخلص 24'!H91</f>
        <v/>
      </c>
      <c r="G91" s="72" t="n"/>
      <c r="H91" s="84">
        <f>F91+G91</f>
        <v/>
      </c>
      <c r="I91" s="109">
        <f>'مستخلص 24'!K91</f>
        <v/>
      </c>
      <c r="J91" s="68" t="n"/>
      <c r="K91" s="103">
        <f>IF(J91="",I91,J91)</f>
        <v/>
      </c>
      <c r="L91" s="108">
        <f>'مستخلص 24'!N91</f>
        <v/>
      </c>
      <c r="M91" s="84">
        <f>N91-L91</f>
        <v/>
      </c>
      <c r="N91" s="83">
        <f>ROUND(H91*E91*K91,2)</f>
        <v/>
      </c>
      <c r="O91" s="50">
        <f>IF(D91*E91=0,0,N91/(D91*E91))</f>
        <v/>
      </c>
      <c r="P91" s="61" t="n"/>
    </row>
    <row r="92">
      <c r="A92" s="30">
        <f>IF('جدول الكميات'!A90="","",'جدول الكميات'!A90)</f>
        <v/>
      </c>
      <c r="B92" s="100">
        <f>IF('جدول الكميات'!C90="","",'جدول الكميات'!C90)</f>
        <v/>
      </c>
      <c r="C92" s="30">
        <f>IF('جدول الكميات'!D90="","",'جدول الكميات'!D90)</f>
        <v/>
      </c>
      <c r="D92" s="73">
        <f>'جدول الكميات'!E90</f>
        <v/>
      </c>
      <c r="E92" s="73">
        <f>'جدول الكميات'!F90</f>
        <v/>
      </c>
      <c r="F92" s="74">
        <f>'مستخلص 24'!H92</f>
        <v/>
      </c>
      <c r="G92" s="72" t="n"/>
      <c r="H92" s="27">
        <f>F92+G92</f>
        <v/>
      </c>
      <c r="I92" s="107">
        <f>'مستخلص 24'!K92</f>
        <v/>
      </c>
      <c r="J92" s="68" t="n"/>
      <c r="K92" s="101">
        <f>IF(J92="",I92,J92)</f>
        <v/>
      </c>
      <c r="L92" s="74">
        <f>'مستخلص 24'!N92</f>
        <v/>
      </c>
      <c r="M92" s="27">
        <f>N92-L92</f>
        <v/>
      </c>
      <c r="N92" s="73">
        <f>ROUND(H92*E92*K92,2)</f>
        <v/>
      </c>
      <c r="O92" s="28">
        <f>IF(D92*E92=0,0,N92/(D92*E92))</f>
        <v/>
      </c>
      <c r="P92" s="61" t="n"/>
    </row>
    <row r="93">
      <c r="A93" s="82">
        <f>IF('جدول الكميات'!A91="","",'جدول الكميات'!A91)</f>
        <v/>
      </c>
      <c r="B93" s="102">
        <f>IF('جدول الكميات'!C91="","",'جدول الكميات'!C91)</f>
        <v/>
      </c>
      <c r="C93" s="82">
        <f>IF('جدول الكميات'!D91="","",'جدول الكميات'!D91)</f>
        <v/>
      </c>
      <c r="D93" s="83">
        <f>'جدول الكميات'!E91</f>
        <v/>
      </c>
      <c r="E93" s="83">
        <f>'جدول الكميات'!F91</f>
        <v/>
      </c>
      <c r="F93" s="108">
        <f>'مستخلص 24'!H93</f>
        <v/>
      </c>
      <c r="G93" s="72" t="n"/>
      <c r="H93" s="84">
        <f>F93+G93</f>
        <v/>
      </c>
      <c r="I93" s="109">
        <f>'مستخلص 24'!K93</f>
        <v/>
      </c>
      <c r="J93" s="68" t="n"/>
      <c r="K93" s="103">
        <f>IF(J93="",I93,J93)</f>
        <v/>
      </c>
      <c r="L93" s="108">
        <f>'مستخلص 24'!N93</f>
        <v/>
      </c>
      <c r="M93" s="84">
        <f>N93-L93</f>
        <v/>
      </c>
      <c r="N93" s="83">
        <f>ROUND(H93*E93*K93,2)</f>
        <v/>
      </c>
      <c r="O93" s="50">
        <f>IF(D93*E93=0,0,N93/(D93*E93))</f>
        <v/>
      </c>
      <c r="P93" s="61" t="n"/>
    </row>
    <row r="94">
      <c r="A94" s="30">
        <f>IF('جدول الكميات'!A92="","",'جدول الكميات'!A92)</f>
        <v/>
      </c>
      <c r="B94" s="100">
        <f>IF('جدول الكميات'!C92="","",'جدول الكميات'!C92)</f>
        <v/>
      </c>
      <c r="C94" s="30">
        <f>IF('جدول الكميات'!D92="","",'جدول الكميات'!D92)</f>
        <v/>
      </c>
      <c r="D94" s="73">
        <f>'جدول الكميات'!E92</f>
        <v/>
      </c>
      <c r="E94" s="73">
        <f>'جدول الكميات'!F92</f>
        <v/>
      </c>
      <c r="F94" s="74">
        <f>'مستخلص 24'!H94</f>
        <v/>
      </c>
      <c r="G94" s="72" t="n"/>
      <c r="H94" s="27">
        <f>F94+G94</f>
        <v/>
      </c>
      <c r="I94" s="107">
        <f>'مستخلص 24'!K94</f>
        <v/>
      </c>
      <c r="J94" s="68" t="n"/>
      <c r="K94" s="101">
        <f>IF(J94="",I94,J94)</f>
        <v/>
      </c>
      <c r="L94" s="74">
        <f>'مستخلص 24'!N94</f>
        <v/>
      </c>
      <c r="M94" s="27">
        <f>N94-L94</f>
        <v/>
      </c>
      <c r="N94" s="73">
        <f>ROUND(H94*E94*K94,2)</f>
        <v/>
      </c>
      <c r="O94" s="28">
        <f>IF(D94*E94=0,0,N94/(D94*E94))</f>
        <v/>
      </c>
      <c r="P94" s="61" t="n"/>
    </row>
    <row r="95">
      <c r="A95" s="82">
        <f>IF('جدول الكميات'!A93="","",'جدول الكميات'!A93)</f>
        <v/>
      </c>
      <c r="B95" s="102">
        <f>IF('جدول الكميات'!C93="","",'جدول الكميات'!C93)</f>
        <v/>
      </c>
      <c r="C95" s="82">
        <f>IF('جدول الكميات'!D93="","",'جدول الكميات'!D93)</f>
        <v/>
      </c>
      <c r="D95" s="83">
        <f>'جدول الكميات'!E93</f>
        <v/>
      </c>
      <c r="E95" s="83">
        <f>'جدول الكميات'!F93</f>
        <v/>
      </c>
      <c r="F95" s="108">
        <f>'مستخلص 24'!H95</f>
        <v/>
      </c>
      <c r="G95" s="72" t="n"/>
      <c r="H95" s="84">
        <f>F95+G95</f>
        <v/>
      </c>
      <c r="I95" s="109">
        <f>'مستخلص 24'!K95</f>
        <v/>
      </c>
      <c r="J95" s="68" t="n"/>
      <c r="K95" s="103">
        <f>IF(J95="",I95,J95)</f>
        <v/>
      </c>
      <c r="L95" s="108">
        <f>'مستخلص 24'!N95</f>
        <v/>
      </c>
      <c r="M95" s="84">
        <f>N95-L95</f>
        <v/>
      </c>
      <c r="N95" s="83">
        <f>ROUND(H95*E95*K95,2)</f>
        <v/>
      </c>
      <c r="O95" s="50">
        <f>IF(D95*E95=0,0,N95/(D95*E95))</f>
        <v/>
      </c>
      <c r="P95" s="61" t="n"/>
    </row>
    <row r="96">
      <c r="A96" s="30">
        <f>IF('جدول الكميات'!A94="","",'جدول الكميات'!A94)</f>
        <v/>
      </c>
      <c r="B96" s="100">
        <f>IF('جدول الكميات'!C94="","",'جدول الكميات'!C94)</f>
        <v/>
      </c>
      <c r="C96" s="30">
        <f>IF('جدول الكميات'!D94="","",'جدول الكميات'!D94)</f>
        <v/>
      </c>
      <c r="D96" s="73">
        <f>'جدول الكميات'!E94</f>
        <v/>
      </c>
      <c r="E96" s="73">
        <f>'جدول الكميات'!F94</f>
        <v/>
      </c>
      <c r="F96" s="74">
        <f>'مستخلص 24'!H96</f>
        <v/>
      </c>
      <c r="G96" s="72" t="n"/>
      <c r="H96" s="27">
        <f>F96+G96</f>
        <v/>
      </c>
      <c r="I96" s="107">
        <f>'مستخلص 24'!K96</f>
        <v/>
      </c>
      <c r="J96" s="68" t="n"/>
      <c r="K96" s="101">
        <f>IF(J96="",I96,J96)</f>
        <v/>
      </c>
      <c r="L96" s="74">
        <f>'مستخلص 24'!N96</f>
        <v/>
      </c>
      <c r="M96" s="27">
        <f>N96-L96</f>
        <v/>
      </c>
      <c r="N96" s="73">
        <f>ROUND(H96*E96*K96,2)</f>
        <v/>
      </c>
      <c r="O96" s="28">
        <f>IF(D96*E96=0,0,N96/(D96*E96))</f>
        <v/>
      </c>
      <c r="P96" s="61" t="n"/>
    </row>
    <row r="97">
      <c r="A97" s="82">
        <f>IF('جدول الكميات'!A95="","",'جدول الكميات'!A95)</f>
        <v/>
      </c>
      <c r="B97" s="102">
        <f>IF('جدول الكميات'!C95="","",'جدول الكميات'!C95)</f>
        <v/>
      </c>
      <c r="C97" s="82">
        <f>IF('جدول الكميات'!D95="","",'جدول الكميات'!D95)</f>
        <v/>
      </c>
      <c r="D97" s="83">
        <f>'جدول الكميات'!E95</f>
        <v/>
      </c>
      <c r="E97" s="83">
        <f>'جدول الكميات'!F95</f>
        <v/>
      </c>
      <c r="F97" s="108">
        <f>'مستخلص 24'!H97</f>
        <v/>
      </c>
      <c r="G97" s="72" t="n"/>
      <c r="H97" s="84">
        <f>F97+G97</f>
        <v/>
      </c>
      <c r="I97" s="109">
        <f>'مستخلص 24'!K97</f>
        <v/>
      </c>
      <c r="J97" s="68" t="n"/>
      <c r="K97" s="103">
        <f>IF(J97="",I97,J97)</f>
        <v/>
      </c>
      <c r="L97" s="108">
        <f>'مستخلص 24'!N97</f>
        <v/>
      </c>
      <c r="M97" s="84">
        <f>N97-L97</f>
        <v/>
      </c>
      <c r="N97" s="83">
        <f>ROUND(H97*E97*K97,2)</f>
        <v/>
      </c>
      <c r="O97" s="50">
        <f>IF(D97*E97=0,0,N97/(D97*E97))</f>
        <v/>
      </c>
      <c r="P97" s="61" t="n"/>
    </row>
    <row r="98">
      <c r="A98" s="30">
        <f>IF('جدول الكميات'!A96="","",'جدول الكميات'!A96)</f>
        <v/>
      </c>
      <c r="B98" s="100">
        <f>IF('جدول الكميات'!C96="","",'جدول الكميات'!C96)</f>
        <v/>
      </c>
      <c r="C98" s="30">
        <f>IF('جدول الكميات'!D96="","",'جدول الكميات'!D96)</f>
        <v/>
      </c>
      <c r="D98" s="73">
        <f>'جدول الكميات'!E96</f>
        <v/>
      </c>
      <c r="E98" s="73">
        <f>'جدول الكميات'!F96</f>
        <v/>
      </c>
      <c r="F98" s="74">
        <f>'مستخلص 24'!H98</f>
        <v/>
      </c>
      <c r="G98" s="72" t="n"/>
      <c r="H98" s="27">
        <f>F98+G98</f>
        <v/>
      </c>
      <c r="I98" s="107">
        <f>'مستخلص 24'!K98</f>
        <v/>
      </c>
      <c r="J98" s="68" t="n"/>
      <c r="K98" s="101">
        <f>IF(J98="",I98,J98)</f>
        <v/>
      </c>
      <c r="L98" s="74">
        <f>'مستخلص 24'!N98</f>
        <v/>
      </c>
      <c r="M98" s="27">
        <f>N98-L98</f>
        <v/>
      </c>
      <c r="N98" s="73">
        <f>ROUND(H98*E98*K98,2)</f>
        <v/>
      </c>
      <c r="O98" s="28">
        <f>IF(D98*E98=0,0,N98/(D98*E98))</f>
        <v/>
      </c>
      <c r="P98" s="61" t="n"/>
    </row>
    <row r="99">
      <c r="A99" s="82">
        <f>IF('جدول الكميات'!A97="","",'جدول الكميات'!A97)</f>
        <v/>
      </c>
      <c r="B99" s="102">
        <f>IF('جدول الكميات'!C97="","",'جدول الكميات'!C97)</f>
        <v/>
      </c>
      <c r="C99" s="82">
        <f>IF('جدول الكميات'!D97="","",'جدول الكميات'!D97)</f>
        <v/>
      </c>
      <c r="D99" s="83">
        <f>'جدول الكميات'!E97</f>
        <v/>
      </c>
      <c r="E99" s="83">
        <f>'جدول الكميات'!F97</f>
        <v/>
      </c>
      <c r="F99" s="108">
        <f>'مستخلص 24'!H99</f>
        <v/>
      </c>
      <c r="G99" s="72" t="n"/>
      <c r="H99" s="84">
        <f>F99+G99</f>
        <v/>
      </c>
      <c r="I99" s="109">
        <f>'مستخلص 24'!K99</f>
        <v/>
      </c>
      <c r="J99" s="68" t="n"/>
      <c r="K99" s="103">
        <f>IF(J99="",I99,J99)</f>
        <v/>
      </c>
      <c r="L99" s="108">
        <f>'مستخلص 24'!N99</f>
        <v/>
      </c>
      <c r="M99" s="84">
        <f>N99-L99</f>
        <v/>
      </c>
      <c r="N99" s="83">
        <f>ROUND(H99*E99*K99,2)</f>
        <v/>
      </c>
      <c r="O99" s="50">
        <f>IF(D99*E99=0,0,N99/(D99*E99))</f>
        <v/>
      </c>
      <c r="P99" s="61" t="n"/>
    </row>
    <row r="100">
      <c r="A100" s="30">
        <f>IF('جدول الكميات'!A98="","",'جدول الكميات'!A98)</f>
        <v/>
      </c>
      <c r="B100" s="100">
        <f>IF('جدول الكميات'!C98="","",'جدول الكميات'!C98)</f>
        <v/>
      </c>
      <c r="C100" s="30">
        <f>IF('جدول الكميات'!D98="","",'جدول الكميات'!D98)</f>
        <v/>
      </c>
      <c r="D100" s="73">
        <f>'جدول الكميات'!E98</f>
        <v/>
      </c>
      <c r="E100" s="73">
        <f>'جدول الكميات'!F98</f>
        <v/>
      </c>
      <c r="F100" s="74">
        <f>'مستخلص 24'!H100</f>
        <v/>
      </c>
      <c r="G100" s="72" t="n"/>
      <c r="H100" s="27">
        <f>F100+G100</f>
        <v/>
      </c>
      <c r="I100" s="107">
        <f>'مستخلص 24'!K100</f>
        <v/>
      </c>
      <c r="J100" s="68" t="n"/>
      <c r="K100" s="101">
        <f>IF(J100="",I100,J100)</f>
        <v/>
      </c>
      <c r="L100" s="74">
        <f>'مستخلص 24'!N100</f>
        <v/>
      </c>
      <c r="M100" s="27">
        <f>N100-L100</f>
        <v/>
      </c>
      <c r="N100" s="73">
        <f>ROUND(H100*E100*K100,2)</f>
        <v/>
      </c>
      <c r="O100" s="28">
        <f>IF(D100*E100=0,0,N100/(D100*E100))</f>
        <v/>
      </c>
      <c r="P100" s="61" t="n"/>
    </row>
    <row r="101">
      <c r="A101" s="82">
        <f>IF('جدول الكميات'!A99="","",'جدول الكميات'!A99)</f>
        <v/>
      </c>
      <c r="B101" s="102">
        <f>IF('جدول الكميات'!C99="","",'جدول الكميات'!C99)</f>
        <v/>
      </c>
      <c r="C101" s="82">
        <f>IF('جدول الكميات'!D99="","",'جدول الكميات'!D99)</f>
        <v/>
      </c>
      <c r="D101" s="83">
        <f>'جدول الكميات'!E99</f>
        <v/>
      </c>
      <c r="E101" s="83">
        <f>'جدول الكميات'!F99</f>
        <v/>
      </c>
      <c r="F101" s="108">
        <f>'مستخلص 24'!H101</f>
        <v/>
      </c>
      <c r="G101" s="72" t="n"/>
      <c r="H101" s="84">
        <f>F101+G101</f>
        <v/>
      </c>
      <c r="I101" s="109">
        <f>'مستخلص 24'!K101</f>
        <v/>
      </c>
      <c r="J101" s="68" t="n"/>
      <c r="K101" s="103">
        <f>IF(J101="",I101,J101)</f>
        <v/>
      </c>
      <c r="L101" s="108">
        <f>'مستخلص 24'!N101</f>
        <v/>
      </c>
      <c r="M101" s="84">
        <f>N101-L101</f>
        <v/>
      </c>
      <c r="N101" s="83">
        <f>ROUND(H101*E101*K101,2)</f>
        <v/>
      </c>
      <c r="O101" s="50">
        <f>IF(D101*E101=0,0,N101/(D101*E101))</f>
        <v/>
      </c>
      <c r="P101" s="61" t="n"/>
    </row>
    <row r="102">
      <c r="A102" s="30">
        <f>IF('جدول الكميات'!A100="","",'جدول الكميات'!A100)</f>
        <v/>
      </c>
      <c r="B102" s="100">
        <f>IF('جدول الكميات'!C100="","",'جدول الكميات'!C100)</f>
        <v/>
      </c>
      <c r="C102" s="30">
        <f>IF('جدول الكميات'!D100="","",'جدول الكميات'!D100)</f>
        <v/>
      </c>
      <c r="D102" s="73">
        <f>'جدول الكميات'!E100</f>
        <v/>
      </c>
      <c r="E102" s="73">
        <f>'جدول الكميات'!F100</f>
        <v/>
      </c>
      <c r="F102" s="74">
        <f>'مستخلص 24'!H102</f>
        <v/>
      </c>
      <c r="G102" s="72" t="n"/>
      <c r="H102" s="27">
        <f>F102+G102</f>
        <v/>
      </c>
      <c r="I102" s="107">
        <f>'مستخلص 24'!K102</f>
        <v/>
      </c>
      <c r="J102" s="68" t="n"/>
      <c r="K102" s="101">
        <f>IF(J102="",I102,J102)</f>
        <v/>
      </c>
      <c r="L102" s="74">
        <f>'مستخلص 24'!N102</f>
        <v/>
      </c>
      <c r="M102" s="27">
        <f>N102-L102</f>
        <v/>
      </c>
      <c r="N102" s="73">
        <f>ROUND(H102*E102*K102,2)</f>
        <v/>
      </c>
      <c r="O102" s="28">
        <f>IF(D102*E102=0,0,N102/(D102*E102))</f>
        <v/>
      </c>
      <c r="P102" s="61" t="n"/>
    </row>
    <row r="103">
      <c r="A103" s="82">
        <f>IF('جدول الكميات'!A101="","",'جدول الكميات'!A101)</f>
        <v/>
      </c>
      <c r="B103" s="102">
        <f>IF('جدول الكميات'!C101="","",'جدول الكميات'!C101)</f>
        <v/>
      </c>
      <c r="C103" s="82">
        <f>IF('جدول الكميات'!D101="","",'جدول الكميات'!D101)</f>
        <v/>
      </c>
      <c r="D103" s="83">
        <f>'جدول الكميات'!E101</f>
        <v/>
      </c>
      <c r="E103" s="83">
        <f>'جدول الكميات'!F101</f>
        <v/>
      </c>
      <c r="F103" s="108">
        <f>'مستخلص 24'!H103</f>
        <v/>
      </c>
      <c r="G103" s="72" t="n"/>
      <c r="H103" s="84">
        <f>F103+G103</f>
        <v/>
      </c>
      <c r="I103" s="109">
        <f>'مستخلص 24'!K103</f>
        <v/>
      </c>
      <c r="J103" s="68" t="n"/>
      <c r="K103" s="103">
        <f>IF(J103="",I103,J103)</f>
        <v/>
      </c>
      <c r="L103" s="108">
        <f>'مستخلص 24'!N103</f>
        <v/>
      </c>
      <c r="M103" s="84">
        <f>N103-L103</f>
        <v/>
      </c>
      <c r="N103" s="83">
        <f>ROUND(H103*E103*K103,2)</f>
        <v/>
      </c>
      <c r="O103" s="50">
        <f>IF(D103*E103=0,0,N103/(D103*E103))</f>
        <v/>
      </c>
      <c r="P103" s="61" t="n"/>
    </row>
    <row r="104">
      <c r="A104" s="30">
        <f>IF('جدول الكميات'!A102="","",'جدول الكميات'!A102)</f>
        <v/>
      </c>
      <c r="B104" s="100">
        <f>IF('جدول الكميات'!C102="","",'جدول الكميات'!C102)</f>
        <v/>
      </c>
      <c r="C104" s="30">
        <f>IF('جدول الكميات'!D102="","",'جدول الكميات'!D102)</f>
        <v/>
      </c>
      <c r="D104" s="73">
        <f>'جدول الكميات'!E102</f>
        <v/>
      </c>
      <c r="E104" s="73">
        <f>'جدول الكميات'!F102</f>
        <v/>
      </c>
      <c r="F104" s="74">
        <f>'مستخلص 24'!H104</f>
        <v/>
      </c>
      <c r="G104" s="72" t="n"/>
      <c r="H104" s="27">
        <f>F104+G104</f>
        <v/>
      </c>
      <c r="I104" s="107">
        <f>'مستخلص 24'!K104</f>
        <v/>
      </c>
      <c r="J104" s="68" t="n"/>
      <c r="K104" s="101">
        <f>IF(J104="",I104,J104)</f>
        <v/>
      </c>
      <c r="L104" s="74">
        <f>'مستخلص 24'!N104</f>
        <v/>
      </c>
      <c r="M104" s="27">
        <f>N104-L104</f>
        <v/>
      </c>
      <c r="N104" s="73">
        <f>ROUND(H104*E104*K104,2)</f>
        <v/>
      </c>
      <c r="O104" s="28">
        <f>IF(D104*E104=0,0,N104/(D104*E104))</f>
        <v/>
      </c>
      <c r="P104" s="61" t="n"/>
    </row>
    <row r="105">
      <c r="A105" s="82">
        <f>IF('جدول الكميات'!A103="","",'جدول الكميات'!A103)</f>
        <v/>
      </c>
      <c r="B105" s="102">
        <f>IF('جدول الكميات'!C103="","",'جدول الكميات'!C103)</f>
        <v/>
      </c>
      <c r="C105" s="82">
        <f>IF('جدول الكميات'!D103="","",'جدول الكميات'!D103)</f>
        <v/>
      </c>
      <c r="D105" s="83">
        <f>'جدول الكميات'!E103</f>
        <v/>
      </c>
      <c r="E105" s="83">
        <f>'جدول الكميات'!F103</f>
        <v/>
      </c>
      <c r="F105" s="108">
        <f>'مستخلص 24'!H105</f>
        <v/>
      </c>
      <c r="G105" s="72" t="n"/>
      <c r="H105" s="84">
        <f>F105+G105</f>
        <v/>
      </c>
      <c r="I105" s="109">
        <f>'مستخلص 24'!K105</f>
        <v/>
      </c>
      <c r="J105" s="68" t="n"/>
      <c r="K105" s="103">
        <f>IF(J105="",I105,J105)</f>
        <v/>
      </c>
      <c r="L105" s="108">
        <f>'مستخلص 24'!N105</f>
        <v/>
      </c>
      <c r="M105" s="84">
        <f>N105-L105</f>
        <v/>
      </c>
      <c r="N105" s="83">
        <f>ROUND(H105*E105*K105,2)</f>
        <v/>
      </c>
      <c r="O105" s="50">
        <f>IF(D105*E105=0,0,N105/(D105*E105))</f>
        <v/>
      </c>
      <c r="P105" s="61" t="n"/>
    </row>
    <row r="106">
      <c r="A106" s="30">
        <f>IF('جدول الكميات'!A104="","",'جدول الكميات'!A104)</f>
        <v/>
      </c>
      <c r="B106" s="100">
        <f>IF('جدول الكميات'!C104="","",'جدول الكميات'!C104)</f>
        <v/>
      </c>
      <c r="C106" s="30">
        <f>IF('جدول الكميات'!D104="","",'جدول الكميات'!D104)</f>
        <v/>
      </c>
      <c r="D106" s="73">
        <f>'جدول الكميات'!E104</f>
        <v/>
      </c>
      <c r="E106" s="73">
        <f>'جدول الكميات'!F104</f>
        <v/>
      </c>
      <c r="F106" s="74">
        <f>'مستخلص 24'!H106</f>
        <v/>
      </c>
      <c r="G106" s="72" t="n"/>
      <c r="H106" s="27">
        <f>F106+G106</f>
        <v/>
      </c>
      <c r="I106" s="107">
        <f>'مستخلص 24'!K106</f>
        <v/>
      </c>
      <c r="J106" s="68" t="n"/>
      <c r="K106" s="101">
        <f>IF(J106="",I106,J106)</f>
        <v/>
      </c>
      <c r="L106" s="74">
        <f>'مستخلص 24'!N106</f>
        <v/>
      </c>
      <c r="M106" s="27">
        <f>N106-L106</f>
        <v/>
      </c>
      <c r="N106" s="73">
        <f>ROUND(H106*E106*K106,2)</f>
        <v/>
      </c>
      <c r="O106" s="28">
        <f>IF(D106*E106=0,0,N106/(D106*E106))</f>
        <v/>
      </c>
      <c r="P106" s="61" t="n"/>
    </row>
    <row r="107">
      <c r="A107" s="82">
        <f>IF('جدول الكميات'!A105="","",'جدول الكميات'!A105)</f>
        <v/>
      </c>
      <c r="B107" s="102">
        <f>IF('جدول الكميات'!C105="","",'جدول الكميات'!C105)</f>
        <v/>
      </c>
      <c r="C107" s="82">
        <f>IF('جدول الكميات'!D105="","",'جدول الكميات'!D105)</f>
        <v/>
      </c>
      <c r="D107" s="83">
        <f>'جدول الكميات'!E105</f>
        <v/>
      </c>
      <c r="E107" s="83">
        <f>'جدول الكميات'!F105</f>
        <v/>
      </c>
      <c r="F107" s="108">
        <f>'مستخلص 24'!H107</f>
        <v/>
      </c>
      <c r="G107" s="72" t="n"/>
      <c r="H107" s="84">
        <f>F107+G107</f>
        <v/>
      </c>
      <c r="I107" s="109">
        <f>'مستخلص 24'!K107</f>
        <v/>
      </c>
      <c r="J107" s="68" t="n"/>
      <c r="K107" s="103">
        <f>IF(J107="",I107,J107)</f>
        <v/>
      </c>
      <c r="L107" s="108">
        <f>'مستخلص 24'!N107</f>
        <v/>
      </c>
      <c r="M107" s="84">
        <f>N107-L107</f>
        <v/>
      </c>
      <c r="N107" s="83">
        <f>ROUND(H107*E107*K107,2)</f>
        <v/>
      </c>
      <c r="O107" s="50">
        <f>IF(D107*E107=0,0,N107/(D107*E107))</f>
        <v/>
      </c>
      <c r="P107" s="61" t="n"/>
    </row>
    <row r="108" ht="24" customHeight="1">
      <c r="A108" s="52" t="inlineStr">
        <is>
          <t>إجمالي قيمة الأعمال</t>
        </is>
      </c>
      <c r="B108" s="52" t="n"/>
      <c r="C108" s="52" t="n"/>
      <c r="D108" s="52" t="n"/>
      <c r="E108" s="52" t="n"/>
      <c r="F108" s="52" t="n"/>
      <c r="G108" s="52" t="n"/>
      <c r="H108" s="52" t="n"/>
      <c r="I108" s="52" t="n"/>
      <c r="J108" s="52" t="n"/>
      <c r="K108" s="52" t="n"/>
      <c r="L108" s="75">
        <f>SUM(L8:L107)</f>
        <v/>
      </c>
      <c r="M108" s="75">
        <f>SUM(M8:M107)</f>
        <v/>
      </c>
      <c r="N108" s="75">
        <f>SUM(N8:N107)</f>
        <v/>
      </c>
      <c r="O108" s="54">
        <f>IF('الإعدادات'!$C$19=0,0,N108/'الإعدادات'!$C$19)</f>
        <v/>
      </c>
      <c r="P108" s="91" t="n"/>
    </row>
    <row r="110" ht="30" customHeight="1">
      <c r="A110" s="104" t="inlineStr">
        <is>
          <t>ملاحظات المستخلص</t>
        </is>
      </c>
      <c r="B110" s="104" t="n"/>
      <c r="C110" s="104" t="n"/>
      <c r="D110" s="104" t="n"/>
      <c r="E110" s="104" t="n"/>
      <c r="F110" s="104" t="n"/>
      <c r="G110" s="104" t="n"/>
      <c r="I110" s="52" t="inlineStr">
        <is>
          <t>البيان</t>
        </is>
      </c>
      <c r="J110" s="52" t="n"/>
      <c r="K110" s="52" t="n"/>
      <c r="L110" s="70" t="inlineStr">
        <is>
          <t>المستخلص السابق</t>
        </is>
      </c>
      <c r="M110" s="70" t="inlineStr">
        <is>
          <t>المستخلص الحالي</t>
        </is>
      </c>
      <c r="N110" s="70" t="inlineStr">
        <is>
          <t>إجمالي الأعمال</t>
        </is>
      </c>
    </row>
    <row r="111" ht="21" customHeight="1">
      <c r="A111" s="105" t="n"/>
      <c r="B111" s="61" t="n"/>
      <c r="C111" s="61" t="n"/>
      <c r="D111" s="61" t="n"/>
      <c r="E111" s="61" t="n"/>
      <c r="F111" s="61" t="n"/>
      <c r="G111" s="61" t="n"/>
      <c r="I111" s="26" t="inlineStr">
        <is>
          <t>إجمالي قيمة الأعمال</t>
        </is>
      </c>
      <c r="J111" s="26" t="n"/>
      <c r="K111" s="26" t="n"/>
      <c r="L111" s="74">
        <f>'مستخلص 24'!N111</f>
        <v/>
      </c>
      <c r="M111" s="27">
        <f>M108</f>
        <v/>
      </c>
      <c r="N111" s="27">
        <f>L111+M111</f>
        <v/>
      </c>
    </row>
    <row r="112" ht="21" customHeight="1">
      <c r="A112" s="61" t="n"/>
      <c r="B112" s="61" t="n"/>
      <c r="C112" s="61" t="n"/>
      <c r="D112" s="61" t="n"/>
      <c r="E112" s="61" t="n"/>
      <c r="F112" s="61" t="n"/>
      <c r="G112" s="61" t="n"/>
      <c r="I112" s="26">
        <f>"ضريبة القيمة المضافة ("&amp;TEXT('الإعدادات'!$C$18,"0%")&amp;")"</f>
        <v/>
      </c>
      <c r="J112" s="26" t="n"/>
      <c r="K112" s="26" t="n"/>
      <c r="L112" s="74">
        <f>'مستخلص 24'!N112</f>
        <v/>
      </c>
      <c r="M112" s="27">
        <f>ROUND(M111*'الإعدادات'!$C$18,2)</f>
        <v/>
      </c>
      <c r="N112" s="27">
        <f>L112+M112</f>
        <v/>
      </c>
    </row>
    <row r="113" ht="21" customHeight="1">
      <c r="A113" s="61" t="n"/>
      <c r="B113" s="61" t="n"/>
      <c r="C113" s="61" t="n"/>
      <c r="D113" s="61" t="n"/>
      <c r="E113" s="61" t="n"/>
      <c r="F113" s="61" t="n"/>
      <c r="G113" s="61" t="n"/>
      <c r="I113" s="32" t="inlineStr">
        <is>
          <t>الإجمالي شامل الضريبة</t>
        </is>
      </c>
      <c r="J113" s="32" t="n"/>
      <c r="K113" s="32" t="n"/>
      <c r="L113" s="33">
        <f>'مستخلص 24'!N113</f>
        <v/>
      </c>
      <c r="M113" s="33">
        <f>ROUND(M111+M112,2)</f>
        <v/>
      </c>
      <c r="N113" s="33">
        <f>L113+M113</f>
        <v/>
      </c>
    </row>
    <row r="114" ht="21" customHeight="1">
      <c r="A114" s="61" t="n"/>
      <c r="B114" s="61" t="n"/>
      <c r="C114" s="61" t="n"/>
      <c r="D114" s="61" t="n"/>
      <c r="E114" s="61" t="n"/>
      <c r="F114" s="61" t="n"/>
      <c r="G114" s="61" t="n"/>
      <c r="I114" s="26" t="inlineStr">
        <is>
          <t>(-) خصم استرداد الدفعة المقدمة</t>
        </is>
      </c>
      <c r="J114" s="26" t="n"/>
      <c r="K114" s="26" t="n"/>
      <c r="L114" s="74">
        <f>'مستخلص 24'!N114</f>
        <v/>
      </c>
      <c r="M114" s="27">
        <f>'الدفعات المقدمة'!I49</f>
        <v/>
      </c>
      <c r="N114" s="27">
        <f>L114+M114</f>
        <v/>
      </c>
    </row>
    <row r="115" ht="21" customHeight="1">
      <c r="A115" s="61" t="n"/>
      <c r="B115" s="61" t="n"/>
      <c r="C115" s="61" t="n"/>
      <c r="D115" s="61" t="n"/>
      <c r="E115" s="61" t="n"/>
      <c r="F115" s="61" t="n"/>
      <c r="G115" s="61" t="n"/>
      <c r="I115" s="26">
        <f>"(-) خصم ضمان الأعمال ("&amp;TEXT('ضمان الأعمال'!$E$6,"0%")&amp;")"</f>
        <v/>
      </c>
      <c r="J115" s="26" t="n"/>
      <c r="K115" s="26" t="n"/>
      <c r="L115" s="74">
        <f>'مستخلص 24'!N115</f>
        <v/>
      </c>
      <c r="M115" s="27">
        <f>'ضمان الأعمال'!I40</f>
        <v/>
      </c>
      <c r="N115" s="27">
        <f>L115+M115</f>
        <v/>
      </c>
    </row>
    <row r="116" ht="21" customHeight="1">
      <c r="A116" s="61" t="n"/>
      <c r="B116" s="61" t="n"/>
      <c r="C116" s="61" t="n"/>
      <c r="D116" s="61" t="n"/>
      <c r="E116" s="61" t="n"/>
      <c r="F116" s="61" t="n"/>
      <c r="G116" s="61" t="n"/>
      <c r="I116" s="26" t="inlineStr">
        <is>
          <t>(-) خصومات أخرى / غرامات / مواد مورّدة من المالك ✎</t>
        </is>
      </c>
      <c r="J116" s="26" t="n"/>
      <c r="K116" s="26" t="n"/>
      <c r="L116" s="74">
        <f>'مستخلص 24'!N116</f>
        <v/>
      </c>
      <c r="M116" s="72" t="n"/>
      <c r="N116" s="27">
        <f>L116+M116</f>
        <v/>
      </c>
    </row>
    <row r="117" ht="21" customHeight="1">
      <c r="A117" s="61" t="n"/>
      <c r="B117" s="61" t="n"/>
      <c r="C117" s="61" t="n"/>
      <c r="D117" s="61" t="n"/>
      <c r="E117" s="61" t="n"/>
      <c r="F117" s="61" t="n"/>
      <c r="G117" s="61" t="n"/>
      <c r="I117" s="26" t="inlineStr">
        <is>
          <t>إجمالي الخصومات</t>
        </is>
      </c>
      <c r="J117" s="26" t="n"/>
      <c r="K117" s="26" t="n"/>
      <c r="L117" s="74">
        <f>'مستخلص 24'!N117</f>
        <v/>
      </c>
      <c r="M117" s="27">
        <f>SUM(M114:M116)</f>
        <v/>
      </c>
      <c r="N117" s="27">
        <f>L117+M117</f>
        <v/>
      </c>
    </row>
    <row r="118" ht="21" customHeight="1">
      <c r="A118" s="61" t="n"/>
      <c r="B118" s="61" t="n"/>
      <c r="C118" s="61" t="n"/>
      <c r="D118" s="61" t="n"/>
      <c r="E118" s="61" t="n"/>
      <c r="F118" s="61" t="n"/>
      <c r="G118" s="61" t="n"/>
      <c r="I118" s="32" t="inlineStr">
        <is>
          <t>صافي قيمة المستخلص المستحق</t>
        </is>
      </c>
      <c r="J118" s="32" t="n"/>
      <c r="K118" s="32" t="n"/>
      <c r="L118" s="33">
        <f>'مستخلص 24'!N118</f>
        <v/>
      </c>
      <c r="M118" s="106">
        <f>ROUND(M113-M117,2)</f>
        <v/>
      </c>
      <c r="N118" s="33">
        <f>L118+M118</f>
        <v/>
      </c>
    </row>
    <row r="121">
      <c r="A121" s="63">
        <f>'الإعدادات'!B36</f>
        <v/>
      </c>
      <c r="B121" s="63" t="n"/>
      <c r="C121" s="63">
        <f>'الإعدادات'!B37</f>
        <v/>
      </c>
      <c r="D121" s="63" t="n"/>
      <c r="E121" s="63" t="n"/>
      <c r="F121" s="63" t="n"/>
      <c r="G121" s="63" t="n"/>
      <c r="H121" s="63">
        <f>'الإعدادات'!B38</f>
        <v/>
      </c>
      <c r="I121" s="63" t="n"/>
      <c r="J121" s="63" t="n"/>
      <c r="K121" s="63" t="n"/>
      <c r="L121" s="63" t="n"/>
      <c r="M121" s="63">
        <f>'الإعدادات'!B39</f>
        <v/>
      </c>
      <c r="N121" s="63" t="n"/>
      <c r="O121" s="63" t="n"/>
      <c r="P121" s="63" t="n"/>
    </row>
    <row r="122" ht="24" customHeight="1">
      <c r="A122" s="30">
        <f>IF('الإعدادات'!C36="","الاسم: ..................","الاسم: "&amp;'الإعدادات'!C36)</f>
        <v/>
      </c>
      <c r="B122" s="30" t="n"/>
      <c r="C122" s="30">
        <f>IF('الإعدادات'!C37="","الاسم: ..................","الاسم: "&amp;'الإعدادات'!C37)</f>
        <v/>
      </c>
      <c r="D122" s="30" t="n"/>
      <c r="E122" s="30" t="n"/>
      <c r="F122" s="30" t="n"/>
      <c r="G122" s="30" t="n"/>
      <c r="H122" s="30">
        <f>IF('الإعدادات'!C38="","الاسم: ..................","الاسم: "&amp;'الإعدادات'!C38)</f>
        <v/>
      </c>
      <c r="I122" s="30" t="n"/>
      <c r="J122" s="30" t="n"/>
      <c r="K122" s="30" t="n"/>
      <c r="L122" s="30" t="n"/>
      <c r="M122" s="30">
        <f>IF('الإعدادات'!C39="","الاسم: ..................","الاسم: "&amp;'الإعدادات'!C39)</f>
        <v/>
      </c>
      <c r="N122" s="30" t="n"/>
      <c r="O122" s="30" t="n"/>
      <c r="P122" s="30" t="n"/>
    </row>
    <row r="123" ht="24" customHeight="1">
      <c r="A123" s="30" t="inlineStr">
        <is>
          <t>التوقيع: ..............................</t>
        </is>
      </c>
      <c r="B123" s="30" t="n"/>
      <c r="C123" s="30" t="inlineStr">
        <is>
          <t>التوقيع: ..............................</t>
        </is>
      </c>
      <c r="D123" s="30" t="n"/>
      <c r="E123" s="30" t="n"/>
      <c r="F123" s="30" t="n"/>
      <c r="G123" s="30" t="n"/>
      <c r="H123" s="30" t="inlineStr">
        <is>
          <t>التوقيع: ..............................</t>
        </is>
      </c>
      <c r="I123" s="30" t="n"/>
      <c r="J123" s="30" t="n"/>
      <c r="K123" s="30" t="n"/>
      <c r="L123" s="30" t="n"/>
      <c r="M123" s="30" t="inlineStr">
        <is>
          <t>التوقيع: ..............................</t>
        </is>
      </c>
      <c r="N123" s="30" t="n"/>
      <c r="O123" s="30" t="n"/>
      <c r="P123" s="30" t="n"/>
    </row>
    <row r="124" ht="24" customHeight="1">
      <c r="A124" s="30" t="inlineStr">
        <is>
          <t>التاريخ:      /      /</t>
        </is>
      </c>
      <c r="B124" s="30" t="n"/>
      <c r="C124" s="30" t="inlineStr">
        <is>
          <t>التاريخ:      /      /</t>
        </is>
      </c>
      <c r="D124" s="30" t="n"/>
      <c r="E124" s="30" t="n"/>
      <c r="F124" s="30" t="n"/>
      <c r="G124" s="30" t="n"/>
      <c r="H124" s="30" t="inlineStr">
        <is>
          <t>التاريخ:      /      /</t>
        </is>
      </c>
      <c r="I124" s="30" t="n"/>
      <c r="J124" s="30" t="n"/>
      <c r="K124" s="30" t="n"/>
      <c r="L124" s="30" t="n"/>
      <c r="M124" s="30" t="inlineStr">
        <is>
          <t>التاريخ:      /      /</t>
        </is>
      </c>
      <c r="N124" s="30" t="n"/>
      <c r="O124" s="30" t="n"/>
      <c r="P124" s="30" t="n"/>
    </row>
  </sheetData>
  <mergeCells count="53">
    <mergeCell ref="A111:G118"/>
    <mergeCell ref="J5:K5"/>
    <mergeCell ref="I112:K112"/>
    <mergeCell ref="I115:K115"/>
    <mergeCell ref="C5:D5"/>
    <mergeCell ref="M124:P124"/>
    <mergeCell ref="A123:B123"/>
    <mergeCell ref="P6:P7"/>
    <mergeCell ref="E5:I5"/>
    <mergeCell ref="H4:I4"/>
    <mergeCell ref="A6:A7"/>
    <mergeCell ref="H122:L122"/>
    <mergeCell ref="A124:B124"/>
    <mergeCell ref="I114:K114"/>
    <mergeCell ref="C4:D4"/>
    <mergeCell ref="F3:G3"/>
    <mergeCell ref="L3:M3"/>
    <mergeCell ref="E4:F4"/>
    <mergeCell ref="I111:K111"/>
    <mergeCell ref="I117:K117"/>
    <mergeCell ref="I118:K118"/>
    <mergeCell ref="H121:L121"/>
    <mergeCell ref="M121:P121"/>
    <mergeCell ref="C121:G121"/>
    <mergeCell ref="M122:P122"/>
    <mergeCell ref="I110:K110"/>
    <mergeCell ref="C124:G124"/>
    <mergeCell ref="E6:E7"/>
    <mergeCell ref="A108:K108"/>
    <mergeCell ref="L5:P5"/>
    <mergeCell ref="B6:B7"/>
    <mergeCell ref="L6:N6"/>
    <mergeCell ref="H123:L123"/>
    <mergeCell ref="J4:K4"/>
    <mergeCell ref="M123:P123"/>
    <mergeCell ref="A110:G110"/>
    <mergeCell ref="A1:P1"/>
    <mergeCell ref="C3:E3"/>
    <mergeCell ref="C123:G123"/>
    <mergeCell ref="N4:P4"/>
    <mergeCell ref="A122:B122"/>
    <mergeCell ref="H3:I3"/>
    <mergeCell ref="I6:K6"/>
    <mergeCell ref="C122:G122"/>
    <mergeCell ref="F6:H6"/>
    <mergeCell ref="H124:L124"/>
    <mergeCell ref="A121:B121"/>
    <mergeCell ref="I116:K116"/>
    <mergeCell ref="I113:K113"/>
    <mergeCell ref="C6:C7"/>
    <mergeCell ref="O6:O7"/>
    <mergeCell ref="D6:D7"/>
    <mergeCell ref="A2:P2"/>
  </mergeCells>
  <conditionalFormatting sqref="D8:O107">
    <cfRule type="expression" priority="1" dxfId="4" stopIfTrue="1">
      <formula>$B8=""</formula>
    </cfRule>
  </conditionalFormatting>
  <conditionalFormatting sqref="H8:H107">
    <cfRule type="expression" priority="2" dxfId="2">
      <formula>AND(D8&gt;0,H8&gt;D8)</formula>
    </cfRule>
  </conditionalFormatting>
  <conditionalFormatting sqref="O8:O10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0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4'!A1" display="◀ المستخلص السابق (24)"/>
  </hyperlinks>
  <printOptions horizontalCentered="1"/>
  <pageMargins left="0.3" right="0.3" top="0.4" bottom="0.4" header="0.5" footer="0.5"/>
  <pageSetup orientation="landscape" paperSize="9" fitToHeight="0" fitToWidth="1"/>
  <headerFooter>
    <oddHeader/>
    <oddFooter>&amp;Cصفحة &amp;P من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2026-09-28T14:50:00Z</dcterms:created>
  <dcterms:modified xsi:type="dcterms:W3CDTF">2026-09-28T14:50:05Z</dcterms:modified>
</cp:coreProperties>
</file>