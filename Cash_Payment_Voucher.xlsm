
<file path=[Content_Types].xml><?xml version="1.0" encoding="utf-8"?>
<Types xmlns="http://schemas.openxmlformats.org/package/2006/content-types">
  <Default Extension="bin" ContentType="application/vnd.ms-office.vbaProject"/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3.xml.rels" ContentType="application/vnd.openxmlformats-package.relationships+xml"/>
  <Override PartName="/xl/drawings/drawing3.xml" ContentType="application/vnd.openxmlformats-officedocument.drawing+xml"/>
  <Override PartName="/xl/drawings/vmlDrawing1.vml" ContentType="application/vnd.openxmlformats-officedocument.vmlDrawing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5.xml" ContentType="application/vnd.openxmlformats-officedocument.spreadsheetml.comment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codeName="ThisWorkbook"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سند الصرف" sheetId="1" state="visible" r:id="rId3"/>
    <sheet name="سجل السندات" sheetId="2" state="visible" r:id="rId4"/>
    <sheet name="بنود السندات" sheetId="3" state="visible" r:id="rId5"/>
    <sheet name="التقارير" sheetId="4" state="visible" r:id="rId6"/>
    <sheet name="الإعدادات" sheetId="5" state="visible" r:id="rId7"/>
    <sheet name="تفقيط" sheetId="6" state="hidden" r:id="rId8"/>
    <sheet name="النظام" sheetId="7" state="hidden" r:id="rId9"/>
  </sheets>
  <definedNames>
    <definedName function="false" hidden="true" localSheetId="2" name="_xlnm._FilterDatabase" vbProcedure="false">'بنود السندات'!$A$4:$I$6000</definedName>
    <definedName function="false" hidden="true" localSheetId="1" name="_xlnm._FilterDatabase" vbProcedure="false">'سجل السندات'!$A$4:$P$2000</definedName>
    <definedName function="false" hidden="false" localSheetId="0" name="_xlnm.Print_Area" vbProcedure="false">'سند الصرف'!$A$1:$J$38</definedName>
    <definedName function="false" hidden="false" name="ACCOUNTANT" vbProcedure="false">الإعدادات!$C$16</definedName>
    <definedName function="false" hidden="false" name="ACCOUNTS" vbProcedure="false">OFFSET(الإعدادات!$G$5,0,0,MAX(1,COUNTA(الإعدادات!$G$5:$G$64)),1)</definedName>
    <definedName function="false" hidden="false" name="BRANCHES" vbProcedure="false">OFFSET(الإعدادات!$E$5,0,0,MAX(1,COUNTA(الإعدادات!$E$5:$E$64)),1)</definedName>
    <definedName function="false" hidden="false" name="CASHIER" vbProcedure="false">الإعدادات!$C$15</definedName>
    <definedName function="false" hidden="false" name="CITY" vbProcedure="false">الإعدادات!$C$8</definedName>
    <definedName function="false" hidden="false" name="CO_AR" vbProcedure="false">الإعدادات!$C$5</definedName>
    <definedName function="false" hidden="false" name="CO_EN" vbProcedure="false">الإعدادات!$C$6</definedName>
    <definedName function="false" hidden="false" name="CR" vbProcedure="false">الإعدادات!$C$9</definedName>
    <definedName function="false" hidden="false" name="CUR" vbProcedure="false">الإعدادات!$C$11</definedName>
    <definedName function="false" hidden="false" name="CUR_EN" vbProcedure="false">الإعدادات!$C$12</definedName>
    <definedName function="false" hidden="false" name="DEF_BRANCH" vbProcedure="false">الإعدادات!$C$20</definedName>
    <definedName function="false" hidden="false" name="DEF_FROM" vbProcedure="false">الإعدادات!$C$19</definedName>
    <definedName function="false" hidden="false" name="DEF_METHOD" vbProcedure="false">الإعدادات!$C$18</definedName>
    <definedName function="false" hidden="false" name="DEPT" vbProcedure="false">الإعدادات!$C$7</definedName>
    <definedName function="false" hidden="false" name="GM" vbProcedure="false">الإعدادات!$C$17</definedName>
    <definedName function="false" hidden="false" name="PAY_METHODS" vbProcedure="false">OFFSET(الإعدادات!$I$5,0,0,MAX(1,COUNTA(الإعدادات!$I$5:$I$7)),1)</definedName>
    <definedName function="false" hidden="false" name="PREFIX" vbProcedure="false">الإعدادات!$C$13</definedName>
    <definedName function="false" hidden="false" name="START_NO" vbProcedure="false">الإعدادات!$C$14</definedName>
    <definedName function="false" hidden="false" name="VAT" vbProcedure="false">الإعدادات!$C$10</definedName>
    <definedName function="false" hidden="false" name="V_NOS" vbProcedure="false">OFFSET('سجل السندات'!$A$5,0,0,MAX(1,COUNT('سجل السندات'!$A$5:$A$20000)),1)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5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C14" authorId="0">
      <text>
        <r>
          <rPr>
            <sz val="10"/>
            <rFont val="FreeSans"/>
            <family val="2"/>
          </rPr>
          <t xml:space="preserve">أول سند يأخذ هذا الرقم، وكل سند جديد = أكبر رقم محفوظ + </t>
        </r>
        <r>
          <rPr>
            <sz val="10"/>
            <rFont val="Arial"/>
            <family val="2"/>
          </rPr>
          <t xml:space="preserve">1</t>
        </r>
      </text>
    </comment>
  </commentList>
</comments>
</file>

<file path=xl/sharedStrings.xml><?xml version="1.0" encoding="utf-8"?>
<sst xmlns="http://schemas.openxmlformats.org/spreadsheetml/2006/main" count="4351" uniqueCount="4263">
  <si>
    <t xml:space="preserve">🎛 لوحة التحكم (لا تُطبع)</t>
  </si>
  <si>
    <t xml:space="preserve">💾  حفظ + سند جديد</t>
  </si>
  <si>
    <t xml:space="preserve">رقم السند  No.</t>
  </si>
  <si>
    <t xml:space="preserve">💾 حفظ فقط</t>
  </si>
  <si>
    <t xml:space="preserve">➕ سند جديد (مسح)</t>
  </si>
  <si>
    <t xml:space="preserve">🖨 حفظ وطباعة</t>
  </si>
  <si>
    <t xml:space="preserve">👁 معاينة الطباعة</t>
  </si>
  <si>
    <t xml:space="preserve">📄 حفظ PDF</t>
  </si>
  <si>
    <t xml:space="preserve">📋 نسخ كسند جديد</t>
  </si>
  <si>
    <t xml:space="preserve">📂 استدعاء سند محفوظ</t>
  </si>
  <si>
    <t xml:space="preserve">رقم السند ⬅</t>
  </si>
  <si>
    <t xml:space="preserve">📂 فتح السند</t>
  </si>
  <si>
    <t xml:space="preserve">التاريخ :</t>
  </si>
  <si>
    <t xml:space="preserve">الموافق :</t>
  </si>
  <si>
    <t xml:space="preserve">DATE :</t>
  </si>
  <si>
    <t xml:space="preserve">▶ السابق</t>
  </si>
  <si>
    <t xml:space="preserve">التالي ◀</t>
  </si>
  <si>
    <t xml:space="preserve">ادفعوا لأمر :</t>
  </si>
  <si>
    <t xml:space="preserve">حيدر شماع</t>
  </si>
  <si>
    <t xml:space="preserve">PAY TO :</t>
  </si>
  <si>
    <t xml:space="preserve">🗑 حذف السند المعروض</t>
  </si>
  <si>
    <t xml:space="preserve">مبلغ وقدره :</t>
  </si>
  <si>
    <t xml:space="preserve">The Sum of :</t>
  </si>
  <si>
    <t xml:space="preserve">وذلك مقابل :</t>
  </si>
  <si>
    <t xml:space="preserve">ذمم</t>
  </si>
  <si>
    <t xml:space="preserve">Being :</t>
  </si>
  <si>
    <t xml:space="preserve">📌 الحالة</t>
  </si>
  <si>
    <t xml:space="preserve">طريقة الدفع :</t>
  </si>
  <si>
    <t xml:space="preserve">نقدي</t>
  </si>
  <si>
    <t xml:space="preserve">رقم الشيك :</t>
  </si>
  <si>
    <t xml:space="preserve">Method :</t>
  </si>
  <si>
    <t xml:space="preserve">يُصرف من :</t>
  </si>
  <si>
    <t xml:space="preserve">الرياض 940</t>
  </si>
  <si>
    <t xml:space="preserve">فرع الصرف :</t>
  </si>
  <si>
    <t xml:space="preserve">مكة</t>
  </si>
  <si>
    <t xml:space="preserve">Paid from :</t>
  </si>
  <si>
    <t xml:space="preserve">📂 تم فتح السند CP-2026-1001</t>
  </si>
  <si>
    <t xml:space="preserve">مدين</t>
  </si>
  <si>
    <t xml:space="preserve">دائن</t>
  </si>
  <si>
    <t xml:space="preserve">البيـــــــــــــــــان</t>
  </si>
  <si>
    <t xml:space="preserve">الفرع</t>
  </si>
  <si>
    <t xml:space="preserve">ذمم موظفين</t>
  </si>
  <si>
    <t xml:space="preserve">🖨 الطباعة</t>
  </si>
  <si>
    <t xml:space="preserve">نوع النسخة</t>
  </si>
  <si>
    <t xml:space="preserve">الأصل</t>
  </si>
  <si>
    <t xml:space="preserve">عدد النسخ</t>
  </si>
  <si>
    <t xml:space="preserve">📊 إحصائيات سريعة</t>
  </si>
  <si>
    <t xml:space="preserve">السندات المحفوظة</t>
  </si>
  <si>
    <t xml:space="preserve">آخر رقم</t>
  </si>
  <si>
    <t xml:space="preserve">مدفوعات اليوم</t>
  </si>
  <si>
    <t xml:space="preserve">مدفوعات الشهر</t>
  </si>
  <si>
    <t xml:space="preserve">🧾 سجل السندات</t>
  </si>
  <si>
    <t xml:space="preserve">📋 بنود السندات</t>
  </si>
  <si>
    <t xml:space="preserve">📊 التقارير</t>
  </si>
  <si>
    <t xml:space="preserve">⚙ الإعدادات</t>
  </si>
  <si>
    <t xml:space="preserve">رد ذمم حيدر شماع للمالك</t>
  </si>
  <si>
    <t xml:space="preserve">المجموع</t>
  </si>
  <si>
    <t xml:space="preserve">• اكتب في الخلايا الصفراء فقط.</t>
  </si>
  <si>
    <t xml:space="preserve">• اكتب المدين فقط — الدائن من «يُصرف من» يُحسب تلقائياً.</t>
  </si>
  <si>
    <t xml:space="preserve">• لو تركت فرع البند فارغاً يأخذ «فرع الصرف».</t>
  </si>
  <si>
    <t xml:space="preserve">اسم المستلم</t>
  </si>
  <si>
    <t xml:space="preserve">أمين الصندوق</t>
  </si>
  <si>
    <t xml:space="preserve">المحاسب</t>
  </si>
  <si>
    <t xml:space="preserve">المدير العام</t>
  </si>
  <si>
    <t xml:space="preserve">• «حفظ + سند جديد» لإدخال سندات متتالية بسرعة.</t>
  </si>
  <si>
    <t xml:space="preserve">التوقيع</t>
  </si>
  <si>
    <t xml:space="preserve">🧾 سجل أوامر الدفع</t>
  </si>
  <si>
    <t xml:space="preserve">يُملأ تلقائياً عند الحفظ من ورقة «سند الصرف» — انقر مرتين على أي سند لفتحه وتعديله أو إعادة طباعته</t>
  </si>
  <si>
    <t xml:space="preserve">✍ سند الصرف</t>
  </si>
  <si>
    <t xml:space="preserve">رقم السند</t>
  </si>
  <si>
    <t xml:space="preserve">المرجع</t>
  </si>
  <si>
    <t xml:space="preserve">التاريخ</t>
  </si>
  <si>
    <t xml:space="preserve">المستفيد</t>
  </si>
  <si>
    <t xml:space="preserve">طريقة الدفع</t>
  </si>
  <si>
    <t xml:space="preserve">رقم الشيك / الحوالة</t>
  </si>
  <si>
    <t xml:space="preserve">وذلك مقابل</t>
  </si>
  <si>
    <t xml:space="preserve">يُصرف من</t>
  </si>
  <si>
    <t xml:space="preserve">فرع الصرف</t>
  </si>
  <si>
    <t xml:space="preserve">ملاحظة</t>
  </si>
  <si>
    <t xml:space="preserve">المستلم</t>
  </si>
  <si>
    <t xml:space="preserve">المبلغ</t>
  </si>
  <si>
    <t xml:space="preserve">المبلغ كتابةً</t>
  </si>
  <si>
    <t xml:space="preserve">البنود</t>
  </si>
  <si>
    <t xml:space="preserve">تاريخ الحفظ</t>
  </si>
  <si>
    <t xml:space="preserve">بواسطة</t>
  </si>
  <si>
    <t xml:space="preserve">CP-2026-1001</t>
  </si>
  <si>
    <t xml:space="preserve">فقط ثلاثة آلاف ريال سعودي لا غير</t>
  </si>
  <si>
    <t xml:space="preserve">admin</t>
  </si>
  <si>
    <t xml:space="preserve">CP-2026-1002</t>
  </si>
  <si>
    <t xml:space="preserve">مؤسسة البناء الحديث</t>
  </si>
  <si>
    <t xml:space="preserve">شيك</t>
  </si>
  <si>
    <t xml:space="preserve">000457</t>
  </si>
  <si>
    <t xml:space="preserve">دفعة مقدمة — توريد حديد مشروع العزيزية</t>
  </si>
  <si>
    <t xml:space="preserve">البنك الأهلي</t>
  </si>
  <si>
    <t xml:space="preserve">دفعة أولى من عقد التوريد</t>
  </si>
  <si>
    <t xml:space="preserve">سالم الحربي</t>
  </si>
  <si>
    <t xml:space="preserve">فقط سبعة وثلاثون ألفاً وخمسمائة ريال سعودي وخمسون هللة لا غير</t>
  </si>
  <si>
    <t xml:space="preserve">CP-2026-1003</t>
  </si>
  <si>
    <t xml:space="preserve">شركة الوقود المتحدة</t>
  </si>
  <si>
    <t xml:space="preserve">تحويل بنكي</t>
  </si>
  <si>
    <t xml:space="preserve">TRX-88213</t>
  </si>
  <si>
    <t xml:space="preserve">محروقات معدات شهر أغسطس</t>
  </si>
  <si>
    <t xml:space="preserve">مصرف الراجحي</t>
  </si>
  <si>
    <t xml:space="preserve">الرياض</t>
  </si>
  <si>
    <t xml:space="preserve">شامل ضريبة القيمة المضافة</t>
  </si>
  <si>
    <t xml:space="preserve">محمد القرشي</t>
  </si>
  <si>
    <t xml:space="preserve">فقط أربعة آلاف وثمانمائة وثلاثون ريال سعودي لا غير</t>
  </si>
  <si>
    <t xml:space="preserve">📋 بنود السندات (القيود)</t>
  </si>
  <si>
    <t xml:space="preserve">يُملأ تلقائياً عند الحفظ — «تلقائي» = الطرف الدائن المحسوب من «يُصرف من». انقر مرتين لفتح السند</t>
  </si>
  <si>
    <t xml:space="preserve">🧾 السجل</t>
  </si>
  <si>
    <t xml:space="preserve">م</t>
  </si>
  <si>
    <t xml:space="preserve">البيان / الحساب</t>
  </si>
  <si>
    <t xml:space="preserve">نوع البند</t>
  </si>
  <si>
    <t xml:space="preserve">يدوي</t>
  </si>
  <si>
    <t xml:space="preserve">تلقائي</t>
  </si>
  <si>
    <t xml:space="preserve">مواد ومشتريات مشاريع</t>
  </si>
  <si>
    <t xml:space="preserve">جدة</t>
  </si>
  <si>
    <t xml:space="preserve">وقود ومحروقات</t>
  </si>
  <si>
    <t xml:space="preserve">ضريبة القيمة المضافة (مدخلات)</t>
  </si>
  <si>
    <t xml:space="preserve">📊 تقارير أوامر الدفع</t>
  </si>
  <si>
    <t xml:space="preserve">تتحدث تلقائياً من السجل والبنود — غيّر السنة أو الفترة من الخلايا الصفراء</t>
  </si>
  <si>
    <t xml:space="preserve">📋 البنود</t>
  </si>
  <si>
    <t xml:space="preserve">السنة ⬅</t>
  </si>
  <si>
    <t xml:space="preserve">عدد السندات</t>
  </si>
  <si>
    <t xml:space="preserve">إجمالي المدفوعات</t>
  </si>
  <si>
    <t xml:space="preserve">متوسط السند</t>
  </si>
  <si>
    <t xml:space="preserve">أكبر سند</t>
  </si>
  <si>
    <t xml:space="preserve">مدفوعات هذا الشهر</t>
  </si>
  <si>
    <t xml:space="preserve">الشهر</t>
  </si>
  <si>
    <t xml:space="preserve">العدد</t>
  </si>
  <si>
    <t xml:space="preserve">حركة الحسابات خلال فترة</t>
  </si>
  <si>
    <t xml:space="preserve">يناير</t>
  </si>
  <si>
    <t xml:space="preserve">من تاريخ</t>
  </si>
  <si>
    <t xml:space="preserve">فبراير</t>
  </si>
  <si>
    <t xml:space="preserve">إلى تاريخ</t>
  </si>
  <si>
    <t xml:space="preserve">مارس</t>
  </si>
  <si>
    <t xml:space="preserve">الحساب / البيان</t>
  </si>
  <si>
    <t xml:space="preserve">أبريل</t>
  </si>
  <si>
    <t xml:space="preserve">الإجمالي</t>
  </si>
  <si>
    <t xml:space="preserve">مايو</t>
  </si>
  <si>
    <t xml:space="preserve">يونيو</t>
  </si>
  <si>
    <t xml:space="preserve">يوليو</t>
  </si>
  <si>
    <t xml:space="preserve">أغسطس</t>
  </si>
  <si>
    <t xml:space="preserve">سبتمبر</t>
  </si>
  <si>
    <t xml:space="preserve">أكتوبر</t>
  </si>
  <si>
    <t xml:space="preserve">نوفمبر</t>
  </si>
  <si>
    <t xml:space="preserve">ديسمبر</t>
  </si>
  <si>
    <t xml:space="preserve">* البنود المكتوبة بنص حر (غير موجود في قائمة الحسابات) لا تظهر هنا — تجدها في «بنود السندات».</t>
  </si>
  <si>
    <t xml:space="preserve">⚙ الإعدادات وبيانات الشركة</t>
  </si>
  <si>
    <t xml:space="preserve">الخلايا الصفراء فقط للتعديل — أي تغيير هنا ينعكس تلقائياً على كل السندات والطباعة</t>
  </si>
  <si>
    <t xml:space="preserve">البند</t>
  </si>
  <si>
    <t xml:space="preserve">القيمة</t>
  </si>
  <si>
    <t xml:space="preserve">الفروع</t>
  </si>
  <si>
    <t xml:space="preserve">الحسابات / البيان</t>
  </si>
  <si>
    <t xml:space="preserve">طرق الدفع</t>
  </si>
  <si>
    <t xml:space="preserve">اسم الشركة (عربي)</t>
  </si>
  <si>
    <t xml:space="preserve">شركة الخطوط المعدنية للمقاولات العامة</t>
  </si>
  <si>
    <t xml:space="preserve">اسم الشركة (إنجليزي)</t>
  </si>
  <si>
    <t xml:space="preserve">Metal Lines General Contracting Co.</t>
  </si>
  <si>
    <t xml:space="preserve">الصندوق الرئيسي</t>
  </si>
  <si>
    <t xml:space="preserve">الإدارة</t>
  </si>
  <si>
    <t xml:space="preserve">الإدارة المالية</t>
  </si>
  <si>
    <t xml:space="preserve">المدينة</t>
  </si>
  <si>
    <t xml:space="preserve">مكة المكرمة</t>
  </si>
  <si>
    <t xml:space="preserve">المدينة المنورة</t>
  </si>
  <si>
    <t xml:space="preserve">السجل التجاري</t>
  </si>
  <si>
    <t xml:space="preserve">4031000000</t>
  </si>
  <si>
    <t xml:space="preserve">الدمام</t>
  </si>
  <si>
    <t xml:space="preserve">عهد وسلف موظفين</t>
  </si>
  <si>
    <t xml:space="preserve">⚠ لا تغيّر أسماء طرق الدفع (يعتمد عليها عنوان السند)</t>
  </si>
  <si>
    <t xml:space="preserve">الرقم الضريبي</t>
  </si>
  <si>
    <t xml:space="preserve">300000000000003</t>
  </si>
  <si>
    <t xml:space="preserve">الطائف</t>
  </si>
  <si>
    <t xml:space="preserve">اسم العملة (للتفقيط)</t>
  </si>
  <si>
    <t xml:space="preserve">ريال سعودي</t>
  </si>
  <si>
    <t xml:space="preserve">مصروفات عمومية وإدارية</t>
  </si>
  <si>
    <t xml:space="preserve">رمز العملة</t>
  </si>
  <si>
    <t xml:space="preserve">S.R</t>
  </si>
  <si>
    <t xml:space="preserve">رواتب وأجور</t>
  </si>
  <si>
    <t xml:space="preserve">بادئة رقم السند</t>
  </si>
  <si>
    <t xml:space="preserve">CP</t>
  </si>
  <si>
    <t xml:space="preserve">رقم أول سند</t>
  </si>
  <si>
    <t xml:space="preserve">مقاولو الباطن</t>
  </si>
  <si>
    <t xml:space="preserve">احمد عبدالعظيم</t>
  </si>
  <si>
    <t xml:space="preserve">إيجارات</t>
  </si>
  <si>
    <t xml:space="preserve">صيانة معدات</t>
  </si>
  <si>
    <t xml:space="preserve">طريقة الدفع الافتراضية</t>
  </si>
  <si>
    <t xml:space="preserve">يُصرف من (افتراضي)</t>
  </si>
  <si>
    <t xml:space="preserve">جاري المالك</t>
  </si>
  <si>
    <t xml:space="preserve">فرع الصرف الافتراضي</t>
  </si>
  <si>
    <t xml:space="preserve">طريقة الاستخدام — إدخال واحد فقط</t>
  </si>
  <si>
    <t xml:space="preserve">1</t>
  </si>
  <si>
    <t xml:space="preserve">افتح الملف واضغط «تمكين المحتوى / Enable Content» مرة واحدة لتفعيل الأزرار. لو ظهرت رسالة حمراء «Microsoft has blocked macros» (ملف منزّل من الإنترنت): أغلق الملف ← كليك يمين عليه ← خصائص ← علّم «إلغاء الحظر / Unblock» ← موافق، ثم افتحه.</t>
  </si>
  <si>
    <t xml:space="preserve">2</t>
  </si>
  <si>
    <t xml:space="preserve">في ورقة «سند الصرف» اكتب مباشرة على السند: التاريخ، ادفعوا لأمر، وذلك مقابل، والبنود (المدين).</t>
  </si>
  <si>
    <t xml:space="preserve">3</t>
  </si>
  <si>
    <t xml:space="preserve">الطرف الدائن (الصندوق/البنك) يُضاف تلقائياً بنفس المبلغ من خانة «يُصرف من» — لا تكتب المبلغ مرتين.</t>
  </si>
  <si>
    <t xml:space="preserve">4</t>
  </si>
  <si>
    <t xml:space="preserve">اضغط «💾 حفظ + سند جديد»: يُحفظ السند في السجل ويظهر سند جديد فارغ برقم جديد. كرّر لأي عدد من السندات.</t>
  </si>
  <si>
    <t xml:space="preserve">5</t>
  </si>
  <si>
    <t xml:space="preserve">لإعادة طباعة/تعديل سند قديم: اختر رقمه في «استدعاء سند» أو استخدم السابق/التالي أو انقر مرتين على صفه في السجل.</t>
  </si>
  <si>
    <t xml:space="preserve">★</t>
  </si>
  <si>
    <t xml:space="preserve">«🖨 حفظ وطباعة» و«📄 حفظ PDF» يحفظان أولاً ثم يطبعان — ملفات PDF تُحفظ في مجلد Vouchers_PDF بجوار الملف.</t>
  </si>
  <si>
    <t xml:space="preserve">المبلغ كتابةً، التاريخ الهجري، عنوان السند حسب طريقة الدفع، والتوازن — كلها تلقائية.</t>
  </si>
  <si>
    <t xml:space="preserve">الخلايا الصفراء = إدخال • باقي الخلايا محمية حتى لا تُمسح المعادلات بالخطأ (إلغاء الحماية: مراجعة ← إلغاء حماية الورقة، بدون كلمة مرور).</t>
  </si>
  <si>
    <t xml:space="preserve">السند يُطبع أبيض وأسود تلقائياً فلا تظهر ألوان خلايا الإدخال على الورق.</t>
  </si>
  <si>
    <t xml:space="preserve">الرقم</t>
  </si>
  <si>
    <t xml:space="preserve">آحاد</t>
  </si>
  <si>
    <t xml:space="preserve">آلاف</t>
  </si>
  <si>
    <t xml:space="preserve">ملايين</t>
  </si>
  <si>
    <t xml:space="preserve">هللات</t>
  </si>
  <si>
    <t xml:space="preserve">واحد</t>
  </si>
  <si>
    <t xml:space="preserve">ألف</t>
  </si>
  <si>
    <t xml:space="preserve">مليون</t>
  </si>
  <si>
    <t xml:space="preserve">هللة واحدة</t>
  </si>
  <si>
    <t xml:space="preserve">اثنان</t>
  </si>
  <si>
    <t xml:space="preserve">ألفان</t>
  </si>
  <si>
    <t xml:space="preserve">مليونان</t>
  </si>
  <si>
    <t xml:space="preserve">هللتان</t>
  </si>
  <si>
    <t xml:space="preserve">ثلاثة</t>
  </si>
  <si>
    <t xml:space="preserve">ثلاثة آلاف</t>
  </si>
  <si>
    <t xml:space="preserve">ثلاثة ملايين</t>
  </si>
  <si>
    <t xml:space="preserve">ثلاثة هللات</t>
  </si>
  <si>
    <t xml:space="preserve">أربعة</t>
  </si>
  <si>
    <t xml:space="preserve">أربعة آلاف</t>
  </si>
  <si>
    <t xml:space="preserve">أربعة ملايين</t>
  </si>
  <si>
    <t xml:space="preserve">أربعة هللات</t>
  </si>
  <si>
    <t xml:space="preserve">خمسة</t>
  </si>
  <si>
    <t xml:space="preserve">خمسة آلاف</t>
  </si>
  <si>
    <t xml:space="preserve">خمسة ملايين</t>
  </si>
  <si>
    <t xml:space="preserve">خمسة هللات</t>
  </si>
  <si>
    <t xml:space="preserve">ستة</t>
  </si>
  <si>
    <t xml:space="preserve">ستة آلاف</t>
  </si>
  <si>
    <t xml:space="preserve">ستة ملايين</t>
  </si>
  <si>
    <t xml:space="preserve">ستة هللات</t>
  </si>
  <si>
    <t xml:space="preserve">سبعة</t>
  </si>
  <si>
    <t xml:space="preserve">سبعة آلاف</t>
  </si>
  <si>
    <t xml:space="preserve">سبعة ملايين</t>
  </si>
  <si>
    <t xml:space="preserve">سبعة هللات</t>
  </si>
  <si>
    <t xml:space="preserve">ثمانية</t>
  </si>
  <si>
    <t xml:space="preserve">ثمانية آلاف</t>
  </si>
  <si>
    <t xml:space="preserve">ثمانية ملايين</t>
  </si>
  <si>
    <t xml:space="preserve">ثمانية هللات</t>
  </si>
  <si>
    <t xml:space="preserve">تسعة</t>
  </si>
  <si>
    <t xml:space="preserve">تسعة آلاف</t>
  </si>
  <si>
    <t xml:space="preserve">تسعة ملايين</t>
  </si>
  <si>
    <t xml:space="preserve">تسعة هللات</t>
  </si>
  <si>
    <t xml:space="preserve">عشرة</t>
  </si>
  <si>
    <t xml:space="preserve">عشرة آلاف</t>
  </si>
  <si>
    <t xml:space="preserve">عشرة ملايين</t>
  </si>
  <si>
    <t xml:space="preserve">عشرة هللات</t>
  </si>
  <si>
    <t xml:space="preserve">أحد عشر</t>
  </si>
  <si>
    <t xml:space="preserve">أحد عشر ألفاً</t>
  </si>
  <si>
    <t xml:space="preserve">أحد عشر مليوناً</t>
  </si>
  <si>
    <t xml:space="preserve">أحد عشر هللة</t>
  </si>
  <si>
    <t xml:space="preserve">اثنا عشر</t>
  </si>
  <si>
    <t xml:space="preserve">اثنا عشر ألفاً</t>
  </si>
  <si>
    <t xml:space="preserve">اثنا عشر مليوناً</t>
  </si>
  <si>
    <t xml:space="preserve">اثنا عشر هللة</t>
  </si>
  <si>
    <t xml:space="preserve">ثلاثة عشر</t>
  </si>
  <si>
    <t xml:space="preserve">ثلاثة عشر ألفاً</t>
  </si>
  <si>
    <t xml:space="preserve">ثلاثة عشر مليوناً</t>
  </si>
  <si>
    <t xml:space="preserve">ثلاثة عشر هللة</t>
  </si>
  <si>
    <t xml:space="preserve">أربعة عشر</t>
  </si>
  <si>
    <t xml:space="preserve">أربعة عشر ألفاً</t>
  </si>
  <si>
    <t xml:space="preserve">أربعة عشر مليوناً</t>
  </si>
  <si>
    <t xml:space="preserve">أربعة عشر هللة</t>
  </si>
  <si>
    <t xml:space="preserve">خمسة عشر</t>
  </si>
  <si>
    <t xml:space="preserve">خمسة عشر ألفاً</t>
  </si>
  <si>
    <t xml:space="preserve">خمسة عشر مليوناً</t>
  </si>
  <si>
    <t xml:space="preserve">خمسة عشر هللة</t>
  </si>
  <si>
    <t xml:space="preserve">ستة عشر</t>
  </si>
  <si>
    <t xml:space="preserve">ستة عشر ألفاً</t>
  </si>
  <si>
    <t xml:space="preserve">ستة عشر مليوناً</t>
  </si>
  <si>
    <t xml:space="preserve">ستة عشر هللة</t>
  </si>
  <si>
    <t xml:space="preserve">سبعة عشر</t>
  </si>
  <si>
    <t xml:space="preserve">سبعة عشر ألفاً</t>
  </si>
  <si>
    <t xml:space="preserve">سبعة عشر مليوناً</t>
  </si>
  <si>
    <t xml:space="preserve">سبعة عشر هللة</t>
  </si>
  <si>
    <t xml:space="preserve">ثمانية عشر</t>
  </si>
  <si>
    <t xml:space="preserve">ثمانية عشر ألفاً</t>
  </si>
  <si>
    <t xml:space="preserve">ثمانية عشر مليوناً</t>
  </si>
  <si>
    <t xml:space="preserve">ثمانية عشر هللة</t>
  </si>
  <si>
    <t xml:space="preserve">تسعة عشر</t>
  </si>
  <si>
    <t xml:space="preserve">تسعة عشر ألفاً</t>
  </si>
  <si>
    <t xml:space="preserve">تسعة عشر مليوناً</t>
  </si>
  <si>
    <t xml:space="preserve">تسعة عشر هللة</t>
  </si>
  <si>
    <t xml:space="preserve">عشرون</t>
  </si>
  <si>
    <t xml:space="preserve">عشرون ألفاً</t>
  </si>
  <si>
    <t xml:space="preserve">عشرون مليوناً</t>
  </si>
  <si>
    <t xml:space="preserve">عشرون هللة</t>
  </si>
  <si>
    <t xml:space="preserve">واحد وعشرون</t>
  </si>
  <si>
    <t xml:space="preserve">واحد وعشرون ألفاً</t>
  </si>
  <si>
    <t xml:space="preserve">واحد وعشرون مليوناً</t>
  </si>
  <si>
    <t xml:space="preserve">واحد وعشرون هللة</t>
  </si>
  <si>
    <t xml:space="preserve">اثنان وعشرون</t>
  </si>
  <si>
    <t xml:space="preserve">اثنان وعشرون ألفاً</t>
  </si>
  <si>
    <t xml:space="preserve">اثنان وعشرون مليوناً</t>
  </si>
  <si>
    <t xml:space="preserve">اثنان وعشرون هللة</t>
  </si>
  <si>
    <t xml:space="preserve">ثلاثة وعشرون</t>
  </si>
  <si>
    <t xml:space="preserve">ثلاثة وعشرون ألفاً</t>
  </si>
  <si>
    <t xml:space="preserve">ثلاثة وعشرون مليوناً</t>
  </si>
  <si>
    <t xml:space="preserve">ثلاثة وعشرون هللة</t>
  </si>
  <si>
    <t xml:space="preserve">أربعة وعشرون</t>
  </si>
  <si>
    <t xml:space="preserve">أربعة وعشرون ألفاً</t>
  </si>
  <si>
    <t xml:space="preserve">أربعة وعشرون مليوناً</t>
  </si>
  <si>
    <t xml:space="preserve">أربعة وعشرون هللة</t>
  </si>
  <si>
    <t xml:space="preserve">خمسة وعشرون</t>
  </si>
  <si>
    <t xml:space="preserve">خمسة وعشرون ألفاً</t>
  </si>
  <si>
    <t xml:space="preserve">خمسة وعشرون مليوناً</t>
  </si>
  <si>
    <t xml:space="preserve">خمسة وعشرون هللة</t>
  </si>
  <si>
    <t xml:space="preserve">ستة وعشرون</t>
  </si>
  <si>
    <t xml:space="preserve">ستة وعشرون ألفاً</t>
  </si>
  <si>
    <t xml:space="preserve">ستة وعشرون مليوناً</t>
  </si>
  <si>
    <t xml:space="preserve">ستة وعشرون هللة</t>
  </si>
  <si>
    <t xml:space="preserve">سبعة وعشرون</t>
  </si>
  <si>
    <t xml:space="preserve">سبعة وعشرون ألفاً</t>
  </si>
  <si>
    <t xml:space="preserve">سبعة وعشرون مليوناً</t>
  </si>
  <si>
    <t xml:space="preserve">سبعة وعشرون هللة</t>
  </si>
  <si>
    <t xml:space="preserve">ثمانية وعشرون</t>
  </si>
  <si>
    <t xml:space="preserve">ثمانية وعشرون ألفاً</t>
  </si>
  <si>
    <t xml:space="preserve">ثمانية وعشرون مليوناً</t>
  </si>
  <si>
    <t xml:space="preserve">ثمانية وعشرون هللة</t>
  </si>
  <si>
    <t xml:space="preserve">تسعة وعشرون</t>
  </si>
  <si>
    <t xml:space="preserve">تسعة وعشرون ألفاً</t>
  </si>
  <si>
    <t xml:space="preserve">تسعة وعشرون مليوناً</t>
  </si>
  <si>
    <t xml:space="preserve">تسعة وعشرون هللة</t>
  </si>
  <si>
    <t xml:space="preserve">ثلاثون</t>
  </si>
  <si>
    <t xml:space="preserve">ثلاثون ألفاً</t>
  </si>
  <si>
    <t xml:space="preserve">ثلاثون مليوناً</t>
  </si>
  <si>
    <t xml:space="preserve">ثلاثون هللة</t>
  </si>
  <si>
    <t xml:space="preserve">واحد وثلاثون</t>
  </si>
  <si>
    <t xml:space="preserve">واحد وثلاثون ألفاً</t>
  </si>
  <si>
    <t xml:space="preserve">واحد وثلاثون مليوناً</t>
  </si>
  <si>
    <t xml:space="preserve">واحد وثلاثون هللة</t>
  </si>
  <si>
    <t xml:space="preserve">اثنان وثلاثون</t>
  </si>
  <si>
    <t xml:space="preserve">اثنان وثلاثون ألفاً</t>
  </si>
  <si>
    <t xml:space="preserve">اثنان وثلاثون مليوناً</t>
  </si>
  <si>
    <t xml:space="preserve">اثنان وثلاثون هللة</t>
  </si>
  <si>
    <t xml:space="preserve">ثلاثة وثلاثون</t>
  </si>
  <si>
    <t xml:space="preserve">ثلاثة وثلاثون ألفاً</t>
  </si>
  <si>
    <t xml:space="preserve">ثلاثة وثلاثون مليوناً</t>
  </si>
  <si>
    <t xml:space="preserve">ثلاثة وثلاثون هللة</t>
  </si>
  <si>
    <t xml:space="preserve">أربعة وثلاثون</t>
  </si>
  <si>
    <t xml:space="preserve">أربعة وثلاثون ألفاً</t>
  </si>
  <si>
    <t xml:space="preserve">أربعة وثلاثون مليوناً</t>
  </si>
  <si>
    <t xml:space="preserve">أربعة وثلاثون هللة</t>
  </si>
  <si>
    <t xml:space="preserve">خمسة وثلاثون</t>
  </si>
  <si>
    <t xml:space="preserve">خمسة وثلاثون ألفاً</t>
  </si>
  <si>
    <t xml:space="preserve">خمسة وثلاثون مليوناً</t>
  </si>
  <si>
    <t xml:space="preserve">خمسة وثلاثون هللة</t>
  </si>
  <si>
    <t xml:space="preserve">ستة وثلاثون</t>
  </si>
  <si>
    <t xml:space="preserve">ستة وثلاثون ألفاً</t>
  </si>
  <si>
    <t xml:space="preserve">ستة وثلاثون مليوناً</t>
  </si>
  <si>
    <t xml:space="preserve">ستة وثلاثون هللة</t>
  </si>
  <si>
    <t xml:space="preserve">سبعة وثلاثون</t>
  </si>
  <si>
    <t xml:space="preserve">سبعة وثلاثون ألفاً</t>
  </si>
  <si>
    <t xml:space="preserve">سبعة وثلاثون مليوناً</t>
  </si>
  <si>
    <t xml:space="preserve">سبعة وثلاثون هللة</t>
  </si>
  <si>
    <t xml:space="preserve">ثمانية وثلاثون</t>
  </si>
  <si>
    <t xml:space="preserve">ثمانية وثلاثون ألفاً</t>
  </si>
  <si>
    <t xml:space="preserve">ثمانية وثلاثون مليوناً</t>
  </si>
  <si>
    <t xml:space="preserve">ثمانية وثلاثون هللة</t>
  </si>
  <si>
    <t xml:space="preserve">تسعة وثلاثون</t>
  </si>
  <si>
    <t xml:space="preserve">تسعة وثلاثون ألفاً</t>
  </si>
  <si>
    <t xml:space="preserve">تسعة وثلاثون مليوناً</t>
  </si>
  <si>
    <t xml:space="preserve">تسعة وثلاثون هللة</t>
  </si>
  <si>
    <t xml:space="preserve">أربعون</t>
  </si>
  <si>
    <t xml:space="preserve">أربعون ألفاً</t>
  </si>
  <si>
    <t xml:space="preserve">أربعون مليوناً</t>
  </si>
  <si>
    <t xml:space="preserve">أربعون هللة</t>
  </si>
  <si>
    <t xml:space="preserve">واحد وأربعون</t>
  </si>
  <si>
    <t xml:space="preserve">واحد وأربعون ألفاً</t>
  </si>
  <si>
    <t xml:space="preserve">واحد وأربعون مليوناً</t>
  </si>
  <si>
    <t xml:space="preserve">واحد وأربعون هللة</t>
  </si>
  <si>
    <t xml:space="preserve">اثنان وأربعون</t>
  </si>
  <si>
    <t xml:space="preserve">اثنان وأربعون ألفاً</t>
  </si>
  <si>
    <t xml:space="preserve">اثنان وأربعون مليوناً</t>
  </si>
  <si>
    <t xml:space="preserve">اثنان وأربعون هللة</t>
  </si>
  <si>
    <t xml:space="preserve">ثلاثة وأربعون</t>
  </si>
  <si>
    <t xml:space="preserve">ثلاثة وأربعون ألفاً</t>
  </si>
  <si>
    <t xml:space="preserve">ثلاثة وأربعون مليوناً</t>
  </si>
  <si>
    <t xml:space="preserve">ثلاثة وأربعون هللة</t>
  </si>
  <si>
    <t xml:space="preserve">أربعة وأربعون</t>
  </si>
  <si>
    <t xml:space="preserve">أربعة وأربعون ألفاً</t>
  </si>
  <si>
    <t xml:space="preserve">أربعة وأربعون مليوناً</t>
  </si>
  <si>
    <t xml:space="preserve">أربعة وأربعون هللة</t>
  </si>
  <si>
    <t xml:space="preserve">خمسة وأربعون</t>
  </si>
  <si>
    <t xml:space="preserve">خمسة وأربعون ألفاً</t>
  </si>
  <si>
    <t xml:space="preserve">خمسة وأربعون مليوناً</t>
  </si>
  <si>
    <t xml:space="preserve">خمسة وأربعون هللة</t>
  </si>
  <si>
    <t xml:space="preserve">ستة وأربعون</t>
  </si>
  <si>
    <t xml:space="preserve">ستة وأربعون ألفاً</t>
  </si>
  <si>
    <t xml:space="preserve">ستة وأربعون مليوناً</t>
  </si>
  <si>
    <t xml:space="preserve">ستة وأربعون هللة</t>
  </si>
  <si>
    <t xml:space="preserve">سبعة وأربعون</t>
  </si>
  <si>
    <t xml:space="preserve">سبعة وأربعون ألفاً</t>
  </si>
  <si>
    <t xml:space="preserve">سبعة وأربعون مليوناً</t>
  </si>
  <si>
    <t xml:space="preserve">سبعة وأربعون هللة</t>
  </si>
  <si>
    <t xml:space="preserve">ثمانية وأربعون</t>
  </si>
  <si>
    <t xml:space="preserve">ثمانية وأربعون ألفاً</t>
  </si>
  <si>
    <t xml:space="preserve">ثمانية وأربعون مليوناً</t>
  </si>
  <si>
    <t xml:space="preserve">ثمانية وأربعون هللة</t>
  </si>
  <si>
    <t xml:space="preserve">تسعة وأربعون</t>
  </si>
  <si>
    <t xml:space="preserve">تسعة وأربعون ألفاً</t>
  </si>
  <si>
    <t xml:space="preserve">تسعة وأربعون مليوناً</t>
  </si>
  <si>
    <t xml:space="preserve">تسعة وأربعون هللة</t>
  </si>
  <si>
    <t xml:space="preserve">خمسون</t>
  </si>
  <si>
    <t xml:space="preserve">خمسون ألفاً</t>
  </si>
  <si>
    <t xml:space="preserve">خمسون مليوناً</t>
  </si>
  <si>
    <t xml:space="preserve">خمسون هللة</t>
  </si>
  <si>
    <t xml:space="preserve">واحد وخمسون</t>
  </si>
  <si>
    <t xml:space="preserve">واحد وخمسون ألفاً</t>
  </si>
  <si>
    <t xml:space="preserve">واحد وخمسون مليوناً</t>
  </si>
  <si>
    <t xml:space="preserve">واحد وخمسون هللة</t>
  </si>
  <si>
    <t xml:space="preserve">اثنان وخمسون</t>
  </si>
  <si>
    <t xml:space="preserve">اثنان وخمسون ألفاً</t>
  </si>
  <si>
    <t xml:space="preserve">اثنان وخمسون مليوناً</t>
  </si>
  <si>
    <t xml:space="preserve">اثنان وخمسون هللة</t>
  </si>
  <si>
    <t xml:space="preserve">ثلاثة وخمسون</t>
  </si>
  <si>
    <t xml:space="preserve">ثلاثة وخمسون ألفاً</t>
  </si>
  <si>
    <t xml:space="preserve">ثلاثة وخمسون مليوناً</t>
  </si>
  <si>
    <t xml:space="preserve">ثلاثة وخمسون هللة</t>
  </si>
  <si>
    <t xml:space="preserve">أربعة وخمسون</t>
  </si>
  <si>
    <t xml:space="preserve">أربعة وخمسون ألفاً</t>
  </si>
  <si>
    <t xml:space="preserve">أربعة وخمسون مليوناً</t>
  </si>
  <si>
    <t xml:space="preserve">أربعة وخمسون هللة</t>
  </si>
  <si>
    <t xml:space="preserve">خمسة وخمسون</t>
  </si>
  <si>
    <t xml:space="preserve">خمسة وخمسون ألفاً</t>
  </si>
  <si>
    <t xml:space="preserve">خمسة وخمسون مليوناً</t>
  </si>
  <si>
    <t xml:space="preserve">خمسة وخمسون هللة</t>
  </si>
  <si>
    <t xml:space="preserve">ستة وخمسون</t>
  </si>
  <si>
    <t xml:space="preserve">ستة وخمسون ألفاً</t>
  </si>
  <si>
    <t xml:space="preserve">ستة وخمسون مليوناً</t>
  </si>
  <si>
    <t xml:space="preserve">ستة وخمسون هللة</t>
  </si>
  <si>
    <t xml:space="preserve">سبعة وخمسون</t>
  </si>
  <si>
    <t xml:space="preserve">سبعة وخمسون ألفاً</t>
  </si>
  <si>
    <t xml:space="preserve">سبعة وخمسون مليوناً</t>
  </si>
  <si>
    <t xml:space="preserve">سبعة وخمسون هللة</t>
  </si>
  <si>
    <t xml:space="preserve">ثمانية وخمسون</t>
  </si>
  <si>
    <t xml:space="preserve">ثمانية وخمسون ألفاً</t>
  </si>
  <si>
    <t xml:space="preserve">ثمانية وخمسون مليوناً</t>
  </si>
  <si>
    <t xml:space="preserve">ثمانية وخمسون هللة</t>
  </si>
  <si>
    <t xml:space="preserve">تسعة وخمسون</t>
  </si>
  <si>
    <t xml:space="preserve">تسعة وخمسون ألفاً</t>
  </si>
  <si>
    <t xml:space="preserve">تسعة وخمسون مليوناً</t>
  </si>
  <si>
    <t xml:space="preserve">تسعة وخمسون هللة</t>
  </si>
  <si>
    <t xml:space="preserve">ستون</t>
  </si>
  <si>
    <t xml:space="preserve">ستون ألفاً</t>
  </si>
  <si>
    <t xml:space="preserve">ستون مليوناً</t>
  </si>
  <si>
    <t xml:space="preserve">ستون هللة</t>
  </si>
  <si>
    <t xml:space="preserve">واحد وستون</t>
  </si>
  <si>
    <t xml:space="preserve">واحد وستون ألفاً</t>
  </si>
  <si>
    <t xml:space="preserve">واحد وستون مليوناً</t>
  </si>
  <si>
    <t xml:space="preserve">واحد وستون هللة</t>
  </si>
  <si>
    <t xml:space="preserve">اثنان وستون</t>
  </si>
  <si>
    <t xml:space="preserve">اثنان وستون ألفاً</t>
  </si>
  <si>
    <t xml:space="preserve">اثنان وستون مليوناً</t>
  </si>
  <si>
    <t xml:space="preserve">اثنان وستون هللة</t>
  </si>
  <si>
    <t xml:space="preserve">ثلاثة وستون</t>
  </si>
  <si>
    <t xml:space="preserve">ثلاثة وستون ألفاً</t>
  </si>
  <si>
    <t xml:space="preserve">ثلاثة وستون مليوناً</t>
  </si>
  <si>
    <t xml:space="preserve">ثلاثة وستون هللة</t>
  </si>
  <si>
    <t xml:space="preserve">أربعة وستون</t>
  </si>
  <si>
    <t xml:space="preserve">أربعة وستون ألفاً</t>
  </si>
  <si>
    <t xml:space="preserve">أربعة وستون مليوناً</t>
  </si>
  <si>
    <t xml:space="preserve">أربعة وستون هللة</t>
  </si>
  <si>
    <t xml:space="preserve">خمسة وستون</t>
  </si>
  <si>
    <t xml:space="preserve">خمسة وستون ألفاً</t>
  </si>
  <si>
    <t xml:space="preserve">خمسة وستون مليوناً</t>
  </si>
  <si>
    <t xml:space="preserve">خمسة وستون هللة</t>
  </si>
  <si>
    <t xml:space="preserve">ستة وستون</t>
  </si>
  <si>
    <t xml:space="preserve">ستة وستون ألفاً</t>
  </si>
  <si>
    <t xml:space="preserve">ستة وستون مليوناً</t>
  </si>
  <si>
    <t xml:space="preserve">ستة وستون هللة</t>
  </si>
  <si>
    <t xml:space="preserve">سبعة وستون</t>
  </si>
  <si>
    <t xml:space="preserve">سبعة وستون ألفاً</t>
  </si>
  <si>
    <t xml:space="preserve">سبعة وستون مليوناً</t>
  </si>
  <si>
    <t xml:space="preserve">سبعة وستون هللة</t>
  </si>
  <si>
    <t xml:space="preserve">ثمانية وستون</t>
  </si>
  <si>
    <t xml:space="preserve">ثمانية وستون ألفاً</t>
  </si>
  <si>
    <t xml:space="preserve">ثمانية وستون مليوناً</t>
  </si>
  <si>
    <t xml:space="preserve">ثمانية وستون هللة</t>
  </si>
  <si>
    <t xml:space="preserve">تسعة وستون</t>
  </si>
  <si>
    <t xml:space="preserve">تسعة وستون ألفاً</t>
  </si>
  <si>
    <t xml:space="preserve">تسعة وستون مليوناً</t>
  </si>
  <si>
    <t xml:space="preserve">تسعة وستون هللة</t>
  </si>
  <si>
    <t xml:space="preserve">سبعون</t>
  </si>
  <si>
    <t xml:space="preserve">سبعون ألفاً</t>
  </si>
  <si>
    <t xml:space="preserve">سبعون مليوناً</t>
  </si>
  <si>
    <t xml:space="preserve">سبعون هللة</t>
  </si>
  <si>
    <t xml:space="preserve">واحد وسبعون</t>
  </si>
  <si>
    <t xml:space="preserve">واحد وسبعون ألفاً</t>
  </si>
  <si>
    <t xml:space="preserve">واحد وسبعون مليوناً</t>
  </si>
  <si>
    <t xml:space="preserve">واحد وسبعون هللة</t>
  </si>
  <si>
    <t xml:space="preserve">اثنان وسبعون</t>
  </si>
  <si>
    <t xml:space="preserve">اثنان وسبعون ألفاً</t>
  </si>
  <si>
    <t xml:space="preserve">اثنان وسبعون مليوناً</t>
  </si>
  <si>
    <t xml:space="preserve">اثنان وسبعون هللة</t>
  </si>
  <si>
    <t xml:space="preserve">ثلاثة وسبعون</t>
  </si>
  <si>
    <t xml:space="preserve">ثلاثة وسبعون ألفاً</t>
  </si>
  <si>
    <t xml:space="preserve">ثلاثة وسبعون مليوناً</t>
  </si>
  <si>
    <t xml:space="preserve">ثلاثة وسبعون هللة</t>
  </si>
  <si>
    <t xml:space="preserve">أربعة وسبعون</t>
  </si>
  <si>
    <t xml:space="preserve">أربعة وسبعون ألفاً</t>
  </si>
  <si>
    <t xml:space="preserve">أربعة وسبعون مليوناً</t>
  </si>
  <si>
    <t xml:space="preserve">أربعة وسبعون هللة</t>
  </si>
  <si>
    <t xml:space="preserve">خمسة وسبعون</t>
  </si>
  <si>
    <t xml:space="preserve">خمسة وسبعون ألفاً</t>
  </si>
  <si>
    <t xml:space="preserve">خمسة وسبعون مليوناً</t>
  </si>
  <si>
    <t xml:space="preserve">خمسة وسبعون هللة</t>
  </si>
  <si>
    <t xml:space="preserve">ستة وسبعون</t>
  </si>
  <si>
    <t xml:space="preserve">ستة وسبعون ألفاً</t>
  </si>
  <si>
    <t xml:space="preserve">ستة وسبعون مليوناً</t>
  </si>
  <si>
    <t xml:space="preserve">ستة وسبعون هللة</t>
  </si>
  <si>
    <t xml:space="preserve">سبعة وسبعون</t>
  </si>
  <si>
    <t xml:space="preserve">سبعة وسبعون ألفاً</t>
  </si>
  <si>
    <t xml:space="preserve">سبعة وسبعون مليوناً</t>
  </si>
  <si>
    <t xml:space="preserve">سبعة وسبعون هللة</t>
  </si>
  <si>
    <t xml:space="preserve">ثمانية وسبعون</t>
  </si>
  <si>
    <t xml:space="preserve">ثمانية وسبعون ألفاً</t>
  </si>
  <si>
    <t xml:space="preserve">ثمانية وسبعون مليوناً</t>
  </si>
  <si>
    <t xml:space="preserve">ثمانية وسبعون هللة</t>
  </si>
  <si>
    <t xml:space="preserve">تسعة وسبعون</t>
  </si>
  <si>
    <t xml:space="preserve">تسعة وسبعون ألفاً</t>
  </si>
  <si>
    <t xml:space="preserve">تسعة وسبعون مليوناً</t>
  </si>
  <si>
    <t xml:space="preserve">تسعة وسبعون هللة</t>
  </si>
  <si>
    <t xml:space="preserve">ثمانون</t>
  </si>
  <si>
    <t xml:space="preserve">ثمانون ألفاً</t>
  </si>
  <si>
    <t xml:space="preserve">ثمانون مليوناً</t>
  </si>
  <si>
    <t xml:space="preserve">ثمانون هللة</t>
  </si>
  <si>
    <t xml:space="preserve">واحد وثمانون</t>
  </si>
  <si>
    <t xml:space="preserve">واحد وثمانون ألفاً</t>
  </si>
  <si>
    <t xml:space="preserve">واحد وثمانون مليوناً</t>
  </si>
  <si>
    <t xml:space="preserve">واحد وثمانون هللة</t>
  </si>
  <si>
    <t xml:space="preserve">اثنان وثمانون</t>
  </si>
  <si>
    <t xml:space="preserve">اثنان وثمانون ألفاً</t>
  </si>
  <si>
    <t xml:space="preserve">اثنان وثمانون مليوناً</t>
  </si>
  <si>
    <t xml:space="preserve">اثنان وثمانون هللة</t>
  </si>
  <si>
    <t xml:space="preserve">ثلاثة وثمانون</t>
  </si>
  <si>
    <t xml:space="preserve">ثلاثة وثمانون ألفاً</t>
  </si>
  <si>
    <t xml:space="preserve">ثلاثة وثمانون مليوناً</t>
  </si>
  <si>
    <t xml:space="preserve">ثلاثة وثمانون هللة</t>
  </si>
  <si>
    <t xml:space="preserve">أربعة وثمانون</t>
  </si>
  <si>
    <t xml:space="preserve">أربعة وثمانون ألفاً</t>
  </si>
  <si>
    <t xml:space="preserve">أربعة وثمانون مليوناً</t>
  </si>
  <si>
    <t xml:space="preserve">أربعة وثمانون هللة</t>
  </si>
  <si>
    <t xml:space="preserve">خمسة وثمانون</t>
  </si>
  <si>
    <t xml:space="preserve">خمسة وثمانون ألفاً</t>
  </si>
  <si>
    <t xml:space="preserve">خمسة وثمانون مليوناً</t>
  </si>
  <si>
    <t xml:space="preserve">خمسة وثمانون هللة</t>
  </si>
  <si>
    <t xml:space="preserve">ستة وثمانون</t>
  </si>
  <si>
    <t xml:space="preserve">ستة وثمانون ألفاً</t>
  </si>
  <si>
    <t xml:space="preserve">ستة وثمانون مليوناً</t>
  </si>
  <si>
    <t xml:space="preserve">ستة وثمانون هللة</t>
  </si>
  <si>
    <t xml:space="preserve">سبعة وثمانون</t>
  </si>
  <si>
    <t xml:space="preserve">سبعة وثمانون ألفاً</t>
  </si>
  <si>
    <t xml:space="preserve">سبعة وثمانون مليوناً</t>
  </si>
  <si>
    <t xml:space="preserve">سبعة وثمانون هللة</t>
  </si>
  <si>
    <t xml:space="preserve">ثمانية وثمانون</t>
  </si>
  <si>
    <t xml:space="preserve">ثمانية وثمانون ألفاً</t>
  </si>
  <si>
    <t xml:space="preserve">ثمانية وثمانون مليوناً</t>
  </si>
  <si>
    <t xml:space="preserve">ثمانية وثمانون هللة</t>
  </si>
  <si>
    <t xml:space="preserve">تسعة وثمانون</t>
  </si>
  <si>
    <t xml:space="preserve">تسعة وثمانون ألفاً</t>
  </si>
  <si>
    <t xml:space="preserve">تسعة وثمانون مليوناً</t>
  </si>
  <si>
    <t xml:space="preserve">تسعة وثمانون هللة</t>
  </si>
  <si>
    <t xml:space="preserve">تسعون</t>
  </si>
  <si>
    <t xml:space="preserve">تسعون ألفاً</t>
  </si>
  <si>
    <t xml:space="preserve">تسعون مليوناً</t>
  </si>
  <si>
    <t xml:space="preserve">تسعون هللة</t>
  </si>
  <si>
    <t xml:space="preserve">واحد وتسعون</t>
  </si>
  <si>
    <t xml:space="preserve">واحد وتسعون ألفاً</t>
  </si>
  <si>
    <t xml:space="preserve">واحد وتسعون مليوناً</t>
  </si>
  <si>
    <t xml:space="preserve">واحد وتسعون هللة</t>
  </si>
  <si>
    <t xml:space="preserve">اثنان وتسعون</t>
  </si>
  <si>
    <t xml:space="preserve">اثنان وتسعون ألفاً</t>
  </si>
  <si>
    <t xml:space="preserve">اثنان وتسعون مليوناً</t>
  </si>
  <si>
    <t xml:space="preserve">اثنان وتسعون هللة</t>
  </si>
  <si>
    <t xml:space="preserve">ثلاثة وتسعون</t>
  </si>
  <si>
    <t xml:space="preserve">ثلاثة وتسعون ألفاً</t>
  </si>
  <si>
    <t xml:space="preserve">ثلاثة وتسعون مليوناً</t>
  </si>
  <si>
    <t xml:space="preserve">ثلاثة وتسعون هللة</t>
  </si>
  <si>
    <t xml:space="preserve">أربعة وتسعون</t>
  </si>
  <si>
    <t xml:space="preserve">أربعة وتسعون ألفاً</t>
  </si>
  <si>
    <t xml:space="preserve">أربعة وتسعون مليوناً</t>
  </si>
  <si>
    <t xml:space="preserve">أربعة وتسعون هللة</t>
  </si>
  <si>
    <t xml:space="preserve">خمسة وتسعون</t>
  </si>
  <si>
    <t xml:space="preserve">خمسة وتسعون ألفاً</t>
  </si>
  <si>
    <t xml:space="preserve">خمسة وتسعون مليوناً</t>
  </si>
  <si>
    <t xml:space="preserve">خمسة وتسعون هللة</t>
  </si>
  <si>
    <t xml:space="preserve">ستة وتسعون</t>
  </si>
  <si>
    <t xml:space="preserve">ستة وتسعون ألفاً</t>
  </si>
  <si>
    <t xml:space="preserve">ستة وتسعون مليوناً</t>
  </si>
  <si>
    <t xml:space="preserve">ستة وتسعون هللة</t>
  </si>
  <si>
    <t xml:space="preserve">سبعة وتسعون</t>
  </si>
  <si>
    <t xml:space="preserve">سبعة وتسعون ألفاً</t>
  </si>
  <si>
    <t xml:space="preserve">سبعة وتسعون مليوناً</t>
  </si>
  <si>
    <t xml:space="preserve">سبعة وتسعون هللة</t>
  </si>
  <si>
    <t xml:space="preserve">ثمانية وتسعون</t>
  </si>
  <si>
    <t xml:space="preserve">ثمانية وتسعون ألفاً</t>
  </si>
  <si>
    <t xml:space="preserve">ثمانية وتسعون مليوناً</t>
  </si>
  <si>
    <t xml:space="preserve">ثمانية وتسعون هللة</t>
  </si>
  <si>
    <t xml:space="preserve">تسعة وتسعون</t>
  </si>
  <si>
    <t xml:space="preserve">تسعة وتسعون ألفاً</t>
  </si>
  <si>
    <t xml:space="preserve">تسعة وتسعون مليوناً</t>
  </si>
  <si>
    <t xml:space="preserve">تسعة وتسعون هللة</t>
  </si>
  <si>
    <t xml:space="preserve">مائة</t>
  </si>
  <si>
    <t xml:space="preserve">مائة ألف</t>
  </si>
  <si>
    <t xml:space="preserve">مائة مليون</t>
  </si>
  <si>
    <t xml:space="preserve">مائة هللة</t>
  </si>
  <si>
    <t xml:space="preserve">مائة وواحد</t>
  </si>
  <si>
    <t xml:space="preserve">مائة وواحد ألف</t>
  </si>
  <si>
    <t xml:space="preserve">مائة وواحد مليون</t>
  </si>
  <si>
    <t xml:space="preserve">مائة وواحد هللة</t>
  </si>
  <si>
    <t xml:space="preserve">مائة واثنان</t>
  </si>
  <si>
    <t xml:space="preserve">مائة واثنان ألف</t>
  </si>
  <si>
    <t xml:space="preserve">مائة واثنان مليون</t>
  </si>
  <si>
    <t xml:space="preserve">مائة واثنان هللة</t>
  </si>
  <si>
    <t xml:space="preserve">مائة وثلاثة</t>
  </si>
  <si>
    <t xml:space="preserve">مائة وثلاثة آلاف</t>
  </si>
  <si>
    <t xml:space="preserve">مائة وثلاثة ملايين</t>
  </si>
  <si>
    <t xml:space="preserve">مائة وثلاثة هللات</t>
  </si>
  <si>
    <t xml:space="preserve">مائة وأربعة</t>
  </si>
  <si>
    <t xml:space="preserve">مائة وأربعة آلاف</t>
  </si>
  <si>
    <t xml:space="preserve">مائة وأربعة ملايين</t>
  </si>
  <si>
    <t xml:space="preserve">مائة وأربعة هللات</t>
  </si>
  <si>
    <t xml:space="preserve">مائة وخمسة</t>
  </si>
  <si>
    <t xml:space="preserve">مائة وخمسة آلاف</t>
  </si>
  <si>
    <t xml:space="preserve">مائة وخمسة ملايين</t>
  </si>
  <si>
    <t xml:space="preserve">مائة وخمسة هللات</t>
  </si>
  <si>
    <t xml:space="preserve">مائة وستة</t>
  </si>
  <si>
    <t xml:space="preserve">مائة وستة آلاف</t>
  </si>
  <si>
    <t xml:space="preserve">مائة وستة ملايين</t>
  </si>
  <si>
    <t xml:space="preserve">مائة وستة هللات</t>
  </si>
  <si>
    <t xml:space="preserve">مائة وسبعة</t>
  </si>
  <si>
    <t xml:space="preserve">مائة وسبعة آلاف</t>
  </si>
  <si>
    <t xml:space="preserve">مائة وسبعة ملايين</t>
  </si>
  <si>
    <t xml:space="preserve">مائة وسبعة هللات</t>
  </si>
  <si>
    <t xml:space="preserve">مائة وثمانية</t>
  </si>
  <si>
    <t xml:space="preserve">مائة وثمانية آلاف</t>
  </si>
  <si>
    <t xml:space="preserve">مائة وثمانية ملايين</t>
  </si>
  <si>
    <t xml:space="preserve">مائة وثمانية هللات</t>
  </si>
  <si>
    <t xml:space="preserve">مائة وتسعة</t>
  </si>
  <si>
    <t xml:space="preserve">مائة وتسعة آلاف</t>
  </si>
  <si>
    <t xml:space="preserve">مائة وتسعة ملايين</t>
  </si>
  <si>
    <t xml:space="preserve">مائة وتسعة هللات</t>
  </si>
  <si>
    <t xml:space="preserve">مائة وعشرة</t>
  </si>
  <si>
    <t xml:space="preserve">مائة وعشرة آلاف</t>
  </si>
  <si>
    <t xml:space="preserve">مائة وعشرة ملايين</t>
  </si>
  <si>
    <t xml:space="preserve">مائة وعشرة هللات</t>
  </si>
  <si>
    <t xml:space="preserve">مائة وأحد عشر</t>
  </si>
  <si>
    <t xml:space="preserve">مائة وأحد عشر ألفاً</t>
  </si>
  <si>
    <t xml:space="preserve">مائة وأحد عشر مليوناً</t>
  </si>
  <si>
    <t xml:space="preserve">مائة وأحد عشر هللة</t>
  </si>
  <si>
    <t xml:space="preserve">مائة واثنا عشر</t>
  </si>
  <si>
    <t xml:space="preserve">مائة واثنا عشر ألفاً</t>
  </si>
  <si>
    <t xml:space="preserve">مائة واثنا عشر مليوناً</t>
  </si>
  <si>
    <t xml:space="preserve">مائة واثنا عشر هللة</t>
  </si>
  <si>
    <t xml:space="preserve">مائة وثلاثة عشر</t>
  </si>
  <si>
    <t xml:space="preserve">مائة وثلاثة عشر ألفاً</t>
  </si>
  <si>
    <t xml:space="preserve">مائة وثلاثة عشر مليوناً</t>
  </si>
  <si>
    <t xml:space="preserve">مائة وثلاثة عشر هللة</t>
  </si>
  <si>
    <t xml:space="preserve">مائة وأربعة عشر</t>
  </si>
  <si>
    <t xml:space="preserve">مائة وأربعة عشر ألفاً</t>
  </si>
  <si>
    <t xml:space="preserve">مائة وأربعة عشر مليوناً</t>
  </si>
  <si>
    <t xml:space="preserve">مائة وأربعة عشر هللة</t>
  </si>
  <si>
    <t xml:space="preserve">مائة وخمسة عشر</t>
  </si>
  <si>
    <t xml:space="preserve">مائة وخمسة عشر ألفاً</t>
  </si>
  <si>
    <t xml:space="preserve">مائة وخمسة عشر مليوناً</t>
  </si>
  <si>
    <t xml:space="preserve">مائة وخمسة عشر هللة</t>
  </si>
  <si>
    <t xml:space="preserve">مائة وستة عشر</t>
  </si>
  <si>
    <t xml:space="preserve">مائة وستة عشر ألفاً</t>
  </si>
  <si>
    <t xml:space="preserve">مائة وستة عشر مليوناً</t>
  </si>
  <si>
    <t xml:space="preserve">مائة وستة عشر هللة</t>
  </si>
  <si>
    <t xml:space="preserve">مائة وسبعة عشر</t>
  </si>
  <si>
    <t xml:space="preserve">مائة وسبعة عشر ألفاً</t>
  </si>
  <si>
    <t xml:space="preserve">مائة وسبعة عشر مليوناً</t>
  </si>
  <si>
    <t xml:space="preserve">مائة وسبعة عشر هللة</t>
  </si>
  <si>
    <t xml:space="preserve">مائة وثمانية عشر</t>
  </si>
  <si>
    <t xml:space="preserve">مائة وثمانية عشر ألفاً</t>
  </si>
  <si>
    <t xml:space="preserve">مائة وثمانية عشر مليوناً</t>
  </si>
  <si>
    <t xml:space="preserve">مائة وثمانية عشر هللة</t>
  </si>
  <si>
    <t xml:space="preserve">مائة وتسعة عشر</t>
  </si>
  <si>
    <t xml:space="preserve">مائة وتسعة عشر ألفاً</t>
  </si>
  <si>
    <t xml:space="preserve">مائة وتسعة عشر مليوناً</t>
  </si>
  <si>
    <t xml:space="preserve">مائة وتسعة عشر هللة</t>
  </si>
  <si>
    <t xml:space="preserve">مائة وعشرون</t>
  </si>
  <si>
    <t xml:space="preserve">مائة وعشرون ألفاً</t>
  </si>
  <si>
    <t xml:space="preserve">مائة وعشرون مليوناً</t>
  </si>
  <si>
    <t xml:space="preserve">مائة وعشرون هللة</t>
  </si>
  <si>
    <t xml:space="preserve">مائة وواحد وعشرون</t>
  </si>
  <si>
    <t xml:space="preserve">مائة وواحد وعشرون ألفاً</t>
  </si>
  <si>
    <t xml:space="preserve">مائة وواحد وعشرون مليوناً</t>
  </si>
  <si>
    <t xml:space="preserve">مائة وواحد وعشرون هللة</t>
  </si>
  <si>
    <t xml:space="preserve">مائة واثنان وعشرون</t>
  </si>
  <si>
    <t xml:space="preserve">مائة واثنان وعشرون ألفاً</t>
  </si>
  <si>
    <t xml:space="preserve">مائة واثنان وعشرون مليوناً</t>
  </si>
  <si>
    <t xml:space="preserve">مائة واثنان وعشرون هللة</t>
  </si>
  <si>
    <t xml:space="preserve">مائة وثلاثة وعشرون</t>
  </si>
  <si>
    <t xml:space="preserve">مائة وثلاثة وعشرون ألفاً</t>
  </si>
  <si>
    <t xml:space="preserve">مائة وثلاثة وعشرون مليوناً</t>
  </si>
  <si>
    <t xml:space="preserve">مائة وثلاثة وعشرون هللة</t>
  </si>
  <si>
    <t xml:space="preserve">مائة وأربعة وعشرون</t>
  </si>
  <si>
    <t xml:space="preserve">مائة وأربعة وعشرون ألفاً</t>
  </si>
  <si>
    <t xml:space="preserve">مائة وأربعة وعشرون مليوناً</t>
  </si>
  <si>
    <t xml:space="preserve">مائة وأربعة وعشرون هللة</t>
  </si>
  <si>
    <t xml:space="preserve">مائة وخمسة وعشرون</t>
  </si>
  <si>
    <t xml:space="preserve">مائة وخمسة وعشرون ألفاً</t>
  </si>
  <si>
    <t xml:space="preserve">مائة وخمسة وعشرون مليوناً</t>
  </si>
  <si>
    <t xml:space="preserve">مائة وخمسة وعشرون هللة</t>
  </si>
  <si>
    <t xml:space="preserve">مائة وستة وعشرون</t>
  </si>
  <si>
    <t xml:space="preserve">مائة وستة وعشرون ألفاً</t>
  </si>
  <si>
    <t xml:space="preserve">مائة وستة وعشرون مليوناً</t>
  </si>
  <si>
    <t xml:space="preserve">مائة وستة وعشرون هللة</t>
  </si>
  <si>
    <t xml:space="preserve">مائة وسبعة وعشرون</t>
  </si>
  <si>
    <t xml:space="preserve">مائة وسبعة وعشرون ألفاً</t>
  </si>
  <si>
    <t xml:space="preserve">مائة وسبعة وعشرون مليوناً</t>
  </si>
  <si>
    <t xml:space="preserve">مائة وسبعة وعشرون هللة</t>
  </si>
  <si>
    <t xml:space="preserve">مائة وثمانية وعشرون</t>
  </si>
  <si>
    <t xml:space="preserve">مائة وثمانية وعشرون ألفاً</t>
  </si>
  <si>
    <t xml:space="preserve">مائة وثمانية وعشرون مليوناً</t>
  </si>
  <si>
    <t xml:space="preserve">مائة وثمانية وعشرون هللة</t>
  </si>
  <si>
    <t xml:space="preserve">مائة وتسعة وعشرون</t>
  </si>
  <si>
    <t xml:space="preserve">مائة وتسعة وعشرون ألفاً</t>
  </si>
  <si>
    <t xml:space="preserve">مائة وتسعة وعشرون مليوناً</t>
  </si>
  <si>
    <t xml:space="preserve">مائة وتسعة وعشرون هللة</t>
  </si>
  <si>
    <t xml:space="preserve">مائة وثلاثون</t>
  </si>
  <si>
    <t xml:space="preserve">مائة وثلاثون ألفاً</t>
  </si>
  <si>
    <t xml:space="preserve">مائة وثلاثون مليوناً</t>
  </si>
  <si>
    <t xml:space="preserve">مائة وثلاثون هللة</t>
  </si>
  <si>
    <t xml:space="preserve">مائة وواحد وثلاثون</t>
  </si>
  <si>
    <t xml:space="preserve">مائة وواحد وثلاثون ألفاً</t>
  </si>
  <si>
    <t xml:space="preserve">مائة وواحد وثلاثون مليوناً</t>
  </si>
  <si>
    <t xml:space="preserve">مائة وواحد وثلاثون هللة</t>
  </si>
  <si>
    <t xml:space="preserve">مائة واثنان وثلاثون</t>
  </si>
  <si>
    <t xml:space="preserve">مائة واثنان وثلاثون ألفاً</t>
  </si>
  <si>
    <t xml:space="preserve">مائة واثنان وثلاثون مليوناً</t>
  </si>
  <si>
    <t xml:space="preserve">مائة واثنان وثلاثون هللة</t>
  </si>
  <si>
    <t xml:space="preserve">مائة وثلاثة وثلاثون</t>
  </si>
  <si>
    <t xml:space="preserve">مائة وثلاثة وثلاثون ألفاً</t>
  </si>
  <si>
    <t xml:space="preserve">مائة وثلاثة وثلاثون مليوناً</t>
  </si>
  <si>
    <t xml:space="preserve">مائة وثلاثة وثلاثون هللة</t>
  </si>
  <si>
    <t xml:space="preserve">مائة وأربعة وثلاثون</t>
  </si>
  <si>
    <t xml:space="preserve">مائة وأربعة وثلاثون ألفاً</t>
  </si>
  <si>
    <t xml:space="preserve">مائة وأربعة وثلاثون مليوناً</t>
  </si>
  <si>
    <t xml:space="preserve">مائة وأربعة وثلاثون هللة</t>
  </si>
  <si>
    <t xml:space="preserve">مائة وخمسة وثلاثون</t>
  </si>
  <si>
    <t xml:space="preserve">مائة وخمسة وثلاثون ألفاً</t>
  </si>
  <si>
    <t xml:space="preserve">مائة وخمسة وثلاثون مليوناً</t>
  </si>
  <si>
    <t xml:space="preserve">مائة وخمسة وثلاثون هللة</t>
  </si>
  <si>
    <t xml:space="preserve">مائة وستة وثلاثون</t>
  </si>
  <si>
    <t xml:space="preserve">مائة وستة وثلاثون ألفاً</t>
  </si>
  <si>
    <t xml:space="preserve">مائة وستة وثلاثون مليوناً</t>
  </si>
  <si>
    <t xml:space="preserve">مائة وستة وثلاثون هللة</t>
  </si>
  <si>
    <t xml:space="preserve">مائة وسبعة وثلاثون</t>
  </si>
  <si>
    <t xml:space="preserve">مائة وسبعة وثلاثون ألفاً</t>
  </si>
  <si>
    <t xml:space="preserve">مائة وسبعة وثلاثون مليوناً</t>
  </si>
  <si>
    <t xml:space="preserve">مائة وسبعة وثلاثون هللة</t>
  </si>
  <si>
    <t xml:space="preserve">مائة وثمانية وثلاثون</t>
  </si>
  <si>
    <t xml:space="preserve">مائة وثمانية وثلاثون ألفاً</t>
  </si>
  <si>
    <t xml:space="preserve">مائة وثمانية وثلاثون مليوناً</t>
  </si>
  <si>
    <t xml:space="preserve">مائة وثمانية وثلاثون هللة</t>
  </si>
  <si>
    <t xml:space="preserve">مائة وتسعة وثلاثون</t>
  </si>
  <si>
    <t xml:space="preserve">مائة وتسعة وثلاثون ألفاً</t>
  </si>
  <si>
    <t xml:space="preserve">مائة وتسعة وثلاثون مليوناً</t>
  </si>
  <si>
    <t xml:space="preserve">مائة وتسعة وثلاثون هللة</t>
  </si>
  <si>
    <t xml:space="preserve">مائة وأربعون</t>
  </si>
  <si>
    <t xml:space="preserve">مائة وأربعون ألفاً</t>
  </si>
  <si>
    <t xml:space="preserve">مائة وأربعون مليوناً</t>
  </si>
  <si>
    <t xml:space="preserve">مائة وأربعون هللة</t>
  </si>
  <si>
    <t xml:space="preserve">مائة وواحد وأربعون</t>
  </si>
  <si>
    <t xml:space="preserve">مائة وواحد وأربعون ألفاً</t>
  </si>
  <si>
    <t xml:space="preserve">مائة وواحد وأربعون مليوناً</t>
  </si>
  <si>
    <t xml:space="preserve">مائة وواحد وأربعون هللة</t>
  </si>
  <si>
    <t xml:space="preserve">مائة واثنان وأربعون</t>
  </si>
  <si>
    <t xml:space="preserve">مائة واثنان وأربعون ألفاً</t>
  </si>
  <si>
    <t xml:space="preserve">مائة واثنان وأربعون مليوناً</t>
  </si>
  <si>
    <t xml:space="preserve">مائة واثنان وأربعون هللة</t>
  </si>
  <si>
    <t xml:space="preserve">مائة وثلاثة وأربعون</t>
  </si>
  <si>
    <t xml:space="preserve">مائة وثلاثة وأربعون ألفاً</t>
  </si>
  <si>
    <t xml:space="preserve">مائة وثلاثة وأربعون مليوناً</t>
  </si>
  <si>
    <t xml:space="preserve">مائة وثلاثة وأربعون هللة</t>
  </si>
  <si>
    <t xml:space="preserve">مائة وأربعة وأربعون</t>
  </si>
  <si>
    <t xml:space="preserve">مائة وأربعة وأربعون ألفاً</t>
  </si>
  <si>
    <t xml:space="preserve">مائة وأربعة وأربعون مليوناً</t>
  </si>
  <si>
    <t xml:space="preserve">مائة وأربعة وأربعون هللة</t>
  </si>
  <si>
    <t xml:space="preserve">مائة وخمسة وأربعون</t>
  </si>
  <si>
    <t xml:space="preserve">مائة وخمسة وأربعون ألفاً</t>
  </si>
  <si>
    <t xml:space="preserve">مائة وخمسة وأربعون مليوناً</t>
  </si>
  <si>
    <t xml:space="preserve">مائة وخمسة وأربعون هللة</t>
  </si>
  <si>
    <t xml:space="preserve">مائة وستة وأربعون</t>
  </si>
  <si>
    <t xml:space="preserve">مائة وستة وأربعون ألفاً</t>
  </si>
  <si>
    <t xml:space="preserve">مائة وستة وأربعون مليوناً</t>
  </si>
  <si>
    <t xml:space="preserve">مائة وستة وأربعون هللة</t>
  </si>
  <si>
    <t xml:space="preserve">مائة وسبعة وأربعون</t>
  </si>
  <si>
    <t xml:space="preserve">مائة وسبعة وأربعون ألفاً</t>
  </si>
  <si>
    <t xml:space="preserve">مائة وسبعة وأربعون مليوناً</t>
  </si>
  <si>
    <t xml:space="preserve">مائة وسبعة وأربعون هللة</t>
  </si>
  <si>
    <t xml:space="preserve">مائة وثمانية وأربعون</t>
  </si>
  <si>
    <t xml:space="preserve">مائة وثمانية وأربعون ألفاً</t>
  </si>
  <si>
    <t xml:space="preserve">مائة وثمانية وأربعون مليوناً</t>
  </si>
  <si>
    <t xml:space="preserve">مائة وثمانية وأربعون هللة</t>
  </si>
  <si>
    <t xml:space="preserve">مائة وتسعة وأربعون</t>
  </si>
  <si>
    <t xml:space="preserve">مائة وتسعة وأربعون ألفاً</t>
  </si>
  <si>
    <t xml:space="preserve">مائة وتسعة وأربعون مليوناً</t>
  </si>
  <si>
    <t xml:space="preserve">مائة وتسعة وأربعون هللة</t>
  </si>
  <si>
    <t xml:space="preserve">مائة وخمسون</t>
  </si>
  <si>
    <t xml:space="preserve">مائة وخمسون ألفاً</t>
  </si>
  <si>
    <t xml:space="preserve">مائة وخمسون مليوناً</t>
  </si>
  <si>
    <t xml:space="preserve">مائة وخمسون هللة</t>
  </si>
  <si>
    <t xml:space="preserve">مائة وواحد وخمسون</t>
  </si>
  <si>
    <t xml:space="preserve">مائة وواحد وخمسون ألفاً</t>
  </si>
  <si>
    <t xml:space="preserve">مائة وواحد وخمسون مليوناً</t>
  </si>
  <si>
    <t xml:space="preserve">مائة وواحد وخمسون هللة</t>
  </si>
  <si>
    <t xml:space="preserve">مائة واثنان وخمسون</t>
  </si>
  <si>
    <t xml:space="preserve">مائة واثنان وخمسون ألفاً</t>
  </si>
  <si>
    <t xml:space="preserve">مائة واثنان وخمسون مليوناً</t>
  </si>
  <si>
    <t xml:space="preserve">مائة واثنان وخمسون هللة</t>
  </si>
  <si>
    <t xml:space="preserve">مائة وثلاثة وخمسون</t>
  </si>
  <si>
    <t xml:space="preserve">مائة وثلاثة وخمسون ألفاً</t>
  </si>
  <si>
    <t xml:space="preserve">مائة وثلاثة وخمسون مليوناً</t>
  </si>
  <si>
    <t xml:space="preserve">مائة وثلاثة وخمسون هللة</t>
  </si>
  <si>
    <t xml:space="preserve">مائة وأربعة وخمسون</t>
  </si>
  <si>
    <t xml:space="preserve">مائة وأربعة وخمسون ألفاً</t>
  </si>
  <si>
    <t xml:space="preserve">مائة وأربعة وخمسون مليوناً</t>
  </si>
  <si>
    <t xml:space="preserve">مائة وأربعة وخمسون هللة</t>
  </si>
  <si>
    <t xml:space="preserve">مائة وخمسة وخمسون</t>
  </si>
  <si>
    <t xml:space="preserve">مائة وخمسة وخمسون ألفاً</t>
  </si>
  <si>
    <t xml:space="preserve">مائة وخمسة وخمسون مليوناً</t>
  </si>
  <si>
    <t xml:space="preserve">مائة وخمسة وخمسون هللة</t>
  </si>
  <si>
    <t xml:space="preserve">مائة وستة وخمسون</t>
  </si>
  <si>
    <t xml:space="preserve">مائة وستة وخمسون ألفاً</t>
  </si>
  <si>
    <t xml:space="preserve">مائة وستة وخمسون مليوناً</t>
  </si>
  <si>
    <t xml:space="preserve">مائة وستة وخمسون هللة</t>
  </si>
  <si>
    <t xml:space="preserve">مائة وسبعة وخمسون</t>
  </si>
  <si>
    <t xml:space="preserve">مائة وسبعة وخمسون ألفاً</t>
  </si>
  <si>
    <t xml:space="preserve">مائة وسبعة وخمسون مليوناً</t>
  </si>
  <si>
    <t xml:space="preserve">مائة وسبعة وخمسون هللة</t>
  </si>
  <si>
    <t xml:space="preserve">مائة وثمانية وخمسون</t>
  </si>
  <si>
    <t xml:space="preserve">مائة وثمانية وخمسون ألفاً</t>
  </si>
  <si>
    <t xml:space="preserve">مائة وثمانية وخمسون مليوناً</t>
  </si>
  <si>
    <t xml:space="preserve">مائة وثمانية وخمسون هللة</t>
  </si>
  <si>
    <t xml:space="preserve">مائة وتسعة وخمسون</t>
  </si>
  <si>
    <t xml:space="preserve">مائة وتسعة وخمسون ألفاً</t>
  </si>
  <si>
    <t xml:space="preserve">مائة وتسعة وخمسون مليوناً</t>
  </si>
  <si>
    <t xml:space="preserve">مائة وتسعة وخمسون هللة</t>
  </si>
  <si>
    <t xml:space="preserve">مائة وستون</t>
  </si>
  <si>
    <t xml:space="preserve">مائة وستون ألفاً</t>
  </si>
  <si>
    <t xml:space="preserve">مائة وستون مليوناً</t>
  </si>
  <si>
    <t xml:space="preserve">مائة وستون هللة</t>
  </si>
  <si>
    <t xml:space="preserve">مائة وواحد وستون</t>
  </si>
  <si>
    <t xml:space="preserve">مائة وواحد وستون ألفاً</t>
  </si>
  <si>
    <t xml:space="preserve">مائة وواحد وستون مليوناً</t>
  </si>
  <si>
    <t xml:space="preserve">مائة وواحد وستون هللة</t>
  </si>
  <si>
    <t xml:space="preserve">مائة واثنان وستون</t>
  </si>
  <si>
    <t xml:space="preserve">مائة واثنان وستون ألفاً</t>
  </si>
  <si>
    <t xml:space="preserve">مائة واثنان وستون مليوناً</t>
  </si>
  <si>
    <t xml:space="preserve">مائة واثنان وستون هللة</t>
  </si>
  <si>
    <t xml:space="preserve">مائة وثلاثة وستون</t>
  </si>
  <si>
    <t xml:space="preserve">مائة وثلاثة وستون ألفاً</t>
  </si>
  <si>
    <t xml:space="preserve">مائة وثلاثة وستون مليوناً</t>
  </si>
  <si>
    <t xml:space="preserve">مائة وثلاثة وستون هللة</t>
  </si>
  <si>
    <t xml:space="preserve">مائة وأربعة وستون</t>
  </si>
  <si>
    <t xml:space="preserve">مائة وأربعة وستون ألفاً</t>
  </si>
  <si>
    <t xml:space="preserve">مائة وأربعة وستون مليوناً</t>
  </si>
  <si>
    <t xml:space="preserve">مائة وأربعة وستون هللة</t>
  </si>
  <si>
    <t xml:space="preserve">مائة وخمسة وستون</t>
  </si>
  <si>
    <t xml:space="preserve">مائة وخمسة وستون ألفاً</t>
  </si>
  <si>
    <t xml:space="preserve">مائة وخمسة وستون مليوناً</t>
  </si>
  <si>
    <t xml:space="preserve">مائة وخمسة وستون هللة</t>
  </si>
  <si>
    <t xml:space="preserve">مائة وستة وستون</t>
  </si>
  <si>
    <t xml:space="preserve">مائة وستة وستون ألفاً</t>
  </si>
  <si>
    <t xml:space="preserve">مائة وستة وستون مليوناً</t>
  </si>
  <si>
    <t xml:space="preserve">مائة وستة وستون هللة</t>
  </si>
  <si>
    <t xml:space="preserve">مائة وسبعة وستون</t>
  </si>
  <si>
    <t xml:space="preserve">مائة وسبعة وستون ألفاً</t>
  </si>
  <si>
    <t xml:space="preserve">مائة وسبعة وستون مليوناً</t>
  </si>
  <si>
    <t xml:space="preserve">مائة وسبعة وستون هللة</t>
  </si>
  <si>
    <t xml:space="preserve">مائة وثمانية وستون</t>
  </si>
  <si>
    <t xml:space="preserve">مائة وثمانية وستون ألفاً</t>
  </si>
  <si>
    <t xml:space="preserve">مائة وثمانية وستون مليوناً</t>
  </si>
  <si>
    <t xml:space="preserve">مائة وثمانية وستون هللة</t>
  </si>
  <si>
    <t xml:space="preserve">مائة وتسعة وستون</t>
  </si>
  <si>
    <t xml:space="preserve">مائة وتسعة وستون ألفاً</t>
  </si>
  <si>
    <t xml:space="preserve">مائة وتسعة وستون مليوناً</t>
  </si>
  <si>
    <t xml:space="preserve">مائة وتسعة وستون هللة</t>
  </si>
  <si>
    <t xml:space="preserve">مائة وسبعون</t>
  </si>
  <si>
    <t xml:space="preserve">مائة وسبعون ألفاً</t>
  </si>
  <si>
    <t xml:space="preserve">مائة وسبعون مليوناً</t>
  </si>
  <si>
    <t xml:space="preserve">مائة وسبعون هللة</t>
  </si>
  <si>
    <t xml:space="preserve">مائة وواحد وسبعون</t>
  </si>
  <si>
    <t xml:space="preserve">مائة وواحد وسبعون ألفاً</t>
  </si>
  <si>
    <t xml:space="preserve">مائة وواحد وسبعون مليوناً</t>
  </si>
  <si>
    <t xml:space="preserve">مائة وواحد وسبعون هللة</t>
  </si>
  <si>
    <t xml:space="preserve">مائة واثنان وسبعون</t>
  </si>
  <si>
    <t xml:space="preserve">مائة واثنان وسبعون ألفاً</t>
  </si>
  <si>
    <t xml:space="preserve">مائة واثنان وسبعون مليوناً</t>
  </si>
  <si>
    <t xml:space="preserve">مائة واثنان وسبعون هللة</t>
  </si>
  <si>
    <t xml:space="preserve">مائة وثلاثة وسبعون</t>
  </si>
  <si>
    <t xml:space="preserve">مائة وثلاثة وسبعون ألفاً</t>
  </si>
  <si>
    <t xml:space="preserve">مائة وثلاثة وسبعون مليوناً</t>
  </si>
  <si>
    <t xml:space="preserve">مائة وثلاثة وسبعون هللة</t>
  </si>
  <si>
    <t xml:space="preserve">مائة وأربعة وسبعون</t>
  </si>
  <si>
    <t xml:space="preserve">مائة وأربعة وسبعون ألفاً</t>
  </si>
  <si>
    <t xml:space="preserve">مائة وأربعة وسبعون مليوناً</t>
  </si>
  <si>
    <t xml:space="preserve">مائة وأربعة وسبعون هللة</t>
  </si>
  <si>
    <t xml:space="preserve">مائة وخمسة وسبعون</t>
  </si>
  <si>
    <t xml:space="preserve">مائة وخمسة وسبعون ألفاً</t>
  </si>
  <si>
    <t xml:space="preserve">مائة وخمسة وسبعون مليوناً</t>
  </si>
  <si>
    <t xml:space="preserve">مائة وخمسة وسبعون هللة</t>
  </si>
  <si>
    <t xml:space="preserve">مائة وستة وسبعون</t>
  </si>
  <si>
    <t xml:space="preserve">مائة وستة وسبعون ألفاً</t>
  </si>
  <si>
    <t xml:space="preserve">مائة وستة وسبعون مليوناً</t>
  </si>
  <si>
    <t xml:space="preserve">مائة وستة وسبعون هللة</t>
  </si>
  <si>
    <t xml:space="preserve">مائة وسبعة وسبعون</t>
  </si>
  <si>
    <t xml:space="preserve">مائة وسبعة وسبعون ألفاً</t>
  </si>
  <si>
    <t xml:space="preserve">مائة وسبعة وسبعون مليوناً</t>
  </si>
  <si>
    <t xml:space="preserve">مائة وسبعة وسبعون هللة</t>
  </si>
  <si>
    <t xml:space="preserve">مائة وثمانية وسبعون</t>
  </si>
  <si>
    <t xml:space="preserve">مائة وثمانية وسبعون ألفاً</t>
  </si>
  <si>
    <t xml:space="preserve">مائة وثمانية وسبعون مليوناً</t>
  </si>
  <si>
    <t xml:space="preserve">مائة وثمانية وسبعون هللة</t>
  </si>
  <si>
    <t xml:space="preserve">مائة وتسعة وسبعون</t>
  </si>
  <si>
    <t xml:space="preserve">مائة وتسعة وسبعون ألفاً</t>
  </si>
  <si>
    <t xml:space="preserve">مائة وتسعة وسبعون مليوناً</t>
  </si>
  <si>
    <t xml:space="preserve">مائة وتسعة وسبعون هللة</t>
  </si>
  <si>
    <t xml:space="preserve">مائة وثمانون</t>
  </si>
  <si>
    <t xml:space="preserve">مائة وثمانون ألفاً</t>
  </si>
  <si>
    <t xml:space="preserve">مائة وثمانون مليوناً</t>
  </si>
  <si>
    <t xml:space="preserve">مائة وثمانون هللة</t>
  </si>
  <si>
    <t xml:space="preserve">مائة وواحد وثمانون</t>
  </si>
  <si>
    <t xml:space="preserve">مائة وواحد وثمانون ألفاً</t>
  </si>
  <si>
    <t xml:space="preserve">مائة وواحد وثمانون مليوناً</t>
  </si>
  <si>
    <t xml:space="preserve">مائة وواحد وثمانون هللة</t>
  </si>
  <si>
    <t xml:space="preserve">مائة واثنان وثمانون</t>
  </si>
  <si>
    <t xml:space="preserve">مائة واثنان وثمانون ألفاً</t>
  </si>
  <si>
    <t xml:space="preserve">مائة واثنان وثمانون مليوناً</t>
  </si>
  <si>
    <t xml:space="preserve">مائة واثنان وثمانون هللة</t>
  </si>
  <si>
    <t xml:space="preserve">مائة وثلاثة وثمانون</t>
  </si>
  <si>
    <t xml:space="preserve">مائة وثلاثة وثمانون ألفاً</t>
  </si>
  <si>
    <t xml:space="preserve">مائة وثلاثة وثمانون مليوناً</t>
  </si>
  <si>
    <t xml:space="preserve">مائة وثلاثة وثمانون هللة</t>
  </si>
  <si>
    <t xml:space="preserve">مائة وأربعة وثمانون</t>
  </si>
  <si>
    <t xml:space="preserve">مائة وأربعة وثمانون ألفاً</t>
  </si>
  <si>
    <t xml:space="preserve">مائة وأربعة وثمانون مليوناً</t>
  </si>
  <si>
    <t xml:space="preserve">مائة وأربعة وثمانون هللة</t>
  </si>
  <si>
    <t xml:space="preserve">مائة وخمسة وثمانون</t>
  </si>
  <si>
    <t xml:space="preserve">مائة وخمسة وثمانون ألفاً</t>
  </si>
  <si>
    <t xml:space="preserve">مائة وخمسة وثمانون مليوناً</t>
  </si>
  <si>
    <t xml:space="preserve">مائة وخمسة وثمانون هللة</t>
  </si>
  <si>
    <t xml:space="preserve">مائة وستة وثمانون</t>
  </si>
  <si>
    <t xml:space="preserve">مائة وستة وثمانون ألفاً</t>
  </si>
  <si>
    <t xml:space="preserve">مائة وستة وثمانون مليوناً</t>
  </si>
  <si>
    <t xml:space="preserve">مائة وستة وثمانون هللة</t>
  </si>
  <si>
    <t xml:space="preserve">مائة وسبعة وثمانون</t>
  </si>
  <si>
    <t xml:space="preserve">مائة وسبعة وثمانون ألفاً</t>
  </si>
  <si>
    <t xml:space="preserve">مائة وسبعة وثمانون مليوناً</t>
  </si>
  <si>
    <t xml:space="preserve">مائة وسبعة وثمانون هللة</t>
  </si>
  <si>
    <t xml:space="preserve">مائة وثمانية وثمانون</t>
  </si>
  <si>
    <t xml:space="preserve">مائة وثمانية وثمانون ألفاً</t>
  </si>
  <si>
    <t xml:space="preserve">مائة وثمانية وثمانون مليوناً</t>
  </si>
  <si>
    <t xml:space="preserve">مائة وثمانية وثمانون هللة</t>
  </si>
  <si>
    <t xml:space="preserve">مائة وتسعة وثمانون</t>
  </si>
  <si>
    <t xml:space="preserve">مائة وتسعة وثمانون ألفاً</t>
  </si>
  <si>
    <t xml:space="preserve">مائة وتسعة وثمانون مليوناً</t>
  </si>
  <si>
    <t xml:space="preserve">مائة وتسعة وثمانون هللة</t>
  </si>
  <si>
    <t xml:space="preserve">مائة وتسعون</t>
  </si>
  <si>
    <t xml:space="preserve">مائة وتسعون ألفاً</t>
  </si>
  <si>
    <t xml:space="preserve">مائة وتسعون مليوناً</t>
  </si>
  <si>
    <t xml:space="preserve">مائة وتسعون هللة</t>
  </si>
  <si>
    <t xml:space="preserve">مائة وواحد وتسعون</t>
  </si>
  <si>
    <t xml:space="preserve">مائة وواحد وتسعون ألفاً</t>
  </si>
  <si>
    <t xml:space="preserve">مائة وواحد وتسعون مليوناً</t>
  </si>
  <si>
    <t xml:space="preserve">مائة وواحد وتسعون هللة</t>
  </si>
  <si>
    <t xml:space="preserve">مائة واثنان وتسعون</t>
  </si>
  <si>
    <t xml:space="preserve">مائة واثنان وتسعون ألفاً</t>
  </si>
  <si>
    <t xml:space="preserve">مائة واثنان وتسعون مليوناً</t>
  </si>
  <si>
    <t xml:space="preserve">مائة واثنان وتسعون هللة</t>
  </si>
  <si>
    <t xml:space="preserve">مائة وثلاثة وتسعون</t>
  </si>
  <si>
    <t xml:space="preserve">مائة وثلاثة وتسعون ألفاً</t>
  </si>
  <si>
    <t xml:space="preserve">مائة وثلاثة وتسعون مليوناً</t>
  </si>
  <si>
    <t xml:space="preserve">مائة وثلاثة وتسعون هللة</t>
  </si>
  <si>
    <t xml:space="preserve">مائة وأربعة وتسعون</t>
  </si>
  <si>
    <t xml:space="preserve">مائة وأربعة وتسعون ألفاً</t>
  </si>
  <si>
    <t xml:space="preserve">مائة وأربعة وتسعون مليوناً</t>
  </si>
  <si>
    <t xml:space="preserve">مائة وأربعة وتسعون هللة</t>
  </si>
  <si>
    <t xml:space="preserve">مائة وخمسة وتسعون</t>
  </si>
  <si>
    <t xml:space="preserve">مائة وخمسة وتسعون ألفاً</t>
  </si>
  <si>
    <t xml:space="preserve">مائة وخمسة وتسعون مليوناً</t>
  </si>
  <si>
    <t xml:space="preserve">مائة وخمسة وتسعون هللة</t>
  </si>
  <si>
    <t xml:space="preserve">مائة وستة وتسعون</t>
  </si>
  <si>
    <t xml:space="preserve">مائة وستة وتسعون ألفاً</t>
  </si>
  <si>
    <t xml:space="preserve">مائة وستة وتسعون مليوناً</t>
  </si>
  <si>
    <t xml:space="preserve">مائة وستة وتسعون هللة</t>
  </si>
  <si>
    <t xml:space="preserve">مائة وسبعة وتسعون</t>
  </si>
  <si>
    <t xml:space="preserve">مائة وسبعة وتسعون ألفاً</t>
  </si>
  <si>
    <t xml:space="preserve">مائة وسبعة وتسعون مليوناً</t>
  </si>
  <si>
    <t xml:space="preserve">مائة وسبعة وتسعون هللة</t>
  </si>
  <si>
    <t xml:space="preserve">مائة وثمانية وتسعون</t>
  </si>
  <si>
    <t xml:space="preserve">مائة وثمانية وتسعون ألفاً</t>
  </si>
  <si>
    <t xml:space="preserve">مائة وثمانية وتسعون مليوناً</t>
  </si>
  <si>
    <t xml:space="preserve">مائة وثمانية وتسعون هللة</t>
  </si>
  <si>
    <t xml:space="preserve">مائة وتسعة وتسعون</t>
  </si>
  <si>
    <t xml:space="preserve">مائة وتسعة وتسعون ألفاً</t>
  </si>
  <si>
    <t xml:space="preserve">مائة وتسعة وتسعون مليوناً</t>
  </si>
  <si>
    <t xml:space="preserve">مائة وتسعة وتسعون هللة</t>
  </si>
  <si>
    <t xml:space="preserve">مائتان</t>
  </si>
  <si>
    <t xml:space="preserve">مائتان ألف</t>
  </si>
  <si>
    <t xml:space="preserve">مائتان مليون</t>
  </si>
  <si>
    <t xml:space="preserve">مائتان هللة</t>
  </si>
  <si>
    <t xml:space="preserve">مائتان وواحد</t>
  </si>
  <si>
    <t xml:space="preserve">مائتان وواحد ألف</t>
  </si>
  <si>
    <t xml:space="preserve">مائتان وواحد مليون</t>
  </si>
  <si>
    <t xml:space="preserve">مائتان وواحد هللة</t>
  </si>
  <si>
    <t xml:space="preserve">مائتان واثنان</t>
  </si>
  <si>
    <t xml:space="preserve">مائتان واثنان ألف</t>
  </si>
  <si>
    <t xml:space="preserve">مائتان واثنان مليون</t>
  </si>
  <si>
    <t xml:space="preserve">مائتان واثنان هللة</t>
  </si>
  <si>
    <t xml:space="preserve">مائتان وثلاثة</t>
  </si>
  <si>
    <t xml:space="preserve">مائتان وثلاثة آلاف</t>
  </si>
  <si>
    <t xml:space="preserve">مائتان وثلاثة ملايين</t>
  </si>
  <si>
    <t xml:space="preserve">مائتان وثلاثة هللات</t>
  </si>
  <si>
    <t xml:space="preserve">مائتان وأربعة</t>
  </si>
  <si>
    <t xml:space="preserve">مائتان وأربعة آلاف</t>
  </si>
  <si>
    <t xml:space="preserve">مائتان وأربعة ملايين</t>
  </si>
  <si>
    <t xml:space="preserve">مائتان وأربعة هللات</t>
  </si>
  <si>
    <t xml:space="preserve">مائتان وخمسة</t>
  </si>
  <si>
    <t xml:space="preserve">مائتان وخمسة آلاف</t>
  </si>
  <si>
    <t xml:space="preserve">مائتان وخمسة ملايين</t>
  </si>
  <si>
    <t xml:space="preserve">مائتان وخمسة هللات</t>
  </si>
  <si>
    <t xml:space="preserve">مائتان وستة</t>
  </si>
  <si>
    <t xml:space="preserve">مائتان وستة آلاف</t>
  </si>
  <si>
    <t xml:space="preserve">مائتان وستة ملايين</t>
  </si>
  <si>
    <t xml:space="preserve">مائتان وستة هللات</t>
  </si>
  <si>
    <t xml:space="preserve">مائتان وسبعة</t>
  </si>
  <si>
    <t xml:space="preserve">مائتان وسبعة آلاف</t>
  </si>
  <si>
    <t xml:space="preserve">مائتان وسبعة ملايين</t>
  </si>
  <si>
    <t xml:space="preserve">مائتان وسبعة هللات</t>
  </si>
  <si>
    <t xml:space="preserve">مائتان وثمانية</t>
  </si>
  <si>
    <t xml:space="preserve">مائتان وثمانية آلاف</t>
  </si>
  <si>
    <t xml:space="preserve">مائتان وثمانية ملايين</t>
  </si>
  <si>
    <t xml:space="preserve">مائتان وثمانية هللات</t>
  </si>
  <si>
    <t xml:space="preserve">مائتان وتسعة</t>
  </si>
  <si>
    <t xml:space="preserve">مائتان وتسعة آلاف</t>
  </si>
  <si>
    <t xml:space="preserve">مائتان وتسعة ملايين</t>
  </si>
  <si>
    <t xml:space="preserve">مائتان وتسعة هللات</t>
  </si>
  <si>
    <t xml:space="preserve">مائتان وعشرة</t>
  </si>
  <si>
    <t xml:space="preserve">مائتان وعشرة آلاف</t>
  </si>
  <si>
    <t xml:space="preserve">مائتان وعشرة ملايين</t>
  </si>
  <si>
    <t xml:space="preserve">مائتان وعشرة هللات</t>
  </si>
  <si>
    <t xml:space="preserve">مائتان وأحد عشر</t>
  </si>
  <si>
    <t xml:space="preserve">مائتان وأحد عشر ألفاً</t>
  </si>
  <si>
    <t xml:space="preserve">مائتان وأحد عشر مليوناً</t>
  </si>
  <si>
    <t xml:space="preserve">مائتان وأحد عشر هللة</t>
  </si>
  <si>
    <t xml:space="preserve">مائتان واثنا عشر</t>
  </si>
  <si>
    <t xml:space="preserve">مائتان واثنا عشر ألفاً</t>
  </si>
  <si>
    <t xml:space="preserve">مائتان واثنا عشر مليوناً</t>
  </si>
  <si>
    <t xml:space="preserve">مائتان واثنا عشر هللة</t>
  </si>
  <si>
    <t xml:space="preserve">مائتان وثلاثة عشر</t>
  </si>
  <si>
    <t xml:space="preserve">مائتان وثلاثة عشر ألفاً</t>
  </si>
  <si>
    <t xml:space="preserve">مائتان وثلاثة عشر مليوناً</t>
  </si>
  <si>
    <t xml:space="preserve">مائتان وثلاثة عشر هللة</t>
  </si>
  <si>
    <t xml:space="preserve">مائتان وأربعة عشر</t>
  </si>
  <si>
    <t xml:space="preserve">مائتان وأربعة عشر ألفاً</t>
  </si>
  <si>
    <t xml:space="preserve">مائتان وأربعة عشر مليوناً</t>
  </si>
  <si>
    <t xml:space="preserve">مائتان وأربعة عشر هللة</t>
  </si>
  <si>
    <t xml:space="preserve">مائتان وخمسة عشر</t>
  </si>
  <si>
    <t xml:space="preserve">مائتان وخمسة عشر ألفاً</t>
  </si>
  <si>
    <t xml:space="preserve">مائتان وخمسة عشر مليوناً</t>
  </si>
  <si>
    <t xml:space="preserve">مائتان وخمسة عشر هللة</t>
  </si>
  <si>
    <t xml:space="preserve">مائتان وستة عشر</t>
  </si>
  <si>
    <t xml:space="preserve">مائتان وستة عشر ألفاً</t>
  </si>
  <si>
    <t xml:space="preserve">مائتان وستة عشر مليوناً</t>
  </si>
  <si>
    <t xml:space="preserve">مائتان وستة عشر هللة</t>
  </si>
  <si>
    <t xml:space="preserve">مائتان وسبعة عشر</t>
  </si>
  <si>
    <t xml:space="preserve">مائتان وسبعة عشر ألفاً</t>
  </si>
  <si>
    <t xml:space="preserve">مائتان وسبعة عشر مليوناً</t>
  </si>
  <si>
    <t xml:space="preserve">مائتان وسبعة عشر هللة</t>
  </si>
  <si>
    <t xml:space="preserve">مائتان وثمانية عشر</t>
  </si>
  <si>
    <t xml:space="preserve">مائتان وثمانية عشر ألفاً</t>
  </si>
  <si>
    <t xml:space="preserve">مائتان وثمانية عشر مليوناً</t>
  </si>
  <si>
    <t xml:space="preserve">مائتان وثمانية عشر هللة</t>
  </si>
  <si>
    <t xml:space="preserve">مائتان وتسعة عشر</t>
  </si>
  <si>
    <t xml:space="preserve">مائتان وتسعة عشر ألفاً</t>
  </si>
  <si>
    <t xml:space="preserve">مائتان وتسعة عشر مليوناً</t>
  </si>
  <si>
    <t xml:space="preserve">مائتان وتسعة عشر هللة</t>
  </si>
  <si>
    <t xml:space="preserve">مائتان وعشرون</t>
  </si>
  <si>
    <t xml:space="preserve">مائتان وعشرون ألفاً</t>
  </si>
  <si>
    <t xml:space="preserve">مائتان وعشرون مليوناً</t>
  </si>
  <si>
    <t xml:space="preserve">مائتان وعشرون هللة</t>
  </si>
  <si>
    <t xml:space="preserve">مائتان وواحد وعشرون</t>
  </si>
  <si>
    <t xml:space="preserve">مائتان وواحد وعشرون ألفاً</t>
  </si>
  <si>
    <t xml:space="preserve">مائتان وواحد وعشرون مليوناً</t>
  </si>
  <si>
    <t xml:space="preserve">مائتان وواحد وعشرون هللة</t>
  </si>
  <si>
    <t xml:space="preserve">مائتان واثنان وعشرون</t>
  </si>
  <si>
    <t xml:space="preserve">مائتان واثنان وعشرون ألفاً</t>
  </si>
  <si>
    <t xml:space="preserve">مائتان واثنان وعشرون مليوناً</t>
  </si>
  <si>
    <t xml:space="preserve">مائتان واثنان وعشرون هللة</t>
  </si>
  <si>
    <t xml:space="preserve">مائتان وثلاثة وعشرون</t>
  </si>
  <si>
    <t xml:space="preserve">مائتان وثلاثة وعشرون ألفاً</t>
  </si>
  <si>
    <t xml:space="preserve">مائتان وثلاثة وعشرون مليوناً</t>
  </si>
  <si>
    <t xml:space="preserve">مائتان وثلاثة وعشرون هللة</t>
  </si>
  <si>
    <t xml:space="preserve">مائتان وأربعة وعشرون</t>
  </si>
  <si>
    <t xml:space="preserve">مائتان وأربعة وعشرون ألفاً</t>
  </si>
  <si>
    <t xml:space="preserve">مائتان وأربعة وعشرون مليوناً</t>
  </si>
  <si>
    <t xml:space="preserve">مائتان وأربعة وعشرون هللة</t>
  </si>
  <si>
    <t xml:space="preserve">مائتان وخمسة وعشرون</t>
  </si>
  <si>
    <t xml:space="preserve">مائتان وخمسة وعشرون ألفاً</t>
  </si>
  <si>
    <t xml:space="preserve">مائتان وخمسة وعشرون مليوناً</t>
  </si>
  <si>
    <t xml:space="preserve">مائتان وخمسة وعشرون هللة</t>
  </si>
  <si>
    <t xml:space="preserve">مائتان وستة وعشرون</t>
  </si>
  <si>
    <t xml:space="preserve">مائتان وستة وعشرون ألفاً</t>
  </si>
  <si>
    <t xml:space="preserve">مائتان وستة وعشرون مليوناً</t>
  </si>
  <si>
    <t xml:space="preserve">مائتان وستة وعشرون هللة</t>
  </si>
  <si>
    <t xml:space="preserve">مائتان وسبعة وعشرون</t>
  </si>
  <si>
    <t xml:space="preserve">مائتان وسبعة وعشرون ألفاً</t>
  </si>
  <si>
    <t xml:space="preserve">مائتان وسبعة وعشرون مليوناً</t>
  </si>
  <si>
    <t xml:space="preserve">مائتان وسبعة وعشرون هللة</t>
  </si>
  <si>
    <t xml:space="preserve">مائتان وثمانية وعشرون</t>
  </si>
  <si>
    <t xml:space="preserve">مائتان وثمانية وعشرون ألفاً</t>
  </si>
  <si>
    <t xml:space="preserve">مائتان وثمانية وعشرون مليوناً</t>
  </si>
  <si>
    <t xml:space="preserve">مائتان وثمانية وعشرون هللة</t>
  </si>
  <si>
    <t xml:space="preserve">مائتان وتسعة وعشرون</t>
  </si>
  <si>
    <t xml:space="preserve">مائتان وتسعة وعشرون ألفاً</t>
  </si>
  <si>
    <t xml:space="preserve">مائتان وتسعة وعشرون مليوناً</t>
  </si>
  <si>
    <t xml:space="preserve">مائتان وتسعة وعشرون هللة</t>
  </si>
  <si>
    <t xml:space="preserve">مائتان وثلاثون</t>
  </si>
  <si>
    <t xml:space="preserve">مائتان وثلاثون ألفاً</t>
  </si>
  <si>
    <t xml:space="preserve">مائتان وثلاثون مليوناً</t>
  </si>
  <si>
    <t xml:space="preserve">مائتان وثلاثون هللة</t>
  </si>
  <si>
    <t xml:space="preserve">مائتان وواحد وثلاثون</t>
  </si>
  <si>
    <t xml:space="preserve">مائتان وواحد وثلاثون ألفاً</t>
  </si>
  <si>
    <t xml:space="preserve">مائتان وواحد وثلاثون مليوناً</t>
  </si>
  <si>
    <t xml:space="preserve">مائتان وواحد وثلاثون هللة</t>
  </si>
  <si>
    <t xml:space="preserve">مائتان واثنان وثلاثون</t>
  </si>
  <si>
    <t xml:space="preserve">مائتان واثنان وثلاثون ألفاً</t>
  </si>
  <si>
    <t xml:space="preserve">مائتان واثنان وثلاثون مليوناً</t>
  </si>
  <si>
    <t xml:space="preserve">مائتان واثنان وثلاثون هللة</t>
  </si>
  <si>
    <t xml:space="preserve">مائتان وثلاثة وثلاثون</t>
  </si>
  <si>
    <t xml:space="preserve">مائتان وثلاثة وثلاثون ألفاً</t>
  </si>
  <si>
    <t xml:space="preserve">مائتان وثلاثة وثلاثون مليوناً</t>
  </si>
  <si>
    <t xml:space="preserve">مائتان وثلاثة وثلاثون هللة</t>
  </si>
  <si>
    <t xml:space="preserve">مائتان وأربعة وثلاثون</t>
  </si>
  <si>
    <t xml:space="preserve">مائتان وأربعة وثلاثون ألفاً</t>
  </si>
  <si>
    <t xml:space="preserve">مائتان وأربعة وثلاثون مليوناً</t>
  </si>
  <si>
    <t xml:space="preserve">مائتان وأربعة وثلاثون هللة</t>
  </si>
  <si>
    <t xml:space="preserve">مائتان وخمسة وثلاثون</t>
  </si>
  <si>
    <t xml:space="preserve">مائتان وخمسة وثلاثون ألفاً</t>
  </si>
  <si>
    <t xml:space="preserve">مائتان وخمسة وثلاثون مليوناً</t>
  </si>
  <si>
    <t xml:space="preserve">مائتان وخمسة وثلاثون هللة</t>
  </si>
  <si>
    <t xml:space="preserve">مائتان وستة وثلاثون</t>
  </si>
  <si>
    <t xml:space="preserve">مائتان وستة وثلاثون ألفاً</t>
  </si>
  <si>
    <t xml:space="preserve">مائتان وستة وثلاثون مليوناً</t>
  </si>
  <si>
    <t xml:space="preserve">مائتان وستة وثلاثون هللة</t>
  </si>
  <si>
    <t xml:space="preserve">مائتان وسبعة وثلاثون</t>
  </si>
  <si>
    <t xml:space="preserve">مائتان وسبعة وثلاثون ألفاً</t>
  </si>
  <si>
    <t xml:space="preserve">مائتان وسبعة وثلاثون مليوناً</t>
  </si>
  <si>
    <t xml:space="preserve">مائتان وسبعة وثلاثون هللة</t>
  </si>
  <si>
    <t xml:space="preserve">مائتان وثمانية وثلاثون</t>
  </si>
  <si>
    <t xml:space="preserve">مائتان وثمانية وثلاثون ألفاً</t>
  </si>
  <si>
    <t xml:space="preserve">مائتان وثمانية وثلاثون مليوناً</t>
  </si>
  <si>
    <t xml:space="preserve">مائتان وثمانية وثلاثون هللة</t>
  </si>
  <si>
    <t xml:space="preserve">مائتان وتسعة وثلاثون</t>
  </si>
  <si>
    <t xml:space="preserve">مائتان وتسعة وثلاثون ألفاً</t>
  </si>
  <si>
    <t xml:space="preserve">مائتان وتسعة وثلاثون مليوناً</t>
  </si>
  <si>
    <t xml:space="preserve">مائتان وتسعة وثلاثون هللة</t>
  </si>
  <si>
    <t xml:space="preserve">مائتان وأربعون</t>
  </si>
  <si>
    <t xml:space="preserve">مائتان وأربعون ألفاً</t>
  </si>
  <si>
    <t xml:space="preserve">مائتان وأربعون مليوناً</t>
  </si>
  <si>
    <t xml:space="preserve">مائتان وأربعون هللة</t>
  </si>
  <si>
    <t xml:space="preserve">مائتان وواحد وأربعون</t>
  </si>
  <si>
    <t xml:space="preserve">مائتان وواحد وأربعون ألفاً</t>
  </si>
  <si>
    <t xml:space="preserve">مائتان وواحد وأربعون مليوناً</t>
  </si>
  <si>
    <t xml:space="preserve">مائتان وواحد وأربعون هللة</t>
  </si>
  <si>
    <t xml:space="preserve">مائتان واثنان وأربعون</t>
  </si>
  <si>
    <t xml:space="preserve">مائتان واثنان وأربعون ألفاً</t>
  </si>
  <si>
    <t xml:space="preserve">مائتان واثنان وأربعون مليوناً</t>
  </si>
  <si>
    <t xml:space="preserve">مائتان واثنان وأربعون هللة</t>
  </si>
  <si>
    <t xml:space="preserve">مائتان وثلاثة وأربعون</t>
  </si>
  <si>
    <t xml:space="preserve">مائتان وثلاثة وأربعون ألفاً</t>
  </si>
  <si>
    <t xml:space="preserve">مائتان وثلاثة وأربعون مليوناً</t>
  </si>
  <si>
    <t xml:space="preserve">مائتان وثلاثة وأربعون هللة</t>
  </si>
  <si>
    <t xml:space="preserve">مائتان وأربعة وأربعون</t>
  </si>
  <si>
    <t xml:space="preserve">مائتان وأربعة وأربعون ألفاً</t>
  </si>
  <si>
    <t xml:space="preserve">مائتان وأربعة وأربعون مليوناً</t>
  </si>
  <si>
    <t xml:space="preserve">مائتان وأربعة وأربعون هللة</t>
  </si>
  <si>
    <t xml:space="preserve">مائتان وخمسة وأربعون</t>
  </si>
  <si>
    <t xml:space="preserve">مائتان وخمسة وأربعون ألفاً</t>
  </si>
  <si>
    <t xml:space="preserve">مائتان وخمسة وأربعون مليوناً</t>
  </si>
  <si>
    <t xml:space="preserve">مائتان وخمسة وأربعون هللة</t>
  </si>
  <si>
    <t xml:space="preserve">مائتان وستة وأربعون</t>
  </si>
  <si>
    <t xml:space="preserve">مائتان وستة وأربعون ألفاً</t>
  </si>
  <si>
    <t xml:space="preserve">مائتان وستة وأربعون مليوناً</t>
  </si>
  <si>
    <t xml:space="preserve">مائتان وستة وأربعون هللة</t>
  </si>
  <si>
    <t xml:space="preserve">مائتان وسبعة وأربعون</t>
  </si>
  <si>
    <t xml:space="preserve">مائتان وسبعة وأربعون ألفاً</t>
  </si>
  <si>
    <t xml:space="preserve">مائتان وسبعة وأربعون مليوناً</t>
  </si>
  <si>
    <t xml:space="preserve">مائتان وسبعة وأربعون هللة</t>
  </si>
  <si>
    <t xml:space="preserve">مائتان وثمانية وأربعون</t>
  </si>
  <si>
    <t xml:space="preserve">مائتان وثمانية وأربعون ألفاً</t>
  </si>
  <si>
    <t xml:space="preserve">مائتان وثمانية وأربعون مليوناً</t>
  </si>
  <si>
    <t xml:space="preserve">مائتان وثمانية وأربعون هللة</t>
  </si>
  <si>
    <t xml:space="preserve">مائتان وتسعة وأربعون</t>
  </si>
  <si>
    <t xml:space="preserve">مائتان وتسعة وأربعون ألفاً</t>
  </si>
  <si>
    <t xml:space="preserve">مائتان وتسعة وأربعون مليوناً</t>
  </si>
  <si>
    <t xml:space="preserve">مائتان وتسعة وأربعون هللة</t>
  </si>
  <si>
    <t xml:space="preserve">مائتان وخمسون</t>
  </si>
  <si>
    <t xml:space="preserve">مائتان وخمسون ألفاً</t>
  </si>
  <si>
    <t xml:space="preserve">مائتان وخمسون مليوناً</t>
  </si>
  <si>
    <t xml:space="preserve">مائتان وخمسون هللة</t>
  </si>
  <si>
    <t xml:space="preserve">مائتان وواحد وخمسون</t>
  </si>
  <si>
    <t xml:space="preserve">مائتان وواحد وخمسون ألفاً</t>
  </si>
  <si>
    <t xml:space="preserve">مائتان وواحد وخمسون مليوناً</t>
  </si>
  <si>
    <t xml:space="preserve">مائتان وواحد وخمسون هللة</t>
  </si>
  <si>
    <t xml:space="preserve">مائتان واثنان وخمسون</t>
  </si>
  <si>
    <t xml:space="preserve">مائتان واثنان وخمسون ألفاً</t>
  </si>
  <si>
    <t xml:space="preserve">مائتان واثنان وخمسون مليوناً</t>
  </si>
  <si>
    <t xml:space="preserve">مائتان واثنان وخمسون هللة</t>
  </si>
  <si>
    <t xml:space="preserve">مائتان وثلاثة وخمسون</t>
  </si>
  <si>
    <t xml:space="preserve">مائتان وثلاثة وخمسون ألفاً</t>
  </si>
  <si>
    <t xml:space="preserve">مائتان وثلاثة وخمسون مليوناً</t>
  </si>
  <si>
    <t xml:space="preserve">مائتان وثلاثة وخمسون هللة</t>
  </si>
  <si>
    <t xml:space="preserve">مائتان وأربعة وخمسون</t>
  </si>
  <si>
    <t xml:space="preserve">مائتان وأربعة وخمسون ألفاً</t>
  </si>
  <si>
    <t xml:space="preserve">مائتان وأربعة وخمسون مليوناً</t>
  </si>
  <si>
    <t xml:space="preserve">مائتان وأربعة وخمسون هللة</t>
  </si>
  <si>
    <t xml:space="preserve">مائتان وخمسة وخمسون</t>
  </si>
  <si>
    <t xml:space="preserve">مائتان وخمسة وخمسون ألفاً</t>
  </si>
  <si>
    <t xml:space="preserve">مائتان وخمسة وخمسون مليوناً</t>
  </si>
  <si>
    <t xml:space="preserve">مائتان وخمسة وخمسون هللة</t>
  </si>
  <si>
    <t xml:space="preserve">مائتان وستة وخمسون</t>
  </si>
  <si>
    <t xml:space="preserve">مائتان وستة وخمسون ألفاً</t>
  </si>
  <si>
    <t xml:space="preserve">مائتان وستة وخمسون مليوناً</t>
  </si>
  <si>
    <t xml:space="preserve">مائتان وستة وخمسون هللة</t>
  </si>
  <si>
    <t xml:space="preserve">مائتان وسبعة وخمسون</t>
  </si>
  <si>
    <t xml:space="preserve">مائتان وسبعة وخمسون ألفاً</t>
  </si>
  <si>
    <t xml:space="preserve">مائتان وسبعة وخمسون مليوناً</t>
  </si>
  <si>
    <t xml:space="preserve">مائتان وسبعة وخمسون هللة</t>
  </si>
  <si>
    <t xml:space="preserve">مائتان وثمانية وخمسون</t>
  </si>
  <si>
    <t xml:space="preserve">مائتان وثمانية وخمسون ألفاً</t>
  </si>
  <si>
    <t xml:space="preserve">مائتان وثمانية وخمسون مليوناً</t>
  </si>
  <si>
    <t xml:space="preserve">مائتان وثمانية وخمسون هللة</t>
  </si>
  <si>
    <t xml:space="preserve">مائتان وتسعة وخمسون</t>
  </si>
  <si>
    <t xml:space="preserve">مائتان وتسعة وخمسون ألفاً</t>
  </si>
  <si>
    <t xml:space="preserve">مائتان وتسعة وخمسون مليوناً</t>
  </si>
  <si>
    <t xml:space="preserve">مائتان وتسعة وخمسون هللة</t>
  </si>
  <si>
    <t xml:space="preserve">مائتان وستون</t>
  </si>
  <si>
    <t xml:space="preserve">مائتان وستون ألفاً</t>
  </si>
  <si>
    <t xml:space="preserve">مائتان وستون مليوناً</t>
  </si>
  <si>
    <t xml:space="preserve">مائتان وستون هللة</t>
  </si>
  <si>
    <t xml:space="preserve">مائتان وواحد وستون</t>
  </si>
  <si>
    <t xml:space="preserve">مائتان وواحد وستون ألفاً</t>
  </si>
  <si>
    <t xml:space="preserve">مائتان وواحد وستون مليوناً</t>
  </si>
  <si>
    <t xml:space="preserve">مائتان وواحد وستون هللة</t>
  </si>
  <si>
    <t xml:space="preserve">مائتان واثنان وستون</t>
  </si>
  <si>
    <t xml:space="preserve">مائتان واثنان وستون ألفاً</t>
  </si>
  <si>
    <t xml:space="preserve">مائتان واثنان وستون مليوناً</t>
  </si>
  <si>
    <t xml:space="preserve">مائتان واثنان وستون هللة</t>
  </si>
  <si>
    <t xml:space="preserve">مائتان وثلاثة وستون</t>
  </si>
  <si>
    <t xml:space="preserve">مائتان وثلاثة وستون ألفاً</t>
  </si>
  <si>
    <t xml:space="preserve">مائتان وثلاثة وستون مليوناً</t>
  </si>
  <si>
    <t xml:space="preserve">مائتان وثلاثة وستون هللة</t>
  </si>
  <si>
    <t xml:space="preserve">مائتان وأربعة وستون</t>
  </si>
  <si>
    <t xml:space="preserve">مائتان وأربعة وستون ألفاً</t>
  </si>
  <si>
    <t xml:space="preserve">مائتان وأربعة وستون مليوناً</t>
  </si>
  <si>
    <t xml:space="preserve">مائتان وأربعة وستون هللة</t>
  </si>
  <si>
    <t xml:space="preserve">مائتان وخمسة وستون</t>
  </si>
  <si>
    <t xml:space="preserve">مائتان وخمسة وستون ألفاً</t>
  </si>
  <si>
    <t xml:space="preserve">مائتان وخمسة وستون مليوناً</t>
  </si>
  <si>
    <t xml:space="preserve">مائتان وخمسة وستون هللة</t>
  </si>
  <si>
    <t xml:space="preserve">مائتان وستة وستون</t>
  </si>
  <si>
    <t xml:space="preserve">مائتان وستة وستون ألفاً</t>
  </si>
  <si>
    <t xml:space="preserve">مائتان وستة وستون مليوناً</t>
  </si>
  <si>
    <t xml:space="preserve">مائتان وستة وستون هللة</t>
  </si>
  <si>
    <t xml:space="preserve">مائتان وسبعة وستون</t>
  </si>
  <si>
    <t xml:space="preserve">مائتان وسبعة وستون ألفاً</t>
  </si>
  <si>
    <t xml:space="preserve">مائتان وسبعة وستون مليوناً</t>
  </si>
  <si>
    <t xml:space="preserve">مائتان وسبعة وستون هللة</t>
  </si>
  <si>
    <t xml:space="preserve">مائتان وثمانية وستون</t>
  </si>
  <si>
    <t xml:space="preserve">مائتان وثمانية وستون ألفاً</t>
  </si>
  <si>
    <t xml:space="preserve">مائتان وثمانية وستون مليوناً</t>
  </si>
  <si>
    <t xml:space="preserve">مائتان وثمانية وستون هللة</t>
  </si>
  <si>
    <t xml:space="preserve">مائتان وتسعة وستون</t>
  </si>
  <si>
    <t xml:space="preserve">مائتان وتسعة وستون ألفاً</t>
  </si>
  <si>
    <t xml:space="preserve">مائتان وتسعة وستون مليوناً</t>
  </si>
  <si>
    <t xml:space="preserve">مائتان وتسعة وستون هللة</t>
  </si>
  <si>
    <t xml:space="preserve">مائتان وسبعون</t>
  </si>
  <si>
    <t xml:space="preserve">مائتان وسبعون ألفاً</t>
  </si>
  <si>
    <t xml:space="preserve">مائتان وسبعون مليوناً</t>
  </si>
  <si>
    <t xml:space="preserve">مائتان وسبعون هللة</t>
  </si>
  <si>
    <t xml:space="preserve">مائتان وواحد وسبعون</t>
  </si>
  <si>
    <t xml:space="preserve">مائتان وواحد وسبعون ألفاً</t>
  </si>
  <si>
    <t xml:space="preserve">مائتان وواحد وسبعون مليوناً</t>
  </si>
  <si>
    <t xml:space="preserve">مائتان وواحد وسبعون هللة</t>
  </si>
  <si>
    <t xml:space="preserve">مائتان واثنان وسبعون</t>
  </si>
  <si>
    <t xml:space="preserve">مائتان واثنان وسبعون ألفاً</t>
  </si>
  <si>
    <t xml:space="preserve">مائتان واثنان وسبعون مليوناً</t>
  </si>
  <si>
    <t xml:space="preserve">مائتان واثنان وسبعون هللة</t>
  </si>
  <si>
    <t xml:space="preserve">مائتان وثلاثة وسبعون</t>
  </si>
  <si>
    <t xml:space="preserve">مائتان وثلاثة وسبعون ألفاً</t>
  </si>
  <si>
    <t xml:space="preserve">مائتان وثلاثة وسبعون مليوناً</t>
  </si>
  <si>
    <t xml:space="preserve">مائتان وثلاثة وسبعون هللة</t>
  </si>
  <si>
    <t xml:space="preserve">مائتان وأربعة وسبعون</t>
  </si>
  <si>
    <t xml:space="preserve">مائتان وأربعة وسبعون ألفاً</t>
  </si>
  <si>
    <t xml:space="preserve">مائتان وأربعة وسبعون مليوناً</t>
  </si>
  <si>
    <t xml:space="preserve">مائتان وأربعة وسبعون هللة</t>
  </si>
  <si>
    <t xml:space="preserve">مائتان وخمسة وسبعون</t>
  </si>
  <si>
    <t xml:space="preserve">مائتان وخمسة وسبعون ألفاً</t>
  </si>
  <si>
    <t xml:space="preserve">مائتان وخمسة وسبعون مليوناً</t>
  </si>
  <si>
    <t xml:space="preserve">مائتان وخمسة وسبعون هللة</t>
  </si>
  <si>
    <t xml:space="preserve">مائتان وستة وسبعون</t>
  </si>
  <si>
    <t xml:space="preserve">مائتان وستة وسبعون ألفاً</t>
  </si>
  <si>
    <t xml:space="preserve">مائتان وستة وسبعون مليوناً</t>
  </si>
  <si>
    <t xml:space="preserve">مائتان وستة وسبعون هللة</t>
  </si>
  <si>
    <t xml:space="preserve">مائتان وسبعة وسبعون</t>
  </si>
  <si>
    <t xml:space="preserve">مائتان وسبعة وسبعون ألفاً</t>
  </si>
  <si>
    <t xml:space="preserve">مائتان وسبعة وسبعون مليوناً</t>
  </si>
  <si>
    <t xml:space="preserve">مائتان وسبعة وسبعون هللة</t>
  </si>
  <si>
    <t xml:space="preserve">مائتان وثمانية وسبعون</t>
  </si>
  <si>
    <t xml:space="preserve">مائتان وثمانية وسبعون ألفاً</t>
  </si>
  <si>
    <t xml:space="preserve">مائتان وثمانية وسبعون مليوناً</t>
  </si>
  <si>
    <t xml:space="preserve">مائتان وثمانية وسبعون هللة</t>
  </si>
  <si>
    <t xml:space="preserve">مائتان وتسعة وسبعون</t>
  </si>
  <si>
    <t xml:space="preserve">مائتان وتسعة وسبعون ألفاً</t>
  </si>
  <si>
    <t xml:space="preserve">مائتان وتسعة وسبعون مليوناً</t>
  </si>
  <si>
    <t xml:space="preserve">مائتان وتسعة وسبعون هللة</t>
  </si>
  <si>
    <t xml:space="preserve">مائتان وثمانون</t>
  </si>
  <si>
    <t xml:space="preserve">مائتان وثمانون ألفاً</t>
  </si>
  <si>
    <t xml:space="preserve">مائتان وثمانون مليوناً</t>
  </si>
  <si>
    <t xml:space="preserve">مائتان وثمانون هللة</t>
  </si>
  <si>
    <t xml:space="preserve">مائتان وواحد وثمانون</t>
  </si>
  <si>
    <t xml:space="preserve">مائتان وواحد وثمانون ألفاً</t>
  </si>
  <si>
    <t xml:space="preserve">مائتان وواحد وثمانون مليوناً</t>
  </si>
  <si>
    <t xml:space="preserve">مائتان وواحد وثمانون هللة</t>
  </si>
  <si>
    <t xml:space="preserve">مائتان واثنان وثمانون</t>
  </si>
  <si>
    <t xml:space="preserve">مائتان واثنان وثمانون ألفاً</t>
  </si>
  <si>
    <t xml:space="preserve">مائتان واثنان وثمانون مليوناً</t>
  </si>
  <si>
    <t xml:space="preserve">مائتان واثنان وثمانون هللة</t>
  </si>
  <si>
    <t xml:space="preserve">مائتان وثلاثة وثمانون</t>
  </si>
  <si>
    <t xml:space="preserve">مائتان وثلاثة وثمانون ألفاً</t>
  </si>
  <si>
    <t xml:space="preserve">مائتان وثلاثة وثمانون مليوناً</t>
  </si>
  <si>
    <t xml:space="preserve">مائتان وثلاثة وثمانون هللة</t>
  </si>
  <si>
    <t xml:space="preserve">مائتان وأربعة وثمانون</t>
  </si>
  <si>
    <t xml:space="preserve">مائتان وأربعة وثمانون ألفاً</t>
  </si>
  <si>
    <t xml:space="preserve">مائتان وأربعة وثمانون مليوناً</t>
  </si>
  <si>
    <t xml:space="preserve">مائتان وأربعة وثمانون هللة</t>
  </si>
  <si>
    <t xml:space="preserve">مائتان وخمسة وثمانون</t>
  </si>
  <si>
    <t xml:space="preserve">مائتان وخمسة وثمانون ألفاً</t>
  </si>
  <si>
    <t xml:space="preserve">مائتان وخمسة وثمانون مليوناً</t>
  </si>
  <si>
    <t xml:space="preserve">مائتان وخمسة وثمانون هللة</t>
  </si>
  <si>
    <t xml:space="preserve">مائتان وستة وثمانون</t>
  </si>
  <si>
    <t xml:space="preserve">مائتان وستة وثمانون ألفاً</t>
  </si>
  <si>
    <t xml:space="preserve">مائتان وستة وثمانون مليوناً</t>
  </si>
  <si>
    <t xml:space="preserve">مائتان وستة وثمانون هللة</t>
  </si>
  <si>
    <t xml:space="preserve">مائتان وسبعة وثمانون</t>
  </si>
  <si>
    <t xml:space="preserve">مائتان وسبعة وثمانون ألفاً</t>
  </si>
  <si>
    <t xml:space="preserve">مائتان وسبعة وثمانون مليوناً</t>
  </si>
  <si>
    <t xml:space="preserve">مائتان وسبعة وثمانون هللة</t>
  </si>
  <si>
    <t xml:space="preserve">مائتان وثمانية وثمانون</t>
  </si>
  <si>
    <t xml:space="preserve">مائتان وثمانية وثمانون ألفاً</t>
  </si>
  <si>
    <t xml:space="preserve">مائتان وثمانية وثمانون مليوناً</t>
  </si>
  <si>
    <t xml:space="preserve">مائتان وثمانية وثمانون هللة</t>
  </si>
  <si>
    <t xml:space="preserve">مائتان وتسعة وثمانون</t>
  </si>
  <si>
    <t xml:space="preserve">مائتان وتسعة وثمانون ألفاً</t>
  </si>
  <si>
    <t xml:space="preserve">مائتان وتسعة وثمانون مليوناً</t>
  </si>
  <si>
    <t xml:space="preserve">مائتان وتسعة وثمانون هللة</t>
  </si>
  <si>
    <t xml:space="preserve">مائتان وتسعون</t>
  </si>
  <si>
    <t xml:space="preserve">مائتان وتسعون ألفاً</t>
  </si>
  <si>
    <t xml:space="preserve">مائتان وتسعون مليوناً</t>
  </si>
  <si>
    <t xml:space="preserve">مائتان وتسعون هللة</t>
  </si>
  <si>
    <t xml:space="preserve">مائتان وواحد وتسعون</t>
  </si>
  <si>
    <t xml:space="preserve">مائتان وواحد وتسعون ألفاً</t>
  </si>
  <si>
    <t xml:space="preserve">مائتان وواحد وتسعون مليوناً</t>
  </si>
  <si>
    <t xml:space="preserve">مائتان وواحد وتسعون هللة</t>
  </si>
  <si>
    <t xml:space="preserve">مائتان واثنان وتسعون</t>
  </si>
  <si>
    <t xml:space="preserve">مائتان واثنان وتسعون ألفاً</t>
  </si>
  <si>
    <t xml:space="preserve">مائتان واثنان وتسعون مليوناً</t>
  </si>
  <si>
    <t xml:space="preserve">مائتان واثنان وتسعون هللة</t>
  </si>
  <si>
    <t xml:space="preserve">مائتان وثلاثة وتسعون</t>
  </si>
  <si>
    <t xml:space="preserve">مائتان وثلاثة وتسعون ألفاً</t>
  </si>
  <si>
    <t xml:space="preserve">مائتان وثلاثة وتسعون مليوناً</t>
  </si>
  <si>
    <t xml:space="preserve">مائتان وثلاثة وتسعون هللة</t>
  </si>
  <si>
    <t xml:space="preserve">مائتان وأربعة وتسعون</t>
  </si>
  <si>
    <t xml:space="preserve">مائتان وأربعة وتسعون ألفاً</t>
  </si>
  <si>
    <t xml:space="preserve">مائتان وأربعة وتسعون مليوناً</t>
  </si>
  <si>
    <t xml:space="preserve">مائتان وأربعة وتسعون هللة</t>
  </si>
  <si>
    <t xml:space="preserve">مائتان وخمسة وتسعون</t>
  </si>
  <si>
    <t xml:space="preserve">مائتان وخمسة وتسعون ألفاً</t>
  </si>
  <si>
    <t xml:space="preserve">مائتان وخمسة وتسعون مليوناً</t>
  </si>
  <si>
    <t xml:space="preserve">مائتان وخمسة وتسعون هللة</t>
  </si>
  <si>
    <t xml:space="preserve">مائتان وستة وتسعون</t>
  </si>
  <si>
    <t xml:space="preserve">مائتان وستة وتسعون ألفاً</t>
  </si>
  <si>
    <t xml:space="preserve">مائتان وستة وتسعون مليوناً</t>
  </si>
  <si>
    <t xml:space="preserve">مائتان وستة وتسعون هللة</t>
  </si>
  <si>
    <t xml:space="preserve">مائتان وسبعة وتسعون</t>
  </si>
  <si>
    <t xml:space="preserve">مائتان وسبعة وتسعون ألفاً</t>
  </si>
  <si>
    <t xml:space="preserve">مائتان وسبعة وتسعون مليوناً</t>
  </si>
  <si>
    <t xml:space="preserve">مائتان وسبعة وتسعون هللة</t>
  </si>
  <si>
    <t xml:space="preserve">مائتان وثمانية وتسعون</t>
  </si>
  <si>
    <t xml:space="preserve">مائتان وثمانية وتسعون ألفاً</t>
  </si>
  <si>
    <t xml:space="preserve">مائتان وثمانية وتسعون مليوناً</t>
  </si>
  <si>
    <t xml:space="preserve">مائتان وثمانية وتسعون هللة</t>
  </si>
  <si>
    <t xml:space="preserve">مائتان وتسعة وتسعون</t>
  </si>
  <si>
    <t xml:space="preserve">مائتان وتسعة وتسعون ألفاً</t>
  </si>
  <si>
    <t xml:space="preserve">مائتان وتسعة وتسعون مليوناً</t>
  </si>
  <si>
    <t xml:space="preserve">مائتان وتسعة وتسعون هللة</t>
  </si>
  <si>
    <t xml:space="preserve">ثلاثمائة</t>
  </si>
  <si>
    <t xml:space="preserve">ثلاثمائة ألف</t>
  </si>
  <si>
    <t xml:space="preserve">ثلاثمائة مليون</t>
  </si>
  <si>
    <t xml:space="preserve">ثلاثمائة هللة</t>
  </si>
  <si>
    <t xml:space="preserve">ثلاثمائة وواحد</t>
  </si>
  <si>
    <t xml:space="preserve">ثلاثمائة وواحد ألف</t>
  </si>
  <si>
    <t xml:space="preserve">ثلاثمائة وواحد مليون</t>
  </si>
  <si>
    <t xml:space="preserve">ثلاثمائة وواحد هللة</t>
  </si>
  <si>
    <t xml:space="preserve">ثلاثمائة واثنان</t>
  </si>
  <si>
    <t xml:space="preserve">ثلاثمائة واثنان ألف</t>
  </si>
  <si>
    <t xml:space="preserve">ثلاثمائة واثنان مليون</t>
  </si>
  <si>
    <t xml:space="preserve">ثلاثمائة واثنان هللة</t>
  </si>
  <si>
    <t xml:space="preserve">ثلاثمائة وثلاثة</t>
  </si>
  <si>
    <t xml:space="preserve">ثلاثمائة وثلاثة آلاف</t>
  </si>
  <si>
    <t xml:space="preserve">ثلاثمائة وثلاثة ملايين</t>
  </si>
  <si>
    <t xml:space="preserve">ثلاثمائة وثلاثة هللات</t>
  </si>
  <si>
    <t xml:space="preserve">ثلاثمائة وأربعة</t>
  </si>
  <si>
    <t xml:space="preserve">ثلاثمائة وأربعة آلاف</t>
  </si>
  <si>
    <t xml:space="preserve">ثلاثمائة وأربعة ملايين</t>
  </si>
  <si>
    <t xml:space="preserve">ثلاثمائة وأربعة هللات</t>
  </si>
  <si>
    <t xml:space="preserve">ثلاثمائة وخمسة</t>
  </si>
  <si>
    <t xml:space="preserve">ثلاثمائة وخمسة آلاف</t>
  </si>
  <si>
    <t xml:space="preserve">ثلاثمائة وخمسة ملايين</t>
  </si>
  <si>
    <t xml:space="preserve">ثلاثمائة وخمسة هللات</t>
  </si>
  <si>
    <t xml:space="preserve">ثلاثمائة وستة</t>
  </si>
  <si>
    <t xml:space="preserve">ثلاثمائة وستة آلاف</t>
  </si>
  <si>
    <t xml:space="preserve">ثلاثمائة وستة ملايين</t>
  </si>
  <si>
    <t xml:space="preserve">ثلاثمائة وستة هللات</t>
  </si>
  <si>
    <t xml:space="preserve">ثلاثمائة وسبعة</t>
  </si>
  <si>
    <t xml:space="preserve">ثلاثمائة وسبعة آلاف</t>
  </si>
  <si>
    <t xml:space="preserve">ثلاثمائة وسبعة ملايين</t>
  </si>
  <si>
    <t xml:space="preserve">ثلاثمائة وسبعة هللات</t>
  </si>
  <si>
    <t xml:space="preserve">ثلاثمائة وثمانية</t>
  </si>
  <si>
    <t xml:space="preserve">ثلاثمائة وثمانية آلاف</t>
  </si>
  <si>
    <t xml:space="preserve">ثلاثمائة وثمانية ملايين</t>
  </si>
  <si>
    <t xml:space="preserve">ثلاثمائة وثمانية هللات</t>
  </si>
  <si>
    <t xml:space="preserve">ثلاثمائة وتسعة</t>
  </si>
  <si>
    <t xml:space="preserve">ثلاثمائة وتسعة آلاف</t>
  </si>
  <si>
    <t xml:space="preserve">ثلاثمائة وتسعة ملايين</t>
  </si>
  <si>
    <t xml:space="preserve">ثلاثمائة وتسعة هللات</t>
  </si>
  <si>
    <t xml:space="preserve">ثلاثمائة وعشرة</t>
  </si>
  <si>
    <t xml:space="preserve">ثلاثمائة وعشرة آلاف</t>
  </si>
  <si>
    <t xml:space="preserve">ثلاثمائة وعشرة ملايين</t>
  </si>
  <si>
    <t xml:space="preserve">ثلاثمائة وعشرة هللات</t>
  </si>
  <si>
    <t xml:space="preserve">ثلاثمائة وأحد عشر</t>
  </si>
  <si>
    <t xml:space="preserve">ثلاثمائة وأحد عشر ألفاً</t>
  </si>
  <si>
    <t xml:space="preserve">ثلاثمائة وأحد عشر مليوناً</t>
  </si>
  <si>
    <t xml:space="preserve">ثلاثمائة وأحد عشر هللة</t>
  </si>
  <si>
    <t xml:space="preserve">ثلاثمائة واثنا عشر</t>
  </si>
  <si>
    <t xml:space="preserve">ثلاثمائة واثنا عشر ألفاً</t>
  </si>
  <si>
    <t xml:space="preserve">ثلاثمائة واثنا عشر مليوناً</t>
  </si>
  <si>
    <t xml:space="preserve">ثلاثمائة واثنا عشر هللة</t>
  </si>
  <si>
    <t xml:space="preserve">ثلاثمائة وثلاثة عشر</t>
  </si>
  <si>
    <t xml:space="preserve">ثلاثمائة وثلاثة عشر ألفاً</t>
  </si>
  <si>
    <t xml:space="preserve">ثلاثمائة وثلاثة عشر مليوناً</t>
  </si>
  <si>
    <t xml:space="preserve">ثلاثمائة وثلاثة عشر هللة</t>
  </si>
  <si>
    <t xml:space="preserve">ثلاثمائة وأربعة عشر</t>
  </si>
  <si>
    <t xml:space="preserve">ثلاثمائة وأربعة عشر ألفاً</t>
  </si>
  <si>
    <t xml:space="preserve">ثلاثمائة وأربعة عشر مليوناً</t>
  </si>
  <si>
    <t xml:space="preserve">ثلاثمائة وأربعة عشر هللة</t>
  </si>
  <si>
    <t xml:space="preserve">ثلاثمائة وخمسة عشر</t>
  </si>
  <si>
    <t xml:space="preserve">ثلاثمائة وخمسة عشر ألفاً</t>
  </si>
  <si>
    <t xml:space="preserve">ثلاثمائة وخمسة عشر مليوناً</t>
  </si>
  <si>
    <t xml:space="preserve">ثلاثمائة وخمسة عشر هللة</t>
  </si>
  <si>
    <t xml:space="preserve">ثلاثمائة وستة عشر</t>
  </si>
  <si>
    <t xml:space="preserve">ثلاثمائة وستة عشر ألفاً</t>
  </si>
  <si>
    <t xml:space="preserve">ثلاثمائة وستة عشر مليوناً</t>
  </si>
  <si>
    <t xml:space="preserve">ثلاثمائة وستة عشر هللة</t>
  </si>
  <si>
    <t xml:space="preserve">ثلاثمائة وسبعة عشر</t>
  </si>
  <si>
    <t xml:space="preserve">ثلاثمائة وسبعة عشر ألفاً</t>
  </si>
  <si>
    <t xml:space="preserve">ثلاثمائة وسبعة عشر مليوناً</t>
  </si>
  <si>
    <t xml:space="preserve">ثلاثمائة وسبعة عشر هللة</t>
  </si>
  <si>
    <t xml:space="preserve">ثلاثمائة وثمانية عشر</t>
  </si>
  <si>
    <t xml:space="preserve">ثلاثمائة وثمانية عشر ألفاً</t>
  </si>
  <si>
    <t xml:space="preserve">ثلاثمائة وثمانية عشر مليوناً</t>
  </si>
  <si>
    <t xml:space="preserve">ثلاثمائة وثمانية عشر هللة</t>
  </si>
  <si>
    <t xml:space="preserve">ثلاثمائة وتسعة عشر</t>
  </si>
  <si>
    <t xml:space="preserve">ثلاثمائة وتسعة عشر ألفاً</t>
  </si>
  <si>
    <t xml:space="preserve">ثلاثمائة وتسعة عشر مليوناً</t>
  </si>
  <si>
    <t xml:space="preserve">ثلاثمائة وتسعة عشر هللة</t>
  </si>
  <si>
    <t xml:space="preserve">ثلاثمائة وعشرون</t>
  </si>
  <si>
    <t xml:space="preserve">ثلاثمائة وعشرون ألفاً</t>
  </si>
  <si>
    <t xml:space="preserve">ثلاثمائة وعشرون مليوناً</t>
  </si>
  <si>
    <t xml:space="preserve">ثلاثمائة وعشرون هللة</t>
  </si>
  <si>
    <t xml:space="preserve">ثلاثمائة وواحد وعشرون</t>
  </si>
  <si>
    <t xml:space="preserve">ثلاثمائة وواحد وعشرون ألفاً</t>
  </si>
  <si>
    <t xml:space="preserve">ثلاثمائة وواحد وعشرون مليوناً</t>
  </si>
  <si>
    <t xml:space="preserve">ثلاثمائة وواحد وعشرون هللة</t>
  </si>
  <si>
    <t xml:space="preserve">ثلاثمائة واثنان وعشرون</t>
  </si>
  <si>
    <t xml:space="preserve">ثلاثمائة واثنان وعشرون ألفاً</t>
  </si>
  <si>
    <t xml:space="preserve">ثلاثمائة واثنان وعشرون مليوناً</t>
  </si>
  <si>
    <t xml:space="preserve">ثلاثمائة واثنان وعشرون هللة</t>
  </si>
  <si>
    <t xml:space="preserve">ثلاثمائة وثلاثة وعشرون</t>
  </si>
  <si>
    <t xml:space="preserve">ثلاثمائة وثلاثة وعشرون ألفاً</t>
  </si>
  <si>
    <t xml:space="preserve">ثلاثمائة وثلاثة وعشرون مليوناً</t>
  </si>
  <si>
    <t xml:space="preserve">ثلاثمائة وثلاثة وعشرون هللة</t>
  </si>
  <si>
    <t xml:space="preserve">ثلاثمائة وأربعة وعشرون</t>
  </si>
  <si>
    <t xml:space="preserve">ثلاثمائة وأربعة وعشرون ألفاً</t>
  </si>
  <si>
    <t xml:space="preserve">ثلاثمائة وأربعة وعشرون مليوناً</t>
  </si>
  <si>
    <t xml:space="preserve">ثلاثمائة وأربعة وعشرون هللة</t>
  </si>
  <si>
    <t xml:space="preserve">ثلاثمائة وخمسة وعشرون</t>
  </si>
  <si>
    <t xml:space="preserve">ثلاثمائة وخمسة وعشرون ألفاً</t>
  </si>
  <si>
    <t xml:space="preserve">ثلاثمائة وخمسة وعشرون مليوناً</t>
  </si>
  <si>
    <t xml:space="preserve">ثلاثمائة وخمسة وعشرون هللة</t>
  </si>
  <si>
    <t xml:space="preserve">ثلاثمائة وستة وعشرون</t>
  </si>
  <si>
    <t xml:space="preserve">ثلاثمائة وستة وعشرون ألفاً</t>
  </si>
  <si>
    <t xml:space="preserve">ثلاثمائة وستة وعشرون مليوناً</t>
  </si>
  <si>
    <t xml:space="preserve">ثلاثمائة وستة وعشرون هللة</t>
  </si>
  <si>
    <t xml:space="preserve">ثلاثمائة وسبعة وعشرون</t>
  </si>
  <si>
    <t xml:space="preserve">ثلاثمائة وسبعة وعشرون ألفاً</t>
  </si>
  <si>
    <t xml:space="preserve">ثلاثمائة وسبعة وعشرون مليوناً</t>
  </si>
  <si>
    <t xml:space="preserve">ثلاثمائة وسبعة وعشرون هللة</t>
  </si>
  <si>
    <t xml:space="preserve">ثلاثمائة وثمانية وعشرون</t>
  </si>
  <si>
    <t xml:space="preserve">ثلاثمائة وثمانية وعشرون ألفاً</t>
  </si>
  <si>
    <t xml:space="preserve">ثلاثمائة وثمانية وعشرون مليوناً</t>
  </si>
  <si>
    <t xml:space="preserve">ثلاثمائة وثمانية وعشرون هللة</t>
  </si>
  <si>
    <t xml:space="preserve">ثلاثمائة وتسعة وعشرون</t>
  </si>
  <si>
    <t xml:space="preserve">ثلاثمائة وتسعة وعشرون ألفاً</t>
  </si>
  <si>
    <t xml:space="preserve">ثلاثمائة وتسعة وعشرون مليوناً</t>
  </si>
  <si>
    <t xml:space="preserve">ثلاثمائة وتسعة وعشرون هللة</t>
  </si>
  <si>
    <t xml:space="preserve">ثلاثمائة وثلاثون</t>
  </si>
  <si>
    <t xml:space="preserve">ثلاثمائة وثلاثون ألفاً</t>
  </si>
  <si>
    <t xml:space="preserve">ثلاثمائة وثلاثون مليوناً</t>
  </si>
  <si>
    <t xml:space="preserve">ثلاثمائة وثلاثون هللة</t>
  </si>
  <si>
    <t xml:space="preserve">ثلاثمائة وواحد وثلاثون</t>
  </si>
  <si>
    <t xml:space="preserve">ثلاثمائة وواحد وثلاثون ألفاً</t>
  </si>
  <si>
    <t xml:space="preserve">ثلاثمائة وواحد وثلاثون مليوناً</t>
  </si>
  <si>
    <t xml:space="preserve">ثلاثمائة وواحد وثلاثون هللة</t>
  </si>
  <si>
    <t xml:space="preserve">ثلاثمائة واثنان وثلاثون</t>
  </si>
  <si>
    <t xml:space="preserve">ثلاثمائة واثنان وثلاثون ألفاً</t>
  </si>
  <si>
    <t xml:space="preserve">ثلاثمائة واثنان وثلاثون مليوناً</t>
  </si>
  <si>
    <t xml:space="preserve">ثلاثمائة واثنان وثلاثون هللة</t>
  </si>
  <si>
    <t xml:space="preserve">ثلاثمائة وثلاثة وثلاثون</t>
  </si>
  <si>
    <t xml:space="preserve">ثلاثمائة وثلاثة وثلاثون ألفاً</t>
  </si>
  <si>
    <t xml:space="preserve">ثلاثمائة وثلاثة وثلاثون مليوناً</t>
  </si>
  <si>
    <t xml:space="preserve">ثلاثمائة وثلاثة وثلاثون هللة</t>
  </si>
  <si>
    <t xml:space="preserve">ثلاثمائة وأربعة وثلاثون</t>
  </si>
  <si>
    <t xml:space="preserve">ثلاثمائة وأربعة وثلاثون ألفاً</t>
  </si>
  <si>
    <t xml:space="preserve">ثلاثمائة وأربعة وثلاثون مليوناً</t>
  </si>
  <si>
    <t xml:space="preserve">ثلاثمائة وأربعة وثلاثون هللة</t>
  </si>
  <si>
    <t xml:space="preserve">ثلاثمائة وخمسة وثلاثون</t>
  </si>
  <si>
    <t xml:space="preserve">ثلاثمائة وخمسة وثلاثون ألفاً</t>
  </si>
  <si>
    <t xml:space="preserve">ثلاثمائة وخمسة وثلاثون مليوناً</t>
  </si>
  <si>
    <t xml:space="preserve">ثلاثمائة وخمسة وثلاثون هللة</t>
  </si>
  <si>
    <t xml:space="preserve">ثلاثمائة وستة وثلاثون</t>
  </si>
  <si>
    <t xml:space="preserve">ثلاثمائة وستة وثلاثون ألفاً</t>
  </si>
  <si>
    <t xml:space="preserve">ثلاثمائة وستة وثلاثون مليوناً</t>
  </si>
  <si>
    <t xml:space="preserve">ثلاثمائة وستة وثلاثون هللة</t>
  </si>
  <si>
    <t xml:space="preserve">ثلاثمائة وسبعة وثلاثون</t>
  </si>
  <si>
    <t xml:space="preserve">ثلاثمائة وسبعة وثلاثون ألفاً</t>
  </si>
  <si>
    <t xml:space="preserve">ثلاثمائة وسبعة وثلاثون مليوناً</t>
  </si>
  <si>
    <t xml:space="preserve">ثلاثمائة وسبعة وثلاثون هللة</t>
  </si>
  <si>
    <t xml:space="preserve">ثلاثمائة وثمانية وثلاثون</t>
  </si>
  <si>
    <t xml:space="preserve">ثلاثمائة وثمانية وثلاثون ألفاً</t>
  </si>
  <si>
    <t xml:space="preserve">ثلاثمائة وثمانية وثلاثون مليوناً</t>
  </si>
  <si>
    <t xml:space="preserve">ثلاثمائة وثمانية وثلاثون هللة</t>
  </si>
  <si>
    <t xml:space="preserve">ثلاثمائة وتسعة وثلاثون</t>
  </si>
  <si>
    <t xml:space="preserve">ثلاثمائة وتسعة وثلاثون ألفاً</t>
  </si>
  <si>
    <t xml:space="preserve">ثلاثمائة وتسعة وثلاثون مليوناً</t>
  </si>
  <si>
    <t xml:space="preserve">ثلاثمائة وتسعة وثلاثون هللة</t>
  </si>
  <si>
    <t xml:space="preserve">ثلاثمائة وأربعون</t>
  </si>
  <si>
    <t xml:space="preserve">ثلاثمائة وأربعون ألفاً</t>
  </si>
  <si>
    <t xml:space="preserve">ثلاثمائة وأربعون مليوناً</t>
  </si>
  <si>
    <t xml:space="preserve">ثلاثمائة وأربعون هللة</t>
  </si>
  <si>
    <t xml:space="preserve">ثلاثمائة وواحد وأربعون</t>
  </si>
  <si>
    <t xml:space="preserve">ثلاثمائة وواحد وأربعون ألفاً</t>
  </si>
  <si>
    <t xml:space="preserve">ثلاثمائة وواحد وأربعون مليوناً</t>
  </si>
  <si>
    <t xml:space="preserve">ثلاثمائة وواحد وأربعون هللة</t>
  </si>
  <si>
    <t xml:space="preserve">ثلاثمائة واثنان وأربعون</t>
  </si>
  <si>
    <t xml:space="preserve">ثلاثمائة واثنان وأربعون ألفاً</t>
  </si>
  <si>
    <t xml:space="preserve">ثلاثمائة واثنان وأربعون مليوناً</t>
  </si>
  <si>
    <t xml:space="preserve">ثلاثمائة واثنان وأربعون هللة</t>
  </si>
  <si>
    <t xml:space="preserve">ثلاثمائة وثلاثة وأربعون</t>
  </si>
  <si>
    <t xml:space="preserve">ثلاثمائة وثلاثة وأربعون ألفاً</t>
  </si>
  <si>
    <t xml:space="preserve">ثلاثمائة وثلاثة وأربعون مليوناً</t>
  </si>
  <si>
    <t xml:space="preserve">ثلاثمائة وثلاثة وأربعون هللة</t>
  </si>
  <si>
    <t xml:space="preserve">ثلاثمائة وأربعة وأربعون</t>
  </si>
  <si>
    <t xml:space="preserve">ثلاثمائة وأربعة وأربعون ألفاً</t>
  </si>
  <si>
    <t xml:space="preserve">ثلاثمائة وأربعة وأربعون مليوناً</t>
  </si>
  <si>
    <t xml:space="preserve">ثلاثمائة وأربعة وأربعون هللة</t>
  </si>
  <si>
    <t xml:space="preserve">ثلاثمائة وخمسة وأربعون</t>
  </si>
  <si>
    <t xml:space="preserve">ثلاثمائة وخمسة وأربعون ألفاً</t>
  </si>
  <si>
    <t xml:space="preserve">ثلاثمائة وخمسة وأربعون مليوناً</t>
  </si>
  <si>
    <t xml:space="preserve">ثلاثمائة وخمسة وأربعون هللة</t>
  </si>
  <si>
    <t xml:space="preserve">ثلاثمائة وستة وأربعون</t>
  </si>
  <si>
    <t xml:space="preserve">ثلاثمائة وستة وأربعون ألفاً</t>
  </si>
  <si>
    <t xml:space="preserve">ثلاثمائة وستة وأربعون مليوناً</t>
  </si>
  <si>
    <t xml:space="preserve">ثلاثمائة وستة وأربعون هللة</t>
  </si>
  <si>
    <t xml:space="preserve">ثلاثمائة وسبعة وأربعون</t>
  </si>
  <si>
    <t xml:space="preserve">ثلاثمائة وسبعة وأربعون ألفاً</t>
  </si>
  <si>
    <t xml:space="preserve">ثلاثمائة وسبعة وأربعون مليوناً</t>
  </si>
  <si>
    <t xml:space="preserve">ثلاثمائة وسبعة وأربعون هللة</t>
  </si>
  <si>
    <t xml:space="preserve">ثلاثمائة وثمانية وأربعون</t>
  </si>
  <si>
    <t xml:space="preserve">ثلاثمائة وثمانية وأربعون ألفاً</t>
  </si>
  <si>
    <t xml:space="preserve">ثلاثمائة وثمانية وأربعون مليوناً</t>
  </si>
  <si>
    <t xml:space="preserve">ثلاثمائة وثمانية وأربعون هللة</t>
  </si>
  <si>
    <t xml:space="preserve">ثلاثمائة وتسعة وأربعون</t>
  </si>
  <si>
    <t xml:space="preserve">ثلاثمائة وتسعة وأربعون ألفاً</t>
  </si>
  <si>
    <t xml:space="preserve">ثلاثمائة وتسعة وأربعون مليوناً</t>
  </si>
  <si>
    <t xml:space="preserve">ثلاثمائة وتسعة وأربعون هللة</t>
  </si>
  <si>
    <t xml:space="preserve">ثلاثمائة وخمسون</t>
  </si>
  <si>
    <t xml:space="preserve">ثلاثمائة وخمسون ألفاً</t>
  </si>
  <si>
    <t xml:space="preserve">ثلاثمائة وخمسون مليوناً</t>
  </si>
  <si>
    <t xml:space="preserve">ثلاثمائة وخمسون هللة</t>
  </si>
  <si>
    <t xml:space="preserve">ثلاثمائة وواحد وخمسون</t>
  </si>
  <si>
    <t xml:space="preserve">ثلاثمائة وواحد وخمسون ألفاً</t>
  </si>
  <si>
    <t xml:space="preserve">ثلاثمائة وواحد وخمسون مليوناً</t>
  </si>
  <si>
    <t xml:space="preserve">ثلاثمائة وواحد وخمسون هللة</t>
  </si>
  <si>
    <t xml:space="preserve">ثلاثمائة واثنان وخمسون</t>
  </si>
  <si>
    <t xml:space="preserve">ثلاثمائة واثنان وخمسون ألفاً</t>
  </si>
  <si>
    <t xml:space="preserve">ثلاثمائة واثنان وخمسون مليوناً</t>
  </si>
  <si>
    <t xml:space="preserve">ثلاثمائة واثنان وخمسون هللة</t>
  </si>
  <si>
    <t xml:space="preserve">ثلاثمائة وثلاثة وخمسون</t>
  </si>
  <si>
    <t xml:space="preserve">ثلاثمائة وثلاثة وخمسون ألفاً</t>
  </si>
  <si>
    <t xml:space="preserve">ثلاثمائة وثلاثة وخمسون مليوناً</t>
  </si>
  <si>
    <t xml:space="preserve">ثلاثمائة وثلاثة وخمسون هللة</t>
  </si>
  <si>
    <t xml:space="preserve">ثلاثمائة وأربعة وخمسون</t>
  </si>
  <si>
    <t xml:space="preserve">ثلاثمائة وأربعة وخمسون ألفاً</t>
  </si>
  <si>
    <t xml:space="preserve">ثلاثمائة وأربعة وخمسون مليوناً</t>
  </si>
  <si>
    <t xml:space="preserve">ثلاثمائة وأربعة وخمسون هللة</t>
  </si>
  <si>
    <t xml:space="preserve">ثلاثمائة وخمسة وخمسون</t>
  </si>
  <si>
    <t xml:space="preserve">ثلاثمائة وخمسة وخمسون ألفاً</t>
  </si>
  <si>
    <t xml:space="preserve">ثلاثمائة وخمسة وخمسون مليوناً</t>
  </si>
  <si>
    <t xml:space="preserve">ثلاثمائة وخمسة وخمسون هللة</t>
  </si>
  <si>
    <t xml:space="preserve">ثلاثمائة وستة وخمسون</t>
  </si>
  <si>
    <t xml:space="preserve">ثلاثمائة وستة وخمسون ألفاً</t>
  </si>
  <si>
    <t xml:space="preserve">ثلاثمائة وستة وخمسون مليوناً</t>
  </si>
  <si>
    <t xml:space="preserve">ثلاثمائة وستة وخمسون هللة</t>
  </si>
  <si>
    <t xml:space="preserve">ثلاثمائة وسبعة وخمسون</t>
  </si>
  <si>
    <t xml:space="preserve">ثلاثمائة وسبعة وخمسون ألفاً</t>
  </si>
  <si>
    <t xml:space="preserve">ثلاثمائة وسبعة وخمسون مليوناً</t>
  </si>
  <si>
    <t xml:space="preserve">ثلاثمائة وسبعة وخمسون هللة</t>
  </si>
  <si>
    <t xml:space="preserve">ثلاثمائة وثمانية وخمسون</t>
  </si>
  <si>
    <t xml:space="preserve">ثلاثمائة وثمانية وخمسون ألفاً</t>
  </si>
  <si>
    <t xml:space="preserve">ثلاثمائة وثمانية وخمسون مليوناً</t>
  </si>
  <si>
    <t xml:space="preserve">ثلاثمائة وثمانية وخمسون هللة</t>
  </si>
  <si>
    <t xml:space="preserve">ثلاثمائة وتسعة وخمسون</t>
  </si>
  <si>
    <t xml:space="preserve">ثلاثمائة وتسعة وخمسون ألفاً</t>
  </si>
  <si>
    <t xml:space="preserve">ثلاثمائة وتسعة وخمسون مليوناً</t>
  </si>
  <si>
    <t xml:space="preserve">ثلاثمائة وتسعة وخمسون هللة</t>
  </si>
  <si>
    <t xml:space="preserve">ثلاثمائة وستون</t>
  </si>
  <si>
    <t xml:space="preserve">ثلاثمائة وستون ألفاً</t>
  </si>
  <si>
    <t xml:space="preserve">ثلاثمائة وستون مليوناً</t>
  </si>
  <si>
    <t xml:space="preserve">ثلاثمائة وستون هللة</t>
  </si>
  <si>
    <t xml:space="preserve">ثلاثمائة وواحد وستون</t>
  </si>
  <si>
    <t xml:space="preserve">ثلاثمائة وواحد وستون ألفاً</t>
  </si>
  <si>
    <t xml:space="preserve">ثلاثمائة وواحد وستون مليوناً</t>
  </si>
  <si>
    <t xml:space="preserve">ثلاثمائة وواحد وستون هللة</t>
  </si>
  <si>
    <t xml:space="preserve">ثلاثمائة واثنان وستون</t>
  </si>
  <si>
    <t xml:space="preserve">ثلاثمائة واثنان وستون ألفاً</t>
  </si>
  <si>
    <t xml:space="preserve">ثلاثمائة واثنان وستون مليوناً</t>
  </si>
  <si>
    <t xml:space="preserve">ثلاثمائة واثنان وستون هللة</t>
  </si>
  <si>
    <t xml:space="preserve">ثلاثمائة وثلاثة وستون</t>
  </si>
  <si>
    <t xml:space="preserve">ثلاثمائة وثلاثة وستون ألفاً</t>
  </si>
  <si>
    <t xml:space="preserve">ثلاثمائة وثلاثة وستون مليوناً</t>
  </si>
  <si>
    <t xml:space="preserve">ثلاثمائة وثلاثة وستون هللة</t>
  </si>
  <si>
    <t xml:space="preserve">ثلاثمائة وأربعة وستون</t>
  </si>
  <si>
    <t xml:space="preserve">ثلاثمائة وأربعة وستون ألفاً</t>
  </si>
  <si>
    <t xml:space="preserve">ثلاثمائة وأربعة وستون مليوناً</t>
  </si>
  <si>
    <t xml:space="preserve">ثلاثمائة وأربعة وستون هللة</t>
  </si>
  <si>
    <t xml:space="preserve">ثلاثمائة وخمسة وستون</t>
  </si>
  <si>
    <t xml:space="preserve">ثلاثمائة وخمسة وستون ألفاً</t>
  </si>
  <si>
    <t xml:space="preserve">ثلاثمائة وخمسة وستون مليوناً</t>
  </si>
  <si>
    <t xml:space="preserve">ثلاثمائة وخمسة وستون هللة</t>
  </si>
  <si>
    <t xml:space="preserve">ثلاثمائة وستة وستون</t>
  </si>
  <si>
    <t xml:space="preserve">ثلاثمائة وستة وستون ألفاً</t>
  </si>
  <si>
    <t xml:space="preserve">ثلاثمائة وستة وستون مليوناً</t>
  </si>
  <si>
    <t xml:space="preserve">ثلاثمائة وستة وستون هللة</t>
  </si>
  <si>
    <t xml:space="preserve">ثلاثمائة وسبعة وستون</t>
  </si>
  <si>
    <t xml:space="preserve">ثلاثمائة وسبعة وستون ألفاً</t>
  </si>
  <si>
    <t xml:space="preserve">ثلاثمائة وسبعة وستون مليوناً</t>
  </si>
  <si>
    <t xml:space="preserve">ثلاثمائة وسبعة وستون هللة</t>
  </si>
  <si>
    <t xml:space="preserve">ثلاثمائة وثمانية وستون</t>
  </si>
  <si>
    <t xml:space="preserve">ثلاثمائة وثمانية وستون ألفاً</t>
  </si>
  <si>
    <t xml:space="preserve">ثلاثمائة وثمانية وستون مليوناً</t>
  </si>
  <si>
    <t xml:space="preserve">ثلاثمائة وثمانية وستون هللة</t>
  </si>
  <si>
    <t xml:space="preserve">ثلاثمائة وتسعة وستون</t>
  </si>
  <si>
    <t xml:space="preserve">ثلاثمائة وتسعة وستون ألفاً</t>
  </si>
  <si>
    <t xml:space="preserve">ثلاثمائة وتسعة وستون مليوناً</t>
  </si>
  <si>
    <t xml:space="preserve">ثلاثمائة وتسعة وستون هللة</t>
  </si>
  <si>
    <t xml:space="preserve">ثلاثمائة وسبعون</t>
  </si>
  <si>
    <t xml:space="preserve">ثلاثمائة وسبعون ألفاً</t>
  </si>
  <si>
    <t xml:space="preserve">ثلاثمائة وسبعون مليوناً</t>
  </si>
  <si>
    <t xml:space="preserve">ثلاثمائة وسبعون هللة</t>
  </si>
  <si>
    <t xml:space="preserve">ثلاثمائة وواحد وسبعون</t>
  </si>
  <si>
    <t xml:space="preserve">ثلاثمائة وواحد وسبعون ألفاً</t>
  </si>
  <si>
    <t xml:space="preserve">ثلاثمائة وواحد وسبعون مليوناً</t>
  </si>
  <si>
    <t xml:space="preserve">ثلاثمائة وواحد وسبعون هللة</t>
  </si>
  <si>
    <t xml:space="preserve">ثلاثمائة واثنان وسبعون</t>
  </si>
  <si>
    <t xml:space="preserve">ثلاثمائة واثنان وسبعون ألفاً</t>
  </si>
  <si>
    <t xml:space="preserve">ثلاثمائة واثنان وسبعون مليوناً</t>
  </si>
  <si>
    <t xml:space="preserve">ثلاثمائة واثنان وسبعون هللة</t>
  </si>
  <si>
    <t xml:space="preserve">ثلاثمائة وثلاثة وسبعون</t>
  </si>
  <si>
    <t xml:space="preserve">ثلاثمائة وثلاثة وسبعون ألفاً</t>
  </si>
  <si>
    <t xml:space="preserve">ثلاثمائة وثلاثة وسبعون مليوناً</t>
  </si>
  <si>
    <t xml:space="preserve">ثلاثمائة وثلاثة وسبعون هللة</t>
  </si>
  <si>
    <t xml:space="preserve">ثلاثمائة وأربعة وسبعون</t>
  </si>
  <si>
    <t xml:space="preserve">ثلاثمائة وأربعة وسبعون ألفاً</t>
  </si>
  <si>
    <t xml:space="preserve">ثلاثمائة وأربعة وسبعون مليوناً</t>
  </si>
  <si>
    <t xml:space="preserve">ثلاثمائة وأربعة وسبعون هللة</t>
  </si>
  <si>
    <t xml:space="preserve">ثلاثمائة وخمسة وسبعون</t>
  </si>
  <si>
    <t xml:space="preserve">ثلاثمائة وخمسة وسبعون ألفاً</t>
  </si>
  <si>
    <t xml:space="preserve">ثلاثمائة وخمسة وسبعون مليوناً</t>
  </si>
  <si>
    <t xml:space="preserve">ثلاثمائة وخمسة وسبعون هللة</t>
  </si>
  <si>
    <t xml:space="preserve">ثلاثمائة وستة وسبعون</t>
  </si>
  <si>
    <t xml:space="preserve">ثلاثمائة وستة وسبعون ألفاً</t>
  </si>
  <si>
    <t xml:space="preserve">ثلاثمائة وستة وسبعون مليوناً</t>
  </si>
  <si>
    <t xml:space="preserve">ثلاثمائة وستة وسبعون هللة</t>
  </si>
  <si>
    <t xml:space="preserve">ثلاثمائة وسبعة وسبعون</t>
  </si>
  <si>
    <t xml:space="preserve">ثلاثمائة وسبعة وسبعون ألفاً</t>
  </si>
  <si>
    <t xml:space="preserve">ثلاثمائة وسبعة وسبعون مليوناً</t>
  </si>
  <si>
    <t xml:space="preserve">ثلاثمائة وسبعة وسبعون هللة</t>
  </si>
  <si>
    <t xml:space="preserve">ثلاثمائة وثمانية وسبعون</t>
  </si>
  <si>
    <t xml:space="preserve">ثلاثمائة وثمانية وسبعون ألفاً</t>
  </si>
  <si>
    <t xml:space="preserve">ثلاثمائة وثمانية وسبعون مليوناً</t>
  </si>
  <si>
    <t xml:space="preserve">ثلاثمائة وثمانية وسبعون هللة</t>
  </si>
  <si>
    <t xml:space="preserve">ثلاثمائة وتسعة وسبعون</t>
  </si>
  <si>
    <t xml:space="preserve">ثلاثمائة وتسعة وسبعون ألفاً</t>
  </si>
  <si>
    <t xml:space="preserve">ثلاثمائة وتسعة وسبعون مليوناً</t>
  </si>
  <si>
    <t xml:space="preserve">ثلاثمائة وتسعة وسبعون هللة</t>
  </si>
  <si>
    <t xml:space="preserve">ثلاثمائة وثمانون</t>
  </si>
  <si>
    <t xml:space="preserve">ثلاثمائة وثمانون ألفاً</t>
  </si>
  <si>
    <t xml:space="preserve">ثلاثمائة وثمانون مليوناً</t>
  </si>
  <si>
    <t xml:space="preserve">ثلاثمائة وثمانون هللة</t>
  </si>
  <si>
    <t xml:space="preserve">ثلاثمائة وواحد وثمانون</t>
  </si>
  <si>
    <t xml:space="preserve">ثلاثمائة وواحد وثمانون ألفاً</t>
  </si>
  <si>
    <t xml:space="preserve">ثلاثمائة وواحد وثمانون مليوناً</t>
  </si>
  <si>
    <t xml:space="preserve">ثلاثمائة وواحد وثمانون هللة</t>
  </si>
  <si>
    <t xml:space="preserve">ثلاثمائة واثنان وثمانون</t>
  </si>
  <si>
    <t xml:space="preserve">ثلاثمائة واثنان وثمانون ألفاً</t>
  </si>
  <si>
    <t xml:space="preserve">ثلاثمائة واثنان وثمانون مليوناً</t>
  </si>
  <si>
    <t xml:space="preserve">ثلاثمائة واثنان وثمانون هللة</t>
  </si>
  <si>
    <t xml:space="preserve">ثلاثمائة وثلاثة وثمانون</t>
  </si>
  <si>
    <t xml:space="preserve">ثلاثمائة وثلاثة وثمانون ألفاً</t>
  </si>
  <si>
    <t xml:space="preserve">ثلاثمائة وثلاثة وثمانون مليوناً</t>
  </si>
  <si>
    <t xml:space="preserve">ثلاثمائة وثلاثة وثمانون هللة</t>
  </si>
  <si>
    <t xml:space="preserve">ثلاثمائة وأربعة وثمانون</t>
  </si>
  <si>
    <t xml:space="preserve">ثلاثمائة وأربعة وثمانون ألفاً</t>
  </si>
  <si>
    <t xml:space="preserve">ثلاثمائة وأربعة وثمانون مليوناً</t>
  </si>
  <si>
    <t xml:space="preserve">ثلاثمائة وأربعة وثمانون هللة</t>
  </si>
  <si>
    <t xml:space="preserve">ثلاثمائة وخمسة وثمانون</t>
  </si>
  <si>
    <t xml:space="preserve">ثلاثمائة وخمسة وثمانون ألفاً</t>
  </si>
  <si>
    <t xml:space="preserve">ثلاثمائة وخمسة وثمانون مليوناً</t>
  </si>
  <si>
    <t xml:space="preserve">ثلاثمائة وخمسة وثمانون هللة</t>
  </si>
  <si>
    <t xml:space="preserve">ثلاثمائة وستة وثمانون</t>
  </si>
  <si>
    <t xml:space="preserve">ثلاثمائة وستة وثمانون ألفاً</t>
  </si>
  <si>
    <t xml:space="preserve">ثلاثمائة وستة وثمانون مليوناً</t>
  </si>
  <si>
    <t xml:space="preserve">ثلاثمائة وستة وثمانون هللة</t>
  </si>
  <si>
    <t xml:space="preserve">ثلاثمائة وسبعة وثمانون</t>
  </si>
  <si>
    <t xml:space="preserve">ثلاثمائة وسبعة وثمانون ألفاً</t>
  </si>
  <si>
    <t xml:space="preserve">ثلاثمائة وسبعة وثمانون مليوناً</t>
  </si>
  <si>
    <t xml:space="preserve">ثلاثمائة وسبعة وثمانون هللة</t>
  </si>
  <si>
    <t xml:space="preserve">ثلاثمائة وثمانية وثمانون</t>
  </si>
  <si>
    <t xml:space="preserve">ثلاثمائة وثمانية وثمانون ألفاً</t>
  </si>
  <si>
    <t xml:space="preserve">ثلاثمائة وثمانية وثمانون مليوناً</t>
  </si>
  <si>
    <t xml:space="preserve">ثلاثمائة وثمانية وثمانون هللة</t>
  </si>
  <si>
    <t xml:space="preserve">ثلاثمائة وتسعة وثمانون</t>
  </si>
  <si>
    <t xml:space="preserve">ثلاثمائة وتسعة وثمانون ألفاً</t>
  </si>
  <si>
    <t xml:space="preserve">ثلاثمائة وتسعة وثمانون مليوناً</t>
  </si>
  <si>
    <t xml:space="preserve">ثلاثمائة وتسعة وثمانون هللة</t>
  </si>
  <si>
    <t xml:space="preserve">ثلاثمائة وتسعون</t>
  </si>
  <si>
    <t xml:space="preserve">ثلاثمائة وتسعون ألفاً</t>
  </si>
  <si>
    <t xml:space="preserve">ثلاثمائة وتسعون مليوناً</t>
  </si>
  <si>
    <t xml:space="preserve">ثلاثمائة وتسعون هللة</t>
  </si>
  <si>
    <t xml:space="preserve">ثلاثمائة وواحد وتسعون</t>
  </si>
  <si>
    <t xml:space="preserve">ثلاثمائة وواحد وتسعون ألفاً</t>
  </si>
  <si>
    <t xml:space="preserve">ثلاثمائة وواحد وتسعون مليوناً</t>
  </si>
  <si>
    <t xml:space="preserve">ثلاثمائة وواحد وتسعون هللة</t>
  </si>
  <si>
    <t xml:space="preserve">ثلاثمائة واثنان وتسعون</t>
  </si>
  <si>
    <t xml:space="preserve">ثلاثمائة واثنان وتسعون ألفاً</t>
  </si>
  <si>
    <t xml:space="preserve">ثلاثمائة واثنان وتسعون مليوناً</t>
  </si>
  <si>
    <t xml:space="preserve">ثلاثمائة واثنان وتسعون هللة</t>
  </si>
  <si>
    <t xml:space="preserve">ثلاثمائة وثلاثة وتسعون</t>
  </si>
  <si>
    <t xml:space="preserve">ثلاثمائة وثلاثة وتسعون ألفاً</t>
  </si>
  <si>
    <t xml:space="preserve">ثلاثمائة وثلاثة وتسعون مليوناً</t>
  </si>
  <si>
    <t xml:space="preserve">ثلاثمائة وثلاثة وتسعون هللة</t>
  </si>
  <si>
    <t xml:space="preserve">ثلاثمائة وأربعة وتسعون</t>
  </si>
  <si>
    <t xml:space="preserve">ثلاثمائة وأربعة وتسعون ألفاً</t>
  </si>
  <si>
    <t xml:space="preserve">ثلاثمائة وأربعة وتسعون مليوناً</t>
  </si>
  <si>
    <t xml:space="preserve">ثلاثمائة وأربعة وتسعون هللة</t>
  </si>
  <si>
    <t xml:space="preserve">ثلاثمائة وخمسة وتسعون</t>
  </si>
  <si>
    <t xml:space="preserve">ثلاثمائة وخمسة وتسعون ألفاً</t>
  </si>
  <si>
    <t xml:space="preserve">ثلاثمائة وخمسة وتسعون مليوناً</t>
  </si>
  <si>
    <t xml:space="preserve">ثلاثمائة وخمسة وتسعون هللة</t>
  </si>
  <si>
    <t xml:space="preserve">ثلاثمائة وستة وتسعون</t>
  </si>
  <si>
    <t xml:space="preserve">ثلاثمائة وستة وتسعون ألفاً</t>
  </si>
  <si>
    <t xml:space="preserve">ثلاثمائة وستة وتسعون مليوناً</t>
  </si>
  <si>
    <t xml:space="preserve">ثلاثمائة وستة وتسعون هللة</t>
  </si>
  <si>
    <t xml:space="preserve">ثلاثمائة وسبعة وتسعون</t>
  </si>
  <si>
    <t xml:space="preserve">ثلاثمائة وسبعة وتسعون ألفاً</t>
  </si>
  <si>
    <t xml:space="preserve">ثلاثمائة وسبعة وتسعون مليوناً</t>
  </si>
  <si>
    <t xml:space="preserve">ثلاثمائة وسبعة وتسعون هللة</t>
  </si>
  <si>
    <t xml:space="preserve">ثلاثمائة وثمانية وتسعون</t>
  </si>
  <si>
    <t xml:space="preserve">ثلاثمائة وثمانية وتسعون ألفاً</t>
  </si>
  <si>
    <t xml:space="preserve">ثلاثمائة وثمانية وتسعون مليوناً</t>
  </si>
  <si>
    <t xml:space="preserve">ثلاثمائة وثمانية وتسعون هللة</t>
  </si>
  <si>
    <t xml:space="preserve">ثلاثمائة وتسعة وتسعون</t>
  </si>
  <si>
    <t xml:space="preserve">ثلاثمائة وتسعة وتسعون ألفاً</t>
  </si>
  <si>
    <t xml:space="preserve">ثلاثمائة وتسعة وتسعون مليوناً</t>
  </si>
  <si>
    <t xml:space="preserve">ثلاثمائة وتسعة وتسعون هللة</t>
  </si>
  <si>
    <t xml:space="preserve">أربعمائة</t>
  </si>
  <si>
    <t xml:space="preserve">أربعمائة ألف</t>
  </si>
  <si>
    <t xml:space="preserve">أربعمائة مليون</t>
  </si>
  <si>
    <t xml:space="preserve">أربعمائة هللة</t>
  </si>
  <si>
    <t xml:space="preserve">أربعمائة وواحد</t>
  </si>
  <si>
    <t xml:space="preserve">أربعمائة وواحد ألف</t>
  </si>
  <si>
    <t xml:space="preserve">أربعمائة وواحد مليون</t>
  </si>
  <si>
    <t xml:space="preserve">أربعمائة وواحد هللة</t>
  </si>
  <si>
    <t xml:space="preserve">أربعمائة واثنان</t>
  </si>
  <si>
    <t xml:space="preserve">أربعمائة واثنان ألف</t>
  </si>
  <si>
    <t xml:space="preserve">أربعمائة واثنان مليون</t>
  </si>
  <si>
    <t xml:space="preserve">أربعمائة واثنان هللة</t>
  </si>
  <si>
    <t xml:space="preserve">أربعمائة وثلاثة</t>
  </si>
  <si>
    <t xml:space="preserve">أربعمائة وثلاثة آلاف</t>
  </si>
  <si>
    <t xml:space="preserve">أربعمائة وثلاثة ملايين</t>
  </si>
  <si>
    <t xml:space="preserve">أربعمائة وثلاثة هللات</t>
  </si>
  <si>
    <t xml:space="preserve">أربعمائة وأربعة</t>
  </si>
  <si>
    <t xml:space="preserve">أربعمائة وأربعة آلاف</t>
  </si>
  <si>
    <t xml:space="preserve">أربعمائة وأربعة ملايين</t>
  </si>
  <si>
    <t xml:space="preserve">أربعمائة وأربعة هللات</t>
  </si>
  <si>
    <t xml:space="preserve">أربعمائة وخمسة</t>
  </si>
  <si>
    <t xml:space="preserve">أربعمائة وخمسة آلاف</t>
  </si>
  <si>
    <t xml:space="preserve">أربعمائة وخمسة ملايين</t>
  </si>
  <si>
    <t xml:space="preserve">أربعمائة وخمسة هللات</t>
  </si>
  <si>
    <t xml:space="preserve">أربعمائة وستة</t>
  </si>
  <si>
    <t xml:space="preserve">أربعمائة وستة آلاف</t>
  </si>
  <si>
    <t xml:space="preserve">أربعمائة وستة ملايين</t>
  </si>
  <si>
    <t xml:space="preserve">أربعمائة وستة هللات</t>
  </si>
  <si>
    <t xml:space="preserve">أربعمائة وسبعة</t>
  </si>
  <si>
    <t xml:space="preserve">أربعمائة وسبعة آلاف</t>
  </si>
  <si>
    <t xml:space="preserve">أربعمائة وسبعة ملايين</t>
  </si>
  <si>
    <t xml:space="preserve">أربعمائة وسبعة هللات</t>
  </si>
  <si>
    <t xml:space="preserve">أربعمائة وثمانية</t>
  </si>
  <si>
    <t xml:space="preserve">أربعمائة وثمانية آلاف</t>
  </si>
  <si>
    <t xml:space="preserve">أربعمائة وثمانية ملايين</t>
  </si>
  <si>
    <t xml:space="preserve">أربعمائة وثمانية هللات</t>
  </si>
  <si>
    <t xml:space="preserve">أربعمائة وتسعة</t>
  </si>
  <si>
    <t xml:space="preserve">أربعمائة وتسعة آلاف</t>
  </si>
  <si>
    <t xml:space="preserve">أربعمائة وتسعة ملايين</t>
  </si>
  <si>
    <t xml:space="preserve">أربعمائة وتسعة هللات</t>
  </si>
  <si>
    <t xml:space="preserve">أربعمائة وعشرة</t>
  </si>
  <si>
    <t xml:space="preserve">أربعمائة وعشرة آلاف</t>
  </si>
  <si>
    <t xml:space="preserve">أربعمائة وعشرة ملايين</t>
  </si>
  <si>
    <t xml:space="preserve">أربعمائة وعشرة هللات</t>
  </si>
  <si>
    <t xml:space="preserve">أربعمائة وأحد عشر</t>
  </si>
  <si>
    <t xml:space="preserve">أربعمائة وأحد عشر ألفاً</t>
  </si>
  <si>
    <t xml:space="preserve">أربعمائة وأحد عشر مليوناً</t>
  </si>
  <si>
    <t xml:space="preserve">أربعمائة وأحد عشر هللة</t>
  </si>
  <si>
    <t xml:space="preserve">أربعمائة واثنا عشر</t>
  </si>
  <si>
    <t xml:space="preserve">أربعمائة واثنا عشر ألفاً</t>
  </si>
  <si>
    <t xml:space="preserve">أربعمائة واثنا عشر مليوناً</t>
  </si>
  <si>
    <t xml:space="preserve">أربعمائة واثنا عشر هللة</t>
  </si>
  <si>
    <t xml:space="preserve">أربعمائة وثلاثة عشر</t>
  </si>
  <si>
    <t xml:space="preserve">أربعمائة وثلاثة عشر ألفاً</t>
  </si>
  <si>
    <t xml:space="preserve">أربعمائة وثلاثة عشر مليوناً</t>
  </si>
  <si>
    <t xml:space="preserve">أربعمائة وثلاثة عشر هللة</t>
  </si>
  <si>
    <t xml:space="preserve">أربعمائة وأربعة عشر</t>
  </si>
  <si>
    <t xml:space="preserve">أربعمائة وأربعة عشر ألفاً</t>
  </si>
  <si>
    <t xml:space="preserve">أربعمائة وأربعة عشر مليوناً</t>
  </si>
  <si>
    <t xml:space="preserve">أربعمائة وأربعة عشر هللة</t>
  </si>
  <si>
    <t xml:space="preserve">أربعمائة وخمسة عشر</t>
  </si>
  <si>
    <t xml:space="preserve">أربعمائة وخمسة عشر ألفاً</t>
  </si>
  <si>
    <t xml:space="preserve">أربعمائة وخمسة عشر مليوناً</t>
  </si>
  <si>
    <t xml:space="preserve">أربعمائة وخمسة عشر هللة</t>
  </si>
  <si>
    <t xml:space="preserve">أربعمائة وستة عشر</t>
  </si>
  <si>
    <t xml:space="preserve">أربعمائة وستة عشر ألفاً</t>
  </si>
  <si>
    <t xml:space="preserve">أربعمائة وستة عشر مليوناً</t>
  </si>
  <si>
    <t xml:space="preserve">أربعمائة وستة عشر هللة</t>
  </si>
  <si>
    <t xml:space="preserve">أربعمائة وسبعة عشر</t>
  </si>
  <si>
    <t xml:space="preserve">أربعمائة وسبعة عشر ألفاً</t>
  </si>
  <si>
    <t xml:space="preserve">أربعمائة وسبعة عشر مليوناً</t>
  </si>
  <si>
    <t xml:space="preserve">أربعمائة وسبعة عشر هللة</t>
  </si>
  <si>
    <t xml:space="preserve">أربعمائة وثمانية عشر</t>
  </si>
  <si>
    <t xml:space="preserve">أربعمائة وثمانية عشر ألفاً</t>
  </si>
  <si>
    <t xml:space="preserve">أربعمائة وثمانية عشر مليوناً</t>
  </si>
  <si>
    <t xml:space="preserve">أربعمائة وثمانية عشر هللة</t>
  </si>
  <si>
    <t xml:space="preserve">أربعمائة وتسعة عشر</t>
  </si>
  <si>
    <t xml:space="preserve">أربعمائة وتسعة عشر ألفاً</t>
  </si>
  <si>
    <t xml:space="preserve">أربعمائة وتسعة عشر مليوناً</t>
  </si>
  <si>
    <t xml:space="preserve">أربعمائة وتسعة عشر هللة</t>
  </si>
  <si>
    <t xml:space="preserve">أربعمائة وعشرون</t>
  </si>
  <si>
    <t xml:space="preserve">أربعمائة وعشرون ألفاً</t>
  </si>
  <si>
    <t xml:space="preserve">أربعمائة وعشرون مليوناً</t>
  </si>
  <si>
    <t xml:space="preserve">أربعمائة وعشرون هللة</t>
  </si>
  <si>
    <t xml:space="preserve">أربعمائة وواحد وعشرون</t>
  </si>
  <si>
    <t xml:space="preserve">أربعمائة وواحد وعشرون ألفاً</t>
  </si>
  <si>
    <t xml:space="preserve">أربعمائة وواحد وعشرون مليوناً</t>
  </si>
  <si>
    <t xml:space="preserve">أربعمائة وواحد وعشرون هللة</t>
  </si>
  <si>
    <t xml:space="preserve">أربعمائة واثنان وعشرون</t>
  </si>
  <si>
    <t xml:space="preserve">أربعمائة واثنان وعشرون ألفاً</t>
  </si>
  <si>
    <t xml:space="preserve">أربعمائة واثنان وعشرون مليوناً</t>
  </si>
  <si>
    <t xml:space="preserve">أربعمائة واثنان وعشرون هللة</t>
  </si>
  <si>
    <t xml:space="preserve">أربعمائة وثلاثة وعشرون</t>
  </si>
  <si>
    <t xml:space="preserve">أربعمائة وثلاثة وعشرون ألفاً</t>
  </si>
  <si>
    <t xml:space="preserve">أربعمائة وثلاثة وعشرون مليوناً</t>
  </si>
  <si>
    <t xml:space="preserve">أربعمائة وثلاثة وعشرون هللة</t>
  </si>
  <si>
    <t xml:space="preserve">أربعمائة وأربعة وعشرون</t>
  </si>
  <si>
    <t xml:space="preserve">أربعمائة وأربعة وعشرون ألفاً</t>
  </si>
  <si>
    <t xml:space="preserve">أربعمائة وأربعة وعشرون مليوناً</t>
  </si>
  <si>
    <t xml:space="preserve">أربعمائة وأربعة وعشرون هللة</t>
  </si>
  <si>
    <t xml:space="preserve">أربعمائة وخمسة وعشرون</t>
  </si>
  <si>
    <t xml:space="preserve">أربعمائة وخمسة وعشرون ألفاً</t>
  </si>
  <si>
    <t xml:space="preserve">أربعمائة وخمسة وعشرون مليوناً</t>
  </si>
  <si>
    <t xml:space="preserve">أربعمائة وخمسة وعشرون هللة</t>
  </si>
  <si>
    <t xml:space="preserve">أربعمائة وستة وعشرون</t>
  </si>
  <si>
    <t xml:space="preserve">أربعمائة وستة وعشرون ألفاً</t>
  </si>
  <si>
    <t xml:space="preserve">أربعمائة وستة وعشرون مليوناً</t>
  </si>
  <si>
    <t xml:space="preserve">أربعمائة وستة وعشرون هللة</t>
  </si>
  <si>
    <t xml:space="preserve">أربعمائة وسبعة وعشرون</t>
  </si>
  <si>
    <t xml:space="preserve">أربعمائة وسبعة وعشرون ألفاً</t>
  </si>
  <si>
    <t xml:space="preserve">أربعمائة وسبعة وعشرون مليوناً</t>
  </si>
  <si>
    <t xml:space="preserve">أربعمائة وسبعة وعشرون هللة</t>
  </si>
  <si>
    <t xml:space="preserve">أربعمائة وثمانية وعشرون</t>
  </si>
  <si>
    <t xml:space="preserve">أربعمائة وثمانية وعشرون ألفاً</t>
  </si>
  <si>
    <t xml:space="preserve">أربعمائة وثمانية وعشرون مليوناً</t>
  </si>
  <si>
    <t xml:space="preserve">أربعمائة وثمانية وعشرون هللة</t>
  </si>
  <si>
    <t xml:space="preserve">أربعمائة وتسعة وعشرون</t>
  </si>
  <si>
    <t xml:space="preserve">أربعمائة وتسعة وعشرون ألفاً</t>
  </si>
  <si>
    <t xml:space="preserve">أربعمائة وتسعة وعشرون مليوناً</t>
  </si>
  <si>
    <t xml:space="preserve">أربعمائة وتسعة وعشرون هللة</t>
  </si>
  <si>
    <t xml:space="preserve">أربعمائة وثلاثون</t>
  </si>
  <si>
    <t xml:space="preserve">أربعمائة وثلاثون ألفاً</t>
  </si>
  <si>
    <t xml:space="preserve">أربعمائة وثلاثون مليوناً</t>
  </si>
  <si>
    <t xml:space="preserve">أربعمائة وثلاثون هللة</t>
  </si>
  <si>
    <t xml:space="preserve">أربعمائة وواحد وثلاثون</t>
  </si>
  <si>
    <t xml:space="preserve">أربعمائة وواحد وثلاثون ألفاً</t>
  </si>
  <si>
    <t xml:space="preserve">أربعمائة وواحد وثلاثون مليوناً</t>
  </si>
  <si>
    <t xml:space="preserve">أربعمائة وواحد وثلاثون هللة</t>
  </si>
  <si>
    <t xml:space="preserve">أربعمائة واثنان وثلاثون</t>
  </si>
  <si>
    <t xml:space="preserve">أربعمائة واثنان وثلاثون ألفاً</t>
  </si>
  <si>
    <t xml:space="preserve">أربعمائة واثنان وثلاثون مليوناً</t>
  </si>
  <si>
    <t xml:space="preserve">أربعمائة واثنان وثلاثون هللة</t>
  </si>
  <si>
    <t xml:space="preserve">أربعمائة وثلاثة وثلاثون</t>
  </si>
  <si>
    <t xml:space="preserve">أربعمائة وثلاثة وثلاثون ألفاً</t>
  </si>
  <si>
    <t xml:space="preserve">أربعمائة وثلاثة وثلاثون مليوناً</t>
  </si>
  <si>
    <t xml:space="preserve">أربعمائة وثلاثة وثلاثون هللة</t>
  </si>
  <si>
    <t xml:space="preserve">أربعمائة وأربعة وثلاثون</t>
  </si>
  <si>
    <t xml:space="preserve">أربعمائة وأربعة وثلاثون ألفاً</t>
  </si>
  <si>
    <t xml:space="preserve">أربعمائة وأربعة وثلاثون مليوناً</t>
  </si>
  <si>
    <t xml:space="preserve">أربعمائة وأربعة وثلاثون هللة</t>
  </si>
  <si>
    <t xml:space="preserve">أربعمائة وخمسة وثلاثون</t>
  </si>
  <si>
    <t xml:space="preserve">أربعمائة وخمسة وثلاثون ألفاً</t>
  </si>
  <si>
    <t xml:space="preserve">أربعمائة وخمسة وثلاثون مليوناً</t>
  </si>
  <si>
    <t xml:space="preserve">أربعمائة وخمسة وثلاثون هللة</t>
  </si>
  <si>
    <t xml:space="preserve">أربعمائة وستة وثلاثون</t>
  </si>
  <si>
    <t xml:space="preserve">أربعمائة وستة وثلاثون ألفاً</t>
  </si>
  <si>
    <t xml:space="preserve">أربعمائة وستة وثلاثون مليوناً</t>
  </si>
  <si>
    <t xml:space="preserve">أربعمائة وستة وثلاثون هللة</t>
  </si>
  <si>
    <t xml:space="preserve">أربعمائة وسبعة وثلاثون</t>
  </si>
  <si>
    <t xml:space="preserve">أربعمائة وسبعة وثلاثون ألفاً</t>
  </si>
  <si>
    <t xml:space="preserve">أربعمائة وسبعة وثلاثون مليوناً</t>
  </si>
  <si>
    <t xml:space="preserve">أربعمائة وسبعة وثلاثون هللة</t>
  </si>
  <si>
    <t xml:space="preserve">أربعمائة وثمانية وثلاثون</t>
  </si>
  <si>
    <t xml:space="preserve">أربعمائة وثمانية وثلاثون ألفاً</t>
  </si>
  <si>
    <t xml:space="preserve">أربعمائة وثمانية وثلاثون مليوناً</t>
  </si>
  <si>
    <t xml:space="preserve">أربعمائة وثمانية وثلاثون هللة</t>
  </si>
  <si>
    <t xml:space="preserve">أربعمائة وتسعة وثلاثون</t>
  </si>
  <si>
    <t xml:space="preserve">أربعمائة وتسعة وثلاثون ألفاً</t>
  </si>
  <si>
    <t xml:space="preserve">أربعمائة وتسعة وثلاثون مليوناً</t>
  </si>
  <si>
    <t xml:space="preserve">أربعمائة وتسعة وثلاثون هللة</t>
  </si>
  <si>
    <t xml:space="preserve">أربعمائة وأربعون</t>
  </si>
  <si>
    <t xml:space="preserve">أربعمائة وأربعون ألفاً</t>
  </si>
  <si>
    <t xml:space="preserve">أربعمائة وأربعون مليوناً</t>
  </si>
  <si>
    <t xml:space="preserve">أربعمائة وأربعون هللة</t>
  </si>
  <si>
    <t xml:space="preserve">أربعمائة وواحد وأربعون</t>
  </si>
  <si>
    <t xml:space="preserve">أربعمائة وواحد وأربعون ألفاً</t>
  </si>
  <si>
    <t xml:space="preserve">أربعمائة وواحد وأربعون مليوناً</t>
  </si>
  <si>
    <t xml:space="preserve">أربعمائة وواحد وأربعون هللة</t>
  </si>
  <si>
    <t xml:space="preserve">أربعمائة واثنان وأربعون</t>
  </si>
  <si>
    <t xml:space="preserve">أربعمائة واثنان وأربعون ألفاً</t>
  </si>
  <si>
    <t xml:space="preserve">أربعمائة واثنان وأربعون مليوناً</t>
  </si>
  <si>
    <t xml:space="preserve">أربعمائة واثنان وأربعون هللة</t>
  </si>
  <si>
    <t xml:space="preserve">أربعمائة وثلاثة وأربعون</t>
  </si>
  <si>
    <t xml:space="preserve">أربعمائة وثلاثة وأربعون ألفاً</t>
  </si>
  <si>
    <t xml:space="preserve">أربعمائة وثلاثة وأربعون مليوناً</t>
  </si>
  <si>
    <t xml:space="preserve">أربعمائة وثلاثة وأربعون هللة</t>
  </si>
  <si>
    <t xml:space="preserve">أربعمائة وأربعة وأربعون</t>
  </si>
  <si>
    <t xml:space="preserve">أربعمائة وأربعة وأربعون ألفاً</t>
  </si>
  <si>
    <t xml:space="preserve">أربعمائة وأربعة وأربعون مليوناً</t>
  </si>
  <si>
    <t xml:space="preserve">أربعمائة وأربعة وأربعون هللة</t>
  </si>
  <si>
    <t xml:space="preserve">أربعمائة وخمسة وأربعون</t>
  </si>
  <si>
    <t xml:space="preserve">أربعمائة وخمسة وأربعون ألفاً</t>
  </si>
  <si>
    <t xml:space="preserve">أربعمائة وخمسة وأربعون مليوناً</t>
  </si>
  <si>
    <t xml:space="preserve">أربعمائة وخمسة وأربعون هللة</t>
  </si>
  <si>
    <t xml:space="preserve">أربعمائة وستة وأربعون</t>
  </si>
  <si>
    <t xml:space="preserve">أربعمائة وستة وأربعون ألفاً</t>
  </si>
  <si>
    <t xml:space="preserve">أربعمائة وستة وأربعون مليوناً</t>
  </si>
  <si>
    <t xml:space="preserve">أربعمائة وستة وأربعون هللة</t>
  </si>
  <si>
    <t xml:space="preserve">أربعمائة وسبعة وأربعون</t>
  </si>
  <si>
    <t xml:space="preserve">أربعمائة وسبعة وأربعون ألفاً</t>
  </si>
  <si>
    <t xml:space="preserve">أربعمائة وسبعة وأربعون مليوناً</t>
  </si>
  <si>
    <t xml:space="preserve">أربعمائة وسبعة وأربعون هللة</t>
  </si>
  <si>
    <t xml:space="preserve">أربعمائة وثمانية وأربعون</t>
  </si>
  <si>
    <t xml:space="preserve">أربعمائة وثمانية وأربعون ألفاً</t>
  </si>
  <si>
    <t xml:space="preserve">أربعمائة وثمانية وأربعون مليوناً</t>
  </si>
  <si>
    <t xml:space="preserve">أربعمائة وثمانية وأربعون هللة</t>
  </si>
  <si>
    <t xml:space="preserve">أربعمائة وتسعة وأربعون</t>
  </si>
  <si>
    <t xml:space="preserve">أربعمائة وتسعة وأربعون ألفاً</t>
  </si>
  <si>
    <t xml:space="preserve">أربعمائة وتسعة وأربعون مليوناً</t>
  </si>
  <si>
    <t xml:space="preserve">أربعمائة وتسعة وأربعون هللة</t>
  </si>
  <si>
    <t xml:space="preserve">أربعمائة وخمسون</t>
  </si>
  <si>
    <t xml:space="preserve">أربعمائة وخمسون ألفاً</t>
  </si>
  <si>
    <t xml:space="preserve">أربعمائة وخمسون مليوناً</t>
  </si>
  <si>
    <t xml:space="preserve">أربعمائة وخمسون هللة</t>
  </si>
  <si>
    <t xml:space="preserve">أربعمائة وواحد وخمسون</t>
  </si>
  <si>
    <t xml:space="preserve">أربعمائة وواحد وخمسون ألفاً</t>
  </si>
  <si>
    <t xml:space="preserve">أربعمائة وواحد وخمسون مليوناً</t>
  </si>
  <si>
    <t xml:space="preserve">أربعمائة وواحد وخمسون هللة</t>
  </si>
  <si>
    <t xml:space="preserve">أربعمائة واثنان وخمسون</t>
  </si>
  <si>
    <t xml:space="preserve">أربعمائة واثنان وخمسون ألفاً</t>
  </si>
  <si>
    <t xml:space="preserve">أربعمائة واثنان وخمسون مليوناً</t>
  </si>
  <si>
    <t xml:space="preserve">أربعمائة واثنان وخمسون هللة</t>
  </si>
  <si>
    <t xml:space="preserve">أربعمائة وثلاثة وخمسون</t>
  </si>
  <si>
    <t xml:space="preserve">أربعمائة وثلاثة وخمسون ألفاً</t>
  </si>
  <si>
    <t xml:space="preserve">أربعمائة وثلاثة وخمسون مليوناً</t>
  </si>
  <si>
    <t xml:space="preserve">أربعمائة وثلاثة وخمسون هللة</t>
  </si>
  <si>
    <t xml:space="preserve">أربعمائة وأربعة وخمسون</t>
  </si>
  <si>
    <t xml:space="preserve">أربعمائة وأربعة وخمسون ألفاً</t>
  </si>
  <si>
    <t xml:space="preserve">أربعمائة وأربعة وخمسون مليوناً</t>
  </si>
  <si>
    <t xml:space="preserve">أربعمائة وأربعة وخمسون هللة</t>
  </si>
  <si>
    <t xml:space="preserve">أربعمائة وخمسة وخمسون</t>
  </si>
  <si>
    <t xml:space="preserve">أربعمائة وخمسة وخمسون ألفاً</t>
  </si>
  <si>
    <t xml:space="preserve">أربعمائة وخمسة وخمسون مليوناً</t>
  </si>
  <si>
    <t xml:space="preserve">أربعمائة وخمسة وخمسون هللة</t>
  </si>
  <si>
    <t xml:space="preserve">أربعمائة وستة وخمسون</t>
  </si>
  <si>
    <t xml:space="preserve">أربعمائة وستة وخمسون ألفاً</t>
  </si>
  <si>
    <t xml:space="preserve">أربعمائة وستة وخمسون مليوناً</t>
  </si>
  <si>
    <t xml:space="preserve">أربعمائة وستة وخمسون هللة</t>
  </si>
  <si>
    <t xml:space="preserve">أربعمائة وسبعة وخمسون</t>
  </si>
  <si>
    <t xml:space="preserve">أربعمائة وسبعة وخمسون ألفاً</t>
  </si>
  <si>
    <t xml:space="preserve">أربعمائة وسبعة وخمسون مليوناً</t>
  </si>
  <si>
    <t xml:space="preserve">أربعمائة وسبعة وخمسون هللة</t>
  </si>
  <si>
    <t xml:space="preserve">أربعمائة وثمانية وخمسون</t>
  </si>
  <si>
    <t xml:space="preserve">أربعمائة وثمانية وخمسون ألفاً</t>
  </si>
  <si>
    <t xml:space="preserve">أربعمائة وثمانية وخمسون مليوناً</t>
  </si>
  <si>
    <t xml:space="preserve">أربعمائة وثمانية وخمسون هللة</t>
  </si>
  <si>
    <t xml:space="preserve">أربعمائة وتسعة وخمسون</t>
  </si>
  <si>
    <t xml:space="preserve">أربعمائة وتسعة وخمسون ألفاً</t>
  </si>
  <si>
    <t xml:space="preserve">أربعمائة وتسعة وخمسون مليوناً</t>
  </si>
  <si>
    <t xml:space="preserve">أربعمائة وتسعة وخمسون هللة</t>
  </si>
  <si>
    <t xml:space="preserve">أربعمائة وستون</t>
  </si>
  <si>
    <t xml:space="preserve">أربعمائة وستون ألفاً</t>
  </si>
  <si>
    <t xml:space="preserve">أربعمائة وستون مليوناً</t>
  </si>
  <si>
    <t xml:space="preserve">أربعمائة وستون هللة</t>
  </si>
  <si>
    <t xml:space="preserve">أربعمائة وواحد وستون</t>
  </si>
  <si>
    <t xml:space="preserve">أربعمائة وواحد وستون ألفاً</t>
  </si>
  <si>
    <t xml:space="preserve">أربعمائة وواحد وستون مليوناً</t>
  </si>
  <si>
    <t xml:space="preserve">أربعمائة وواحد وستون هللة</t>
  </si>
  <si>
    <t xml:space="preserve">أربعمائة واثنان وستون</t>
  </si>
  <si>
    <t xml:space="preserve">أربعمائة واثنان وستون ألفاً</t>
  </si>
  <si>
    <t xml:space="preserve">أربعمائة واثنان وستون مليوناً</t>
  </si>
  <si>
    <t xml:space="preserve">أربعمائة واثنان وستون هللة</t>
  </si>
  <si>
    <t xml:space="preserve">أربعمائة وثلاثة وستون</t>
  </si>
  <si>
    <t xml:space="preserve">أربعمائة وثلاثة وستون ألفاً</t>
  </si>
  <si>
    <t xml:space="preserve">أربعمائة وثلاثة وستون مليوناً</t>
  </si>
  <si>
    <t xml:space="preserve">أربعمائة وثلاثة وستون هللة</t>
  </si>
  <si>
    <t xml:space="preserve">أربعمائة وأربعة وستون</t>
  </si>
  <si>
    <t xml:space="preserve">أربعمائة وأربعة وستون ألفاً</t>
  </si>
  <si>
    <t xml:space="preserve">أربعمائة وأربعة وستون مليوناً</t>
  </si>
  <si>
    <t xml:space="preserve">أربعمائة وأربعة وستون هللة</t>
  </si>
  <si>
    <t xml:space="preserve">أربعمائة وخمسة وستون</t>
  </si>
  <si>
    <t xml:space="preserve">أربعمائة وخمسة وستون ألفاً</t>
  </si>
  <si>
    <t xml:space="preserve">أربعمائة وخمسة وستون مليوناً</t>
  </si>
  <si>
    <t xml:space="preserve">أربعمائة وخمسة وستون هللة</t>
  </si>
  <si>
    <t xml:space="preserve">أربعمائة وستة وستون</t>
  </si>
  <si>
    <t xml:space="preserve">أربعمائة وستة وستون ألفاً</t>
  </si>
  <si>
    <t xml:space="preserve">أربعمائة وستة وستون مليوناً</t>
  </si>
  <si>
    <t xml:space="preserve">أربعمائة وستة وستون هللة</t>
  </si>
  <si>
    <t xml:space="preserve">أربعمائة وسبعة وستون</t>
  </si>
  <si>
    <t xml:space="preserve">أربعمائة وسبعة وستون ألفاً</t>
  </si>
  <si>
    <t xml:space="preserve">أربعمائة وسبعة وستون مليوناً</t>
  </si>
  <si>
    <t xml:space="preserve">أربعمائة وسبعة وستون هللة</t>
  </si>
  <si>
    <t xml:space="preserve">أربعمائة وثمانية وستون</t>
  </si>
  <si>
    <t xml:space="preserve">أربعمائة وثمانية وستون ألفاً</t>
  </si>
  <si>
    <t xml:space="preserve">أربعمائة وثمانية وستون مليوناً</t>
  </si>
  <si>
    <t xml:space="preserve">أربعمائة وثمانية وستون هللة</t>
  </si>
  <si>
    <t xml:space="preserve">أربعمائة وتسعة وستون</t>
  </si>
  <si>
    <t xml:space="preserve">أربعمائة وتسعة وستون ألفاً</t>
  </si>
  <si>
    <t xml:space="preserve">أربعمائة وتسعة وستون مليوناً</t>
  </si>
  <si>
    <t xml:space="preserve">أربعمائة وتسعة وستون هللة</t>
  </si>
  <si>
    <t xml:space="preserve">أربعمائة وسبعون</t>
  </si>
  <si>
    <t xml:space="preserve">أربعمائة وسبعون ألفاً</t>
  </si>
  <si>
    <t xml:space="preserve">أربعمائة وسبعون مليوناً</t>
  </si>
  <si>
    <t xml:space="preserve">أربعمائة وسبعون هللة</t>
  </si>
  <si>
    <t xml:space="preserve">أربعمائة وواحد وسبعون</t>
  </si>
  <si>
    <t xml:space="preserve">أربعمائة وواحد وسبعون ألفاً</t>
  </si>
  <si>
    <t xml:space="preserve">أربعمائة وواحد وسبعون مليوناً</t>
  </si>
  <si>
    <t xml:space="preserve">أربعمائة وواحد وسبعون هللة</t>
  </si>
  <si>
    <t xml:space="preserve">أربعمائة واثنان وسبعون</t>
  </si>
  <si>
    <t xml:space="preserve">أربعمائة واثنان وسبعون ألفاً</t>
  </si>
  <si>
    <t xml:space="preserve">أربعمائة واثنان وسبعون مليوناً</t>
  </si>
  <si>
    <t xml:space="preserve">أربعمائة واثنان وسبعون هللة</t>
  </si>
  <si>
    <t xml:space="preserve">أربعمائة وثلاثة وسبعون</t>
  </si>
  <si>
    <t xml:space="preserve">أربعمائة وثلاثة وسبعون ألفاً</t>
  </si>
  <si>
    <t xml:space="preserve">أربعمائة وثلاثة وسبعون مليوناً</t>
  </si>
  <si>
    <t xml:space="preserve">أربعمائة وثلاثة وسبعون هللة</t>
  </si>
  <si>
    <t xml:space="preserve">أربعمائة وأربعة وسبعون</t>
  </si>
  <si>
    <t xml:space="preserve">أربعمائة وأربعة وسبعون ألفاً</t>
  </si>
  <si>
    <t xml:space="preserve">أربعمائة وأربعة وسبعون مليوناً</t>
  </si>
  <si>
    <t xml:space="preserve">أربعمائة وأربعة وسبعون هللة</t>
  </si>
  <si>
    <t xml:space="preserve">أربعمائة وخمسة وسبعون</t>
  </si>
  <si>
    <t xml:space="preserve">أربعمائة وخمسة وسبعون ألفاً</t>
  </si>
  <si>
    <t xml:space="preserve">أربعمائة وخمسة وسبعون مليوناً</t>
  </si>
  <si>
    <t xml:space="preserve">أربعمائة وخمسة وسبعون هللة</t>
  </si>
  <si>
    <t xml:space="preserve">أربعمائة وستة وسبعون</t>
  </si>
  <si>
    <t xml:space="preserve">أربعمائة وستة وسبعون ألفاً</t>
  </si>
  <si>
    <t xml:space="preserve">أربعمائة وستة وسبعون مليوناً</t>
  </si>
  <si>
    <t xml:space="preserve">أربعمائة وستة وسبعون هللة</t>
  </si>
  <si>
    <t xml:space="preserve">أربعمائة وسبعة وسبعون</t>
  </si>
  <si>
    <t xml:space="preserve">أربعمائة وسبعة وسبعون ألفاً</t>
  </si>
  <si>
    <t xml:space="preserve">أربعمائة وسبعة وسبعون مليوناً</t>
  </si>
  <si>
    <t xml:space="preserve">أربعمائة وسبعة وسبعون هللة</t>
  </si>
  <si>
    <t xml:space="preserve">أربعمائة وثمانية وسبعون</t>
  </si>
  <si>
    <t xml:space="preserve">أربعمائة وثمانية وسبعون ألفاً</t>
  </si>
  <si>
    <t xml:space="preserve">أربعمائة وثمانية وسبعون مليوناً</t>
  </si>
  <si>
    <t xml:space="preserve">أربعمائة وثمانية وسبعون هللة</t>
  </si>
  <si>
    <t xml:space="preserve">أربعمائة وتسعة وسبعون</t>
  </si>
  <si>
    <t xml:space="preserve">أربعمائة وتسعة وسبعون ألفاً</t>
  </si>
  <si>
    <t xml:space="preserve">أربعمائة وتسعة وسبعون مليوناً</t>
  </si>
  <si>
    <t xml:space="preserve">أربعمائة وتسعة وسبعون هللة</t>
  </si>
  <si>
    <t xml:space="preserve">أربعمائة وثمانون</t>
  </si>
  <si>
    <t xml:space="preserve">أربعمائة وثمانون ألفاً</t>
  </si>
  <si>
    <t xml:space="preserve">أربعمائة وثمانون مليوناً</t>
  </si>
  <si>
    <t xml:space="preserve">أربعمائة وثمانون هللة</t>
  </si>
  <si>
    <t xml:space="preserve">أربعمائة وواحد وثمانون</t>
  </si>
  <si>
    <t xml:space="preserve">أربعمائة وواحد وثمانون ألفاً</t>
  </si>
  <si>
    <t xml:space="preserve">أربعمائة وواحد وثمانون مليوناً</t>
  </si>
  <si>
    <t xml:space="preserve">أربعمائة وواحد وثمانون هللة</t>
  </si>
  <si>
    <t xml:space="preserve">أربعمائة واثنان وثمانون</t>
  </si>
  <si>
    <t xml:space="preserve">أربعمائة واثنان وثمانون ألفاً</t>
  </si>
  <si>
    <t xml:space="preserve">أربعمائة واثنان وثمانون مليوناً</t>
  </si>
  <si>
    <t xml:space="preserve">أربعمائة واثنان وثمانون هللة</t>
  </si>
  <si>
    <t xml:space="preserve">أربعمائة وثلاثة وثمانون</t>
  </si>
  <si>
    <t xml:space="preserve">أربعمائة وثلاثة وثمانون ألفاً</t>
  </si>
  <si>
    <t xml:space="preserve">أربعمائة وثلاثة وثمانون مليوناً</t>
  </si>
  <si>
    <t xml:space="preserve">أربعمائة وثلاثة وثمانون هللة</t>
  </si>
  <si>
    <t xml:space="preserve">أربعمائة وأربعة وثمانون</t>
  </si>
  <si>
    <t xml:space="preserve">أربعمائة وأربعة وثمانون ألفاً</t>
  </si>
  <si>
    <t xml:space="preserve">أربعمائة وأربعة وثمانون مليوناً</t>
  </si>
  <si>
    <t xml:space="preserve">أربعمائة وأربعة وثمانون هللة</t>
  </si>
  <si>
    <t xml:space="preserve">أربعمائة وخمسة وثمانون</t>
  </si>
  <si>
    <t xml:space="preserve">أربعمائة وخمسة وثمانون ألفاً</t>
  </si>
  <si>
    <t xml:space="preserve">أربعمائة وخمسة وثمانون مليوناً</t>
  </si>
  <si>
    <t xml:space="preserve">أربعمائة وخمسة وثمانون هللة</t>
  </si>
  <si>
    <t xml:space="preserve">أربعمائة وستة وثمانون</t>
  </si>
  <si>
    <t xml:space="preserve">أربعمائة وستة وثمانون ألفاً</t>
  </si>
  <si>
    <t xml:space="preserve">أربعمائة وستة وثمانون مليوناً</t>
  </si>
  <si>
    <t xml:space="preserve">أربعمائة وستة وثمانون هللة</t>
  </si>
  <si>
    <t xml:space="preserve">أربعمائة وسبعة وثمانون</t>
  </si>
  <si>
    <t xml:space="preserve">أربعمائة وسبعة وثمانون ألفاً</t>
  </si>
  <si>
    <t xml:space="preserve">أربعمائة وسبعة وثمانون مليوناً</t>
  </si>
  <si>
    <t xml:space="preserve">أربعمائة وسبعة وثمانون هللة</t>
  </si>
  <si>
    <t xml:space="preserve">أربعمائة وثمانية وثمانون</t>
  </si>
  <si>
    <t xml:space="preserve">أربعمائة وثمانية وثمانون ألفاً</t>
  </si>
  <si>
    <t xml:space="preserve">أربعمائة وثمانية وثمانون مليوناً</t>
  </si>
  <si>
    <t xml:space="preserve">أربعمائة وثمانية وثمانون هللة</t>
  </si>
  <si>
    <t xml:space="preserve">أربعمائة وتسعة وثمانون</t>
  </si>
  <si>
    <t xml:space="preserve">أربعمائة وتسعة وثمانون ألفاً</t>
  </si>
  <si>
    <t xml:space="preserve">أربعمائة وتسعة وثمانون مليوناً</t>
  </si>
  <si>
    <t xml:space="preserve">أربعمائة وتسعة وثمانون هللة</t>
  </si>
  <si>
    <t xml:space="preserve">أربعمائة وتسعون</t>
  </si>
  <si>
    <t xml:space="preserve">أربعمائة وتسعون ألفاً</t>
  </si>
  <si>
    <t xml:space="preserve">أربعمائة وتسعون مليوناً</t>
  </si>
  <si>
    <t xml:space="preserve">أربعمائة وتسعون هللة</t>
  </si>
  <si>
    <t xml:space="preserve">أربعمائة وواحد وتسعون</t>
  </si>
  <si>
    <t xml:space="preserve">أربعمائة وواحد وتسعون ألفاً</t>
  </si>
  <si>
    <t xml:space="preserve">أربعمائة وواحد وتسعون مليوناً</t>
  </si>
  <si>
    <t xml:space="preserve">أربعمائة وواحد وتسعون هللة</t>
  </si>
  <si>
    <t xml:space="preserve">أربعمائة واثنان وتسعون</t>
  </si>
  <si>
    <t xml:space="preserve">أربعمائة واثنان وتسعون ألفاً</t>
  </si>
  <si>
    <t xml:space="preserve">أربعمائة واثنان وتسعون مليوناً</t>
  </si>
  <si>
    <t xml:space="preserve">أربعمائة واثنان وتسعون هللة</t>
  </si>
  <si>
    <t xml:space="preserve">أربعمائة وثلاثة وتسعون</t>
  </si>
  <si>
    <t xml:space="preserve">أربعمائة وثلاثة وتسعون ألفاً</t>
  </si>
  <si>
    <t xml:space="preserve">أربعمائة وثلاثة وتسعون مليوناً</t>
  </si>
  <si>
    <t xml:space="preserve">أربعمائة وثلاثة وتسعون هللة</t>
  </si>
  <si>
    <t xml:space="preserve">أربعمائة وأربعة وتسعون</t>
  </si>
  <si>
    <t xml:space="preserve">أربعمائة وأربعة وتسعون ألفاً</t>
  </si>
  <si>
    <t xml:space="preserve">أربعمائة وأربعة وتسعون مليوناً</t>
  </si>
  <si>
    <t xml:space="preserve">أربعمائة وأربعة وتسعون هللة</t>
  </si>
  <si>
    <t xml:space="preserve">أربعمائة وخمسة وتسعون</t>
  </si>
  <si>
    <t xml:space="preserve">أربعمائة وخمسة وتسعون ألفاً</t>
  </si>
  <si>
    <t xml:space="preserve">أربعمائة وخمسة وتسعون مليوناً</t>
  </si>
  <si>
    <t xml:space="preserve">أربعمائة وخمسة وتسعون هللة</t>
  </si>
  <si>
    <t xml:space="preserve">أربعمائة وستة وتسعون</t>
  </si>
  <si>
    <t xml:space="preserve">أربعمائة وستة وتسعون ألفاً</t>
  </si>
  <si>
    <t xml:space="preserve">أربعمائة وستة وتسعون مليوناً</t>
  </si>
  <si>
    <t xml:space="preserve">أربعمائة وستة وتسعون هللة</t>
  </si>
  <si>
    <t xml:space="preserve">أربعمائة وسبعة وتسعون</t>
  </si>
  <si>
    <t xml:space="preserve">أربعمائة وسبعة وتسعون ألفاً</t>
  </si>
  <si>
    <t xml:space="preserve">أربعمائة وسبعة وتسعون مليوناً</t>
  </si>
  <si>
    <t xml:space="preserve">أربعمائة وسبعة وتسعون هللة</t>
  </si>
  <si>
    <t xml:space="preserve">أربعمائة وثمانية وتسعون</t>
  </si>
  <si>
    <t xml:space="preserve">أربعمائة وثمانية وتسعون ألفاً</t>
  </si>
  <si>
    <t xml:space="preserve">أربعمائة وثمانية وتسعون مليوناً</t>
  </si>
  <si>
    <t xml:space="preserve">أربعمائة وثمانية وتسعون هللة</t>
  </si>
  <si>
    <t xml:space="preserve">أربعمائة وتسعة وتسعون</t>
  </si>
  <si>
    <t xml:space="preserve">أربعمائة وتسعة وتسعون ألفاً</t>
  </si>
  <si>
    <t xml:space="preserve">أربعمائة وتسعة وتسعون مليوناً</t>
  </si>
  <si>
    <t xml:space="preserve">أربعمائة وتسعة وتسعون هللة</t>
  </si>
  <si>
    <t xml:space="preserve">خمسمائة</t>
  </si>
  <si>
    <t xml:space="preserve">خمسمائة ألف</t>
  </si>
  <si>
    <t xml:space="preserve">خمسمائة مليون</t>
  </si>
  <si>
    <t xml:space="preserve">خمسمائة هللة</t>
  </si>
  <si>
    <t xml:space="preserve">خمسمائة وواحد</t>
  </si>
  <si>
    <t xml:space="preserve">خمسمائة وواحد ألف</t>
  </si>
  <si>
    <t xml:space="preserve">خمسمائة وواحد مليون</t>
  </si>
  <si>
    <t xml:space="preserve">خمسمائة وواحد هللة</t>
  </si>
  <si>
    <t xml:space="preserve">خمسمائة واثنان</t>
  </si>
  <si>
    <t xml:space="preserve">خمسمائة واثنان ألف</t>
  </si>
  <si>
    <t xml:space="preserve">خمسمائة واثنان مليون</t>
  </si>
  <si>
    <t xml:space="preserve">خمسمائة واثنان هللة</t>
  </si>
  <si>
    <t xml:space="preserve">خمسمائة وثلاثة</t>
  </si>
  <si>
    <t xml:space="preserve">خمسمائة وثلاثة آلاف</t>
  </si>
  <si>
    <t xml:space="preserve">خمسمائة وثلاثة ملايين</t>
  </si>
  <si>
    <t xml:space="preserve">خمسمائة وثلاثة هللات</t>
  </si>
  <si>
    <t xml:space="preserve">خمسمائة وأربعة</t>
  </si>
  <si>
    <t xml:space="preserve">خمسمائة وأربعة آلاف</t>
  </si>
  <si>
    <t xml:space="preserve">خمسمائة وأربعة ملايين</t>
  </si>
  <si>
    <t xml:space="preserve">خمسمائة وأربعة هللات</t>
  </si>
  <si>
    <t xml:space="preserve">خمسمائة وخمسة</t>
  </si>
  <si>
    <t xml:space="preserve">خمسمائة وخمسة آلاف</t>
  </si>
  <si>
    <t xml:space="preserve">خمسمائة وخمسة ملايين</t>
  </si>
  <si>
    <t xml:space="preserve">خمسمائة وخمسة هللات</t>
  </si>
  <si>
    <t xml:space="preserve">خمسمائة وستة</t>
  </si>
  <si>
    <t xml:space="preserve">خمسمائة وستة آلاف</t>
  </si>
  <si>
    <t xml:space="preserve">خمسمائة وستة ملايين</t>
  </si>
  <si>
    <t xml:space="preserve">خمسمائة وستة هللات</t>
  </si>
  <si>
    <t xml:space="preserve">خمسمائة وسبعة</t>
  </si>
  <si>
    <t xml:space="preserve">خمسمائة وسبعة آلاف</t>
  </si>
  <si>
    <t xml:space="preserve">خمسمائة وسبعة ملايين</t>
  </si>
  <si>
    <t xml:space="preserve">خمسمائة وسبعة هللات</t>
  </si>
  <si>
    <t xml:space="preserve">خمسمائة وثمانية</t>
  </si>
  <si>
    <t xml:space="preserve">خمسمائة وثمانية آلاف</t>
  </si>
  <si>
    <t xml:space="preserve">خمسمائة وثمانية ملايين</t>
  </si>
  <si>
    <t xml:space="preserve">خمسمائة وثمانية هللات</t>
  </si>
  <si>
    <t xml:space="preserve">خمسمائة وتسعة</t>
  </si>
  <si>
    <t xml:space="preserve">خمسمائة وتسعة آلاف</t>
  </si>
  <si>
    <t xml:space="preserve">خمسمائة وتسعة ملايين</t>
  </si>
  <si>
    <t xml:space="preserve">خمسمائة وتسعة هللات</t>
  </si>
  <si>
    <t xml:space="preserve">خمسمائة وعشرة</t>
  </si>
  <si>
    <t xml:space="preserve">خمسمائة وعشرة آلاف</t>
  </si>
  <si>
    <t xml:space="preserve">خمسمائة وعشرة ملايين</t>
  </si>
  <si>
    <t xml:space="preserve">خمسمائة وعشرة هللات</t>
  </si>
  <si>
    <t xml:space="preserve">خمسمائة وأحد عشر</t>
  </si>
  <si>
    <t xml:space="preserve">خمسمائة وأحد عشر ألفاً</t>
  </si>
  <si>
    <t xml:space="preserve">خمسمائة وأحد عشر مليوناً</t>
  </si>
  <si>
    <t xml:space="preserve">خمسمائة وأحد عشر هللة</t>
  </si>
  <si>
    <t xml:space="preserve">خمسمائة واثنا عشر</t>
  </si>
  <si>
    <t xml:space="preserve">خمسمائة واثنا عشر ألفاً</t>
  </si>
  <si>
    <t xml:space="preserve">خمسمائة واثنا عشر مليوناً</t>
  </si>
  <si>
    <t xml:space="preserve">خمسمائة واثنا عشر هللة</t>
  </si>
  <si>
    <t xml:space="preserve">خمسمائة وثلاثة عشر</t>
  </si>
  <si>
    <t xml:space="preserve">خمسمائة وثلاثة عشر ألفاً</t>
  </si>
  <si>
    <t xml:space="preserve">خمسمائة وثلاثة عشر مليوناً</t>
  </si>
  <si>
    <t xml:space="preserve">خمسمائة وثلاثة عشر هللة</t>
  </si>
  <si>
    <t xml:space="preserve">خمسمائة وأربعة عشر</t>
  </si>
  <si>
    <t xml:space="preserve">خمسمائة وأربعة عشر ألفاً</t>
  </si>
  <si>
    <t xml:space="preserve">خمسمائة وأربعة عشر مليوناً</t>
  </si>
  <si>
    <t xml:space="preserve">خمسمائة وأربعة عشر هللة</t>
  </si>
  <si>
    <t xml:space="preserve">خمسمائة وخمسة عشر</t>
  </si>
  <si>
    <t xml:space="preserve">خمسمائة وخمسة عشر ألفاً</t>
  </si>
  <si>
    <t xml:space="preserve">خمسمائة وخمسة عشر مليوناً</t>
  </si>
  <si>
    <t xml:space="preserve">خمسمائة وخمسة عشر هللة</t>
  </si>
  <si>
    <t xml:space="preserve">خمسمائة وستة عشر</t>
  </si>
  <si>
    <t xml:space="preserve">خمسمائة وستة عشر ألفاً</t>
  </si>
  <si>
    <t xml:space="preserve">خمسمائة وستة عشر مليوناً</t>
  </si>
  <si>
    <t xml:space="preserve">خمسمائة وستة عشر هللة</t>
  </si>
  <si>
    <t xml:space="preserve">خمسمائة وسبعة عشر</t>
  </si>
  <si>
    <t xml:space="preserve">خمسمائة وسبعة عشر ألفاً</t>
  </si>
  <si>
    <t xml:space="preserve">خمسمائة وسبعة عشر مليوناً</t>
  </si>
  <si>
    <t xml:space="preserve">خمسمائة وسبعة عشر هللة</t>
  </si>
  <si>
    <t xml:space="preserve">خمسمائة وثمانية عشر</t>
  </si>
  <si>
    <t xml:space="preserve">خمسمائة وثمانية عشر ألفاً</t>
  </si>
  <si>
    <t xml:space="preserve">خمسمائة وثمانية عشر مليوناً</t>
  </si>
  <si>
    <t xml:space="preserve">خمسمائة وثمانية عشر هللة</t>
  </si>
  <si>
    <t xml:space="preserve">خمسمائة وتسعة عشر</t>
  </si>
  <si>
    <t xml:space="preserve">خمسمائة وتسعة عشر ألفاً</t>
  </si>
  <si>
    <t xml:space="preserve">خمسمائة وتسعة عشر مليوناً</t>
  </si>
  <si>
    <t xml:space="preserve">خمسمائة وتسعة عشر هللة</t>
  </si>
  <si>
    <t xml:space="preserve">خمسمائة وعشرون</t>
  </si>
  <si>
    <t xml:space="preserve">خمسمائة وعشرون ألفاً</t>
  </si>
  <si>
    <t xml:space="preserve">خمسمائة وعشرون مليوناً</t>
  </si>
  <si>
    <t xml:space="preserve">خمسمائة وعشرون هللة</t>
  </si>
  <si>
    <t xml:space="preserve">خمسمائة وواحد وعشرون</t>
  </si>
  <si>
    <t xml:space="preserve">خمسمائة وواحد وعشرون ألفاً</t>
  </si>
  <si>
    <t xml:space="preserve">خمسمائة وواحد وعشرون مليوناً</t>
  </si>
  <si>
    <t xml:space="preserve">خمسمائة وواحد وعشرون هللة</t>
  </si>
  <si>
    <t xml:space="preserve">خمسمائة واثنان وعشرون</t>
  </si>
  <si>
    <t xml:space="preserve">خمسمائة واثنان وعشرون ألفاً</t>
  </si>
  <si>
    <t xml:space="preserve">خمسمائة واثنان وعشرون مليوناً</t>
  </si>
  <si>
    <t xml:space="preserve">خمسمائة واثنان وعشرون هللة</t>
  </si>
  <si>
    <t xml:space="preserve">خمسمائة وثلاثة وعشرون</t>
  </si>
  <si>
    <t xml:space="preserve">خمسمائة وثلاثة وعشرون ألفاً</t>
  </si>
  <si>
    <t xml:space="preserve">خمسمائة وثلاثة وعشرون مليوناً</t>
  </si>
  <si>
    <t xml:space="preserve">خمسمائة وثلاثة وعشرون هللة</t>
  </si>
  <si>
    <t xml:space="preserve">خمسمائة وأربعة وعشرون</t>
  </si>
  <si>
    <t xml:space="preserve">خمسمائة وأربعة وعشرون ألفاً</t>
  </si>
  <si>
    <t xml:space="preserve">خمسمائة وأربعة وعشرون مليوناً</t>
  </si>
  <si>
    <t xml:space="preserve">خمسمائة وأربعة وعشرون هللة</t>
  </si>
  <si>
    <t xml:space="preserve">خمسمائة وخمسة وعشرون</t>
  </si>
  <si>
    <t xml:space="preserve">خمسمائة وخمسة وعشرون ألفاً</t>
  </si>
  <si>
    <t xml:space="preserve">خمسمائة وخمسة وعشرون مليوناً</t>
  </si>
  <si>
    <t xml:space="preserve">خمسمائة وخمسة وعشرون هللة</t>
  </si>
  <si>
    <t xml:space="preserve">خمسمائة وستة وعشرون</t>
  </si>
  <si>
    <t xml:space="preserve">خمسمائة وستة وعشرون ألفاً</t>
  </si>
  <si>
    <t xml:space="preserve">خمسمائة وستة وعشرون مليوناً</t>
  </si>
  <si>
    <t xml:space="preserve">خمسمائة وستة وعشرون هللة</t>
  </si>
  <si>
    <t xml:space="preserve">خمسمائة وسبعة وعشرون</t>
  </si>
  <si>
    <t xml:space="preserve">خمسمائة وسبعة وعشرون ألفاً</t>
  </si>
  <si>
    <t xml:space="preserve">خمسمائة وسبعة وعشرون مليوناً</t>
  </si>
  <si>
    <t xml:space="preserve">خمسمائة وسبعة وعشرون هللة</t>
  </si>
  <si>
    <t xml:space="preserve">خمسمائة وثمانية وعشرون</t>
  </si>
  <si>
    <t xml:space="preserve">خمسمائة وثمانية وعشرون ألفاً</t>
  </si>
  <si>
    <t xml:space="preserve">خمسمائة وثمانية وعشرون مليوناً</t>
  </si>
  <si>
    <t xml:space="preserve">خمسمائة وثمانية وعشرون هللة</t>
  </si>
  <si>
    <t xml:space="preserve">خمسمائة وتسعة وعشرون</t>
  </si>
  <si>
    <t xml:space="preserve">خمسمائة وتسعة وعشرون ألفاً</t>
  </si>
  <si>
    <t xml:space="preserve">خمسمائة وتسعة وعشرون مليوناً</t>
  </si>
  <si>
    <t xml:space="preserve">خمسمائة وتسعة وعشرون هللة</t>
  </si>
  <si>
    <t xml:space="preserve">خمسمائة وثلاثون</t>
  </si>
  <si>
    <t xml:space="preserve">خمسمائة وثلاثون ألفاً</t>
  </si>
  <si>
    <t xml:space="preserve">خمسمائة وثلاثون مليوناً</t>
  </si>
  <si>
    <t xml:space="preserve">خمسمائة وثلاثون هللة</t>
  </si>
  <si>
    <t xml:space="preserve">خمسمائة وواحد وثلاثون</t>
  </si>
  <si>
    <t xml:space="preserve">خمسمائة وواحد وثلاثون ألفاً</t>
  </si>
  <si>
    <t xml:space="preserve">خمسمائة وواحد وثلاثون مليوناً</t>
  </si>
  <si>
    <t xml:space="preserve">خمسمائة وواحد وثلاثون هللة</t>
  </si>
  <si>
    <t xml:space="preserve">خمسمائة واثنان وثلاثون</t>
  </si>
  <si>
    <t xml:space="preserve">خمسمائة واثنان وثلاثون ألفاً</t>
  </si>
  <si>
    <t xml:space="preserve">خمسمائة واثنان وثلاثون مليوناً</t>
  </si>
  <si>
    <t xml:space="preserve">خمسمائة واثنان وثلاثون هللة</t>
  </si>
  <si>
    <t xml:space="preserve">خمسمائة وثلاثة وثلاثون</t>
  </si>
  <si>
    <t xml:space="preserve">خمسمائة وثلاثة وثلاثون ألفاً</t>
  </si>
  <si>
    <t xml:space="preserve">خمسمائة وثلاثة وثلاثون مليوناً</t>
  </si>
  <si>
    <t xml:space="preserve">خمسمائة وثلاثة وثلاثون هللة</t>
  </si>
  <si>
    <t xml:space="preserve">خمسمائة وأربعة وثلاثون</t>
  </si>
  <si>
    <t xml:space="preserve">خمسمائة وأربعة وثلاثون ألفاً</t>
  </si>
  <si>
    <t xml:space="preserve">خمسمائة وأربعة وثلاثون مليوناً</t>
  </si>
  <si>
    <t xml:space="preserve">خمسمائة وأربعة وثلاثون هللة</t>
  </si>
  <si>
    <t xml:space="preserve">خمسمائة وخمسة وثلاثون</t>
  </si>
  <si>
    <t xml:space="preserve">خمسمائة وخمسة وثلاثون ألفاً</t>
  </si>
  <si>
    <t xml:space="preserve">خمسمائة وخمسة وثلاثون مليوناً</t>
  </si>
  <si>
    <t xml:space="preserve">خمسمائة وخمسة وثلاثون هللة</t>
  </si>
  <si>
    <t xml:space="preserve">خمسمائة وستة وثلاثون</t>
  </si>
  <si>
    <t xml:space="preserve">خمسمائة وستة وثلاثون ألفاً</t>
  </si>
  <si>
    <t xml:space="preserve">خمسمائة وستة وثلاثون مليوناً</t>
  </si>
  <si>
    <t xml:space="preserve">خمسمائة وستة وثلاثون هللة</t>
  </si>
  <si>
    <t xml:space="preserve">خمسمائة وسبعة وثلاثون</t>
  </si>
  <si>
    <t xml:space="preserve">خمسمائة وسبعة وثلاثون ألفاً</t>
  </si>
  <si>
    <t xml:space="preserve">خمسمائة وسبعة وثلاثون مليوناً</t>
  </si>
  <si>
    <t xml:space="preserve">خمسمائة وسبعة وثلاثون هللة</t>
  </si>
  <si>
    <t xml:space="preserve">خمسمائة وثمانية وثلاثون</t>
  </si>
  <si>
    <t xml:space="preserve">خمسمائة وثمانية وثلاثون ألفاً</t>
  </si>
  <si>
    <t xml:space="preserve">خمسمائة وثمانية وثلاثون مليوناً</t>
  </si>
  <si>
    <t xml:space="preserve">خمسمائة وثمانية وثلاثون هللة</t>
  </si>
  <si>
    <t xml:space="preserve">خمسمائة وتسعة وثلاثون</t>
  </si>
  <si>
    <t xml:space="preserve">خمسمائة وتسعة وثلاثون ألفاً</t>
  </si>
  <si>
    <t xml:space="preserve">خمسمائة وتسعة وثلاثون مليوناً</t>
  </si>
  <si>
    <t xml:space="preserve">خمسمائة وتسعة وثلاثون هللة</t>
  </si>
  <si>
    <t xml:space="preserve">خمسمائة وأربعون</t>
  </si>
  <si>
    <t xml:space="preserve">خمسمائة وأربعون ألفاً</t>
  </si>
  <si>
    <t xml:space="preserve">خمسمائة وأربعون مليوناً</t>
  </si>
  <si>
    <t xml:space="preserve">خمسمائة وأربعون هللة</t>
  </si>
  <si>
    <t xml:space="preserve">خمسمائة وواحد وأربعون</t>
  </si>
  <si>
    <t xml:space="preserve">خمسمائة وواحد وأربعون ألفاً</t>
  </si>
  <si>
    <t xml:space="preserve">خمسمائة وواحد وأربعون مليوناً</t>
  </si>
  <si>
    <t xml:space="preserve">خمسمائة وواحد وأربعون هللة</t>
  </si>
  <si>
    <t xml:space="preserve">خمسمائة واثنان وأربعون</t>
  </si>
  <si>
    <t xml:space="preserve">خمسمائة واثنان وأربعون ألفاً</t>
  </si>
  <si>
    <t xml:space="preserve">خمسمائة واثنان وأربعون مليوناً</t>
  </si>
  <si>
    <t xml:space="preserve">خمسمائة واثنان وأربعون هللة</t>
  </si>
  <si>
    <t xml:space="preserve">خمسمائة وثلاثة وأربعون</t>
  </si>
  <si>
    <t xml:space="preserve">خمسمائة وثلاثة وأربعون ألفاً</t>
  </si>
  <si>
    <t xml:space="preserve">خمسمائة وثلاثة وأربعون مليوناً</t>
  </si>
  <si>
    <t xml:space="preserve">خمسمائة وثلاثة وأربعون هللة</t>
  </si>
  <si>
    <t xml:space="preserve">خمسمائة وأربعة وأربعون</t>
  </si>
  <si>
    <t xml:space="preserve">خمسمائة وأربعة وأربعون ألفاً</t>
  </si>
  <si>
    <t xml:space="preserve">خمسمائة وأربعة وأربعون مليوناً</t>
  </si>
  <si>
    <t xml:space="preserve">خمسمائة وأربعة وأربعون هللة</t>
  </si>
  <si>
    <t xml:space="preserve">خمسمائة وخمسة وأربعون</t>
  </si>
  <si>
    <t xml:space="preserve">خمسمائة وخمسة وأربعون ألفاً</t>
  </si>
  <si>
    <t xml:space="preserve">خمسمائة وخمسة وأربعون مليوناً</t>
  </si>
  <si>
    <t xml:space="preserve">خمسمائة وخمسة وأربعون هللة</t>
  </si>
  <si>
    <t xml:space="preserve">خمسمائة وستة وأربعون</t>
  </si>
  <si>
    <t xml:space="preserve">خمسمائة وستة وأربعون ألفاً</t>
  </si>
  <si>
    <t xml:space="preserve">خمسمائة وستة وأربعون مليوناً</t>
  </si>
  <si>
    <t xml:space="preserve">خمسمائة وستة وأربعون هللة</t>
  </si>
  <si>
    <t xml:space="preserve">خمسمائة وسبعة وأربعون</t>
  </si>
  <si>
    <t xml:space="preserve">خمسمائة وسبعة وأربعون ألفاً</t>
  </si>
  <si>
    <t xml:space="preserve">خمسمائة وسبعة وأربعون مليوناً</t>
  </si>
  <si>
    <t xml:space="preserve">خمسمائة وسبعة وأربعون هللة</t>
  </si>
  <si>
    <t xml:space="preserve">خمسمائة وثمانية وأربعون</t>
  </si>
  <si>
    <t xml:space="preserve">خمسمائة وثمانية وأربعون ألفاً</t>
  </si>
  <si>
    <t xml:space="preserve">خمسمائة وثمانية وأربعون مليوناً</t>
  </si>
  <si>
    <t xml:space="preserve">خمسمائة وثمانية وأربعون هللة</t>
  </si>
  <si>
    <t xml:space="preserve">خمسمائة وتسعة وأربعون</t>
  </si>
  <si>
    <t xml:space="preserve">خمسمائة وتسعة وأربعون ألفاً</t>
  </si>
  <si>
    <t xml:space="preserve">خمسمائة وتسعة وأربعون مليوناً</t>
  </si>
  <si>
    <t xml:space="preserve">خمسمائة وتسعة وأربعون هللة</t>
  </si>
  <si>
    <t xml:space="preserve">خمسمائة وخمسون</t>
  </si>
  <si>
    <t xml:space="preserve">خمسمائة وخمسون ألفاً</t>
  </si>
  <si>
    <t xml:space="preserve">خمسمائة وخمسون مليوناً</t>
  </si>
  <si>
    <t xml:space="preserve">خمسمائة وخمسون هللة</t>
  </si>
  <si>
    <t xml:space="preserve">خمسمائة وواحد وخمسون</t>
  </si>
  <si>
    <t xml:space="preserve">خمسمائة وواحد وخمسون ألفاً</t>
  </si>
  <si>
    <t xml:space="preserve">خمسمائة وواحد وخمسون مليوناً</t>
  </si>
  <si>
    <t xml:space="preserve">خمسمائة وواحد وخمسون هللة</t>
  </si>
  <si>
    <t xml:space="preserve">خمسمائة واثنان وخمسون</t>
  </si>
  <si>
    <t xml:space="preserve">خمسمائة واثنان وخمسون ألفاً</t>
  </si>
  <si>
    <t xml:space="preserve">خمسمائة واثنان وخمسون مليوناً</t>
  </si>
  <si>
    <t xml:space="preserve">خمسمائة واثنان وخمسون هللة</t>
  </si>
  <si>
    <t xml:space="preserve">خمسمائة وثلاثة وخمسون</t>
  </si>
  <si>
    <t xml:space="preserve">خمسمائة وثلاثة وخمسون ألفاً</t>
  </si>
  <si>
    <t xml:space="preserve">خمسمائة وثلاثة وخمسون مليوناً</t>
  </si>
  <si>
    <t xml:space="preserve">خمسمائة وثلاثة وخمسون هللة</t>
  </si>
  <si>
    <t xml:space="preserve">خمسمائة وأربعة وخمسون</t>
  </si>
  <si>
    <t xml:space="preserve">خمسمائة وأربعة وخمسون ألفاً</t>
  </si>
  <si>
    <t xml:space="preserve">خمسمائة وأربعة وخمسون مليوناً</t>
  </si>
  <si>
    <t xml:space="preserve">خمسمائة وأربعة وخمسون هللة</t>
  </si>
  <si>
    <t xml:space="preserve">خمسمائة وخمسة وخمسون</t>
  </si>
  <si>
    <t xml:space="preserve">خمسمائة وخمسة وخمسون ألفاً</t>
  </si>
  <si>
    <t xml:space="preserve">خمسمائة وخمسة وخمسون مليوناً</t>
  </si>
  <si>
    <t xml:space="preserve">خمسمائة وخمسة وخمسون هللة</t>
  </si>
  <si>
    <t xml:space="preserve">خمسمائة وستة وخمسون</t>
  </si>
  <si>
    <t xml:space="preserve">خمسمائة وستة وخمسون ألفاً</t>
  </si>
  <si>
    <t xml:space="preserve">خمسمائة وستة وخمسون مليوناً</t>
  </si>
  <si>
    <t xml:space="preserve">خمسمائة وستة وخمسون هللة</t>
  </si>
  <si>
    <t xml:space="preserve">خمسمائة وسبعة وخمسون</t>
  </si>
  <si>
    <t xml:space="preserve">خمسمائة وسبعة وخمسون ألفاً</t>
  </si>
  <si>
    <t xml:space="preserve">خمسمائة وسبعة وخمسون مليوناً</t>
  </si>
  <si>
    <t xml:space="preserve">خمسمائة وسبعة وخمسون هللة</t>
  </si>
  <si>
    <t xml:space="preserve">خمسمائة وثمانية وخمسون</t>
  </si>
  <si>
    <t xml:space="preserve">خمسمائة وثمانية وخمسون ألفاً</t>
  </si>
  <si>
    <t xml:space="preserve">خمسمائة وثمانية وخمسون مليوناً</t>
  </si>
  <si>
    <t xml:space="preserve">خمسمائة وثمانية وخمسون هللة</t>
  </si>
  <si>
    <t xml:space="preserve">خمسمائة وتسعة وخمسون</t>
  </si>
  <si>
    <t xml:space="preserve">خمسمائة وتسعة وخمسون ألفاً</t>
  </si>
  <si>
    <t xml:space="preserve">خمسمائة وتسعة وخمسون مليوناً</t>
  </si>
  <si>
    <t xml:space="preserve">خمسمائة وتسعة وخمسون هللة</t>
  </si>
  <si>
    <t xml:space="preserve">خمسمائة وستون</t>
  </si>
  <si>
    <t xml:space="preserve">خمسمائة وستون ألفاً</t>
  </si>
  <si>
    <t xml:space="preserve">خمسمائة وستون مليوناً</t>
  </si>
  <si>
    <t xml:space="preserve">خمسمائة وستون هللة</t>
  </si>
  <si>
    <t xml:space="preserve">خمسمائة وواحد وستون</t>
  </si>
  <si>
    <t xml:space="preserve">خمسمائة وواحد وستون ألفاً</t>
  </si>
  <si>
    <t xml:space="preserve">خمسمائة وواحد وستون مليوناً</t>
  </si>
  <si>
    <t xml:space="preserve">خمسمائة وواحد وستون هللة</t>
  </si>
  <si>
    <t xml:space="preserve">خمسمائة واثنان وستون</t>
  </si>
  <si>
    <t xml:space="preserve">خمسمائة واثنان وستون ألفاً</t>
  </si>
  <si>
    <t xml:space="preserve">خمسمائة واثنان وستون مليوناً</t>
  </si>
  <si>
    <t xml:space="preserve">خمسمائة واثنان وستون هللة</t>
  </si>
  <si>
    <t xml:space="preserve">خمسمائة وثلاثة وستون</t>
  </si>
  <si>
    <t xml:space="preserve">خمسمائة وثلاثة وستون ألفاً</t>
  </si>
  <si>
    <t xml:space="preserve">خمسمائة وثلاثة وستون مليوناً</t>
  </si>
  <si>
    <t xml:space="preserve">خمسمائة وثلاثة وستون هللة</t>
  </si>
  <si>
    <t xml:space="preserve">خمسمائة وأربعة وستون</t>
  </si>
  <si>
    <t xml:space="preserve">خمسمائة وأربعة وستون ألفاً</t>
  </si>
  <si>
    <t xml:space="preserve">خمسمائة وأربعة وستون مليوناً</t>
  </si>
  <si>
    <t xml:space="preserve">خمسمائة وأربعة وستون هللة</t>
  </si>
  <si>
    <t xml:space="preserve">خمسمائة وخمسة وستون</t>
  </si>
  <si>
    <t xml:space="preserve">خمسمائة وخمسة وستون ألفاً</t>
  </si>
  <si>
    <t xml:space="preserve">خمسمائة وخمسة وستون مليوناً</t>
  </si>
  <si>
    <t xml:space="preserve">خمسمائة وخمسة وستون هللة</t>
  </si>
  <si>
    <t xml:space="preserve">خمسمائة وستة وستون</t>
  </si>
  <si>
    <t xml:space="preserve">خمسمائة وستة وستون ألفاً</t>
  </si>
  <si>
    <t xml:space="preserve">خمسمائة وستة وستون مليوناً</t>
  </si>
  <si>
    <t xml:space="preserve">خمسمائة وستة وستون هللة</t>
  </si>
  <si>
    <t xml:space="preserve">خمسمائة وسبعة وستون</t>
  </si>
  <si>
    <t xml:space="preserve">خمسمائة وسبعة وستون ألفاً</t>
  </si>
  <si>
    <t xml:space="preserve">خمسمائة وسبعة وستون مليوناً</t>
  </si>
  <si>
    <t xml:space="preserve">خمسمائة وسبعة وستون هللة</t>
  </si>
  <si>
    <t xml:space="preserve">خمسمائة وثمانية وستون</t>
  </si>
  <si>
    <t xml:space="preserve">خمسمائة وثمانية وستون ألفاً</t>
  </si>
  <si>
    <t xml:space="preserve">خمسمائة وثمانية وستون مليوناً</t>
  </si>
  <si>
    <t xml:space="preserve">خمسمائة وثمانية وستون هللة</t>
  </si>
  <si>
    <t xml:space="preserve">خمسمائة وتسعة وستون</t>
  </si>
  <si>
    <t xml:space="preserve">خمسمائة وتسعة وستون ألفاً</t>
  </si>
  <si>
    <t xml:space="preserve">خمسمائة وتسعة وستون مليوناً</t>
  </si>
  <si>
    <t xml:space="preserve">خمسمائة وتسعة وستون هللة</t>
  </si>
  <si>
    <t xml:space="preserve">خمسمائة وسبعون</t>
  </si>
  <si>
    <t xml:space="preserve">خمسمائة وسبعون ألفاً</t>
  </si>
  <si>
    <t xml:space="preserve">خمسمائة وسبعون مليوناً</t>
  </si>
  <si>
    <t xml:space="preserve">خمسمائة وسبعون هللة</t>
  </si>
  <si>
    <t xml:space="preserve">خمسمائة وواحد وسبعون</t>
  </si>
  <si>
    <t xml:space="preserve">خمسمائة وواحد وسبعون ألفاً</t>
  </si>
  <si>
    <t xml:space="preserve">خمسمائة وواحد وسبعون مليوناً</t>
  </si>
  <si>
    <t xml:space="preserve">خمسمائة وواحد وسبعون هللة</t>
  </si>
  <si>
    <t xml:space="preserve">خمسمائة واثنان وسبعون</t>
  </si>
  <si>
    <t xml:space="preserve">خمسمائة واثنان وسبعون ألفاً</t>
  </si>
  <si>
    <t xml:space="preserve">خمسمائة واثنان وسبعون مليوناً</t>
  </si>
  <si>
    <t xml:space="preserve">خمسمائة واثنان وسبعون هللة</t>
  </si>
  <si>
    <t xml:space="preserve">خمسمائة وثلاثة وسبعون</t>
  </si>
  <si>
    <t xml:space="preserve">خمسمائة وثلاثة وسبعون ألفاً</t>
  </si>
  <si>
    <t xml:space="preserve">خمسمائة وثلاثة وسبعون مليوناً</t>
  </si>
  <si>
    <t xml:space="preserve">خمسمائة وثلاثة وسبعون هللة</t>
  </si>
  <si>
    <t xml:space="preserve">خمسمائة وأربعة وسبعون</t>
  </si>
  <si>
    <t xml:space="preserve">خمسمائة وأربعة وسبعون ألفاً</t>
  </si>
  <si>
    <t xml:space="preserve">خمسمائة وأربعة وسبعون مليوناً</t>
  </si>
  <si>
    <t xml:space="preserve">خمسمائة وأربعة وسبعون هللة</t>
  </si>
  <si>
    <t xml:space="preserve">خمسمائة وخمسة وسبعون</t>
  </si>
  <si>
    <t xml:space="preserve">خمسمائة وخمسة وسبعون ألفاً</t>
  </si>
  <si>
    <t xml:space="preserve">خمسمائة وخمسة وسبعون مليوناً</t>
  </si>
  <si>
    <t xml:space="preserve">خمسمائة وخمسة وسبعون هللة</t>
  </si>
  <si>
    <t xml:space="preserve">خمسمائة وستة وسبعون</t>
  </si>
  <si>
    <t xml:space="preserve">خمسمائة وستة وسبعون ألفاً</t>
  </si>
  <si>
    <t xml:space="preserve">خمسمائة وستة وسبعون مليوناً</t>
  </si>
  <si>
    <t xml:space="preserve">خمسمائة وستة وسبعون هللة</t>
  </si>
  <si>
    <t xml:space="preserve">خمسمائة وسبعة وسبعون</t>
  </si>
  <si>
    <t xml:space="preserve">خمسمائة وسبعة وسبعون ألفاً</t>
  </si>
  <si>
    <t xml:space="preserve">خمسمائة وسبعة وسبعون مليوناً</t>
  </si>
  <si>
    <t xml:space="preserve">خمسمائة وسبعة وسبعون هللة</t>
  </si>
  <si>
    <t xml:space="preserve">خمسمائة وثمانية وسبعون</t>
  </si>
  <si>
    <t xml:space="preserve">خمسمائة وثمانية وسبعون ألفاً</t>
  </si>
  <si>
    <t xml:space="preserve">خمسمائة وثمانية وسبعون مليوناً</t>
  </si>
  <si>
    <t xml:space="preserve">خمسمائة وثمانية وسبعون هللة</t>
  </si>
  <si>
    <t xml:space="preserve">خمسمائة وتسعة وسبعون</t>
  </si>
  <si>
    <t xml:space="preserve">خمسمائة وتسعة وسبعون ألفاً</t>
  </si>
  <si>
    <t xml:space="preserve">خمسمائة وتسعة وسبعون مليوناً</t>
  </si>
  <si>
    <t xml:space="preserve">خمسمائة وتسعة وسبعون هللة</t>
  </si>
  <si>
    <t xml:space="preserve">خمسمائة وثمانون</t>
  </si>
  <si>
    <t xml:space="preserve">خمسمائة وثمانون ألفاً</t>
  </si>
  <si>
    <t xml:space="preserve">خمسمائة وثمانون مليوناً</t>
  </si>
  <si>
    <t xml:space="preserve">خمسمائة وثمانون هللة</t>
  </si>
  <si>
    <t xml:space="preserve">خمسمائة وواحد وثمانون</t>
  </si>
  <si>
    <t xml:space="preserve">خمسمائة وواحد وثمانون ألفاً</t>
  </si>
  <si>
    <t xml:space="preserve">خمسمائة وواحد وثمانون مليوناً</t>
  </si>
  <si>
    <t xml:space="preserve">خمسمائة وواحد وثمانون هللة</t>
  </si>
  <si>
    <t xml:space="preserve">خمسمائة واثنان وثمانون</t>
  </si>
  <si>
    <t xml:space="preserve">خمسمائة واثنان وثمانون ألفاً</t>
  </si>
  <si>
    <t xml:space="preserve">خمسمائة واثنان وثمانون مليوناً</t>
  </si>
  <si>
    <t xml:space="preserve">خمسمائة واثنان وثمانون هللة</t>
  </si>
  <si>
    <t xml:space="preserve">خمسمائة وثلاثة وثمانون</t>
  </si>
  <si>
    <t xml:space="preserve">خمسمائة وثلاثة وثمانون ألفاً</t>
  </si>
  <si>
    <t xml:space="preserve">خمسمائة وثلاثة وثمانون مليوناً</t>
  </si>
  <si>
    <t xml:space="preserve">خمسمائة وثلاثة وثمانون هللة</t>
  </si>
  <si>
    <t xml:space="preserve">خمسمائة وأربعة وثمانون</t>
  </si>
  <si>
    <t xml:space="preserve">خمسمائة وأربعة وثمانون ألفاً</t>
  </si>
  <si>
    <t xml:space="preserve">خمسمائة وأربعة وثمانون مليوناً</t>
  </si>
  <si>
    <t xml:space="preserve">خمسمائة وأربعة وثمانون هللة</t>
  </si>
  <si>
    <t xml:space="preserve">خمسمائة وخمسة وثمانون</t>
  </si>
  <si>
    <t xml:space="preserve">خمسمائة وخمسة وثمانون ألفاً</t>
  </si>
  <si>
    <t xml:space="preserve">خمسمائة وخمسة وثمانون مليوناً</t>
  </si>
  <si>
    <t xml:space="preserve">خمسمائة وخمسة وثمانون هللة</t>
  </si>
  <si>
    <t xml:space="preserve">خمسمائة وستة وثمانون</t>
  </si>
  <si>
    <t xml:space="preserve">خمسمائة وستة وثمانون ألفاً</t>
  </si>
  <si>
    <t xml:space="preserve">خمسمائة وستة وثمانون مليوناً</t>
  </si>
  <si>
    <t xml:space="preserve">خمسمائة وستة وثمانون هللة</t>
  </si>
  <si>
    <t xml:space="preserve">خمسمائة وسبعة وثمانون</t>
  </si>
  <si>
    <t xml:space="preserve">خمسمائة وسبعة وثمانون ألفاً</t>
  </si>
  <si>
    <t xml:space="preserve">خمسمائة وسبعة وثمانون مليوناً</t>
  </si>
  <si>
    <t xml:space="preserve">خمسمائة وسبعة وثمانون هللة</t>
  </si>
  <si>
    <t xml:space="preserve">خمسمائة وثمانية وثمانون</t>
  </si>
  <si>
    <t xml:space="preserve">خمسمائة وثمانية وثمانون ألفاً</t>
  </si>
  <si>
    <t xml:space="preserve">خمسمائة وثمانية وثمانون مليوناً</t>
  </si>
  <si>
    <t xml:space="preserve">خمسمائة وثمانية وثمانون هللة</t>
  </si>
  <si>
    <t xml:space="preserve">خمسمائة وتسعة وثمانون</t>
  </si>
  <si>
    <t xml:space="preserve">خمسمائة وتسعة وثمانون ألفاً</t>
  </si>
  <si>
    <t xml:space="preserve">خمسمائة وتسعة وثمانون مليوناً</t>
  </si>
  <si>
    <t xml:space="preserve">خمسمائة وتسعة وثمانون هللة</t>
  </si>
  <si>
    <t xml:space="preserve">خمسمائة وتسعون</t>
  </si>
  <si>
    <t xml:space="preserve">خمسمائة وتسعون ألفاً</t>
  </si>
  <si>
    <t xml:space="preserve">خمسمائة وتسعون مليوناً</t>
  </si>
  <si>
    <t xml:space="preserve">خمسمائة وتسعون هللة</t>
  </si>
  <si>
    <t xml:space="preserve">خمسمائة وواحد وتسعون</t>
  </si>
  <si>
    <t xml:space="preserve">خمسمائة وواحد وتسعون ألفاً</t>
  </si>
  <si>
    <t xml:space="preserve">خمسمائة وواحد وتسعون مليوناً</t>
  </si>
  <si>
    <t xml:space="preserve">خمسمائة وواحد وتسعون هللة</t>
  </si>
  <si>
    <t xml:space="preserve">خمسمائة واثنان وتسعون</t>
  </si>
  <si>
    <t xml:space="preserve">خمسمائة واثنان وتسعون ألفاً</t>
  </si>
  <si>
    <t xml:space="preserve">خمسمائة واثنان وتسعون مليوناً</t>
  </si>
  <si>
    <t xml:space="preserve">خمسمائة واثنان وتسعون هللة</t>
  </si>
  <si>
    <t xml:space="preserve">خمسمائة وثلاثة وتسعون</t>
  </si>
  <si>
    <t xml:space="preserve">خمسمائة وثلاثة وتسعون ألفاً</t>
  </si>
  <si>
    <t xml:space="preserve">خمسمائة وثلاثة وتسعون مليوناً</t>
  </si>
  <si>
    <t xml:space="preserve">خمسمائة وثلاثة وتسعون هللة</t>
  </si>
  <si>
    <t xml:space="preserve">خمسمائة وأربعة وتسعون</t>
  </si>
  <si>
    <t xml:space="preserve">خمسمائة وأربعة وتسعون ألفاً</t>
  </si>
  <si>
    <t xml:space="preserve">خمسمائة وأربعة وتسعون مليوناً</t>
  </si>
  <si>
    <t xml:space="preserve">خمسمائة وأربعة وتسعون هللة</t>
  </si>
  <si>
    <t xml:space="preserve">خمسمائة وخمسة وتسعون</t>
  </si>
  <si>
    <t xml:space="preserve">خمسمائة وخمسة وتسعون ألفاً</t>
  </si>
  <si>
    <t xml:space="preserve">خمسمائة وخمسة وتسعون مليوناً</t>
  </si>
  <si>
    <t xml:space="preserve">خمسمائة وخمسة وتسعون هللة</t>
  </si>
  <si>
    <t xml:space="preserve">خمسمائة وستة وتسعون</t>
  </si>
  <si>
    <t xml:space="preserve">خمسمائة وستة وتسعون ألفاً</t>
  </si>
  <si>
    <t xml:space="preserve">خمسمائة وستة وتسعون مليوناً</t>
  </si>
  <si>
    <t xml:space="preserve">خمسمائة وستة وتسعون هللة</t>
  </si>
  <si>
    <t xml:space="preserve">خمسمائة وسبعة وتسعون</t>
  </si>
  <si>
    <t xml:space="preserve">خمسمائة وسبعة وتسعون ألفاً</t>
  </si>
  <si>
    <t xml:space="preserve">خمسمائة وسبعة وتسعون مليوناً</t>
  </si>
  <si>
    <t xml:space="preserve">خمسمائة وسبعة وتسعون هللة</t>
  </si>
  <si>
    <t xml:space="preserve">خمسمائة وثمانية وتسعون</t>
  </si>
  <si>
    <t xml:space="preserve">خمسمائة وثمانية وتسعون ألفاً</t>
  </si>
  <si>
    <t xml:space="preserve">خمسمائة وثمانية وتسعون مليوناً</t>
  </si>
  <si>
    <t xml:space="preserve">خمسمائة وثمانية وتسعون هللة</t>
  </si>
  <si>
    <t xml:space="preserve">خمسمائة وتسعة وتسعون</t>
  </si>
  <si>
    <t xml:space="preserve">خمسمائة وتسعة وتسعون ألفاً</t>
  </si>
  <si>
    <t xml:space="preserve">خمسمائة وتسعة وتسعون مليوناً</t>
  </si>
  <si>
    <t xml:space="preserve">خمسمائة وتسعة وتسعون هللة</t>
  </si>
  <si>
    <t xml:space="preserve">ستمائة</t>
  </si>
  <si>
    <t xml:space="preserve">ستمائة ألف</t>
  </si>
  <si>
    <t xml:space="preserve">ستمائة مليون</t>
  </si>
  <si>
    <t xml:space="preserve">ستمائة هللة</t>
  </si>
  <si>
    <t xml:space="preserve">ستمائة وواحد</t>
  </si>
  <si>
    <t xml:space="preserve">ستمائة وواحد ألف</t>
  </si>
  <si>
    <t xml:space="preserve">ستمائة وواحد مليون</t>
  </si>
  <si>
    <t xml:space="preserve">ستمائة وواحد هللة</t>
  </si>
  <si>
    <t xml:space="preserve">ستمائة واثنان</t>
  </si>
  <si>
    <t xml:space="preserve">ستمائة واثنان ألف</t>
  </si>
  <si>
    <t xml:space="preserve">ستمائة واثنان مليون</t>
  </si>
  <si>
    <t xml:space="preserve">ستمائة واثنان هللة</t>
  </si>
  <si>
    <t xml:space="preserve">ستمائة وثلاثة</t>
  </si>
  <si>
    <t xml:space="preserve">ستمائة وثلاثة آلاف</t>
  </si>
  <si>
    <t xml:space="preserve">ستمائة وثلاثة ملايين</t>
  </si>
  <si>
    <t xml:space="preserve">ستمائة وثلاثة هللات</t>
  </si>
  <si>
    <t xml:space="preserve">ستمائة وأربعة</t>
  </si>
  <si>
    <t xml:space="preserve">ستمائة وأربعة آلاف</t>
  </si>
  <si>
    <t xml:space="preserve">ستمائة وأربعة ملايين</t>
  </si>
  <si>
    <t xml:space="preserve">ستمائة وأربعة هللات</t>
  </si>
  <si>
    <t xml:space="preserve">ستمائة وخمسة</t>
  </si>
  <si>
    <t xml:space="preserve">ستمائة وخمسة آلاف</t>
  </si>
  <si>
    <t xml:space="preserve">ستمائة وخمسة ملايين</t>
  </si>
  <si>
    <t xml:space="preserve">ستمائة وخمسة هللات</t>
  </si>
  <si>
    <t xml:space="preserve">ستمائة وستة</t>
  </si>
  <si>
    <t xml:space="preserve">ستمائة وستة آلاف</t>
  </si>
  <si>
    <t xml:space="preserve">ستمائة وستة ملايين</t>
  </si>
  <si>
    <t xml:space="preserve">ستمائة وستة هللات</t>
  </si>
  <si>
    <t xml:space="preserve">ستمائة وسبعة</t>
  </si>
  <si>
    <t xml:space="preserve">ستمائة وسبعة آلاف</t>
  </si>
  <si>
    <t xml:space="preserve">ستمائة وسبعة ملايين</t>
  </si>
  <si>
    <t xml:space="preserve">ستمائة وسبعة هللات</t>
  </si>
  <si>
    <t xml:space="preserve">ستمائة وثمانية</t>
  </si>
  <si>
    <t xml:space="preserve">ستمائة وثمانية آلاف</t>
  </si>
  <si>
    <t xml:space="preserve">ستمائة وثمانية ملايين</t>
  </si>
  <si>
    <t xml:space="preserve">ستمائة وثمانية هللات</t>
  </si>
  <si>
    <t xml:space="preserve">ستمائة وتسعة</t>
  </si>
  <si>
    <t xml:space="preserve">ستمائة وتسعة آلاف</t>
  </si>
  <si>
    <t xml:space="preserve">ستمائة وتسعة ملايين</t>
  </si>
  <si>
    <t xml:space="preserve">ستمائة وتسعة هللات</t>
  </si>
  <si>
    <t xml:space="preserve">ستمائة وعشرة</t>
  </si>
  <si>
    <t xml:space="preserve">ستمائة وعشرة آلاف</t>
  </si>
  <si>
    <t xml:space="preserve">ستمائة وعشرة ملايين</t>
  </si>
  <si>
    <t xml:space="preserve">ستمائة وعشرة هللات</t>
  </si>
  <si>
    <t xml:space="preserve">ستمائة وأحد عشر</t>
  </si>
  <si>
    <t xml:space="preserve">ستمائة وأحد عشر ألفاً</t>
  </si>
  <si>
    <t xml:space="preserve">ستمائة وأحد عشر مليوناً</t>
  </si>
  <si>
    <t xml:space="preserve">ستمائة وأحد عشر هللة</t>
  </si>
  <si>
    <t xml:space="preserve">ستمائة واثنا عشر</t>
  </si>
  <si>
    <t xml:space="preserve">ستمائة واثنا عشر ألفاً</t>
  </si>
  <si>
    <t xml:space="preserve">ستمائة واثنا عشر مليوناً</t>
  </si>
  <si>
    <t xml:space="preserve">ستمائة واثنا عشر هللة</t>
  </si>
  <si>
    <t xml:space="preserve">ستمائة وثلاثة عشر</t>
  </si>
  <si>
    <t xml:space="preserve">ستمائة وثلاثة عشر ألفاً</t>
  </si>
  <si>
    <t xml:space="preserve">ستمائة وثلاثة عشر مليوناً</t>
  </si>
  <si>
    <t xml:space="preserve">ستمائة وثلاثة عشر هللة</t>
  </si>
  <si>
    <t xml:space="preserve">ستمائة وأربعة عشر</t>
  </si>
  <si>
    <t xml:space="preserve">ستمائة وأربعة عشر ألفاً</t>
  </si>
  <si>
    <t xml:space="preserve">ستمائة وأربعة عشر مليوناً</t>
  </si>
  <si>
    <t xml:space="preserve">ستمائة وأربعة عشر هللة</t>
  </si>
  <si>
    <t xml:space="preserve">ستمائة وخمسة عشر</t>
  </si>
  <si>
    <t xml:space="preserve">ستمائة وخمسة عشر ألفاً</t>
  </si>
  <si>
    <t xml:space="preserve">ستمائة وخمسة عشر مليوناً</t>
  </si>
  <si>
    <t xml:space="preserve">ستمائة وخمسة عشر هللة</t>
  </si>
  <si>
    <t xml:space="preserve">ستمائة وستة عشر</t>
  </si>
  <si>
    <t xml:space="preserve">ستمائة وستة عشر ألفاً</t>
  </si>
  <si>
    <t xml:space="preserve">ستمائة وستة عشر مليوناً</t>
  </si>
  <si>
    <t xml:space="preserve">ستمائة وستة عشر هللة</t>
  </si>
  <si>
    <t xml:space="preserve">ستمائة وسبعة عشر</t>
  </si>
  <si>
    <t xml:space="preserve">ستمائة وسبعة عشر ألفاً</t>
  </si>
  <si>
    <t xml:space="preserve">ستمائة وسبعة عشر مليوناً</t>
  </si>
  <si>
    <t xml:space="preserve">ستمائة وسبعة عشر هللة</t>
  </si>
  <si>
    <t xml:space="preserve">ستمائة وثمانية عشر</t>
  </si>
  <si>
    <t xml:space="preserve">ستمائة وثمانية عشر ألفاً</t>
  </si>
  <si>
    <t xml:space="preserve">ستمائة وثمانية عشر مليوناً</t>
  </si>
  <si>
    <t xml:space="preserve">ستمائة وثمانية عشر هللة</t>
  </si>
  <si>
    <t xml:space="preserve">ستمائة وتسعة عشر</t>
  </si>
  <si>
    <t xml:space="preserve">ستمائة وتسعة عشر ألفاً</t>
  </si>
  <si>
    <t xml:space="preserve">ستمائة وتسعة عشر مليوناً</t>
  </si>
  <si>
    <t xml:space="preserve">ستمائة وتسعة عشر هللة</t>
  </si>
  <si>
    <t xml:space="preserve">ستمائة وعشرون</t>
  </si>
  <si>
    <t xml:space="preserve">ستمائة وعشرون ألفاً</t>
  </si>
  <si>
    <t xml:space="preserve">ستمائة وعشرون مليوناً</t>
  </si>
  <si>
    <t xml:space="preserve">ستمائة وعشرون هللة</t>
  </si>
  <si>
    <t xml:space="preserve">ستمائة وواحد وعشرون</t>
  </si>
  <si>
    <t xml:space="preserve">ستمائة وواحد وعشرون ألفاً</t>
  </si>
  <si>
    <t xml:space="preserve">ستمائة وواحد وعشرون مليوناً</t>
  </si>
  <si>
    <t xml:space="preserve">ستمائة وواحد وعشرون هللة</t>
  </si>
  <si>
    <t xml:space="preserve">ستمائة واثنان وعشرون</t>
  </si>
  <si>
    <t xml:space="preserve">ستمائة واثنان وعشرون ألفاً</t>
  </si>
  <si>
    <t xml:space="preserve">ستمائة واثنان وعشرون مليوناً</t>
  </si>
  <si>
    <t xml:space="preserve">ستمائة واثنان وعشرون هللة</t>
  </si>
  <si>
    <t xml:space="preserve">ستمائة وثلاثة وعشرون</t>
  </si>
  <si>
    <t xml:space="preserve">ستمائة وثلاثة وعشرون ألفاً</t>
  </si>
  <si>
    <t xml:space="preserve">ستمائة وثلاثة وعشرون مليوناً</t>
  </si>
  <si>
    <t xml:space="preserve">ستمائة وثلاثة وعشرون هللة</t>
  </si>
  <si>
    <t xml:space="preserve">ستمائة وأربعة وعشرون</t>
  </si>
  <si>
    <t xml:space="preserve">ستمائة وأربعة وعشرون ألفاً</t>
  </si>
  <si>
    <t xml:space="preserve">ستمائة وأربعة وعشرون مليوناً</t>
  </si>
  <si>
    <t xml:space="preserve">ستمائة وأربعة وعشرون هللة</t>
  </si>
  <si>
    <t xml:space="preserve">ستمائة وخمسة وعشرون</t>
  </si>
  <si>
    <t xml:space="preserve">ستمائة وخمسة وعشرون ألفاً</t>
  </si>
  <si>
    <t xml:space="preserve">ستمائة وخمسة وعشرون مليوناً</t>
  </si>
  <si>
    <t xml:space="preserve">ستمائة وخمسة وعشرون هللة</t>
  </si>
  <si>
    <t xml:space="preserve">ستمائة وستة وعشرون</t>
  </si>
  <si>
    <t xml:space="preserve">ستمائة وستة وعشرون ألفاً</t>
  </si>
  <si>
    <t xml:space="preserve">ستمائة وستة وعشرون مليوناً</t>
  </si>
  <si>
    <t xml:space="preserve">ستمائة وستة وعشرون هللة</t>
  </si>
  <si>
    <t xml:space="preserve">ستمائة وسبعة وعشرون</t>
  </si>
  <si>
    <t xml:space="preserve">ستمائة وسبعة وعشرون ألفاً</t>
  </si>
  <si>
    <t xml:space="preserve">ستمائة وسبعة وعشرون مليوناً</t>
  </si>
  <si>
    <t xml:space="preserve">ستمائة وسبعة وعشرون هللة</t>
  </si>
  <si>
    <t xml:space="preserve">ستمائة وثمانية وعشرون</t>
  </si>
  <si>
    <t xml:space="preserve">ستمائة وثمانية وعشرون ألفاً</t>
  </si>
  <si>
    <t xml:space="preserve">ستمائة وثمانية وعشرون مليوناً</t>
  </si>
  <si>
    <t xml:space="preserve">ستمائة وثمانية وعشرون هللة</t>
  </si>
  <si>
    <t xml:space="preserve">ستمائة وتسعة وعشرون</t>
  </si>
  <si>
    <t xml:space="preserve">ستمائة وتسعة وعشرون ألفاً</t>
  </si>
  <si>
    <t xml:space="preserve">ستمائة وتسعة وعشرون مليوناً</t>
  </si>
  <si>
    <t xml:space="preserve">ستمائة وتسعة وعشرون هللة</t>
  </si>
  <si>
    <t xml:space="preserve">ستمائة وثلاثون</t>
  </si>
  <si>
    <t xml:space="preserve">ستمائة وثلاثون ألفاً</t>
  </si>
  <si>
    <t xml:space="preserve">ستمائة وثلاثون مليوناً</t>
  </si>
  <si>
    <t xml:space="preserve">ستمائة وثلاثون هللة</t>
  </si>
  <si>
    <t xml:space="preserve">ستمائة وواحد وثلاثون</t>
  </si>
  <si>
    <t xml:space="preserve">ستمائة وواحد وثلاثون ألفاً</t>
  </si>
  <si>
    <t xml:space="preserve">ستمائة وواحد وثلاثون مليوناً</t>
  </si>
  <si>
    <t xml:space="preserve">ستمائة وواحد وثلاثون هللة</t>
  </si>
  <si>
    <t xml:space="preserve">ستمائة واثنان وثلاثون</t>
  </si>
  <si>
    <t xml:space="preserve">ستمائة واثنان وثلاثون ألفاً</t>
  </si>
  <si>
    <t xml:space="preserve">ستمائة واثنان وثلاثون مليوناً</t>
  </si>
  <si>
    <t xml:space="preserve">ستمائة واثنان وثلاثون هللة</t>
  </si>
  <si>
    <t xml:space="preserve">ستمائة وثلاثة وثلاثون</t>
  </si>
  <si>
    <t xml:space="preserve">ستمائة وثلاثة وثلاثون ألفاً</t>
  </si>
  <si>
    <t xml:space="preserve">ستمائة وثلاثة وثلاثون مليوناً</t>
  </si>
  <si>
    <t xml:space="preserve">ستمائة وثلاثة وثلاثون هللة</t>
  </si>
  <si>
    <t xml:space="preserve">ستمائة وأربعة وثلاثون</t>
  </si>
  <si>
    <t xml:space="preserve">ستمائة وأربعة وثلاثون ألفاً</t>
  </si>
  <si>
    <t xml:space="preserve">ستمائة وأربعة وثلاثون مليوناً</t>
  </si>
  <si>
    <t xml:space="preserve">ستمائة وأربعة وثلاثون هللة</t>
  </si>
  <si>
    <t xml:space="preserve">ستمائة وخمسة وثلاثون</t>
  </si>
  <si>
    <t xml:space="preserve">ستمائة وخمسة وثلاثون ألفاً</t>
  </si>
  <si>
    <t xml:space="preserve">ستمائة وخمسة وثلاثون مليوناً</t>
  </si>
  <si>
    <t xml:space="preserve">ستمائة وخمسة وثلاثون هللة</t>
  </si>
  <si>
    <t xml:space="preserve">ستمائة وستة وثلاثون</t>
  </si>
  <si>
    <t xml:space="preserve">ستمائة وستة وثلاثون ألفاً</t>
  </si>
  <si>
    <t xml:space="preserve">ستمائة وستة وثلاثون مليوناً</t>
  </si>
  <si>
    <t xml:space="preserve">ستمائة وستة وثلاثون هللة</t>
  </si>
  <si>
    <t xml:space="preserve">ستمائة وسبعة وثلاثون</t>
  </si>
  <si>
    <t xml:space="preserve">ستمائة وسبعة وثلاثون ألفاً</t>
  </si>
  <si>
    <t xml:space="preserve">ستمائة وسبعة وثلاثون مليوناً</t>
  </si>
  <si>
    <t xml:space="preserve">ستمائة وسبعة وثلاثون هللة</t>
  </si>
  <si>
    <t xml:space="preserve">ستمائة وثمانية وثلاثون</t>
  </si>
  <si>
    <t xml:space="preserve">ستمائة وثمانية وثلاثون ألفاً</t>
  </si>
  <si>
    <t xml:space="preserve">ستمائة وثمانية وثلاثون مليوناً</t>
  </si>
  <si>
    <t xml:space="preserve">ستمائة وثمانية وثلاثون هللة</t>
  </si>
  <si>
    <t xml:space="preserve">ستمائة وتسعة وثلاثون</t>
  </si>
  <si>
    <t xml:space="preserve">ستمائة وتسعة وثلاثون ألفاً</t>
  </si>
  <si>
    <t xml:space="preserve">ستمائة وتسعة وثلاثون مليوناً</t>
  </si>
  <si>
    <t xml:space="preserve">ستمائة وتسعة وثلاثون هللة</t>
  </si>
  <si>
    <t xml:space="preserve">ستمائة وأربعون</t>
  </si>
  <si>
    <t xml:space="preserve">ستمائة وأربعون ألفاً</t>
  </si>
  <si>
    <t xml:space="preserve">ستمائة وأربعون مليوناً</t>
  </si>
  <si>
    <t xml:space="preserve">ستمائة وأربعون هللة</t>
  </si>
  <si>
    <t xml:space="preserve">ستمائة وواحد وأربعون</t>
  </si>
  <si>
    <t xml:space="preserve">ستمائة وواحد وأربعون ألفاً</t>
  </si>
  <si>
    <t xml:space="preserve">ستمائة وواحد وأربعون مليوناً</t>
  </si>
  <si>
    <t xml:space="preserve">ستمائة وواحد وأربعون هللة</t>
  </si>
  <si>
    <t xml:space="preserve">ستمائة واثنان وأربعون</t>
  </si>
  <si>
    <t xml:space="preserve">ستمائة واثنان وأربعون ألفاً</t>
  </si>
  <si>
    <t xml:space="preserve">ستمائة واثنان وأربعون مليوناً</t>
  </si>
  <si>
    <t xml:space="preserve">ستمائة واثنان وأربعون هللة</t>
  </si>
  <si>
    <t xml:space="preserve">ستمائة وثلاثة وأربعون</t>
  </si>
  <si>
    <t xml:space="preserve">ستمائة وثلاثة وأربعون ألفاً</t>
  </si>
  <si>
    <t xml:space="preserve">ستمائة وثلاثة وأربعون مليوناً</t>
  </si>
  <si>
    <t xml:space="preserve">ستمائة وثلاثة وأربعون هللة</t>
  </si>
  <si>
    <t xml:space="preserve">ستمائة وأربعة وأربعون</t>
  </si>
  <si>
    <t xml:space="preserve">ستمائة وأربعة وأربعون ألفاً</t>
  </si>
  <si>
    <t xml:space="preserve">ستمائة وأربعة وأربعون مليوناً</t>
  </si>
  <si>
    <t xml:space="preserve">ستمائة وأربعة وأربعون هللة</t>
  </si>
  <si>
    <t xml:space="preserve">ستمائة وخمسة وأربعون</t>
  </si>
  <si>
    <t xml:space="preserve">ستمائة وخمسة وأربعون ألفاً</t>
  </si>
  <si>
    <t xml:space="preserve">ستمائة وخمسة وأربعون مليوناً</t>
  </si>
  <si>
    <t xml:space="preserve">ستمائة وخمسة وأربعون هللة</t>
  </si>
  <si>
    <t xml:space="preserve">ستمائة وستة وأربعون</t>
  </si>
  <si>
    <t xml:space="preserve">ستمائة وستة وأربعون ألفاً</t>
  </si>
  <si>
    <t xml:space="preserve">ستمائة وستة وأربعون مليوناً</t>
  </si>
  <si>
    <t xml:space="preserve">ستمائة وستة وأربعون هللة</t>
  </si>
  <si>
    <t xml:space="preserve">ستمائة وسبعة وأربعون</t>
  </si>
  <si>
    <t xml:space="preserve">ستمائة وسبعة وأربعون ألفاً</t>
  </si>
  <si>
    <t xml:space="preserve">ستمائة وسبعة وأربعون مليوناً</t>
  </si>
  <si>
    <t xml:space="preserve">ستمائة وسبعة وأربعون هللة</t>
  </si>
  <si>
    <t xml:space="preserve">ستمائة وثمانية وأربعون</t>
  </si>
  <si>
    <t xml:space="preserve">ستمائة وثمانية وأربعون ألفاً</t>
  </si>
  <si>
    <t xml:space="preserve">ستمائة وثمانية وأربعون مليوناً</t>
  </si>
  <si>
    <t xml:space="preserve">ستمائة وثمانية وأربعون هللة</t>
  </si>
  <si>
    <t xml:space="preserve">ستمائة وتسعة وأربعون</t>
  </si>
  <si>
    <t xml:space="preserve">ستمائة وتسعة وأربعون ألفاً</t>
  </si>
  <si>
    <t xml:space="preserve">ستمائة وتسعة وأربعون مليوناً</t>
  </si>
  <si>
    <t xml:space="preserve">ستمائة وتسعة وأربعون هللة</t>
  </si>
  <si>
    <t xml:space="preserve">ستمائة وخمسون</t>
  </si>
  <si>
    <t xml:space="preserve">ستمائة وخمسون ألفاً</t>
  </si>
  <si>
    <t xml:space="preserve">ستمائة وخمسون مليوناً</t>
  </si>
  <si>
    <t xml:space="preserve">ستمائة وخمسون هللة</t>
  </si>
  <si>
    <t xml:space="preserve">ستمائة وواحد وخمسون</t>
  </si>
  <si>
    <t xml:space="preserve">ستمائة وواحد وخمسون ألفاً</t>
  </si>
  <si>
    <t xml:space="preserve">ستمائة وواحد وخمسون مليوناً</t>
  </si>
  <si>
    <t xml:space="preserve">ستمائة وواحد وخمسون هللة</t>
  </si>
  <si>
    <t xml:space="preserve">ستمائة واثنان وخمسون</t>
  </si>
  <si>
    <t xml:space="preserve">ستمائة واثنان وخمسون ألفاً</t>
  </si>
  <si>
    <t xml:space="preserve">ستمائة واثنان وخمسون مليوناً</t>
  </si>
  <si>
    <t xml:space="preserve">ستمائة واثنان وخمسون هللة</t>
  </si>
  <si>
    <t xml:space="preserve">ستمائة وثلاثة وخمسون</t>
  </si>
  <si>
    <t xml:space="preserve">ستمائة وثلاثة وخمسون ألفاً</t>
  </si>
  <si>
    <t xml:space="preserve">ستمائة وثلاثة وخمسون مليوناً</t>
  </si>
  <si>
    <t xml:space="preserve">ستمائة وثلاثة وخمسون هللة</t>
  </si>
  <si>
    <t xml:space="preserve">ستمائة وأربعة وخمسون</t>
  </si>
  <si>
    <t xml:space="preserve">ستمائة وأربعة وخمسون ألفاً</t>
  </si>
  <si>
    <t xml:space="preserve">ستمائة وأربعة وخمسون مليوناً</t>
  </si>
  <si>
    <t xml:space="preserve">ستمائة وأربعة وخمسون هللة</t>
  </si>
  <si>
    <t xml:space="preserve">ستمائة وخمسة وخمسون</t>
  </si>
  <si>
    <t xml:space="preserve">ستمائة وخمسة وخمسون ألفاً</t>
  </si>
  <si>
    <t xml:space="preserve">ستمائة وخمسة وخمسون مليوناً</t>
  </si>
  <si>
    <t xml:space="preserve">ستمائة وخمسة وخمسون هللة</t>
  </si>
  <si>
    <t xml:space="preserve">ستمائة وستة وخمسون</t>
  </si>
  <si>
    <t xml:space="preserve">ستمائة وستة وخمسون ألفاً</t>
  </si>
  <si>
    <t xml:space="preserve">ستمائة وستة وخمسون مليوناً</t>
  </si>
  <si>
    <t xml:space="preserve">ستمائة وستة وخمسون هللة</t>
  </si>
  <si>
    <t xml:space="preserve">ستمائة وسبعة وخمسون</t>
  </si>
  <si>
    <t xml:space="preserve">ستمائة وسبعة وخمسون ألفاً</t>
  </si>
  <si>
    <t xml:space="preserve">ستمائة وسبعة وخمسون مليوناً</t>
  </si>
  <si>
    <t xml:space="preserve">ستمائة وسبعة وخمسون هللة</t>
  </si>
  <si>
    <t xml:space="preserve">ستمائة وثمانية وخمسون</t>
  </si>
  <si>
    <t xml:space="preserve">ستمائة وثمانية وخمسون ألفاً</t>
  </si>
  <si>
    <t xml:space="preserve">ستمائة وثمانية وخمسون مليوناً</t>
  </si>
  <si>
    <t xml:space="preserve">ستمائة وثمانية وخمسون هللة</t>
  </si>
  <si>
    <t xml:space="preserve">ستمائة وتسعة وخمسون</t>
  </si>
  <si>
    <t xml:space="preserve">ستمائة وتسعة وخمسون ألفاً</t>
  </si>
  <si>
    <t xml:space="preserve">ستمائة وتسعة وخمسون مليوناً</t>
  </si>
  <si>
    <t xml:space="preserve">ستمائة وتسعة وخمسون هللة</t>
  </si>
  <si>
    <t xml:space="preserve">ستمائة وستون</t>
  </si>
  <si>
    <t xml:space="preserve">ستمائة وستون ألفاً</t>
  </si>
  <si>
    <t xml:space="preserve">ستمائة وستون مليوناً</t>
  </si>
  <si>
    <t xml:space="preserve">ستمائة وستون هللة</t>
  </si>
  <si>
    <t xml:space="preserve">ستمائة وواحد وستون</t>
  </si>
  <si>
    <t xml:space="preserve">ستمائة وواحد وستون ألفاً</t>
  </si>
  <si>
    <t xml:space="preserve">ستمائة وواحد وستون مليوناً</t>
  </si>
  <si>
    <t xml:space="preserve">ستمائة وواحد وستون هللة</t>
  </si>
  <si>
    <t xml:space="preserve">ستمائة واثنان وستون</t>
  </si>
  <si>
    <t xml:space="preserve">ستمائة واثنان وستون ألفاً</t>
  </si>
  <si>
    <t xml:space="preserve">ستمائة واثنان وستون مليوناً</t>
  </si>
  <si>
    <t xml:space="preserve">ستمائة واثنان وستون هللة</t>
  </si>
  <si>
    <t xml:space="preserve">ستمائة وثلاثة وستون</t>
  </si>
  <si>
    <t xml:space="preserve">ستمائة وثلاثة وستون ألفاً</t>
  </si>
  <si>
    <t xml:space="preserve">ستمائة وثلاثة وستون مليوناً</t>
  </si>
  <si>
    <t xml:space="preserve">ستمائة وثلاثة وستون هللة</t>
  </si>
  <si>
    <t xml:space="preserve">ستمائة وأربعة وستون</t>
  </si>
  <si>
    <t xml:space="preserve">ستمائة وأربعة وستون ألفاً</t>
  </si>
  <si>
    <t xml:space="preserve">ستمائة وأربعة وستون مليوناً</t>
  </si>
  <si>
    <t xml:space="preserve">ستمائة وأربعة وستون هللة</t>
  </si>
  <si>
    <t xml:space="preserve">ستمائة وخمسة وستون</t>
  </si>
  <si>
    <t xml:space="preserve">ستمائة وخمسة وستون ألفاً</t>
  </si>
  <si>
    <t xml:space="preserve">ستمائة وخمسة وستون مليوناً</t>
  </si>
  <si>
    <t xml:space="preserve">ستمائة وخمسة وستون هللة</t>
  </si>
  <si>
    <t xml:space="preserve">ستمائة وستة وستون</t>
  </si>
  <si>
    <t xml:space="preserve">ستمائة وستة وستون ألفاً</t>
  </si>
  <si>
    <t xml:space="preserve">ستمائة وستة وستون مليوناً</t>
  </si>
  <si>
    <t xml:space="preserve">ستمائة وستة وستون هللة</t>
  </si>
  <si>
    <t xml:space="preserve">ستمائة وسبعة وستون</t>
  </si>
  <si>
    <t xml:space="preserve">ستمائة وسبعة وستون ألفاً</t>
  </si>
  <si>
    <t xml:space="preserve">ستمائة وسبعة وستون مليوناً</t>
  </si>
  <si>
    <t xml:space="preserve">ستمائة وسبعة وستون هللة</t>
  </si>
  <si>
    <t xml:space="preserve">ستمائة وثمانية وستون</t>
  </si>
  <si>
    <t xml:space="preserve">ستمائة وثمانية وستون ألفاً</t>
  </si>
  <si>
    <t xml:space="preserve">ستمائة وثمانية وستون مليوناً</t>
  </si>
  <si>
    <t xml:space="preserve">ستمائة وثمانية وستون هللة</t>
  </si>
  <si>
    <t xml:space="preserve">ستمائة وتسعة وستون</t>
  </si>
  <si>
    <t xml:space="preserve">ستمائة وتسعة وستون ألفاً</t>
  </si>
  <si>
    <t xml:space="preserve">ستمائة وتسعة وستون مليوناً</t>
  </si>
  <si>
    <t xml:space="preserve">ستمائة وتسعة وستون هللة</t>
  </si>
  <si>
    <t xml:space="preserve">ستمائة وسبعون</t>
  </si>
  <si>
    <t xml:space="preserve">ستمائة وسبعون ألفاً</t>
  </si>
  <si>
    <t xml:space="preserve">ستمائة وسبعون مليوناً</t>
  </si>
  <si>
    <t xml:space="preserve">ستمائة وسبعون هللة</t>
  </si>
  <si>
    <t xml:space="preserve">ستمائة وواحد وسبعون</t>
  </si>
  <si>
    <t xml:space="preserve">ستمائة وواحد وسبعون ألفاً</t>
  </si>
  <si>
    <t xml:space="preserve">ستمائة وواحد وسبعون مليوناً</t>
  </si>
  <si>
    <t xml:space="preserve">ستمائة وواحد وسبعون هللة</t>
  </si>
  <si>
    <t xml:space="preserve">ستمائة واثنان وسبعون</t>
  </si>
  <si>
    <t xml:space="preserve">ستمائة واثنان وسبعون ألفاً</t>
  </si>
  <si>
    <t xml:space="preserve">ستمائة واثنان وسبعون مليوناً</t>
  </si>
  <si>
    <t xml:space="preserve">ستمائة واثنان وسبعون هللة</t>
  </si>
  <si>
    <t xml:space="preserve">ستمائة وثلاثة وسبعون</t>
  </si>
  <si>
    <t xml:space="preserve">ستمائة وثلاثة وسبعون ألفاً</t>
  </si>
  <si>
    <t xml:space="preserve">ستمائة وثلاثة وسبعون مليوناً</t>
  </si>
  <si>
    <t xml:space="preserve">ستمائة وثلاثة وسبعون هللة</t>
  </si>
  <si>
    <t xml:space="preserve">ستمائة وأربعة وسبعون</t>
  </si>
  <si>
    <t xml:space="preserve">ستمائة وأربعة وسبعون ألفاً</t>
  </si>
  <si>
    <t xml:space="preserve">ستمائة وأربعة وسبعون مليوناً</t>
  </si>
  <si>
    <t xml:space="preserve">ستمائة وأربعة وسبعون هللة</t>
  </si>
  <si>
    <t xml:space="preserve">ستمائة وخمسة وسبعون</t>
  </si>
  <si>
    <t xml:space="preserve">ستمائة وخمسة وسبعون ألفاً</t>
  </si>
  <si>
    <t xml:space="preserve">ستمائة وخمسة وسبعون مليوناً</t>
  </si>
  <si>
    <t xml:space="preserve">ستمائة وخمسة وسبعون هللة</t>
  </si>
  <si>
    <t xml:space="preserve">ستمائة وستة وسبعون</t>
  </si>
  <si>
    <t xml:space="preserve">ستمائة وستة وسبعون ألفاً</t>
  </si>
  <si>
    <t xml:space="preserve">ستمائة وستة وسبعون مليوناً</t>
  </si>
  <si>
    <t xml:space="preserve">ستمائة وستة وسبعون هللة</t>
  </si>
  <si>
    <t xml:space="preserve">ستمائة وسبعة وسبعون</t>
  </si>
  <si>
    <t xml:space="preserve">ستمائة وسبعة وسبعون ألفاً</t>
  </si>
  <si>
    <t xml:space="preserve">ستمائة وسبعة وسبعون مليوناً</t>
  </si>
  <si>
    <t xml:space="preserve">ستمائة وسبعة وسبعون هللة</t>
  </si>
  <si>
    <t xml:space="preserve">ستمائة وثمانية وسبعون</t>
  </si>
  <si>
    <t xml:space="preserve">ستمائة وثمانية وسبعون ألفاً</t>
  </si>
  <si>
    <t xml:space="preserve">ستمائة وثمانية وسبعون مليوناً</t>
  </si>
  <si>
    <t xml:space="preserve">ستمائة وثمانية وسبعون هللة</t>
  </si>
  <si>
    <t xml:space="preserve">ستمائة وتسعة وسبعون</t>
  </si>
  <si>
    <t xml:space="preserve">ستمائة وتسعة وسبعون ألفاً</t>
  </si>
  <si>
    <t xml:space="preserve">ستمائة وتسعة وسبعون مليوناً</t>
  </si>
  <si>
    <t xml:space="preserve">ستمائة وتسعة وسبعون هللة</t>
  </si>
  <si>
    <t xml:space="preserve">ستمائة وثمانون</t>
  </si>
  <si>
    <t xml:space="preserve">ستمائة وثمانون ألفاً</t>
  </si>
  <si>
    <t xml:space="preserve">ستمائة وثمانون مليوناً</t>
  </si>
  <si>
    <t xml:space="preserve">ستمائة وثمانون هللة</t>
  </si>
  <si>
    <t xml:space="preserve">ستمائة وواحد وثمانون</t>
  </si>
  <si>
    <t xml:space="preserve">ستمائة وواحد وثمانون ألفاً</t>
  </si>
  <si>
    <t xml:space="preserve">ستمائة وواحد وثمانون مليوناً</t>
  </si>
  <si>
    <t xml:space="preserve">ستمائة وواحد وثمانون هللة</t>
  </si>
  <si>
    <t xml:space="preserve">ستمائة واثنان وثمانون</t>
  </si>
  <si>
    <t xml:space="preserve">ستمائة واثنان وثمانون ألفاً</t>
  </si>
  <si>
    <t xml:space="preserve">ستمائة واثنان وثمانون مليوناً</t>
  </si>
  <si>
    <t xml:space="preserve">ستمائة واثنان وثمانون هللة</t>
  </si>
  <si>
    <t xml:space="preserve">ستمائة وثلاثة وثمانون</t>
  </si>
  <si>
    <t xml:space="preserve">ستمائة وثلاثة وثمانون ألفاً</t>
  </si>
  <si>
    <t xml:space="preserve">ستمائة وثلاثة وثمانون مليوناً</t>
  </si>
  <si>
    <t xml:space="preserve">ستمائة وثلاثة وثمانون هللة</t>
  </si>
  <si>
    <t xml:space="preserve">ستمائة وأربعة وثمانون</t>
  </si>
  <si>
    <t xml:space="preserve">ستمائة وأربعة وثمانون ألفاً</t>
  </si>
  <si>
    <t xml:space="preserve">ستمائة وأربعة وثمانون مليوناً</t>
  </si>
  <si>
    <t xml:space="preserve">ستمائة وأربعة وثمانون هللة</t>
  </si>
  <si>
    <t xml:space="preserve">ستمائة وخمسة وثمانون</t>
  </si>
  <si>
    <t xml:space="preserve">ستمائة وخمسة وثمانون ألفاً</t>
  </si>
  <si>
    <t xml:space="preserve">ستمائة وخمسة وثمانون مليوناً</t>
  </si>
  <si>
    <t xml:space="preserve">ستمائة وخمسة وثمانون هللة</t>
  </si>
  <si>
    <t xml:space="preserve">ستمائة وستة وثمانون</t>
  </si>
  <si>
    <t xml:space="preserve">ستمائة وستة وثمانون ألفاً</t>
  </si>
  <si>
    <t xml:space="preserve">ستمائة وستة وثمانون مليوناً</t>
  </si>
  <si>
    <t xml:space="preserve">ستمائة وستة وثمانون هللة</t>
  </si>
  <si>
    <t xml:space="preserve">ستمائة وسبعة وثمانون</t>
  </si>
  <si>
    <t xml:space="preserve">ستمائة وسبعة وثمانون ألفاً</t>
  </si>
  <si>
    <t xml:space="preserve">ستمائة وسبعة وثمانون مليوناً</t>
  </si>
  <si>
    <t xml:space="preserve">ستمائة وسبعة وثمانون هللة</t>
  </si>
  <si>
    <t xml:space="preserve">ستمائة وثمانية وثمانون</t>
  </si>
  <si>
    <t xml:space="preserve">ستمائة وثمانية وثمانون ألفاً</t>
  </si>
  <si>
    <t xml:space="preserve">ستمائة وثمانية وثمانون مليوناً</t>
  </si>
  <si>
    <t xml:space="preserve">ستمائة وثمانية وثمانون هللة</t>
  </si>
  <si>
    <t xml:space="preserve">ستمائة وتسعة وثمانون</t>
  </si>
  <si>
    <t xml:space="preserve">ستمائة وتسعة وثمانون ألفاً</t>
  </si>
  <si>
    <t xml:space="preserve">ستمائة وتسعة وثمانون مليوناً</t>
  </si>
  <si>
    <t xml:space="preserve">ستمائة وتسعة وثمانون هللة</t>
  </si>
  <si>
    <t xml:space="preserve">ستمائة وتسعون</t>
  </si>
  <si>
    <t xml:space="preserve">ستمائة وتسعون ألفاً</t>
  </si>
  <si>
    <t xml:space="preserve">ستمائة وتسعون مليوناً</t>
  </si>
  <si>
    <t xml:space="preserve">ستمائة وتسعون هللة</t>
  </si>
  <si>
    <t xml:space="preserve">ستمائة وواحد وتسعون</t>
  </si>
  <si>
    <t xml:space="preserve">ستمائة وواحد وتسعون ألفاً</t>
  </si>
  <si>
    <t xml:space="preserve">ستمائة وواحد وتسعون مليوناً</t>
  </si>
  <si>
    <t xml:space="preserve">ستمائة وواحد وتسعون هللة</t>
  </si>
  <si>
    <t xml:space="preserve">ستمائة واثنان وتسعون</t>
  </si>
  <si>
    <t xml:space="preserve">ستمائة واثنان وتسعون ألفاً</t>
  </si>
  <si>
    <t xml:space="preserve">ستمائة واثنان وتسعون مليوناً</t>
  </si>
  <si>
    <t xml:space="preserve">ستمائة واثنان وتسعون هللة</t>
  </si>
  <si>
    <t xml:space="preserve">ستمائة وثلاثة وتسعون</t>
  </si>
  <si>
    <t xml:space="preserve">ستمائة وثلاثة وتسعون ألفاً</t>
  </si>
  <si>
    <t xml:space="preserve">ستمائة وثلاثة وتسعون مليوناً</t>
  </si>
  <si>
    <t xml:space="preserve">ستمائة وثلاثة وتسعون هللة</t>
  </si>
  <si>
    <t xml:space="preserve">ستمائة وأربعة وتسعون</t>
  </si>
  <si>
    <t xml:space="preserve">ستمائة وأربعة وتسعون ألفاً</t>
  </si>
  <si>
    <t xml:space="preserve">ستمائة وأربعة وتسعون مليوناً</t>
  </si>
  <si>
    <t xml:space="preserve">ستمائة وأربعة وتسعون هللة</t>
  </si>
  <si>
    <t xml:space="preserve">ستمائة وخمسة وتسعون</t>
  </si>
  <si>
    <t xml:space="preserve">ستمائة وخمسة وتسعون ألفاً</t>
  </si>
  <si>
    <t xml:space="preserve">ستمائة وخمسة وتسعون مليوناً</t>
  </si>
  <si>
    <t xml:space="preserve">ستمائة وخمسة وتسعون هللة</t>
  </si>
  <si>
    <t xml:space="preserve">ستمائة وستة وتسعون</t>
  </si>
  <si>
    <t xml:space="preserve">ستمائة وستة وتسعون ألفاً</t>
  </si>
  <si>
    <t xml:space="preserve">ستمائة وستة وتسعون مليوناً</t>
  </si>
  <si>
    <t xml:space="preserve">ستمائة وستة وتسعون هللة</t>
  </si>
  <si>
    <t xml:space="preserve">ستمائة وسبعة وتسعون</t>
  </si>
  <si>
    <t xml:space="preserve">ستمائة وسبعة وتسعون ألفاً</t>
  </si>
  <si>
    <t xml:space="preserve">ستمائة وسبعة وتسعون مليوناً</t>
  </si>
  <si>
    <t xml:space="preserve">ستمائة وسبعة وتسعون هللة</t>
  </si>
  <si>
    <t xml:space="preserve">ستمائة وثمانية وتسعون</t>
  </si>
  <si>
    <t xml:space="preserve">ستمائة وثمانية وتسعون ألفاً</t>
  </si>
  <si>
    <t xml:space="preserve">ستمائة وثمانية وتسعون مليوناً</t>
  </si>
  <si>
    <t xml:space="preserve">ستمائة وثمانية وتسعون هللة</t>
  </si>
  <si>
    <t xml:space="preserve">ستمائة وتسعة وتسعون</t>
  </si>
  <si>
    <t xml:space="preserve">ستمائة وتسعة وتسعون ألفاً</t>
  </si>
  <si>
    <t xml:space="preserve">ستمائة وتسعة وتسعون مليوناً</t>
  </si>
  <si>
    <t xml:space="preserve">ستمائة وتسعة وتسعون هللة</t>
  </si>
  <si>
    <t xml:space="preserve">سبعمائة</t>
  </si>
  <si>
    <t xml:space="preserve">سبعمائة ألف</t>
  </si>
  <si>
    <t xml:space="preserve">سبعمائة مليون</t>
  </si>
  <si>
    <t xml:space="preserve">سبعمائة هللة</t>
  </si>
  <si>
    <t xml:space="preserve">سبعمائة وواحد</t>
  </si>
  <si>
    <t xml:space="preserve">سبعمائة وواحد ألف</t>
  </si>
  <si>
    <t xml:space="preserve">سبعمائة وواحد مليون</t>
  </si>
  <si>
    <t xml:space="preserve">سبعمائة وواحد هللة</t>
  </si>
  <si>
    <t xml:space="preserve">سبعمائة واثنان</t>
  </si>
  <si>
    <t xml:space="preserve">سبعمائة واثنان ألف</t>
  </si>
  <si>
    <t xml:space="preserve">سبعمائة واثنان مليون</t>
  </si>
  <si>
    <t xml:space="preserve">سبعمائة واثنان هللة</t>
  </si>
  <si>
    <t xml:space="preserve">سبعمائة وثلاثة</t>
  </si>
  <si>
    <t xml:space="preserve">سبعمائة وثلاثة آلاف</t>
  </si>
  <si>
    <t xml:space="preserve">سبعمائة وثلاثة ملايين</t>
  </si>
  <si>
    <t xml:space="preserve">سبعمائة وثلاثة هللات</t>
  </si>
  <si>
    <t xml:space="preserve">سبعمائة وأربعة</t>
  </si>
  <si>
    <t xml:space="preserve">سبعمائة وأربعة آلاف</t>
  </si>
  <si>
    <t xml:space="preserve">سبعمائة وأربعة ملايين</t>
  </si>
  <si>
    <t xml:space="preserve">سبعمائة وأربعة هللات</t>
  </si>
  <si>
    <t xml:space="preserve">سبعمائة وخمسة</t>
  </si>
  <si>
    <t xml:space="preserve">سبعمائة وخمسة آلاف</t>
  </si>
  <si>
    <t xml:space="preserve">سبعمائة وخمسة ملايين</t>
  </si>
  <si>
    <t xml:space="preserve">سبعمائة وخمسة هللات</t>
  </si>
  <si>
    <t xml:space="preserve">سبعمائة وستة</t>
  </si>
  <si>
    <t xml:space="preserve">سبعمائة وستة آلاف</t>
  </si>
  <si>
    <t xml:space="preserve">سبعمائة وستة ملايين</t>
  </si>
  <si>
    <t xml:space="preserve">سبعمائة وستة هللات</t>
  </si>
  <si>
    <t xml:space="preserve">سبعمائة وسبعة</t>
  </si>
  <si>
    <t xml:space="preserve">سبعمائة وسبعة آلاف</t>
  </si>
  <si>
    <t xml:space="preserve">سبعمائة وسبعة ملايين</t>
  </si>
  <si>
    <t xml:space="preserve">سبعمائة وسبعة هللات</t>
  </si>
  <si>
    <t xml:space="preserve">سبعمائة وثمانية</t>
  </si>
  <si>
    <t xml:space="preserve">سبعمائة وثمانية آلاف</t>
  </si>
  <si>
    <t xml:space="preserve">سبعمائة وثمانية ملايين</t>
  </si>
  <si>
    <t xml:space="preserve">سبعمائة وثمانية هللات</t>
  </si>
  <si>
    <t xml:space="preserve">سبعمائة وتسعة</t>
  </si>
  <si>
    <t xml:space="preserve">سبعمائة وتسعة آلاف</t>
  </si>
  <si>
    <t xml:space="preserve">سبعمائة وتسعة ملايين</t>
  </si>
  <si>
    <t xml:space="preserve">سبعمائة وتسعة هللات</t>
  </si>
  <si>
    <t xml:space="preserve">سبعمائة وعشرة</t>
  </si>
  <si>
    <t xml:space="preserve">سبعمائة وعشرة آلاف</t>
  </si>
  <si>
    <t xml:space="preserve">سبعمائة وعشرة ملايين</t>
  </si>
  <si>
    <t xml:space="preserve">سبعمائة وعشرة هللات</t>
  </si>
  <si>
    <t xml:space="preserve">سبعمائة وأحد عشر</t>
  </si>
  <si>
    <t xml:space="preserve">سبعمائة وأحد عشر ألفاً</t>
  </si>
  <si>
    <t xml:space="preserve">سبعمائة وأحد عشر مليوناً</t>
  </si>
  <si>
    <t xml:space="preserve">سبعمائة وأحد عشر هللة</t>
  </si>
  <si>
    <t xml:space="preserve">سبعمائة واثنا عشر</t>
  </si>
  <si>
    <t xml:space="preserve">سبعمائة واثنا عشر ألفاً</t>
  </si>
  <si>
    <t xml:space="preserve">سبعمائة واثنا عشر مليوناً</t>
  </si>
  <si>
    <t xml:space="preserve">سبعمائة واثنا عشر هللة</t>
  </si>
  <si>
    <t xml:space="preserve">سبعمائة وثلاثة عشر</t>
  </si>
  <si>
    <t xml:space="preserve">سبعمائة وثلاثة عشر ألفاً</t>
  </si>
  <si>
    <t xml:space="preserve">سبعمائة وثلاثة عشر مليوناً</t>
  </si>
  <si>
    <t xml:space="preserve">سبعمائة وثلاثة عشر هللة</t>
  </si>
  <si>
    <t xml:space="preserve">سبعمائة وأربعة عشر</t>
  </si>
  <si>
    <t xml:space="preserve">سبعمائة وأربعة عشر ألفاً</t>
  </si>
  <si>
    <t xml:space="preserve">سبعمائة وأربعة عشر مليوناً</t>
  </si>
  <si>
    <t xml:space="preserve">سبعمائة وأربعة عشر هللة</t>
  </si>
  <si>
    <t xml:space="preserve">سبعمائة وخمسة عشر</t>
  </si>
  <si>
    <t xml:space="preserve">سبعمائة وخمسة عشر ألفاً</t>
  </si>
  <si>
    <t xml:space="preserve">سبعمائة وخمسة عشر مليوناً</t>
  </si>
  <si>
    <t xml:space="preserve">سبعمائة وخمسة عشر هللة</t>
  </si>
  <si>
    <t xml:space="preserve">سبعمائة وستة عشر</t>
  </si>
  <si>
    <t xml:space="preserve">سبعمائة وستة عشر ألفاً</t>
  </si>
  <si>
    <t xml:space="preserve">سبعمائة وستة عشر مليوناً</t>
  </si>
  <si>
    <t xml:space="preserve">سبعمائة وستة عشر هللة</t>
  </si>
  <si>
    <t xml:space="preserve">سبعمائة وسبعة عشر</t>
  </si>
  <si>
    <t xml:space="preserve">سبعمائة وسبعة عشر ألفاً</t>
  </si>
  <si>
    <t xml:space="preserve">سبعمائة وسبعة عشر مليوناً</t>
  </si>
  <si>
    <t xml:space="preserve">سبعمائة وسبعة عشر هللة</t>
  </si>
  <si>
    <t xml:space="preserve">سبعمائة وثمانية عشر</t>
  </si>
  <si>
    <t xml:space="preserve">سبعمائة وثمانية عشر ألفاً</t>
  </si>
  <si>
    <t xml:space="preserve">سبعمائة وثمانية عشر مليوناً</t>
  </si>
  <si>
    <t xml:space="preserve">سبعمائة وثمانية عشر هللة</t>
  </si>
  <si>
    <t xml:space="preserve">سبعمائة وتسعة عشر</t>
  </si>
  <si>
    <t xml:space="preserve">سبعمائة وتسعة عشر ألفاً</t>
  </si>
  <si>
    <t xml:space="preserve">سبعمائة وتسعة عشر مليوناً</t>
  </si>
  <si>
    <t xml:space="preserve">سبعمائة وتسعة عشر هللة</t>
  </si>
  <si>
    <t xml:space="preserve">سبعمائة وعشرون</t>
  </si>
  <si>
    <t xml:space="preserve">سبعمائة وعشرون ألفاً</t>
  </si>
  <si>
    <t xml:space="preserve">سبعمائة وعشرون مليوناً</t>
  </si>
  <si>
    <t xml:space="preserve">سبعمائة وعشرون هللة</t>
  </si>
  <si>
    <t xml:space="preserve">سبعمائة وواحد وعشرون</t>
  </si>
  <si>
    <t xml:space="preserve">سبعمائة وواحد وعشرون ألفاً</t>
  </si>
  <si>
    <t xml:space="preserve">سبعمائة وواحد وعشرون مليوناً</t>
  </si>
  <si>
    <t xml:space="preserve">سبعمائة وواحد وعشرون هللة</t>
  </si>
  <si>
    <t xml:space="preserve">سبعمائة واثنان وعشرون</t>
  </si>
  <si>
    <t xml:space="preserve">سبعمائة واثنان وعشرون ألفاً</t>
  </si>
  <si>
    <t xml:space="preserve">سبعمائة واثنان وعشرون مليوناً</t>
  </si>
  <si>
    <t xml:space="preserve">سبعمائة واثنان وعشرون هللة</t>
  </si>
  <si>
    <t xml:space="preserve">سبعمائة وثلاثة وعشرون</t>
  </si>
  <si>
    <t xml:space="preserve">سبعمائة وثلاثة وعشرون ألفاً</t>
  </si>
  <si>
    <t xml:space="preserve">سبعمائة وثلاثة وعشرون مليوناً</t>
  </si>
  <si>
    <t xml:space="preserve">سبعمائة وثلاثة وعشرون هللة</t>
  </si>
  <si>
    <t xml:space="preserve">سبعمائة وأربعة وعشرون</t>
  </si>
  <si>
    <t xml:space="preserve">سبعمائة وأربعة وعشرون ألفاً</t>
  </si>
  <si>
    <t xml:space="preserve">سبعمائة وأربعة وعشرون مليوناً</t>
  </si>
  <si>
    <t xml:space="preserve">سبعمائة وأربعة وعشرون هللة</t>
  </si>
  <si>
    <t xml:space="preserve">سبعمائة وخمسة وعشرون</t>
  </si>
  <si>
    <t xml:space="preserve">سبعمائة وخمسة وعشرون ألفاً</t>
  </si>
  <si>
    <t xml:space="preserve">سبعمائة وخمسة وعشرون مليوناً</t>
  </si>
  <si>
    <t xml:space="preserve">سبعمائة وخمسة وعشرون هللة</t>
  </si>
  <si>
    <t xml:space="preserve">سبعمائة وستة وعشرون</t>
  </si>
  <si>
    <t xml:space="preserve">سبعمائة وستة وعشرون ألفاً</t>
  </si>
  <si>
    <t xml:space="preserve">سبعمائة وستة وعشرون مليوناً</t>
  </si>
  <si>
    <t xml:space="preserve">سبعمائة وستة وعشرون هللة</t>
  </si>
  <si>
    <t xml:space="preserve">سبعمائة وسبعة وعشرون</t>
  </si>
  <si>
    <t xml:space="preserve">سبعمائة وسبعة وعشرون ألفاً</t>
  </si>
  <si>
    <t xml:space="preserve">سبعمائة وسبعة وعشرون مليوناً</t>
  </si>
  <si>
    <t xml:space="preserve">سبعمائة وسبعة وعشرون هللة</t>
  </si>
  <si>
    <t xml:space="preserve">سبعمائة وثمانية وعشرون</t>
  </si>
  <si>
    <t xml:space="preserve">سبعمائة وثمانية وعشرون ألفاً</t>
  </si>
  <si>
    <t xml:space="preserve">سبعمائة وثمانية وعشرون مليوناً</t>
  </si>
  <si>
    <t xml:space="preserve">سبعمائة وثمانية وعشرون هللة</t>
  </si>
  <si>
    <t xml:space="preserve">سبعمائة وتسعة وعشرون</t>
  </si>
  <si>
    <t xml:space="preserve">سبعمائة وتسعة وعشرون ألفاً</t>
  </si>
  <si>
    <t xml:space="preserve">سبعمائة وتسعة وعشرون مليوناً</t>
  </si>
  <si>
    <t xml:space="preserve">سبعمائة وتسعة وعشرون هللة</t>
  </si>
  <si>
    <t xml:space="preserve">سبعمائة وثلاثون</t>
  </si>
  <si>
    <t xml:space="preserve">سبعمائة وثلاثون ألفاً</t>
  </si>
  <si>
    <t xml:space="preserve">سبعمائة وثلاثون مليوناً</t>
  </si>
  <si>
    <t xml:space="preserve">سبعمائة وثلاثون هللة</t>
  </si>
  <si>
    <t xml:space="preserve">سبعمائة وواحد وثلاثون</t>
  </si>
  <si>
    <t xml:space="preserve">سبعمائة وواحد وثلاثون ألفاً</t>
  </si>
  <si>
    <t xml:space="preserve">سبعمائة وواحد وثلاثون مليوناً</t>
  </si>
  <si>
    <t xml:space="preserve">سبعمائة وواحد وثلاثون هللة</t>
  </si>
  <si>
    <t xml:space="preserve">سبعمائة واثنان وثلاثون</t>
  </si>
  <si>
    <t xml:space="preserve">سبعمائة واثنان وثلاثون ألفاً</t>
  </si>
  <si>
    <t xml:space="preserve">سبعمائة واثنان وثلاثون مليوناً</t>
  </si>
  <si>
    <t xml:space="preserve">سبعمائة واثنان وثلاثون هللة</t>
  </si>
  <si>
    <t xml:space="preserve">سبعمائة وثلاثة وثلاثون</t>
  </si>
  <si>
    <t xml:space="preserve">سبعمائة وثلاثة وثلاثون ألفاً</t>
  </si>
  <si>
    <t xml:space="preserve">سبعمائة وثلاثة وثلاثون مليوناً</t>
  </si>
  <si>
    <t xml:space="preserve">سبعمائة وثلاثة وثلاثون هللة</t>
  </si>
  <si>
    <t xml:space="preserve">سبعمائة وأربعة وثلاثون</t>
  </si>
  <si>
    <t xml:space="preserve">سبعمائة وأربعة وثلاثون ألفاً</t>
  </si>
  <si>
    <t xml:space="preserve">سبعمائة وأربعة وثلاثون مليوناً</t>
  </si>
  <si>
    <t xml:space="preserve">سبعمائة وأربعة وثلاثون هللة</t>
  </si>
  <si>
    <t xml:space="preserve">سبعمائة وخمسة وثلاثون</t>
  </si>
  <si>
    <t xml:space="preserve">سبعمائة وخمسة وثلاثون ألفاً</t>
  </si>
  <si>
    <t xml:space="preserve">سبعمائة وخمسة وثلاثون مليوناً</t>
  </si>
  <si>
    <t xml:space="preserve">سبعمائة وخمسة وثلاثون هللة</t>
  </si>
  <si>
    <t xml:space="preserve">سبعمائة وستة وثلاثون</t>
  </si>
  <si>
    <t xml:space="preserve">سبعمائة وستة وثلاثون ألفاً</t>
  </si>
  <si>
    <t xml:space="preserve">سبعمائة وستة وثلاثون مليوناً</t>
  </si>
  <si>
    <t xml:space="preserve">سبعمائة وستة وثلاثون هللة</t>
  </si>
  <si>
    <t xml:space="preserve">سبعمائة وسبعة وثلاثون</t>
  </si>
  <si>
    <t xml:space="preserve">سبعمائة وسبعة وثلاثون ألفاً</t>
  </si>
  <si>
    <t xml:space="preserve">سبعمائة وسبعة وثلاثون مليوناً</t>
  </si>
  <si>
    <t xml:space="preserve">سبعمائة وسبعة وثلاثون هللة</t>
  </si>
  <si>
    <t xml:space="preserve">سبعمائة وثمانية وثلاثون</t>
  </si>
  <si>
    <t xml:space="preserve">سبعمائة وثمانية وثلاثون ألفاً</t>
  </si>
  <si>
    <t xml:space="preserve">سبعمائة وثمانية وثلاثون مليوناً</t>
  </si>
  <si>
    <t xml:space="preserve">سبعمائة وثمانية وثلاثون هللة</t>
  </si>
  <si>
    <t xml:space="preserve">سبعمائة وتسعة وثلاثون</t>
  </si>
  <si>
    <t xml:space="preserve">سبعمائة وتسعة وثلاثون ألفاً</t>
  </si>
  <si>
    <t xml:space="preserve">سبعمائة وتسعة وثلاثون مليوناً</t>
  </si>
  <si>
    <t xml:space="preserve">سبعمائة وتسعة وثلاثون هللة</t>
  </si>
  <si>
    <t xml:space="preserve">سبعمائة وأربعون</t>
  </si>
  <si>
    <t xml:space="preserve">سبعمائة وأربعون ألفاً</t>
  </si>
  <si>
    <t xml:space="preserve">سبعمائة وأربعون مليوناً</t>
  </si>
  <si>
    <t xml:space="preserve">سبعمائة وأربعون هللة</t>
  </si>
  <si>
    <t xml:space="preserve">سبعمائة وواحد وأربعون</t>
  </si>
  <si>
    <t xml:space="preserve">سبعمائة وواحد وأربعون ألفاً</t>
  </si>
  <si>
    <t xml:space="preserve">سبعمائة وواحد وأربعون مليوناً</t>
  </si>
  <si>
    <t xml:space="preserve">سبعمائة وواحد وأربعون هللة</t>
  </si>
  <si>
    <t xml:space="preserve">سبعمائة واثنان وأربعون</t>
  </si>
  <si>
    <t xml:space="preserve">سبعمائة واثنان وأربعون ألفاً</t>
  </si>
  <si>
    <t xml:space="preserve">سبعمائة واثنان وأربعون مليوناً</t>
  </si>
  <si>
    <t xml:space="preserve">سبعمائة واثنان وأربعون هللة</t>
  </si>
  <si>
    <t xml:space="preserve">سبعمائة وثلاثة وأربعون</t>
  </si>
  <si>
    <t xml:space="preserve">سبعمائة وثلاثة وأربعون ألفاً</t>
  </si>
  <si>
    <t xml:space="preserve">سبعمائة وثلاثة وأربعون مليوناً</t>
  </si>
  <si>
    <t xml:space="preserve">سبعمائة وثلاثة وأربعون هللة</t>
  </si>
  <si>
    <t xml:space="preserve">سبعمائة وأربعة وأربعون</t>
  </si>
  <si>
    <t xml:space="preserve">سبعمائة وأربعة وأربعون ألفاً</t>
  </si>
  <si>
    <t xml:space="preserve">سبعمائة وأربعة وأربعون مليوناً</t>
  </si>
  <si>
    <t xml:space="preserve">سبعمائة وأربعة وأربعون هللة</t>
  </si>
  <si>
    <t xml:space="preserve">سبعمائة وخمسة وأربعون</t>
  </si>
  <si>
    <t xml:space="preserve">سبعمائة وخمسة وأربعون ألفاً</t>
  </si>
  <si>
    <t xml:space="preserve">سبعمائة وخمسة وأربعون مليوناً</t>
  </si>
  <si>
    <t xml:space="preserve">سبعمائة وخمسة وأربعون هللة</t>
  </si>
  <si>
    <t xml:space="preserve">سبعمائة وستة وأربعون</t>
  </si>
  <si>
    <t xml:space="preserve">سبعمائة وستة وأربعون ألفاً</t>
  </si>
  <si>
    <t xml:space="preserve">سبعمائة وستة وأربعون مليوناً</t>
  </si>
  <si>
    <t xml:space="preserve">سبعمائة وستة وأربعون هللة</t>
  </si>
  <si>
    <t xml:space="preserve">سبعمائة وسبعة وأربعون</t>
  </si>
  <si>
    <t xml:space="preserve">سبعمائة وسبعة وأربعون ألفاً</t>
  </si>
  <si>
    <t xml:space="preserve">سبعمائة وسبعة وأربعون مليوناً</t>
  </si>
  <si>
    <t xml:space="preserve">سبعمائة وسبعة وأربعون هللة</t>
  </si>
  <si>
    <t xml:space="preserve">سبعمائة وثمانية وأربعون</t>
  </si>
  <si>
    <t xml:space="preserve">سبعمائة وثمانية وأربعون ألفاً</t>
  </si>
  <si>
    <t xml:space="preserve">سبعمائة وثمانية وأربعون مليوناً</t>
  </si>
  <si>
    <t xml:space="preserve">سبعمائة وثمانية وأربعون هللة</t>
  </si>
  <si>
    <t xml:space="preserve">سبعمائة وتسعة وأربعون</t>
  </si>
  <si>
    <t xml:space="preserve">سبعمائة وتسعة وأربعون ألفاً</t>
  </si>
  <si>
    <t xml:space="preserve">سبعمائة وتسعة وأربعون مليوناً</t>
  </si>
  <si>
    <t xml:space="preserve">سبعمائة وتسعة وأربعون هللة</t>
  </si>
  <si>
    <t xml:space="preserve">سبعمائة وخمسون</t>
  </si>
  <si>
    <t xml:space="preserve">سبعمائة وخمسون ألفاً</t>
  </si>
  <si>
    <t xml:space="preserve">سبعمائة وخمسون مليوناً</t>
  </si>
  <si>
    <t xml:space="preserve">سبعمائة وخمسون هللة</t>
  </si>
  <si>
    <t xml:space="preserve">سبعمائة وواحد وخمسون</t>
  </si>
  <si>
    <t xml:space="preserve">سبعمائة وواحد وخمسون ألفاً</t>
  </si>
  <si>
    <t xml:space="preserve">سبعمائة وواحد وخمسون مليوناً</t>
  </si>
  <si>
    <t xml:space="preserve">سبعمائة وواحد وخمسون هللة</t>
  </si>
  <si>
    <t xml:space="preserve">سبعمائة واثنان وخمسون</t>
  </si>
  <si>
    <t xml:space="preserve">سبعمائة واثنان وخمسون ألفاً</t>
  </si>
  <si>
    <t xml:space="preserve">سبعمائة واثنان وخمسون مليوناً</t>
  </si>
  <si>
    <t xml:space="preserve">سبعمائة واثنان وخمسون هللة</t>
  </si>
  <si>
    <t xml:space="preserve">سبعمائة وثلاثة وخمسون</t>
  </si>
  <si>
    <t xml:space="preserve">سبعمائة وثلاثة وخمسون ألفاً</t>
  </si>
  <si>
    <t xml:space="preserve">سبعمائة وثلاثة وخمسون مليوناً</t>
  </si>
  <si>
    <t xml:space="preserve">سبعمائة وثلاثة وخمسون هللة</t>
  </si>
  <si>
    <t xml:space="preserve">سبعمائة وأربعة وخمسون</t>
  </si>
  <si>
    <t xml:space="preserve">سبعمائة وأربعة وخمسون ألفاً</t>
  </si>
  <si>
    <t xml:space="preserve">سبعمائة وأربعة وخمسون مليوناً</t>
  </si>
  <si>
    <t xml:space="preserve">سبعمائة وأربعة وخمسون هللة</t>
  </si>
  <si>
    <t xml:space="preserve">سبعمائة وخمسة وخمسون</t>
  </si>
  <si>
    <t xml:space="preserve">سبعمائة وخمسة وخمسون ألفاً</t>
  </si>
  <si>
    <t xml:space="preserve">سبعمائة وخمسة وخمسون مليوناً</t>
  </si>
  <si>
    <t xml:space="preserve">سبعمائة وخمسة وخمسون هللة</t>
  </si>
  <si>
    <t xml:space="preserve">سبعمائة وستة وخمسون</t>
  </si>
  <si>
    <t xml:space="preserve">سبعمائة وستة وخمسون ألفاً</t>
  </si>
  <si>
    <t xml:space="preserve">سبعمائة وستة وخمسون مليوناً</t>
  </si>
  <si>
    <t xml:space="preserve">سبعمائة وستة وخمسون هللة</t>
  </si>
  <si>
    <t xml:space="preserve">سبعمائة وسبعة وخمسون</t>
  </si>
  <si>
    <t xml:space="preserve">سبعمائة وسبعة وخمسون ألفاً</t>
  </si>
  <si>
    <t xml:space="preserve">سبعمائة وسبعة وخمسون مليوناً</t>
  </si>
  <si>
    <t xml:space="preserve">سبعمائة وسبعة وخمسون هللة</t>
  </si>
  <si>
    <t xml:space="preserve">سبعمائة وثمانية وخمسون</t>
  </si>
  <si>
    <t xml:space="preserve">سبعمائة وثمانية وخمسون ألفاً</t>
  </si>
  <si>
    <t xml:space="preserve">سبعمائة وثمانية وخمسون مليوناً</t>
  </si>
  <si>
    <t xml:space="preserve">سبعمائة وثمانية وخمسون هللة</t>
  </si>
  <si>
    <t xml:space="preserve">سبعمائة وتسعة وخمسون</t>
  </si>
  <si>
    <t xml:space="preserve">سبعمائة وتسعة وخمسون ألفاً</t>
  </si>
  <si>
    <t xml:space="preserve">سبعمائة وتسعة وخمسون مليوناً</t>
  </si>
  <si>
    <t xml:space="preserve">سبعمائة وتسعة وخمسون هللة</t>
  </si>
  <si>
    <t xml:space="preserve">سبعمائة وستون</t>
  </si>
  <si>
    <t xml:space="preserve">سبعمائة وستون ألفاً</t>
  </si>
  <si>
    <t xml:space="preserve">سبعمائة وستون مليوناً</t>
  </si>
  <si>
    <t xml:space="preserve">سبعمائة وستون هللة</t>
  </si>
  <si>
    <t xml:space="preserve">سبعمائة وواحد وستون</t>
  </si>
  <si>
    <t xml:space="preserve">سبعمائة وواحد وستون ألفاً</t>
  </si>
  <si>
    <t xml:space="preserve">سبعمائة وواحد وستون مليوناً</t>
  </si>
  <si>
    <t xml:space="preserve">سبعمائة وواحد وستون هللة</t>
  </si>
  <si>
    <t xml:space="preserve">سبعمائة واثنان وستون</t>
  </si>
  <si>
    <t xml:space="preserve">سبعمائة واثنان وستون ألفاً</t>
  </si>
  <si>
    <t xml:space="preserve">سبعمائة واثنان وستون مليوناً</t>
  </si>
  <si>
    <t xml:space="preserve">سبعمائة واثنان وستون هللة</t>
  </si>
  <si>
    <t xml:space="preserve">سبعمائة وثلاثة وستون</t>
  </si>
  <si>
    <t xml:space="preserve">سبعمائة وثلاثة وستون ألفاً</t>
  </si>
  <si>
    <t xml:space="preserve">سبعمائة وثلاثة وستون مليوناً</t>
  </si>
  <si>
    <t xml:space="preserve">سبعمائة وثلاثة وستون هللة</t>
  </si>
  <si>
    <t xml:space="preserve">سبعمائة وأربعة وستون</t>
  </si>
  <si>
    <t xml:space="preserve">سبعمائة وأربعة وستون ألفاً</t>
  </si>
  <si>
    <t xml:space="preserve">سبعمائة وأربعة وستون مليوناً</t>
  </si>
  <si>
    <t xml:space="preserve">سبعمائة وأربعة وستون هللة</t>
  </si>
  <si>
    <t xml:space="preserve">سبعمائة وخمسة وستون</t>
  </si>
  <si>
    <t xml:space="preserve">سبعمائة وخمسة وستون ألفاً</t>
  </si>
  <si>
    <t xml:space="preserve">سبعمائة وخمسة وستون مليوناً</t>
  </si>
  <si>
    <t xml:space="preserve">سبعمائة وخمسة وستون هللة</t>
  </si>
  <si>
    <t xml:space="preserve">سبعمائة وستة وستون</t>
  </si>
  <si>
    <t xml:space="preserve">سبعمائة وستة وستون ألفاً</t>
  </si>
  <si>
    <t xml:space="preserve">سبعمائة وستة وستون مليوناً</t>
  </si>
  <si>
    <t xml:space="preserve">سبعمائة وستة وستون هللة</t>
  </si>
  <si>
    <t xml:space="preserve">سبعمائة وسبعة وستون</t>
  </si>
  <si>
    <t xml:space="preserve">سبعمائة وسبعة وستون ألفاً</t>
  </si>
  <si>
    <t xml:space="preserve">سبعمائة وسبعة وستون مليوناً</t>
  </si>
  <si>
    <t xml:space="preserve">سبعمائة وسبعة وستون هللة</t>
  </si>
  <si>
    <t xml:space="preserve">سبعمائة وثمانية وستون</t>
  </si>
  <si>
    <t xml:space="preserve">سبعمائة وثمانية وستون ألفاً</t>
  </si>
  <si>
    <t xml:space="preserve">سبعمائة وثمانية وستون مليوناً</t>
  </si>
  <si>
    <t xml:space="preserve">سبعمائة وثمانية وستون هللة</t>
  </si>
  <si>
    <t xml:space="preserve">سبعمائة وتسعة وستون</t>
  </si>
  <si>
    <t xml:space="preserve">سبعمائة وتسعة وستون ألفاً</t>
  </si>
  <si>
    <t xml:space="preserve">سبعمائة وتسعة وستون مليوناً</t>
  </si>
  <si>
    <t xml:space="preserve">سبعمائة وتسعة وستون هللة</t>
  </si>
  <si>
    <t xml:space="preserve">سبعمائة وسبعون</t>
  </si>
  <si>
    <t xml:space="preserve">سبعمائة وسبعون ألفاً</t>
  </si>
  <si>
    <t xml:space="preserve">سبعمائة وسبعون مليوناً</t>
  </si>
  <si>
    <t xml:space="preserve">سبعمائة وسبعون هللة</t>
  </si>
  <si>
    <t xml:space="preserve">سبعمائة وواحد وسبعون</t>
  </si>
  <si>
    <t xml:space="preserve">سبعمائة وواحد وسبعون ألفاً</t>
  </si>
  <si>
    <t xml:space="preserve">سبعمائة وواحد وسبعون مليوناً</t>
  </si>
  <si>
    <t xml:space="preserve">سبعمائة وواحد وسبعون هللة</t>
  </si>
  <si>
    <t xml:space="preserve">سبعمائة واثنان وسبعون</t>
  </si>
  <si>
    <t xml:space="preserve">سبعمائة واثنان وسبعون ألفاً</t>
  </si>
  <si>
    <t xml:space="preserve">سبعمائة واثنان وسبعون مليوناً</t>
  </si>
  <si>
    <t xml:space="preserve">سبعمائة واثنان وسبعون هللة</t>
  </si>
  <si>
    <t xml:space="preserve">سبعمائة وثلاثة وسبعون</t>
  </si>
  <si>
    <t xml:space="preserve">سبعمائة وثلاثة وسبعون ألفاً</t>
  </si>
  <si>
    <t xml:space="preserve">سبعمائة وثلاثة وسبعون مليوناً</t>
  </si>
  <si>
    <t xml:space="preserve">سبعمائة وثلاثة وسبعون هللة</t>
  </si>
  <si>
    <t xml:space="preserve">سبعمائة وأربعة وسبعون</t>
  </si>
  <si>
    <t xml:space="preserve">سبعمائة وأربعة وسبعون ألفاً</t>
  </si>
  <si>
    <t xml:space="preserve">سبعمائة وأربعة وسبعون مليوناً</t>
  </si>
  <si>
    <t xml:space="preserve">سبعمائة وأربعة وسبعون هللة</t>
  </si>
  <si>
    <t xml:space="preserve">سبعمائة وخمسة وسبعون</t>
  </si>
  <si>
    <t xml:space="preserve">سبعمائة وخمسة وسبعون ألفاً</t>
  </si>
  <si>
    <t xml:space="preserve">سبعمائة وخمسة وسبعون مليوناً</t>
  </si>
  <si>
    <t xml:space="preserve">سبعمائة وخمسة وسبعون هللة</t>
  </si>
  <si>
    <t xml:space="preserve">سبعمائة وستة وسبعون</t>
  </si>
  <si>
    <t xml:space="preserve">سبعمائة وستة وسبعون ألفاً</t>
  </si>
  <si>
    <t xml:space="preserve">سبعمائة وستة وسبعون مليوناً</t>
  </si>
  <si>
    <t xml:space="preserve">سبعمائة وستة وسبعون هللة</t>
  </si>
  <si>
    <t xml:space="preserve">سبعمائة وسبعة وسبعون</t>
  </si>
  <si>
    <t xml:space="preserve">سبعمائة وسبعة وسبعون ألفاً</t>
  </si>
  <si>
    <t xml:space="preserve">سبعمائة وسبعة وسبعون مليوناً</t>
  </si>
  <si>
    <t xml:space="preserve">سبعمائة وسبعة وسبعون هللة</t>
  </si>
  <si>
    <t xml:space="preserve">سبعمائة وثمانية وسبعون</t>
  </si>
  <si>
    <t xml:space="preserve">سبعمائة وثمانية وسبعون ألفاً</t>
  </si>
  <si>
    <t xml:space="preserve">سبعمائة وثمانية وسبعون مليوناً</t>
  </si>
  <si>
    <t xml:space="preserve">سبعمائة وثمانية وسبعون هللة</t>
  </si>
  <si>
    <t xml:space="preserve">سبعمائة وتسعة وسبعون</t>
  </si>
  <si>
    <t xml:space="preserve">سبعمائة وتسعة وسبعون ألفاً</t>
  </si>
  <si>
    <t xml:space="preserve">سبعمائة وتسعة وسبعون مليوناً</t>
  </si>
  <si>
    <t xml:space="preserve">سبعمائة وتسعة وسبعون هللة</t>
  </si>
  <si>
    <t xml:space="preserve">سبعمائة وثمانون</t>
  </si>
  <si>
    <t xml:space="preserve">سبعمائة وثمانون ألفاً</t>
  </si>
  <si>
    <t xml:space="preserve">سبعمائة وثمانون مليوناً</t>
  </si>
  <si>
    <t xml:space="preserve">سبعمائة وثمانون هللة</t>
  </si>
  <si>
    <t xml:space="preserve">سبعمائة وواحد وثمانون</t>
  </si>
  <si>
    <t xml:space="preserve">سبعمائة وواحد وثمانون ألفاً</t>
  </si>
  <si>
    <t xml:space="preserve">سبعمائة وواحد وثمانون مليوناً</t>
  </si>
  <si>
    <t xml:space="preserve">سبعمائة وواحد وثمانون هللة</t>
  </si>
  <si>
    <t xml:space="preserve">سبعمائة واثنان وثمانون</t>
  </si>
  <si>
    <t xml:space="preserve">سبعمائة واثنان وثمانون ألفاً</t>
  </si>
  <si>
    <t xml:space="preserve">سبعمائة واثنان وثمانون مليوناً</t>
  </si>
  <si>
    <t xml:space="preserve">سبعمائة واثنان وثمانون هللة</t>
  </si>
  <si>
    <t xml:space="preserve">سبعمائة وثلاثة وثمانون</t>
  </si>
  <si>
    <t xml:space="preserve">سبعمائة وثلاثة وثمانون ألفاً</t>
  </si>
  <si>
    <t xml:space="preserve">سبعمائة وثلاثة وثمانون مليوناً</t>
  </si>
  <si>
    <t xml:space="preserve">سبعمائة وثلاثة وثمانون هللة</t>
  </si>
  <si>
    <t xml:space="preserve">سبعمائة وأربعة وثمانون</t>
  </si>
  <si>
    <t xml:space="preserve">سبعمائة وأربعة وثمانون ألفاً</t>
  </si>
  <si>
    <t xml:space="preserve">سبعمائة وأربعة وثمانون مليوناً</t>
  </si>
  <si>
    <t xml:space="preserve">سبعمائة وأربعة وثمانون هللة</t>
  </si>
  <si>
    <t xml:space="preserve">سبعمائة وخمسة وثمانون</t>
  </si>
  <si>
    <t xml:space="preserve">سبعمائة وخمسة وثمانون ألفاً</t>
  </si>
  <si>
    <t xml:space="preserve">سبعمائة وخمسة وثمانون مليوناً</t>
  </si>
  <si>
    <t xml:space="preserve">سبعمائة وخمسة وثمانون هللة</t>
  </si>
  <si>
    <t xml:space="preserve">سبعمائة وستة وثمانون</t>
  </si>
  <si>
    <t xml:space="preserve">سبعمائة وستة وثمانون ألفاً</t>
  </si>
  <si>
    <t xml:space="preserve">سبعمائة وستة وثمانون مليوناً</t>
  </si>
  <si>
    <t xml:space="preserve">سبعمائة وستة وثمانون هللة</t>
  </si>
  <si>
    <t xml:space="preserve">سبعمائة وسبعة وثمانون</t>
  </si>
  <si>
    <t xml:space="preserve">سبعمائة وسبعة وثمانون ألفاً</t>
  </si>
  <si>
    <t xml:space="preserve">سبعمائة وسبعة وثمانون مليوناً</t>
  </si>
  <si>
    <t xml:space="preserve">سبعمائة وسبعة وثمانون هللة</t>
  </si>
  <si>
    <t xml:space="preserve">سبعمائة وثمانية وثمانون</t>
  </si>
  <si>
    <t xml:space="preserve">سبعمائة وثمانية وثمانون ألفاً</t>
  </si>
  <si>
    <t xml:space="preserve">سبعمائة وثمانية وثمانون مليوناً</t>
  </si>
  <si>
    <t xml:space="preserve">سبعمائة وثمانية وثمانون هللة</t>
  </si>
  <si>
    <t xml:space="preserve">سبعمائة وتسعة وثمانون</t>
  </si>
  <si>
    <t xml:space="preserve">سبعمائة وتسعة وثمانون ألفاً</t>
  </si>
  <si>
    <t xml:space="preserve">سبعمائة وتسعة وثمانون مليوناً</t>
  </si>
  <si>
    <t xml:space="preserve">سبعمائة وتسعة وثمانون هللة</t>
  </si>
  <si>
    <t xml:space="preserve">سبعمائة وتسعون</t>
  </si>
  <si>
    <t xml:space="preserve">سبعمائة وتسعون ألفاً</t>
  </si>
  <si>
    <t xml:space="preserve">سبعمائة وتسعون مليوناً</t>
  </si>
  <si>
    <t xml:space="preserve">سبعمائة وتسعون هللة</t>
  </si>
  <si>
    <t xml:space="preserve">سبعمائة وواحد وتسعون</t>
  </si>
  <si>
    <t xml:space="preserve">سبعمائة وواحد وتسعون ألفاً</t>
  </si>
  <si>
    <t xml:space="preserve">سبعمائة وواحد وتسعون مليوناً</t>
  </si>
  <si>
    <t xml:space="preserve">سبعمائة وواحد وتسعون هللة</t>
  </si>
  <si>
    <t xml:space="preserve">سبعمائة واثنان وتسعون</t>
  </si>
  <si>
    <t xml:space="preserve">سبعمائة واثنان وتسعون ألفاً</t>
  </si>
  <si>
    <t xml:space="preserve">سبعمائة واثنان وتسعون مليوناً</t>
  </si>
  <si>
    <t xml:space="preserve">سبعمائة واثنان وتسعون هللة</t>
  </si>
  <si>
    <t xml:space="preserve">سبعمائة وثلاثة وتسعون</t>
  </si>
  <si>
    <t xml:space="preserve">سبعمائة وثلاثة وتسعون ألفاً</t>
  </si>
  <si>
    <t xml:space="preserve">سبعمائة وثلاثة وتسعون مليوناً</t>
  </si>
  <si>
    <t xml:space="preserve">سبعمائة وثلاثة وتسعون هللة</t>
  </si>
  <si>
    <t xml:space="preserve">سبعمائة وأربعة وتسعون</t>
  </si>
  <si>
    <t xml:space="preserve">سبعمائة وأربعة وتسعون ألفاً</t>
  </si>
  <si>
    <t xml:space="preserve">سبعمائة وأربعة وتسعون مليوناً</t>
  </si>
  <si>
    <t xml:space="preserve">سبعمائة وأربعة وتسعون هللة</t>
  </si>
  <si>
    <t xml:space="preserve">سبعمائة وخمسة وتسعون</t>
  </si>
  <si>
    <t xml:space="preserve">سبعمائة وخمسة وتسعون ألفاً</t>
  </si>
  <si>
    <t xml:space="preserve">سبعمائة وخمسة وتسعون مليوناً</t>
  </si>
  <si>
    <t xml:space="preserve">سبعمائة وخمسة وتسعون هللة</t>
  </si>
  <si>
    <t xml:space="preserve">سبعمائة وستة وتسعون</t>
  </si>
  <si>
    <t xml:space="preserve">سبعمائة وستة وتسعون ألفاً</t>
  </si>
  <si>
    <t xml:space="preserve">سبعمائة وستة وتسعون مليوناً</t>
  </si>
  <si>
    <t xml:space="preserve">سبعمائة وستة وتسعون هللة</t>
  </si>
  <si>
    <t xml:space="preserve">سبعمائة وسبعة وتسعون</t>
  </si>
  <si>
    <t xml:space="preserve">سبعمائة وسبعة وتسعون ألفاً</t>
  </si>
  <si>
    <t xml:space="preserve">سبعمائة وسبعة وتسعون مليوناً</t>
  </si>
  <si>
    <t xml:space="preserve">سبعمائة وسبعة وتسعون هللة</t>
  </si>
  <si>
    <t xml:space="preserve">سبعمائة وثمانية وتسعون</t>
  </si>
  <si>
    <t xml:space="preserve">سبعمائة وثمانية وتسعون ألفاً</t>
  </si>
  <si>
    <t xml:space="preserve">سبعمائة وثمانية وتسعون مليوناً</t>
  </si>
  <si>
    <t xml:space="preserve">سبعمائة وثمانية وتسعون هللة</t>
  </si>
  <si>
    <t xml:space="preserve">سبعمائة وتسعة وتسعون</t>
  </si>
  <si>
    <t xml:space="preserve">سبعمائة وتسعة وتسعون ألفاً</t>
  </si>
  <si>
    <t xml:space="preserve">سبعمائة وتسعة وتسعون مليوناً</t>
  </si>
  <si>
    <t xml:space="preserve">سبعمائة وتسعة وتسعون هللة</t>
  </si>
  <si>
    <t xml:space="preserve">ثمانمائة</t>
  </si>
  <si>
    <t xml:space="preserve">ثمانمائة ألف</t>
  </si>
  <si>
    <t xml:space="preserve">ثمانمائة مليون</t>
  </si>
  <si>
    <t xml:space="preserve">ثمانمائة هللة</t>
  </si>
  <si>
    <t xml:space="preserve">ثمانمائة وواحد</t>
  </si>
  <si>
    <t xml:space="preserve">ثمانمائة وواحد ألف</t>
  </si>
  <si>
    <t xml:space="preserve">ثمانمائة وواحد مليون</t>
  </si>
  <si>
    <t xml:space="preserve">ثمانمائة وواحد هللة</t>
  </si>
  <si>
    <t xml:space="preserve">ثمانمائة واثنان</t>
  </si>
  <si>
    <t xml:space="preserve">ثمانمائة واثنان ألف</t>
  </si>
  <si>
    <t xml:space="preserve">ثمانمائة واثنان مليون</t>
  </si>
  <si>
    <t xml:space="preserve">ثمانمائة واثنان هللة</t>
  </si>
  <si>
    <t xml:space="preserve">ثمانمائة وثلاثة</t>
  </si>
  <si>
    <t xml:space="preserve">ثمانمائة وثلاثة آلاف</t>
  </si>
  <si>
    <t xml:space="preserve">ثمانمائة وثلاثة ملايين</t>
  </si>
  <si>
    <t xml:space="preserve">ثمانمائة وثلاثة هللات</t>
  </si>
  <si>
    <t xml:space="preserve">ثمانمائة وأربعة</t>
  </si>
  <si>
    <t xml:space="preserve">ثمانمائة وأربعة آلاف</t>
  </si>
  <si>
    <t xml:space="preserve">ثمانمائة وأربعة ملايين</t>
  </si>
  <si>
    <t xml:space="preserve">ثمانمائة وأربعة هللات</t>
  </si>
  <si>
    <t xml:space="preserve">ثمانمائة وخمسة</t>
  </si>
  <si>
    <t xml:space="preserve">ثمانمائة وخمسة آلاف</t>
  </si>
  <si>
    <t xml:space="preserve">ثمانمائة وخمسة ملايين</t>
  </si>
  <si>
    <t xml:space="preserve">ثمانمائة وخمسة هللات</t>
  </si>
  <si>
    <t xml:space="preserve">ثمانمائة وستة</t>
  </si>
  <si>
    <t xml:space="preserve">ثمانمائة وستة آلاف</t>
  </si>
  <si>
    <t xml:space="preserve">ثمانمائة وستة ملايين</t>
  </si>
  <si>
    <t xml:space="preserve">ثمانمائة وستة هللات</t>
  </si>
  <si>
    <t xml:space="preserve">ثمانمائة وسبعة</t>
  </si>
  <si>
    <t xml:space="preserve">ثمانمائة وسبعة آلاف</t>
  </si>
  <si>
    <t xml:space="preserve">ثمانمائة وسبعة ملايين</t>
  </si>
  <si>
    <t xml:space="preserve">ثمانمائة وسبعة هللات</t>
  </si>
  <si>
    <t xml:space="preserve">ثمانمائة وثمانية</t>
  </si>
  <si>
    <t xml:space="preserve">ثمانمائة وثمانية آلاف</t>
  </si>
  <si>
    <t xml:space="preserve">ثمانمائة وثمانية ملايين</t>
  </si>
  <si>
    <t xml:space="preserve">ثمانمائة وثمانية هللات</t>
  </si>
  <si>
    <t xml:space="preserve">ثمانمائة وتسعة</t>
  </si>
  <si>
    <t xml:space="preserve">ثمانمائة وتسعة آلاف</t>
  </si>
  <si>
    <t xml:space="preserve">ثمانمائة وتسعة ملايين</t>
  </si>
  <si>
    <t xml:space="preserve">ثمانمائة وتسعة هللات</t>
  </si>
  <si>
    <t xml:space="preserve">ثمانمائة وعشرة</t>
  </si>
  <si>
    <t xml:space="preserve">ثمانمائة وعشرة آلاف</t>
  </si>
  <si>
    <t xml:space="preserve">ثمانمائة وعشرة ملايين</t>
  </si>
  <si>
    <t xml:space="preserve">ثمانمائة وعشرة هللات</t>
  </si>
  <si>
    <t xml:space="preserve">ثمانمائة وأحد عشر</t>
  </si>
  <si>
    <t xml:space="preserve">ثمانمائة وأحد عشر ألفاً</t>
  </si>
  <si>
    <t xml:space="preserve">ثمانمائة وأحد عشر مليوناً</t>
  </si>
  <si>
    <t xml:space="preserve">ثمانمائة وأحد عشر هللة</t>
  </si>
  <si>
    <t xml:space="preserve">ثمانمائة واثنا عشر</t>
  </si>
  <si>
    <t xml:space="preserve">ثمانمائة واثنا عشر ألفاً</t>
  </si>
  <si>
    <t xml:space="preserve">ثمانمائة واثنا عشر مليوناً</t>
  </si>
  <si>
    <t xml:space="preserve">ثمانمائة واثنا عشر هللة</t>
  </si>
  <si>
    <t xml:space="preserve">ثمانمائة وثلاثة عشر</t>
  </si>
  <si>
    <t xml:space="preserve">ثمانمائة وثلاثة عشر ألفاً</t>
  </si>
  <si>
    <t xml:space="preserve">ثمانمائة وثلاثة عشر مليوناً</t>
  </si>
  <si>
    <t xml:space="preserve">ثمانمائة وثلاثة عشر هللة</t>
  </si>
  <si>
    <t xml:space="preserve">ثمانمائة وأربعة عشر</t>
  </si>
  <si>
    <t xml:space="preserve">ثمانمائة وأربعة عشر ألفاً</t>
  </si>
  <si>
    <t xml:space="preserve">ثمانمائة وأربعة عشر مليوناً</t>
  </si>
  <si>
    <t xml:space="preserve">ثمانمائة وأربعة عشر هللة</t>
  </si>
  <si>
    <t xml:space="preserve">ثمانمائة وخمسة عشر</t>
  </si>
  <si>
    <t xml:space="preserve">ثمانمائة وخمسة عشر ألفاً</t>
  </si>
  <si>
    <t xml:space="preserve">ثمانمائة وخمسة عشر مليوناً</t>
  </si>
  <si>
    <t xml:space="preserve">ثمانمائة وخمسة عشر هللة</t>
  </si>
  <si>
    <t xml:space="preserve">ثمانمائة وستة عشر</t>
  </si>
  <si>
    <t xml:space="preserve">ثمانمائة وستة عشر ألفاً</t>
  </si>
  <si>
    <t xml:space="preserve">ثمانمائة وستة عشر مليوناً</t>
  </si>
  <si>
    <t xml:space="preserve">ثمانمائة وستة عشر هللة</t>
  </si>
  <si>
    <t xml:space="preserve">ثمانمائة وسبعة عشر</t>
  </si>
  <si>
    <t xml:space="preserve">ثمانمائة وسبعة عشر ألفاً</t>
  </si>
  <si>
    <t xml:space="preserve">ثمانمائة وسبعة عشر مليوناً</t>
  </si>
  <si>
    <t xml:space="preserve">ثمانمائة وسبعة عشر هللة</t>
  </si>
  <si>
    <t xml:space="preserve">ثمانمائة وثمانية عشر</t>
  </si>
  <si>
    <t xml:space="preserve">ثمانمائة وثمانية عشر ألفاً</t>
  </si>
  <si>
    <t xml:space="preserve">ثمانمائة وثمانية عشر مليوناً</t>
  </si>
  <si>
    <t xml:space="preserve">ثمانمائة وثمانية عشر هللة</t>
  </si>
  <si>
    <t xml:space="preserve">ثمانمائة وتسعة عشر</t>
  </si>
  <si>
    <t xml:space="preserve">ثمانمائة وتسعة عشر ألفاً</t>
  </si>
  <si>
    <t xml:space="preserve">ثمانمائة وتسعة عشر مليوناً</t>
  </si>
  <si>
    <t xml:space="preserve">ثمانمائة وتسعة عشر هللة</t>
  </si>
  <si>
    <t xml:space="preserve">ثمانمائة وعشرون</t>
  </si>
  <si>
    <t xml:space="preserve">ثمانمائة وعشرون ألفاً</t>
  </si>
  <si>
    <t xml:space="preserve">ثمانمائة وعشرون مليوناً</t>
  </si>
  <si>
    <t xml:space="preserve">ثمانمائة وعشرون هللة</t>
  </si>
  <si>
    <t xml:space="preserve">ثمانمائة وواحد وعشرون</t>
  </si>
  <si>
    <t xml:space="preserve">ثمانمائة وواحد وعشرون ألفاً</t>
  </si>
  <si>
    <t xml:space="preserve">ثمانمائة وواحد وعشرون مليوناً</t>
  </si>
  <si>
    <t xml:space="preserve">ثمانمائة وواحد وعشرون هللة</t>
  </si>
  <si>
    <t xml:space="preserve">ثمانمائة واثنان وعشرون</t>
  </si>
  <si>
    <t xml:space="preserve">ثمانمائة واثنان وعشرون ألفاً</t>
  </si>
  <si>
    <t xml:space="preserve">ثمانمائة واثنان وعشرون مليوناً</t>
  </si>
  <si>
    <t xml:space="preserve">ثمانمائة واثنان وعشرون هللة</t>
  </si>
  <si>
    <t xml:space="preserve">ثمانمائة وثلاثة وعشرون</t>
  </si>
  <si>
    <t xml:space="preserve">ثمانمائة وثلاثة وعشرون ألفاً</t>
  </si>
  <si>
    <t xml:space="preserve">ثمانمائة وثلاثة وعشرون مليوناً</t>
  </si>
  <si>
    <t xml:space="preserve">ثمانمائة وثلاثة وعشرون هللة</t>
  </si>
  <si>
    <t xml:space="preserve">ثمانمائة وأربعة وعشرون</t>
  </si>
  <si>
    <t xml:space="preserve">ثمانمائة وأربعة وعشرون ألفاً</t>
  </si>
  <si>
    <t xml:space="preserve">ثمانمائة وأربعة وعشرون مليوناً</t>
  </si>
  <si>
    <t xml:space="preserve">ثمانمائة وأربعة وعشرون هللة</t>
  </si>
  <si>
    <t xml:space="preserve">ثمانمائة وخمسة وعشرون</t>
  </si>
  <si>
    <t xml:space="preserve">ثمانمائة وخمسة وعشرون ألفاً</t>
  </si>
  <si>
    <t xml:space="preserve">ثمانمائة وخمسة وعشرون مليوناً</t>
  </si>
  <si>
    <t xml:space="preserve">ثمانمائة وخمسة وعشرون هللة</t>
  </si>
  <si>
    <t xml:space="preserve">ثمانمائة وستة وعشرون</t>
  </si>
  <si>
    <t xml:space="preserve">ثمانمائة وستة وعشرون ألفاً</t>
  </si>
  <si>
    <t xml:space="preserve">ثمانمائة وستة وعشرون مليوناً</t>
  </si>
  <si>
    <t xml:space="preserve">ثمانمائة وستة وعشرون هللة</t>
  </si>
  <si>
    <t xml:space="preserve">ثمانمائة وسبعة وعشرون</t>
  </si>
  <si>
    <t xml:space="preserve">ثمانمائة وسبعة وعشرون ألفاً</t>
  </si>
  <si>
    <t xml:space="preserve">ثمانمائة وسبعة وعشرون مليوناً</t>
  </si>
  <si>
    <t xml:space="preserve">ثمانمائة وسبعة وعشرون هللة</t>
  </si>
  <si>
    <t xml:space="preserve">ثمانمائة وثمانية وعشرون</t>
  </si>
  <si>
    <t xml:space="preserve">ثمانمائة وثمانية وعشرون ألفاً</t>
  </si>
  <si>
    <t xml:space="preserve">ثمانمائة وثمانية وعشرون مليوناً</t>
  </si>
  <si>
    <t xml:space="preserve">ثمانمائة وثمانية وعشرون هللة</t>
  </si>
  <si>
    <t xml:space="preserve">ثمانمائة وتسعة وعشرون</t>
  </si>
  <si>
    <t xml:space="preserve">ثمانمائة وتسعة وعشرون ألفاً</t>
  </si>
  <si>
    <t xml:space="preserve">ثمانمائة وتسعة وعشرون مليوناً</t>
  </si>
  <si>
    <t xml:space="preserve">ثمانمائة وتسعة وعشرون هللة</t>
  </si>
  <si>
    <t xml:space="preserve">ثمانمائة وثلاثون</t>
  </si>
  <si>
    <t xml:space="preserve">ثمانمائة وثلاثون ألفاً</t>
  </si>
  <si>
    <t xml:space="preserve">ثمانمائة وثلاثون مليوناً</t>
  </si>
  <si>
    <t xml:space="preserve">ثمانمائة وثلاثون هللة</t>
  </si>
  <si>
    <t xml:space="preserve">ثمانمائة وواحد وثلاثون</t>
  </si>
  <si>
    <t xml:space="preserve">ثمانمائة وواحد وثلاثون ألفاً</t>
  </si>
  <si>
    <t xml:space="preserve">ثمانمائة وواحد وثلاثون مليوناً</t>
  </si>
  <si>
    <t xml:space="preserve">ثمانمائة وواحد وثلاثون هللة</t>
  </si>
  <si>
    <t xml:space="preserve">ثمانمائة واثنان وثلاثون</t>
  </si>
  <si>
    <t xml:space="preserve">ثمانمائة واثنان وثلاثون ألفاً</t>
  </si>
  <si>
    <t xml:space="preserve">ثمانمائة واثنان وثلاثون مليوناً</t>
  </si>
  <si>
    <t xml:space="preserve">ثمانمائة واثنان وثلاثون هللة</t>
  </si>
  <si>
    <t xml:space="preserve">ثمانمائة وثلاثة وثلاثون</t>
  </si>
  <si>
    <t xml:space="preserve">ثمانمائة وثلاثة وثلاثون ألفاً</t>
  </si>
  <si>
    <t xml:space="preserve">ثمانمائة وثلاثة وثلاثون مليوناً</t>
  </si>
  <si>
    <t xml:space="preserve">ثمانمائة وثلاثة وثلاثون هللة</t>
  </si>
  <si>
    <t xml:space="preserve">ثمانمائة وأربعة وثلاثون</t>
  </si>
  <si>
    <t xml:space="preserve">ثمانمائة وأربعة وثلاثون ألفاً</t>
  </si>
  <si>
    <t xml:space="preserve">ثمانمائة وأربعة وثلاثون مليوناً</t>
  </si>
  <si>
    <t xml:space="preserve">ثمانمائة وأربعة وثلاثون هللة</t>
  </si>
  <si>
    <t xml:space="preserve">ثمانمائة وخمسة وثلاثون</t>
  </si>
  <si>
    <t xml:space="preserve">ثمانمائة وخمسة وثلاثون ألفاً</t>
  </si>
  <si>
    <t xml:space="preserve">ثمانمائة وخمسة وثلاثون مليوناً</t>
  </si>
  <si>
    <t xml:space="preserve">ثمانمائة وخمسة وثلاثون هللة</t>
  </si>
  <si>
    <t xml:space="preserve">ثمانمائة وستة وثلاثون</t>
  </si>
  <si>
    <t xml:space="preserve">ثمانمائة وستة وثلاثون ألفاً</t>
  </si>
  <si>
    <t xml:space="preserve">ثمانمائة وستة وثلاثون مليوناً</t>
  </si>
  <si>
    <t xml:space="preserve">ثمانمائة وستة وثلاثون هللة</t>
  </si>
  <si>
    <t xml:space="preserve">ثمانمائة وسبعة وثلاثون</t>
  </si>
  <si>
    <t xml:space="preserve">ثمانمائة وسبعة وثلاثون ألفاً</t>
  </si>
  <si>
    <t xml:space="preserve">ثمانمائة وسبعة وثلاثون مليوناً</t>
  </si>
  <si>
    <t xml:space="preserve">ثمانمائة وسبعة وثلاثون هللة</t>
  </si>
  <si>
    <t xml:space="preserve">ثمانمائة وثمانية وثلاثون</t>
  </si>
  <si>
    <t xml:space="preserve">ثمانمائة وثمانية وثلاثون ألفاً</t>
  </si>
  <si>
    <t xml:space="preserve">ثمانمائة وثمانية وثلاثون مليوناً</t>
  </si>
  <si>
    <t xml:space="preserve">ثمانمائة وثمانية وثلاثون هللة</t>
  </si>
  <si>
    <t xml:space="preserve">ثمانمائة وتسعة وثلاثون</t>
  </si>
  <si>
    <t xml:space="preserve">ثمانمائة وتسعة وثلاثون ألفاً</t>
  </si>
  <si>
    <t xml:space="preserve">ثمانمائة وتسعة وثلاثون مليوناً</t>
  </si>
  <si>
    <t xml:space="preserve">ثمانمائة وتسعة وثلاثون هللة</t>
  </si>
  <si>
    <t xml:space="preserve">ثمانمائة وأربعون</t>
  </si>
  <si>
    <t xml:space="preserve">ثمانمائة وأربعون ألفاً</t>
  </si>
  <si>
    <t xml:space="preserve">ثمانمائة وأربعون مليوناً</t>
  </si>
  <si>
    <t xml:space="preserve">ثمانمائة وأربعون هللة</t>
  </si>
  <si>
    <t xml:space="preserve">ثمانمائة وواحد وأربعون</t>
  </si>
  <si>
    <t xml:space="preserve">ثمانمائة وواحد وأربعون ألفاً</t>
  </si>
  <si>
    <t xml:space="preserve">ثمانمائة وواحد وأربعون مليوناً</t>
  </si>
  <si>
    <t xml:space="preserve">ثمانمائة وواحد وأربعون هللة</t>
  </si>
  <si>
    <t xml:space="preserve">ثمانمائة واثنان وأربعون</t>
  </si>
  <si>
    <t xml:space="preserve">ثمانمائة واثنان وأربعون ألفاً</t>
  </si>
  <si>
    <t xml:space="preserve">ثمانمائة واثنان وأربعون مليوناً</t>
  </si>
  <si>
    <t xml:space="preserve">ثمانمائة واثنان وأربعون هللة</t>
  </si>
  <si>
    <t xml:space="preserve">ثمانمائة وثلاثة وأربعون</t>
  </si>
  <si>
    <t xml:space="preserve">ثمانمائة وثلاثة وأربعون ألفاً</t>
  </si>
  <si>
    <t xml:space="preserve">ثمانمائة وثلاثة وأربعون مليوناً</t>
  </si>
  <si>
    <t xml:space="preserve">ثمانمائة وثلاثة وأربعون هللة</t>
  </si>
  <si>
    <t xml:space="preserve">ثمانمائة وأربعة وأربعون</t>
  </si>
  <si>
    <t xml:space="preserve">ثمانمائة وأربعة وأربعون ألفاً</t>
  </si>
  <si>
    <t xml:space="preserve">ثمانمائة وأربعة وأربعون مليوناً</t>
  </si>
  <si>
    <t xml:space="preserve">ثمانمائة وأربعة وأربعون هللة</t>
  </si>
  <si>
    <t xml:space="preserve">ثمانمائة وخمسة وأربعون</t>
  </si>
  <si>
    <t xml:space="preserve">ثمانمائة وخمسة وأربعون ألفاً</t>
  </si>
  <si>
    <t xml:space="preserve">ثمانمائة وخمسة وأربعون مليوناً</t>
  </si>
  <si>
    <t xml:space="preserve">ثمانمائة وخمسة وأربعون هللة</t>
  </si>
  <si>
    <t xml:space="preserve">ثمانمائة وستة وأربعون</t>
  </si>
  <si>
    <t xml:space="preserve">ثمانمائة وستة وأربعون ألفاً</t>
  </si>
  <si>
    <t xml:space="preserve">ثمانمائة وستة وأربعون مليوناً</t>
  </si>
  <si>
    <t xml:space="preserve">ثمانمائة وستة وأربعون هللة</t>
  </si>
  <si>
    <t xml:space="preserve">ثمانمائة وسبعة وأربعون</t>
  </si>
  <si>
    <t xml:space="preserve">ثمانمائة وسبعة وأربعون ألفاً</t>
  </si>
  <si>
    <t xml:space="preserve">ثمانمائة وسبعة وأربعون مليوناً</t>
  </si>
  <si>
    <t xml:space="preserve">ثمانمائة وسبعة وأربعون هللة</t>
  </si>
  <si>
    <t xml:space="preserve">ثمانمائة وثمانية وأربعون</t>
  </si>
  <si>
    <t xml:space="preserve">ثمانمائة وثمانية وأربعون ألفاً</t>
  </si>
  <si>
    <t xml:space="preserve">ثمانمائة وثمانية وأربعون مليوناً</t>
  </si>
  <si>
    <t xml:space="preserve">ثمانمائة وثمانية وأربعون هللة</t>
  </si>
  <si>
    <t xml:space="preserve">ثمانمائة وتسعة وأربعون</t>
  </si>
  <si>
    <t xml:space="preserve">ثمانمائة وتسعة وأربعون ألفاً</t>
  </si>
  <si>
    <t xml:space="preserve">ثمانمائة وتسعة وأربعون مليوناً</t>
  </si>
  <si>
    <t xml:space="preserve">ثمانمائة وتسعة وأربعون هللة</t>
  </si>
  <si>
    <t xml:space="preserve">ثمانمائة وخمسون</t>
  </si>
  <si>
    <t xml:space="preserve">ثمانمائة وخمسون ألفاً</t>
  </si>
  <si>
    <t xml:space="preserve">ثمانمائة وخمسون مليوناً</t>
  </si>
  <si>
    <t xml:space="preserve">ثمانمائة وخمسون هللة</t>
  </si>
  <si>
    <t xml:space="preserve">ثمانمائة وواحد وخمسون</t>
  </si>
  <si>
    <t xml:space="preserve">ثمانمائة وواحد وخمسون ألفاً</t>
  </si>
  <si>
    <t xml:space="preserve">ثمانمائة وواحد وخمسون مليوناً</t>
  </si>
  <si>
    <t xml:space="preserve">ثمانمائة وواحد وخمسون هللة</t>
  </si>
  <si>
    <t xml:space="preserve">ثمانمائة واثنان وخمسون</t>
  </si>
  <si>
    <t xml:space="preserve">ثمانمائة واثنان وخمسون ألفاً</t>
  </si>
  <si>
    <t xml:space="preserve">ثمانمائة واثنان وخمسون مليوناً</t>
  </si>
  <si>
    <t xml:space="preserve">ثمانمائة واثنان وخمسون هللة</t>
  </si>
  <si>
    <t xml:space="preserve">ثمانمائة وثلاثة وخمسون</t>
  </si>
  <si>
    <t xml:space="preserve">ثمانمائة وثلاثة وخمسون ألفاً</t>
  </si>
  <si>
    <t xml:space="preserve">ثمانمائة وثلاثة وخمسون مليوناً</t>
  </si>
  <si>
    <t xml:space="preserve">ثمانمائة وثلاثة وخمسون هللة</t>
  </si>
  <si>
    <t xml:space="preserve">ثمانمائة وأربعة وخمسون</t>
  </si>
  <si>
    <t xml:space="preserve">ثمانمائة وأربعة وخمسون ألفاً</t>
  </si>
  <si>
    <t xml:space="preserve">ثمانمائة وأربعة وخمسون مليوناً</t>
  </si>
  <si>
    <t xml:space="preserve">ثمانمائة وأربعة وخمسون هللة</t>
  </si>
  <si>
    <t xml:space="preserve">ثمانمائة وخمسة وخمسون</t>
  </si>
  <si>
    <t xml:space="preserve">ثمانمائة وخمسة وخمسون ألفاً</t>
  </si>
  <si>
    <t xml:space="preserve">ثمانمائة وخمسة وخمسون مليوناً</t>
  </si>
  <si>
    <t xml:space="preserve">ثمانمائة وخمسة وخمسون هللة</t>
  </si>
  <si>
    <t xml:space="preserve">ثمانمائة وستة وخمسون</t>
  </si>
  <si>
    <t xml:space="preserve">ثمانمائة وستة وخمسون ألفاً</t>
  </si>
  <si>
    <t xml:space="preserve">ثمانمائة وستة وخمسون مليوناً</t>
  </si>
  <si>
    <t xml:space="preserve">ثمانمائة وستة وخمسون هللة</t>
  </si>
  <si>
    <t xml:space="preserve">ثمانمائة وسبعة وخمسون</t>
  </si>
  <si>
    <t xml:space="preserve">ثمانمائة وسبعة وخمسون ألفاً</t>
  </si>
  <si>
    <t xml:space="preserve">ثمانمائة وسبعة وخمسون مليوناً</t>
  </si>
  <si>
    <t xml:space="preserve">ثمانمائة وسبعة وخمسون هللة</t>
  </si>
  <si>
    <t xml:space="preserve">ثمانمائة وثمانية وخمسون</t>
  </si>
  <si>
    <t xml:space="preserve">ثمانمائة وثمانية وخمسون ألفاً</t>
  </si>
  <si>
    <t xml:space="preserve">ثمانمائة وثمانية وخمسون مليوناً</t>
  </si>
  <si>
    <t xml:space="preserve">ثمانمائة وثمانية وخمسون هللة</t>
  </si>
  <si>
    <t xml:space="preserve">ثمانمائة وتسعة وخمسون</t>
  </si>
  <si>
    <t xml:space="preserve">ثمانمائة وتسعة وخمسون ألفاً</t>
  </si>
  <si>
    <t xml:space="preserve">ثمانمائة وتسعة وخمسون مليوناً</t>
  </si>
  <si>
    <t xml:space="preserve">ثمانمائة وتسعة وخمسون هللة</t>
  </si>
  <si>
    <t xml:space="preserve">ثمانمائة وستون</t>
  </si>
  <si>
    <t xml:space="preserve">ثمانمائة وستون ألفاً</t>
  </si>
  <si>
    <t xml:space="preserve">ثمانمائة وستون مليوناً</t>
  </si>
  <si>
    <t xml:space="preserve">ثمانمائة وستون هللة</t>
  </si>
  <si>
    <t xml:space="preserve">ثمانمائة وواحد وستون</t>
  </si>
  <si>
    <t xml:space="preserve">ثمانمائة وواحد وستون ألفاً</t>
  </si>
  <si>
    <t xml:space="preserve">ثمانمائة وواحد وستون مليوناً</t>
  </si>
  <si>
    <t xml:space="preserve">ثمانمائة وواحد وستون هللة</t>
  </si>
  <si>
    <t xml:space="preserve">ثمانمائة واثنان وستون</t>
  </si>
  <si>
    <t xml:space="preserve">ثمانمائة واثنان وستون ألفاً</t>
  </si>
  <si>
    <t xml:space="preserve">ثمانمائة واثنان وستون مليوناً</t>
  </si>
  <si>
    <t xml:space="preserve">ثمانمائة واثنان وستون هللة</t>
  </si>
  <si>
    <t xml:space="preserve">ثمانمائة وثلاثة وستون</t>
  </si>
  <si>
    <t xml:space="preserve">ثمانمائة وثلاثة وستون ألفاً</t>
  </si>
  <si>
    <t xml:space="preserve">ثمانمائة وثلاثة وستون مليوناً</t>
  </si>
  <si>
    <t xml:space="preserve">ثمانمائة وثلاثة وستون هللة</t>
  </si>
  <si>
    <t xml:space="preserve">ثمانمائة وأربعة وستون</t>
  </si>
  <si>
    <t xml:space="preserve">ثمانمائة وأربعة وستون ألفاً</t>
  </si>
  <si>
    <t xml:space="preserve">ثمانمائة وأربعة وستون مليوناً</t>
  </si>
  <si>
    <t xml:space="preserve">ثمانمائة وأربعة وستون هللة</t>
  </si>
  <si>
    <t xml:space="preserve">ثمانمائة وخمسة وستون</t>
  </si>
  <si>
    <t xml:space="preserve">ثمانمائة وخمسة وستون ألفاً</t>
  </si>
  <si>
    <t xml:space="preserve">ثمانمائة وخمسة وستون مليوناً</t>
  </si>
  <si>
    <t xml:space="preserve">ثمانمائة وخمسة وستون هللة</t>
  </si>
  <si>
    <t xml:space="preserve">ثمانمائة وستة وستون</t>
  </si>
  <si>
    <t xml:space="preserve">ثمانمائة وستة وستون ألفاً</t>
  </si>
  <si>
    <t xml:space="preserve">ثمانمائة وستة وستون مليوناً</t>
  </si>
  <si>
    <t xml:space="preserve">ثمانمائة وستة وستون هللة</t>
  </si>
  <si>
    <t xml:space="preserve">ثمانمائة وسبعة وستون</t>
  </si>
  <si>
    <t xml:space="preserve">ثمانمائة وسبعة وستون ألفاً</t>
  </si>
  <si>
    <t xml:space="preserve">ثمانمائة وسبعة وستون مليوناً</t>
  </si>
  <si>
    <t xml:space="preserve">ثمانمائة وسبعة وستون هللة</t>
  </si>
  <si>
    <t xml:space="preserve">ثمانمائة وثمانية وستون</t>
  </si>
  <si>
    <t xml:space="preserve">ثمانمائة وثمانية وستون ألفاً</t>
  </si>
  <si>
    <t xml:space="preserve">ثمانمائة وثمانية وستون مليوناً</t>
  </si>
  <si>
    <t xml:space="preserve">ثمانمائة وثمانية وستون هللة</t>
  </si>
  <si>
    <t xml:space="preserve">ثمانمائة وتسعة وستون</t>
  </si>
  <si>
    <t xml:space="preserve">ثمانمائة وتسعة وستون ألفاً</t>
  </si>
  <si>
    <t xml:space="preserve">ثمانمائة وتسعة وستون مليوناً</t>
  </si>
  <si>
    <t xml:space="preserve">ثمانمائة وتسعة وستون هللة</t>
  </si>
  <si>
    <t xml:space="preserve">ثمانمائة وسبعون</t>
  </si>
  <si>
    <t xml:space="preserve">ثمانمائة وسبعون ألفاً</t>
  </si>
  <si>
    <t xml:space="preserve">ثمانمائة وسبعون مليوناً</t>
  </si>
  <si>
    <t xml:space="preserve">ثمانمائة وسبعون هللة</t>
  </si>
  <si>
    <t xml:space="preserve">ثمانمائة وواحد وسبعون</t>
  </si>
  <si>
    <t xml:space="preserve">ثمانمائة وواحد وسبعون ألفاً</t>
  </si>
  <si>
    <t xml:space="preserve">ثمانمائة وواحد وسبعون مليوناً</t>
  </si>
  <si>
    <t xml:space="preserve">ثمانمائة وواحد وسبعون هللة</t>
  </si>
  <si>
    <t xml:space="preserve">ثمانمائة واثنان وسبعون</t>
  </si>
  <si>
    <t xml:space="preserve">ثمانمائة واثنان وسبعون ألفاً</t>
  </si>
  <si>
    <t xml:space="preserve">ثمانمائة واثنان وسبعون مليوناً</t>
  </si>
  <si>
    <t xml:space="preserve">ثمانمائة واثنان وسبعون هللة</t>
  </si>
  <si>
    <t xml:space="preserve">ثمانمائة وثلاثة وسبعون</t>
  </si>
  <si>
    <t xml:space="preserve">ثمانمائة وثلاثة وسبعون ألفاً</t>
  </si>
  <si>
    <t xml:space="preserve">ثمانمائة وثلاثة وسبعون مليوناً</t>
  </si>
  <si>
    <t xml:space="preserve">ثمانمائة وثلاثة وسبعون هللة</t>
  </si>
  <si>
    <t xml:space="preserve">ثمانمائة وأربعة وسبعون</t>
  </si>
  <si>
    <t xml:space="preserve">ثمانمائة وأربعة وسبعون ألفاً</t>
  </si>
  <si>
    <t xml:space="preserve">ثمانمائة وأربعة وسبعون مليوناً</t>
  </si>
  <si>
    <t xml:space="preserve">ثمانمائة وأربعة وسبعون هللة</t>
  </si>
  <si>
    <t xml:space="preserve">ثمانمائة وخمسة وسبعون</t>
  </si>
  <si>
    <t xml:space="preserve">ثمانمائة وخمسة وسبعون ألفاً</t>
  </si>
  <si>
    <t xml:space="preserve">ثمانمائة وخمسة وسبعون مليوناً</t>
  </si>
  <si>
    <t xml:space="preserve">ثمانمائة وخمسة وسبعون هللة</t>
  </si>
  <si>
    <t xml:space="preserve">ثمانمائة وستة وسبعون</t>
  </si>
  <si>
    <t xml:space="preserve">ثمانمائة وستة وسبعون ألفاً</t>
  </si>
  <si>
    <t xml:space="preserve">ثمانمائة وستة وسبعون مليوناً</t>
  </si>
  <si>
    <t xml:space="preserve">ثمانمائة وستة وسبعون هللة</t>
  </si>
  <si>
    <t xml:space="preserve">ثمانمائة وسبعة وسبعون</t>
  </si>
  <si>
    <t xml:space="preserve">ثمانمائة وسبعة وسبعون ألفاً</t>
  </si>
  <si>
    <t xml:space="preserve">ثمانمائة وسبعة وسبعون مليوناً</t>
  </si>
  <si>
    <t xml:space="preserve">ثمانمائة وسبعة وسبعون هللة</t>
  </si>
  <si>
    <t xml:space="preserve">ثمانمائة وثمانية وسبعون</t>
  </si>
  <si>
    <t xml:space="preserve">ثمانمائة وثمانية وسبعون ألفاً</t>
  </si>
  <si>
    <t xml:space="preserve">ثمانمائة وثمانية وسبعون مليوناً</t>
  </si>
  <si>
    <t xml:space="preserve">ثمانمائة وثمانية وسبعون هللة</t>
  </si>
  <si>
    <t xml:space="preserve">ثمانمائة وتسعة وسبعون</t>
  </si>
  <si>
    <t xml:space="preserve">ثمانمائة وتسعة وسبعون ألفاً</t>
  </si>
  <si>
    <t xml:space="preserve">ثمانمائة وتسعة وسبعون مليوناً</t>
  </si>
  <si>
    <t xml:space="preserve">ثمانمائة وتسعة وسبعون هللة</t>
  </si>
  <si>
    <t xml:space="preserve">ثمانمائة وثمانون</t>
  </si>
  <si>
    <t xml:space="preserve">ثمانمائة وثمانون ألفاً</t>
  </si>
  <si>
    <t xml:space="preserve">ثمانمائة وثمانون مليوناً</t>
  </si>
  <si>
    <t xml:space="preserve">ثمانمائة وثمانون هللة</t>
  </si>
  <si>
    <t xml:space="preserve">ثمانمائة وواحد وثمانون</t>
  </si>
  <si>
    <t xml:space="preserve">ثمانمائة وواحد وثمانون ألفاً</t>
  </si>
  <si>
    <t xml:space="preserve">ثمانمائة وواحد وثمانون مليوناً</t>
  </si>
  <si>
    <t xml:space="preserve">ثمانمائة وواحد وثمانون هللة</t>
  </si>
  <si>
    <t xml:space="preserve">ثمانمائة واثنان وثمانون</t>
  </si>
  <si>
    <t xml:space="preserve">ثمانمائة واثنان وثمانون ألفاً</t>
  </si>
  <si>
    <t xml:space="preserve">ثمانمائة واثنان وثمانون مليوناً</t>
  </si>
  <si>
    <t xml:space="preserve">ثمانمائة واثنان وثمانون هللة</t>
  </si>
  <si>
    <t xml:space="preserve">ثمانمائة وثلاثة وثمانون</t>
  </si>
  <si>
    <t xml:space="preserve">ثمانمائة وثلاثة وثمانون ألفاً</t>
  </si>
  <si>
    <t xml:space="preserve">ثمانمائة وثلاثة وثمانون مليوناً</t>
  </si>
  <si>
    <t xml:space="preserve">ثمانمائة وثلاثة وثمانون هللة</t>
  </si>
  <si>
    <t xml:space="preserve">ثمانمائة وأربعة وثمانون</t>
  </si>
  <si>
    <t xml:space="preserve">ثمانمائة وأربعة وثمانون ألفاً</t>
  </si>
  <si>
    <t xml:space="preserve">ثمانمائة وأربعة وثمانون مليوناً</t>
  </si>
  <si>
    <t xml:space="preserve">ثمانمائة وأربعة وثمانون هللة</t>
  </si>
  <si>
    <t xml:space="preserve">ثمانمائة وخمسة وثمانون</t>
  </si>
  <si>
    <t xml:space="preserve">ثمانمائة وخمسة وثمانون ألفاً</t>
  </si>
  <si>
    <t xml:space="preserve">ثمانمائة وخمسة وثمانون مليوناً</t>
  </si>
  <si>
    <t xml:space="preserve">ثمانمائة وخمسة وثمانون هللة</t>
  </si>
  <si>
    <t xml:space="preserve">ثمانمائة وستة وثمانون</t>
  </si>
  <si>
    <t xml:space="preserve">ثمانمائة وستة وثمانون ألفاً</t>
  </si>
  <si>
    <t xml:space="preserve">ثمانمائة وستة وثمانون مليوناً</t>
  </si>
  <si>
    <t xml:space="preserve">ثمانمائة وستة وثمانون هللة</t>
  </si>
  <si>
    <t xml:space="preserve">ثمانمائة وسبعة وثمانون</t>
  </si>
  <si>
    <t xml:space="preserve">ثمانمائة وسبعة وثمانون ألفاً</t>
  </si>
  <si>
    <t xml:space="preserve">ثمانمائة وسبعة وثمانون مليوناً</t>
  </si>
  <si>
    <t xml:space="preserve">ثمانمائة وسبعة وثمانون هللة</t>
  </si>
  <si>
    <t xml:space="preserve">ثمانمائة وثمانية وثمانون</t>
  </si>
  <si>
    <t xml:space="preserve">ثمانمائة وثمانية وثمانون ألفاً</t>
  </si>
  <si>
    <t xml:space="preserve">ثمانمائة وثمانية وثمانون مليوناً</t>
  </si>
  <si>
    <t xml:space="preserve">ثمانمائة وثمانية وثمانون هللة</t>
  </si>
  <si>
    <t xml:space="preserve">ثمانمائة وتسعة وثمانون</t>
  </si>
  <si>
    <t xml:space="preserve">ثمانمائة وتسعة وثمانون ألفاً</t>
  </si>
  <si>
    <t xml:space="preserve">ثمانمائة وتسعة وثمانون مليوناً</t>
  </si>
  <si>
    <t xml:space="preserve">ثمانمائة وتسعة وثمانون هللة</t>
  </si>
  <si>
    <t xml:space="preserve">ثمانمائة وتسعون</t>
  </si>
  <si>
    <t xml:space="preserve">ثمانمائة وتسعون ألفاً</t>
  </si>
  <si>
    <t xml:space="preserve">ثمانمائة وتسعون مليوناً</t>
  </si>
  <si>
    <t xml:space="preserve">ثمانمائة وتسعون هللة</t>
  </si>
  <si>
    <t xml:space="preserve">ثمانمائة وواحد وتسعون</t>
  </si>
  <si>
    <t xml:space="preserve">ثمانمائة وواحد وتسعون ألفاً</t>
  </si>
  <si>
    <t xml:space="preserve">ثمانمائة وواحد وتسعون مليوناً</t>
  </si>
  <si>
    <t xml:space="preserve">ثمانمائة وواحد وتسعون هللة</t>
  </si>
  <si>
    <t xml:space="preserve">ثمانمائة واثنان وتسعون</t>
  </si>
  <si>
    <t xml:space="preserve">ثمانمائة واثنان وتسعون ألفاً</t>
  </si>
  <si>
    <t xml:space="preserve">ثمانمائة واثنان وتسعون مليوناً</t>
  </si>
  <si>
    <t xml:space="preserve">ثمانمائة واثنان وتسعون هللة</t>
  </si>
  <si>
    <t xml:space="preserve">ثمانمائة وثلاثة وتسعون</t>
  </si>
  <si>
    <t xml:space="preserve">ثمانمائة وثلاثة وتسعون ألفاً</t>
  </si>
  <si>
    <t xml:space="preserve">ثمانمائة وثلاثة وتسعون مليوناً</t>
  </si>
  <si>
    <t xml:space="preserve">ثمانمائة وثلاثة وتسعون هللة</t>
  </si>
  <si>
    <t xml:space="preserve">ثمانمائة وأربعة وتسعون</t>
  </si>
  <si>
    <t xml:space="preserve">ثمانمائة وأربعة وتسعون ألفاً</t>
  </si>
  <si>
    <t xml:space="preserve">ثمانمائة وأربعة وتسعون مليوناً</t>
  </si>
  <si>
    <t xml:space="preserve">ثمانمائة وأربعة وتسعون هللة</t>
  </si>
  <si>
    <t xml:space="preserve">ثمانمائة وخمسة وتسعون</t>
  </si>
  <si>
    <t xml:space="preserve">ثمانمائة وخمسة وتسعون ألفاً</t>
  </si>
  <si>
    <t xml:space="preserve">ثمانمائة وخمسة وتسعون مليوناً</t>
  </si>
  <si>
    <t xml:space="preserve">ثمانمائة وخمسة وتسعون هللة</t>
  </si>
  <si>
    <t xml:space="preserve">ثمانمائة وستة وتسعون</t>
  </si>
  <si>
    <t xml:space="preserve">ثمانمائة وستة وتسعون ألفاً</t>
  </si>
  <si>
    <t xml:space="preserve">ثمانمائة وستة وتسعون مليوناً</t>
  </si>
  <si>
    <t xml:space="preserve">ثمانمائة وستة وتسعون هللة</t>
  </si>
  <si>
    <t xml:space="preserve">ثمانمائة وسبعة وتسعون</t>
  </si>
  <si>
    <t xml:space="preserve">ثمانمائة وسبعة وتسعون ألفاً</t>
  </si>
  <si>
    <t xml:space="preserve">ثمانمائة وسبعة وتسعون مليوناً</t>
  </si>
  <si>
    <t xml:space="preserve">ثمانمائة وسبعة وتسعون هللة</t>
  </si>
  <si>
    <t xml:space="preserve">ثمانمائة وثمانية وتسعون</t>
  </si>
  <si>
    <t xml:space="preserve">ثمانمائة وثمانية وتسعون ألفاً</t>
  </si>
  <si>
    <t xml:space="preserve">ثمانمائة وثمانية وتسعون مليوناً</t>
  </si>
  <si>
    <t xml:space="preserve">ثمانمائة وثمانية وتسعون هللة</t>
  </si>
  <si>
    <t xml:space="preserve">ثمانمائة وتسعة وتسعون</t>
  </si>
  <si>
    <t xml:space="preserve">ثمانمائة وتسعة وتسعون ألفاً</t>
  </si>
  <si>
    <t xml:space="preserve">ثمانمائة وتسعة وتسعون مليوناً</t>
  </si>
  <si>
    <t xml:space="preserve">ثمانمائة وتسعة وتسعون هللة</t>
  </si>
  <si>
    <t xml:space="preserve">تسعمائة</t>
  </si>
  <si>
    <t xml:space="preserve">تسعمائة ألف</t>
  </si>
  <si>
    <t xml:space="preserve">تسعمائة مليون</t>
  </si>
  <si>
    <t xml:space="preserve">تسعمائة هللة</t>
  </si>
  <si>
    <t xml:space="preserve">تسعمائة وواحد</t>
  </si>
  <si>
    <t xml:space="preserve">تسعمائة وواحد ألف</t>
  </si>
  <si>
    <t xml:space="preserve">تسعمائة وواحد مليون</t>
  </si>
  <si>
    <t xml:space="preserve">تسعمائة وواحد هللة</t>
  </si>
  <si>
    <t xml:space="preserve">تسعمائة واثنان</t>
  </si>
  <si>
    <t xml:space="preserve">تسعمائة واثنان ألف</t>
  </si>
  <si>
    <t xml:space="preserve">تسعمائة واثنان مليون</t>
  </si>
  <si>
    <t xml:space="preserve">تسعمائة واثنان هللة</t>
  </si>
  <si>
    <t xml:space="preserve">تسعمائة وثلاثة</t>
  </si>
  <si>
    <t xml:space="preserve">تسعمائة وثلاثة آلاف</t>
  </si>
  <si>
    <t xml:space="preserve">تسعمائة وثلاثة ملايين</t>
  </si>
  <si>
    <t xml:space="preserve">تسعمائة وثلاثة هللات</t>
  </si>
  <si>
    <t xml:space="preserve">تسعمائة وأربعة</t>
  </si>
  <si>
    <t xml:space="preserve">تسعمائة وأربعة آلاف</t>
  </si>
  <si>
    <t xml:space="preserve">تسعمائة وأربعة ملايين</t>
  </si>
  <si>
    <t xml:space="preserve">تسعمائة وأربعة هللات</t>
  </si>
  <si>
    <t xml:space="preserve">تسعمائة وخمسة</t>
  </si>
  <si>
    <t xml:space="preserve">تسعمائة وخمسة آلاف</t>
  </si>
  <si>
    <t xml:space="preserve">تسعمائة وخمسة ملايين</t>
  </si>
  <si>
    <t xml:space="preserve">تسعمائة وخمسة هللات</t>
  </si>
  <si>
    <t xml:space="preserve">تسعمائة وستة</t>
  </si>
  <si>
    <t xml:space="preserve">تسعمائة وستة آلاف</t>
  </si>
  <si>
    <t xml:space="preserve">تسعمائة وستة ملايين</t>
  </si>
  <si>
    <t xml:space="preserve">تسعمائة وستة هللات</t>
  </si>
  <si>
    <t xml:space="preserve">تسعمائة وسبعة</t>
  </si>
  <si>
    <t xml:space="preserve">تسعمائة وسبعة آلاف</t>
  </si>
  <si>
    <t xml:space="preserve">تسعمائة وسبعة ملايين</t>
  </si>
  <si>
    <t xml:space="preserve">تسعمائة وسبعة هللات</t>
  </si>
  <si>
    <t xml:space="preserve">تسعمائة وثمانية</t>
  </si>
  <si>
    <t xml:space="preserve">تسعمائة وثمانية آلاف</t>
  </si>
  <si>
    <t xml:space="preserve">تسعمائة وثمانية ملايين</t>
  </si>
  <si>
    <t xml:space="preserve">تسعمائة وثمانية هللات</t>
  </si>
  <si>
    <t xml:space="preserve">تسعمائة وتسعة</t>
  </si>
  <si>
    <t xml:space="preserve">تسعمائة وتسعة آلاف</t>
  </si>
  <si>
    <t xml:space="preserve">تسعمائة وتسعة ملايين</t>
  </si>
  <si>
    <t xml:space="preserve">تسعمائة وتسعة هللات</t>
  </si>
  <si>
    <t xml:space="preserve">تسعمائة وعشرة</t>
  </si>
  <si>
    <t xml:space="preserve">تسعمائة وعشرة آلاف</t>
  </si>
  <si>
    <t xml:space="preserve">تسعمائة وعشرة ملايين</t>
  </si>
  <si>
    <t xml:space="preserve">تسعمائة وعشرة هللات</t>
  </si>
  <si>
    <t xml:space="preserve">تسعمائة وأحد عشر</t>
  </si>
  <si>
    <t xml:space="preserve">تسعمائة وأحد عشر ألفاً</t>
  </si>
  <si>
    <t xml:space="preserve">تسعمائة وأحد عشر مليوناً</t>
  </si>
  <si>
    <t xml:space="preserve">تسعمائة وأحد عشر هللة</t>
  </si>
  <si>
    <t xml:space="preserve">تسعمائة واثنا عشر</t>
  </si>
  <si>
    <t xml:space="preserve">تسعمائة واثنا عشر ألفاً</t>
  </si>
  <si>
    <t xml:space="preserve">تسعمائة واثنا عشر مليوناً</t>
  </si>
  <si>
    <t xml:space="preserve">تسعمائة واثنا عشر هللة</t>
  </si>
  <si>
    <t xml:space="preserve">تسعمائة وثلاثة عشر</t>
  </si>
  <si>
    <t xml:space="preserve">تسعمائة وثلاثة عشر ألفاً</t>
  </si>
  <si>
    <t xml:space="preserve">تسعمائة وثلاثة عشر مليوناً</t>
  </si>
  <si>
    <t xml:space="preserve">تسعمائة وثلاثة عشر هللة</t>
  </si>
  <si>
    <t xml:space="preserve">تسعمائة وأربعة عشر</t>
  </si>
  <si>
    <t xml:space="preserve">تسعمائة وأربعة عشر ألفاً</t>
  </si>
  <si>
    <t xml:space="preserve">تسعمائة وأربعة عشر مليوناً</t>
  </si>
  <si>
    <t xml:space="preserve">تسعمائة وأربعة عشر هللة</t>
  </si>
  <si>
    <t xml:space="preserve">تسعمائة وخمسة عشر</t>
  </si>
  <si>
    <t xml:space="preserve">تسعمائة وخمسة عشر ألفاً</t>
  </si>
  <si>
    <t xml:space="preserve">تسعمائة وخمسة عشر مليوناً</t>
  </si>
  <si>
    <t xml:space="preserve">تسعمائة وخمسة عشر هللة</t>
  </si>
  <si>
    <t xml:space="preserve">تسعمائة وستة عشر</t>
  </si>
  <si>
    <t xml:space="preserve">تسعمائة وستة عشر ألفاً</t>
  </si>
  <si>
    <t xml:space="preserve">تسعمائة وستة عشر مليوناً</t>
  </si>
  <si>
    <t xml:space="preserve">تسعمائة وستة عشر هللة</t>
  </si>
  <si>
    <t xml:space="preserve">تسعمائة وسبعة عشر</t>
  </si>
  <si>
    <t xml:space="preserve">تسعمائة وسبعة عشر ألفاً</t>
  </si>
  <si>
    <t xml:space="preserve">تسعمائة وسبعة عشر مليوناً</t>
  </si>
  <si>
    <t xml:space="preserve">تسعمائة وسبعة عشر هللة</t>
  </si>
  <si>
    <t xml:space="preserve">تسعمائة وثمانية عشر</t>
  </si>
  <si>
    <t xml:space="preserve">تسعمائة وثمانية عشر ألفاً</t>
  </si>
  <si>
    <t xml:space="preserve">تسعمائة وثمانية عشر مليوناً</t>
  </si>
  <si>
    <t xml:space="preserve">تسعمائة وثمانية عشر هللة</t>
  </si>
  <si>
    <t xml:space="preserve">تسعمائة وتسعة عشر</t>
  </si>
  <si>
    <t xml:space="preserve">تسعمائة وتسعة عشر ألفاً</t>
  </si>
  <si>
    <t xml:space="preserve">تسعمائة وتسعة عشر مليوناً</t>
  </si>
  <si>
    <t xml:space="preserve">تسعمائة وتسعة عشر هللة</t>
  </si>
  <si>
    <t xml:space="preserve">تسعمائة وعشرون</t>
  </si>
  <si>
    <t xml:space="preserve">تسعمائة وعشرون ألفاً</t>
  </si>
  <si>
    <t xml:space="preserve">تسعمائة وعشرون مليوناً</t>
  </si>
  <si>
    <t xml:space="preserve">تسعمائة وعشرون هللة</t>
  </si>
  <si>
    <t xml:space="preserve">تسعمائة وواحد وعشرون</t>
  </si>
  <si>
    <t xml:space="preserve">تسعمائة وواحد وعشرون ألفاً</t>
  </si>
  <si>
    <t xml:space="preserve">تسعمائة وواحد وعشرون مليوناً</t>
  </si>
  <si>
    <t xml:space="preserve">تسعمائة وواحد وعشرون هللة</t>
  </si>
  <si>
    <t xml:space="preserve">تسعمائة واثنان وعشرون</t>
  </si>
  <si>
    <t xml:space="preserve">تسعمائة واثنان وعشرون ألفاً</t>
  </si>
  <si>
    <t xml:space="preserve">تسعمائة واثنان وعشرون مليوناً</t>
  </si>
  <si>
    <t xml:space="preserve">تسعمائة واثنان وعشرون هللة</t>
  </si>
  <si>
    <t xml:space="preserve">تسعمائة وثلاثة وعشرون</t>
  </si>
  <si>
    <t xml:space="preserve">تسعمائة وثلاثة وعشرون ألفاً</t>
  </si>
  <si>
    <t xml:space="preserve">تسعمائة وثلاثة وعشرون مليوناً</t>
  </si>
  <si>
    <t xml:space="preserve">تسعمائة وثلاثة وعشرون هللة</t>
  </si>
  <si>
    <t xml:space="preserve">تسعمائة وأربعة وعشرون</t>
  </si>
  <si>
    <t xml:space="preserve">تسعمائة وأربعة وعشرون ألفاً</t>
  </si>
  <si>
    <t xml:space="preserve">تسعمائة وأربعة وعشرون مليوناً</t>
  </si>
  <si>
    <t xml:space="preserve">تسعمائة وأربعة وعشرون هللة</t>
  </si>
  <si>
    <t xml:space="preserve">تسعمائة وخمسة وعشرون</t>
  </si>
  <si>
    <t xml:space="preserve">تسعمائة وخمسة وعشرون ألفاً</t>
  </si>
  <si>
    <t xml:space="preserve">تسعمائة وخمسة وعشرون مليوناً</t>
  </si>
  <si>
    <t xml:space="preserve">تسعمائة وخمسة وعشرون هللة</t>
  </si>
  <si>
    <t xml:space="preserve">تسعمائة وستة وعشرون</t>
  </si>
  <si>
    <t xml:space="preserve">تسعمائة وستة وعشرون ألفاً</t>
  </si>
  <si>
    <t xml:space="preserve">تسعمائة وستة وعشرون مليوناً</t>
  </si>
  <si>
    <t xml:space="preserve">تسعمائة وستة وعشرون هللة</t>
  </si>
  <si>
    <t xml:space="preserve">تسعمائة وسبعة وعشرون</t>
  </si>
  <si>
    <t xml:space="preserve">تسعمائة وسبعة وعشرون ألفاً</t>
  </si>
  <si>
    <t xml:space="preserve">تسعمائة وسبعة وعشرون مليوناً</t>
  </si>
  <si>
    <t xml:space="preserve">تسعمائة وسبعة وعشرون هللة</t>
  </si>
  <si>
    <t xml:space="preserve">تسعمائة وثمانية وعشرون</t>
  </si>
  <si>
    <t xml:space="preserve">تسعمائة وثمانية وعشرون ألفاً</t>
  </si>
  <si>
    <t xml:space="preserve">تسعمائة وثمانية وعشرون مليوناً</t>
  </si>
  <si>
    <t xml:space="preserve">تسعمائة وثمانية وعشرون هللة</t>
  </si>
  <si>
    <t xml:space="preserve">تسعمائة وتسعة وعشرون</t>
  </si>
  <si>
    <t xml:space="preserve">تسعمائة وتسعة وعشرون ألفاً</t>
  </si>
  <si>
    <t xml:space="preserve">تسعمائة وتسعة وعشرون مليوناً</t>
  </si>
  <si>
    <t xml:space="preserve">تسعمائة وتسعة وعشرون هللة</t>
  </si>
  <si>
    <t xml:space="preserve">تسعمائة وثلاثون</t>
  </si>
  <si>
    <t xml:space="preserve">تسعمائة وثلاثون ألفاً</t>
  </si>
  <si>
    <t xml:space="preserve">تسعمائة وثلاثون مليوناً</t>
  </si>
  <si>
    <t xml:space="preserve">تسعمائة وثلاثون هللة</t>
  </si>
  <si>
    <t xml:space="preserve">تسعمائة وواحد وثلاثون</t>
  </si>
  <si>
    <t xml:space="preserve">تسعمائة وواحد وثلاثون ألفاً</t>
  </si>
  <si>
    <t xml:space="preserve">تسعمائة وواحد وثلاثون مليوناً</t>
  </si>
  <si>
    <t xml:space="preserve">تسعمائة وواحد وثلاثون هللة</t>
  </si>
  <si>
    <t xml:space="preserve">تسعمائة واثنان وثلاثون</t>
  </si>
  <si>
    <t xml:space="preserve">تسعمائة واثنان وثلاثون ألفاً</t>
  </si>
  <si>
    <t xml:space="preserve">تسعمائة واثنان وثلاثون مليوناً</t>
  </si>
  <si>
    <t xml:space="preserve">تسعمائة واثنان وثلاثون هللة</t>
  </si>
  <si>
    <t xml:space="preserve">تسعمائة وثلاثة وثلاثون</t>
  </si>
  <si>
    <t xml:space="preserve">تسعمائة وثلاثة وثلاثون ألفاً</t>
  </si>
  <si>
    <t xml:space="preserve">تسعمائة وثلاثة وثلاثون مليوناً</t>
  </si>
  <si>
    <t xml:space="preserve">تسعمائة وثلاثة وثلاثون هللة</t>
  </si>
  <si>
    <t xml:space="preserve">تسعمائة وأربعة وثلاثون</t>
  </si>
  <si>
    <t xml:space="preserve">تسعمائة وأربعة وثلاثون ألفاً</t>
  </si>
  <si>
    <t xml:space="preserve">تسعمائة وأربعة وثلاثون مليوناً</t>
  </si>
  <si>
    <t xml:space="preserve">تسعمائة وأربعة وثلاثون هللة</t>
  </si>
  <si>
    <t xml:space="preserve">تسعمائة وخمسة وثلاثون</t>
  </si>
  <si>
    <t xml:space="preserve">تسعمائة وخمسة وثلاثون ألفاً</t>
  </si>
  <si>
    <t xml:space="preserve">تسعمائة وخمسة وثلاثون مليوناً</t>
  </si>
  <si>
    <t xml:space="preserve">تسعمائة وخمسة وثلاثون هللة</t>
  </si>
  <si>
    <t xml:space="preserve">تسعمائة وستة وثلاثون</t>
  </si>
  <si>
    <t xml:space="preserve">تسعمائة وستة وثلاثون ألفاً</t>
  </si>
  <si>
    <t xml:space="preserve">تسعمائة وستة وثلاثون مليوناً</t>
  </si>
  <si>
    <t xml:space="preserve">تسعمائة وستة وثلاثون هللة</t>
  </si>
  <si>
    <t xml:space="preserve">تسعمائة وسبعة وثلاثون</t>
  </si>
  <si>
    <t xml:space="preserve">تسعمائة وسبعة وثلاثون ألفاً</t>
  </si>
  <si>
    <t xml:space="preserve">تسعمائة وسبعة وثلاثون مليوناً</t>
  </si>
  <si>
    <t xml:space="preserve">تسعمائة وسبعة وثلاثون هللة</t>
  </si>
  <si>
    <t xml:space="preserve">تسعمائة وثمانية وثلاثون</t>
  </si>
  <si>
    <t xml:space="preserve">تسعمائة وثمانية وثلاثون ألفاً</t>
  </si>
  <si>
    <t xml:space="preserve">تسعمائة وثمانية وثلاثون مليوناً</t>
  </si>
  <si>
    <t xml:space="preserve">تسعمائة وثمانية وثلاثون هللة</t>
  </si>
  <si>
    <t xml:space="preserve">تسعمائة وتسعة وثلاثون</t>
  </si>
  <si>
    <t xml:space="preserve">تسعمائة وتسعة وثلاثون ألفاً</t>
  </si>
  <si>
    <t xml:space="preserve">تسعمائة وتسعة وثلاثون مليوناً</t>
  </si>
  <si>
    <t xml:space="preserve">تسعمائة وتسعة وثلاثون هللة</t>
  </si>
  <si>
    <t xml:space="preserve">تسعمائة وأربعون</t>
  </si>
  <si>
    <t xml:space="preserve">تسعمائة وأربعون ألفاً</t>
  </si>
  <si>
    <t xml:space="preserve">تسعمائة وأربعون مليوناً</t>
  </si>
  <si>
    <t xml:space="preserve">تسعمائة وأربعون هللة</t>
  </si>
  <si>
    <t xml:space="preserve">تسعمائة وواحد وأربعون</t>
  </si>
  <si>
    <t xml:space="preserve">تسعمائة وواحد وأربعون ألفاً</t>
  </si>
  <si>
    <t xml:space="preserve">تسعمائة وواحد وأربعون مليوناً</t>
  </si>
  <si>
    <t xml:space="preserve">تسعمائة وواحد وأربعون هللة</t>
  </si>
  <si>
    <t xml:space="preserve">تسعمائة واثنان وأربعون</t>
  </si>
  <si>
    <t xml:space="preserve">تسعمائة واثنان وأربعون ألفاً</t>
  </si>
  <si>
    <t xml:space="preserve">تسعمائة واثنان وأربعون مليوناً</t>
  </si>
  <si>
    <t xml:space="preserve">تسعمائة واثنان وأربعون هللة</t>
  </si>
  <si>
    <t xml:space="preserve">تسعمائة وثلاثة وأربعون</t>
  </si>
  <si>
    <t xml:space="preserve">تسعمائة وثلاثة وأربعون ألفاً</t>
  </si>
  <si>
    <t xml:space="preserve">تسعمائة وثلاثة وأربعون مليوناً</t>
  </si>
  <si>
    <t xml:space="preserve">تسعمائة وثلاثة وأربعون هللة</t>
  </si>
  <si>
    <t xml:space="preserve">تسعمائة وأربعة وأربعون</t>
  </si>
  <si>
    <t xml:space="preserve">تسعمائة وأربعة وأربعون ألفاً</t>
  </si>
  <si>
    <t xml:space="preserve">تسعمائة وأربعة وأربعون مليوناً</t>
  </si>
  <si>
    <t xml:space="preserve">تسعمائة وأربعة وأربعون هللة</t>
  </si>
  <si>
    <t xml:space="preserve">تسعمائة وخمسة وأربعون</t>
  </si>
  <si>
    <t xml:space="preserve">تسعمائة وخمسة وأربعون ألفاً</t>
  </si>
  <si>
    <t xml:space="preserve">تسعمائة وخمسة وأربعون مليوناً</t>
  </si>
  <si>
    <t xml:space="preserve">تسعمائة وخمسة وأربعون هللة</t>
  </si>
  <si>
    <t xml:space="preserve">تسعمائة وستة وأربعون</t>
  </si>
  <si>
    <t xml:space="preserve">تسعمائة وستة وأربعون ألفاً</t>
  </si>
  <si>
    <t xml:space="preserve">تسعمائة وستة وأربعون مليوناً</t>
  </si>
  <si>
    <t xml:space="preserve">تسعمائة وستة وأربعون هللة</t>
  </si>
  <si>
    <t xml:space="preserve">تسعمائة وسبعة وأربعون</t>
  </si>
  <si>
    <t xml:space="preserve">تسعمائة وسبعة وأربعون ألفاً</t>
  </si>
  <si>
    <t xml:space="preserve">تسعمائة وسبعة وأربعون مليوناً</t>
  </si>
  <si>
    <t xml:space="preserve">تسعمائة وسبعة وأربعون هللة</t>
  </si>
  <si>
    <t xml:space="preserve">تسعمائة وثمانية وأربعون</t>
  </si>
  <si>
    <t xml:space="preserve">تسعمائة وثمانية وأربعون ألفاً</t>
  </si>
  <si>
    <t xml:space="preserve">تسعمائة وثمانية وأربعون مليوناً</t>
  </si>
  <si>
    <t xml:space="preserve">تسعمائة وثمانية وأربعون هللة</t>
  </si>
  <si>
    <t xml:space="preserve">تسعمائة وتسعة وأربعون</t>
  </si>
  <si>
    <t xml:space="preserve">تسعمائة وتسعة وأربعون ألفاً</t>
  </si>
  <si>
    <t xml:space="preserve">تسعمائة وتسعة وأربعون مليوناً</t>
  </si>
  <si>
    <t xml:space="preserve">تسعمائة وتسعة وأربعون هللة</t>
  </si>
  <si>
    <t xml:space="preserve">تسعمائة وخمسون</t>
  </si>
  <si>
    <t xml:space="preserve">تسعمائة وخمسون ألفاً</t>
  </si>
  <si>
    <t xml:space="preserve">تسعمائة وخمسون مليوناً</t>
  </si>
  <si>
    <t xml:space="preserve">تسعمائة وخمسون هللة</t>
  </si>
  <si>
    <t xml:space="preserve">تسعمائة وواحد وخمسون</t>
  </si>
  <si>
    <t xml:space="preserve">تسعمائة وواحد وخمسون ألفاً</t>
  </si>
  <si>
    <t xml:space="preserve">تسعمائة وواحد وخمسون مليوناً</t>
  </si>
  <si>
    <t xml:space="preserve">تسعمائة وواحد وخمسون هللة</t>
  </si>
  <si>
    <t xml:space="preserve">تسعمائة واثنان وخمسون</t>
  </si>
  <si>
    <t xml:space="preserve">تسعمائة واثنان وخمسون ألفاً</t>
  </si>
  <si>
    <t xml:space="preserve">تسعمائة واثنان وخمسون مليوناً</t>
  </si>
  <si>
    <t xml:space="preserve">تسعمائة واثنان وخمسون هللة</t>
  </si>
  <si>
    <t xml:space="preserve">تسعمائة وثلاثة وخمسون</t>
  </si>
  <si>
    <t xml:space="preserve">تسعمائة وثلاثة وخمسون ألفاً</t>
  </si>
  <si>
    <t xml:space="preserve">تسعمائة وثلاثة وخمسون مليوناً</t>
  </si>
  <si>
    <t xml:space="preserve">تسعمائة وثلاثة وخمسون هللة</t>
  </si>
  <si>
    <t xml:space="preserve">تسعمائة وأربعة وخمسون</t>
  </si>
  <si>
    <t xml:space="preserve">تسعمائة وأربعة وخمسون ألفاً</t>
  </si>
  <si>
    <t xml:space="preserve">تسعمائة وأربعة وخمسون مليوناً</t>
  </si>
  <si>
    <t xml:space="preserve">تسعمائة وأربعة وخمسون هللة</t>
  </si>
  <si>
    <t xml:space="preserve">تسعمائة وخمسة وخمسون</t>
  </si>
  <si>
    <t xml:space="preserve">تسعمائة وخمسة وخمسون ألفاً</t>
  </si>
  <si>
    <t xml:space="preserve">تسعمائة وخمسة وخمسون مليوناً</t>
  </si>
  <si>
    <t xml:space="preserve">تسعمائة وخمسة وخمسون هللة</t>
  </si>
  <si>
    <t xml:space="preserve">تسعمائة وستة وخمسون</t>
  </si>
  <si>
    <t xml:space="preserve">تسعمائة وستة وخمسون ألفاً</t>
  </si>
  <si>
    <t xml:space="preserve">تسعمائة وستة وخمسون مليوناً</t>
  </si>
  <si>
    <t xml:space="preserve">تسعمائة وستة وخمسون هللة</t>
  </si>
  <si>
    <t xml:space="preserve">تسعمائة وسبعة وخمسون</t>
  </si>
  <si>
    <t xml:space="preserve">تسعمائة وسبعة وخمسون ألفاً</t>
  </si>
  <si>
    <t xml:space="preserve">تسعمائة وسبعة وخمسون مليوناً</t>
  </si>
  <si>
    <t xml:space="preserve">تسعمائة وسبعة وخمسون هللة</t>
  </si>
  <si>
    <t xml:space="preserve">تسعمائة وثمانية وخمسون</t>
  </si>
  <si>
    <t xml:space="preserve">تسعمائة وثمانية وخمسون ألفاً</t>
  </si>
  <si>
    <t xml:space="preserve">تسعمائة وثمانية وخمسون مليوناً</t>
  </si>
  <si>
    <t xml:space="preserve">تسعمائة وثمانية وخمسون هللة</t>
  </si>
  <si>
    <t xml:space="preserve">تسعمائة وتسعة وخمسون</t>
  </si>
  <si>
    <t xml:space="preserve">تسعمائة وتسعة وخمسون ألفاً</t>
  </si>
  <si>
    <t xml:space="preserve">تسعمائة وتسعة وخمسون مليوناً</t>
  </si>
  <si>
    <t xml:space="preserve">تسعمائة وتسعة وخمسون هللة</t>
  </si>
  <si>
    <t xml:space="preserve">تسعمائة وستون</t>
  </si>
  <si>
    <t xml:space="preserve">تسعمائة وستون ألفاً</t>
  </si>
  <si>
    <t xml:space="preserve">تسعمائة وستون مليوناً</t>
  </si>
  <si>
    <t xml:space="preserve">تسعمائة وستون هللة</t>
  </si>
  <si>
    <t xml:space="preserve">تسعمائة وواحد وستون</t>
  </si>
  <si>
    <t xml:space="preserve">تسعمائة وواحد وستون ألفاً</t>
  </si>
  <si>
    <t xml:space="preserve">تسعمائة وواحد وستون مليوناً</t>
  </si>
  <si>
    <t xml:space="preserve">تسعمائة وواحد وستون هللة</t>
  </si>
  <si>
    <t xml:space="preserve">تسعمائة واثنان وستون</t>
  </si>
  <si>
    <t xml:space="preserve">تسعمائة واثنان وستون ألفاً</t>
  </si>
  <si>
    <t xml:space="preserve">تسعمائة واثنان وستون مليوناً</t>
  </si>
  <si>
    <t xml:space="preserve">تسعمائة واثنان وستون هللة</t>
  </si>
  <si>
    <t xml:space="preserve">تسعمائة وثلاثة وستون</t>
  </si>
  <si>
    <t xml:space="preserve">تسعمائة وثلاثة وستون ألفاً</t>
  </si>
  <si>
    <t xml:space="preserve">تسعمائة وثلاثة وستون مليوناً</t>
  </si>
  <si>
    <t xml:space="preserve">تسعمائة وثلاثة وستون هللة</t>
  </si>
  <si>
    <t xml:space="preserve">تسعمائة وأربعة وستون</t>
  </si>
  <si>
    <t xml:space="preserve">تسعمائة وأربعة وستون ألفاً</t>
  </si>
  <si>
    <t xml:space="preserve">تسعمائة وأربعة وستون مليوناً</t>
  </si>
  <si>
    <t xml:space="preserve">تسعمائة وأربعة وستون هللة</t>
  </si>
  <si>
    <t xml:space="preserve">تسعمائة وخمسة وستون</t>
  </si>
  <si>
    <t xml:space="preserve">تسعمائة وخمسة وستون ألفاً</t>
  </si>
  <si>
    <t xml:space="preserve">تسعمائة وخمسة وستون مليوناً</t>
  </si>
  <si>
    <t xml:space="preserve">تسعمائة وخمسة وستون هللة</t>
  </si>
  <si>
    <t xml:space="preserve">تسعمائة وستة وستون</t>
  </si>
  <si>
    <t xml:space="preserve">تسعمائة وستة وستون ألفاً</t>
  </si>
  <si>
    <t xml:space="preserve">تسعمائة وستة وستون مليوناً</t>
  </si>
  <si>
    <t xml:space="preserve">تسعمائة وستة وستون هللة</t>
  </si>
  <si>
    <t xml:space="preserve">تسعمائة وسبعة وستون</t>
  </si>
  <si>
    <t xml:space="preserve">تسعمائة وسبعة وستون ألفاً</t>
  </si>
  <si>
    <t xml:space="preserve">تسعمائة وسبعة وستون مليوناً</t>
  </si>
  <si>
    <t xml:space="preserve">تسعمائة وسبعة وستون هللة</t>
  </si>
  <si>
    <t xml:space="preserve">تسعمائة وثمانية وستون</t>
  </si>
  <si>
    <t xml:space="preserve">تسعمائة وثمانية وستون ألفاً</t>
  </si>
  <si>
    <t xml:space="preserve">تسعمائة وثمانية وستون مليوناً</t>
  </si>
  <si>
    <t xml:space="preserve">تسعمائة وثمانية وستون هللة</t>
  </si>
  <si>
    <t xml:space="preserve">تسعمائة وتسعة وستون</t>
  </si>
  <si>
    <t xml:space="preserve">تسعمائة وتسعة وستون ألفاً</t>
  </si>
  <si>
    <t xml:space="preserve">تسعمائة وتسعة وستون مليوناً</t>
  </si>
  <si>
    <t xml:space="preserve">تسعمائة وتسعة وستون هللة</t>
  </si>
  <si>
    <t xml:space="preserve">تسعمائة وسبعون</t>
  </si>
  <si>
    <t xml:space="preserve">تسعمائة وسبعون ألفاً</t>
  </si>
  <si>
    <t xml:space="preserve">تسعمائة وسبعون مليوناً</t>
  </si>
  <si>
    <t xml:space="preserve">تسعمائة وسبعون هللة</t>
  </si>
  <si>
    <t xml:space="preserve">تسعمائة وواحد وسبعون</t>
  </si>
  <si>
    <t xml:space="preserve">تسعمائة وواحد وسبعون ألفاً</t>
  </si>
  <si>
    <t xml:space="preserve">تسعمائة وواحد وسبعون مليوناً</t>
  </si>
  <si>
    <t xml:space="preserve">تسعمائة وواحد وسبعون هللة</t>
  </si>
  <si>
    <t xml:space="preserve">تسعمائة واثنان وسبعون</t>
  </si>
  <si>
    <t xml:space="preserve">تسعمائة واثنان وسبعون ألفاً</t>
  </si>
  <si>
    <t xml:space="preserve">تسعمائة واثنان وسبعون مليوناً</t>
  </si>
  <si>
    <t xml:space="preserve">تسعمائة واثنان وسبعون هللة</t>
  </si>
  <si>
    <t xml:space="preserve">تسعمائة وثلاثة وسبعون</t>
  </si>
  <si>
    <t xml:space="preserve">تسعمائة وثلاثة وسبعون ألفاً</t>
  </si>
  <si>
    <t xml:space="preserve">تسعمائة وثلاثة وسبعون مليوناً</t>
  </si>
  <si>
    <t xml:space="preserve">تسعمائة وثلاثة وسبعون هللة</t>
  </si>
  <si>
    <t xml:space="preserve">تسعمائة وأربعة وسبعون</t>
  </si>
  <si>
    <t xml:space="preserve">تسعمائة وأربعة وسبعون ألفاً</t>
  </si>
  <si>
    <t xml:space="preserve">تسعمائة وأربعة وسبعون مليوناً</t>
  </si>
  <si>
    <t xml:space="preserve">تسعمائة وأربعة وسبعون هللة</t>
  </si>
  <si>
    <t xml:space="preserve">تسعمائة وخمسة وسبعون</t>
  </si>
  <si>
    <t xml:space="preserve">تسعمائة وخمسة وسبعون ألفاً</t>
  </si>
  <si>
    <t xml:space="preserve">تسعمائة وخمسة وسبعون مليوناً</t>
  </si>
  <si>
    <t xml:space="preserve">تسعمائة وخمسة وسبعون هللة</t>
  </si>
  <si>
    <t xml:space="preserve">تسعمائة وستة وسبعون</t>
  </si>
  <si>
    <t xml:space="preserve">تسعمائة وستة وسبعون ألفاً</t>
  </si>
  <si>
    <t xml:space="preserve">تسعمائة وستة وسبعون مليوناً</t>
  </si>
  <si>
    <t xml:space="preserve">تسعمائة وستة وسبعون هللة</t>
  </si>
  <si>
    <t xml:space="preserve">تسعمائة وسبعة وسبعون</t>
  </si>
  <si>
    <t xml:space="preserve">تسعمائة وسبعة وسبعون ألفاً</t>
  </si>
  <si>
    <t xml:space="preserve">تسعمائة وسبعة وسبعون مليوناً</t>
  </si>
  <si>
    <t xml:space="preserve">تسعمائة وسبعة وسبعون هللة</t>
  </si>
  <si>
    <t xml:space="preserve">تسعمائة وثمانية وسبعون</t>
  </si>
  <si>
    <t xml:space="preserve">تسعمائة وثمانية وسبعون ألفاً</t>
  </si>
  <si>
    <t xml:space="preserve">تسعمائة وثمانية وسبعون مليوناً</t>
  </si>
  <si>
    <t xml:space="preserve">تسعمائة وثمانية وسبعون هللة</t>
  </si>
  <si>
    <t xml:space="preserve">تسعمائة وتسعة وسبعون</t>
  </si>
  <si>
    <t xml:space="preserve">تسعمائة وتسعة وسبعون ألفاً</t>
  </si>
  <si>
    <t xml:space="preserve">تسعمائة وتسعة وسبعون مليوناً</t>
  </si>
  <si>
    <t xml:space="preserve">تسعمائة وتسعة وسبعون هللة</t>
  </si>
  <si>
    <t xml:space="preserve">تسعمائة وثمانون</t>
  </si>
  <si>
    <t xml:space="preserve">تسعمائة وثمانون ألفاً</t>
  </si>
  <si>
    <t xml:space="preserve">تسعمائة وثمانون مليوناً</t>
  </si>
  <si>
    <t xml:space="preserve">تسعمائة وثمانون هللة</t>
  </si>
  <si>
    <t xml:space="preserve">تسعمائة وواحد وثمانون</t>
  </si>
  <si>
    <t xml:space="preserve">تسعمائة وواحد وثمانون ألفاً</t>
  </si>
  <si>
    <t xml:space="preserve">تسعمائة وواحد وثمانون مليوناً</t>
  </si>
  <si>
    <t xml:space="preserve">تسعمائة وواحد وثمانون هللة</t>
  </si>
  <si>
    <t xml:space="preserve">تسعمائة واثنان وثمانون</t>
  </si>
  <si>
    <t xml:space="preserve">تسعمائة واثنان وثمانون ألفاً</t>
  </si>
  <si>
    <t xml:space="preserve">تسعمائة واثنان وثمانون مليوناً</t>
  </si>
  <si>
    <t xml:space="preserve">تسعمائة واثنان وثمانون هللة</t>
  </si>
  <si>
    <t xml:space="preserve">تسعمائة وثلاثة وثمانون</t>
  </si>
  <si>
    <t xml:space="preserve">تسعمائة وثلاثة وثمانون ألفاً</t>
  </si>
  <si>
    <t xml:space="preserve">تسعمائة وثلاثة وثمانون مليوناً</t>
  </si>
  <si>
    <t xml:space="preserve">تسعمائة وثلاثة وثمانون هللة</t>
  </si>
  <si>
    <t xml:space="preserve">تسعمائة وأربعة وثمانون</t>
  </si>
  <si>
    <t xml:space="preserve">تسعمائة وأربعة وثمانون ألفاً</t>
  </si>
  <si>
    <t xml:space="preserve">تسعمائة وأربعة وثمانون مليوناً</t>
  </si>
  <si>
    <t xml:space="preserve">تسعمائة وأربعة وثمانون هللة</t>
  </si>
  <si>
    <t xml:space="preserve">تسعمائة وخمسة وثمانون</t>
  </si>
  <si>
    <t xml:space="preserve">تسعمائة وخمسة وثمانون ألفاً</t>
  </si>
  <si>
    <t xml:space="preserve">تسعمائة وخمسة وثمانون مليوناً</t>
  </si>
  <si>
    <t xml:space="preserve">تسعمائة وخمسة وثمانون هللة</t>
  </si>
  <si>
    <t xml:space="preserve">تسعمائة وستة وثمانون</t>
  </si>
  <si>
    <t xml:space="preserve">تسعمائة وستة وثمانون ألفاً</t>
  </si>
  <si>
    <t xml:space="preserve">تسعمائة وستة وثمانون مليوناً</t>
  </si>
  <si>
    <t xml:space="preserve">تسعمائة وستة وثمانون هللة</t>
  </si>
  <si>
    <t xml:space="preserve">تسعمائة وسبعة وثمانون</t>
  </si>
  <si>
    <t xml:space="preserve">تسعمائة وسبعة وثمانون ألفاً</t>
  </si>
  <si>
    <t xml:space="preserve">تسعمائة وسبعة وثمانون مليوناً</t>
  </si>
  <si>
    <t xml:space="preserve">تسعمائة وسبعة وثمانون هللة</t>
  </si>
  <si>
    <t xml:space="preserve">تسعمائة وثمانية وثمانون</t>
  </si>
  <si>
    <t xml:space="preserve">تسعمائة وثمانية وثمانون ألفاً</t>
  </si>
  <si>
    <t xml:space="preserve">تسعمائة وثمانية وثمانون مليوناً</t>
  </si>
  <si>
    <t xml:space="preserve">تسعمائة وثمانية وثمانون هللة</t>
  </si>
  <si>
    <t xml:space="preserve">تسعمائة وتسعة وثمانون</t>
  </si>
  <si>
    <t xml:space="preserve">تسعمائة وتسعة وثمانون ألفاً</t>
  </si>
  <si>
    <t xml:space="preserve">تسعمائة وتسعة وثمانون مليوناً</t>
  </si>
  <si>
    <t xml:space="preserve">تسعمائة وتسعة وثمانون هللة</t>
  </si>
  <si>
    <t xml:space="preserve">تسعمائة وتسعون</t>
  </si>
  <si>
    <t xml:space="preserve">تسعمائة وتسعون ألفاً</t>
  </si>
  <si>
    <t xml:space="preserve">تسعمائة وتسعون مليوناً</t>
  </si>
  <si>
    <t xml:space="preserve">تسعمائة وتسعون هللة</t>
  </si>
  <si>
    <t xml:space="preserve">تسعمائة وواحد وتسعون</t>
  </si>
  <si>
    <t xml:space="preserve">تسعمائة وواحد وتسعون ألفاً</t>
  </si>
  <si>
    <t xml:space="preserve">تسعمائة وواحد وتسعون مليوناً</t>
  </si>
  <si>
    <t xml:space="preserve">تسعمائة وواحد وتسعون هللة</t>
  </si>
  <si>
    <t xml:space="preserve">تسعمائة واثنان وتسعون</t>
  </si>
  <si>
    <t xml:space="preserve">تسعمائة واثنان وتسعون ألفاً</t>
  </si>
  <si>
    <t xml:space="preserve">تسعمائة واثنان وتسعون مليوناً</t>
  </si>
  <si>
    <t xml:space="preserve">تسعمائة واثنان وتسعون هللة</t>
  </si>
  <si>
    <t xml:space="preserve">تسعمائة وثلاثة وتسعون</t>
  </si>
  <si>
    <t xml:space="preserve">تسعمائة وثلاثة وتسعون ألفاً</t>
  </si>
  <si>
    <t xml:space="preserve">تسعمائة وثلاثة وتسعون مليوناً</t>
  </si>
  <si>
    <t xml:space="preserve">تسعمائة وثلاثة وتسعون هللة</t>
  </si>
  <si>
    <t xml:space="preserve">تسعمائة وأربعة وتسعون</t>
  </si>
  <si>
    <t xml:space="preserve">تسعمائة وأربعة وتسعون ألفاً</t>
  </si>
  <si>
    <t xml:space="preserve">تسعمائة وأربعة وتسعون مليوناً</t>
  </si>
  <si>
    <t xml:space="preserve">تسعمائة وأربعة وتسعون هللة</t>
  </si>
  <si>
    <t xml:space="preserve">تسعمائة وخمسة وتسعون</t>
  </si>
  <si>
    <t xml:space="preserve">تسعمائة وخمسة وتسعون ألفاً</t>
  </si>
  <si>
    <t xml:space="preserve">تسعمائة وخمسة وتسعون مليوناً</t>
  </si>
  <si>
    <t xml:space="preserve">تسعمائة وخمسة وتسعون هللة</t>
  </si>
  <si>
    <t xml:space="preserve">تسعمائة وستة وتسعون</t>
  </si>
  <si>
    <t xml:space="preserve">تسعمائة وستة وتسعون ألفاً</t>
  </si>
  <si>
    <t xml:space="preserve">تسعمائة وستة وتسعون مليوناً</t>
  </si>
  <si>
    <t xml:space="preserve">تسعمائة وستة وتسعون هللة</t>
  </si>
  <si>
    <t xml:space="preserve">تسعمائة وسبعة وتسعون</t>
  </si>
  <si>
    <t xml:space="preserve">تسعمائة وسبعة وتسعون ألفاً</t>
  </si>
  <si>
    <t xml:space="preserve">تسعمائة وسبعة وتسعون مليوناً</t>
  </si>
  <si>
    <t xml:space="preserve">تسعمائة وسبعة وتسعون هللة</t>
  </si>
  <si>
    <t xml:space="preserve">تسعمائة وثمانية وتسعون</t>
  </si>
  <si>
    <t xml:space="preserve">تسعمائة وثمانية وتسعون ألفاً</t>
  </si>
  <si>
    <t xml:space="preserve">تسعمائة وثمانية وتسعون مليوناً</t>
  </si>
  <si>
    <t xml:space="preserve">تسعمائة وثمانية وتسعون هللة</t>
  </si>
  <si>
    <t xml:space="preserve">تسعمائة وتسعة وتسعون</t>
  </si>
  <si>
    <t xml:space="preserve">تسعمائة وتسعة وتسعون ألفاً</t>
  </si>
  <si>
    <t xml:space="preserve">تسعمائة وتسعة وتسعون مليوناً</t>
  </si>
  <si>
    <t xml:space="preserve">تسعمائة وتسعة وتسعون هللة</t>
  </si>
  <si>
    <t xml:space="preserve">الماكرو مفعّل؟</t>
  </si>
  <si>
    <t xml:space="preserve">(يصبح 1 تلقائياً عند فتح الملف مع تفعيل الماكرو)</t>
  </si>
  <si>
    <t xml:space="preserve">MSG_TITLE</t>
  </si>
  <si>
    <t xml:space="preserve">أوامر الدفع</t>
  </si>
  <si>
    <t xml:space="preserve">MSG_NEW</t>
  </si>
  <si>
    <t xml:space="preserve">🆕 سند جديد جاهز — املأ البيانات ثم اضغط «حفظ + سند جديد».  الرقم: </t>
  </si>
  <si>
    <t xml:space="preserve">MSG_SAVED</t>
  </si>
  <si>
    <t xml:space="preserve">✔ تم حفظ السند </t>
  </si>
  <si>
    <t xml:space="preserve">MSG_READY_NEW</t>
  </si>
  <si>
    <t xml:space="preserve">—  وجاهز لسند جديد رقم </t>
  </si>
  <si>
    <t xml:space="preserve">MSG_NEED_PAYEE</t>
  </si>
  <si>
    <t xml:space="preserve">✘ اكتب اسم المستفيد في خانة «ادفعوا لأمر»</t>
  </si>
  <si>
    <t xml:space="preserve">MSG_NEED_DATE</t>
  </si>
  <si>
    <t xml:space="preserve">✘ اكتب تاريخ السند بشكل صحيح (يوم/شهر/سنة)</t>
  </si>
  <si>
    <t xml:space="preserve">MSG_NEED_AMOUNT</t>
  </si>
  <si>
    <t xml:space="preserve">✘ أدخل مبلغاً واحداً على الأقل في خانة «مدين» بجدول البنود</t>
  </si>
  <si>
    <t xml:space="preserve">MSG_NEED_FROM</t>
  </si>
  <si>
    <t xml:space="preserve">✘ اختر الحساب الذي يُصرف منه (خانة «يُصرف من»)</t>
  </si>
  <si>
    <t xml:space="preserve">MSG_UNBAL</t>
  </si>
  <si>
    <t xml:space="preserve">✘ السند غير متوازن: الدائن اليدوي أكبر من المدين — راجع المبالغ</t>
  </si>
  <si>
    <t xml:space="preserve">MSG_LINE_BOTH</t>
  </si>
  <si>
    <t xml:space="preserve">✘ بند فيه مدين ودائن معاً — اكتب واحداً فقط. السطر رقم </t>
  </si>
  <si>
    <t xml:space="preserve">MSG_LINE_DESC</t>
  </si>
  <si>
    <t xml:space="preserve">✘ اكتب البيان/الحساب للبند. السطر رقم </t>
  </si>
  <si>
    <t xml:space="preserve">MSG_LINE_NUM</t>
  </si>
  <si>
    <t xml:space="preserve">✘ مبلغ غير صحيح (يجب أن يكون رقماً موجباً). السطر رقم </t>
  </si>
  <si>
    <t xml:space="preserve">MSG_DUP_CHQ</t>
  </si>
  <si>
    <t xml:space="preserve">تنبيه: رقم الشيك/الحوالة مستخدم من قبل في السند </t>
  </si>
  <si>
    <t xml:space="preserve">MSG_CONTINUE</t>
  </si>
  <si>
    <t xml:space="preserve">هل تريد المتابعة والحفظ؟</t>
  </si>
  <si>
    <t xml:space="preserve">MSG_CONFIRM_EDIT</t>
  </si>
  <si>
    <t xml:space="preserve">سيتم تعديل السند المحفوظ واستبدال بياناته القديمة. متابعة؟
</t>
  </si>
  <si>
    <t xml:space="preserve">MSG_NOTFOUND</t>
  </si>
  <si>
    <t xml:space="preserve">✘ لا يوجد سند محفوظ بهذا الرقم</t>
  </si>
  <si>
    <t xml:space="preserve">MSG_LOADED</t>
  </si>
  <si>
    <t xml:space="preserve">📂 تم فتح السند </t>
  </si>
  <si>
    <t xml:space="preserve">MSG_NO_PREV</t>
  </si>
  <si>
    <t xml:space="preserve">لا يوجد سند سابق</t>
  </si>
  <si>
    <t xml:space="preserve">MSG_NO_NEXT</t>
  </si>
  <si>
    <t xml:space="preserve">لا يوجد سند تالٍ — اضغط «سند جديد» لإنشاء سند</t>
  </si>
  <si>
    <t xml:space="preserve">MSG_NOT_SAVED</t>
  </si>
  <si>
    <t xml:space="preserve">✘ هذا السند لم يُحفظ بعد — لا يوجد ما يُحذف</t>
  </si>
  <si>
    <t xml:space="preserve">MSG_CONFIRM_DEL</t>
  </si>
  <si>
    <t xml:space="preserve">هل تريد حذف السند نهائياً من السجل؟
</t>
  </si>
  <si>
    <t xml:space="preserve">MSG_DELETED</t>
  </si>
  <si>
    <t xml:space="preserve">🗑 تم حذف السند </t>
  </si>
  <si>
    <t xml:space="preserve">MSG_PDF</t>
  </si>
  <si>
    <t xml:space="preserve">📄 تم الحفظ وإنشاء ملف PDF: </t>
  </si>
  <si>
    <t xml:space="preserve">MSG_PRINTED</t>
  </si>
  <si>
    <t xml:space="preserve">🖨 تم الحفظ والإرسال للطابعة — السند </t>
  </si>
  <si>
    <t xml:space="preserve">MSG_DUP</t>
  </si>
  <si>
    <t xml:space="preserve">📋 تم نسخ البيانات كسند جديد (بتاريخ اليوم) — عدّل ثم احفظ. الرقم: </t>
  </si>
  <si>
    <t xml:space="preserve">MSG_ERR</t>
  </si>
  <si>
    <t xml:space="preserve">✘ خطأ غير متوقع في </t>
  </si>
  <si>
    <t xml:space="preserve">TXT_MANUAL</t>
  </si>
  <si>
    <t xml:space="preserve">TXT_AUTO</t>
  </si>
</sst>
</file>

<file path=xl/styles.xml><?xml version="1.0" encoding="utf-8"?>
<styleSheet xmlns="http://schemas.openxmlformats.org/spreadsheetml/2006/main">
  <numFmts count="10">
    <numFmt numFmtId="164" formatCode="General"/>
    <numFmt numFmtId="165" formatCode="General"/>
    <numFmt numFmtId="166" formatCode="dd/mm/yyyy"/>
    <numFmt numFmtId="167" formatCode="&quot;B2&quot;dd/mm/yyyy&quot;هـ&quot;"/>
    <numFmt numFmtId="168" formatCode="@"/>
    <numFmt numFmtId="169" formatCode="#,##0.00"/>
    <numFmt numFmtId="170" formatCode="0"/>
    <numFmt numFmtId="171" formatCode="#,##0.00;[RED]\(#,##0.00\);\-"/>
    <numFmt numFmtId="172" formatCode="dd/mm/yyyy\ hh:mm"/>
    <numFmt numFmtId="173" formatCode="0;\-0;\-"/>
  </numFmts>
  <fonts count="44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8"/>
      <color rgb="FF1F3A5F"/>
      <name val="Arial"/>
      <family val="0"/>
      <charset val="1"/>
    </font>
    <font>
      <b val="true"/>
      <i val="true"/>
      <sz val="10"/>
      <color rgb="FF5A6772"/>
      <name val="Arial"/>
      <family val="0"/>
      <charset val="1"/>
    </font>
    <font>
      <b val="true"/>
      <sz val="12"/>
      <color rgb="FFFFFFFF"/>
      <name val="Arial"/>
      <family val="0"/>
      <charset val="1"/>
    </font>
    <font>
      <sz val="9"/>
      <color rgb="FF5A6772"/>
      <name val="Arial"/>
      <family val="0"/>
      <charset val="1"/>
    </font>
    <font>
      <b val="true"/>
      <sz val="9"/>
      <color rgb="FF5A6772"/>
      <name val="Arial"/>
      <family val="0"/>
      <charset val="1"/>
    </font>
    <font>
      <b val="true"/>
      <sz val="16"/>
      <color rgb="FF000000"/>
      <name val="Arial"/>
      <family val="0"/>
      <charset val="1"/>
    </font>
    <font>
      <b val="true"/>
      <sz val="10"/>
      <color rgb="FFC62828"/>
      <name val="Arial"/>
      <family val="0"/>
      <charset val="1"/>
    </font>
    <font>
      <b val="true"/>
      <sz val="10"/>
      <color rgb="FFFFFFFF"/>
      <name val="Arial"/>
      <family val="0"/>
      <charset val="1"/>
    </font>
    <font>
      <b val="true"/>
      <sz val="13"/>
      <color rgb="FFC62828"/>
      <name val="Arial"/>
      <family val="0"/>
      <charset val="1"/>
    </font>
    <font>
      <b val="true"/>
      <sz val="13"/>
      <color rgb="FF000000"/>
      <name val="Arial"/>
      <family val="0"/>
      <charset val="1"/>
    </font>
    <font>
      <b val="true"/>
      <sz val="11"/>
      <color rgb="FF1F2933"/>
      <name val="Arial"/>
      <family val="0"/>
      <charset val="1"/>
    </font>
    <font>
      <b val="true"/>
      <sz val="10"/>
      <color rgb="FF1F2933"/>
      <name val="Arial"/>
      <family val="0"/>
      <charset val="1"/>
    </font>
    <font>
      <sz val="12"/>
      <color rgb="FF1A4FA0"/>
      <name val="Arial"/>
      <family val="0"/>
      <charset val="1"/>
    </font>
    <font>
      <sz val="11"/>
      <color rgb="FF1F2933"/>
      <name val="Arial"/>
      <family val="0"/>
      <charset val="1"/>
    </font>
    <font>
      <b val="true"/>
      <sz val="9"/>
      <color rgb="FF1F2933"/>
      <name val="Arial"/>
      <family val="0"/>
      <charset val="1"/>
    </font>
    <font>
      <sz val="11"/>
      <color rgb="FF1A4FA0"/>
      <name val="Arial"/>
      <family val="0"/>
      <charset val="1"/>
    </font>
    <font>
      <b val="true"/>
      <sz val="10"/>
      <color rgb="FF1F3A5F"/>
      <name val="Arial"/>
      <family val="0"/>
      <charset val="1"/>
    </font>
    <font>
      <b val="true"/>
      <sz val="10"/>
      <color rgb="FF2E7D32"/>
      <name val="Arial"/>
      <family val="0"/>
      <charset val="1"/>
    </font>
    <font>
      <b val="true"/>
      <sz val="11"/>
      <color rgb="FF1A4FA0"/>
      <name val="Arial"/>
      <family val="0"/>
      <charset val="1"/>
    </font>
    <font>
      <b val="true"/>
      <sz val="11"/>
      <color rgb="FF6A1B9A"/>
      <name val="Arial"/>
      <family val="0"/>
      <charset val="1"/>
    </font>
    <font>
      <b val="true"/>
      <sz val="9"/>
      <color rgb="FFC62828"/>
      <name val="Arial"/>
      <family val="0"/>
      <charset val="1"/>
    </font>
    <font>
      <sz val="8"/>
      <color rgb="FF5A6772"/>
      <name val="Arial"/>
      <family val="0"/>
      <charset val="1"/>
    </font>
    <font>
      <i val="true"/>
      <sz val="8"/>
      <color rgb="FF5A6772"/>
      <name val="Arial"/>
      <family val="0"/>
      <charset val="1"/>
    </font>
    <font>
      <b val="true"/>
      <sz val="16"/>
      <color rgb="FFFFFFFF"/>
      <name val="Arial"/>
      <family val="0"/>
      <charset val="1"/>
    </font>
    <font>
      <i val="true"/>
      <sz val="10"/>
      <color rgb="FFFFFFFF"/>
      <name val="Arial"/>
      <family val="0"/>
      <charset val="1"/>
    </font>
    <font>
      <sz val="10"/>
      <color rgb="FF1F2933"/>
      <name val="Arial"/>
      <family val="0"/>
      <charset val="1"/>
    </font>
    <font>
      <b val="true"/>
      <sz val="12"/>
      <color rgb="FF1A4FA0"/>
      <name val="Arial"/>
      <family val="0"/>
      <charset val="1"/>
    </font>
    <font>
      <b val="true"/>
      <sz val="16"/>
      <color rgb="FF1F3A5F"/>
      <name val="Arial"/>
      <family val="0"/>
      <charset val="1"/>
    </font>
    <font>
      <b val="true"/>
      <sz val="16"/>
      <color rgb="FF2E7D7A"/>
      <name val="Arial"/>
      <family val="0"/>
      <charset val="1"/>
    </font>
    <font>
      <b val="true"/>
      <sz val="16"/>
      <color rgb="FF9A6B00"/>
      <name val="Arial"/>
      <family val="0"/>
      <charset val="1"/>
    </font>
    <font>
      <b val="true"/>
      <sz val="16"/>
      <color rgb="FF6A1B9A"/>
      <name val="Arial"/>
      <family val="0"/>
      <charset val="1"/>
    </font>
    <font>
      <b val="true"/>
      <sz val="16"/>
      <color rgb="FFC62828"/>
      <name val="Arial"/>
      <family val="0"/>
      <charset val="1"/>
    </font>
    <font>
      <b val="true"/>
      <sz val="18"/>
      <color rgb="FF000000"/>
      <name val="FreeSans"/>
      <family val="2"/>
    </font>
    <font>
      <sz val="10"/>
      <color rgb="FF000000"/>
      <name val="Calibri"/>
      <family val="2"/>
    </font>
    <font>
      <sz val="10"/>
      <color rgb="FF1A4FA0"/>
      <name val="Arial"/>
      <family val="0"/>
      <charset val="1"/>
    </font>
    <font>
      <i val="true"/>
      <sz val="8"/>
      <color rgb="FFC62828"/>
      <name val="Arial"/>
      <family val="0"/>
      <charset val="1"/>
    </font>
    <font>
      <b val="true"/>
      <sz val="11"/>
      <color rgb="FFFFFFFF"/>
      <name val="Arial"/>
      <family val="0"/>
      <charset val="1"/>
    </font>
    <font>
      <b val="true"/>
      <sz val="11"/>
      <color rgb="FF2E7D7A"/>
      <name val="Arial"/>
      <family val="0"/>
      <charset val="1"/>
    </font>
    <font>
      <sz val="10"/>
      <name val="FreeSans"/>
      <family val="2"/>
    </font>
    <font>
      <sz val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1F3A5F"/>
        <bgColor rgb="FF1F2933"/>
      </patternFill>
    </fill>
    <fill>
      <patternFill patternType="solid">
        <fgColor rgb="FF2E7D32"/>
        <bgColor rgb="FF2E7D7A"/>
      </patternFill>
    </fill>
    <fill>
      <patternFill patternType="solid">
        <fgColor rgb="FF2E7D7A"/>
        <bgColor rgb="FF2E7D32"/>
      </patternFill>
    </fill>
    <fill>
      <patternFill patternType="solid">
        <fgColor rgb="FF2C5282"/>
        <bgColor rgb="FF1A4FA0"/>
      </patternFill>
    </fill>
    <fill>
      <patternFill patternType="solid">
        <fgColor rgb="FFFBF3E0"/>
        <bgColor rgb="FFFFF8E1"/>
      </patternFill>
    </fill>
    <fill>
      <patternFill patternType="solid">
        <fgColor rgb="FF9A6B00"/>
        <bgColor rgb="FFC0504D"/>
      </patternFill>
    </fill>
    <fill>
      <patternFill patternType="solid">
        <fgColor rgb="FFF5F8FB"/>
        <bgColor rgb="FFF9F9F9"/>
      </patternFill>
    </fill>
    <fill>
      <patternFill patternType="solid">
        <fgColor rgb="FFFFF8E1"/>
        <bgColor rgb="FFFBF3E0"/>
      </patternFill>
    </fill>
    <fill>
      <patternFill patternType="solid">
        <fgColor rgb="FFC62828"/>
        <bgColor rgb="FF993366"/>
      </patternFill>
    </fill>
    <fill>
      <patternFill patternType="solid">
        <fgColor rgb="FFF2F4F7"/>
        <bgColor rgb="FFF5F8FB"/>
      </patternFill>
    </fill>
    <fill>
      <patternFill patternType="solid">
        <fgColor rgb="FFE8F5E9"/>
        <bgColor rgb="FFF2F4F7"/>
      </patternFill>
    </fill>
    <fill>
      <patternFill patternType="solid">
        <fgColor rgb="FFDCEFEE"/>
        <bgColor rgb="FFE8F5E9"/>
      </patternFill>
    </fill>
    <fill>
      <patternFill patternType="solid">
        <fgColor rgb="FF6A1B9A"/>
        <bgColor rgb="FF800080"/>
      </patternFill>
    </fill>
    <fill>
      <patternFill patternType="solid">
        <fgColor rgb="FFFFFFFF"/>
        <bgColor rgb="FFF9F9F9"/>
      </patternFill>
    </fill>
  </fills>
  <borders count="22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1F3A5F"/>
      </bottom>
      <diagonal/>
    </border>
    <border diagonalUp="false" diagonalDown="false"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thin">
        <color rgb="FFC9D3DD"/>
      </left>
      <right style="thin">
        <color rgb="FFC9D3DD"/>
      </right>
      <top style="thin">
        <color rgb="FFC9D3DD"/>
      </top>
      <bottom style="thin">
        <color rgb="FFC9D3DD"/>
      </bottom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/>
      <top/>
      <bottom style="dotted">
        <color rgb="FF7A7A7A"/>
      </bottom>
      <diagonal/>
    </border>
    <border diagonalUp="false" diagonalDown="false">
      <left style="thin"/>
      <right style="thin"/>
      <top/>
      <bottom style="hair">
        <color rgb="FF9AA5B1"/>
      </bottom>
      <diagonal/>
    </border>
    <border diagonalUp="false" diagonalDown="false">
      <left style="thin"/>
      <right style="thin"/>
      <top style="hair">
        <color rgb="FF9AA5B1"/>
      </top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dotted">
        <color rgb="FF7A7A7A"/>
      </top>
      <bottom/>
      <diagonal/>
    </border>
    <border diagonalUp="false" diagonalDown="false">
      <left/>
      <right/>
      <top style="thin">
        <color rgb="FF1F3A5F"/>
      </top>
      <bottom/>
      <diagonal/>
    </border>
    <border diagonalUp="false" diagonalDown="false">
      <left/>
      <right/>
      <top style="medium">
        <color rgb="FF1F3A5F"/>
      </top>
      <bottom/>
      <diagonal/>
    </border>
    <border diagonalUp="false" diagonalDown="false">
      <left/>
      <right/>
      <top style="medium">
        <color rgb="FF2E7D7A"/>
      </top>
      <bottom/>
      <diagonal/>
    </border>
    <border diagonalUp="false" diagonalDown="false">
      <left/>
      <right/>
      <top style="medium">
        <color rgb="FF9A6B00"/>
      </top>
      <bottom/>
      <diagonal/>
    </border>
    <border diagonalUp="false" diagonalDown="false">
      <left/>
      <right/>
      <top style="medium">
        <color rgb="FF6A1B9A"/>
      </top>
      <bottom/>
      <diagonal/>
    </border>
    <border diagonalUp="false" diagonalDown="false">
      <left/>
      <right/>
      <top style="medium">
        <color rgb="FFC62828"/>
      </top>
      <bottom/>
      <diagonal/>
    </border>
    <border diagonalUp="false" diagonalDown="false">
      <left/>
      <right/>
      <top/>
      <bottom style="medium">
        <color rgb="FF2E7D7A"/>
      </bottom>
      <diagonal/>
    </border>
    <border diagonalUp="false" diagonalDown="false">
      <left/>
      <right/>
      <top/>
      <bottom style="medium">
        <color rgb="FF9A6B00"/>
      </bottom>
      <diagonal/>
    </border>
    <border diagonalUp="false" diagonalDown="false">
      <left/>
      <right/>
      <top/>
      <bottom style="medium">
        <color rgb="FF6A1B9A"/>
      </bottom>
      <diagonal/>
    </border>
    <border diagonalUp="false" diagonalDown="false">
      <left/>
      <right/>
      <top/>
      <bottom style="medium">
        <color rgb="FFC62828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6" fillId="2" borderId="0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8" fillId="0" borderId="0" xfId="0" applyFont="true" applyBorder="true" applyAlignment="true" applyProtection="false">
      <alignment horizontal="center" vertical="center" textRotation="0" wrapText="true" indent="0" shrinkToFit="false" readingOrder="2"/>
      <protection locked="true" hidden="false"/>
    </xf>
    <xf numFmtId="164" fontId="6" fillId="3" borderId="2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8" fillId="0" borderId="0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9" fillId="0" borderId="0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0" fillId="0" borderId="0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1" fillId="4" borderId="2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2" fillId="0" borderId="3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3" fillId="0" borderId="0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1" fillId="2" borderId="2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1" fillId="5" borderId="2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4" fillId="0" borderId="0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9" fillId="6" borderId="4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1" fillId="7" borderId="0" xfId="0" applyFont="true" applyBorder="true" applyAlignment="true" applyProtection="false">
      <alignment horizontal="right" vertical="center" textRotation="0" wrapText="false" indent="1" shrinkToFit="false" readingOrder="2"/>
      <protection locked="true" hidden="false"/>
    </xf>
    <xf numFmtId="164" fontId="15" fillId="8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2" fillId="9" borderId="6" xfId="0" applyFont="true" applyBorder="true" applyAlignment="true" applyProtection="true">
      <alignment horizontal="center" vertical="center" textRotation="0" wrapText="false" indent="0" shrinkToFit="false" readingOrder="2"/>
      <protection locked="false" hidden="false"/>
    </xf>
    <xf numFmtId="164" fontId="11" fillId="7" borderId="2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5" fillId="0" borderId="0" xfId="0" applyFont="true" applyBorder="false" applyAlignment="true" applyProtection="false">
      <alignment horizontal="right" vertical="center" textRotation="0" wrapText="false" indent="0" shrinkToFit="false" readingOrder="2"/>
      <protection locked="true" hidden="false"/>
    </xf>
    <xf numFmtId="166" fontId="16" fillId="9" borderId="7" xfId="0" applyFont="true" applyBorder="true" applyAlignment="true" applyProtection="true">
      <alignment horizontal="center" vertical="center" textRotation="0" wrapText="false" indent="0" shrinkToFit="true" readingOrder="2"/>
      <protection locked="false" hidden="false"/>
    </xf>
    <xf numFmtId="167" fontId="17" fillId="0" borderId="7" xfId="0" applyFont="true" applyBorder="true" applyAlignment="true" applyProtection="false">
      <alignment horizontal="center" vertical="center" textRotation="0" wrapText="false" indent="0" shrinkToFit="true" readingOrder="2"/>
      <protection locked="true" hidden="false"/>
    </xf>
    <xf numFmtId="164" fontId="1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6" fillId="9" borderId="7" xfId="0" applyFont="true" applyBorder="true" applyAlignment="true" applyProtection="true">
      <alignment horizontal="center" vertical="center" textRotation="0" wrapText="false" indent="0" shrinkToFit="true" readingOrder="2"/>
      <protection locked="false" hidden="false"/>
    </xf>
    <xf numFmtId="164" fontId="11" fillId="10" borderId="2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7" fillId="0" borderId="7" xfId="0" applyFont="true" applyBorder="true" applyAlignment="true" applyProtection="false">
      <alignment horizontal="center" vertical="center" textRotation="0" wrapText="false" indent="0" shrinkToFit="true" readingOrder="2"/>
      <protection locked="true" hidden="false"/>
    </xf>
    <xf numFmtId="164" fontId="11" fillId="5" borderId="0" xfId="0" applyFont="true" applyBorder="true" applyAlignment="true" applyProtection="false">
      <alignment horizontal="right" vertical="center" textRotation="0" wrapText="false" indent="1" shrinkToFit="false" readingOrder="2"/>
      <protection locked="true" hidden="false"/>
    </xf>
    <xf numFmtId="164" fontId="19" fillId="9" borderId="7" xfId="0" applyFont="true" applyBorder="true" applyAlignment="true" applyProtection="true">
      <alignment horizontal="center" vertical="center" textRotation="0" wrapText="false" indent="0" shrinkToFit="true" readingOrder="2"/>
      <protection locked="false" hidden="false"/>
    </xf>
    <xf numFmtId="168" fontId="19" fillId="9" borderId="7" xfId="0" applyFont="true" applyBorder="true" applyAlignment="true" applyProtection="true">
      <alignment horizontal="center" vertical="center" textRotation="0" wrapText="false" indent="0" shrinkToFit="true" readingOrder="2"/>
      <protection locked="false" hidden="false"/>
    </xf>
    <xf numFmtId="164" fontId="20" fillId="11" borderId="0" xfId="0" applyFont="true" applyBorder="true" applyAlignment="true" applyProtection="false">
      <alignment horizontal="center" vertical="center" textRotation="0" wrapText="true" indent="0" shrinkToFit="false" readingOrder="2"/>
      <protection locked="true" hidden="false"/>
    </xf>
    <xf numFmtId="164" fontId="21" fillId="12" borderId="0" xfId="0" applyFont="true" applyBorder="true" applyAlignment="true" applyProtection="false">
      <alignment horizontal="center" vertical="center" textRotation="0" wrapText="true" indent="0" shrinkToFit="false" readingOrder="2"/>
      <protection locked="true" hidden="false"/>
    </xf>
    <xf numFmtId="164" fontId="15" fillId="13" borderId="3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8" fillId="13" borderId="3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9" fontId="22" fillId="9" borderId="8" xfId="0" applyFont="true" applyBorder="true" applyAlignment="true" applyProtection="true">
      <alignment horizontal="center" vertical="center" textRotation="0" wrapText="false" indent="0" shrinkToFit="true" readingOrder="2"/>
      <protection locked="false" hidden="false"/>
    </xf>
    <xf numFmtId="164" fontId="19" fillId="9" borderId="8" xfId="0" applyFont="true" applyBorder="true" applyAlignment="true" applyProtection="true">
      <alignment horizontal="right" vertical="center" textRotation="0" wrapText="false" indent="1" shrinkToFit="true" readingOrder="2"/>
      <protection locked="false" hidden="false"/>
    </xf>
    <xf numFmtId="164" fontId="19" fillId="9" borderId="8" xfId="0" applyFont="true" applyBorder="true" applyAlignment="true" applyProtection="true">
      <alignment horizontal="center" vertical="center" textRotation="0" wrapText="false" indent="0" shrinkToFit="true" readingOrder="2"/>
      <protection locked="false" hidden="false"/>
    </xf>
    <xf numFmtId="164" fontId="22" fillId="9" borderId="5" xfId="0" applyFont="true" applyBorder="true" applyAlignment="true" applyProtection="true">
      <alignment horizontal="center" vertical="center" textRotation="0" wrapText="false" indent="0" shrinkToFit="false" readingOrder="2"/>
      <protection locked="false" hidden="false"/>
    </xf>
    <xf numFmtId="170" fontId="22" fillId="9" borderId="5" xfId="0" applyFont="true" applyBorder="true" applyAlignment="true" applyProtection="true">
      <alignment horizontal="center" vertical="center" textRotation="0" wrapText="false" indent="0" shrinkToFit="false" readingOrder="2"/>
      <protection locked="false" hidden="false"/>
    </xf>
    <xf numFmtId="164" fontId="11" fillId="14" borderId="0" xfId="0" applyFont="true" applyBorder="true" applyAlignment="true" applyProtection="false">
      <alignment horizontal="right" vertical="center" textRotation="0" wrapText="false" indent="1" shrinkToFit="false" readingOrder="2"/>
      <protection locked="true" hidden="false"/>
    </xf>
    <xf numFmtId="164" fontId="8" fillId="8" borderId="5" xfId="0" applyFont="true" applyBorder="true" applyAlignment="true" applyProtection="false">
      <alignment horizontal="center" vertical="center" textRotation="0" wrapText="true" indent="0" shrinkToFit="false" readingOrder="2"/>
      <protection locked="true" hidden="false"/>
    </xf>
    <xf numFmtId="170" fontId="23" fillId="15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71" fontId="23" fillId="15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1" fillId="2" borderId="1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1" fillId="4" borderId="1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1" fillId="14" borderId="1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1" fillId="7" borderId="1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7" fillId="15" borderId="9" xfId="0" applyFont="true" applyBorder="true" applyAlignment="true" applyProtection="false">
      <alignment horizontal="center" vertical="center" textRotation="0" wrapText="false" indent="0" shrinkToFit="true" readingOrder="2"/>
      <protection locked="true" hidden="false"/>
    </xf>
    <xf numFmtId="169" fontId="14" fillId="15" borderId="9" xfId="0" applyFont="true" applyBorder="true" applyAlignment="true" applyProtection="false">
      <alignment horizontal="center" vertical="center" textRotation="0" wrapText="false" indent="0" shrinkToFit="true" readingOrder="2"/>
      <protection locked="true" hidden="false"/>
    </xf>
    <xf numFmtId="164" fontId="17" fillId="15" borderId="9" xfId="0" applyFont="true" applyBorder="true" applyAlignment="true" applyProtection="false">
      <alignment horizontal="right" vertical="center" textRotation="0" wrapText="false" indent="1" shrinkToFit="true" readingOrder="2"/>
      <protection locked="true" hidden="false"/>
    </xf>
    <xf numFmtId="169" fontId="14" fillId="6" borderId="3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9" fillId="9" borderId="10" xfId="0" applyFont="true" applyBorder="true" applyAlignment="true" applyProtection="true">
      <alignment horizontal="center" vertical="center" textRotation="0" wrapText="false" indent="0" shrinkToFit="true" readingOrder="2"/>
      <protection locked="false" hidden="false"/>
    </xf>
    <xf numFmtId="164" fontId="14" fillId="6" borderId="3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7" fillId="0" borderId="0" xfId="0" applyFont="true" applyBorder="true" applyAlignment="true" applyProtection="false">
      <alignment horizontal="right" vertical="center" textRotation="0" wrapText="true" indent="0" shrinkToFit="false" readingOrder="2"/>
      <protection locked="true" hidden="false"/>
    </xf>
    <xf numFmtId="164" fontId="24" fillId="0" borderId="0" xfId="0" applyFont="true" applyBorder="true" applyAlignment="true" applyProtection="false">
      <alignment horizontal="right" vertical="center" textRotation="0" wrapText="false" indent="0" shrinkToFit="false" readingOrder="2"/>
      <protection locked="true" hidden="false"/>
    </xf>
    <xf numFmtId="164" fontId="15" fillId="8" borderId="0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9" fillId="9" borderId="0" xfId="0" applyFont="true" applyBorder="true" applyAlignment="true" applyProtection="true">
      <alignment horizontal="center" vertical="center" textRotation="0" wrapText="false" indent="0" shrinkToFit="true" readingOrder="2"/>
      <protection locked="false" hidden="false"/>
    </xf>
    <xf numFmtId="164" fontId="17" fillId="0" borderId="0" xfId="0" applyFont="true" applyBorder="true" applyAlignment="true" applyProtection="false">
      <alignment horizontal="center" vertical="center" textRotation="0" wrapText="false" indent="0" shrinkToFit="true" readingOrder="2"/>
      <protection locked="true" hidden="false"/>
    </xf>
    <xf numFmtId="164" fontId="25" fillId="0" borderId="11" xfId="0" applyFont="true" applyBorder="true" applyAlignment="true" applyProtection="false">
      <alignment horizontal="center" vertical="bottom" textRotation="0" wrapText="false" indent="0" shrinkToFit="false" readingOrder="2"/>
      <protection locked="true" hidden="false"/>
    </xf>
    <xf numFmtId="164" fontId="26" fillId="0" borderId="12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27" fillId="2" borderId="0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28" fillId="5" borderId="0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2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10" borderId="1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1" fillId="2" borderId="5" xfId="0" applyFont="true" applyBorder="true" applyAlignment="true" applyProtection="false">
      <alignment horizontal="center" vertical="center" textRotation="0" wrapText="true" indent="0" shrinkToFit="false" readingOrder="2"/>
      <protection locked="true" hidden="false"/>
    </xf>
    <xf numFmtId="164" fontId="20" fillId="0" borderId="0" xfId="0" applyFont="true" applyBorder="false" applyAlignment="true" applyProtection="false">
      <alignment horizontal="center" vertical="center" textRotation="0" wrapText="false" indent="0" shrinkToFit="false" readingOrder="2"/>
      <protection locked="true" hidden="false"/>
    </xf>
    <xf numFmtId="164" fontId="29" fillId="0" borderId="0" xfId="0" applyFont="true" applyBorder="false" applyAlignment="true" applyProtection="false">
      <alignment horizontal="right" vertical="center" textRotation="0" wrapText="false" indent="0" shrinkToFit="false" readingOrder="2"/>
      <protection locked="true" hidden="false"/>
    </xf>
    <xf numFmtId="166" fontId="29" fillId="0" borderId="0" xfId="0" applyFont="true" applyBorder="false" applyAlignment="true" applyProtection="false">
      <alignment horizontal="center" vertical="center" textRotation="0" wrapText="false" indent="0" shrinkToFit="false" readingOrder="2"/>
      <protection locked="true" hidden="false"/>
    </xf>
    <xf numFmtId="164" fontId="29" fillId="0" borderId="0" xfId="0" applyFont="true" applyBorder="false" applyAlignment="true" applyProtection="false">
      <alignment horizontal="center" vertical="center" textRotation="0" wrapText="false" indent="0" shrinkToFit="false" readingOrder="2"/>
      <protection locked="true" hidden="false"/>
    </xf>
    <xf numFmtId="168" fontId="29" fillId="0" borderId="0" xfId="0" applyFont="true" applyBorder="false" applyAlignment="true" applyProtection="false">
      <alignment horizontal="right" vertical="center" textRotation="0" wrapText="false" indent="0" shrinkToFit="false" readingOrder="2"/>
      <protection locked="true" hidden="false"/>
    </xf>
    <xf numFmtId="169" fontId="29" fillId="0" borderId="0" xfId="0" applyFont="true" applyBorder="false" applyAlignment="true" applyProtection="false">
      <alignment horizontal="right" vertical="center" textRotation="0" wrapText="false" indent="0" shrinkToFit="false" readingOrder="2"/>
      <protection locked="true" hidden="false"/>
    </xf>
    <xf numFmtId="164" fontId="7" fillId="0" borderId="0" xfId="0" applyFont="true" applyBorder="false" applyAlignment="true" applyProtection="false">
      <alignment horizontal="right" vertical="center" textRotation="0" wrapText="false" indent="0" shrinkToFit="false" readingOrder="2"/>
      <protection locked="true" hidden="false"/>
    </xf>
    <xf numFmtId="172" fontId="29" fillId="0" borderId="0" xfId="0" applyFont="true" applyBorder="fals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1" fillId="4" borderId="5" xfId="0" applyFont="true" applyBorder="true" applyAlignment="true" applyProtection="false">
      <alignment horizontal="center" vertical="center" textRotation="0" wrapText="true" indent="0" shrinkToFit="false" readingOrder="2"/>
      <protection locked="true" hidden="false"/>
    </xf>
    <xf numFmtId="164" fontId="15" fillId="0" borderId="0" xfId="0" applyFont="true" applyBorder="false" applyAlignment="true" applyProtection="false">
      <alignment horizontal="left" vertical="center" textRotation="0" wrapText="false" indent="0" shrinkToFit="false" readingOrder="2"/>
      <protection locked="true" hidden="false"/>
    </xf>
    <xf numFmtId="170" fontId="30" fillId="9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8" fillId="15" borderId="13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8" fillId="15" borderId="14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8" fillId="15" borderId="1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8" fillId="15" borderId="16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8" fillId="15" borderId="17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70" fontId="31" fillId="15" borderId="1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71" fontId="32" fillId="15" borderId="18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71" fontId="33" fillId="15" borderId="19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71" fontId="34" fillId="15" borderId="20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71" fontId="35" fillId="15" borderId="21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1" fillId="7" borderId="5" xfId="0" applyFont="true" applyBorder="true" applyAlignment="true" applyProtection="false">
      <alignment horizontal="center" vertical="center" textRotation="0" wrapText="true" indent="0" shrinkToFit="false" readingOrder="2"/>
      <protection locked="true" hidden="false"/>
    </xf>
    <xf numFmtId="164" fontId="11" fillId="14" borderId="0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5" fillId="0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71" fontId="29" fillId="0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73" fontId="29" fillId="0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70" fontId="29" fillId="0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6" fontId="22" fillId="9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1" fillId="14" borderId="5" xfId="0" applyFont="true" applyBorder="true" applyAlignment="true" applyProtection="false">
      <alignment horizontal="center" vertical="center" textRotation="0" wrapText="true" indent="0" shrinkToFit="false" readingOrder="2"/>
      <protection locked="true" hidden="false"/>
    </xf>
    <xf numFmtId="164" fontId="11" fillId="2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71" fontId="11" fillId="2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70" fontId="11" fillId="2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26" fillId="0" borderId="0" xfId="0" applyFont="true" applyBorder="true" applyAlignment="true" applyProtection="false">
      <alignment horizontal="right" vertical="center" textRotation="0" wrapText="true" indent="0" shrinkToFit="false" readingOrder="2"/>
      <protection locked="true" hidden="false"/>
    </xf>
    <xf numFmtId="164" fontId="11" fillId="4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15" fillId="8" borderId="5" xfId="0" applyFont="true" applyBorder="true" applyAlignment="true" applyProtection="false">
      <alignment horizontal="right" vertical="center" textRotation="0" wrapText="false" indent="1" shrinkToFit="false" readingOrder="2"/>
      <protection locked="true" hidden="false"/>
    </xf>
    <xf numFmtId="164" fontId="38" fillId="9" borderId="5" xfId="0" applyFont="true" applyBorder="true" applyAlignment="true" applyProtection="false">
      <alignment horizontal="right" vertical="center" textRotation="0" wrapText="false" indent="1" shrinkToFit="false" readingOrder="2"/>
      <protection locked="true" hidden="false"/>
    </xf>
    <xf numFmtId="164" fontId="29" fillId="11" borderId="5" xfId="0" applyFont="true" applyBorder="true" applyAlignment="true" applyProtection="false">
      <alignment horizontal="right" vertical="center" textRotation="0" wrapText="false" indent="1" shrinkToFit="false" readingOrder="2"/>
      <protection locked="true" hidden="false"/>
    </xf>
    <xf numFmtId="164" fontId="39" fillId="0" borderId="0" xfId="0" applyFont="true" applyBorder="false" applyAlignment="true" applyProtection="false">
      <alignment horizontal="right" vertical="center" textRotation="0" wrapText="true" indent="0" shrinkToFit="false" readingOrder="2"/>
      <protection locked="true" hidden="false"/>
    </xf>
    <xf numFmtId="170" fontId="38" fillId="9" borderId="5" xfId="0" applyFont="true" applyBorder="true" applyAlignment="true" applyProtection="false">
      <alignment horizontal="right" vertical="center" textRotation="0" wrapText="false" indent="1" shrinkToFit="false" readingOrder="2"/>
      <protection locked="true" hidden="false"/>
    </xf>
    <xf numFmtId="164" fontId="40" fillId="2" borderId="0" xfId="0" applyFont="true" applyBorder="true" applyAlignment="true" applyProtection="false">
      <alignment horizontal="right" vertical="center" textRotation="0" wrapText="false" indent="1" shrinkToFit="false" readingOrder="2"/>
      <protection locked="true" hidden="false"/>
    </xf>
    <xf numFmtId="164" fontId="41" fillId="13" borderId="5" xfId="0" applyFont="true" applyBorder="true" applyAlignment="true" applyProtection="false">
      <alignment horizontal="center" vertical="center" textRotation="0" wrapText="false" indent="0" shrinkToFit="false" readingOrder="2"/>
      <protection locked="true" hidden="false"/>
    </xf>
    <xf numFmtId="164" fontId="29" fillId="15" borderId="5" xfId="0" applyFont="true" applyBorder="true" applyAlignment="true" applyProtection="false">
      <alignment horizontal="right" vertical="center" textRotation="0" wrapText="true" indent="1" shrinkToFit="false" readingOrder="2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2">
    <dxf>
      <font>
        <b val="1"/>
        <color rgb="FFC62828"/>
      </font>
      <fill>
        <patternFill>
          <bgColor rgb="FFFDECEA"/>
        </patternFill>
      </fill>
    </dxf>
    <dxf>
      <font>
        <b val="1"/>
        <color rgb="FF9A6B00"/>
      </font>
      <fill>
        <patternFill>
          <bgColor rgb="FFFBF3E0"/>
        </patternFill>
      </fill>
    </dxf>
    <dxf>
      <fill>
        <patternFill patternType="solid">
          <fgColor rgb="FF1F3A5F"/>
          <bgColor rgb="FF000000"/>
        </patternFill>
      </fill>
    </dxf>
    <dxf>
      <fill>
        <patternFill patternType="solid">
          <fgColor rgb="FFF5F8FB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1F2933"/>
          <bgColor rgb="FF000000"/>
        </patternFill>
      </fill>
    </dxf>
    <dxf>
      <fill>
        <patternFill patternType="solid">
          <fgColor rgb="FF5A6772"/>
          <bgColor rgb="FF000000"/>
        </patternFill>
      </fill>
    </dxf>
    <dxf>
      <fill>
        <patternFill>
          <bgColor rgb="FFF5F8FB"/>
        </patternFill>
      </fill>
      <border diagonalUp="false" diagonalDown="false">
        <left style="thin">
          <color rgb="FFC9D3DD"/>
        </left>
        <right style="thin">
          <color rgb="FFC9D3DD"/>
        </right>
        <top style="thin">
          <color rgb="FFC9D3DD"/>
        </top>
        <bottom style="thin">
          <color rgb="FFC9D3DD"/>
        </bottom>
        <diagonal/>
      </border>
    </dxf>
    <dxf>
      <border diagonalUp="false" diagonalDown="false">
        <left style="thin">
          <color rgb="FFC9D3DD"/>
        </left>
        <right style="thin">
          <color rgb="FFC9D3DD"/>
        </right>
        <top style="thin">
          <color rgb="FFC9D3DD"/>
        </top>
        <bottom style="thin">
          <color rgb="FFC9D3DD"/>
        </bottom>
        <diagonal/>
      </border>
    </dxf>
    <dxf>
      <fill>
        <patternFill patternType="solid">
          <fgColor rgb="FF2E7D7A"/>
          <bgColor rgb="FF000000"/>
        </patternFill>
      </fill>
    </dxf>
    <dxf>
      <font>
        <i val="1"/>
        <color rgb="FF2E7D7A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2E7D32"/>
      <rgbColor rgb="FF000080"/>
      <rgbColor rgb="FF9A6B00"/>
      <rgbColor rgb="FF6A1B9A"/>
      <rgbColor rgb="FF008080"/>
      <rgbColor rgb="FFD9D9D9"/>
      <rgbColor rgb="FF7A7A7A"/>
      <rgbColor rgb="FF878787"/>
      <rgbColor rgb="FFC0504D"/>
      <rgbColor rgb="FFFFF8E1"/>
      <rgbColor rgb="FFDCEFEE"/>
      <rgbColor rgb="FF660066"/>
      <rgbColor rgb="FFFF8080"/>
      <rgbColor rgb="FF1A4FA0"/>
      <rgbColor rgb="FFC9D3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8F5E9"/>
      <rgbColor rgb="FFF2F4F7"/>
      <rgbColor rgb="FFFBF3E0"/>
      <rgbColor rgb="FFF5F8FB"/>
      <rgbColor rgb="FFF9F9F9"/>
      <rgbColor rgb="FFCC99FF"/>
      <rgbColor rgb="FFFDECEA"/>
      <rgbColor rgb="FF4F81BD"/>
      <rgbColor rgb="FF33CCCC"/>
      <rgbColor rgb="FF99CC00"/>
      <rgbColor rgb="FFFFCC00"/>
      <rgbColor rgb="FFFF9900"/>
      <rgbColor rgb="FFFF6600"/>
      <rgbColor rgb="FF5A6772"/>
      <rgbColor rgb="FF9AA5B1"/>
      <rgbColor rgb="FF1F3A5F"/>
      <rgbColor rgb="FF2E7D7A"/>
      <rgbColor rgb="FF003300"/>
      <rgbColor rgb="FF333300"/>
      <rgbColor rgb="FFC62828"/>
      <rgbColor rgb="FF993366"/>
      <rgbColor rgb="FF2C5282"/>
      <rgbColor rgb="FF1F29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Relationship Id="rIdVBA1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المدفوعات حسب الشهر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التقارير!H8</c:f>
              <c:strCache>
                <c:ptCount val="1"/>
                <c:pt idx="0">
                  <c:v>المبلغ</c:v>
                </c:pt>
              </c:strCache>
            </c:strRef>
          </c:tx>
          <c:spPr>
            <a:solidFill>
              <a:srgbClr val="4f81bd"/>
            </a:solidFill>
            <a:ln w="9360">
              <a:solidFill>
                <a:srgbClr val="f9f9f9"/>
              </a:solidFill>
              <a:round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التقارير!$F$9:$F$20</c:f>
              <c:strCache>
                <c:ptCount val="12"/>
                <c:pt idx="0">
                  <c:v>يناير</c:v>
                </c:pt>
                <c:pt idx="1">
                  <c:v>فبراير</c:v>
                </c:pt>
                <c:pt idx="2">
                  <c:v>مارس</c:v>
                </c:pt>
                <c:pt idx="3">
                  <c:v>أبريل</c:v>
                </c:pt>
                <c:pt idx="4">
                  <c:v>مايو</c:v>
                </c:pt>
                <c:pt idx="5">
                  <c:v>يونيو</c:v>
                </c:pt>
                <c:pt idx="6">
                  <c:v>يوليو</c:v>
                </c:pt>
                <c:pt idx="7">
                  <c:v>أغسطس</c:v>
                </c:pt>
                <c:pt idx="8">
                  <c:v>سبتمبر</c:v>
                </c:pt>
                <c:pt idx="9">
                  <c:v>أكتوبر</c:v>
                </c:pt>
                <c:pt idx="10">
                  <c:v>نوفمبر</c:v>
                </c:pt>
                <c:pt idx="11">
                  <c:v>ديسمبر</c:v>
                </c:pt>
              </c:strCache>
            </c:strRef>
          </c:cat>
          <c:val>
            <c:numRef>
              <c:f>التقارير!$H$9:$H$20</c:f>
              <c:numCache>
                <c:formatCode>#,##0.00;[RED]\(#,##0.00\);\-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40500.5</c:v>
                </c:pt>
                <c:pt idx="8">
                  <c:v>4830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150"/>
        <c:overlap val="0"/>
        <c:axId val="54731445"/>
        <c:axId val="95741107"/>
      </c:barChart>
      <c:catAx>
        <c:axId val="5473144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5741107"/>
        <c:crosses val="autoZero"/>
        <c:auto val="1"/>
        <c:lblAlgn val="ctr"/>
        <c:lblOffset val="100"/>
        <c:noMultiLvlLbl val="0"/>
      </c:catAx>
      <c:valAx>
        <c:axId val="95741107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#,##0.00;[RED]\(#,##0.00\);\-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4731445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المدين حسب الفرع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tx>
            <c:strRef>
              <c:f>التقارير!C8</c:f>
              <c:strCache>
                <c:ptCount val="1"/>
                <c:pt idx="0">
                  <c:v>مدين</c:v>
                </c:pt>
              </c:strCache>
            </c:strRef>
          </c:tx>
          <c:spPr>
            <a:solidFill>
              <a:srgbClr val="c0504d"/>
            </a:solidFill>
            <a:ln w="9360">
              <a:solidFill>
                <a:srgbClr val="f9f9f9"/>
              </a:solidFill>
              <a:round/>
            </a:ln>
          </c:spPr>
          <c:invertIfNegative val="0"/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التقارير!$B$9:$B$20</c:f>
              <c:strCache>
                <c:ptCount val="12"/>
                <c:pt idx="0">
                  <c:v>مكة</c:v>
                </c:pt>
                <c:pt idx="1">
                  <c:v>الرياض</c:v>
                </c:pt>
                <c:pt idx="2">
                  <c:v>جدة</c:v>
                </c:pt>
                <c:pt idx="3">
                  <c:v>المدينة المنورة</c:v>
                </c:pt>
                <c:pt idx="4">
                  <c:v>الدمام</c:v>
                </c:pt>
                <c:pt idx="5">
                  <c:v>الطائف</c:v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</c:strCache>
            </c:strRef>
          </c:cat>
          <c:val>
            <c:numRef>
              <c:f>التقارير!$C$9:$C$20</c:f>
              <c:numCache>
                <c:formatCode>#,##0.00;[RED]\(#,##0.00\);\-</c:formatCode>
                <c:ptCount val="12"/>
                <c:pt idx="0">
                  <c:v>28000</c:v>
                </c:pt>
                <c:pt idx="1">
                  <c:v>4830</c:v>
                </c:pt>
                <c:pt idx="2">
                  <c:v>12500.5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gapWidth val="150"/>
        <c:overlap val="0"/>
        <c:axId val="33083188"/>
        <c:axId val="82887330"/>
      </c:barChart>
      <c:catAx>
        <c:axId val="330831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82887330"/>
        <c:crosses val="autoZero"/>
        <c:auto val="1"/>
        <c:lblAlgn val="ctr"/>
        <c:lblOffset val="100"/>
        <c:noMultiLvlLbl val="0"/>
      </c:catAx>
      <c:valAx>
        <c:axId val="82887330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#,##0.00;[RED]\(#,##0.00\);\-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3083188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-692280</xdr:colOff>
      <xdr:row>23</xdr:row>
      <xdr:rowOff>0</xdr:rowOff>
    </xdr:from>
    <xdr:to>
      <xdr:col>5</xdr:col>
      <xdr:colOff>0</xdr:colOff>
      <xdr:row>38</xdr:row>
      <xdr:rowOff>21960</xdr:rowOff>
    </xdr:to>
    <xdr:graphicFrame>
      <xdr:nvGraphicFramePr>
        <xdr:cNvPr id="0" name="Chart 1"/>
        <xdr:cNvGraphicFramePr/>
      </xdr:nvGraphicFramePr>
      <xdr:xfrm>
        <a:off x="-5937480" y="5305320"/>
        <a:ext cx="5759640" cy="287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-230400</xdr:colOff>
      <xdr:row>23</xdr:row>
      <xdr:rowOff>0</xdr:rowOff>
    </xdr:from>
    <xdr:to>
      <xdr:col>10</xdr:col>
      <xdr:colOff>0</xdr:colOff>
      <xdr:row>38</xdr:row>
      <xdr:rowOff>21960</xdr:rowOff>
    </xdr:to>
    <xdr:graphicFrame>
      <xdr:nvGraphicFramePr>
        <xdr:cNvPr id="1" name="Chart 2"/>
        <xdr:cNvGraphicFramePr/>
      </xdr:nvGraphicFramePr>
      <xdr:xfrm>
        <a:off x="-10809360" y="5305320"/>
        <a:ext cx="4319640" cy="287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comments" Target="../comments5.xml"/><Relationship Id="rId2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codeName="shForm" filterMode="false">
    <pageSetUpPr fitToPage="true"/>
  </sheetPr>
  <dimension ref="B1:Z38"/>
  <sheetViews>
    <sheetView showFormulas="false" showGridLines="false" showRowColHeaders="true" showZeros="true" rightToLeft="true" tabSelected="true" showOutlineSymbols="true" defaultGridColor="true" view="normal" topLeftCell="A1" colorId="64" zoomScale="100" zoomScaleNormal="100" zoomScalePageLayoutView="100" workbookViewId="0">
      <selection pane="topLeft" activeCell="C12" activeCellId="0" sqref="C12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2"/>
    <col collapsed="false" customWidth="true" hidden="false" outlineLevel="0" max="2" min="2" style="0" width="13"/>
    <col collapsed="false" customWidth="true" hidden="false" outlineLevel="0" max="3" min="3" style="0" width="9"/>
    <col collapsed="false" customWidth="true" hidden="false" outlineLevel="0" max="4" min="4" style="0" width="11"/>
    <col collapsed="false" customWidth="true" hidden="false" outlineLevel="0" max="5" min="5" style="0" width="9"/>
    <col collapsed="false" customWidth="true" hidden="false" outlineLevel="0" max="8" min="6" style="0" width="15"/>
    <col collapsed="false" customWidth="true" hidden="false" outlineLevel="0" max="9" min="9" style="0" width="14"/>
    <col collapsed="false" customWidth="true" hidden="false" outlineLevel="0" max="10" min="10" style="0" width="2"/>
    <col collapsed="false" customWidth="true" hidden="false" outlineLevel="0" max="11" min="11" style="0" width="16"/>
    <col collapsed="false" customWidth="true" hidden="false" outlineLevel="0" max="14" min="12" style="0" width="13"/>
    <col collapsed="false" customWidth="true" hidden="true" outlineLevel="0" max="26" min="26" style="0" width="13"/>
  </cols>
  <sheetData>
    <row r="1" customFormat="false" ht="31.5" hidden="false" customHeight="true" outlineLevel="0" collapsed="false">
      <c r="B1" s="1" t="str">
        <f aca="false">CO_AR</f>
        <v>شركة الخطوط المعدنية للمقاولات العامة</v>
      </c>
      <c r="C1" s="1"/>
      <c r="D1" s="1"/>
      <c r="E1" s="1"/>
      <c r="F1" s="1"/>
      <c r="G1" s="1"/>
      <c r="H1" s="1"/>
      <c r="I1" s="1"/>
      <c r="Z1" s="0" t="n">
        <v>1001</v>
      </c>
    </row>
    <row r="2" customFormat="false" ht="25.5" hidden="false" customHeight="true" outlineLevel="0" collapsed="false">
      <c r="B2" s="2" t="str">
        <f aca="false">CO_EN</f>
        <v>Metal Lines General Contracting Co.</v>
      </c>
      <c r="C2" s="2"/>
      <c r="D2" s="2"/>
      <c r="E2" s="2"/>
      <c r="F2" s="2"/>
      <c r="G2" s="2"/>
      <c r="H2" s="2"/>
      <c r="I2" s="2"/>
      <c r="K2" s="3" t="s">
        <v>0</v>
      </c>
      <c r="L2" s="3"/>
      <c r="M2" s="3"/>
      <c r="N2" s="3"/>
      <c r="Z2" s="4" t="n">
        <f aca="false">MAX(START_NO-1,MAX('سجل السندات'!$A$5:$A$20000))+1</f>
        <v>1004</v>
      </c>
    </row>
    <row r="3" customFormat="false" ht="57.75" hidden="false" customHeight="true" outlineLevel="0" collapsed="false">
      <c r="B3" s="5" t="str">
        <f aca="false">DEPT&amp;"  —  "&amp;CITY&amp;"   |   س.ت: "&amp;CR&amp;"   |   الرقم الضريبي: "&amp;VAT</f>
        <v>الإدارة المالية  —  مكة المكرمة   |   س.ت: 4031000000   |   الرقم الضريبي: 300000000000003</v>
      </c>
      <c r="C3" s="5"/>
      <c r="D3" s="5"/>
      <c r="E3" s="5"/>
      <c r="F3" s="5"/>
      <c r="G3" s="5"/>
      <c r="H3" s="5"/>
      <c r="I3" s="5"/>
      <c r="K3" s="6" t="str">
        <f aca="false">IF(النظام!$B$1=1,"✔ الأزرار مفعّلة","⚠ الأزرار غير مفعّلة: اضغط «تمكين المحتوى / Enable Content». لو ظهر «Microsoft has blocked macros»: أغلق الملف ← كليك يمين عليه ← خصائص ← علّم «إلغاء الحظر / Unblock» ← موافق")</f>
        <v>⚠ الأزرار غير مفعّلة: اضغط «تمكين المحتوى / Enable Content». لو ظهر «Microsoft has blocked macros»: أغلق الملف ← كليك يمين عليه ← خصائص ← علّم «إلغاء الحظر / Unblock» ← موافق</v>
      </c>
      <c r="L3" s="6"/>
      <c r="M3" s="6"/>
      <c r="N3" s="6"/>
      <c r="Z3" s="4" t="n">
        <f aca="false">IF(Z1="",Z2,Z1)</f>
        <v>1001</v>
      </c>
    </row>
    <row r="4" customFormat="false" ht="31.5" hidden="false" customHeight="true" outlineLevel="0" collapsed="false">
      <c r="K4" s="7" t="s">
        <v>1</v>
      </c>
      <c r="L4" s="7"/>
      <c r="M4" s="7"/>
      <c r="N4" s="7"/>
    </row>
    <row r="5" customFormat="false" ht="24" hidden="false" customHeight="true" outlineLevel="0" collapsed="false">
      <c r="B5" s="8" t="s">
        <v>2</v>
      </c>
      <c r="C5" s="8"/>
      <c r="D5" s="9" t="str">
        <f aca="false">IF(C15="شيك","أمر دفع بشيك",IF(C15="تحويل بنكي","أمر تحويل بنكي","أمر دفع نقدي"))</f>
        <v>أمر دفع نقدي</v>
      </c>
      <c r="E5" s="9"/>
      <c r="F5" s="9"/>
      <c r="G5" s="9"/>
      <c r="H5" s="10" t="str">
        <f aca="false">L21</f>
        <v>الأصل</v>
      </c>
      <c r="I5" s="10"/>
      <c r="K5" s="11" t="s">
        <v>3</v>
      </c>
      <c r="L5" s="11"/>
      <c r="M5" s="11" t="s">
        <v>4</v>
      </c>
      <c r="N5" s="11"/>
      <c r="Z5" s="4" t="n">
        <f aca="false">ROUND(SUM(B20:B29),2)</f>
        <v>3000</v>
      </c>
    </row>
    <row r="6" customFormat="false" ht="24" hidden="false" customHeight="true" outlineLevel="0" collapsed="false">
      <c r="B6" s="12" t="str">
        <f aca="true">PREFIX&amp;"-"&amp;IF(ISNUMBER(C11),YEAR(C11),YEAR(TODAY()))&amp;"-"&amp;Z3</f>
        <v>CP-2026-1001</v>
      </c>
      <c r="C6" s="12"/>
      <c r="D6" s="13" t="str">
        <f aca="false">IF(C15="شيك","CHEQUE PAYMENT ORDER",IF(C15="تحويل بنكي","BANK TRANSFER ORDER","CASH PAYMENT ORDER"))</f>
        <v>CASH PAYMENT ORDER</v>
      </c>
      <c r="E6" s="13"/>
      <c r="F6" s="13"/>
      <c r="G6" s="13"/>
      <c r="K6" s="14" t="s">
        <v>5</v>
      </c>
      <c r="L6" s="14"/>
      <c r="M6" s="15" t="s">
        <v>6</v>
      </c>
      <c r="N6" s="15"/>
      <c r="Z6" s="4" t="n">
        <f aca="false">ROUND(SUM(D20:D29),2)</f>
        <v>0</v>
      </c>
    </row>
    <row r="7" customFormat="false" ht="24" hidden="false" customHeight="true" outlineLevel="0" collapsed="false">
      <c r="K7" s="14" t="s">
        <v>7</v>
      </c>
      <c r="L7" s="14"/>
      <c r="M7" s="15" t="s">
        <v>8</v>
      </c>
      <c r="N7" s="15"/>
      <c r="Z7" s="4" t="n">
        <f aca="false">MAX(0,ROUND(Z5-Z6,2))</f>
        <v>3000</v>
      </c>
    </row>
    <row r="8" customFormat="false" ht="15" hidden="false" customHeight="false" outlineLevel="0" collapsed="false">
      <c r="B8" s="16" t="str">
        <f aca="false">CUR&amp;"  "&amp;CUR_EN</f>
        <v>ريال سعودي  S.R</v>
      </c>
      <c r="C8" s="16"/>
      <c r="D8" s="16"/>
      <c r="Z8" s="4" t="n">
        <f aca="false">ROUND(Z6+Z7,2)</f>
        <v>3000</v>
      </c>
    </row>
    <row r="9" customFormat="false" ht="30" hidden="false" customHeight="true" outlineLevel="0" collapsed="false">
      <c r="B9" s="17" t="str">
        <f aca="false">IF(Z5=0,"","#   "&amp;TEXT(Z5,"#,##0.00")&amp;"   #")</f>
        <v>#   3,000.00   #</v>
      </c>
      <c r="C9" s="17"/>
      <c r="D9" s="17"/>
      <c r="K9" s="18" t="s">
        <v>9</v>
      </c>
      <c r="L9" s="18"/>
      <c r="M9" s="18"/>
      <c r="N9" s="18"/>
    </row>
    <row r="10" customFormat="false" ht="24" hidden="false" customHeight="true" outlineLevel="0" collapsed="false">
      <c r="K10" s="19" t="s">
        <v>10</v>
      </c>
      <c r="L10" s="20" t="n">
        <v>1001</v>
      </c>
      <c r="M10" s="21" t="s">
        <v>11</v>
      </c>
      <c r="N10" s="21"/>
    </row>
    <row r="11" customFormat="false" ht="24" hidden="false" customHeight="true" outlineLevel="0" collapsed="false">
      <c r="B11" s="22" t="s">
        <v>12</v>
      </c>
      <c r="C11" s="23" t="n">
        <v>46249</v>
      </c>
      <c r="D11" s="23"/>
      <c r="E11" s="22" t="s">
        <v>13</v>
      </c>
      <c r="F11" s="24" t="n">
        <f aca="false">IF(ISNUMBER(C11),C11,"")</f>
        <v>46249</v>
      </c>
      <c r="G11" s="24"/>
      <c r="I11" s="25" t="s">
        <v>14</v>
      </c>
      <c r="K11" s="21" t="s">
        <v>15</v>
      </c>
      <c r="L11" s="21"/>
      <c r="M11" s="21" t="s">
        <v>16</v>
      </c>
      <c r="N11" s="21"/>
    </row>
    <row r="12" customFormat="false" ht="24" hidden="false" customHeight="true" outlineLevel="0" collapsed="false">
      <c r="B12" s="22" t="s">
        <v>17</v>
      </c>
      <c r="C12" s="26" t="s">
        <v>18</v>
      </c>
      <c r="D12" s="26"/>
      <c r="E12" s="26"/>
      <c r="F12" s="26"/>
      <c r="G12" s="26"/>
      <c r="H12" s="26"/>
      <c r="I12" s="25" t="s">
        <v>19</v>
      </c>
      <c r="K12" s="27" t="s">
        <v>20</v>
      </c>
      <c r="L12" s="27"/>
      <c r="M12" s="27"/>
      <c r="N12" s="27"/>
    </row>
    <row r="13" customFormat="false" ht="24" hidden="false" customHeight="true" outlineLevel="0" collapsed="false">
      <c r="B13" s="22" t="s">
        <v>21</v>
      </c>
      <c r="C13" s="28" t="str">
        <f aca="false">IF(Z5=0,"","فقط "&amp;IF(INT(ROUND(Z5,2))=0,"صفر",MID(IF(INT(INT(ROUND(Z5,2))/1000000)&gt;0," و"&amp;INDEX(تفقيط!$D$2:$D$1001,INT(INT(ROUND(Z5,2))/1000000)+1),"")&amp;IF(INT(MOD(INT(ROUND(Z5,2)),1000000)/1000)&gt;0," و"&amp;INDEX(تفقيط!$C$2:$C$1001,INT(MOD(INT(ROUND(Z5,2)),1000000)/1000)+1),"")&amp;IF(MOD(INT(ROUND(Z5,2)),1000)&gt;0," و"&amp;INDEX(تفقيط!$B$2:$B$1001,MOD(INT(ROUND(Z5,2)),1000)+1),""),3,400))&amp;" "&amp;CUR&amp;IF(ROUND((ROUND(Z5,2)-INT(ROUND(Z5,2)))*100,0)&gt;0," و"&amp;INDEX(تفقيط!$E$2:$E$1001,ROUND((ROUND(Z5,2)-INT(ROUND(Z5,2)))*100,0)+1),"")&amp;" لا غير")</f>
        <v>فقط ثلاثة آلاف ريال سعودي لا غير</v>
      </c>
      <c r="D13" s="28"/>
      <c r="E13" s="28"/>
      <c r="F13" s="28"/>
      <c r="G13" s="28"/>
      <c r="H13" s="28"/>
      <c r="I13" s="25" t="s">
        <v>22</v>
      </c>
    </row>
    <row r="14" customFormat="false" ht="24" hidden="false" customHeight="true" outlineLevel="0" collapsed="false">
      <c r="B14" s="22" t="s">
        <v>23</v>
      </c>
      <c r="C14" s="26" t="s">
        <v>24</v>
      </c>
      <c r="D14" s="26"/>
      <c r="E14" s="26"/>
      <c r="F14" s="26"/>
      <c r="G14" s="26"/>
      <c r="H14" s="26"/>
      <c r="I14" s="25" t="s">
        <v>25</v>
      </c>
      <c r="K14" s="29" t="s">
        <v>26</v>
      </c>
      <c r="L14" s="29"/>
      <c r="M14" s="29"/>
      <c r="N14" s="29"/>
    </row>
    <row r="15" customFormat="false" ht="30" hidden="false" customHeight="true" outlineLevel="0" collapsed="false">
      <c r="B15" s="22" t="s">
        <v>27</v>
      </c>
      <c r="C15" s="30" t="s">
        <v>28</v>
      </c>
      <c r="D15" s="30"/>
      <c r="E15" s="22" t="s">
        <v>29</v>
      </c>
      <c r="F15" s="31"/>
      <c r="G15" s="31"/>
      <c r="I15" s="25" t="s">
        <v>30</v>
      </c>
      <c r="K15" s="32" t="str">
        <f aca="false">IF(Z1="","🆕 سند جديد — لم يُحفظ بعد","💾 سند محفوظ ("&amp;B6&amp;")")&amp;"   |   "&amp;IF(Z5=0,"لا توجد مبالغ",IF(ROUND(Z5-Z8,2)=0,"متوازن ✔","غير متوازن ✘"))</f>
        <v>💾 سند محفوظ (CP-2026-1001)   |   متوازن ✔</v>
      </c>
      <c r="L15" s="32"/>
      <c r="M15" s="32"/>
      <c r="N15" s="32"/>
    </row>
    <row r="16" customFormat="false" ht="24" hidden="false" customHeight="true" outlineLevel="0" collapsed="false">
      <c r="B16" s="22" t="s">
        <v>31</v>
      </c>
      <c r="C16" s="30" t="s">
        <v>32</v>
      </c>
      <c r="D16" s="30"/>
      <c r="E16" s="30"/>
      <c r="F16" s="22" t="s">
        <v>33</v>
      </c>
      <c r="G16" s="30" t="s">
        <v>34</v>
      </c>
      <c r="H16" s="30"/>
      <c r="I16" s="25" t="s">
        <v>35</v>
      </c>
      <c r="K16" s="33" t="s">
        <v>36</v>
      </c>
      <c r="L16" s="33"/>
      <c r="M16" s="33"/>
      <c r="N16" s="33"/>
    </row>
    <row r="17" customFormat="false" ht="15" hidden="false" customHeight="false" outlineLevel="0" collapsed="false">
      <c r="K17" s="33"/>
      <c r="L17" s="33"/>
      <c r="M17" s="33"/>
      <c r="N17" s="33"/>
    </row>
    <row r="18" customFormat="false" ht="15" hidden="false" customHeight="false" outlineLevel="0" collapsed="false">
      <c r="B18" s="34" t="s">
        <v>37</v>
      </c>
      <c r="C18" s="34"/>
      <c r="D18" s="34" t="s">
        <v>38</v>
      </c>
      <c r="E18" s="34"/>
      <c r="F18" s="34" t="s">
        <v>39</v>
      </c>
      <c r="G18" s="34"/>
      <c r="H18" s="34"/>
      <c r="I18" s="34" t="s">
        <v>40</v>
      </c>
      <c r="K18" s="33"/>
      <c r="L18" s="33"/>
      <c r="M18" s="33"/>
      <c r="N18" s="33"/>
    </row>
    <row r="19" customFormat="false" ht="15" hidden="false" customHeight="false" outlineLevel="0" collapsed="false">
      <c r="B19" s="35" t="str">
        <f aca="false">"ريال  "&amp;CUR_EN</f>
        <v>ريال  S.R</v>
      </c>
      <c r="C19" s="35"/>
      <c r="D19" s="35" t="str">
        <f aca="false">"ريال  "&amp;CUR_EN</f>
        <v>ريال  S.R</v>
      </c>
      <c r="E19" s="35"/>
      <c r="F19" s="34"/>
      <c r="G19" s="34"/>
      <c r="H19" s="34"/>
      <c r="I19" s="34"/>
    </row>
    <row r="20" customFormat="false" ht="21" hidden="false" customHeight="true" outlineLevel="0" collapsed="false">
      <c r="B20" s="36" t="n">
        <v>3000</v>
      </c>
      <c r="C20" s="36"/>
      <c r="D20" s="36"/>
      <c r="E20" s="36"/>
      <c r="F20" s="37" t="s">
        <v>41</v>
      </c>
      <c r="G20" s="37"/>
      <c r="H20" s="37"/>
      <c r="I20" s="38" t="s">
        <v>34</v>
      </c>
      <c r="K20" s="29" t="s">
        <v>42</v>
      </c>
      <c r="L20" s="29"/>
      <c r="M20" s="29"/>
      <c r="N20" s="29"/>
    </row>
    <row r="21" customFormat="false" ht="21" hidden="false" customHeight="true" outlineLevel="0" collapsed="false">
      <c r="B21" s="36"/>
      <c r="C21" s="36"/>
      <c r="D21" s="36"/>
      <c r="E21" s="36"/>
      <c r="F21" s="37"/>
      <c r="G21" s="37"/>
      <c r="H21" s="37"/>
      <c r="I21" s="38"/>
      <c r="K21" s="19" t="s">
        <v>43</v>
      </c>
      <c r="L21" s="39" t="s">
        <v>44</v>
      </c>
      <c r="M21" s="39"/>
      <c r="N21" s="39"/>
    </row>
    <row r="22" customFormat="false" ht="21" hidden="false" customHeight="true" outlineLevel="0" collapsed="false">
      <c r="B22" s="36"/>
      <c r="C22" s="36"/>
      <c r="D22" s="36"/>
      <c r="E22" s="36"/>
      <c r="F22" s="37"/>
      <c r="G22" s="37"/>
      <c r="H22" s="37"/>
      <c r="I22" s="38"/>
      <c r="K22" s="19" t="s">
        <v>45</v>
      </c>
      <c r="L22" s="40" t="n">
        <v>1</v>
      </c>
    </row>
    <row r="23" customFormat="false" ht="21" hidden="false" customHeight="true" outlineLevel="0" collapsed="false">
      <c r="B23" s="36"/>
      <c r="C23" s="36"/>
      <c r="D23" s="36"/>
      <c r="E23" s="36"/>
      <c r="F23" s="37"/>
      <c r="G23" s="37"/>
      <c r="H23" s="37"/>
      <c r="I23" s="38"/>
    </row>
    <row r="24" customFormat="false" ht="21" hidden="false" customHeight="true" outlineLevel="0" collapsed="false">
      <c r="B24" s="36"/>
      <c r="C24" s="36"/>
      <c r="D24" s="36"/>
      <c r="E24" s="36"/>
      <c r="F24" s="37"/>
      <c r="G24" s="37"/>
      <c r="H24" s="37"/>
      <c r="I24" s="38"/>
      <c r="K24" s="41" t="s">
        <v>46</v>
      </c>
      <c r="L24" s="41"/>
      <c r="M24" s="41"/>
      <c r="N24" s="41"/>
    </row>
    <row r="25" customFormat="false" ht="27.75" hidden="false" customHeight="true" outlineLevel="0" collapsed="false">
      <c r="B25" s="36"/>
      <c r="C25" s="36"/>
      <c r="D25" s="36"/>
      <c r="E25" s="36"/>
      <c r="F25" s="37"/>
      <c r="G25" s="37"/>
      <c r="H25" s="37"/>
      <c r="I25" s="38"/>
      <c r="K25" s="42" t="s">
        <v>47</v>
      </c>
      <c r="L25" s="43" t="n">
        <f aca="false">COUNT('سجل السندات'!$A$5:$A$20000)</f>
        <v>3</v>
      </c>
      <c r="M25" s="42" t="s">
        <v>48</v>
      </c>
      <c r="N25" s="43" t="n">
        <f aca="false">IF(COUNT('سجل السندات'!$A$5:$A$20000)=0,"-",MAX('سجل السندات'!$A$5:$A$20000))</f>
        <v>1003</v>
      </c>
    </row>
    <row r="26" customFormat="false" ht="27.75" hidden="false" customHeight="true" outlineLevel="0" collapsed="false">
      <c r="B26" s="36"/>
      <c r="C26" s="36"/>
      <c r="D26" s="36"/>
      <c r="E26" s="36"/>
      <c r="F26" s="37"/>
      <c r="G26" s="37"/>
      <c r="H26" s="37"/>
      <c r="I26" s="38"/>
      <c r="K26" s="42" t="s">
        <v>49</v>
      </c>
      <c r="L26" s="44" t="n">
        <f aca="true">SUMIFS('سجل السندات'!$L$5:$L$20000,'سجل السندات'!$C$5:$C$20000,TODAY())</f>
        <v>0</v>
      </c>
      <c r="M26" s="42" t="s">
        <v>50</v>
      </c>
      <c r="N26" s="44" t="n">
        <f aca="true">SUMIFS('سجل السندات'!$L$5:$L$20000,'سجل السندات'!$C$5:$C$20000,"&gt;="&amp;DATE(YEAR(TODAY()),MONTH(TODAY()),1),'سجل السندات'!$C$5:$C$20000,"&lt;="&amp;TODAY())</f>
        <v>4830</v>
      </c>
    </row>
    <row r="27" customFormat="false" ht="21" hidden="false" customHeight="true" outlineLevel="0" collapsed="false">
      <c r="B27" s="36"/>
      <c r="C27" s="36"/>
      <c r="D27" s="36"/>
      <c r="E27" s="36"/>
      <c r="F27" s="37"/>
      <c r="G27" s="37"/>
      <c r="H27" s="37"/>
      <c r="I27" s="38"/>
    </row>
    <row r="28" customFormat="false" ht="21" hidden="false" customHeight="true" outlineLevel="0" collapsed="false">
      <c r="B28" s="36"/>
      <c r="C28" s="36"/>
      <c r="D28" s="36"/>
      <c r="E28" s="36"/>
      <c r="F28" s="37"/>
      <c r="G28" s="37"/>
      <c r="H28" s="37"/>
      <c r="I28" s="38"/>
      <c r="K28" s="45" t="s">
        <v>51</v>
      </c>
      <c r="L28" s="45"/>
      <c r="M28" s="46" t="s">
        <v>52</v>
      </c>
      <c r="N28" s="46"/>
    </row>
    <row r="29" customFormat="false" ht="21" hidden="false" customHeight="true" outlineLevel="0" collapsed="false">
      <c r="B29" s="36"/>
      <c r="C29" s="36"/>
      <c r="D29" s="36"/>
      <c r="E29" s="36"/>
      <c r="F29" s="37"/>
      <c r="G29" s="37"/>
      <c r="H29" s="37"/>
      <c r="I29" s="38"/>
      <c r="K29" s="47" t="s">
        <v>53</v>
      </c>
      <c r="L29" s="47"/>
      <c r="M29" s="48" t="s">
        <v>54</v>
      </c>
      <c r="N29" s="48"/>
    </row>
    <row r="30" customFormat="false" ht="21" hidden="false" customHeight="true" outlineLevel="0" collapsed="false">
      <c r="B30" s="49"/>
      <c r="C30" s="49"/>
      <c r="D30" s="50" t="n">
        <f aca="false">IF(Z7&gt;0,Z7,"")</f>
        <v>3000</v>
      </c>
      <c r="E30" s="50"/>
      <c r="F30" s="51" t="str">
        <f aca="false">IF(Z7&gt;0,IF(C16="","⚠ اختر حساب «يُصرف من»",C16),"")</f>
        <v>الرياض 940</v>
      </c>
      <c r="G30" s="51"/>
      <c r="H30" s="51"/>
      <c r="I30" s="49" t="str">
        <f aca="false">IF(Z7&gt;0,G16,"")</f>
        <v>مكة</v>
      </c>
    </row>
    <row r="31" customFormat="false" ht="25.5" hidden="false" customHeight="true" outlineLevel="0" collapsed="false">
      <c r="B31" s="52" t="n">
        <f aca="false">Z5</f>
        <v>3000</v>
      </c>
      <c r="C31" s="52"/>
      <c r="D31" s="52" t="n">
        <f aca="false">Z8</f>
        <v>3000</v>
      </c>
      <c r="E31" s="52"/>
      <c r="F31" s="53" t="s">
        <v>55</v>
      </c>
      <c r="G31" s="53"/>
      <c r="H31" s="53"/>
      <c r="I31" s="54" t="s">
        <v>56</v>
      </c>
      <c r="K31" s="55" t="s">
        <v>57</v>
      </c>
      <c r="L31" s="55"/>
      <c r="M31" s="55"/>
      <c r="N31" s="55"/>
    </row>
    <row r="32" customFormat="false" ht="15" hidden="false" customHeight="true" outlineLevel="0" collapsed="false">
      <c r="B32" s="56" t="str">
        <f aca="false">IF(ROUND(Z5-Z8,2)&lt;&gt;0,"⚠ غير متوازن: الدائن اليدوي أكبر من المدين بمقدار "&amp;TEXT(Z6-Z5,"#,##0.00"),"")</f>
        <v/>
      </c>
      <c r="C32" s="56"/>
      <c r="D32" s="56"/>
      <c r="E32" s="56"/>
      <c r="F32" s="56"/>
      <c r="G32" s="56"/>
      <c r="H32" s="56"/>
      <c r="I32" s="56"/>
      <c r="K32" s="55" t="s">
        <v>58</v>
      </c>
      <c r="L32" s="55"/>
      <c r="M32" s="55"/>
      <c r="N32" s="55"/>
    </row>
    <row r="33" customFormat="false" ht="15" hidden="false" customHeight="true" outlineLevel="0" collapsed="false">
      <c r="K33" s="55" t="s">
        <v>59</v>
      </c>
      <c r="L33" s="55"/>
      <c r="M33" s="55"/>
      <c r="N33" s="55"/>
    </row>
    <row r="34" customFormat="false" ht="15" hidden="false" customHeight="true" outlineLevel="0" collapsed="false">
      <c r="B34" s="57" t="s">
        <v>60</v>
      </c>
      <c r="C34" s="57"/>
      <c r="D34" s="57" t="s">
        <v>61</v>
      </c>
      <c r="E34" s="57"/>
      <c r="F34" s="57" t="s">
        <v>62</v>
      </c>
      <c r="G34" s="57"/>
      <c r="H34" s="57" t="s">
        <v>63</v>
      </c>
      <c r="I34" s="57"/>
      <c r="K34" s="55" t="s">
        <v>64</v>
      </c>
      <c r="L34" s="55"/>
      <c r="M34" s="55"/>
      <c r="N34" s="55"/>
    </row>
    <row r="35" customFormat="false" ht="24" hidden="false" customHeight="true" outlineLevel="0" collapsed="false">
      <c r="B35" s="58" t="s">
        <v>18</v>
      </c>
      <c r="C35" s="58"/>
      <c r="D35" s="59" t="str">
        <f aca="false">IF(CASHIER="","",CASHIER)</f>
        <v>احمد عبدالعظيم</v>
      </c>
      <c r="E35" s="59"/>
      <c r="F35" s="59" t="str">
        <f aca="false">IF(ACCOUNTANT="","",ACCOUNTANT)</f>
        <v/>
      </c>
      <c r="G35" s="59"/>
      <c r="H35" s="59" t="str">
        <f aca="false">IF(GM="","",GM)</f>
        <v>حيدر شماع</v>
      </c>
      <c r="I35" s="59"/>
    </row>
    <row r="36" customFormat="false" ht="33.75" hidden="false" customHeight="true" outlineLevel="0" collapsed="false">
      <c r="B36" s="60" t="s">
        <v>65</v>
      </c>
      <c r="C36" s="60"/>
      <c r="D36" s="60" t="s">
        <v>65</v>
      </c>
      <c r="E36" s="60"/>
      <c r="F36" s="60" t="s">
        <v>65</v>
      </c>
      <c r="G36" s="60"/>
      <c r="H36" s="60" t="s">
        <v>65</v>
      </c>
      <c r="I36" s="60"/>
    </row>
    <row r="38" customFormat="false" ht="15" hidden="false" customHeight="false" outlineLevel="0" collapsed="false">
      <c r="B38" s="61" t="str">
        <f aca="true">"تاريخ الطباعة: "&amp;TEXT(NOW(),"dd/mm/yyyy hh:mm")&amp;"   |   "&amp;B6</f>
        <v>تاريخ الطباعة: 29/09/2026 10:17   |   CP-2026-1001</v>
      </c>
      <c r="C38" s="61"/>
      <c r="D38" s="61"/>
      <c r="E38" s="61"/>
      <c r="F38" s="61"/>
      <c r="G38" s="61"/>
      <c r="H38" s="61"/>
      <c r="I38" s="61"/>
    </row>
  </sheetData>
  <sheetProtection sheet="true"/>
  <mergeCells count="103">
    <mergeCell ref="B1:I1"/>
    <mergeCell ref="B2:I2"/>
    <mergeCell ref="K2:N2"/>
    <mergeCell ref="B3:I3"/>
    <mergeCell ref="K3:N3"/>
    <mergeCell ref="K4:N4"/>
    <mergeCell ref="B5:C5"/>
    <mergeCell ref="D5:G5"/>
    <mergeCell ref="H5:I5"/>
    <mergeCell ref="K5:L5"/>
    <mergeCell ref="M5:N5"/>
    <mergeCell ref="B6:C6"/>
    <mergeCell ref="D6:G6"/>
    <mergeCell ref="K6:L6"/>
    <mergeCell ref="M6:N6"/>
    <mergeCell ref="K7:L7"/>
    <mergeCell ref="M7:N7"/>
    <mergeCell ref="B8:D8"/>
    <mergeCell ref="B9:D9"/>
    <mergeCell ref="K9:N9"/>
    <mergeCell ref="M10:N10"/>
    <mergeCell ref="C11:D11"/>
    <mergeCell ref="F11:G11"/>
    <mergeCell ref="K11:L11"/>
    <mergeCell ref="M11:N11"/>
    <mergeCell ref="C12:H12"/>
    <mergeCell ref="K12:N12"/>
    <mergeCell ref="C13:H13"/>
    <mergeCell ref="C14:H14"/>
    <mergeCell ref="K14:N14"/>
    <mergeCell ref="C15:D15"/>
    <mergeCell ref="F15:G15"/>
    <mergeCell ref="K15:N15"/>
    <mergeCell ref="C16:E16"/>
    <mergeCell ref="G16:H16"/>
    <mergeCell ref="K16:N18"/>
    <mergeCell ref="B18:C18"/>
    <mergeCell ref="D18:E18"/>
    <mergeCell ref="F18:H19"/>
    <mergeCell ref="I18:I19"/>
    <mergeCell ref="B19:C19"/>
    <mergeCell ref="D19:E19"/>
    <mergeCell ref="B20:C20"/>
    <mergeCell ref="D20:E20"/>
    <mergeCell ref="F20:H20"/>
    <mergeCell ref="K20:N20"/>
    <mergeCell ref="B21:C21"/>
    <mergeCell ref="D21:E21"/>
    <mergeCell ref="F21:H21"/>
    <mergeCell ref="L21:N21"/>
    <mergeCell ref="B22:C22"/>
    <mergeCell ref="D22:E22"/>
    <mergeCell ref="F22:H22"/>
    <mergeCell ref="B23:C23"/>
    <mergeCell ref="D23:E23"/>
    <mergeCell ref="F23:H23"/>
    <mergeCell ref="B24:C24"/>
    <mergeCell ref="D24:E24"/>
    <mergeCell ref="F24:H24"/>
    <mergeCell ref="K24:N24"/>
    <mergeCell ref="B25:C25"/>
    <mergeCell ref="D25:E25"/>
    <mergeCell ref="F25:H25"/>
    <mergeCell ref="B26:C26"/>
    <mergeCell ref="D26:E26"/>
    <mergeCell ref="F26:H26"/>
    <mergeCell ref="B27:C27"/>
    <mergeCell ref="D27:E27"/>
    <mergeCell ref="F27:H27"/>
    <mergeCell ref="B28:C28"/>
    <mergeCell ref="D28:E28"/>
    <mergeCell ref="F28:H28"/>
    <mergeCell ref="K28:L28"/>
    <mergeCell ref="M28:N28"/>
    <mergeCell ref="B29:C29"/>
    <mergeCell ref="D29:E29"/>
    <mergeCell ref="F29:H29"/>
    <mergeCell ref="K29:L29"/>
    <mergeCell ref="M29:N29"/>
    <mergeCell ref="B30:C30"/>
    <mergeCell ref="D30:E30"/>
    <mergeCell ref="F30:H30"/>
    <mergeCell ref="B31:C31"/>
    <mergeCell ref="D31:E31"/>
    <mergeCell ref="F31:H31"/>
    <mergeCell ref="K31:N31"/>
    <mergeCell ref="B32:I32"/>
    <mergeCell ref="K32:N32"/>
    <mergeCell ref="K33:N33"/>
    <mergeCell ref="B34:C34"/>
    <mergeCell ref="D34:E34"/>
    <mergeCell ref="F34:G34"/>
    <mergeCell ref="H34:I34"/>
    <mergeCell ref="K34:N34"/>
    <mergeCell ref="B35:C35"/>
    <mergeCell ref="D35:E35"/>
    <mergeCell ref="F35:G35"/>
    <mergeCell ref="H35:I35"/>
    <mergeCell ref="B36:C36"/>
    <mergeCell ref="D36:E36"/>
    <mergeCell ref="F36:G36"/>
    <mergeCell ref="H36:I36"/>
    <mergeCell ref="B38:I38"/>
  </mergeCells>
  <conditionalFormatting sqref="K3">
    <cfRule type="expression" priority="2" aboveAverage="0" equalAverage="0" bottom="0" percent="0" rank="0" text="" dxfId="0">
      <formula>النظام!$B$1&lt;&gt;1</formula>
    </cfRule>
  </conditionalFormatting>
  <conditionalFormatting sqref="K15">
    <cfRule type="expression" priority="3" aboveAverage="0" equalAverage="0" bottom="0" percent="0" rank="0" text="" dxfId="0">
      <formula>ISNUMBER(SEARCH("✘",K15))</formula>
    </cfRule>
    <cfRule type="expression" priority="4" aboveAverage="0" equalAverage="0" bottom="0" percent="0" rank="0" text="" dxfId="1">
      <formula>Z1=""</formula>
    </cfRule>
  </conditionalFormatting>
  <dataValidations count="10">
    <dataValidation allowBlank="true" error="اكتب التاريخ بالشكل يوم/شهر/سنة" errorStyle="stop" errorTitle="تاريخ غير صحيح" operator="between" showDropDown="false" showErrorMessage="true" showInputMessage="false" sqref="C11" type="date">
      <formula1>DATE(2000,1,1)</formula1>
      <formula2>DATE(2100,12,31)</formula2>
    </dataValidation>
    <dataValidation allowBlank="true" error="اختر من القائمة المنسدلة (أو أضف القيمة في ورقة الإعدادات)." errorStyle="stop" errorTitle="قيمة غير موجودة في القائمة" operator="between" prompt="اختر طريقة الدفع — يتغير عنوان السند تلقائياً" promptTitle="تلميح" showDropDown="false" showErrorMessage="true" showInputMessage="true" sqref="C15" type="list">
      <formula1>PAY_METHODS</formula1>
      <formula2>0</formula2>
    </dataValidation>
    <dataValidation allowBlank="true" error="اختر من القائمة المنسدلة (أو أضف القيمة في ورقة الإعدادات)." errorStyle="warning" errorTitle="قيمة غير موجودة في القائمة" operator="between" prompt="الحساب الدائن (الصندوق/البنك) — يُحسب مبلغه تلقائياً" promptTitle="تلميح" showDropDown="false" showErrorMessage="true" showInputMessage="true" sqref="C16" type="list">
      <formula1>ACCOUNTS</formula1>
      <formula2>0</formula2>
    </dataValidation>
    <dataValidation allowBlank="true" error="اختر من القائمة المنسدلة (أو أضف القيمة في ورقة الإعدادات)." errorStyle="stop" errorTitle="قيمة غير موجودة في القائمة" operator="between" showDropDown="false" showErrorMessage="true" showInputMessage="false" sqref="G16" type="list">
      <formula1>BRANCHES</formula1>
      <formula2>0</formula2>
    </dataValidation>
    <dataValidation allowBlank="true" error="اختر من القائمة المنسدلة (أو أضف القيمة في ورقة الإعدادات)." errorStyle="warning" errorTitle="قيمة غير موجودة في القائمة" operator="between" prompt="اختر من القائمة أو اكتب بياناً حراً" promptTitle="تلميح" showDropDown="false" showErrorMessage="true" showInputMessage="true" sqref="F20:F29" type="list">
      <formula1>ACCOUNTS</formula1>
      <formula2>0</formula2>
    </dataValidation>
    <dataValidation allowBlank="true" error="اختر من القائمة المنسدلة (أو أضف القيمة في ورقة الإعدادات)." errorStyle="stop" errorTitle="قيمة غير موجودة في القائمة" operator="between" prompt="اتركه فارغاً ليأخذ فرع الصرف" promptTitle="تلميح" showDropDown="false" showErrorMessage="true" showInputMessage="true" sqref="I20:I29" type="list">
      <formula1>BRANCHES</formula1>
      <formula2>0</formula2>
    </dataValidation>
    <dataValidation allowBlank="true" error="المبلغ يجب أن يكون رقماً موجباً" errorStyle="stop" errorTitle="مبلغ غير صحيح" operator="greaterThanOrEqual" showDropDown="false" showErrorMessage="true" showInputMessage="false" sqref="B20:B29 D20:D29" type="decimal">
      <formula1>0</formula1>
      <formula2>0</formula2>
    </dataValidation>
    <dataValidation allowBlank="true" error="اختر من القائمة المنسدلة (أو أضف القيمة في ورقة الإعدادات)." errorStyle="stop" errorTitle="قيمة غير موجودة في القائمة" operator="between" prompt="اختر رقم السند — يُفتح تلقائياً" promptTitle="تلميح" showDropDown="false" showErrorMessage="true" showInputMessage="true" sqref="L10" type="list">
      <formula1>V_NOS</formula1>
      <formula2>0</formula2>
    </dataValidation>
    <dataValidation allowBlank="true" error="اختر من القائمة المنسدلة (أو أضف القيمة في ورقة الإعدادات)." errorStyle="stop" errorTitle="قيمة غير موجودة في القائمة" operator="between" showDropDown="false" showErrorMessage="true" showInputMessage="false" sqref="L21" type="list">
      <formula1>"الأصل,صورة - الحسابات,صورة - الصندوق,صورة - المستفيد"</formula1>
      <formula2>0</formula2>
    </dataValidation>
    <dataValidation allowBlank="true" errorStyle="stop" operator="between" showDropDown="false" showErrorMessage="false" showInputMessage="false" sqref="L22" type="whole">
      <formula1>1</formula1>
      <formula2>10</formula2>
    </dataValidation>
  </dataValidations>
  <hyperlinks>
    <hyperlink ref="K4" location="'سند الصرف'!K4" display="💾  حفظ + سند جديد"/>
    <hyperlink ref="K5" location="'سند الصرف'!K5" display="💾 حفظ فقط"/>
    <hyperlink ref="M5" location="'سند الصرف'!M5" display="➕ سند جديد (مسح)"/>
    <hyperlink ref="K6" location="'سند الصرف'!K6" display="🖨 حفظ وطباعة"/>
    <hyperlink ref="M6" location="'سند الصرف'!M6" display="👁 معاينة الطباعة"/>
    <hyperlink ref="K7" location="'سند الصرف'!K7" display="📄 حفظ PDF"/>
    <hyperlink ref="M7" location="'سند الصرف'!M7" display="📋 نسخ كسند جديد"/>
    <hyperlink ref="M10" location="'سند الصرف'!M10" display="📂 فتح السند"/>
    <hyperlink ref="K11" location="'سند الصرف'!K11" display="▶ السابق"/>
    <hyperlink ref="M11" location="'سند الصرف'!M11" display="التالي ◀"/>
    <hyperlink ref="K12" location="'سند الصرف'!K12" display="🗑 حذف السند المعروض"/>
    <hyperlink ref="K28" location="'سجل السندات'!A1" display="🧾 سجل السندات"/>
    <hyperlink ref="M28" location="'بنود السندات'!A1" display="📋 بنود السندات"/>
    <hyperlink ref="K29" location="'التقارير'!A1" display="📊 التقارير"/>
    <hyperlink ref="M29" location="'الإعدادات'!A1" display="⚙ الإعدادات"/>
  </hyperlinks>
  <printOptions headings="false" gridLines="false" gridLinesSet="true" horizontalCentered="true" verticalCentered="false"/>
  <pageMargins left="0.4" right="0.4" top="0.4" bottom="0.4" header="0.511811023622047" footer="0.511811023622047"/>
  <pageSetup paperSize="9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codeName="shReg" filterMode="false">
    <tabColor rgb="FF1F3A5F"/>
    <pageSetUpPr fitToPage="true"/>
  </sheetPr>
  <dimension ref="A1:P1007"/>
  <sheetViews>
    <sheetView showFormulas="false" showGridLines="false" showRowColHeaders="true" showZeros="true" rightToLeft="true" tabSelected="false" showOutlineSymbols="true" defaultGridColor="true" view="normal" topLeftCell="A1" colorId="64" zoomScale="90" zoomScaleNormal="90" zoomScalePageLayoutView="100" workbookViewId="0">
      <pane xSplit="2" ySplit="4" topLeftCell="C5" activePane="bottomRight" state="frozen"/>
      <selection pane="topLeft" activeCell="A1" activeCellId="0" sqref="A1"/>
      <selection pane="topRight" activeCell="C1" activeCellId="0" sqref="C1"/>
      <selection pane="bottomLeft" activeCell="A5" activeCellId="0" sqref="A5"/>
      <selection pane="bottomRigh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0"/>
    <col collapsed="false" customWidth="true" hidden="false" outlineLevel="0" max="2" min="2" style="0" width="16"/>
    <col collapsed="false" customWidth="true" hidden="false" outlineLevel="0" max="3" min="3" style="0" width="12"/>
    <col collapsed="false" customWidth="true" hidden="false" outlineLevel="0" max="4" min="4" style="0" width="24"/>
    <col collapsed="false" customWidth="true" hidden="false" outlineLevel="0" max="5" min="5" style="0" width="12"/>
    <col collapsed="false" customWidth="true" hidden="false" outlineLevel="0" max="6" min="6" style="0" width="14"/>
    <col collapsed="false" customWidth="true" hidden="false" outlineLevel="0" max="7" min="7" style="0" width="30"/>
    <col collapsed="false" customWidth="true" hidden="false" outlineLevel="0" max="8" min="8" style="0" width="18"/>
    <col collapsed="false" customWidth="true" hidden="false" outlineLevel="0" max="9" min="9" style="0" width="12"/>
    <col collapsed="false" customWidth="true" hidden="false" outlineLevel="0" max="10" min="10" style="0" width="24"/>
    <col collapsed="false" customWidth="true" hidden="false" outlineLevel="0" max="11" min="11" style="0" width="18"/>
    <col collapsed="false" customWidth="true" hidden="false" outlineLevel="0" max="12" min="12" style="0" width="14"/>
    <col collapsed="false" customWidth="true" hidden="false" outlineLevel="0" max="13" min="13" style="0" width="55"/>
    <col collapsed="false" customWidth="true" hidden="false" outlineLevel="0" max="14" min="14" style="0" width="7"/>
    <col collapsed="false" customWidth="true" hidden="false" outlineLevel="0" max="15" min="15" style="0" width="16"/>
    <col collapsed="false" customWidth="true" hidden="false" outlineLevel="0" max="16" min="16" style="0" width="14"/>
  </cols>
  <sheetData>
    <row r="1" customFormat="false" ht="33.75" hidden="false" customHeight="true" outlineLevel="0" collapsed="false">
      <c r="A1" s="62" t="s">
        <v>66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</row>
    <row r="2" customFormat="false" ht="19.5" hidden="false" customHeight="true" outlineLevel="0" collapsed="false">
      <c r="A2" s="63" t="s">
        <v>67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</row>
    <row r="3" customFormat="false" ht="15" hidden="false" customHeight="false" outlineLevel="0" collapsed="false">
      <c r="A3" s="64" t="str">
        <f aca="false">"عدد السندات: "&amp;COUNT(A5:A20000)&amp;"   |   الإجمالي: "&amp;TEXT(SUM(L5:L20000),"#,##0.00")&amp;" "&amp;CUR_EN</f>
        <v>عدد السندات: 3   |   الإجمالي: 45,330.50 S.R</v>
      </c>
      <c r="B3" s="64"/>
      <c r="C3" s="64"/>
      <c r="D3" s="64"/>
      <c r="E3" s="64"/>
      <c r="F3" s="64"/>
      <c r="G3" s="65" t="s">
        <v>68</v>
      </c>
      <c r="H3" s="47" t="s">
        <v>53</v>
      </c>
    </row>
    <row r="4" customFormat="false" ht="31.5" hidden="false" customHeight="true" outlineLevel="0" collapsed="false">
      <c r="A4" s="66" t="s">
        <v>69</v>
      </c>
      <c r="B4" s="66" t="s">
        <v>70</v>
      </c>
      <c r="C4" s="66" t="s">
        <v>71</v>
      </c>
      <c r="D4" s="66" t="s">
        <v>72</v>
      </c>
      <c r="E4" s="66" t="s">
        <v>73</v>
      </c>
      <c r="F4" s="66" t="s">
        <v>74</v>
      </c>
      <c r="G4" s="66" t="s">
        <v>75</v>
      </c>
      <c r="H4" s="66" t="s">
        <v>76</v>
      </c>
      <c r="I4" s="66" t="s">
        <v>77</v>
      </c>
      <c r="J4" s="66" t="s">
        <v>78</v>
      </c>
      <c r="K4" s="66" t="s">
        <v>79</v>
      </c>
      <c r="L4" s="66" t="s">
        <v>80</v>
      </c>
      <c r="M4" s="66" t="s">
        <v>81</v>
      </c>
      <c r="N4" s="66" t="s">
        <v>82</v>
      </c>
      <c r="O4" s="66" t="s">
        <v>83</v>
      </c>
      <c r="P4" s="66" t="s">
        <v>84</v>
      </c>
    </row>
    <row r="5" customFormat="false" ht="15" hidden="false" customHeight="false" outlineLevel="0" collapsed="false">
      <c r="A5" s="67" t="n">
        <v>1001</v>
      </c>
      <c r="B5" s="68" t="s">
        <v>85</v>
      </c>
      <c r="C5" s="69" t="n">
        <v>46249</v>
      </c>
      <c r="D5" s="68" t="s">
        <v>18</v>
      </c>
      <c r="E5" s="70" t="s">
        <v>28</v>
      </c>
      <c r="F5" s="71"/>
      <c r="G5" s="68" t="s">
        <v>24</v>
      </c>
      <c r="H5" s="68" t="s">
        <v>32</v>
      </c>
      <c r="I5" s="70" t="s">
        <v>34</v>
      </c>
      <c r="J5" s="68" t="s">
        <v>55</v>
      </c>
      <c r="K5" s="68" t="s">
        <v>18</v>
      </c>
      <c r="L5" s="72" t="n">
        <v>3000</v>
      </c>
      <c r="M5" s="73" t="s">
        <v>86</v>
      </c>
      <c r="N5" s="70" t="n">
        <v>2</v>
      </c>
      <c r="O5" s="74" t="n">
        <v>46294.375</v>
      </c>
      <c r="P5" s="68" t="s">
        <v>87</v>
      </c>
    </row>
    <row r="6" customFormat="false" ht="15" hidden="false" customHeight="false" outlineLevel="0" collapsed="false">
      <c r="A6" s="67" t="n">
        <v>1002</v>
      </c>
      <c r="B6" s="68" t="s">
        <v>88</v>
      </c>
      <c r="C6" s="69" t="n">
        <v>46254</v>
      </c>
      <c r="D6" s="68" t="s">
        <v>89</v>
      </c>
      <c r="E6" s="70" t="s">
        <v>90</v>
      </c>
      <c r="F6" s="71" t="s">
        <v>91</v>
      </c>
      <c r="G6" s="68" t="s">
        <v>92</v>
      </c>
      <c r="H6" s="68" t="s">
        <v>93</v>
      </c>
      <c r="I6" s="70" t="s">
        <v>34</v>
      </c>
      <c r="J6" s="68" t="s">
        <v>94</v>
      </c>
      <c r="K6" s="68" t="s">
        <v>95</v>
      </c>
      <c r="L6" s="72" t="n">
        <v>37500.5</v>
      </c>
      <c r="M6" s="73" t="s">
        <v>96</v>
      </c>
      <c r="N6" s="70" t="n">
        <v>3</v>
      </c>
      <c r="O6" s="74" t="n">
        <v>46294.375</v>
      </c>
      <c r="P6" s="68" t="s">
        <v>87</v>
      </c>
    </row>
    <row r="7" customFormat="false" ht="15" hidden="false" customHeight="false" outlineLevel="0" collapsed="false">
      <c r="A7" s="67" t="n">
        <v>1003</v>
      </c>
      <c r="B7" s="68" t="s">
        <v>97</v>
      </c>
      <c r="C7" s="69" t="n">
        <v>46268</v>
      </c>
      <c r="D7" s="68" t="s">
        <v>98</v>
      </c>
      <c r="E7" s="70" t="s">
        <v>99</v>
      </c>
      <c r="F7" s="71" t="s">
        <v>100</v>
      </c>
      <c r="G7" s="68" t="s">
        <v>101</v>
      </c>
      <c r="H7" s="68" t="s">
        <v>102</v>
      </c>
      <c r="I7" s="70" t="s">
        <v>103</v>
      </c>
      <c r="J7" s="68" t="s">
        <v>104</v>
      </c>
      <c r="K7" s="68" t="s">
        <v>105</v>
      </c>
      <c r="L7" s="72" t="n">
        <v>4830</v>
      </c>
      <c r="M7" s="73" t="s">
        <v>106</v>
      </c>
      <c r="N7" s="70" t="n">
        <v>3</v>
      </c>
      <c r="O7" s="74" t="n">
        <v>46294.375</v>
      </c>
      <c r="P7" s="68" t="s">
        <v>87</v>
      </c>
    </row>
    <row r="8" customFormat="false" ht="15" hidden="false" customHeight="false" outlineLevel="0" collapsed="false">
      <c r="A8" s="67"/>
      <c r="B8" s="68"/>
      <c r="C8" s="70"/>
      <c r="D8" s="68"/>
      <c r="E8" s="70"/>
      <c r="F8" s="68"/>
      <c r="G8" s="68"/>
      <c r="H8" s="68"/>
      <c r="I8" s="70"/>
      <c r="J8" s="68"/>
      <c r="K8" s="68"/>
      <c r="L8" s="68"/>
      <c r="M8" s="73"/>
      <c r="N8" s="70"/>
      <c r="O8" s="70"/>
      <c r="P8" s="68"/>
    </row>
    <row r="9" customFormat="false" ht="15" hidden="false" customHeight="false" outlineLevel="0" collapsed="false">
      <c r="A9" s="67"/>
      <c r="B9" s="68"/>
      <c r="C9" s="70"/>
      <c r="D9" s="68"/>
      <c r="E9" s="70"/>
      <c r="F9" s="68"/>
      <c r="G9" s="68"/>
      <c r="H9" s="68"/>
      <c r="I9" s="70"/>
      <c r="J9" s="68"/>
      <c r="K9" s="68"/>
      <c r="L9" s="68"/>
      <c r="M9" s="73"/>
      <c r="N9" s="70"/>
      <c r="O9" s="70"/>
      <c r="P9" s="68"/>
    </row>
    <row r="10" customFormat="false" ht="15" hidden="false" customHeight="false" outlineLevel="0" collapsed="false">
      <c r="A10" s="67"/>
      <c r="B10" s="68"/>
      <c r="C10" s="70"/>
      <c r="D10" s="68"/>
      <c r="E10" s="70"/>
      <c r="F10" s="68"/>
      <c r="G10" s="68"/>
      <c r="H10" s="68"/>
      <c r="I10" s="70"/>
      <c r="J10" s="68"/>
      <c r="K10" s="68"/>
      <c r="L10" s="68"/>
      <c r="M10" s="73"/>
      <c r="N10" s="70"/>
      <c r="O10" s="70"/>
      <c r="P10" s="68"/>
    </row>
    <row r="11" customFormat="false" ht="15" hidden="false" customHeight="false" outlineLevel="0" collapsed="false">
      <c r="A11" s="67"/>
      <c r="B11" s="68"/>
      <c r="C11" s="70"/>
      <c r="D11" s="68"/>
      <c r="E11" s="70"/>
      <c r="F11" s="68"/>
      <c r="G11" s="68"/>
      <c r="H11" s="68"/>
      <c r="I11" s="70"/>
      <c r="J11" s="68"/>
      <c r="K11" s="68"/>
      <c r="L11" s="68"/>
      <c r="M11" s="73"/>
      <c r="N11" s="70"/>
      <c r="O11" s="70"/>
      <c r="P11" s="68"/>
    </row>
    <row r="12" customFormat="false" ht="15" hidden="false" customHeight="false" outlineLevel="0" collapsed="false">
      <c r="A12" s="67"/>
      <c r="B12" s="68"/>
      <c r="C12" s="70"/>
      <c r="D12" s="68"/>
      <c r="E12" s="70"/>
      <c r="F12" s="68"/>
      <c r="G12" s="68"/>
      <c r="H12" s="68"/>
      <c r="I12" s="70"/>
      <c r="J12" s="68"/>
      <c r="K12" s="68"/>
      <c r="L12" s="68"/>
      <c r="M12" s="73"/>
      <c r="N12" s="70"/>
      <c r="O12" s="70"/>
      <c r="P12" s="68"/>
    </row>
    <row r="13" customFormat="false" ht="15" hidden="false" customHeight="false" outlineLevel="0" collapsed="false">
      <c r="A13" s="67"/>
      <c r="B13" s="68"/>
      <c r="C13" s="70"/>
      <c r="D13" s="68"/>
      <c r="E13" s="70"/>
      <c r="F13" s="68"/>
      <c r="G13" s="68"/>
      <c r="H13" s="68"/>
      <c r="I13" s="70"/>
      <c r="J13" s="68"/>
      <c r="K13" s="68"/>
      <c r="L13" s="68"/>
      <c r="M13" s="73"/>
      <c r="N13" s="70"/>
      <c r="O13" s="70"/>
      <c r="P13" s="68"/>
    </row>
    <row r="14" customFormat="false" ht="15" hidden="false" customHeight="false" outlineLevel="0" collapsed="false">
      <c r="A14" s="67"/>
      <c r="B14" s="68"/>
      <c r="C14" s="70"/>
      <c r="D14" s="68"/>
      <c r="E14" s="70"/>
      <c r="F14" s="68"/>
      <c r="G14" s="68"/>
      <c r="H14" s="68"/>
      <c r="I14" s="70"/>
      <c r="J14" s="68"/>
      <c r="K14" s="68"/>
      <c r="L14" s="68"/>
      <c r="M14" s="73"/>
      <c r="N14" s="70"/>
      <c r="O14" s="70"/>
      <c r="P14" s="68"/>
    </row>
    <row r="15" customFormat="false" ht="15" hidden="false" customHeight="false" outlineLevel="0" collapsed="false">
      <c r="A15" s="67"/>
      <c r="B15" s="68"/>
      <c r="C15" s="70"/>
      <c r="D15" s="68"/>
      <c r="E15" s="70"/>
      <c r="F15" s="68"/>
      <c r="G15" s="68"/>
      <c r="H15" s="68"/>
      <c r="I15" s="70"/>
      <c r="J15" s="68"/>
      <c r="K15" s="68"/>
      <c r="L15" s="68"/>
      <c r="M15" s="73"/>
      <c r="N15" s="70"/>
      <c r="O15" s="70"/>
      <c r="P15" s="68"/>
    </row>
    <row r="16" customFormat="false" ht="15" hidden="false" customHeight="false" outlineLevel="0" collapsed="false">
      <c r="A16" s="67"/>
      <c r="B16" s="68"/>
      <c r="C16" s="70"/>
      <c r="D16" s="68"/>
      <c r="E16" s="70"/>
      <c r="F16" s="68"/>
      <c r="G16" s="68"/>
      <c r="H16" s="68"/>
      <c r="I16" s="70"/>
      <c r="J16" s="68"/>
      <c r="K16" s="68"/>
      <c r="L16" s="68"/>
      <c r="M16" s="73"/>
      <c r="N16" s="70"/>
      <c r="O16" s="70"/>
      <c r="P16" s="68"/>
    </row>
    <row r="17" customFormat="false" ht="15" hidden="false" customHeight="false" outlineLevel="0" collapsed="false">
      <c r="A17" s="67"/>
      <c r="B17" s="68"/>
      <c r="C17" s="70"/>
      <c r="D17" s="68"/>
      <c r="E17" s="70"/>
      <c r="F17" s="68"/>
      <c r="G17" s="68"/>
      <c r="H17" s="68"/>
      <c r="I17" s="70"/>
      <c r="J17" s="68"/>
      <c r="K17" s="68"/>
      <c r="L17" s="68"/>
      <c r="M17" s="73"/>
      <c r="N17" s="70"/>
      <c r="O17" s="70"/>
      <c r="P17" s="68"/>
    </row>
    <row r="18" customFormat="false" ht="15" hidden="false" customHeight="false" outlineLevel="0" collapsed="false">
      <c r="A18" s="67"/>
      <c r="B18" s="68"/>
      <c r="C18" s="70"/>
      <c r="D18" s="68"/>
      <c r="E18" s="70"/>
      <c r="F18" s="68"/>
      <c r="G18" s="68"/>
      <c r="H18" s="68"/>
      <c r="I18" s="70"/>
      <c r="J18" s="68"/>
      <c r="K18" s="68"/>
      <c r="L18" s="68"/>
      <c r="M18" s="73"/>
      <c r="N18" s="70"/>
      <c r="O18" s="70"/>
      <c r="P18" s="68"/>
    </row>
    <row r="19" customFormat="false" ht="15" hidden="false" customHeight="false" outlineLevel="0" collapsed="false">
      <c r="A19" s="67"/>
      <c r="B19" s="68"/>
      <c r="C19" s="70"/>
      <c r="D19" s="68"/>
      <c r="E19" s="70"/>
      <c r="F19" s="68"/>
      <c r="G19" s="68"/>
      <c r="H19" s="68"/>
      <c r="I19" s="70"/>
      <c r="J19" s="68"/>
      <c r="K19" s="68"/>
      <c r="L19" s="68"/>
      <c r="M19" s="73"/>
      <c r="N19" s="70"/>
      <c r="O19" s="70"/>
      <c r="P19" s="68"/>
    </row>
    <row r="20" customFormat="false" ht="15" hidden="false" customHeight="false" outlineLevel="0" collapsed="false">
      <c r="A20" s="67"/>
      <c r="B20" s="68"/>
      <c r="C20" s="70"/>
      <c r="D20" s="68"/>
      <c r="E20" s="70"/>
      <c r="F20" s="68"/>
      <c r="G20" s="68"/>
      <c r="H20" s="68"/>
      <c r="I20" s="70"/>
      <c r="J20" s="68"/>
      <c r="K20" s="68"/>
      <c r="L20" s="68"/>
      <c r="M20" s="73"/>
      <c r="N20" s="70"/>
      <c r="O20" s="70"/>
      <c r="P20" s="68"/>
    </row>
    <row r="21" customFormat="false" ht="15" hidden="false" customHeight="false" outlineLevel="0" collapsed="false">
      <c r="A21" s="67"/>
      <c r="B21" s="68"/>
      <c r="C21" s="70"/>
      <c r="D21" s="68"/>
      <c r="E21" s="70"/>
      <c r="F21" s="68"/>
      <c r="G21" s="68"/>
      <c r="H21" s="68"/>
      <c r="I21" s="70"/>
      <c r="J21" s="68"/>
      <c r="K21" s="68"/>
      <c r="L21" s="68"/>
      <c r="M21" s="73"/>
      <c r="N21" s="70"/>
      <c r="O21" s="70"/>
      <c r="P21" s="68"/>
    </row>
    <row r="22" customFormat="false" ht="15" hidden="false" customHeight="false" outlineLevel="0" collapsed="false">
      <c r="A22" s="67"/>
      <c r="B22" s="68"/>
      <c r="C22" s="70"/>
      <c r="D22" s="68"/>
      <c r="E22" s="70"/>
      <c r="F22" s="68"/>
      <c r="G22" s="68"/>
      <c r="H22" s="68"/>
      <c r="I22" s="70"/>
      <c r="J22" s="68"/>
      <c r="K22" s="68"/>
      <c r="L22" s="68"/>
      <c r="M22" s="73"/>
      <c r="N22" s="70"/>
      <c r="O22" s="70"/>
      <c r="P22" s="68"/>
    </row>
    <row r="23" customFormat="false" ht="15" hidden="false" customHeight="false" outlineLevel="0" collapsed="false">
      <c r="A23" s="67"/>
      <c r="B23" s="68"/>
      <c r="C23" s="70"/>
      <c r="D23" s="68"/>
      <c r="E23" s="70"/>
      <c r="F23" s="68"/>
      <c r="G23" s="68"/>
      <c r="H23" s="68"/>
      <c r="I23" s="70"/>
      <c r="J23" s="68"/>
      <c r="K23" s="68"/>
      <c r="L23" s="68"/>
      <c r="M23" s="73"/>
      <c r="N23" s="70"/>
      <c r="O23" s="70"/>
      <c r="P23" s="68"/>
    </row>
    <row r="24" customFormat="false" ht="15" hidden="false" customHeight="false" outlineLevel="0" collapsed="false">
      <c r="A24" s="67"/>
      <c r="B24" s="68"/>
      <c r="C24" s="70"/>
      <c r="D24" s="68"/>
      <c r="E24" s="70"/>
      <c r="F24" s="68"/>
      <c r="G24" s="68"/>
      <c r="H24" s="68"/>
      <c r="I24" s="70"/>
      <c r="J24" s="68"/>
      <c r="K24" s="68"/>
      <c r="L24" s="68"/>
      <c r="M24" s="73"/>
      <c r="N24" s="70"/>
      <c r="O24" s="70"/>
      <c r="P24" s="68"/>
    </row>
    <row r="25" customFormat="false" ht="15" hidden="false" customHeight="false" outlineLevel="0" collapsed="false">
      <c r="A25" s="67"/>
      <c r="B25" s="68"/>
      <c r="C25" s="70"/>
      <c r="D25" s="68"/>
      <c r="E25" s="70"/>
      <c r="F25" s="68"/>
      <c r="G25" s="68"/>
      <c r="H25" s="68"/>
      <c r="I25" s="70"/>
      <c r="J25" s="68"/>
      <c r="K25" s="68"/>
      <c r="L25" s="68"/>
      <c r="M25" s="73"/>
      <c r="N25" s="70"/>
      <c r="O25" s="70"/>
      <c r="P25" s="68"/>
    </row>
    <row r="26" customFormat="false" ht="15" hidden="false" customHeight="false" outlineLevel="0" collapsed="false">
      <c r="A26" s="67"/>
      <c r="B26" s="68"/>
      <c r="C26" s="70"/>
      <c r="D26" s="68"/>
      <c r="E26" s="70"/>
      <c r="F26" s="68"/>
      <c r="G26" s="68"/>
      <c r="H26" s="68"/>
      <c r="I26" s="70"/>
      <c r="J26" s="68"/>
      <c r="K26" s="68"/>
      <c r="L26" s="68"/>
      <c r="M26" s="73"/>
      <c r="N26" s="70"/>
      <c r="O26" s="70"/>
      <c r="P26" s="68"/>
    </row>
    <row r="27" customFormat="false" ht="15" hidden="false" customHeight="false" outlineLevel="0" collapsed="false">
      <c r="A27" s="67"/>
      <c r="B27" s="68"/>
      <c r="C27" s="70"/>
      <c r="D27" s="68"/>
      <c r="E27" s="70"/>
      <c r="F27" s="68"/>
      <c r="G27" s="68"/>
      <c r="H27" s="68"/>
      <c r="I27" s="70"/>
      <c r="J27" s="68"/>
      <c r="K27" s="68"/>
      <c r="L27" s="68"/>
      <c r="M27" s="73"/>
      <c r="N27" s="70"/>
      <c r="O27" s="70"/>
      <c r="P27" s="68"/>
    </row>
    <row r="28" customFormat="false" ht="15" hidden="false" customHeight="false" outlineLevel="0" collapsed="false">
      <c r="A28" s="67"/>
      <c r="B28" s="68"/>
      <c r="C28" s="70"/>
      <c r="D28" s="68"/>
      <c r="E28" s="70"/>
      <c r="F28" s="68"/>
      <c r="G28" s="68"/>
      <c r="H28" s="68"/>
      <c r="I28" s="70"/>
      <c r="J28" s="68"/>
      <c r="K28" s="68"/>
      <c r="L28" s="68"/>
      <c r="M28" s="73"/>
      <c r="N28" s="70"/>
      <c r="O28" s="70"/>
      <c r="P28" s="68"/>
    </row>
    <row r="29" customFormat="false" ht="15" hidden="false" customHeight="false" outlineLevel="0" collapsed="false">
      <c r="A29" s="67"/>
      <c r="B29" s="68"/>
      <c r="C29" s="70"/>
      <c r="D29" s="68"/>
      <c r="E29" s="70"/>
      <c r="F29" s="68"/>
      <c r="G29" s="68"/>
      <c r="H29" s="68"/>
      <c r="I29" s="70"/>
      <c r="J29" s="68"/>
      <c r="K29" s="68"/>
      <c r="L29" s="68"/>
      <c r="M29" s="73"/>
      <c r="N29" s="70"/>
      <c r="O29" s="70"/>
      <c r="P29" s="68"/>
    </row>
    <row r="30" customFormat="false" ht="15" hidden="false" customHeight="false" outlineLevel="0" collapsed="false">
      <c r="A30" s="67"/>
      <c r="B30" s="68"/>
      <c r="C30" s="70"/>
      <c r="D30" s="68"/>
      <c r="E30" s="70"/>
      <c r="F30" s="68"/>
      <c r="G30" s="68"/>
      <c r="H30" s="68"/>
      <c r="I30" s="70"/>
      <c r="J30" s="68"/>
      <c r="K30" s="68"/>
      <c r="L30" s="68"/>
      <c r="M30" s="73"/>
      <c r="N30" s="70"/>
      <c r="O30" s="70"/>
      <c r="P30" s="68"/>
    </row>
    <row r="31" customFormat="false" ht="15" hidden="false" customHeight="false" outlineLevel="0" collapsed="false">
      <c r="A31" s="67"/>
      <c r="B31" s="68"/>
      <c r="C31" s="70"/>
      <c r="D31" s="68"/>
      <c r="E31" s="70"/>
      <c r="F31" s="68"/>
      <c r="G31" s="68"/>
      <c r="H31" s="68"/>
      <c r="I31" s="70"/>
      <c r="J31" s="68"/>
      <c r="K31" s="68"/>
      <c r="L31" s="68"/>
      <c r="M31" s="73"/>
      <c r="N31" s="70"/>
      <c r="O31" s="70"/>
      <c r="P31" s="68"/>
    </row>
    <row r="32" customFormat="false" ht="15" hidden="false" customHeight="false" outlineLevel="0" collapsed="false">
      <c r="A32" s="67"/>
      <c r="B32" s="68"/>
      <c r="C32" s="70"/>
      <c r="D32" s="68"/>
      <c r="E32" s="70"/>
      <c r="F32" s="68"/>
      <c r="G32" s="68"/>
      <c r="H32" s="68"/>
      <c r="I32" s="70"/>
      <c r="J32" s="68"/>
      <c r="K32" s="68"/>
      <c r="L32" s="68"/>
      <c r="M32" s="73"/>
      <c r="N32" s="70"/>
      <c r="O32" s="70"/>
      <c r="P32" s="68"/>
    </row>
    <row r="33" customFormat="false" ht="15" hidden="false" customHeight="false" outlineLevel="0" collapsed="false">
      <c r="A33" s="67"/>
      <c r="B33" s="68"/>
      <c r="C33" s="70"/>
      <c r="D33" s="68"/>
      <c r="E33" s="70"/>
      <c r="F33" s="68"/>
      <c r="G33" s="68"/>
      <c r="H33" s="68"/>
      <c r="I33" s="70"/>
      <c r="J33" s="68"/>
      <c r="K33" s="68"/>
      <c r="L33" s="68"/>
      <c r="M33" s="73"/>
      <c r="N33" s="70"/>
      <c r="O33" s="70"/>
      <c r="P33" s="68"/>
    </row>
    <row r="34" customFormat="false" ht="15" hidden="false" customHeight="false" outlineLevel="0" collapsed="false">
      <c r="A34" s="67"/>
      <c r="B34" s="68"/>
      <c r="C34" s="70"/>
      <c r="D34" s="68"/>
      <c r="E34" s="70"/>
      <c r="F34" s="68"/>
      <c r="G34" s="68"/>
      <c r="H34" s="68"/>
      <c r="I34" s="70"/>
      <c r="J34" s="68"/>
      <c r="K34" s="68"/>
      <c r="L34" s="68"/>
      <c r="M34" s="73"/>
      <c r="N34" s="70"/>
      <c r="O34" s="70"/>
      <c r="P34" s="68"/>
    </row>
    <row r="35" customFormat="false" ht="15" hidden="false" customHeight="false" outlineLevel="0" collapsed="false">
      <c r="A35" s="67"/>
      <c r="B35" s="68"/>
      <c r="C35" s="70"/>
      <c r="D35" s="68"/>
      <c r="E35" s="70"/>
      <c r="F35" s="68"/>
      <c r="G35" s="68"/>
      <c r="H35" s="68"/>
      <c r="I35" s="70"/>
      <c r="J35" s="68"/>
      <c r="K35" s="68"/>
      <c r="L35" s="68"/>
      <c r="M35" s="73"/>
      <c r="N35" s="70"/>
      <c r="O35" s="70"/>
      <c r="P35" s="68"/>
    </row>
    <row r="36" customFormat="false" ht="15" hidden="false" customHeight="false" outlineLevel="0" collapsed="false">
      <c r="A36" s="67"/>
      <c r="B36" s="68"/>
      <c r="C36" s="70"/>
      <c r="D36" s="68"/>
      <c r="E36" s="70"/>
      <c r="F36" s="68"/>
      <c r="G36" s="68"/>
      <c r="H36" s="68"/>
      <c r="I36" s="70"/>
      <c r="J36" s="68"/>
      <c r="K36" s="68"/>
      <c r="L36" s="68"/>
      <c r="M36" s="73"/>
      <c r="N36" s="70"/>
      <c r="O36" s="70"/>
      <c r="P36" s="68"/>
    </row>
    <row r="37" customFormat="false" ht="15" hidden="false" customHeight="false" outlineLevel="0" collapsed="false">
      <c r="A37" s="67"/>
      <c r="B37" s="68"/>
      <c r="C37" s="70"/>
      <c r="D37" s="68"/>
      <c r="E37" s="70"/>
      <c r="F37" s="68"/>
      <c r="G37" s="68"/>
      <c r="H37" s="68"/>
      <c r="I37" s="70"/>
      <c r="J37" s="68"/>
      <c r="K37" s="68"/>
      <c r="L37" s="68"/>
      <c r="M37" s="73"/>
      <c r="N37" s="70"/>
      <c r="O37" s="70"/>
      <c r="P37" s="68"/>
    </row>
    <row r="38" customFormat="false" ht="15" hidden="false" customHeight="false" outlineLevel="0" collapsed="false">
      <c r="A38" s="67"/>
      <c r="B38" s="68"/>
      <c r="C38" s="70"/>
      <c r="D38" s="68"/>
      <c r="E38" s="70"/>
      <c r="F38" s="68"/>
      <c r="G38" s="68"/>
      <c r="H38" s="68"/>
      <c r="I38" s="70"/>
      <c r="J38" s="68"/>
      <c r="K38" s="68"/>
      <c r="L38" s="68"/>
      <c r="M38" s="73"/>
      <c r="N38" s="70"/>
      <c r="O38" s="70"/>
      <c r="P38" s="68"/>
    </row>
    <row r="39" customFormat="false" ht="15" hidden="false" customHeight="false" outlineLevel="0" collapsed="false">
      <c r="A39" s="67"/>
      <c r="B39" s="68"/>
      <c r="C39" s="70"/>
      <c r="D39" s="68"/>
      <c r="E39" s="70"/>
      <c r="F39" s="68"/>
      <c r="G39" s="68"/>
      <c r="H39" s="68"/>
      <c r="I39" s="70"/>
      <c r="J39" s="68"/>
      <c r="K39" s="68"/>
      <c r="L39" s="68"/>
      <c r="M39" s="73"/>
      <c r="N39" s="70"/>
      <c r="O39" s="70"/>
      <c r="P39" s="68"/>
    </row>
    <row r="40" customFormat="false" ht="15" hidden="false" customHeight="false" outlineLevel="0" collapsed="false">
      <c r="A40" s="67"/>
      <c r="B40" s="68"/>
      <c r="C40" s="70"/>
      <c r="D40" s="68"/>
      <c r="E40" s="70"/>
      <c r="F40" s="68"/>
      <c r="G40" s="68"/>
      <c r="H40" s="68"/>
      <c r="I40" s="70"/>
      <c r="J40" s="68"/>
      <c r="K40" s="68"/>
      <c r="L40" s="68"/>
      <c r="M40" s="73"/>
      <c r="N40" s="70"/>
      <c r="O40" s="70"/>
      <c r="P40" s="68"/>
    </row>
    <row r="41" customFormat="false" ht="15" hidden="false" customHeight="false" outlineLevel="0" collapsed="false">
      <c r="A41" s="67"/>
      <c r="B41" s="68"/>
      <c r="C41" s="70"/>
      <c r="D41" s="68"/>
      <c r="E41" s="70"/>
      <c r="F41" s="68"/>
      <c r="G41" s="68"/>
      <c r="H41" s="68"/>
      <c r="I41" s="70"/>
      <c r="J41" s="68"/>
      <c r="K41" s="68"/>
      <c r="L41" s="68"/>
      <c r="M41" s="73"/>
      <c r="N41" s="70"/>
      <c r="O41" s="70"/>
      <c r="P41" s="68"/>
    </row>
    <row r="42" customFormat="false" ht="15" hidden="false" customHeight="false" outlineLevel="0" collapsed="false">
      <c r="A42" s="67"/>
      <c r="B42" s="68"/>
      <c r="C42" s="70"/>
      <c r="D42" s="68"/>
      <c r="E42" s="70"/>
      <c r="F42" s="68"/>
      <c r="G42" s="68"/>
      <c r="H42" s="68"/>
      <c r="I42" s="70"/>
      <c r="J42" s="68"/>
      <c r="K42" s="68"/>
      <c r="L42" s="68"/>
      <c r="M42" s="73"/>
      <c r="N42" s="70"/>
      <c r="O42" s="70"/>
      <c r="P42" s="68"/>
    </row>
    <row r="43" customFormat="false" ht="15" hidden="false" customHeight="false" outlineLevel="0" collapsed="false">
      <c r="A43" s="67"/>
      <c r="B43" s="68"/>
      <c r="C43" s="70"/>
      <c r="D43" s="68"/>
      <c r="E43" s="70"/>
      <c r="F43" s="68"/>
      <c r="G43" s="68"/>
      <c r="H43" s="68"/>
      <c r="I43" s="70"/>
      <c r="J43" s="68"/>
      <c r="K43" s="68"/>
      <c r="L43" s="68"/>
      <c r="M43" s="73"/>
      <c r="N43" s="70"/>
      <c r="O43" s="70"/>
      <c r="P43" s="68"/>
    </row>
    <row r="44" customFormat="false" ht="15" hidden="false" customHeight="false" outlineLevel="0" collapsed="false">
      <c r="A44" s="67"/>
      <c r="B44" s="68"/>
      <c r="C44" s="70"/>
      <c r="D44" s="68"/>
      <c r="E44" s="70"/>
      <c r="F44" s="68"/>
      <c r="G44" s="68"/>
      <c r="H44" s="68"/>
      <c r="I44" s="70"/>
      <c r="J44" s="68"/>
      <c r="K44" s="68"/>
      <c r="L44" s="68"/>
      <c r="M44" s="73"/>
      <c r="N44" s="70"/>
      <c r="O44" s="70"/>
      <c r="P44" s="68"/>
    </row>
    <row r="45" customFormat="false" ht="15" hidden="false" customHeight="false" outlineLevel="0" collapsed="false">
      <c r="A45" s="67"/>
      <c r="B45" s="68"/>
      <c r="C45" s="70"/>
      <c r="D45" s="68"/>
      <c r="E45" s="70"/>
      <c r="F45" s="68"/>
      <c r="G45" s="68"/>
      <c r="H45" s="68"/>
      <c r="I45" s="70"/>
      <c r="J45" s="68"/>
      <c r="K45" s="68"/>
      <c r="L45" s="68"/>
      <c r="M45" s="73"/>
      <c r="N45" s="70"/>
      <c r="O45" s="70"/>
      <c r="P45" s="68"/>
    </row>
    <row r="46" customFormat="false" ht="15" hidden="false" customHeight="false" outlineLevel="0" collapsed="false">
      <c r="A46" s="67"/>
      <c r="B46" s="68"/>
      <c r="C46" s="70"/>
      <c r="D46" s="68"/>
      <c r="E46" s="70"/>
      <c r="F46" s="68"/>
      <c r="G46" s="68"/>
      <c r="H46" s="68"/>
      <c r="I46" s="70"/>
      <c r="J46" s="68"/>
      <c r="K46" s="68"/>
      <c r="L46" s="68"/>
      <c r="M46" s="73"/>
      <c r="N46" s="70"/>
      <c r="O46" s="70"/>
      <c r="P46" s="68"/>
    </row>
    <row r="47" customFormat="false" ht="15" hidden="false" customHeight="false" outlineLevel="0" collapsed="false">
      <c r="A47" s="67"/>
      <c r="B47" s="68"/>
      <c r="C47" s="70"/>
      <c r="D47" s="68"/>
      <c r="E47" s="70"/>
      <c r="F47" s="68"/>
      <c r="G47" s="68"/>
      <c r="H47" s="68"/>
      <c r="I47" s="70"/>
      <c r="J47" s="68"/>
      <c r="K47" s="68"/>
      <c r="L47" s="68"/>
      <c r="M47" s="73"/>
      <c r="N47" s="70"/>
      <c r="O47" s="70"/>
      <c r="P47" s="68"/>
    </row>
    <row r="48" customFormat="false" ht="15" hidden="false" customHeight="false" outlineLevel="0" collapsed="false">
      <c r="A48" s="67"/>
      <c r="B48" s="68"/>
      <c r="C48" s="70"/>
      <c r="D48" s="68"/>
      <c r="E48" s="70"/>
      <c r="F48" s="68"/>
      <c r="G48" s="68"/>
      <c r="H48" s="68"/>
      <c r="I48" s="70"/>
      <c r="J48" s="68"/>
      <c r="K48" s="68"/>
      <c r="L48" s="68"/>
      <c r="M48" s="73"/>
      <c r="N48" s="70"/>
      <c r="O48" s="70"/>
      <c r="P48" s="68"/>
    </row>
    <row r="49" customFormat="false" ht="15" hidden="false" customHeight="false" outlineLevel="0" collapsed="false">
      <c r="A49" s="67"/>
      <c r="B49" s="68"/>
      <c r="C49" s="70"/>
      <c r="D49" s="68"/>
      <c r="E49" s="70"/>
      <c r="F49" s="68"/>
      <c r="G49" s="68"/>
      <c r="H49" s="68"/>
      <c r="I49" s="70"/>
      <c r="J49" s="68"/>
      <c r="K49" s="68"/>
      <c r="L49" s="68"/>
      <c r="M49" s="73"/>
      <c r="N49" s="70"/>
      <c r="O49" s="70"/>
      <c r="P49" s="68"/>
    </row>
    <row r="50" customFormat="false" ht="15" hidden="false" customHeight="false" outlineLevel="0" collapsed="false">
      <c r="A50" s="67"/>
      <c r="B50" s="68"/>
      <c r="C50" s="70"/>
      <c r="D50" s="68"/>
      <c r="E50" s="70"/>
      <c r="F50" s="68"/>
      <c r="G50" s="68"/>
      <c r="H50" s="68"/>
      <c r="I50" s="70"/>
      <c r="J50" s="68"/>
      <c r="K50" s="68"/>
      <c r="L50" s="68"/>
      <c r="M50" s="73"/>
      <c r="N50" s="70"/>
      <c r="O50" s="70"/>
      <c r="P50" s="68"/>
    </row>
    <row r="51" customFormat="false" ht="15" hidden="false" customHeight="false" outlineLevel="0" collapsed="false">
      <c r="A51" s="67"/>
      <c r="B51" s="68"/>
      <c r="C51" s="70"/>
      <c r="D51" s="68"/>
      <c r="E51" s="70"/>
      <c r="F51" s="68"/>
      <c r="G51" s="68"/>
      <c r="H51" s="68"/>
      <c r="I51" s="70"/>
      <c r="J51" s="68"/>
      <c r="K51" s="68"/>
      <c r="L51" s="68"/>
      <c r="M51" s="73"/>
      <c r="N51" s="70"/>
      <c r="O51" s="70"/>
      <c r="P51" s="68"/>
    </row>
    <row r="52" customFormat="false" ht="15" hidden="false" customHeight="false" outlineLevel="0" collapsed="false">
      <c r="A52" s="67"/>
      <c r="B52" s="68"/>
      <c r="C52" s="70"/>
      <c r="D52" s="68"/>
      <c r="E52" s="70"/>
      <c r="F52" s="68"/>
      <c r="G52" s="68"/>
      <c r="H52" s="68"/>
      <c r="I52" s="70"/>
      <c r="J52" s="68"/>
      <c r="K52" s="68"/>
      <c r="L52" s="68"/>
      <c r="M52" s="73"/>
      <c r="N52" s="70"/>
      <c r="O52" s="70"/>
      <c r="P52" s="68"/>
    </row>
    <row r="53" customFormat="false" ht="15" hidden="false" customHeight="false" outlineLevel="0" collapsed="false">
      <c r="A53" s="67"/>
      <c r="B53" s="68"/>
      <c r="C53" s="70"/>
      <c r="D53" s="68"/>
      <c r="E53" s="70"/>
      <c r="F53" s="68"/>
      <c r="G53" s="68"/>
      <c r="H53" s="68"/>
      <c r="I53" s="70"/>
      <c r="J53" s="68"/>
      <c r="K53" s="68"/>
      <c r="L53" s="68"/>
      <c r="M53" s="73"/>
      <c r="N53" s="70"/>
      <c r="O53" s="70"/>
      <c r="P53" s="68"/>
    </row>
    <row r="54" customFormat="false" ht="15" hidden="false" customHeight="false" outlineLevel="0" collapsed="false">
      <c r="A54" s="67"/>
      <c r="B54" s="68"/>
      <c r="C54" s="70"/>
      <c r="D54" s="68"/>
      <c r="E54" s="70"/>
      <c r="F54" s="68"/>
      <c r="G54" s="68"/>
      <c r="H54" s="68"/>
      <c r="I54" s="70"/>
      <c r="J54" s="68"/>
      <c r="K54" s="68"/>
      <c r="L54" s="68"/>
      <c r="M54" s="73"/>
      <c r="N54" s="70"/>
      <c r="O54" s="70"/>
      <c r="P54" s="68"/>
    </row>
    <row r="55" customFormat="false" ht="15" hidden="false" customHeight="false" outlineLevel="0" collapsed="false">
      <c r="A55" s="67"/>
      <c r="B55" s="68"/>
      <c r="C55" s="70"/>
      <c r="D55" s="68"/>
      <c r="E55" s="70"/>
      <c r="F55" s="68"/>
      <c r="G55" s="68"/>
      <c r="H55" s="68"/>
      <c r="I55" s="70"/>
      <c r="J55" s="68"/>
      <c r="K55" s="68"/>
      <c r="L55" s="68"/>
      <c r="M55" s="73"/>
      <c r="N55" s="70"/>
      <c r="O55" s="70"/>
      <c r="P55" s="68"/>
    </row>
    <row r="56" customFormat="false" ht="15" hidden="false" customHeight="false" outlineLevel="0" collapsed="false">
      <c r="A56" s="67"/>
      <c r="B56" s="68"/>
      <c r="C56" s="70"/>
      <c r="D56" s="68"/>
      <c r="E56" s="70"/>
      <c r="F56" s="68"/>
      <c r="G56" s="68"/>
      <c r="H56" s="68"/>
      <c r="I56" s="70"/>
      <c r="J56" s="68"/>
      <c r="K56" s="68"/>
      <c r="L56" s="68"/>
      <c r="M56" s="73"/>
      <c r="N56" s="70"/>
      <c r="O56" s="70"/>
      <c r="P56" s="68"/>
    </row>
    <row r="57" customFormat="false" ht="15" hidden="false" customHeight="false" outlineLevel="0" collapsed="false">
      <c r="A57" s="67"/>
      <c r="B57" s="68"/>
      <c r="C57" s="70"/>
      <c r="D57" s="68"/>
      <c r="E57" s="70"/>
      <c r="F57" s="68"/>
      <c r="G57" s="68"/>
      <c r="H57" s="68"/>
      <c r="I57" s="70"/>
      <c r="J57" s="68"/>
      <c r="K57" s="68"/>
      <c r="L57" s="68"/>
      <c r="M57" s="73"/>
      <c r="N57" s="70"/>
      <c r="O57" s="70"/>
      <c r="P57" s="68"/>
    </row>
    <row r="58" customFormat="false" ht="15" hidden="false" customHeight="false" outlineLevel="0" collapsed="false">
      <c r="A58" s="67"/>
      <c r="B58" s="68"/>
      <c r="C58" s="70"/>
      <c r="D58" s="68"/>
      <c r="E58" s="70"/>
      <c r="F58" s="68"/>
      <c r="G58" s="68"/>
      <c r="H58" s="68"/>
      <c r="I58" s="70"/>
      <c r="J58" s="68"/>
      <c r="K58" s="68"/>
      <c r="L58" s="68"/>
      <c r="M58" s="73"/>
      <c r="N58" s="70"/>
      <c r="O58" s="70"/>
      <c r="P58" s="68"/>
    </row>
    <row r="59" customFormat="false" ht="15" hidden="false" customHeight="false" outlineLevel="0" collapsed="false">
      <c r="A59" s="67"/>
      <c r="B59" s="68"/>
      <c r="C59" s="70"/>
      <c r="D59" s="68"/>
      <c r="E59" s="70"/>
      <c r="F59" s="68"/>
      <c r="G59" s="68"/>
      <c r="H59" s="68"/>
      <c r="I59" s="70"/>
      <c r="J59" s="68"/>
      <c r="K59" s="68"/>
      <c r="L59" s="68"/>
      <c r="M59" s="73"/>
      <c r="N59" s="70"/>
      <c r="O59" s="70"/>
      <c r="P59" s="68"/>
    </row>
    <row r="60" customFormat="false" ht="15" hidden="false" customHeight="false" outlineLevel="0" collapsed="false">
      <c r="A60" s="67"/>
      <c r="B60" s="68"/>
      <c r="C60" s="70"/>
      <c r="D60" s="68"/>
      <c r="E60" s="70"/>
      <c r="F60" s="68"/>
      <c r="G60" s="68"/>
      <c r="H60" s="68"/>
      <c r="I60" s="70"/>
      <c r="J60" s="68"/>
      <c r="K60" s="68"/>
      <c r="L60" s="68"/>
      <c r="M60" s="73"/>
      <c r="N60" s="70"/>
      <c r="O60" s="70"/>
      <c r="P60" s="68"/>
    </row>
    <row r="61" customFormat="false" ht="15" hidden="false" customHeight="false" outlineLevel="0" collapsed="false">
      <c r="A61" s="67"/>
      <c r="B61" s="68"/>
      <c r="C61" s="70"/>
      <c r="D61" s="68"/>
      <c r="E61" s="70"/>
      <c r="F61" s="68"/>
      <c r="G61" s="68"/>
      <c r="H61" s="68"/>
      <c r="I61" s="70"/>
      <c r="J61" s="68"/>
      <c r="K61" s="68"/>
      <c r="L61" s="68"/>
      <c r="M61" s="73"/>
      <c r="N61" s="70"/>
      <c r="O61" s="70"/>
      <c r="P61" s="68"/>
    </row>
    <row r="62" customFormat="false" ht="15" hidden="false" customHeight="false" outlineLevel="0" collapsed="false">
      <c r="A62" s="67"/>
      <c r="B62" s="68"/>
      <c r="C62" s="70"/>
      <c r="D62" s="68"/>
      <c r="E62" s="70"/>
      <c r="F62" s="68"/>
      <c r="G62" s="68"/>
      <c r="H62" s="68"/>
      <c r="I62" s="70"/>
      <c r="J62" s="68"/>
      <c r="K62" s="68"/>
      <c r="L62" s="68"/>
      <c r="M62" s="73"/>
      <c r="N62" s="70"/>
      <c r="O62" s="70"/>
      <c r="P62" s="68"/>
    </row>
    <row r="63" customFormat="false" ht="15" hidden="false" customHeight="false" outlineLevel="0" collapsed="false">
      <c r="A63" s="67"/>
      <c r="B63" s="68"/>
      <c r="C63" s="70"/>
      <c r="D63" s="68"/>
      <c r="E63" s="70"/>
      <c r="F63" s="68"/>
      <c r="G63" s="68"/>
      <c r="H63" s="68"/>
      <c r="I63" s="70"/>
      <c r="J63" s="68"/>
      <c r="K63" s="68"/>
      <c r="L63" s="68"/>
      <c r="M63" s="73"/>
      <c r="N63" s="70"/>
      <c r="O63" s="70"/>
      <c r="P63" s="68"/>
    </row>
    <row r="64" customFormat="false" ht="15" hidden="false" customHeight="false" outlineLevel="0" collapsed="false">
      <c r="A64" s="67"/>
      <c r="B64" s="68"/>
      <c r="C64" s="70"/>
      <c r="D64" s="68"/>
      <c r="E64" s="70"/>
      <c r="F64" s="68"/>
      <c r="G64" s="68"/>
      <c r="H64" s="68"/>
      <c r="I64" s="70"/>
      <c r="J64" s="68"/>
      <c r="K64" s="68"/>
      <c r="L64" s="68"/>
      <c r="M64" s="73"/>
      <c r="N64" s="70"/>
      <c r="O64" s="70"/>
      <c r="P64" s="68"/>
    </row>
    <row r="65" customFormat="false" ht="15" hidden="false" customHeight="false" outlineLevel="0" collapsed="false">
      <c r="A65" s="67"/>
      <c r="B65" s="68"/>
      <c r="C65" s="70"/>
      <c r="D65" s="68"/>
      <c r="E65" s="70"/>
      <c r="F65" s="68"/>
      <c r="G65" s="68"/>
      <c r="H65" s="68"/>
      <c r="I65" s="70"/>
      <c r="J65" s="68"/>
      <c r="K65" s="68"/>
      <c r="L65" s="68"/>
      <c r="M65" s="73"/>
      <c r="N65" s="70"/>
      <c r="O65" s="70"/>
      <c r="P65" s="68"/>
    </row>
    <row r="66" customFormat="false" ht="15" hidden="false" customHeight="false" outlineLevel="0" collapsed="false">
      <c r="A66" s="67"/>
      <c r="B66" s="68"/>
      <c r="C66" s="70"/>
      <c r="D66" s="68"/>
      <c r="E66" s="70"/>
      <c r="F66" s="68"/>
      <c r="G66" s="68"/>
      <c r="H66" s="68"/>
      <c r="I66" s="70"/>
      <c r="J66" s="68"/>
      <c r="K66" s="68"/>
      <c r="L66" s="68"/>
      <c r="M66" s="73"/>
      <c r="N66" s="70"/>
      <c r="O66" s="70"/>
      <c r="P66" s="68"/>
    </row>
    <row r="67" customFormat="false" ht="15" hidden="false" customHeight="false" outlineLevel="0" collapsed="false">
      <c r="A67" s="67"/>
      <c r="B67" s="68"/>
      <c r="C67" s="70"/>
      <c r="D67" s="68"/>
      <c r="E67" s="70"/>
      <c r="F67" s="68"/>
      <c r="G67" s="68"/>
      <c r="H67" s="68"/>
      <c r="I67" s="70"/>
      <c r="J67" s="68"/>
      <c r="K67" s="68"/>
      <c r="L67" s="68"/>
      <c r="M67" s="73"/>
      <c r="N67" s="70"/>
      <c r="O67" s="70"/>
      <c r="P67" s="68"/>
    </row>
    <row r="68" customFormat="false" ht="15" hidden="false" customHeight="false" outlineLevel="0" collapsed="false">
      <c r="A68" s="67"/>
      <c r="B68" s="68"/>
      <c r="C68" s="70"/>
      <c r="D68" s="68"/>
      <c r="E68" s="70"/>
      <c r="F68" s="68"/>
      <c r="G68" s="68"/>
      <c r="H68" s="68"/>
      <c r="I68" s="70"/>
      <c r="J68" s="68"/>
      <c r="K68" s="68"/>
      <c r="L68" s="68"/>
      <c r="M68" s="73"/>
      <c r="N68" s="70"/>
      <c r="O68" s="70"/>
      <c r="P68" s="68"/>
    </row>
    <row r="69" customFormat="false" ht="15" hidden="false" customHeight="false" outlineLevel="0" collapsed="false">
      <c r="A69" s="67"/>
      <c r="B69" s="68"/>
      <c r="C69" s="70"/>
      <c r="D69" s="68"/>
      <c r="E69" s="70"/>
      <c r="F69" s="68"/>
      <c r="G69" s="68"/>
      <c r="H69" s="68"/>
      <c r="I69" s="70"/>
      <c r="J69" s="68"/>
      <c r="K69" s="68"/>
      <c r="L69" s="68"/>
      <c r="M69" s="73"/>
      <c r="N69" s="70"/>
      <c r="O69" s="70"/>
      <c r="P69" s="68"/>
    </row>
    <row r="70" customFormat="false" ht="15" hidden="false" customHeight="false" outlineLevel="0" collapsed="false">
      <c r="A70" s="67"/>
      <c r="B70" s="68"/>
      <c r="C70" s="70"/>
      <c r="D70" s="68"/>
      <c r="E70" s="70"/>
      <c r="F70" s="68"/>
      <c r="G70" s="68"/>
      <c r="H70" s="68"/>
      <c r="I70" s="70"/>
      <c r="J70" s="68"/>
      <c r="K70" s="68"/>
      <c r="L70" s="68"/>
      <c r="M70" s="73"/>
      <c r="N70" s="70"/>
      <c r="O70" s="70"/>
      <c r="P70" s="68"/>
    </row>
    <row r="71" customFormat="false" ht="15" hidden="false" customHeight="false" outlineLevel="0" collapsed="false">
      <c r="A71" s="67"/>
      <c r="B71" s="68"/>
      <c r="C71" s="70"/>
      <c r="D71" s="68"/>
      <c r="E71" s="70"/>
      <c r="F71" s="68"/>
      <c r="G71" s="68"/>
      <c r="H71" s="68"/>
      <c r="I71" s="70"/>
      <c r="J71" s="68"/>
      <c r="K71" s="68"/>
      <c r="L71" s="68"/>
      <c r="M71" s="73"/>
      <c r="N71" s="70"/>
      <c r="O71" s="70"/>
      <c r="P71" s="68"/>
    </row>
    <row r="72" customFormat="false" ht="15" hidden="false" customHeight="false" outlineLevel="0" collapsed="false">
      <c r="A72" s="67"/>
      <c r="B72" s="68"/>
      <c r="C72" s="70"/>
      <c r="D72" s="68"/>
      <c r="E72" s="70"/>
      <c r="F72" s="68"/>
      <c r="G72" s="68"/>
      <c r="H72" s="68"/>
      <c r="I72" s="70"/>
      <c r="J72" s="68"/>
      <c r="K72" s="68"/>
      <c r="L72" s="68"/>
      <c r="M72" s="73"/>
      <c r="N72" s="70"/>
      <c r="O72" s="70"/>
      <c r="P72" s="68"/>
    </row>
    <row r="73" customFormat="false" ht="15" hidden="false" customHeight="false" outlineLevel="0" collapsed="false">
      <c r="A73" s="67"/>
      <c r="B73" s="68"/>
      <c r="C73" s="70"/>
      <c r="D73" s="68"/>
      <c r="E73" s="70"/>
      <c r="F73" s="68"/>
      <c r="G73" s="68"/>
      <c r="H73" s="68"/>
      <c r="I73" s="70"/>
      <c r="J73" s="68"/>
      <c r="K73" s="68"/>
      <c r="L73" s="68"/>
      <c r="M73" s="73"/>
      <c r="N73" s="70"/>
      <c r="O73" s="70"/>
      <c r="P73" s="68"/>
    </row>
    <row r="74" customFormat="false" ht="15" hidden="false" customHeight="false" outlineLevel="0" collapsed="false">
      <c r="A74" s="67"/>
      <c r="B74" s="68"/>
      <c r="C74" s="70"/>
      <c r="D74" s="68"/>
      <c r="E74" s="70"/>
      <c r="F74" s="68"/>
      <c r="G74" s="68"/>
      <c r="H74" s="68"/>
      <c r="I74" s="70"/>
      <c r="J74" s="68"/>
      <c r="K74" s="68"/>
      <c r="L74" s="68"/>
      <c r="M74" s="73"/>
      <c r="N74" s="70"/>
      <c r="O74" s="70"/>
      <c r="P74" s="68"/>
    </row>
    <row r="75" customFormat="false" ht="15" hidden="false" customHeight="false" outlineLevel="0" collapsed="false">
      <c r="A75" s="67"/>
      <c r="B75" s="68"/>
      <c r="C75" s="70"/>
      <c r="D75" s="68"/>
      <c r="E75" s="70"/>
      <c r="F75" s="68"/>
      <c r="G75" s="68"/>
      <c r="H75" s="68"/>
      <c r="I75" s="70"/>
      <c r="J75" s="68"/>
      <c r="K75" s="68"/>
      <c r="L75" s="68"/>
      <c r="M75" s="73"/>
      <c r="N75" s="70"/>
      <c r="O75" s="70"/>
      <c r="P75" s="68"/>
    </row>
    <row r="76" customFormat="false" ht="15" hidden="false" customHeight="false" outlineLevel="0" collapsed="false">
      <c r="A76" s="67"/>
      <c r="B76" s="68"/>
      <c r="C76" s="70"/>
      <c r="D76" s="68"/>
      <c r="E76" s="70"/>
      <c r="F76" s="68"/>
      <c r="G76" s="68"/>
      <c r="H76" s="68"/>
      <c r="I76" s="70"/>
      <c r="J76" s="68"/>
      <c r="K76" s="68"/>
      <c r="L76" s="68"/>
      <c r="M76" s="73"/>
      <c r="N76" s="70"/>
      <c r="O76" s="70"/>
      <c r="P76" s="68"/>
    </row>
    <row r="77" customFormat="false" ht="15" hidden="false" customHeight="false" outlineLevel="0" collapsed="false">
      <c r="A77" s="67"/>
      <c r="B77" s="68"/>
      <c r="C77" s="70"/>
      <c r="D77" s="68"/>
      <c r="E77" s="70"/>
      <c r="F77" s="68"/>
      <c r="G77" s="68"/>
      <c r="H77" s="68"/>
      <c r="I77" s="70"/>
      <c r="J77" s="68"/>
      <c r="K77" s="68"/>
      <c r="L77" s="68"/>
      <c r="M77" s="73"/>
      <c r="N77" s="70"/>
      <c r="O77" s="70"/>
      <c r="P77" s="68"/>
    </row>
    <row r="78" customFormat="false" ht="15" hidden="false" customHeight="false" outlineLevel="0" collapsed="false">
      <c r="A78" s="67"/>
      <c r="B78" s="68"/>
      <c r="C78" s="70"/>
      <c r="D78" s="68"/>
      <c r="E78" s="70"/>
      <c r="F78" s="68"/>
      <c r="G78" s="68"/>
      <c r="H78" s="68"/>
      <c r="I78" s="70"/>
      <c r="J78" s="68"/>
      <c r="K78" s="68"/>
      <c r="L78" s="68"/>
      <c r="M78" s="73"/>
      <c r="N78" s="70"/>
      <c r="O78" s="70"/>
      <c r="P78" s="68"/>
    </row>
    <row r="79" customFormat="false" ht="15" hidden="false" customHeight="false" outlineLevel="0" collapsed="false">
      <c r="A79" s="67"/>
      <c r="B79" s="68"/>
      <c r="C79" s="70"/>
      <c r="D79" s="68"/>
      <c r="E79" s="70"/>
      <c r="F79" s="68"/>
      <c r="G79" s="68"/>
      <c r="H79" s="68"/>
      <c r="I79" s="70"/>
      <c r="J79" s="68"/>
      <c r="K79" s="68"/>
      <c r="L79" s="68"/>
      <c r="M79" s="73"/>
      <c r="N79" s="70"/>
      <c r="O79" s="70"/>
      <c r="P79" s="68"/>
    </row>
    <row r="80" customFormat="false" ht="15" hidden="false" customHeight="false" outlineLevel="0" collapsed="false">
      <c r="A80" s="67"/>
      <c r="B80" s="68"/>
      <c r="C80" s="70"/>
      <c r="D80" s="68"/>
      <c r="E80" s="70"/>
      <c r="F80" s="68"/>
      <c r="G80" s="68"/>
      <c r="H80" s="68"/>
      <c r="I80" s="70"/>
      <c r="J80" s="68"/>
      <c r="K80" s="68"/>
      <c r="L80" s="68"/>
      <c r="M80" s="73"/>
      <c r="N80" s="70"/>
      <c r="O80" s="70"/>
      <c r="P80" s="68"/>
    </row>
    <row r="81" customFormat="false" ht="15" hidden="false" customHeight="false" outlineLevel="0" collapsed="false">
      <c r="A81" s="67"/>
      <c r="B81" s="68"/>
      <c r="C81" s="70"/>
      <c r="D81" s="68"/>
      <c r="E81" s="70"/>
      <c r="F81" s="68"/>
      <c r="G81" s="68"/>
      <c r="H81" s="68"/>
      <c r="I81" s="70"/>
      <c r="J81" s="68"/>
      <c r="K81" s="68"/>
      <c r="L81" s="68"/>
      <c r="M81" s="73"/>
      <c r="N81" s="70"/>
      <c r="O81" s="70"/>
      <c r="P81" s="68"/>
    </row>
    <row r="82" customFormat="false" ht="15" hidden="false" customHeight="false" outlineLevel="0" collapsed="false">
      <c r="A82" s="67"/>
      <c r="B82" s="68"/>
      <c r="C82" s="70"/>
      <c r="D82" s="68"/>
      <c r="E82" s="70"/>
      <c r="F82" s="68"/>
      <c r="G82" s="68"/>
      <c r="H82" s="68"/>
      <c r="I82" s="70"/>
      <c r="J82" s="68"/>
      <c r="K82" s="68"/>
      <c r="L82" s="68"/>
      <c r="M82" s="73"/>
      <c r="N82" s="70"/>
      <c r="O82" s="70"/>
      <c r="P82" s="68"/>
    </row>
    <row r="83" customFormat="false" ht="15" hidden="false" customHeight="false" outlineLevel="0" collapsed="false">
      <c r="A83" s="67"/>
      <c r="B83" s="68"/>
      <c r="C83" s="70"/>
      <c r="D83" s="68"/>
      <c r="E83" s="70"/>
      <c r="F83" s="68"/>
      <c r="G83" s="68"/>
      <c r="H83" s="68"/>
      <c r="I83" s="70"/>
      <c r="J83" s="68"/>
      <c r="K83" s="68"/>
      <c r="L83" s="68"/>
      <c r="M83" s="73"/>
      <c r="N83" s="70"/>
      <c r="O83" s="70"/>
      <c r="P83" s="68"/>
    </row>
    <row r="84" customFormat="false" ht="15" hidden="false" customHeight="false" outlineLevel="0" collapsed="false">
      <c r="A84" s="67"/>
      <c r="B84" s="68"/>
      <c r="C84" s="70"/>
      <c r="D84" s="68"/>
      <c r="E84" s="70"/>
      <c r="F84" s="68"/>
      <c r="G84" s="68"/>
      <c r="H84" s="68"/>
      <c r="I84" s="70"/>
      <c r="J84" s="68"/>
      <c r="K84" s="68"/>
      <c r="L84" s="68"/>
      <c r="M84" s="73"/>
      <c r="N84" s="70"/>
      <c r="O84" s="70"/>
      <c r="P84" s="68"/>
    </row>
    <row r="85" customFormat="false" ht="15" hidden="false" customHeight="false" outlineLevel="0" collapsed="false">
      <c r="A85" s="67"/>
      <c r="B85" s="68"/>
      <c r="C85" s="70"/>
      <c r="D85" s="68"/>
      <c r="E85" s="70"/>
      <c r="F85" s="68"/>
      <c r="G85" s="68"/>
      <c r="H85" s="68"/>
      <c r="I85" s="70"/>
      <c r="J85" s="68"/>
      <c r="K85" s="68"/>
      <c r="L85" s="68"/>
      <c r="M85" s="73"/>
      <c r="N85" s="70"/>
      <c r="O85" s="70"/>
      <c r="P85" s="68"/>
    </row>
    <row r="86" customFormat="false" ht="15" hidden="false" customHeight="false" outlineLevel="0" collapsed="false">
      <c r="A86" s="67"/>
      <c r="B86" s="68"/>
      <c r="C86" s="70"/>
      <c r="D86" s="68"/>
      <c r="E86" s="70"/>
      <c r="F86" s="68"/>
      <c r="G86" s="68"/>
      <c r="H86" s="68"/>
      <c r="I86" s="70"/>
      <c r="J86" s="68"/>
      <c r="K86" s="68"/>
      <c r="L86" s="68"/>
      <c r="M86" s="73"/>
      <c r="N86" s="70"/>
      <c r="O86" s="70"/>
      <c r="P86" s="68"/>
    </row>
    <row r="87" customFormat="false" ht="15" hidden="false" customHeight="false" outlineLevel="0" collapsed="false">
      <c r="A87" s="67"/>
      <c r="B87" s="68"/>
      <c r="C87" s="70"/>
      <c r="D87" s="68"/>
      <c r="E87" s="70"/>
      <c r="F87" s="68"/>
      <c r="G87" s="68"/>
      <c r="H87" s="68"/>
      <c r="I87" s="70"/>
      <c r="J87" s="68"/>
      <c r="K87" s="68"/>
      <c r="L87" s="68"/>
      <c r="M87" s="73"/>
      <c r="N87" s="70"/>
      <c r="O87" s="70"/>
      <c r="P87" s="68"/>
    </row>
    <row r="88" customFormat="false" ht="15" hidden="false" customHeight="false" outlineLevel="0" collapsed="false">
      <c r="A88" s="67"/>
      <c r="B88" s="68"/>
      <c r="C88" s="70"/>
      <c r="D88" s="68"/>
      <c r="E88" s="70"/>
      <c r="F88" s="68"/>
      <c r="G88" s="68"/>
      <c r="H88" s="68"/>
      <c r="I88" s="70"/>
      <c r="J88" s="68"/>
      <c r="K88" s="68"/>
      <c r="L88" s="68"/>
      <c r="M88" s="73"/>
      <c r="N88" s="70"/>
      <c r="O88" s="70"/>
      <c r="P88" s="68"/>
    </row>
    <row r="89" customFormat="false" ht="15" hidden="false" customHeight="false" outlineLevel="0" collapsed="false">
      <c r="A89" s="67"/>
      <c r="B89" s="68"/>
      <c r="C89" s="70"/>
      <c r="D89" s="68"/>
      <c r="E89" s="70"/>
      <c r="F89" s="68"/>
      <c r="G89" s="68"/>
      <c r="H89" s="68"/>
      <c r="I89" s="70"/>
      <c r="J89" s="68"/>
      <c r="K89" s="68"/>
      <c r="L89" s="68"/>
      <c r="M89" s="73"/>
      <c r="N89" s="70"/>
      <c r="O89" s="70"/>
      <c r="P89" s="68"/>
    </row>
    <row r="90" customFormat="false" ht="15" hidden="false" customHeight="false" outlineLevel="0" collapsed="false">
      <c r="A90" s="67"/>
      <c r="B90" s="68"/>
      <c r="C90" s="70"/>
      <c r="D90" s="68"/>
      <c r="E90" s="70"/>
      <c r="F90" s="68"/>
      <c r="G90" s="68"/>
      <c r="H90" s="68"/>
      <c r="I90" s="70"/>
      <c r="J90" s="68"/>
      <c r="K90" s="68"/>
      <c r="L90" s="68"/>
      <c r="M90" s="73"/>
      <c r="N90" s="70"/>
      <c r="O90" s="70"/>
      <c r="P90" s="68"/>
    </row>
    <row r="91" customFormat="false" ht="15" hidden="false" customHeight="false" outlineLevel="0" collapsed="false">
      <c r="A91" s="67"/>
      <c r="B91" s="68"/>
      <c r="C91" s="70"/>
      <c r="D91" s="68"/>
      <c r="E91" s="70"/>
      <c r="F91" s="68"/>
      <c r="G91" s="68"/>
      <c r="H91" s="68"/>
      <c r="I91" s="70"/>
      <c r="J91" s="68"/>
      <c r="K91" s="68"/>
      <c r="L91" s="68"/>
      <c r="M91" s="73"/>
      <c r="N91" s="70"/>
      <c r="O91" s="70"/>
      <c r="P91" s="68"/>
    </row>
    <row r="92" customFormat="false" ht="15" hidden="false" customHeight="false" outlineLevel="0" collapsed="false">
      <c r="A92" s="67"/>
      <c r="B92" s="68"/>
      <c r="C92" s="70"/>
      <c r="D92" s="68"/>
      <c r="E92" s="70"/>
      <c r="F92" s="68"/>
      <c r="G92" s="68"/>
      <c r="H92" s="68"/>
      <c r="I92" s="70"/>
      <c r="J92" s="68"/>
      <c r="K92" s="68"/>
      <c r="L92" s="68"/>
      <c r="M92" s="73"/>
      <c r="N92" s="70"/>
      <c r="O92" s="70"/>
      <c r="P92" s="68"/>
    </row>
    <row r="93" customFormat="false" ht="15" hidden="false" customHeight="false" outlineLevel="0" collapsed="false">
      <c r="A93" s="67"/>
      <c r="B93" s="68"/>
      <c r="C93" s="70"/>
      <c r="D93" s="68"/>
      <c r="E93" s="70"/>
      <c r="F93" s="68"/>
      <c r="G93" s="68"/>
      <c r="H93" s="68"/>
      <c r="I93" s="70"/>
      <c r="J93" s="68"/>
      <c r="K93" s="68"/>
      <c r="L93" s="68"/>
      <c r="M93" s="73"/>
      <c r="N93" s="70"/>
      <c r="O93" s="70"/>
      <c r="P93" s="68"/>
    </row>
    <row r="94" customFormat="false" ht="15" hidden="false" customHeight="false" outlineLevel="0" collapsed="false">
      <c r="A94" s="67"/>
      <c r="B94" s="68"/>
      <c r="C94" s="70"/>
      <c r="D94" s="68"/>
      <c r="E94" s="70"/>
      <c r="F94" s="68"/>
      <c r="G94" s="68"/>
      <c r="H94" s="68"/>
      <c r="I94" s="70"/>
      <c r="J94" s="68"/>
      <c r="K94" s="68"/>
      <c r="L94" s="68"/>
      <c r="M94" s="73"/>
      <c r="N94" s="70"/>
      <c r="O94" s="70"/>
      <c r="P94" s="68"/>
    </row>
    <row r="95" customFormat="false" ht="15" hidden="false" customHeight="false" outlineLevel="0" collapsed="false">
      <c r="A95" s="67"/>
      <c r="B95" s="68"/>
      <c r="C95" s="70"/>
      <c r="D95" s="68"/>
      <c r="E95" s="70"/>
      <c r="F95" s="68"/>
      <c r="G95" s="68"/>
      <c r="H95" s="68"/>
      <c r="I95" s="70"/>
      <c r="J95" s="68"/>
      <c r="K95" s="68"/>
      <c r="L95" s="68"/>
      <c r="M95" s="73"/>
      <c r="N95" s="70"/>
      <c r="O95" s="70"/>
      <c r="P95" s="68"/>
    </row>
    <row r="96" customFormat="false" ht="15" hidden="false" customHeight="false" outlineLevel="0" collapsed="false">
      <c r="A96" s="67"/>
      <c r="B96" s="68"/>
      <c r="C96" s="70"/>
      <c r="D96" s="68"/>
      <c r="E96" s="70"/>
      <c r="F96" s="68"/>
      <c r="G96" s="68"/>
      <c r="H96" s="68"/>
      <c r="I96" s="70"/>
      <c r="J96" s="68"/>
      <c r="K96" s="68"/>
      <c r="L96" s="68"/>
      <c r="M96" s="73"/>
      <c r="N96" s="70"/>
      <c r="O96" s="70"/>
      <c r="P96" s="68"/>
    </row>
    <row r="97" customFormat="false" ht="15" hidden="false" customHeight="false" outlineLevel="0" collapsed="false">
      <c r="A97" s="67"/>
      <c r="B97" s="68"/>
      <c r="C97" s="70"/>
      <c r="D97" s="68"/>
      <c r="E97" s="70"/>
      <c r="F97" s="68"/>
      <c r="G97" s="68"/>
      <c r="H97" s="68"/>
      <c r="I97" s="70"/>
      <c r="J97" s="68"/>
      <c r="K97" s="68"/>
      <c r="L97" s="68"/>
      <c r="M97" s="73"/>
      <c r="N97" s="70"/>
      <c r="O97" s="70"/>
      <c r="P97" s="68"/>
    </row>
    <row r="98" customFormat="false" ht="15" hidden="false" customHeight="false" outlineLevel="0" collapsed="false">
      <c r="A98" s="67"/>
      <c r="B98" s="68"/>
      <c r="C98" s="70"/>
      <c r="D98" s="68"/>
      <c r="E98" s="70"/>
      <c r="F98" s="68"/>
      <c r="G98" s="68"/>
      <c r="H98" s="68"/>
      <c r="I98" s="70"/>
      <c r="J98" s="68"/>
      <c r="K98" s="68"/>
      <c r="L98" s="68"/>
      <c r="M98" s="73"/>
      <c r="N98" s="70"/>
      <c r="O98" s="70"/>
      <c r="P98" s="68"/>
    </row>
    <row r="99" customFormat="false" ht="15" hidden="false" customHeight="false" outlineLevel="0" collapsed="false">
      <c r="A99" s="67"/>
      <c r="B99" s="68"/>
      <c r="C99" s="70"/>
      <c r="D99" s="68"/>
      <c r="E99" s="70"/>
      <c r="F99" s="68"/>
      <c r="G99" s="68"/>
      <c r="H99" s="68"/>
      <c r="I99" s="70"/>
      <c r="J99" s="68"/>
      <c r="K99" s="68"/>
      <c r="L99" s="68"/>
      <c r="M99" s="73"/>
      <c r="N99" s="70"/>
      <c r="O99" s="70"/>
      <c r="P99" s="68"/>
    </row>
    <row r="100" customFormat="false" ht="15" hidden="false" customHeight="false" outlineLevel="0" collapsed="false">
      <c r="A100" s="67"/>
      <c r="B100" s="68"/>
      <c r="C100" s="70"/>
      <c r="D100" s="68"/>
      <c r="E100" s="70"/>
      <c r="F100" s="68"/>
      <c r="G100" s="68"/>
      <c r="H100" s="68"/>
      <c r="I100" s="70"/>
      <c r="J100" s="68"/>
      <c r="K100" s="68"/>
      <c r="L100" s="68"/>
      <c r="M100" s="73"/>
      <c r="N100" s="70"/>
      <c r="O100" s="70"/>
      <c r="P100" s="68"/>
    </row>
    <row r="101" customFormat="false" ht="15" hidden="false" customHeight="false" outlineLevel="0" collapsed="false">
      <c r="A101" s="67"/>
      <c r="B101" s="68"/>
      <c r="C101" s="70"/>
      <c r="D101" s="68"/>
      <c r="E101" s="70"/>
      <c r="F101" s="68"/>
      <c r="G101" s="68"/>
      <c r="H101" s="68"/>
      <c r="I101" s="70"/>
      <c r="J101" s="68"/>
      <c r="K101" s="68"/>
      <c r="L101" s="68"/>
      <c r="M101" s="73"/>
      <c r="N101" s="70"/>
      <c r="O101" s="70"/>
      <c r="P101" s="68"/>
    </row>
    <row r="102" customFormat="false" ht="15" hidden="false" customHeight="false" outlineLevel="0" collapsed="false">
      <c r="A102" s="67"/>
      <c r="B102" s="68"/>
      <c r="C102" s="70"/>
      <c r="D102" s="68"/>
      <c r="E102" s="70"/>
      <c r="F102" s="68"/>
      <c r="G102" s="68"/>
      <c r="H102" s="68"/>
      <c r="I102" s="70"/>
      <c r="J102" s="68"/>
      <c r="K102" s="68"/>
      <c r="L102" s="68"/>
      <c r="M102" s="73"/>
      <c r="N102" s="70"/>
      <c r="O102" s="70"/>
      <c r="P102" s="68"/>
    </row>
    <row r="103" customFormat="false" ht="15" hidden="false" customHeight="false" outlineLevel="0" collapsed="false">
      <c r="A103" s="67"/>
      <c r="B103" s="68"/>
      <c r="C103" s="70"/>
      <c r="D103" s="68"/>
      <c r="E103" s="70"/>
      <c r="F103" s="68"/>
      <c r="G103" s="68"/>
      <c r="H103" s="68"/>
      <c r="I103" s="70"/>
      <c r="J103" s="68"/>
      <c r="K103" s="68"/>
      <c r="L103" s="68"/>
      <c r="M103" s="73"/>
      <c r="N103" s="70"/>
      <c r="O103" s="70"/>
      <c r="P103" s="68"/>
    </row>
    <row r="104" customFormat="false" ht="15" hidden="false" customHeight="false" outlineLevel="0" collapsed="false">
      <c r="A104" s="67"/>
      <c r="B104" s="68"/>
      <c r="C104" s="70"/>
      <c r="D104" s="68"/>
      <c r="E104" s="70"/>
      <c r="F104" s="68"/>
      <c r="G104" s="68"/>
      <c r="H104" s="68"/>
      <c r="I104" s="70"/>
      <c r="J104" s="68"/>
      <c r="K104" s="68"/>
      <c r="L104" s="68"/>
      <c r="M104" s="73"/>
      <c r="N104" s="70"/>
      <c r="O104" s="70"/>
      <c r="P104" s="68"/>
    </row>
    <row r="105" customFormat="false" ht="15" hidden="false" customHeight="false" outlineLevel="0" collapsed="false">
      <c r="A105" s="67"/>
      <c r="B105" s="68"/>
      <c r="C105" s="70"/>
      <c r="D105" s="68"/>
      <c r="E105" s="70"/>
      <c r="F105" s="68"/>
      <c r="G105" s="68"/>
      <c r="H105" s="68"/>
      <c r="I105" s="70"/>
      <c r="J105" s="68"/>
      <c r="K105" s="68"/>
      <c r="L105" s="68"/>
      <c r="M105" s="73"/>
      <c r="N105" s="70"/>
      <c r="O105" s="70"/>
      <c r="P105" s="68"/>
    </row>
    <row r="106" customFormat="false" ht="15" hidden="false" customHeight="false" outlineLevel="0" collapsed="false">
      <c r="A106" s="67"/>
      <c r="B106" s="68"/>
      <c r="C106" s="70"/>
      <c r="D106" s="68"/>
      <c r="E106" s="70"/>
      <c r="F106" s="68"/>
      <c r="G106" s="68"/>
      <c r="H106" s="68"/>
      <c r="I106" s="70"/>
      <c r="J106" s="68"/>
      <c r="K106" s="68"/>
      <c r="L106" s="68"/>
      <c r="M106" s="73"/>
      <c r="N106" s="70"/>
      <c r="O106" s="70"/>
      <c r="P106" s="68"/>
    </row>
    <row r="107" customFormat="false" ht="15" hidden="false" customHeight="false" outlineLevel="0" collapsed="false">
      <c r="A107" s="67"/>
      <c r="B107" s="68"/>
      <c r="C107" s="70"/>
      <c r="D107" s="68"/>
      <c r="E107" s="70"/>
      <c r="F107" s="68"/>
      <c r="G107" s="68"/>
      <c r="H107" s="68"/>
      <c r="I107" s="70"/>
      <c r="J107" s="68"/>
      <c r="K107" s="68"/>
      <c r="L107" s="68"/>
      <c r="M107" s="73"/>
      <c r="N107" s="70"/>
      <c r="O107" s="70"/>
      <c r="P107" s="68"/>
    </row>
    <row r="108" customFormat="false" ht="15" hidden="false" customHeight="false" outlineLevel="0" collapsed="false">
      <c r="A108" s="67"/>
      <c r="B108" s="68"/>
      <c r="C108" s="70"/>
      <c r="D108" s="68"/>
      <c r="E108" s="70"/>
      <c r="F108" s="68"/>
      <c r="G108" s="68"/>
      <c r="H108" s="68"/>
      <c r="I108" s="70"/>
      <c r="J108" s="68"/>
      <c r="K108" s="68"/>
      <c r="L108" s="68"/>
      <c r="M108" s="73"/>
      <c r="N108" s="70"/>
      <c r="O108" s="70"/>
      <c r="P108" s="68"/>
    </row>
    <row r="109" customFormat="false" ht="15" hidden="false" customHeight="false" outlineLevel="0" collapsed="false">
      <c r="A109" s="67"/>
      <c r="B109" s="68"/>
      <c r="C109" s="70"/>
      <c r="D109" s="68"/>
      <c r="E109" s="70"/>
      <c r="F109" s="68"/>
      <c r="G109" s="68"/>
      <c r="H109" s="68"/>
      <c r="I109" s="70"/>
      <c r="J109" s="68"/>
      <c r="K109" s="68"/>
      <c r="L109" s="68"/>
      <c r="M109" s="73"/>
      <c r="N109" s="70"/>
      <c r="O109" s="70"/>
      <c r="P109" s="68"/>
    </row>
    <row r="110" customFormat="false" ht="15" hidden="false" customHeight="false" outlineLevel="0" collapsed="false">
      <c r="A110" s="67"/>
      <c r="B110" s="68"/>
      <c r="C110" s="70"/>
      <c r="D110" s="68"/>
      <c r="E110" s="70"/>
      <c r="F110" s="68"/>
      <c r="G110" s="68"/>
      <c r="H110" s="68"/>
      <c r="I110" s="70"/>
      <c r="J110" s="68"/>
      <c r="K110" s="68"/>
      <c r="L110" s="68"/>
      <c r="M110" s="73"/>
      <c r="N110" s="70"/>
      <c r="O110" s="70"/>
      <c r="P110" s="68"/>
    </row>
    <row r="111" customFormat="false" ht="15" hidden="false" customHeight="false" outlineLevel="0" collapsed="false">
      <c r="A111" s="67"/>
      <c r="B111" s="68"/>
      <c r="C111" s="70"/>
      <c r="D111" s="68"/>
      <c r="E111" s="70"/>
      <c r="F111" s="68"/>
      <c r="G111" s="68"/>
      <c r="H111" s="68"/>
      <c r="I111" s="70"/>
      <c r="J111" s="68"/>
      <c r="K111" s="68"/>
      <c r="L111" s="68"/>
      <c r="M111" s="73"/>
      <c r="N111" s="70"/>
      <c r="O111" s="70"/>
      <c r="P111" s="68"/>
    </row>
    <row r="112" customFormat="false" ht="15" hidden="false" customHeight="false" outlineLevel="0" collapsed="false">
      <c r="A112" s="67"/>
      <c r="B112" s="68"/>
      <c r="C112" s="70"/>
      <c r="D112" s="68"/>
      <c r="E112" s="70"/>
      <c r="F112" s="68"/>
      <c r="G112" s="68"/>
      <c r="H112" s="68"/>
      <c r="I112" s="70"/>
      <c r="J112" s="68"/>
      <c r="K112" s="68"/>
      <c r="L112" s="68"/>
      <c r="M112" s="73"/>
      <c r="N112" s="70"/>
      <c r="O112" s="70"/>
      <c r="P112" s="68"/>
    </row>
    <row r="113" customFormat="false" ht="15" hidden="false" customHeight="false" outlineLevel="0" collapsed="false">
      <c r="A113" s="67"/>
      <c r="B113" s="68"/>
      <c r="C113" s="70"/>
      <c r="D113" s="68"/>
      <c r="E113" s="70"/>
      <c r="F113" s="68"/>
      <c r="G113" s="68"/>
      <c r="H113" s="68"/>
      <c r="I113" s="70"/>
      <c r="J113" s="68"/>
      <c r="K113" s="68"/>
      <c r="L113" s="68"/>
      <c r="M113" s="73"/>
      <c r="N113" s="70"/>
      <c r="O113" s="70"/>
      <c r="P113" s="68"/>
    </row>
    <row r="114" customFormat="false" ht="15" hidden="false" customHeight="false" outlineLevel="0" collapsed="false">
      <c r="A114" s="67"/>
      <c r="B114" s="68"/>
      <c r="C114" s="70"/>
      <c r="D114" s="68"/>
      <c r="E114" s="70"/>
      <c r="F114" s="68"/>
      <c r="G114" s="68"/>
      <c r="H114" s="68"/>
      <c r="I114" s="70"/>
      <c r="J114" s="68"/>
      <c r="K114" s="68"/>
      <c r="L114" s="68"/>
      <c r="M114" s="73"/>
      <c r="N114" s="70"/>
      <c r="O114" s="70"/>
      <c r="P114" s="68"/>
    </row>
    <row r="115" customFormat="false" ht="15" hidden="false" customHeight="false" outlineLevel="0" collapsed="false">
      <c r="A115" s="67"/>
      <c r="B115" s="68"/>
      <c r="C115" s="70"/>
      <c r="D115" s="68"/>
      <c r="E115" s="70"/>
      <c r="F115" s="68"/>
      <c r="G115" s="68"/>
      <c r="H115" s="68"/>
      <c r="I115" s="70"/>
      <c r="J115" s="68"/>
      <c r="K115" s="68"/>
      <c r="L115" s="68"/>
      <c r="M115" s="73"/>
      <c r="N115" s="70"/>
      <c r="O115" s="70"/>
      <c r="P115" s="68"/>
    </row>
    <row r="116" customFormat="false" ht="15" hidden="false" customHeight="false" outlineLevel="0" collapsed="false">
      <c r="A116" s="67"/>
      <c r="B116" s="68"/>
      <c r="C116" s="70"/>
      <c r="D116" s="68"/>
      <c r="E116" s="70"/>
      <c r="F116" s="68"/>
      <c r="G116" s="68"/>
      <c r="H116" s="68"/>
      <c r="I116" s="70"/>
      <c r="J116" s="68"/>
      <c r="K116" s="68"/>
      <c r="L116" s="68"/>
      <c r="M116" s="73"/>
      <c r="N116" s="70"/>
      <c r="O116" s="70"/>
      <c r="P116" s="68"/>
    </row>
    <row r="117" customFormat="false" ht="15" hidden="false" customHeight="false" outlineLevel="0" collapsed="false">
      <c r="A117" s="67"/>
      <c r="B117" s="68"/>
      <c r="C117" s="70"/>
      <c r="D117" s="68"/>
      <c r="E117" s="70"/>
      <c r="F117" s="68"/>
      <c r="G117" s="68"/>
      <c r="H117" s="68"/>
      <c r="I117" s="70"/>
      <c r="J117" s="68"/>
      <c r="K117" s="68"/>
      <c r="L117" s="68"/>
      <c r="M117" s="73"/>
      <c r="N117" s="70"/>
      <c r="O117" s="70"/>
      <c r="P117" s="68"/>
    </row>
    <row r="118" customFormat="false" ht="15" hidden="false" customHeight="false" outlineLevel="0" collapsed="false">
      <c r="A118" s="67"/>
      <c r="B118" s="68"/>
      <c r="C118" s="70"/>
      <c r="D118" s="68"/>
      <c r="E118" s="70"/>
      <c r="F118" s="68"/>
      <c r="G118" s="68"/>
      <c r="H118" s="68"/>
      <c r="I118" s="70"/>
      <c r="J118" s="68"/>
      <c r="K118" s="68"/>
      <c r="L118" s="68"/>
      <c r="M118" s="73"/>
      <c r="N118" s="70"/>
      <c r="O118" s="70"/>
      <c r="P118" s="68"/>
    </row>
    <row r="119" customFormat="false" ht="15" hidden="false" customHeight="false" outlineLevel="0" collapsed="false">
      <c r="A119" s="67"/>
      <c r="B119" s="68"/>
      <c r="C119" s="70"/>
      <c r="D119" s="68"/>
      <c r="E119" s="70"/>
      <c r="F119" s="68"/>
      <c r="G119" s="68"/>
      <c r="H119" s="68"/>
      <c r="I119" s="70"/>
      <c r="J119" s="68"/>
      <c r="K119" s="68"/>
      <c r="L119" s="68"/>
      <c r="M119" s="73"/>
      <c r="N119" s="70"/>
      <c r="O119" s="70"/>
      <c r="P119" s="68"/>
    </row>
    <row r="120" customFormat="false" ht="15" hidden="false" customHeight="false" outlineLevel="0" collapsed="false">
      <c r="A120" s="67"/>
      <c r="B120" s="68"/>
      <c r="C120" s="70"/>
      <c r="D120" s="68"/>
      <c r="E120" s="70"/>
      <c r="F120" s="68"/>
      <c r="G120" s="68"/>
      <c r="H120" s="68"/>
      <c r="I120" s="70"/>
      <c r="J120" s="68"/>
      <c r="K120" s="68"/>
      <c r="L120" s="68"/>
      <c r="M120" s="73"/>
      <c r="N120" s="70"/>
      <c r="O120" s="70"/>
      <c r="P120" s="68"/>
    </row>
    <row r="121" customFormat="false" ht="15" hidden="false" customHeight="false" outlineLevel="0" collapsed="false">
      <c r="A121" s="67"/>
      <c r="B121" s="68"/>
      <c r="C121" s="70"/>
      <c r="D121" s="68"/>
      <c r="E121" s="70"/>
      <c r="F121" s="68"/>
      <c r="G121" s="68"/>
      <c r="H121" s="68"/>
      <c r="I121" s="70"/>
      <c r="J121" s="68"/>
      <c r="K121" s="68"/>
      <c r="L121" s="68"/>
      <c r="M121" s="73"/>
      <c r="N121" s="70"/>
      <c r="O121" s="70"/>
      <c r="P121" s="68"/>
    </row>
    <row r="122" customFormat="false" ht="15" hidden="false" customHeight="false" outlineLevel="0" collapsed="false">
      <c r="A122" s="67"/>
      <c r="B122" s="68"/>
      <c r="C122" s="70"/>
      <c r="D122" s="68"/>
      <c r="E122" s="70"/>
      <c r="F122" s="68"/>
      <c r="G122" s="68"/>
      <c r="H122" s="68"/>
      <c r="I122" s="70"/>
      <c r="J122" s="68"/>
      <c r="K122" s="68"/>
      <c r="L122" s="68"/>
      <c r="M122" s="73"/>
      <c r="N122" s="70"/>
      <c r="O122" s="70"/>
      <c r="P122" s="68"/>
    </row>
    <row r="123" customFormat="false" ht="15" hidden="false" customHeight="false" outlineLevel="0" collapsed="false">
      <c r="A123" s="67"/>
      <c r="B123" s="68"/>
      <c r="C123" s="70"/>
      <c r="D123" s="68"/>
      <c r="E123" s="70"/>
      <c r="F123" s="68"/>
      <c r="G123" s="68"/>
      <c r="H123" s="68"/>
      <c r="I123" s="70"/>
      <c r="J123" s="68"/>
      <c r="K123" s="68"/>
      <c r="L123" s="68"/>
      <c r="M123" s="73"/>
      <c r="N123" s="70"/>
      <c r="O123" s="70"/>
      <c r="P123" s="68"/>
    </row>
    <row r="124" customFormat="false" ht="15" hidden="false" customHeight="false" outlineLevel="0" collapsed="false">
      <c r="A124" s="67"/>
      <c r="B124" s="68"/>
      <c r="C124" s="70"/>
      <c r="D124" s="68"/>
      <c r="E124" s="70"/>
      <c r="F124" s="68"/>
      <c r="G124" s="68"/>
      <c r="H124" s="68"/>
      <c r="I124" s="70"/>
      <c r="J124" s="68"/>
      <c r="K124" s="68"/>
      <c r="L124" s="68"/>
      <c r="M124" s="73"/>
      <c r="N124" s="70"/>
      <c r="O124" s="70"/>
      <c r="P124" s="68"/>
    </row>
    <row r="125" customFormat="false" ht="15" hidden="false" customHeight="false" outlineLevel="0" collapsed="false">
      <c r="A125" s="67"/>
      <c r="B125" s="68"/>
      <c r="C125" s="70"/>
      <c r="D125" s="68"/>
      <c r="E125" s="70"/>
      <c r="F125" s="68"/>
      <c r="G125" s="68"/>
      <c r="H125" s="68"/>
      <c r="I125" s="70"/>
      <c r="J125" s="68"/>
      <c r="K125" s="68"/>
      <c r="L125" s="68"/>
      <c r="M125" s="73"/>
      <c r="N125" s="70"/>
      <c r="O125" s="70"/>
      <c r="P125" s="68"/>
    </row>
    <row r="126" customFormat="false" ht="15" hidden="false" customHeight="false" outlineLevel="0" collapsed="false">
      <c r="A126" s="67"/>
      <c r="B126" s="68"/>
      <c r="C126" s="70"/>
      <c r="D126" s="68"/>
      <c r="E126" s="70"/>
      <c r="F126" s="68"/>
      <c r="G126" s="68"/>
      <c r="H126" s="68"/>
      <c r="I126" s="70"/>
      <c r="J126" s="68"/>
      <c r="K126" s="68"/>
      <c r="L126" s="68"/>
      <c r="M126" s="73"/>
      <c r="N126" s="70"/>
      <c r="O126" s="70"/>
      <c r="P126" s="68"/>
    </row>
    <row r="127" customFormat="false" ht="15" hidden="false" customHeight="false" outlineLevel="0" collapsed="false">
      <c r="A127" s="67"/>
      <c r="B127" s="68"/>
      <c r="C127" s="70"/>
      <c r="D127" s="68"/>
      <c r="E127" s="70"/>
      <c r="F127" s="68"/>
      <c r="G127" s="68"/>
      <c r="H127" s="68"/>
      <c r="I127" s="70"/>
      <c r="J127" s="68"/>
      <c r="K127" s="68"/>
      <c r="L127" s="68"/>
      <c r="M127" s="73"/>
      <c r="N127" s="70"/>
      <c r="O127" s="70"/>
      <c r="P127" s="68"/>
    </row>
    <row r="128" customFormat="false" ht="15" hidden="false" customHeight="false" outlineLevel="0" collapsed="false">
      <c r="A128" s="67"/>
      <c r="B128" s="68"/>
      <c r="C128" s="70"/>
      <c r="D128" s="68"/>
      <c r="E128" s="70"/>
      <c r="F128" s="68"/>
      <c r="G128" s="68"/>
      <c r="H128" s="68"/>
      <c r="I128" s="70"/>
      <c r="J128" s="68"/>
      <c r="K128" s="68"/>
      <c r="L128" s="68"/>
      <c r="M128" s="73"/>
      <c r="N128" s="70"/>
      <c r="O128" s="70"/>
      <c r="P128" s="68"/>
    </row>
    <row r="129" customFormat="false" ht="15" hidden="false" customHeight="false" outlineLevel="0" collapsed="false">
      <c r="A129" s="67"/>
      <c r="B129" s="68"/>
      <c r="C129" s="70"/>
      <c r="D129" s="68"/>
      <c r="E129" s="70"/>
      <c r="F129" s="68"/>
      <c r="G129" s="68"/>
      <c r="H129" s="68"/>
      <c r="I129" s="70"/>
      <c r="J129" s="68"/>
      <c r="K129" s="68"/>
      <c r="L129" s="68"/>
      <c r="M129" s="73"/>
      <c r="N129" s="70"/>
      <c r="O129" s="70"/>
      <c r="P129" s="68"/>
    </row>
    <row r="130" customFormat="false" ht="15" hidden="false" customHeight="false" outlineLevel="0" collapsed="false">
      <c r="A130" s="67"/>
      <c r="B130" s="68"/>
      <c r="C130" s="70"/>
      <c r="D130" s="68"/>
      <c r="E130" s="70"/>
      <c r="F130" s="68"/>
      <c r="G130" s="68"/>
      <c r="H130" s="68"/>
      <c r="I130" s="70"/>
      <c r="J130" s="68"/>
      <c r="K130" s="68"/>
      <c r="L130" s="68"/>
      <c r="M130" s="73"/>
      <c r="N130" s="70"/>
      <c r="O130" s="70"/>
      <c r="P130" s="68"/>
    </row>
    <row r="131" customFormat="false" ht="15" hidden="false" customHeight="false" outlineLevel="0" collapsed="false">
      <c r="A131" s="67"/>
      <c r="B131" s="68"/>
      <c r="C131" s="70"/>
      <c r="D131" s="68"/>
      <c r="E131" s="70"/>
      <c r="F131" s="68"/>
      <c r="G131" s="68"/>
      <c r="H131" s="68"/>
      <c r="I131" s="70"/>
      <c r="J131" s="68"/>
      <c r="K131" s="68"/>
      <c r="L131" s="68"/>
      <c r="M131" s="73"/>
      <c r="N131" s="70"/>
      <c r="O131" s="70"/>
      <c r="P131" s="68"/>
    </row>
    <row r="132" customFormat="false" ht="15" hidden="false" customHeight="false" outlineLevel="0" collapsed="false">
      <c r="A132" s="67"/>
      <c r="B132" s="68"/>
      <c r="C132" s="70"/>
      <c r="D132" s="68"/>
      <c r="E132" s="70"/>
      <c r="F132" s="68"/>
      <c r="G132" s="68"/>
      <c r="H132" s="68"/>
      <c r="I132" s="70"/>
      <c r="J132" s="68"/>
      <c r="K132" s="68"/>
      <c r="L132" s="68"/>
      <c r="M132" s="73"/>
      <c r="N132" s="70"/>
      <c r="O132" s="70"/>
      <c r="P132" s="68"/>
    </row>
    <row r="133" customFormat="false" ht="15" hidden="false" customHeight="false" outlineLevel="0" collapsed="false">
      <c r="A133" s="67"/>
      <c r="B133" s="68"/>
      <c r="C133" s="70"/>
      <c r="D133" s="68"/>
      <c r="E133" s="70"/>
      <c r="F133" s="68"/>
      <c r="G133" s="68"/>
      <c r="H133" s="68"/>
      <c r="I133" s="70"/>
      <c r="J133" s="68"/>
      <c r="K133" s="68"/>
      <c r="L133" s="68"/>
      <c r="M133" s="73"/>
      <c r="N133" s="70"/>
      <c r="O133" s="70"/>
      <c r="P133" s="68"/>
    </row>
    <row r="134" customFormat="false" ht="15" hidden="false" customHeight="false" outlineLevel="0" collapsed="false">
      <c r="A134" s="67"/>
      <c r="B134" s="68"/>
      <c r="C134" s="70"/>
      <c r="D134" s="68"/>
      <c r="E134" s="70"/>
      <c r="F134" s="68"/>
      <c r="G134" s="68"/>
      <c r="H134" s="68"/>
      <c r="I134" s="70"/>
      <c r="J134" s="68"/>
      <c r="K134" s="68"/>
      <c r="L134" s="68"/>
      <c r="M134" s="73"/>
      <c r="N134" s="70"/>
      <c r="O134" s="70"/>
      <c r="P134" s="68"/>
    </row>
    <row r="135" customFormat="false" ht="15" hidden="false" customHeight="false" outlineLevel="0" collapsed="false">
      <c r="A135" s="67"/>
      <c r="B135" s="68"/>
      <c r="C135" s="70"/>
      <c r="D135" s="68"/>
      <c r="E135" s="70"/>
      <c r="F135" s="68"/>
      <c r="G135" s="68"/>
      <c r="H135" s="68"/>
      <c r="I135" s="70"/>
      <c r="J135" s="68"/>
      <c r="K135" s="68"/>
      <c r="L135" s="68"/>
      <c r="M135" s="73"/>
      <c r="N135" s="70"/>
      <c r="O135" s="70"/>
      <c r="P135" s="68"/>
    </row>
    <row r="136" customFormat="false" ht="15" hidden="false" customHeight="false" outlineLevel="0" collapsed="false">
      <c r="A136" s="67"/>
      <c r="B136" s="68"/>
      <c r="C136" s="70"/>
      <c r="D136" s="68"/>
      <c r="E136" s="70"/>
      <c r="F136" s="68"/>
      <c r="G136" s="68"/>
      <c r="H136" s="68"/>
      <c r="I136" s="70"/>
      <c r="J136" s="68"/>
      <c r="K136" s="68"/>
      <c r="L136" s="68"/>
      <c r="M136" s="73"/>
      <c r="N136" s="70"/>
      <c r="O136" s="70"/>
      <c r="P136" s="68"/>
    </row>
    <row r="137" customFormat="false" ht="15" hidden="false" customHeight="false" outlineLevel="0" collapsed="false">
      <c r="A137" s="67"/>
      <c r="B137" s="68"/>
      <c r="C137" s="70"/>
      <c r="D137" s="68"/>
      <c r="E137" s="70"/>
      <c r="F137" s="68"/>
      <c r="G137" s="68"/>
      <c r="H137" s="68"/>
      <c r="I137" s="70"/>
      <c r="J137" s="68"/>
      <c r="K137" s="68"/>
      <c r="L137" s="68"/>
      <c r="M137" s="73"/>
      <c r="N137" s="70"/>
      <c r="O137" s="70"/>
      <c r="P137" s="68"/>
    </row>
    <row r="138" customFormat="false" ht="15" hidden="false" customHeight="false" outlineLevel="0" collapsed="false">
      <c r="A138" s="67"/>
      <c r="B138" s="68"/>
      <c r="C138" s="70"/>
      <c r="D138" s="68"/>
      <c r="E138" s="70"/>
      <c r="F138" s="68"/>
      <c r="G138" s="68"/>
      <c r="H138" s="68"/>
      <c r="I138" s="70"/>
      <c r="J138" s="68"/>
      <c r="K138" s="68"/>
      <c r="L138" s="68"/>
      <c r="M138" s="73"/>
      <c r="N138" s="70"/>
      <c r="O138" s="70"/>
      <c r="P138" s="68"/>
    </row>
    <row r="139" customFormat="false" ht="15" hidden="false" customHeight="false" outlineLevel="0" collapsed="false">
      <c r="A139" s="67"/>
      <c r="B139" s="68"/>
      <c r="C139" s="70"/>
      <c r="D139" s="68"/>
      <c r="E139" s="70"/>
      <c r="F139" s="68"/>
      <c r="G139" s="68"/>
      <c r="H139" s="68"/>
      <c r="I139" s="70"/>
      <c r="J139" s="68"/>
      <c r="K139" s="68"/>
      <c r="L139" s="68"/>
      <c r="M139" s="73"/>
      <c r="N139" s="70"/>
      <c r="O139" s="70"/>
      <c r="P139" s="68"/>
    </row>
    <row r="140" customFormat="false" ht="15" hidden="false" customHeight="false" outlineLevel="0" collapsed="false">
      <c r="A140" s="67"/>
      <c r="B140" s="68"/>
      <c r="C140" s="70"/>
      <c r="D140" s="68"/>
      <c r="E140" s="70"/>
      <c r="F140" s="68"/>
      <c r="G140" s="68"/>
      <c r="H140" s="68"/>
      <c r="I140" s="70"/>
      <c r="J140" s="68"/>
      <c r="K140" s="68"/>
      <c r="L140" s="68"/>
      <c r="M140" s="73"/>
      <c r="N140" s="70"/>
      <c r="O140" s="70"/>
      <c r="P140" s="68"/>
    </row>
    <row r="141" customFormat="false" ht="15" hidden="false" customHeight="false" outlineLevel="0" collapsed="false">
      <c r="A141" s="67"/>
      <c r="B141" s="68"/>
      <c r="C141" s="70"/>
      <c r="D141" s="68"/>
      <c r="E141" s="70"/>
      <c r="F141" s="68"/>
      <c r="G141" s="68"/>
      <c r="H141" s="68"/>
      <c r="I141" s="70"/>
      <c r="J141" s="68"/>
      <c r="K141" s="68"/>
      <c r="L141" s="68"/>
      <c r="M141" s="73"/>
      <c r="N141" s="70"/>
      <c r="O141" s="70"/>
      <c r="P141" s="68"/>
    </row>
    <row r="142" customFormat="false" ht="15" hidden="false" customHeight="false" outlineLevel="0" collapsed="false">
      <c r="A142" s="67"/>
      <c r="B142" s="68"/>
      <c r="C142" s="70"/>
      <c r="D142" s="68"/>
      <c r="E142" s="70"/>
      <c r="F142" s="68"/>
      <c r="G142" s="68"/>
      <c r="H142" s="68"/>
      <c r="I142" s="70"/>
      <c r="J142" s="68"/>
      <c r="K142" s="68"/>
      <c r="L142" s="68"/>
      <c r="M142" s="73"/>
      <c r="N142" s="70"/>
      <c r="O142" s="70"/>
      <c r="P142" s="68"/>
    </row>
    <row r="143" customFormat="false" ht="15" hidden="false" customHeight="false" outlineLevel="0" collapsed="false">
      <c r="A143" s="67"/>
      <c r="B143" s="68"/>
      <c r="C143" s="70"/>
      <c r="D143" s="68"/>
      <c r="E143" s="70"/>
      <c r="F143" s="68"/>
      <c r="G143" s="68"/>
      <c r="H143" s="68"/>
      <c r="I143" s="70"/>
      <c r="J143" s="68"/>
      <c r="K143" s="68"/>
      <c r="L143" s="68"/>
      <c r="M143" s="73"/>
      <c r="N143" s="70"/>
      <c r="O143" s="70"/>
      <c r="P143" s="68"/>
    </row>
    <row r="144" customFormat="false" ht="15" hidden="false" customHeight="false" outlineLevel="0" collapsed="false">
      <c r="A144" s="67"/>
      <c r="B144" s="68"/>
      <c r="C144" s="70"/>
      <c r="D144" s="68"/>
      <c r="E144" s="70"/>
      <c r="F144" s="68"/>
      <c r="G144" s="68"/>
      <c r="H144" s="68"/>
      <c r="I144" s="70"/>
      <c r="J144" s="68"/>
      <c r="K144" s="68"/>
      <c r="L144" s="68"/>
      <c r="M144" s="73"/>
      <c r="N144" s="70"/>
      <c r="O144" s="70"/>
      <c r="P144" s="68"/>
    </row>
    <row r="145" customFormat="false" ht="15" hidden="false" customHeight="false" outlineLevel="0" collapsed="false">
      <c r="A145" s="67"/>
      <c r="B145" s="68"/>
      <c r="C145" s="70"/>
      <c r="D145" s="68"/>
      <c r="E145" s="70"/>
      <c r="F145" s="68"/>
      <c r="G145" s="68"/>
      <c r="H145" s="68"/>
      <c r="I145" s="70"/>
      <c r="J145" s="68"/>
      <c r="K145" s="68"/>
      <c r="L145" s="68"/>
      <c r="M145" s="73"/>
      <c r="N145" s="70"/>
      <c r="O145" s="70"/>
      <c r="P145" s="68"/>
    </row>
    <row r="146" customFormat="false" ht="15" hidden="false" customHeight="false" outlineLevel="0" collapsed="false">
      <c r="A146" s="67"/>
      <c r="B146" s="68"/>
      <c r="C146" s="70"/>
      <c r="D146" s="68"/>
      <c r="E146" s="70"/>
      <c r="F146" s="68"/>
      <c r="G146" s="68"/>
      <c r="H146" s="68"/>
      <c r="I146" s="70"/>
      <c r="J146" s="68"/>
      <c r="K146" s="68"/>
      <c r="L146" s="68"/>
      <c r="M146" s="73"/>
      <c r="N146" s="70"/>
      <c r="O146" s="70"/>
      <c r="P146" s="68"/>
    </row>
    <row r="147" customFormat="false" ht="15" hidden="false" customHeight="false" outlineLevel="0" collapsed="false">
      <c r="A147" s="67"/>
      <c r="B147" s="68"/>
      <c r="C147" s="70"/>
      <c r="D147" s="68"/>
      <c r="E147" s="70"/>
      <c r="F147" s="68"/>
      <c r="G147" s="68"/>
      <c r="H147" s="68"/>
      <c r="I147" s="70"/>
      <c r="J147" s="68"/>
      <c r="K147" s="68"/>
      <c r="L147" s="68"/>
      <c r="M147" s="73"/>
      <c r="N147" s="70"/>
      <c r="O147" s="70"/>
      <c r="P147" s="68"/>
    </row>
    <row r="148" customFormat="false" ht="15" hidden="false" customHeight="false" outlineLevel="0" collapsed="false">
      <c r="A148" s="67"/>
      <c r="B148" s="68"/>
      <c r="C148" s="70"/>
      <c r="D148" s="68"/>
      <c r="E148" s="70"/>
      <c r="F148" s="68"/>
      <c r="G148" s="68"/>
      <c r="H148" s="68"/>
      <c r="I148" s="70"/>
      <c r="J148" s="68"/>
      <c r="K148" s="68"/>
      <c r="L148" s="68"/>
      <c r="M148" s="73"/>
      <c r="N148" s="70"/>
      <c r="O148" s="70"/>
      <c r="P148" s="68"/>
    </row>
    <row r="149" customFormat="false" ht="15" hidden="false" customHeight="false" outlineLevel="0" collapsed="false">
      <c r="A149" s="67"/>
      <c r="B149" s="68"/>
      <c r="C149" s="70"/>
      <c r="D149" s="68"/>
      <c r="E149" s="70"/>
      <c r="F149" s="68"/>
      <c r="G149" s="68"/>
      <c r="H149" s="68"/>
      <c r="I149" s="70"/>
      <c r="J149" s="68"/>
      <c r="K149" s="68"/>
      <c r="L149" s="68"/>
      <c r="M149" s="73"/>
      <c r="N149" s="70"/>
      <c r="O149" s="70"/>
      <c r="P149" s="68"/>
    </row>
    <row r="150" customFormat="false" ht="15" hidden="false" customHeight="false" outlineLevel="0" collapsed="false">
      <c r="A150" s="67"/>
      <c r="B150" s="68"/>
      <c r="C150" s="70"/>
      <c r="D150" s="68"/>
      <c r="E150" s="70"/>
      <c r="F150" s="68"/>
      <c r="G150" s="68"/>
      <c r="H150" s="68"/>
      <c r="I150" s="70"/>
      <c r="J150" s="68"/>
      <c r="K150" s="68"/>
      <c r="L150" s="68"/>
      <c r="M150" s="73"/>
      <c r="N150" s="70"/>
      <c r="O150" s="70"/>
      <c r="P150" s="68"/>
    </row>
    <row r="151" customFormat="false" ht="15" hidden="false" customHeight="false" outlineLevel="0" collapsed="false">
      <c r="A151" s="67"/>
      <c r="B151" s="68"/>
      <c r="C151" s="70"/>
      <c r="D151" s="68"/>
      <c r="E151" s="70"/>
      <c r="F151" s="68"/>
      <c r="G151" s="68"/>
      <c r="H151" s="68"/>
      <c r="I151" s="70"/>
      <c r="J151" s="68"/>
      <c r="K151" s="68"/>
      <c r="L151" s="68"/>
      <c r="M151" s="73"/>
      <c r="N151" s="70"/>
      <c r="O151" s="70"/>
      <c r="P151" s="68"/>
    </row>
    <row r="152" customFormat="false" ht="15" hidden="false" customHeight="false" outlineLevel="0" collapsed="false">
      <c r="A152" s="67"/>
      <c r="B152" s="68"/>
      <c r="C152" s="70"/>
      <c r="D152" s="68"/>
      <c r="E152" s="70"/>
      <c r="F152" s="68"/>
      <c r="G152" s="68"/>
      <c r="H152" s="68"/>
      <c r="I152" s="70"/>
      <c r="J152" s="68"/>
      <c r="K152" s="68"/>
      <c r="L152" s="68"/>
      <c r="M152" s="73"/>
      <c r="N152" s="70"/>
      <c r="O152" s="70"/>
      <c r="P152" s="68"/>
    </row>
    <row r="153" customFormat="false" ht="15" hidden="false" customHeight="false" outlineLevel="0" collapsed="false">
      <c r="A153" s="67"/>
      <c r="B153" s="68"/>
      <c r="C153" s="70"/>
      <c r="D153" s="68"/>
      <c r="E153" s="70"/>
      <c r="F153" s="68"/>
      <c r="G153" s="68"/>
      <c r="H153" s="68"/>
      <c r="I153" s="70"/>
      <c r="J153" s="68"/>
      <c r="K153" s="68"/>
      <c r="L153" s="68"/>
      <c r="M153" s="73"/>
      <c r="N153" s="70"/>
      <c r="O153" s="70"/>
      <c r="P153" s="68"/>
    </row>
    <row r="154" customFormat="false" ht="15" hidden="false" customHeight="false" outlineLevel="0" collapsed="false">
      <c r="A154" s="67"/>
      <c r="B154" s="68"/>
      <c r="C154" s="70"/>
      <c r="D154" s="68"/>
      <c r="E154" s="70"/>
      <c r="F154" s="68"/>
      <c r="G154" s="68"/>
      <c r="H154" s="68"/>
      <c r="I154" s="70"/>
      <c r="J154" s="68"/>
      <c r="K154" s="68"/>
      <c r="L154" s="68"/>
      <c r="M154" s="73"/>
      <c r="N154" s="70"/>
      <c r="O154" s="70"/>
      <c r="P154" s="68"/>
    </row>
    <row r="155" customFormat="false" ht="15" hidden="false" customHeight="false" outlineLevel="0" collapsed="false">
      <c r="A155" s="67"/>
      <c r="B155" s="68"/>
      <c r="C155" s="70"/>
      <c r="D155" s="68"/>
      <c r="E155" s="70"/>
      <c r="F155" s="68"/>
      <c r="G155" s="68"/>
      <c r="H155" s="68"/>
      <c r="I155" s="70"/>
      <c r="J155" s="68"/>
      <c r="K155" s="68"/>
      <c r="L155" s="68"/>
      <c r="M155" s="73"/>
      <c r="N155" s="70"/>
      <c r="O155" s="70"/>
      <c r="P155" s="68"/>
    </row>
    <row r="156" customFormat="false" ht="15" hidden="false" customHeight="false" outlineLevel="0" collapsed="false">
      <c r="A156" s="67"/>
      <c r="B156" s="68"/>
      <c r="C156" s="70"/>
      <c r="D156" s="68"/>
      <c r="E156" s="70"/>
      <c r="F156" s="68"/>
      <c r="G156" s="68"/>
      <c r="H156" s="68"/>
      <c r="I156" s="70"/>
      <c r="J156" s="68"/>
      <c r="K156" s="68"/>
      <c r="L156" s="68"/>
      <c r="M156" s="73"/>
      <c r="N156" s="70"/>
      <c r="O156" s="70"/>
      <c r="P156" s="68"/>
    </row>
    <row r="157" customFormat="false" ht="15" hidden="false" customHeight="false" outlineLevel="0" collapsed="false">
      <c r="A157" s="67"/>
      <c r="B157" s="68"/>
      <c r="C157" s="70"/>
      <c r="D157" s="68"/>
      <c r="E157" s="70"/>
      <c r="F157" s="68"/>
      <c r="G157" s="68"/>
      <c r="H157" s="68"/>
      <c r="I157" s="70"/>
      <c r="J157" s="68"/>
      <c r="K157" s="68"/>
      <c r="L157" s="68"/>
      <c r="M157" s="73"/>
      <c r="N157" s="70"/>
      <c r="O157" s="70"/>
      <c r="P157" s="68"/>
    </row>
    <row r="158" customFormat="false" ht="15" hidden="false" customHeight="false" outlineLevel="0" collapsed="false">
      <c r="A158" s="67"/>
      <c r="B158" s="68"/>
      <c r="C158" s="70"/>
      <c r="D158" s="68"/>
      <c r="E158" s="70"/>
      <c r="F158" s="68"/>
      <c r="G158" s="68"/>
      <c r="H158" s="68"/>
      <c r="I158" s="70"/>
      <c r="J158" s="68"/>
      <c r="K158" s="68"/>
      <c r="L158" s="68"/>
      <c r="M158" s="73"/>
      <c r="N158" s="70"/>
      <c r="O158" s="70"/>
      <c r="P158" s="68"/>
    </row>
    <row r="159" customFormat="false" ht="15" hidden="false" customHeight="false" outlineLevel="0" collapsed="false">
      <c r="A159" s="67"/>
      <c r="B159" s="68"/>
      <c r="C159" s="70"/>
      <c r="D159" s="68"/>
      <c r="E159" s="70"/>
      <c r="F159" s="68"/>
      <c r="G159" s="68"/>
      <c r="H159" s="68"/>
      <c r="I159" s="70"/>
      <c r="J159" s="68"/>
      <c r="K159" s="68"/>
      <c r="L159" s="68"/>
      <c r="M159" s="73"/>
      <c r="N159" s="70"/>
      <c r="O159" s="70"/>
      <c r="P159" s="68"/>
    </row>
    <row r="160" customFormat="false" ht="15" hidden="false" customHeight="false" outlineLevel="0" collapsed="false">
      <c r="A160" s="67"/>
      <c r="B160" s="68"/>
      <c r="C160" s="70"/>
      <c r="D160" s="68"/>
      <c r="E160" s="70"/>
      <c r="F160" s="68"/>
      <c r="G160" s="68"/>
      <c r="H160" s="68"/>
      <c r="I160" s="70"/>
      <c r="J160" s="68"/>
      <c r="K160" s="68"/>
      <c r="L160" s="68"/>
      <c r="M160" s="73"/>
      <c r="N160" s="70"/>
      <c r="O160" s="70"/>
      <c r="P160" s="68"/>
    </row>
    <row r="161" customFormat="false" ht="15" hidden="false" customHeight="false" outlineLevel="0" collapsed="false">
      <c r="A161" s="67"/>
      <c r="B161" s="68"/>
      <c r="C161" s="70"/>
      <c r="D161" s="68"/>
      <c r="E161" s="70"/>
      <c r="F161" s="68"/>
      <c r="G161" s="68"/>
      <c r="H161" s="68"/>
      <c r="I161" s="70"/>
      <c r="J161" s="68"/>
      <c r="K161" s="68"/>
      <c r="L161" s="68"/>
      <c r="M161" s="73"/>
      <c r="N161" s="70"/>
      <c r="O161" s="70"/>
      <c r="P161" s="68"/>
    </row>
    <row r="162" customFormat="false" ht="15" hidden="false" customHeight="false" outlineLevel="0" collapsed="false">
      <c r="A162" s="67"/>
      <c r="B162" s="68"/>
      <c r="C162" s="70"/>
      <c r="D162" s="68"/>
      <c r="E162" s="70"/>
      <c r="F162" s="68"/>
      <c r="G162" s="68"/>
      <c r="H162" s="68"/>
      <c r="I162" s="70"/>
      <c r="J162" s="68"/>
      <c r="K162" s="68"/>
      <c r="L162" s="68"/>
      <c r="M162" s="73"/>
      <c r="N162" s="70"/>
      <c r="O162" s="70"/>
      <c r="P162" s="68"/>
    </row>
    <row r="163" customFormat="false" ht="15" hidden="false" customHeight="false" outlineLevel="0" collapsed="false">
      <c r="A163" s="67"/>
      <c r="B163" s="68"/>
      <c r="C163" s="70"/>
      <c r="D163" s="68"/>
      <c r="E163" s="70"/>
      <c r="F163" s="68"/>
      <c r="G163" s="68"/>
      <c r="H163" s="68"/>
      <c r="I163" s="70"/>
      <c r="J163" s="68"/>
      <c r="K163" s="68"/>
      <c r="L163" s="68"/>
      <c r="M163" s="73"/>
      <c r="N163" s="70"/>
      <c r="O163" s="70"/>
      <c r="P163" s="68"/>
    </row>
    <row r="164" customFormat="false" ht="15" hidden="false" customHeight="false" outlineLevel="0" collapsed="false">
      <c r="A164" s="67"/>
      <c r="B164" s="68"/>
      <c r="C164" s="70"/>
      <c r="D164" s="68"/>
      <c r="E164" s="70"/>
      <c r="F164" s="68"/>
      <c r="G164" s="68"/>
      <c r="H164" s="68"/>
      <c r="I164" s="70"/>
      <c r="J164" s="68"/>
      <c r="K164" s="68"/>
      <c r="L164" s="68"/>
      <c r="M164" s="73"/>
      <c r="N164" s="70"/>
      <c r="O164" s="70"/>
      <c r="P164" s="68"/>
    </row>
    <row r="165" customFormat="false" ht="15" hidden="false" customHeight="false" outlineLevel="0" collapsed="false">
      <c r="A165" s="67"/>
      <c r="B165" s="68"/>
      <c r="C165" s="70"/>
      <c r="D165" s="68"/>
      <c r="E165" s="70"/>
      <c r="F165" s="68"/>
      <c r="G165" s="68"/>
      <c r="H165" s="68"/>
      <c r="I165" s="70"/>
      <c r="J165" s="68"/>
      <c r="K165" s="68"/>
      <c r="L165" s="68"/>
      <c r="M165" s="73"/>
      <c r="N165" s="70"/>
      <c r="O165" s="70"/>
      <c r="P165" s="68"/>
    </row>
    <row r="166" customFormat="false" ht="15" hidden="false" customHeight="false" outlineLevel="0" collapsed="false">
      <c r="A166" s="67"/>
      <c r="B166" s="68"/>
      <c r="C166" s="70"/>
      <c r="D166" s="68"/>
      <c r="E166" s="70"/>
      <c r="F166" s="68"/>
      <c r="G166" s="68"/>
      <c r="H166" s="68"/>
      <c r="I166" s="70"/>
      <c r="J166" s="68"/>
      <c r="K166" s="68"/>
      <c r="L166" s="68"/>
      <c r="M166" s="73"/>
      <c r="N166" s="70"/>
      <c r="O166" s="70"/>
      <c r="P166" s="68"/>
    </row>
    <row r="167" customFormat="false" ht="15" hidden="false" customHeight="false" outlineLevel="0" collapsed="false">
      <c r="A167" s="67"/>
      <c r="B167" s="68"/>
      <c r="C167" s="70"/>
      <c r="D167" s="68"/>
      <c r="E167" s="70"/>
      <c r="F167" s="68"/>
      <c r="G167" s="68"/>
      <c r="H167" s="68"/>
      <c r="I167" s="70"/>
      <c r="J167" s="68"/>
      <c r="K167" s="68"/>
      <c r="L167" s="68"/>
      <c r="M167" s="73"/>
      <c r="N167" s="70"/>
      <c r="O167" s="70"/>
      <c r="P167" s="68"/>
    </row>
    <row r="168" customFormat="false" ht="15" hidden="false" customHeight="false" outlineLevel="0" collapsed="false">
      <c r="A168" s="67"/>
      <c r="B168" s="68"/>
      <c r="C168" s="70"/>
      <c r="D168" s="68"/>
      <c r="E168" s="70"/>
      <c r="F168" s="68"/>
      <c r="G168" s="68"/>
      <c r="H168" s="68"/>
      <c r="I168" s="70"/>
      <c r="J168" s="68"/>
      <c r="K168" s="68"/>
      <c r="L168" s="68"/>
      <c r="M168" s="73"/>
      <c r="N168" s="70"/>
      <c r="O168" s="70"/>
      <c r="P168" s="68"/>
    </row>
    <row r="169" customFormat="false" ht="15" hidden="false" customHeight="false" outlineLevel="0" collapsed="false">
      <c r="A169" s="67"/>
      <c r="B169" s="68"/>
      <c r="C169" s="70"/>
      <c r="D169" s="68"/>
      <c r="E169" s="70"/>
      <c r="F169" s="68"/>
      <c r="G169" s="68"/>
      <c r="H169" s="68"/>
      <c r="I169" s="70"/>
      <c r="J169" s="68"/>
      <c r="K169" s="68"/>
      <c r="L169" s="68"/>
      <c r="M169" s="73"/>
      <c r="N169" s="70"/>
      <c r="O169" s="70"/>
      <c r="P169" s="68"/>
    </row>
    <row r="170" customFormat="false" ht="15" hidden="false" customHeight="false" outlineLevel="0" collapsed="false">
      <c r="A170" s="67"/>
      <c r="B170" s="68"/>
      <c r="C170" s="70"/>
      <c r="D170" s="68"/>
      <c r="E170" s="70"/>
      <c r="F170" s="68"/>
      <c r="G170" s="68"/>
      <c r="H170" s="68"/>
      <c r="I170" s="70"/>
      <c r="J170" s="68"/>
      <c r="K170" s="68"/>
      <c r="L170" s="68"/>
      <c r="M170" s="73"/>
      <c r="N170" s="70"/>
      <c r="O170" s="70"/>
      <c r="P170" s="68"/>
    </row>
    <row r="171" customFormat="false" ht="15" hidden="false" customHeight="false" outlineLevel="0" collapsed="false">
      <c r="A171" s="67"/>
      <c r="B171" s="68"/>
      <c r="C171" s="70"/>
      <c r="D171" s="68"/>
      <c r="E171" s="70"/>
      <c r="F171" s="68"/>
      <c r="G171" s="68"/>
      <c r="H171" s="68"/>
      <c r="I171" s="70"/>
      <c r="J171" s="68"/>
      <c r="K171" s="68"/>
      <c r="L171" s="68"/>
      <c r="M171" s="73"/>
      <c r="N171" s="70"/>
      <c r="O171" s="70"/>
      <c r="P171" s="68"/>
    </row>
    <row r="172" customFormat="false" ht="15" hidden="false" customHeight="false" outlineLevel="0" collapsed="false">
      <c r="A172" s="67"/>
      <c r="B172" s="68"/>
      <c r="C172" s="70"/>
      <c r="D172" s="68"/>
      <c r="E172" s="70"/>
      <c r="F172" s="68"/>
      <c r="G172" s="68"/>
      <c r="H172" s="68"/>
      <c r="I172" s="70"/>
      <c r="J172" s="68"/>
      <c r="K172" s="68"/>
      <c r="L172" s="68"/>
      <c r="M172" s="73"/>
      <c r="N172" s="70"/>
      <c r="O172" s="70"/>
      <c r="P172" s="68"/>
    </row>
    <row r="173" customFormat="false" ht="15" hidden="false" customHeight="false" outlineLevel="0" collapsed="false">
      <c r="A173" s="67"/>
      <c r="B173" s="68"/>
      <c r="C173" s="70"/>
      <c r="D173" s="68"/>
      <c r="E173" s="70"/>
      <c r="F173" s="68"/>
      <c r="G173" s="68"/>
      <c r="H173" s="68"/>
      <c r="I173" s="70"/>
      <c r="J173" s="68"/>
      <c r="K173" s="68"/>
      <c r="L173" s="68"/>
      <c r="M173" s="73"/>
      <c r="N173" s="70"/>
      <c r="O173" s="70"/>
      <c r="P173" s="68"/>
    </row>
    <row r="174" customFormat="false" ht="15" hidden="false" customHeight="false" outlineLevel="0" collapsed="false">
      <c r="A174" s="67"/>
      <c r="B174" s="68"/>
      <c r="C174" s="70"/>
      <c r="D174" s="68"/>
      <c r="E174" s="70"/>
      <c r="F174" s="68"/>
      <c r="G174" s="68"/>
      <c r="H174" s="68"/>
      <c r="I174" s="70"/>
      <c r="J174" s="68"/>
      <c r="K174" s="68"/>
      <c r="L174" s="68"/>
      <c r="M174" s="73"/>
      <c r="N174" s="70"/>
      <c r="O174" s="70"/>
      <c r="P174" s="68"/>
    </row>
    <row r="175" customFormat="false" ht="15" hidden="false" customHeight="false" outlineLevel="0" collapsed="false">
      <c r="A175" s="67"/>
      <c r="B175" s="68"/>
      <c r="C175" s="70"/>
      <c r="D175" s="68"/>
      <c r="E175" s="70"/>
      <c r="F175" s="68"/>
      <c r="G175" s="68"/>
      <c r="H175" s="68"/>
      <c r="I175" s="70"/>
      <c r="J175" s="68"/>
      <c r="K175" s="68"/>
      <c r="L175" s="68"/>
      <c r="M175" s="73"/>
      <c r="N175" s="70"/>
      <c r="O175" s="70"/>
      <c r="P175" s="68"/>
    </row>
    <row r="176" customFormat="false" ht="15" hidden="false" customHeight="false" outlineLevel="0" collapsed="false">
      <c r="A176" s="67"/>
      <c r="B176" s="68"/>
      <c r="C176" s="70"/>
      <c r="D176" s="68"/>
      <c r="E176" s="70"/>
      <c r="F176" s="68"/>
      <c r="G176" s="68"/>
      <c r="H176" s="68"/>
      <c r="I176" s="70"/>
      <c r="J176" s="68"/>
      <c r="K176" s="68"/>
      <c r="L176" s="68"/>
      <c r="M176" s="73"/>
      <c r="N176" s="70"/>
      <c r="O176" s="70"/>
      <c r="P176" s="68"/>
    </row>
    <row r="177" customFormat="false" ht="15" hidden="false" customHeight="false" outlineLevel="0" collapsed="false">
      <c r="A177" s="67"/>
      <c r="B177" s="68"/>
      <c r="C177" s="70"/>
      <c r="D177" s="68"/>
      <c r="E177" s="70"/>
      <c r="F177" s="68"/>
      <c r="G177" s="68"/>
      <c r="H177" s="68"/>
      <c r="I177" s="70"/>
      <c r="J177" s="68"/>
      <c r="K177" s="68"/>
      <c r="L177" s="68"/>
      <c r="M177" s="73"/>
      <c r="N177" s="70"/>
      <c r="O177" s="70"/>
      <c r="P177" s="68"/>
    </row>
    <row r="178" customFormat="false" ht="15" hidden="false" customHeight="false" outlineLevel="0" collapsed="false">
      <c r="A178" s="67"/>
      <c r="B178" s="68"/>
      <c r="C178" s="70"/>
      <c r="D178" s="68"/>
      <c r="E178" s="70"/>
      <c r="F178" s="68"/>
      <c r="G178" s="68"/>
      <c r="H178" s="68"/>
      <c r="I178" s="70"/>
      <c r="J178" s="68"/>
      <c r="K178" s="68"/>
      <c r="L178" s="68"/>
      <c r="M178" s="73"/>
      <c r="N178" s="70"/>
      <c r="O178" s="70"/>
      <c r="P178" s="68"/>
    </row>
    <row r="179" customFormat="false" ht="15" hidden="false" customHeight="false" outlineLevel="0" collapsed="false">
      <c r="A179" s="67"/>
      <c r="B179" s="68"/>
      <c r="C179" s="70"/>
      <c r="D179" s="68"/>
      <c r="E179" s="70"/>
      <c r="F179" s="68"/>
      <c r="G179" s="68"/>
      <c r="H179" s="68"/>
      <c r="I179" s="70"/>
      <c r="J179" s="68"/>
      <c r="K179" s="68"/>
      <c r="L179" s="68"/>
      <c r="M179" s="73"/>
      <c r="N179" s="70"/>
      <c r="O179" s="70"/>
      <c r="P179" s="68"/>
    </row>
    <row r="180" customFormat="false" ht="15" hidden="false" customHeight="false" outlineLevel="0" collapsed="false">
      <c r="A180" s="67"/>
      <c r="B180" s="68"/>
      <c r="C180" s="70"/>
      <c r="D180" s="68"/>
      <c r="E180" s="70"/>
      <c r="F180" s="68"/>
      <c r="G180" s="68"/>
      <c r="H180" s="68"/>
      <c r="I180" s="70"/>
      <c r="J180" s="68"/>
      <c r="K180" s="68"/>
      <c r="L180" s="68"/>
      <c r="M180" s="73"/>
      <c r="N180" s="70"/>
      <c r="O180" s="70"/>
      <c r="P180" s="68"/>
    </row>
    <row r="181" customFormat="false" ht="15" hidden="false" customHeight="false" outlineLevel="0" collapsed="false">
      <c r="A181" s="67"/>
      <c r="B181" s="68"/>
      <c r="C181" s="70"/>
      <c r="D181" s="68"/>
      <c r="E181" s="70"/>
      <c r="F181" s="68"/>
      <c r="G181" s="68"/>
      <c r="H181" s="68"/>
      <c r="I181" s="70"/>
      <c r="J181" s="68"/>
      <c r="K181" s="68"/>
      <c r="L181" s="68"/>
      <c r="M181" s="73"/>
      <c r="N181" s="70"/>
      <c r="O181" s="70"/>
      <c r="P181" s="68"/>
    </row>
    <row r="182" customFormat="false" ht="15" hidden="false" customHeight="false" outlineLevel="0" collapsed="false">
      <c r="A182" s="67"/>
      <c r="B182" s="68"/>
      <c r="C182" s="70"/>
      <c r="D182" s="68"/>
      <c r="E182" s="70"/>
      <c r="F182" s="68"/>
      <c r="G182" s="68"/>
      <c r="H182" s="68"/>
      <c r="I182" s="70"/>
      <c r="J182" s="68"/>
      <c r="K182" s="68"/>
      <c r="L182" s="68"/>
      <c r="M182" s="73"/>
      <c r="N182" s="70"/>
      <c r="O182" s="70"/>
      <c r="P182" s="68"/>
    </row>
    <row r="183" customFormat="false" ht="15" hidden="false" customHeight="false" outlineLevel="0" collapsed="false">
      <c r="A183" s="67"/>
      <c r="B183" s="68"/>
      <c r="C183" s="70"/>
      <c r="D183" s="68"/>
      <c r="E183" s="70"/>
      <c r="F183" s="68"/>
      <c r="G183" s="68"/>
      <c r="H183" s="68"/>
      <c r="I183" s="70"/>
      <c r="J183" s="68"/>
      <c r="K183" s="68"/>
      <c r="L183" s="68"/>
      <c r="M183" s="73"/>
      <c r="N183" s="70"/>
      <c r="O183" s="70"/>
      <c r="P183" s="68"/>
    </row>
    <row r="184" customFormat="false" ht="15" hidden="false" customHeight="false" outlineLevel="0" collapsed="false">
      <c r="A184" s="67"/>
      <c r="B184" s="68"/>
      <c r="C184" s="70"/>
      <c r="D184" s="68"/>
      <c r="E184" s="70"/>
      <c r="F184" s="68"/>
      <c r="G184" s="68"/>
      <c r="H184" s="68"/>
      <c r="I184" s="70"/>
      <c r="J184" s="68"/>
      <c r="K184" s="68"/>
      <c r="L184" s="68"/>
      <c r="M184" s="73"/>
      <c r="N184" s="70"/>
      <c r="O184" s="70"/>
      <c r="P184" s="68"/>
    </row>
    <row r="185" customFormat="false" ht="15" hidden="false" customHeight="false" outlineLevel="0" collapsed="false">
      <c r="A185" s="67"/>
      <c r="B185" s="68"/>
      <c r="C185" s="70"/>
      <c r="D185" s="68"/>
      <c r="E185" s="70"/>
      <c r="F185" s="68"/>
      <c r="G185" s="68"/>
      <c r="H185" s="68"/>
      <c r="I185" s="70"/>
      <c r="J185" s="68"/>
      <c r="K185" s="68"/>
      <c r="L185" s="68"/>
      <c r="M185" s="73"/>
      <c r="N185" s="70"/>
      <c r="O185" s="70"/>
      <c r="P185" s="68"/>
    </row>
    <row r="186" customFormat="false" ht="15" hidden="false" customHeight="false" outlineLevel="0" collapsed="false">
      <c r="A186" s="67"/>
      <c r="B186" s="68"/>
      <c r="C186" s="70"/>
      <c r="D186" s="68"/>
      <c r="E186" s="70"/>
      <c r="F186" s="68"/>
      <c r="G186" s="68"/>
      <c r="H186" s="68"/>
      <c r="I186" s="70"/>
      <c r="J186" s="68"/>
      <c r="K186" s="68"/>
      <c r="L186" s="68"/>
      <c r="M186" s="73"/>
      <c r="N186" s="70"/>
      <c r="O186" s="70"/>
      <c r="P186" s="68"/>
    </row>
    <row r="187" customFormat="false" ht="15" hidden="false" customHeight="false" outlineLevel="0" collapsed="false">
      <c r="A187" s="67"/>
      <c r="B187" s="68"/>
      <c r="C187" s="70"/>
      <c r="D187" s="68"/>
      <c r="E187" s="70"/>
      <c r="F187" s="68"/>
      <c r="G187" s="68"/>
      <c r="H187" s="68"/>
      <c r="I187" s="70"/>
      <c r="J187" s="68"/>
      <c r="K187" s="68"/>
      <c r="L187" s="68"/>
      <c r="M187" s="73"/>
      <c r="N187" s="70"/>
      <c r="O187" s="70"/>
      <c r="P187" s="68"/>
    </row>
    <row r="188" customFormat="false" ht="15" hidden="false" customHeight="false" outlineLevel="0" collapsed="false">
      <c r="A188" s="67"/>
      <c r="B188" s="68"/>
      <c r="C188" s="70"/>
      <c r="D188" s="68"/>
      <c r="E188" s="70"/>
      <c r="F188" s="68"/>
      <c r="G188" s="68"/>
      <c r="H188" s="68"/>
      <c r="I188" s="70"/>
      <c r="J188" s="68"/>
      <c r="K188" s="68"/>
      <c r="L188" s="68"/>
      <c r="M188" s="73"/>
      <c r="N188" s="70"/>
      <c r="O188" s="70"/>
      <c r="P188" s="68"/>
    </row>
    <row r="189" customFormat="false" ht="15" hidden="false" customHeight="false" outlineLevel="0" collapsed="false">
      <c r="A189" s="67"/>
      <c r="B189" s="68"/>
      <c r="C189" s="70"/>
      <c r="D189" s="68"/>
      <c r="E189" s="70"/>
      <c r="F189" s="68"/>
      <c r="G189" s="68"/>
      <c r="H189" s="68"/>
      <c r="I189" s="70"/>
      <c r="J189" s="68"/>
      <c r="K189" s="68"/>
      <c r="L189" s="68"/>
      <c r="M189" s="73"/>
      <c r="N189" s="70"/>
      <c r="O189" s="70"/>
      <c r="P189" s="68"/>
    </row>
    <row r="190" customFormat="false" ht="15" hidden="false" customHeight="false" outlineLevel="0" collapsed="false">
      <c r="A190" s="67"/>
      <c r="B190" s="68"/>
      <c r="C190" s="70"/>
      <c r="D190" s="68"/>
      <c r="E190" s="70"/>
      <c r="F190" s="68"/>
      <c r="G190" s="68"/>
      <c r="H190" s="68"/>
      <c r="I190" s="70"/>
      <c r="J190" s="68"/>
      <c r="K190" s="68"/>
      <c r="L190" s="68"/>
      <c r="M190" s="73"/>
      <c r="N190" s="70"/>
      <c r="O190" s="70"/>
      <c r="P190" s="68"/>
    </row>
    <row r="191" customFormat="false" ht="15" hidden="false" customHeight="false" outlineLevel="0" collapsed="false">
      <c r="A191" s="67"/>
      <c r="B191" s="68"/>
      <c r="C191" s="70"/>
      <c r="D191" s="68"/>
      <c r="E191" s="70"/>
      <c r="F191" s="68"/>
      <c r="G191" s="68"/>
      <c r="H191" s="68"/>
      <c r="I191" s="70"/>
      <c r="J191" s="68"/>
      <c r="K191" s="68"/>
      <c r="L191" s="68"/>
      <c r="M191" s="73"/>
      <c r="N191" s="70"/>
      <c r="O191" s="70"/>
      <c r="P191" s="68"/>
    </row>
    <row r="192" customFormat="false" ht="15" hidden="false" customHeight="false" outlineLevel="0" collapsed="false">
      <c r="A192" s="67"/>
      <c r="B192" s="68"/>
      <c r="C192" s="70"/>
      <c r="D192" s="68"/>
      <c r="E192" s="70"/>
      <c r="F192" s="68"/>
      <c r="G192" s="68"/>
      <c r="H192" s="68"/>
      <c r="I192" s="70"/>
      <c r="J192" s="68"/>
      <c r="K192" s="68"/>
      <c r="L192" s="68"/>
      <c r="M192" s="73"/>
      <c r="N192" s="70"/>
      <c r="O192" s="70"/>
      <c r="P192" s="68"/>
    </row>
    <row r="193" customFormat="false" ht="15" hidden="false" customHeight="false" outlineLevel="0" collapsed="false">
      <c r="A193" s="67"/>
      <c r="B193" s="68"/>
      <c r="C193" s="70"/>
      <c r="D193" s="68"/>
      <c r="E193" s="70"/>
      <c r="F193" s="68"/>
      <c r="G193" s="68"/>
      <c r="H193" s="68"/>
      <c r="I193" s="70"/>
      <c r="J193" s="68"/>
      <c r="K193" s="68"/>
      <c r="L193" s="68"/>
      <c r="M193" s="73"/>
      <c r="N193" s="70"/>
      <c r="O193" s="70"/>
      <c r="P193" s="68"/>
    </row>
    <row r="194" customFormat="false" ht="15" hidden="false" customHeight="false" outlineLevel="0" collapsed="false">
      <c r="A194" s="67"/>
      <c r="B194" s="68"/>
      <c r="C194" s="70"/>
      <c r="D194" s="68"/>
      <c r="E194" s="70"/>
      <c r="F194" s="68"/>
      <c r="G194" s="68"/>
      <c r="H194" s="68"/>
      <c r="I194" s="70"/>
      <c r="J194" s="68"/>
      <c r="K194" s="68"/>
      <c r="L194" s="68"/>
      <c r="M194" s="73"/>
      <c r="N194" s="70"/>
      <c r="O194" s="70"/>
      <c r="P194" s="68"/>
    </row>
    <row r="195" customFormat="false" ht="15" hidden="false" customHeight="false" outlineLevel="0" collapsed="false">
      <c r="A195" s="67"/>
      <c r="B195" s="68"/>
      <c r="C195" s="70"/>
      <c r="D195" s="68"/>
      <c r="E195" s="70"/>
      <c r="F195" s="68"/>
      <c r="G195" s="68"/>
      <c r="H195" s="68"/>
      <c r="I195" s="70"/>
      <c r="J195" s="68"/>
      <c r="K195" s="68"/>
      <c r="L195" s="68"/>
      <c r="M195" s="73"/>
      <c r="N195" s="70"/>
      <c r="O195" s="70"/>
      <c r="P195" s="68"/>
    </row>
    <row r="196" customFormat="false" ht="15" hidden="false" customHeight="false" outlineLevel="0" collapsed="false">
      <c r="A196" s="67"/>
      <c r="B196" s="68"/>
      <c r="C196" s="70"/>
      <c r="D196" s="68"/>
      <c r="E196" s="70"/>
      <c r="F196" s="68"/>
      <c r="G196" s="68"/>
      <c r="H196" s="68"/>
      <c r="I196" s="70"/>
      <c r="J196" s="68"/>
      <c r="K196" s="68"/>
      <c r="L196" s="68"/>
      <c r="M196" s="73"/>
      <c r="N196" s="70"/>
      <c r="O196" s="70"/>
      <c r="P196" s="68"/>
    </row>
    <row r="197" customFormat="false" ht="15" hidden="false" customHeight="false" outlineLevel="0" collapsed="false">
      <c r="A197" s="67"/>
      <c r="B197" s="68"/>
      <c r="C197" s="70"/>
      <c r="D197" s="68"/>
      <c r="E197" s="70"/>
      <c r="F197" s="68"/>
      <c r="G197" s="68"/>
      <c r="H197" s="68"/>
      <c r="I197" s="70"/>
      <c r="J197" s="68"/>
      <c r="K197" s="68"/>
      <c r="L197" s="68"/>
      <c r="M197" s="73"/>
      <c r="N197" s="70"/>
      <c r="O197" s="70"/>
      <c r="P197" s="68"/>
    </row>
    <row r="198" customFormat="false" ht="15" hidden="false" customHeight="false" outlineLevel="0" collapsed="false">
      <c r="A198" s="67"/>
      <c r="B198" s="68"/>
      <c r="C198" s="70"/>
      <c r="D198" s="68"/>
      <c r="E198" s="70"/>
      <c r="F198" s="68"/>
      <c r="G198" s="68"/>
      <c r="H198" s="68"/>
      <c r="I198" s="70"/>
      <c r="J198" s="68"/>
      <c r="K198" s="68"/>
      <c r="L198" s="68"/>
      <c r="M198" s="73"/>
      <c r="N198" s="70"/>
      <c r="O198" s="70"/>
      <c r="P198" s="68"/>
    </row>
    <row r="199" customFormat="false" ht="15" hidden="false" customHeight="false" outlineLevel="0" collapsed="false">
      <c r="A199" s="67"/>
      <c r="B199" s="68"/>
      <c r="C199" s="70"/>
      <c r="D199" s="68"/>
      <c r="E199" s="70"/>
      <c r="F199" s="68"/>
      <c r="G199" s="68"/>
      <c r="H199" s="68"/>
      <c r="I199" s="70"/>
      <c r="J199" s="68"/>
      <c r="K199" s="68"/>
      <c r="L199" s="68"/>
      <c r="M199" s="73"/>
      <c r="N199" s="70"/>
      <c r="O199" s="70"/>
      <c r="P199" s="68"/>
    </row>
    <row r="200" customFormat="false" ht="15" hidden="false" customHeight="false" outlineLevel="0" collapsed="false">
      <c r="A200" s="67"/>
      <c r="B200" s="68"/>
      <c r="C200" s="70"/>
      <c r="D200" s="68"/>
      <c r="E200" s="70"/>
      <c r="F200" s="68"/>
      <c r="G200" s="68"/>
      <c r="H200" s="68"/>
      <c r="I200" s="70"/>
      <c r="J200" s="68"/>
      <c r="K200" s="68"/>
      <c r="L200" s="68"/>
      <c r="M200" s="73"/>
      <c r="N200" s="70"/>
      <c r="O200" s="70"/>
      <c r="P200" s="68"/>
    </row>
    <row r="201" customFormat="false" ht="15" hidden="false" customHeight="false" outlineLevel="0" collapsed="false">
      <c r="A201" s="67"/>
      <c r="B201" s="68"/>
      <c r="C201" s="70"/>
      <c r="D201" s="68"/>
      <c r="E201" s="70"/>
      <c r="F201" s="68"/>
      <c r="G201" s="68"/>
      <c r="H201" s="68"/>
      <c r="I201" s="70"/>
      <c r="J201" s="68"/>
      <c r="K201" s="68"/>
      <c r="L201" s="68"/>
      <c r="M201" s="73"/>
      <c r="N201" s="70"/>
      <c r="O201" s="70"/>
      <c r="P201" s="68"/>
    </row>
    <row r="202" customFormat="false" ht="15" hidden="false" customHeight="false" outlineLevel="0" collapsed="false">
      <c r="A202" s="67"/>
      <c r="B202" s="68"/>
      <c r="C202" s="70"/>
      <c r="D202" s="68"/>
      <c r="E202" s="70"/>
      <c r="F202" s="68"/>
      <c r="G202" s="68"/>
      <c r="H202" s="68"/>
      <c r="I202" s="70"/>
      <c r="J202" s="68"/>
      <c r="K202" s="68"/>
      <c r="L202" s="68"/>
      <c r="M202" s="73"/>
      <c r="N202" s="70"/>
      <c r="O202" s="70"/>
      <c r="P202" s="68"/>
    </row>
    <row r="203" customFormat="false" ht="15" hidden="false" customHeight="false" outlineLevel="0" collapsed="false">
      <c r="A203" s="67"/>
      <c r="B203" s="68"/>
      <c r="C203" s="70"/>
      <c r="D203" s="68"/>
      <c r="E203" s="70"/>
      <c r="F203" s="68"/>
      <c r="G203" s="68"/>
      <c r="H203" s="68"/>
      <c r="I203" s="70"/>
      <c r="J203" s="68"/>
      <c r="K203" s="68"/>
      <c r="L203" s="68"/>
      <c r="M203" s="73"/>
      <c r="N203" s="70"/>
      <c r="O203" s="70"/>
      <c r="P203" s="68"/>
    </row>
    <row r="204" customFormat="false" ht="15" hidden="false" customHeight="false" outlineLevel="0" collapsed="false">
      <c r="A204" s="67"/>
      <c r="B204" s="68"/>
      <c r="C204" s="70"/>
      <c r="D204" s="68"/>
      <c r="E204" s="70"/>
      <c r="F204" s="68"/>
      <c r="G204" s="68"/>
      <c r="H204" s="68"/>
      <c r="I204" s="70"/>
      <c r="J204" s="68"/>
      <c r="K204" s="68"/>
      <c r="L204" s="68"/>
      <c r="M204" s="73"/>
      <c r="N204" s="70"/>
      <c r="O204" s="70"/>
      <c r="P204" s="68"/>
    </row>
    <row r="205" customFormat="false" ht="15" hidden="false" customHeight="false" outlineLevel="0" collapsed="false">
      <c r="A205" s="67"/>
      <c r="B205" s="68"/>
      <c r="C205" s="70"/>
      <c r="D205" s="68"/>
      <c r="E205" s="70"/>
      <c r="F205" s="68"/>
      <c r="G205" s="68"/>
      <c r="H205" s="68"/>
      <c r="I205" s="70"/>
      <c r="J205" s="68"/>
      <c r="K205" s="68"/>
      <c r="L205" s="68"/>
      <c r="M205" s="73"/>
      <c r="N205" s="70"/>
      <c r="O205" s="70"/>
      <c r="P205" s="68"/>
    </row>
    <row r="206" customFormat="false" ht="15" hidden="false" customHeight="false" outlineLevel="0" collapsed="false">
      <c r="A206" s="67"/>
      <c r="B206" s="68"/>
      <c r="C206" s="70"/>
      <c r="D206" s="68"/>
      <c r="E206" s="70"/>
      <c r="F206" s="68"/>
      <c r="G206" s="68"/>
      <c r="H206" s="68"/>
      <c r="I206" s="70"/>
      <c r="J206" s="68"/>
      <c r="K206" s="68"/>
      <c r="L206" s="68"/>
      <c r="M206" s="73"/>
      <c r="N206" s="70"/>
      <c r="O206" s="70"/>
      <c r="P206" s="68"/>
    </row>
    <row r="207" customFormat="false" ht="15" hidden="false" customHeight="false" outlineLevel="0" collapsed="false">
      <c r="A207" s="67"/>
      <c r="B207" s="68"/>
      <c r="C207" s="70"/>
      <c r="D207" s="68"/>
      <c r="E207" s="70"/>
      <c r="F207" s="68"/>
      <c r="G207" s="68"/>
      <c r="H207" s="68"/>
      <c r="I207" s="70"/>
      <c r="J207" s="68"/>
      <c r="K207" s="68"/>
      <c r="L207" s="68"/>
      <c r="M207" s="73"/>
      <c r="N207" s="70"/>
      <c r="O207" s="70"/>
      <c r="P207" s="68"/>
    </row>
    <row r="208" customFormat="false" ht="15" hidden="false" customHeight="false" outlineLevel="0" collapsed="false">
      <c r="A208" s="67"/>
      <c r="B208" s="68"/>
      <c r="C208" s="70"/>
      <c r="D208" s="68"/>
      <c r="E208" s="70"/>
      <c r="F208" s="68"/>
      <c r="G208" s="68"/>
      <c r="H208" s="68"/>
      <c r="I208" s="70"/>
      <c r="J208" s="68"/>
      <c r="K208" s="68"/>
      <c r="L208" s="68"/>
      <c r="M208" s="73"/>
      <c r="N208" s="70"/>
      <c r="O208" s="70"/>
      <c r="P208" s="68"/>
    </row>
    <row r="209" customFormat="false" ht="15" hidden="false" customHeight="false" outlineLevel="0" collapsed="false">
      <c r="A209" s="67"/>
      <c r="B209" s="68"/>
      <c r="C209" s="70"/>
      <c r="D209" s="68"/>
      <c r="E209" s="70"/>
      <c r="F209" s="68"/>
      <c r="G209" s="68"/>
      <c r="H209" s="68"/>
      <c r="I209" s="70"/>
      <c r="J209" s="68"/>
      <c r="K209" s="68"/>
      <c r="L209" s="68"/>
      <c r="M209" s="73"/>
      <c r="N209" s="70"/>
      <c r="O209" s="70"/>
      <c r="P209" s="68"/>
    </row>
    <row r="210" customFormat="false" ht="15" hidden="false" customHeight="false" outlineLevel="0" collapsed="false">
      <c r="A210" s="67"/>
      <c r="B210" s="68"/>
      <c r="C210" s="70"/>
      <c r="D210" s="68"/>
      <c r="E210" s="70"/>
      <c r="F210" s="68"/>
      <c r="G210" s="68"/>
      <c r="H210" s="68"/>
      <c r="I210" s="70"/>
      <c r="J210" s="68"/>
      <c r="K210" s="68"/>
      <c r="L210" s="68"/>
      <c r="M210" s="73"/>
      <c r="N210" s="70"/>
      <c r="O210" s="70"/>
      <c r="P210" s="68"/>
    </row>
    <row r="211" customFormat="false" ht="15" hidden="false" customHeight="false" outlineLevel="0" collapsed="false">
      <c r="A211" s="67"/>
      <c r="B211" s="68"/>
      <c r="C211" s="70"/>
      <c r="D211" s="68"/>
      <c r="E211" s="70"/>
      <c r="F211" s="68"/>
      <c r="G211" s="68"/>
      <c r="H211" s="68"/>
      <c r="I211" s="70"/>
      <c r="J211" s="68"/>
      <c r="K211" s="68"/>
      <c r="L211" s="68"/>
      <c r="M211" s="73"/>
      <c r="N211" s="70"/>
      <c r="O211" s="70"/>
      <c r="P211" s="68"/>
    </row>
    <row r="212" customFormat="false" ht="15" hidden="false" customHeight="false" outlineLevel="0" collapsed="false">
      <c r="A212" s="67"/>
      <c r="B212" s="68"/>
      <c r="C212" s="70"/>
      <c r="D212" s="68"/>
      <c r="E212" s="70"/>
      <c r="F212" s="68"/>
      <c r="G212" s="68"/>
      <c r="H212" s="68"/>
      <c r="I212" s="70"/>
      <c r="J212" s="68"/>
      <c r="K212" s="68"/>
      <c r="L212" s="68"/>
      <c r="M212" s="73"/>
      <c r="N212" s="70"/>
      <c r="O212" s="70"/>
      <c r="P212" s="68"/>
    </row>
    <row r="213" customFormat="false" ht="15" hidden="false" customHeight="false" outlineLevel="0" collapsed="false">
      <c r="A213" s="67"/>
      <c r="B213" s="68"/>
      <c r="C213" s="70"/>
      <c r="D213" s="68"/>
      <c r="E213" s="70"/>
      <c r="F213" s="68"/>
      <c r="G213" s="68"/>
      <c r="H213" s="68"/>
      <c r="I213" s="70"/>
      <c r="J213" s="68"/>
      <c r="K213" s="68"/>
      <c r="L213" s="68"/>
      <c r="M213" s="73"/>
      <c r="N213" s="70"/>
      <c r="O213" s="70"/>
      <c r="P213" s="68"/>
    </row>
    <row r="214" customFormat="false" ht="15" hidden="false" customHeight="false" outlineLevel="0" collapsed="false">
      <c r="A214" s="67"/>
      <c r="B214" s="68"/>
      <c r="C214" s="70"/>
      <c r="D214" s="68"/>
      <c r="E214" s="70"/>
      <c r="F214" s="68"/>
      <c r="G214" s="68"/>
      <c r="H214" s="68"/>
      <c r="I214" s="70"/>
      <c r="J214" s="68"/>
      <c r="K214" s="68"/>
      <c r="L214" s="68"/>
      <c r="M214" s="73"/>
      <c r="N214" s="70"/>
      <c r="O214" s="70"/>
      <c r="P214" s="68"/>
    </row>
    <row r="215" customFormat="false" ht="15" hidden="false" customHeight="false" outlineLevel="0" collapsed="false">
      <c r="A215" s="67"/>
      <c r="B215" s="68"/>
      <c r="C215" s="70"/>
      <c r="D215" s="68"/>
      <c r="E215" s="70"/>
      <c r="F215" s="68"/>
      <c r="G215" s="68"/>
      <c r="H215" s="68"/>
      <c r="I215" s="70"/>
      <c r="J215" s="68"/>
      <c r="K215" s="68"/>
      <c r="L215" s="68"/>
      <c r="M215" s="73"/>
      <c r="N215" s="70"/>
      <c r="O215" s="70"/>
      <c r="P215" s="68"/>
    </row>
    <row r="216" customFormat="false" ht="15" hidden="false" customHeight="false" outlineLevel="0" collapsed="false">
      <c r="A216" s="67"/>
      <c r="B216" s="68"/>
      <c r="C216" s="70"/>
      <c r="D216" s="68"/>
      <c r="E216" s="70"/>
      <c r="F216" s="68"/>
      <c r="G216" s="68"/>
      <c r="H216" s="68"/>
      <c r="I216" s="70"/>
      <c r="J216" s="68"/>
      <c r="K216" s="68"/>
      <c r="L216" s="68"/>
      <c r="M216" s="73"/>
      <c r="N216" s="70"/>
      <c r="O216" s="70"/>
      <c r="P216" s="68"/>
    </row>
    <row r="217" customFormat="false" ht="15" hidden="false" customHeight="false" outlineLevel="0" collapsed="false">
      <c r="A217" s="67"/>
      <c r="B217" s="68"/>
      <c r="C217" s="70"/>
      <c r="D217" s="68"/>
      <c r="E217" s="70"/>
      <c r="F217" s="68"/>
      <c r="G217" s="68"/>
      <c r="H217" s="68"/>
      <c r="I217" s="70"/>
      <c r="J217" s="68"/>
      <c r="K217" s="68"/>
      <c r="L217" s="68"/>
      <c r="M217" s="73"/>
      <c r="N217" s="70"/>
      <c r="O217" s="70"/>
      <c r="P217" s="68"/>
    </row>
    <row r="218" customFormat="false" ht="15" hidden="false" customHeight="false" outlineLevel="0" collapsed="false">
      <c r="A218" s="67"/>
      <c r="B218" s="68"/>
      <c r="C218" s="70"/>
      <c r="D218" s="68"/>
      <c r="E218" s="70"/>
      <c r="F218" s="68"/>
      <c r="G218" s="68"/>
      <c r="H218" s="68"/>
      <c r="I218" s="70"/>
      <c r="J218" s="68"/>
      <c r="K218" s="68"/>
      <c r="L218" s="68"/>
      <c r="M218" s="73"/>
      <c r="N218" s="70"/>
      <c r="O218" s="70"/>
      <c r="P218" s="68"/>
    </row>
    <row r="219" customFormat="false" ht="15" hidden="false" customHeight="false" outlineLevel="0" collapsed="false">
      <c r="A219" s="67"/>
      <c r="B219" s="68"/>
      <c r="C219" s="70"/>
      <c r="D219" s="68"/>
      <c r="E219" s="70"/>
      <c r="F219" s="68"/>
      <c r="G219" s="68"/>
      <c r="H219" s="68"/>
      <c r="I219" s="70"/>
      <c r="J219" s="68"/>
      <c r="K219" s="68"/>
      <c r="L219" s="68"/>
      <c r="M219" s="73"/>
      <c r="N219" s="70"/>
      <c r="O219" s="70"/>
      <c r="P219" s="68"/>
    </row>
    <row r="220" customFormat="false" ht="15" hidden="false" customHeight="false" outlineLevel="0" collapsed="false">
      <c r="A220" s="67"/>
      <c r="B220" s="68"/>
      <c r="C220" s="70"/>
      <c r="D220" s="68"/>
      <c r="E220" s="70"/>
      <c r="F220" s="68"/>
      <c r="G220" s="68"/>
      <c r="H220" s="68"/>
      <c r="I220" s="70"/>
      <c r="J220" s="68"/>
      <c r="K220" s="68"/>
      <c r="L220" s="68"/>
      <c r="M220" s="73"/>
      <c r="N220" s="70"/>
      <c r="O220" s="70"/>
      <c r="P220" s="68"/>
    </row>
    <row r="221" customFormat="false" ht="15" hidden="false" customHeight="false" outlineLevel="0" collapsed="false">
      <c r="A221" s="67"/>
      <c r="B221" s="68"/>
      <c r="C221" s="70"/>
      <c r="D221" s="68"/>
      <c r="E221" s="70"/>
      <c r="F221" s="68"/>
      <c r="G221" s="68"/>
      <c r="H221" s="68"/>
      <c r="I221" s="70"/>
      <c r="J221" s="68"/>
      <c r="K221" s="68"/>
      <c r="L221" s="68"/>
      <c r="M221" s="73"/>
      <c r="N221" s="70"/>
      <c r="O221" s="70"/>
      <c r="P221" s="68"/>
    </row>
    <row r="222" customFormat="false" ht="15" hidden="false" customHeight="false" outlineLevel="0" collapsed="false">
      <c r="A222" s="67"/>
      <c r="B222" s="68"/>
      <c r="C222" s="70"/>
      <c r="D222" s="68"/>
      <c r="E222" s="70"/>
      <c r="F222" s="68"/>
      <c r="G222" s="68"/>
      <c r="H222" s="68"/>
      <c r="I222" s="70"/>
      <c r="J222" s="68"/>
      <c r="K222" s="68"/>
      <c r="L222" s="68"/>
      <c r="M222" s="73"/>
      <c r="N222" s="70"/>
      <c r="O222" s="70"/>
      <c r="P222" s="68"/>
    </row>
    <row r="223" customFormat="false" ht="15" hidden="false" customHeight="false" outlineLevel="0" collapsed="false">
      <c r="A223" s="67"/>
      <c r="B223" s="68"/>
      <c r="C223" s="70"/>
      <c r="D223" s="68"/>
      <c r="E223" s="70"/>
      <c r="F223" s="68"/>
      <c r="G223" s="68"/>
      <c r="H223" s="68"/>
      <c r="I223" s="70"/>
      <c r="J223" s="68"/>
      <c r="K223" s="68"/>
      <c r="L223" s="68"/>
      <c r="M223" s="73"/>
      <c r="N223" s="70"/>
      <c r="O223" s="70"/>
      <c r="P223" s="68"/>
    </row>
    <row r="224" customFormat="false" ht="15" hidden="false" customHeight="false" outlineLevel="0" collapsed="false">
      <c r="A224" s="67"/>
      <c r="B224" s="68"/>
      <c r="C224" s="70"/>
      <c r="D224" s="68"/>
      <c r="E224" s="70"/>
      <c r="F224" s="68"/>
      <c r="G224" s="68"/>
      <c r="H224" s="68"/>
      <c r="I224" s="70"/>
      <c r="J224" s="68"/>
      <c r="K224" s="68"/>
      <c r="L224" s="68"/>
      <c r="M224" s="73"/>
      <c r="N224" s="70"/>
      <c r="O224" s="70"/>
      <c r="P224" s="68"/>
    </row>
    <row r="225" customFormat="false" ht="15" hidden="false" customHeight="false" outlineLevel="0" collapsed="false">
      <c r="A225" s="67"/>
      <c r="B225" s="68"/>
      <c r="C225" s="70"/>
      <c r="D225" s="68"/>
      <c r="E225" s="70"/>
      <c r="F225" s="68"/>
      <c r="G225" s="68"/>
      <c r="H225" s="68"/>
      <c r="I225" s="70"/>
      <c r="J225" s="68"/>
      <c r="K225" s="68"/>
      <c r="L225" s="68"/>
      <c r="M225" s="73"/>
      <c r="N225" s="70"/>
      <c r="O225" s="70"/>
      <c r="P225" s="68"/>
    </row>
    <row r="226" customFormat="false" ht="15" hidden="false" customHeight="false" outlineLevel="0" collapsed="false">
      <c r="A226" s="67"/>
      <c r="B226" s="68"/>
      <c r="C226" s="70"/>
      <c r="D226" s="68"/>
      <c r="E226" s="70"/>
      <c r="F226" s="68"/>
      <c r="G226" s="68"/>
      <c r="H226" s="68"/>
      <c r="I226" s="70"/>
      <c r="J226" s="68"/>
      <c r="K226" s="68"/>
      <c r="L226" s="68"/>
      <c r="M226" s="73"/>
      <c r="N226" s="70"/>
      <c r="O226" s="70"/>
      <c r="P226" s="68"/>
    </row>
    <row r="227" customFormat="false" ht="15" hidden="false" customHeight="false" outlineLevel="0" collapsed="false">
      <c r="A227" s="67"/>
      <c r="B227" s="68"/>
      <c r="C227" s="70"/>
      <c r="D227" s="68"/>
      <c r="E227" s="70"/>
      <c r="F227" s="68"/>
      <c r="G227" s="68"/>
      <c r="H227" s="68"/>
      <c r="I227" s="70"/>
      <c r="J227" s="68"/>
      <c r="K227" s="68"/>
      <c r="L227" s="68"/>
      <c r="M227" s="73"/>
      <c r="N227" s="70"/>
      <c r="O227" s="70"/>
      <c r="P227" s="68"/>
    </row>
    <row r="228" customFormat="false" ht="15" hidden="false" customHeight="false" outlineLevel="0" collapsed="false">
      <c r="A228" s="67"/>
      <c r="B228" s="68"/>
      <c r="C228" s="70"/>
      <c r="D228" s="68"/>
      <c r="E228" s="70"/>
      <c r="F228" s="68"/>
      <c r="G228" s="68"/>
      <c r="H228" s="68"/>
      <c r="I228" s="70"/>
      <c r="J228" s="68"/>
      <c r="K228" s="68"/>
      <c r="L228" s="68"/>
      <c r="M228" s="73"/>
      <c r="N228" s="70"/>
      <c r="O228" s="70"/>
      <c r="P228" s="68"/>
    </row>
    <row r="229" customFormat="false" ht="15" hidden="false" customHeight="false" outlineLevel="0" collapsed="false">
      <c r="A229" s="67"/>
      <c r="B229" s="68"/>
      <c r="C229" s="70"/>
      <c r="D229" s="68"/>
      <c r="E229" s="70"/>
      <c r="F229" s="68"/>
      <c r="G229" s="68"/>
      <c r="H229" s="68"/>
      <c r="I229" s="70"/>
      <c r="J229" s="68"/>
      <c r="K229" s="68"/>
      <c r="L229" s="68"/>
      <c r="M229" s="73"/>
      <c r="N229" s="70"/>
      <c r="O229" s="70"/>
      <c r="P229" s="68"/>
    </row>
    <row r="230" customFormat="false" ht="15" hidden="false" customHeight="false" outlineLevel="0" collapsed="false">
      <c r="A230" s="67"/>
      <c r="B230" s="68"/>
      <c r="C230" s="70"/>
      <c r="D230" s="68"/>
      <c r="E230" s="70"/>
      <c r="F230" s="68"/>
      <c r="G230" s="68"/>
      <c r="H230" s="68"/>
      <c r="I230" s="70"/>
      <c r="J230" s="68"/>
      <c r="K230" s="68"/>
      <c r="L230" s="68"/>
      <c r="M230" s="73"/>
      <c r="N230" s="70"/>
      <c r="O230" s="70"/>
      <c r="P230" s="68"/>
    </row>
    <row r="231" customFormat="false" ht="15" hidden="false" customHeight="false" outlineLevel="0" collapsed="false">
      <c r="A231" s="67"/>
      <c r="B231" s="68"/>
      <c r="C231" s="70"/>
      <c r="D231" s="68"/>
      <c r="E231" s="70"/>
      <c r="F231" s="68"/>
      <c r="G231" s="68"/>
      <c r="H231" s="68"/>
      <c r="I231" s="70"/>
      <c r="J231" s="68"/>
      <c r="K231" s="68"/>
      <c r="L231" s="68"/>
      <c r="M231" s="73"/>
      <c r="N231" s="70"/>
      <c r="O231" s="70"/>
      <c r="P231" s="68"/>
    </row>
    <row r="232" customFormat="false" ht="15" hidden="false" customHeight="false" outlineLevel="0" collapsed="false">
      <c r="A232" s="67"/>
      <c r="B232" s="68"/>
      <c r="C232" s="70"/>
      <c r="D232" s="68"/>
      <c r="E232" s="70"/>
      <c r="F232" s="68"/>
      <c r="G232" s="68"/>
      <c r="H232" s="68"/>
      <c r="I232" s="70"/>
      <c r="J232" s="68"/>
      <c r="K232" s="68"/>
      <c r="L232" s="68"/>
      <c r="M232" s="73"/>
      <c r="N232" s="70"/>
      <c r="O232" s="70"/>
      <c r="P232" s="68"/>
    </row>
    <row r="233" customFormat="false" ht="15" hidden="false" customHeight="false" outlineLevel="0" collapsed="false">
      <c r="A233" s="67"/>
      <c r="B233" s="68"/>
      <c r="C233" s="70"/>
      <c r="D233" s="68"/>
      <c r="E233" s="70"/>
      <c r="F233" s="68"/>
      <c r="G233" s="68"/>
      <c r="H233" s="68"/>
      <c r="I233" s="70"/>
      <c r="J233" s="68"/>
      <c r="K233" s="68"/>
      <c r="L233" s="68"/>
      <c r="M233" s="73"/>
      <c r="N233" s="70"/>
      <c r="O233" s="70"/>
      <c r="P233" s="68"/>
    </row>
    <row r="234" customFormat="false" ht="15" hidden="false" customHeight="false" outlineLevel="0" collapsed="false">
      <c r="A234" s="67"/>
      <c r="B234" s="68"/>
      <c r="C234" s="70"/>
      <c r="D234" s="68"/>
      <c r="E234" s="70"/>
      <c r="F234" s="68"/>
      <c r="G234" s="68"/>
      <c r="H234" s="68"/>
      <c r="I234" s="70"/>
      <c r="J234" s="68"/>
      <c r="K234" s="68"/>
      <c r="L234" s="68"/>
      <c r="M234" s="73"/>
      <c r="N234" s="70"/>
      <c r="O234" s="70"/>
      <c r="P234" s="68"/>
    </row>
    <row r="235" customFormat="false" ht="15" hidden="false" customHeight="false" outlineLevel="0" collapsed="false">
      <c r="A235" s="67"/>
      <c r="B235" s="68"/>
      <c r="C235" s="70"/>
      <c r="D235" s="68"/>
      <c r="E235" s="70"/>
      <c r="F235" s="68"/>
      <c r="G235" s="68"/>
      <c r="H235" s="68"/>
      <c r="I235" s="70"/>
      <c r="J235" s="68"/>
      <c r="K235" s="68"/>
      <c r="L235" s="68"/>
      <c r="M235" s="73"/>
      <c r="N235" s="70"/>
      <c r="O235" s="70"/>
      <c r="P235" s="68"/>
    </row>
    <row r="236" customFormat="false" ht="15" hidden="false" customHeight="false" outlineLevel="0" collapsed="false">
      <c r="A236" s="67"/>
      <c r="B236" s="68"/>
      <c r="C236" s="70"/>
      <c r="D236" s="68"/>
      <c r="E236" s="70"/>
      <c r="F236" s="68"/>
      <c r="G236" s="68"/>
      <c r="H236" s="68"/>
      <c r="I236" s="70"/>
      <c r="J236" s="68"/>
      <c r="K236" s="68"/>
      <c r="L236" s="68"/>
      <c r="M236" s="73"/>
      <c r="N236" s="70"/>
      <c r="O236" s="70"/>
      <c r="P236" s="68"/>
    </row>
    <row r="237" customFormat="false" ht="15" hidden="false" customHeight="false" outlineLevel="0" collapsed="false">
      <c r="A237" s="67"/>
      <c r="B237" s="68"/>
      <c r="C237" s="70"/>
      <c r="D237" s="68"/>
      <c r="E237" s="70"/>
      <c r="F237" s="68"/>
      <c r="G237" s="68"/>
      <c r="H237" s="68"/>
      <c r="I237" s="70"/>
      <c r="J237" s="68"/>
      <c r="K237" s="68"/>
      <c r="L237" s="68"/>
      <c r="M237" s="73"/>
      <c r="N237" s="70"/>
      <c r="O237" s="70"/>
      <c r="P237" s="68"/>
    </row>
    <row r="238" customFormat="false" ht="15" hidden="false" customHeight="false" outlineLevel="0" collapsed="false">
      <c r="A238" s="67"/>
      <c r="B238" s="68"/>
      <c r="C238" s="70"/>
      <c r="D238" s="68"/>
      <c r="E238" s="70"/>
      <c r="F238" s="68"/>
      <c r="G238" s="68"/>
      <c r="H238" s="68"/>
      <c r="I238" s="70"/>
      <c r="J238" s="68"/>
      <c r="K238" s="68"/>
      <c r="L238" s="68"/>
      <c r="M238" s="73"/>
      <c r="N238" s="70"/>
      <c r="O238" s="70"/>
      <c r="P238" s="68"/>
    </row>
    <row r="239" customFormat="false" ht="15" hidden="false" customHeight="false" outlineLevel="0" collapsed="false">
      <c r="A239" s="67"/>
      <c r="B239" s="68"/>
      <c r="C239" s="70"/>
      <c r="D239" s="68"/>
      <c r="E239" s="70"/>
      <c r="F239" s="68"/>
      <c r="G239" s="68"/>
      <c r="H239" s="68"/>
      <c r="I239" s="70"/>
      <c r="J239" s="68"/>
      <c r="K239" s="68"/>
      <c r="L239" s="68"/>
      <c r="M239" s="73"/>
      <c r="N239" s="70"/>
      <c r="O239" s="70"/>
      <c r="P239" s="68"/>
    </row>
    <row r="240" customFormat="false" ht="15" hidden="false" customHeight="false" outlineLevel="0" collapsed="false">
      <c r="A240" s="67"/>
      <c r="B240" s="68"/>
      <c r="C240" s="70"/>
      <c r="D240" s="68"/>
      <c r="E240" s="70"/>
      <c r="F240" s="68"/>
      <c r="G240" s="68"/>
      <c r="H240" s="68"/>
      <c r="I240" s="70"/>
      <c r="J240" s="68"/>
      <c r="K240" s="68"/>
      <c r="L240" s="68"/>
      <c r="M240" s="73"/>
      <c r="N240" s="70"/>
      <c r="O240" s="70"/>
      <c r="P240" s="68"/>
    </row>
    <row r="241" customFormat="false" ht="15" hidden="false" customHeight="false" outlineLevel="0" collapsed="false">
      <c r="A241" s="67"/>
      <c r="B241" s="68"/>
      <c r="C241" s="70"/>
      <c r="D241" s="68"/>
      <c r="E241" s="70"/>
      <c r="F241" s="68"/>
      <c r="G241" s="68"/>
      <c r="H241" s="68"/>
      <c r="I241" s="70"/>
      <c r="J241" s="68"/>
      <c r="K241" s="68"/>
      <c r="L241" s="68"/>
      <c r="M241" s="73"/>
      <c r="N241" s="70"/>
      <c r="O241" s="70"/>
      <c r="P241" s="68"/>
    </row>
    <row r="242" customFormat="false" ht="15" hidden="false" customHeight="false" outlineLevel="0" collapsed="false">
      <c r="A242" s="67"/>
      <c r="B242" s="68"/>
      <c r="C242" s="70"/>
      <c r="D242" s="68"/>
      <c r="E242" s="70"/>
      <c r="F242" s="68"/>
      <c r="G242" s="68"/>
      <c r="H242" s="68"/>
      <c r="I242" s="70"/>
      <c r="J242" s="68"/>
      <c r="K242" s="68"/>
      <c r="L242" s="68"/>
      <c r="M242" s="73"/>
      <c r="N242" s="70"/>
      <c r="O242" s="70"/>
      <c r="P242" s="68"/>
    </row>
    <row r="243" customFormat="false" ht="15" hidden="false" customHeight="false" outlineLevel="0" collapsed="false">
      <c r="A243" s="67"/>
      <c r="B243" s="68"/>
      <c r="C243" s="70"/>
      <c r="D243" s="68"/>
      <c r="E243" s="70"/>
      <c r="F243" s="68"/>
      <c r="G243" s="68"/>
      <c r="H243" s="68"/>
      <c r="I243" s="70"/>
      <c r="J243" s="68"/>
      <c r="K243" s="68"/>
      <c r="L243" s="68"/>
      <c r="M243" s="73"/>
      <c r="N243" s="70"/>
      <c r="O243" s="70"/>
      <c r="P243" s="68"/>
    </row>
    <row r="244" customFormat="false" ht="15" hidden="false" customHeight="false" outlineLevel="0" collapsed="false">
      <c r="A244" s="67"/>
      <c r="B244" s="68"/>
      <c r="C244" s="70"/>
      <c r="D244" s="68"/>
      <c r="E244" s="70"/>
      <c r="F244" s="68"/>
      <c r="G244" s="68"/>
      <c r="H244" s="68"/>
      <c r="I244" s="70"/>
      <c r="J244" s="68"/>
      <c r="K244" s="68"/>
      <c r="L244" s="68"/>
      <c r="M244" s="73"/>
      <c r="N244" s="70"/>
      <c r="O244" s="70"/>
      <c r="P244" s="68"/>
    </row>
    <row r="245" customFormat="false" ht="15" hidden="false" customHeight="false" outlineLevel="0" collapsed="false">
      <c r="A245" s="67"/>
      <c r="B245" s="68"/>
      <c r="C245" s="70"/>
      <c r="D245" s="68"/>
      <c r="E245" s="70"/>
      <c r="F245" s="68"/>
      <c r="G245" s="68"/>
      <c r="H245" s="68"/>
      <c r="I245" s="70"/>
      <c r="J245" s="68"/>
      <c r="K245" s="68"/>
      <c r="L245" s="68"/>
      <c r="M245" s="73"/>
      <c r="N245" s="70"/>
      <c r="O245" s="70"/>
      <c r="P245" s="68"/>
    </row>
    <row r="246" customFormat="false" ht="15" hidden="false" customHeight="false" outlineLevel="0" collapsed="false">
      <c r="A246" s="67"/>
      <c r="B246" s="68"/>
      <c r="C246" s="70"/>
      <c r="D246" s="68"/>
      <c r="E246" s="70"/>
      <c r="F246" s="68"/>
      <c r="G246" s="68"/>
      <c r="H246" s="68"/>
      <c r="I246" s="70"/>
      <c r="J246" s="68"/>
      <c r="K246" s="68"/>
      <c r="L246" s="68"/>
      <c r="M246" s="73"/>
      <c r="N246" s="70"/>
      <c r="O246" s="70"/>
      <c r="P246" s="68"/>
    </row>
    <row r="247" customFormat="false" ht="15" hidden="false" customHeight="false" outlineLevel="0" collapsed="false">
      <c r="A247" s="67"/>
      <c r="B247" s="68"/>
      <c r="C247" s="70"/>
      <c r="D247" s="68"/>
      <c r="E247" s="70"/>
      <c r="F247" s="68"/>
      <c r="G247" s="68"/>
      <c r="H247" s="68"/>
      <c r="I247" s="70"/>
      <c r="J247" s="68"/>
      <c r="K247" s="68"/>
      <c r="L247" s="68"/>
      <c r="M247" s="73"/>
      <c r="N247" s="70"/>
      <c r="O247" s="70"/>
      <c r="P247" s="68"/>
    </row>
    <row r="248" customFormat="false" ht="15" hidden="false" customHeight="false" outlineLevel="0" collapsed="false">
      <c r="A248" s="67"/>
      <c r="B248" s="68"/>
      <c r="C248" s="70"/>
      <c r="D248" s="68"/>
      <c r="E248" s="70"/>
      <c r="F248" s="68"/>
      <c r="G248" s="68"/>
      <c r="H248" s="68"/>
      <c r="I248" s="70"/>
      <c r="J248" s="68"/>
      <c r="K248" s="68"/>
      <c r="L248" s="68"/>
      <c r="M248" s="73"/>
      <c r="N248" s="70"/>
      <c r="O248" s="70"/>
      <c r="P248" s="68"/>
    </row>
    <row r="249" customFormat="false" ht="15" hidden="false" customHeight="false" outlineLevel="0" collapsed="false">
      <c r="A249" s="67"/>
      <c r="B249" s="68"/>
      <c r="C249" s="70"/>
      <c r="D249" s="68"/>
      <c r="E249" s="70"/>
      <c r="F249" s="68"/>
      <c r="G249" s="68"/>
      <c r="H249" s="68"/>
      <c r="I249" s="70"/>
      <c r="J249" s="68"/>
      <c r="K249" s="68"/>
      <c r="L249" s="68"/>
      <c r="M249" s="73"/>
      <c r="N249" s="70"/>
      <c r="O249" s="70"/>
      <c r="P249" s="68"/>
    </row>
    <row r="250" customFormat="false" ht="15" hidden="false" customHeight="false" outlineLevel="0" collapsed="false">
      <c r="A250" s="67"/>
      <c r="B250" s="68"/>
      <c r="C250" s="70"/>
      <c r="D250" s="68"/>
      <c r="E250" s="70"/>
      <c r="F250" s="68"/>
      <c r="G250" s="68"/>
      <c r="H250" s="68"/>
      <c r="I250" s="70"/>
      <c r="J250" s="68"/>
      <c r="K250" s="68"/>
      <c r="L250" s="68"/>
      <c r="M250" s="73"/>
      <c r="N250" s="70"/>
      <c r="O250" s="70"/>
      <c r="P250" s="68"/>
    </row>
    <row r="251" customFormat="false" ht="15" hidden="false" customHeight="false" outlineLevel="0" collapsed="false">
      <c r="A251" s="67"/>
      <c r="B251" s="68"/>
      <c r="C251" s="70"/>
      <c r="D251" s="68"/>
      <c r="E251" s="70"/>
      <c r="F251" s="68"/>
      <c r="G251" s="68"/>
      <c r="H251" s="68"/>
      <c r="I251" s="70"/>
      <c r="J251" s="68"/>
      <c r="K251" s="68"/>
      <c r="L251" s="68"/>
      <c r="M251" s="73"/>
      <c r="N251" s="70"/>
      <c r="O251" s="70"/>
      <c r="P251" s="68"/>
    </row>
    <row r="252" customFormat="false" ht="15" hidden="false" customHeight="false" outlineLevel="0" collapsed="false">
      <c r="A252" s="67"/>
      <c r="B252" s="68"/>
      <c r="C252" s="70"/>
      <c r="D252" s="68"/>
      <c r="E252" s="70"/>
      <c r="F252" s="68"/>
      <c r="G252" s="68"/>
      <c r="H252" s="68"/>
      <c r="I252" s="70"/>
      <c r="J252" s="68"/>
      <c r="K252" s="68"/>
      <c r="L252" s="68"/>
      <c r="M252" s="73"/>
      <c r="N252" s="70"/>
      <c r="O252" s="70"/>
      <c r="P252" s="68"/>
    </row>
    <row r="253" customFormat="false" ht="15" hidden="false" customHeight="false" outlineLevel="0" collapsed="false">
      <c r="A253" s="67"/>
      <c r="B253" s="68"/>
      <c r="C253" s="70"/>
      <c r="D253" s="68"/>
      <c r="E253" s="70"/>
      <c r="F253" s="68"/>
      <c r="G253" s="68"/>
      <c r="H253" s="68"/>
      <c r="I253" s="70"/>
      <c r="J253" s="68"/>
      <c r="K253" s="68"/>
      <c r="L253" s="68"/>
      <c r="M253" s="73"/>
      <c r="N253" s="70"/>
      <c r="O253" s="70"/>
      <c r="P253" s="68"/>
    </row>
    <row r="254" customFormat="false" ht="15" hidden="false" customHeight="false" outlineLevel="0" collapsed="false">
      <c r="A254" s="67"/>
      <c r="B254" s="68"/>
      <c r="C254" s="70"/>
      <c r="D254" s="68"/>
      <c r="E254" s="70"/>
      <c r="F254" s="68"/>
      <c r="G254" s="68"/>
      <c r="H254" s="68"/>
      <c r="I254" s="70"/>
      <c r="J254" s="68"/>
      <c r="K254" s="68"/>
      <c r="L254" s="68"/>
      <c r="M254" s="73"/>
      <c r="N254" s="70"/>
      <c r="O254" s="70"/>
      <c r="P254" s="68"/>
    </row>
    <row r="255" customFormat="false" ht="15" hidden="false" customHeight="false" outlineLevel="0" collapsed="false">
      <c r="A255" s="67"/>
      <c r="B255" s="68"/>
      <c r="C255" s="70"/>
      <c r="D255" s="68"/>
      <c r="E255" s="70"/>
      <c r="F255" s="68"/>
      <c r="G255" s="68"/>
      <c r="H255" s="68"/>
      <c r="I255" s="70"/>
      <c r="J255" s="68"/>
      <c r="K255" s="68"/>
      <c r="L255" s="68"/>
      <c r="M255" s="73"/>
      <c r="N255" s="70"/>
      <c r="O255" s="70"/>
      <c r="P255" s="68"/>
    </row>
    <row r="256" customFormat="false" ht="15" hidden="false" customHeight="false" outlineLevel="0" collapsed="false">
      <c r="A256" s="67"/>
      <c r="B256" s="68"/>
      <c r="C256" s="70"/>
      <c r="D256" s="68"/>
      <c r="E256" s="70"/>
      <c r="F256" s="68"/>
      <c r="G256" s="68"/>
      <c r="H256" s="68"/>
      <c r="I256" s="70"/>
      <c r="J256" s="68"/>
      <c r="K256" s="68"/>
      <c r="L256" s="68"/>
      <c r="M256" s="73"/>
      <c r="N256" s="70"/>
      <c r="O256" s="70"/>
      <c r="P256" s="68"/>
    </row>
    <row r="257" customFormat="false" ht="15" hidden="false" customHeight="false" outlineLevel="0" collapsed="false">
      <c r="A257" s="67"/>
      <c r="B257" s="68"/>
      <c r="C257" s="70"/>
      <c r="D257" s="68"/>
      <c r="E257" s="70"/>
      <c r="F257" s="68"/>
      <c r="G257" s="68"/>
      <c r="H257" s="68"/>
      <c r="I257" s="70"/>
      <c r="J257" s="68"/>
      <c r="K257" s="68"/>
      <c r="L257" s="68"/>
      <c r="M257" s="73"/>
      <c r="N257" s="70"/>
      <c r="O257" s="70"/>
      <c r="P257" s="68"/>
    </row>
    <row r="258" customFormat="false" ht="15" hidden="false" customHeight="false" outlineLevel="0" collapsed="false">
      <c r="A258" s="67"/>
      <c r="B258" s="68"/>
      <c r="C258" s="70"/>
      <c r="D258" s="68"/>
      <c r="E258" s="70"/>
      <c r="F258" s="68"/>
      <c r="G258" s="68"/>
      <c r="H258" s="68"/>
      <c r="I258" s="70"/>
      <c r="J258" s="68"/>
      <c r="K258" s="68"/>
      <c r="L258" s="68"/>
      <c r="M258" s="73"/>
      <c r="N258" s="70"/>
      <c r="O258" s="70"/>
      <c r="P258" s="68"/>
    </row>
    <row r="259" customFormat="false" ht="15" hidden="false" customHeight="false" outlineLevel="0" collapsed="false">
      <c r="A259" s="67"/>
      <c r="B259" s="68"/>
      <c r="C259" s="70"/>
      <c r="D259" s="68"/>
      <c r="E259" s="70"/>
      <c r="F259" s="68"/>
      <c r="G259" s="68"/>
      <c r="H259" s="68"/>
      <c r="I259" s="70"/>
      <c r="J259" s="68"/>
      <c r="K259" s="68"/>
      <c r="L259" s="68"/>
      <c r="M259" s="73"/>
      <c r="N259" s="70"/>
      <c r="O259" s="70"/>
      <c r="P259" s="68"/>
    </row>
    <row r="260" customFormat="false" ht="15" hidden="false" customHeight="false" outlineLevel="0" collapsed="false">
      <c r="A260" s="67"/>
      <c r="B260" s="68"/>
      <c r="C260" s="70"/>
      <c r="D260" s="68"/>
      <c r="E260" s="70"/>
      <c r="F260" s="68"/>
      <c r="G260" s="68"/>
      <c r="H260" s="68"/>
      <c r="I260" s="70"/>
      <c r="J260" s="68"/>
      <c r="K260" s="68"/>
      <c r="L260" s="68"/>
      <c r="M260" s="73"/>
      <c r="N260" s="70"/>
      <c r="O260" s="70"/>
      <c r="P260" s="68"/>
    </row>
    <row r="261" customFormat="false" ht="15" hidden="false" customHeight="false" outlineLevel="0" collapsed="false">
      <c r="A261" s="67"/>
      <c r="B261" s="68"/>
      <c r="C261" s="70"/>
      <c r="D261" s="68"/>
      <c r="E261" s="70"/>
      <c r="F261" s="68"/>
      <c r="G261" s="68"/>
      <c r="H261" s="68"/>
      <c r="I261" s="70"/>
      <c r="J261" s="68"/>
      <c r="K261" s="68"/>
      <c r="L261" s="68"/>
      <c r="M261" s="73"/>
      <c r="N261" s="70"/>
      <c r="O261" s="70"/>
      <c r="P261" s="68"/>
    </row>
    <row r="262" customFormat="false" ht="15" hidden="false" customHeight="false" outlineLevel="0" collapsed="false">
      <c r="A262" s="67"/>
      <c r="B262" s="68"/>
      <c r="C262" s="70"/>
      <c r="D262" s="68"/>
      <c r="E262" s="70"/>
      <c r="F262" s="68"/>
      <c r="G262" s="68"/>
      <c r="H262" s="68"/>
      <c r="I262" s="70"/>
      <c r="J262" s="68"/>
      <c r="K262" s="68"/>
      <c r="L262" s="68"/>
      <c r="M262" s="73"/>
      <c r="N262" s="70"/>
      <c r="O262" s="70"/>
      <c r="P262" s="68"/>
    </row>
    <row r="263" customFormat="false" ht="15" hidden="false" customHeight="false" outlineLevel="0" collapsed="false">
      <c r="A263" s="67"/>
      <c r="B263" s="68"/>
      <c r="C263" s="70"/>
      <c r="D263" s="68"/>
      <c r="E263" s="70"/>
      <c r="F263" s="68"/>
      <c r="G263" s="68"/>
      <c r="H263" s="68"/>
      <c r="I263" s="70"/>
      <c r="J263" s="68"/>
      <c r="K263" s="68"/>
      <c r="L263" s="68"/>
      <c r="M263" s="73"/>
      <c r="N263" s="70"/>
      <c r="O263" s="70"/>
      <c r="P263" s="68"/>
    </row>
    <row r="264" customFormat="false" ht="15" hidden="false" customHeight="false" outlineLevel="0" collapsed="false">
      <c r="A264" s="67"/>
      <c r="B264" s="68"/>
      <c r="C264" s="70"/>
      <c r="D264" s="68"/>
      <c r="E264" s="70"/>
      <c r="F264" s="68"/>
      <c r="G264" s="68"/>
      <c r="H264" s="68"/>
      <c r="I264" s="70"/>
      <c r="J264" s="68"/>
      <c r="K264" s="68"/>
      <c r="L264" s="68"/>
      <c r="M264" s="73"/>
      <c r="N264" s="70"/>
      <c r="O264" s="70"/>
      <c r="P264" s="68"/>
    </row>
    <row r="265" customFormat="false" ht="15" hidden="false" customHeight="false" outlineLevel="0" collapsed="false">
      <c r="A265" s="67"/>
      <c r="B265" s="68"/>
      <c r="C265" s="70"/>
      <c r="D265" s="68"/>
      <c r="E265" s="70"/>
      <c r="F265" s="68"/>
      <c r="G265" s="68"/>
      <c r="H265" s="68"/>
      <c r="I265" s="70"/>
      <c r="J265" s="68"/>
      <c r="K265" s="68"/>
      <c r="L265" s="68"/>
      <c r="M265" s="73"/>
      <c r="N265" s="70"/>
      <c r="O265" s="70"/>
      <c r="P265" s="68"/>
    </row>
    <row r="266" customFormat="false" ht="15" hidden="false" customHeight="false" outlineLevel="0" collapsed="false">
      <c r="A266" s="67"/>
      <c r="B266" s="68"/>
      <c r="C266" s="70"/>
      <c r="D266" s="68"/>
      <c r="E266" s="70"/>
      <c r="F266" s="68"/>
      <c r="G266" s="68"/>
      <c r="H266" s="68"/>
      <c r="I266" s="70"/>
      <c r="J266" s="68"/>
      <c r="K266" s="68"/>
      <c r="L266" s="68"/>
      <c r="M266" s="73"/>
      <c r="N266" s="70"/>
      <c r="O266" s="70"/>
      <c r="P266" s="68"/>
    </row>
    <row r="267" customFormat="false" ht="15" hidden="false" customHeight="false" outlineLevel="0" collapsed="false">
      <c r="A267" s="67"/>
      <c r="B267" s="68"/>
      <c r="C267" s="70"/>
      <c r="D267" s="68"/>
      <c r="E267" s="70"/>
      <c r="F267" s="68"/>
      <c r="G267" s="68"/>
      <c r="H267" s="68"/>
      <c r="I267" s="70"/>
      <c r="J267" s="68"/>
      <c r="K267" s="68"/>
      <c r="L267" s="68"/>
      <c r="M267" s="73"/>
      <c r="N267" s="70"/>
      <c r="O267" s="70"/>
      <c r="P267" s="68"/>
    </row>
    <row r="268" customFormat="false" ht="15" hidden="false" customHeight="false" outlineLevel="0" collapsed="false">
      <c r="A268" s="67"/>
      <c r="B268" s="68"/>
      <c r="C268" s="70"/>
      <c r="D268" s="68"/>
      <c r="E268" s="70"/>
      <c r="F268" s="68"/>
      <c r="G268" s="68"/>
      <c r="H268" s="68"/>
      <c r="I268" s="70"/>
      <c r="J268" s="68"/>
      <c r="K268" s="68"/>
      <c r="L268" s="68"/>
      <c r="M268" s="73"/>
      <c r="N268" s="70"/>
      <c r="O268" s="70"/>
      <c r="P268" s="68"/>
    </row>
    <row r="269" customFormat="false" ht="15" hidden="false" customHeight="false" outlineLevel="0" collapsed="false">
      <c r="A269" s="67"/>
      <c r="B269" s="68"/>
      <c r="C269" s="70"/>
      <c r="D269" s="68"/>
      <c r="E269" s="70"/>
      <c r="F269" s="68"/>
      <c r="G269" s="68"/>
      <c r="H269" s="68"/>
      <c r="I269" s="70"/>
      <c r="J269" s="68"/>
      <c r="K269" s="68"/>
      <c r="L269" s="68"/>
      <c r="M269" s="73"/>
      <c r="N269" s="70"/>
      <c r="O269" s="70"/>
      <c r="P269" s="68"/>
    </row>
    <row r="270" customFormat="false" ht="15" hidden="false" customHeight="false" outlineLevel="0" collapsed="false">
      <c r="A270" s="67"/>
      <c r="B270" s="68"/>
      <c r="C270" s="70"/>
      <c r="D270" s="68"/>
      <c r="E270" s="70"/>
      <c r="F270" s="68"/>
      <c r="G270" s="68"/>
      <c r="H270" s="68"/>
      <c r="I270" s="70"/>
      <c r="J270" s="68"/>
      <c r="K270" s="68"/>
      <c r="L270" s="68"/>
      <c r="M270" s="73"/>
      <c r="N270" s="70"/>
      <c r="O270" s="70"/>
      <c r="P270" s="68"/>
    </row>
    <row r="271" customFormat="false" ht="15" hidden="false" customHeight="false" outlineLevel="0" collapsed="false">
      <c r="A271" s="67"/>
      <c r="B271" s="68"/>
      <c r="C271" s="70"/>
      <c r="D271" s="68"/>
      <c r="E271" s="70"/>
      <c r="F271" s="68"/>
      <c r="G271" s="68"/>
      <c r="H271" s="68"/>
      <c r="I271" s="70"/>
      <c r="J271" s="68"/>
      <c r="K271" s="68"/>
      <c r="L271" s="68"/>
      <c r="M271" s="73"/>
      <c r="N271" s="70"/>
      <c r="O271" s="70"/>
      <c r="P271" s="68"/>
    </row>
    <row r="272" customFormat="false" ht="15" hidden="false" customHeight="false" outlineLevel="0" collapsed="false">
      <c r="A272" s="67"/>
      <c r="B272" s="68"/>
      <c r="C272" s="70"/>
      <c r="D272" s="68"/>
      <c r="E272" s="70"/>
      <c r="F272" s="68"/>
      <c r="G272" s="68"/>
      <c r="H272" s="68"/>
      <c r="I272" s="70"/>
      <c r="J272" s="68"/>
      <c r="K272" s="68"/>
      <c r="L272" s="68"/>
      <c r="M272" s="73"/>
      <c r="N272" s="70"/>
      <c r="O272" s="70"/>
      <c r="P272" s="68"/>
    </row>
    <row r="273" customFormat="false" ht="15" hidden="false" customHeight="false" outlineLevel="0" collapsed="false">
      <c r="A273" s="67"/>
      <c r="B273" s="68"/>
      <c r="C273" s="70"/>
      <c r="D273" s="68"/>
      <c r="E273" s="70"/>
      <c r="F273" s="68"/>
      <c r="G273" s="68"/>
      <c r="H273" s="68"/>
      <c r="I273" s="70"/>
      <c r="J273" s="68"/>
      <c r="K273" s="68"/>
      <c r="L273" s="68"/>
      <c r="M273" s="73"/>
      <c r="N273" s="70"/>
      <c r="O273" s="70"/>
      <c r="P273" s="68"/>
    </row>
    <row r="274" customFormat="false" ht="15" hidden="false" customHeight="false" outlineLevel="0" collapsed="false">
      <c r="A274" s="67"/>
      <c r="B274" s="68"/>
      <c r="C274" s="70"/>
      <c r="D274" s="68"/>
      <c r="E274" s="70"/>
      <c r="F274" s="68"/>
      <c r="G274" s="68"/>
      <c r="H274" s="68"/>
      <c r="I274" s="70"/>
      <c r="J274" s="68"/>
      <c r="K274" s="68"/>
      <c r="L274" s="68"/>
      <c r="M274" s="73"/>
      <c r="N274" s="70"/>
      <c r="O274" s="70"/>
      <c r="P274" s="68"/>
    </row>
    <row r="275" customFormat="false" ht="15" hidden="false" customHeight="false" outlineLevel="0" collapsed="false">
      <c r="A275" s="67"/>
      <c r="B275" s="68"/>
      <c r="C275" s="70"/>
      <c r="D275" s="68"/>
      <c r="E275" s="70"/>
      <c r="F275" s="68"/>
      <c r="G275" s="68"/>
      <c r="H275" s="68"/>
      <c r="I275" s="70"/>
      <c r="J275" s="68"/>
      <c r="K275" s="68"/>
      <c r="L275" s="68"/>
      <c r="M275" s="73"/>
      <c r="N275" s="70"/>
      <c r="O275" s="70"/>
      <c r="P275" s="68"/>
    </row>
    <row r="276" customFormat="false" ht="15" hidden="false" customHeight="false" outlineLevel="0" collapsed="false">
      <c r="A276" s="67"/>
      <c r="B276" s="68"/>
      <c r="C276" s="70"/>
      <c r="D276" s="68"/>
      <c r="E276" s="70"/>
      <c r="F276" s="68"/>
      <c r="G276" s="68"/>
      <c r="H276" s="68"/>
      <c r="I276" s="70"/>
      <c r="J276" s="68"/>
      <c r="K276" s="68"/>
      <c r="L276" s="68"/>
      <c r="M276" s="73"/>
      <c r="N276" s="70"/>
      <c r="O276" s="70"/>
      <c r="P276" s="68"/>
    </row>
    <row r="277" customFormat="false" ht="15" hidden="false" customHeight="false" outlineLevel="0" collapsed="false">
      <c r="A277" s="67"/>
      <c r="B277" s="68"/>
      <c r="C277" s="70"/>
      <c r="D277" s="68"/>
      <c r="E277" s="70"/>
      <c r="F277" s="68"/>
      <c r="G277" s="68"/>
      <c r="H277" s="68"/>
      <c r="I277" s="70"/>
      <c r="J277" s="68"/>
      <c r="K277" s="68"/>
      <c r="L277" s="68"/>
      <c r="M277" s="73"/>
      <c r="N277" s="70"/>
      <c r="O277" s="70"/>
      <c r="P277" s="68"/>
    </row>
    <row r="278" customFormat="false" ht="15" hidden="false" customHeight="false" outlineLevel="0" collapsed="false">
      <c r="A278" s="67"/>
      <c r="B278" s="68"/>
      <c r="C278" s="70"/>
      <c r="D278" s="68"/>
      <c r="E278" s="70"/>
      <c r="F278" s="68"/>
      <c r="G278" s="68"/>
      <c r="H278" s="68"/>
      <c r="I278" s="70"/>
      <c r="J278" s="68"/>
      <c r="K278" s="68"/>
      <c r="L278" s="68"/>
      <c r="M278" s="73"/>
      <c r="N278" s="70"/>
      <c r="O278" s="70"/>
      <c r="P278" s="68"/>
    </row>
    <row r="279" customFormat="false" ht="15" hidden="false" customHeight="false" outlineLevel="0" collapsed="false">
      <c r="A279" s="67"/>
      <c r="B279" s="68"/>
      <c r="C279" s="70"/>
      <c r="D279" s="68"/>
      <c r="E279" s="70"/>
      <c r="F279" s="68"/>
      <c r="G279" s="68"/>
      <c r="H279" s="68"/>
      <c r="I279" s="70"/>
      <c r="J279" s="68"/>
      <c r="K279" s="68"/>
      <c r="L279" s="68"/>
      <c r="M279" s="73"/>
      <c r="N279" s="70"/>
      <c r="O279" s="70"/>
      <c r="P279" s="68"/>
    </row>
    <row r="280" customFormat="false" ht="15" hidden="false" customHeight="false" outlineLevel="0" collapsed="false">
      <c r="A280" s="67"/>
      <c r="B280" s="68"/>
      <c r="C280" s="70"/>
      <c r="D280" s="68"/>
      <c r="E280" s="70"/>
      <c r="F280" s="68"/>
      <c r="G280" s="68"/>
      <c r="H280" s="68"/>
      <c r="I280" s="70"/>
      <c r="J280" s="68"/>
      <c r="K280" s="68"/>
      <c r="L280" s="68"/>
      <c r="M280" s="73"/>
      <c r="N280" s="70"/>
      <c r="O280" s="70"/>
      <c r="P280" s="68"/>
    </row>
    <row r="281" customFormat="false" ht="15" hidden="false" customHeight="false" outlineLevel="0" collapsed="false">
      <c r="A281" s="67"/>
      <c r="B281" s="68"/>
      <c r="C281" s="70"/>
      <c r="D281" s="68"/>
      <c r="E281" s="70"/>
      <c r="F281" s="68"/>
      <c r="G281" s="68"/>
      <c r="H281" s="68"/>
      <c r="I281" s="70"/>
      <c r="J281" s="68"/>
      <c r="K281" s="68"/>
      <c r="L281" s="68"/>
      <c r="M281" s="73"/>
      <c r="N281" s="70"/>
      <c r="O281" s="70"/>
      <c r="P281" s="68"/>
    </row>
    <row r="282" customFormat="false" ht="15" hidden="false" customHeight="false" outlineLevel="0" collapsed="false">
      <c r="A282" s="67"/>
      <c r="B282" s="68"/>
      <c r="C282" s="70"/>
      <c r="D282" s="68"/>
      <c r="E282" s="70"/>
      <c r="F282" s="68"/>
      <c r="G282" s="68"/>
      <c r="H282" s="68"/>
      <c r="I282" s="70"/>
      <c r="J282" s="68"/>
      <c r="K282" s="68"/>
      <c r="L282" s="68"/>
      <c r="M282" s="73"/>
      <c r="N282" s="70"/>
      <c r="O282" s="70"/>
      <c r="P282" s="68"/>
    </row>
    <row r="283" customFormat="false" ht="15" hidden="false" customHeight="false" outlineLevel="0" collapsed="false">
      <c r="A283" s="67"/>
      <c r="B283" s="68"/>
      <c r="C283" s="70"/>
      <c r="D283" s="68"/>
      <c r="E283" s="70"/>
      <c r="F283" s="68"/>
      <c r="G283" s="68"/>
      <c r="H283" s="68"/>
      <c r="I283" s="70"/>
      <c r="J283" s="68"/>
      <c r="K283" s="68"/>
      <c r="L283" s="68"/>
      <c r="M283" s="73"/>
      <c r="N283" s="70"/>
      <c r="O283" s="70"/>
      <c r="P283" s="68"/>
    </row>
    <row r="284" customFormat="false" ht="15" hidden="false" customHeight="false" outlineLevel="0" collapsed="false">
      <c r="A284" s="67"/>
      <c r="B284" s="68"/>
      <c r="C284" s="70"/>
      <c r="D284" s="68"/>
      <c r="E284" s="70"/>
      <c r="F284" s="68"/>
      <c r="G284" s="68"/>
      <c r="H284" s="68"/>
      <c r="I284" s="70"/>
      <c r="J284" s="68"/>
      <c r="K284" s="68"/>
      <c r="L284" s="68"/>
      <c r="M284" s="73"/>
      <c r="N284" s="70"/>
      <c r="O284" s="70"/>
      <c r="P284" s="68"/>
    </row>
    <row r="285" customFormat="false" ht="15" hidden="false" customHeight="false" outlineLevel="0" collapsed="false">
      <c r="A285" s="67"/>
      <c r="B285" s="68"/>
      <c r="C285" s="70"/>
      <c r="D285" s="68"/>
      <c r="E285" s="70"/>
      <c r="F285" s="68"/>
      <c r="G285" s="68"/>
      <c r="H285" s="68"/>
      <c r="I285" s="70"/>
      <c r="J285" s="68"/>
      <c r="K285" s="68"/>
      <c r="L285" s="68"/>
      <c r="M285" s="73"/>
      <c r="N285" s="70"/>
      <c r="O285" s="70"/>
      <c r="P285" s="68"/>
    </row>
    <row r="286" customFormat="false" ht="15" hidden="false" customHeight="false" outlineLevel="0" collapsed="false">
      <c r="A286" s="67"/>
      <c r="B286" s="68"/>
      <c r="C286" s="70"/>
      <c r="D286" s="68"/>
      <c r="E286" s="70"/>
      <c r="F286" s="68"/>
      <c r="G286" s="68"/>
      <c r="H286" s="68"/>
      <c r="I286" s="70"/>
      <c r="J286" s="68"/>
      <c r="K286" s="68"/>
      <c r="L286" s="68"/>
      <c r="M286" s="73"/>
      <c r="N286" s="70"/>
      <c r="O286" s="70"/>
      <c r="P286" s="68"/>
    </row>
    <row r="287" customFormat="false" ht="15" hidden="false" customHeight="false" outlineLevel="0" collapsed="false">
      <c r="A287" s="67"/>
      <c r="B287" s="68"/>
      <c r="C287" s="70"/>
      <c r="D287" s="68"/>
      <c r="E287" s="70"/>
      <c r="F287" s="68"/>
      <c r="G287" s="68"/>
      <c r="H287" s="68"/>
      <c r="I287" s="70"/>
      <c r="J287" s="68"/>
      <c r="K287" s="68"/>
      <c r="L287" s="68"/>
      <c r="M287" s="73"/>
      <c r="N287" s="70"/>
      <c r="O287" s="70"/>
      <c r="P287" s="68"/>
    </row>
    <row r="288" customFormat="false" ht="15" hidden="false" customHeight="false" outlineLevel="0" collapsed="false">
      <c r="A288" s="67"/>
      <c r="B288" s="68"/>
      <c r="C288" s="70"/>
      <c r="D288" s="68"/>
      <c r="E288" s="70"/>
      <c r="F288" s="68"/>
      <c r="G288" s="68"/>
      <c r="H288" s="68"/>
      <c r="I288" s="70"/>
      <c r="J288" s="68"/>
      <c r="K288" s="68"/>
      <c r="L288" s="68"/>
      <c r="M288" s="73"/>
      <c r="N288" s="70"/>
      <c r="O288" s="70"/>
      <c r="P288" s="68"/>
    </row>
    <row r="289" customFormat="false" ht="15" hidden="false" customHeight="false" outlineLevel="0" collapsed="false">
      <c r="A289" s="67"/>
      <c r="B289" s="68"/>
      <c r="C289" s="70"/>
      <c r="D289" s="68"/>
      <c r="E289" s="70"/>
      <c r="F289" s="68"/>
      <c r="G289" s="68"/>
      <c r="H289" s="68"/>
      <c r="I289" s="70"/>
      <c r="J289" s="68"/>
      <c r="K289" s="68"/>
      <c r="L289" s="68"/>
      <c r="M289" s="73"/>
      <c r="N289" s="70"/>
      <c r="O289" s="70"/>
      <c r="P289" s="68"/>
    </row>
    <row r="290" customFormat="false" ht="15" hidden="false" customHeight="false" outlineLevel="0" collapsed="false">
      <c r="A290" s="67"/>
      <c r="B290" s="68"/>
      <c r="C290" s="70"/>
      <c r="D290" s="68"/>
      <c r="E290" s="70"/>
      <c r="F290" s="68"/>
      <c r="G290" s="68"/>
      <c r="H290" s="68"/>
      <c r="I290" s="70"/>
      <c r="J290" s="68"/>
      <c r="K290" s="68"/>
      <c r="L290" s="68"/>
      <c r="M290" s="73"/>
      <c r="N290" s="70"/>
      <c r="O290" s="70"/>
      <c r="P290" s="68"/>
    </row>
    <row r="291" customFormat="false" ht="15" hidden="false" customHeight="false" outlineLevel="0" collapsed="false">
      <c r="A291" s="67"/>
      <c r="B291" s="68"/>
      <c r="C291" s="70"/>
      <c r="D291" s="68"/>
      <c r="E291" s="70"/>
      <c r="F291" s="68"/>
      <c r="G291" s="68"/>
      <c r="H291" s="68"/>
      <c r="I291" s="70"/>
      <c r="J291" s="68"/>
      <c r="K291" s="68"/>
      <c r="L291" s="68"/>
      <c r="M291" s="73"/>
      <c r="N291" s="70"/>
      <c r="O291" s="70"/>
      <c r="P291" s="68"/>
    </row>
    <row r="292" customFormat="false" ht="15" hidden="false" customHeight="false" outlineLevel="0" collapsed="false">
      <c r="A292" s="67"/>
      <c r="B292" s="68"/>
      <c r="C292" s="70"/>
      <c r="D292" s="68"/>
      <c r="E292" s="70"/>
      <c r="F292" s="68"/>
      <c r="G292" s="68"/>
      <c r="H292" s="68"/>
      <c r="I292" s="70"/>
      <c r="J292" s="68"/>
      <c r="K292" s="68"/>
      <c r="L292" s="68"/>
      <c r="M292" s="73"/>
      <c r="N292" s="70"/>
      <c r="O292" s="70"/>
      <c r="P292" s="68"/>
    </row>
    <row r="293" customFormat="false" ht="15" hidden="false" customHeight="false" outlineLevel="0" collapsed="false">
      <c r="A293" s="67"/>
      <c r="B293" s="68"/>
      <c r="C293" s="70"/>
      <c r="D293" s="68"/>
      <c r="E293" s="70"/>
      <c r="F293" s="68"/>
      <c r="G293" s="68"/>
      <c r="H293" s="68"/>
      <c r="I293" s="70"/>
      <c r="J293" s="68"/>
      <c r="K293" s="68"/>
      <c r="L293" s="68"/>
      <c r="M293" s="73"/>
      <c r="N293" s="70"/>
      <c r="O293" s="70"/>
      <c r="P293" s="68"/>
    </row>
    <row r="294" customFormat="false" ht="15" hidden="false" customHeight="false" outlineLevel="0" collapsed="false">
      <c r="A294" s="67"/>
      <c r="B294" s="68"/>
      <c r="C294" s="70"/>
      <c r="D294" s="68"/>
      <c r="E294" s="70"/>
      <c r="F294" s="68"/>
      <c r="G294" s="68"/>
      <c r="H294" s="68"/>
      <c r="I294" s="70"/>
      <c r="J294" s="68"/>
      <c r="K294" s="68"/>
      <c r="L294" s="68"/>
      <c r="M294" s="73"/>
      <c r="N294" s="70"/>
      <c r="O294" s="70"/>
      <c r="P294" s="68"/>
    </row>
    <row r="295" customFormat="false" ht="15" hidden="false" customHeight="false" outlineLevel="0" collapsed="false">
      <c r="A295" s="67"/>
      <c r="B295" s="68"/>
      <c r="C295" s="70"/>
      <c r="D295" s="68"/>
      <c r="E295" s="70"/>
      <c r="F295" s="68"/>
      <c r="G295" s="68"/>
      <c r="H295" s="68"/>
      <c r="I295" s="70"/>
      <c r="J295" s="68"/>
      <c r="K295" s="68"/>
      <c r="L295" s="68"/>
      <c r="M295" s="73"/>
      <c r="N295" s="70"/>
      <c r="O295" s="70"/>
      <c r="P295" s="68"/>
    </row>
    <row r="296" customFormat="false" ht="15" hidden="false" customHeight="false" outlineLevel="0" collapsed="false">
      <c r="A296" s="67"/>
      <c r="B296" s="68"/>
      <c r="C296" s="70"/>
      <c r="D296" s="68"/>
      <c r="E296" s="70"/>
      <c r="F296" s="68"/>
      <c r="G296" s="68"/>
      <c r="H296" s="68"/>
      <c r="I296" s="70"/>
      <c r="J296" s="68"/>
      <c r="K296" s="68"/>
      <c r="L296" s="68"/>
      <c r="M296" s="73"/>
      <c r="N296" s="70"/>
      <c r="O296" s="70"/>
      <c r="P296" s="68"/>
    </row>
    <row r="297" customFormat="false" ht="15" hidden="false" customHeight="false" outlineLevel="0" collapsed="false">
      <c r="A297" s="67"/>
      <c r="B297" s="68"/>
      <c r="C297" s="70"/>
      <c r="D297" s="68"/>
      <c r="E297" s="70"/>
      <c r="F297" s="68"/>
      <c r="G297" s="68"/>
      <c r="H297" s="68"/>
      <c r="I297" s="70"/>
      <c r="J297" s="68"/>
      <c r="K297" s="68"/>
      <c r="L297" s="68"/>
      <c r="M297" s="73"/>
      <c r="N297" s="70"/>
      <c r="O297" s="70"/>
      <c r="P297" s="68"/>
    </row>
    <row r="298" customFormat="false" ht="15" hidden="false" customHeight="false" outlineLevel="0" collapsed="false">
      <c r="A298" s="67"/>
      <c r="B298" s="68"/>
      <c r="C298" s="70"/>
      <c r="D298" s="68"/>
      <c r="E298" s="70"/>
      <c r="F298" s="68"/>
      <c r="G298" s="68"/>
      <c r="H298" s="68"/>
      <c r="I298" s="70"/>
      <c r="J298" s="68"/>
      <c r="K298" s="68"/>
      <c r="L298" s="68"/>
      <c r="M298" s="73"/>
      <c r="N298" s="70"/>
      <c r="O298" s="70"/>
      <c r="P298" s="68"/>
    </row>
    <row r="299" customFormat="false" ht="15" hidden="false" customHeight="false" outlineLevel="0" collapsed="false">
      <c r="A299" s="67"/>
      <c r="B299" s="68"/>
      <c r="C299" s="70"/>
      <c r="D299" s="68"/>
      <c r="E299" s="70"/>
      <c r="F299" s="68"/>
      <c r="G299" s="68"/>
      <c r="H299" s="68"/>
      <c r="I299" s="70"/>
      <c r="J299" s="68"/>
      <c r="K299" s="68"/>
      <c r="L299" s="68"/>
      <c r="M299" s="73"/>
      <c r="N299" s="70"/>
      <c r="O299" s="70"/>
      <c r="P299" s="68"/>
    </row>
    <row r="300" customFormat="false" ht="15" hidden="false" customHeight="false" outlineLevel="0" collapsed="false">
      <c r="A300" s="67"/>
      <c r="B300" s="68"/>
      <c r="C300" s="70"/>
      <c r="D300" s="68"/>
      <c r="E300" s="70"/>
      <c r="F300" s="68"/>
      <c r="G300" s="68"/>
      <c r="H300" s="68"/>
      <c r="I300" s="70"/>
      <c r="J300" s="68"/>
      <c r="K300" s="68"/>
      <c r="L300" s="68"/>
      <c r="M300" s="73"/>
      <c r="N300" s="70"/>
      <c r="O300" s="70"/>
      <c r="P300" s="68"/>
    </row>
    <row r="301" customFormat="false" ht="15" hidden="false" customHeight="false" outlineLevel="0" collapsed="false">
      <c r="A301" s="67"/>
      <c r="B301" s="68"/>
      <c r="C301" s="70"/>
      <c r="D301" s="68"/>
      <c r="E301" s="70"/>
      <c r="F301" s="68"/>
      <c r="G301" s="68"/>
      <c r="H301" s="68"/>
      <c r="I301" s="70"/>
      <c r="J301" s="68"/>
      <c r="K301" s="68"/>
      <c r="L301" s="68"/>
      <c r="M301" s="73"/>
      <c r="N301" s="70"/>
      <c r="O301" s="70"/>
      <c r="P301" s="68"/>
    </row>
    <row r="302" customFormat="false" ht="15" hidden="false" customHeight="false" outlineLevel="0" collapsed="false">
      <c r="A302" s="67"/>
      <c r="B302" s="68"/>
      <c r="C302" s="70"/>
      <c r="D302" s="68"/>
      <c r="E302" s="70"/>
      <c r="F302" s="68"/>
      <c r="G302" s="68"/>
      <c r="H302" s="68"/>
      <c r="I302" s="70"/>
      <c r="J302" s="68"/>
      <c r="K302" s="68"/>
      <c r="L302" s="68"/>
      <c r="M302" s="73"/>
      <c r="N302" s="70"/>
      <c r="O302" s="70"/>
      <c r="P302" s="68"/>
    </row>
    <row r="303" customFormat="false" ht="15" hidden="false" customHeight="false" outlineLevel="0" collapsed="false">
      <c r="A303" s="67"/>
      <c r="B303" s="68"/>
      <c r="C303" s="70"/>
      <c r="D303" s="68"/>
      <c r="E303" s="70"/>
      <c r="F303" s="68"/>
      <c r="G303" s="68"/>
      <c r="H303" s="68"/>
      <c r="I303" s="70"/>
      <c r="J303" s="68"/>
      <c r="K303" s="68"/>
      <c r="L303" s="68"/>
      <c r="M303" s="73"/>
      <c r="N303" s="70"/>
      <c r="O303" s="70"/>
      <c r="P303" s="68"/>
    </row>
    <row r="304" customFormat="false" ht="15" hidden="false" customHeight="false" outlineLevel="0" collapsed="false">
      <c r="A304" s="67"/>
      <c r="B304" s="68"/>
      <c r="C304" s="70"/>
      <c r="D304" s="68"/>
      <c r="E304" s="70"/>
      <c r="F304" s="68"/>
      <c r="G304" s="68"/>
      <c r="H304" s="68"/>
      <c r="I304" s="70"/>
      <c r="J304" s="68"/>
      <c r="K304" s="68"/>
      <c r="L304" s="68"/>
      <c r="M304" s="73"/>
      <c r="N304" s="70"/>
      <c r="O304" s="70"/>
      <c r="P304" s="68"/>
    </row>
    <row r="305" customFormat="false" ht="15" hidden="false" customHeight="false" outlineLevel="0" collapsed="false">
      <c r="A305" s="67"/>
      <c r="B305" s="68"/>
      <c r="C305" s="70"/>
      <c r="D305" s="68"/>
      <c r="E305" s="70"/>
      <c r="F305" s="68"/>
      <c r="G305" s="68"/>
      <c r="H305" s="68"/>
      <c r="I305" s="70"/>
      <c r="J305" s="68"/>
      <c r="K305" s="68"/>
      <c r="L305" s="68"/>
      <c r="M305" s="73"/>
      <c r="N305" s="70"/>
      <c r="O305" s="70"/>
      <c r="P305" s="68"/>
    </row>
    <row r="306" customFormat="false" ht="15" hidden="false" customHeight="false" outlineLevel="0" collapsed="false">
      <c r="A306" s="67"/>
      <c r="B306" s="68"/>
      <c r="C306" s="70"/>
      <c r="D306" s="68"/>
      <c r="E306" s="70"/>
      <c r="F306" s="68"/>
      <c r="G306" s="68"/>
      <c r="H306" s="68"/>
      <c r="I306" s="70"/>
      <c r="J306" s="68"/>
      <c r="K306" s="68"/>
      <c r="L306" s="68"/>
      <c r="M306" s="73"/>
      <c r="N306" s="70"/>
      <c r="O306" s="70"/>
      <c r="P306" s="68"/>
    </row>
    <row r="307" customFormat="false" ht="15" hidden="false" customHeight="false" outlineLevel="0" collapsed="false">
      <c r="A307" s="67"/>
      <c r="B307" s="68"/>
      <c r="C307" s="70"/>
      <c r="D307" s="68"/>
      <c r="E307" s="70"/>
      <c r="F307" s="68"/>
      <c r="G307" s="68"/>
      <c r="H307" s="68"/>
      <c r="I307" s="70"/>
      <c r="J307" s="68"/>
      <c r="K307" s="68"/>
      <c r="L307" s="68"/>
      <c r="M307" s="73"/>
      <c r="N307" s="70"/>
      <c r="O307" s="70"/>
      <c r="P307" s="68"/>
    </row>
    <row r="308" customFormat="false" ht="15" hidden="false" customHeight="false" outlineLevel="0" collapsed="false">
      <c r="A308" s="67"/>
      <c r="B308" s="68"/>
      <c r="C308" s="70"/>
      <c r="D308" s="68"/>
      <c r="E308" s="70"/>
      <c r="F308" s="68"/>
      <c r="G308" s="68"/>
      <c r="H308" s="68"/>
      <c r="I308" s="70"/>
      <c r="J308" s="68"/>
      <c r="K308" s="68"/>
      <c r="L308" s="68"/>
      <c r="M308" s="73"/>
      <c r="N308" s="70"/>
      <c r="O308" s="70"/>
      <c r="P308" s="68"/>
    </row>
    <row r="309" customFormat="false" ht="15" hidden="false" customHeight="false" outlineLevel="0" collapsed="false">
      <c r="A309" s="67"/>
      <c r="B309" s="68"/>
      <c r="C309" s="70"/>
      <c r="D309" s="68"/>
      <c r="E309" s="70"/>
      <c r="F309" s="68"/>
      <c r="G309" s="68"/>
      <c r="H309" s="68"/>
      <c r="I309" s="70"/>
      <c r="J309" s="68"/>
      <c r="K309" s="68"/>
      <c r="L309" s="68"/>
      <c r="M309" s="73"/>
      <c r="N309" s="70"/>
      <c r="O309" s="70"/>
      <c r="P309" s="68"/>
    </row>
    <row r="310" customFormat="false" ht="15" hidden="false" customHeight="false" outlineLevel="0" collapsed="false">
      <c r="A310" s="67"/>
      <c r="B310" s="68"/>
      <c r="C310" s="70"/>
      <c r="D310" s="68"/>
      <c r="E310" s="70"/>
      <c r="F310" s="68"/>
      <c r="G310" s="68"/>
      <c r="H310" s="68"/>
      <c r="I310" s="70"/>
      <c r="J310" s="68"/>
      <c r="K310" s="68"/>
      <c r="L310" s="68"/>
      <c r="M310" s="73"/>
      <c r="N310" s="70"/>
      <c r="O310" s="70"/>
      <c r="P310" s="68"/>
    </row>
    <row r="311" customFormat="false" ht="15" hidden="false" customHeight="false" outlineLevel="0" collapsed="false">
      <c r="A311" s="67"/>
      <c r="B311" s="68"/>
      <c r="C311" s="70"/>
      <c r="D311" s="68"/>
      <c r="E311" s="70"/>
      <c r="F311" s="68"/>
      <c r="G311" s="68"/>
      <c r="H311" s="68"/>
      <c r="I311" s="70"/>
      <c r="J311" s="68"/>
      <c r="K311" s="68"/>
      <c r="L311" s="68"/>
      <c r="M311" s="73"/>
      <c r="N311" s="70"/>
      <c r="O311" s="70"/>
      <c r="P311" s="68"/>
    </row>
    <row r="312" customFormat="false" ht="15" hidden="false" customHeight="false" outlineLevel="0" collapsed="false">
      <c r="A312" s="67"/>
      <c r="B312" s="68"/>
      <c r="C312" s="70"/>
      <c r="D312" s="68"/>
      <c r="E312" s="70"/>
      <c r="F312" s="68"/>
      <c r="G312" s="68"/>
      <c r="H312" s="68"/>
      <c r="I312" s="70"/>
      <c r="J312" s="68"/>
      <c r="K312" s="68"/>
      <c r="L312" s="68"/>
      <c r="M312" s="73"/>
      <c r="N312" s="70"/>
      <c r="O312" s="70"/>
      <c r="P312" s="68"/>
    </row>
    <row r="313" customFormat="false" ht="15" hidden="false" customHeight="false" outlineLevel="0" collapsed="false">
      <c r="A313" s="67"/>
      <c r="B313" s="68"/>
      <c r="C313" s="70"/>
      <c r="D313" s="68"/>
      <c r="E313" s="70"/>
      <c r="F313" s="68"/>
      <c r="G313" s="68"/>
      <c r="H313" s="68"/>
      <c r="I313" s="70"/>
      <c r="J313" s="68"/>
      <c r="K313" s="68"/>
      <c r="L313" s="68"/>
      <c r="M313" s="73"/>
      <c r="N313" s="70"/>
      <c r="O313" s="70"/>
      <c r="P313" s="68"/>
    </row>
    <row r="314" customFormat="false" ht="15" hidden="false" customHeight="false" outlineLevel="0" collapsed="false">
      <c r="A314" s="67"/>
      <c r="B314" s="68"/>
      <c r="C314" s="70"/>
      <c r="D314" s="68"/>
      <c r="E314" s="70"/>
      <c r="F314" s="68"/>
      <c r="G314" s="68"/>
      <c r="H314" s="68"/>
      <c r="I314" s="70"/>
      <c r="J314" s="68"/>
      <c r="K314" s="68"/>
      <c r="L314" s="68"/>
      <c r="M314" s="73"/>
      <c r="N314" s="70"/>
      <c r="O314" s="70"/>
      <c r="P314" s="68"/>
    </row>
    <row r="315" customFormat="false" ht="15" hidden="false" customHeight="false" outlineLevel="0" collapsed="false">
      <c r="A315" s="67"/>
      <c r="B315" s="68"/>
      <c r="C315" s="70"/>
      <c r="D315" s="68"/>
      <c r="E315" s="70"/>
      <c r="F315" s="68"/>
      <c r="G315" s="68"/>
      <c r="H315" s="68"/>
      <c r="I315" s="70"/>
      <c r="J315" s="68"/>
      <c r="K315" s="68"/>
      <c r="L315" s="68"/>
      <c r="M315" s="73"/>
      <c r="N315" s="70"/>
      <c r="O315" s="70"/>
      <c r="P315" s="68"/>
    </row>
    <row r="316" customFormat="false" ht="15" hidden="false" customHeight="false" outlineLevel="0" collapsed="false">
      <c r="A316" s="67"/>
      <c r="B316" s="68"/>
      <c r="C316" s="70"/>
      <c r="D316" s="68"/>
      <c r="E316" s="70"/>
      <c r="F316" s="68"/>
      <c r="G316" s="68"/>
      <c r="H316" s="68"/>
      <c r="I316" s="70"/>
      <c r="J316" s="68"/>
      <c r="K316" s="68"/>
      <c r="L316" s="68"/>
      <c r="M316" s="73"/>
      <c r="N316" s="70"/>
      <c r="O316" s="70"/>
      <c r="P316" s="68"/>
    </row>
    <row r="317" customFormat="false" ht="15" hidden="false" customHeight="false" outlineLevel="0" collapsed="false">
      <c r="A317" s="67"/>
      <c r="B317" s="68"/>
      <c r="C317" s="70"/>
      <c r="D317" s="68"/>
      <c r="E317" s="70"/>
      <c r="F317" s="68"/>
      <c r="G317" s="68"/>
      <c r="H317" s="68"/>
      <c r="I317" s="70"/>
      <c r="J317" s="68"/>
      <c r="K317" s="68"/>
      <c r="L317" s="68"/>
      <c r="M317" s="73"/>
      <c r="N317" s="70"/>
      <c r="O317" s="70"/>
      <c r="P317" s="68"/>
    </row>
    <row r="318" customFormat="false" ht="15" hidden="false" customHeight="false" outlineLevel="0" collapsed="false">
      <c r="A318" s="67"/>
      <c r="B318" s="68"/>
      <c r="C318" s="70"/>
      <c r="D318" s="68"/>
      <c r="E318" s="70"/>
      <c r="F318" s="68"/>
      <c r="G318" s="68"/>
      <c r="H318" s="68"/>
      <c r="I318" s="70"/>
      <c r="J318" s="68"/>
      <c r="K318" s="68"/>
      <c r="L318" s="68"/>
      <c r="M318" s="73"/>
      <c r="N318" s="70"/>
      <c r="O318" s="70"/>
      <c r="P318" s="68"/>
    </row>
    <row r="319" customFormat="false" ht="15" hidden="false" customHeight="false" outlineLevel="0" collapsed="false">
      <c r="A319" s="67"/>
      <c r="B319" s="68"/>
      <c r="C319" s="70"/>
      <c r="D319" s="68"/>
      <c r="E319" s="70"/>
      <c r="F319" s="68"/>
      <c r="G319" s="68"/>
      <c r="H319" s="68"/>
      <c r="I319" s="70"/>
      <c r="J319" s="68"/>
      <c r="K319" s="68"/>
      <c r="L319" s="68"/>
      <c r="M319" s="73"/>
      <c r="N319" s="70"/>
      <c r="O319" s="70"/>
      <c r="P319" s="68"/>
    </row>
    <row r="320" customFormat="false" ht="15" hidden="false" customHeight="false" outlineLevel="0" collapsed="false">
      <c r="A320" s="67"/>
      <c r="B320" s="68"/>
      <c r="C320" s="70"/>
      <c r="D320" s="68"/>
      <c r="E320" s="70"/>
      <c r="F320" s="68"/>
      <c r="G320" s="68"/>
      <c r="H320" s="68"/>
      <c r="I320" s="70"/>
      <c r="J320" s="68"/>
      <c r="K320" s="68"/>
      <c r="L320" s="68"/>
      <c r="M320" s="73"/>
      <c r="N320" s="70"/>
      <c r="O320" s="70"/>
      <c r="P320" s="68"/>
    </row>
    <row r="321" customFormat="false" ht="15" hidden="false" customHeight="false" outlineLevel="0" collapsed="false">
      <c r="A321" s="67"/>
      <c r="B321" s="68"/>
      <c r="C321" s="70"/>
      <c r="D321" s="68"/>
      <c r="E321" s="70"/>
      <c r="F321" s="68"/>
      <c r="G321" s="68"/>
      <c r="H321" s="68"/>
      <c r="I321" s="70"/>
      <c r="J321" s="68"/>
      <c r="K321" s="68"/>
      <c r="L321" s="68"/>
      <c r="M321" s="73"/>
      <c r="N321" s="70"/>
      <c r="O321" s="70"/>
      <c r="P321" s="68"/>
    </row>
    <row r="322" customFormat="false" ht="15" hidden="false" customHeight="false" outlineLevel="0" collapsed="false">
      <c r="A322" s="67"/>
      <c r="B322" s="68"/>
      <c r="C322" s="70"/>
      <c r="D322" s="68"/>
      <c r="E322" s="70"/>
      <c r="F322" s="68"/>
      <c r="G322" s="68"/>
      <c r="H322" s="68"/>
      <c r="I322" s="70"/>
      <c r="J322" s="68"/>
      <c r="K322" s="68"/>
      <c r="L322" s="68"/>
      <c r="M322" s="73"/>
      <c r="N322" s="70"/>
      <c r="O322" s="70"/>
      <c r="P322" s="68"/>
    </row>
    <row r="323" customFormat="false" ht="15" hidden="false" customHeight="false" outlineLevel="0" collapsed="false">
      <c r="A323" s="67"/>
      <c r="B323" s="68"/>
      <c r="C323" s="70"/>
      <c r="D323" s="68"/>
      <c r="E323" s="70"/>
      <c r="F323" s="68"/>
      <c r="G323" s="68"/>
      <c r="H323" s="68"/>
      <c r="I323" s="70"/>
      <c r="J323" s="68"/>
      <c r="K323" s="68"/>
      <c r="L323" s="68"/>
      <c r="M323" s="73"/>
      <c r="N323" s="70"/>
      <c r="O323" s="70"/>
      <c r="P323" s="68"/>
    </row>
    <row r="324" customFormat="false" ht="15" hidden="false" customHeight="false" outlineLevel="0" collapsed="false">
      <c r="A324" s="67"/>
      <c r="B324" s="68"/>
      <c r="C324" s="70"/>
      <c r="D324" s="68"/>
      <c r="E324" s="70"/>
      <c r="F324" s="68"/>
      <c r="G324" s="68"/>
      <c r="H324" s="68"/>
      <c r="I324" s="70"/>
      <c r="J324" s="68"/>
      <c r="K324" s="68"/>
      <c r="L324" s="68"/>
      <c r="M324" s="73"/>
      <c r="N324" s="70"/>
      <c r="O324" s="70"/>
      <c r="P324" s="68"/>
    </row>
    <row r="325" customFormat="false" ht="15" hidden="false" customHeight="false" outlineLevel="0" collapsed="false">
      <c r="A325" s="67"/>
      <c r="B325" s="68"/>
      <c r="C325" s="70"/>
      <c r="D325" s="68"/>
      <c r="E325" s="70"/>
      <c r="F325" s="68"/>
      <c r="G325" s="68"/>
      <c r="H325" s="68"/>
      <c r="I325" s="70"/>
      <c r="J325" s="68"/>
      <c r="K325" s="68"/>
      <c r="L325" s="68"/>
      <c r="M325" s="73"/>
      <c r="N325" s="70"/>
      <c r="O325" s="70"/>
      <c r="P325" s="68"/>
    </row>
    <row r="326" customFormat="false" ht="15" hidden="false" customHeight="false" outlineLevel="0" collapsed="false">
      <c r="A326" s="67"/>
      <c r="B326" s="68"/>
      <c r="C326" s="70"/>
      <c r="D326" s="68"/>
      <c r="E326" s="70"/>
      <c r="F326" s="68"/>
      <c r="G326" s="68"/>
      <c r="H326" s="68"/>
      <c r="I326" s="70"/>
      <c r="J326" s="68"/>
      <c r="K326" s="68"/>
      <c r="L326" s="68"/>
      <c r="M326" s="73"/>
      <c r="N326" s="70"/>
      <c r="O326" s="70"/>
      <c r="P326" s="68"/>
    </row>
    <row r="327" customFormat="false" ht="15" hidden="false" customHeight="false" outlineLevel="0" collapsed="false">
      <c r="A327" s="67"/>
      <c r="B327" s="68"/>
      <c r="C327" s="70"/>
      <c r="D327" s="68"/>
      <c r="E327" s="70"/>
      <c r="F327" s="68"/>
      <c r="G327" s="68"/>
      <c r="H327" s="68"/>
      <c r="I327" s="70"/>
      <c r="J327" s="68"/>
      <c r="K327" s="68"/>
      <c r="L327" s="68"/>
      <c r="M327" s="73"/>
      <c r="N327" s="70"/>
      <c r="O327" s="70"/>
      <c r="P327" s="68"/>
    </row>
    <row r="328" customFormat="false" ht="15" hidden="false" customHeight="false" outlineLevel="0" collapsed="false">
      <c r="A328" s="67"/>
      <c r="B328" s="68"/>
      <c r="C328" s="70"/>
      <c r="D328" s="68"/>
      <c r="E328" s="70"/>
      <c r="F328" s="68"/>
      <c r="G328" s="68"/>
      <c r="H328" s="68"/>
      <c r="I328" s="70"/>
      <c r="J328" s="68"/>
      <c r="K328" s="68"/>
      <c r="L328" s="68"/>
      <c r="M328" s="73"/>
      <c r="N328" s="70"/>
      <c r="O328" s="70"/>
      <c r="P328" s="68"/>
    </row>
    <row r="329" customFormat="false" ht="15" hidden="false" customHeight="false" outlineLevel="0" collapsed="false">
      <c r="A329" s="67"/>
      <c r="B329" s="68"/>
      <c r="C329" s="70"/>
      <c r="D329" s="68"/>
      <c r="E329" s="70"/>
      <c r="F329" s="68"/>
      <c r="G329" s="68"/>
      <c r="H329" s="68"/>
      <c r="I329" s="70"/>
      <c r="J329" s="68"/>
      <c r="K329" s="68"/>
      <c r="L329" s="68"/>
      <c r="M329" s="73"/>
      <c r="N329" s="70"/>
      <c r="O329" s="70"/>
      <c r="P329" s="68"/>
    </row>
    <row r="330" customFormat="false" ht="15" hidden="false" customHeight="false" outlineLevel="0" collapsed="false">
      <c r="A330" s="67"/>
      <c r="B330" s="68"/>
      <c r="C330" s="70"/>
      <c r="D330" s="68"/>
      <c r="E330" s="70"/>
      <c r="F330" s="68"/>
      <c r="G330" s="68"/>
      <c r="H330" s="68"/>
      <c r="I330" s="70"/>
      <c r="J330" s="68"/>
      <c r="K330" s="68"/>
      <c r="L330" s="68"/>
      <c r="M330" s="73"/>
      <c r="N330" s="70"/>
      <c r="O330" s="70"/>
      <c r="P330" s="68"/>
    </row>
    <row r="331" customFormat="false" ht="15" hidden="false" customHeight="false" outlineLevel="0" collapsed="false">
      <c r="A331" s="67"/>
      <c r="B331" s="68"/>
      <c r="C331" s="70"/>
      <c r="D331" s="68"/>
      <c r="E331" s="70"/>
      <c r="F331" s="68"/>
      <c r="G331" s="68"/>
      <c r="H331" s="68"/>
      <c r="I331" s="70"/>
      <c r="J331" s="68"/>
      <c r="K331" s="68"/>
      <c r="L331" s="68"/>
      <c r="M331" s="73"/>
      <c r="N331" s="70"/>
      <c r="O331" s="70"/>
      <c r="P331" s="68"/>
    </row>
    <row r="332" customFormat="false" ht="15" hidden="false" customHeight="false" outlineLevel="0" collapsed="false">
      <c r="A332" s="67"/>
      <c r="B332" s="68"/>
      <c r="C332" s="70"/>
      <c r="D332" s="68"/>
      <c r="E332" s="70"/>
      <c r="F332" s="68"/>
      <c r="G332" s="68"/>
      <c r="H332" s="68"/>
      <c r="I332" s="70"/>
      <c r="J332" s="68"/>
      <c r="K332" s="68"/>
      <c r="L332" s="68"/>
      <c r="M332" s="73"/>
      <c r="N332" s="70"/>
      <c r="O332" s="70"/>
      <c r="P332" s="68"/>
    </row>
    <row r="333" customFormat="false" ht="15" hidden="false" customHeight="false" outlineLevel="0" collapsed="false">
      <c r="A333" s="67"/>
      <c r="B333" s="68"/>
      <c r="C333" s="70"/>
      <c r="D333" s="68"/>
      <c r="E333" s="70"/>
      <c r="F333" s="68"/>
      <c r="G333" s="68"/>
      <c r="H333" s="68"/>
      <c r="I333" s="70"/>
      <c r="J333" s="68"/>
      <c r="K333" s="68"/>
      <c r="L333" s="68"/>
      <c r="M333" s="73"/>
      <c r="N333" s="70"/>
      <c r="O333" s="70"/>
      <c r="P333" s="68"/>
    </row>
    <row r="334" customFormat="false" ht="15" hidden="false" customHeight="false" outlineLevel="0" collapsed="false">
      <c r="A334" s="67"/>
      <c r="B334" s="68"/>
      <c r="C334" s="70"/>
      <c r="D334" s="68"/>
      <c r="E334" s="70"/>
      <c r="F334" s="68"/>
      <c r="G334" s="68"/>
      <c r="H334" s="68"/>
      <c r="I334" s="70"/>
      <c r="J334" s="68"/>
      <c r="K334" s="68"/>
      <c r="L334" s="68"/>
      <c r="M334" s="73"/>
      <c r="N334" s="70"/>
      <c r="O334" s="70"/>
      <c r="P334" s="68"/>
    </row>
    <row r="335" customFormat="false" ht="15" hidden="false" customHeight="false" outlineLevel="0" collapsed="false">
      <c r="A335" s="67"/>
      <c r="B335" s="68"/>
      <c r="C335" s="70"/>
      <c r="D335" s="68"/>
      <c r="E335" s="70"/>
      <c r="F335" s="68"/>
      <c r="G335" s="68"/>
      <c r="H335" s="68"/>
      <c r="I335" s="70"/>
      <c r="J335" s="68"/>
      <c r="K335" s="68"/>
      <c r="L335" s="68"/>
      <c r="M335" s="73"/>
      <c r="N335" s="70"/>
      <c r="O335" s="70"/>
      <c r="P335" s="68"/>
    </row>
    <row r="336" customFormat="false" ht="15" hidden="false" customHeight="false" outlineLevel="0" collapsed="false">
      <c r="A336" s="67"/>
      <c r="B336" s="68"/>
      <c r="C336" s="70"/>
      <c r="D336" s="68"/>
      <c r="E336" s="70"/>
      <c r="F336" s="68"/>
      <c r="G336" s="68"/>
      <c r="H336" s="68"/>
      <c r="I336" s="70"/>
      <c r="J336" s="68"/>
      <c r="K336" s="68"/>
      <c r="L336" s="68"/>
      <c r="M336" s="73"/>
      <c r="N336" s="70"/>
      <c r="O336" s="70"/>
      <c r="P336" s="68"/>
    </row>
    <row r="337" customFormat="false" ht="15" hidden="false" customHeight="false" outlineLevel="0" collapsed="false">
      <c r="A337" s="67"/>
      <c r="B337" s="68"/>
      <c r="C337" s="70"/>
      <c r="D337" s="68"/>
      <c r="E337" s="70"/>
      <c r="F337" s="68"/>
      <c r="G337" s="68"/>
      <c r="H337" s="68"/>
      <c r="I337" s="70"/>
      <c r="J337" s="68"/>
      <c r="K337" s="68"/>
      <c r="L337" s="68"/>
      <c r="M337" s="73"/>
      <c r="N337" s="70"/>
      <c r="O337" s="70"/>
      <c r="P337" s="68"/>
    </row>
    <row r="338" customFormat="false" ht="15" hidden="false" customHeight="false" outlineLevel="0" collapsed="false">
      <c r="A338" s="67"/>
      <c r="B338" s="68"/>
      <c r="C338" s="70"/>
      <c r="D338" s="68"/>
      <c r="E338" s="70"/>
      <c r="F338" s="68"/>
      <c r="G338" s="68"/>
      <c r="H338" s="68"/>
      <c r="I338" s="70"/>
      <c r="J338" s="68"/>
      <c r="K338" s="68"/>
      <c r="L338" s="68"/>
      <c r="M338" s="73"/>
      <c r="N338" s="70"/>
      <c r="O338" s="70"/>
      <c r="P338" s="68"/>
    </row>
    <row r="339" customFormat="false" ht="15" hidden="false" customHeight="false" outlineLevel="0" collapsed="false">
      <c r="A339" s="67"/>
      <c r="B339" s="68"/>
      <c r="C339" s="70"/>
      <c r="D339" s="68"/>
      <c r="E339" s="70"/>
      <c r="F339" s="68"/>
      <c r="G339" s="68"/>
      <c r="H339" s="68"/>
      <c r="I339" s="70"/>
      <c r="J339" s="68"/>
      <c r="K339" s="68"/>
      <c r="L339" s="68"/>
      <c r="M339" s="73"/>
      <c r="N339" s="70"/>
      <c r="O339" s="70"/>
      <c r="P339" s="68"/>
    </row>
    <row r="340" customFormat="false" ht="15" hidden="false" customHeight="false" outlineLevel="0" collapsed="false">
      <c r="A340" s="67"/>
      <c r="B340" s="68"/>
      <c r="C340" s="70"/>
      <c r="D340" s="68"/>
      <c r="E340" s="70"/>
      <c r="F340" s="68"/>
      <c r="G340" s="68"/>
      <c r="H340" s="68"/>
      <c r="I340" s="70"/>
      <c r="J340" s="68"/>
      <c r="K340" s="68"/>
      <c r="L340" s="68"/>
      <c r="M340" s="73"/>
      <c r="N340" s="70"/>
      <c r="O340" s="70"/>
      <c r="P340" s="68"/>
    </row>
    <row r="341" customFormat="false" ht="15" hidden="false" customHeight="false" outlineLevel="0" collapsed="false">
      <c r="A341" s="67"/>
      <c r="B341" s="68"/>
      <c r="C341" s="70"/>
      <c r="D341" s="68"/>
      <c r="E341" s="70"/>
      <c r="F341" s="68"/>
      <c r="G341" s="68"/>
      <c r="H341" s="68"/>
      <c r="I341" s="70"/>
      <c r="J341" s="68"/>
      <c r="K341" s="68"/>
      <c r="L341" s="68"/>
      <c r="M341" s="73"/>
      <c r="N341" s="70"/>
      <c r="O341" s="70"/>
      <c r="P341" s="68"/>
    </row>
    <row r="342" customFormat="false" ht="15" hidden="false" customHeight="false" outlineLevel="0" collapsed="false">
      <c r="A342" s="67"/>
      <c r="B342" s="68"/>
      <c r="C342" s="70"/>
      <c r="D342" s="68"/>
      <c r="E342" s="70"/>
      <c r="F342" s="68"/>
      <c r="G342" s="68"/>
      <c r="H342" s="68"/>
      <c r="I342" s="70"/>
      <c r="J342" s="68"/>
      <c r="K342" s="68"/>
      <c r="L342" s="68"/>
      <c r="M342" s="73"/>
      <c r="N342" s="70"/>
      <c r="O342" s="70"/>
      <c r="P342" s="68"/>
    </row>
    <row r="343" customFormat="false" ht="15" hidden="false" customHeight="false" outlineLevel="0" collapsed="false">
      <c r="A343" s="67"/>
      <c r="B343" s="68"/>
      <c r="C343" s="70"/>
      <c r="D343" s="68"/>
      <c r="E343" s="70"/>
      <c r="F343" s="68"/>
      <c r="G343" s="68"/>
      <c r="H343" s="68"/>
      <c r="I343" s="70"/>
      <c r="J343" s="68"/>
      <c r="K343" s="68"/>
      <c r="L343" s="68"/>
      <c r="M343" s="73"/>
      <c r="N343" s="70"/>
      <c r="O343" s="70"/>
      <c r="P343" s="68"/>
    </row>
    <row r="344" customFormat="false" ht="15" hidden="false" customHeight="false" outlineLevel="0" collapsed="false">
      <c r="A344" s="67"/>
      <c r="B344" s="68"/>
      <c r="C344" s="70"/>
      <c r="D344" s="68"/>
      <c r="E344" s="70"/>
      <c r="F344" s="68"/>
      <c r="G344" s="68"/>
      <c r="H344" s="68"/>
      <c r="I344" s="70"/>
      <c r="J344" s="68"/>
      <c r="K344" s="68"/>
      <c r="L344" s="68"/>
      <c r="M344" s="73"/>
      <c r="N344" s="70"/>
      <c r="O344" s="70"/>
      <c r="P344" s="68"/>
    </row>
    <row r="345" customFormat="false" ht="15" hidden="false" customHeight="false" outlineLevel="0" collapsed="false">
      <c r="A345" s="67"/>
      <c r="B345" s="68"/>
      <c r="C345" s="70"/>
      <c r="D345" s="68"/>
      <c r="E345" s="70"/>
      <c r="F345" s="68"/>
      <c r="G345" s="68"/>
      <c r="H345" s="68"/>
      <c r="I345" s="70"/>
      <c r="J345" s="68"/>
      <c r="K345" s="68"/>
      <c r="L345" s="68"/>
      <c r="M345" s="73"/>
      <c r="N345" s="70"/>
      <c r="O345" s="70"/>
      <c r="P345" s="68"/>
    </row>
    <row r="346" customFormat="false" ht="15" hidden="false" customHeight="false" outlineLevel="0" collapsed="false">
      <c r="A346" s="67"/>
      <c r="B346" s="68"/>
      <c r="C346" s="70"/>
      <c r="D346" s="68"/>
      <c r="E346" s="70"/>
      <c r="F346" s="68"/>
      <c r="G346" s="68"/>
      <c r="H346" s="68"/>
      <c r="I346" s="70"/>
      <c r="J346" s="68"/>
      <c r="K346" s="68"/>
      <c r="L346" s="68"/>
      <c r="M346" s="73"/>
      <c r="N346" s="70"/>
      <c r="O346" s="70"/>
      <c r="P346" s="68"/>
    </row>
    <row r="347" customFormat="false" ht="15" hidden="false" customHeight="false" outlineLevel="0" collapsed="false">
      <c r="A347" s="67"/>
      <c r="B347" s="68"/>
      <c r="C347" s="70"/>
      <c r="D347" s="68"/>
      <c r="E347" s="70"/>
      <c r="F347" s="68"/>
      <c r="G347" s="68"/>
      <c r="H347" s="68"/>
      <c r="I347" s="70"/>
      <c r="J347" s="68"/>
      <c r="K347" s="68"/>
      <c r="L347" s="68"/>
      <c r="M347" s="73"/>
      <c r="N347" s="70"/>
      <c r="O347" s="70"/>
      <c r="P347" s="68"/>
    </row>
    <row r="348" customFormat="false" ht="15" hidden="false" customHeight="false" outlineLevel="0" collapsed="false">
      <c r="A348" s="67"/>
      <c r="B348" s="68"/>
      <c r="C348" s="70"/>
      <c r="D348" s="68"/>
      <c r="E348" s="70"/>
      <c r="F348" s="68"/>
      <c r="G348" s="68"/>
      <c r="H348" s="68"/>
      <c r="I348" s="70"/>
      <c r="J348" s="68"/>
      <c r="K348" s="68"/>
      <c r="L348" s="68"/>
      <c r="M348" s="73"/>
      <c r="N348" s="70"/>
      <c r="O348" s="70"/>
      <c r="P348" s="68"/>
    </row>
    <row r="349" customFormat="false" ht="15" hidden="false" customHeight="false" outlineLevel="0" collapsed="false">
      <c r="A349" s="67"/>
      <c r="B349" s="68"/>
      <c r="C349" s="70"/>
      <c r="D349" s="68"/>
      <c r="E349" s="70"/>
      <c r="F349" s="68"/>
      <c r="G349" s="68"/>
      <c r="H349" s="68"/>
      <c r="I349" s="70"/>
      <c r="J349" s="68"/>
      <c r="K349" s="68"/>
      <c r="L349" s="68"/>
      <c r="M349" s="73"/>
      <c r="N349" s="70"/>
      <c r="O349" s="70"/>
      <c r="P349" s="68"/>
    </row>
    <row r="350" customFormat="false" ht="15" hidden="false" customHeight="false" outlineLevel="0" collapsed="false">
      <c r="A350" s="67"/>
      <c r="B350" s="68"/>
      <c r="C350" s="70"/>
      <c r="D350" s="68"/>
      <c r="E350" s="70"/>
      <c r="F350" s="68"/>
      <c r="G350" s="68"/>
      <c r="H350" s="68"/>
      <c r="I350" s="70"/>
      <c r="J350" s="68"/>
      <c r="K350" s="68"/>
      <c r="L350" s="68"/>
      <c r="M350" s="73"/>
      <c r="N350" s="70"/>
      <c r="O350" s="70"/>
      <c r="P350" s="68"/>
    </row>
    <row r="351" customFormat="false" ht="15" hidden="false" customHeight="false" outlineLevel="0" collapsed="false">
      <c r="A351" s="67"/>
      <c r="B351" s="68"/>
      <c r="C351" s="70"/>
      <c r="D351" s="68"/>
      <c r="E351" s="70"/>
      <c r="F351" s="68"/>
      <c r="G351" s="68"/>
      <c r="H351" s="68"/>
      <c r="I351" s="70"/>
      <c r="J351" s="68"/>
      <c r="K351" s="68"/>
      <c r="L351" s="68"/>
      <c r="M351" s="73"/>
      <c r="N351" s="70"/>
      <c r="O351" s="70"/>
      <c r="P351" s="68"/>
    </row>
    <row r="352" customFormat="false" ht="15" hidden="false" customHeight="false" outlineLevel="0" collapsed="false">
      <c r="A352" s="67"/>
      <c r="B352" s="68"/>
      <c r="C352" s="70"/>
      <c r="D352" s="68"/>
      <c r="E352" s="70"/>
      <c r="F352" s="68"/>
      <c r="G352" s="68"/>
      <c r="H352" s="68"/>
      <c r="I352" s="70"/>
      <c r="J352" s="68"/>
      <c r="K352" s="68"/>
      <c r="L352" s="68"/>
      <c r="M352" s="73"/>
      <c r="N352" s="70"/>
      <c r="O352" s="70"/>
      <c r="P352" s="68"/>
    </row>
    <row r="353" customFormat="false" ht="15" hidden="false" customHeight="false" outlineLevel="0" collapsed="false">
      <c r="A353" s="67"/>
      <c r="B353" s="68"/>
      <c r="C353" s="70"/>
      <c r="D353" s="68"/>
      <c r="E353" s="70"/>
      <c r="F353" s="68"/>
      <c r="G353" s="68"/>
      <c r="H353" s="68"/>
      <c r="I353" s="70"/>
      <c r="J353" s="68"/>
      <c r="K353" s="68"/>
      <c r="L353" s="68"/>
      <c r="M353" s="73"/>
      <c r="N353" s="70"/>
      <c r="O353" s="70"/>
      <c r="P353" s="68"/>
    </row>
    <row r="354" customFormat="false" ht="15" hidden="false" customHeight="false" outlineLevel="0" collapsed="false">
      <c r="A354" s="67"/>
      <c r="B354" s="68"/>
      <c r="C354" s="70"/>
      <c r="D354" s="68"/>
      <c r="E354" s="70"/>
      <c r="F354" s="68"/>
      <c r="G354" s="68"/>
      <c r="H354" s="68"/>
      <c r="I354" s="70"/>
      <c r="J354" s="68"/>
      <c r="K354" s="68"/>
      <c r="L354" s="68"/>
      <c r="M354" s="73"/>
      <c r="N354" s="70"/>
      <c r="O354" s="70"/>
      <c r="P354" s="68"/>
    </row>
    <row r="355" customFormat="false" ht="15" hidden="false" customHeight="false" outlineLevel="0" collapsed="false">
      <c r="A355" s="67"/>
      <c r="B355" s="68"/>
      <c r="C355" s="70"/>
      <c r="D355" s="68"/>
      <c r="E355" s="70"/>
      <c r="F355" s="68"/>
      <c r="G355" s="68"/>
      <c r="H355" s="68"/>
      <c r="I355" s="70"/>
      <c r="J355" s="68"/>
      <c r="K355" s="68"/>
      <c r="L355" s="68"/>
      <c r="M355" s="73"/>
      <c r="N355" s="70"/>
      <c r="O355" s="70"/>
      <c r="P355" s="68"/>
    </row>
    <row r="356" customFormat="false" ht="15" hidden="false" customHeight="false" outlineLevel="0" collapsed="false">
      <c r="A356" s="67"/>
      <c r="B356" s="68"/>
      <c r="C356" s="70"/>
      <c r="D356" s="68"/>
      <c r="E356" s="70"/>
      <c r="F356" s="68"/>
      <c r="G356" s="68"/>
      <c r="H356" s="68"/>
      <c r="I356" s="70"/>
      <c r="J356" s="68"/>
      <c r="K356" s="68"/>
      <c r="L356" s="68"/>
      <c r="M356" s="73"/>
      <c r="N356" s="70"/>
      <c r="O356" s="70"/>
      <c r="P356" s="68"/>
    </row>
    <row r="357" customFormat="false" ht="15" hidden="false" customHeight="false" outlineLevel="0" collapsed="false">
      <c r="A357" s="67"/>
      <c r="B357" s="68"/>
      <c r="C357" s="70"/>
      <c r="D357" s="68"/>
      <c r="E357" s="70"/>
      <c r="F357" s="68"/>
      <c r="G357" s="68"/>
      <c r="H357" s="68"/>
      <c r="I357" s="70"/>
      <c r="J357" s="68"/>
      <c r="K357" s="68"/>
      <c r="L357" s="68"/>
      <c r="M357" s="73"/>
      <c r="N357" s="70"/>
      <c r="O357" s="70"/>
      <c r="P357" s="68"/>
    </row>
    <row r="358" customFormat="false" ht="15" hidden="false" customHeight="false" outlineLevel="0" collapsed="false">
      <c r="A358" s="67"/>
      <c r="B358" s="68"/>
      <c r="C358" s="70"/>
      <c r="D358" s="68"/>
      <c r="E358" s="70"/>
      <c r="F358" s="68"/>
      <c r="G358" s="68"/>
      <c r="H358" s="68"/>
      <c r="I358" s="70"/>
      <c r="J358" s="68"/>
      <c r="K358" s="68"/>
      <c r="L358" s="68"/>
      <c r="M358" s="73"/>
      <c r="N358" s="70"/>
      <c r="O358" s="70"/>
      <c r="P358" s="68"/>
    </row>
    <row r="359" customFormat="false" ht="15" hidden="false" customHeight="false" outlineLevel="0" collapsed="false">
      <c r="A359" s="67"/>
      <c r="B359" s="68"/>
      <c r="C359" s="70"/>
      <c r="D359" s="68"/>
      <c r="E359" s="70"/>
      <c r="F359" s="68"/>
      <c r="G359" s="68"/>
      <c r="H359" s="68"/>
      <c r="I359" s="70"/>
      <c r="J359" s="68"/>
      <c r="K359" s="68"/>
      <c r="L359" s="68"/>
      <c r="M359" s="73"/>
      <c r="N359" s="70"/>
      <c r="O359" s="70"/>
      <c r="P359" s="68"/>
    </row>
    <row r="360" customFormat="false" ht="15" hidden="false" customHeight="false" outlineLevel="0" collapsed="false">
      <c r="A360" s="67"/>
      <c r="B360" s="68"/>
      <c r="C360" s="70"/>
      <c r="D360" s="68"/>
      <c r="E360" s="70"/>
      <c r="F360" s="68"/>
      <c r="G360" s="68"/>
      <c r="H360" s="68"/>
      <c r="I360" s="70"/>
      <c r="J360" s="68"/>
      <c r="K360" s="68"/>
      <c r="L360" s="68"/>
      <c r="M360" s="73"/>
      <c r="N360" s="70"/>
      <c r="O360" s="70"/>
      <c r="P360" s="68"/>
    </row>
    <row r="361" customFormat="false" ht="15" hidden="false" customHeight="false" outlineLevel="0" collapsed="false">
      <c r="A361" s="67"/>
      <c r="B361" s="68"/>
      <c r="C361" s="70"/>
      <c r="D361" s="68"/>
      <c r="E361" s="70"/>
      <c r="F361" s="68"/>
      <c r="G361" s="68"/>
      <c r="H361" s="68"/>
      <c r="I361" s="70"/>
      <c r="J361" s="68"/>
      <c r="K361" s="68"/>
      <c r="L361" s="68"/>
      <c r="M361" s="73"/>
      <c r="N361" s="70"/>
      <c r="O361" s="70"/>
      <c r="P361" s="68"/>
    </row>
    <row r="362" customFormat="false" ht="15" hidden="false" customHeight="false" outlineLevel="0" collapsed="false">
      <c r="A362" s="67"/>
      <c r="B362" s="68"/>
      <c r="C362" s="70"/>
      <c r="D362" s="68"/>
      <c r="E362" s="70"/>
      <c r="F362" s="68"/>
      <c r="G362" s="68"/>
      <c r="H362" s="68"/>
      <c r="I362" s="70"/>
      <c r="J362" s="68"/>
      <c r="K362" s="68"/>
      <c r="L362" s="68"/>
      <c r="M362" s="73"/>
      <c r="N362" s="70"/>
      <c r="O362" s="70"/>
      <c r="P362" s="68"/>
    </row>
    <row r="363" customFormat="false" ht="15" hidden="false" customHeight="false" outlineLevel="0" collapsed="false">
      <c r="A363" s="67"/>
      <c r="B363" s="68"/>
      <c r="C363" s="70"/>
      <c r="D363" s="68"/>
      <c r="E363" s="70"/>
      <c r="F363" s="68"/>
      <c r="G363" s="68"/>
      <c r="H363" s="68"/>
      <c r="I363" s="70"/>
      <c r="J363" s="68"/>
      <c r="K363" s="68"/>
      <c r="L363" s="68"/>
      <c r="M363" s="73"/>
      <c r="N363" s="70"/>
      <c r="O363" s="70"/>
      <c r="P363" s="68"/>
    </row>
    <row r="364" customFormat="false" ht="15" hidden="false" customHeight="false" outlineLevel="0" collapsed="false">
      <c r="A364" s="67"/>
      <c r="B364" s="68"/>
      <c r="C364" s="70"/>
      <c r="D364" s="68"/>
      <c r="E364" s="70"/>
      <c r="F364" s="68"/>
      <c r="G364" s="68"/>
      <c r="H364" s="68"/>
      <c r="I364" s="70"/>
      <c r="J364" s="68"/>
      <c r="K364" s="68"/>
      <c r="L364" s="68"/>
      <c r="M364" s="73"/>
      <c r="N364" s="70"/>
      <c r="O364" s="70"/>
      <c r="P364" s="68"/>
    </row>
    <row r="365" customFormat="false" ht="15" hidden="false" customHeight="false" outlineLevel="0" collapsed="false">
      <c r="A365" s="67"/>
      <c r="B365" s="68"/>
      <c r="C365" s="70"/>
      <c r="D365" s="68"/>
      <c r="E365" s="70"/>
      <c r="F365" s="68"/>
      <c r="G365" s="68"/>
      <c r="H365" s="68"/>
      <c r="I365" s="70"/>
      <c r="J365" s="68"/>
      <c r="K365" s="68"/>
      <c r="L365" s="68"/>
      <c r="M365" s="73"/>
      <c r="N365" s="70"/>
      <c r="O365" s="70"/>
      <c r="P365" s="68"/>
    </row>
    <row r="366" customFormat="false" ht="15" hidden="false" customHeight="false" outlineLevel="0" collapsed="false">
      <c r="A366" s="67"/>
      <c r="B366" s="68"/>
      <c r="C366" s="70"/>
      <c r="D366" s="68"/>
      <c r="E366" s="70"/>
      <c r="F366" s="68"/>
      <c r="G366" s="68"/>
      <c r="H366" s="68"/>
      <c r="I366" s="70"/>
      <c r="J366" s="68"/>
      <c r="K366" s="68"/>
      <c r="L366" s="68"/>
      <c r="M366" s="73"/>
      <c r="N366" s="70"/>
      <c r="O366" s="70"/>
      <c r="P366" s="68"/>
    </row>
    <row r="367" customFormat="false" ht="15" hidden="false" customHeight="false" outlineLevel="0" collapsed="false">
      <c r="A367" s="67"/>
      <c r="B367" s="68"/>
      <c r="C367" s="70"/>
      <c r="D367" s="68"/>
      <c r="E367" s="70"/>
      <c r="F367" s="68"/>
      <c r="G367" s="68"/>
      <c r="H367" s="68"/>
      <c r="I367" s="70"/>
      <c r="J367" s="68"/>
      <c r="K367" s="68"/>
      <c r="L367" s="68"/>
      <c r="M367" s="73"/>
      <c r="N367" s="70"/>
      <c r="O367" s="70"/>
      <c r="P367" s="68"/>
    </row>
    <row r="368" customFormat="false" ht="15" hidden="false" customHeight="false" outlineLevel="0" collapsed="false">
      <c r="A368" s="67"/>
      <c r="B368" s="68"/>
      <c r="C368" s="70"/>
      <c r="D368" s="68"/>
      <c r="E368" s="70"/>
      <c r="F368" s="68"/>
      <c r="G368" s="68"/>
      <c r="H368" s="68"/>
      <c r="I368" s="70"/>
      <c r="J368" s="68"/>
      <c r="K368" s="68"/>
      <c r="L368" s="68"/>
      <c r="M368" s="73"/>
      <c r="N368" s="70"/>
      <c r="O368" s="70"/>
      <c r="P368" s="68"/>
    </row>
    <row r="369" customFormat="false" ht="15" hidden="false" customHeight="false" outlineLevel="0" collapsed="false">
      <c r="A369" s="67"/>
      <c r="B369" s="68"/>
      <c r="C369" s="70"/>
      <c r="D369" s="68"/>
      <c r="E369" s="70"/>
      <c r="F369" s="68"/>
      <c r="G369" s="68"/>
      <c r="H369" s="68"/>
      <c r="I369" s="70"/>
      <c r="J369" s="68"/>
      <c r="K369" s="68"/>
      <c r="L369" s="68"/>
      <c r="M369" s="73"/>
      <c r="N369" s="70"/>
      <c r="O369" s="70"/>
      <c r="P369" s="68"/>
    </row>
    <row r="370" customFormat="false" ht="15" hidden="false" customHeight="false" outlineLevel="0" collapsed="false">
      <c r="A370" s="67"/>
      <c r="B370" s="68"/>
      <c r="C370" s="70"/>
      <c r="D370" s="68"/>
      <c r="E370" s="70"/>
      <c r="F370" s="68"/>
      <c r="G370" s="68"/>
      <c r="H370" s="68"/>
      <c r="I370" s="70"/>
      <c r="J370" s="68"/>
      <c r="K370" s="68"/>
      <c r="L370" s="68"/>
      <c r="M370" s="73"/>
      <c r="N370" s="70"/>
      <c r="O370" s="70"/>
      <c r="P370" s="68"/>
    </row>
    <row r="371" customFormat="false" ht="15" hidden="false" customHeight="false" outlineLevel="0" collapsed="false">
      <c r="A371" s="67"/>
      <c r="B371" s="68"/>
      <c r="C371" s="70"/>
      <c r="D371" s="68"/>
      <c r="E371" s="70"/>
      <c r="F371" s="68"/>
      <c r="G371" s="68"/>
      <c r="H371" s="68"/>
      <c r="I371" s="70"/>
      <c r="J371" s="68"/>
      <c r="K371" s="68"/>
      <c r="L371" s="68"/>
      <c r="M371" s="73"/>
      <c r="N371" s="70"/>
      <c r="O371" s="70"/>
      <c r="P371" s="68"/>
    </row>
    <row r="372" customFormat="false" ht="15" hidden="false" customHeight="false" outlineLevel="0" collapsed="false">
      <c r="A372" s="67"/>
      <c r="B372" s="68"/>
      <c r="C372" s="70"/>
      <c r="D372" s="68"/>
      <c r="E372" s="70"/>
      <c r="F372" s="68"/>
      <c r="G372" s="68"/>
      <c r="H372" s="68"/>
      <c r="I372" s="70"/>
      <c r="J372" s="68"/>
      <c r="K372" s="68"/>
      <c r="L372" s="68"/>
      <c r="M372" s="73"/>
      <c r="N372" s="70"/>
      <c r="O372" s="70"/>
      <c r="P372" s="68"/>
    </row>
    <row r="373" customFormat="false" ht="15" hidden="false" customHeight="false" outlineLevel="0" collapsed="false">
      <c r="A373" s="67"/>
      <c r="B373" s="68"/>
      <c r="C373" s="70"/>
      <c r="D373" s="68"/>
      <c r="E373" s="70"/>
      <c r="F373" s="68"/>
      <c r="G373" s="68"/>
      <c r="H373" s="68"/>
      <c r="I373" s="70"/>
      <c r="J373" s="68"/>
      <c r="K373" s="68"/>
      <c r="L373" s="68"/>
      <c r="M373" s="73"/>
      <c r="N373" s="70"/>
      <c r="O373" s="70"/>
      <c r="P373" s="68"/>
    </row>
    <row r="374" customFormat="false" ht="15" hidden="false" customHeight="false" outlineLevel="0" collapsed="false">
      <c r="A374" s="67"/>
      <c r="B374" s="68"/>
      <c r="C374" s="70"/>
      <c r="D374" s="68"/>
      <c r="E374" s="70"/>
      <c r="F374" s="68"/>
      <c r="G374" s="68"/>
      <c r="H374" s="68"/>
      <c r="I374" s="70"/>
      <c r="J374" s="68"/>
      <c r="K374" s="68"/>
      <c r="L374" s="68"/>
      <c r="M374" s="73"/>
      <c r="N374" s="70"/>
      <c r="O374" s="70"/>
      <c r="P374" s="68"/>
    </row>
    <row r="375" customFormat="false" ht="15" hidden="false" customHeight="false" outlineLevel="0" collapsed="false">
      <c r="A375" s="67"/>
      <c r="B375" s="68"/>
      <c r="C375" s="70"/>
      <c r="D375" s="68"/>
      <c r="E375" s="70"/>
      <c r="F375" s="68"/>
      <c r="G375" s="68"/>
      <c r="H375" s="68"/>
      <c r="I375" s="70"/>
      <c r="J375" s="68"/>
      <c r="K375" s="68"/>
      <c r="L375" s="68"/>
      <c r="M375" s="73"/>
      <c r="N375" s="70"/>
      <c r="O375" s="70"/>
      <c r="P375" s="68"/>
    </row>
    <row r="376" customFormat="false" ht="15" hidden="false" customHeight="false" outlineLevel="0" collapsed="false">
      <c r="A376" s="67"/>
      <c r="B376" s="68"/>
      <c r="C376" s="70"/>
      <c r="D376" s="68"/>
      <c r="E376" s="70"/>
      <c r="F376" s="68"/>
      <c r="G376" s="68"/>
      <c r="H376" s="68"/>
      <c r="I376" s="70"/>
      <c r="J376" s="68"/>
      <c r="K376" s="68"/>
      <c r="L376" s="68"/>
      <c r="M376" s="73"/>
      <c r="N376" s="70"/>
      <c r="O376" s="70"/>
      <c r="P376" s="68"/>
    </row>
    <row r="377" customFormat="false" ht="15" hidden="false" customHeight="false" outlineLevel="0" collapsed="false">
      <c r="A377" s="67"/>
      <c r="B377" s="68"/>
      <c r="C377" s="70"/>
      <c r="D377" s="68"/>
      <c r="E377" s="70"/>
      <c r="F377" s="68"/>
      <c r="G377" s="68"/>
      <c r="H377" s="68"/>
      <c r="I377" s="70"/>
      <c r="J377" s="68"/>
      <c r="K377" s="68"/>
      <c r="L377" s="68"/>
      <c r="M377" s="73"/>
      <c r="N377" s="70"/>
      <c r="O377" s="70"/>
      <c r="P377" s="68"/>
    </row>
    <row r="378" customFormat="false" ht="15" hidden="false" customHeight="false" outlineLevel="0" collapsed="false">
      <c r="A378" s="67"/>
      <c r="B378" s="68"/>
      <c r="C378" s="70"/>
      <c r="D378" s="68"/>
      <c r="E378" s="70"/>
      <c r="F378" s="68"/>
      <c r="G378" s="68"/>
      <c r="H378" s="68"/>
      <c r="I378" s="70"/>
      <c r="J378" s="68"/>
      <c r="K378" s="68"/>
      <c r="L378" s="68"/>
      <c r="M378" s="73"/>
      <c r="N378" s="70"/>
      <c r="O378" s="70"/>
      <c r="P378" s="68"/>
    </row>
    <row r="379" customFormat="false" ht="15" hidden="false" customHeight="false" outlineLevel="0" collapsed="false">
      <c r="A379" s="67"/>
      <c r="B379" s="68"/>
      <c r="C379" s="70"/>
      <c r="D379" s="68"/>
      <c r="E379" s="70"/>
      <c r="F379" s="68"/>
      <c r="G379" s="68"/>
      <c r="H379" s="68"/>
      <c r="I379" s="70"/>
      <c r="J379" s="68"/>
      <c r="K379" s="68"/>
      <c r="L379" s="68"/>
      <c r="M379" s="73"/>
      <c r="N379" s="70"/>
      <c r="O379" s="70"/>
      <c r="P379" s="68"/>
    </row>
    <row r="380" customFormat="false" ht="15" hidden="false" customHeight="false" outlineLevel="0" collapsed="false">
      <c r="A380" s="67"/>
      <c r="B380" s="68"/>
      <c r="C380" s="70"/>
      <c r="D380" s="68"/>
      <c r="E380" s="70"/>
      <c r="F380" s="68"/>
      <c r="G380" s="68"/>
      <c r="H380" s="68"/>
      <c r="I380" s="70"/>
      <c r="J380" s="68"/>
      <c r="K380" s="68"/>
      <c r="L380" s="68"/>
      <c r="M380" s="73"/>
      <c r="N380" s="70"/>
      <c r="O380" s="70"/>
      <c r="P380" s="68"/>
    </row>
    <row r="381" customFormat="false" ht="15" hidden="false" customHeight="false" outlineLevel="0" collapsed="false">
      <c r="A381" s="67"/>
      <c r="B381" s="68"/>
      <c r="C381" s="70"/>
      <c r="D381" s="68"/>
      <c r="E381" s="70"/>
      <c r="F381" s="68"/>
      <c r="G381" s="68"/>
      <c r="H381" s="68"/>
      <c r="I381" s="70"/>
      <c r="J381" s="68"/>
      <c r="K381" s="68"/>
      <c r="L381" s="68"/>
      <c r="M381" s="73"/>
      <c r="N381" s="70"/>
      <c r="O381" s="70"/>
      <c r="P381" s="68"/>
    </row>
    <row r="382" customFormat="false" ht="15" hidden="false" customHeight="false" outlineLevel="0" collapsed="false">
      <c r="A382" s="67"/>
      <c r="B382" s="68"/>
      <c r="C382" s="70"/>
      <c r="D382" s="68"/>
      <c r="E382" s="70"/>
      <c r="F382" s="68"/>
      <c r="G382" s="68"/>
      <c r="H382" s="68"/>
      <c r="I382" s="70"/>
      <c r="J382" s="68"/>
      <c r="K382" s="68"/>
      <c r="L382" s="68"/>
      <c r="M382" s="73"/>
      <c r="N382" s="70"/>
      <c r="O382" s="70"/>
      <c r="P382" s="68"/>
    </row>
    <row r="383" customFormat="false" ht="15" hidden="false" customHeight="false" outlineLevel="0" collapsed="false">
      <c r="A383" s="67"/>
      <c r="B383" s="68"/>
      <c r="C383" s="70"/>
      <c r="D383" s="68"/>
      <c r="E383" s="70"/>
      <c r="F383" s="68"/>
      <c r="G383" s="68"/>
      <c r="H383" s="68"/>
      <c r="I383" s="70"/>
      <c r="J383" s="68"/>
      <c r="K383" s="68"/>
      <c r="L383" s="68"/>
      <c r="M383" s="73"/>
      <c r="N383" s="70"/>
      <c r="O383" s="70"/>
      <c r="P383" s="68"/>
    </row>
    <row r="384" customFormat="false" ht="15" hidden="false" customHeight="false" outlineLevel="0" collapsed="false">
      <c r="A384" s="67"/>
      <c r="B384" s="68"/>
      <c r="C384" s="70"/>
      <c r="D384" s="68"/>
      <c r="E384" s="70"/>
      <c r="F384" s="68"/>
      <c r="G384" s="68"/>
      <c r="H384" s="68"/>
      <c r="I384" s="70"/>
      <c r="J384" s="68"/>
      <c r="K384" s="68"/>
      <c r="L384" s="68"/>
      <c r="M384" s="73"/>
      <c r="N384" s="70"/>
      <c r="O384" s="70"/>
      <c r="P384" s="68"/>
    </row>
    <row r="385" customFormat="false" ht="15" hidden="false" customHeight="false" outlineLevel="0" collapsed="false">
      <c r="A385" s="67"/>
      <c r="B385" s="68"/>
      <c r="C385" s="70"/>
      <c r="D385" s="68"/>
      <c r="E385" s="70"/>
      <c r="F385" s="68"/>
      <c r="G385" s="68"/>
      <c r="H385" s="68"/>
      <c r="I385" s="70"/>
      <c r="J385" s="68"/>
      <c r="K385" s="68"/>
      <c r="L385" s="68"/>
      <c r="M385" s="73"/>
      <c r="N385" s="70"/>
      <c r="O385" s="70"/>
      <c r="P385" s="68"/>
    </row>
    <row r="386" customFormat="false" ht="15" hidden="false" customHeight="false" outlineLevel="0" collapsed="false">
      <c r="A386" s="67"/>
      <c r="B386" s="68"/>
      <c r="C386" s="70"/>
      <c r="D386" s="68"/>
      <c r="E386" s="70"/>
      <c r="F386" s="68"/>
      <c r="G386" s="68"/>
      <c r="H386" s="68"/>
      <c r="I386" s="70"/>
      <c r="J386" s="68"/>
      <c r="K386" s="68"/>
      <c r="L386" s="68"/>
      <c r="M386" s="73"/>
      <c r="N386" s="70"/>
      <c r="O386" s="70"/>
      <c r="P386" s="68"/>
    </row>
    <row r="387" customFormat="false" ht="15" hidden="false" customHeight="false" outlineLevel="0" collapsed="false">
      <c r="A387" s="67"/>
      <c r="B387" s="68"/>
      <c r="C387" s="70"/>
      <c r="D387" s="68"/>
      <c r="E387" s="70"/>
      <c r="F387" s="68"/>
      <c r="G387" s="68"/>
      <c r="H387" s="68"/>
      <c r="I387" s="70"/>
      <c r="J387" s="68"/>
      <c r="K387" s="68"/>
      <c r="L387" s="68"/>
      <c r="M387" s="73"/>
      <c r="N387" s="70"/>
      <c r="O387" s="70"/>
      <c r="P387" s="68"/>
    </row>
    <row r="388" customFormat="false" ht="15" hidden="false" customHeight="false" outlineLevel="0" collapsed="false">
      <c r="A388" s="67"/>
      <c r="B388" s="68"/>
      <c r="C388" s="70"/>
      <c r="D388" s="68"/>
      <c r="E388" s="70"/>
      <c r="F388" s="68"/>
      <c r="G388" s="68"/>
      <c r="H388" s="68"/>
      <c r="I388" s="70"/>
      <c r="J388" s="68"/>
      <c r="K388" s="68"/>
      <c r="L388" s="68"/>
      <c r="M388" s="73"/>
      <c r="N388" s="70"/>
      <c r="O388" s="70"/>
      <c r="P388" s="68"/>
    </row>
    <row r="389" customFormat="false" ht="15" hidden="false" customHeight="false" outlineLevel="0" collapsed="false">
      <c r="A389" s="67"/>
      <c r="B389" s="68"/>
      <c r="C389" s="70"/>
      <c r="D389" s="68"/>
      <c r="E389" s="70"/>
      <c r="F389" s="68"/>
      <c r="G389" s="68"/>
      <c r="H389" s="68"/>
      <c r="I389" s="70"/>
      <c r="J389" s="68"/>
      <c r="K389" s="68"/>
      <c r="L389" s="68"/>
      <c r="M389" s="73"/>
      <c r="N389" s="70"/>
      <c r="O389" s="70"/>
      <c r="P389" s="68"/>
    </row>
    <row r="390" customFormat="false" ht="15" hidden="false" customHeight="false" outlineLevel="0" collapsed="false">
      <c r="A390" s="67"/>
      <c r="B390" s="68"/>
      <c r="C390" s="70"/>
      <c r="D390" s="68"/>
      <c r="E390" s="70"/>
      <c r="F390" s="68"/>
      <c r="G390" s="68"/>
      <c r="H390" s="68"/>
      <c r="I390" s="70"/>
      <c r="J390" s="68"/>
      <c r="K390" s="68"/>
      <c r="L390" s="68"/>
      <c r="M390" s="73"/>
      <c r="N390" s="70"/>
      <c r="O390" s="70"/>
      <c r="P390" s="68"/>
    </row>
    <row r="391" customFormat="false" ht="15" hidden="false" customHeight="false" outlineLevel="0" collapsed="false">
      <c r="A391" s="67"/>
      <c r="B391" s="68"/>
      <c r="C391" s="70"/>
      <c r="D391" s="68"/>
      <c r="E391" s="70"/>
      <c r="F391" s="68"/>
      <c r="G391" s="68"/>
      <c r="H391" s="68"/>
      <c r="I391" s="70"/>
      <c r="J391" s="68"/>
      <c r="K391" s="68"/>
      <c r="L391" s="68"/>
      <c r="M391" s="73"/>
      <c r="N391" s="70"/>
      <c r="O391" s="70"/>
      <c r="P391" s="68"/>
    </row>
    <row r="392" customFormat="false" ht="15" hidden="false" customHeight="false" outlineLevel="0" collapsed="false">
      <c r="A392" s="67"/>
      <c r="B392" s="68"/>
      <c r="C392" s="70"/>
      <c r="D392" s="68"/>
      <c r="E392" s="70"/>
      <c r="F392" s="68"/>
      <c r="G392" s="68"/>
      <c r="H392" s="68"/>
      <c r="I392" s="70"/>
      <c r="J392" s="68"/>
      <c r="K392" s="68"/>
      <c r="L392" s="68"/>
      <c r="M392" s="73"/>
      <c r="N392" s="70"/>
      <c r="O392" s="70"/>
      <c r="P392" s="68"/>
    </row>
    <row r="393" customFormat="false" ht="15" hidden="false" customHeight="false" outlineLevel="0" collapsed="false">
      <c r="A393" s="67"/>
      <c r="B393" s="68"/>
      <c r="C393" s="70"/>
      <c r="D393" s="68"/>
      <c r="E393" s="70"/>
      <c r="F393" s="68"/>
      <c r="G393" s="68"/>
      <c r="H393" s="68"/>
      <c r="I393" s="70"/>
      <c r="J393" s="68"/>
      <c r="K393" s="68"/>
      <c r="L393" s="68"/>
      <c r="M393" s="73"/>
      <c r="N393" s="70"/>
      <c r="O393" s="70"/>
      <c r="P393" s="68"/>
    </row>
    <row r="394" customFormat="false" ht="15" hidden="false" customHeight="false" outlineLevel="0" collapsed="false">
      <c r="A394" s="67"/>
      <c r="B394" s="68"/>
      <c r="C394" s="70"/>
      <c r="D394" s="68"/>
      <c r="E394" s="70"/>
      <c r="F394" s="68"/>
      <c r="G394" s="68"/>
      <c r="H394" s="68"/>
      <c r="I394" s="70"/>
      <c r="J394" s="68"/>
      <c r="K394" s="68"/>
      <c r="L394" s="68"/>
      <c r="M394" s="73"/>
      <c r="N394" s="70"/>
      <c r="O394" s="70"/>
      <c r="P394" s="68"/>
    </row>
    <row r="395" customFormat="false" ht="15" hidden="false" customHeight="false" outlineLevel="0" collapsed="false">
      <c r="A395" s="67"/>
      <c r="B395" s="68"/>
      <c r="C395" s="70"/>
      <c r="D395" s="68"/>
      <c r="E395" s="70"/>
      <c r="F395" s="68"/>
      <c r="G395" s="68"/>
      <c r="H395" s="68"/>
      <c r="I395" s="70"/>
      <c r="J395" s="68"/>
      <c r="K395" s="68"/>
      <c r="L395" s="68"/>
      <c r="M395" s="73"/>
      <c r="N395" s="70"/>
      <c r="O395" s="70"/>
      <c r="P395" s="68"/>
    </row>
    <row r="396" customFormat="false" ht="15" hidden="false" customHeight="false" outlineLevel="0" collapsed="false">
      <c r="A396" s="67"/>
      <c r="B396" s="68"/>
      <c r="C396" s="70"/>
      <c r="D396" s="68"/>
      <c r="E396" s="70"/>
      <c r="F396" s="68"/>
      <c r="G396" s="68"/>
      <c r="H396" s="68"/>
      <c r="I396" s="70"/>
      <c r="J396" s="68"/>
      <c r="K396" s="68"/>
      <c r="L396" s="68"/>
      <c r="M396" s="73"/>
      <c r="N396" s="70"/>
      <c r="O396" s="70"/>
      <c r="P396" s="68"/>
    </row>
    <row r="397" customFormat="false" ht="15" hidden="false" customHeight="false" outlineLevel="0" collapsed="false">
      <c r="A397" s="67"/>
      <c r="B397" s="68"/>
      <c r="C397" s="70"/>
      <c r="D397" s="68"/>
      <c r="E397" s="70"/>
      <c r="F397" s="68"/>
      <c r="G397" s="68"/>
      <c r="H397" s="68"/>
      <c r="I397" s="70"/>
      <c r="J397" s="68"/>
      <c r="K397" s="68"/>
      <c r="L397" s="68"/>
      <c r="M397" s="73"/>
      <c r="N397" s="70"/>
      <c r="O397" s="70"/>
      <c r="P397" s="68"/>
    </row>
    <row r="398" customFormat="false" ht="15" hidden="false" customHeight="false" outlineLevel="0" collapsed="false">
      <c r="A398" s="67"/>
      <c r="B398" s="68"/>
      <c r="C398" s="70"/>
      <c r="D398" s="68"/>
      <c r="E398" s="70"/>
      <c r="F398" s="68"/>
      <c r="G398" s="68"/>
      <c r="H398" s="68"/>
      <c r="I398" s="70"/>
      <c r="J398" s="68"/>
      <c r="K398" s="68"/>
      <c r="L398" s="68"/>
      <c r="M398" s="73"/>
      <c r="N398" s="70"/>
      <c r="O398" s="70"/>
      <c r="P398" s="68"/>
    </row>
    <row r="399" customFormat="false" ht="15" hidden="false" customHeight="false" outlineLevel="0" collapsed="false">
      <c r="A399" s="67"/>
      <c r="B399" s="68"/>
      <c r="C399" s="70"/>
      <c r="D399" s="68"/>
      <c r="E399" s="70"/>
      <c r="F399" s="68"/>
      <c r="G399" s="68"/>
      <c r="H399" s="68"/>
      <c r="I399" s="70"/>
      <c r="J399" s="68"/>
      <c r="K399" s="68"/>
      <c r="L399" s="68"/>
      <c r="M399" s="73"/>
      <c r="N399" s="70"/>
      <c r="O399" s="70"/>
      <c r="P399" s="68"/>
    </row>
    <row r="400" customFormat="false" ht="15" hidden="false" customHeight="false" outlineLevel="0" collapsed="false">
      <c r="A400" s="67"/>
      <c r="B400" s="68"/>
      <c r="C400" s="70"/>
      <c r="D400" s="68"/>
      <c r="E400" s="70"/>
      <c r="F400" s="68"/>
      <c r="G400" s="68"/>
      <c r="H400" s="68"/>
      <c r="I400" s="70"/>
      <c r="J400" s="68"/>
      <c r="K400" s="68"/>
      <c r="L400" s="68"/>
      <c r="M400" s="73"/>
      <c r="N400" s="70"/>
      <c r="O400" s="70"/>
      <c r="P400" s="68"/>
    </row>
    <row r="401" customFormat="false" ht="15" hidden="false" customHeight="false" outlineLevel="0" collapsed="false">
      <c r="A401" s="67"/>
      <c r="B401" s="68"/>
      <c r="C401" s="70"/>
      <c r="D401" s="68"/>
      <c r="E401" s="70"/>
      <c r="F401" s="68"/>
      <c r="G401" s="68"/>
      <c r="H401" s="68"/>
      <c r="I401" s="70"/>
      <c r="J401" s="68"/>
      <c r="K401" s="68"/>
      <c r="L401" s="68"/>
      <c r="M401" s="73"/>
      <c r="N401" s="70"/>
      <c r="O401" s="70"/>
      <c r="P401" s="68"/>
    </row>
    <row r="402" customFormat="false" ht="15" hidden="false" customHeight="false" outlineLevel="0" collapsed="false">
      <c r="A402" s="67"/>
      <c r="B402" s="68"/>
      <c r="C402" s="70"/>
      <c r="D402" s="68"/>
      <c r="E402" s="70"/>
      <c r="F402" s="68"/>
      <c r="G402" s="68"/>
      <c r="H402" s="68"/>
      <c r="I402" s="70"/>
      <c r="J402" s="68"/>
      <c r="K402" s="68"/>
      <c r="L402" s="68"/>
      <c r="M402" s="73"/>
      <c r="N402" s="70"/>
      <c r="O402" s="70"/>
      <c r="P402" s="68"/>
    </row>
    <row r="403" customFormat="false" ht="15" hidden="false" customHeight="false" outlineLevel="0" collapsed="false">
      <c r="A403" s="67"/>
      <c r="B403" s="68"/>
      <c r="C403" s="70"/>
      <c r="D403" s="68"/>
      <c r="E403" s="70"/>
      <c r="F403" s="68"/>
      <c r="G403" s="68"/>
      <c r="H403" s="68"/>
      <c r="I403" s="70"/>
      <c r="J403" s="68"/>
      <c r="K403" s="68"/>
      <c r="L403" s="68"/>
      <c r="M403" s="73"/>
      <c r="N403" s="70"/>
      <c r="O403" s="70"/>
      <c r="P403" s="68"/>
    </row>
    <row r="404" customFormat="false" ht="15" hidden="false" customHeight="false" outlineLevel="0" collapsed="false">
      <c r="A404" s="67"/>
      <c r="B404" s="68"/>
      <c r="C404" s="70"/>
      <c r="D404" s="68"/>
      <c r="E404" s="70"/>
      <c r="F404" s="68"/>
      <c r="G404" s="68"/>
      <c r="H404" s="68"/>
      <c r="I404" s="70"/>
      <c r="J404" s="68"/>
      <c r="K404" s="68"/>
      <c r="L404" s="68"/>
      <c r="M404" s="73"/>
      <c r="N404" s="70"/>
      <c r="O404" s="70"/>
      <c r="P404" s="68"/>
    </row>
    <row r="405" customFormat="false" ht="15" hidden="false" customHeight="false" outlineLevel="0" collapsed="false">
      <c r="A405" s="67"/>
      <c r="B405" s="68"/>
      <c r="C405" s="70"/>
      <c r="D405" s="68"/>
      <c r="E405" s="70"/>
      <c r="F405" s="68"/>
      <c r="G405" s="68"/>
      <c r="H405" s="68"/>
      <c r="I405" s="70"/>
      <c r="J405" s="68"/>
      <c r="K405" s="68"/>
      <c r="L405" s="68"/>
      <c r="M405" s="73"/>
      <c r="N405" s="70"/>
      <c r="O405" s="70"/>
      <c r="P405" s="68"/>
    </row>
    <row r="406" customFormat="false" ht="15" hidden="false" customHeight="false" outlineLevel="0" collapsed="false">
      <c r="A406" s="67"/>
      <c r="B406" s="68"/>
      <c r="C406" s="70"/>
      <c r="D406" s="68"/>
      <c r="E406" s="70"/>
      <c r="F406" s="68"/>
      <c r="G406" s="68"/>
      <c r="H406" s="68"/>
      <c r="I406" s="70"/>
      <c r="J406" s="68"/>
      <c r="K406" s="68"/>
      <c r="L406" s="68"/>
      <c r="M406" s="73"/>
      <c r="N406" s="70"/>
      <c r="O406" s="70"/>
      <c r="P406" s="68"/>
    </row>
    <row r="407" customFormat="false" ht="15" hidden="false" customHeight="false" outlineLevel="0" collapsed="false">
      <c r="A407" s="67"/>
      <c r="B407" s="68"/>
      <c r="C407" s="70"/>
      <c r="D407" s="68"/>
      <c r="E407" s="70"/>
      <c r="F407" s="68"/>
      <c r="G407" s="68"/>
      <c r="H407" s="68"/>
      <c r="I407" s="70"/>
      <c r="J407" s="68"/>
      <c r="K407" s="68"/>
      <c r="L407" s="68"/>
      <c r="M407" s="73"/>
      <c r="N407" s="70"/>
      <c r="O407" s="70"/>
      <c r="P407" s="68"/>
    </row>
    <row r="408" customFormat="false" ht="15" hidden="false" customHeight="false" outlineLevel="0" collapsed="false">
      <c r="A408" s="67"/>
      <c r="B408" s="68"/>
      <c r="C408" s="70"/>
      <c r="D408" s="68"/>
      <c r="E408" s="70"/>
      <c r="F408" s="68"/>
      <c r="G408" s="68"/>
      <c r="H408" s="68"/>
      <c r="I408" s="70"/>
      <c r="J408" s="68"/>
      <c r="K408" s="68"/>
      <c r="L408" s="68"/>
      <c r="M408" s="73"/>
      <c r="N408" s="70"/>
      <c r="O408" s="70"/>
      <c r="P408" s="68"/>
    </row>
    <row r="409" customFormat="false" ht="15" hidden="false" customHeight="false" outlineLevel="0" collapsed="false">
      <c r="A409" s="67"/>
      <c r="B409" s="68"/>
      <c r="C409" s="70"/>
      <c r="D409" s="68"/>
      <c r="E409" s="70"/>
      <c r="F409" s="68"/>
      <c r="G409" s="68"/>
      <c r="H409" s="68"/>
      <c r="I409" s="70"/>
      <c r="J409" s="68"/>
      <c r="K409" s="68"/>
      <c r="L409" s="68"/>
      <c r="M409" s="73"/>
      <c r="N409" s="70"/>
      <c r="O409" s="70"/>
      <c r="P409" s="68"/>
    </row>
    <row r="410" customFormat="false" ht="15" hidden="false" customHeight="false" outlineLevel="0" collapsed="false">
      <c r="A410" s="67"/>
      <c r="B410" s="68"/>
      <c r="C410" s="70"/>
      <c r="D410" s="68"/>
      <c r="E410" s="70"/>
      <c r="F410" s="68"/>
      <c r="G410" s="68"/>
      <c r="H410" s="68"/>
      <c r="I410" s="70"/>
      <c r="J410" s="68"/>
      <c r="K410" s="68"/>
      <c r="L410" s="68"/>
      <c r="M410" s="73"/>
      <c r="N410" s="70"/>
      <c r="O410" s="70"/>
      <c r="P410" s="68"/>
    </row>
    <row r="411" customFormat="false" ht="15" hidden="false" customHeight="false" outlineLevel="0" collapsed="false">
      <c r="A411" s="67"/>
      <c r="B411" s="68"/>
      <c r="C411" s="70"/>
      <c r="D411" s="68"/>
      <c r="E411" s="70"/>
      <c r="F411" s="68"/>
      <c r="G411" s="68"/>
      <c r="H411" s="68"/>
      <c r="I411" s="70"/>
      <c r="J411" s="68"/>
      <c r="K411" s="68"/>
      <c r="L411" s="68"/>
      <c r="M411" s="73"/>
      <c r="N411" s="70"/>
      <c r="O411" s="70"/>
      <c r="P411" s="68"/>
    </row>
    <row r="412" customFormat="false" ht="15" hidden="false" customHeight="false" outlineLevel="0" collapsed="false">
      <c r="A412" s="67"/>
      <c r="B412" s="68"/>
      <c r="C412" s="70"/>
      <c r="D412" s="68"/>
      <c r="E412" s="70"/>
      <c r="F412" s="68"/>
      <c r="G412" s="68"/>
      <c r="H412" s="68"/>
      <c r="I412" s="70"/>
      <c r="J412" s="68"/>
      <c r="K412" s="68"/>
      <c r="L412" s="68"/>
      <c r="M412" s="73"/>
      <c r="N412" s="70"/>
      <c r="O412" s="70"/>
      <c r="P412" s="68"/>
    </row>
    <row r="413" customFormat="false" ht="15" hidden="false" customHeight="false" outlineLevel="0" collapsed="false">
      <c r="A413" s="67"/>
      <c r="B413" s="68"/>
      <c r="C413" s="70"/>
      <c r="D413" s="68"/>
      <c r="E413" s="70"/>
      <c r="F413" s="68"/>
      <c r="G413" s="68"/>
      <c r="H413" s="68"/>
      <c r="I413" s="70"/>
      <c r="J413" s="68"/>
      <c r="K413" s="68"/>
      <c r="L413" s="68"/>
      <c r="M413" s="73"/>
      <c r="N413" s="70"/>
      <c r="O413" s="70"/>
      <c r="P413" s="68"/>
    </row>
    <row r="414" customFormat="false" ht="15" hidden="false" customHeight="false" outlineLevel="0" collapsed="false">
      <c r="A414" s="67"/>
      <c r="B414" s="68"/>
      <c r="C414" s="70"/>
      <c r="D414" s="68"/>
      <c r="E414" s="70"/>
      <c r="F414" s="68"/>
      <c r="G414" s="68"/>
      <c r="H414" s="68"/>
      <c r="I414" s="70"/>
      <c r="J414" s="68"/>
      <c r="K414" s="68"/>
      <c r="L414" s="68"/>
      <c r="M414" s="73"/>
      <c r="N414" s="70"/>
      <c r="O414" s="70"/>
      <c r="P414" s="68"/>
    </row>
    <row r="415" customFormat="false" ht="15" hidden="false" customHeight="false" outlineLevel="0" collapsed="false">
      <c r="A415" s="67"/>
      <c r="B415" s="68"/>
      <c r="C415" s="70"/>
      <c r="D415" s="68"/>
      <c r="E415" s="70"/>
      <c r="F415" s="68"/>
      <c r="G415" s="68"/>
      <c r="H415" s="68"/>
      <c r="I415" s="70"/>
      <c r="J415" s="68"/>
      <c r="K415" s="68"/>
      <c r="L415" s="68"/>
      <c r="M415" s="73"/>
      <c r="N415" s="70"/>
      <c r="O415" s="70"/>
      <c r="P415" s="68"/>
    </row>
    <row r="416" customFormat="false" ht="15" hidden="false" customHeight="false" outlineLevel="0" collapsed="false">
      <c r="A416" s="67"/>
      <c r="B416" s="68"/>
      <c r="C416" s="70"/>
      <c r="D416" s="68"/>
      <c r="E416" s="70"/>
      <c r="F416" s="68"/>
      <c r="G416" s="68"/>
      <c r="H416" s="68"/>
      <c r="I416" s="70"/>
      <c r="J416" s="68"/>
      <c r="K416" s="68"/>
      <c r="L416" s="68"/>
      <c r="M416" s="73"/>
      <c r="N416" s="70"/>
      <c r="O416" s="70"/>
      <c r="P416" s="68"/>
    </row>
    <row r="417" customFormat="false" ht="15" hidden="false" customHeight="false" outlineLevel="0" collapsed="false">
      <c r="A417" s="67"/>
      <c r="B417" s="68"/>
      <c r="C417" s="70"/>
      <c r="D417" s="68"/>
      <c r="E417" s="70"/>
      <c r="F417" s="68"/>
      <c r="G417" s="68"/>
      <c r="H417" s="68"/>
      <c r="I417" s="70"/>
      <c r="J417" s="68"/>
      <c r="K417" s="68"/>
      <c r="L417" s="68"/>
      <c r="M417" s="73"/>
      <c r="N417" s="70"/>
      <c r="O417" s="70"/>
      <c r="P417" s="68"/>
    </row>
    <row r="418" customFormat="false" ht="15" hidden="false" customHeight="false" outlineLevel="0" collapsed="false">
      <c r="A418" s="67"/>
      <c r="B418" s="68"/>
      <c r="C418" s="70"/>
      <c r="D418" s="68"/>
      <c r="E418" s="70"/>
      <c r="F418" s="68"/>
      <c r="G418" s="68"/>
      <c r="H418" s="68"/>
      <c r="I418" s="70"/>
      <c r="J418" s="68"/>
      <c r="K418" s="68"/>
      <c r="L418" s="68"/>
      <c r="M418" s="73"/>
      <c r="N418" s="70"/>
      <c r="O418" s="70"/>
      <c r="P418" s="68"/>
    </row>
    <row r="419" customFormat="false" ht="15" hidden="false" customHeight="false" outlineLevel="0" collapsed="false">
      <c r="A419" s="67"/>
      <c r="B419" s="68"/>
      <c r="C419" s="70"/>
      <c r="D419" s="68"/>
      <c r="E419" s="70"/>
      <c r="F419" s="68"/>
      <c r="G419" s="68"/>
      <c r="H419" s="68"/>
      <c r="I419" s="70"/>
      <c r="J419" s="68"/>
      <c r="K419" s="68"/>
      <c r="L419" s="68"/>
      <c r="M419" s="73"/>
      <c r="N419" s="70"/>
      <c r="O419" s="70"/>
      <c r="P419" s="68"/>
    </row>
    <row r="420" customFormat="false" ht="15" hidden="false" customHeight="false" outlineLevel="0" collapsed="false">
      <c r="A420" s="67"/>
      <c r="B420" s="68"/>
      <c r="C420" s="70"/>
      <c r="D420" s="68"/>
      <c r="E420" s="70"/>
      <c r="F420" s="68"/>
      <c r="G420" s="68"/>
      <c r="H420" s="68"/>
      <c r="I420" s="70"/>
      <c r="J420" s="68"/>
      <c r="K420" s="68"/>
      <c r="L420" s="68"/>
      <c r="M420" s="73"/>
      <c r="N420" s="70"/>
      <c r="O420" s="70"/>
      <c r="P420" s="68"/>
    </row>
    <row r="421" customFormat="false" ht="15" hidden="false" customHeight="false" outlineLevel="0" collapsed="false">
      <c r="A421" s="67"/>
      <c r="B421" s="68"/>
      <c r="C421" s="70"/>
      <c r="D421" s="68"/>
      <c r="E421" s="70"/>
      <c r="F421" s="68"/>
      <c r="G421" s="68"/>
      <c r="H421" s="68"/>
      <c r="I421" s="70"/>
      <c r="J421" s="68"/>
      <c r="K421" s="68"/>
      <c r="L421" s="68"/>
      <c r="M421" s="73"/>
      <c r="N421" s="70"/>
      <c r="O421" s="70"/>
      <c r="P421" s="68"/>
    </row>
    <row r="422" customFormat="false" ht="15" hidden="false" customHeight="false" outlineLevel="0" collapsed="false">
      <c r="A422" s="67"/>
      <c r="B422" s="68"/>
      <c r="C422" s="70"/>
      <c r="D422" s="68"/>
      <c r="E422" s="70"/>
      <c r="F422" s="68"/>
      <c r="G422" s="68"/>
      <c r="H422" s="68"/>
      <c r="I422" s="70"/>
      <c r="J422" s="68"/>
      <c r="K422" s="68"/>
      <c r="L422" s="68"/>
      <c r="M422" s="73"/>
      <c r="N422" s="70"/>
      <c r="O422" s="70"/>
      <c r="P422" s="68"/>
    </row>
    <row r="423" customFormat="false" ht="15" hidden="false" customHeight="false" outlineLevel="0" collapsed="false">
      <c r="A423" s="67"/>
      <c r="B423" s="68"/>
      <c r="C423" s="70"/>
      <c r="D423" s="68"/>
      <c r="E423" s="70"/>
      <c r="F423" s="68"/>
      <c r="G423" s="68"/>
      <c r="H423" s="68"/>
      <c r="I423" s="70"/>
      <c r="J423" s="68"/>
      <c r="K423" s="68"/>
      <c r="L423" s="68"/>
      <c r="M423" s="73"/>
      <c r="N423" s="70"/>
      <c r="O423" s="70"/>
      <c r="P423" s="68"/>
    </row>
    <row r="424" customFormat="false" ht="15" hidden="false" customHeight="false" outlineLevel="0" collapsed="false">
      <c r="A424" s="67"/>
      <c r="B424" s="68"/>
      <c r="C424" s="70"/>
      <c r="D424" s="68"/>
      <c r="E424" s="70"/>
      <c r="F424" s="68"/>
      <c r="G424" s="68"/>
      <c r="H424" s="68"/>
      <c r="I424" s="70"/>
      <c r="J424" s="68"/>
      <c r="K424" s="68"/>
      <c r="L424" s="68"/>
      <c r="M424" s="73"/>
      <c r="N424" s="70"/>
      <c r="O424" s="70"/>
      <c r="P424" s="68"/>
    </row>
    <row r="425" customFormat="false" ht="15" hidden="false" customHeight="false" outlineLevel="0" collapsed="false">
      <c r="A425" s="67"/>
      <c r="B425" s="68"/>
      <c r="C425" s="70"/>
      <c r="D425" s="68"/>
      <c r="E425" s="70"/>
      <c r="F425" s="68"/>
      <c r="G425" s="68"/>
      <c r="H425" s="68"/>
      <c r="I425" s="70"/>
      <c r="J425" s="68"/>
      <c r="K425" s="68"/>
      <c r="L425" s="68"/>
      <c r="M425" s="73"/>
      <c r="N425" s="70"/>
      <c r="O425" s="70"/>
      <c r="P425" s="68"/>
    </row>
    <row r="426" customFormat="false" ht="15" hidden="false" customHeight="false" outlineLevel="0" collapsed="false">
      <c r="A426" s="67"/>
      <c r="B426" s="68"/>
      <c r="C426" s="70"/>
      <c r="D426" s="68"/>
      <c r="E426" s="70"/>
      <c r="F426" s="68"/>
      <c r="G426" s="68"/>
      <c r="H426" s="68"/>
      <c r="I426" s="70"/>
      <c r="J426" s="68"/>
      <c r="K426" s="68"/>
      <c r="L426" s="68"/>
      <c r="M426" s="73"/>
      <c r="N426" s="70"/>
      <c r="O426" s="70"/>
      <c r="P426" s="68"/>
    </row>
    <row r="427" customFormat="false" ht="15" hidden="false" customHeight="false" outlineLevel="0" collapsed="false">
      <c r="A427" s="67"/>
      <c r="B427" s="68"/>
      <c r="C427" s="70"/>
      <c r="D427" s="68"/>
      <c r="E427" s="70"/>
      <c r="F427" s="68"/>
      <c r="G427" s="68"/>
      <c r="H427" s="68"/>
      <c r="I427" s="70"/>
      <c r="J427" s="68"/>
      <c r="K427" s="68"/>
      <c r="L427" s="68"/>
      <c r="M427" s="73"/>
      <c r="N427" s="70"/>
      <c r="O427" s="70"/>
      <c r="P427" s="68"/>
    </row>
    <row r="428" customFormat="false" ht="15" hidden="false" customHeight="false" outlineLevel="0" collapsed="false">
      <c r="A428" s="67"/>
      <c r="B428" s="68"/>
      <c r="C428" s="70"/>
      <c r="D428" s="68"/>
      <c r="E428" s="70"/>
      <c r="F428" s="68"/>
      <c r="G428" s="68"/>
      <c r="H428" s="68"/>
      <c r="I428" s="70"/>
      <c r="J428" s="68"/>
      <c r="K428" s="68"/>
      <c r="L428" s="68"/>
      <c r="M428" s="73"/>
      <c r="N428" s="70"/>
      <c r="O428" s="70"/>
      <c r="P428" s="68"/>
    </row>
    <row r="429" customFormat="false" ht="15" hidden="false" customHeight="false" outlineLevel="0" collapsed="false">
      <c r="A429" s="67"/>
      <c r="B429" s="68"/>
      <c r="C429" s="70"/>
      <c r="D429" s="68"/>
      <c r="E429" s="70"/>
      <c r="F429" s="68"/>
      <c r="G429" s="68"/>
      <c r="H429" s="68"/>
      <c r="I429" s="70"/>
      <c r="J429" s="68"/>
      <c r="K429" s="68"/>
      <c r="L429" s="68"/>
      <c r="M429" s="73"/>
      <c r="N429" s="70"/>
      <c r="O429" s="70"/>
      <c r="P429" s="68"/>
    </row>
    <row r="430" customFormat="false" ht="15" hidden="false" customHeight="false" outlineLevel="0" collapsed="false">
      <c r="A430" s="67"/>
      <c r="B430" s="68"/>
      <c r="C430" s="70"/>
      <c r="D430" s="68"/>
      <c r="E430" s="70"/>
      <c r="F430" s="68"/>
      <c r="G430" s="68"/>
      <c r="H430" s="68"/>
      <c r="I430" s="70"/>
      <c r="J430" s="68"/>
      <c r="K430" s="68"/>
      <c r="L430" s="68"/>
      <c r="M430" s="73"/>
      <c r="N430" s="70"/>
      <c r="O430" s="70"/>
      <c r="P430" s="68"/>
    </row>
    <row r="431" customFormat="false" ht="15" hidden="false" customHeight="false" outlineLevel="0" collapsed="false">
      <c r="A431" s="67"/>
      <c r="B431" s="68"/>
      <c r="C431" s="70"/>
      <c r="D431" s="68"/>
      <c r="E431" s="70"/>
      <c r="F431" s="68"/>
      <c r="G431" s="68"/>
      <c r="H431" s="68"/>
      <c r="I431" s="70"/>
      <c r="J431" s="68"/>
      <c r="K431" s="68"/>
      <c r="L431" s="68"/>
      <c r="M431" s="73"/>
      <c r="N431" s="70"/>
      <c r="O431" s="70"/>
      <c r="P431" s="68"/>
    </row>
    <row r="432" customFormat="false" ht="15" hidden="false" customHeight="false" outlineLevel="0" collapsed="false">
      <c r="A432" s="67"/>
      <c r="B432" s="68"/>
      <c r="C432" s="70"/>
      <c r="D432" s="68"/>
      <c r="E432" s="70"/>
      <c r="F432" s="68"/>
      <c r="G432" s="68"/>
      <c r="H432" s="68"/>
      <c r="I432" s="70"/>
      <c r="J432" s="68"/>
      <c r="K432" s="68"/>
      <c r="L432" s="68"/>
      <c r="M432" s="73"/>
      <c r="N432" s="70"/>
      <c r="O432" s="70"/>
      <c r="P432" s="68"/>
    </row>
    <row r="433" customFormat="false" ht="15" hidden="false" customHeight="false" outlineLevel="0" collapsed="false">
      <c r="A433" s="67"/>
      <c r="B433" s="68"/>
      <c r="C433" s="70"/>
      <c r="D433" s="68"/>
      <c r="E433" s="70"/>
      <c r="F433" s="68"/>
      <c r="G433" s="68"/>
      <c r="H433" s="68"/>
      <c r="I433" s="70"/>
      <c r="J433" s="68"/>
      <c r="K433" s="68"/>
      <c r="L433" s="68"/>
      <c r="M433" s="73"/>
      <c r="N433" s="70"/>
      <c r="O433" s="70"/>
      <c r="P433" s="68"/>
    </row>
    <row r="434" customFormat="false" ht="15" hidden="false" customHeight="false" outlineLevel="0" collapsed="false">
      <c r="A434" s="67"/>
      <c r="B434" s="68"/>
      <c r="C434" s="70"/>
      <c r="D434" s="68"/>
      <c r="E434" s="70"/>
      <c r="F434" s="68"/>
      <c r="G434" s="68"/>
      <c r="H434" s="68"/>
      <c r="I434" s="70"/>
      <c r="J434" s="68"/>
      <c r="K434" s="68"/>
      <c r="L434" s="68"/>
      <c r="M434" s="73"/>
      <c r="N434" s="70"/>
      <c r="O434" s="70"/>
      <c r="P434" s="68"/>
    </row>
    <row r="435" customFormat="false" ht="15" hidden="false" customHeight="false" outlineLevel="0" collapsed="false">
      <c r="A435" s="67"/>
      <c r="B435" s="68"/>
      <c r="C435" s="70"/>
      <c r="D435" s="68"/>
      <c r="E435" s="70"/>
      <c r="F435" s="68"/>
      <c r="G435" s="68"/>
      <c r="H435" s="68"/>
      <c r="I435" s="70"/>
      <c r="J435" s="68"/>
      <c r="K435" s="68"/>
      <c r="L435" s="68"/>
      <c r="M435" s="73"/>
      <c r="N435" s="70"/>
      <c r="O435" s="70"/>
      <c r="P435" s="68"/>
    </row>
    <row r="436" customFormat="false" ht="15" hidden="false" customHeight="false" outlineLevel="0" collapsed="false">
      <c r="A436" s="67"/>
      <c r="B436" s="68"/>
      <c r="C436" s="70"/>
      <c r="D436" s="68"/>
      <c r="E436" s="70"/>
      <c r="F436" s="68"/>
      <c r="G436" s="68"/>
      <c r="H436" s="68"/>
      <c r="I436" s="70"/>
      <c r="J436" s="68"/>
      <c r="K436" s="68"/>
      <c r="L436" s="68"/>
      <c r="M436" s="73"/>
      <c r="N436" s="70"/>
      <c r="O436" s="70"/>
      <c r="P436" s="68"/>
    </row>
    <row r="437" customFormat="false" ht="15" hidden="false" customHeight="false" outlineLevel="0" collapsed="false">
      <c r="A437" s="67"/>
      <c r="B437" s="68"/>
      <c r="C437" s="70"/>
      <c r="D437" s="68"/>
      <c r="E437" s="70"/>
      <c r="F437" s="68"/>
      <c r="G437" s="68"/>
      <c r="H437" s="68"/>
      <c r="I437" s="70"/>
      <c r="J437" s="68"/>
      <c r="K437" s="68"/>
      <c r="L437" s="68"/>
      <c r="M437" s="73"/>
      <c r="N437" s="70"/>
      <c r="O437" s="70"/>
      <c r="P437" s="68"/>
    </row>
    <row r="438" customFormat="false" ht="15" hidden="false" customHeight="false" outlineLevel="0" collapsed="false">
      <c r="A438" s="67"/>
      <c r="B438" s="68"/>
      <c r="C438" s="70"/>
      <c r="D438" s="68"/>
      <c r="E438" s="70"/>
      <c r="F438" s="68"/>
      <c r="G438" s="68"/>
      <c r="H438" s="68"/>
      <c r="I438" s="70"/>
      <c r="J438" s="68"/>
      <c r="K438" s="68"/>
      <c r="L438" s="68"/>
      <c r="M438" s="73"/>
      <c r="N438" s="70"/>
      <c r="O438" s="70"/>
      <c r="P438" s="68"/>
    </row>
    <row r="439" customFormat="false" ht="15" hidden="false" customHeight="false" outlineLevel="0" collapsed="false">
      <c r="A439" s="67"/>
      <c r="B439" s="68"/>
      <c r="C439" s="70"/>
      <c r="D439" s="68"/>
      <c r="E439" s="70"/>
      <c r="F439" s="68"/>
      <c r="G439" s="68"/>
      <c r="H439" s="68"/>
      <c r="I439" s="70"/>
      <c r="J439" s="68"/>
      <c r="K439" s="68"/>
      <c r="L439" s="68"/>
      <c r="M439" s="73"/>
      <c r="N439" s="70"/>
      <c r="O439" s="70"/>
      <c r="P439" s="68"/>
    </row>
    <row r="440" customFormat="false" ht="15" hidden="false" customHeight="false" outlineLevel="0" collapsed="false">
      <c r="A440" s="67"/>
      <c r="B440" s="68"/>
      <c r="C440" s="70"/>
      <c r="D440" s="68"/>
      <c r="E440" s="70"/>
      <c r="F440" s="68"/>
      <c r="G440" s="68"/>
      <c r="H440" s="68"/>
      <c r="I440" s="70"/>
      <c r="J440" s="68"/>
      <c r="K440" s="68"/>
      <c r="L440" s="68"/>
      <c r="M440" s="73"/>
      <c r="N440" s="70"/>
      <c r="O440" s="70"/>
      <c r="P440" s="68"/>
    </row>
    <row r="441" customFormat="false" ht="15" hidden="false" customHeight="false" outlineLevel="0" collapsed="false">
      <c r="A441" s="67"/>
      <c r="B441" s="68"/>
      <c r="C441" s="70"/>
      <c r="D441" s="68"/>
      <c r="E441" s="70"/>
      <c r="F441" s="68"/>
      <c r="G441" s="68"/>
      <c r="H441" s="68"/>
      <c r="I441" s="70"/>
      <c r="J441" s="68"/>
      <c r="K441" s="68"/>
      <c r="L441" s="68"/>
      <c r="M441" s="73"/>
      <c r="N441" s="70"/>
      <c r="O441" s="70"/>
      <c r="P441" s="68"/>
    </row>
    <row r="442" customFormat="false" ht="15" hidden="false" customHeight="false" outlineLevel="0" collapsed="false">
      <c r="A442" s="67"/>
      <c r="B442" s="68"/>
      <c r="C442" s="70"/>
      <c r="D442" s="68"/>
      <c r="E442" s="70"/>
      <c r="F442" s="68"/>
      <c r="G442" s="68"/>
      <c r="H442" s="68"/>
      <c r="I442" s="70"/>
      <c r="J442" s="68"/>
      <c r="K442" s="68"/>
      <c r="L442" s="68"/>
      <c r="M442" s="73"/>
      <c r="N442" s="70"/>
      <c r="O442" s="70"/>
      <c r="P442" s="68"/>
    </row>
    <row r="443" customFormat="false" ht="15" hidden="false" customHeight="false" outlineLevel="0" collapsed="false">
      <c r="A443" s="67"/>
      <c r="B443" s="68"/>
      <c r="C443" s="70"/>
      <c r="D443" s="68"/>
      <c r="E443" s="70"/>
      <c r="F443" s="68"/>
      <c r="G443" s="68"/>
      <c r="H443" s="68"/>
      <c r="I443" s="70"/>
      <c r="J443" s="68"/>
      <c r="K443" s="68"/>
      <c r="L443" s="68"/>
      <c r="M443" s="73"/>
      <c r="N443" s="70"/>
      <c r="O443" s="70"/>
      <c r="P443" s="68"/>
    </row>
    <row r="444" customFormat="false" ht="15" hidden="false" customHeight="false" outlineLevel="0" collapsed="false">
      <c r="A444" s="67"/>
      <c r="B444" s="68"/>
      <c r="C444" s="70"/>
      <c r="D444" s="68"/>
      <c r="E444" s="70"/>
      <c r="F444" s="68"/>
      <c r="G444" s="68"/>
      <c r="H444" s="68"/>
      <c r="I444" s="70"/>
      <c r="J444" s="68"/>
      <c r="K444" s="68"/>
      <c r="L444" s="68"/>
      <c r="M444" s="73"/>
      <c r="N444" s="70"/>
      <c r="O444" s="70"/>
      <c r="P444" s="68"/>
    </row>
    <row r="445" customFormat="false" ht="15" hidden="false" customHeight="false" outlineLevel="0" collapsed="false">
      <c r="A445" s="67"/>
      <c r="B445" s="68"/>
      <c r="C445" s="70"/>
      <c r="D445" s="68"/>
      <c r="E445" s="70"/>
      <c r="F445" s="68"/>
      <c r="G445" s="68"/>
      <c r="H445" s="68"/>
      <c r="I445" s="70"/>
      <c r="J445" s="68"/>
      <c r="K445" s="68"/>
      <c r="L445" s="68"/>
      <c r="M445" s="73"/>
      <c r="N445" s="70"/>
      <c r="O445" s="70"/>
      <c r="P445" s="68"/>
    </row>
    <row r="446" customFormat="false" ht="15" hidden="false" customHeight="false" outlineLevel="0" collapsed="false">
      <c r="A446" s="67"/>
      <c r="B446" s="68"/>
      <c r="C446" s="70"/>
      <c r="D446" s="68"/>
      <c r="E446" s="70"/>
      <c r="F446" s="68"/>
      <c r="G446" s="68"/>
      <c r="H446" s="68"/>
      <c r="I446" s="70"/>
      <c r="J446" s="68"/>
      <c r="K446" s="68"/>
      <c r="L446" s="68"/>
      <c r="M446" s="73"/>
      <c r="N446" s="70"/>
      <c r="O446" s="70"/>
      <c r="P446" s="68"/>
    </row>
    <row r="447" customFormat="false" ht="15" hidden="false" customHeight="false" outlineLevel="0" collapsed="false">
      <c r="A447" s="67"/>
      <c r="B447" s="68"/>
      <c r="C447" s="70"/>
      <c r="D447" s="68"/>
      <c r="E447" s="70"/>
      <c r="F447" s="68"/>
      <c r="G447" s="68"/>
      <c r="H447" s="68"/>
      <c r="I447" s="70"/>
      <c r="J447" s="68"/>
      <c r="K447" s="68"/>
      <c r="L447" s="68"/>
      <c r="M447" s="73"/>
      <c r="N447" s="70"/>
      <c r="O447" s="70"/>
      <c r="P447" s="68"/>
    </row>
    <row r="448" customFormat="false" ht="15" hidden="false" customHeight="false" outlineLevel="0" collapsed="false">
      <c r="A448" s="67"/>
      <c r="B448" s="68"/>
      <c r="C448" s="70"/>
      <c r="D448" s="68"/>
      <c r="E448" s="70"/>
      <c r="F448" s="68"/>
      <c r="G448" s="68"/>
      <c r="H448" s="68"/>
      <c r="I448" s="70"/>
      <c r="J448" s="68"/>
      <c r="K448" s="68"/>
      <c r="L448" s="68"/>
      <c r="M448" s="73"/>
      <c r="N448" s="70"/>
      <c r="O448" s="70"/>
      <c r="P448" s="68"/>
    </row>
    <row r="449" customFormat="false" ht="15" hidden="false" customHeight="false" outlineLevel="0" collapsed="false">
      <c r="A449" s="67"/>
      <c r="B449" s="68"/>
      <c r="C449" s="70"/>
      <c r="D449" s="68"/>
      <c r="E449" s="70"/>
      <c r="F449" s="68"/>
      <c r="G449" s="68"/>
      <c r="H449" s="68"/>
      <c r="I449" s="70"/>
      <c r="J449" s="68"/>
      <c r="K449" s="68"/>
      <c r="L449" s="68"/>
      <c r="M449" s="73"/>
      <c r="N449" s="70"/>
      <c r="O449" s="70"/>
      <c r="P449" s="68"/>
    </row>
    <row r="450" customFormat="false" ht="15" hidden="false" customHeight="false" outlineLevel="0" collapsed="false">
      <c r="A450" s="67"/>
      <c r="B450" s="68"/>
      <c r="C450" s="70"/>
      <c r="D450" s="68"/>
      <c r="E450" s="70"/>
      <c r="F450" s="68"/>
      <c r="G450" s="68"/>
      <c r="H450" s="68"/>
      <c r="I450" s="70"/>
      <c r="J450" s="68"/>
      <c r="K450" s="68"/>
      <c r="L450" s="68"/>
      <c r="M450" s="73"/>
      <c r="N450" s="70"/>
      <c r="O450" s="70"/>
      <c r="P450" s="68"/>
    </row>
    <row r="451" customFormat="false" ht="15" hidden="false" customHeight="false" outlineLevel="0" collapsed="false">
      <c r="A451" s="67"/>
      <c r="B451" s="68"/>
      <c r="C451" s="70"/>
      <c r="D451" s="68"/>
      <c r="E451" s="70"/>
      <c r="F451" s="68"/>
      <c r="G451" s="68"/>
      <c r="H451" s="68"/>
      <c r="I451" s="70"/>
      <c r="J451" s="68"/>
      <c r="K451" s="68"/>
      <c r="L451" s="68"/>
      <c r="M451" s="73"/>
      <c r="N451" s="70"/>
      <c r="O451" s="70"/>
      <c r="P451" s="68"/>
    </row>
    <row r="452" customFormat="false" ht="15" hidden="false" customHeight="false" outlineLevel="0" collapsed="false">
      <c r="A452" s="67"/>
      <c r="B452" s="68"/>
      <c r="C452" s="70"/>
      <c r="D452" s="68"/>
      <c r="E452" s="70"/>
      <c r="F452" s="68"/>
      <c r="G452" s="68"/>
      <c r="H452" s="68"/>
      <c r="I452" s="70"/>
      <c r="J452" s="68"/>
      <c r="K452" s="68"/>
      <c r="L452" s="68"/>
      <c r="M452" s="73"/>
      <c r="N452" s="70"/>
      <c r="O452" s="70"/>
      <c r="P452" s="68"/>
    </row>
    <row r="453" customFormat="false" ht="15" hidden="false" customHeight="false" outlineLevel="0" collapsed="false">
      <c r="A453" s="67"/>
      <c r="B453" s="68"/>
      <c r="C453" s="70"/>
      <c r="D453" s="68"/>
      <c r="E453" s="70"/>
      <c r="F453" s="68"/>
      <c r="G453" s="68"/>
      <c r="H453" s="68"/>
      <c r="I453" s="70"/>
      <c r="J453" s="68"/>
      <c r="K453" s="68"/>
      <c r="L453" s="68"/>
      <c r="M453" s="73"/>
      <c r="N453" s="70"/>
      <c r="O453" s="70"/>
      <c r="P453" s="68"/>
    </row>
    <row r="454" customFormat="false" ht="15" hidden="false" customHeight="false" outlineLevel="0" collapsed="false">
      <c r="A454" s="67"/>
      <c r="B454" s="68"/>
      <c r="C454" s="70"/>
      <c r="D454" s="68"/>
      <c r="E454" s="70"/>
      <c r="F454" s="68"/>
      <c r="G454" s="68"/>
      <c r="H454" s="68"/>
      <c r="I454" s="70"/>
      <c r="J454" s="68"/>
      <c r="K454" s="68"/>
      <c r="L454" s="68"/>
      <c r="M454" s="73"/>
      <c r="N454" s="70"/>
      <c r="O454" s="70"/>
      <c r="P454" s="68"/>
    </row>
    <row r="455" customFormat="false" ht="15" hidden="false" customHeight="false" outlineLevel="0" collapsed="false">
      <c r="A455" s="67"/>
      <c r="B455" s="68"/>
      <c r="C455" s="70"/>
      <c r="D455" s="68"/>
      <c r="E455" s="70"/>
      <c r="F455" s="68"/>
      <c r="G455" s="68"/>
      <c r="H455" s="68"/>
      <c r="I455" s="70"/>
      <c r="J455" s="68"/>
      <c r="K455" s="68"/>
      <c r="L455" s="68"/>
      <c r="M455" s="73"/>
      <c r="N455" s="70"/>
      <c r="O455" s="70"/>
      <c r="P455" s="68"/>
    </row>
    <row r="456" customFormat="false" ht="15" hidden="false" customHeight="false" outlineLevel="0" collapsed="false">
      <c r="A456" s="67"/>
      <c r="B456" s="68"/>
      <c r="C456" s="70"/>
      <c r="D456" s="68"/>
      <c r="E456" s="70"/>
      <c r="F456" s="68"/>
      <c r="G456" s="68"/>
      <c r="H456" s="68"/>
      <c r="I456" s="70"/>
      <c r="J456" s="68"/>
      <c r="K456" s="68"/>
      <c r="L456" s="68"/>
      <c r="M456" s="73"/>
      <c r="N456" s="70"/>
      <c r="O456" s="70"/>
      <c r="P456" s="68"/>
    </row>
    <row r="457" customFormat="false" ht="15" hidden="false" customHeight="false" outlineLevel="0" collapsed="false">
      <c r="A457" s="67"/>
      <c r="B457" s="68"/>
      <c r="C457" s="70"/>
      <c r="D457" s="68"/>
      <c r="E457" s="70"/>
      <c r="F457" s="68"/>
      <c r="G457" s="68"/>
      <c r="H457" s="68"/>
      <c r="I457" s="70"/>
      <c r="J457" s="68"/>
      <c r="K457" s="68"/>
      <c r="L457" s="68"/>
      <c r="M457" s="73"/>
      <c r="N457" s="70"/>
      <c r="O457" s="70"/>
      <c r="P457" s="68"/>
    </row>
    <row r="458" customFormat="false" ht="15" hidden="false" customHeight="false" outlineLevel="0" collapsed="false">
      <c r="A458" s="67"/>
      <c r="B458" s="68"/>
      <c r="C458" s="70"/>
      <c r="D458" s="68"/>
      <c r="E458" s="70"/>
      <c r="F458" s="68"/>
      <c r="G458" s="68"/>
      <c r="H458" s="68"/>
      <c r="I458" s="70"/>
      <c r="J458" s="68"/>
      <c r="K458" s="68"/>
      <c r="L458" s="68"/>
      <c r="M458" s="73"/>
      <c r="N458" s="70"/>
      <c r="O458" s="70"/>
      <c r="P458" s="68"/>
    </row>
    <row r="459" customFormat="false" ht="15" hidden="false" customHeight="false" outlineLevel="0" collapsed="false">
      <c r="A459" s="67"/>
      <c r="B459" s="68"/>
      <c r="C459" s="70"/>
      <c r="D459" s="68"/>
      <c r="E459" s="70"/>
      <c r="F459" s="68"/>
      <c r="G459" s="68"/>
      <c r="H459" s="68"/>
      <c r="I459" s="70"/>
      <c r="J459" s="68"/>
      <c r="K459" s="68"/>
      <c r="L459" s="68"/>
      <c r="M459" s="73"/>
      <c r="N459" s="70"/>
      <c r="O459" s="70"/>
      <c r="P459" s="68"/>
    </row>
    <row r="460" customFormat="false" ht="15" hidden="false" customHeight="false" outlineLevel="0" collapsed="false">
      <c r="A460" s="67"/>
      <c r="B460" s="68"/>
      <c r="C460" s="70"/>
      <c r="D460" s="68"/>
      <c r="E460" s="70"/>
      <c r="F460" s="68"/>
      <c r="G460" s="68"/>
      <c r="H460" s="68"/>
      <c r="I460" s="70"/>
      <c r="J460" s="68"/>
      <c r="K460" s="68"/>
      <c r="L460" s="68"/>
      <c r="M460" s="73"/>
      <c r="N460" s="70"/>
      <c r="O460" s="70"/>
      <c r="P460" s="68"/>
    </row>
    <row r="461" customFormat="false" ht="15" hidden="false" customHeight="false" outlineLevel="0" collapsed="false">
      <c r="A461" s="67"/>
      <c r="B461" s="68"/>
      <c r="C461" s="70"/>
      <c r="D461" s="68"/>
      <c r="E461" s="70"/>
      <c r="F461" s="68"/>
      <c r="G461" s="68"/>
      <c r="H461" s="68"/>
      <c r="I461" s="70"/>
      <c r="J461" s="68"/>
      <c r="K461" s="68"/>
      <c r="L461" s="68"/>
      <c r="M461" s="73"/>
      <c r="N461" s="70"/>
      <c r="O461" s="70"/>
      <c r="P461" s="68"/>
    </row>
    <row r="462" customFormat="false" ht="15" hidden="false" customHeight="false" outlineLevel="0" collapsed="false">
      <c r="A462" s="67"/>
      <c r="B462" s="68"/>
      <c r="C462" s="70"/>
      <c r="D462" s="68"/>
      <c r="E462" s="70"/>
      <c r="F462" s="68"/>
      <c r="G462" s="68"/>
      <c r="H462" s="68"/>
      <c r="I462" s="70"/>
      <c r="J462" s="68"/>
      <c r="K462" s="68"/>
      <c r="L462" s="68"/>
      <c r="M462" s="73"/>
      <c r="N462" s="70"/>
      <c r="O462" s="70"/>
      <c r="P462" s="68"/>
    </row>
    <row r="463" customFormat="false" ht="15" hidden="false" customHeight="false" outlineLevel="0" collapsed="false">
      <c r="A463" s="67"/>
      <c r="B463" s="68"/>
      <c r="C463" s="70"/>
      <c r="D463" s="68"/>
      <c r="E463" s="70"/>
      <c r="F463" s="68"/>
      <c r="G463" s="68"/>
      <c r="H463" s="68"/>
      <c r="I463" s="70"/>
      <c r="J463" s="68"/>
      <c r="K463" s="68"/>
      <c r="L463" s="68"/>
      <c r="M463" s="73"/>
      <c r="N463" s="70"/>
      <c r="O463" s="70"/>
      <c r="P463" s="68"/>
    </row>
    <row r="464" customFormat="false" ht="15" hidden="false" customHeight="false" outlineLevel="0" collapsed="false">
      <c r="A464" s="67"/>
      <c r="B464" s="68"/>
      <c r="C464" s="70"/>
      <c r="D464" s="68"/>
      <c r="E464" s="70"/>
      <c r="F464" s="68"/>
      <c r="G464" s="68"/>
      <c r="H464" s="68"/>
      <c r="I464" s="70"/>
      <c r="J464" s="68"/>
      <c r="K464" s="68"/>
      <c r="L464" s="68"/>
      <c r="M464" s="73"/>
      <c r="N464" s="70"/>
      <c r="O464" s="70"/>
      <c r="P464" s="68"/>
    </row>
    <row r="465" customFormat="false" ht="15" hidden="false" customHeight="false" outlineLevel="0" collapsed="false">
      <c r="A465" s="67"/>
      <c r="B465" s="68"/>
      <c r="C465" s="70"/>
      <c r="D465" s="68"/>
      <c r="E465" s="70"/>
      <c r="F465" s="68"/>
      <c r="G465" s="68"/>
      <c r="H465" s="68"/>
      <c r="I465" s="70"/>
      <c r="J465" s="68"/>
      <c r="K465" s="68"/>
      <c r="L465" s="68"/>
      <c r="M465" s="73"/>
      <c r="N465" s="70"/>
      <c r="O465" s="70"/>
      <c r="P465" s="68"/>
    </row>
    <row r="466" customFormat="false" ht="15" hidden="false" customHeight="false" outlineLevel="0" collapsed="false">
      <c r="A466" s="67"/>
      <c r="B466" s="68"/>
      <c r="C466" s="70"/>
      <c r="D466" s="68"/>
      <c r="E466" s="70"/>
      <c r="F466" s="68"/>
      <c r="G466" s="68"/>
      <c r="H466" s="68"/>
      <c r="I466" s="70"/>
      <c r="J466" s="68"/>
      <c r="K466" s="68"/>
      <c r="L466" s="68"/>
      <c r="M466" s="73"/>
      <c r="N466" s="70"/>
      <c r="O466" s="70"/>
      <c r="P466" s="68"/>
    </row>
    <row r="467" customFormat="false" ht="15" hidden="false" customHeight="false" outlineLevel="0" collapsed="false">
      <c r="A467" s="67"/>
      <c r="B467" s="68"/>
      <c r="C467" s="70"/>
      <c r="D467" s="68"/>
      <c r="E467" s="70"/>
      <c r="F467" s="68"/>
      <c r="G467" s="68"/>
      <c r="H467" s="68"/>
      <c r="I467" s="70"/>
      <c r="J467" s="68"/>
      <c r="K467" s="68"/>
      <c r="L467" s="68"/>
      <c r="M467" s="73"/>
      <c r="N467" s="70"/>
      <c r="O467" s="70"/>
      <c r="P467" s="68"/>
    </row>
    <row r="468" customFormat="false" ht="15" hidden="false" customHeight="false" outlineLevel="0" collapsed="false">
      <c r="A468" s="67"/>
      <c r="B468" s="68"/>
      <c r="C468" s="70"/>
      <c r="D468" s="68"/>
      <c r="E468" s="70"/>
      <c r="F468" s="68"/>
      <c r="G468" s="68"/>
      <c r="H468" s="68"/>
      <c r="I468" s="70"/>
      <c r="J468" s="68"/>
      <c r="K468" s="68"/>
      <c r="L468" s="68"/>
      <c r="M468" s="73"/>
      <c r="N468" s="70"/>
      <c r="O468" s="70"/>
      <c r="P468" s="68"/>
    </row>
    <row r="469" customFormat="false" ht="15" hidden="false" customHeight="false" outlineLevel="0" collapsed="false">
      <c r="A469" s="67"/>
      <c r="B469" s="68"/>
      <c r="C469" s="70"/>
      <c r="D469" s="68"/>
      <c r="E469" s="70"/>
      <c r="F469" s="68"/>
      <c r="G469" s="68"/>
      <c r="H469" s="68"/>
      <c r="I469" s="70"/>
      <c r="J469" s="68"/>
      <c r="K469" s="68"/>
      <c r="L469" s="68"/>
      <c r="M469" s="73"/>
      <c r="N469" s="70"/>
      <c r="O469" s="70"/>
      <c r="P469" s="68"/>
    </row>
    <row r="470" customFormat="false" ht="15" hidden="false" customHeight="false" outlineLevel="0" collapsed="false">
      <c r="A470" s="67"/>
      <c r="B470" s="68"/>
      <c r="C470" s="70"/>
      <c r="D470" s="68"/>
      <c r="E470" s="70"/>
      <c r="F470" s="68"/>
      <c r="G470" s="68"/>
      <c r="H470" s="68"/>
      <c r="I470" s="70"/>
      <c r="J470" s="68"/>
      <c r="K470" s="68"/>
      <c r="L470" s="68"/>
      <c r="M470" s="73"/>
      <c r="N470" s="70"/>
      <c r="O470" s="70"/>
      <c r="P470" s="68"/>
    </row>
    <row r="471" customFormat="false" ht="15" hidden="false" customHeight="false" outlineLevel="0" collapsed="false">
      <c r="A471" s="67"/>
      <c r="B471" s="68"/>
      <c r="C471" s="70"/>
      <c r="D471" s="68"/>
      <c r="E471" s="70"/>
      <c r="F471" s="68"/>
      <c r="G471" s="68"/>
      <c r="H471" s="68"/>
      <c r="I471" s="70"/>
      <c r="J471" s="68"/>
      <c r="K471" s="68"/>
      <c r="L471" s="68"/>
      <c r="M471" s="73"/>
      <c r="N471" s="70"/>
      <c r="O471" s="70"/>
      <c r="P471" s="68"/>
    </row>
    <row r="472" customFormat="false" ht="15" hidden="false" customHeight="false" outlineLevel="0" collapsed="false">
      <c r="A472" s="67"/>
      <c r="B472" s="68"/>
      <c r="C472" s="70"/>
      <c r="D472" s="68"/>
      <c r="E472" s="70"/>
      <c r="F472" s="68"/>
      <c r="G472" s="68"/>
      <c r="H472" s="68"/>
      <c r="I472" s="70"/>
      <c r="J472" s="68"/>
      <c r="K472" s="68"/>
      <c r="L472" s="68"/>
      <c r="M472" s="73"/>
      <c r="N472" s="70"/>
      <c r="O472" s="70"/>
      <c r="P472" s="68"/>
    </row>
    <row r="473" customFormat="false" ht="15" hidden="false" customHeight="false" outlineLevel="0" collapsed="false">
      <c r="A473" s="67"/>
      <c r="B473" s="68"/>
      <c r="C473" s="70"/>
      <c r="D473" s="68"/>
      <c r="E473" s="70"/>
      <c r="F473" s="68"/>
      <c r="G473" s="68"/>
      <c r="H473" s="68"/>
      <c r="I473" s="70"/>
      <c r="J473" s="68"/>
      <c r="K473" s="68"/>
      <c r="L473" s="68"/>
      <c r="M473" s="73"/>
      <c r="N473" s="70"/>
      <c r="O473" s="70"/>
      <c r="P473" s="68"/>
    </row>
    <row r="474" customFormat="false" ht="15" hidden="false" customHeight="false" outlineLevel="0" collapsed="false">
      <c r="A474" s="67"/>
      <c r="B474" s="68"/>
      <c r="C474" s="70"/>
      <c r="D474" s="68"/>
      <c r="E474" s="70"/>
      <c r="F474" s="68"/>
      <c r="G474" s="68"/>
      <c r="H474" s="68"/>
      <c r="I474" s="70"/>
      <c r="J474" s="68"/>
      <c r="K474" s="68"/>
      <c r="L474" s="68"/>
      <c r="M474" s="73"/>
      <c r="N474" s="70"/>
      <c r="O474" s="70"/>
      <c r="P474" s="68"/>
    </row>
    <row r="475" customFormat="false" ht="15" hidden="false" customHeight="false" outlineLevel="0" collapsed="false">
      <c r="A475" s="67"/>
      <c r="B475" s="68"/>
      <c r="C475" s="70"/>
      <c r="D475" s="68"/>
      <c r="E475" s="70"/>
      <c r="F475" s="68"/>
      <c r="G475" s="68"/>
      <c r="H475" s="68"/>
      <c r="I475" s="70"/>
      <c r="J475" s="68"/>
      <c r="K475" s="68"/>
      <c r="L475" s="68"/>
      <c r="M475" s="73"/>
      <c r="N475" s="70"/>
      <c r="O475" s="70"/>
      <c r="P475" s="68"/>
    </row>
    <row r="476" customFormat="false" ht="15" hidden="false" customHeight="false" outlineLevel="0" collapsed="false">
      <c r="A476" s="67"/>
      <c r="B476" s="68"/>
      <c r="C476" s="70"/>
      <c r="D476" s="68"/>
      <c r="E476" s="70"/>
      <c r="F476" s="68"/>
      <c r="G476" s="68"/>
      <c r="H476" s="68"/>
      <c r="I476" s="70"/>
      <c r="J476" s="68"/>
      <c r="K476" s="68"/>
      <c r="L476" s="68"/>
      <c r="M476" s="73"/>
      <c r="N476" s="70"/>
      <c r="O476" s="70"/>
      <c r="P476" s="68"/>
    </row>
    <row r="477" customFormat="false" ht="15" hidden="false" customHeight="false" outlineLevel="0" collapsed="false">
      <c r="A477" s="67"/>
      <c r="B477" s="68"/>
      <c r="C477" s="70"/>
      <c r="D477" s="68"/>
      <c r="E477" s="70"/>
      <c r="F477" s="68"/>
      <c r="G477" s="68"/>
      <c r="H477" s="68"/>
      <c r="I477" s="70"/>
      <c r="J477" s="68"/>
      <c r="K477" s="68"/>
      <c r="L477" s="68"/>
      <c r="M477" s="73"/>
      <c r="N477" s="70"/>
      <c r="O477" s="70"/>
      <c r="P477" s="68"/>
    </row>
    <row r="478" customFormat="false" ht="15" hidden="false" customHeight="false" outlineLevel="0" collapsed="false">
      <c r="A478" s="67"/>
      <c r="B478" s="68"/>
      <c r="C478" s="70"/>
      <c r="D478" s="68"/>
      <c r="E478" s="70"/>
      <c r="F478" s="68"/>
      <c r="G478" s="68"/>
      <c r="H478" s="68"/>
      <c r="I478" s="70"/>
      <c r="J478" s="68"/>
      <c r="K478" s="68"/>
      <c r="L478" s="68"/>
      <c r="M478" s="73"/>
      <c r="N478" s="70"/>
      <c r="O478" s="70"/>
      <c r="P478" s="68"/>
    </row>
    <row r="479" customFormat="false" ht="15" hidden="false" customHeight="false" outlineLevel="0" collapsed="false">
      <c r="A479" s="67"/>
      <c r="B479" s="68"/>
      <c r="C479" s="70"/>
      <c r="D479" s="68"/>
      <c r="E479" s="70"/>
      <c r="F479" s="68"/>
      <c r="G479" s="68"/>
      <c r="H479" s="68"/>
      <c r="I479" s="70"/>
      <c r="J479" s="68"/>
      <c r="K479" s="68"/>
      <c r="L479" s="68"/>
      <c r="M479" s="73"/>
      <c r="N479" s="70"/>
      <c r="O479" s="70"/>
      <c r="P479" s="68"/>
    </row>
    <row r="480" customFormat="false" ht="15" hidden="false" customHeight="false" outlineLevel="0" collapsed="false">
      <c r="A480" s="67"/>
      <c r="B480" s="68"/>
      <c r="C480" s="70"/>
      <c r="D480" s="68"/>
      <c r="E480" s="70"/>
      <c r="F480" s="68"/>
      <c r="G480" s="68"/>
      <c r="H480" s="68"/>
      <c r="I480" s="70"/>
      <c r="J480" s="68"/>
      <c r="K480" s="68"/>
      <c r="L480" s="68"/>
      <c r="M480" s="73"/>
      <c r="N480" s="70"/>
      <c r="O480" s="70"/>
      <c r="P480" s="68"/>
    </row>
    <row r="481" customFormat="false" ht="15" hidden="false" customHeight="false" outlineLevel="0" collapsed="false">
      <c r="A481" s="67"/>
      <c r="B481" s="68"/>
      <c r="C481" s="70"/>
      <c r="D481" s="68"/>
      <c r="E481" s="70"/>
      <c r="F481" s="68"/>
      <c r="G481" s="68"/>
      <c r="H481" s="68"/>
      <c r="I481" s="70"/>
      <c r="J481" s="68"/>
      <c r="K481" s="68"/>
      <c r="L481" s="68"/>
      <c r="M481" s="73"/>
      <c r="N481" s="70"/>
      <c r="O481" s="70"/>
      <c r="P481" s="68"/>
    </row>
    <row r="482" customFormat="false" ht="15" hidden="false" customHeight="false" outlineLevel="0" collapsed="false">
      <c r="A482" s="67"/>
      <c r="B482" s="68"/>
      <c r="C482" s="70"/>
      <c r="D482" s="68"/>
      <c r="E482" s="70"/>
      <c r="F482" s="68"/>
      <c r="G482" s="68"/>
      <c r="H482" s="68"/>
      <c r="I482" s="70"/>
      <c r="J482" s="68"/>
      <c r="K482" s="68"/>
      <c r="L482" s="68"/>
      <c r="M482" s="73"/>
      <c r="N482" s="70"/>
      <c r="O482" s="70"/>
      <c r="P482" s="68"/>
    </row>
    <row r="483" customFormat="false" ht="15" hidden="false" customHeight="false" outlineLevel="0" collapsed="false">
      <c r="A483" s="67"/>
      <c r="B483" s="68"/>
      <c r="C483" s="70"/>
      <c r="D483" s="68"/>
      <c r="E483" s="70"/>
      <c r="F483" s="68"/>
      <c r="G483" s="68"/>
      <c r="H483" s="68"/>
      <c r="I483" s="70"/>
      <c r="J483" s="68"/>
      <c r="K483" s="68"/>
      <c r="L483" s="68"/>
      <c r="M483" s="73"/>
      <c r="N483" s="70"/>
      <c r="O483" s="70"/>
      <c r="P483" s="68"/>
    </row>
    <row r="484" customFormat="false" ht="15" hidden="false" customHeight="false" outlineLevel="0" collapsed="false">
      <c r="A484" s="67"/>
      <c r="B484" s="68"/>
      <c r="C484" s="70"/>
      <c r="D484" s="68"/>
      <c r="E484" s="70"/>
      <c r="F484" s="68"/>
      <c r="G484" s="68"/>
      <c r="H484" s="68"/>
      <c r="I484" s="70"/>
      <c r="J484" s="68"/>
      <c r="K484" s="68"/>
      <c r="L484" s="68"/>
      <c r="M484" s="73"/>
      <c r="N484" s="70"/>
      <c r="O484" s="70"/>
      <c r="P484" s="68"/>
    </row>
    <row r="485" customFormat="false" ht="15" hidden="false" customHeight="false" outlineLevel="0" collapsed="false">
      <c r="A485" s="67"/>
      <c r="B485" s="68"/>
      <c r="C485" s="70"/>
      <c r="D485" s="68"/>
      <c r="E485" s="70"/>
      <c r="F485" s="68"/>
      <c r="G485" s="68"/>
      <c r="H485" s="68"/>
      <c r="I485" s="70"/>
      <c r="J485" s="68"/>
      <c r="K485" s="68"/>
      <c r="L485" s="68"/>
      <c r="M485" s="73"/>
      <c r="N485" s="70"/>
      <c r="O485" s="70"/>
      <c r="P485" s="68"/>
    </row>
    <row r="486" customFormat="false" ht="15" hidden="false" customHeight="false" outlineLevel="0" collapsed="false">
      <c r="A486" s="67"/>
      <c r="B486" s="68"/>
      <c r="C486" s="70"/>
      <c r="D486" s="68"/>
      <c r="E486" s="70"/>
      <c r="F486" s="68"/>
      <c r="G486" s="68"/>
      <c r="H486" s="68"/>
      <c r="I486" s="70"/>
      <c r="J486" s="68"/>
      <c r="K486" s="68"/>
      <c r="L486" s="68"/>
      <c r="M486" s="73"/>
      <c r="N486" s="70"/>
      <c r="O486" s="70"/>
      <c r="P486" s="68"/>
    </row>
    <row r="487" customFormat="false" ht="15" hidden="false" customHeight="false" outlineLevel="0" collapsed="false">
      <c r="A487" s="67"/>
      <c r="B487" s="68"/>
      <c r="C487" s="70"/>
      <c r="D487" s="68"/>
      <c r="E487" s="70"/>
      <c r="F487" s="68"/>
      <c r="G487" s="68"/>
      <c r="H487" s="68"/>
      <c r="I487" s="70"/>
      <c r="J487" s="68"/>
      <c r="K487" s="68"/>
      <c r="L487" s="68"/>
      <c r="M487" s="73"/>
      <c r="N487" s="70"/>
      <c r="O487" s="70"/>
      <c r="P487" s="68"/>
    </row>
    <row r="488" customFormat="false" ht="15" hidden="false" customHeight="false" outlineLevel="0" collapsed="false">
      <c r="A488" s="67"/>
      <c r="B488" s="68"/>
      <c r="C488" s="70"/>
      <c r="D488" s="68"/>
      <c r="E488" s="70"/>
      <c r="F488" s="68"/>
      <c r="G488" s="68"/>
      <c r="H488" s="68"/>
      <c r="I488" s="70"/>
      <c r="J488" s="68"/>
      <c r="K488" s="68"/>
      <c r="L488" s="68"/>
      <c r="M488" s="73"/>
      <c r="N488" s="70"/>
      <c r="O488" s="70"/>
      <c r="P488" s="68"/>
    </row>
    <row r="489" customFormat="false" ht="15" hidden="false" customHeight="false" outlineLevel="0" collapsed="false">
      <c r="A489" s="67"/>
      <c r="B489" s="68"/>
      <c r="C489" s="70"/>
      <c r="D489" s="68"/>
      <c r="E489" s="70"/>
      <c r="F489" s="68"/>
      <c r="G489" s="68"/>
      <c r="H489" s="68"/>
      <c r="I489" s="70"/>
      <c r="J489" s="68"/>
      <c r="K489" s="68"/>
      <c r="L489" s="68"/>
      <c r="M489" s="73"/>
      <c r="N489" s="70"/>
      <c r="O489" s="70"/>
      <c r="P489" s="68"/>
    </row>
    <row r="490" customFormat="false" ht="15" hidden="false" customHeight="false" outlineLevel="0" collapsed="false">
      <c r="A490" s="67"/>
      <c r="B490" s="68"/>
      <c r="C490" s="70"/>
      <c r="D490" s="68"/>
      <c r="E490" s="70"/>
      <c r="F490" s="68"/>
      <c r="G490" s="68"/>
      <c r="H490" s="68"/>
      <c r="I490" s="70"/>
      <c r="J490" s="68"/>
      <c r="K490" s="68"/>
      <c r="L490" s="68"/>
      <c r="M490" s="73"/>
      <c r="N490" s="70"/>
      <c r="O490" s="70"/>
      <c r="P490" s="68"/>
    </row>
    <row r="491" customFormat="false" ht="15" hidden="false" customHeight="false" outlineLevel="0" collapsed="false">
      <c r="A491" s="67"/>
      <c r="B491" s="68"/>
      <c r="C491" s="70"/>
      <c r="D491" s="68"/>
      <c r="E491" s="70"/>
      <c r="F491" s="68"/>
      <c r="G491" s="68"/>
      <c r="H491" s="68"/>
      <c r="I491" s="70"/>
      <c r="J491" s="68"/>
      <c r="K491" s="68"/>
      <c r="L491" s="68"/>
      <c r="M491" s="73"/>
      <c r="N491" s="70"/>
      <c r="O491" s="70"/>
      <c r="P491" s="68"/>
    </row>
    <row r="492" customFormat="false" ht="15" hidden="false" customHeight="false" outlineLevel="0" collapsed="false">
      <c r="A492" s="67"/>
      <c r="B492" s="68"/>
      <c r="C492" s="70"/>
      <c r="D492" s="68"/>
      <c r="E492" s="70"/>
      <c r="F492" s="68"/>
      <c r="G492" s="68"/>
      <c r="H492" s="68"/>
      <c r="I492" s="70"/>
      <c r="J492" s="68"/>
      <c r="K492" s="68"/>
      <c r="L492" s="68"/>
      <c r="M492" s="73"/>
      <c r="N492" s="70"/>
      <c r="O492" s="70"/>
      <c r="P492" s="68"/>
    </row>
    <row r="493" customFormat="false" ht="15" hidden="false" customHeight="false" outlineLevel="0" collapsed="false">
      <c r="A493" s="67"/>
      <c r="B493" s="68"/>
      <c r="C493" s="70"/>
      <c r="D493" s="68"/>
      <c r="E493" s="70"/>
      <c r="F493" s="68"/>
      <c r="G493" s="68"/>
      <c r="H493" s="68"/>
      <c r="I493" s="70"/>
      <c r="J493" s="68"/>
      <c r="K493" s="68"/>
      <c r="L493" s="68"/>
      <c r="M493" s="73"/>
      <c r="N493" s="70"/>
      <c r="O493" s="70"/>
      <c r="P493" s="68"/>
    </row>
    <row r="494" customFormat="false" ht="15" hidden="false" customHeight="false" outlineLevel="0" collapsed="false">
      <c r="A494" s="67"/>
      <c r="B494" s="68"/>
      <c r="C494" s="70"/>
      <c r="D494" s="68"/>
      <c r="E494" s="70"/>
      <c r="F494" s="68"/>
      <c r="G494" s="68"/>
      <c r="H494" s="68"/>
      <c r="I494" s="70"/>
      <c r="J494" s="68"/>
      <c r="K494" s="68"/>
      <c r="L494" s="68"/>
      <c r="M494" s="73"/>
      <c r="N494" s="70"/>
      <c r="O494" s="70"/>
      <c r="P494" s="68"/>
    </row>
    <row r="495" customFormat="false" ht="15" hidden="false" customHeight="false" outlineLevel="0" collapsed="false">
      <c r="A495" s="67"/>
      <c r="B495" s="68"/>
      <c r="C495" s="70"/>
      <c r="D495" s="68"/>
      <c r="E495" s="70"/>
      <c r="F495" s="68"/>
      <c r="G495" s="68"/>
      <c r="H495" s="68"/>
      <c r="I495" s="70"/>
      <c r="J495" s="68"/>
      <c r="K495" s="68"/>
      <c r="L495" s="68"/>
      <c r="M495" s="73"/>
      <c r="N495" s="70"/>
      <c r="O495" s="70"/>
      <c r="P495" s="68"/>
    </row>
    <row r="496" customFormat="false" ht="15" hidden="false" customHeight="false" outlineLevel="0" collapsed="false">
      <c r="A496" s="67"/>
      <c r="B496" s="68"/>
      <c r="C496" s="70"/>
      <c r="D496" s="68"/>
      <c r="E496" s="70"/>
      <c r="F496" s="68"/>
      <c r="G496" s="68"/>
      <c r="H496" s="68"/>
      <c r="I496" s="70"/>
      <c r="J496" s="68"/>
      <c r="K496" s="68"/>
      <c r="L496" s="68"/>
      <c r="M496" s="73"/>
      <c r="N496" s="70"/>
      <c r="O496" s="70"/>
      <c r="P496" s="68"/>
    </row>
    <row r="497" customFormat="false" ht="15" hidden="false" customHeight="false" outlineLevel="0" collapsed="false">
      <c r="A497" s="67"/>
      <c r="B497" s="68"/>
      <c r="C497" s="70"/>
      <c r="D497" s="68"/>
      <c r="E497" s="70"/>
      <c r="F497" s="68"/>
      <c r="G497" s="68"/>
      <c r="H497" s="68"/>
      <c r="I497" s="70"/>
      <c r="J497" s="68"/>
      <c r="K497" s="68"/>
      <c r="L497" s="68"/>
      <c r="M497" s="73"/>
      <c r="N497" s="70"/>
      <c r="O497" s="70"/>
      <c r="P497" s="68"/>
    </row>
    <row r="498" customFormat="false" ht="15" hidden="false" customHeight="false" outlineLevel="0" collapsed="false">
      <c r="A498" s="67"/>
      <c r="B498" s="68"/>
      <c r="C498" s="70"/>
      <c r="D498" s="68"/>
      <c r="E498" s="70"/>
      <c r="F498" s="68"/>
      <c r="G498" s="68"/>
      <c r="H498" s="68"/>
      <c r="I498" s="70"/>
      <c r="J498" s="68"/>
      <c r="K498" s="68"/>
      <c r="L498" s="68"/>
      <c r="M498" s="73"/>
      <c r="N498" s="70"/>
      <c r="O498" s="70"/>
      <c r="P498" s="68"/>
    </row>
    <row r="499" customFormat="false" ht="15" hidden="false" customHeight="false" outlineLevel="0" collapsed="false">
      <c r="A499" s="67"/>
      <c r="B499" s="68"/>
      <c r="C499" s="70"/>
      <c r="D499" s="68"/>
      <c r="E499" s="70"/>
      <c r="F499" s="68"/>
      <c r="G499" s="68"/>
      <c r="H499" s="68"/>
      <c r="I499" s="70"/>
      <c r="J499" s="68"/>
      <c r="K499" s="68"/>
      <c r="L499" s="68"/>
      <c r="M499" s="73"/>
      <c r="N499" s="70"/>
      <c r="O499" s="70"/>
      <c r="P499" s="68"/>
    </row>
    <row r="500" customFormat="false" ht="15" hidden="false" customHeight="false" outlineLevel="0" collapsed="false">
      <c r="A500" s="67"/>
      <c r="B500" s="68"/>
      <c r="C500" s="70"/>
      <c r="D500" s="68"/>
      <c r="E500" s="70"/>
      <c r="F500" s="68"/>
      <c r="G500" s="68"/>
      <c r="H500" s="68"/>
      <c r="I500" s="70"/>
      <c r="J500" s="68"/>
      <c r="K500" s="68"/>
      <c r="L500" s="68"/>
      <c r="M500" s="73"/>
      <c r="N500" s="70"/>
      <c r="O500" s="70"/>
      <c r="P500" s="68"/>
    </row>
    <row r="501" customFormat="false" ht="15" hidden="false" customHeight="false" outlineLevel="0" collapsed="false">
      <c r="A501" s="67"/>
      <c r="B501" s="68"/>
      <c r="C501" s="70"/>
      <c r="D501" s="68"/>
      <c r="E501" s="70"/>
      <c r="F501" s="68"/>
      <c r="G501" s="68"/>
      <c r="H501" s="68"/>
      <c r="I501" s="70"/>
      <c r="J501" s="68"/>
      <c r="K501" s="68"/>
      <c r="L501" s="68"/>
      <c r="M501" s="73"/>
      <c r="N501" s="70"/>
      <c r="O501" s="70"/>
      <c r="P501" s="68"/>
    </row>
    <row r="502" customFormat="false" ht="15" hidden="false" customHeight="false" outlineLevel="0" collapsed="false">
      <c r="A502" s="67"/>
      <c r="B502" s="68"/>
      <c r="C502" s="70"/>
      <c r="D502" s="68"/>
      <c r="E502" s="70"/>
      <c r="F502" s="68"/>
      <c r="G502" s="68"/>
      <c r="H502" s="68"/>
      <c r="I502" s="70"/>
      <c r="J502" s="68"/>
      <c r="K502" s="68"/>
      <c r="L502" s="68"/>
      <c r="M502" s="73"/>
      <c r="N502" s="70"/>
      <c r="O502" s="70"/>
      <c r="P502" s="68"/>
    </row>
    <row r="503" customFormat="false" ht="15" hidden="false" customHeight="false" outlineLevel="0" collapsed="false">
      <c r="A503" s="67"/>
      <c r="B503" s="68"/>
      <c r="C503" s="70"/>
      <c r="D503" s="68"/>
      <c r="E503" s="70"/>
      <c r="F503" s="68"/>
      <c r="G503" s="68"/>
      <c r="H503" s="68"/>
      <c r="I503" s="70"/>
      <c r="J503" s="68"/>
      <c r="K503" s="68"/>
      <c r="L503" s="68"/>
      <c r="M503" s="73"/>
      <c r="N503" s="70"/>
      <c r="O503" s="70"/>
      <c r="P503" s="68"/>
    </row>
    <row r="504" customFormat="false" ht="15" hidden="false" customHeight="false" outlineLevel="0" collapsed="false">
      <c r="A504" s="67"/>
      <c r="B504" s="68"/>
      <c r="C504" s="70"/>
      <c r="D504" s="68"/>
      <c r="E504" s="70"/>
      <c r="F504" s="68"/>
      <c r="G504" s="68"/>
      <c r="H504" s="68"/>
      <c r="I504" s="70"/>
      <c r="J504" s="68"/>
      <c r="K504" s="68"/>
      <c r="L504" s="68"/>
      <c r="M504" s="73"/>
      <c r="N504" s="70"/>
      <c r="O504" s="70"/>
      <c r="P504" s="68"/>
    </row>
    <row r="505" customFormat="false" ht="15" hidden="false" customHeight="false" outlineLevel="0" collapsed="false">
      <c r="A505" s="67"/>
      <c r="B505" s="68"/>
      <c r="C505" s="70"/>
      <c r="D505" s="68"/>
      <c r="E505" s="70"/>
      <c r="F505" s="68"/>
      <c r="G505" s="68"/>
      <c r="H505" s="68"/>
      <c r="I505" s="70"/>
      <c r="J505" s="68"/>
      <c r="K505" s="68"/>
      <c r="L505" s="68"/>
      <c r="M505" s="73"/>
      <c r="N505" s="70"/>
      <c r="O505" s="70"/>
      <c r="P505" s="68"/>
    </row>
    <row r="506" customFormat="false" ht="15" hidden="false" customHeight="false" outlineLevel="0" collapsed="false">
      <c r="A506" s="67"/>
      <c r="B506" s="68"/>
      <c r="C506" s="70"/>
      <c r="D506" s="68"/>
      <c r="E506" s="70"/>
      <c r="F506" s="68"/>
      <c r="G506" s="68"/>
      <c r="H506" s="68"/>
      <c r="I506" s="70"/>
      <c r="J506" s="68"/>
      <c r="K506" s="68"/>
      <c r="L506" s="68"/>
      <c r="M506" s="73"/>
      <c r="N506" s="70"/>
      <c r="O506" s="70"/>
      <c r="P506" s="68"/>
    </row>
    <row r="507" customFormat="false" ht="15" hidden="false" customHeight="false" outlineLevel="0" collapsed="false">
      <c r="A507" s="67"/>
      <c r="B507" s="68"/>
      <c r="C507" s="70"/>
      <c r="D507" s="68"/>
      <c r="E507" s="70"/>
      <c r="F507" s="68"/>
      <c r="G507" s="68"/>
      <c r="H507" s="68"/>
      <c r="I507" s="70"/>
      <c r="J507" s="68"/>
      <c r="K507" s="68"/>
      <c r="L507" s="68"/>
      <c r="M507" s="73"/>
      <c r="N507" s="70"/>
      <c r="O507" s="70"/>
      <c r="P507" s="68"/>
    </row>
    <row r="508" customFormat="false" ht="15" hidden="false" customHeight="false" outlineLevel="0" collapsed="false">
      <c r="A508" s="67"/>
      <c r="B508" s="68"/>
      <c r="C508" s="70"/>
      <c r="D508" s="68"/>
      <c r="E508" s="70"/>
      <c r="F508" s="68"/>
      <c r="G508" s="68"/>
      <c r="H508" s="68"/>
      <c r="I508" s="70"/>
      <c r="J508" s="68"/>
      <c r="K508" s="68"/>
      <c r="L508" s="68"/>
      <c r="M508" s="73"/>
      <c r="N508" s="70"/>
      <c r="O508" s="70"/>
      <c r="P508" s="68"/>
    </row>
    <row r="509" customFormat="false" ht="15" hidden="false" customHeight="false" outlineLevel="0" collapsed="false">
      <c r="A509" s="67"/>
      <c r="B509" s="68"/>
      <c r="C509" s="70"/>
      <c r="D509" s="68"/>
      <c r="E509" s="70"/>
      <c r="F509" s="68"/>
      <c r="G509" s="68"/>
      <c r="H509" s="68"/>
      <c r="I509" s="70"/>
      <c r="J509" s="68"/>
      <c r="K509" s="68"/>
      <c r="L509" s="68"/>
      <c r="M509" s="73"/>
      <c r="N509" s="70"/>
      <c r="O509" s="70"/>
      <c r="P509" s="68"/>
    </row>
    <row r="510" customFormat="false" ht="15" hidden="false" customHeight="false" outlineLevel="0" collapsed="false">
      <c r="A510" s="67"/>
      <c r="B510" s="68"/>
      <c r="C510" s="70"/>
      <c r="D510" s="68"/>
      <c r="E510" s="70"/>
      <c r="F510" s="68"/>
      <c r="G510" s="68"/>
      <c r="H510" s="68"/>
      <c r="I510" s="70"/>
      <c r="J510" s="68"/>
      <c r="K510" s="68"/>
      <c r="L510" s="68"/>
      <c r="M510" s="73"/>
      <c r="N510" s="70"/>
      <c r="O510" s="70"/>
      <c r="P510" s="68"/>
    </row>
    <row r="511" customFormat="false" ht="15" hidden="false" customHeight="false" outlineLevel="0" collapsed="false">
      <c r="A511" s="67"/>
      <c r="B511" s="68"/>
      <c r="C511" s="70"/>
      <c r="D511" s="68"/>
      <c r="E511" s="70"/>
      <c r="F511" s="68"/>
      <c r="G511" s="68"/>
      <c r="H511" s="68"/>
      <c r="I511" s="70"/>
      <c r="J511" s="68"/>
      <c r="K511" s="68"/>
      <c r="L511" s="68"/>
      <c r="M511" s="73"/>
      <c r="N511" s="70"/>
      <c r="O511" s="70"/>
      <c r="P511" s="68"/>
    </row>
    <row r="512" customFormat="false" ht="15" hidden="false" customHeight="false" outlineLevel="0" collapsed="false">
      <c r="A512" s="67"/>
      <c r="B512" s="68"/>
      <c r="C512" s="70"/>
      <c r="D512" s="68"/>
      <c r="E512" s="70"/>
      <c r="F512" s="68"/>
      <c r="G512" s="68"/>
      <c r="H512" s="68"/>
      <c r="I512" s="70"/>
      <c r="J512" s="68"/>
      <c r="K512" s="68"/>
      <c r="L512" s="68"/>
      <c r="M512" s="73"/>
      <c r="N512" s="70"/>
      <c r="O512" s="70"/>
      <c r="P512" s="68"/>
    </row>
    <row r="513" customFormat="false" ht="15" hidden="false" customHeight="false" outlineLevel="0" collapsed="false">
      <c r="A513" s="67"/>
      <c r="B513" s="68"/>
      <c r="C513" s="70"/>
      <c r="D513" s="68"/>
      <c r="E513" s="70"/>
      <c r="F513" s="68"/>
      <c r="G513" s="68"/>
      <c r="H513" s="68"/>
      <c r="I513" s="70"/>
      <c r="J513" s="68"/>
      <c r="K513" s="68"/>
      <c r="L513" s="68"/>
      <c r="M513" s="73"/>
      <c r="N513" s="70"/>
      <c r="O513" s="70"/>
      <c r="P513" s="68"/>
    </row>
    <row r="514" customFormat="false" ht="15" hidden="false" customHeight="false" outlineLevel="0" collapsed="false">
      <c r="A514" s="67"/>
      <c r="B514" s="68"/>
      <c r="C514" s="70"/>
      <c r="D514" s="68"/>
      <c r="E514" s="70"/>
      <c r="F514" s="68"/>
      <c r="G514" s="68"/>
      <c r="H514" s="68"/>
      <c r="I514" s="70"/>
      <c r="J514" s="68"/>
      <c r="K514" s="68"/>
      <c r="L514" s="68"/>
      <c r="M514" s="73"/>
      <c r="N514" s="70"/>
      <c r="O514" s="70"/>
      <c r="P514" s="68"/>
    </row>
    <row r="515" customFormat="false" ht="15" hidden="false" customHeight="false" outlineLevel="0" collapsed="false">
      <c r="A515" s="67"/>
      <c r="B515" s="68"/>
      <c r="C515" s="70"/>
      <c r="D515" s="68"/>
      <c r="E515" s="70"/>
      <c r="F515" s="68"/>
      <c r="G515" s="68"/>
      <c r="H515" s="68"/>
      <c r="I515" s="70"/>
      <c r="J515" s="68"/>
      <c r="K515" s="68"/>
      <c r="L515" s="68"/>
      <c r="M515" s="73"/>
      <c r="N515" s="70"/>
      <c r="O515" s="70"/>
      <c r="P515" s="68"/>
    </row>
    <row r="516" customFormat="false" ht="15" hidden="false" customHeight="false" outlineLevel="0" collapsed="false">
      <c r="A516" s="67"/>
      <c r="B516" s="68"/>
      <c r="C516" s="70"/>
      <c r="D516" s="68"/>
      <c r="E516" s="70"/>
      <c r="F516" s="68"/>
      <c r="G516" s="68"/>
      <c r="H516" s="68"/>
      <c r="I516" s="70"/>
      <c r="J516" s="68"/>
      <c r="K516" s="68"/>
      <c r="L516" s="68"/>
      <c r="M516" s="73"/>
      <c r="N516" s="70"/>
      <c r="O516" s="70"/>
      <c r="P516" s="68"/>
    </row>
    <row r="517" customFormat="false" ht="15" hidden="false" customHeight="false" outlineLevel="0" collapsed="false">
      <c r="A517" s="67"/>
      <c r="B517" s="68"/>
      <c r="C517" s="70"/>
      <c r="D517" s="68"/>
      <c r="E517" s="70"/>
      <c r="F517" s="68"/>
      <c r="G517" s="68"/>
      <c r="H517" s="68"/>
      <c r="I517" s="70"/>
      <c r="J517" s="68"/>
      <c r="K517" s="68"/>
      <c r="L517" s="68"/>
      <c r="M517" s="73"/>
      <c r="N517" s="70"/>
      <c r="O517" s="70"/>
      <c r="P517" s="68"/>
    </row>
    <row r="518" customFormat="false" ht="15" hidden="false" customHeight="false" outlineLevel="0" collapsed="false">
      <c r="A518" s="67"/>
      <c r="B518" s="68"/>
      <c r="C518" s="70"/>
      <c r="D518" s="68"/>
      <c r="E518" s="70"/>
      <c r="F518" s="68"/>
      <c r="G518" s="68"/>
      <c r="H518" s="68"/>
      <c r="I518" s="70"/>
      <c r="J518" s="68"/>
      <c r="K518" s="68"/>
      <c r="L518" s="68"/>
      <c r="M518" s="73"/>
      <c r="N518" s="70"/>
      <c r="O518" s="70"/>
      <c r="P518" s="68"/>
    </row>
    <row r="519" customFormat="false" ht="15" hidden="false" customHeight="false" outlineLevel="0" collapsed="false">
      <c r="A519" s="67"/>
      <c r="B519" s="68"/>
      <c r="C519" s="70"/>
      <c r="D519" s="68"/>
      <c r="E519" s="70"/>
      <c r="F519" s="68"/>
      <c r="G519" s="68"/>
      <c r="H519" s="68"/>
      <c r="I519" s="70"/>
      <c r="J519" s="68"/>
      <c r="K519" s="68"/>
      <c r="L519" s="68"/>
      <c r="M519" s="73"/>
      <c r="N519" s="70"/>
      <c r="O519" s="70"/>
      <c r="P519" s="68"/>
    </row>
    <row r="520" customFormat="false" ht="15" hidden="false" customHeight="false" outlineLevel="0" collapsed="false">
      <c r="A520" s="67"/>
      <c r="B520" s="68"/>
      <c r="C520" s="70"/>
      <c r="D520" s="68"/>
      <c r="E520" s="70"/>
      <c r="F520" s="68"/>
      <c r="G520" s="68"/>
      <c r="H520" s="68"/>
      <c r="I520" s="70"/>
      <c r="J520" s="68"/>
      <c r="K520" s="68"/>
      <c r="L520" s="68"/>
      <c r="M520" s="73"/>
      <c r="N520" s="70"/>
      <c r="O520" s="70"/>
      <c r="P520" s="68"/>
    </row>
    <row r="521" customFormat="false" ht="15" hidden="false" customHeight="false" outlineLevel="0" collapsed="false">
      <c r="A521" s="67"/>
      <c r="B521" s="68"/>
      <c r="C521" s="70"/>
      <c r="D521" s="68"/>
      <c r="E521" s="70"/>
      <c r="F521" s="68"/>
      <c r="G521" s="68"/>
      <c r="H521" s="68"/>
      <c r="I521" s="70"/>
      <c r="J521" s="68"/>
      <c r="K521" s="68"/>
      <c r="L521" s="68"/>
      <c r="M521" s="73"/>
      <c r="N521" s="70"/>
      <c r="O521" s="70"/>
      <c r="P521" s="68"/>
    </row>
    <row r="522" customFormat="false" ht="15" hidden="false" customHeight="false" outlineLevel="0" collapsed="false">
      <c r="A522" s="67"/>
      <c r="B522" s="68"/>
      <c r="C522" s="70"/>
      <c r="D522" s="68"/>
      <c r="E522" s="70"/>
      <c r="F522" s="68"/>
      <c r="G522" s="68"/>
      <c r="H522" s="68"/>
      <c r="I522" s="70"/>
      <c r="J522" s="68"/>
      <c r="K522" s="68"/>
      <c r="L522" s="68"/>
      <c r="M522" s="73"/>
      <c r="N522" s="70"/>
      <c r="O522" s="70"/>
      <c r="P522" s="68"/>
    </row>
    <row r="523" customFormat="false" ht="15" hidden="false" customHeight="false" outlineLevel="0" collapsed="false">
      <c r="A523" s="67"/>
      <c r="B523" s="68"/>
      <c r="C523" s="70"/>
      <c r="D523" s="68"/>
      <c r="E523" s="70"/>
      <c r="F523" s="68"/>
      <c r="G523" s="68"/>
      <c r="H523" s="68"/>
      <c r="I523" s="70"/>
      <c r="J523" s="68"/>
      <c r="K523" s="68"/>
      <c r="L523" s="68"/>
      <c r="M523" s="73"/>
      <c r="N523" s="70"/>
      <c r="O523" s="70"/>
      <c r="P523" s="68"/>
    </row>
    <row r="524" customFormat="false" ht="15" hidden="false" customHeight="false" outlineLevel="0" collapsed="false">
      <c r="A524" s="67"/>
      <c r="B524" s="68"/>
      <c r="C524" s="70"/>
      <c r="D524" s="68"/>
      <c r="E524" s="70"/>
      <c r="F524" s="68"/>
      <c r="G524" s="68"/>
      <c r="H524" s="68"/>
      <c r="I524" s="70"/>
      <c r="J524" s="68"/>
      <c r="K524" s="68"/>
      <c r="L524" s="68"/>
      <c r="M524" s="73"/>
      <c r="N524" s="70"/>
      <c r="O524" s="70"/>
      <c r="P524" s="68"/>
    </row>
    <row r="525" customFormat="false" ht="15" hidden="false" customHeight="false" outlineLevel="0" collapsed="false">
      <c r="A525" s="67"/>
      <c r="B525" s="68"/>
      <c r="C525" s="70"/>
      <c r="D525" s="68"/>
      <c r="E525" s="70"/>
      <c r="F525" s="68"/>
      <c r="G525" s="68"/>
      <c r="H525" s="68"/>
      <c r="I525" s="70"/>
      <c r="J525" s="68"/>
      <c r="K525" s="68"/>
      <c r="L525" s="68"/>
      <c r="M525" s="73"/>
      <c r="N525" s="70"/>
      <c r="O525" s="70"/>
      <c r="P525" s="68"/>
    </row>
    <row r="526" customFormat="false" ht="15" hidden="false" customHeight="false" outlineLevel="0" collapsed="false">
      <c r="A526" s="67"/>
      <c r="B526" s="68"/>
      <c r="C526" s="70"/>
      <c r="D526" s="68"/>
      <c r="E526" s="70"/>
      <c r="F526" s="68"/>
      <c r="G526" s="68"/>
      <c r="H526" s="68"/>
      <c r="I526" s="70"/>
      <c r="J526" s="68"/>
      <c r="K526" s="68"/>
      <c r="L526" s="68"/>
      <c r="M526" s="73"/>
      <c r="N526" s="70"/>
      <c r="O526" s="70"/>
      <c r="P526" s="68"/>
    </row>
    <row r="527" customFormat="false" ht="15" hidden="false" customHeight="false" outlineLevel="0" collapsed="false">
      <c r="A527" s="67"/>
      <c r="B527" s="68"/>
      <c r="C527" s="70"/>
      <c r="D527" s="68"/>
      <c r="E527" s="70"/>
      <c r="F527" s="68"/>
      <c r="G527" s="68"/>
      <c r="H527" s="68"/>
      <c r="I527" s="70"/>
      <c r="J527" s="68"/>
      <c r="K527" s="68"/>
      <c r="L527" s="68"/>
      <c r="M527" s="73"/>
      <c r="N527" s="70"/>
      <c r="O527" s="70"/>
      <c r="P527" s="68"/>
    </row>
    <row r="528" customFormat="false" ht="15" hidden="false" customHeight="false" outlineLevel="0" collapsed="false">
      <c r="A528" s="67"/>
      <c r="B528" s="68"/>
      <c r="C528" s="70"/>
      <c r="D528" s="68"/>
      <c r="E528" s="70"/>
      <c r="F528" s="68"/>
      <c r="G528" s="68"/>
      <c r="H528" s="68"/>
      <c r="I528" s="70"/>
      <c r="J528" s="68"/>
      <c r="K528" s="68"/>
      <c r="L528" s="68"/>
      <c r="M528" s="73"/>
      <c r="N528" s="70"/>
      <c r="O528" s="70"/>
      <c r="P528" s="68"/>
    </row>
    <row r="529" customFormat="false" ht="15" hidden="false" customHeight="false" outlineLevel="0" collapsed="false">
      <c r="A529" s="67"/>
      <c r="B529" s="68"/>
      <c r="C529" s="70"/>
      <c r="D529" s="68"/>
      <c r="E529" s="70"/>
      <c r="F529" s="68"/>
      <c r="G529" s="68"/>
      <c r="H529" s="68"/>
      <c r="I529" s="70"/>
      <c r="J529" s="68"/>
      <c r="K529" s="68"/>
      <c r="L529" s="68"/>
      <c r="M529" s="73"/>
      <c r="N529" s="70"/>
      <c r="O529" s="70"/>
      <c r="P529" s="68"/>
    </row>
    <row r="530" customFormat="false" ht="15" hidden="false" customHeight="false" outlineLevel="0" collapsed="false">
      <c r="A530" s="67"/>
      <c r="B530" s="68"/>
      <c r="C530" s="70"/>
      <c r="D530" s="68"/>
      <c r="E530" s="70"/>
      <c r="F530" s="68"/>
      <c r="G530" s="68"/>
      <c r="H530" s="68"/>
      <c r="I530" s="70"/>
      <c r="J530" s="68"/>
      <c r="K530" s="68"/>
      <c r="L530" s="68"/>
      <c r="M530" s="73"/>
      <c r="N530" s="70"/>
      <c r="O530" s="70"/>
      <c r="P530" s="68"/>
    </row>
    <row r="531" customFormat="false" ht="15" hidden="false" customHeight="false" outlineLevel="0" collapsed="false">
      <c r="A531" s="67"/>
      <c r="B531" s="68"/>
      <c r="C531" s="70"/>
      <c r="D531" s="68"/>
      <c r="E531" s="70"/>
      <c r="F531" s="68"/>
      <c r="G531" s="68"/>
      <c r="H531" s="68"/>
      <c r="I531" s="70"/>
      <c r="J531" s="68"/>
      <c r="K531" s="68"/>
      <c r="L531" s="68"/>
      <c r="M531" s="73"/>
      <c r="N531" s="70"/>
      <c r="O531" s="70"/>
      <c r="P531" s="68"/>
    </row>
    <row r="532" customFormat="false" ht="15" hidden="false" customHeight="false" outlineLevel="0" collapsed="false">
      <c r="A532" s="67"/>
      <c r="B532" s="68"/>
      <c r="C532" s="70"/>
      <c r="D532" s="68"/>
      <c r="E532" s="70"/>
      <c r="F532" s="68"/>
      <c r="G532" s="68"/>
      <c r="H532" s="68"/>
      <c r="I532" s="70"/>
      <c r="J532" s="68"/>
      <c r="K532" s="68"/>
      <c r="L532" s="68"/>
      <c r="M532" s="73"/>
      <c r="N532" s="70"/>
      <c r="O532" s="70"/>
      <c r="P532" s="68"/>
    </row>
    <row r="533" customFormat="false" ht="15" hidden="false" customHeight="false" outlineLevel="0" collapsed="false">
      <c r="A533" s="67"/>
      <c r="B533" s="68"/>
      <c r="C533" s="70"/>
      <c r="D533" s="68"/>
      <c r="E533" s="70"/>
      <c r="F533" s="68"/>
      <c r="G533" s="68"/>
      <c r="H533" s="68"/>
      <c r="I533" s="70"/>
      <c r="J533" s="68"/>
      <c r="K533" s="68"/>
      <c r="L533" s="68"/>
      <c r="M533" s="73"/>
      <c r="N533" s="70"/>
      <c r="O533" s="70"/>
      <c r="P533" s="68"/>
    </row>
    <row r="534" customFormat="false" ht="15" hidden="false" customHeight="false" outlineLevel="0" collapsed="false">
      <c r="A534" s="67"/>
      <c r="B534" s="68"/>
      <c r="C534" s="70"/>
      <c r="D534" s="68"/>
      <c r="E534" s="70"/>
      <c r="F534" s="68"/>
      <c r="G534" s="68"/>
      <c r="H534" s="68"/>
      <c r="I534" s="70"/>
      <c r="J534" s="68"/>
      <c r="K534" s="68"/>
      <c r="L534" s="68"/>
      <c r="M534" s="73"/>
      <c r="N534" s="70"/>
      <c r="O534" s="70"/>
      <c r="P534" s="68"/>
    </row>
    <row r="535" customFormat="false" ht="15" hidden="false" customHeight="false" outlineLevel="0" collapsed="false">
      <c r="A535" s="67"/>
      <c r="B535" s="68"/>
      <c r="C535" s="70"/>
      <c r="D535" s="68"/>
      <c r="E535" s="70"/>
      <c r="F535" s="68"/>
      <c r="G535" s="68"/>
      <c r="H535" s="68"/>
      <c r="I535" s="70"/>
      <c r="J535" s="68"/>
      <c r="K535" s="68"/>
      <c r="L535" s="68"/>
      <c r="M535" s="73"/>
      <c r="N535" s="70"/>
      <c r="O535" s="70"/>
      <c r="P535" s="68"/>
    </row>
    <row r="536" customFormat="false" ht="15" hidden="false" customHeight="false" outlineLevel="0" collapsed="false">
      <c r="A536" s="67"/>
      <c r="B536" s="68"/>
      <c r="C536" s="70"/>
      <c r="D536" s="68"/>
      <c r="E536" s="70"/>
      <c r="F536" s="68"/>
      <c r="G536" s="68"/>
      <c r="H536" s="68"/>
      <c r="I536" s="70"/>
      <c r="J536" s="68"/>
      <c r="K536" s="68"/>
      <c r="L536" s="68"/>
      <c r="M536" s="73"/>
      <c r="N536" s="70"/>
      <c r="O536" s="70"/>
      <c r="P536" s="68"/>
    </row>
    <row r="537" customFormat="false" ht="15" hidden="false" customHeight="false" outlineLevel="0" collapsed="false">
      <c r="A537" s="67"/>
      <c r="B537" s="68"/>
      <c r="C537" s="70"/>
      <c r="D537" s="68"/>
      <c r="E537" s="70"/>
      <c r="F537" s="68"/>
      <c r="G537" s="68"/>
      <c r="H537" s="68"/>
      <c r="I537" s="70"/>
      <c r="J537" s="68"/>
      <c r="K537" s="68"/>
      <c r="L537" s="68"/>
      <c r="M537" s="73"/>
      <c r="N537" s="70"/>
      <c r="O537" s="70"/>
      <c r="P537" s="68"/>
    </row>
    <row r="538" customFormat="false" ht="15" hidden="false" customHeight="false" outlineLevel="0" collapsed="false">
      <c r="A538" s="67"/>
      <c r="B538" s="68"/>
      <c r="C538" s="70"/>
      <c r="D538" s="68"/>
      <c r="E538" s="70"/>
      <c r="F538" s="68"/>
      <c r="G538" s="68"/>
      <c r="H538" s="68"/>
      <c r="I538" s="70"/>
      <c r="J538" s="68"/>
      <c r="K538" s="68"/>
      <c r="L538" s="68"/>
      <c r="M538" s="73"/>
      <c r="N538" s="70"/>
      <c r="O538" s="70"/>
      <c r="P538" s="68"/>
    </row>
    <row r="539" customFormat="false" ht="15" hidden="false" customHeight="false" outlineLevel="0" collapsed="false">
      <c r="A539" s="67"/>
      <c r="B539" s="68"/>
      <c r="C539" s="70"/>
      <c r="D539" s="68"/>
      <c r="E539" s="70"/>
      <c r="F539" s="68"/>
      <c r="G539" s="68"/>
      <c r="H539" s="68"/>
      <c r="I539" s="70"/>
      <c r="J539" s="68"/>
      <c r="K539" s="68"/>
      <c r="L539" s="68"/>
      <c r="M539" s="73"/>
      <c r="N539" s="70"/>
      <c r="O539" s="70"/>
      <c r="P539" s="68"/>
    </row>
    <row r="540" customFormat="false" ht="15" hidden="false" customHeight="false" outlineLevel="0" collapsed="false">
      <c r="A540" s="67"/>
      <c r="B540" s="68"/>
      <c r="C540" s="70"/>
      <c r="D540" s="68"/>
      <c r="E540" s="70"/>
      <c r="F540" s="68"/>
      <c r="G540" s="68"/>
      <c r="H540" s="68"/>
      <c r="I540" s="70"/>
      <c r="J540" s="68"/>
      <c r="K540" s="68"/>
      <c r="L540" s="68"/>
      <c r="M540" s="73"/>
      <c r="N540" s="70"/>
      <c r="O540" s="70"/>
      <c r="P540" s="68"/>
    </row>
    <row r="541" customFormat="false" ht="15" hidden="false" customHeight="false" outlineLevel="0" collapsed="false">
      <c r="A541" s="67"/>
      <c r="B541" s="68"/>
      <c r="C541" s="70"/>
      <c r="D541" s="68"/>
      <c r="E541" s="70"/>
      <c r="F541" s="68"/>
      <c r="G541" s="68"/>
      <c r="H541" s="68"/>
      <c r="I541" s="70"/>
      <c r="J541" s="68"/>
      <c r="K541" s="68"/>
      <c r="L541" s="68"/>
      <c r="M541" s="73"/>
      <c r="N541" s="70"/>
      <c r="O541" s="70"/>
      <c r="P541" s="68"/>
    </row>
    <row r="542" customFormat="false" ht="15" hidden="false" customHeight="false" outlineLevel="0" collapsed="false">
      <c r="A542" s="67"/>
      <c r="B542" s="68"/>
      <c r="C542" s="70"/>
      <c r="D542" s="68"/>
      <c r="E542" s="70"/>
      <c r="F542" s="68"/>
      <c r="G542" s="68"/>
      <c r="H542" s="68"/>
      <c r="I542" s="70"/>
      <c r="J542" s="68"/>
      <c r="K542" s="68"/>
      <c r="L542" s="68"/>
      <c r="M542" s="73"/>
      <c r="N542" s="70"/>
      <c r="O542" s="70"/>
      <c r="P542" s="68"/>
    </row>
    <row r="543" customFormat="false" ht="15" hidden="false" customHeight="false" outlineLevel="0" collapsed="false">
      <c r="A543" s="67"/>
      <c r="B543" s="68"/>
      <c r="C543" s="70"/>
      <c r="D543" s="68"/>
      <c r="E543" s="70"/>
      <c r="F543" s="68"/>
      <c r="G543" s="68"/>
      <c r="H543" s="68"/>
      <c r="I543" s="70"/>
      <c r="J543" s="68"/>
      <c r="K543" s="68"/>
      <c r="L543" s="68"/>
      <c r="M543" s="73"/>
      <c r="N543" s="70"/>
      <c r="O543" s="70"/>
      <c r="P543" s="68"/>
    </row>
    <row r="544" customFormat="false" ht="15" hidden="false" customHeight="false" outlineLevel="0" collapsed="false">
      <c r="A544" s="67"/>
      <c r="B544" s="68"/>
      <c r="C544" s="70"/>
      <c r="D544" s="68"/>
      <c r="E544" s="70"/>
      <c r="F544" s="68"/>
      <c r="G544" s="68"/>
      <c r="H544" s="68"/>
      <c r="I544" s="70"/>
      <c r="J544" s="68"/>
      <c r="K544" s="68"/>
      <c r="L544" s="68"/>
      <c r="M544" s="73"/>
      <c r="N544" s="70"/>
      <c r="O544" s="70"/>
      <c r="P544" s="68"/>
    </row>
    <row r="545" customFormat="false" ht="15" hidden="false" customHeight="false" outlineLevel="0" collapsed="false">
      <c r="A545" s="67"/>
      <c r="B545" s="68"/>
      <c r="C545" s="70"/>
      <c r="D545" s="68"/>
      <c r="E545" s="70"/>
      <c r="F545" s="68"/>
      <c r="G545" s="68"/>
      <c r="H545" s="68"/>
      <c r="I545" s="70"/>
      <c r="J545" s="68"/>
      <c r="K545" s="68"/>
      <c r="L545" s="68"/>
      <c r="M545" s="73"/>
      <c r="N545" s="70"/>
      <c r="O545" s="70"/>
      <c r="P545" s="68"/>
    </row>
    <row r="546" customFormat="false" ht="15" hidden="false" customHeight="false" outlineLevel="0" collapsed="false">
      <c r="A546" s="67"/>
      <c r="B546" s="68"/>
      <c r="C546" s="70"/>
      <c r="D546" s="68"/>
      <c r="E546" s="70"/>
      <c r="F546" s="68"/>
      <c r="G546" s="68"/>
      <c r="H546" s="68"/>
      <c r="I546" s="70"/>
      <c r="J546" s="68"/>
      <c r="K546" s="68"/>
      <c r="L546" s="68"/>
      <c r="M546" s="73"/>
      <c r="N546" s="70"/>
      <c r="O546" s="70"/>
      <c r="P546" s="68"/>
    </row>
    <row r="547" customFormat="false" ht="15" hidden="false" customHeight="false" outlineLevel="0" collapsed="false">
      <c r="A547" s="67"/>
      <c r="B547" s="68"/>
      <c r="C547" s="70"/>
      <c r="D547" s="68"/>
      <c r="E547" s="70"/>
      <c r="F547" s="68"/>
      <c r="G547" s="68"/>
      <c r="H547" s="68"/>
      <c r="I547" s="70"/>
      <c r="J547" s="68"/>
      <c r="K547" s="68"/>
      <c r="L547" s="68"/>
      <c r="M547" s="73"/>
      <c r="N547" s="70"/>
      <c r="O547" s="70"/>
      <c r="P547" s="68"/>
    </row>
    <row r="548" customFormat="false" ht="15" hidden="false" customHeight="false" outlineLevel="0" collapsed="false">
      <c r="A548" s="67"/>
      <c r="B548" s="68"/>
      <c r="C548" s="70"/>
      <c r="D548" s="68"/>
      <c r="E548" s="70"/>
      <c r="F548" s="68"/>
      <c r="G548" s="68"/>
      <c r="H548" s="68"/>
      <c r="I548" s="70"/>
      <c r="J548" s="68"/>
      <c r="K548" s="68"/>
      <c r="L548" s="68"/>
      <c r="M548" s="73"/>
      <c r="N548" s="70"/>
      <c r="O548" s="70"/>
      <c r="P548" s="68"/>
    </row>
    <row r="549" customFormat="false" ht="15" hidden="false" customHeight="false" outlineLevel="0" collapsed="false">
      <c r="A549" s="67"/>
      <c r="B549" s="68"/>
      <c r="C549" s="70"/>
      <c r="D549" s="68"/>
      <c r="E549" s="70"/>
      <c r="F549" s="68"/>
      <c r="G549" s="68"/>
      <c r="H549" s="68"/>
      <c r="I549" s="70"/>
      <c r="J549" s="68"/>
      <c r="K549" s="68"/>
      <c r="L549" s="68"/>
      <c r="M549" s="73"/>
      <c r="N549" s="70"/>
      <c r="O549" s="70"/>
      <c r="P549" s="68"/>
    </row>
    <row r="550" customFormat="false" ht="15" hidden="false" customHeight="false" outlineLevel="0" collapsed="false">
      <c r="A550" s="67"/>
      <c r="B550" s="68"/>
      <c r="C550" s="70"/>
      <c r="D550" s="68"/>
      <c r="E550" s="70"/>
      <c r="F550" s="68"/>
      <c r="G550" s="68"/>
      <c r="H550" s="68"/>
      <c r="I550" s="70"/>
      <c r="J550" s="68"/>
      <c r="K550" s="68"/>
      <c r="L550" s="68"/>
      <c r="M550" s="73"/>
      <c r="N550" s="70"/>
      <c r="O550" s="70"/>
      <c r="P550" s="68"/>
    </row>
    <row r="551" customFormat="false" ht="15" hidden="false" customHeight="false" outlineLevel="0" collapsed="false">
      <c r="A551" s="67"/>
      <c r="B551" s="68"/>
      <c r="C551" s="70"/>
      <c r="D551" s="68"/>
      <c r="E551" s="70"/>
      <c r="F551" s="68"/>
      <c r="G551" s="68"/>
      <c r="H551" s="68"/>
      <c r="I551" s="70"/>
      <c r="J551" s="68"/>
      <c r="K551" s="68"/>
      <c r="L551" s="68"/>
      <c r="M551" s="73"/>
      <c r="N551" s="70"/>
      <c r="O551" s="70"/>
      <c r="P551" s="68"/>
    </row>
    <row r="552" customFormat="false" ht="15" hidden="false" customHeight="false" outlineLevel="0" collapsed="false">
      <c r="A552" s="67"/>
      <c r="B552" s="68"/>
      <c r="C552" s="70"/>
      <c r="D552" s="68"/>
      <c r="E552" s="70"/>
      <c r="F552" s="68"/>
      <c r="G552" s="68"/>
      <c r="H552" s="68"/>
      <c r="I552" s="70"/>
      <c r="J552" s="68"/>
      <c r="K552" s="68"/>
      <c r="L552" s="68"/>
      <c r="M552" s="73"/>
      <c r="N552" s="70"/>
      <c r="O552" s="70"/>
      <c r="P552" s="68"/>
    </row>
    <row r="553" customFormat="false" ht="15" hidden="false" customHeight="false" outlineLevel="0" collapsed="false">
      <c r="A553" s="67"/>
      <c r="B553" s="68"/>
      <c r="C553" s="70"/>
      <c r="D553" s="68"/>
      <c r="E553" s="70"/>
      <c r="F553" s="68"/>
      <c r="G553" s="68"/>
      <c r="H553" s="68"/>
      <c r="I553" s="70"/>
      <c r="J553" s="68"/>
      <c r="K553" s="68"/>
      <c r="L553" s="68"/>
      <c r="M553" s="73"/>
      <c r="N553" s="70"/>
      <c r="O553" s="70"/>
      <c r="P553" s="68"/>
    </row>
    <row r="554" customFormat="false" ht="15" hidden="false" customHeight="false" outlineLevel="0" collapsed="false">
      <c r="A554" s="67"/>
      <c r="B554" s="68"/>
      <c r="C554" s="70"/>
      <c r="D554" s="68"/>
      <c r="E554" s="70"/>
      <c r="F554" s="68"/>
      <c r="G554" s="68"/>
      <c r="H554" s="68"/>
      <c r="I554" s="70"/>
      <c r="J554" s="68"/>
      <c r="K554" s="68"/>
      <c r="L554" s="68"/>
      <c r="M554" s="73"/>
      <c r="N554" s="70"/>
      <c r="O554" s="70"/>
      <c r="P554" s="68"/>
    </row>
    <row r="555" customFormat="false" ht="15" hidden="false" customHeight="false" outlineLevel="0" collapsed="false">
      <c r="A555" s="67"/>
      <c r="B555" s="68"/>
      <c r="C555" s="70"/>
      <c r="D555" s="68"/>
      <c r="E555" s="70"/>
      <c r="F555" s="68"/>
      <c r="G555" s="68"/>
      <c r="H555" s="68"/>
      <c r="I555" s="70"/>
      <c r="J555" s="68"/>
      <c r="K555" s="68"/>
      <c r="L555" s="68"/>
      <c r="M555" s="73"/>
      <c r="N555" s="70"/>
      <c r="O555" s="70"/>
      <c r="P555" s="68"/>
    </row>
    <row r="556" customFormat="false" ht="15" hidden="false" customHeight="false" outlineLevel="0" collapsed="false">
      <c r="A556" s="67"/>
      <c r="B556" s="68"/>
      <c r="C556" s="70"/>
      <c r="D556" s="68"/>
      <c r="E556" s="70"/>
      <c r="F556" s="68"/>
      <c r="G556" s="68"/>
      <c r="H556" s="68"/>
      <c r="I556" s="70"/>
      <c r="J556" s="68"/>
      <c r="K556" s="68"/>
      <c r="L556" s="68"/>
      <c r="M556" s="73"/>
      <c r="N556" s="70"/>
      <c r="O556" s="70"/>
      <c r="P556" s="68"/>
    </row>
    <row r="557" customFormat="false" ht="15" hidden="false" customHeight="false" outlineLevel="0" collapsed="false">
      <c r="A557" s="67"/>
      <c r="B557" s="68"/>
      <c r="C557" s="70"/>
      <c r="D557" s="68"/>
      <c r="E557" s="70"/>
      <c r="F557" s="68"/>
      <c r="G557" s="68"/>
      <c r="H557" s="68"/>
      <c r="I557" s="70"/>
      <c r="J557" s="68"/>
      <c r="K557" s="68"/>
      <c r="L557" s="68"/>
      <c r="M557" s="73"/>
      <c r="N557" s="70"/>
      <c r="O557" s="70"/>
      <c r="P557" s="68"/>
    </row>
    <row r="558" customFormat="false" ht="15" hidden="false" customHeight="false" outlineLevel="0" collapsed="false">
      <c r="A558" s="67"/>
      <c r="B558" s="68"/>
      <c r="C558" s="70"/>
      <c r="D558" s="68"/>
      <c r="E558" s="70"/>
      <c r="F558" s="68"/>
      <c r="G558" s="68"/>
      <c r="H558" s="68"/>
      <c r="I558" s="70"/>
      <c r="J558" s="68"/>
      <c r="K558" s="68"/>
      <c r="L558" s="68"/>
      <c r="M558" s="73"/>
      <c r="N558" s="70"/>
      <c r="O558" s="70"/>
      <c r="P558" s="68"/>
    </row>
    <row r="559" customFormat="false" ht="15" hidden="false" customHeight="false" outlineLevel="0" collapsed="false">
      <c r="A559" s="67"/>
      <c r="B559" s="68"/>
      <c r="C559" s="70"/>
      <c r="D559" s="68"/>
      <c r="E559" s="70"/>
      <c r="F559" s="68"/>
      <c r="G559" s="68"/>
      <c r="H559" s="68"/>
      <c r="I559" s="70"/>
      <c r="J559" s="68"/>
      <c r="K559" s="68"/>
      <c r="L559" s="68"/>
      <c r="M559" s="73"/>
      <c r="N559" s="70"/>
      <c r="O559" s="70"/>
      <c r="P559" s="68"/>
    </row>
    <row r="560" customFormat="false" ht="15" hidden="false" customHeight="false" outlineLevel="0" collapsed="false">
      <c r="A560" s="67"/>
      <c r="B560" s="68"/>
      <c r="C560" s="70"/>
      <c r="D560" s="68"/>
      <c r="E560" s="70"/>
      <c r="F560" s="68"/>
      <c r="G560" s="68"/>
      <c r="H560" s="68"/>
      <c r="I560" s="70"/>
      <c r="J560" s="68"/>
      <c r="K560" s="68"/>
      <c r="L560" s="68"/>
      <c r="M560" s="73"/>
      <c r="N560" s="70"/>
      <c r="O560" s="70"/>
      <c r="P560" s="68"/>
    </row>
    <row r="561" customFormat="false" ht="15" hidden="false" customHeight="false" outlineLevel="0" collapsed="false">
      <c r="A561" s="67"/>
      <c r="B561" s="68"/>
      <c r="C561" s="70"/>
      <c r="D561" s="68"/>
      <c r="E561" s="70"/>
      <c r="F561" s="68"/>
      <c r="G561" s="68"/>
      <c r="H561" s="68"/>
      <c r="I561" s="70"/>
      <c r="J561" s="68"/>
      <c r="K561" s="68"/>
      <c r="L561" s="68"/>
      <c r="M561" s="73"/>
      <c r="N561" s="70"/>
      <c r="O561" s="70"/>
      <c r="P561" s="68"/>
    </row>
    <row r="562" customFormat="false" ht="15" hidden="false" customHeight="false" outlineLevel="0" collapsed="false">
      <c r="A562" s="67"/>
      <c r="B562" s="68"/>
      <c r="C562" s="70"/>
      <c r="D562" s="68"/>
      <c r="E562" s="70"/>
      <c r="F562" s="68"/>
      <c r="G562" s="68"/>
      <c r="H562" s="68"/>
      <c r="I562" s="70"/>
      <c r="J562" s="68"/>
      <c r="K562" s="68"/>
      <c r="L562" s="68"/>
      <c r="M562" s="73"/>
      <c r="N562" s="70"/>
      <c r="O562" s="70"/>
      <c r="P562" s="68"/>
    </row>
    <row r="563" customFormat="false" ht="15" hidden="false" customHeight="false" outlineLevel="0" collapsed="false">
      <c r="A563" s="67"/>
      <c r="B563" s="68"/>
      <c r="C563" s="70"/>
      <c r="D563" s="68"/>
      <c r="E563" s="70"/>
      <c r="F563" s="68"/>
      <c r="G563" s="68"/>
      <c r="H563" s="68"/>
      <c r="I563" s="70"/>
      <c r="J563" s="68"/>
      <c r="K563" s="68"/>
      <c r="L563" s="68"/>
      <c r="M563" s="73"/>
      <c r="N563" s="70"/>
      <c r="O563" s="70"/>
      <c r="P563" s="68"/>
    </row>
    <row r="564" customFormat="false" ht="15" hidden="false" customHeight="false" outlineLevel="0" collapsed="false">
      <c r="A564" s="67"/>
      <c r="B564" s="68"/>
      <c r="C564" s="70"/>
      <c r="D564" s="68"/>
      <c r="E564" s="70"/>
      <c r="F564" s="68"/>
      <c r="G564" s="68"/>
      <c r="H564" s="68"/>
      <c r="I564" s="70"/>
      <c r="J564" s="68"/>
      <c r="K564" s="68"/>
      <c r="L564" s="68"/>
      <c r="M564" s="73"/>
      <c r="N564" s="70"/>
      <c r="O564" s="70"/>
      <c r="P564" s="68"/>
    </row>
    <row r="565" customFormat="false" ht="15" hidden="false" customHeight="false" outlineLevel="0" collapsed="false">
      <c r="A565" s="67"/>
      <c r="B565" s="68"/>
      <c r="C565" s="70"/>
      <c r="D565" s="68"/>
      <c r="E565" s="70"/>
      <c r="F565" s="68"/>
      <c r="G565" s="68"/>
      <c r="H565" s="68"/>
      <c r="I565" s="70"/>
      <c r="J565" s="68"/>
      <c r="K565" s="68"/>
      <c r="L565" s="68"/>
      <c r="M565" s="73"/>
      <c r="N565" s="70"/>
      <c r="O565" s="70"/>
      <c r="P565" s="68"/>
    </row>
    <row r="566" customFormat="false" ht="15" hidden="false" customHeight="false" outlineLevel="0" collapsed="false">
      <c r="A566" s="67"/>
      <c r="B566" s="68"/>
      <c r="C566" s="70"/>
      <c r="D566" s="68"/>
      <c r="E566" s="70"/>
      <c r="F566" s="68"/>
      <c r="G566" s="68"/>
      <c r="H566" s="68"/>
      <c r="I566" s="70"/>
      <c r="J566" s="68"/>
      <c r="K566" s="68"/>
      <c r="L566" s="68"/>
      <c r="M566" s="73"/>
      <c r="N566" s="70"/>
      <c r="O566" s="70"/>
      <c r="P566" s="68"/>
    </row>
    <row r="567" customFormat="false" ht="15" hidden="false" customHeight="false" outlineLevel="0" collapsed="false">
      <c r="A567" s="67"/>
      <c r="B567" s="68"/>
      <c r="C567" s="70"/>
      <c r="D567" s="68"/>
      <c r="E567" s="70"/>
      <c r="F567" s="68"/>
      <c r="G567" s="68"/>
      <c r="H567" s="68"/>
      <c r="I567" s="70"/>
      <c r="J567" s="68"/>
      <c r="K567" s="68"/>
      <c r="L567" s="68"/>
      <c r="M567" s="73"/>
      <c r="N567" s="70"/>
      <c r="O567" s="70"/>
      <c r="P567" s="68"/>
    </row>
    <row r="568" customFormat="false" ht="15" hidden="false" customHeight="false" outlineLevel="0" collapsed="false">
      <c r="A568" s="67"/>
      <c r="B568" s="68"/>
      <c r="C568" s="70"/>
      <c r="D568" s="68"/>
      <c r="E568" s="70"/>
      <c r="F568" s="68"/>
      <c r="G568" s="68"/>
      <c r="H568" s="68"/>
      <c r="I568" s="70"/>
      <c r="J568" s="68"/>
      <c r="K568" s="68"/>
      <c r="L568" s="68"/>
      <c r="M568" s="73"/>
      <c r="N568" s="70"/>
      <c r="O568" s="70"/>
      <c r="P568" s="68"/>
    </row>
    <row r="569" customFormat="false" ht="15" hidden="false" customHeight="false" outlineLevel="0" collapsed="false">
      <c r="A569" s="67"/>
      <c r="B569" s="68"/>
      <c r="C569" s="70"/>
      <c r="D569" s="68"/>
      <c r="E569" s="70"/>
      <c r="F569" s="68"/>
      <c r="G569" s="68"/>
      <c r="H569" s="68"/>
      <c r="I569" s="70"/>
      <c r="J569" s="68"/>
      <c r="K569" s="68"/>
      <c r="L569" s="68"/>
      <c r="M569" s="73"/>
      <c r="N569" s="70"/>
      <c r="O569" s="70"/>
      <c r="P569" s="68"/>
    </row>
    <row r="570" customFormat="false" ht="15" hidden="false" customHeight="false" outlineLevel="0" collapsed="false">
      <c r="A570" s="67"/>
      <c r="B570" s="68"/>
      <c r="C570" s="70"/>
      <c r="D570" s="68"/>
      <c r="E570" s="70"/>
      <c r="F570" s="68"/>
      <c r="G570" s="68"/>
      <c r="H570" s="68"/>
      <c r="I570" s="70"/>
      <c r="J570" s="68"/>
      <c r="K570" s="68"/>
      <c r="L570" s="68"/>
      <c r="M570" s="73"/>
      <c r="N570" s="70"/>
      <c r="O570" s="70"/>
      <c r="P570" s="68"/>
    </row>
    <row r="571" customFormat="false" ht="15" hidden="false" customHeight="false" outlineLevel="0" collapsed="false">
      <c r="A571" s="67"/>
      <c r="B571" s="68"/>
      <c r="C571" s="70"/>
      <c r="D571" s="68"/>
      <c r="E571" s="70"/>
      <c r="F571" s="68"/>
      <c r="G571" s="68"/>
      <c r="H571" s="68"/>
      <c r="I571" s="70"/>
      <c r="J571" s="68"/>
      <c r="K571" s="68"/>
      <c r="L571" s="68"/>
      <c r="M571" s="73"/>
      <c r="N571" s="70"/>
      <c r="O571" s="70"/>
      <c r="P571" s="68"/>
    </row>
    <row r="572" customFormat="false" ht="15" hidden="false" customHeight="false" outlineLevel="0" collapsed="false">
      <c r="A572" s="67"/>
      <c r="B572" s="68"/>
      <c r="C572" s="70"/>
      <c r="D572" s="68"/>
      <c r="E572" s="70"/>
      <c r="F572" s="68"/>
      <c r="G572" s="68"/>
      <c r="H572" s="68"/>
      <c r="I572" s="70"/>
      <c r="J572" s="68"/>
      <c r="K572" s="68"/>
      <c r="L572" s="68"/>
      <c r="M572" s="73"/>
      <c r="N572" s="70"/>
      <c r="O572" s="70"/>
      <c r="P572" s="68"/>
    </row>
    <row r="573" customFormat="false" ht="15" hidden="false" customHeight="false" outlineLevel="0" collapsed="false">
      <c r="A573" s="67"/>
      <c r="B573" s="68"/>
      <c r="C573" s="70"/>
      <c r="D573" s="68"/>
      <c r="E573" s="70"/>
      <c r="F573" s="68"/>
      <c r="G573" s="68"/>
      <c r="H573" s="68"/>
      <c r="I573" s="70"/>
      <c r="J573" s="68"/>
      <c r="K573" s="68"/>
      <c r="L573" s="68"/>
      <c r="M573" s="73"/>
      <c r="N573" s="70"/>
      <c r="O573" s="70"/>
      <c r="P573" s="68"/>
    </row>
    <row r="574" customFormat="false" ht="15" hidden="false" customHeight="false" outlineLevel="0" collapsed="false">
      <c r="A574" s="67"/>
      <c r="B574" s="68"/>
      <c r="C574" s="70"/>
      <c r="D574" s="68"/>
      <c r="E574" s="70"/>
      <c r="F574" s="68"/>
      <c r="G574" s="68"/>
      <c r="H574" s="68"/>
      <c r="I574" s="70"/>
      <c r="J574" s="68"/>
      <c r="K574" s="68"/>
      <c r="L574" s="68"/>
      <c r="M574" s="73"/>
      <c r="N574" s="70"/>
      <c r="O574" s="70"/>
      <c r="P574" s="68"/>
    </row>
    <row r="575" customFormat="false" ht="15" hidden="false" customHeight="false" outlineLevel="0" collapsed="false">
      <c r="A575" s="67"/>
      <c r="B575" s="68"/>
      <c r="C575" s="70"/>
      <c r="D575" s="68"/>
      <c r="E575" s="70"/>
      <c r="F575" s="68"/>
      <c r="G575" s="68"/>
      <c r="H575" s="68"/>
      <c r="I575" s="70"/>
      <c r="J575" s="68"/>
      <c r="K575" s="68"/>
      <c r="L575" s="68"/>
      <c r="M575" s="73"/>
      <c r="N575" s="70"/>
      <c r="O575" s="70"/>
      <c r="P575" s="68"/>
    </row>
    <row r="576" customFormat="false" ht="15" hidden="false" customHeight="false" outlineLevel="0" collapsed="false">
      <c r="A576" s="67"/>
      <c r="B576" s="68"/>
      <c r="C576" s="70"/>
      <c r="D576" s="68"/>
      <c r="E576" s="70"/>
      <c r="F576" s="68"/>
      <c r="G576" s="68"/>
      <c r="H576" s="68"/>
      <c r="I576" s="70"/>
      <c r="J576" s="68"/>
      <c r="K576" s="68"/>
      <c r="L576" s="68"/>
      <c r="M576" s="73"/>
      <c r="N576" s="70"/>
      <c r="O576" s="70"/>
      <c r="P576" s="68"/>
    </row>
    <row r="577" customFormat="false" ht="15" hidden="false" customHeight="false" outlineLevel="0" collapsed="false">
      <c r="A577" s="67"/>
      <c r="B577" s="68"/>
      <c r="C577" s="70"/>
      <c r="D577" s="68"/>
      <c r="E577" s="70"/>
      <c r="F577" s="68"/>
      <c r="G577" s="68"/>
      <c r="H577" s="68"/>
      <c r="I577" s="70"/>
      <c r="J577" s="68"/>
      <c r="K577" s="68"/>
      <c r="L577" s="68"/>
      <c r="M577" s="73"/>
      <c r="N577" s="70"/>
      <c r="O577" s="70"/>
      <c r="P577" s="68"/>
    </row>
    <row r="578" customFormat="false" ht="15" hidden="false" customHeight="false" outlineLevel="0" collapsed="false">
      <c r="A578" s="67"/>
      <c r="B578" s="68"/>
      <c r="C578" s="70"/>
      <c r="D578" s="68"/>
      <c r="E578" s="70"/>
      <c r="F578" s="68"/>
      <c r="G578" s="68"/>
      <c r="H578" s="68"/>
      <c r="I578" s="70"/>
      <c r="J578" s="68"/>
      <c r="K578" s="68"/>
      <c r="L578" s="68"/>
      <c r="M578" s="73"/>
      <c r="N578" s="70"/>
      <c r="O578" s="70"/>
      <c r="P578" s="68"/>
    </row>
    <row r="579" customFormat="false" ht="15" hidden="false" customHeight="false" outlineLevel="0" collapsed="false">
      <c r="A579" s="67"/>
      <c r="B579" s="68"/>
      <c r="C579" s="70"/>
      <c r="D579" s="68"/>
      <c r="E579" s="70"/>
      <c r="F579" s="68"/>
      <c r="G579" s="68"/>
      <c r="H579" s="68"/>
      <c r="I579" s="70"/>
      <c r="J579" s="68"/>
      <c r="K579" s="68"/>
      <c r="L579" s="68"/>
      <c r="M579" s="73"/>
      <c r="N579" s="70"/>
      <c r="O579" s="70"/>
      <c r="P579" s="68"/>
    </row>
    <row r="580" customFormat="false" ht="15" hidden="false" customHeight="false" outlineLevel="0" collapsed="false">
      <c r="A580" s="67"/>
      <c r="B580" s="68"/>
      <c r="C580" s="70"/>
      <c r="D580" s="68"/>
      <c r="E580" s="70"/>
      <c r="F580" s="68"/>
      <c r="G580" s="68"/>
      <c r="H580" s="68"/>
      <c r="I580" s="70"/>
      <c r="J580" s="68"/>
      <c r="K580" s="68"/>
      <c r="L580" s="68"/>
      <c r="M580" s="73"/>
      <c r="N580" s="70"/>
      <c r="O580" s="70"/>
      <c r="P580" s="68"/>
    </row>
    <row r="581" customFormat="false" ht="15" hidden="false" customHeight="false" outlineLevel="0" collapsed="false">
      <c r="A581" s="67"/>
      <c r="B581" s="68"/>
      <c r="C581" s="70"/>
      <c r="D581" s="68"/>
      <c r="E581" s="70"/>
      <c r="F581" s="68"/>
      <c r="G581" s="68"/>
      <c r="H581" s="68"/>
      <c r="I581" s="70"/>
      <c r="J581" s="68"/>
      <c r="K581" s="68"/>
      <c r="L581" s="68"/>
      <c r="M581" s="73"/>
      <c r="N581" s="70"/>
      <c r="O581" s="70"/>
      <c r="P581" s="68"/>
    </row>
    <row r="582" customFormat="false" ht="15" hidden="false" customHeight="false" outlineLevel="0" collapsed="false">
      <c r="A582" s="67"/>
      <c r="B582" s="68"/>
      <c r="C582" s="70"/>
      <c r="D582" s="68"/>
      <c r="E582" s="70"/>
      <c r="F582" s="68"/>
      <c r="G582" s="68"/>
      <c r="H582" s="68"/>
      <c r="I582" s="70"/>
      <c r="J582" s="68"/>
      <c r="K582" s="68"/>
      <c r="L582" s="68"/>
      <c r="M582" s="73"/>
      <c r="N582" s="70"/>
      <c r="O582" s="70"/>
      <c r="P582" s="68"/>
    </row>
    <row r="583" customFormat="false" ht="15" hidden="false" customHeight="false" outlineLevel="0" collapsed="false">
      <c r="A583" s="67"/>
      <c r="B583" s="68"/>
      <c r="C583" s="70"/>
      <c r="D583" s="68"/>
      <c r="E583" s="70"/>
      <c r="F583" s="68"/>
      <c r="G583" s="68"/>
      <c r="H583" s="68"/>
      <c r="I583" s="70"/>
      <c r="J583" s="68"/>
      <c r="K583" s="68"/>
      <c r="L583" s="68"/>
      <c r="M583" s="73"/>
      <c r="N583" s="70"/>
      <c r="O583" s="70"/>
      <c r="P583" s="68"/>
    </row>
    <row r="584" customFormat="false" ht="15" hidden="false" customHeight="false" outlineLevel="0" collapsed="false">
      <c r="A584" s="67"/>
      <c r="B584" s="68"/>
      <c r="C584" s="70"/>
      <c r="D584" s="68"/>
      <c r="E584" s="70"/>
      <c r="F584" s="68"/>
      <c r="G584" s="68"/>
      <c r="H584" s="68"/>
      <c r="I584" s="70"/>
      <c r="J584" s="68"/>
      <c r="K584" s="68"/>
      <c r="L584" s="68"/>
      <c r="M584" s="73"/>
      <c r="N584" s="70"/>
      <c r="O584" s="70"/>
      <c r="P584" s="68"/>
    </row>
    <row r="585" customFormat="false" ht="15" hidden="false" customHeight="false" outlineLevel="0" collapsed="false">
      <c r="A585" s="67"/>
      <c r="B585" s="68"/>
      <c r="C585" s="70"/>
      <c r="D585" s="68"/>
      <c r="E585" s="70"/>
      <c r="F585" s="68"/>
      <c r="G585" s="68"/>
      <c r="H585" s="68"/>
      <c r="I585" s="70"/>
      <c r="J585" s="68"/>
      <c r="K585" s="68"/>
      <c r="L585" s="68"/>
      <c r="M585" s="73"/>
      <c r="N585" s="70"/>
      <c r="O585" s="70"/>
      <c r="P585" s="68"/>
    </row>
    <row r="586" customFormat="false" ht="15" hidden="false" customHeight="false" outlineLevel="0" collapsed="false">
      <c r="A586" s="67"/>
      <c r="B586" s="68"/>
      <c r="C586" s="70"/>
      <c r="D586" s="68"/>
      <c r="E586" s="70"/>
      <c r="F586" s="68"/>
      <c r="G586" s="68"/>
      <c r="H586" s="68"/>
      <c r="I586" s="70"/>
      <c r="J586" s="68"/>
      <c r="K586" s="68"/>
      <c r="L586" s="68"/>
      <c r="M586" s="73"/>
      <c r="N586" s="70"/>
      <c r="O586" s="70"/>
      <c r="P586" s="68"/>
    </row>
    <row r="587" customFormat="false" ht="15" hidden="false" customHeight="false" outlineLevel="0" collapsed="false">
      <c r="A587" s="67"/>
      <c r="B587" s="68"/>
      <c r="C587" s="70"/>
      <c r="D587" s="68"/>
      <c r="E587" s="70"/>
      <c r="F587" s="68"/>
      <c r="G587" s="68"/>
      <c r="H587" s="68"/>
      <c r="I587" s="70"/>
      <c r="J587" s="68"/>
      <c r="K587" s="68"/>
      <c r="L587" s="68"/>
      <c r="M587" s="73"/>
      <c r="N587" s="70"/>
      <c r="O587" s="70"/>
      <c r="P587" s="68"/>
    </row>
    <row r="588" customFormat="false" ht="15" hidden="false" customHeight="false" outlineLevel="0" collapsed="false">
      <c r="A588" s="67"/>
      <c r="B588" s="68"/>
      <c r="C588" s="70"/>
      <c r="D588" s="68"/>
      <c r="E588" s="70"/>
      <c r="F588" s="68"/>
      <c r="G588" s="68"/>
      <c r="H588" s="68"/>
      <c r="I588" s="70"/>
      <c r="J588" s="68"/>
      <c r="K588" s="68"/>
      <c r="L588" s="68"/>
      <c r="M588" s="73"/>
      <c r="N588" s="70"/>
      <c r="O588" s="70"/>
      <c r="P588" s="68"/>
    </row>
    <row r="589" customFormat="false" ht="15" hidden="false" customHeight="false" outlineLevel="0" collapsed="false">
      <c r="A589" s="67"/>
      <c r="B589" s="68"/>
      <c r="C589" s="70"/>
      <c r="D589" s="68"/>
      <c r="E589" s="70"/>
      <c r="F589" s="68"/>
      <c r="G589" s="68"/>
      <c r="H589" s="68"/>
      <c r="I589" s="70"/>
      <c r="J589" s="68"/>
      <c r="K589" s="68"/>
      <c r="L589" s="68"/>
      <c r="M589" s="73"/>
      <c r="N589" s="70"/>
      <c r="O589" s="70"/>
      <c r="P589" s="68"/>
    </row>
    <row r="590" customFormat="false" ht="15" hidden="false" customHeight="false" outlineLevel="0" collapsed="false">
      <c r="A590" s="67"/>
      <c r="B590" s="68"/>
      <c r="C590" s="70"/>
      <c r="D590" s="68"/>
      <c r="E590" s="70"/>
      <c r="F590" s="68"/>
      <c r="G590" s="68"/>
      <c r="H590" s="68"/>
      <c r="I590" s="70"/>
      <c r="J590" s="68"/>
      <c r="K590" s="68"/>
      <c r="L590" s="68"/>
      <c r="M590" s="73"/>
      <c r="N590" s="70"/>
      <c r="O590" s="70"/>
      <c r="P590" s="68"/>
    </row>
    <row r="591" customFormat="false" ht="15" hidden="false" customHeight="false" outlineLevel="0" collapsed="false">
      <c r="A591" s="67"/>
      <c r="B591" s="68"/>
      <c r="C591" s="70"/>
      <c r="D591" s="68"/>
      <c r="E591" s="70"/>
      <c r="F591" s="68"/>
      <c r="G591" s="68"/>
      <c r="H591" s="68"/>
      <c r="I591" s="70"/>
      <c r="J591" s="68"/>
      <c r="K591" s="68"/>
      <c r="L591" s="68"/>
      <c r="M591" s="73"/>
      <c r="N591" s="70"/>
      <c r="O591" s="70"/>
      <c r="P591" s="68"/>
    </row>
    <row r="592" customFormat="false" ht="15" hidden="false" customHeight="false" outlineLevel="0" collapsed="false">
      <c r="A592" s="67"/>
      <c r="B592" s="68"/>
      <c r="C592" s="70"/>
      <c r="D592" s="68"/>
      <c r="E592" s="70"/>
      <c r="F592" s="68"/>
      <c r="G592" s="68"/>
      <c r="H592" s="68"/>
      <c r="I592" s="70"/>
      <c r="J592" s="68"/>
      <c r="K592" s="68"/>
      <c r="L592" s="68"/>
      <c r="M592" s="73"/>
      <c r="N592" s="70"/>
      <c r="O592" s="70"/>
      <c r="P592" s="68"/>
    </row>
    <row r="593" customFormat="false" ht="15" hidden="false" customHeight="false" outlineLevel="0" collapsed="false">
      <c r="A593" s="67"/>
      <c r="B593" s="68"/>
      <c r="C593" s="70"/>
      <c r="D593" s="68"/>
      <c r="E593" s="70"/>
      <c r="F593" s="68"/>
      <c r="G593" s="68"/>
      <c r="H593" s="68"/>
      <c r="I593" s="70"/>
      <c r="J593" s="68"/>
      <c r="K593" s="68"/>
      <c r="L593" s="68"/>
      <c r="M593" s="73"/>
      <c r="N593" s="70"/>
      <c r="O593" s="70"/>
      <c r="P593" s="68"/>
    </row>
    <row r="594" customFormat="false" ht="15" hidden="false" customHeight="false" outlineLevel="0" collapsed="false">
      <c r="A594" s="67"/>
      <c r="B594" s="68"/>
      <c r="C594" s="70"/>
      <c r="D594" s="68"/>
      <c r="E594" s="70"/>
      <c r="F594" s="68"/>
      <c r="G594" s="68"/>
      <c r="H594" s="68"/>
      <c r="I594" s="70"/>
      <c r="J594" s="68"/>
      <c r="K594" s="68"/>
      <c r="L594" s="68"/>
      <c r="M594" s="73"/>
      <c r="N594" s="70"/>
      <c r="O594" s="70"/>
      <c r="P594" s="68"/>
    </row>
    <row r="595" customFormat="false" ht="15" hidden="false" customHeight="false" outlineLevel="0" collapsed="false">
      <c r="A595" s="67"/>
      <c r="B595" s="68"/>
      <c r="C595" s="70"/>
      <c r="D595" s="68"/>
      <c r="E595" s="70"/>
      <c r="F595" s="68"/>
      <c r="G595" s="68"/>
      <c r="H595" s="68"/>
      <c r="I595" s="70"/>
      <c r="J595" s="68"/>
      <c r="K595" s="68"/>
      <c r="L595" s="68"/>
      <c r="M595" s="73"/>
      <c r="N595" s="70"/>
      <c r="O595" s="70"/>
      <c r="P595" s="68"/>
    </row>
    <row r="596" customFormat="false" ht="15" hidden="false" customHeight="false" outlineLevel="0" collapsed="false">
      <c r="A596" s="67"/>
      <c r="B596" s="68"/>
      <c r="C596" s="70"/>
      <c r="D596" s="68"/>
      <c r="E596" s="70"/>
      <c r="F596" s="68"/>
      <c r="G596" s="68"/>
      <c r="H596" s="68"/>
      <c r="I596" s="70"/>
      <c r="J596" s="68"/>
      <c r="K596" s="68"/>
      <c r="L596" s="68"/>
      <c r="M596" s="73"/>
      <c r="N596" s="70"/>
      <c r="O596" s="70"/>
      <c r="P596" s="68"/>
    </row>
    <row r="597" customFormat="false" ht="15" hidden="false" customHeight="false" outlineLevel="0" collapsed="false">
      <c r="A597" s="67"/>
      <c r="B597" s="68"/>
      <c r="C597" s="70"/>
      <c r="D597" s="68"/>
      <c r="E597" s="70"/>
      <c r="F597" s="68"/>
      <c r="G597" s="68"/>
      <c r="H597" s="68"/>
      <c r="I597" s="70"/>
      <c r="J597" s="68"/>
      <c r="K597" s="68"/>
      <c r="L597" s="68"/>
      <c r="M597" s="73"/>
      <c r="N597" s="70"/>
      <c r="O597" s="70"/>
      <c r="P597" s="68"/>
    </row>
    <row r="598" customFormat="false" ht="15" hidden="false" customHeight="false" outlineLevel="0" collapsed="false">
      <c r="A598" s="67"/>
      <c r="B598" s="68"/>
      <c r="C598" s="70"/>
      <c r="D598" s="68"/>
      <c r="E598" s="70"/>
      <c r="F598" s="68"/>
      <c r="G598" s="68"/>
      <c r="H598" s="68"/>
      <c r="I598" s="70"/>
      <c r="J598" s="68"/>
      <c r="K598" s="68"/>
      <c r="L598" s="68"/>
      <c r="M598" s="73"/>
      <c r="N598" s="70"/>
      <c r="O598" s="70"/>
      <c r="P598" s="68"/>
    </row>
    <row r="599" customFormat="false" ht="15" hidden="false" customHeight="false" outlineLevel="0" collapsed="false">
      <c r="A599" s="67"/>
      <c r="B599" s="68"/>
      <c r="C599" s="70"/>
      <c r="D599" s="68"/>
      <c r="E599" s="70"/>
      <c r="F599" s="68"/>
      <c r="G599" s="68"/>
      <c r="H599" s="68"/>
      <c r="I599" s="70"/>
      <c r="J599" s="68"/>
      <c r="K599" s="68"/>
      <c r="L599" s="68"/>
      <c r="M599" s="73"/>
      <c r="N599" s="70"/>
      <c r="O599" s="70"/>
      <c r="P599" s="68"/>
    </row>
    <row r="600" customFormat="false" ht="15" hidden="false" customHeight="false" outlineLevel="0" collapsed="false">
      <c r="A600" s="67"/>
      <c r="B600" s="68"/>
      <c r="C600" s="70"/>
      <c r="D600" s="68"/>
      <c r="E600" s="70"/>
      <c r="F600" s="68"/>
      <c r="G600" s="68"/>
      <c r="H600" s="68"/>
      <c r="I600" s="70"/>
      <c r="J600" s="68"/>
      <c r="K600" s="68"/>
      <c r="L600" s="68"/>
      <c r="M600" s="73"/>
      <c r="N600" s="70"/>
      <c r="O600" s="70"/>
      <c r="P600" s="68"/>
    </row>
    <row r="601" customFormat="false" ht="15" hidden="false" customHeight="false" outlineLevel="0" collapsed="false">
      <c r="A601" s="67"/>
      <c r="B601" s="68"/>
      <c r="C601" s="70"/>
      <c r="D601" s="68"/>
      <c r="E601" s="70"/>
      <c r="F601" s="68"/>
      <c r="G601" s="68"/>
      <c r="H601" s="68"/>
      <c r="I601" s="70"/>
      <c r="J601" s="68"/>
      <c r="K601" s="68"/>
      <c r="L601" s="68"/>
      <c r="M601" s="73"/>
      <c r="N601" s="70"/>
      <c r="O601" s="70"/>
      <c r="P601" s="68"/>
    </row>
    <row r="602" customFormat="false" ht="15" hidden="false" customHeight="false" outlineLevel="0" collapsed="false">
      <c r="A602" s="67"/>
      <c r="B602" s="68"/>
      <c r="C602" s="70"/>
      <c r="D602" s="68"/>
      <c r="E602" s="70"/>
      <c r="F602" s="68"/>
      <c r="G602" s="68"/>
      <c r="H602" s="68"/>
      <c r="I602" s="70"/>
      <c r="J602" s="68"/>
      <c r="K602" s="68"/>
      <c r="L602" s="68"/>
      <c r="M602" s="73"/>
      <c r="N602" s="70"/>
      <c r="O602" s="70"/>
      <c r="P602" s="68"/>
    </row>
    <row r="603" customFormat="false" ht="15" hidden="false" customHeight="false" outlineLevel="0" collapsed="false">
      <c r="A603" s="67"/>
      <c r="B603" s="68"/>
      <c r="C603" s="70"/>
      <c r="D603" s="68"/>
      <c r="E603" s="70"/>
      <c r="F603" s="68"/>
      <c r="G603" s="68"/>
      <c r="H603" s="68"/>
      <c r="I603" s="70"/>
      <c r="J603" s="68"/>
      <c r="K603" s="68"/>
      <c r="L603" s="68"/>
      <c r="M603" s="73"/>
      <c r="N603" s="70"/>
      <c r="O603" s="70"/>
      <c r="P603" s="68"/>
    </row>
    <row r="604" customFormat="false" ht="15" hidden="false" customHeight="false" outlineLevel="0" collapsed="false">
      <c r="A604" s="67"/>
      <c r="B604" s="68"/>
      <c r="C604" s="70"/>
      <c r="D604" s="68"/>
      <c r="E604" s="70"/>
      <c r="F604" s="68"/>
      <c r="G604" s="68"/>
      <c r="H604" s="68"/>
      <c r="I604" s="70"/>
      <c r="J604" s="68"/>
      <c r="K604" s="68"/>
      <c r="L604" s="68"/>
      <c r="M604" s="73"/>
      <c r="N604" s="70"/>
      <c r="O604" s="70"/>
      <c r="P604" s="68"/>
    </row>
    <row r="605" customFormat="false" ht="15" hidden="false" customHeight="false" outlineLevel="0" collapsed="false">
      <c r="A605" s="67"/>
      <c r="B605" s="68"/>
      <c r="C605" s="70"/>
      <c r="D605" s="68"/>
      <c r="E605" s="70"/>
      <c r="F605" s="68"/>
      <c r="G605" s="68"/>
      <c r="H605" s="68"/>
      <c r="I605" s="70"/>
      <c r="J605" s="68"/>
      <c r="K605" s="68"/>
      <c r="L605" s="68"/>
      <c r="M605" s="73"/>
      <c r="N605" s="70"/>
      <c r="O605" s="70"/>
      <c r="P605" s="68"/>
    </row>
    <row r="606" customFormat="false" ht="15" hidden="false" customHeight="false" outlineLevel="0" collapsed="false">
      <c r="A606" s="67"/>
      <c r="B606" s="68"/>
      <c r="C606" s="70"/>
      <c r="D606" s="68"/>
      <c r="E606" s="70"/>
      <c r="F606" s="68"/>
      <c r="G606" s="68"/>
      <c r="H606" s="68"/>
      <c r="I606" s="70"/>
      <c r="J606" s="68"/>
      <c r="K606" s="68"/>
      <c r="L606" s="68"/>
      <c r="M606" s="73"/>
      <c r="N606" s="70"/>
      <c r="O606" s="70"/>
      <c r="P606" s="68"/>
    </row>
    <row r="607" customFormat="false" ht="15" hidden="false" customHeight="false" outlineLevel="0" collapsed="false">
      <c r="A607" s="67"/>
      <c r="B607" s="68"/>
      <c r="C607" s="70"/>
      <c r="D607" s="68"/>
      <c r="E607" s="70"/>
      <c r="F607" s="68"/>
      <c r="G607" s="68"/>
      <c r="H607" s="68"/>
      <c r="I607" s="70"/>
      <c r="J607" s="68"/>
      <c r="K607" s="68"/>
      <c r="L607" s="68"/>
      <c r="M607" s="73"/>
      <c r="N607" s="70"/>
      <c r="O607" s="70"/>
      <c r="P607" s="68"/>
    </row>
    <row r="608" customFormat="false" ht="15" hidden="false" customHeight="false" outlineLevel="0" collapsed="false">
      <c r="A608" s="67"/>
      <c r="B608" s="68"/>
      <c r="C608" s="70"/>
      <c r="D608" s="68"/>
      <c r="E608" s="70"/>
      <c r="F608" s="68"/>
      <c r="G608" s="68"/>
      <c r="H608" s="68"/>
      <c r="I608" s="70"/>
      <c r="J608" s="68"/>
      <c r="K608" s="68"/>
      <c r="L608" s="68"/>
      <c r="M608" s="73"/>
      <c r="N608" s="70"/>
      <c r="O608" s="70"/>
      <c r="P608" s="68"/>
    </row>
    <row r="609" customFormat="false" ht="15" hidden="false" customHeight="false" outlineLevel="0" collapsed="false">
      <c r="A609" s="67"/>
      <c r="B609" s="68"/>
      <c r="C609" s="70"/>
      <c r="D609" s="68"/>
      <c r="E609" s="70"/>
      <c r="F609" s="68"/>
      <c r="G609" s="68"/>
      <c r="H609" s="68"/>
      <c r="I609" s="70"/>
      <c r="J609" s="68"/>
      <c r="K609" s="68"/>
      <c r="L609" s="68"/>
      <c r="M609" s="73"/>
      <c r="N609" s="70"/>
      <c r="O609" s="70"/>
      <c r="P609" s="68"/>
    </row>
    <row r="610" customFormat="false" ht="15" hidden="false" customHeight="false" outlineLevel="0" collapsed="false">
      <c r="A610" s="67"/>
      <c r="B610" s="68"/>
      <c r="C610" s="70"/>
      <c r="D610" s="68"/>
      <c r="E610" s="70"/>
      <c r="F610" s="68"/>
      <c r="G610" s="68"/>
      <c r="H610" s="68"/>
      <c r="I610" s="70"/>
      <c r="J610" s="68"/>
      <c r="K610" s="68"/>
      <c r="L610" s="68"/>
      <c r="M610" s="73"/>
      <c r="N610" s="70"/>
      <c r="O610" s="70"/>
      <c r="P610" s="68"/>
    </row>
    <row r="611" customFormat="false" ht="15" hidden="false" customHeight="false" outlineLevel="0" collapsed="false">
      <c r="A611" s="67"/>
      <c r="B611" s="68"/>
      <c r="C611" s="70"/>
      <c r="D611" s="68"/>
      <c r="E611" s="70"/>
      <c r="F611" s="68"/>
      <c r="G611" s="68"/>
      <c r="H611" s="68"/>
      <c r="I611" s="70"/>
      <c r="J611" s="68"/>
      <c r="K611" s="68"/>
      <c r="L611" s="68"/>
      <c r="M611" s="73"/>
      <c r="N611" s="70"/>
      <c r="O611" s="70"/>
      <c r="P611" s="68"/>
    </row>
    <row r="612" customFormat="false" ht="15" hidden="false" customHeight="false" outlineLevel="0" collapsed="false">
      <c r="A612" s="67"/>
      <c r="B612" s="68"/>
      <c r="C612" s="70"/>
      <c r="D612" s="68"/>
      <c r="E612" s="70"/>
      <c r="F612" s="68"/>
      <c r="G612" s="68"/>
      <c r="H612" s="68"/>
      <c r="I612" s="70"/>
      <c r="J612" s="68"/>
      <c r="K612" s="68"/>
      <c r="L612" s="68"/>
      <c r="M612" s="73"/>
      <c r="N612" s="70"/>
      <c r="O612" s="70"/>
      <c r="P612" s="68"/>
    </row>
    <row r="613" customFormat="false" ht="15" hidden="false" customHeight="false" outlineLevel="0" collapsed="false">
      <c r="A613" s="67"/>
      <c r="B613" s="68"/>
      <c r="C613" s="70"/>
      <c r="D613" s="68"/>
      <c r="E613" s="70"/>
      <c r="F613" s="68"/>
      <c r="G613" s="68"/>
      <c r="H613" s="68"/>
      <c r="I613" s="70"/>
      <c r="J613" s="68"/>
      <c r="K613" s="68"/>
      <c r="L613" s="68"/>
      <c r="M613" s="73"/>
      <c r="N613" s="70"/>
      <c r="O613" s="70"/>
      <c r="P613" s="68"/>
    </row>
    <row r="614" customFormat="false" ht="15" hidden="false" customHeight="false" outlineLevel="0" collapsed="false">
      <c r="A614" s="67"/>
      <c r="B614" s="68"/>
      <c r="C614" s="70"/>
      <c r="D614" s="68"/>
      <c r="E614" s="70"/>
      <c r="F614" s="68"/>
      <c r="G614" s="68"/>
      <c r="H614" s="68"/>
      <c r="I614" s="70"/>
      <c r="J614" s="68"/>
      <c r="K614" s="68"/>
      <c r="L614" s="68"/>
      <c r="M614" s="73"/>
      <c r="N614" s="70"/>
      <c r="O614" s="70"/>
      <c r="P614" s="68"/>
    </row>
    <row r="615" customFormat="false" ht="15" hidden="false" customHeight="false" outlineLevel="0" collapsed="false">
      <c r="A615" s="67"/>
      <c r="B615" s="68"/>
      <c r="C615" s="70"/>
      <c r="D615" s="68"/>
      <c r="E615" s="70"/>
      <c r="F615" s="68"/>
      <c r="G615" s="68"/>
      <c r="H615" s="68"/>
      <c r="I615" s="70"/>
      <c r="J615" s="68"/>
      <c r="K615" s="68"/>
      <c r="L615" s="68"/>
      <c r="M615" s="73"/>
      <c r="N615" s="70"/>
      <c r="O615" s="70"/>
      <c r="P615" s="68"/>
    </row>
    <row r="616" customFormat="false" ht="15" hidden="false" customHeight="false" outlineLevel="0" collapsed="false">
      <c r="A616" s="67"/>
      <c r="B616" s="68"/>
      <c r="C616" s="70"/>
      <c r="D616" s="68"/>
      <c r="E616" s="70"/>
      <c r="F616" s="68"/>
      <c r="G616" s="68"/>
      <c r="H616" s="68"/>
      <c r="I616" s="70"/>
      <c r="J616" s="68"/>
      <c r="K616" s="68"/>
      <c r="L616" s="68"/>
      <c r="M616" s="73"/>
      <c r="N616" s="70"/>
      <c r="O616" s="70"/>
      <c r="P616" s="68"/>
    </row>
    <row r="617" customFormat="false" ht="15" hidden="false" customHeight="false" outlineLevel="0" collapsed="false">
      <c r="A617" s="67"/>
      <c r="B617" s="68"/>
      <c r="C617" s="70"/>
      <c r="D617" s="68"/>
      <c r="E617" s="70"/>
      <c r="F617" s="68"/>
      <c r="G617" s="68"/>
      <c r="H617" s="68"/>
      <c r="I617" s="70"/>
      <c r="J617" s="68"/>
      <c r="K617" s="68"/>
      <c r="L617" s="68"/>
      <c r="M617" s="73"/>
      <c r="N617" s="70"/>
      <c r="O617" s="70"/>
      <c r="P617" s="68"/>
    </row>
    <row r="618" customFormat="false" ht="15" hidden="false" customHeight="false" outlineLevel="0" collapsed="false">
      <c r="A618" s="67"/>
      <c r="B618" s="68"/>
      <c r="C618" s="70"/>
      <c r="D618" s="68"/>
      <c r="E618" s="70"/>
      <c r="F618" s="68"/>
      <c r="G618" s="68"/>
      <c r="H618" s="68"/>
      <c r="I618" s="70"/>
      <c r="J618" s="68"/>
      <c r="K618" s="68"/>
      <c r="L618" s="68"/>
      <c r="M618" s="73"/>
      <c r="N618" s="70"/>
      <c r="O618" s="70"/>
      <c r="P618" s="68"/>
    </row>
    <row r="619" customFormat="false" ht="15" hidden="false" customHeight="false" outlineLevel="0" collapsed="false">
      <c r="A619" s="67"/>
      <c r="B619" s="68"/>
      <c r="C619" s="70"/>
      <c r="D619" s="68"/>
      <c r="E619" s="70"/>
      <c r="F619" s="68"/>
      <c r="G619" s="68"/>
      <c r="H619" s="68"/>
      <c r="I619" s="70"/>
      <c r="J619" s="68"/>
      <c r="K619" s="68"/>
      <c r="L619" s="68"/>
      <c r="M619" s="73"/>
      <c r="N619" s="70"/>
      <c r="O619" s="70"/>
      <c r="P619" s="68"/>
    </row>
    <row r="620" customFormat="false" ht="15" hidden="false" customHeight="false" outlineLevel="0" collapsed="false">
      <c r="A620" s="67"/>
      <c r="B620" s="68"/>
      <c r="C620" s="70"/>
      <c r="D620" s="68"/>
      <c r="E620" s="70"/>
      <c r="F620" s="68"/>
      <c r="G620" s="68"/>
      <c r="H620" s="68"/>
      <c r="I620" s="70"/>
      <c r="J620" s="68"/>
      <c r="K620" s="68"/>
      <c r="L620" s="68"/>
      <c r="M620" s="73"/>
      <c r="N620" s="70"/>
      <c r="O620" s="70"/>
      <c r="P620" s="68"/>
    </row>
    <row r="621" customFormat="false" ht="15" hidden="false" customHeight="false" outlineLevel="0" collapsed="false">
      <c r="A621" s="67"/>
      <c r="B621" s="68"/>
      <c r="C621" s="70"/>
      <c r="D621" s="68"/>
      <c r="E621" s="70"/>
      <c r="F621" s="68"/>
      <c r="G621" s="68"/>
      <c r="H621" s="68"/>
      <c r="I621" s="70"/>
      <c r="J621" s="68"/>
      <c r="K621" s="68"/>
      <c r="L621" s="68"/>
      <c r="M621" s="73"/>
      <c r="N621" s="70"/>
      <c r="O621" s="70"/>
      <c r="P621" s="68"/>
    </row>
    <row r="622" customFormat="false" ht="15" hidden="false" customHeight="false" outlineLevel="0" collapsed="false">
      <c r="A622" s="67"/>
      <c r="B622" s="68"/>
      <c r="C622" s="70"/>
      <c r="D622" s="68"/>
      <c r="E622" s="70"/>
      <c r="F622" s="68"/>
      <c r="G622" s="68"/>
      <c r="H622" s="68"/>
      <c r="I622" s="70"/>
      <c r="J622" s="68"/>
      <c r="K622" s="68"/>
      <c r="L622" s="68"/>
      <c r="M622" s="73"/>
      <c r="N622" s="70"/>
      <c r="O622" s="70"/>
      <c r="P622" s="68"/>
    </row>
    <row r="623" customFormat="false" ht="15" hidden="false" customHeight="false" outlineLevel="0" collapsed="false">
      <c r="A623" s="67"/>
      <c r="B623" s="68"/>
      <c r="C623" s="70"/>
      <c r="D623" s="68"/>
      <c r="E623" s="70"/>
      <c r="F623" s="68"/>
      <c r="G623" s="68"/>
      <c r="H623" s="68"/>
      <c r="I623" s="70"/>
      <c r="J623" s="68"/>
      <c r="K623" s="68"/>
      <c r="L623" s="68"/>
      <c r="M623" s="73"/>
      <c r="N623" s="70"/>
      <c r="O623" s="70"/>
      <c r="P623" s="68"/>
    </row>
    <row r="624" customFormat="false" ht="15" hidden="false" customHeight="false" outlineLevel="0" collapsed="false">
      <c r="A624" s="67"/>
      <c r="B624" s="68"/>
      <c r="C624" s="70"/>
      <c r="D624" s="68"/>
      <c r="E624" s="70"/>
      <c r="F624" s="68"/>
      <c r="G624" s="68"/>
      <c r="H624" s="68"/>
      <c r="I624" s="70"/>
      <c r="J624" s="68"/>
      <c r="K624" s="68"/>
      <c r="L624" s="68"/>
      <c r="M624" s="73"/>
      <c r="N624" s="70"/>
      <c r="O624" s="70"/>
      <c r="P624" s="68"/>
    </row>
    <row r="625" customFormat="false" ht="15" hidden="false" customHeight="false" outlineLevel="0" collapsed="false">
      <c r="A625" s="67"/>
      <c r="B625" s="68"/>
      <c r="C625" s="70"/>
      <c r="D625" s="68"/>
      <c r="E625" s="70"/>
      <c r="F625" s="68"/>
      <c r="G625" s="68"/>
      <c r="H625" s="68"/>
      <c r="I625" s="70"/>
      <c r="J625" s="68"/>
      <c r="K625" s="68"/>
      <c r="L625" s="68"/>
      <c r="M625" s="73"/>
      <c r="N625" s="70"/>
      <c r="O625" s="70"/>
      <c r="P625" s="68"/>
    </row>
    <row r="626" customFormat="false" ht="15" hidden="false" customHeight="false" outlineLevel="0" collapsed="false">
      <c r="A626" s="67"/>
      <c r="B626" s="68"/>
      <c r="C626" s="70"/>
      <c r="D626" s="68"/>
      <c r="E626" s="70"/>
      <c r="F626" s="68"/>
      <c r="G626" s="68"/>
      <c r="H626" s="68"/>
      <c r="I626" s="70"/>
      <c r="J626" s="68"/>
      <c r="K626" s="68"/>
      <c r="L626" s="68"/>
      <c r="M626" s="73"/>
      <c r="N626" s="70"/>
      <c r="O626" s="70"/>
      <c r="P626" s="68"/>
    </row>
    <row r="627" customFormat="false" ht="15" hidden="false" customHeight="false" outlineLevel="0" collapsed="false">
      <c r="A627" s="67"/>
      <c r="B627" s="68"/>
      <c r="C627" s="70"/>
      <c r="D627" s="68"/>
      <c r="E627" s="70"/>
      <c r="F627" s="68"/>
      <c r="G627" s="68"/>
      <c r="H627" s="68"/>
      <c r="I627" s="70"/>
      <c r="J627" s="68"/>
      <c r="K627" s="68"/>
      <c r="L627" s="68"/>
      <c r="M627" s="73"/>
      <c r="N627" s="70"/>
      <c r="O627" s="70"/>
      <c r="P627" s="68"/>
    </row>
    <row r="628" customFormat="false" ht="15" hidden="false" customHeight="false" outlineLevel="0" collapsed="false">
      <c r="A628" s="67"/>
      <c r="B628" s="68"/>
      <c r="C628" s="70"/>
      <c r="D628" s="68"/>
      <c r="E628" s="70"/>
      <c r="F628" s="68"/>
      <c r="G628" s="68"/>
      <c r="H628" s="68"/>
      <c r="I628" s="70"/>
      <c r="J628" s="68"/>
      <c r="K628" s="68"/>
      <c r="L628" s="68"/>
      <c r="M628" s="73"/>
      <c r="N628" s="70"/>
      <c r="O628" s="70"/>
      <c r="P628" s="68"/>
    </row>
    <row r="629" customFormat="false" ht="15" hidden="false" customHeight="false" outlineLevel="0" collapsed="false">
      <c r="A629" s="67"/>
      <c r="B629" s="68"/>
      <c r="C629" s="70"/>
      <c r="D629" s="68"/>
      <c r="E629" s="70"/>
      <c r="F629" s="68"/>
      <c r="G629" s="68"/>
      <c r="H629" s="68"/>
      <c r="I629" s="70"/>
      <c r="J629" s="68"/>
      <c r="K629" s="68"/>
      <c r="L629" s="68"/>
      <c r="M629" s="73"/>
      <c r="N629" s="70"/>
      <c r="O629" s="70"/>
      <c r="P629" s="68"/>
    </row>
    <row r="630" customFormat="false" ht="15" hidden="false" customHeight="false" outlineLevel="0" collapsed="false">
      <c r="A630" s="67"/>
      <c r="B630" s="68"/>
      <c r="C630" s="70"/>
      <c r="D630" s="68"/>
      <c r="E630" s="70"/>
      <c r="F630" s="68"/>
      <c r="G630" s="68"/>
      <c r="H630" s="68"/>
      <c r="I630" s="70"/>
      <c r="J630" s="68"/>
      <c r="K630" s="68"/>
      <c r="L630" s="68"/>
      <c r="M630" s="73"/>
      <c r="N630" s="70"/>
      <c r="O630" s="70"/>
      <c r="P630" s="68"/>
    </row>
    <row r="631" customFormat="false" ht="15" hidden="false" customHeight="false" outlineLevel="0" collapsed="false">
      <c r="A631" s="67"/>
      <c r="B631" s="68"/>
      <c r="C631" s="70"/>
      <c r="D631" s="68"/>
      <c r="E631" s="70"/>
      <c r="F631" s="68"/>
      <c r="G631" s="68"/>
      <c r="H631" s="68"/>
      <c r="I631" s="70"/>
      <c r="J631" s="68"/>
      <c r="K631" s="68"/>
      <c r="L631" s="68"/>
      <c r="M631" s="73"/>
      <c r="N631" s="70"/>
      <c r="O631" s="70"/>
      <c r="P631" s="68"/>
    </row>
    <row r="632" customFormat="false" ht="15" hidden="false" customHeight="false" outlineLevel="0" collapsed="false">
      <c r="A632" s="67"/>
      <c r="B632" s="68"/>
      <c r="C632" s="70"/>
      <c r="D632" s="68"/>
      <c r="E632" s="70"/>
      <c r="F632" s="68"/>
      <c r="G632" s="68"/>
      <c r="H632" s="68"/>
      <c r="I632" s="70"/>
      <c r="J632" s="68"/>
      <c r="K632" s="68"/>
      <c r="L632" s="68"/>
      <c r="M632" s="73"/>
      <c r="N632" s="70"/>
      <c r="O632" s="70"/>
      <c r="P632" s="68"/>
    </row>
    <row r="633" customFormat="false" ht="15" hidden="false" customHeight="false" outlineLevel="0" collapsed="false">
      <c r="A633" s="67"/>
      <c r="B633" s="68"/>
      <c r="C633" s="70"/>
      <c r="D633" s="68"/>
      <c r="E633" s="70"/>
      <c r="F633" s="68"/>
      <c r="G633" s="68"/>
      <c r="H633" s="68"/>
      <c r="I633" s="70"/>
      <c r="J633" s="68"/>
      <c r="K633" s="68"/>
      <c r="L633" s="68"/>
      <c r="M633" s="73"/>
      <c r="N633" s="70"/>
      <c r="O633" s="70"/>
      <c r="P633" s="68"/>
    </row>
    <row r="634" customFormat="false" ht="15" hidden="false" customHeight="false" outlineLevel="0" collapsed="false">
      <c r="A634" s="67"/>
      <c r="B634" s="68"/>
      <c r="C634" s="70"/>
      <c r="D634" s="68"/>
      <c r="E634" s="70"/>
      <c r="F634" s="68"/>
      <c r="G634" s="68"/>
      <c r="H634" s="68"/>
      <c r="I634" s="70"/>
      <c r="J634" s="68"/>
      <c r="K634" s="68"/>
      <c r="L634" s="68"/>
      <c r="M634" s="73"/>
      <c r="N634" s="70"/>
      <c r="O634" s="70"/>
      <c r="P634" s="68"/>
    </row>
    <row r="635" customFormat="false" ht="15" hidden="false" customHeight="false" outlineLevel="0" collapsed="false">
      <c r="A635" s="67"/>
      <c r="B635" s="68"/>
      <c r="C635" s="70"/>
      <c r="D635" s="68"/>
      <c r="E635" s="70"/>
      <c r="F635" s="68"/>
      <c r="G635" s="68"/>
      <c r="H635" s="68"/>
      <c r="I635" s="70"/>
      <c r="J635" s="68"/>
      <c r="K635" s="68"/>
      <c r="L635" s="68"/>
      <c r="M635" s="73"/>
      <c r="N635" s="70"/>
      <c r="O635" s="70"/>
      <c r="P635" s="68"/>
    </row>
    <row r="636" customFormat="false" ht="15" hidden="false" customHeight="false" outlineLevel="0" collapsed="false">
      <c r="A636" s="67"/>
      <c r="B636" s="68"/>
      <c r="C636" s="70"/>
      <c r="D636" s="68"/>
      <c r="E636" s="70"/>
      <c r="F636" s="68"/>
      <c r="G636" s="68"/>
      <c r="H636" s="68"/>
      <c r="I636" s="70"/>
      <c r="J636" s="68"/>
      <c r="K636" s="68"/>
      <c r="L636" s="68"/>
      <c r="M636" s="73"/>
      <c r="N636" s="70"/>
      <c r="O636" s="70"/>
      <c r="P636" s="68"/>
    </row>
    <row r="637" customFormat="false" ht="15" hidden="false" customHeight="false" outlineLevel="0" collapsed="false">
      <c r="A637" s="67"/>
      <c r="B637" s="68"/>
      <c r="C637" s="70"/>
      <c r="D637" s="68"/>
      <c r="E637" s="70"/>
      <c r="F637" s="68"/>
      <c r="G637" s="68"/>
      <c r="H637" s="68"/>
      <c r="I637" s="70"/>
      <c r="J637" s="68"/>
      <c r="K637" s="68"/>
      <c r="L637" s="68"/>
      <c r="M637" s="73"/>
      <c r="N637" s="70"/>
      <c r="O637" s="70"/>
      <c r="P637" s="68"/>
    </row>
    <row r="638" customFormat="false" ht="15" hidden="false" customHeight="false" outlineLevel="0" collapsed="false">
      <c r="A638" s="67"/>
      <c r="B638" s="68"/>
      <c r="C638" s="70"/>
      <c r="D638" s="68"/>
      <c r="E638" s="70"/>
      <c r="F638" s="68"/>
      <c r="G638" s="68"/>
      <c r="H638" s="68"/>
      <c r="I638" s="70"/>
      <c r="J638" s="68"/>
      <c r="K638" s="68"/>
      <c r="L638" s="68"/>
      <c r="M638" s="73"/>
      <c r="N638" s="70"/>
      <c r="O638" s="70"/>
      <c r="P638" s="68"/>
    </row>
    <row r="639" customFormat="false" ht="15" hidden="false" customHeight="false" outlineLevel="0" collapsed="false">
      <c r="A639" s="67"/>
      <c r="B639" s="68"/>
      <c r="C639" s="70"/>
      <c r="D639" s="68"/>
      <c r="E639" s="70"/>
      <c r="F639" s="68"/>
      <c r="G639" s="68"/>
      <c r="H639" s="68"/>
      <c r="I639" s="70"/>
      <c r="J639" s="68"/>
      <c r="K639" s="68"/>
      <c r="L639" s="68"/>
      <c r="M639" s="73"/>
      <c r="N639" s="70"/>
      <c r="O639" s="70"/>
      <c r="P639" s="68"/>
    </row>
    <row r="640" customFormat="false" ht="15" hidden="false" customHeight="false" outlineLevel="0" collapsed="false">
      <c r="A640" s="67"/>
      <c r="B640" s="68"/>
      <c r="C640" s="70"/>
      <c r="D640" s="68"/>
      <c r="E640" s="70"/>
      <c r="F640" s="68"/>
      <c r="G640" s="68"/>
      <c r="H640" s="68"/>
      <c r="I640" s="70"/>
      <c r="J640" s="68"/>
      <c r="K640" s="68"/>
      <c r="L640" s="68"/>
      <c r="M640" s="73"/>
      <c r="N640" s="70"/>
      <c r="O640" s="70"/>
      <c r="P640" s="68"/>
    </row>
    <row r="641" customFormat="false" ht="15" hidden="false" customHeight="false" outlineLevel="0" collapsed="false">
      <c r="A641" s="67"/>
      <c r="B641" s="68"/>
      <c r="C641" s="70"/>
      <c r="D641" s="68"/>
      <c r="E641" s="70"/>
      <c r="F641" s="68"/>
      <c r="G641" s="68"/>
      <c r="H641" s="68"/>
      <c r="I641" s="70"/>
      <c r="J641" s="68"/>
      <c r="K641" s="68"/>
      <c r="L641" s="68"/>
      <c r="M641" s="73"/>
      <c r="N641" s="70"/>
      <c r="O641" s="70"/>
      <c r="P641" s="68"/>
    </row>
    <row r="642" customFormat="false" ht="15" hidden="false" customHeight="false" outlineLevel="0" collapsed="false">
      <c r="A642" s="67"/>
      <c r="B642" s="68"/>
      <c r="C642" s="70"/>
      <c r="D642" s="68"/>
      <c r="E642" s="70"/>
      <c r="F642" s="68"/>
      <c r="G642" s="68"/>
      <c r="H642" s="68"/>
      <c r="I642" s="70"/>
      <c r="J642" s="68"/>
      <c r="K642" s="68"/>
      <c r="L642" s="68"/>
      <c r="M642" s="73"/>
      <c r="N642" s="70"/>
      <c r="O642" s="70"/>
      <c r="P642" s="68"/>
    </row>
    <row r="643" customFormat="false" ht="15" hidden="false" customHeight="false" outlineLevel="0" collapsed="false">
      <c r="A643" s="67"/>
      <c r="B643" s="68"/>
      <c r="C643" s="70"/>
      <c r="D643" s="68"/>
      <c r="E643" s="70"/>
      <c r="F643" s="68"/>
      <c r="G643" s="68"/>
      <c r="H643" s="68"/>
      <c r="I643" s="70"/>
      <c r="J643" s="68"/>
      <c r="K643" s="68"/>
      <c r="L643" s="68"/>
      <c r="M643" s="73"/>
      <c r="N643" s="70"/>
      <c r="O643" s="70"/>
      <c r="P643" s="68"/>
    </row>
    <row r="644" customFormat="false" ht="15" hidden="false" customHeight="false" outlineLevel="0" collapsed="false">
      <c r="A644" s="67"/>
      <c r="B644" s="68"/>
      <c r="C644" s="70"/>
      <c r="D644" s="68"/>
      <c r="E644" s="70"/>
      <c r="F644" s="68"/>
      <c r="G644" s="68"/>
      <c r="H644" s="68"/>
      <c r="I644" s="70"/>
      <c r="J644" s="68"/>
      <c r="K644" s="68"/>
      <c r="L644" s="68"/>
      <c r="M644" s="73"/>
      <c r="N644" s="70"/>
      <c r="O644" s="70"/>
      <c r="P644" s="68"/>
    </row>
    <row r="645" customFormat="false" ht="15" hidden="false" customHeight="false" outlineLevel="0" collapsed="false">
      <c r="A645" s="67"/>
      <c r="B645" s="68"/>
      <c r="C645" s="70"/>
      <c r="D645" s="68"/>
      <c r="E645" s="70"/>
      <c r="F645" s="68"/>
      <c r="G645" s="68"/>
      <c r="H645" s="68"/>
      <c r="I645" s="70"/>
      <c r="J645" s="68"/>
      <c r="K645" s="68"/>
      <c r="L645" s="68"/>
      <c r="M645" s="73"/>
      <c r="N645" s="70"/>
      <c r="O645" s="70"/>
      <c r="P645" s="68"/>
    </row>
    <row r="646" customFormat="false" ht="15" hidden="false" customHeight="false" outlineLevel="0" collapsed="false">
      <c r="A646" s="67"/>
      <c r="B646" s="68"/>
      <c r="C646" s="70"/>
      <c r="D646" s="68"/>
      <c r="E646" s="70"/>
      <c r="F646" s="68"/>
      <c r="G646" s="68"/>
      <c r="H646" s="68"/>
      <c r="I646" s="70"/>
      <c r="J646" s="68"/>
      <c r="K646" s="68"/>
      <c r="L646" s="68"/>
      <c r="M646" s="73"/>
      <c r="N646" s="70"/>
      <c r="O646" s="70"/>
      <c r="P646" s="68"/>
    </row>
    <row r="647" customFormat="false" ht="15" hidden="false" customHeight="false" outlineLevel="0" collapsed="false">
      <c r="A647" s="67"/>
      <c r="B647" s="68"/>
      <c r="C647" s="70"/>
      <c r="D647" s="68"/>
      <c r="E647" s="70"/>
      <c r="F647" s="68"/>
      <c r="G647" s="68"/>
      <c r="H647" s="68"/>
      <c r="I647" s="70"/>
      <c r="J647" s="68"/>
      <c r="K647" s="68"/>
      <c r="L647" s="68"/>
      <c r="M647" s="73"/>
      <c r="N647" s="70"/>
      <c r="O647" s="70"/>
      <c r="P647" s="68"/>
    </row>
    <row r="648" customFormat="false" ht="15" hidden="false" customHeight="false" outlineLevel="0" collapsed="false">
      <c r="A648" s="67"/>
      <c r="B648" s="68"/>
      <c r="C648" s="70"/>
      <c r="D648" s="68"/>
      <c r="E648" s="70"/>
      <c r="F648" s="68"/>
      <c r="G648" s="68"/>
      <c r="H648" s="68"/>
      <c r="I648" s="70"/>
      <c r="J648" s="68"/>
      <c r="K648" s="68"/>
      <c r="L648" s="68"/>
      <c r="M648" s="73"/>
      <c r="N648" s="70"/>
      <c r="O648" s="70"/>
      <c r="P648" s="68"/>
    </row>
    <row r="649" customFormat="false" ht="15" hidden="false" customHeight="false" outlineLevel="0" collapsed="false">
      <c r="A649" s="67"/>
      <c r="B649" s="68"/>
      <c r="C649" s="70"/>
      <c r="D649" s="68"/>
      <c r="E649" s="70"/>
      <c r="F649" s="68"/>
      <c r="G649" s="68"/>
      <c r="H649" s="68"/>
      <c r="I649" s="70"/>
      <c r="J649" s="68"/>
      <c r="K649" s="68"/>
      <c r="L649" s="68"/>
      <c r="M649" s="73"/>
      <c r="N649" s="70"/>
      <c r="O649" s="70"/>
      <c r="P649" s="68"/>
    </row>
    <row r="650" customFormat="false" ht="15" hidden="false" customHeight="false" outlineLevel="0" collapsed="false">
      <c r="A650" s="67"/>
      <c r="B650" s="68"/>
      <c r="C650" s="70"/>
      <c r="D650" s="68"/>
      <c r="E650" s="70"/>
      <c r="F650" s="68"/>
      <c r="G650" s="68"/>
      <c r="H650" s="68"/>
      <c r="I650" s="70"/>
      <c r="J650" s="68"/>
      <c r="K650" s="68"/>
      <c r="L650" s="68"/>
      <c r="M650" s="73"/>
      <c r="N650" s="70"/>
      <c r="O650" s="70"/>
      <c r="P650" s="68"/>
    </row>
    <row r="651" customFormat="false" ht="15" hidden="false" customHeight="false" outlineLevel="0" collapsed="false">
      <c r="A651" s="67"/>
      <c r="B651" s="68"/>
      <c r="C651" s="70"/>
      <c r="D651" s="68"/>
      <c r="E651" s="70"/>
      <c r="F651" s="68"/>
      <c r="G651" s="68"/>
      <c r="H651" s="68"/>
      <c r="I651" s="70"/>
      <c r="J651" s="68"/>
      <c r="K651" s="68"/>
      <c r="L651" s="68"/>
      <c r="M651" s="73"/>
      <c r="N651" s="70"/>
      <c r="O651" s="70"/>
      <c r="P651" s="68"/>
    </row>
    <row r="652" customFormat="false" ht="15" hidden="false" customHeight="false" outlineLevel="0" collapsed="false">
      <c r="A652" s="67"/>
      <c r="B652" s="68"/>
      <c r="C652" s="70"/>
      <c r="D652" s="68"/>
      <c r="E652" s="70"/>
      <c r="F652" s="68"/>
      <c r="G652" s="68"/>
      <c r="H652" s="68"/>
      <c r="I652" s="70"/>
      <c r="J652" s="68"/>
      <c r="K652" s="68"/>
      <c r="L652" s="68"/>
      <c r="M652" s="73"/>
      <c r="N652" s="70"/>
      <c r="O652" s="70"/>
      <c r="P652" s="68"/>
    </row>
    <row r="653" customFormat="false" ht="15" hidden="false" customHeight="false" outlineLevel="0" collapsed="false">
      <c r="A653" s="67"/>
      <c r="B653" s="68"/>
      <c r="C653" s="70"/>
      <c r="D653" s="68"/>
      <c r="E653" s="70"/>
      <c r="F653" s="68"/>
      <c r="G653" s="68"/>
      <c r="H653" s="68"/>
      <c r="I653" s="70"/>
      <c r="J653" s="68"/>
      <c r="K653" s="68"/>
      <c r="L653" s="68"/>
      <c r="M653" s="73"/>
      <c r="N653" s="70"/>
      <c r="O653" s="70"/>
      <c r="P653" s="68"/>
    </row>
    <row r="654" customFormat="false" ht="15" hidden="false" customHeight="false" outlineLevel="0" collapsed="false">
      <c r="A654" s="67"/>
      <c r="B654" s="68"/>
      <c r="C654" s="70"/>
      <c r="D654" s="68"/>
      <c r="E654" s="70"/>
      <c r="F654" s="68"/>
      <c r="G654" s="68"/>
      <c r="H654" s="68"/>
      <c r="I654" s="70"/>
      <c r="J654" s="68"/>
      <c r="K654" s="68"/>
      <c r="L654" s="68"/>
      <c r="M654" s="73"/>
      <c r="N654" s="70"/>
      <c r="O654" s="70"/>
      <c r="P654" s="68"/>
    </row>
    <row r="655" customFormat="false" ht="15" hidden="false" customHeight="false" outlineLevel="0" collapsed="false">
      <c r="A655" s="67"/>
      <c r="B655" s="68"/>
      <c r="C655" s="70"/>
      <c r="D655" s="68"/>
      <c r="E655" s="70"/>
      <c r="F655" s="68"/>
      <c r="G655" s="68"/>
      <c r="H655" s="68"/>
      <c r="I655" s="70"/>
      <c r="J655" s="68"/>
      <c r="K655" s="68"/>
      <c r="L655" s="68"/>
      <c r="M655" s="73"/>
      <c r="N655" s="70"/>
      <c r="O655" s="70"/>
      <c r="P655" s="68"/>
    </row>
    <row r="656" customFormat="false" ht="15" hidden="false" customHeight="false" outlineLevel="0" collapsed="false">
      <c r="A656" s="67"/>
      <c r="B656" s="68"/>
      <c r="C656" s="70"/>
      <c r="D656" s="68"/>
      <c r="E656" s="70"/>
      <c r="F656" s="68"/>
      <c r="G656" s="68"/>
      <c r="H656" s="68"/>
      <c r="I656" s="70"/>
      <c r="J656" s="68"/>
      <c r="K656" s="68"/>
      <c r="L656" s="68"/>
      <c r="M656" s="73"/>
      <c r="N656" s="70"/>
      <c r="O656" s="70"/>
      <c r="P656" s="68"/>
    </row>
    <row r="657" customFormat="false" ht="15" hidden="false" customHeight="false" outlineLevel="0" collapsed="false">
      <c r="A657" s="67"/>
      <c r="B657" s="68"/>
      <c r="C657" s="70"/>
      <c r="D657" s="68"/>
      <c r="E657" s="70"/>
      <c r="F657" s="68"/>
      <c r="G657" s="68"/>
      <c r="H657" s="68"/>
      <c r="I657" s="70"/>
      <c r="J657" s="68"/>
      <c r="K657" s="68"/>
      <c r="L657" s="68"/>
      <c r="M657" s="73"/>
      <c r="N657" s="70"/>
      <c r="O657" s="70"/>
      <c r="P657" s="68"/>
    </row>
    <row r="658" customFormat="false" ht="15" hidden="false" customHeight="false" outlineLevel="0" collapsed="false">
      <c r="A658" s="67"/>
      <c r="B658" s="68"/>
      <c r="C658" s="70"/>
      <c r="D658" s="68"/>
      <c r="E658" s="70"/>
      <c r="F658" s="68"/>
      <c r="G658" s="68"/>
      <c r="H658" s="68"/>
      <c r="I658" s="70"/>
      <c r="J658" s="68"/>
      <c r="K658" s="68"/>
      <c r="L658" s="68"/>
      <c r="M658" s="73"/>
      <c r="N658" s="70"/>
      <c r="O658" s="70"/>
      <c r="P658" s="68"/>
    </row>
    <row r="659" customFormat="false" ht="15" hidden="false" customHeight="false" outlineLevel="0" collapsed="false">
      <c r="A659" s="67"/>
      <c r="B659" s="68"/>
      <c r="C659" s="70"/>
      <c r="D659" s="68"/>
      <c r="E659" s="70"/>
      <c r="F659" s="68"/>
      <c r="G659" s="68"/>
      <c r="H659" s="68"/>
      <c r="I659" s="70"/>
      <c r="J659" s="68"/>
      <c r="K659" s="68"/>
      <c r="L659" s="68"/>
      <c r="M659" s="73"/>
      <c r="N659" s="70"/>
      <c r="O659" s="70"/>
      <c r="P659" s="68"/>
    </row>
    <row r="660" customFormat="false" ht="15" hidden="false" customHeight="false" outlineLevel="0" collapsed="false">
      <c r="A660" s="67"/>
      <c r="B660" s="68"/>
      <c r="C660" s="70"/>
      <c r="D660" s="68"/>
      <c r="E660" s="70"/>
      <c r="F660" s="68"/>
      <c r="G660" s="68"/>
      <c r="H660" s="68"/>
      <c r="I660" s="70"/>
      <c r="J660" s="68"/>
      <c r="K660" s="68"/>
      <c r="L660" s="68"/>
      <c r="M660" s="73"/>
      <c r="N660" s="70"/>
      <c r="O660" s="70"/>
      <c r="P660" s="68"/>
    </row>
    <row r="661" customFormat="false" ht="15" hidden="false" customHeight="false" outlineLevel="0" collapsed="false">
      <c r="A661" s="67"/>
      <c r="B661" s="68"/>
      <c r="C661" s="70"/>
      <c r="D661" s="68"/>
      <c r="E661" s="70"/>
      <c r="F661" s="68"/>
      <c r="G661" s="68"/>
      <c r="H661" s="68"/>
      <c r="I661" s="70"/>
      <c r="J661" s="68"/>
      <c r="K661" s="68"/>
      <c r="L661" s="68"/>
      <c r="M661" s="73"/>
      <c r="N661" s="70"/>
      <c r="O661" s="70"/>
      <c r="P661" s="68"/>
    </row>
    <row r="662" customFormat="false" ht="15" hidden="false" customHeight="false" outlineLevel="0" collapsed="false">
      <c r="A662" s="67"/>
      <c r="B662" s="68"/>
      <c r="C662" s="70"/>
      <c r="D662" s="68"/>
      <c r="E662" s="70"/>
      <c r="F662" s="68"/>
      <c r="G662" s="68"/>
      <c r="H662" s="68"/>
      <c r="I662" s="70"/>
      <c r="J662" s="68"/>
      <c r="K662" s="68"/>
      <c r="L662" s="68"/>
      <c r="M662" s="73"/>
      <c r="N662" s="70"/>
      <c r="O662" s="70"/>
      <c r="P662" s="68"/>
    </row>
    <row r="663" customFormat="false" ht="15" hidden="false" customHeight="false" outlineLevel="0" collapsed="false">
      <c r="A663" s="67"/>
      <c r="B663" s="68"/>
      <c r="C663" s="70"/>
      <c r="D663" s="68"/>
      <c r="E663" s="70"/>
      <c r="F663" s="68"/>
      <c r="G663" s="68"/>
      <c r="H663" s="68"/>
      <c r="I663" s="70"/>
      <c r="J663" s="68"/>
      <c r="K663" s="68"/>
      <c r="L663" s="68"/>
      <c r="M663" s="73"/>
      <c r="N663" s="70"/>
      <c r="O663" s="70"/>
      <c r="P663" s="68"/>
    </row>
    <row r="664" customFormat="false" ht="15" hidden="false" customHeight="false" outlineLevel="0" collapsed="false">
      <c r="A664" s="67"/>
      <c r="B664" s="68"/>
      <c r="C664" s="70"/>
      <c r="D664" s="68"/>
      <c r="E664" s="70"/>
      <c r="F664" s="68"/>
      <c r="G664" s="68"/>
      <c r="H664" s="68"/>
      <c r="I664" s="70"/>
      <c r="J664" s="68"/>
      <c r="K664" s="68"/>
      <c r="L664" s="68"/>
      <c r="M664" s="73"/>
      <c r="N664" s="70"/>
      <c r="O664" s="70"/>
      <c r="P664" s="68"/>
    </row>
    <row r="665" customFormat="false" ht="15" hidden="false" customHeight="false" outlineLevel="0" collapsed="false">
      <c r="A665" s="67"/>
      <c r="B665" s="68"/>
      <c r="C665" s="70"/>
      <c r="D665" s="68"/>
      <c r="E665" s="70"/>
      <c r="F665" s="68"/>
      <c r="G665" s="68"/>
      <c r="H665" s="68"/>
      <c r="I665" s="70"/>
      <c r="J665" s="68"/>
      <c r="K665" s="68"/>
      <c r="L665" s="68"/>
      <c r="M665" s="73"/>
      <c r="N665" s="70"/>
      <c r="O665" s="70"/>
      <c r="P665" s="68"/>
    </row>
    <row r="666" customFormat="false" ht="15" hidden="false" customHeight="false" outlineLevel="0" collapsed="false">
      <c r="A666" s="67"/>
      <c r="B666" s="68"/>
      <c r="C666" s="70"/>
      <c r="D666" s="68"/>
      <c r="E666" s="70"/>
      <c r="F666" s="68"/>
      <c r="G666" s="68"/>
      <c r="H666" s="68"/>
      <c r="I666" s="70"/>
      <c r="J666" s="68"/>
      <c r="K666" s="68"/>
      <c r="L666" s="68"/>
      <c r="M666" s="73"/>
      <c r="N666" s="70"/>
      <c r="O666" s="70"/>
      <c r="P666" s="68"/>
    </row>
    <row r="667" customFormat="false" ht="15" hidden="false" customHeight="false" outlineLevel="0" collapsed="false">
      <c r="A667" s="67"/>
      <c r="B667" s="68"/>
      <c r="C667" s="70"/>
      <c r="D667" s="68"/>
      <c r="E667" s="70"/>
      <c r="F667" s="68"/>
      <c r="G667" s="68"/>
      <c r="H667" s="68"/>
      <c r="I667" s="70"/>
      <c r="J667" s="68"/>
      <c r="K667" s="68"/>
      <c r="L667" s="68"/>
      <c r="M667" s="73"/>
      <c r="N667" s="70"/>
      <c r="O667" s="70"/>
      <c r="P667" s="68"/>
    </row>
    <row r="668" customFormat="false" ht="15" hidden="false" customHeight="false" outlineLevel="0" collapsed="false">
      <c r="A668" s="67"/>
      <c r="B668" s="68"/>
      <c r="C668" s="70"/>
      <c r="D668" s="68"/>
      <c r="E668" s="70"/>
      <c r="F668" s="68"/>
      <c r="G668" s="68"/>
      <c r="H668" s="68"/>
      <c r="I668" s="70"/>
      <c r="J668" s="68"/>
      <c r="K668" s="68"/>
      <c r="L668" s="68"/>
      <c r="M668" s="73"/>
      <c r="N668" s="70"/>
      <c r="O668" s="70"/>
      <c r="P668" s="68"/>
    </row>
    <row r="669" customFormat="false" ht="15" hidden="false" customHeight="false" outlineLevel="0" collapsed="false">
      <c r="A669" s="67"/>
      <c r="B669" s="68"/>
      <c r="C669" s="70"/>
      <c r="D669" s="68"/>
      <c r="E669" s="70"/>
      <c r="F669" s="68"/>
      <c r="G669" s="68"/>
      <c r="H669" s="68"/>
      <c r="I669" s="70"/>
      <c r="J669" s="68"/>
      <c r="K669" s="68"/>
      <c r="L669" s="68"/>
      <c r="M669" s="73"/>
      <c r="N669" s="70"/>
      <c r="O669" s="70"/>
      <c r="P669" s="68"/>
    </row>
    <row r="670" customFormat="false" ht="15" hidden="false" customHeight="false" outlineLevel="0" collapsed="false">
      <c r="A670" s="67"/>
      <c r="B670" s="68"/>
      <c r="C670" s="70"/>
      <c r="D670" s="68"/>
      <c r="E670" s="70"/>
      <c r="F670" s="68"/>
      <c r="G670" s="68"/>
      <c r="H670" s="68"/>
      <c r="I670" s="70"/>
      <c r="J670" s="68"/>
      <c r="K670" s="68"/>
      <c r="L670" s="68"/>
      <c r="M670" s="73"/>
      <c r="N670" s="70"/>
      <c r="O670" s="70"/>
      <c r="P670" s="68"/>
    </row>
    <row r="671" customFormat="false" ht="15" hidden="false" customHeight="false" outlineLevel="0" collapsed="false">
      <c r="A671" s="67"/>
      <c r="B671" s="68"/>
      <c r="C671" s="70"/>
      <c r="D671" s="68"/>
      <c r="E671" s="70"/>
      <c r="F671" s="68"/>
      <c r="G671" s="68"/>
      <c r="H671" s="68"/>
      <c r="I671" s="70"/>
      <c r="J671" s="68"/>
      <c r="K671" s="68"/>
      <c r="L671" s="68"/>
      <c r="M671" s="73"/>
      <c r="N671" s="70"/>
      <c r="O671" s="70"/>
      <c r="P671" s="68"/>
    </row>
    <row r="672" customFormat="false" ht="15" hidden="false" customHeight="false" outlineLevel="0" collapsed="false">
      <c r="A672" s="67"/>
      <c r="B672" s="68"/>
      <c r="C672" s="70"/>
      <c r="D672" s="68"/>
      <c r="E672" s="70"/>
      <c r="F672" s="68"/>
      <c r="G672" s="68"/>
      <c r="H672" s="68"/>
      <c r="I672" s="70"/>
      <c r="J672" s="68"/>
      <c r="K672" s="68"/>
      <c r="L672" s="68"/>
      <c r="M672" s="73"/>
      <c r="N672" s="70"/>
      <c r="O672" s="70"/>
      <c r="P672" s="68"/>
    </row>
    <row r="673" customFormat="false" ht="15" hidden="false" customHeight="false" outlineLevel="0" collapsed="false">
      <c r="A673" s="67"/>
      <c r="B673" s="68"/>
      <c r="C673" s="70"/>
      <c r="D673" s="68"/>
      <c r="E673" s="70"/>
      <c r="F673" s="68"/>
      <c r="G673" s="68"/>
      <c r="H673" s="68"/>
      <c r="I673" s="70"/>
      <c r="J673" s="68"/>
      <c r="K673" s="68"/>
      <c r="L673" s="68"/>
      <c r="M673" s="73"/>
      <c r="N673" s="70"/>
      <c r="O673" s="70"/>
      <c r="P673" s="68"/>
    </row>
    <row r="674" customFormat="false" ht="15" hidden="false" customHeight="false" outlineLevel="0" collapsed="false">
      <c r="A674" s="67"/>
      <c r="B674" s="68"/>
      <c r="C674" s="70"/>
      <c r="D674" s="68"/>
      <c r="E674" s="70"/>
      <c r="F674" s="68"/>
      <c r="G674" s="68"/>
      <c r="H674" s="68"/>
      <c r="I674" s="70"/>
      <c r="J674" s="68"/>
      <c r="K674" s="68"/>
      <c r="L674" s="68"/>
      <c r="M674" s="73"/>
      <c r="N674" s="70"/>
      <c r="O674" s="70"/>
      <c r="P674" s="68"/>
    </row>
    <row r="675" customFormat="false" ht="15" hidden="false" customHeight="false" outlineLevel="0" collapsed="false">
      <c r="A675" s="67"/>
      <c r="B675" s="68"/>
      <c r="C675" s="70"/>
      <c r="D675" s="68"/>
      <c r="E675" s="70"/>
      <c r="F675" s="68"/>
      <c r="G675" s="68"/>
      <c r="H675" s="68"/>
      <c r="I675" s="70"/>
      <c r="J675" s="68"/>
      <c r="K675" s="68"/>
      <c r="L675" s="68"/>
      <c r="M675" s="73"/>
      <c r="N675" s="70"/>
      <c r="O675" s="70"/>
      <c r="P675" s="68"/>
    </row>
    <row r="676" customFormat="false" ht="15" hidden="false" customHeight="false" outlineLevel="0" collapsed="false">
      <c r="A676" s="67"/>
      <c r="B676" s="68"/>
      <c r="C676" s="70"/>
      <c r="D676" s="68"/>
      <c r="E676" s="70"/>
      <c r="F676" s="68"/>
      <c r="G676" s="68"/>
      <c r="H676" s="68"/>
      <c r="I676" s="70"/>
      <c r="J676" s="68"/>
      <c r="K676" s="68"/>
      <c r="L676" s="68"/>
      <c r="M676" s="73"/>
      <c r="N676" s="70"/>
      <c r="O676" s="70"/>
      <c r="P676" s="68"/>
    </row>
    <row r="677" customFormat="false" ht="15" hidden="false" customHeight="false" outlineLevel="0" collapsed="false">
      <c r="A677" s="67"/>
      <c r="B677" s="68"/>
      <c r="C677" s="70"/>
      <c r="D677" s="68"/>
      <c r="E677" s="70"/>
      <c r="F677" s="68"/>
      <c r="G677" s="68"/>
      <c r="H677" s="68"/>
      <c r="I677" s="70"/>
      <c r="J677" s="68"/>
      <c r="K677" s="68"/>
      <c r="L677" s="68"/>
      <c r="M677" s="73"/>
      <c r="N677" s="70"/>
      <c r="O677" s="70"/>
      <c r="P677" s="68"/>
    </row>
    <row r="678" customFormat="false" ht="15" hidden="false" customHeight="false" outlineLevel="0" collapsed="false">
      <c r="A678" s="67"/>
      <c r="B678" s="68"/>
      <c r="C678" s="70"/>
      <c r="D678" s="68"/>
      <c r="E678" s="70"/>
      <c r="F678" s="68"/>
      <c r="G678" s="68"/>
      <c r="H678" s="68"/>
      <c r="I678" s="70"/>
      <c r="J678" s="68"/>
      <c r="K678" s="68"/>
      <c r="L678" s="68"/>
      <c r="M678" s="73"/>
      <c r="N678" s="70"/>
      <c r="O678" s="70"/>
      <c r="P678" s="68"/>
    </row>
    <row r="679" customFormat="false" ht="15" hidden="false" customHeight="false" outlineLevel="0" collapsed="false">
      <c r="A679" s="67"/>
      <c r="B679" s="68"/>
      <c r="C679" s="70"/>
      <c r="D679" s="68"/>
      <c r="E679" s="70"/>
      <c r="F679" s="68"/>
      <c r="G679" s="68"/>
      <c r="H679" s="68"/>
      <c r="I679" s="70"/>
      <c r="J679" s="68"/>
      <c r="K679" s="68"/>
      <c r="L679" s="68"/>
      <c r="M679" s="73"/>
      <c r="N679" s="70"/>
      <c r="O679" s="70"/>
      <c r="P679" s="68"/>
    </row>
    <row r="680" customFormat="false" ht="15" hidden="false" customHeight="false" outlineLevel="0" collapsed="false">
      <c r="A680" s="67"/>
      <c r="B680" s="68"/>
      <c r="C680" s="70"/>
      <c r="D680" s="68"/>
      <c r="E680" s="70"/>
      <c r="F680" s="68"/>
      <c r="G680" s="68"/>
      <c r="H680" s="68"/>
      <c r="I680" s="70"/>
      <c r="J680" s="68"/>
      <c r="K680" s="68"/>
      <c r="L680" s="68"/>
      <c r="M680" s="73"/>
      <c r="N680" s="70"/>
      <c r="O680" s="70"/>
      <c r="P680" s="68"/>
    </row>
    <row r="681" customFormat="false" ht="15" hidden="false" customHeight="false" outlineLevel="0" collapsed="false">
      <c r="A681" s="67"/>
      <c r="B681" s="68"/>
      <c r="C681" s="70"/>
      <c r="D681" s="68"/>
      <c r="E681" s="70"/>
      <c r="F681" s="68"/>
      <c r="G681" s="68"/>
      <c r="H681" s="68"/>
      <c r="I681" s="70"/>
      <c r="J681" s="68"/>
      <c r="K681" s="68"/>
      <c r="L681" s="68"/>
      <c r="M681" s="73"/>
      <c r="N681" s="70"/>
      <c r="O681" s="70"/>
      <c r="P681" s="68"/>
    </row>
    <row r="682" customFormat="false" ht="15" hidden="false" customHeight="false" outlineLevel="0" collapsed="false">
      <c r="A682" s="67"/>
      <c r="B682" s="68"/>
      <c r="C682" s="70"/>
      <c r="D682" s="68"/>
      <c r="E682" s="70"/>
      <c r="F682" s="68"/>
      <c r="G682" s="68"/>
      <c r="H682" s="68"/>
      <c r="I682" s="70"/>
      <c r="J682" s="68"/>
      <c r="K682" s="68"/>
      <c r="L682" s="68"/>
      <c r="M682" s="73"/>
      <c r="N682" s="70"/>
      <c r="O682" s="70"/>
      <c r="P682" s="68"/>
    </row>
    <row r="683" customFormat="false" ht="15" hidden="false" customHeight="false" outlineLevel="0" collapsed="false">
      <c r="A683" s="67"/>
      <c r="B683" s="68"/>
      <c r="C683" s="70"/>
      <c r="D683" s="68"/>
      <c r="E683" s="70"/>
      <c r="F683" s="68"/>
      <c r="G683" s="68"/>
      <c r="H683" s="68"/>
      <c r="I683" s="70"/>
      <c r="J683" s="68"/>
      <c r="K683" s="68"/>
      <c r="L683" s="68"/>
      <c r="M683" s="73"/>
      <c r="N683" s="70"/>
      <c r="O683" s="70"/>
      <c r="P683" s="68"/>
    </row>
    <row r="684" customFormat="false" ht="15" hidden="false" customHeight="false" outlineLevel="0" collapsed="false">
      <c r="A684" s="67"/>
      <c r="B684" s="68"/>
      <c r="C684" s="70"/>
      <c r="D684" s="68"/>
      <c r="E684" s="70"/>
      <c r="F684" s="68"/>
      <c r="G684" s="68"/>
      <c r="H684" s="68"/>
      <c r="I684" s="70"/>
      <c r="J684" s="68"/>
      <c r="K684" s="68"/>
      <c r="L684" s="68"/>
      <c r="M684" s="73"/>
      <c r="N684" s="70"/>
      <c r="O684" s="70"/>
      <c r="P684" s="68"/>
    </row>
    <row r="685" customFormat="false" ht="15" hidden="false" customHeight="false" outlineLevel="0" collapsed="false">
      <c r="A685" s="67"/>
      <c r="B685" s="68"/>
      <c r="C685" s="70"/>
      <c r="D685" s="68"/>
      <c r="E685" s="70"/>
      <c r="F685" s="68"/>
      <c r="G685" s="68"/>
      <c r="H685" s="68"/>
      <c r="I685" s="70"/>
      <c r="J685" s="68"/>
      <c r="K685" s="68"/>
      <c r="L685" s="68"/>
      <c r="M685" s="73"/>
      <c r="N685" s="70"/>
      <c r="O685" s="70"/>
      <c r="P685" s="68"/>
    </row>
    <row r="686" customFormat="false" ht="15" hidden="false" customHeight="false" outlineLevel="0" collapsed="false">
      <c r="A686" s="67"/>
      <c r="B686" s="68"/>
      <c r="C686" s="70"/>
      <c r="D686" s="68"/>
      <c r="E686" s="70"/>
      <c r="F686" s="68"/>
      <c r="G686" s="68"/>
      <c r="H686" s="68"/>
      <c r="I686" s="70"/>
      <c r="J686" s="68"/>
      <c r="K686" s="68"/>
      <c r="L686" s="68"/>
      <c r="M686" s="73"/>
      <c r="N686" s="70"/>
      <c r="O686" s="70"/>
      <c r="P686" s="68"/>
    </row>
    <row r="687" customFormat="false" ht="15" hidden="false" customHeight="false" outlineLevel="0" collapsed="false">
      <c r="A687" s="67"/>
      <c r="B687" s="68"/>
      <c r="C687" s="70"/>
      <c r="D687" s="68"/>
      <c r="E687" s="70"/>
      <c r="F687" s="68"/>
      <c r="G687" s="68"/>
      <c r="H687" s="68"/>
      <c r="I687" s="70"/>
      <c r="J687" s="68"/>
      <c r="K687" s="68"/>
      <c r="L687" s="68"/>
      <c r="M687" s="73"/>
      <c r="N687" s="70"/>
      <c r="O687" s="70"/>
      <c r="P687" s="68"/>
    </row>
    <row r="688" customFormat="false" ht="15" hidden="false" customHeight="false" outlineLevel="0" collapsed="false">
      <c r="A688" s="67"/>
      <c r="B688" s="68"/>
      <c r="C688" s="70"/>
      <c r="D688" s="68"/>
      <c r="E688" s="70"/>
      <c r="F688" s="68"/>
      <c r="G688" s="68"/>
      <c r="H688" s="68"/>
      <c r="I688" s="70"/>
      <c r="J688" s="68"/>
      <c r="K688" s="68"/>
      <c r="L688" s="68"/>
      <c r="M688" s="73"/>
      <c r="N688" s="70"/>
      <c r="O688" s="70"/>
      <c r="P688" s="68"/>
    </row>
    <row r="689" customFormat="false" ht="15" hidden="false" customHeight="false" outlineLevel="0" collapsed="false">
      <c r="A689" s="67"/>
      <c r="B689" s="68"/>
      <c r="C689" s="70"/>
      <c r="D689" s="68"/>
      <c r="E689" s="70"/>
      <c r="F689" s="68"/>
      <c r="G689" s="68"/>
      <c r="H689" s="68"/>
      <c r="I689" s="70"/>
      <c r="J689" s="68"/>
      <c r="K689" s="68"/>
      <c r="L689" s="68"/>
      <c r="M689" s="73"/>
      <c r="N689" s="70"/>
      <c r="O689" s="70"/>
      <c r="P689" s="68"/>
    </row>
    <row r="690" customFormat="false" ht="15" hidden="false" customHeight="false" outlineLevel="0" collapsed="false">
      <c r="A690" s="67"/>
      <c r="B690" s="68"/>
      <c r="C690" s="70"/>
      <c r="D690" s="68"/>
      <c r="E690" s="70"/>
      <c r="F690" s="68"/>
      <c r="G690" s="68"/>
      <c r="H690" s="68"/>
      <c r="I690" s="70"/>
      <c r="J690" s="68"/>
      <c r="K690" s="68"/>
      <c r="L690" s="68"/>
      <c r="M690" s="73"/>
      <c r="N690" s="70"/>
      <c r="O690" s="70"/>
      <c r="P690" s="68"/>
    </row>
    <row r="691" customFormat="false" ht="15" hidden="false" customHeight="false" outlineLevel="0" collapsed="false">
      <c r="A691" s="67"/>
      <c r="B691" s="68"/>
      <c r="C691" s="70"/>
      <c r="D691" s="68"/>
      <c r="E691" s="70"/>
      <c r="F691" s="68"/>
      <c r="G691" s="68"/>
      <c r="H691" s="68"/>
      <c r="I691" s="70"/>
      <c r="J691" s="68"/>
      <c r="K691" s="68"/>
      <c r="L691" s="68"/>
      <c r="M691" s="73"/>
      <c r="N691" s="70"/>
      <c r="O691" s="70"/>
      <c r="P691" s="68"/>
    </row>
    <row r="692" customFormat="false" ht="15" hidden="false" customHeight="false" outlineLevel="0" collapsed="false">
      <c r="A692" s="67"/>
      <c r="B692" s="68"/>
      <c r="C692" s="70"/>
      <c r="D692" s="68"/>
      <c r="E692" s="70"/>
      <c r="F692" s="68"/>
      <c r="G692" s="68"/>
      <c r="H692" s="68"/>
      <c r="I692" s="70"/>
      <c r="J692" s="68"/>
      <c r="K692" s="68"/>
      <c r="L692" s="68"/>
      <c r="M692" s="73"/>
      <c r="N692" s="70"/>
      <c r="O692" s="70"/>
      <c r="P692" s="68"/>
    </row>
    <row r="693" customFormat="false" ht="15" hidden="false" customHeight="false" outlineLevel="0" collapsed="false">
      <c r="A693" s="67"/>
      <c r="B693" s="68"/>
      <c r="C693" s="70"/>
      <c r="D693" s="68"/>
      <c r="E693" s="70"/>
      <c r="F693" s="68"/>
      <c r="G693" s="68"/>
      <c r="H693" s="68"/>
      <c r="I693" s="70"/>
      <c r="J693" s="68"/>
      <c r="K693" s="68"/>
      <c r="L693" s="68"/>
      <c r="M693" s="73"/>
      <c r="N693" s="70"/>
      <c r="O693" s="70"/>
      <c r="P693" s="68"/>
    </row>
    <row r="694" customFormat="false" ht="15" hidden="false" customHeight="false" outlineLevel="0" collapsed="false">
      <c r="A694" s="67"/>
      <c r="B694" s="68"/>
      <c r="C694" s="70"/>
      <c r="D694" s="68"/>
      <c r="E694" s="70"/>
      <c r="F694" s="68"/>
      <c r="G694" s="68"/>
      <c r="H694" s="68"/>
      <c r="I694" s="70"/>
      <c r="J694" s="68"/>
      <c r="K694" s="68"/>
      <c r="L694" s="68"/>
      <c r="M694" s="73"/>
      <c r="N694" s="70"/>
      <c r="O694" s="70"/>
      <c r="P694" s="68"/>
    </row>
    <row r="695" customFormat="false" ht="15" hidden="false" customHeight="false" outlineLevel="0" collapsed="false">
      <c r="A695" s="67"/>
      <c r="B695" s="68"/>
      <c r="C695" s="70"/>
      <c r="D695" s="68"/>
      <c r="E695" s="70"/>
      <c r="F695" s="68"/>
      <c r="G695" s="68"/>
      <c r="H695" s="68"/>
      <c r="I695" s="70"/>
      <c r="J695" s="68"/>
      <c r="K695" s="68"/>
      <c r="L695" s="68"/>
      <c r="M695" s="73"/>
      <c r="N695" s="70"/>
      <c r="O695" s="70"/>
      <c r="P695" s="68"/>
    </row>
    <row r="696" customFormat="false" ht="15" hidden="false" customHeight="false" outlineLevel="0" collapsed="false">
      <c r="A696" s="67"/>
      <c r="B696" s="68"/>
      <c r="C696" s="70"/>
      <c r="D696" s="68"/>
      <c r="E696" s="70"/>
      <c r="F696" s="68"/>
      <c r="G696" s="68"/>
      <c r="H696" s="68"/>
      <c r="I696" s="70"/>
      <c r="J696" s="68"/>
      <c r="K696" s="68"/>
      <c r="L696" s="68"/>
      <c r="M696" s="73"/>
      <c r="N696" s="70"/>
      <c r="O696" s="70"/>
      <c r="P696" s="68"/>
    </row>
    <row r="697" customFormat="false" ht="15" hidden="false" customHeight="false" outlineLevel="0" collapsed="false">
      <c r="A697" s="67"/>
      <c r="B697" s="68"/>
      <c r="C697" s="70"/>
      <c r="D697" s="68"/>
      <c r="E697" s="70"/>
      <c r="F697" s="68"/>
      <c r="G697" s="68"/>
      <c r="H697" s="68"/>
      <c r="I697" s="70"/>
      <c r="J697" s="68"/>
      <c r="K697" s="68"/>
      <c r="L697" s="68"/>
      <c r="M697" s="73"/>
      <c r="N697" s="70"/>
      <c r="O697" s="70"/>
      <c r="P697" s="68"/>
    </row>
    <row r="698" customFormat="false" ht="15" hidden="false" customHeight="false" outlineLevel="0" collapsed="false">
      <c r="A698" s="67"/>
      <c r="B698" s="68"/>
      <c r="C698" s="70"/>
      <c r="D698" s="68"/>
      <c r="E698" s="70"/>
      <c r="F698" s="68"/>
      <c r="G698" s="68"/>
      <c r="H698" s="68"/>
      <c r="I698" s="70"/>
      <c r="J698" s="68"/>
      <c r="K698" s="68"/>
      <c r="L698" s="68"/>
      <c r="M698" s="73"/>
      <c r="N698" s="70"/>
      <c r="O698" s="70"/>
      <c r="P698" s="68"/>
    </row>
    <row r="699" customFormat="false" ht="15" hidden="false" customHeight="false" outlineLevel="0" collapsed="false">
      <c r="A699" s="67"/>
      <c r="B699" s="68"/>
      <c r="C699" s="70"/>
      <c r="D699" s="68"/>
      <c r="E699" s="70"/>
      <c r="F699" s="68"/>
      <c r="G699" s="68"/>
      <c r="H699" s="68"/>
      <c r="I699" s="70"/>
      <c r="J699" s="68"/>
      <c r="K699" s="68"/>
      <c r="L699" s="68"/>
      <c r="M699" s="73"/>
      <c r="N699" s="70"/>
      <c r="O699" s="70"/>
      <c r="P699" s="68"/>
    </row>
    <row r="700" customFormat="false" ht="15" hidden="false" customHeight="false" outlineLevel="0" collapsed="false">
      <c r="A700" s="67"/>
      <c r="B700" s="68"/>
      <c r="C700" s="70"/>
      <c r="D700" s="68"/>
      <c r="E700" s="70"/>
      <c r="F700" s="68"/>
      <c r="G700" s="68"/>
      <c r="H700" s="68"/>
      <c r="I700" s="70"/>
      <c r="J700" s="68"/>
      <c r="K700" s="68"/>
      <c r="L700" s="68"/>
      <c r="M700" s="73"/>
      <c r="N700" s="70"/>
      <c r="O700" s="70"/>
      <c r="P700" s="68"/>
    </row>
    <row r="701" customFormat="false" ht="15" hidden="false" customHeight="false" outlineLevel="0" collapsed="false">
      <c r="A701" s="67"/>
      <c r="B701" s="68"/>
      <c r="C701" s="70"/>
      <c r="D701" s="68"/>
      <c r="E701" s="70"/>
      <c r="F701" s="68"/>
      <c r="G701" s="68"/>
      <c r="H701" s="68"/>
      <c r="I701" s="70"/>
      <c r="J701" s="68"/>
      <c r="K701" s="68"/>
      <c r="L701" s="68"/>
      <c r="M701" s="73"/>
      <c r="N701" s="70"/>
      <c r="O701" s="70"/>
      <c r="P701" s="68"/>
    </row>
    <row r="702" customFormat="false" ht="15" hidden="false" customHeight="false" outlineLevel="0" collapsed="false">
      <c r="A702" s="67"/>
      <c r="B702" s="68"/>
      <c r="C702" s="70"/>
      <c r="D702" s="68"/>
      <c r="E702" s="70"/>
      <c r="F702" s="68"/>
      <c r="G702" s="68"/>
      <c r="H702" s="68"/>
      <c r="I702" s="70"/>
      <c r="J702" s="68"/>
      <c r="K702" s="68"/>
      <c r="L702" s="68"/>
      <c r="M702" s="73"/>
      <c r="N702" s="70"/>
      <c r="O702" s="70"/>
      <c r="P702" s="68"/>
    </row>
    <row r="703" customFormat="false" ht="15" hidden="false" customHeight="false" outlineLevel="0" collapsed="false">
      <c r="A703" s="67"/>
      <c r="B703" s="68"/>
      <c r="C703" s="70"/>
      <c r="D703" s="68"/>
      <c r="E703" s="70"/>
      <c r="F703" s="68"/>
      <c r="G703" s="68"/>
      <c r="H703" s="68"/>
      <c r="I703" s="70"/>
      <c r="J703" s="68"/>
      <c r="K703" s="68"/>
      <c r="L703" s="68"/>
      <c r="M703" s="73"/>
      <c r="N703" s="70"/>
      <c r="O703" s="70"/>
      <c r="P703" s="68"/>
    </row>
    <row r="704" customFormat="false" ht="15" hidden="false" customHeight="false" outlineLevel="0" collapsed="false">
      <c r="A704" s="67"/>
      <c r="B704" s="68"/>
      <c r="C704" s="70"/>
      <c r="D704" s="68"/>
      <c r="E704" s="70"/>
      <c r="F704" s="68"/>
      <c r="G704" s="68"/>
      <c r="H704" s="68"/>
      <c r="I704" s="70"/>
      <c r="J704" s="68"/>
      <c r="K704" s="68"/>
      <c r="L704" s="68"/>
      <c r="M704" s="73"/>
      <c r="N704" s="70"/>
      <c r="O704" s="70"/>
      <c r="P704" s="68"/>
    </row>
    <row r="705" customFormat="false" ht="15" hidden="false" customHeight="false" outlineLevel="0" collapsed="false">
      <c r="A705" s="67"/>
      <c r="B705" s="68"/>
      <c r="C705" s="70"/>
      <c r="D705" s="68"/>
      <c r="E705" s="70"/>
      <c r="F705" s="68"/>
      <c r="G705" s="68"/>
      <c r="H705" s="68"/>
      <c r="I705" s="70"/>
      <c r="J705" s="68"/>
      <c r="K705" s="68"/>
      <c r="L705" s="68"/>
      <c r="M705" s="73"/>
      <c r="N705" s="70"/>
      <c r="O705" s="70"/>
      <c r="P705" s="68"/>
    </row>
    <row r="706" customFormat="false" ht="15" hidden="false" customHeight="false" outlineLevel="0" collapsed="false">
      <c r="A706" s="67"/>
      <c r="B706" s="68"/>
      <c r="C706" s="70"/>
      <c r="D706" s="68"/>
      <c r="E706" s="70"/>
      <c r="F706" s="68"/>
      <c r="G706" s="68"/>
      <c r="H706" s="68"/>
      <c r="I706" s="70"/>
      <c r="J706" s="68"/>
      <c r="K706" s="68"/>
      <c r="L706" s="68"/>
      <c r="M706" s="73"/>
      <c r="N706" s="70"/>
      <c r="O706" s="70"/>
      <c r="P706" s="68"/>
    </row>
    <row r="707" customFormat="false" ht="15" hidden="false" customHeight="false" outlineLevel="0" collapsed="false">
      <c r="A707" s="67"/>
      <c r="B707" s="68"/>
      <c r="C707" s="70"/>
      <c r="D707" s="68"/>
      <c r="E707" s="70"/>
      <c r="F707" s="68"/>
      <c r="G707" s="68"/>
      <c r="H707" s="68"/>
      <c r="I707" s="70"/>
      <c r="J707" s="68"/>
      <c r="K707" s="68"/>
      <c r="L707" s="68"/>
      <c r="M707" s="73"/>
      <c r="N707" s="70"/>
      <c r="O707" s="70"/>
      <c r="P707" s="68"/>
    </row>
    <row r="708" customFormat="false" ht="15" hidden="false" customHeight="false" outlineLevel="0" collapsed="false">
      <c r="A708" s="67"/>
      <c r="B708" s="68"/>
      <c r="C708" s="70"/>
      <c r="D708" s="68"/>
      <c r="E708" s="70"/>
      <c r="F708" s="68"/>
      <c r="G708" s="68"/>
      <c r="H708" s="68"/>
      <c r="I708" s="70"/>
      <c r="J708" s="68"/>
      <c r="K708" s="68"/>
      <c r="L708" s="68"/>
      <c r="M708" s="73"/>
      <c r="N708" s="70"/>
      <c r="O708" s="70"/>
      <c r="P708" s="68"/>
    </row>
    <row r="709" customFormat="false" ht="15" hidden="false" customHeight="false" outlineLevel="0" collapsed="false">
      <c r="A709" s="67"/>
      <c r="B709" s="68"/>
      <c r="C709" s="70"/>
      <c r="D709" s="68"/>
      <c r="E709" s="70"/>
      <c r="F709" s="68"/>
      <c r="G709" s="68"/>
      <c r="H709" s="68"/>
      <c r="I709" s="70"/>
      <c r="J709" s="68"/>
      <c r="K709" s="68"/>
      <c r="L709" s="68"/>
      <c r="M709" s="73"/>
      <c r="N709" s="70"/>
      <c r="O709" s="70"/>
      <c r="P709" s="68"/>
    </row>
    <row r="710" customFormat="false" ht="15" hidden="false" customHeight="false" outlineLevel="0" collapsed="false">
      <c r="A710" s="67"/>
      <c r="B710" s="68"/>
      <c r="C710" s="70"/>
      <c r="D710" s="68"/>
      <c r="E710" s="70"/>
      <c r="F710" s="68"/>
      <c r="G710" s="68"/>
      <c r="H710" s="68"/>
      <c r="I710" s="70"/>
      <c r="J710" s="68"/>
      <c r="K710" s="68"/>
      <c r="L710" s="68"/>
      <c r="M710" s="73"/>
      <c r="N710" s="70"/>
      <c r="O710" s="70"/>
      <c r="P710" s="68"/>
    </row>
    <row r="711" customFormat="false" ht="15" hidden="false" customHeight="false" outlineLevel="0" collapsed="false">
      <c r="A711" s="67"/>
      <c r="B711" s="68"/>
      <c r="C711" s="70"/>
      <c r="D711" s="68"/>
      <c r="E711" s="70"/>
      <c r="F711" s="68"/>
      <c r="G711" s="68"/>
      <c r="H711" s="68"/>
      <c r="I711" s="70"/>
      <c r="J711" s="68"/>
      <c r="K711" s="68"/>
      <c r="L711" s="68"/>
      <c r="M711" s="73"/>
      <c r="N711" s="70"/>
      <c r="O711" s="70"/>
      <c r="P711" s="68"/>
    </row>
    <row r="712" customFormat="false" ht="15" hidden="false" customHeight="false" outlineLevel="0" collapsed="false">
      <c r="A712" s="67"/>
      <c r="B712" s="68"/>
      <c r="C712" s="70"/>
      <c r="D712" s="68"/>
      <c r="E712" s="70"/>
      <c r="F712" s="68"/>
      <c r="G712" s="68"/>
      <c r="H712" s="68"/>
      <c r="I712" s="70"/>
      <c r="J712" s="68"/>
      <c r="K712" s="68"/>
      <c r="L712" s="68"/>
      <c r="M712" s="73"/>
      <c r="N712" s="70"/>
      <c r="O712" s="70"/>
      <c r="P712" s="68"/>
    </row>
    <row r="713" customFormat="false" ht="15" hidden="false" customHeight="false" outlineLevel="0" collapsed="false">
      <c r="A713" s="67"/>
      <c r="B713" s="68"/>
      <c r="C713" s="70"/>
      <c r="D713" s="68"/>
      <c r="E713" s="70"/>
      <c r="F713" s="68"/>
      <c r="G713" s="68"/>
      <c r="H713" s="68"/>
      <c r="I713" s="70"/>
      <c r="J713" s="68"/>
      <c r="K713" s="68"/>
      <c r="L713" s="68"/>
      <c r="M713" s="73"/>
      <c r="N713" s="70"/>
      <c r="O713" s="70"/>
      <c r="P713" s="68"/>
    </row>
    <row r="714" customFormat="false" ht="15" hidden="false" customHeight="false" outlineLevel="0" collapsed="false">
      <c r="A714" s="67"/>
      <c r="B714" s="68"/>
      <c r="C714" s="70"/>
      <c r="D714" s="68"/>
      <c r="E714" s="70"/>
      <c r="F714" s="68"/>
      <c r="G714" s="68"/>
      <c r="H714" s="68"/>
      <c r="I714" s="70"/>
      <c r="J714" s="68"/>
      <c r="K714" s="68"/>
      <c r="L714" s="68"/>
      <c r="M714" s="73"/>
      <c r="N714" s="70"/>
      <c r="O714" s="70"/>
      <c r="P714" s="68"/>
    </row>
    <row r="715" customFormat="false" ht="15" hidden="false" customHeight="false" outlineLevel="0" collapsed="false">
      <c r="A715" s="67"/>
      <c r="B715" s="68"/>
      <c r="C715" s="70"/>
      <c r="D715" s="68"/>
      <c r="E715" s="70"/>
      <c r="F715" s="68"/>
      <c r="G715" s="68"/>
      <c r="H715" s="68"/>
      <c r="I715" s="70"/>
      <c r="J715" s="68"/>
      <c r="K715" s="68"/>
      <c r="L715" s="68"/>
      <c r="M715" s="73"/>
      <c r="N715" s="70"/>
      <c r="O715" s="70"/>
      <c r="P715" s="68"/>
    </row>
    <row r="716" customFormat="false" ht="15" hidden="false" customHeight="false" outlineLevel="0" collapsed="false">
      <c r="A716" s="67"/>
      <c r="B716" s="68"/>
      <c r="C716" s="70"/>
      <c r="D716" s="68"/>
      <c r="E716" s="70"/>
      <c r="F716" s="68"/>
      <c r="G716" s="68"/>
      <c r="H716" s="68"/>
      <c r="I716" s="70"/>
      <c r="J716" s="68"/>
      <c r="K716" s="68"/>
      <c r="L716" s="68"/>
      <c r="M716" s="73"/>
      <c r="N716" s="70"/>
      <c r="O716" s="70"/>
      <c r="P716" s="68"/>
    </row>
    <row r="717" customFormat="false" ht="15" hidden="false" customHeight="false" outlineLevel="0" collapsed="false">
      <c r="A717" s="67"/>
      <c r="B717" s="68"/>
      <c r="C717" s="70"/>
      <c r="D717" s="68"/>
      <c r="E717" s="70"/>
      <c r="F717" s="68"/>
      <c r="G717" s="68"/>
      <c r="H717" s="68"/>
      <c r="I717" s="70"/>
      <c r="J717" s="68"/>
      <c r="K717" s="68"/>
      <c r="L717" s="68"/>
      <c r="M717" s="73"/>
      <c r="N717" s="70"/>
      <c r="O717" s="70"/>
      <c r="P717" s="68"/>
    </row>
    <row r="718" customFormat="false" ht="15" hidden="false" customHeight="false" outlineLevel="0" collapsed="false">
      <c r="A718" s="67"/>
      <c r="B718" s="68"/>
      <c r="C718" s="70"/>
      <c r="D718" s="68"/>
      <c r="E718" s="70"/>
      <c r="F718" s="68"/>
      <c r="G718" s="68"/>
      <c r="H718" s="68"/>
      <c r="I718" s="70"/>
      <c r="J718" s="68"/>
      <c r="K718" s="68"/>
      <c r="L718" s="68"/>
      <c r="M718" s="73"/>
      <c r="N718" s="70"/>
      <c r="O718" s="70"/>
      <c r="P718" s="68"/>
    </row>
    <row r="719" customFormat="false" ht="15" hidden="false" customHeight="false" outlineLevel="0" collapsed="false">
      <c r="A719" s="67"/>
      <c r="B719" s="68"/>
      <c r="C719" s="70"/>
      <c r="D719" s="68"/>
      <c r="E719" s="70"/>
      <c r="F719" s="68"/>
      <c r="G719" s="68"/>
      <c r="H719" s="68"/>
      <c r="I719" s="70"/>
      <c r="J719" s="68"/>
      <c r="K719" s="68"/>
      <c r="L719" s="68"/>
      <c r="M719" s="73"/>
      <c r="N719" s="70"/>
      <c r="O719" s="70"/>
      <c r="P719" s="68"/>
    </row>
    <row r="720" customFormat="false" ht="15" hidden="false" customHeight="false" outlineLevel="0" collapsed="false">
      <c r="A720" s="67"/>
      <c r="B720" s="68"/>
      <c r="C720" s="70"/>
      <c r="D720" s="68"/>
      <c r="E720" s="70"/>
      <c r="F720" s="68"/>
      <c r="G720" s="68"/>
      <c r="H720" s="68"/>
      <c r="I720" s="70"/>
      <c r="J720" s="68"/>
      <c r="K720" s="68"/>
      <c r="L720" s="68"/>
      <c r="M720" s="73"/>
      <c r="N720" s="70"/>
      <c r="O720" s="70"/>
      <c r="P720" s="68"/>
    </row>
    <row r="721" customFormat="false" ht="15" hidden="false" customHeight="false" outlineLevel="0" collapsed="false">
      <c r="A721" s="67"/>
      <c r="B721" s="68"/>
      <c r="C721" s="70"/>
      <c r="D721" s="68"/>
      <c r="E721" s="70"/>
      <c r="F721" s="68"/>
      <c r="G721" s="68"/>
      <c r="H721" s="68"/>
      <c r="I721" s="70"/>
      <c r="J721" s="68"/>
      <c r="K721" s="68"/>
      <c r="L721" s="68"/>
      <c r="M721" s="73"/>
      <c r="N721" s="70"/>
      <c r="O721" s="70"/>
      <c r="P721" s="68"/>
    </row>
    <row r="722" customFormat="false" ht="15" hidden="false" customHeight="false" outlineLevel="0" collapsed="false">
      <c r="A722" s="67"/>
      <c r="B722" s="68"/>
      <c r="C722" s="70"/>
      <c r="D722" s="68"/>
      <c r="E722" s="70"/>
      <c r="F722" s="68"/>
      <c r="G722" s="68"/>
      <c r="H722" s="68"/>
      <c r="I722" s="70"/>
      <c r="J722" s="68"/>
      <c r="K722" s="68"/>
      <c r="L722" s="68"/>
      <c r="M722" s="73"/>
      <c r="N722" s="70"/>
      <c r="O722" s="70"/>
      <c r="P722" s="68"/>
    </row>
    <row r="723" customFormat="false" ht="15" hidden="false" customHeight="false" outlineLevel="0" collapsed="false">
      <c r="A723" s="67"/>
      <c r="B723" s="68"/>
      <c r="C723" s="70"/>
      <c r="D723" s="68"/>
      <c r="E723" s="70"/>
      <c r="F723" s="68"/>
      <c r="G723" s="68"/>
      <c r="H723" s="68"/>
      <c r="I723" s="70"/>
      <c r="J723" s="68"/>
      <c r="K723" s="68"/>
      <c r="L723" s="68"/>
      <c r="M723" s="73"/>
      <c r="N723" s="70"/>
      <c r="O723" s="70"/>
      <c r="P723" s="68"/>
    </row>
    <row r="724" customFormat="false" ht="15" hidden="false" customHeight="false" outlineLevel="0" collapsed="false">
      <c r="A724" s="67"/>
      <c r="B724" s="68"/>
      <c r="C724" s="70"/>
      <c r="D724" s="68"/>
      <c r="E724" s="70"/>
      <c r="F724" s="68"/>
      <c r="G724" s="68"/>
      <c r="H724" s="68"/>
      <c r="I724" s="70"/>
      <c r="J724" s="68"/>
      <c r="K724" s="68"/>
      <c r="L724" s="68"/>
      <c r="M724" s="73"/>
      <c r="N724" s="70"/>
      <c r="O724" s="70"/>
      <c r="P724" s="68"/>
    </row>
    <row r="725" customFormat="false" ht="15" hidden="false" customHeight="false" outlineLevel="0" collapsed="false">
      <c r="A725" s="67"/>
      <c r="B725" s="68"/>
      <c r="C725" s="70"/>
      <c r="D725" s="68"/>
      <c r="E725" s="70"/>
      <c r="F725" s="68"/>
      <c r="G725" s="68"/>
      <c r="H725" s="68"/>
      <c r="I725" s="70"/>
      <c r="J725" s="68"/>
      <c r="K725" s="68"/>
      <c r="L725" s="68"/>
      <c r="M725" s="73"/>
      <c r="N725" s="70"/>
      <c r="O725" s="70"/>
      <c r="P725" s="68"/>
    </row>
    <row r="726" customFormat="false" ht="15" hidden="false" customHeight="false" outlineLevel="0" collapsed="false">
      <c r="A726" s="67"/>
      <c r="B726" s="68"/>
      <c r="C726" s="70"/>
      <c r="D726" s="68"/>
      <c r="E726" s="70"/>
      <c r="F726" s="68"/>
      <c r="G726" s="68"/>
      <c r="H726" s="68"/>
      <c r="I726" s="70"/>
      <c r="J726" s="68"/>
      <c r="K726" s="68"/>
      <c r="L726" s="68"/>
      <c r="M726" s="73"/>
      <c r="N726" s="70"/>
      <c r="O726" s="70"/>
      <c r="P726" s="68"/>
    </row>
    <row r="727" customFormat="false" ht="15" hidden="false" customHeight="false" outlineLevel="0" collapsed="false">
      <c r="A727" s="67"/>
      <c r="B727" s="68"/>
      <c r="C727" s="70"/>
      <c r="D727" s="68"/>
      <c r="E727" s="70"/>
      <c r="F727" s="68"/>
      <c r="G727" s="68"/>
      <c r="H727" s="68"/>
      <c r="I727" s="70"/>
      <c r="J727" s="68"/>
      <c r="K727" s="68"/>
      <c r="L727" s="68"/>
      <c r="M727" s="73"/>
      <c r="N727" s="70"/>
      <c r="O727" s="70"/>
      <c r="P727" s="68"/>
    </row>
    <row r="728" customFormat="false" ht="15" hidden="false" customHeight="false" outlineLevel="0" collapsed="false">
      <c r="A728" s="67"/>
      <c r="B728" s="68"/>
      <c r="C728" s="70"/>
      <c r="D728" s="68"/>
      <c r="E728" s="70"/>
      <c r="F728" s="68"/>
      <c r="G728" s="68"/>
      <c r="H728" s="68"/>
      <c r="I728" s="70"/>
      <c r="J728" s="68"/>
      <c r="K728" s="68"/>
      <c r="L728" s="68"/>
      <c r="M728" s="73"/>
      <c r="N728" s="70"/>
      <c r="O728" s="70"/>
      <c r="P728" s="68"/>
    </row>
    <row r="729" customFormat="false" ht="15" hidden="false" customHeight="false" outlineLevel="0" collapsed="false">
      <c r="A729" s="67"/>
      <c r="B729" s="68"/>
      <c r="C729" s="70"/>
      <c r="D729" s="68"/>
      <c r="E729" s="70"/>
      <c r="F729" s="68"/>
      <c r="G729" s="68"/>
      <c r="H729" s="68"/>
      <c r="I729" s="70"/>
      <c r="J729" s="68"/>
      <c r="K729" s="68"/>
      <c r="L729" s="68"/>
      <c r="M729" s="73"/>
      <c r="N729" s="70"/>
      <c r="O729" s="70"/>
      <c r="P729" s="68"/>
    </row>
    <row r="730" customFormat="false" ht="15" hidden="false" customHeight="false" outlineLevel="0" collapsed="false">
      <c r="A730" s="67"/>
      <c r="B730" s="68"/>
      <c r="C730" s="70"/>
      <c r="D730" s="68"/>
      <c r="E730" s="70"/>
      <c r="F730" s="68"/>
      <c r="G730" s="68"/>
      <c r="H730" s="68"/>
      <c r="I730" s="70"/>
      <c r="J730" s="68"/>
      <c r="K730" s="68"/>
      <c r="L730" s="68"/>
      <c r="M730" s="73"/>
      <c r="N730" s="70"/>
      <c r="O730" s="70"/>
      <c r="P730" s="68"/>
    </row>
    <row r="731" customFormat="false" ht="15" hidden="false" customHeight="false" outlineLevel="0" collapsed="false">
      <c r="A731" s="67"/>
      <c r="B731" s="68"/>
      <c r="C731" s="70"/>
      <c r="D731" s="68"/>
      <c r="E731" s="70"/>
      <c r="F731" s="68"/>
      <c r="G731" s="68"/>
      <c r="H731" s="68"/>
      <c r="I731" s="70"/>
      <c r="J731" s="68"/>
      <c r="K731" s="68"/>
      <c r="L731" s="68"/>
      <c r="M731" s="73"/>
      <c r="N731" s="70"/>
      <c r="O731" s="70"/>
      <c r="P731" s="68"/>
    </row>
    <row r="732" customFormat="false" ht="15" hidden="false" customHeight="false" outlineLevel="0" collapsed="false">
      <c r="A732" s="67"/>
      <c r="B732" s="68"/>
      <c r="C732" s="70"/>
      <c r="D732" s="68"/>
      <c r="E732" s="70"/>
      <c r="F732" s="68"/>
      <c r="G732" s="68"/>
      <c r="H732" s="68"/>
      <c r="I732" s="70"/>
      <c r="J732" s="68"/>
      <c r="K732" s="68"/>
      <c r="L732" s="68"/>
      <c r="M732" s="73"/>
      <c r="N732" s="70"/>
      <c r="O732" s="70"/>
      <c r="P732" s="68"/>
    </row>
    <row r="733" customFormat="false" ht="15" hidden="false" customHeight="false" outlineLevel="0" collapsed="false">
      <c r="A733" s="67"/>
      <c r="B733" s="68"/>
      <c r="C733" s="70"/>
      <c r="D733" s="68"/>
      <c r="E733" s="70"/>
      <c r="F733" s="68"/>
      <c r="G733" s="68"/>
      <c r="H733" s="68"/>
      <c r="I733" s="70"/>
      <c r="J733" s="68"/>
      <c r="K733" s="68"/>
      <c r="L733" s="68"/>
      <c r="M733" s="73"/>
      <c r="N733" s="70"/>
      <c r="O733" s="70"/>
      <c r="P733" s="68"/>
    </row>
    <row r="734" customFormat="false" ht="15" hidden="false" customHeight="false" outlineLevel="0" collapsed="false">
      <c r="A734" s="67"/>
      <c r="B734" s="68"/>
      <c r="C734" s="70"/>
      <c r="D734" s="68"/>
      <c r="E734" s="70"/>
      <c r="F734" s="68"/>
      <c r="G734" s="68"/>
      <c r="H734" s="68"/>
      <c r="I734" s="70"/>
      <c r="J734" s="68"/>
      <c r="K734" s="68"/>
      <c r="L734" s="68"/>
      <c r="M734" s="73"/>
      <c r="N734" s="70"/>
      <c r="O734" s="70"/>
      <c r="P734" s="68"/>
    </row>
    <row r="735" customFormat="false" ht="15" hidden="false" customHeight="false" outlineLevel="0" collapsed="false">
      <c r="A735" s="67"/>
      <c r="B735" s="68"/>
      <c r="C735" s="70"/>
      <c r="D735" s="68"/>
      <c r="E735" s="70"/>
      <c r="F735" s="68"/>
      <c r="G735" s="68"/>
      <c r="H735" s="68"/>
      <c r="I735" s="70"/>
      <c r="J735" s="68"/>
      <c r="K735" s="68"/>
      <c r="L735" s="68"/>
      <c r="M735" s="73"/>
      <c r="N735" s="70"/>
      <c r="O735" s="70"/>
      <c r="P735" s="68"/>
    </row>
    <row r="736" customFormat="false" ht="15" hidden="false" customHeight="false" outlineLevel="0" collapsed="false">
      <c r="A736" s="67"/>
      <c r="B736" s="68"/>
      <c r="C736" s="70"/>
      <c r="D736" s="68"/>
      <c r="E736" s="70"/>
      <c r="F736" s="68"/>
      <c r="G736" s="68"/>
      <c r="H736" s="68"/>
      <c r="I736" s="70"/>
      <c r="J736" s="68"/>
      <c r="K736" s="68"/>
      <c r="L736" s="68"/>
      <c r="M736" s="73"/>
      <c r="N736" s="70"/>
      <c r="O736" s="70"/>
      <c r="P736" s="68"/>
    </row>
    <row r="737" customFormat="false" ht="15" hidden="false" customHeight="false" outlineLevel="0" collapsed="false">
      <c r="A737" s="67"/>
      <c r="B737" s="68"/>
      <c r="C737" s="70"/>
      <c r="D737" s="68"/>
      <c r="E737" s="70"/>
      <c r="F737" s="68"/>
      <c r="G737" s="68"/>
      <c r="H737" s="68"/>
      <c r="I737" s="70"/>
      <c r="J737" s="68"/>
      <c r="K737" s="68"/>
      <c r="L737" s="68"/>
      <c r="M737" s="73"/>
      <c r="N737" s="70"/>
      <c r="O737" s="70"/>
      <c r="P737" s="68"/>
    </row>
    <row r="738" customFormat="false" ht="15" hidden="false" customHeight="false" outlineLevel="0" collapsed="false">
      <c r="A738" s="67"/>
      <c r="B738" s="68"/>
      <c r="C738" s="70"/>
      <c r="D738" s="68"/>
      <c r="E738" s="70"/>
      <c r="F738" s="68"/>
      <c r="G738" s="68"/>
      <c r="H738" s="68"/>
      <c r="I738" s="70"/>
      <c r="J738" s="68"/>
      <c r="K738" s="68"/>
      <c r="L738" s="68"/>
      <c r="M738" s="73"/>
      <c r="N738" s="70"/>
      <c r="O738" s="70"/>
      <c r="P738" s="68"/>
    </row>
    <row r="739" customFormat="false" ht="15" hidden="false" customHeight="false" outlineLevel="0" collapsed="false">
      <c r="A739" s="67"/>
      <c r="B739" s="68"/>
      <c r="C739" s="70"/>
      <c r="D739" s="68"/>
      <c r="E739" s="70"/>
      <c r="F739" s="68"/>
      <c r="G739" s="68"/>
      <c r="H739" s="68"/>
      <c r="I739" s="70"/>
      <c r="J739" s="68"/>
      <c r="K739" s="68"/>
      <c r="L739" s="68"/>
      <c r="M739" s="73"/>
      <c r="N739" s="70"/>
      <c r="O739" s="70"/>
      <c r="P739" s="68"/>
    </row>
    <row r="740" customFormat="false" ht="15" hidden="false" customHeight="false" outlineLevel="0" collapsed="false">
      <c r="A740" s="67"/>
      <c r="B740" s="68"/>
      <c r="C740" s="70"/>
      <c r="D740" s="68"/>
      <c r="E740" s="70"/>
      <c r="F740" s="68"/>
      <c r="G740" s="68"/>
      <c r="H740" s="68"/>
      <c r="I740" s="70"/>
      <c r="J740" s="68"/>
      <c r="K740" s="68"/>
      <c r="L740" s="68"/>
      <c r="M740" s="73"/>
      <c r="N740" s="70"/>
      <c r="O740" s="70"/>
      <c r="P740" s="68"/>
    </row>
    <row r="741" customFormat="false" ht="15" hidden="false" customHeight="false" outlineLevel="0" collapsed="false">
      <c r="A741" s="67"/>
      <c r="B741" s="68"/>
      <c r="C741" s="70"/>
      <c r="D741" s="68"/>
      <c r="E741" s="70"/>
      <c r="F741" s="68"/>
      <c r="G741" s="68"/>
      <c r="H741" s="68"/>
      <c r="I741" s="70"/>
      <c r="J741" s="68"/>
      <c r="K741" s="68"/>
      <c r="L741" s="68"/>
      <c r="M741" s="73"/>
      <c r="N741" s="70"/>
      <c r="O741" s="70"/>
      <c r="P741" s="68"/>
    </row>
    <row r="742" customFormat="false" ht="15" hidden="false" customHeight="false" outlineLevel="0" collapsed="false">
      <c r="A742" s="67"/>
      <c r="B742" s="68"/>
      <c r="C742" s="70"/>
      <c r="D742" s="68"/>
      <c r="E742" s="70"/>
      <c r="F742" s="68"/>
      <c r="G742" s="68"/>
      <c r="H742" s="68"/>
      <c r="I742" s="70"/>
      <c r="J742" s="68"/>
      <c r="K742" s="68"/>
      <c r="L742" s="68"/>
      <c r="M742" s="73"/>
      <c r="N742" s="70"/>
      <c r="O742" s="70"/>
      <c r="P742" s="68"/>
    </row>
    <row r="743" customFormat="false" ht="15" hidden="false" customHeight="false" outlineLevel="0" collapsed="false">
      <c r="A743" s="67"/>
      <c r="B743" s="68"/>
      <c r="C743" s="70"/>
      <c r="D743" s="68"/>
      <c r="E743" s="70"/>
      <c r="F743" s="68"/>
      <c r="G743" s="68"/>
      <c r="H743" s="68"/>
      <c r="I743" s="70"/>
      <c r="J743" s="68"/>
      <c r="K743" s="68"/>
      <c r="L743" s="68"/>
      <c r="M743" s="73"/>
      <c r="N743" s="70"/>
      <c r="O743" s="70"/>
      <c r="P743" s="68"/>
    </row>
    <row r="744" customFormat="false" ht="15" hidden="false" customHeight="false" outlineLevel="0" collapsed="false">
      <c r="A744" s="67"/>
      <c r="B744" s="68"/>
      <c r="C744" s="70"/>
      <c r="D744" s="68"/>
      <c r="E744" s="70"/>
      <c r="F744" s="68"/>
      <c r="G744" s="68"/>
      <c r="H744" s="68"/>
      <c r="I744" s="70"/>
      <c r="J744" s="68"/>
      <c r="K744" s="68"/>
      <c r="L744" s="68"/>
      <c r="M744" s="73"/>
      <c r="N744" s="70"/>
      <c r="O744" s="70"/>
      <c r="P744" s="68"/>
    </row>
    <row r="745" customFormat="false" ht="15" hidden="false" customHeight="false" outlineLevel="0" collapsed="false">
      <c r="A745" s="67"/>
      <c r="B745" s="68"/>
      <c r="C745" s="70"/>
      <c r="D745" s="68"/>
      <c r="E745" s="70"/>
      <c r="F745" s="68"/>
      <c r="G745" s="68"/>
      <c r="H745" s="68"/>
      <c r="I745" s="70"/>
      <c r="J745" s="68"/>
      <c r="K745" s="68"/>
      <c r="L745" s="68"/>
      <c r="M745" s="73"/>
      <c r="N745" s="70"/>
      <c r="O745" s="70"/>
      <c r="P745" s="68"/>
    </row>
    <row r="746" customFormat="false" ht="15" hidden="false" customHeight="false" outlineLevel="0" collapsed="false">
      <c r="A746" s="67"/>
      <c r="B746" s="68"/>
      <c r="C746" s="70"/>
      <c r="D746" s="68"/>
      <c r="E746" s="70"/>
      <c r="F746" s="68"/>
      <c r="G746" s="68"/>
      <c r="H746" s="68"/>
      <c r="I746" s="70"/>
      <c r="J746" s="68"/>
      <c r="K746" s="68"/>
      <c r="L746" s="68"/>
      <c r="M746" s="73"/>
      <c r="N746" s="70"/>
      <c r="O746" s="70"/>
      <c r="P746" s="68"/>
    </row>
    <row r="747" customFormat="false" ht="15" hidden="false" customHeight="false" outlineLevel="0" collapsed="false">
      <c r="A747" s="67"/>
      <c r="B747" s="68"/>
      <c r="C747" s="70"/>
      <c r="D747" s="68"/>
      <c r="E747" s="70"/>
      <c r="F747" s="68"/>
      <c r="G747" s="68"/>
      <c r="H747" s="68"/>
      <c r="I747" s="70"/>
      <c r="J747" s="68"/>
      <c r="K747" s="68"/>
      <c r="L747" s="68"/>
      <c r="M747" s="73"/>
      <c r="N747" s="70"/>
      <c r="O747" s="70"/>
      <c r="P747" s="68"/>
    </row>
    <row r="748" customFormat="false" ht="15" hidden="false" customHeight="false" outlineLevel="0" collapsed="false">
      <c r="A748" s="67"/>
      <c r="B748" s="68"/>
      <c r="C748" s="70"/>
      <c r="D748" s="68"/>
      <c r="E748" s="70"/>
      <c r="F748" s="68"/>
      <c r="G748" s="68"/>
      <c r="H748" s="68"/>
      <c r="I748" s="70"/>
      <c r="J748" s="68"/>
      <c r="K748" s="68"/>
      <c r="L748" s="68"/>
      <c r="M748" s="73"/>
      <c r="N748" s="70"/>
      <c r="O748" s="70"/>
      <c r="P748" s="68"/>
    </row>
    <row r="749" customFormat="false" ht="15" hidden="false" customHeight="false" outlineLevel="0" collapsed="false">
      <c r="A749" s="67"/>
      <c r="B749" s="68"/>
      <c r="C749" s="70"/>
      <c r="D749" s="68"/>
      <c r="E749" s="70"/>
      <c r="F749" s="68"/>
      <c r="G749" s="68"/>
      <c r="H749" s="68"/>
      <c r="I749" s="70"/>
      <c r="J749" s="68"/>
      <c r="K749" s="68"/>
      <c r="L749" s="68"/>
      <c r="M749" s="73"/>
      <c r="N749" s="70"/>
      <c r="O749" s="70"/>
      <c r="P749" s="68"/>
    </row>
    <row r="750" customFormat="false" ht="15" hidden="false" customHeight="false" outlineLevel="0" collapsed="false">
      <c r="A750" s="67"/>
      <c r="B750" s="68"/>
      <c r="C750" s="70"/>
      <c r="D750" s="68"/>
      <c r="E750" s="70"/>
      <c r="F750" s="68"/>
      <c r="G750" s="68"/>
      <c r="H750" s="68"/>
      <c r="I750" s="70"/>
      <c r="J750" s="68"/>
      <c r="K750" s="68"/>
      <c r="L750" s="68"/>
      <c r="M750" s="73"/>
      <c r="N750" s="70"/>
      <c r="O750" s="70"/>
      <c r="P750" s="68"/>
    </row>
    <row r="751" customFormat="false" ht="15" hidden="false" customHeight="false" outlineLevel="0" collapsed="false">
      <c r="A751" s="67"/>
      <c r="B751" s="68"/>
      <c r="C751" s="70"/>
      <c r="D751" s="68"/>
      <c r="E751" s="70"/>
      <c r="F751" s="68"/>
      <c r="G751" s="68"/>
      <c r="H751" s="68"/>
      <c r="I751" s="70"/>
      <c r="J751" s="68"/>
      <c r="K751" s="68"/>
      <c r="L751" s="68"/>
      <c r="M751" s="73"/>
      <c r="N751" s="70"/>
      <c r="O751" s="70"/>
      <c r="P751" s="68"/>
    </row>
    <row r="752" customFormat="false" ht="15" hidden="false" customHeight="false" outlineLevel="0" collapsed="false">
      <c r="A752" s="67"/>
      <c r="B752" s="68"/>
      <c r="C752" s="70"/>
      <c r="D752" s="68"/>
      <c r="E752" s="70"/>
      <c r="F752" s="68"/>
      <c r="G752" s="68"/>
      <c r="H752" s="68"/>
      <c r="I752" s="70"/>
      <c r="J752" s="68"/>
      <c r="K752" s="68"/>
      <c r="L752" s="68"/>
      <c r="M752" s="73"/>
      <c r="N752" s="70"/>
      <c r="O752" s="70"/>
      <c r="P752" s="68"/>
    </row>
    <row r="753" customFormat="false" ht="15" hidden="false" customHeight="false" outlineLevel="0" collapsed="false">
      <c r="A753" s="67"/>
      <c r="B753" s="68"/>
      <c r="C753" s="70"/>
      <c r="D753" s="68"/>
      <c r="E753" s="70"/>
      <c r="F753" s="68"/>
      <c r="G753" s="68"/>
      <c r="H753" s="68"/>
      <c r="I753" s="70"/>
      <c r="J753" s="68"/>
      <c r="K753" s="68"/>
      <c r="L753" s="68"/>
      <c r="M753" s="73"/>
      <c r="N753" s="70"/>
      <c r="O753" s="70"/>
      <c r="P753" s="68"/>
    </row>
    <row r="754" customFormat="false" ht="15" hidden="false" customHeight="false" outlineLevel="0" collapsed="false">
      <c r="A754" s="67"/>
      <c r="B754" s="68"/>
      <c r="C754" s="70"/>
      <c r="D754" s="68"/>
      <c r="E754" s="70"/>
      <c r="F754" s="68"/>
      <c r="G754" s="68"/>
      <c r="H754" s="68"/>
      <c r="I754" s="70"/>
      <c r="J754" s="68"/>
      <c r="K754" s="68"/>
      <c r="L754" s="68"/>
      <c r="M754" s="73"/>
      <c r="N754" s="70"/>
      <c r="O754" s="70"/>
      <c r="P754" s="68"/>
    </row>
    <row r="755" customFormat="false" ht="15" hidden="false" customHeight="false" outlineLevel="0" collapsed="false">
      <c r="A755" s="67"/>
      <c r="B755" s="68"/>
      <c r="C755" s="70"/>
      <c r="D755" s="68"/>
      <c r="E755" s="70"/>
      <c r="F755" s="68"/>
      <c r="G755" s="68"/>
      <c r="H755" s="68"/>
      <c r="I755" s="70"/>
      <c r="J755" s="68"/>
      <c r="K755" s="68"/>
      <c r="L755" s="68"/>
      <c r="M755" s="73"/>
      <c r="N755" s="70"/>
      <c r="O755" s="70"/>
      <c r="P755" s="68"/>
    </row>
    <row r="756" customFormat="false" ht="15" hidden="false" customHeight="false" outlineLevel="0" collapsed="false">
      <c r="A756" s="67"/>
      <c r="B756" s="68"/>
      <c r="C756" s="70"/>
      <c r="D756" s="68"/>
      <c r="E756" s="70"/>
      <c r="F756" s="68"/>
      <c r="G756" s="68"/>
      <c r="H756" s="68"/>
      <c r="I756" s="70"/>
      <c r="J756" s="68"/>
      <c r="K756" s="68"/>
      <c r="L756" s="68"/>
      <c r="M756" s="73"/>
      <c r="N756" s="70"/>
      <c r="O756" s="70"/>
      <c r="P756" s="68"/>
    </row>
    <row r="757" customFormat="false" ht="15" hidden="false" customHeight="false" outlineLevel="0" collapsed="false">
      <c r="A757" s="67"/>
      <c r="B757" s="68"/>
      <c r="C757" s="70"/>
      <c r="D757" s="68"/>
      <c r="E757" s="70"/>
      <c r="F757" s="68"/>
      <c r="G757" s="68"/>
      <c r="H757" s="68"/>
      <c r="I757" s="70"/>
      <c r="J757" s="68"/>
      <c r="K757" s="68"/>
      <c r="L757" s="68"/>
      <c r="M757" s="73"/>
      <c r="N757" s="70"/>
      <c r="O757" s="70"/>
      <c r="P757" s="68"/>
    </row>
    <row r="758" customFormat="false" ht="15" hidden="false" customHeight="false" outlineLevel="0" collapsed="false">
      <c r="A758" s="67"/>
      <c r="B758" s="68"/>
      <c r="C758" s="70"/>
      <c r="D758" s="68"/>
      <c r="E758" s="70"/>
      <c r="F758" s="68"/>
      <c r="G758" s="68"/>
      <c r="H758" s="68"/>
      <c r="I758" s="70"/>
      <c r="J758" s="68"/>
      <c r="K758" s="68"/>
      <c r="L758" s="68"/>
      <c r="M758" s="73"/>
      <c r="N758" s="70"/>
      <c r="O758" s="70"/>
      <c r="P758" s="68"/>
    </row>
    <row r="759" customFormat="false" ht="15" hidden="false" customHeight="false" outlineLevel="0" collapsed="false">
      <c r="A759" s="67"/>
      <c r="B759" s="68"/>
      <c r="C759" s="70"/>
      <c r="D759" s="68"/>
      <c r="E759" s="70"/>
      <c r="F759" s="68"/>
      <c r="G759" s="68"/>
      <c r="H759" s="68"/>
      <c r="I759" s="70"/>
      <c r="J759" s="68"/>
      <c r="K759" s="68"/>
      <c r="L759" s="68"/>
      <c r="M759" s="73"/>
      <c r="N759" s="70"/>
      <c r="O759" s="70"/>
      <c r="P759" s="68"/>
    </row>
    <row r="760" customFormat="false" ht="15" hidden="false" customHeight="false" outlineLevel="0" collapsed="false">
      <c r="A760" s="67"/>
      <c r="B760" s="68"/>
      <c r="C760" s="70"/>
      <c r="D760" s="68"/>
      <c r="E760" s="70"/>
      <c r="F760" s="68"/>
      <c r="G760" s="68"/>
      <c r="H760" s="68"/>
      <c r="I760" s="70"/>
      <c r="J760" s="68"/>
      <c r="K760" s="68"/>
      <c r="L760" s="68"/>
      <c r="M760" s="73"/>
      <c r="N760" s="70"/>
      <c r="O760" s="70"/>
      <c r="P760" s="68"/>
    </row>
    <row r="761" customFormat="false" ht="15" hidden="false" customHeight="false" outlineLevel="0" collapsed="false">
      <c r="A761" s="67"/>
      <c r="B761" s="68"/>
      <c r="C761" s="70"/>
      <c r="D761" s="68"/>
      <c r="E761" s="70"/>
      <c r="F761" s="68"/>
      <c r="G761" s="68"/>
      <c r="H761" s="68"/>
      <c r="I761" s="70"/>
      <c r="J761" s="68"/>
      <c r="K761" s="68"/>
      <c r="L761" s="68"/>
      <c r="M761" s="73"/>
      <c r="N761" s="70"/>
      <c r="O761" s="70"/>
      <c r="P761" s="68"/>
    </row>
    <row r="762" customFormat="false" ht="15" hidden="false" customHeight="false" outlineLevel="0" collapsed="false">
      <c r="A762" s="67"/>
      <c r="B762" s="68"/>
      <c r="C762" s="70"/>
      <c r="D762" s="68"/>
      <c r="E762" s="70"/>
      <c r="F762" s="68"/>
      <c r="G762" s="68"/>
      <c r="H762" s="68"/>
      <c r="I762" s="70"/>
      <c r="J762" s="68"/>
      <c r="K762" s="68"/>
      <c r="L762" s="68"/>
      <c r="M762" s="73"/>
      <c r="N762" s="70"/>
      <c r="O762" s="70"/>
      <c r="P762" s="68"/>
    </row>
    <row r="763" customFormat="false" ht="15" hidden="false" customHeight="false" outlineLevel="0" collapsed="false">
      <c r="A763" s="67"/>
      <c r="B763" s="68"/>
      <c r="C763" s="70"/>
      <c r="D763" s="68"/>
      <c r="E763" s="70"/>
      <c r="F763" s="68"/>
      <c r="G763" s="68"/>
      <c r="H763" s="68"/>
      <c r="I763" s="70"/>
      <c r="J763" s="68"/>
      <c r="K763" s="68"/>
      <c r="L763" s="68"/>
      <c r="M763" s="73"/>
      <c r="N763" s="70"/>
      <c r="O763" s="70"/>
      <c r="P763" s="68"/>
    </row>
    <row r="764" customFormat="false" ht="15" hidden="false" customHeight="false" outlineLevel="0" collapsed="false">
      <c r="A764" s="67"/>
      <c r="B764" s="68"/>
      <c r="C764" s="70"/>
      <c r="D764" s="68"/>
      <c r="E764" s="70"/>
      <c r="F764" s="68"/>
      <c r="G764" s="68"/>
      <c r="H764" s="68"/>
      <c r="I764" s="70"/>
      <c r="J764" s="68"/>
      <c r="K764" s="68"/>
      <c r="L764" s="68"/>
      <c r="M764" s="73"/>
      <c r="N764" s="70"/>
      <c r="O764" s="70"/>
      <c r="P764" s="68"/>
    </row>
    <row r="765" customFormat="false" ht="15" hidden="false" customHeight="false" outlineLevel="0" collapsed="false">
      <c r="A765" s="67"/>
      <c r="B765" s="68"/>
      <c r="C765" s="70"/>
      <c r="D765" s="68"/>
      <c r="E765" s="70"/>
      <c r="F765" s="68"/>
      <c r="G765" s="68"/>
      <c r="H765" s="68"/>
      <c r="I765" s="70"/>
      <c r="J765" s="68"/>
      <c r="K765" s="68"/>
      <c r="L765" s="68"/>
      <c r="M765" s="73"/>
      <c r="N765" s="70"/>
      <c r="O765" s="70"/>
      <c r="P765" s="68"/>
    </row>
    <row r="766" customFormat="false" ht="15" hidden="false" customHeight="false" outlineLevel="0" collapsed="false">
      <c r="A766" s="67"/>
      <c r="B766" s="68"/>
      <c r="C766" s="70"/>
      <c r="D766" s="68"/>
      <c r="E766" s="70"/>
      <c r="F766" s="68"/>
      <c r="G766" s="68"/>
      <c r="H766" s="68"/>
      <c r="I766" s="70"/>
      <c r="J766" s="68"/>
      <c r="K766" s="68"/>
      <c r="L766" s="68"/>
      <c r="M766" s="73"/>
      <c r="N766" s="70"/>
      <c r="O766" s="70"/>
      <c r="P766" s="68"/>
    </row>
    <row r="767" customFormat="false" ht="15" hidden="false" customHeight="false" outlineLevel="0" collapsed="false">
      <c r="A767" s="67"/>
      <c r="B767" s="68"/>
      <c r="C767" s="70"/>
      <c r="D767" s="68"/>
      <c r="E767" s="70"/>
      <c r="F767" s="68"/>
      <c r="G767" s="68"/>
      <c r="H767" s="68"/>
      <c r="I767" s="70"/>
      <c r="J767" s="68"/>
      <c r="K767" s="68"/>
      <c r="L767" s="68"/>
      <c r="M767" s="73"/>
      <c r="N767" s="70"/>
      <c r="O767" s="70"/>
      <c r="P767" s="68"/>
    </row>
    <row r="768" customFormat="false" ht="15" hidden="false" customHeight="false" outlineLevel="0" collapsed="false">
      <c r="A768" s="67"/>
      <c r="B768" s="68"/>
      <c r="C768" s="70"/>
      <c r="D768" s="68"/>
      <c r="E768" s="70"/>
      <c r="F768" s="68"/>
      <c r="G768" s="68"/>
      <c r="H768" s="68"/>
      <c r="I768" s="70"/>
      <c r="J768" s="68"/>
      <c r="K768" s="68"/>
      <c r="L768" s="68"/>
      <c r="M768" s="73"/>
      <c r="N768" s="70"/>
      <c r="O768" s="70"/>
      <c r="P768" s="68"/>
    </row>
    <row r="769" customFormat="false" ht="15" hidden="false" customHeight="false" outlineLevel="0" collapsed="false">
      <c r="A769" s="67"/>
      <c r="B769" s="68"/>
      <c r="C769" s="70"/>
      <c r="D769" s="68"/>
      <c r="E769" s="70"/>
      <c r="F769" s="68"/>
      <c r="G769" s="68"/>
      <c r="H769" s="68"/>
      <c r="I769" s="70"/>
      <c r="J769" s="68"/>
      <c r="K769" s="68"/>
      <c r="L769" s="68"/>
      <c r="M769" s="73"/>
      <c r="N769" s="70"/>
      <c r="O769" s="70"/>
      <c r="P769" s="68"/>
    </row>
    <row r="770" customFormat="false" ht="15" hidden="false" customHeight="false" outlineLevel="0" collapsed="false">
      <c r="A770" s="67"/>
      <c r="B770" s="68"/>
      <c r="C770" s="70"/>
      <c r="D770" s="68"/>
      <c r="E770" s="70"/>
      <c r="F770" s="68"/>
      <c r="G770" s="68"/>
      <c r="H770" s="68"/>
      <c r="I770" s="70"/>
      <c r="J770" s="68"/>
      <c r="K770" s="68"/>
      <c r="L770" s="68"/>
      <c r="M770" s="73"/>
      <c r="N770" s="70"/>
      <c r="O770" s="70"/>
      <c r="P770" s="68"/>
    </row>
    <row r="771" customFormat="false" ht="15" hidden="false" customHeight="false" outlineLevel="0" collapsed="false">
      <c r="A771" s="67"/>
      <c r="B771" s="68"/>
      <c r="C771" s="70"/>
      <c r="D771" s="68"/>
      <c r="E771" s="70"/>
      <c r="F771" s="68"/>
      <c r="G771" s="68"/>
      <c r="H771" s="68"/>
      <c r="I771" s="70"/>
      <c r="J771" s="68"/>
      <c r="K771" s="68"/>
      <c r="L771" s="68"/>
      <c r="M771" s="73"/>
      <c r="N771" s="70"/>
      <c r="O771" s="70"/>
      <c r="P771" s="68"/>
    </row>
    <row r="772" customFormat="false" ht="15" hidden="false" customHeight="false" outlineLevel="0" collapsed="false">
      <c r="A772" s="67"/>
      <c r="B772" s="68"/>
      <c r="C772" s="70"/>
      <c r="D772" s="68"/>
      <c r="E772" s="70"/>
      <c r="F772" s="68"/>
      <c r="G772" s="68"/>
      <c r="H772" s="68"/>
      <c r="I772" s="70"/>
      <c r="J772" s="68"/>
      <c r="K772" s="68"/>
      <c r="L772" s="68"/>
      <c r="M772" s="73"/>
      <c r="N772" s="70"/>
      <c r="O772" s="70"/>
      <c r="P772" s="68"/>
    </row>
    <row r="773" customFormat="false" ht="15" hidden="false" customHeight="false" outlineLevel="0" collapsed="false">
      <c r="A773" s="67"/>
      <c r="B773" s="68"/>
      <c r="C773" s="70"/>
      <c r="D773" s="68"/>
      <c r="E773" s="70"/>
      <c r="F773" s="68"/>
      <c r="G773" s="68"/>
      <c r="H773" s="68"/>
      <c r="I773" s="70"/>
      <c r="J773" s="68"/>
      <c r="K773" s="68"/>
      <c r="L773" s="68"/>
      <c r="M773" s="73"/>
      <c r="N773" s="70"/>
      <c r="O773" s="70"/>
      <c r="P773" s="68"/>
    </row>
    <row r="774" customFormat="false" ht="15" hidden="false" customHeight="false" outlineLevel="0" collapsed="false">
      <c r="A774" s="67"/>
      <c r="B774" s="68"/>
      <c r="C774" s="70"/>
      <c r="D774" s="68"/>
      <c r="E774" s="70"/>
      <c r="F774" s="68"/>
      <c r="G774" s="68"/>
      <c r="H774" s="68"/>
      <c r="I774" s="70"/>
      <c r="J774" s="68"/>
      <c r="K774" s="68"/>
      <c r="L774" s="68"/>
      <c r="M774" s="73"/>
      <c r="N774" s="70"/>
      <c r="O774" s="70"/>
      <c r="P774" s="68"/>
    </row>
    <row r="775" customFormat="false" ht="15" hidden="false" customHeight="false" outlineLevel="0" collapsed="false">
      <c r="A775" s="67"/>
      <c r="B775" s="68"/>
      <c r="C775" s="70"/>
      <c r="D775" s="68"/>
      <c r="E775" s="70"/>
      <c r="F775" s="68"/>
      <c r="G775" s="68"/>
      <c r="H775" s="68"/>
      <c r="I775" s="70"/>
      <c r="J775" s="68"/>
      <c r="K775" s="68"/>
      <c r="L775" s="68"/>
      <c r="M775" s="73"/>
      <c r="N775" s="70"/>
      <c r="O775" s="70"/>
      <c r="P775" s="68"/>
    </row>
    <row r="776" customFormat="false" ht="15" hidden="false" customHeight="false" outlineLevel="0" collapsed="false">
      <c r="A776" s="67"/>
      <c r="B776" s="68"/>
      <c r="C776" s="70"/>
      <c r="D776" s="68"/>
      <c r="E776" s="70"/>
      <c r="F776" s="68"/>
      <c r="G776" s="68"/>
      <c r="H776" s="68"/>
      <c r="I776" s="70"/>
      <c r="J776" s="68"/>
      <c r="K776" s="68"/>
      <c r="L776" s="68"/>
      <c r="M776" s="73"/>
      <c r="N776" s="70"/>
      <c r="O776" s="70"/>
      <c r="P776" s="68"/>
    </row>
    <row r="777" customFormat="false" ht="15" hidden="false" customHeight="false" outlineLevel="0" collapsed="false">
      <c r="A777" s="67"/>
      <c r="B777" s="68"/>
      <c r="C777" s="70"/>
      <c r="D777" s="68"/>
      <c r="E777" s="70"/>
      <c r="F777" s="68"/>
      <c r="G777" s="68"/>
      <c r="H777" s="68"/>
      <c r="I777" s="70"/>
      <c r="J777" s="68"/>
      <c r="K777" s="68"/>
      <c r="L777" s="68"/>
      <c r="M777" s="73"/>
      <c r="N777" s="70"/>
      <c r="O777" s="70"/>
      <c r="P777" s="68"/>
    </row>
    <row r="778" customFormat="false" ht="15" hidden="false" customHeight="false" outlineLevel="0" collapsed="false">
      <c r="A778" s="67"/>
      <c r="B778" s="68"/>
      <c r="C778" s="70"/>
      <c r="D778" s="68"/>
      <c r="E778" s="70"/>
      <c r="F778" s="68"/>
      <c r="G778" s="68"/>
      <c r="H778" s="68"/>
      <c r="I778" s="70"/>
      <c r="J778" s="68"/>
      <c r="K778" s="68"/>
      <c r="L778" s="68"/>
      <c r="M778" s="73"/>
      <c r="N778" s="70"/>
      <c r="O778" s="70"/>
      <c r="P778" s="68"/>
    </row>
    <row r="779" customFormat="false" ht="15" hidden="false" customHeight="false" outlineLevel="0" collapsed="false">
      <c r="A779" s="67"/>
      <c r="B779" s="68"/>
      <c r="C779" s="70"/>
      <c r="D779" s="68"/>
      <c r="E779" s="70"/>
      <c r="F779" s="68"/>
      <c r="G779" s="68"/>
      <c r="H779" s="68"/>
      <c r="I779" s="70"/>
      <c r="J779" s="68"/>
      <c r="K779" s="68"/>
      <c r="L779" s="68"/>
      <c r="M779" s="73"/>
      <c r="N779" s="70"/>
      <c r="O779" s="70"/>
      <c r="P779" s="68"/>
    </row>
    <row r="780" customFormat="false" ht="15" hidden="false" customHeight="false" outlineLevel="0" collapsed="false">
      <c r="A780" s="67"/>
      <c r="B780" s="68"/>
      <c r="C780" s="70"/>
      <c r="D780" s="68"/>
      <c r="E780" s="70"/>
      <c r="F780" s="68"/>
      <c r="G780" s="68"/>
      <c r="H780" s="68"/>
      <c r="I780" s="70"/>
      <c r="J780" s="68"/>
      <c r="K780" s="68"/>
      <c r="L780" s="68"/>
      <c r="M780" s="73"/>
      <c r="N780" s="70"/>
      <c r="O780" s="70"/>
      <c r="P780" s="68"/>
    </row>
    <row r="781" customFormat="false" ht="15" hidden="false" customHeight="false" outlineLevel="0" collapsed="false">
      <c r="A781" s="67"/>
      <c r="B781" s="68"/>
      <c r="C781" s="70"/>
      <c r="D781" s="68"/>
      <c r="E781" s="70"/>
      <c r="F781" s="68"/>
      <c r="G781" s="68"/>
      <c r="H781" s="68"/>
      <c r="I781" s="70"/>
      <c r="J781" s="68"/>
      <c r="K781" s="68"/>
      <c r="L781" s="68"/>
      <c r="M781" s="73"/>
      <c r="N781" s="70"/>
      <c r="O781" s="70"/>
      <c r="P781" s="68"/>
    </row>
    <row r="782" customFormat="false" ht="15" hidden="false" customHeight="false" outlineLevel="0" collapsed="false">
      <c r="A782" s="67"/>
      <c r="B782" s="68"/>
      <c r="C782" s="70"/>
      <c r="D782" s="68"/>
      <c r="E782" s="70"/>
      <c r="F782" s="68"/>
      <c r="G782" s="68"/>
      <c r="H782" s="68"/>
      <c r="I782" s="70"/>
      <c r="J782" s="68"/>
      <c r="K782" s="68"/>
      <c r="L782" s="68"/>
      <c r="M782" s="73"/>
      <c r="N782" s="70"/>
      <c r="O782" s="70"/>
      <c r="P782" s="68"/>
    </row>
    <row r="783" customFormat="false" ht="15" hidden="false" customHeight="false" outlineLevel="0" collapsed="false">
      <c r="A783" s="67"/>
      <c r="B783" s="68"/>
      <c r="C783" s="70"/>
      <c r="D783" s="68"/>
      <c r="E783" s="70"/>
      <c r="F783" s="68"/>
      <c r="G783" s="68"/>
      <c r="H783" s="68"/>
      <c r="I783" s="70"/>
      <c r="J783" s="68"/>
      <c r="K783" s="68"/>
      <c r="L783" s="68"/>
      <c r="M783" s="73"/>
      <c r="N783" s="70"/>
      <c r="O783" s="70"/>
      <c r="P783" s="68"/>
    </row>
    <row r="784" customFormat="false" ht="15" hidden="false" customHeight="false" outlineLevel="0" collapsed="false">
      <c r="A784" s="67"/>
      <c r="B784" s="68"/>
      <c r="C784" s="70"/>
      <c r="D784" s="68"/>
      <c r="E784" s="70"/>
      <c r="F784" s="68"/>
      <c r="G784" s="68"/>
      <c r="H784" s="68"/>
      <c r="I784" s="70"/>
      <c r="J784" s="68"/>
      <c r="K784" s="68"/>
      <c r="L784" s="68"/>
      <c r="M784" s="73"/>
      <c r="N784" s="70"/>
      <c r="O784" s="70"/>
      <c r="P784" s="68"/>
    </row>
    <row r="785" customFormat="false" ht="15" hidden="false" customHeight="false" outlineLevel="0" collapsed="false">
      <c r="A785" s="67"/>
      <c r="B785" s="68"/>
      <c r="C785" s="70"/>
      <c r="D785" s="68"/>
      <c r="E785" s="70"/>
      <c r="F785" s="68"/>
      <c r="G785" s="68"/>
      <c r="H785" s="68"/>
      <c r="I785" s="70"/>
      <c r="J785" s="68"/>
      <c r="K785" s="68"/>
      <c r="L785" s="68"/>
      <c r="M785" s="73"/>
      <c r="N785" s="70"/>
      <c r="O785" s="70"/>
      <c r="P785" s="68"/>
    </row>
    <row r="786" customFormat="false" ht="15" hidden="false" customHeight="false" outlineLevel="0" collapsed="false">
      <c r="A786" s="67"/>
      <c r="B786" s="68"/>
      <c r="C786" s="70"/>
      <c r="D786" s="68"/>
      <c r="E786" s="70"/>
      <c r="F786" s="68"/>
      <c r="G786" s="68"/>
      <c r="H786" s="68"/>
      <c r="I786" s="70"/>
      <c r="J786" s="68"/>
      <c r="K786" s="68"/>
      <c r="L786" s="68"/>
      <c r="M786" s="73"/>
      <c r="N786" s="70"/>
      <c r="O786" s="70"/>
      <c r="P786" s="68"/>
    </row>
    <row r="787" customFormat="false" ht="15" hidden="false" customHeight="false" outlineLevel="0" collapsed="false">
      <c r="A787" s="67"/>
      <c r="B787" s="68"/>
      <c r="C787" s="70"/>
      <c r="D787" s="68"/>
      <c r="E787" s="70"/>
      <c r="F787" s="68"/>
      <c r="G787" s="68"/>
      <c r="H787" s="68"/>
      <c r="I787" s="70"/>
      <c r="J787" s="68"/>
      <c r="K787" s="68"/>
      <c r="L787" s="68"/>
      <c r="M787" s="73"/>
      <c r="N787" s="70"/>
      <c r="O787" s="70"/>
      <c r="P787" s="68"/>
    </row>
    <row r="788" customFormat="false" ht="15" hidden="false" customHeight="false" outlineLevel="0" collapsed="false">
      <c r="A788" s="67"/>
      <c r="B788" s="68"/>
      <c r="C788" s="70"/>
      <c r="D788" s="68"/>
      <c r="E788" s="70"/>
      <c r="F788" s="68"/>
      <c r="G788" s="68"/>
      <c r="H788" s="68"/>
      <c r="I788" s="70"/>
      <c r="J788" s="68"/>
      <c r="K788" s="68"/>
      <c r="L788" s="68"/>
      <c r="M788" s="73"/>
      <c r="N788" s="70"/>
      <c r="O788" s="70"/>
      <c r="P788" s="68"/>
    </row>
    <row r="789" customFormat="false" ht="15" hidden="false" customHeight="false" outlineLevel="0" collapsed="false">
      <c r="A789" s="67"/>
      <c r="B789" s="68"/>
      <c r="C789" s="70"/>
      <c r="D789" s="68"/>
      <c r="E789" s="70"/>
      <c r="F789" s="68"/>
      <c r="G789" s="68"/>
      <c r="H789" s="68"/>
      <c r="I789" s="70"/>
      <c r="J789" s="68"/>
      <c r="K789" s="68"/>
      <c r="L789" s="68"/>
      <c r="M789" s="73"/>
      <c r="N789" s="70"/>
      <c r="O789" s="70"/>
      <c r="P789" s="68"/>
    </row>
    <row r="790" customFormat="false" ht="15" hidden="false" customHeight="false" outlineLevel="0" collapsed="false">
      <c r="A790" s="67"/>
      <c r="B790" s="68"/>
      <c r="C790" s="70"/>
      <c r="D790" s="68"/>
      <c r="E790" s="70"/>
      <c r="F790" s="68"/>
      <c r="G790" s="68"/>
      <c r="H790" s="68"/>
      <c r="I790" s="70"/>
      <c r="J790" s="68"/>
      <c r="K790" s="68"/>
      <c r="L790" s="68"/>
      <c r="M790" s="73"/>
      <c r="N790" s="70"/>
      <c r="O790" s="70"/>
      <c r="P790" s="68"/>
    </row>
    <row r="791" customFormat="false" ht="15" hidden="false" customHeight="false" outlineLevel="0" collapsed="false">
      <c r="A791" s="67"/>
      <c r="B791" s="68"/>
      <c r="C791" s="70"/>
      <c r="D791" s="68"/>
      <c r="E791" s="70"/>
      <c r="F791" s="68"/>
      <c r="G791" s="68"/>
      <c r="H791" s="68"/>
      <c r="I791" s="70"/>
      <c r="J791" s="68"/>
      <c r="K791" s="68"/>
      <c r="L791" s="68"/>
      <c r="M791" s="73"/>
      <c r="N791" s="70"/>
      <c r="O791" s="70"/>
      <c r="P791" s="68"/>
    </row>
    <row r="792" customFormat="false" ht="15" hidden="false" customHeight="false" outlineLevel="0" collapsed="false">
      <c r="A792" s="67"/>
      <c r="B792" s="68"/>
      <c r="C792" s="70"/>
      <c r="D792" s="68"/>
      <c r="E792" s="70"/>
      <c r="F792" s="68"/>
      <c r="G792" s="68"/>
      <c r="H792" s="68"/>
      <c r="I792" s="70"/>
      <c r="J792" s="68"/>
      <c r="K792" s="68"/>
      <c r="L792" s="68"/>
      <c r="M792" s="73"/>
      <c r="N792" s="70"/>
      <c r="O792" s="70"/>
      <c r="P792" s="68"/>
    </row>
    <row r="793" customFormat="false" ht="15" hidden="false" customHeight="false" outlineLevel="0" collapsed="false">
      <c r="A793" s="67"/>
      <c r="B793" s="68"/>
      <c r="C793" s="70"/>
      <c r="D793" s="68"/>
      <c r="E793" s="70"/>
      <c r="F793" s="68"/>
      <c r="G793" s="68"/>
      <c r="H793" s="68"/>
      <c r="I793" s="70"/>
      <c r="J793" s="68"/>
      <c r="K793" s="68"/>
      <c r="L793" s="68"/>
      <c r="M793" s="73"/>
      <c r="N793" s="70"/>
      <c r="O793" s="70"/>
      <c r="P793" s="68"/>
    </row>
    <row r="794" customFormat="false" ht="15" hidden="false" customHeight="false" outlineLevel="0" collapsed="false">
      <c r="A794" s="67"/>
      <c r="B794" s="68"/>
      <c r="C794" s="70"/>
      <c r="D794" s="68"/>
      <c r="E794" s="70"/>
      <c r="F794" s="68"/>
      <c r="G794" s="68"/>
      <c r="H794" s="68"/>
      <c r="I794" s="70"/>
      <c r="J794" s="68"/>
      <c r="K794" s="68"/>
      <c r="L794" s="68"/>
      <c r="M794" s="73"/>
      <c r="N794" s="70"/>
      <c r="O794" s="70"/>
      <c r="P794" s="68"/>
    </row>
    <row r="795" customFormat="false" ht="15" hidden="false" customHeight="false" outlineLevel="0" collapsed="false">
      <c r="A795" s="67"/>
      <c r="B795" s="68"/>
      <c r="C795" s="70"/>
      <c r="D795" s="68"/>
      <c r="E795" s="70"/>
      <c r="F795" s="68"/>
      <c r="G795" s="68"/>
      <c r="H795" s="68"/>
      <c r="I795" s="70"/>
      <c r="J795" s="68"/>
      <c r="K795" s="68"/>
      <c r="L795" s="68"/>
      <c r="M795" s="73"/>
      <c r="N795" s="70"/>
      <c r="O795" s="70"/>
      <c r="P795" s="68"/>
    </row>
    <row r="796" customFormat="false" ht="15" hidden="false" customHeight="false" outlineLevel="0" collapsed="false">
      <c r="A796" s="67"/>
      <c r="B796" s="68"/>
      <c r="C796" s="70"/>
      <c r="D796" s="68"/>
      <c r="E796" s="70"/>
      <c r="F796" s="68"/>
      <c r="G796" s="68"/>
      <c r="H796" s="68"/>
      <c r="I796" s="70"/>
      <c r="J796" s="68"/>
      <c r="K796" s="68"/>
      <c r="L796" s="68"/>
      <c r="M796" s="73"/>
      <c r="N796" s="70"/>
      <c r="O796" s="70"/>
      <c r="P796" s="68"/>
    </row>
    <row r="797" customFormat="false" ht="15" hidden="false" customHeight="false" outlineLevel="0" collapsed="false">
      <c r="A797" s="67"/>
      <c r="B797" s="68"/>
      <c r="C797" s="70"/>
      <c r="D797" s="68"/>
      <c r="E797" s="70"/>
      <c r="F797" s="68"/>
      <c r="G797" s="68"/>
      <c r="H797" s="68"/>
      <c r="I797" s="70"/>
      <c r="J797" s="68"/>
      <c r="K797" s="68"/>
      <c r="L797" s="68"/>
      <c r="M797" s="73"/>
      <c r="N797" s="70"/>
      <c r="O797" s="70"/>
      <c r="P797" s="68"/>
    </row>
    <row r="798" customFormat="false" ht="15" hidden="false" customHeight="false" outlineLevel="0" collapsed="false">
      <c r="A798" s="67"/>
      <c r="B798" s="68"/>
      <c r="C798" s="70"/>
      <c r="D798" s="68"/>
      <c r="E798" s="70"/>
      <c r="F798" s="68"/>
      <c r="G798" s="68"/>
      <c r="H798" s="68"/>
      <c r="I798" s="70"/>
      <c r="J798" s="68"/>
      <c r="K798" s="68"/>
      <c r="L798" s="68"/>
      <c r="M798" s="73"/>
      <c r="N798" s="70"/>
      <c r="O798" s="70"/>
      <c r="P798" s="68"/>
    </row>
    <row r="799" customFormat="false" ht="15" hidden="false" customHeight="false" outlineLevel="0" collapsed="false">
      <c r="A799" s="67"/>
      <c r="B799" s="68"/>
      <c r="C799" s="70"/>
      <c r="D799" s="68"/>
      <c r="E799" s="70"/>
      <c r="F799" s="68"/>
      <c r="G799" s="68"/>
      <c r="H799" s="68"/>
      <c r="I799" s="70"/>
      <c r="J799" s="68"/>
      <c r="K799" s="68"/>
      <c r="L799" s="68"/>
      <c r="M799" s="73"/>
      <c r="N799" s="70"/>
      <c r="O799" s="70"/>
      <c r="P799" s="68"/>
    </row>
    <row r="800" customFormat="false" ht="15" hidden="false" customHeight="false" outlineLevel="0" collapsed="false">
      <c r="A800" s="67"/>
      <c r="B800" s="68"/>
      <c r="C800" s="70"/>
      <c r="D800" s="68"/>
      <c r="E800" s="70"/>
      <c r="F800" s="68"/>
      <c r="G800" s="68"/>
      <c r="H800" s="68"/>
      <c r="I800" s="70"/>
      <c r="J800" s="68"/>
      <c r="K800" s="68"/>
      <c r="L800" s="68"/>
      <c r="M800" s="73"/>
      <c r="N800" s="70"/>
      <c r="O800" s="70"/>
      <c r="P800" s="68"/>
    </row>
    <row r="801" customFormat="false" ht="15" hidden="false" customHeight="false" outlineLevel="0" collapsed="false">
      <c r="A801" s="67"/>
      <c r="B801" s="68"/>
      <c r="C801" s="70"/>
      <c r="D801" s="68"/>
      <c r="E801" s="70"/>
      <c r="F801" s="68"/>
      <c r="G801" s="68"/>
      <c r="H801" s="68"/>
      <c r="I801" s="70"/>
      <c r="J801" s="68"/>
      <c r="K801" s="68"/>
      <c r="L801" s="68"/>
      <c r="M801" s="73"/>
      <c r="N801" s="70"/>
      <c r="O801" s="70"/>
      <c r="P801" s="68"/>
    </row>
    <row r="802" customFormat="false" ht="15" hidden="false" customHeight="false" outlineLevel="0" collapsed="false">
      <c r="A802" s="67"/>
      <c r="B802" s="68"/>
      <c r="C802" s="70"/>
      <c r="D802" s="68"/>
      <c r="E802" s="70"/>
      <c r="F802" s="68"/>
      <c r="G802" s="68"/>
      <c r="H802" s="68"/>
      <c r="I802" s="70"/>
      <c r="J802" s="68"/>
      <c r="K802" s="68"/>
      <c r="L802" s="68"/>
      <c r="M802" s="73"/>
      <c r="N802" s="70"/>
      <c r="O802" s="70"/>
      <c r="P802" s="68"/>
    </row>
    <row r="803" customFormat="false" ht="15" hidden="false" customHeight="false" outlineLevel="0" collapsed="false">
      <c r="A803" s="67"/>
      <c r="B803" s="68"/>
      <c r="C803" s="70"/>
      <c r="D803" s="68"/>
      <c r="E803" s="70"/>
      <c r="F803" s="68"/>
      <c r="G803" s="68"/>
      <c r="H803" s="68"/>
      <c r="I803" s="70"/>
      <c r="J803" s="68"/>
      <c r="K803" s="68"/>
      <c r="L803" s="68"/>
      <c r="M803" s="73"/>
      <c r="N803" s="70"/>
      <c r="O803" s="70"/>
      <c r="P803" s="68"/>
    </row>
    <row r="804" customFormat="false" ht="15" hidden="false" customHeight="false" outlineLevel="0" collapsed="false">
      <c r="A804" s="67"/>
      <c r="B804" s="68"/>
      <c r="C804" s="70"/>
      <c r="D804" s="68"/>
      <c r="E804" s="70"/>
      <c r="F804" s="68"/>
      <c r="G804" s="68"/>
      <c r="H804" s="68"/>
      <c r="I804" s="70"/>
      <c r="J804" s="68"/>
      <c r="K804" s="68"/>
      <c r="L804" s="68"/>
      <c r="M804" s="73"/>
      <c r="N804" s="70"/>
      <c r="O804" s="70"/>
      <c r="P804" s="68"/>
    </row>
    <row r="805" customFormat="false" ht="15" hidden="false" customHeight="false" outlineLevel="0" collapsed="false">
      <c r="A805" s="67"/>
      <c r="B805" s="68"/>
      <c r="C805" s="70"/>
      <c r="D805" s="68"/>
      <c r="E805" s="70"/>
      <c r="F805" s="68"/>
      <c r="G805" s="68"/>
      <c r="H805" s="68"/>
      <c r="I805" s="70"/>
      <c r="J805" s="68"/>
      <c r="K805" s="68"/>
      <c r="L805" s="68"/>
      <c r="M805" s="73"/>
      <c r="N805" s="70"/>
      <c r="O805" s="70"/>
      <c r="P805" s="68"/>
    </row>
    <row r="806" customFormat="false" ht="15" hidden="false" customHeight="false" outlineLevel="0" collapsed="false">
      <c r="A806" s="67"/>
      <c r="B806" s="68"/>
      <c r="C806" s="70"/>
      <c r="D806" s="68"/>
      <c r="E806" s="70"/>
      <c r="F806" s="68"/>
      <c r="G806" s="68"/>
      <c r="H806" s="68"/>
      <c r="I806" s="70"/>
      <c r="J806" s="68"/>
      <c r="K806" s="68"/>
      <c r="L806" s="68"/>
      <c r="M806" s="73"/>
      <c r="N806" s="70"/>
      <c r="O806" s="70"/>
      <c r="P806" s="68"/>
    </row>
    <row r="807" customFormat="false" ht="15" hidden="false" customHeight="false" outlineLevel="0" collapsed="false">
      <c r="A807" s="67"/>
      <c r="B807" s="68"/>
      <c r="C807" s="70"/>
      <c r="D807" s="68"/>
      <c r="E807" s="70"/>
      <c r="F807" s="68"/>
      <c r="G807" s="68"/>
      <c r="H807" s="68"/>
      <c r="I807" s="70"/>
      <c r="J807" s="68"/>
      <c r="K807" s="68"/>
      <c r="L807" s="68"/>
      <c r="M807" s="73"/>
      <c r="N807" s="70"/>
      <c r="O807" s="70"/>
      <c r="P807" s="68"/>
    </row>
    <row r="808" customFormat="false" ht="15" hidden="false" customHeight="false" outlineLevel="0" collapsed="false">
      <c r="A808" s="67"/>
      <c r="B808" s="68"/>
      <c r="C808" s="70"/>
      <c r="D808" s="68"/>
      <c r="E808" s="70"/>
      <c r="F808" s="68"/>
      <c r="G808" s="68"/>
      <c r="H808" s="68"/>
      <c r="I808" s="70"/>
      <c r="J808" s="68"/>
      <c r="K808" s="68"/>
      <c r="L808" s="68"/>
      <c r="M808" s="73"/>
      <c r="N808" s="70"/>
      <c r="O808" s="70"/>
      <c r="P808" s="68"/>
    </row>
    <row r="809" customFormat="false" ht="15" hidden="false" customHeight="false" outlineLevel="0" collapsed="false">
      <c r="A809" s="67"/>
      <c r="B809" s="68"/>
      <c r="C809" s="70"/>
      <c r="D809" s="68"/>
      <c r="E809" s="70"/>
      <c r="F809" s="68"/>
      <c r="G809" s="68"/>
      <c r="H809" s="68"/>
      <c r="I809" s="70"/>
      <c r="J809" s="68"/>
      <c r="K809" s="68"/>
      <c r="L809" s="68"/>
      <c r="M809" s="73"/>
      <c r="N809" s="70"/>
      <c r="O809" s="70"/>
      <c r="P809" s="68"/>
    </row>
    <row r="810" customFormat="false" ht="15" hidden="false" customHeight="false" outlineLevel="0" collapsed="false">
      <c r="A810" s="67"/>
      <c r="B810" s="68"/>
      <c r="C810" s="70"/>
      <c r="D810" s="68"/>
      <c r="E810" s="70"/>
      <c r="F810" s="68"/>
      <c r="G810" s="68"/>
      <c r="H810" s="68"/>
      <c r="I810" s="70"/>
      <c r="J810" s="68"/>
      <c r="K810" s="68"/>
      <c r="L810" s="68"/>
      <c r="M810" s="73"/>
      <c r="N810" s="70"/>
      <c r="O810" s="70"/>
      <c r="P810" s="68"/>
    </row>
    <row r="811" customFormat="false" ht="15" hidden="false" customHeight="false" outlineLevel="0" collapsed="false">
      <c r="A811" s="67"/>
      <c r="B811" s="68"/>
      <c r="C811" s="70"/>
      <c r="D811" s="68"/>
      <c r="E811" s="70"/>
      <c r="F811" s="68"/>
      <c r="G811" s="68"/>
      <c r="H811" s="68"/>
      <c r="I811" s="70"/>
      <c r="J811" s="68"/>
      <c r="K811" s="68"/>
      <c r="L811" s="68"/>
      <c r="M811" s="73"/>
      <c r="N811" s="70"/>
      <c r="O811" s="70"/>
      <c r="P811" s="68"/>
    </row>
    <row r="812" customFormat="false" ht="15" hidden="false" customHeight="false" outlineLevel="0" collapsed="false">
      <c r="A812" s="67"/>
      <c r="B812" s="68"/>
      <c r="C812" s="70"/>
      <c r="D812" s="68"/>
      <c r="E812" s="70"/>
      <c r="F812" s="68"/>
      <c r="G812" s="68"/>
      <c r="H812" s="68"/>
      <c r="I812" s="70"/>
      <c r="J812" s="68"/>
      <c r="K812" s="68"/>
      <c r="L812" s="68"/>
      <c r="M812" s="73"/>
      <c r="N812" s="70"/>
      <c r="O812" s="70"/>
      <c r="P812" s="68"/>
    </row>
    <row r="813" customFormat="false" ht="15" hidden="false" customHeight="false" outlineLevel="0" collapsed="false">
      <c r="A813" s="67"/>
      <c r="B813" s="68"/>
      <c r="C813" s="70"/>
      <c r="D813" s="68"/>
      <c r="E813" s="70"/>
      <c r="F813" s="68"/>
      <c r="G813" s="68"/>
      <c r="H813" s="68"/>
      <c r="I813" s="70"/>
      <c r="J813" s="68"/>
      <c r="K813" s="68"/>
      <c r="L813" s="68"/>
      <c r="M813" s="73"/>
      <c r="N813" s="70"/>
      <c r="O813" s="70"/>
      <c r="P813" s="68"/>
    </row>
    <row r="814" customFormat="false" ht="15" hidden="false" customHeight="false" outlineLevel="0" collapsed="false">
      <c r="A814" s="67"/>
      <c r="B814" s="68"/>
      <c r="C814" s="70"/>
      <c r="D814" s="68"/>
      <c r="E814" s="70"/>
      <c r="F814" s="68"/>
      <c r="G814" s="68"/>
      <c r="H814" s="68"/>
      <c r="I814" s="70"/>
      <c r="J814" s="68"/>
      <c r="K814" s="68"/>
      <c r="L814" s="68"/>
      <c r="M814" s="73"/>
      <c r="N814" s="70"/>
      <c r="O814" s="70"/>
      <c r="P814" s="68"/>
    </row>
    <row r="815" customFormat="false" ht="15" hidden="false" customHeight="false" outlineLevel="0" collapsed="false">
      <c r="A815" s="67"/>
      <c r="B815" s="68"/>
      <c r="C815" s="70"/>
      <c r="D815" s="68"/>
      <c r="E815" s="70"/>
      <c r="F815" s="68"/>
      <c r="G815" s="68"/>
      <c r="H815" s="68"/>
      <c r="I815" s="70"/>
      <c r="J815" s="68"/>
      <c r="K815" s="68"/>
      <c r="L815" s="68"/>
      <c r="M815" s="73"/>
      <c r="N815" s="70"/>
      <c r="O815" s="70"/>
      <c r="P815" s="68"/>
    </row>
    <row r="816" customFormat="false" ht="15" hidden="false" customHeight="false" outlineLevel="0" collapsed="false">
      <c r="A816" s="67"/>
      <c r="B816" s="68"/>
      <c r="C816" s="70"/>
      <c r="D816" s="68"/>
      <c r="E816" s="70"/>
      <c r="F816" s="68"/>
      <c r="G816" s="68"/>
      <c r="H816" s="68"/>
      <c r="I816" s="70"/>
      <c r="J816" s="68"/>
      <c r="K816" s="68"/>
      <c r="L816" s="68"/>
      <c r="M816" s="73"/>
      <c r="N816" s="70"/>
      <c r="O816" s="70"/>
      <c r="P816" s="68"/>
    </row>
    <row r="817" customFormat="false" ht="15" hidden="false" customHeight="false" outlineLevel="0" collapsed="false">
      <c r="A817" s="67"/>
      <c r="B817" s="68"/>
      <c r="C817" s="70"/>
      <c r="D817" s="68"/>
      <c r="E817" s="70"/>
      <c r="F817" s="68"/>
      <c r="G817" s="68"/>
      <c r="H817" s="68"/>
      <c r="I817" s="70"/>
      <c r="J817" s="68"/>
      <c r="K817" s="68"/>
      <c r="L817" s="68"/>
      <c r="M817" s="73"/>
      <c r="N817" s="70"/>
      <c r="O817" s="70"/>
      <c r="P817" s="68"/>
    </row>
    <row r="818" customFormat="false" ht="15" hidden="false" customHeight="false" outlineLevel="0" collapsed="false">
      <c r="A818" s="67"/>
      <c r="B818" s="68"/>
      <c r="C818" s="70"/>
      <c r="D818" s="68"/>
      <c r="E818" s="70"/>
      <c r="F818" s="68"/>
      <c r="G818" s="68"/>
      <c r="H818" s="68"/>
      <c r="I818" s="70"/>
      <c r="J818" s="68"/>
      <c r="K818" s="68"/>
      <c r="L818" s="68"/>
      <c r="M818" s="73"/>
      <c r="N818" s="70"/>
      <c r="O818" s="70"/>
      <c r="P818" s="68"/>
    </row>
    <row r="819" customFormat="false" ht="15" hidden="false" customHeight="false" outlineLevel="0" collapsed="false">
      <c r="A819" s="67"/>
      <c r="B819" s="68"/>
      <c r="C819" s="70"/>
      <c r="D819" s="68"/>
      <c r="E819" s="70"/>
      <c r="F819" s="68"/>
      <c r="G819" s="68"/>
      <c r="H819" s="68"/>
      <c r="I819" s="70"/>
      <c r="J819" s="68"/>
      <c r="K819" s="68"/>
      <c r="L819" s="68"/>
      <c r="M819" s="73"/>
      <c r="N819" s="70"/>
      <c r="O819" s="70"/>
      <c r="P819" s="68"/>
    </row>
    <row r="820" customFormat="false" ht="15" hidden="false" customHeight="false" outlineLevel="0" collapsed="false">
      <c r="A820" s="67"/>
      <c r="B820" s="68"/>
      <c r="C820" s="70"/>
      <c r="D820" s="68"/>
      <c r="E820" s="70"/>
      <c r="F820" s="68"/>
      <c r="G820" s="68"/>
      <c r="H820" s="68"/>
      <c r="I820" s="70"/>
      <c r="J820" s="68"/>
      <c r="K820" s="68"/>
      <c r="L820" s="68"/>
      <c r="M820" s="73"/>
      <c r="N820" s="70"/>
      <c r="O820" s="70"/>
      <c r="P820" s="68"/>
    </row>
    <row r="821" customFormat="false" ht="15" hidden="false" customHeight="false" outlineLevel="0" collapsed="false">
      <c r="A821" s="67"/>
      <c r="B821" s="68"/>
      <c r="C821" s="70"/>
      <c r="D821" s="68"/>
      <c r="E821" s="70"/>
      <c r="F821" s="68"/>
      <c r="G821" s="68"/>
      <c r="H821" s="68"/>
      <c r="I821" s="70"/>
      <c r="J821" s="68"/>
      <c r="K821" s="68"/>
      <c r="L821" s="68"/>
      <c r="M821" s="73"/>
      <c r="N821" s="70"/>
      <c r="O821" s="70"/>
      <c r="P821" s="68"/>
    </row>
    <row r="822" customFormat="false" ht="15" hidden="false" customHeight="false" outlineLevel="0" collapsed="false">
      <c r="A822" s="67"/>
      <c r="B822" s="68"/>
      <c r="C822" s="70"/>
      <c r="D822" s="68"/>
      <c r="E822" s="70"/>
      <c r="F822" s="68"/>
      <c r="G822" s="68"/>
      <c r="H822" s="68"/>
      <c r="I822" s="70"/>
      <c r="J822" s="68"/>
      <c r="K822" s="68"/>
      <c r="L822" s="68"/>
      <c r="M822" s="73"/>
      <c r="N822" s="70"/>
      <c r="O822" s="70"/>
      <c r="P822" s="68"/>
    </row>
    <row r="823" customFormat="false" ht="15" hidden="false" customHeight="false" outlineLevel="0" collapsed="false">
      <c r="A823" s="67"/>
      <c r="B823" s="68"/>
      <c r="C823" s="70"/>
      <c r="D823" s="68"/>
      <c r="E823" s="70"/>
      <c r="F823" s="68"/>
      <c r="G823" s="68"/>
      <c r="H823" s="68"/>
      <c r="I823" s="70"/>
      <c r="J823" s="68"/>
      <c r="K823" s="68"/>
      <c r="L823" s="68"/>
      <c r="M823" s="73"/>
      <c r="N823" s="70"/>
      <c r="O823" s="70"/>
      <c r="P823" s="68"/>
    </row>
    <row r="824" customFormat="false" ht="15" hidden="false" customHeight="false" outlineLevel="0" collapsed="false">
      <c r="A824" s="67"/>
      <c r="B824" s="68"/>
      <c r="C824" s="70"/>
      <c r="D824" s="68"/>
      <c r="E824" s="70"/>
      <c r="F824" s="68"/>
      <c r="G824" s="68"/>
      <c r="H824" s="68"/>
      <c r="I824" s="70"/>
      <c r="J824" s="68"/>
      <c r="K824" s="68"/>
      <c r="L824" s="68"/>
      <c r="M824" s="73"/>
      <c r="N824" s="70"/>
      <c r="O824" s="70"/>
      <c r="P824" s="68"/>
    </row>
    <row r="825" customFormat="false" ht="15" hidden="false" customHeight="false" outlineLevel="0" collapsed="false">
      <c r="A825" s="67"/>
      <c r="B825" s="68"/>
      <c r="C825" s="70"/>
      <c r="D825" s="68"/>
      <c r="E825" s="70"/>
      <c r="F825" s="68"/>
      <c r="G825" s="68"/>
      <c r="H825" s="68"/>
      <c r="I825" s="70"/>
      <c r="J825" s="68"/>
      <c r="K825" s="68"/>
      <c r="L825" s="68"/>
      <c r="M825" s="73"/>
      <c r="N825" s="70"/>
      <c r="O825" s="70"/>
      <c r="P825" s="68"/>
    </row>
    <row r="826" customFormat="false" ht="15" hidden="false" customHeight="false" outlineLevel="0" collapsed="false">
      <c r="A826" s="67"/>
      <c r="B826" s="68"/>
      <c r="C826" s="70"/>
      <c r="D826" s="68"/>
      <c r="E826" s="70"/>
      <c r="F826" s="68"/>
      <c r="G826" s="68"/>
      <c r="H826" s="68"/>
      <c r="I826" s="70"/>
      <c r="J826" s="68"/>
      <c r="K826" s="68"/>
      <c r="L826" s="68"/>
      <c r="M826" s="73"/>
      <c r="N826" s="70"/>
      <c r="O826" s="70"/>
      <c r="P826" s="68"/>
    </row>
    <row r="827" customFormat="false" ht="15" hidden="false" customHeight="false" outlineLevel="0" collapsed="false">
      <c r="A827" s="67"/>
      <c r="B827" s="68"/>
      <c r="C827" s="70"/>
      <c r="D827" s="68"/>
      <c r="E827" s="70"/>
      <c r="F827" s="68"/>
      <c r="G827" s="68"/>
      <c r="H827" s="68"/>
      <c r="I827" s="70"/>
      <c r="J827" s="68"/>
      <c r="K827" s="68"/>
      <c r="L827" s="68"/>
      <c r="M827" s="73"/>
      <c r="N827" s="70"/>
      <c r="O827" s="70"/>
      <c r="P827" s="68"/>
    </row>
    <row r="828" customFormat="false" ht="15" hidden="false" customHeight="false" outlineLevel="0" collapsed="false">
      <c r="A828" s="67"/>
      <c r="B828" s="68"/>
      <c r="C828" s="70"/>
      <c r="D828" s="68"/>
      <c r="E828" s="70"/>
      <c r="F828" s="68"/>
      <c r="G828" s="68"/>
      <c r="H828" s="68"/>
      <c r="I828" s="70"/>
      <c r="J828" s="68"/>
      <c r="K828" s="68"/>
      <c r="L828" s="68"/>
      <c r="M828" s="73"/>
      <c r="N828" s="70"/>
      <c r="O828" s="70"/>
      <c r="P828" s="68"/>
    </row>
    <row r="829" customFormat="false" ht="15" hidden="false" customHeight="false" outlineLevel="0" collapsed="false">
      <c r="A829" s="67"/>
      <c r="B829" s="68"/>
      <c r="C829" s="70"/>
      <c r="D829" s="68"/>
      <c r="E829" s="70"/>
      <c r="F829" s="68"/>
      <c r="G829" s="68"/>
      <c r="H829" s="68"/>
      <c r="I829" s="70"/>
      <c r="J829" s="68"/>
      <c r="K829" s="68"/>
      <c r="L829" s="68"/>
      <c r="M829" s="73"/>
      <c r="N829" s="70"/>
      <c r="O829" s="70"/>
      <c r="P829" s="68"/>
    </row>
    <row r="830" customFormat="false" ht="15" hidden="false" customHeight="false" outlineLevel="0" collapsed="false">
      <c r="A830" s="67"/>
      <c r="B830" s="68"/>
      <c r="C830" s="70"/>
      <c r="D830" s="68"/>
      <c r="E830" s="70"/>
      <c r="F830" s="68"/>
      <c r="G830" s="68"/>
      <c r="H830" s="68"/>
      <c r="I830" s="70"/>
      <c r="J830" s="68"/>
      <c r="K830" s="68"/>
      <c r="L830" s="68"/>
      <c r="M830" s="73"/>
      <c r="N830" s="70"/>
      <c r="O830" s="70"/>
      <c r="P830" s="68"/>
    </row>
    <row r="831" customFormat="false" ht="15" hidden="false" customHeight="false" outlineLevel="0" collapsed="false">
      <c r="A831" s="67"/>
      <c r="B831" s="68"/>
      <c r="C831" s="70"/>
      <c r="D831" s="68"/>
      <c r="E831" s="70"/>
      <c r="F831" s="68"/>
      <c r="G831" s="68"/>
      <c r="H831" s="68"/>
      <c r="I831" s="70"/>
      <c r="J831" s="68"/>
      <c r="K831" s="68"/>
      <c r="L831" s="68"/>
      <c r="M831" s="73"/>
      <c r="N831" s="70"/>
      <c r="O831" s="70"/>
      <c r="P831" s="68"/>
    </row>
    <row r="832" customFormat="false" ht="15" hidden="false" customHeight="false" outlineLevel="0" collapsed="false">
      <c r="A832" s="67"/>
      <c r="B832" s="68"/>
      <c r="C832" s="70"/>
      <c r="D832" s="68"/>
      <c r="E832" s="70"/>
      <c r="F832" s="68"/>
      <c r="G832" s="68"/>
      <c r="H832" s="68"/>
      <c r="I832" s="70"/>
      <c r="J832" s="68"/>
      <c r="K832" s="68"/>
      <c r="L832" s="68"/>
      <c r="M832" s="73"/>
      <c r="N832" s="70"/>
      <c r="O832" s="70"/>
      <c r="P832" s="68"/>
    </row>
    <row r="833" customFormat="false" ht="15" hidden="false" customHeight="false" outlineLevel="0" collapsed="false">
      <c r="A833" s="67"/>
      <c r="B833" s="68"/>
      <c r="C833" s="70"/>
      <c r="D833" s="68"/>
      <c r="E833" s="70"/>
      <c r="F833" s="68"/>
      <c r="G833" s="68"/>
      <c r="H833" s="68"/>
      <c r="I833" s="70"/>
      <c r="J833" s="68"/>
      <c r="K833" s="68"/>
      <c r="L833" s="68"/>
      <c r="M833" s="73"/>
      <c r="N833" s="70"/>
      <c r="O833" s="70"/>
      <c r="P833" s="68"/>
    </row>
    <row r="834" customFormat="false" ht="15" hidden="false" customHeight="false" outlineLevel="0" collapsed="false">
      <c r="A834" s="67"/>
      <c r="B834" s="68"/>
      <c r="C834" s="70"/>
      <c r="D834" s="68"/>
      <c r="E834" s="70"/>
      <c r="F834" s="68"/>
      <c r="G834" s="68"/>
      <c r="H834" s="68"/>
      <c r="I834" s="70"/>
      <c r="J834" s="68"/>
      <c r="K834" s="68"/>
      <c r="L834" s="68"/>
      <c r="M834" s="73"/>
      <c r="N834" s="70"/>
      <c r="O834" s="70"/>
      <c r="P834" s="68"/>
    </row>
    <row r="835" customFormat="false" ht="15" hidden="false" customHeight="false" outlineLevel="0" collapsed="false">
      <c r="A835" s="67"/>
      <c r="B835" s="68"/>
      <c r="C835" s="70"/>
      <c r="D835" s="68"/>
      <c r="E835" s="70"/>
      <c r="F835" s="68"/>
      <c r="G835" s="68"/>
      <c r="H835" s="68"/>
      <c r="I835" s="70"/>
      <c r="J835" s="68"/>
      <c r="K835" s="68"/>
      <c r="L835" s="68"/>
      <c r="M835" s="73"/>
      <c r="N835" s="70"/>
      <c r="O835" s="70"/>
      <c r="P835" s="68"/>
    </row>
    <row r="836" customFormat="false" ht="15" hidden="false" customHeight="false" outlineLevel="0" collapsed="false">
      <c r="A836" s="67"/>
      <c r="B836" s="68"/>
      <c r="C836" s="70"/>
      <c r="D836" s="68"/>
      <c r="E836" s="70"/>
      <c r="F836" s="68"/>
      <c r="G836" s="68"/>
      <c r="H836" s="68"/>
      <c r="I836" s="70"/>
      <c r="J836" s="68"/>
      <c r="K836" s="68"/>
      <c r="L836" s="68"/>
      <c r="M836" s="73"/>
      <c r="N836" s="70"/>
      <c r="O836" s="70"/>
      <c r="P836" s="68"/>
    </row>
    <row r="837" customFormat="false" ht="15" hidden="false" customHeight="false" outlineLevel="0" collapsed="false">
      <c r="A837" s="67"/>
      <c r="B837" s="68"/>
      <c r="C837" s="70"/>
      <c r="D837" s="68"/>
      <c r="E837" s="70"/>
      <c r="F837" s="68"/>
      <c r="G837" s="68"/>
      <c r="H837" s="68"/>
      <c r="I837" s="70"/>
      <c r="J837" s="68"/>
      <c r="K837" s="68"/>
      <c r="L837" s="68"/>
      <c r="M837" s="73"/>
      <c r="N837" s="70"/>
      <c r="O837" s="70"/>
      <c r="P837" s="68"/>
    </row>
    <row r="838" customFormat="false" ht="15" hidden="false" customHeight="false" outlineLevel="0" collapsed="false">
      <c r="A838" s="67"/>
      <c r="B838" s="68"/>
      <c r="C838" s="70"/>
      <c r="D838" s="68"/>
      <c r="E838" s="70"/>
      <c r="F838" s="68"/>
      <c r="G838" s="68"/>
      <c r="H838" s="68"/>
      <c r="I838" s="70"/>
      <c r="J838" s="68"/>
      <c r="K838" s="68"/>
      <c r="L838" s="68"/>
      <c r="M838" s="73"/>
      <c r="N838" s="70"/>
      <c r="O838" s="70"/>
      <c r="P838" s="68"/>
    </row>
    <row r="839" customFormat="false" ht="15" hidden="false" customHeight="false" outlineLevel="0" collapsed="false">
      <c r="A839" s="67"/>
      <c r="B839" s="68"/>
      <c r="C839" s="70"/>
      <c r="D839" s="68"/>
      <c r="E839" s="70"/>
      <c r="F839" s="68"/>
      <c r="G839" s="68"/>
      <c r="H839" s="68"/>
      <c r="I839" s="70"/>
      <c r="J839" s="68"/>
      <c r="K839" s="68"/>
      <c r="L839" s="68"/>
      <c r="M839" s="73"/>
      <c r="N839" s="70"/>
      <c r="O839" s="70"/>
      <c r="P839" s="68"/>
    </row>
    <row r="840" customFormat="false" ht="15" hidden="false" customHeight="false" outlineLevel="0" collapsed="false">
      <c r="A840" s="67"/>
      <c r="B840" s="68"/>
      <c r="C840" s="70"/>
      <c r="D840" s="68"/>
      <c r="E840" s="70"/>
      <c r="F840" s="68"/>
      <c r="G840" s="68"/>
      <c r="H840" s="68"/>
      <c r="I840" s="70"/>
      <c r="J840" s="68"/>
      <c r="K840" s="68"/>
      <c r="L840" s="68"/>
      <c r="M840" s="73"/>
      <c r="N840" s="70"/>
      <c r="O840" s="70"/>
      <c r="P840" s="68"/>
    </row>
    <row r="841" customFormat="false" ht="15" hidden="false" customHeight="false" outlineLevel="0" collapsed="false">
      <c r="A841" s="67"/>
      <c r="B841" s="68"/>
      <c r="C841" s="70"/>
      <c r="D841" s="68"/>
      <c r="E841" s="70"/>
      <c r="F841" s="68"/>
      <c r="G841" s="68"/>
      <c r="H841" s="68"/>
      <c r="I841" s="70"/>
      <c r="J841" s="68"/>
      <c r="K841" s="68"/>
      <c r="L841" s="68"/>
      <c r="M841" s="73"/>
      <c r="N841" s="70"/>
      <c r="O841" s="70"/>
      <c r="P841" s="68"/>
    </row>
    <row r="842" customFormat="false" ht="15" hidden="false" customHeight="false" outlineLevel="0" collapsed="false">
      <c r="A842" s="67"/>
      <c r="B842" s="68"/>
      <c r="C842" s="70"/>
      <c r="D842" s="68"/>
      <c r="E842" s="70"/>
      <c r="F842" s="68"/>
      <c r="G842" s="68"/>
      <c r="H842" s="68"/>
      <c r="I842" s="70"/>
      <c r="J842" s="68"/>
      <c r="K842" s="68"/>
      <c r="L842" s="68"/>
      <c r="M842" s="73"/>
      <c r="N842" s="70"/>
      <c r="O842" s="70"/>
      <c r="P842" s="68"/>
    </row>
    <row r="843" customFormat="false" ht="15" hidden="false" customHeight="false" outlineLevel="0" collapsed="false">
      <c r="A843" s="67"/>
      <c r="B843" s="68"/>
      <c r="C843" s="70"/>
      <c r="D843" s="68"/>
      <c r="E843" s="70"/>
      <c r="F843" s="68"/>
      <c r="G843" s="68"/>
      <c r="H843" s="68"/>
      <c r="I843" s="70"/>
      <c r="J843" s="68"/>
      <c r="K843" s="68"/>
      <c r="L843" s="68"/>
      <c r="M843" s="73"/>
      <c r="N843" s="70"/>
      <c r="O843" s="70"/>
      <c r="P843" s="68"/>
    </row>
    <row r="844" customFormat="false" ht="15" hidden="false" customHeight="false" outlineLevel="0" collapsed="false">
      <c r="A844" s="67"/>
      <c r="B844" s="68"/>
      <c r="C844" s="70"/>
      <c r="D844" s="68"/>
      <c r="E844" s="70"/>
      <c r="F844" s="68"/>
      <c r="G844" s="68"/>
      <c r="H844" s="68"/>
      <c r="I844" s="70"/>
      <c r="J844" s="68"/>
      <c r="K844" s="68"/>
      <c r="L844" s="68"/>
      <c r="M844" s="73"/>
      <c r="N844" s="70"/>
      <c r="O844" s="70"/>
      <c r="P844" s="68"/>
    </row>
    <row r="845" customFormat="false" ht="15" hidden="false" customHeight="false" outlineLevel="0" collapsed="false">
      <c r="A845" s="67"/>
      <c r="B845" s="68"/>
      <c r="C845" s="70"/>
      <c r="D845" s="68"/>
      <c r="E845" s="70"/>
      <c r="F845" s="68"/>
      <c r="G845" s="68"/>
      <c r="H845" s="68"/>
      <c r="I845" s="70"/>
      <c r="J845" s="68"/>
      <c r="K845" s="68"/>
      <c r="L845" s="68"/>
      <c r="M845" s="73"/>
      <c r="N845" s="70"/>
      <c r="O845" s="70"/>
      <c r="P845" s="68"/>
    </row>
    <row r="846" customFormat="false" ht="15" hidden="false" customHeight="false" outlineLevel="0" collapsed="false">
      <c r="A846" s="67"/>
      <c r="B846" s="68"/>
      <c r="C846" s="70"/>
      <c r="D846" s="68"/>
      <c r="E846" s="70"/>
      <c r="F846" s="68"/>
      <c r="G846" s="68"/>
      <c r="H846" s="68"/>
      <c r="I846" s="70"/>
      <c r="J846" s="68"/>
      <c r="K846" s="68"/>
      <c r="L846" s="68"/>
      <c r="M846" s="73"/>
      <c r="N846" s="70"/>
      <c r="O846" s="70"/>
      <c r="P846" s="68"/>
    </row>
    <row r="847" customFormat="false" ht="15" hidden="false" customHeight="false" outlineLevel="0" collapsed="false">
      <c r="A847" s="67"/>
      <c r="B847" s="68"/>
      <c r="C847" s="70"/>
      <c r="D847" s="68"/>
      <c r="E847" s="70"/>
      <c r="F847" s="68"/>
      <c r="G847" s="68"/>
      <c r="H847" s="68"/>
      <c r="I847" s="70"/>
      <c r="J847" s="68"/>
      <c r="K847" s="68"/>
      <c r="L847" s="68"/>
      <c r="M847" s="73"/>
      <c r="N847" s="70"/>
      <c r="O847" s="70"/>
      <c r="P847" s="68"/>
    </row>
    <row r="848" customFormat="false" ht="15" hidden="false" customHeight="false" outlineLevel="0" collapsed="false">
      <c r="A848" s="67"/>
      <c r="B848" s="68"/>
      <c r="C848" s="70"/>
      <c r="D848" s="68"/>
      <c r="E848" s="70"/>
      <c r="F848" s="68"/>
      <c r="G848" s="68"/>
      <c r="H848" s="68"/>
      <c r="I848" s="70"/>
      <c r="J848" s="68"/>
      <c r="K848" s="68"/>
      <c r="L848" s="68"/>
      <c r="M848" s="73"/>
      <c r="N848" s="70"/>
      <c r="O848" s="70"/>
      <c r="P848" s="68"/>
    </row>
    <row r="849" customFormat="false" ht="15" hidden="false" customHeight="false" outlineLevel="0" collapsed="false">
      <c r="A849" s="67"/>
      <c r="B849" s="68"/>
      <c r="C849" s="70"/>
      <c r="D849" s="68"/>
      <c r="E849" s="70"/>
      <c r="F849" s="68"/>
      <c r="G849" s="68"/>
      <c r="H849" s="68"/>
      <c r="I849" s="70"/>
      <c r="J849" s="68"/>
      <c r="K849" s="68"/>
      <c r="L849" s="68"/>
      <c r="M849" s="73"/>
      <c r="N849" s="70"/>
      <c r="O849" s="70"/>
      <c r="P849" s="68"/>
    </row>
    <row r="850" customFormat="false" ht="15" hidden="false" customHeight="false" outlineLevel="0" collapsed="false">
      <c r="A850" s="67"/>
      <c r="B850" s="68"/>
      <c r="C850" s="70"/>
      <c r="D850" s="68"/>
      <c r="E850" s="70"/>
      <c r="F850" s="68"/>
      <c r="G850" s="68"/>
      <c r="H850" s="68"/>
      <c r="I850" s="70"/>
      <c r="J850" s="68"/>
      <c r="K850" s="68"/>
      <c r="L850" s="68"/>
      <c r="M850" s="73"/>
      <c r="N850" s="70"/>
      <c r="O850" s="70"/>
      <c r="P850" s="68"/>
    </row>
    <row r="851" customFormat="false" ht="15" hidden="false" customHeight="false" outlineLevel="0" collapsed="false">
      <c r="A851" s="67"/>
      <c r="B851" s="68"/>
      <c r="C851" s="70"/>
      <c r="D851" s="68"/>
      <c r="E851" s="70"/>
      <c r="F851" s="68"/>
      <c r="G851" s="68"/>
      <c r="H851" s="68"/>
      <c r="I851" s="70"/>
      <c r="J851" s="68"/>
      <c r="K851" s="68"/>
      <c r="L851" s="68"/>
      <c r="M851" s="73"/>
      <c r="N851" s="70"/>
      <c r="O851" s="70"/>
      <c r="P851" s="68"/>
    </row>
    <row r="852" customFormat="false" ht="15" hidden="false" customHeight="false" outlineLevel="0" collapsed="false">
      <c r="A852" s="67"/>
      <c r="B852" s="68"/>
      <c r="C852" s="70"/>
      <c r="D852" s="68"/>
      <c r="E852" s="70"/>
      <c r="F852" s="68"/>
      <c r="G852" s="68"/>
      <c r="H852" s="68"/>
      <c r="I852" s="70"/>
      <c r="J852" s="68"/>
      <c r="K852" s="68"/>
      <c r="L852" s="68"/>
      <c r="M852" s="73"/>
      <c r="N852" s="70"/>
      <c r="O852" s="70"/>
      <c r="P852" s="68"/>
    </row>
    <row r="853" customFormat="false" ht="15" hidden="false" customHeight="false" outlineLevel="0" collapsed="false">
      <c r="A853" s="67"/>
      <c r="B853" s="68"/>
      <c r="C853" s="70"/>
      <c r="D853" s="68"/>
      <c r="E853" s="70"/>
      <c r="F853" s="68"/>
      <c r="G853" s="68"/>
      <c r="H853" s="68"/>
      <c r="I853" s="70"/>
      <c r="J853" s="68"/>
      <c r="K853" s="68"/>
      <c r="L853" s="68"/>
      <c r="M853" s="73"/>
      <c r="N853" s="70"/>
      <c r="O853" s="70"/>
      <c r="P853" s="68"/>
    </row>
    <row r="854" customFormat="false" ht="15" hidden="false" customHeight="false" outlineLevel="0" collapsed="false">
      <c r="A854" s="67"/>
      <c r="B854" s="68"/>
      <c r="C854" s="70"/>
      <c r="D854" s="68"/>
      <c r="E854" s="70"/>
      <c r="F854" s="68"/>
      <c r="G854" s="68"/>
      <c r="H854" s="68"/>
      <c r="I854" s="70"/>
      <c r="J854" s="68"/>
      <c r="K854" s="68"/>
      <c r="L854" s="68"/>
      <c r="M854" s="73"/>
      <c r="N854" s="70"/>
      <c r="O854" s="70"/>
      <c r="P854" s="68"/>
    </row>
    <row r="855" customFormat="false" ht="15" hidden="false" customHeight="false" outlineLevel="0" collapsed="false">
      <c r="A855" s="67"/>
      <c r="B855" s="68"/>
      <c r="C855" s="70"/>
      <c r="D855" s="68"/>
      <c r="E855" s="70"/>
      <c r="F855" s="68"/>
      <c r="G855" s="68"/>
      <c r="H855" s="68"/>
      <c r="I855" s="70"/>
      <c r="J855" s="68"/>
      <c r="K855" s="68"/>
      <c r="L855" s="68"/>
      <c r="M855" s="73"/>
      <c r="N855" s="70"/>
      <c r="O855" s="70"/>
      <c r="P855" s="68"/>
    </row>
    <row r="856" customFormat="false" ht="15" hidden="false" customHeight="false" outlineLevel="0" collapsed="false">
      <c r="A856" s="67"/>
      <c r="B856" s="68"/>
      <c r="C856" s="70"/>
      <c r="D856" s="68"/>
      <c r="E856" s="70"/>
      <c r="F856" s="68"/>
      <c r="G856" s="68"/>
      <c r="H856" s="68"/>
      <c r="I856" s="70"/>
      <c r="J856" s="68"/>
      <c r="K856" s="68"/>
      <c r="L856" s="68"/>
      <c r="M856" s="73"/>
      <c r="N856" s="70"/>
      <c r="O856" s="70"/>
      <c r="P856" s="68"/>
    </row>
    <row r="857" customFormat="false" ht="15" hidden="false" customHeight="false" outlineLevel="0" collapsed="false">
      <c r="A857" s="67"/>
      <c r="B857" s="68"/>
      <c r="C857" s="70"/>
      <c r="D857" s="68"/>
      <c r="E857" s="70"/>
      <c r="F857" s="68"/>
      <c r="G857" s="68"/>
      <c r="H857" s="68"/>
      <c r="I857" s="70"/>
      <c r="J857" s="68"/>
      <c r="K857" s="68"/>
      <c r="L857" s="68"/>
      <c r="M857" s="73"/>
      <c r="N857" s="70"/>
      <c r="O857" s="70"/>
      <c r="P857" s="68"/>
    </row>
    <row r="858" customFormat="false" ht="15" hidden="false" customHeight="false" outlineLevel="0" collapsed="false">
      <c r="A858" s="67"/>
      <c r="B858" s="68"/>
      <c r="C858" s="70"/>
      <c r="D858" s="68"/>
      <c r="E858" s="70"/>
      <c r="F858" s="68"/>
      <c r="G858" s="68"/>
      <c r="H858" s="68"/>
      <c r="I858" s="70"/>
      <c r="J858" s="68"/>
      <c r="K858" s="68"/>
      <c r="L858" s="68"/>
      <c r="M858" s="73"/>
      <c r="N858" s="70"/>
      <c r="O858" s="70"/>
      <c r="P858" s="68"/>
    </row>
    <row r="859" customFormat="false" ht="15" hidden="false" customHeight="false" outlineLevel="0" collapsed="false">
      <c r="A859" s="67"/>
      <c r="B859" s="68"/>
      <c r="C859" s="70"/>
      <c r="D859" s="68"/>
      <c r="E859" s="70"/>
      <c r="F859" s="68"/>
      <c r="G859" s="68"/>
      <c r="H859" s="68"/>
      <c r="I859" s="70"/>
      <c r="J859" s="68"/>
      <c r="K859" s="68"/>
      <c r="L859" s="68"/>
      <c r="M859" s="73"/>
      <c r="N859" s="70"/>
      <c r="O859" s="70"/>
      <c r="P859" s="68"/>
    </row>
    <row r="860" customFormat="false" ht="15" hidden="false" customHeight="false" outlineLevel="0" collapsed="false">
      <c r="A860" s="67"/>
      <c r="B860" s="68"/>
      <c r="C860" s="70"/>
      <c r="D860" s="68"/>
      <c r="E860" s="70"/>
      <c r="F860" s="68"/>
      <c r="G860" s="68"/>
      <c r="H860" s="68"/>
      <c r="I860" s="70"/>
      <c r="J860" s="68"/>
      <c r="K860" s="68"/>
      <c r="L860" s="68"/>
      <c r="M860" s="73"/>
      <c r="N860" s="70"/>
      <c r="O860" s="70"/>
      <c r="P860" s="68"/>
    </row>
    <row r="861" customFormat="false" ht="15" hidden="false" customHeight="false" outlineLevel="0" collapsed="false">
      <c r="A861" s="67"/>
      <c r="B861" s="68"/>
      <c r="C861" s="70"/>
      <c r="D861" s="68"/>
      <c r="E861" s="70"/>
      <c r="F861" s="68"/>
      <c r="G861" s="68"/>
      <c r="H861" s="68"/>
      <c r="I861" s="70"/>
      <c r="J861" s="68"/>
      <c r="K861" s="68"/>
      <c r="L861" s="68"/>
      <c r="M861" s="73"/>
      <c r="N861" s="70"/>
      <c r="O861" s="70"/>
      <c r="P861" s="68"/>
    </row>
    <row r="862" customFormat="false" ht="15" hidden="false" customHeight="false" outlineLevel="0" collapsed="false">
      <c r="A862" s="67"/>
      <c r="B862" s="68"/>
      <c r="C862" s="70"/>
      <c r="D862" s="68"/>
      <c r="E862" s="70"/>
      <c r="F862" s="68"/>
      <c r="G862" s="68"/>
      <c r="H862" s="68"/>
      <c r="I862" s="70"/>
      <c r="J862" s="68"/>
      <c r="K862" s="68"/>
      <c r="L862" s="68"/>
      <c r="M862" s="73"/>
      <c r="N862" s="70"/>
      <c r="O862" s="70"/>
      <c r="P862" s="68"/>
    </row>
    <row r="863" customFormat="false" ht="15" hidden="false" customHeight="false" outlineLevel="0" collapsed="false">
      <c r="A863" s="67"/>
      <c r="B863" s="68"/>
      <c r="C863" s="70"/>
      <c r="D863" s="68"/>
      <c r="E863" s="70"/>
      <c r="F863" s="68"/>
      <c r="G863" s="68"/>
      <c r="H863" s="68"/>
      <c r="I863" s="70"/>
      <c r="J863" s="68"/>
      <c r="K863" s="68"/>
      <c r="L863" s="68"/>
      <c r="M863" s="73"/>
      <c r="N863" s="70"/>
      <c r="O863" s="70"/>
      <c r="P863" s="68"/>
    </row>
    <row r="864" customFormat="false" ht="15" hidden="false" customHeight="false" outlineLevel="0" collapsed="false">
      <c r="A864" s="67"/>
      <c r="B864" s="68"/>
      <c r="C864" s="70"/>
      <c r="D864" s="68"/>
      <c r="E864" s="70"/>
      <c r="F864" s="68"/>
      <c r="G864" s="68"/>
      <c r="H864" s="68"/>
      <c r="I864" s="70"/>
      <c r="J864" s="68"/>
      <c r="K864" s="68"/>
      <c r="L864" s="68"/>
      <c r="M864" s="73"/>
      <c r="N864" s="70"/>
      <c r="O864" s="70"/>
      <c r="P864" s="68"/>
    </row>
    <row r="865" customFormat="false" ht="15" hidden="false" customHeight="false" outlineLevel="0" collapsed="false">
      <c r="A865" s="67"/>
      <c r="B865" s="68"/>
      <c r="C865" s="70"/>
      <c r="D865" s="68"/>
      <c r="E865" s="70"/>
      <c r="F865" s="68"/>
      <c r="G865" s="68"/>
      <c r="H865" s="68"/>
      <c r="I865" s="70"/>
      <c r="J865" s="68"/>
      <c r="K865" s="68"/>
      <c r="L865" s="68"/>
      <c r="M865" s="73"/>
      <c r="N865" s="70"/>
      <c r="O865" s="70"/>
      <c r="P865" s="68"/>
    </row>
    <row r="866" customFormat="false" ht="15" hidden="false" customHeight="false" outlineLevel="0" collapsed="false">
      <c r="A866" s="67"/>
      <c r="B866" s="68"/>
      <c r="C866" s="70"/>
      <c r="D866" s="68"/>
      <c r="E866" s="70"/>
      <c r="F866" s="68"/>
      <c r="G866" s="68"/>
      <c r="H866" s="68"/>
      <c r="I866" s="70"/>
      <c r="J866" s="68"/>
      <c r="K866" s="68"/>
      <c r="L866" s="68"/>
      <c r="M866" s="73"/>
      <c r="N866" s="70"/>
      <c r="O866" s="70"/>
      <c r="P866" s="68"/>
    </row>
    <row r="867" customFormat="false" ht="15" hidden="false" customHeight="false" outlineLevel="0" collapsed="false">
      <c r="A867" s="67"/>
      <c r="B867" s="68"/>
      <c r="C867" s="70"/>
      <c r="D867" s="68"/>
      <c r="E867" s="70"/>
      <c r="F867" s="68"/>
      <c r="G867" s="68"/>
      <c r="H867" s="68"/>
      <c r="I867" s="70"/>
      <c r="J867" s="68"/>
      <c r="K867" s="68"/>
      <c r="L867" s="68"/>
      <c r="M867" s="73"/>
      <c r="N867" s="70"/>
      <c r="O867" s="70"/>
      <c r="P867" s="68"/>
    </row>
    <row r="868" customFormat="false" ht="15" hidden="false" customHeight="false" outlineLevel="0" collapsed="false">
      <c r="A868" s="67"/>
      <c r="B868" s="68"/>
      <c r="C868" s="70"/>
      <c r="D868" s="68"/>
      <c r="E868" s="70"/>
      <c r="F868" s="68"/>
      <c r="G868" s="68"/>
      <c r="H868" s="68"/>
      <c r="I868" s="70"/>
      <c r="J868" s="68"/>
      <c r="K868" s="68"/>
      <c r="L868" s="68"/>
      <c r="M868" s="73"/>
      <c r="N868" s="70"/>
      <c r="O868" s="70"/>
      <c r="P868" s="68"/>
    </row>
    <row r="869" customFormat="false" ht="15" hidden="false" customHeight="false" outlineLevel="0" collapsed="false">
      <c r="A869" s="67"/>
      <c r="B869" s="68"/>
      <c r="C869" s="70"/>
      <c r="D869" s="68"/>
      <c r="E869" s="70"/>
      <c r="F869" s="68"/>
      <c r="G869" s="68"/>
      <c r="H869" s="68"/>
      <c r="I869" s="70"/>
      <c r="J869" s="68"/>
      <c r="K869" s="68"/>
      <c r="L869" s="68"/>
      <c r="M869" s="73"/>
      <c r="N869" s="70"/>
      <c r="O869" s="70"/>
      <c r="P869" s="68"/>
    </row>
    <row r="870" customFormat="false" ht="15" hidden="false" customHeight="false" outlineLevel="0" collapsed="false">
      <c r="A870" s="67"/>
      <c r="B870" s="68"/>
      <c r="C870" s="70"/>
      <c r="D870" s="68"/>
      <c r="E870" s="70"/>
      <c r="F870" s="68"/>
      <c r="G870" s="68"/>
      <c r="H870" s="68"/>
      <c r="I870" s="70"/>
      <c r="J870" s="68"/>
      <c r="K870" s="68"/>
      <c r="L870" s="68"/>
      <c r="M870" s="73"/>
      <c r="N870" s="70"/>
      <c r="O870" s="70"/>
      <c r="P870" s="68"/>
    </row>
    <row r="871" customFormat="false" ht="15" hidden="false" customHeight="false" outlineLevel="0" collapsed="false">
      <c r="A871" s="67"/>
      <c r="B871" s="68"/>
      <c r="C871" s="70"/>
      <c r="D871" s="68"/>
      <c r="E871" s="70"/>
      <c r="F871" s="68"/>
      <c r="G871" s="68"/>
      <c r="H871" s="68"/>
      <c r="I871" s="70"/>
      <c r="J871" s="68"/>
      <c r="K871" s="68"/>
      <c r="L871" s="68"/>
      <c r="M871" s="73"/>
      <c r="N871" s="70"/>
      <c r="O871" s="70"/>
      <c r="P871" s="68"/>
    </row>
    <row r="872" customFormat="false" ht="15" hidden="false" customHeight="false" outlineLevel="0" collapsed="false">
      <c r="A872" s="67"/>
      <c r="B872" s="68"/>
      <c r="C872" s="70"/>
      <c r="D872" s="68"/>
      <c r="E872" s="70"/>
      <c r="F872" s="68"/>
      <c r="G872" s="68"/>
      <c r="H872" s="68"/>
      <c r="I872" s="70"/>
      <c r="J872" s="68"/>
      <c r="K872" s="68"/>
      <c r="L872" s="68"/>
      <c r="M872" s="73"/>
      <c r="N872" s="70"/>
      <c r="O872" s="70"/>
      <c r="P872" s="68"/>
    </row>
    <row r="873" customFormat="false" ht="15" hidden="false" customHeight="false" outlineLevel="0" collapsed="false">
      <c r="A873" s="67"/>
      <c r="B873" s="68"/>
      <c r="C873" s="70"/>
      <c r="D873" s="68"/>
      <c r="E873" s="70"/>
      <c r="F873" s="68"/>
      <c r="G873" s="68"/>
      <c r="H873" s="68"/>
      <c r="I873" s="70"/>
      <c r="J873" s="68"/>
      <c r="K873" s="68"/>
      <c r="L873" s="68"/>
      <c r="M873" s="73"/>
      <c r="N873" s="70"/>
      <c r="O873" s="70"/>
      <c r="P873" s="68"/>
    </row>
    <row r="874" customFormat="false" ht="15" hidden="false" customHeight="false" outlineLevel="0" collapsed="false">
      <c r="A874" s="67"/>
      <c r="B874" s="68"/>
      <c r="C874" s="70"/>
      <c r="D874" s="68"/>
      <c r="E874" s="70"/>
      <c r="F874" s="68"/>
      <c r="G874" s="68"/>
      <c r="H874" s="68"/>
      <c r="I874" s="70"/>
      <c r="J874" s="68"/>
      <c r="K874" s="68"/>
      <c r="L874" s="68"/>
      <c r="M874" s="73"/>
      <c r="N874" s="70"/>
      <c r="O874" s="70"/>
      <c r="P874" s="68"/>
    </row>
    <row r="875" customFormat="false" ht="15" hidden="false" customHeight="false" outlineLevel="0" collapsed="false">
      <c r="A875" s="67"/>
      <c r="B875" s="68"/>
      <c r="C875" s="70"/>
      <c r="D875" s="68"/>
      <c r="E875" s="70"/>
      <c r="F875" s="68"/>
      <c r="G875" s="68"/>
      <c r="H875" s="68"/>
      <c r="I875" s="70"/>
      <c r="J875" s="68"/>
      <c r="K875" s="68"/>
      <c r="L875" s="68"/>
      <c r="M875" s="73"/>
      <c r="N875" s="70"/>
      <c r="O875" s="70"/>
      <c r="P875" s="68"/>
    </row>
    <row r="876" customFormat="false" ht="15" hidden="false" customHeight="false" outlineLevel="0" collapsed="false">
      <c r="A876" s="67"/>
      <c r="B876" s="68"/>
      <c r="C876" s="70"/>
      <c r="D876" s="68"/>
      <c r="E876" s="70"/>
      <c r="F876" s="68"/>
      <c r="G876" s="68"/>
      <c r="H876" s="68"/>
      <c r="I876" s="70"/>
      <c r="J876" s="68"/>
      <c r="K876" s="68"/>
      <c r="L876" s="68"/>
      <c r="M876" s="73"/>
      <c r="N876" s="70"/>
      <c r="O876" s="70"/>
      <c r="P876" s="68"/>
    </row>
    <row r="877" customFormat="false" ht="15" hidden="false" customHeight="false" outlineLevel="0" collapsed="false">
      <c r="A877" s="67"/>
      <c r="B877" s="68"/>
      <c r="C877" s="70"/>
      <c r="D877" s="68"/>
      <c r="E877" s="70"/>
      <c r="F877" s="68"/>
      <c r="G877" s="68"/>
      <c r="H877" s="68"/>
      <c r="I877" s="70"/>
      <c r="J877" s="68"/>
      <c r="K877" s="68"/>
      <c r="L877" s="68"/>
      <c r="M877" s="73"/>
      <c r="N877" s="70"/>
      <c r="O877" s="70"/>
      <c r="P877" s="68"/>
    </row>
    <row r="878" customFormat="false" ht="15" hidden="false" customHeight="false" outlineLevel="0" collapsed="false">
      <c r="A878" s="67"/>
      <c r="B878" s="68"/>
      <c r="C878" s="70"/>
      <c r="D878" s="68"/>
      <c r="E878" s="70"/>
      <c r="F878" s="68"/>
      <c r="G878" s="68"/>
      <c r="H878" s="68"/>
      <c r="I878" s="70"/>
      <c r="J878" s="68"/>
      <c r="K878" s="68"/>
      <c r="L878" s="68"/>
      <c r="M878" s="73"/>
      <c r="N878" s="70"/>
      <c r="O878" s="70"/>
      <c r="P878" s="68"/>
    </row>
    <row r="879" customFormat="false" ht="15" hidden="false" customHeight="false" outlineLevel="0" collapsed="false">
      <c r="A879" s="67"/>
      <c r="B879" s="68"/>
      <c r="C879" s="70"/>
      <c r="D879" s="68"/>
      <c r="E879" s="70"/>
      <c r="F879" s="68"/>
      <c r="G879" s="68"/>
      <c r="H879" s="68"/>
      <c r="I879" s="70"/>
      <c r="J879" s="68"/>
      <c r="K879" s="68"/>
      <c r="L879" s="68"/>
      <c r="M879" s="73"/>
      <c r="N879" s="70"/>
      <c r="O879" s="70"/>
      <c r="P879" s="68"/>
    </row>
    <row r="880" customFormat="false" ht="15" hidden="false" customHeight="false" outlineLevel="0" collapsed="false">
      <c r="A880" s="67"/>
      <c r="B880" s="68"/>
      <c r="C880" s="70"/>
      <c r="D880" s="68"/>
      <c r="E880" s="70"/>
      <c r="F880" s="68"/>
      <c r="G880" s="68"/>
      <c r="H880" s="68"/>
      <c r="I880" s="70"/>
      <c r="J880" s="68"/>
      <c r="K880" s="68"/>
      <c r="L880" s="68"/>
      <c r="M880" s="73"/>
      <c r="N880" s="70"/>
      <c r="O880" s="70"/>
      <c r="P880" s="68"/>
    </row>
    <row r="881" customFormat="false" ht="15" hidden="false" customHeight="false" outlineLevel="0" collapsed="false">
      <c r="A881" s="67"/>
      <c r="B881" s="68"/>
      <c r="C881" s="70"/>
      <c r="D881" s="68"/>
      <c r="E881" s="70"/>
      <c r="F881" s="68"/>
      <c r="G881" s="68"/>
      <c r="H881" s="68"/>
      <c r="I881" s="70"/>
      <c r="J881" s="68"/>
      <c r="K881" s="68"/>
      <c r="L881" s="68"/>
      <c r="M881" s="73"/>
      <c r="N881" s="70"/>
      <c r="O881" s="70"/>
      <c r="P881" s="68"/>
    </row>
    <row r="882" customFormat="false" ht="15" hidden="false" customHeight="false" outlineLevel="0" collapsed="false">
      <c r="A882" s="67"/>
      <c r="B882" s="68"/>
      <c r="C882" s="70"/>
      <c r="D882" s="68"/>
      <c r="E882" s="70"/>
      <c r="F882" s="68"/>
      <c r="G882" s="68"/>
      <c r="H882" s="68"/>
      <c r="I882" s="70"/>
      <c r="J882" s="68"/>
      <c r="K882" s="68"/>
      <c r="L882" s="68"/>
      <c r="M882" s="73"/>
      <c r="N882" s="70"/>
      <c r="O882" s="70"/>
      <c r="P882" s="68"/>
    </row>
    <row r="883" customFormat="false" ht="15" hidden="false" customHeight="false" outlineLevel="0" collapsed="false">
      <c r="A883" s="67"/>
      <c r="B883" s="68"/>
      <c r="C883" s="70"/>
      <c r="D883" s="68"/>
      <c r="E883" s="70"/>
      <c r="F883" s="68"/>
      <c r="G883" s="68"/>
      <c r="H883" s="68"/>
      <c r="I883" s="70"/>
      <c r="J883" s="68"/>
      <c r="K883" s="68"/>
      <c r="L883" s="68"/>
      <c r="M883" s="73"/>
      <c r="N883" s="70"/>
      <c r="O883" s="70"/>
      <c r="P883" s="68"/>
    </row>
    <row r="884" customFormat="false" ht="15" hidden="false" customHeight="false" outlineLevel="0" collapsed="false">
      <c r="A884" s="67"/>
      <c r="B884" s="68"/>
      <c r="C884" s="70"/>
      <c r="D884" s="68"/>
      <c r="E884" s="70"/>
      <c r="F884" s="68"/>
      <c r="G884" s="68"/>
      <c r="H884" s="68"/>
      <c r="I884" s="70"/>
      <c r="J884" s="68"/>
      <c r="K884" s="68"/>
      <c r="L884" s="68"/>
      <c r="M884" s="73"/>
      <c r="N884" s="70"/>
      <c r="O884" s="70"/>
      <c r="P884" s="68"/>
    </row>
    <row r="885" customFormat="false" ht="15" hidden="false" customHeight="false" outlineLevel="0" collapsed="false">
      <c r="A885" s="67"/>
      <c r="B885" s="68"/>
      <c r="C885" s="70"/>
      <c r="D885" s="68"/>
      <c r="E885" s="70"/>
      <c r="F885" s="68"/>
      <c r="G885" s="68"/>
      <c r="H885" s="68"/>
      <c r="I885" s="70"/>
      <c r="J885" s="68"/>
      <c r="K885" s="68"/>
      <c r="L885" s="68"/>
      <c r="M885" s="73"/>
      <c r="N885" s="70"/>
      <c r="O885" s="70"/>
      <c r="P885" s="68"/>
    </row>
    <row r="886" customFormat="false" ht="15" hidden="false" customHeight="false" outlineLevel="0" collapsed="false">
      <c r="A886" s="67"/>
      <c r="B886" s="68"/>
      <c r="C886" s="70"/>
      <c r="D886" s="68"/>
      <c r="E886" s="70"/>
      <c r="F886" s="68"/>
      <c r="G886" s="68"/>
      <c r="H886" s="68"/>
      <c r="I886" s="70"/>
      <c r="J886" s="68"/>
      <c r="K886" s="68"/>
      <c r="L886" s="68"/>
      <c r="M886" s="73"/>
      <c r="N886" s="70"/>
      <c r="O886" s="70"/>
      <c r="P886" s="68"/>
    </row>
    <row r="887" customFormat="false" ht="15" hidden="false" customHeight="false" outlineLevel="0" collapsed="false">
      <c r="A887" s="67"/>
      <c r="B887" s="68"/>
      <c r="C887" s="70"/>
      <c r="D887" s="68"/>
      <c r="E887" s="70"/>
      <c r="F887" s="68"/>
      <c r="G887" s="68"/>
      <c r="H887" s="68"/>
      <c r="I887" s="70"/>
      <c r="J887" s="68"/>
      <c r="K887" s="68"/>
      <c r="L887" s="68"/>
      <c r="M887" s="73"/>
      <c r="N887" s="70"/>
      <c r="O887" s="70"/>
      <c r="P887" s="68"/>
    </row>
    <row r="888" customFormat="false" ht="15" hidden="false" customHeight="false" outlineLevel="0" collapsed="false">
      <c r="A888" s="67"/>
      <c r="B888" s="68"/>
      <c r="C888" s="70"/>
      <c r="D888" s="68"/>
      <c r="E888" s="70"/>
      <c r="F888" s="68"/>
      <c r="G888" s="68"/>
      <c r="H888" s="68"/>
      <c r="I888" s="70"/>
      <c r="J888" s="68"/>
      <c r="K888" s="68"/>
      <c r="L888" s="68"/>
      <c r="M888" s="73"/>
      <c r="N888" s="70"/>
      <c r="O888" s="70"/>
      <c r="P888" s="68"/>
    </row>
    <row r="889" customFormat="false" ht="15" hidden="false" customHeight="false" outlineLevel="0" collapsed="false">
      <c r="A889" s="67"/>
      <c r="B889" s="68"/>
      <c r="C889" s="70"/>
      <c r="D889" s="68"/>
      <c r="E889" s="70"/>
      <c r="F889" s="68"/>
      <c r="G889" s="68"/>
      <c r="H889" s="68"/>
      <c r="I889" s="70"/>
      <c r="J889" s="68"/>
      <c r="K889" s="68"/>
      <c r="L889" s="68"/>
      <c r="M889" s="73"/>
      <c r="N889" s="70"/>
      <c r="O889" s="70"/>
      <c r="P889" s="68"/>
    </row>
    <row r="890" customFormat="false" ht="15" hidden="false" customHeight="false" outlineLevel="0" collapsed="false">
      <c r="A890" s="67"/>
      <c r="B890" s="68"/>
      <c r="C890" s="70"/>
      <c r="D890" s="68"/>
      <c r="E890" s="70"/>
      <c r="F890" s="68"/>
      <c r="G890" s="68"/>
      <c r="H890" s="68"/>
      <c r="I890" s="70"/>
      <c r="J890" s="68"/>
      <c r="K890" s="68"/>
      <c r="L890" s="68"/>
      <c r="M890" s="73"/>
      <c r="N890" s="70"/>
      <c r="O890" s="70"/>
      <c r="P890" s="68"/>
    </row>
    <row r="891" customFormat="false" ht="15" hidden="false" customHeight="false" outlineLevel="0" collapsed="false">
      <c r="A891" s="67"/>
      <c r="B891" s="68"/>
      <c r="C891" s="70"/>
      <c r="D891" s="68"/>
      <c r="E891" s="70"/>
      <c r="F891" s="68"/>
      <c r="G891" s="68"/>
      <c r="H891" s="68"/>
      <c r="I891" s="70"/>
      <c r="J891" s="68"/>
      <c r="K891" s="68"/>
      <c r="L891" s="68"/>
      <c r="M891" s="73"/>
      <c r="N891" s="70"/>
      <c r="O891" s="70"/>
      <c r="P891" s="68"/>
    </row>
    <row r="892" customFormat="false" ht="15" hidden="false" customHeight="false" outlineLevel="0" collapsed="false">
      <c r="A892" s="67"/>
      <c r="B892" s="68"/>
      <c r="C892" s="70"/>
      <c r="D892" s="68"/>
      <c r="E892" s="70"/>
      <c r="F892" s="68"/>
      <c r="G892" s="68"/>
      <c r="H892" s="68"/>
      <c r="I892" s="70"/>
      <c r="J892" s="68"/>
      <c r="K892" s="68"/>
      <c r="L892" s="68"/>
      <c r="M892" s="73"/>
      <c r="N892" s="70"/>
      <c r="O892" s="70"/>
      <c r="P892" s="68"/>
    </row>
    <row r="893" customFormat="false" ht="15" hidden="false" customHeight="false" outlineLevel="0" collapsed="false">
      <c r="A893" s="67"/>
      <c r="B893" s="68"/>
      <c r="C893" s="70"/>
      <c r="D893" s="68"/>
      <c r="E893" s="70"/>
      <c r="F893" s="68"/>
      <c r="G893" s="68"/>
      <c r="H893" s="68"/>
      <c r="I893" s="70"/>
      <c r="J893" s="68"/>
      <c r="K893" s="68"/>
      <c r="L893" s="68"/>
      <c r="M893" s="73"/>
      <c r="N893" s="70"/>
      <c r="O893" s="70"/>
      <c r="P893" s="68"/>
    </row>
    <row r="894" customFormat="false" ht="15" hidden="false" customHeight="false" outlineLevel="0" collapsed="false">
      <c r="A894" s="67"/>
      <c r="B894" s="68"/>
      <c r="C894" s="70"/>
      <c r="D894" s="68"/>
      <c r="E894" s="70"/>
      <c r="F894" s="68"/>
      <c r="G894" s="68"/>
      <c r="H894" s="68"/>
      <c r="I894" s="70"/>
      <c r="J894" s="68"/>
      <c r="K894" s="68"/>
      <c r="L894" s="68"/>
      <c r="M894" s="73"/>
      <c r="N894" s="70"/>
      <c r="O894" s="70"/>
      <c r="P894" s="68"/>
    </row>
    <row r="895" customFormat="false" ht="15" hidden="false" customHeight="false" outlineLevel="0" collapsed="false">
      <c r="A895" s="67"/>
      <c r="B895" s="68"/>
      <c r="C895" s="70"/>
      <c r="D895" s="68"/>
      <c r="E895" s="70"/>
      <c r="F895" s="68"/>
      <c r="G895" s="68"/>
      <c r="H895" s="68"/>
      <c r="I895" s="70"/>
      <c r="J895" s="68"/>
      <c r="K895" s="68"/>
      <c r="L895" s="68"/>
      <c r="M895" s="73"/>
      <c r="N895" s="70"/>
      <c r="O895" s="70"/>
      <c r="P895" s="68"/>
    </row>
    <row r="896" customFormat="false" ht="15" hidden="false" customHeight="false" outlineLevel="0" collapsed="false">
      <c r="A896" s="67"/>
      <c r="B896" s="68"/>
      <c r="C896" s="70"/>
      <c r="D896" s="68"/>
      <c r="E896" s="70"/>
      <c r="F896" s="68"/>
      <c r="G896" s="68"/>
      <c r="H896" s="68"/>
      <c r="I896" s="70"/>
      <c r="J896" s="68"/>
      <c r="K896" s="68"/>
      <c r="L896" s="68"/>
      <c r="M896" s="73"/>
      <c r="N896" s="70"/>
      <c r="O896" s="70"/>
      <c r="P896" s="68"/>
    </row>
    <row r="897" customFormat="false" ht="15" hidden="false" customHeight="false" outlineLevel="0" collapsed="false">
      <c r="A897" s="67"/>
      <c r="B897" s="68"/>
      <c r="C897" s="70"/>
      <c r="D897" s="68"/>
      <c r="E897" s="70"/>
      <c r="F897" s="68"/>
      <c r="G897" s="68"/>
      <c r="H897" s="68"/>
      <c r="I897" s="70"/>
      <c r="J897" s="68"/>
      <c r="K897" s="68"/>
      <c r="L897" s="68"/>
      <c r="M897" s="73"/>
      <c r="N897" s="70"/>
      <c r="O897" s="70"/>
      <c r="P897" s="68"/>
    </row>
    <row r="898" customFormat="false" ht="15" hidden="false" customHeight="false" outlineLevel="0" collapsed="false">
      <c r="A898" s="67"/>
      <c r="B898" s="68"/>
      <c r="C898" s="70"/>
      <c r="D898" s="68"/>
      <c r="E898" s="70"/>
      <c r="F898" s="68"/>
      <c r="G898" s="68"/>
      <c r="H898" s="68"/>
      <c r="I898" s="70"/>
      <c r="J898" s="68"/>
      <c r="K898" s="68"/>
      <c r="L898" s="68"/>
      <c r="M898" s="73"/>
      <c r="N898" s="70"/>
      <c r="O898" s="70"/>
      <c r="P898" s="68"/>
    </row>
    <row r="899" customFormat="false" ht="15" hidden="false" customHeight="false" outlineLevel="0" collapsed="false">
      <c r="A899" s="67"/>
      <c r="B899" s="68"/>
      <c r="C899" s="70"/>
      <c r="D899" s="68"/>
      <c r="E899" s="70"/>
      <c r="F899" s="68"/>
      <c r="G899" s="68"/>
      <c r="H899" s="68"/>
      <c r="I899" s="70"/>
      <c r="J899" s="68"/>
      <c r="K899" s="68"/>
      <c r="L899" s="68"/>
      <c r="M899" s="73"/>
      <c r="N899" s="70"/>
      <c r="O899" s="70"/>
      <c r="P899" s="68"/>
    </row>
    <row r="900" customFormat="false" ht="15" hidden="false" customHeight="false" outlineLevel="0" collapsed="false">
      <c r="A900" s="67"/>
      <c r="B900" s="68"/>
      <c r="C900" s="70"/>
      <c r="D900" s="68"/>
      <c r="E900" s="70"/>
      <c r="F900" s="68"/>
      <c r="G900" s="68"/>
      <c r="H900" s="68"/>
      <c r="I900" s="70"/>
      <c r="J900" s="68"/>
      <c r="K900" s="68"/>
      <c r="L900" s="68"/>
      <c r="M900" s="73"/>
      <c r="N900" s="70"/>
      <c r="O900" s="70"/>
      <c r="P900" s="68"/>
    </row>
    <row r="901" customFormat="false" ht="15" hidden="false" customHeight="false" outlineLevel="0" collapsed="false">
      <c r="A901" s="67"/>
      <c r="B901" s="68"/>
      <c r="C901" s="70"/>
      <c r="D901" s="68"/>
      <c r="E901" s="70"/>
      <c r="F901" s="68"/>
      <c r="G901" s="68"/>
      <c r="H901" s="68"/>
      <c r="I901" s="70"/>
      <c r="J901" s="68"/>
      <c r="K901" s="68"/>
      <c r="L901" s="68"/>
      <c r="M901" s="73"/>
      <c r="N901" s="70"/>
      <c r="O901" s="70"/>
      <c r="P901" s="68"/>
    </row>
    <row r="902" customFormat="false" ht="15" hidden="false" customHeight="false" outlineLevel="0" collapsed="false">
      <c r="A902" s="67"/>
      <c r="B902" s="68"/>
      <c r="C902" s="70"/>
      <c r="D902" s="68"/>
      <c r="E902" s="70"/>
      <c r="F902" s="68"/>
      <c r="G902" s="68"/>
      <c r="H902" s="68"/>
      <c r="I902" s="70"/>
      <c r="J902" s="68"/>
      <c r="K902" s="68"/>
      <c r="L902" s="68"/>
      <c r="M902" s="73"/>
      <c r="N902" s="70"/>
      <c r="O902" s="70"/>
      <c r="P902" s="68"/>
    </row>
    <row r="903" customFormat="false" ht="15" hidden="false" customHeight="false" outlineLevel="0" collapsed="false">
      <c r="A903" s="67"/>
      <c r="B903" s="68"/>
      <c r="C903" s="70"/>
      <c r="D903" s="68"/>
      <c r="E903" s="70"/>
      <c r="F903" s="68"/>
      <c r="G903" s="68"/>
      <c r="H903" s="68"/>
      <c r="I903" s="70"/>
      <c r="J903" s="68"/>
      <c r="K903" s="68"/>
      <c r="L903" s="68"/>
      <c r="M903" s="73"/>
      <c r="N903" s="70"/>
      <c r="O903" s="70"/>
      <c r="P903" s="68"/>
    </row>
    <row r="904" customFormat="false" ht="15" hidden="false" customHeight="false" outlineLevel="0" collapsed="false">
      <c r="A904" s="67"/>
      <c r="B904" s="68"/>
      <c r="C904" s="70"/>
      <c r="D904" s="68"/>
      <c r="E904" s="70"/>
      <c r="F904" s="68"/>
      <c r="G904" s="68"/>
      <c r="H904" s="68"/>
      <c r="I904" s="70"/>
      <c r="J904" s="68"/>
      <c r="K904" s="68"/>
      <c r="L904" s="68"/>
      <c r="M904" s="73"/>
      <c r="N904" s="70"/>
      <c r="O904" s="70"/>
      <c r="P904" s="68"/>
    </row>
    <row r="905" customFormat="false" ht="15" hidden="false" customHeight="false" outlineLevel="0" collapsed="false">
      <c r="A905" s="67"/>
      <c r="B905" s="68"/>
      <c r="C905" s="70"/>
      <c r="D905" s="68"/>
      <c r="E905" s="70"/>
      <c r="F905" s="68"/>
      <c r="G905" s="68"/>
      <c r="H905" s="68"/>
      <c r="I905" s="70"/>
      <c r="J905" s="68"/>
      <c r="K905" s="68"/>
      <c r="L905" s="68"/>
      <c r="M905" s="73"/>
      <c r="N905" s="70"/>
      <c r="O905" s="70"/>
      <c r="P905" s="68"/>
    </row>
    <row r="906" customFormat="false" ht="15" hidden="false" customHeight="false" outlineLevel="0" collapsed="false">
      <c r="A906" s="67"/>
      <c r="B906" s="68"/>
      <c r="C906" s="70"/>
      <c r="D906" s="68"/>
      <c r="E906" s="70"/>
      <c r="F906" s="68"/>
      <c r="G906" s="68"/>
      <c r="H906" s="68"/>
      <c r="I906" s="70"/>
      <c r="J906" s="68"/>
      <c r="K906" s="68"/>
      <c r="L906" s="68"/>
      <c r="M906" s="73"/>
      <c r="N906" s="70"/>
      <c r="O906" s="70"/>
      <c r="P906" s="68"/>
    </row>
    <row r="907" customFormat="false" ht="15" hidden="false" customHeight="false" outlineLevel="0" collapsed="false">
      <c r="A907" s="67"/>
      <c r="B907" s="68"/>
      <c r="C907" s="70"/>
      <c r="D907" s="68"/>
      <c r="E907" s="70"/>
      <c r="F907" s="68"/>
      <c r="G907" s="68"/>
      <c r="H907" s="68"/>
      <c r="I907" s="70"/>
      <c r="J907" s="68"/>
      <c r="K907" s="68"/>
      <c r="L907" s="68"/>
      <c r="M907" s="73"/>
      <c r="N907" s="70"/>
      <c r="O907" s="70"/>
      <c r="P907" s="68"/>
    </row>
    <row r="908" customFormat="false" ht="15" hidden="false" customHeight="false" outlineLevel="0" collapsed="false">
      <c r="A908" s="67"/>
      <c r="B908" s="68"/>
      <c r="C908" s="70"/>
      <c r="D908" s="68"/>
      <c r="E908" s="70"/>
      <c r="F908" s="68"/>
      <c r="G908" s="68"/>
      <c r="H908" s="68"/>
      <c r="I908" s="70"/>
      <c r="J908" s="68"/>
      <c r="K908" s="68"/>
      <c r="L908" s="68"/>
      <c r="M908" s="73"/>
      <c r="N908" s="70"/>
      <c r="O908" s="70"/>
      <c r="P908" s="68"/>
    </row>
    <row r="909" customFormat="false" ht="15" hidden="false" customHeight="false" outlineLevel="0" collapsed="false">
      <c r="A909" s="67"/>
      <c r="B909" s="68"/>
      <c r="C909" s="70"/>
      <c r="D909" s="68"/>
      <c r="E909" s="70"/>
      <c r="F909" s="68"/>
      <c r="G909" s="68"/>
      <c r="H909" s="68"/>
      <c r="I909" s="70"/>
      <c r="J909" s="68"/>
      <c r="K909" s="68"/>
      <c r="L909" s="68"/>
      <c r="M909" s="73"/>
      <c r="N909" s="70"/>
      <c r="O909" s="70"/>
      <c r="P909" s="68"/>
    </row>
    <row r="910" customFormat="false" ht="15" hidden="false" customHeight="false" outlineLevel="0" collapsed="false">
      <c r="A910" s="67"/>
      <c r="B910" s="68"/>
      <c r="C910" s="70"/>
      <c r="D910" s="68"/>
      <c r="E910" s="70"/>
      <c r="F910" s="68"/>
      <c r="G910" s="68"/>
      <c r="H910" s="68"/>
      <c r="I910" s="70"/>
      <c r="J910" s="68"/>
      <c r="K910" s="68"/>
      <c r="L910" s="68"/>
      <c r="M910" s="73"/>
      <c r="N910" s="70"/>
      <c r="O910" s="70"/>
      <c r="P910" s="68"/>
    </row>
    <row r="911" customFormat="false" ht="15" hidden="false" customHeight="false" outlineLevel="0" collapsed="false">
      <c r="A911" s="67"/>
      <c r="B911" s="68"/>
      <c r="C911" s="70"/>
      <c r="D911" s="68"/>
      <c r="E911" s="70"/>
      <c r="F911" s="68"/>
      <c r="G911" s="68"/>
      <c r="H911" s="68"/>
      <c r="I911" s="70"/>
      <c r="J911" s="68"/>
      <c r="K911" s="68"/>
      <c r="L911" s="68"/>
      <c r="M911" s="73"/>
      <c r="N911" s="70"/>
      <c r="O911" s="70"/>
      <c r="P911" s="68"/>
    </row>
    <row r="912" customFormat="false" ht="15" hidden="false" customHeight="false" outlineLevel="0" collapsed="false">
      <c r="A912" s="67"/>
      <c r="B912" s="68"/>
      <c r="C912" s="70"/>
      <c r="D912" s="68"/>
      <c r="E912" s="70"/>
      <c r="F912" s="68"/>
      <c r="G912" s="68"/>
      <c r="H912" s="68"/>
      <c r="I912" s="70"/>
      <c r="J912" s="68"/>
      <c r="K912" s="68"/>
      <c r="L912" s="68"/>
      <c r="M912" s="73"/>
      <c r="N912" s="70"/>
      <c r="O912" s="70"/>
      <c r="P912" s="68"/>
    </row>
    <row r="913" customFormat="false" ht="15" hidden="false" customHeight="false" outlineLevel="0" collapsed="false">
      <c r="A913" s="67"/>
      <c r="B913" s="68"/>
      <c r="C913" s="70"/>
      <c r="D913" s="68"/>
      <c r="E913" s="70"/>
      <c r="F913" s="68"/>
      <c r="G913" s="68"/>
      <c r="H913" s="68"/>
      <c r="I913" s="70"/>
      <c r="J913" s="68"/>
      <c r="K913" s="68"/>
      <c r="L913" s="68"/>
      <c r="M913" s="73"/>
      <c r="N913" s="70"/>
      <c r="O913" s="70"/>
      <c r="P913" s="68"/>
    </row>
    <row r="914" customFormat="false" ht="15" hidden="false" customHeight="false" outlineLevel="0" collapsed="false">
      <c r="A914" s="67"/>
      <c r="B914" s="68"/>
      <c r="C914" s="70"/>
      <c r="D914" s="68"/>
      <c r="E914" s="70"/>
      <c r="F914" s="68"/>
      <c r="G914" s="68"/>
      <c r="H914" s="68"/>
      <c r="I914" s="70"/>
      <c r="J914" s="68"/>
      <c r="K914" s="68"/>
      <c r="L914" s="68"/>
      <c r="M914" s="73"/>
      <c r="N914" s="70"/>
      <c r="O914" s="70"/>
      <c r="P914" s="68"/>
    </row>
    <row r="915" customFormat="false" ht="15" hidden="false" customHeight="false" outlineLevel="0" collapsed="false">
      <c r="A915" s="67"/>
      <c r="B915" s="68"/>
      <c r="C915" s="70"/>
      <c r="D915" s="68"/>
      <c r="E915" s="70"/>
      <c r="F915" s="68"/>
      <c r="G915" s="68"/>
      <c r="H915" s="68"/>
      <c r="I915" s="70"/>
      <c r="J915" s="68"/>
      <c r="K915" s="68"/>
      <c r="L915" s="68"/>
      <c r="M915" s="73"/>
      <c r="N915" s="70"/>
      <c r="O915" s="70"/>
      <c r="P915" s="68"/>
    </row>
    <row r="916" customFormat="false" ht="15" hidden="false" customHeight="false" outlineLevel="0" collapsed="false">
      <c r="A916" s="67"/>
      <c r="B916" s="68"/>
      <c r="C916" s="70"/>
      <c r="D916" s="68"/>
      <c r="E916" s="70"/>
      <c r="F916" s="68"/>
      <c r="G916" s="68"/>
      <c r="H916" s="68"/>
      <c r="I916" s="70"/>
      <c r="J916" s="68"/>
      <c r="K916" s="68"/>
      <c r="L916" s="68"/>
      <c r="M916" s="73"/>
      <c r="N916" s="70"/>
      <c r="O916" s="70"/>
      <c r="P916" s="68"/>
    </row>
    <row r="917" customFormat="false" ht="15" hidden="false" customHeight="false" outlineLevel="0" collapsed="false">
      <c r="A917" s="67"/>
      <c r="B917" s="68"/>
      <c r="C917" s="70"/>
      <c r="D917" s="68"/>
      <c r="E917" s="70"/>
      <c r="F917" s="68"/>
      <c r="G917" s="68"/>
      <c r="H917" s="68"/>
      <c r="I917" s="70"/>
      <c r="J917" s="68"/>
      <c r="K917" s="68"/>
      <c r="L917" s="68"/>
      <c r="M917" s="73"/>
      <c r="N917" s="70"/>
      <c r="O917" s="70"/>
      <c r="P917" s="68"/>
    </row>
    <row r="918" customFormat="false" ht="15" hidden="false" customHeight="false" outlineLevel="0" collapsed="false">
      <c r="A918" s="67"/>
      <c r="B918" s="68"/>
      <c r="C918" s="70"/>
      <c r="D918" s="68"/>
      <c r="E918" s="70"/>
      <c r="F918" s="68"/>
      <c r="G918" s="68"/>
      <c r="H918" s="68"/>
      <c r="I918" s="70"/>
      <c r="J918" s="68"/>
      <c r="K918" s="68"/>
      <c r="L918" s="68"/>
      <c r="M918" s="73"/>
      <c r="N918" s="70"/>
      <c r="O918" s="70"/>
      <c r="P918" s="68"/>
    </row>
    <row r="919" customFormat="false" ht="15" hidden="false" customHeight="false" outlineLevel="0" collapsed="false">
      <c r="A919" s="67"/>
      <c r="B919" s="68"/>
      <c r="C919" s="70"/>
      <c r="D919" s="68"/>
      <c r="E919" s="70"/>
      <c r="F919" s="68"/>
      <c r="G919" s="68"/>
      <c r="H919" s="68"/>
      <c r="I919" s="70"/>
      <c r="J919" s="68"/>
      <c r="K919" s="68"/>
      <c r="L919" s="68"/>
      <c r="M919" s="73"/>
      <c r="N919" s="70"/>
      <c r="O919" s="70"/>
      <c r="P919" s="68"/>
    </row>
    <row r="920" customFormat="false" ht="15" hidden="false" customHeight="false" outlineLevel="0" collapsed="false">
      <c r="A920" s="67"/>
      <c r="B920" s="68"/>
      <c r="C920" s="70"/>
      <c r="D920" s="68"/>
      <c r="E920" s="70"/>
      <c r="F920" s="68"/>
      <c r="G920" s="68"/>
      <c r="H920" s="68"/>
      <c r="I920" s="70"/>
      <c r="J920" s="68"/>
      <c r="K920" s="68"/>
      <c r="L920" s="68"/>
      <c r="M920" s="73"/>
      <c r="N920" s="70"/>
      <c r="O920" s="70"/>
      <c r="P920" s="68"/>
    </row>
    <row r="921" customFormat="false" ht="15" hidden="false" customHeight="false" outlineLevel="0" collapsed="false">
      <c r="A921" s="67"/>
      <c r="B921" s="68"/>
      <c r="C921" s="70"/>
      <c r="D921" s="68"/>
      <c r="E921" s="70"/>
      <c r="F921" s="68"/>
      <c r="G921" s="68"/>
      <c r="H921" s="68"/>
      <c r="I921" s="70"/>
      <c r="J921" s="68"/>
      <c r="K921" s="68"/>
      <c r="L921" s="68"/>
      <c r="M921" s="73"/>
      <c r="N921" s="70"/>
      <c r="O921" s="70"/>
      <c r="P921" s="68"/>
    </row>
    <row r="922" customFormat="false" ht="15" hidden="false" customHeight="false" outlineLevel="0" collapsed="false">
      <c r="A922" s="67"/>
      <c r="B922" s="68"/>
      <c r="C922" s="70"/>
      <c r="D922" s="68"/>
      <c r="E922" s="70"/>
      <c r="F922" s="68"/>
      <c r="G922" s="68"/>
      <c r="H922" s="68"/>
      <c r="I922" s="70"/>
      <c r="J922" s="68"/>
      <c r="K922" s="68"/>
      <c r="L922" s="68"/>
      <c r="M922" s="73"/>
      <c r="N922" s="70"/>
      <c r="O922" s="70"/>
      <c r="P922" s="68"/>
    </row>
    <row r="923" customFormat="false" ht="15" hidden="false" customHeight="false" outlineLevel="0" collapsed="false">
      <c r="A923" s="67"/>
      <c r="B923" s="68"/>
      <c r="C923" s="70"/>
      <c r="D923" s="68"/>
      <c r="E923" s="70"/>
      <c r="F923" s="68"/>
      <c r="G923" s="68"/>
      <c r="H923" s="68"/>
      <c r="I923" s="70"/>
      <c r="J923" s="68"/>
      <c r="K923" s="68"/>
      <c r="L923" s="68"/>
      <c r="M923" s="73"/>
      <c r="N923" s="70"/>
      <c r="O923" s="70"/>
      <c r="P923" s="68"/>
    </row>
    <row r="924" customFormat="false" ht="15" hidden="false" customHeight="false" outlineLevel="0" collapsed="false">
      <c r="A924" s="67"/>
      <c r="B924" s="68"/>
      <c r="C924" s="70"/>
      <c r="D924" s="68"/>
      <c r="E924" s="70"/>
      <c r="F924" s="68"/>
      <c r="G924" s="68"/>
      <c r="H924" s="68"/>
      <c r="I924" s="70"/>
      <c r="J924" s="68"/>
      <c r="K924" s="68"/>
      <c r="L924" s="68"/>
      <c r="M924" s="73"/>
      <c r="N924" s="70"/>
      <c r="O924" s="70"/>
      <c r="P924" s="68"/>
    </row>
    <row r="925" customFormat="false" ht="15" hidden="false" customHeight="false" outlineLevel="0" collapsed="false">
      <c r="A925" s="67"/>
      <c r="B925" s="68"/>
      <c r="C925" s="70"/>
      <c r="D925" s="68"/>
      <c r="E925" s="70"/>
      <c r="F925" s="68"/>
      <c r="G925" s="68"/>
      <c r="H925" s="68"/>
      <c r="I925" s="70"/>
      <c r="J925" s="68"/>
      <c r="K925" s="68"/>
      <c r="L925" s="68"/>
      <c r="M925" s="73"/>
      <c r="N925" s="70"/>
      <c r="O925" s="70"/>
      <c r="P925" s="68"/>
    </row>
    <row r="926" customFormat="false" ht="15" hidden="false" customHeight="false" outlineLevel="0" collapsed="false">
      <c r="A926" s="67"/>
      <c r="B926" s="68"/>
      <c r="C926" s="70"/>
      <c r="D926" s="68"/>
      <c r="E926" s="70"/>
      <c r="F926" s="68"/>
      <c r="G926" s="68"/>
      <c r="H926" s="68"/>
      <c r="I926" s="70"/>
      <c r="J926" s="68"/>
      <c r="K926" s="68"/>
      <c r="L926" s="68"/>
      <c r="M926" s="73"/>
      <c r="N926" s="70"/>
      <c r="O926" s="70"/>
      <c r="P926" s="68"/>
    </row>
    <row r="927" customFormat="false" ht="15" hidden="false" customHeight="false" outlineLevel="0" collapsed="false">
      <c r="A927" s="67"/>
      <c r="B927" s="68"/>
      <c r="C927" s="70"/>
      <c r="D927" s="68"/>
      <c r="E927" s="70"/>
      <c r="F927" s="68"/>
      <c r="G927" s="68"/>
      <c r="H927" s="68"/>
      <c r="I927" s="70"/>
      <c r="J927" s="68"/>
      <c r="K927" s="68"/>
      <c r="L927" s="68"/>
      <c r="M927" s="73"/>
      <c r="N927" s="70"/>
      <c r="O927" s="70"/>
      <c r="P927" s="68"/>
    </row>
    <row r="928" customFormat="false" ht="15" hidden="false" customHeight="false" outlineLevel="0" collapsed="false">
      <c r="A928" s="67"/>
      <c r="B928" s="68"/>
      <c r="C928" s="70"/>
      <c r="D928" s="68"/>
      <c r="E928" s="70"/>
      <c r="F928" s="68"/>
      <c r="G928" s="68"/>
      <c r="H928" s="68"/>
      <c r="I928" s="70"/>
      <c r="J928" s="68"/>
      <c r="K928" s="68"/>
      <c r="L928" s="68"/>
      <c r="M928" s="73"/>
      <c r="N928" s="70"/>
      <c r="O928" s="70"/>
      <c r="P928" s="68"/>
    </row>
    <row r="929" customFormat="false" ht="15" hidden="false" customHeight="false" outlineLevel="0" collapsed="false">
      <c r="A929" s="67"/>
      <c r="B929" s="68"/>
      <c r="C929" s="70"/>
      <c r="D929" s="68"/>
      <c r="E929" s="70"/>
      <c r="F929" s="68"/>
      <c r="G929" s="68"/>
      <c r="H929" s="68"/>
      <c r="I929" s="70"/>
      <c r="J929" s="68"/>
      <c r="K929" s="68"/>
      <c r="L929" s="68"/>
      <c r="M929" s="73"/>
      <c r="N929" s="70"/>
      <c r="O929" s="70"/>
      <c r="P929" s="68"/>
    </row>
    <row r="930" customFormat="false" ht="15" hidden="false" customHeight="false" outlineLevel="0" collapsed="false">
      <c r="A930" s="67"/>
      <c r="B930" s="68"/>
      <c r="C930" s="70"/>
      <c r="D930" s="68"/>
      <c r="E930" s="70"/>
      <c r="F930" s="68"/>
      <c r="G930" s="68"/>
      <c r="H930" s="68"/>
      <c r="I930" s="70"/>
      <c r="J930" s="68"/>
      <c r="K930" s="68"/>
      <c r="L930" s="68"/>
      <c r="M930" s="73"/>
      <c r="N930" s="70"/>
      <c r="O930" s="70"/>
      <c r="P930" s="68"/>
    </row>
    <row r="931" customFormat="false" ht="15" hidden="false" customHeight="false" outlineLevel="0" collapsed="false">
      <c r="A931" s="67"/>
      <c r="B931" s="68"/>
      <c r="C931" s="70"/>
      <c r="D931" s="68"/>
      <c r="E931" s="70"/>
      <c r="F931" s="68"/>
      <c r="G931" s="68"/>
      <c r="H931" s="68"/>
      <c r="I931" s="70"/>
      <c r="J931" s="68"/>
      <c r="K931" s="68"/>
      <c r="L931" s="68"/>
      <c r="M931" s="73"/>
      <c r="N931" s="70"/>
      <c r="O931" s="70"/>
      <c r="P931" s="68"/>
    </row>
    <row r="932" customFormat="false" ht="15" hidden="false" customHeight="false" outlineLevel="0" collapsed="false">
      <c r="A932" s="67"/>
      <c r="B932" s="68"/>
      <c r="C932" s="70"/>
      <c r="D932" s="68"/>
      <c r="E932" s="70"/>
      <c r="F932" s="68"/>
      <c r="G932" s="68"/>
      <c r="H932" s="68"/>
      <c r="I932" s="70"/>
      <c r="J932" s="68"/>
      <c r="K932" s="68"/>
      <c r="L932" s="68"/>
      <c r="M932" s="73"/>
      <c r="N932" s="70"/>
      <c r="O932" s="70"/>
      <c r="P932" s="68"/>
    </row>
    <row r="933" customFormat="false" ht="15" hidden="false" customHeight="false" outlineLevel="0" collapsed="false">
      <c r="A933" s="67"/>
      <c r="B933" s="68"/>
      <c r="C933" s="70"/>
      <c r="D933" s="68"/>
      <c r="E933" s="70"/>
      <c r="F933" s="68"/>
      <c r="G933" s="68"/>
      <c r="H933" s="68"/>
      <c r="I933" s="70"/>
      <c r="J933" s="68"/>
      <c r="K933" s="68"/>
      <c r="L933" s="68"/>
      <c r="M933" s="73"/>
      <c r="N933" s="70"/>
      <c r="O933" s="70"/>
      <c r="P933" s="68"/>
    </row>
    <row r="934" customFormat="false" ht="15" hidden="false" customHeight="false" outlineLevel="0" collapsed="false">
      <c r="A934" s="67"/>
      <c r="B934" s="68"/>
      <c r="C934" s="70"/>
      <c r="D934" s="68"/>
      <c r="E934" s="70"/>
      <c r="F934" s="68"/>
      <c r="G934" s="68"/>
      <c r="H934" s="68"/>
      <c r="I934" s="70"/>
      <c r="J934" s="68"/>
      <c r="K934" s="68"/>
      <c r="L934" s="68"/>
      <c r="M934" s="73"/>
      <c r="N934" s="70"/>
      <c r="O934" s="70"/>
      <c r="P934" s="68"/>
    </row>
    <row r="935" customFormat="false" ht="15" hidden="false" customHeight="false" outlineLevel="0" collapsed="false">
      <c r="A935" s="67"/>
      <c r="B935" s="68"/>
      <c r="C935" s="70"/>
      <c r="D935" s="68"/>
      <c r="E935" s="70"/>
      <c r="F935" s="68"/>
      <c r="G935" s="68"/>
      <c r="H935" s="68"/>
      <c r="I935" s="70"/>
      <c r="J935" s="68"/>
      <c r="K935" s="68"/>
      <c r="L935" s="68"/>
      <c r="M935" s="73"/>
      <c r="N935" s="70"/>
      <c r="O935" s="70"/>
      <c r="P935" s="68"/>
    </row>
    <row r="936" customFormat="false" ht="15" hidden="false" customHeight="false" outlineLevel="0" collapsed="false">
      <c r="A936" s="67"/>
      <c r="B936" s="68"/>
      <c r="C936" s="70"/>
      <c r="D936" s="68"/>
      <c r="E936" s="70"/>
      <c r="F936" s="68"/>
      <c r="G936" s="68"/>
      <c r="H936" s="68"/>
      <c r="I936" s="70"/>
      <c r="J936" s="68"/>
      <c r="K936" s="68"/>
      <c r="L936" s="68"/>
      <c r="M936" s="73"/>
      <c r="N936" s="70"/>
      <c r="O936" s="70"/>
      <c r="P936" s="68"/>
    </row>
    <row r="937" customFormat="false" ht="15" hidden="false" customHeight="false" outlineLevel="0" collapsed="false">
      <c r="A937" s="67"/>
      <c r="B937" s="68"/>
      <c r="C937" s="70"/>
      <c r="D937" s="68"/>
      <c r="E937" s="70"/>
      <c r="F937" s="68"/>
      <c r="G937" s="68"/>
      <c r="H937" s="68"/>
      <c r="I937" s="70"/>
      <c r="J937" s="68"/>
      <c r="K937" s="68"/>
      <c r="L937" s="68"/>
      <c r="M937" s="73"/>
      <c r="N937" s="70"/>
      <c r="O937" s="70"/>
      <c r="P937" s="68"/>
    </row>
    <row r="938" customFormat="false" ht="15" hidden="false" customHeight="false" outlineLevel="0" collapsed="false">
      <c r="A938" s="67"/>
      <c r="B938" s="68"/>
      <c r="C938" s="70"/>
      <c r="D938" s="68"/>
      <c r="E938" s="70"/>
      <c r="F938" s="68"/>
      <c r="G938" s="68"/>
      <c r="H938" s="68"/>
      <c r="I938" s="70"/>
      <c r="J938" s="68"/>
      <c r="K938" s="68"/>
      <c r="L938" s="68"/>
      <c r="M938" s="73"/>
      <c r="N938" s="70"/>
      <c r="O938" s="70"/>
      <c r="P938" s="68"/>
    </row>
    <row r="939" customFormat="false" ht="15" hidden="false" customHeight="false" outlineLevel="0" collapsed="false">
      <c r="A939" s="67"/>
      <c r="B939" s="68"/>
      <c r="C939" s="70"/>
      <c r="D939" s="68"/>
      <c r="E939" s="70"/>
      <c r="F939" s="68"/>
      <c r="G939" s="68"/>
      <c r="H939" s="68"/>
      <c r="I939" s="70"/>
      <c r="J939" s="68"/>
      <c r="K939" s="68"/>
      <c r="L939" s="68"/>
      <c r="M939" s="73"/>
      <c r="N939" s="70"/>
      <c r="O939" s="70"/>
      <c r="P939" s="68"/>
    </row>
    <row r="940" customFormat="false" ht="15" hidden="false" customHeight="false" outlineLevel="0" collapsed="false">
      <c r="A940" s="67"/>
      <c r="B940" s="68"/>
      <c r="C940" s="70"/>
      <c r="D940" s="68"/>
      <c r="E940" s="70"/>
      <c r="F940" s="68"/>
      <c r="G940" s="68"/>
      <c r="H940" s="68"/>
      <c r="I940" s="70"/>
      <c r="J940" s="68"/>
      <c r="K940" s="68"/>
      <c r="L940" s="68"/>
      <c r="M940" s="73"/>
      <c r="N940" s="70"/>
      <c r="O940" s="70"/>
      <c r="P940" s="68"/>
    </row>
    <row r="941" customFormat="false" ht="15" hidden="false" customHeight="false" outlineLevel="0" collapsed="false">
      <c r="A941" s="67"/>
      <c r="B941" s="68"/>
      <c r="C941" s="70"/>
      <c r="D941" s="68"/>
      <c r="E941" s="70"/>
      <c r="F941" s="68"/>
      <c r="G941" s="68"/>
      <c r="H941" s="68"/>
      <c r="I941" s="70"/>
      <c r="J941" s="68"/>
      <c r="K941" s="68"/>
      <c r="L941" s="68"/>
      <c r="M941" s="73"/>
      <c r="N941" s="70"/>
      <c r="O941" s="70"/>
      <c r="P941" s="68"/>
    </row>
    <row r="942" customFormat="false" ht="15" hidden="false" customHeight="false" outlineLevel="0" collapsed="false">
      <c r="A942" s="67"/>
      <c r="B942" s="68"/>
      <c r="C942" s="70"/>
      <c r="D942" s="68"/>
      <c r="E942" s="70"/>
      <c r="F942" s="68"/>
      <c r="G942" s="68"/>
      <c r="H942" s="68"/>
      <c r="I942" s="70"/>
      <c r="J942" s="68"/>
      <c r="K942" s="68"/>
      <c r="L942" s="68"/>
      <c r="M942" s="73"/>
      <c r="N942" s="70"/>
      <c r="O942" s="70"/>
      <c r="P942" s="68"/>
    </row>
    <row r="943" customFormat="false" ht="15" hidden="false" customHeight="false" outlineLevel="0" collapsed="false">
      <c r="A943" s="67"/>
      <c r="B943" s="68"/>
      <c r="C943" s="70"/>
      <c r="D943" s="68"/>
      <c r="E943" s="70"/>
      <c r="F943" s="68"/>
      <c r="G943" s="68"/>
      <c r="H943" s="68"/>
      <c r="I943" s="70"/>
      <c r="J943" s="68"/>
      <c r="K943" s="68"/>
      <c r="L943" s="68"/>
      <c r="M943" s="73"/>
      <c r="N943" s="70"/>
      <c r="O943" s="70"/>
      <c r="P943" s="68"/>
    </row>
    <row r="944" customFormat="false" ht="15" hidden="false" customHeight="false" outlineLevel="0" collapsed="false">
      <c r="A944" s="67"/>
      <c r="B944" s="68"/>
      <c r="C944" s="70"/>
      <c r="D944" s="68"/>
      <c r="E944" s="70"/>
      <c r="F944" s="68"/>
      <c r="G944" s="68"/>
      <c r="H944" s="68"/>
      <c r="I944" s="70"/>
      <c r="J944" s="68"/>
      <c r="K944" s="68"/>
      <c r="L944" s="68"/>
      <c r="M944" s="73"/>
      <c r="N944" s="70"/>
      <c r="O944" s="70"/>
      <c r="P944" s="68"/>
    </row>
    <row r="945" customFormat="false" ht="15" hidden="false" customHeight="false" outlineLevel="0" collapsed="false">
      <c r="A945" s="67"/>
      <c r="B945" s="68"/>
      <c r="C945" s="70"/>
      <c r="D945" s="68"/>
      <c r="E945" s="70"/>
      <c r="F945" s="68"/>
      <c r="G945" s="68"/>
      <c r="H945" s="68"/>
      <c r="I945" s="70"/>
      <c r="J945" s="68"/>
      <c r="K945" s="68"/>
      <c r="L945" s="68"/>
      <c r="M945" s="73"/>
      <c r="N945" s="70"/>
      <c r="O945" s="70"/>
      <c r="P945" s="68"/>
    </row>
    <row r="946" customFormat="false" ht="15" hidden="false" customHeight="false" outlineLevel="0" collapsed="false">
      <c r="A946" s="67"/>
      <c r="B946" s="68"/>
      <c r="C946" s="70"/>
      <c r="D946" s="68"/>
      <c r="E946" s="70"/>
      <c r="F946" s="68"/>
      <c r="G946" s="68"/>
      <c r="H946" s="68"/>
      <c r="I946" s="70"/>
      <c r="J946" s="68"/>
      <c r="K946" s="68"/>
      <c r="L946" s="68"/>
      <c r="M946" s="73"/>
      <c r="N946" s="70"/>
      <c r="O946" s="70"/>
      <c r="P946" s="68"/>
    </row>
    <row r="947" customFormat="false" ht="15" hidden="false" customHeight="false" outlineLevel="0" collapsed="false">
      <c r="A947" s="67"/>
      <c r="B947" s="68"/>
      <c r="C947" s="70"/>
      <c r="D947" s="68"/>
      <c r="E947" s="70"/>
      <c r="F947" s="68"/>
      <c r="G947" s="68"/>
      <c r="H947" s="68"/>
      <c r="I947" s="70"/>
      <c r="J947" s="68"/>
      <c r="K947" s="68"/>
      <c r="L947" s="68"/>
      <c r="M947" s="73"/>
      <c r="N947" s="70"/>
      <c r="O947" s="70"/>
      <c r="P947" s="68"/>
    </row>
    <row r="948" customFormat="false" ht="15" hidden="false" customHeight="false" outlineLevel="0" collapsed="false">
      <c r="A948" s="67"/>
      <c r="B948" s="68"/>
      <c r="C948" s="70"/>
      <c r="D948" s="68"/>
      <c r="E948" s="70"/>
      <c r="F948" s="68"/>
      <c r="G948" s="68"/>
      <c r="H948" s="68"/>
      <c r="I948" s="70"/>
      <c r="J948" s="68"/>
      <c r="K948" s="68"/>
      <c r="L948" s="68"/>
      <c r="M948" s="73"/>
      <c r="N948" s="70"/>
      <c r="O948" s="70"/>
      <c r="P948" s="68"/>
    </row>
    <row r="949" customFormat="false" ht="15" hidden="false" customHeight="false" outlineLevel="0" collapsed="false">
      <c r="A949" s="67"/>
      <c r="B949" s="68"/>
      <c r="C949" s="70"/>
      <c r="D949" s="68"/>
      <c r="E949" s="70"/>
      <c r="F949" s="68"/>
      <c r="G949" s="68"/>
      <c r="H949" s="68"/>
      <c r="I949" s="70"/>
      <c r="J949" s="68"/>
      <c r="K949" s="68"/>
      <c r="L949" s="68"/>
      <c r="M949" s="73"/>
      <c r="N949" s="70"/>
      <c r="O949" s="70"/>
      <c r="P949" s="68"/>
    </row>
    <row r="950" customFormat="false" ht="15" hidden="false" customHeight="false" outlineLevel="0" collapsed="false">
      <c r="A950" s="67"/>
      <c r="B950" s="68"/>
      <c r="C950" s="70"/>
      <c r="D950" s="68"/>
      <c r="E950" s="70"/>
      <c r="F950" s="68"/>
      <c r="G950" s="68"/>
      <c r="H950" s="68"/>
      <c r="I950" s="70"/>
      <c r="J950" s="68"/>
      <c r="K950" s="68"/>
      <c r="L950" s="68"/>
      <c r="M950" s="73"/>
      <c r="N950" s="70"/>
      <c r="O950" s="70"/>
      <c r="P950" s="68"/>
    </row>
    <row r="951" customFormat="false" ht="15" hidden="false" customHeight="false" outlineLevel="0" collapsed="false">
      <c r="A951" s="67"/>
      <c r="B951" s="68"/>
      <c r="C951" s="70"/>
      <c r="D951" s="68"/>
      <c r="E951" s="70"/>
      <c r="F951" s="68"/>
      <c r="G951" s="68"/>
      <c r="H951" s="68"/>
      <c r="I951" s="70"/>
      <c r="J951" s="68"/>
      <c r="K951" s="68"/>
      <c r="L951" s="68"/>
      <c r="M951" s="73"/>
      <c r="N951" s="70"/>
      <c r="O951" s="70"/>
      <c r="P951" s="68"/>
    </row>
    <row r="952" customFormat="false" ht="15" hidden="false" customHeight="false" outlineLevel="0" collapsed="false">
      <c r="A952" s="67"/>
      <c r="B952" s="68"/>
      <c r="C952" s="70"/>
      <c r="D952" s="68"/>
      <c r="E952" s="70"/>
      <c r="F952" s="68"/>
      <c r="G952" s="68"/>
      <c r="H952" s="68"/>
      <c r="I952" s="70"/>
      <c r="J952" s="68"/>
      <c r="K952" s="68"/>
      <c r="L952" s="68"/>
      <c r="M952" s="73"/>
      <c r="N952" s="70"/>
      <c r="O952" s="70"/>
      <c r="P952" s="68"/>
    </row>
    <row r="953" customFormat="false" ht="15" hidden="false" customHeight="false" outlineLevel="0" collapsed="false">
      <c r="A953" s="67"/>
      <c r="B953" s="68"/>
      <c r="C953" s="70"/>
      <c r="D953" s="68"/>
      <c r="E953" s="70"/>
      <c r="F953" s="68"/>
      <c r="G953" s="68"/>
      <c r="H953" s="68"/>
      <c r="I953" s="70"/>
      <c r="J953" s="68"/>
      <c r="K953" s="68"/>
      <c r="L953" s="68"/>
      <c r="M953" s="73"/>
      <c r="N953" s="70"/>
      <c r="O953" s="70"/>
      <c r="P953" s="68"/>
    </row>
    <row r="954" customFormat="false" ht="15" hidden="false" customHeight="false" outlineLevel="0" collapsed="false">
      <c r="A954" s="67"/>
      <c r="B954" s="68"/>
      <c r="C954" s="70"/>
      <c r="D954" s="68"/>
      <c r="E954" s="70"/>
      <c r="F954" s="68"/>
      <c r="G954" s="68"/>
      <c r="H954" s="68"/>
      <c r="I954" s="70"/>
      <c r="J954" s="68"/>
      <c r="K954" s="68"/>
      <c r="L954" s="68"/>
      <c r="M954" s="73"/>
      <c r="N954" s="70"/>
      <c r="O954" s="70"/>
      <c r="P954" s="68"/>
    </row>
    <row r="955" customFormat="false" ht="15" hidden="false" customHeight="false" outlineLevel="0" collapsed="false">
      <c r="A955" s="67"/>
      <c r="B955" s="68"/>
      <c r="C955" s="70"/>
      <c r="D955" s="68"/>
      <c r="E955" s="70"/>
      <c r="F955" s="68"/>
      <c r="G955" s="68"/>
      <c r="H955" s="68"/>
      <c r="I955" s="70"/>
      <c r="J955" s="68"/>
      <c r="K955" s="68"/>
      <c r="L955" s="68"/>
      <c r="M955" s="73"/>
      <c r="N955" s="70"/>
      <c r="O955" s="70"/>
      <c r="P955" s="68"/>
    </row>
    <row r="956" customFormat="false" ht="15" hidden="false" customHeight="false" outlineLevel="0" collapsed="false">
      <c r="A956" s="67"/>
      <c r="B956" s="68"/>
      <c r="C956" s="70"/>
      <c r="D956" s="68"/>
      <c r="E956" s="70"/>
      <c r="F956" s="68"/>
      <c r="G956" s="68"/>
      <c r="H956" s="68"/>
      <c r="I956" s="70"/>
      <c r="J956" s="68"/>
      <c r="K956" s="68"/>
      <c r="L956" s="68"/>
      <c r="M956" s="73"/>
      <c r="N956" s="70"/>
      <c r="O956" s="70"/>
      <c r="P956" s="68"/>
    </row>
    <row r="957" customFormat="false" ht="15" hidden="false" customHeight="false" outlineLevel="0" collapsed="false">
      <c r="A957" s="67"/>
      <c r="B957" s="68"/>
      <c r="C957" s="70"/>
      <c r="D957" s="68"/>
      <c r="E957" s="70"/>
      <c r="F957" s="68"/>
      <c r="G957" s="68"/>
      <c r="H957" s="68"/>
      <c r="I957" s="70"/>
      <c r="J957" s="68"/>
      <c r="K957" s="68"/>
      <c r="L957" s="68"/>
      <c r="M957" s="73"/>
      <c r="N957" s="70"/>
      <c r="O957" s="70"/>
      <c r="P957" s="68"/>
    </row>
    <row r="958" customFormat="false" ht="15" hidden="false" customHeight="false" outlineLevel="0" collapsed="false">
      <c r="A958" s="67"/>
      <c r="B958" s="68"/>
      <c r="C958" s="70"/>
      <c r="D958" s="68"/>
      <c r="E958" s="70"/>
      <c r="F958" s="68"/>
      <c r="G958" s="68"/>
      <c r="H958" s="68"/>
      <c r="I958" s="70"/>
      <c r="J958" s="68"/>
      <c r="K958" s="68"/>
      <c r="L958" s="68"/>
      <c r="M958" s="73"/>
      <c r="N958" s="70"/>
      <c r="O958" s="70"/>
      <c r="P958" s="68"/>
    </row>
    <row r="959" customFormat="false" ht="15" hidden="false" customHeight="false" outlineLevel="0" collapsed="false">
      <c r="A959" s="67"/>
      <c r="B959" s="68"/>
      <c r="C959" s="70"/>
      <c r="D959" s="68"/>
      <c r="E959" s="70"/>
      <c r="F959" s="68"/>
      <c r="G959" s="68"/>
      <c r="H959" s="68"/>
      <c r="I959" s="70"/>
      <c r="J959" s="68"/>
      <c r="K959" s="68"/>
      <c r="L959" s="68"/>
      <c r="M959" s="73"/>
      <c r="N959" s="70"/>
      <c r="O959" s="70"/>
      <c r="P959" s="68"/>
    </row>
    <row r="960" customFormat="false" ht="15" hidden="false" customHeight="false" outlineLevel="0" collapsed="false">
      <c r="A960" s="67"/>
      <c r="B960" s="68"/>
      <c r="C960" s="70"/>
      <c r="D960" s="68"/>
      <c r="E960" s="70"/>
      <c r="F960" s="68"/>
      <c r="G960" s="68"/>
      <c r="H960" s="68"/>
      <c r="I960" s="70"/>
      <c r="J960" s="68"/>
      <c r="K960" s="68"/>
      <c r="L960" s="68"/>
      <c r="M960" s="73"/>
      <c r="N960" s="70"/>
      <c r="O960" s="70"/>
      <c r="P960" s="68"/>
    </row>
    <row r="961" customFormat="false" ht="15" hidden="false" customHeight="false" outlineLevel="0" collapsed="false">
      <c r="A961" s="67"/>
      <c r="B961" s="68"/>
      <c r="C961" s="70"/>
      <c r="D961" s="68"/>
      <c r="E961" s="70"/>
      <c r="F961" s="68"/>
      <c r="G961" s="68"/>
      <c r="H961" s="68"/>
      <c r="I961" s="70"/>
      <c r="J961" s="68"/>
      <c r="K961" s="68"/>
      <c r="L961" s="68"/>
      <c r="M961" s="73"/>
      <c r="N961" s="70"/>
      <c r="O961" s="70"/>
      <c r="P961" s="68"/>
    </row>
    <row r="962" customFormat="false" ht="15" hidden="false" customHeight="false" outlineLevel="0" collapsed="false">
      <c r="A962" s="67"/>
      <c r="B962" s="68"/>
      <c r="C962" s="70"/>
      <c r="D962" s="68"/>
      <c r="E962" s="70"/>
      <c r="F962" s="68"/>
      <c r="G962" s="68"/>
      <c r="H962" s="68"/>
      <c r="I962" s="70"/>
      <c r="J962" s="68"/>
      <c r="K962" s="68"/>
      <c r="L962" s="68"/>
      <c r="M962" s="73"/>
      <c r="N962" s="70"/>
      <c r="O962" s="70"/>
      <c r="P962" s="68"/>
    </row>
    <row r="963" customFormat="false" ht="15" hidden="false" customHeight="false" outlineLevel="0" collapsed="false">
      <c r="A963" s="67"/>
      <c r="B963" s="68"/>
      <c r="C963" s="70"/>
      <c r="D963" s="68"/>
      <c r="E963" s="70"/>
      <c r="F963" s="68"/>
      <c r="G963" s="68"/>
      <c r="H963" s="68"/>
      <c r="I963" s="70"/>
      <c r="J963" s="68"/>
      <c r="K963" s="68"/>
      <c r="L963" s="68"/>
      <c r="M963" s="73"/>
      <c r="N963" s="70"/>
      <c r="O963" s="70"/>
      <c r="P963" s="68"/>
    </row>
    <row r="964" customFormat="false" ht="15" hidden="false" customHeight="false" outlineLevel="0" collapsed="false">
      <c r="A964" s="67"/>
      <c r="B964" s="68"/>
      <c r="C964" s="70"/>
      <c r="D964" s="68"/>
      <c r="E964" s="70"/>
      <c r="F964" s="68"/>
      <c r="G964" s="68"/>
      <c r="H964" s="68"/>
      <c r="I964" s="70"/>
      <c r="J964" s="68"/>
      <c r="K964" s="68"/>
      <c r="L964" s="68"/>
      <c r="M964" s="73"/>
      <c r="N964" s="70"/>
      <c r="O964" s="70"/>
      <c r="P964" s="68"/>
    </row>
    <row r="965" customFormat="false" ht="15" hidden="false" customHeight="false" outlineLevel="0" collapsed="false">
      <c r="A965" s="67"/>
      <c r="B965" s="68"/>
      <c r="C965" s="70"/>
      <c r="D965" s="68"/>
      <c r="E965" s="70"/>
      <c r="F965" s="68"/>
      <c r="G965" s="68"/>
      <c r="H965" s="68"/>
      <c r="I965" s="70"/>
      <c r="J965" s="68"/>
      <c r="K965" s="68"/>
      <c r="L965" s="68"/>
      <c r="M965" s="73"/>
      <c r="N965" s="70"/>
      <c r="O965" s="70"/>
      <c r="P965" s="68"/>
    </row>
    <row r="966" customFormat="false" ht="15" hidden="false" customHeight="false" outlineLevel="0" collapsed="false">
      <c r="A966" s="67"/>
      <c r="B966" s="68"/>
      <c r="C966" s="70"/>
      <c r="D966" s="68"/>
      <c r="E966" s="70"/>
      <c r="F966" s="68"/>
      <c r="G966" s="68"/>
      <c r="H966" s="68"/>
      <c r="I966" s="70"/>
      <c r="J966" s="68"/>
      <c r="K966" s="68"/>
      <c r="L966" s="68"/>
      <c r="M966" s="73"/>
      <c r="N966" s="70"/>
      <c r="O966" s="70"/>
      <c r="P966" s="68"/>
    </row>
    <row r="967" customFormat="false" ht="15" hidden="false" customHeight="false" outlineLevel="0" collapsed="false">
      <c r="A967" s="67"/>
      <c r="B967" s="68"/>
      <c r="C967" s="70"/>
      <c r="D967" s="68"/>
      <c r="E967" s="70"/>
      <c r="F967" s="68"/>
      <c r="G967" s="68"/>
      <c r="H967" s="68"/>
      <c r="I967" s="70"/>
      <c r="J967" s="68"/>
      <c r="K967" s="68"/>
      <c r="L967" s="68"/>
      <c r="M967" s="73"/>
      <c r="N967" s="70"/>
      <c r="O967" s="70"/>
      <c r="P967" s="68"/>
    </row>
    <row r="968" customFormat="false" ht="15" hidden="false" customHeight="false" outlineLevel="0" collapsed="false">
      <c r="A968" s="67"/>
      <c r="B968" s="68"/>
      <c r="C968" s="70"/>
      <c r="D968" s="68"/>
      <c r="E968" s="70"/>
      <c r="F968" s="68"/>
      <c r="G968" s="68"/>
      <c r="H968" s="68"/>
      <c r="I968" s="70"/>
      <c r="J968" s="68"/>
      <c r="K968" s="68"/>
      <c r="L968" s="68"/>
      <c r="M968" s="73"/>
      <c r="N968" s="70"/>
      <c r="O968" s="70"/>
      <c r="P968" s="68"/>
    </row>
    <row r="969" customFormat="false" ht="15" hidden="false" customHeight="false" outlineLevel="0" collapsed="false">
      <c r="A969" s="67"/>
      <c r="B969" s="68"/>
      <c r="C969" s="70"/>
      <c r="D969" s="68"/>
      <c r="E969" s="70"/>
      <c r="F969" s="68"/>
      <c r="G969" s="68"/>
      <c r="H969" s="68"/>
      <c r="I969" s="70"/>
      <c r="J969" s="68"/>
      <c r="K969" s="68"/>
      <c r="L969" s="68"/>
      <c r="M969" s="73"/>
      <c r="N969" s="70"/>
      <c r="O969" s="70"/>
      <c r="P969" s="68"/>
    </row>
    <row r="970" customFormat="false" ht="15" hidden="false" customHeight="false" outlineLevel="0" collapsed="false">
      <c r="A970" s="67"/>
      <c r="B970" s="68"/>
      <c r="C970" s="70"/>
      <c r="D970" s="68"/>
      <c r="E970" s="70"/>
      <c r="F970" s="68"/>
      <c r="G970" s="68"/>
      <c r="H970" s="68"/>
      <c r="I970" s="70"/>
      <c r="J970" s="68"/>
      <c r="K970" s="68"/>
      <c r="L970" s="68"/>
      <c r="M970" s="73"/>
      <c r="N970" s="70"/>
      <c r="O970" s="70"/>
      <c r="P970" s="68"/>
    </row>
    <row r="971" customFormat="false" ht="15" hidden="false" customHeight="false" outlineLevel="0" collapsed="false">
      <c r="A971" s="67"/>
      <c r="B971" s="68"/>
      <c r="C971" s="70"/>
      <c r="D971" s="68"/>
      <c r="E971" s="70"/>
      <c r="F971" s="68"/>
      <c r="G971" s="68"/>
      <c r="H971" s="68"/>
      <c r="I971" s="70"/>
      <c r="J971" s="68"/>
      <c r="K971" s="68"/>
      <c r="L971" s="68"/>
      <c r="M971" s="73"/>
      <c r="N971" s="70"/>
      <c r="O971" s="70"/>
      <c r="P971" s="68"/>
    </row>
    <row r="972" customFormat="false" ht="15" hidden="false" customHeight="false" outlineLevel="0" collapsed="false">
      <c r="A972" s="67"/>
      <c r="B972" s="68"/>
      <c r="C972" s="70"/>
      <c r="D972" s="68"/>
      <c r="E972" s="70"/>
      <c r="F972" s="68"/>
      <c r="G972" s="68"/>
      <c r="H972" s="68"/>
      <c r="I972" s="70"/>
      <c r="J972" s="68"/>
      <c r="K972" s="68"/>
      <c r="L972" s="68"/>
      <c r="M972" s="73"/>
      <c r="N972" s="70"/>
      <c r="O972" s="70"/>
      <c r="P972" s="68"/>
    </row>
    <row r="973" customFormat="false" ht="15" hidden="false" customHeight="false" outlineLevel="0" collapsed="false">
      <c r="A973" s="67"/>
      <c r="B973" s="68"/>
      <c r="C973" s="70"/>
      <c r="D973" s="68"/>
      <c r="E973" s="70"/>
      <c r="F973" s="68"/>
      <c r="G973" s="68"/>
      <c r="H973" s="68"/>
      <c r="I973" s="70"/>
      <c r="J973" s="68"/>
      <c r="K973" s="68"/>
      <c r="L973" s="68"/>
      <c r="M973" s="73"/>
      <c r="N973" s="70"/>
      <c r="O973" s="70"/>
      <c r="P973" s="68"/>
    </row>
    <row r="974" customFormat="false" ht="15" hidden="false" customHeight="false" outlineLevel="0" collapsed="false">
      <c r="A974" s="67"/>
      <c r="B974" s="68"/>
      <c r="C974" s="70"/>
      <c r="D974" s="68"/>
      <c r="E974" s="70"/>
      <c r="F974" s="68"/>
      <c r="G974" s="68"/>
      <c r="H974" s="68"/>
      <c r="I974" s="70"/>
      <c r="J974" s="68"/>
      <c r="K974" s="68"/>
      <c r="L974" s="68"/>
      <c r="M974" s="73"/>
      <c r="N974" s="70"/>
      <c r="O974" s="70"/>
      <c r="P974" s="68"/>
    </row>
    <row r="975" customFormat="false" ht="15" hidden="false" customHeight="false" outlineLevel="0" collapsed="false">
      <c r="A975" s="67"/>
      <c r="B975" s="68"/>
      <c r="C975" s="70"/>
      <c r="D975" s="68"/>
      <c r="E975" s="70"/>
      <c r="F975" s="68"/>
      <c r="G975" s="68"/>
      <c r="H975" s="68"/>
      <c r="I975" s="70"/>
      <c r="J975" s="68"/>
      <c r="K975" s="68"/>
      <c r="L975" s="68"/>
      <c r="M975" s="73"/>
      <c r="N975" s="70"/>
      <c r="O975" s="70"/>
      <c r="P975" s="68"/>
    </row>
    <row r="976" customFormat="false" ht="15" hidden="false" customHeight="false" outlineLevel="0" collapsed="false">
      <c r="A976" s="67"/>
      <c r="B976" s="68"/>
      <c r="C976" s="70"/>
      <c r="D976" s="68"/>
      <c r="E976" s="70"/>
      <c r="F976" s="68"/>
      <c r="G976" s="68"/>
      <c r="H976" s="68"/>
      <c r="I976" s="70"/>
      <c r="J976" s="68"/>
      <c r="K976" s="68"/>
      <c r="L976" s="68"/>
      <c r="M976" s="73"/>
      <c r="N976" s="70"/>
      <c r="O976" s="70"/>
      <c r="P976" s="68"/>
    </row>
    <row r="977" customFormat="false" ht="15" hidden="false" customHeight="false" outlineLevel="0" collapsed="false">
      <c r="A977" s="67"/>
      <c r="B977" s="68"/>
      <c r="C977" s="70"/>
      <c r="D977" s="68"/>
      <c r="E977" s="70"/>
      <c r="F977" s="68"/>
      <c r="G977" s="68"/>
      <c r="H977" s="68"/>
      <c r="I977" s="70"/>
      <c r="J977" s="68"/>
      <c r="K977" s="68"/>
      <c r="L977" s="68"/>
      <c r="M977" s="73"/>
      <c r="N977" s="70"/>
      <c r="O977" s="70"/>
      <c r="P977" s="68"/>
    </row>
    <row r="978" customFormat="false" ht="15" hidden="false" customHeight="false" outlineLevel="0" collapsed="false">
      <c r="A978" s="67"/>
      <c r="B978" s="68"/>
      <c r="C978" s="70"/>
      <c r="D978" s="68"/>
      <c r="E978" s="70"/>
      <c r="F978" s="68"/>
      <c r="G978" s="68"/>
      <c r="H978" s="68"/>
      <c r="I978" s="70"/>
      <c r="J978" s="68"/>
      <c r="K978" s="68"/>
      <c r="L978" s="68"/>
      <c r="M978" s="73"/>
      <c r="N978" s="70"/>
      <c r="O978" s="70"/>
      <c r="P978" s="68"/>
    </row>
    <row r="979" customFormat="false" ht="15" hidden="false" customHeight="false" outlineLevel="0" collapsed="false">
      <c r="A979" s="67"/>
      <c r="B979" s="68"/>
      <c r="C979" s="70"/>
      <c r="D979" s="68"/>
      <c r="E979" s="70"/>
      <c r="F979" s="68"/>
      <c r="G979" s="68"/>
      <c r="H979" s="68"/>
      <c r="I979" s="70"/>
      <c r="J979" s="68"/>
      <c r="K979" s="68"/>
      <c r="L979" s="68"/>
      <c r="M979" s="73"/>
      <c r="N979" s="70"/>
      <c r="O979" s="70"/>
      <c r="P979" s="68"/>
    </row>
    <row r="980" customFormat="false" ht="15" hidden="false" customHeight="false" outlineLevel="0" collapsed="false">
      <c r="A980" s="67"/>
      <c r="B980" s="68"/>
      <c r="C980" s="70"/>
      <c r="D980" s="68"/>
      <c r="E980" s="70"/>
      <c r="F980" s="68"/>
      <c r="G980" s="68"/>
      <c r="H980" s="68"/>
      <c r="I980" s="70"/>
      <c r="J980" s="68"/>
      <c r="K980" s="68"/>
      <c r="L980" s="68"/>
      <c r="M980" s="73"/>
      <c r="N980" s="70"/>
      <c r="O980" s="70"/>
      <c r="P980" s="68"/>
    </row>
    <row r="981" customFormat="false" ht="15" hidden="false" customHeight="false" outlineLevel="0" collapsed="false">
      <c r="A981" s="67"/>
      <c r="B981" s="68"/>
      <c r="C981" s="70"/>
      <c r="D981" s="68"/>
      <c r="E981" s="70"/>
      <c r="F981" s="68"/>
      <c r="G981" s="68"/>
      <c r="H981" s="68"/>
      <c r="I981" s="70"/>
      <c r="J981" s="68"/>
      <c r="K981" s="68"/>
      <c r="L981" s="68"/>
      <c r="M981" s="73"/>
      <c r="N981" s="70"/>
      <c r="O981" s="70"/>
      <c r="P981" s="68"/>
    </row>
    <row r="982" customFormat="false" ht="15" hidden="false" customHeight="false" outlineLevel="0" collapsed="false">
      <c r="A982" s="67"/>
      <c r="B982" s="68"/>
      <c r="C982" s="70"/>
      <c r="D982" s="68"/>
      <c r="E982" s="70"/>
      <c r="F982" s="68"/>
      <c r="G982" s="68"/>
      <c r="H982" s="68"/>
      <c r="I982" s="70"/>
      <c r="J982" s="68"/>
      <c r="K982" s="68"/>
      <c r="L982" s="68"/>
      <c r="M982" s="73"/>
      <c r="N982" s="70"/>
      <c r="O982" s="70"/>
      <c r="P982" s="68"/>
    </row>
    <row r="983" customFormat="false" ht="15" hidden="false" customHeight="false" outlineLevel="0" collapsed="false">
      <c r="A983" s="67"/>
      <c r="B983" s="68"/>
      <c r="C983" s="70"/>
      <c r="D983" s="68"/>
      <c r="E983" s="70"/>
      <c r="F983" s="68"/>
      <c r="G983" s="68"/>
      <c r="H983" s="68"/>
      <c r="I983" s="70"/>
      <c r="J983" s="68"/>
      <c r="K983" s="68"/>
      <c r="L983" s="68"/>
      <c r="M983" s="73"/>
      <c r="N983" s="70"/>
      <c r="O983" s="70"/>
      <c r="P983" s="68"/>
    </row>
    <row r="984" customFormat="false" ht="15" hidden="false" customHeight="false" outlineLevel="0" collapsed="false">
      <c r="A984" s="67"/>
      <c r="B984" s="68"/>
      <c r="C984" s="70"/>
      <c r="D984" s="68"/>
      <c r="E984" s="70"/>
      <c r="F984" s="68"/>
      <c r="G984" s="68"/>
      <c r="H984" s="68"/>
      <c r="I984" s="70"/>
      <c r="J984" s="68"/>
      <c r="K984" s="68"/>
      <c r="L984" s="68"/>
      <c r="M984" s="73"/>
      <c r="N984" s="70"/>
      <c r="O984" s="70"/>
      <c r="P984" s="68"/>
    </row>
    <row r="985" customFormat="false" ht="15" hidden="false" customHeight="false" outlineLevel="0" collapsed="false">
      <c r="A985" s="67"/>
      <c r="B985" s="68"/>
      <c r="C985" s="70"/>
      <c r="D985" s="68"/>
      <c r="E985" s="70"/>
      <c r="F985" s="68"/>
      <c r="G985" s="68"/>
      <c r="H985" s="68"/>
      <c r="I985" s="70"/>
      <c r="J985" s="68"/>
      <c r="K985" s="68"/>
      <c r="L985" s="68"/>
      <c r="M985" s="73"/>
      <c r="N985" s="70"/>
      <c r="O985" s="70"/>
      <c r="P985" s="68"/>
    </row>
    <row r="986" customFormat="false" ht="15" hidden="false" customHeight="false" outlineLevel="0" collapsed="false">
      <c r="A986" s="67"/>
      <c r="B986" s="68"/>
      <c r="C986" s="70"/>
      <c r="D986" s="68"/>
      <c r="E986" s="70"/>
      <c r="F986" s="68"/>
      <c r="G986" s="68"/>
      <c r="H986" s="68"/>
      <c r="I986" s="70"/>
      <c r="J986" s="68"/>
      <c r="K986" s="68"/>
      <c r="L986" s="68"/>
      <c r="M986" s="73"/>
      <c r="N986" s="70"/>
      <c r="O986" s="70"/>
      <c r="P986" s="68"/>
    </row>
    <row r="987" customFormat="false" ht="15" hidden="false" customHeight="false" outlineLevel="0" collapsed="false">
      <c r="A987" s="67"/>
      <c r="B987" s="68"/>
      <c r="C987" s="70"/>
      <c r="D987" s="68"/>
      <c r="E987" s="70"/>
      <c r="F987" s="68"/>
      <c r="G987" s="68"/>
      <c r="H987" s="68"/>
      <c r="I987" s="70"/>
      <c r="J987" s="68"/>
      <c r="K987" s="68"/>
      <c r="L987" s="68"/>
      <c r="M987" s="73"/>
      <c r="N987" s="70"/>
      <c r="O987" s="70"/>
      <c r="P987" s="68"/>
    </row>
    <row r="988" customFormat="false" ht="15" hidden="false" customHeight="false" outlineLevel="0" collapsed="false">
      <c r="A988" s="67"/>
      <c r="B988" s="68"/>
      <c r="C988" s="70"/>
      <c r="D988" s="68"/>
      <c r="E988" s="70"/>
      <c r="F988" s="68"/>
      <c r="G988" s="68"/>
      <c r="H988" s="68"/>
      <c r="I988" s="70"/>
      <c r="J988" s="68"/>
      <c r="K988" s="68"/>
      <c r="L988" s="68"/>
      <c r="M988" s="73"/>
      <c r="N988" s="70"/>
      <c r="O988" s="70"/>
      <c r="P988" s="68"/>
    </row>
    <row r="989" customFormat="false" ht="15" hidden="false" customHeight="false" outlineLevel="0" collapsed="false">
      <c r="A989" s="67"/>
      <c r="B989" s="68"/>
      <c r="C989" s="70"/>
      <c r="D989" s="68"/>
      <c r="E989" s="70"/>
      <c r="F989" s="68"/>
      <c r="G989" s="68"/>
      <c r="H989" s="68"/>
      <c r="I989" s="70"/>
      <c r="J989" s="68"/>
      <c r="K989" s="68"/>
      <c r="L989" s="68"/>
      <c r="M989" s="73"/>
      <c r="N989" s="70"/>
      <c r="O989" s="70"/>
      <c r="P989" s="68"/>
    </row>
    <row r="990" customFormat="false" ht="15" hidden="false" customHeight="false" outlineLevel="0" collapsed="false">
      <c r="A990" s="67"/>
      <c r="B990" s="68"/>
      <c r="C990" s="70"/>
      <c r="D990" s="68"/>
      <c r="E990" s="70"/>
      <c r="F990" s="68"/>
      <c r="G990" s="68"/>
      <c r="H990" s="68"/>
      <c r="I990" s="70"/>
      <c r="J990" s="68"/>
      <c r="K990" s="68"/>
      <c r="L990" s="68"/>
      <c r="M990" s="73"/>
      <c r="N990" s="70"/>
      <c r="O990" s="70"/>
      <c r="P990" s="68"/>
    </row>
    <row r="991" customFormat="false" ht="15" hidden="false" customHeight="false" outlineLevel="0" collapsed="false">
      <c r="A991" s="67"/>
      <c r="B991" s="68"/>
      <c r="C991" s="70"/>
      <c r="D991" s="68"/>
      <c r="E991" s="70"/>
      <c r="F991" s="68"/>
      <c r="G991" s="68"/>
      <c r="H991" s="68"/>
      <c r="I991" s="70"/>
      <c r="J991" s="68"/>
      <c r="K991" s="68"/>
      <c r="L991" s="68"/>
      <c r="M991" s="73"/>
      <c r="N991" s="70"/>
      <c r="O991" s="70"/>
      <c r="P991" s="68"/>
    </row>
    <row r="992" customFormat="false" ht="15" hidden="false" customHeight="false" outlineLevel="0" collapsed="false">
      <c r="A992" s="67"/>
      <c r="B992" s="68"/>
      <c r="C992" s="70"/>
      <c r="D992" s="68"/>
      <c r="E992" s="70"/>
      <c r="F992" s="68"/>
      <c r="G992" s="68"/>
      <c r="H992" s="68"/>
      <c r="I992" s="70"/>
      <c r="J992" s="68"/>
      <c r="K992" s="68"/>
      <c r="L992" s="68"/>
      <c r="M992" s="73"/>
      <c r="N992" s="70"/>
      <c r="O992" s="70"/>
      <c r="P992" s="68"/>
    </row>
    <row r="993" customFormat="false" ht="15" hidden="false" customHeight="false" outlineLevel="0" collapsed="false">
      <c r="A993" s="67"/>
      <c r="B993" s="68"/>
      <c r="C993" s="70"/>
      <c r="D993" s="68"/>
      <c r="E993" s="70"/>
      <c r="F993" s="68"/>
      <c r="G993" s="68"/>
      <c r="H993" s="68"/>
      <c r="I993" s="70"/>
      <c r="J993" s="68"/>
      <c r="K993" s="68"/>
      <c r="L993" s="68"/>
      <c r="M993" s="73"/>
      <c r="N993" s="70"/>
      <c r="O993" s="70"/>
      <c r="P993" s="68"/>
    </row>
    <row r="994" customFormat="false" ht="15" hidden="false" customHeight="false" outlineLevel="0" collapsed="false">
      <c r="A994" s="67"/>
      <c r="B994" s="68"/>
      <c r="C994" s="70"/>
      <c r="D994" s="68"/>
      <c r="E994" s="70"/>
      <c r="F994" s="68"/>
      <c r="G994" s="68"/>
      <c r="H994" s="68"/>
      <c r="I994" s="70"/>
      <c r="J994" s="68"/>
      <c r="K994" s="68"/>
      <c r="L994" s="68"/>
      <c r="M994" s="73"/>
      <c r="N994" s="70"/>
      <c r="O994" s="70"/>
      <c r="P994" s="68"/>
    </row>
    <row r="995" customFormat="false" ht="15" hidden="false" customHeight="false" outlineLevel="0" collapsed="false">
      <c r="A995" s="67"/>
      <c r="B995" s="68"/>
      <c r="C995" s="70"/>
      <c r="D995" s="68"/>
      <c r="E995" s="70"/>
      <c r="F995" s="68"/>
      <c r="G995" s="68"/>
      <c r="H995" s="68"/>
      <c r="I995" s="70"/>
      <c r="J995" s="68"/>
      <c r="K995" s="68"/>
      <c r="L995" s="68"/>
      <c r="M995" s="73"/>
      <c r="N995" s="70"/>
      <c r="O995" s="70"/>
      <c r="P995" s="68"/>
    </row>
    <row r="996" customFormat="false" ht="15" hidden="false" customHeight="false" outlineLevel="0" collapsed="false">
      <c r="A996" s="67"/>
      <c r="B996" s="68"/>
      <c r="C996" s="70"/>
      <c r="D996" s="68"/>
      <c r="E996" s="70"/>
      <c r="F996" s="68"/>
      <c r="G996" s="68"/>
      <c r="H996" s="68"/>
      <c r="I996" s="70"/>
      <c r="J996" s="68"/>
      <c r="K996" s="68"/>
      <c r="L996" s="68"/>
      <c r="M996" s="73"/>
      <c r="N996" s="70"/>
      <c r="O996" s="70"/>
      <c r="P996" s="68"/>
    </row>
    <row r="997" customFormat="false" ht="15" hidden="false" customHeight="false" outlineLevel="0" collapsed="false">
      <c r="A997" s="67"/>
      <c r="B997" s="68"/>
      <c r="C997" s="70"/>
      <c r="D997" s="68"/>
      <c r="E997" s="70"/>
      <c r="F997" s="68"/>
      <c r="G997" s="68"/>
      <c r="H997" s="68"/>
      <c r="I997" s="70"/>
      <c r="J997" s="68"/>
      <c r="K997" s="68"/>
      <c r="L997" s="68"/>
      <c r="M997" s="73"/>
      <c r="N997" s="70"/>
      <c r="O997" s="70"/>
      <c r="P997" s="68"/>
    </row>
    <row r="998" customFormat="false" ht="15" hidden="false" customHeight="false" outlineLevel="0" collapsed="false">
      <c r="A998" s="67"/>
      <c r="B998" s="68"/>
      <c r="C998" s="70"/>
      <c r="D998" s="68"/>
      <c r="E998" s="70"/>
      <c r="F998" s="68"/>
      <c r="G998" s="68"/>
      <c r="H998" s="68"/>
      <c r="I998" s="70"/>
      <c r="J998" s="68"/>
      <c r="K998" s="68"/>
      <c r="L998" s="68"/>
      <c r="M998" s="73"/>
      <c r="N998" s="70"/>
      <c r="O998" s="70"/>
      <c r="P998" s="68"/>
    </row>
    <row r="999" customFormat="false" ht="15" hidden="false" customHeight="false" outlineLevel="0" collapsed="false">
      <c r="A999" s="67"/>
      <c r="B999" s="68"/>
      <c r="C999" s="70"/>
      <c r="D999" s="68"/>
      <c r="E999" s="70"/>
      <c r="F999" s="68"/>
      <c r="G999" s="68"/>
      <c r="H999" s="68"/>
      <c r="I999" s="70"/>
      <c r="J999" s="68"/>
      <c r="K999" s="68"/>
      <c r="L999" s="68"/>
      <c r="M999" s="73"/>
      <c r="N999" s="70"/>
      <c r="O999" s="70"/>
      <c r="P999" s="68"/>
    </row>
    <row r="1000" customFormat="false" ht="15" hidden="false" customHeight="false" outlineLevel="0" collapsed="false">
      <c r="A1000" s="67"/>
      <c r="B1000" s="68"/>
      <c r="C1000" s="70"/>
      <c r="D1000" s="68"/>
      <c r="E1000" s="70"/>
      <c r="F1000" s="68"/>
      <c r="G1000" s="68"/>
      <c r="H1000" s="68"/>
      <c r="I1000" s="70"/>
      <c r="J1000" s="68"/>
      <c r="K1000" s="68"/>
      <c r="L1000" s="68"/>
      <c r="M1000" s="73"/>
      <c r="N1000" s="70"/>
      <c r="O1000" s="70"/>
      <c r="P1000" s="68"/>
    </row>
    <row r="1001" customFormat="false" ht="15" hidden="false" customHeight="false" outlineLevel="0" collapsed="false">
      <c r="A1001" s="67"/>
      <c r="B1001" s="68"/>
      <c r="C1001" s="70"/>
      <c r="D1001" s="68"/>
      <c r="E1001" s="70"/>
      <c r="F1001" s="68"/>
      <c r="G1001" s="68"/>
      <c r="H1001" s="68"/>
      <c r="I1001" s="70"/>
      <c r="J1001" s="68"/>
      <c r="K1001" s="68"/>
      <c r="L1001" s="68"/>
      <c r="M1001" s="73"/>
      <c r="N1001" s="70"/>
      <c r="O1001" s="70"/>
      <c r="P1001" s="68"/>
    </row>
    <row r="1002" customFormat="false" ht="15" hidden="false" customHeight="false" outlineLevel="0" collapsed="false">
      <c r="A1002" s="67"/>
      <c r="B1002" s="68"/>
      <c r="C1002" s="70"/>
      <c r="D1002" s="68"/>
      <c r="E1002" s="70"/>
      <c r="F1002" s="68"/>
      <c r="G1002" s="68"/>
      <c r="H1002" s="68"/>
      <c r="I1002" s="70"/>
      <c r="J1002" s="68"/>
      <c r="K1002" s="68"/>
      <c r="L1002" s="68"/>
      <c r="M1002" s="73"/>
      <c r="N1002" s="70"/>
      <c r="O1002" s="70"/>
      <c r="P1002" s="68"/>
    </row>
    <row r="1003" customFormat="false" ht="15" hidden="false" customHeight="false" outlineLevel="0" collapsed="false">
      <c r="A1003" s="67"/>
      <c r="B1003" s="68"/>
      <c r="C1003" s="70"/>
      <c r="D1003" s="68"/>
      <c r="E1003" s="70"/>
      <c r="F1003" s="68"/>
      <c r="G1003" s="68"/>
      <c r="H1003" s="68"/>
      <c r="I1003" s="70"/>
      <c r="J1003" s="68"/>
      <c r="K1003" s="68"/>
      <c r="L1003" s="68"/>
      <c r="M1003" s="73"/>
      <c r="N1003" s="70"/>
      <c r="O1003" s="70"/>
      <c r="P1003" s="68"/>
    </row>
    <row r="1004" customFormat="false" ht="15" hidden="false" customHeight="false" outlineLevel="0" collapsed="false">
      <c r="A1004" s="67"/>
      <c r="B1004" s="68"/>
      <c r="C1004" s="70"/>
      <c r="D1004" s="68"/>
      <c r="E1004" s="70"/>
      <c r="F1004" s="68"/>
      <c r="G1004" s="68"/>
      <c r="H1004" s="68"/>
      <c r="I1004" s="70"/>
      <c r="J1004" s="68"/>
      <c r="K1004" s="68"/>
      <c r="L1004" s="68"/>
      <c r="M1004" s="73"/>
      <c r="N1004" s="70"/>
      <c r="O1004" s="70"/>
      <c r="P1004" s="68"/>
    </row>
    <row r="1005" customFormat="false" ht="15" hidden="false" customHeight="false" outlineLevel="0" collapsed="false">
      <c r="A1005" s="67"/>
      <c r="B1005" s="68"/>
      <c r="C1005" s="70"/>
      <c r="D1005" s="68"/>
      <c r="E1005" s="70"/>
      <c r="F1005" s="68"/>
      <c r="G1005" s="68"/>
      <c r="H1005" s="68"/>
      <c r="I1005" s="70"/>
      <c r="J1005" s="68"/>
      <c r="K1005" s="68"/>
      <c r="L1005" s="68"/>
      <c r="M1005" s="73"/>
      <c r="N1005" s="70"/>
      <c r="O1005" s="70"/>
      <c r="P1005" s="68"/>
    </row>
    <row r="1006" customFormat="false" ht="15" hidden="false" customHeight="false" outlineLevel="0" collapsed="false">
      <c r="A1006" s="67"/>
      <c r="B1006" s="68"/>
      <c r="C1006" s="70"/>
      <c r="D1006" s="68"/>
      <c r="E1006" s="70"/>
      <c r="F1006" s="68"/>
      <c r="G1006" s="68"/>
      <c r="H1006" s="68"/>
      <c r="I1006" s="70"/>
      <c r="J1006" s="68"/>
      <c r="K1006" s="68"/>
      <c r="L1006" s="68"/>
      <c r="M1006" s="73"/>
      <c r="N1006" s="70"/>
      <c r="O1006" s="70"/>
      <c r="P1006" s="68"/>
    </row>
    <row r="1007" customFormat="false" ht="15" hidden="false" customHeight="false" outlineLevel="0" collapsed="false">
      <c r="A1007" s="67"/>
      <c r="B1007" s="68"/>
      <c r="C1007" s="70"/>
      <c r="D1007" s="68"/>
      <c r="E1007" s="70"/>
      <c r="F1007" s="68"/>
      <c r="G1007" s="68"/>
      <c r="H1007" s="68"/>
      <c r="I1007" s="70"/>
      <c r="J1007" s="68"/>
      <c r="K1007" s="68"/>
      <c r="L1007" s="68"/>
      <c r="M1007" s="73"/>
      <c r="N1007" s="70"/>
      <c r="O1007" s="70"/>
      <c r="P1007" s="68"/>
    </row>
  </sheetData>
  <autoFilter ref="A4:P2000"/>
  <mergeCells count="3">
    <mergeCell ref="A1:P1"/>
    <mergeCell ref="A2:P2"/>
    <mergeCell ref="A3:F3"/>
  </mergeCells>
  <conditionalFormatting sqref="A5:P2000">
    <cfRule type="expression" priority="2" aboveAverage="0" equalAverage="0" bottom="0" percent="0" rank="0" text="" dxfId="8">
      <formula>AND($A5&lt;&gt;"",MOD(ROW(),2)=0)</formula>
    </cfRule>
    <cfRule type="expression" priority="3" aboveAverage="0" equalAverage="0" bottom="0" percent="0" rank="0" text="" dxfId="9">
      <formula>$A5&lt;&gt;""</formula>
    </cfRule>
  </conditionalFormatting>
  <hyperlinks>
    <hyperlink ref="G3" location="'سند الصرف'!C12" display="✍ سند الصرف"/>
    <hyperlink ref="H3" location="'التقارير'!A1" display="📊 التقارير"/>
  </hyperlink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codeName="shLns" filterMode="false">
    <tabColor rgb="FF2E7D7A"/>
    <pageSetUpPr fitToPage="true"/>
  </sheetPr>
  <dimension ref="A1:I1012"/>
  <sheetViews>
    <sheetView showFormulas="false" showGridLines="false" showRowColHeaders="true" showZeros="true" rightToLeft="true" tabSelected="false" showOutlineSymbols="true" defaultGridColor="true" view="normal" topLeftCell="A1" colorId="64" zoomScale="90" zoomScaleNormal="90" zoomScalePageLayoutView="100" workbookViewId="0">
      <pane xSplit="1" ySplit="4" topLeftCell="B5" activePane="bottomRight" state="frozen"/>
      <selection pane="topLeft" activeCell="A1" activeCellId="0" sqref="A1"/>
      <selection pane="topRight" activeCell="B1" activeCellId="0" sqref="B1"/>
      <selection pane="bottomLeft" activeCell="A5" activeCellId="0" sqref="A5"/>
      <selection pane="bottomRigh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0"/>
    <col collapsed="false" customWidth="true" hidden="false" outlineLevel="0" max="2" min="2" style="0" width="5"/>
    <col collapsed="false" customWidth="true" hidden="false" outlineLevel="0" max="3" min="3" style="0" width="14"/>
    <col collapsed="false" customWidth="true" hidden="false" outlineLevel="0" max="4" min="4" style="0" width="34"/>
    <col collapsed="false" customWidth="true" hidden="false" outlineLevel="0" max="6" min="5" style="0" width="14"/>
    <col collapsed="false" customWidth="true" hidden="false" outlineLevel="0" max="7" min="7" style="0" width="12"/>
    <col collapsed="false" customWidth="true" hidden="false" outlineLevel="0" max="8" min="8" style="0" width="26"/>
    <col collapsed="false" customWidth="true" hidden="false" outlineLevel="0" max="9" min="9" style="0" width="10"/>
  </cols>
  <sheetData>
    <row r="1" customFormat="false" ht="33.75" hidden="false" customHeight="true" outlineLevel="0" collapsed="false">
      <c r="A1" s="62" t="s">
        <v>107</v>
      </c>
      <c r="B1" s="62"/>
      <c r="C1" s="62"/>
      <c r="D1" s="62"/>
      <c r="E1" s="62"/>
      <c r="F1" s="62"/>
      <c r="G1" s="62"/>
      <c r="H1" s="62"/>
      <c r="I1" s="62"/>
    </row>
    <row r="2" customFormat="false" ht="19.5" hidden="false" customHeight="true" outlineLevel="0" collapsed="false">
      <c r="A2" s="63" t="s">
        <v>108</v>
      </c>
      <c r="B2" s="63"/>
      <c r="C2" s="63"/>
      <c r="D2" s="63"/>
      <c r="E2" s="63"/>
      <c r="F2" s="63"/>
      <c r="G2" s="63"/>
      <c r="H2" s="63"/>
      <c r="I2" s="63"/>
    </row>
    <row r="3" customFormat="false" ht="15" hidden="false" customHeight="false" outlineLevel="0" collapsed="false">
      <c r="A3" s="64" t="str">
        <f aca="false">"مدين: "&amp;TEXT(SUM(E5:E60000),"#,##0.00")&amp;"   |   دائن: "&amp;TEXT(SUM(F5:F60000),"#,##0.00")</f>
        <v>مدين: 45,330.50   |   دائن: 45,330.50</v>
      </c>
      <c r="B3" s="64"/>
      <c r="C3" s="64"/>
      <c r="D3" s="64"/>
      <c r="E3" s="65" t="s">
        <v>68</v>
      </c>
      <c r="F3" s="45" t="s">
        <v>109</v>
      </c>
    </row>
    <row r="4" customFormat="false" ht="31.5" hidden="false" customHeight="true" outlineLevel="0" collapsed="false">
      <c r="A4" s="75" t="s">
        <v>69</v>
      </c>
      <c r="B4" s="75" t="s">
        <v>110</v>
      </c>
      <c r="C4" s="75" t="s">
        <v>40</v>
      </c>
      <c r="D4" s="75" t="s">
        <v>111</v>
      </c>
      <c r="E4" s="75" t="s">
        <v>37</v>
      </c>
      <c r="F4" s="75" t="s">
        <v>38</v>
      </c>
      <c r="G4" s="75" t="s">
        <v>71</v>
      </c>
      <c r="H4" s="75" t="s">
        <v>72</v>
      </c>
      <c r="I4" s="75" t="s">
        <v>112</v>
      </c>
    </row>
    <row r="5" customFormat="false" ht="15" hidden="false" customHeight="false" outlineLevel="0" collapsed="false">
      <c r="A5" s="70" t="n">
        <v>1001</v>
      </c>
      <c r="B5" s="70" t="n">
        <v>1</v>
      </c>
      <c r="C5" s="70" t="s">
        <v>34</v>
      </c>
      <c r="D5" s="68" t="s">
        <v>41</v>
      </c>
      <c r="E5" s="72" t="n">
        <v>3000</v>
      </c>
      <c r="F5" s="72"/>
      <c r="G5" s="69" t="n">
        <v>46249</v>
      </c>
      <c r="H5" s="68" t="s">
        <v>18</v>
      </c>
      <c r="I5" s="70" t="s">
        <v>113</v>
      </c>
    </row>
    <row r="6" customFormat="false" ht="15" hidden="false" customHeight="false" outlineLevel="0" collapsed="false">
      <c r="A6" s="70" t="n">
        <v>1001</v>
      </c>
      <c r="B6" s="70" t="n">
        <v>2</v>
      </c>
      <c r="C6" s="70" t="s">
        <v>34</v>
      </c>
      <c r="D6" s="68" t="s">
        <v>32</v>
      </c>
      <c r="E6" s="72"/>
      <c r="F6" s="72" t="n">
        <v>3000</v>
      </c>
      <c r="G6" s="69" t="n">
        <v>46249</v>
      </c>
      <c r="H6" s="68" t="s">
        <v>18</v>
      </c>
      <c r="I6" s="70" t="s">
        <v>114</v>
      </c>
    </row>
    <row r="7" customFormat="false" ht="15" hidden="false" customHeight="false" outlineLevel="0" collapsed="false">
      <c r="A7" s="70" t="n">
        <v>1002</v>
      </c>
      <c r="B7" s="70" t="n">
        <v>1</v>
      </c>
      <c r="C7" s="70" t="s">
        <v>34</v>
      </c>
      <c r="D7" s="68" t="s">
        <v>115</v>
      </c>
      <c r="E7" s="72" t="n">
        <v>25000</v>
      </c>
      <c r="F7" s="72"/>
      <c r="G7" s="69" t="n">
        <v>46254</v>
      </c>
      <c r="H7" s="68" t="s">
        <v>89</v>
      </c>
      <c r="I7" s="70" t="s">
        <v>113</v>
      </c>
    </row>
    <row r="8" customFormat="false" ht="15" hidden="false" customHeight="false" outlineLevel="0" collapsed="false">
      <c r="A8" s="70" t="n">
        <v>1002</v>
      </c>
      <c r="B8" s="70" t="n">
        <v>2</v>
      </c>
      <c r="C8" s="70" t="s">
        <v>116</v>
      </c>
      <c r="D8" s="68" t="s">
        <v>115</v>
      </c>
      <c r="E8" s="72" t="n">
        <v>12500.5</v>
      </c>
      <c r="F8" s="72"/>
      <c r="G8" s="69" t="n">
        <v>46254</v>
      </c>
      <c r="H8" s="68" t="s">
        <v>89</v>
      </c>
      <c r="I8" s="70" t="s">
        <v>113</v>
      </c>
    </row>
    <row r="9" customFormat="false" ht="15" hidden="false" customHeight="false" outlineLevel="0" collapsed="false">
      <c r="A9" s="70" t="n">
        <v>1002</v>
      </c>
      <c r="B9" s="70" t="n">
        <v>3</v>
      </c>
      <c r="C9" s="70" t="s">
        <v>34</v>
      </c>
      <c r="D9" s="68" t="s">
        <v>93</v>
      </c>
      <c r="E9" s="72"/>
      <c r="F9" s="72" t="n">
        <v>37500.5</v>
      </c>
      <c r="G9" s="69" t="n">
        <v>46254</v>
      </c>
      <c r="H9" s="68" t="s">
        <v>89</v>
      </c>
      <c r="I9" s="70" t="s">
        <v>114</v>
      </c>
    </row>
    <row r="10" customFormat="false" ht="15" hidden="false" customHeight="false" outlineLevel="0" collapsed="false">
      <c r="A10" s="70" t="n">
        <v>1003</v>
      </c>
      <c r="B10" s="70" t="n">
        <v>1</v>
      </c>
      <c r="C10" s="70" t="s">
        <v>103</v>
      </c>
      <c r="D10" s="68" t="s">
        <v>117</v>
      </c>
      <c r="E10" s="72" t="n">
        <v>4200</v>
      </c>
      <c r="F10" s="72"/>
      <c r="G10" s="69" t="n">
        <v>46268</v>
      </c>
      <c r="H10" s="68" t="s">
        <v>98</v>
      </c>
      <c r="I10" s="70" t="s">
        <v>113</v>
      </c>
    </row>
    <row r="11" customFormat="false" ht="15" hidden="false" customHeight="false" outlineLevel="0" collapsed="false">
      <c r="A11" s="70" t="n">
        <v>1003</v>
      </c>
      <c r="B11" s="70" t="n">
        <v>2</v>
      </c>
      <c r="C11" s="70" t="s">
        <v>103</v>
      </c>
      <c r="D11" s="68" t="s">
        <v>118</v>
      </c>
      <c r="E11" s="72" t="n">
        <v>630</v>
      </c>
      <c r="F11" s="72"/>
      <c r="G11" s="69" t="n">
        <v>46268</v>
      </c>
      <c r="H11" s="68" t="s">
        <v>98</v>
      </c>
      <c r="I11" s="70" t="s">
        <v>113</v>
      </c>
    </row>
    <row r="12" customFormat="false" ht="15" hidden="false" customHeight="false" outlineLevel="0" collapsed="false">
      <c r="A12" s="70" t="n">
        <v>1003</v>
      </c>
      <c r="B12" s="70" t="n">
        <v>3</v>
      </c>
      <c r="C12" s="70" t="s">
        <v>103</v>
      </c>
      <c r="D12" s="68" t="s">
        <v>102</v>
      </c>
      <c r="E12" s="72"/>
      <c r="F12" s="72" t="n">
        <v>4830</v>
      </c>
      <c r="G12" s="69" t="n">
        <v>46268</v>
      </c>
      <c r="H12" s="68" t="s">
        <v>98</v>
      </c>
      <c r="I12" s="70" t="s">
        <v>114</v>
      </c>
    </row>
    <row r="13" customFormat="false" ht="15" hidden="false" customHeight="false" outlineLevel="0" collapsed="false">
      <c r="A13" s="70"/>
      <c r="B13" s="70"/>
      <c r="C13" s="70"/>
      <c r="D13" s="68"/>
      <c r="E13" s="68"/>
      <c r="F13" s="68"/>
      <c r="G13" s="70"/>
      <c r="H13" s="68"/>
      <c r="I13" s="70"/>
    </row>
    <row r="14" customFormat="false" ht="15" hidden="false" customHeight="false" outlineLevel="0" collapsed="false">
      <c r="A14" s="70"/>
      <c r="B14" s="70"/>
      <c r="C14" s="70"/>
      <c r="D14" s="68"/>
      <c r="E14" s="68"/>
      <c r="F14" s="68"/>
      <c r="G14" s="70"/>
      <c r="H14" s="68"/>
      <c r="I14" s="70"/>
    </row>
    <row r="15" customFormat="false" ht="15" hidden="false" customHeight="false" outlineLevel="0" collapsed="false">
      <c r="A15" s="70"/>
      <c r="B15" s="70"/>
      <c r="C15" s="70"/>
      <c r="D15" s="68"/>
      <c r="E15" s="68"/>
      <c r="F15" s="68"/>
      <c r="G15" s="70"/>
      <c r="H15" s="68"/>
      <c r="I15" s="70"/>
    </row>
    <row r="16" customFormat="false" ht="15" hidden="false" customHeight="false" outlineLevel="0" collapsed="false">
      <c r="A16" s="70"/>
      <c r="B16" s="70"/>
      <c r="C16" s="70"/>
      <c r="D16" s="68"/>
      <c r="E16" s="68"/>
      <c r="F16" s="68"/>
      <c r="G16" s="70"/>
      <c r="H16" s="68"/>
      <c r="I16" s="70"/>
    </row>
    <row r="17" customFormat="false" ht="15" hidden="false" customHeight="false" outlineLevel="0" collapsed="false">
      <c r="A17" s="70"/>
      <c r="B17" s="70"/>
      <c r="C17" s="70"/>
      <c r="D17" s="68"/>
      <c r="E17" s="68"/>
      <c r="F17" s="68"/>
      <c r="G17" s="70"/>
      <c r="H17" s="68"/>
      <c r="I17" s="70"/>
    </row>
    <row r="18" customFormat="false" ht="15" hidden="false" customHeight="false" outlineLevel="0" collapsed="false">
      <c r="A18" s="70"/>
      <c r="B18" s="70"/>
      <c r="C18" s="70"/>
      <c r="D18" s="68"/>
      <c r="E18" s="68"/>
      <c r="F18" s="68"/>
      <c r="G18" s="70"/>
      <c r="H18" s="68"/>
      <c r="I18" s="70"/>
    </row>
    <row r="19" customFormat="false" ht="15" hidden="false" customHeight="false" outlineLevel="0" collapsed="false">
      <c r="A19" s="70"/>
      <c r="B19" s="70"/>
      <c r="C19" s="70"/>
      <c r="D19" s="68"/>
      <c r="E19" s="68"/>
      <c r="F19" s="68"/>
      <c r="G19" s="70"/>
      <c r="H19" s="68"/>
      <c r="I19" s="70"/>
    </row>
    <row r="20" customFormat="false" ht="15" hidden="false" customHeight="false" outlineLevel="0" collapsed="false">
      <c r="A20" s="70"/>
      <c r="B20" s="70"/>
      <c r="C20" s="70"/>
      <c r="D20" s="68"/>
      <c r="E20" s="68"/>
      <c r="F20" s="68"/>
      <c r="G20" s="70"/>
      <c r="H20" s="68"/>
      <c r="I20" s="70"/>
    </row>
    <row r="21" customFormat="false" ht="15" hidden="false" customHeight="false" outlineLevel="0" collapsed="false">
      <c r="A21" s="70"/>
      <c r="B21" s="70"/>
      <c r="C21" s="70"/>
      <c r="D21" s="68"/>
      <c r="E21" s="68"/>
      <c r="F21" s="68"/>
      <c r="G21" s="70"/>
      <c r="H21" s="68"/>
      <c r="I21" s="70"/>
    </row>
    <row r="22" customFormat="false" ht="15" hidden="false" customHeight="false" outlineLevel="0" collapsed="false">
      <c r="A22" s="70"/>
      <c r="B22" s="70"/>
      <c r="C22" s="70"/>
      <c r="D22" s="68"/>
      <c r="E22" s="68"/>
      <c r="F22" s="68"/>
      <c r="G22" s="70"/>
      <c r="H22" s="68"/>
      <c r="I22" s="70"/>
    </row>
    <row r="23" customFormat="false" ht="15" hidden="false" customHeight="false" outlineLevel="0" collapsed="false">
      <c r="A23" s="70"/>
      <c r="B23" s="70"/>
      <c r="C23" s="70"/>
      <c r="D23" s="68"/>
      <c r="E23" s="68"/>
      <c r="F23" s="68"/>
      <c r="G23" s="70"/>
      <c r="H23" s="68"/>
      <c r="I23" s="70"/>
    </row>
    <row r="24" customFormat="false" ht="15" hidden="false" customHeight="false" outlineLevel="0" collapsed="false">
      <c r="A24" s="70"/>
      <c r="B24" s="70"/>
      <c r="C24" s="70"/>
      <c r="D24" s="68"/>
      <c r="E24" s="68"/>
      <c r="F24" s="68"/>
      <c r="G24" s="70"/>
      <c r="H24" s="68"/>
      <c r="I24" s="70"/>
    </row>
    <row r="25" customFormat="false" ht="15" hidden="false" customHeight="false" outlineLevel="0" collapsed="false">
      <c r="A25" s="70"/>
      <c r="B25" s="70"/>
      <c r="C25" s="70"/>
      <c r="D25" s="68"/>
      <c r="E25" s="68"/>
      <c r="F25" s="68"/>
      <c r="G25" s="70"/>
      <c r="H25" s="68"/>
      <c r="I25" s="70"/>
    </row>
    <row r="26" customFormat="false" ht="15" hidden="false" customHeight="false" outlineLevel="0" collapsed="false">
      <c r="A26" s="70"/>
      <c r="B26" s="70"/>
      <c r="C26" s="70"/>
      <c r="D26" s="68"/>
      <c r="E26" s="68"/>
      <c r="F26" s="68"/>
      <c r="G26" s="70"/>
      <c r="H26" s="68"/>
      <c r="I26" s="70"/>
    </row>
    <row r="27" customFormat="false" ht="15" hidden="false" customHeight="false" outlineLevel="0" collapsed="false">
      <c r="A27" s="70"/>
      <c r="B27" s="70"/>
      <c r="C27" s="70"/>
      <c r="D27" s="68"/>
      <c r="E27" s="68"/>
      <c r="F27" s="68"/>
      <c r="G27" s="70"/>
      <c r="H27" s="68"/>
      <c r="I27" s="70"/>
    </row>
    <row r="28" customFormat="false" ht="15" hidden="false" customHeight="false" outlineLevel="0" collapsed="false">
      <c r="A28" s="70"/>
      <c r="B28" s="70"/>
      <c r="C28" s="70"/>
      <c r="D28" s="68"/>
      <c r="E28" s="68"/>
      <c r="F28" s="68"/>
      <c r="G28" s="70"/>
      <c r="H28" s="68"/>
      <c r="I28" s="70"/>
    </row>
    <row r="29" customFormat="false" ht="15" hidden="false" customHeight="false" outlineLevel="0" collapsed="false">
      <c r="A29" s="70"/>
      <c r="B29" s="70"/>
      <c r="C29" s="70"/>
      <c r="D29" s="68"/>
      <c r="E29" s="68"/>
      <c r="F29" s="68"/>
      <c r="G29" s="70"/>
      <c r="H29" s="68"/>
      <c r="I29" s="70"/>
    </row>
    <row r="30" customFormat="false" ht="15" hidden="false" customHeight="false" outlineLevel="0" collapsed="false">
      <c r="A30" s="70"/>
      <c r="B30" s="70"/>
      <c r="C30" s="70"/>
      <c r="D30" s="68"/>
      <c r="E30" s="68"/>
      <c r="F30" s="68"/>
      <c r="G30" s="70"/>
      <c r="H30" s="68"/>
      <c r="I30" s="70"/>
    </row>
    <row r="31" customFormat="false" ht="15" hidden="false" customHeight="false" outlineLevel="0" collapsed="false">
      <c r="A31" s="70"/>
      <c r="B31" s="70"/>
      <c r="C31" s="70"/>
      <c r="D31" s="68"/>
      <c r="E31" s="68"/>
      <c r="F31" s="68"/>
      <c r="G31" s="70"/>
      <c r="H31" s="68"/>
      <c r="I31" s="70"/>
    </row>
    <row r="32" customFormat="false" ht="15" hidden="false" customHeight="false" outlineLevel="0" collapsed="false">
      <c r="A32" s="70"/>
      <c r="B32" s="70"/>
      <c r="C32" s="70"/>
      <c r="D32" s="68"/>
      <c r="E32" s="68"/>
      <c r="F32" s="68"/>
      <c r="G32" s="70"/>
      <c r="H32" s="68"/>
      <c r="I32" s="70"/>
    </row>
    <row r="33" customFormat="false" ht="15" hidden="false" customHeight="false" outlineLevel="0" collapsed="false">
      <c r="A33" s="70"/>
      <c r="B33" s="70"/>
      <c r="C33" s="70"/>
      <c r="D33" s="68"/>
      <c r="E33" s="68"/>
      <c r="F33" s="68"/>
      <c r="G33" s="70"/>
      <c r="H33" s="68"/>
      <c r="I33" s="70"/>
    </row>
    <row r="34" customFormat="false" ht="15" hidden="false" customHeight="false" outlineLevel="0" collapsed="false">
      <c r="A34" s="70"/>
      <c r="B34" s="70"/>
      <c r="C34" s="70"/>
      <c r="D34" s="68"/>
      <c r="E34" s="68"/>
      <c r="F34" s="68"/>
      <c r="G34" s="70"/>
      <c r="H34" s="68"/>
      <c r="I34" s="70"/>
    </row>
    <row r="35" customFormat="false" ht="15" hidden="false" customHeight="false" outlineLevel="0" collapsed="false">
      <c r="A35" s="70"/>
      <c r="B35" s="70"/>
      <c r="C35" s="70"/>
      <c r="D35" s="68"/>
      <c r="E35" s="68"/>
      <c r="F35" s="68"/>
      <c r="G35" s="70"/>
      <c r="H35" s="68"/>
      <c r="I35" s="70"/>
    </row>
    <row r="36" customFormat="false" ht="15" hidden="false" customHeight="false" outlineLevel="0" collapsed="false">
      <c r="A36" s="70"/>
      <c r="B36" s="70"/>
      <c r="C36" s="70"/>
      <c r="D36" s="68"/>
      <c r="E36" s="68"/>
      <c r="F36" s="68"/>
      <c r="G36" s="70"/>
      <c r="H36" s="68"/>
      <c r="I36" s="70"/>
    </row>
    <row r="37" customFormat="false" ht="15" hidden="false" customHeight="false" outlineLevel="0" collapsed="false">
      <c r="A37" s="70"/>
      <c r="B37" s="70"/>
      <c r="C37" s="70"/>
      <c r="D37" s="68"/>
      <c r="E37" s="68"/>
      <c r="F37" s="68"/>
      <c r="G37" s="70"/>
      <c r="H37" s="68"/>
      <c r="I37" s="70"/>
    </row>
    <row r="38" customFormat="false" ht="15" hidden="false" customHeight="false" outlineLevel="0" collapsed="false">
      <c r="A38" s="70"/>
      <c r="B38" s="70"/>
      <c r="C38" s="70"/>
      <c r="D38" s="68"/>
      <c r="E38" s="68"/>
      <c r="F38" s="68"/>
      <c r="G38" s="70"/>
      <c r="H38" s="68"/>
      <c r="I38" s="70"/>
    </row>
    <row r="39" customFormat="false" ht="15" hidden="false" customHeight="false" outlineLevel="0" collapsed="false">
      <c r="A39" s="70"/>
      <c r="B39" s="70"/>
      <c r="C39" s="70"/>
      <c r="D39" s="68"/>
      <c r="E39" s="68"/>
      <c r="F39" s="68"/>
      <c r="G39" s="70"/>
      <c r="H39" s="68"/>
      <c r="I39" s="70"/>
    </row>
    <row r="40" customFormat="false" ht="15" hidden="false" customHeight="false" outlineLevel="0" collapsed="false">
      <c r="A40" s="70"/>
      <c r="B40" s="70"/>
      <c r="C40" s="70"/>
      <c r="D40" s="68"/>
      <c r="E40" s="68"/>
      <c r="F40" s="68"/>
      <c r="G40" s="70"/>
      <c r="H40" s="68"/>
      <c r="I40" s="70"/>
    </row>
    <row r="41" customFormat="false" ht="15" hidden="false" customHeight="false" outlineLevel="0" collapsed="false">
      <c r="A41" s="70"/>
      <c r="B41" s="70"/>
      <c r="C41" s="70"/>
      <c r="D41" s="68"/>
      <c r="E41" s="68"/>
      <c r="F41" s="68"/>
      <c r="G41" s="70"/>
      <c r="H41" s="68"/>
      <c r="I41" s="70"/>
    </row>
    <row r="42" customFormat="false" ht="15" hidden="false" customHeight="false" outlineLevel="0" collapsed="false">
      <c r="A42" s="70"/>
      <c r="B42" s="70"/>
      <c r="C42" s="70"/>
      <c r="D42" s="68"/>
      <c r="E42" s="68"/>
      <c r="F42" s="68"/>
      <c r="G42" s="70"/>
      <c r="H42" s="68"/>
      <c r="I42" s="70"/>
    </row>
    <row r="43" customFormat="false" ht="15" hidden="false" customHeight="false" outlineLevel="0" collapsed="false">
      <c r="A43" s="70"/>
      <c r="B43" s="70"/>
      <c r="C43" s="70"/>
      <c r="D43" s="68"/>
      <c r="E43" s="68"/>
      <c r="F43" s="68"/>
      <c r="G43" s="70"/>
      <c r="H43" s="68"/>
      <c r="I43" s="70"/>
    </row>
    <row r="44" customFormat="false" ht="15" hidden="false" customHeight="false" outlineLevel="0" collapsed="false">
      <c r="A44" s="70"/>
      <c r="B44" s="70"/>
      <c r="C44" s="70"/>
      <c r="D44" s="68"/>
      <c r="E44" s="68"/>
      <c r="F44" s="68"/>
      <c r="G44" s="70"/>
      <c r="H44" s="68"/>
      <c r="I44" s="70"/>
    </row>
    <row r="45" customFormat="false" ht="15" hidden="false" customHeight="false" outlineLevel="0" collapsed="false">
      <c r="A45" s="70"/>
      <c r="B45" s="70"/>
      <c r="C45" s="70"/>
      <c r="D45" s="68"/>
      <c r="E45" s="68"/>
      <c r="F45" s="68"/>
      <c r="G45" s="70"/>
      <c r="H45" s="68"/>
      <c r="I45" s="70"/>
    </row>
    <row r="46" customFormat="false" ht="15" hidden="false" customHeight="false" outlineLevel="0" collapsed="false">
      <c r="A46" s="70"/>
      <c r="B46" s="70"/>
      <c r="C46" s="70"/>
      <c r="D46" s="68"/>
      <c r="E46" s="68"/>
      <c r="F46" s="68"/>
      <c r="G46" s="70"/>
      <c r="H46" s="68"/>
      <c r="I46" s="70"/>
    </row>
    <row r="47" customFormat="false" ht="15" hidden="false" customHeight="false" outlineLevel="0" collapsed="false">
      <c r="A47" s="70"/>
      <c r="B47" s="70"/>
      <c r="C47" s="70"/>
      <c r="D47" s="68"/>
      <c r="E47" s="68"/>
      <c r="F47" s="68"/>
      <c r="G47" s="70"/>
      <c r="H47" s="68"/>
      <c r="I47" s="70"/>
    </row>
    <row r="48" customFormat="false" ht="15" hidden="false" customHeight="false" outlineLevel="0" collapsed="false">
      <c r="A48" s="70"/>
      <c r="B48" s="70"/>
      <c r="C48" s="70"/>
      <c r="D48" s="68"/>
      <c r="E48" s="68"/>
      <c r="F48" s="68"/>
      <c r="G48" s="70"/>
      <c r="H48" s="68"/>
      <c r="I48" s="70"/>
    </row>
    <row r="49" customFormat="false" ht="15" hidden="false" customHeight="false" outlineLevel="0" collapsed="false">
      <c r="A49" s="70"/>
      <c r="B49" s="70"/>
      <c r="C49" s="70"/>
      <c r="D49" s="68"/>
      <c r="E49" s="68"/>
      <c r="F49" s="68"/>
      <c r="G49" s="70"/>
      <c r="H49" s="68"/>
      <c r="I49" s="70"/>
    </row>
    <row r="50" customFormat="false" ht="15" hidden="false" customHeight="false" outlineLevel="0" collapsed="false">
      <c r="A50" s="70"/>
      <c r="B50" s="70"/>
      <c r="C50" s="70"/>
      <c r="D50" s="68"/>
      <c r="E50" s="68"/>
      <c r="F50" s="68"/>
      <c r="G50" s="70"/>
      <c r="H50" s="68"/>
      <c r="I50" s="70"/>
    </row>
    <row r="51" customFormat="false" ht="15" hidden="false" customHeight="false" outlineLevel="0" collapsed="false">
      <c r="A51" s="70"/>
      <c r="B51" s="70"/>
      <c r="C51" s="70"/>
      <c r="D51" s="68"/>
      <c r="E51" s="68"/>
      <c r="F51" s="68"/>
      <c r="G51" s="70"/>
      <c r="H51" s="68"/>
      <c r="I51" s="70"/>
    </row>
    <row r="52" customFormat="false" ht="15" hidden="false" customHeight="false" outlineLevel="0" collapsed="false">
      <c r="A52" s="70"/>
      <c r="B52" s="70"/>
      <c r="C52" s="70"/>
      <c r="D52" s="68"/>
      <c r="E52" s="68"/>
      <c r="F52" s="68"/>
      <c r="G52" s="70"/>
      <c r="H52" s="68"/>
      <c r="I52" s="70"/>
    </row>
    <row r="53" customFormat="false" ht="15" hidden="false" customHeight="false" outlineLevel="0" collapsed="false">
      <c r="A53" s="70"/>
      <c r="B53" s="70"/>
      <c r="C53" s="70"/>
      <c r="D53" s="68"/>
      <c r="E53" s="68"/>
      <c r="F53" s="68"/>
      <c r="G53" s="70"/>
      <c r="H53" s="68"/>
      <c r="I53" s="70"/>
    </row>
    <row r="54" customFormat="false" ht="15" hidden="false" customHeight="false" outlineLevel="0" collapsed="false">
      <c r="A54" s="70"/>
      <c r="B54" s="70"/>
      <c r="C54" s="70"/>
      <c r="D54" s="68"/>
      <c r="E54" s="68"/>
      <c r="F54" s="68"/>
      <c r="G54" s="70"/>
      <c r="H54" s="68"/>
      <c r="I54" s="70"/>
    </row>
    <row r="55" customFormat="false" ht="15" hidden="false" customHeight="false" outlineLevel="0" collapsed="false">
      <c r="A55" s="70"/>
      <c r="B55" s="70"/>
      <c r="C55" s="70"/>
      <c r="D55" s="68"/>
      <c r="E55" s="68"/>
      <c r="F55" s="68"/>
      <c r="G55" s="70"/>
      <c r="H55" s="68"/>
      <c r="I55" s="70"/>
    </row>
    <row r="56" customFormat="false" ht="15" hidden="false" customHeight="false" outlineLevel="0" collapsed="false">
      <c r="A56" s="70"/>
      <c r="B56" s="70"/>
      <c r="C56" s="70"/>
      <c r="D56" s="68"/>
      <c r="E56" s="68"/>
      <c r="F56" s="68"/>
      <c r="G56" s="70"/>
      <c r="H56" s="68"/>
      <c r="I56" s="70"/>
    </row>
    <row r="57" customFormat="false" ht="15" hidden="false" customHeight="false" outlineLevel="0" collapsed="false">
      <c r="A57" s="70"/>
      <c r="B57" s="70"/>
      <c r="C57" s="70"/>
      <c r="D57" s="68"/>
      <c r="E57" s="68"/>
      <c r="F57" s="68"/>
      <c r="G57" s="70"/>
      <c r="H57" s="68"/>
      <c r="I57" s="70"/>
    </row>
    <row r="58" customFormat="false" ht="15" hidden="false" customHeight="false" outlineLevel="0" collapsed="false">
      <c r="A58" s="70"/>
      <c r="B58" s="70"/>
      <c r="C58" s="70"/>
      <c r="D58" s="68"/>
      <c r="E58" s="68"/>
      <c r="F58" s="68"/>
      <c r="G58" s="70"/>
      <c r="H58" s="68"/>
      <c r="I58" s="70"/>
    </row>
    <row r="59" customFormat="false" ht="15" hidden="false" customHeight="false" outlineLevel="0" collapsed="false">
      <c r="A59" s="70"/>
      <c r="B59" s="70"/>
      <c r="C59" s="70"/>
      <c r="D59" s="68"/>
      <c r="E59" s="68"/>
      <c r="F59" s="68"/>
      <c r="G59" s="70"/>
      <c r="H59" s="68"/>
      <c r="I59" s="70"/>
    </row>
    <row r="60" customFormat="false" ht="15" hidden="false" customHeight="false" outlineLevel="0" collapsed="false">
      <c r="A60" s="70"/>
      <c r="B60" s="70"/>
      <c r="C60" s="70"/>
      <c r="D60" s="68"/>
      <c r="E60" s="68"/>
      <c r="F60" s="68"/>
      <c r="G60" s="70"/>
      <c r="H60" s="68"/>
      <c r="I60" s="70"/>
    </row>
    <row r="61" customFormat="false" ht="15" hidden="false" customHeight="false" outlineLevel="0" collapsed="false">
      <c r="A61" s="70"/>
      <c r="B61" s="70"/>
      <c r="C61" s="70"/>
      <c r="D61" s="68"/>
      <c r="E61" s="68"/>
      <c r="F61" s="68"/>
      <c r="G61" s="70"/>
      <c r="H61" s="68"/>
      <c r="I61" s="70"/>
    </row>
    <row r="62" customFormat="false" ht="15" hidden="false" customHeight="false" outlineLevel="0" collapsed="false">
      <c r="A62" s="70"/>
      <c r="B62" s="70"/>
      <c r="C62" s="70"/>
      <c r="D62" s="68"/>
      <c r="E62" s="68"/>
      <c r="F62" s="68"/>
      <c r="G62" s="70"/>
      <c r="H62" s="68"/>
      <c r="I62" s="70"/>
    </row>
    <row r="63" customFormat="false" ht="15" hidden="false" customHeight="false" outlineLevel="0" collapsed="false">
      <c r="A63" s="70"/>
      <c r="B63" s="70"/>
      <c r="C63" s="70"/>
      <c r="D63" s="68"/>
      <c r="E63" s="68"/>
      <c r="F63" s="68"/>
      <c r="G63" s="70"/>
      <c r="H63" s="68"/>
      <c r="I63" s="70"/>
    </row>
    <row r="64" customFormat="false" ht="15" hidden="false" customHeight="false" outlineLevel="0" collapsed="false">
      <c r="A64" s="70"/>
      <c r="B64" s="70"/>
      <c r="C64" s="70"/>
      <c r="D64" s="68"/>
      <c r="E64" s="68"/>
      <c r="F64" s="68"/>
      <c r="G64" s="70"/>
      <c r="H64" s="68"/>
      <c r="I64" s="70"/>
    </row>
    <row r="65" customFormat="false" ht="15" hidden="false" customHeight="false" outlineLevel="0" collapsed="false">
      <c r="A65" s="70"/>
      <c r="B65" s="70"/>
      <c r="C65" s="70"/>
      <c r="D65" s="68"/>
      <c r="E65" s="68"/>
      <c r="F65" s="68"/>
      <c r="G65" s="70"/>
      <c r="H65" s="68"/>
      <c r="I65" s="70"/>
    </row>
    <row r="66" customFormat="false" ht="15" hidden="false" customHeight="false" outlineLevel="0" collapsed="false">
      <c r="A66" s="70"/>
      <c r="B66" s="70"/>
      <c r="C66" s="70"/>
      <c r="D66" s="68"/>
      <c r="E66" s="68"/>
      <c r="F66" s="68"/>
      <c r="G66" s="70"/>
      <c r="H66" s="68"/>
      <c r="I66" s="70"/>
    </row>
    <row r="67" customFormat="false" ht="15" hidden="false" customHeight="false" outlineLevel="0" collapsed="false">
      <c r="A67" s="70"/>
      <c r="B67" s="70"/>
      <c r="C67" s="70"/>
      <c r="D67" s="68"/>
      <c r="E67" s="68"/>
      <c r="F67" s="68"/>
      <c r="G67" s="70"/>
      <c r="H67" s="68"/>
      <c r="I67" s="70"/>
    </row>
    <row r="68" customFormat="false" ht="15" hidden="false" customHeight="false" outlineLevel="0" collapsed="false">
      <c r="A68" s="70"/>
      <c r="B68" s="70"/>
      <c r="C68" s="70"/>
      <c r="D68" s="68"/>
      <c r="E68" s="68"/>
      <c r="F68" s="68"/>
      <c r="G68" s="70"/>
      <c r="H68" s="68"/>
      <c r="I68" s="70"/>
    </row>
    <row r="69" customFormat="false" ht="15" hidden="false" customHeight="false" outlineLevel="0" collapsed="false">
      <c r="A69" s="70"/>
      <c r="B69" s="70"/>
      <c r="C69" s="70"/>
      <c r="D69" s="68"/>
      <c r="E69" s="68"/>
      <c r="F69" s="68"/>
      <c r="G69" s="70"/>
      <c r="H69" s="68"/>
      <c r="I69" s="70"/>
    </row>
    <row r="70" customFormat="false" ht="15" hidden="false" customHeight="false" outlineLevel="0" collapsed="false">
      <c r="A70" s="70"/>
      <c r="B70" s="70"/>
      <c r="C70" s="70"/>
      <c r="D70" s="68"/>
      <c r="E70" s="68"/>
      <c r="F70" s="68"/>
      <c r="G70" s="70"/>
      <c r="H70" s="68"/>
      <c r="I70" s="70"/>
    </row>
    <row r="71" customFormat="false" ht="15" hidden="false" customHeight="false" outlineLevel="0" collapsed="false">
      <c r="A71" s="70"/>
      <c r="B71" s="70"/>
      <c r="C71" s="70"/>
      <c r="D71" s="68"/>
      <c r="E71" s="68"/>
      <c r="F71" s="68"/>
      <c r="G71" s="70"/>
      <c r="H71" s="68"/>
      <c r="I71" s="70"/>
    </row>
    <row r="72" customFormat="false" ht="15" hidden="false" customHeight="false" outlineLevel="0" collapsed="false">
      <c r="A72" s="70"/>
      <c r="B72" s="70"/>
      <c r="C72" s="70"/>
      <c r="D72" s="68"/>
      <c r="E72" s="68"/>
      <c r="F72" s="68"/>
      <c r="G72" s="70"/>
      <c r="H72" s="68"/>
      <c r="I72" s="70"/>
    </row>
    <row r="73" customFormat="false" ht="15" hidden="false" customHeight="false" outlineLevel="0" collapsed="false">
      <c r="A73" s="70"/>
      <c r="B73" s="70"/>
      <c r="C73" s="70"/>
      <c r="D73" s="68"/>
      <c r="E73" s="68"/>
      <c r="F73" s="68"/>
      <c r="G73" s="70"/>
      <c r="H73" s="68"/>
      <c r="I73" s="70"/>
    </row>
    <row r="74" customFormat="false" ht="15" hidden="false" customHeight="false" outlineLevel="0" collapsed="false">
      <c r="A74" s="70"/>
      <c r="B74" s="70"/>
      <c r="C74" s="70"/>
      <c r="D74" s="68"/>
      <c r="E74" s="68"/>
      <c r="F74" s="68"/>
      <c r="G74" s="70"/>
      <c r="H74" s="68"/>
      <c r="I74" s="70"/>
    </row>
    <row r="75" customFormat="false" ht="15" hidden="false" customHeight="false" outlineLevel="0" collapsed="false">
      <c r="A75" s="70"/>
      <c r="B75" s="70"/>
      <c r="C75" s="70"/>
      <c r="D75" s="68"/>
      <c r="E75" s="68"/>
      <c r="F75" s="68"/>
      <c r="G75" s="70"/>
      <c r="H75" s="68"/>
      <c r="I75" s="70"/>
    </row>
    <row r="76" customFormat="false" ht="15" hidden="false" customHeight="false" outlineLevel="0" collapsed="false">
      <c r="A76" s="70"/>
      <c r="B76" s="70"/>
      <c r="C76" s="70"/>
      <c r="D76" s="68"/>
      <c r="E76" s="68"/>
      <c r="F76" s="68"/>
      <c r="G76" s="70"/>
      <c r="H76" s="68"/>
      <c r="I76" s="70"/>
    </row>
    <row r="77" customFormat="false" ht="15" hidden="false" customHeight="false" outlineLevel="0" collapsed="false">
      <c r="A77" s="70"/>
      <c r="B77" s="70"/>
      <c r="C77" s="70"/>
      <c r="D77" s="68"/>
      <c r="E77" s="68"/>
      <c r="F77" s="68"/>
      <c r="G77" s="70"/>
      <c r="H77" s="68"/>
      <c r="I77" s="70"/>
    </row>
    <row r="78" customFormat="false" ht="15" hidden="false" customHeight="false" outlineLevel="0" collapsed="false">
      <c r="A78" s="70"/>
      <c r="B78" s="70"/>
      <c r="C78" s="70"/>
      <c r="D78" s="68"/>
      <c r="E78" s="68"/>
      <c r="F78" s="68"/>
      <c r="G78" s="70"/>
      <c r="H78" s="68"/>
      <c r="I78" s="70"/>
    </row>
    <row r="79" customFormat="false" ht="15" hidden="false" customHeight="false" outlineLevel="0" collapsed="false">
      <c r="A79" s="70"/>
      <c r="B79" s="70"/>
      <c r="C79" s="70"/>
      <c r="D79" s="68"/>
      <c r="E79" s="68"/>
      <c r="F79" s="68"/>
      <c r="G79" s="70"/>
      <c r="H79" s="68"/>
      <c r="I79" s="70"/>
    </row>
    <row r="80" customFormat="false" ht="15" hidden="false" customHeight="false" outlineLevel="0" collapsed="false">
      <c r="A80" s="70"/>
      <c r="B80" s="70"/>
      <c r="C80" s="70"/>
      <c r="D80" s="68"/>
      <c r="E80" s="68"/>
      <c r="F80" s="68"/>
      <c r="G80" s="70"/>
      <c r="H80" s="68"/>
      <c r="I80" s="70"/>
    </row>
    <row r="81" customFormat="false" ht="15" hidden="false" customHeight="false" outlineLevel="0" collapsed="false">
      <c r="A81" s="70"/>
      <c r="B81" s="70"/>
      <c r="C81" s="70"/>
      <c r="D81" s="68"/>
      <c r="E81" s="68"/>
      <c r="F81" s="68"/>
      <c r="G81" s="70"/>
      <c r="H81" s="68"/>
      <c r="I81" s="70"/>
    </row>
    <row r="82" customFormat="false" ht="15" hidden="false" customHeight="false" outlineLevel="0" collapsed="false">
      <c r="A82" s="70"/>
      <c r="B82" s="70"/>
      <c r="C82" s="70"/>
      <c r="D82" s="68"/>
      <c r="E82" s="68"/>
      <c r="F82" s="68"/>
      <c r="G82" s="70"/>
      <c r="H82" s="68"/>
      <c r="I82" s="70"/>
    </row>
    <row r="83" customFormat="false" ht="15" hidden="false" customHeight="false" outlineLevel="0" collapsed="false">
      <c r="A83" s="70"/>
      <c r="B83" s="70"/>
      <c r="C83" s="70"/>
      <c r="D83" s="68"/>
      <c r="E83" s="68"/>
      <c r="F83" s="68"/>
      <c r="G83" s="70"/>
      <c r="H83" s="68"/>
      <c r="I83" s="70"/>
    </row>
    <row r="84" customFormat="false" ht="15" hidden="false" customHeight="false" outlineLevel="0" collapsed="false">
      <c r="A84" s="70"/>
      <c r="B84" s="70"/>
      <c r="C84" s="70"/>
      <c r="D84" s="68"/>
      <c r="E84" s="68"/>
      <c r="F84" s="68"/>
      <c r="G84" s="70"/>
      <c r="H84" s="68"/>
      <c r="I84" s="70"/>
    </row>
    <row r="85" customFormat="false" ht="15" hidden="false" customHeight="false" outlineLevel="0" collapsed="false">
      <c r="A85" s="70"/>
      <c r="B85" s="70"/>
      <c r="C85" s="70"/>
      <c r="D85" s="68"/>
      <c r="E85" s="68"/>
      <c r="F85" s="68"/>
      <c r="G85" s="70"/>
      <c r="H85" s="68"/>
      <c r="I85" s="70"/>
    </row>
    <row r="86" customFormat="false" ht="15" hidden="false" customHeight="false" outlineLevel="0" collapsed="false">
      <c r="A86" s="70"/>
      <c r="B86" s="70"/>
      <c r="C86" s="70"/>
      <c r="D86" s="68"/>
      <c r="E86" s="68"/>
      <c r="F86" s="68"/>
      <c r="G86" s="70"/>
      <c r="H86" s="68"/>
      <c r="I86" s="70"/>
    </row>
    <row r="87" customFormat="false" ht="15" hidden="false" customHeight="false" outlineLevel="0" collapsed="false">
      <c r="A87" s="70"/>
      <c r="B87" s="70"/>
      <c r="C87" s="70"/>
      <c r="D87" s="68"/>
      <c r="E87" s="68"/>
      <c r="F87" s="68"/>
      <c r="G87" s="70"/>
      <c r="H87" s="68"/>
      <c r="I87" s="70"/>
    </row>
    <row r="88" customFormat="false" ht="15" hidden="false" customHeight="false" outlineLevel="0" collapsed="false">
      <c r="A88" s="70"/>
      <c r="B88" s="70"/>
      <c r="C88" s="70"/>
      <c r="D88" s="68"/>
      <c r="E88" s="68"/>
      <c r="F88" s="68"/>
      <c r="G88" s="70"/>
      <c r="H88" s="68"/>
      <c r="I88" s="70"/>
    </row>
    <row r="89" customFormat="false" ht="15" hidden="false" customHeight="false" outlineLevel="0" collapsed="false">
      <c r="A89" s="70"/>
      <c r="B89" s="70"/>
      <c r="C89" s="70"/>
      <c r="D89" s="68"/>
      <c r="E89" s="68"/>
      <c r="F89" s="68"/>
      <c r="G89" s="70"/>
      <c r="H89" s="68"/>
      <c r="I89" s="70"/>
    </row>
    <row r="90" customFormat="false" ht="15" hidden="false" customHeight="false" outlineLevel="0" collapsed="false">
      <c r="A90" s="70"/>
      <c r="B90" s="70"/>
      <c r="C90" s="70"/>
      <c r="D90" s="68"/>
      <c r="E90" s="68"/>
      <c r="F90" s="68"/>
      <c r="G90" s="70"/>
      <c r="H90" s="68"/>
      <c r="I90" s="70"/>
    </row>
    <row r="91" customFormat="false" ht="15" hidden="false" customHeight="false" outlineLevel="0" collapsed="false">
      <c r="A91" s="70"/>
      <c r="B91" s="70"/>
      <c r="C91" s="70"/>
      <c r="D91" s="68"/>
      <c r="E91" s="68"/>
      <c r="F91" s="68"/>
      <c r="G91" s="70"/>
      <c r="H91" s="68"/>
      <c r="I91" s="70"/>
    </row>
    <row r="92" customFormat="false" ht="15" hidden="false" customHeight="false" outlineLevel="0" collapsed="false">
      <c r="A92" s="70"/>
      <c r="B92" s="70"/>
      <c r="C92" s="70"/>
      <c r="D92" s="68"/>
      <c r="E92" s="68"/>
      <c r="F92" s="68"/>
      <c r="G92" s="70"/>
      <c r="H92" s="68"/>
      <c r="I92" s="70"/>
    </row>
    <row r="93" customFormat="false" ht="15" hidden="false" customHeight="false" outlineLevel="0" collapsed="false">
      <c r="A93" s="70"/>
      <c r="B93" s="70"/>
      <c r="C93" s="70"/>
      <c r="D93" s="68"/>
      <c r="E93" s="68"/>
      <c r="F93" s="68"/>
      <c r="G93" s="70"/>
      <c r="H93" s="68"/>
      <c r="I93" s="70"/>
    </row>
    <row r="94" customFormat="false" ht="15" hidden="false" customHeight="false" outlineLevel="0" collapsed="false">
      <c r="A94" s="70"/>
      <c r="B94" s="70"/>
      <c r="C94" s="70"/>
      <c r="D94" s="68"/>
      <c r="E94" s="68"/>
      <c r="F94" s="68"/>
      <c r="G94" s="70"/>
      <c r="H94" s="68"/>
      <c r="I94" s="70"/>
    </row>
    <row r="95" customFormat="false" ht="15" hidden="false" customHeight="false" outlineLevel="0" collapsed="false">
      <c r="A95" s="70"/>
      <c r="B95" s="70"/>
      <c r="C95" s="70"/>
      <c r="D95" s="68"/>
      <c r="E95" s="68"/>
      <c r="F95" s="68"/>
      <c r="G95" s="70"/>
      <c r="H95" s="68"/>
      <c r="I95" s="70"/>
    </row>
    <row r="96" customFormat="false" ht="15" hidden="false" customHeight="false" outlineLevel="0" collapsed="false">
      <c r="A96" s="70"/>
      <c r="B96" s="70"/>
      <c r="C96" s="70"/>
      <c r="D96" s="68"/>
      <c r="E96" s="68"/>
      <c r="F96" s="68"/>
      <c r="G96" s="70"/>
      <c r="H96" s="68"/>
      <c r="I96" s="70"/>
    </row>
    <row r="97" customFormat="false" ht="15" hidden="false" customHeight="false" outlineLevel="0" collapsed="false">
      <c r="A97" s="70"/>
      <c r="B97" s="70"/>
      <c r="C97" s="70"/>
      <c r="D97" s="68"/>
      <c r="E97" s="68"/>
      <c r="F97" s="68"/>
      <c r="G97" s="70"/>
      <c r="H97" s="68"/>
      <c r="I97" s="70"/>
    </row>
    <row r="98" customFormat="false" ht="15" hidden="false" customHeight="false" outlineLevel="0" collapsed="false">
      <c r="A98" s="70"/>
      <c r="B98" s="70"/>
      <c r="C98" s="70"/>
      <c r="D98" s="68"/>
      <c r="E98" s="68"/>
      <c r="F98" s="68"/>
      <c r="G98" s="70"/>
      <c r="H98" s="68"/>
      <c r="I98" s="70"/>
    </row>
    <row r="99" customFormat="false" ht="15" hidden="false" customHeight="false" outlineLevel="0" collapsed="false">
      <c r="A99" s="70"/>
      <c r="B99" s="70"/>
      <c r="C99" s="70"/>
      <c r="D99" s="68"/>
      <c r="E99" s="68"/>
      <c r="F99" s="68"/>
      <c r="G99" s="70"/>
      <c r="H99" s="68"/>
      <c r="I99" s="70"/>
    </row>
    <row r="100" customFormat="false" ht="15" hidden="false" customHeight="false" outlineLevel="0" collapsed="false">
      <c r="A100" s="70"/>
      <c r="B100" s="70"/>
      <c r="C100" s="70"/>
      <c r="D100" s="68"/>
      <c r="E100" s="68"/>
      <c r="F100" s="68"/>
      <c r="G100" s="70"/>
      <c r="H100" s="68"/>
      <c r="I100" s="70"/>
    </row>
    <row r="101" customFormat="false" ht="15" hidden="false" customHeight="false" outlineLevel="0" collapsed="false">
      <c r="A101" s="70"/>
      <c r="B101" s="70"/>
      <c r="C101" s="70"/>
      <c r="D101" s="68"/>
      <c r="E101" s="68"/>
      <c r="F101" s="68"/>
      <c r="G101" s="70"/>
      <c r="H101" s="68"/>
      <c r="I101" s="70"/>
    </row>
    <row r="102" customFormat="false" ht="15" hidden="false" customHeight="false" outlineLevel="0" collapsed="false">
      <c r="A102" s="70"/>
      <c r="B102" s="70"/>
      <c r="C102" s="70"/>
      <c r="D102" s="68"/>
      <c r="E102" s="68"/>
      <c r="F102" s="68"/>
      <c r="G102" s="70"/>
      <c r="H102" s="68"/>
      <c r="I102" s="70"/>
    </row>
    <row r="103" customFormat="false" ht="15" hidden="false" customHeight="false" outlineLevel="0" collapsed="false">
      <c r="A103" s="70"/>
      <c r="B103" s="70"/>
      <c r="C103" s="70"/>
      <c r="D103" s="68"/>
      <c r="E103" s="68"/>
      <c r="F103" s="68"/>
      <c r="G103" s="70"/>
      <c r="H103" s="68"/>
      <c r="I103" s="70"/>
    </row>
    <row r="104" customFormat="false" ht="15" hidden="false" customHeight="false" outlineLevel="0" collapsed="false">
      <c r="A104" s="70"/>
      <c r="B104" s="70"/>
      <c r="C104" s="70"/>
      <c r="D104" s="68"/>
      <c r="E104" s="68"/>
      <c r="F104" s="68"/>
      <c r="G104" s="70"/>
      <c r="H104" s="68"/>
      <c r="I104" s="70"/>
    </row>
    <row r="105" customFormat="false" ht="15" hidden="false" customHeight="false" outlineLevel="0" collapsed="false">
      <c r="A105" s="70"/>
      <c r="B105" s="70"/>
      <c r="C105" s="70"/>
      <c r="D105" s="68"/>
      <c r="E105" s="68"/>
      <c r="F105" s="68"/>
      <c r="G105" s="70"/>
      <c r="H105" s="68"/>
      <c r="I105" s="70"/>
    </row>
    <row r="106" customFormat="false" ht="15" hidden="false" customHeight="false" outlineLevel="0" collapsed="false">
      <c r="A106" s="70"/>
      <c r="B106" s="70"/>
      <c r="C106" s="70"/>
      <c r="D106" s="68"/>
      <c r="E106" s="68"/>
      <c r="F106" s="68"/>
      <c r="G106" s="70"/>
      <c r="H106" s="68"/>
      <c r="I106" s="70"/>
    </row>
    <row r="107" customFormat="false" ht="15" hidden="false" customHeight="false" outlineLevel="0" collapsed="false">
      <c r="A107" s="70"/>
      <c r="B107" s="70"/>
      <c r="C107" s="70"/>
      <c r="D107" s="68"/>
      <c r="E107" s="68"/>
      <c r="F107" s="68"/>
      <c r="G107" s="70"/>
      <c r="H107" s="68"/>
      <c r="I107" s="70"/>
    </row>
    <row r="108" customFormat="false" ht="15" hidden="false" customHeight="false" outlineLevel="0" collapsed="false">
      <c r="A108" s="70"/>
      <c r="B108" s="70"/>
      <c r="C108" s="70"/>
      <c r="D108" s="68"/>
      <c r="E108" s="68"/>
      <c r="F108" s="68"/>
      <c r="G108" s="70"/>
      <c r="H108" s="68"/>
      <c r="I108" s="70"/>
    </row>
    <row r="109" customFormat="false" ht="15" hidden="false" customHeight="false" outlineLevel="0" collapsed="false">
      <c r="A109" s="70"/>
      <c r="B109" s="70"/>
      <c r="C109" s="70"/>
      <c r="D109" s="68"/>
      <c r="E109" s="68"/>
      <c r="F109" s="68"/>
      <c r="G109" s="70"/>
      <c r="H109" s="68"/>
      <c r="I109" s="70"/>
    </row>
    <row r="110" customFormat="false" ht="15" hidden="false" customHeight="false" outlineLevel="0" collapsed="false">
      <c r="A110" s="70"/>
      <c r="B110" s="70"/>
      <c r="C110" s="70"/>
      <c r="D110" s="68"/>
      <c r="E110" s="68"/>
      <c r="F110" s="68"/>
      <c r="G110" s="70"/>
      <c r="H110" s="68"/>
      <c r="I110" s="70"/>
    </row>
    <row r="111" customFormat="false" ht="15" hidden="false" customHeight="false" outlineLevel="0" collapsed="false">
      <c r="A111" s="70"/>
      <c r="B111" s="70"/>
      <c r="C111" s="70"/>
      <c r="D111" s="68"/>
      <c r="E111" s="68"/>
      <c r="F111" s="68"/>
      <c r="G111" s="70"/>
      <c r="H111" s="68"/>
      <c r="I111" s="70"/>
    </row>
    <row r="112" customFormat="false" ht="15" hidden="false" customHeight="false" outlineLevel="0" collapsed="false">
      <c r="A112" s="70"/>
      <c r="B112" s="70"/>
      <c r="C112" s="70"/>
      <c r="D112" s="68"/>
      <c r="E112" s="68"/>
      <c r="F112" s="68"/>
      <c r="G112" s="70"/>
      <c r="H112" s="68"/>
      <c r="I112" s="70"/>
    </row>
    <row r="113" customFormat="false" ht="15" hidden="false" customHeight="false" outlineLevel="0" collapsed="false">
      <c r="A113" s="70"/>
      <c r="B113" s="70"/>
      <c r="C113" s="70"/>
      <c r="D113" s="68"/>
      <c r="E113" s="68"/>
      <c r="F113" s="68"/>
      <c r="G113" s="70"/>
      <c r="H113" s="68"/>
      <c r="I113" s="70"/>
    </row>
    <row r="114" customFormat="false" ht="15" hidden="false" customHeight="false" outlineLevel="0" collapsed="false">
      <c r="A114" s="70"/>
      <c r="B114" s="70"/>
      <c r="C114" s="70"/>
      <c r="D114" s="68"/>
      <c r="E114" s="68"/>
      <c r="F114" s="68"/>
      <c r="G114" s="70"/>
      <c r="H114" s="68"/>
      <c r="I114" s="70"/>
    </row>
    <row r="115" customFormat="false" ht="15" hidden="false" customHeight="false" outlineLevel="0" collapsed="false">
      <c r="A115" s="70"/>
      <c r="B115" s="70"/>
      <c r="C115" s="70"/>
      <c r="D115" s="68"/>
      <c r="E115" s="68"/>
      <c r="F115" s="68"/>
      <c r="G115" s="70"/>
      <c r="H115" s="68"/>
      <c r="I115" s="70"/>
    </row>
    <row r="116" customFormat="false" ht="15" hidden="false" customHeight="false" outlineLevel="0" collapsed="false">
      <c r="A116" s="70"/>
      <c r="B116" s="70"/>
      <c r="C116" s="70"/>
      <c r="D116" s="68"/>
      <c r="E116" s="68"/>
      <c r="F116" s="68"/>
      <c r="G116" s="70"/>
      <c r="H116" s="68"/>
      <c r="I116" s="70"/>
    </row>
    <row r="117" customFormat="false" ht="15" hidden="false" customHeight="false" outlineLevel="0" collapsed="false">
      <c r="A117" s="70"/>
      <c r="B117" s="70"/>
      <c r="C117" s="70"/>
      <c r="D117" s="68"/>
      <c r="E117" s="68"/>
      <c r="F117" s="68"/>
      <c r="G117" s="70"/>
      <c r="H117" s="68"/>
      <c r="I117" s="70"/>
    </row>
    <row r="118" customFormat="false" ht="15" hidden="false" customHeight="false" outlineLevel="0" collapsed="false">
      <c r="A118" s="70"/>
      <c r="B118" s="70"/>
      <c r="C118" s="70"/>
      <c r="D118" s="68"/>
      <c r="E118" s="68"/>
      <c r="F118" s="68"/>
      <c r="G118" s="70"/>
      <c r="H118" s="68"/>
      <c r="I118" s="70"/>
    </row>
    <row r="119" customFormat="false" ht="15" hidden="false" customHeight="false" outlineLevel="0" collapsed="false">
      <c r="A119" s="70"/>
      <c r="B119" s="70"/>
      <c r="C119" s="70"/>
      <c r="D119" s="68"/>
      <c r="E119" s="68"/>
      <c r="F119" s="68"/>
      <c r="G119" s="70"/>
      <c r="H119" s="68"/>
      <c r="I119" s="70"/>
    </row>
    <row r="120" customFormat="false" ht="15" hidden="false" customHeight="false" outlineLevel="0" collapsed="false">
      <c r="A120" s="70"/>
      <c r="B120" s="70"/>
      <c r="C120" s="70"/>
      <c r="D120" s="68"/>
      <c r="E120" s="68"/>
      <c r="F120" s="68"/>
      <c r="G120" s="70"/>
      <c r="H120" s="68"/>
      <c r="I120" s="70"/>
    </row>
    <row r="121" customFormat="false" ht="15" hidden="false" customHeight="false" outlineLevel="0" collapsed="false">
      <c r="A121" s="70"/>
      <c r="B121" s="70"/>
      <c r="C121" s="70"/>
      <c r="D121" s="68"/>
      <c r="E121" s="68"/>
      <c r="F121" s="68"/>
      <c r="G121" s="70"/>
      <c r="H121" s="68"/>
      <c r="I121" s="70"/>
    </row>
    <row r="122" customFormat="false" ht="15" hidden="false" customHeight="false" outlineLevel="0" collapsed="false">
      <c r="A122" s="70"/>
      <c r="B122" s="70"/>
      <c r="C122" s="70"/>
      <c r="D122" s="68"/>
      <c r="E122" s="68"/>
      <c r="F122" s="68"/>
      <c r="G122" s="70"/>
      <c r="H122" s="68"/>
      <c r="I122" s="70"/>
    </row>
    <row r="123" customFormat="false" ht="15" hidden="false" customHeight="false" outlineLevel="0" collapsed="false">
      <c r="A123" s="70"/>
      <c r="B123" s="70"/>
      <c r="C123" s="70"/>
      <c r="D123" s="68"/>
      <c r="E123" s="68"/>
      <c r="F123" s="68"/>
      <c r="G123" s="70"/>
      <c r="H123" s="68"/>
      <c r="I123" s="70"/>
    </row>
    <row r="124" customFormat="false" ht="15" hidden="false" customHeight="false" outlineLevel="0" collapsed="false">
      <c r="A124" s="70"/>
      <c r="B124" s="70"/>
      <c r="C124" s="70"/>
      <c r="D124" s="68"/>
      <c r="E124" s="68"/>
      <c r="F124" s="68"/>
      <c r="G124" s="70"/>
      <c r="H124" s="68"/>
      <c r="I124" s="70"/>
    </row>
    <row r="125" customFormat="false" ht="15" hidden="false" customHeight="false" outlineLevel="0" collapsed="false">
      <c r="A125" s="70"/>
      <c r="B125" s="70"/>
      <c r="C125" s="70"/>
      <c r="D125" s="68"/>
      <c r="E125" s="68"/>
      <c r="F125" s="68"/>
      <c r="G125" s="70"/>
      <c r="H125" s="68"/>
      <c r="I125" s="70"/>
    </row>
    <row r="126" customFormat="false" ht="15" hidden="false" customHeight="false" outlineLevel="0" collapsed="false">
      <c r="A126" s="70"/>
      <c r="B126" s="70"/>
      <c r="C126" s="70"/>
      <c r="D126" s="68"/>
      <c r="E126" s="68"/>
      <c r="F126" s="68"/>
      <c r="G126" s="70"/>
      <c r="H126" s="68"/>
      <c r="I126" s="70"/>
    </row>
    <row r="127" customFormat="false" ht="15" hidden="false" customHeight="false" outlineLevel="0" collapsed="false">
      <c r="A127" s="70"/>
      <c r="B127" s="70"/>
      <c r="C127" s="70"/>
      <c r="D127" s="68"/>
      <c r="E127" s="68"/>
      <c r="F127" s="68"/>
      <c r="G127" s="70"/>
      <c r="H127" s="68"/>
      <c r="I127" s="70"/>
    </row>
    <row r="128" customFormat="false" ht="15" hidden="false" customHeight="false" outlineLevel="0" collapsed="false">
      <c r="A128" s="70"/>
      <c r="B128" s="70"/>
      <c r="C128" s="70"/>
      <c r="D128" s="68"/>
      <c r="E128" s="68"/>
      <c r="F128" s="68"/>
      <c r="G128" s="70"/>
      <c r="H128" s="68"/>
      <c r="I128" s="70"/>
    </row>
    <row r="129" customFormat="false" ht="15" hidden="false" customHeight="false" outlineLevel="0" collapsed="false">
      <c r="A129" s="70"/>
      <c r="B129" s="70"/>
      <c r="C129" s="70"/>
      <c r="D129" s="68"/>
      <c r="E129" s="68"/>
      <c r="F129" s="68"/>
      <c r="G129" s="70"/>
      <c r="H129" s="68"/>
      <c r="I129" s="70"/>
    </row>
    <row r="130" customFormat="false" ht="15" hidden="false" customHeight="false" outlineLevel="0" collapsed="false">
      <c r="A130" s="70"/>
      <c r="B130" s="70"/>
      <c r="C130" s="70"/>
      <c r="D130" s="68"/>
      <c r="E130" s="68"/>
      <c r="F130" s="68"/>
      <c r="G130" s="70"/>
      <c r="H130" s="68"/>
      <c r="I130" s="70"/>
    </row>
    <row r="131" customFormat="false" ht="15" hidden="false" customHeight="false" outlineLevel="0" collapsed="false">
      <c r="A131" s="70"/>
      <c r="B131" s="70"/>
      <c r="C131" s="70"/>
      <c r="D131" s="68"/>
      <c r="E131" s="68"/>
      <c r="F131" s="68"/>
      <c r="G131" s="70"/>
      <c r="H131" s="68"/>
      <c r="I131" s="70"/>
    </row>
    <row r="132" customFormat="false" ht="15" hidden="false" customHeight="false" outlineLevel="0" collapsed="false">
      <c r="A132" s="70"/>
      <c r="B132" s="70"/>
      <c r="C132" s="70"/>
      <c r="D132" s="68"/>
      <c r="E132" s="68"/>
      <c r="F132" s="68"/>
      <c r="G132" s="70"/>
      <c r="H132" s="68"/>
      <c r="I132" s="70"/>
    </row>
    <row r="133" customFormat="false" ht="15" hidden="false" customHeight="false" outlineLevel="0" collapsed="false">
      <c r="A133" s="70"/>
      <c r="B133" s="70"/>
      <c r="C133" s="70"/>
      <c r="D133" s="68"/>
      <c r="E133" s="68"/>
      <c r="F133" s="68"/>
      <c r="G133" s="70"/>
      <c r="H133" s="68"/>
      <c r="I133" s="70"/>
    </row>
    <row r="134" customFormat="false" ht="15" hidden="false" customHeight="false" outlineLevel="0" collapsed="false">
      <c r="A134" s="70"/>
      <c r="B134" s="70"/>
      <c r="C134" s="70"/>
      <c r="D134" s="68"/>
      <c r="E134" s="68"/>
      <c r="F134" s="68"/>
      <c r="G134" s="70"/>
      <c r="H134" s="68"/>
      <c r="I134" s="70"/>
    </row>
    <row r="135" customFormat="false" ht="15" hidden="false" customHeight="false" outlineLevel="0" collapsed="false">
      <c r="A135" s="70"/>
      <c r="B135" s="70"/>
      <c r="C135" s="70"/>
      <c r="D135" s="68"/>
      <c r="E135" s="68"/>
      <c r="F135" s="68"/>
      <c r="G135" s="70"/>
      <c r="H135" s="68"/>
      <c r="I135" s="70"/>
    </row>
    <row r="136" customFormat="false" ht="15" hidden="false" customHeight="false" outlineLevel="0" collapsed="false">
      <c r="A136" s="70"/>
      <c r="B136" s="70"/>
      <c r="C136" s="70"/>
      <c r="D136" s="68"/>
      <c r="E136" s="68"/>
      <c r="F136" s="68"/>
      <c r="G136" s="70"/>
      <c r="H136" s="68"/>
      <c r="I136" s="70"/>
    </row>
    <row r="137" customFormat="false" ht="15" hidden="false" customHeight="false" outlineLevel="0" collapsed="false">
      <c r="A137" s="70"/>
      <c r="B137" s="70"/>
      <c r="C137" s="70"/>
      <c r="D137" s="68"/>
      <c r="E137" s="68"/>
      <c r="F137" s="68"/>
      <c r="G137" s="70"/>
      <c r="H137" s="68"/>
      <c r="I137" s="70"/>
    </row>
    <row r="138" customFormat="false" ht="15" hidden="false" customHeight="false" outlineLevel="0" collapsed="false">
      <c r="A138" s="70"/>
      <c r="B138" s="70"/>
      <c r="C138" s="70"/>
      <c r="D138" s="68"/>
      <c r="E138" s="68"/>
      <c r="F138" s="68"/>
      <c r="G138" s="70"/>
      <c r="H138" s="68"/>
      <c r="I138" s="70"/>
    </row>
    <row r="139" customFormat="false" ht="15" hidden="false" customHeight="false" outlineLevel="0" collapsed="false">
      <c r="A139" s="70"/>
      <c r="B139" s="70"/>
      <c r="C139" s="70"/>
      <c r="D139" s="68"/>
      <c r="E139" s="68"/>
      <c r="F139" s="68"/>
      <c r="G139" s="70"/>
      <c r="H139" s="68"/>
      <c r="I139" s="70"/>
    </row>
    <row r="140" customFormat="false" ht="15" hidden="false" customHeight="false" outlineLevel="0" collapsed="false">
      <c r="A140" s="70"/>
      <c r="B140" s="70"/>
      <c r="C140" s="70"/>
      <c r="D140" s="68"/>
      <c r="E140" s="68"/>
      <c r="F140" s="68"/>
      <c r="G140" s="70"/>
      <c r="H140" s="68"/>
      <c r="I140" s="70"/>
    </row>
    <row r="141" customFormat="false" ht="15" hidden="false" customHeight="false" outlineLevel="0" collapsed="false">
      <c r="A141" s="70"/>
      <c r="B141" s="70"/>
      <c r="C141" s="70"/>
      <c r="D141" s="68"/>
      <c r="E141" s="68"/>
      <c r="F141" s="68"/>
      <c r="G141" s="70"/>
      <c r="H141" s="68"/>
      <c r="I141" s="70"/>
    </row>
    <row r="142" customFormat="false" ht="15" hidden="false" customHeight="false" outlineLevel="0" collapsed="false">
      <c r="A142" s="70"/>
      <c r="B142" s="70"/>
      <c r="C142" s="70"/>
      <c r="D142" s="68"/>
      <c r="E142" s="68"/>
      <c r="F142" s="68"/>
      <c r="G142" s="70"/>
      <c r="H142" s="68"/>
      <c r="I142" s="70"/>
    </row>
    <row r="143" customFormat="false" ht="15" hidden="false" customHeight="false" outlineLevel="0" collapsed="false">
      <c r="A143" s="70"/>
      <c r="B143" s="70"/>
      <c r="C143" s="70"/>
      <c r="D143" s="68"/>
      <c r="E143" s="68"/>
      <c r="F143" s="68"/>
      <c r="G143" s="70"/>
      <c r="H143" s="68"/>
      <c r="I143" s="70"/>
    </row>
    <row r="144" customFormat="false" ht="15" hidden="false" customHeight="false" outlineLevel="0" collapsed="false">
      <c r="A144" s="70"/>
      <c r="B144" s="70"/>
      <c r="C144" s="70"/>
      <c r="D144" s="68"/>
      <c r="E144" s="68"/>
      <c r="F144" s="68"/>
      <c r="G144" s="70"/>
      <c r="H144" s="68"/>
      <c r="I144" s="70"/>
    </row>
    <row r="145" customFormat="false" ht="15" hidden="false" customHeight="false" outlineLevel="0" collapsed="false">
      <c r="A145" s="70"/>
      <c r="B145" s="70"/>
      <c r="C145" s="70"/>
      <c r="D145" s="68"/>
      <c r="E145" s="68"/>
      <c r="F145" s="68"/>
      <c r="G145" s="70"/>
      <c r="H145" s="68"/>
      <c r="I145" s="70"/>
    </row>
    <row r="146" customFormat="false" ht="15" hidden="false" customHeight="false" outlineLevel="0" collapsed="false">
      <c r="A146" s="70"/>
      <c r="B146" s="70"/>
      <c r="C146" s="70"/>
      <c r="D146" s="68"/>
      <c r="E146" s="68"/>
      <c r="F146" s="68"/>
      <c r="G146" s="70"/>
      <c r="H146" s="68"/>
      <c r="I146" s="70"/>
    </row>
    <row r="147" customFormat="false" ht="15" hidden="false" customHeight="false" outlineLevel="0" collapsed="false">
      <c r="A147" s="70"/>
      <c r="B147" s="70"/>
      <c r="C147" s="70"/>
      <c r="D147" s="68"/>
      <c r="E147" s="68"/>
      <c r="F147" s="68"/>
      <c r="G147" s="70"/>
      <c r="H147" s="68"/>
      <c r="I147" s="70"/>
    </row>
    <row r="148" customFormat="false" ht="15" hidden="false" customHeight="false" outlineLevel="0" collapsed="false">
      <c r="A148" s="70"/>
      <c r="B148" s="70"/>
      <c r="C148" s="70"/>
      <c r="D148" s="68"/>
      <c r="E148" s="68"/>
      <c r="F148" s="68"/>
      <c r="G148" s="70"/>
      <c r="H148" s="68"/>
      <c r="I148" s="70"/>
    </row>
    <row r="149" customFormat="false" ht="15" hidden="false" customHeight="false" outlineLevel="0" collapsed="false">
      <c r="A149" s="70"/>
      <c r="B149" s="70"/>
      <c r="C149" s="70"/>
      <c r="D149" s="68"/>
      <c r="E149" s="68"/>
      <c r="F149" s="68"/>
      <c r="G149" s="70"/>
      <c r="H149" s="68"/>
      <c r="I149" s="70"/>
    </row>
    <row r="150" customFormat="false" ht="15" hidden="false" customHeight="false" outlineLevel="0" collapsed="false">
      <c r="A150" s="70"/>
      <c r="B150" s="70"/>
      <c r="C150" s="70"/>
      <c r="D150" s="68"/>
      <c r="E150" s="68"/>
      <c r="F150" s="68"/>
      <c r="G150" s="70"/>
      <c r="H150" s="68"/>
      <c r="I150" s="70"/>
    </row>
    <row r="151" customFormat="false" ht="15" hidden="false" customHeight="false" outlineLevel="0" collapsed="false">
      <c r="A151" s="70"/>
      <c r="B151" s="70"/>
      <c r="C151" s="70"/>
      <c r="D151" s="68"/>
      <c r="E151" s="68"/>
      <c r="F151" s="68"/>
      <c r="G151" s="70"/>
      <c r="H151" s="68"/>
      <c r="I151" s="70"/>
    </row>
    <row r="152" customFormat="false" ht="15" hidden="false" customHeight="false" outlineLevel="0" collapsed="false">
      <c r="A152" s="70"/>
      <c r="B152" s="70"/>
      <c r="C152" s="70"/>
      <c r="D152" s="68"/>
      <c r="E152" s="68"/>
      <c r="F152" s="68"/>
      <c r="G152" s="70"/>
      <c r="H152" s="68"/>
      <c r="I152" s="70"/>
    </row>
    <row r="153" customFormat="false" ht="15" hidden="false" customHeight="false" outlineLevel="0" collapsed="false">
      <c r="A153" s="70"/>
      <c r="B153" s="70"/>
      <c r="C153" s="70"/>
      <c r="D153" s="68"/>
      <c r="E153" s="68"/>
      <c r="F153" s="68"/>
      <c r="G153" s="70"/>
      <c r="H153" s="68"/>
      <c r="I153" s="70"/>
    </row>
    <row r="154" customFormat="false" ht="15" hidden="false" customHeight="false" outlineLevel="0" collapsed="false">
      <c r="A154" s="70"/>
      <c r="B154" s="70"/>
      <c r="C154" s="70"/>
      <c r="D154" s="68"/>
      <c r="E154" s="68"/>
      <c r="F154" s="68"/>
      <c r="G154" s="70"/>
      <c r="H154" s="68"/>
      <c r="I154" s="70"/>
    </row>
    <row r="155" customFormat="false" ht="15" hidden="false" customHeight="false" outlineLevel="0" collapsed="false">
      <c r="A155" s="70"/>
      <c r="B155" s="70"/>
      <c r="C155" s="70"/>
      <c r="D155" s="68"/>
      <c r="E155" s="68"/>
      <c r="F155" s="68"/>
      <c r="G155" s="70"/>
      <c r="H155" s="68"/>
      <c r="I155" s="70"/>
    </row>
    <row r="156" customFormat="false" ht="15" hidden="false" customHeight="false" outlineLevel="0" collapsed="false">
      <c r="A156" s="70"/>
      <c r="B156" s="70"/>
      <c r="C156" s="70"/>
      <c r="D156" s="68"/>
      <c r="E156" s="68"/>
      <c r="F156" s="68"/>
      <c r="G156" s="70"/>
      <c r="H156" s="68"/>
      <c r="I156" s="70"/>
    </row>
    <row r="157" customFormat="false" ht="15" hidden="false" customHeight="false" outlineLevel="0" collapsed="false">
      <c r="A157" s="70"/>
      <c r="B157" s="70"/>
      <c r="C157" s="70"/>
      <c r="D157" s="68"/>
      <c r="E157" s="68"/>
      <c r="F157" s="68"/>
      <c r="G157" s="70"/>
      <c r="H157" s="68"/>
      <c r="I157" s="70"/>
    </row>
    <row r="158" customFormat="false" ht="15" hidden="false" customHeight="false" outlineLevel="0" collapsed="false">
      <c r="A158" s="70"/>
      <c r="B158" s="70"/>
      <c r="C158" s="70"/>
      <c r="D158" s="68"/>
      <c r="E158" s="68"/>
      <c r="F158" s="68"/>
      <c r="G158" s="70"/>
      <c r="H158" s="68"/>
      <c r="I158" s="70"/>
    </row>
    <row r="159" customFormat="false" ht="15" hidden="false" customHeight="false" outlineLevel="0" collapsed="false">
      <c r="A159" s="70"/>
      <c r="B159" s="70"/>
      <c r="C159" s="70"/>
      <c r="D159" s="68"/>
      <c r="E159" s="68"/>
      <c r="F159" s="68"/>
      <c r="G159" s="70"/>
      <c r="H159" s="68"/>
      <c r="I159" s="70"/>
    </row>
    <row r="160" customFormat="false" ht="15" hidden="false" customHeight="false" outlineLevel="0" collapsed="false">
      <c r="A160" s="70"/>
      <c r="B160" s="70"/>
      <c r="C160" s="70"/>
      <c r="D160" s="68"/>
      <c r="E160" s="68"/>
      <c r="F160" s="68"/>
      <c r="G160" s="70"/>
      <c r="H160" s="68"/>
      <c r="I160" s="70"/>
    </row>
    <row r="161" customFormat="false" ht="15" hidden="false" customHeight="false" outlineLevel="0" collapsed="false">
      <c r="A161" s="70"/>
      <c r="B161" s="70"/>
      <c r="C161" s="70"/>
      <c r="D161" s="68"/>
      <c r="E161" s="68"/>
      <c r="F161" s="68"/>
      <c r="G161" s="70"/>
      <c r="H161" s="68"/>
      <c r="I161" s="70"/>
    </row>
    <row r="162" customFormat="false" ht="15" hidden="false" customHeight="false" outlineLevel="0" collapsed="false">
      <c r="A162" s="70"/>
      <c r="B162" s="70"/>
      <c r="C162" s="70"/>
      <c r="D162" s="68"/>
      <c r="E162" s="68"/>
      <c r="F162" s="68"/>
      <c r="G162" s="70"/>
      <c r="H162" s="68"/>
      <c r="I162" s="70"/>
    </row>
    <row r="163" customFormat="false" ht="15" hidden="false" customHeight="false" outlineLevel="0" collapsed="false">
      <c r="A163" s="70"/>
      <c r="B163" s="70"/>
      <c r="C163" s="70"/>
      <c r="D163" s="68"/>
      <c r="E163" s="68"/>
      <c r="F163" s="68"/>
      <c r="G163" s="70"/>
      <c r="H163" s="68"/>
      <c r="I163" s="70"/>
    </row>
    <row r="164" customFormat="false" ht="15" hidden="false" customHeight="false" outlineLevel="0" collapsed="false">
      <c r="A164" s="70"/>
      <c r="B164" s="70"/>
      <c r="C164" s="70"/>
      <c r="D164" s="68"/>
      <c r="E164" s="68"/>
      <c r="F164" s="68"/>
      <c r="G164" s="70"/>
      <c r="H164" s="68"/>
      <c r="I164" s="70"/>
    </row>
    <row r="165" customFormat="false" ht="15" hidden="false" customHeight="false" outlineLevel="0" collapsed="false">
      <c r="A165" s="70"/>
      <c r="B165" s="70"/>
      <c r="C165" s="70"/>
      <c r="D165" s="68"/>
      <c r="E165" s="68"/>
      <c r="F165" s="68"/>
      <c r="G165" s="70"/>
      <c r="H165" s="68"/>
      <c r="I165" s="70"/>
    </row>
    <row r="166" customFormat="false" ht="15" hidden="false" customHeight="false" outlineLevel="0" collapsed="false">
      <c r="A166" s="70"/>
      <c r="B166" s="70"/>
      <c r="C166" s="70"/>
      <c r="D166" s="68"/>
      <c r="E166" s="68"/>
      <c r="F166" s="68"/>
      <c r="G166" s="70"/>
      <c r="H166" s="68"/>
      <c r="I166" s="70"/>
    </row>
    <row r="167" customFormat="false" ht="15" hidden="false" customHeight="false" outlineLevel="0" collapsed="false">
      <c r="A167" s="70"/>
      <c r="B167" s="70"/>
      <c r="C167" s="70"/>
      <c r="D167" s="68"/>
      <c r="E167" s="68"/>
      <c r="F167" s="68"/>
      <c r="G167" s="70"/>
      <c r="H167" s="68"/>
      <c r="I167" s="70"/>
    </row>
    <row r="168" customFormat="false" ht="15" hidden="false" customHeight="false" outlineLevel="0" collapsed="false">
      <c r="A168" s="70"/>
      <c r="B168" s="70"/>
      <c r="C168" s="70"/>
      <c r="D168" s="68"/>
      <c r="E168" s="68"/>
      <c r="F168" s="68"/>
      <c r="G168" s="70"/>
      <c r="H168" s="68"/>
      <c r="I168" s="70"/>
    </row>
    <row r="169" customFormat="false" ht="15" hidden="false" customHeight="false" outlineLevel="0" collapsed="false">
      <c r="A169" s="70"/>
      <c r="B169" s="70"/>
      <c r="C169" s="70"/>
      <c r="D169" s="68"/>
      <c r="E169" s="68"/>
      <c r="F169" s="68"/>
      <c r="G169" s="70"/>
      <c r="H169" s="68"/>
      <c r="I169" s="70"/>
    </row>
    <row r="170" customFormat="false" ht="15" hidden="false" customHeight="false" outlineLevel="0" collapsed="false">
      <c r="A170" s="70"/>
      <c r="B170" s="70"/>
      <c r="C170" s="70"/>
      <c r="D170" s="68"/>
      <c r="E170" s="68"/>
      <c r="F170" s="68"/>
      <c r="G170" s="70"/>
      <c r="H170" s="68"/>
      <c r="I170" s="70"/>
    </row>
    <row r="171" customFormat="false" ht="15" hidden="false" customHeight="false" outlineLevel="0" collapsed="false">
      <c r="A171" s="70"/>
      <c r="B171" s="70"/>
      <c r="C171" s="70"/>
      <c r="D171" s="68"/>
      <c r="E171" s="68"/>
      <c r="F171" s="68"/>
      <c r="G171" s="70"/>
      <c r="H171" s="68"/>
      <c r="I171" s="70"/>
    </row>
    <row r="172" customFormat="false" ht="15" hidden="false" customHeight="false" outlineLevel="0" collapsed="false">
      <c r="A172" s="70"/>
      <c r="B172" s="70"/>
      <c r="C172" s="70"/>
      <c r="D172" s="68"/>
      <c r="E172" s="68"/>
      <c r="F172" s="68"/>
      <c r="G172" s="70"/>
      <c r="H172" s="68"/>
      <c r="I172" s="70"/>
    </row>
    <row r="173" customFormat="false" ht="15" hidden="false" customHeight="false" outlineLevel="0" collapsed="false">
      <c r="A173" s="70"/>
      <c r="B173" s="70"/>
      <c r="C173" s="70"/>
      <c r="D173" s="68"/>
      <c r="E173" s="68"/>
      <c r="F173" s="68"/>
      <c r="G173" s="70"/>
      <c r="H173" s="68"/>
      <c r="I173" s="70"/>
    </row>
    <row r="174" customFormat="false" ht="15" hidden="false" customHeight="false" outlineLevel="0" collapsed="false">
      <c r="A174" s="70"/>
      <c r="B174" s="70"/>
      <c r="C174" s="70"/>
      <c r="D174" s="68"/>
      <c r="E174" s="68"/>
      <c r="F174" s="68"/>
      <c r="G174" s="70"/>
      <c r="H174" s="68"/>
      <c r="I174" s="70"/>
    </row>
    <row r="175" customFormat="false" ht="15" hidden="false" customHeight="false" outlineLevel="0" collapsed="false">
      <c r="A175" s="70"/>
      <c r="B175" s="70"/>
      <c r="C175" s="70"/>
      <c r="D175" s="68"/>
      <c r="E175" s="68"/>
      <c r="F175" s="68"/>
      <c r="G175" s="70"/>
      <c r="H175" s="68"/>
      <c r="I175" s="70"/>
    </row>
    <row r="176" customFormat="false" ht="15" hidden="false" customHeight="false" outlineLevel="0" collapsed="false">
      <c r="A176" s="70"/>
      <c r="B176" s="70"/>
      <c r="C176" s="70"/>
      <c r="D176" s="68"/>
      <c r="E176" s="68"/>
      <c r="F176" s="68"/>
      <c r="G176" s="70"/>
      <c r="H176" s="68"/>
      <c r="I176" s="70"/>
    </row>
    <row r="177" customFormat="false" ht="15" hidden="false" customHeight="false" outlineLevel="0" collapsed="false">
      <c r="A177" s="70"/>
      <c r="B177" s="70"/>
      <c r="C177" s="70"/>
      <c r="D177" s="68"/>
      <c r="E177" s="68"/>
      <c r="F177" s="68"/>
      <c r="G177" s="70"/>
      <c r="H177" s="68"/>
      <c r="I177" s="70"/>
    </row>
    <row r="178" customFormat="false" ht="15" hidden="false" customHeight="false" outlineLevel="0" collapsed="false">
      <c r="A178" s="70"/>
      <c r="B178" s="70"/>
      <c r="C178" s="70"/>
      <c r="D178" s="68"/>
      <c r="E178" s="68"/>
      <c r="F178" s="68"/>
      <c r="G178" s="70"/>
      <c r="H178" s="68"/>
      <c r="I178" s="70"/>
    </row>
    <row r="179" customFormat="false" ht="15" hidden="false" customHeight="false" outlineLevel="0" collapsed="false">
      <c r="A179" s="70"/>
      <c r="B179" s="70"/>
      <c r="C179" s="70"/>
      <c r="D179" s="68"/>
      <c r="E179" s="68"/>
      <c r="F179" s="68"/>
      <c r="G179" s="70"/>
      <c r="H179" s="68"/>
      <c r="I179" s="70"/>
    </row>
    <row r="180" customFormat="false" ht="15" hidden="false" customHeight="false" outlineLevel="0" collapsed="false">
      <c r="A180" s="70"/>
      <c r="B180" s="70"/>
      <c r="C180" s="70"/>
      <c r="D180" s="68"/>
      <c r="E180" s="68"/>
      <c r="F180" s="68"/>
      <c r="G180" s="70"/>
      <c r="H180" s="68"/>
      <c r="I180" s="70"/>
    </row>
    <row r="181" customFormat="false" ht="15" hidden="false" customHeight="false" outlineLevel="0" collapsed="false">
      <c r="A181" s="70"/>
      <c r="B181" s="70"/>
      <c r="C181" s="70"/>
      <c r="D181" s="68"/>
      <c r="E181" s="68"/>
      <c r="F181" s="68"/>
      <c r="G181" s="70"/>
      <c r="H181" s="68"/>
      <c r="I181" s="70"/>
    </row>
    <row r="182" customFormat="false" ht="15" hidden="false" customHeight="false" outlineLevel="0" collapsed="false">
      <c r="A182" s="70"/>
      <c r="B182" s="70"/>
      <c r="C182" s="70"/>
      <c r="D182" s="68"/>
      <c r="E182" s="68"/>
      <c r="F182" s="68"/>
      <c r="G182" s="70"/>
      <c r="H182" s="68"/>
      <c r="I182" s="70"/>
    </row>
    <row r="183" customFormat="false" ht="15" hidden="false" customHeight="false" outlineLevel="0" collapsed="false">
      <c r="A183" s="70"/>
      <c r="B183" s="70"/>
      <c r="C183" s="70"/>
      <c r="D183" s="68"/>
      <c r="E183" s="68"/>
      <c r="F183" s="68"/>
      <c r="G183" s="70"/>
      <c r="H183" s="68"/>
      <c r="I183" s="70"/>
    </row>
    <row r="184" customFormat="false" ht="15" hidden="false" customHeight="false" outlineLevel="0" collapsed="false">
      <c r="A184" s="70"/>
      <c r="B184" s="70"/>
      <c r="C184" s="70"/>
      <c r="D184" s="68"/>
      <c r="E184" s="68"/>
      <c r="F184" s="68"/>
      <c r="G184" s="70"/>
      <c r="H184" s="68"/>
      <c r="I184" s="70"/>
    </row>
    <row r="185" customFormat="false" ht="15" hidden="false" customHeight="false" outlineLevel="0" collapsed="false">
      <c r="A185" s="70"/>
      <c r="B185" s="70"/>
      <c r="C185" s="70"/>
      <c r="D185" s="68"/>
      <c r="E185" s="68"/>
      <c r="F185" s="68"/>
      <c r="G185" s="70"/>
      <c r="H185" s="68"/>
      <c r="I185" s="70"/>
    </row>
    <row r="186" customFormat="false" ht="15" hidden="false" customHeight="false" outlineLevel="0" collapsed="false">
      <c r="A186" s="70"/>
      <c r="B186" s="70"/>
      <c r="C186" s="70"/>
      <c r="D186" s="68"/>
      <c r="E186" s="68"/>
      <c r="F186" s="68"/>
      <c r="G186" s="70"/>
      <c r="H186" s="68"/>
      <c r="I186" s="70"/>
    </row>
    <row r="187" customFormat="false" ht="15" hidden="false" customHeight="false" outlineLevel="0" collapsed="false">
      <c r="A187" s="70"/>
      <c r="B187" s="70"/>
      <c r="C187" s="70"/>
      <c r="D187" s="68"/>
      <c r="E187" s="68"/>
      <c r="F187" s="68"/>
      <c r="G187" s="70"/>
      <c r="H187" s="68"/>
      <c r="I187" s="70"/>
    </row>
    <row r="188" customFormat="false" ht="15" hidden="false" customHeight="false" outlineLevel="0" collapsed="false">
      <c r="A188" s="70"/>
      <c r="B188" s="70"/>
      <c r="C188" s="70"/>
      <c r="D188" s="68"/>
      <c r="E188" s="68"/>
      <c r="F188" s="68"/>
      <c r="G188" s="70"/>
      <c r="H188" s="68"/>
      <c r="I188" s="70"/>
    </row>
    <row r="189" customFormat="false" ht="15" hidden="false" customHeight="false" outlineLevel="0" collapsed="false">
      <c r="A189" s="70"/>
      <c r="B189" s="70"/>
      <c r="C189" s="70"/>
      <c r="D189" s="68"/>
      <c r="E189" s="68"/>
      <c r="F189" s="68"/>
      <c r="G189" s="70"/>
      <c r="H189" s="68"/>
      <c r="I189" s="70"/>
    </row>
    <row r="190" customFormat="false" ht="15" hidden="false" customHeight="false" outlineLevel="0" collapsed="false">
      <c r="A190" s="70"/>
      <c r="B190" s="70"/>
      <c r="C190" s="70"/>
      <c r="D190" s="68"/>
      <c r="E190" s="68"/>
      <c r="F190" s="68"/>
      <c r="G190" s="70"/>
      <c r="H190" s="68"/>
      <c r="I190" s="70"/>
    </row>
    <row r="191" customFormat="false" ht="15" hidden="false" customHeight="false" outlineLevel="0" collapsed="false">
      <c r="A191" s="70"/>
      <c r="B191" s="70"/>
      <c r="C191" s="70"/>
      <c r="D191" s="68"/>
      <c r="E191" s="68"/>
      <c r="F191" s="68"/>
      <c r="G191" s="70"/>
      <c r="H191" s="68"/>
      <c r="I191" s="70"/>
    </row>
    <row r="192" customFormat="false" ht="15" hidden="false" customHeight="false" outlineLevel="0" collapsed="false">
      <c r="A192" s="70"/>
      <c r="B192" s="70"/>
      <c r="C192" s="70"/>
      <c r="D192" s="68"/>
      <c r="E192" s="68"/>
      <c r="F192" s="68"/>
      <c r="G192" s="70"/>
      <c r="H192" s="68"/>
      <c r="I192" s="70"/>
    </row>
    <row r="193" customFormat="false" ht="15" hidden="false" customHeight="false" outlineLevel="0" collapsed="false">
      <c r="A193" s="70"/>
      <c r="B193" s="70"/>
      <c r="C193" s="70"/>
      <c r="D193" s="68"/>
      <c r="E193" s="68"/>
      <c r="F193" s="68"/>
      <c r="G193" s="70"/>
      <c r="H193" s="68"/>
      <c r="I193" s="70"/>
    </row>
    <row r="194" customFormat="false" ht="15" hidden="false" customHeight="false" outlineLevel="0" collapsed="false">
      <c r="A194" s="70"/>
      <c r="B194" s="70"/>
      <c r="C194" s="70"/>
      <c r="D194" s="68"/>
      <c r="E194" s="68"/>
      <c r="F194" s="68"/>
      <c r="G194" s="70"/>
      <c r="H194" s="68"/>
      <c r="I194" s="70"/>
    </row>
    <row r="195" customFormat="false" ht="15" hidden="false" customHeight="false" outlineLevel="0" collapsed="false">
      <c r="A195" s="70"/>
      <c r="B195" s="70"/>
      <c r="C195" s="70"/>
      <c r="D195" s="68"/>
      <c r="E195" s="68"/>
      <c r="F195" s="68"/>
      <c r="G195" s="70"/>
      <c r="H195" s="68"/>
      <c r="I195" s="70"/>
    </row>
    <row r="196" customFormat="false" ht="15" hidden="false" customHeight="false" outlineLevel="0" collapsed="false">
      <c r="A196" s="70"/>
      <c r="B196" s="70"/>
      <c r="C196" s="70"/>
      <c r="D196" s="68"/>
      <c r="E196" s="68"/>
      <c r="F196" s="68"/>
      <c r="G196" s="70"/>
      <c r="H196" s="68"/>
      <c r="I196" s="70"/>
    </row>
    <row r="197" customFormat="false" ht="15" hidden="false" customHeight="false" outlineLevel="0" collapsed="false">
      <c r="A197" s="70"/>
      <c r="B197" s="70"/>
      <c r="C197" s="70"/>
      <c r="D197" s="68"/>
      <c r="E197" s="68"/>
      <c r="F197" s="68"/>
      <c r="G197" s="70"/>
      <c r="H197" s="68"/>
      <c r="I197" s="70"/>
    </row>
    <row r="198" customFormat="false" ht="15" hidden="false" customHeight="false" outlineLevel="0" collapsed="false">
      <c r="A198" s="70"/>
      <c r="B198" s="70"/>
      <c r="C198" s="70"/>
      <c r="D198" s="68"/>
      <c r="E198" s="68"/>
      <c r="F198" s="68"/>
      <c r="G198" s="70"/>
      <c r="H198" s="68"/>
      <c r="I198" s="70"/>
    </row>
    <row r="199" customFormat="false" ht="15" hidden="false" customHeight="false" outlineLevel="0" collapsed="false">
      <c r="A199" s="70"/>
      <c r="B199" s="70"/>
      <c r="C199" s="70"/>
      <c r="D199" s="68"/>
      <c r="E199" s="68"/>
      <c r="F199" s="68"/>
      <c r="G199" s="70"/>
      <c r="H199" s="68"/>
      <c r="I199" s="70"/>
    </row>
    <row r="200" customFormat="false" ht="15" hidden="false" customHeight="false" outlineLevel="0" collapsed="false">
      <c r="A200" s="70"/>
      <c r="B200" s="70"/>
      <c r="C200" s="70"/>
      <c r="D200" s="68"/>
      <c r="E200" s="68"/>
      <c r="F200" s="68"/>
      <c r="G200" s="70"/>
      <c r="H200" s="68"/>
      <c r="I200" s="70"/>
    </row>
    <row r="201" customFormat="false" ht="15" hidden="false" customHeight="false" outlineLevel="0" collapsed="false">
      <c r="A201" s="70"/>
      <c r="B201" s="70"/>
      <c r="C201" s="70"/>
      <c r="D201" s="68"/>
      <c r="E201" s="68"/>
      <c r="F201" s="68"/>
      <c r="G201" s="70"/>
      <c r="H201" s="68"/>
      <c r="I201" s="70"/>
    </row>
    <row r="202" customFormat="false" ht="15" hidden="false" customHeight="false" outlineLevel="0" collapsed="false">
      <c r="A202" s="70"/>
      <c r="B202" s="70"/>
      <c r="C202" s="70"/>
      <c r="D202" s="68"/>
      <c r="E202" s="68"/>
      <c r="F202" s="68"/>
      <c r="G202" s="70"/>
      <c r="H202" s="68"/>
      <c r="I202" s="70"/>
    </row>
    <row r="203" customFormat="false" ht="15" hidden="false" customHeight="false" outlineLevel="0" collapsed="false">
      <c r="A203" s="70"/>
      <c r="B203" s="70"/>
      <c r="C203" s="70"/>
      <c r="D203" s="68"/>
      <c r="E203" s="68"/>
      <c r="F203" s="68"/>
      <c r="G203" s="70"/>
      <c r="H203" s="68"/>
      <c r="I203" s="70"/>
    </row>
    <row r="204" customFormat="false" ht="15" hidden="false" customHeight="false" outlineLevel="0" collapsed="false">
      <c r="A204" s="70"/>
      <c r="B204" s="70"/>
      <c r="C204" s="70"/>
      <c r="D204" s="68"/>
      <c r="E204" s="68"/>
      <c r="F204" s="68"/>
      <c r="G204" s="70"/>
      <c r="H204" s="68"/>
      <c r="I204" s="70"/>
    </row>
    <row r="205" customFormat="false" ht="15" hidden="false" customHeight="false" outlineLevel="0" collapsed="false">
      <c r="A205" s="70"/>
      <c r="B205" s="70"/>
      <c r="C205" s="70"/>
      <c r="D205" s="68"/>
      <c r="E205" s="68"/>
      <c r="F205" s="68"/>
      <c r="G205" s="70"/>
      <c r="H205" s="68"/>
      <c r="I205" s="70"/>
    </row>
    <row r="206" customFormat="false" ht="15" hidden="false" customHeight="false" outlineLevel="0" collapsed="false">
      <c r="A206" s="70"/>
      <c r="B206" s="70"/>
      <c r="C206" s="70"/>
      <c r="D206" s="68"/>
      <c r="E206" s="68"/>
      <c r="F206" s="68"/>
      <c r="G206" s="70"/>
      <c r="H206" s="68"/>
      <c r="I206" s="70"/>
    </row>
    <row r="207" customFormat="false" ht="15" hidden="false" customHeight="false" outlineLevel="0" collapsed="false">
      <c r="A207" s="70"/>
      <c r="B207" s="70"/>
      <c r="C207" s="70"/>
      <c r="D207" s="68"/>
      <c r="E207" s="68"/>
      <c r="F207" s="68"/>
      <c r="G207" s="70"/>
      <c r="H207" s="68"/>
      <c r="I207" s="70"/>
    </row>
    <row r="208" customFormat="false" ht="15" hidden="false" customHeight="false" outlineLevel="0" collapsed="false">
      <c r="A208" s="70"/>
      <c r="B208" s="70"/>
      <c r="C208" s="70"/>
      <c r="D208" s="68"/>
      <c r="E208" s="68"/>
      <c r="F208" s="68"/>
      <c r="G208" s="70"/>
      <c r="H208" s="68"/>
      <c r="I208" s="70"/>
    </row>
    <row r="209" customFormat="false" ht="15" hidden="false" customHeight="false" outlineLevel="0" collapsed="false">
      <c r="A209" s="70"/>
      <c r="B209" s="70"/>
      <c r="C209" s="70"/>
      <c r="D209" s="68"/>
      <c r="E209" s="68"/>
      <c r="F209" s="68"/>
      <c r="G209" s="70"/>
      <c r="H209" s="68"/>
      <c r="I209" s="70"/>
    </row>
    <row r="210" customFormat="false" ht="15" hidden="false" customHeight="false" outlineLevel="0" collapsed="false">
      <c r="A210" s="70"/>
      <c r="B210" s="70"/>
      <c r="C210" s="70"/>
      <c r="D210" s="68"/>
      <c r="E210" s="68"/>
      <c r="F210" s="68"/>
      <c r="G210" s="70"/>
      <c r="H210" s="68"/>
      <c r="I210" s="70"/>
    </row>
    <row r="211" customFormat="false" ht="15" hidden="false" customHeight="false" outlineLevel="0" collapsed="false">
      <c r="A211" s="70"/>
      <c r="B211" s="70"/>
      <c r="C211" s="70"/>
      <c r="D211" s="68"/>
      <c r="E211" s="68"/>
      <c r="F211" s="68"/>
      <c r="G211" s="70"/>
      <c r="H211" s="68"/>
      <c r="I211" s="70"/>
    </row>
    <row r="212" customFormat="false" ht="15" hidden="false" customHeight="false" outlineLevel="0" collapsed="false">
      <c r="A212" s="70"/>
      <c r="B212" s="70"/>
      <c r="C212" s="70"/>
      <c r="D212" s="68"/>
      <c r="E212" s="68"/>
      <c r="F212" s="68"/>
      <c r="G212" s="70"/>
      <c r="H212" s="68"/>
      <c r="I212" s="70"/>
    </row>
    <row r="213" customFormat="false" ht="15" hidden="false" customHeight="false" outlineLevel="0" collapsed="false">
      <c r="A213" s="70"/>
      <c r="B213" s="70"/>
      <c r="C213" s="70"/>
      <c r="D213" s="68"/>
      <c r="E213" s="68"/>
      <c r="F213" s="68"/>
      <c r="G213" s="70"/>
      <c r="H213" s="68"/>
      <c r="I213" s="70"/>
    </row>
    <row r="214" customFormat="false" ht="15" hidden="false" customHeight="false" outlineLevel="0" collapsed="false">
      <c r="A214" s="70"/>
      <c r="B214" s="70"/>
      <c r="C214" s="70"/>
      <c r="D214" s="68"/>
      <c r="E214" s="68"/>
      <c r="F214" s="68"/>
      <c r="G214" s="70"/>
      <c r="H214" s="68"/>
      <c r="I214" s="70"/>
    </row>
    <row r="215" customFormat="false" ht="15" hidden="false" customHeight="false" outlineLevel="0" collapsed="false">
      <c r="A215" s="70"/>
      <c r="B215" s="70"/>
      <c r="C215" s="70"/>
      <c r="D215" s="68"/>
      <c r="E215" s="68"/>
      <c r="F215" s="68"/>
      <c r="G215" s="70"/>
      <c r="H215" s="68"/>
      <c r="I215" s="70"/>
    </row>
    <row r="216" customFormat="false" ht="15" hidden="false" customHeight="false" outlineLevel="0" collapsed="false">
      <c r="A216" s="70"/>
      <c r="B216" s="70"/>
      <c r="C216" s="70"/>
      <c r="D216" s="68"/>
      <c r="E216" s="68"/>
      <c r="F216" s="68"/>
      <c r="G216" s="70"/>
      <c r="H216" s="68"/>
      <c r="I216" s="70"/>
    </row>
    <row r="217" customFormat="false" ht="15" hidden="false" customHeight="false" outlineLevel="0" collapsed="false">
      <c r="A217" s="70"/>
      <c r="B217" s="70"/>
      <c r="C217" s="70"/>
      <c r="D217" s="68"/>
      <c r="E217" s="68"/>
      <c r="F217" s="68"/>
      <c r="G217" s="70"/>
      <c r="H217" s="68"/>
      <c r="I217" s="70"/>
    </row>
    <row r="218" customFormat="false" ht="15" hidden="false" customHeight="false" outlineLevel="0" collapsed="false">
      <c r="A218" s="70"/>
      <c r="B218" s="70"/>
      <c r="C218" s="70"/>
      <c r="D218" s="68"/>
      <c r="E218" s="68"/>
      <c r="F218" s="68"/>
      <c r="G218" s="70"/>
      <c r="H218" s="68"/>
      <c r="I218" s="70"/>
    </row>
    <row r="219" customFormat="false" ht="15" hidden="false" customHeight="false" outlineLevel="0" collapsed="false">
      <c r="A219" s="70"/>
      <c r="B219" s="70"/>
      <c r="C219" s="70"/>
      <c r="D219" s="68"/>
      <c r="E219" s="68"/>
      <c r="F219" s="68"/>
      <c r="G219" s="70"/>
      <c r="H219" s="68"/>
      <c r="I219" s="70"/>
    </row>
    <row r="220" customFormat="false" ht="15" hidden="false" customHeight="false" outlineLevel="0" collapsed="false">
      <c r="A220" s="70"/>
      <c r="B220" s="70"/>
      <c r="C220" s="70"/>
      <c r="D220" s="68"/>
      <c r="E220" s="68"/>
      <c r="F220" s="68"/>
      <c r="G220" s="70"/>
      <c r="H220" s="68"/>
      <c r="I220" s="70"/>
    </row>
    <row r="221" customFormat="false" ht="15" hidden="false" customHeight="false" outlineLevel="0" collapsed="false">
      <c r="A221" s="70"/>
      <c r="B221" s="70"/>
      <c r="C221" s="70"/>
      <c r="D221" s="68"/>
      <c r="E221" s="68"/>
      <c r="F221" s="68"/>
      <c r="G221" s="70"/>
      <c r="H221" s="68"/>
      <c r="I221" s="70"/>
    </row>
    <row r="222" customFormat="false" ht="15" hidden="false" customHeight="false" outlineLevel="0" collapsed="false">
      <c r="A222" s="70"/>
      <c r="B222" s="70"/>
      <c r="C222" s="70"/>
      <c r="D222" s="68"/>
      <c r="E222" s="68"/>
      <c r="F222" s="68"/>
      <c r="G222" s="70"/>
      <c r="H222" s="68"/>
      <c r="I222" s="70"/>
    </row>
    <row r="223" customFormat="false" ht="15" hidden="false" customHeight="false" outlineLevel="0" collapsed="false">
      <c r="A223" s="70"/>
      <c r="B223" s="70"/>
      <c r="C223" s="70"/>
      <c r="D223" s="68"/>
      <c r="E223" s="68"/>
      <c r="F223" s="68"/>
      <c r="G223" s="70"/>
      <c r="H223" s="68"/>
      <c r="I223" s="70"/>
    </row>
    <row r="224" customFormat="false" ht="15" hidden="false" customHeight="false" outlineLevel="0" collapsed="false">
      <c r="A224" s="70"/>
      <c r="B224" s="70"/>
      <c r="C224" s="70"/>
      <c r="D224" s="68"/>
      <c r="E224" s="68"/>
      <c r="F224" s="68"/>
      <c r="G224" s="70"/>
      <c r="H224" s="68"/>
      <c r="I224" s="70"/>
    </row>
    <row r="225" customFormat="false" ht="15" hidden="false" customHeight="false" outlineLevel="0" collapsed="false">
      <c r="A225" s="70"/>
      <c r="B225" s="70"/>
      <c r="C225" s="70"/>
      <c r="D225" s="68"/>
      <c r="E225" s="68"/>
      <c r="F225" s="68"/>
      <c r="G225" s="70"/>
      <c r="H225" s="68"/>
      <c r="I225" s="70"/>
    </row>
    <row r="226" customFormat="false" ht="15" hidden="false" customHeight="false" outlineLevel="0" collapsed="false">
      <c r="A226" s="70"/>
      <c r="B226" s="70"/>
      <c r="C226" s="70"/>
      <c r="D226" s="68"/>
      <c r="E226" s="68"/>
      <c r="F226" s="68"/>
      <c r="G226" s="70"/>
      <c r="H226" s="68"/>
      <c r="I226" s="70"/>
    </row>
    <row r="227" customFormat="false" ht="15" hidden="false" customHeight="false" outlineLevel="0" collapsed="false">
      <c r="A227" s="70"/>
      <c r="B227" s="70"/>
      <c r="C227" s="70"/>
      <c r="D227" s="68"/>
      <c r="E227" s="68"/>
      <c r="F227" s="68"/>
      <c r="G227" s="70"/>
      <c r="H227" s="68"/>
      <c r="I227" s="70"/>
    </row>
    <row r="228" customFormat="false" ht="15" hidden="false" customHeight="false" outlineLevel="0" collapsed="false">
      <c r="A228" s="70"/>
      <c r="B228" s="70"/>
      <c r="C228" s="70"/>
      <c r="D228" s="68"/>
      <c r="E228" s="68"/>
      <c r="F228" s="68"/>
      <c r="G228" s="70"/>
      <c r="H228" s="68"/>
      <c r="I228" s="70"/>
    </row>
    <row r="229" customFormat="false" ht="15" hidden="false" customHeight="false" outlineLevel="0" collapsed="false">
      <c r="A229" s="70"/>
      <c r="B229" s="70"/>
      <c r="C229" s="70"/>
      <c r="D229" s="68"/>
      <c r="E229" s="68"/>
      <c r="F229" s="68"/>
      <c r="G229" s="70"/>
      <c r="H229" s="68"/>
      <c r="I229" s="70"/>
    </row>
    <row r="230" customFormat="false" ht="15" hidden="false" customHeight="false" outlineLevel="0" collapsed="false">
      <c r="A230" s="70"/>
      <c r="B230" s="70"/>
      <c r="C230" s="70"/>
      <c r="D230" s="68"/>
      <c r="E230" s="68"/>
      <c r="F230" s="68"/>
      <c r="G230" s="70"/>
      <c r="H230" s="68"/>
      <c r="I230" s="70"/>
    </row>
    <row r="231" customFormat="false" ht="15" hidden="false" customHeight="false" outlineLevel="0" collapsed="false">
      <c r="A231" s="70"/>
      <c r="B231" s="70"/>
      <c r="C231" s="70"/>
      <c r="D231" s="68"/>
      <c r="E231" s="68"/>
      <c r="F231" s="68"/>
      <c r="G231" s="70"/>
      <c r="H231" s="68"/>
      <c r="I231" s="70"/>
    </row>
    <row r="232" customFormat="false" ht="15" hidden="false" customHeight="false" outlineLevel="0" collapsed="false">
      <c r="A232" s="70"/>
      <c r="B232" s="70"/>
      <c r="C232" s="70"/>
      <c r="D232" s="68"/>
      <c r="E232" s="68"/>
      <c r="F232" s="68"/>
      <c r="G232" s="70"/>
      <c r="H232" s="68"/>
      <c r="I232" s="70"/>
    </row>
    <row r="233" customFormat="false" ht="15" hidden="false" customHeight="false" outlineLevel="0" collapsed="false">
      <c r="A233" s="70"/>
      <c r="B233" s="70"/>
      <c r="C233" s="70"/>
      <c r="D233" s="68"/>
      <c r="E233" s="68"/>
      <c r="F233" s="68"/>
      <c r="G233" s="70"/>
      <c r="H233" s="68"/>
      <c r="I233" s="70"/>
    </row>
    <row r="234" customFormat="false" ht="15" hidden="false" customHeight="false" outlineLevel="0" collapsed="false">
      <c r="A234" s="70"/>
      <c r="B234" s="70"/>
      <c r="C234" s="70"/>
      <c r="D234" s="68"/>
      <c r="E234" s="68"/>
      <c r="F234" s="68"/>
      <c r="G234" s="70"/>
      <c r="H234" s="68"/>
      <c r="I234" s="70"/>
    </row>
    <row r="235" customFormat="false" ht="15" hidden="false" customHeight="false" outlineLevel="0" collapsed="false">
      <c r="A235" s="70"/>
      <c r="B235" s="70"/>
      <c r="C235" s="70"/>
      <c r="D235" s="68"/>
      <c r="E235" s="68"/>
      <c r="F235" s="68"/>
      <c r="G235" s="70"/>
      <c r="H235" s="68"/>
      <c r="I235" s="70"/>
    </row>
    <row r="236" customFormat="false" ht="15" hidden="false" customHeight="false" outlineLevel="0" collapsed="false">
      <c r="A236" s="70"/>
      <c r="B236" s="70"/>
      <c r="C236" s="70"/>
      <c r="D236" s="68"/>
      <c r="E236" s="68"/>
      <c r="F236" s="68"/>
      <c r="G236" s="70"/>
      <c r="H236" s="68"/>
      <c r="I236" s="70"/>
    </row>
    <row r="237" customFormat="false" ht="15" hidden="false" customHeight="false" outlineLevel="0" collapsed="false">
      <c r="A237" s="70"/>
      <c r="B237" s="70"/>
      <c r="C237" s="70"/>
      <c r="D237" s="68"/>
      <c r="E237" s="68"/>
      <c r="F237" s="68"/>
      <c r="G237" s="70"/>
      <c r="H237" s="68"/>
      <c r="I237" s="70"/>
    </row>
    <row r="238" customFormat="false" ht="15" hidden="false" customHeight="false" outlineLevel="0" collapsed="false">
      <c r="A238" s="70"/>
      <c r="B238" s="70"/>
      <c r="C238" s="70"/>
      <c r="D238" s="68"/>
      <c r="E238" s="68"/>
      <c r="F238" s="68"/>
      <c r="G238" s="70"/>
      <c r="H238" s="68"/>
      <c r="I238" s="70"/>
    </row>
    <row r="239" customFormat="false" ht="15" hidden="false" customHeight="false" outlineLevel="0" collapsed="false">
      <c r="A239" s="70"/>
      <c r="B239" s="70"/>
      <c r="C239" s="70"/>
      <c r="D239" s="68"/>
      <c r="E239" s="68"/>
      <c r="F239" s="68"/>
      <c r="G239" s="70"/>
      <c r="H239" s="68"/>
      <c r="I239" s="70"/>
    </row>
    <row r="240" customFormat="false" ht="15" hidden="false" customHeight="false" outlineLevel="0" collapsed="false">
      <c r="A240" s="70"/>
      <c r="B240" s="70"/>
      <c r="C240" s="70"/>
      <c r="D240" s="68"/>
      <c r="E240" s="68"/>
      <c r="F240" s="68"/>
      <c r="G240" s="70"/>
      <c r="H240" s="68"/>
      <c r="I240" s="70"/>
    </row>
    <row r="241" customFormat="false" ht="15" hidden="false" customHeight="false" outlineLevel="0" collapsed="false">
      <c r="A241" s="70"/>
      <c r="B241" s="70"/>
      <c r="C241" s="70"/>
      <c r="D241" s="68"/>
      <c r="E241" s="68"/>
      <c r="F241" s="68"/>
      <c r="G241" s="70"/>
      <c r="H241" s="68"/>
      <c r="I241" s="70"/>
    </row>
    <row r="242" customFormat="false" ht="15" hidden="false" customHeight="false" outlineLevel="0" collapsed="false">
      <c r="A242" s="70"/>
      <c r="B242" s="70"/>
      <c r="C242" s="70"/>
      <c r="D242" s="68"/>
      <c r="E242" s="68"/>
      <c r="F242" s="68"/>
      <c r="G242" s="70"/>
      <c r="H242" s="68"/>
      <c r="I242" s="70"/>
    </row>
    <row r="243" customFormat="false" ht="15" hidden="false" customHeight="false" outlineLevel="0" collapsed="false">
      <c r="A243" s="70"/>
      <c r="B243" s="70"/>
      <c r="C243" s="70"/>
      <c r="D243" s="68"/>
      <c r="E243" s="68"/>
      <c r="F243" s="68"/>
      <c r="G243" s="70"/>
      <c r="H243" s="68"/>
      <c r="I243" s="70"/>
    </row>
    <row r="244" customFormat="false" ht="15" hidden="false" customHeight="false" outlineLevel="0" collapsed="false">
      <c r="A244" s="70"/>
      <c r="B244" s="70"/>
      <c r="C244" s="70"/>
      <c r="D244" s="68"/>
      <c r="E244" s="68"/>
      <c r="F244" s="68"/>
      <c r="G244" s="70"/>
      <c r="H244" s="68"/>
      <c r="I244" s="70"/>
    </row>
    <row r="245" customFormat="false" ht="15" hidden="false" customHeight="false" outlineLevel="0" collapsed="false">
      <c r="A245" s="70"/>
      <c r="B245" s="70"/>
      <c r="C245" s="70"/>
      <c r="D245" s="68"/>
      <c r="E245" s="68"/>
      <c r="F245" s="68"/>
      <c r="G245" s="70"/>
      <c r="H245" s="68"/>
      <c r="I245" s="70"/>
    </row>
    <row r="246" customFormat="false" ht="15" hidden="false" customHeight="false" outlineLevel="0" collapsed="false">
      <c r="A246" s="70"/>
      <c r="B246" s="70"/>
      <c r="C246" s="70"/>
      <c r="D246" s="68"/>
      <c r="E246" s="68"/>
      <c r="F246" s="68"/>
      <c r="G246" s="70"/>
      <c r="H246" s="68"/>
      <c r="I246" s="70"/>
    </row>
    <row r="247" customFormat="false" ht="15" hidden="false" customHeight="false" outlineLevel="0" collapsed="false">
      <c r="A247" s="70"/>
      <c r="B247" s="70"/>
      <c r="C247" s="70"/>
      <c r="D247" s="68"/>
      <c r="E247" s="68"/>
      <c r="F247" s="68"/>
      <c r="G247" s="70"/>
      <c r="H247" s="68"/>
      <c r="I247" s="70"/>
    </row>
    <row r="248" customFormat="false" ht="15" hidden="false" customHeight="false" outlineLevel="0" collapsed="false">
      <c r="A248" s="70"/>
      <c r="B248" s="70"/>
      <c r="C248" s="70"/>
      <c r="D248" s="68"/>
      <c r="E248" s="68"/>
      <c r="F248" s="68"/>
      <c r="G248" s="70"/>
      <c r="H248" s="68"/>
      <c r="I248" s="70"/>
    </row>
    <row r="249" customFormat="false" ht="15" hidden="false" customHeight="false" outlineLevel="0" collapsed="false">
      <c r="A249" s="70"/>
      <c r="B249" s="70"/>
      <c r="C249" s="70"/>
      <c r="D249" s="68"/>
      <c r="E249" s="68"/>
      <c r="F249" s="68"/>
      <c r="G249" s="70"/>
      <c r="H249" s="68"/>
      <c r="I249" s="70"/>
    </row>
    <row r="250" customFormat="false" ht="15" hidden="false" customHeight="false" outlineLevel="0" collapsed="false">
      <c r="A250" s="70"/>
      <c r="B250" s="70"/>
      <c r="C250" s="70"/>
      <c r="D250" s="68"/>
      <c r="E250" s="68"/>
      <c r="F250" s="68"/>
      <c r="G250" s="70"/>
      <c r="H250" s="68"/>
      <c r="I250" s="70"/>
    </row>
    <row r="251" customFormat="false" ht="15" hidden="false" customHeight="false" outlineLevel="0" collapsed="false">
      <c r="A251" s="70"/>
      <c r="B251" s="70"/>
      <c r="C251" s="70"/>
      <c r="D251" s="68"/>
      <c r="E251" s="68"/>
      <c r="F251" s="68"/>
      <c r="G251" s="70"/>
      <c r="H251" s="68"/>
      <c r="I251" s="70"/>
    </row>
    <row r="252" customFormat="false" ht="15" hidden="false" customHeight="false" outlineLevel="0" collapsed="false">
      <c r="A252" s="70"/>
      <c r="B252" s="70"/>
      <c r="C252" s="70"/>
      <c r="D252" s="68"/>
      <c r="E252" s="68"/>
      <c r="F252" s="68"/>
      <c r="G252" s="70"/>
      <c r="H252" s="68"/>
      <c r="I252" s="70"/>
    </row>
    <row r="253" customFormat="false" ht="15" hidden="false" customHeight="false" outlineLevel="0" collapsed="false">
      <c r="A253" s="70"/>
      <c r="B253" s="70"/>
      <c r="C253" s="70"/>
      <c r="D253" s="68"/>
      <c r="E253" s="68"/>
      <c r="F253" s="68"/>
      <c r="G253" s="70"/>
      <c r="H253" s="68"/>
      <c r="I253" s="70"/>
    </row>
    <row r="254" customFormat="false" ht="15" hidden="false" customHeight="false" outlineLevel="0" collapsed="false">
      <c r="A254" s="70"/>
      <c r="B254" s="70"/>
      <c r="C254" s="70"/>
      <c r="D254" s="68"/>
      <c r="E254" s="68"/>
      <c r="F254" s="68"/>
      <c r="G254" s="70"/>
      <c r="H254" s="68"/>
      <c r="I254" s="70"/>
    </row>
    <row r="255" customFormat="false" ht="15" hidden="false" customHeight="false" outlineLevel="0" collapsed="false">
      <c r="A255" s="70"/>
      <c r="B255" s="70"/>
      <c r="C255" s="70"/>
      <c r="D255" s="68"/>
      <c r="E255" s="68"/>
      <c r="F255" s="68"/>
      <c r="G255" s="70"/>
      <c r="H255" s="68"/>
      <c r="I255" s="70"/>
    </row>
    <row r="256" customFormat="false" ht="15" hidden="false" customHeight="false" outlineLevel="0" collapsed="false">
      <c r="A256" s="70"/>
      <c r="B256" s="70"/>
      <c r="C256" s="70"/>
      <c r="D256" s="68"/>
      <c r="E256" s="68"/>
      <c r="F256" s="68"/>
      <c r="G256" s="70"/>
      <c r="H256" s="68"/>
      <c r="I256" s="70"/>
    </row>
    <row r="257" customFormat="false" ht="15" hidden="false" customHeight="false" outlineLevel="0" collapsed="false">
      <c r="A257" s="70"/>
      <c r="B257" s="70"/>
      <c r="C257" s="70"/>
      <c r="D257" s="68"/>
      <c r="E257" s="68"/>
      <c r="F257" s="68"/>
      <c r="G257" s="70"/>
      <c r="H257" s="68"/>
      <c r="I257" s="70"/>
    </row>
    <row r="258" customFormat="false" ht="15" hidden="false" customHeight="false" outlineLevel="0" collapsed="false">
      <c r="A258" s="70"/>
      <c r="B258" s="70"/>
      <c r="C258" s="70"/>
      <c r="D258" s="68"/>
      <c r="E258" s="68"/>
      <c r="F258" s="68"/>
      <c r="G258" s="70"/>
      <c r="H258" s="68"/>
      <c r="I258" s="70"/>
    </row>
    <row r="259" customFormat="false" ht="15" hidden="false" customHeight="false" outlineLevel="0" collapsed="false">
      <c r="A259" s="70"/>
      <c r="B259" s="70"/>
      <c r="C259" s="70"/>
      <c r="D259" s="68"/>
      <c r="E259" s="68"/>
      <c r="F259" s="68"/>
      <c r="G259" s="70"/>
      <c r="H259" s="68"/>
      <c r="I259" s="70"/>
    </row>
    <row r="260" customFormat="false" ht="15" hidden="false" customHeight="false" outlineLevel="0" collapsed="false">
      <c r="A260" s="70"/>
      <c r="B260" s="70"/>
      <c r="C260" s="70"/>
      <c r="D260" s="68"/>
      <c r="E260" s="68"/>
      <c r="F260" s="68"/>
      <c r="G260" s="70"/>
      <c r="H260" s="68"/>
      <c r="I260" s="70"/>
    </row>
    <row r="261" customFormat="false" ht="15" hidden="false" customHeight="false" outlineLevel="0" collapsed="false">
      <c r="A261" s="70"/>
      <c r="B261" s="70"/>
      <c r="C261" s="70"/>
      <c r="D261" s="68"/>
      <c r="E261" s="68"/>
      <c r="F261" s="68"/>
      <c r="G261" s="70"/>
      <c r="H261" s="68"/>
      <c r="I261" s="70"/>
    </row>
    <row r="262" customFormat="false" ht="15" hidden="false" customHeight="false" outlineLevel="0" collapsed="false">
      <c r="A262" s="70"/>
      <c r="B262" s="70"/>
      <c r="C262" s="70"/>
      <c r="D262" s="68"/>
      <c r="E262" s="68"/>
      <c r="F262" s="68"/>
      <c r="G262" s="70"/>
      <c r="H262" s="68"/>
      <c r="I262" s="70"/>
    </row>
    <row r="263" customFormat="false" ht="15" hidden="false" customHeight="false" outlineLevel="0" collapsed="false">
      <c r="A263" s="70"/>
      <c r="B263" s="70"/>
      <c r="C263" s="70"/>
      <c r="D263" s="68"/>
      <c r="E263" s="68"/>
      <c r="F263" s="68"/>
      <c r="G263" s="70"/>
      <c r="H263" s="68"/>
      <c r="I263" s="70"/>
    </row>
    <row r="264" customFormat="false" ht="15" hidden="false" customHeight="false" outlineLevel="0" collapsed="false">
      <c r="A264" s="70"/>
      <c r="B264" s="70"/>
      <c r="C264" s="70"/>
      <c r="D264" s="68"/>
      <c r="E264" s="68"/>
      <c r="F264" s="68"/>
      <c r="G264" s="70"/>
      <c r="H264" s="68"/>
      <c r="I264" s="70"/>
    </row>
    <row r="265" customFormat="false" ht="15" hidden="false" customHeight="false" outlineLevel="0" collapsed="false">
      <c r="A265" s="70"/>
      <c r="B265" s="70"/>
      <c r="C265" s="70"/>
      <c r="D265" s="68"/>
      <c r="E265" s="68"/>
      <c r="F265" s="68"/>
      <c r="G265" s="70"/>
      <c r="H265" s="68"/>
      <c r="I265" s="70"/>
    </row>
    <row r="266" customFormat="false" ht="15" hidden="false" customHeight="false" outlineLevel="0" collapsed="false">
      <c r="A266" s="70"/>
      <c r="B266" s="70"/>
      <c r="C266" s="70"/>
      <c r="D266" s="68"/>
      <c r="E266" s="68"/>
      <c r="F266" s="68"/>
      <c r="G266" s="70"/>
      <c r="H266" s="68"/>
      <c r="I266" s="70"/>
    </row>
    <row r="267" customFormat="false" ht="15" hidden="false" customHeight="false" outlineLevel="0" collapsed="false">
      <c r="A267" s="70"/>
      <c r="B267" s="70"/>
      <c r="C267" s="70"/>
      <c r="D267" s="68"/>
      <c r="E267" s="68"/>
      <c r="F267" s="68"/>
      <c r="G267" s="70"/>
      <c r="H267" s="68"/>
      <c r="I267" s="70"/>
    </row>
    <row r="268" customFormat="false" ht="15" hidden="false" customHeight="false" outlineLevel="0" collapsed="false">
      <c r="A268" s="70"/>
      <c r="B268" s="70"/>
      <c r="C268" s="70"/>
      <c r="D268" s="68"/>
      <c r="E268" s="68"/>
      <c r="F268" s="68"/>
      <c r="G268" s="70"/>
      <c r="H268" s="68"/>
      <c r="I268" s="70"/>
    </row>
    <row r="269" customFormat="false" ht="15" hidden="false" customHeight="false" outlineLevel="0" collapsed="false">
      <c r="A269" s="70"/>
      <c r="B269" s="70"/>
      <c r="C269" s="70"/>
      <c r="D269" s="68"/>
      <c r="E269" s="68"/>
      <c r="F269" s="68"/>
      <c r="G269" s="70"/>
      <c r="H269" s="68"/>
      <c r="I269" s="70"/>
    </row>
    <row r="270" customFormat="false" ht="15" hidden="false" customHeight="false" outlineLevel="0" collapsed="false">
      <c r="A270" s="70"/>
      <c r="B270" s="70"/>
      <c r="C270" s="70"/>
      <c r="D270" s="68"/>
      <c r="E270" s="68"/>
      <c r="F270" s="68"/>
      <c r="G270" s="70"/>
      <c r="H270" s="68"/>
      <c r="I270" s="70"/>
    </row>
    <row r="271" customFormat="false" ht="15" hidden="false" customHeight="false" outlineLevel="0" collapsed="false">
      <c r="A271" s="70"/>
      <c r="B271" s="70"/>
      <c r="C271" s="70"/>
      <c r="D271" s="68"/>
      <c r="E271" s="68"/>
      <c r="F271" s="68"/>
      <c r="G271" s="70"/>
      <c r="H271" s="68"/>
      <c r="I271" s="70"/>
    </row>
    <row r="272" customFormat="false" ht="15" hidden="false" customHeight="false" outlineLevel="0" collapsed="false">
      <c r="A272" s="70"/>
      <c r="B272" s="70"/>
      <c r="C272" s="70"/>
      <c r="D272" s="68"/>
      <c r="E272" s="68"/>
      <c r="F272" s="68"/>
      <c r="G272" s="70"/>
      <c r="H272" s="68"/>
      <c r="I272" s="70"/>
    </row>
    <row r="273" customFormat="false" ht="15" hidden="false" customHeight="false" outlineLevel="0" collapsed="false">
      <c r="A273" s="70"/>
      <c r="B273" s="70"/>
      <c r="C273" s="70"/>
      <c r="D273" s="68"/>
      <c r="E273" s="68"/>
      <c r="F273" s="68"/>
      <c r="G273" s="70"/>
      <c r="H273" s="68"/>
      <c r="I273" s="70"/>
    </row>
    <row r="274" customFormat="false" ht="15" hidden="false" customHeight="false" outlineLevel="0" collapsed="false">
      <c r="A274" s="70"/>
      <c r="B274" s="70"/>
      <c r="C274" s="70"/>
      <c r="D274" s="68"/>
      <c r="E274" s="68"/>
      <c r="F274" s="68"/>
      <c r="G274" s="70"/>
      <c r="H274" s="68"/>
      <c r="I274" s="70"/>
    </row>
    <row r="275" customFormat="false" ht="15" hidden="false" customHeight="false" outlineLevel="0" collapsed="false">
      <c r="A275" s="70"/>
      <c r="B275" s="70"/>
      <c r="C275" s="70"/>
      <c r="D275" s="68"/>
      <c r="E275" s="68"/>
      <c r="F275" s="68"/>
      <c r="G275" s="70"/>
      <c r="H275" s="68"/>
      <c r="I275" s="70"/>
    </row>
    <row r="276" customFormat="false" ht="15" hidden="false" customHeight="false" outlineLevel="0" collapsed="false">
      <c r="A276" s="70"/>
      <c r="B276" s="70"/>
      <c r="C276" s="70"/>
      <c r="D276" s="68"/>
      <c r="E276" s="68"/>
      <c r="F276" s="68"/>
      <c r="G276" s="70"/>
      <c r="H276" s="68"/>
      <c r="I276" s="70"/>
    </row>
    <row r="277" customFormat="false" ht="15" hidden="false" customHeight="false" outlineLevel="0" collapsed="false">
      <c r="A277" s="70"/>
      <c r="B277" s="70"/>
      <c r="C277" s="70"/>
      <c r="D277" s="68"/>
      <c r="E277" s="68"/>
      <c r="F277" s="68"/>
      <c r="G277" s="70"/>
      <c r="H277" s="68"/>
      <c r="I277" s="70"/>
    </row>
    <row r="278" customFormat="false" ht="15" hidden="false" customHeight="false" outlineLevel="0" collapsed="false">
      <c r="A278" s="70"/>
      <c r="B278" s="70"/>
      <c r="C278" s="70"/>
      <c r="D278" s="68"/>
      <c r="E278" s="68"/>
      <c r="F278" s="68"/>
      <c r="G278" s="70"/>
      <c r="H278" s="68"/>
      <c r="I278" s="70"/>
    </row>
    <row r="279" customFormat="false" ht="15" hidden="false" customHeight="false" outlineLevel="0" collapsed="false">
      <c r="A279" s="70"/>
      <c r="B279" s="70"/>
      <c r="C279" s="70"/>
      <c r="D279" s="68"/>
      <c r="E279" s="68"/>
      <c r="F279" s="68"/>
      <c r="G279" s="70"/>
      <c r="H279" s="68"/>
      <c r="I279" s="70"/>
    </row>
    <row r="280" customFormat="false" ht="15" hidden="false" customHeight="false" outlineLevel="0" collapsed="false">
      <c r="A280" s="70"/>
      <c r="B280" s="70"/>
      <c r="C280" s="70"/>
      <c r="D280" s="68"/>
      <c r="E280" s="68"/>
      <c r="F280" s="68"/>
      <c r="G280" s="70"/>
      <c r="H280" s="68"/>
      <c r="I280" s="70"/>
    </row>
    <row r="281" customFormat="false" ht="15" hidden="false" customHeight="false" outlineLevel="0" collapsed="false">
      <c r="A281" s="70"/>
      <c r="B281" s="70"/>
      <c r="C281" s="70"/>
      <c r="D281" s="68"/>
      <c r="E281" s="68"/>
      <c r="F281" s="68"/>
      <c r="G281" s="70"/>
      <c r="H281" s="68"/>
      <c r="I281" s="70"/>
    </row>
    <row r="282" customFormat="false" ht="15" hidden="false" customHeight="false" outlineLevel="0" collapsed="false">
      <c r="A282" s="70"/>
      <c r="B282" s="70"/>
      <c r="C282" s="70"/>
      <c r="D282" s="68"/>
      <c r="E282" s="68"/>
      <c r="F282" s="68"/>
      <c r="G282" s="70"/>
      <c r="H282" s="68"/>
      <c r="I282" s="70"/>
    </row>
    <row r="283" customFormat="false" ht="15" hidden="false" customHeight="false" outlineLevel="0" collapsed="false">
      <c r="A283" s="70"/>
      <c r="B283" s="70"/>
      <c r="C283" s="70"/>
      <c r="D283" s="68"/>
      <c r="E283" s="68"/>
      <c r="F283" s="68"/>
      <c r="G283" s="70"/>
      <c r="H283" s="68"/>
      <c r="I283" s="70"/>
    </row>
    <row r="284" customFormat="false" ht="15" hidden="false" customHeight="false" outlineLevel="0" collapsed="false">
      <c r="A284" s="70"/>
      <c r="B284" s="70"/>
      <c r="C284" s="70"/>
      <c r="D284" s="68"/>
      <c r="E284" s="68"/>
      <c r="F284" s="68"/>
      <c r="G284" s="70"/>
      <c r="H284" s="68"/>
      <c r="I284" s="70"/>
    </row>
    <row r="285" customFormat="false" ht="15" hidden="false" customHeight="false" outlineLevel="0" collapsed="false">
      <c r="A285" s="70"/>
      <c r="B285" s="70"/>
      <c r="C285" s="70"/>
      <c r="D285" s="68"/>
      <c r="E285" s="68"/>
      <c r="F285" s="68"/>
      <c r="G285" s="70"/>
      <c r="H285" s="68"/>
      <c r="I285" s="70"/>
    </row>
    <row r="286" customFormat="false" ht="15" hidden="false" customHeight="false" outlineLevel="0" collapsed="false">
      <c r="A286" s="70"/>
      <c r="B286" s="70"/>
      <c r="C286" s="70"/>
      <c r="D286" s="68"/>
      <c r="E286" s="68"/>
      <c r="F286" s="68"/>
      <c r="G286" s="70"/>
      <c r="H286" s="68"/>
      <c r="I286" s="70"/>
    </row>
    <row r="287" customFormat="false" ht="15" hidden="false" customHeight="false" outlineLevel="0" collapsed="false">
      <c r="A287" s="70"/>
      <c r="B287" s="70"/>
      <c r="C287" s="70"/>
      <c r="D287" s="68"/>
      <c r="E287" s="68"/>
      <c r="F287" s="68"/>
      <c r="G287" s="70"/>
      <c r="H287" s="68"/>
      <c r="I287" s="70"/>
    </row>
    <row r="288" customFormat="false" ht="15" hidden="false" customHeight="false" outlineLevel="0" collapsed="false">
      <c r="A288" s="70"/>
      <c r="B288" s="70"/>
      <c r="C288" s="70"/>
      <c r="D288" s="68"/>
      <c r="E288" s="68"/>
      <c r="F288" s="68"/>
      <c r="G288" s="70"/>
      <c r="H288" s="68"/>
      <c r="I288" s="70"/>
    </row>
    <row r="289" customFormat="false" ht="15" hidden="false" customHeight="false" outlineLevel="0" collapsed="false">
      <c r="A289" s="70"/>
      <c r="B289" s="70"/>
      <c r="C289" s="70"/>
      <c r="D289" s="68"/>
      <c r="E289" s="68"/>
      <c r="F289" s="68"/>
      <c r="G289" s="70"/>
      <c r="H289" s="68"/>
      <c r="I289" s="70"/>
    </row>
    <row r="290" customFormat="false" ht="15" hidden="false" customHeight="false" outlineLevel="0" collapsed="false">
      <c r="A290" s="70"/>
      <c r="B290" s="70"/>
      <c r="C290" s="70"/>
      <c r="D290" s="68"/>
      <c r="E290" s="68"/>
      <c r="F290" s="68"/>
      <c r="G290" s="70"/>
      <c r="H290" s="68"/>
      <c r="I290" s="70"/>
    </row>
    <row r="291" customFormat="false" ht="15" hidden="false" customHeight="false" outlineLevel="0" collapsed="false">
      <c r="A291" s="70"/>
      <c r="B291" s="70"/>
      <c r="C291" s="70"/>
      <c r="D291" s="68"/>
      <c r="E291" s="68"/>
      <c r="F291" s="68"/>
      <c r="G291" s="70"/>
      <c r="H291" s="68"/>
      <c r="I291" s="70"/>
    </row>
    <row r="292" customFormat="false" ht="15" hidden="false" customHeight="false" outlineLevel="0" collapsed="false">
      <c r="A292" s="70"/>
      <c r="B292" s="70"/>
      <c r="C292" s="70"/>
      <c r="D292" s="68"/>
      <c r="E292" s="68"/>
      <c r="F292" s="68"/>
      <c r="G292" s="70"/>
      <c r="H292" s="68"/>
      <c r="I292" s="70"/>
    </row>
    <row r="293" customFormat="false" ht="15" hidden="false" customHeight="false" outlineLevel="0" collapsed="false">
      <c r="A293" s="70"/>
      <c r="B293" s="70"/>
      <c r="C293" s="70"/>
      <c r="D293" s="68"/>
      <c r="E293" s="68"/>
      <c r="F293" s="68"/>
      <c r="G293" s="70"/>
      <c r="H293" s="68"/>
      <c r="I293" s="70"/>
    </row>
    <row r="294" customFormat="false" ht="15" hidden="false" customHeight="false" outlineLevel="0" collapsed="false">
      <c r="A294" s="70"/>
      <c r="B294" s="70"/>
      <c r="C294" s="70"/>
      <c r="D294" s="68"/>
      <c r="E294" s="68"/>
      <c r="F294" s="68"/>
      <c r="G294" s="70"/>
      <c r="H294" s="68"/>
      <c r="I294" s="70"/>
    </row>
    <row r="295" customFormat="false" ht="15" hidden="false" customHeight="false" outlineLevel="0" collapsed="false">
      <c r="A295" s="70"/>
      <c r="B295" s="70"/>
      <c r="C295" s="70"/>
      <c r="D295" s="68"/>
      <c r="E295" s="68"/>
      <c r="F295" s="68"/>
      <c r="G295" s="70"/>
      <c r="H295" s="68"/>
      <c r="I295" s="70"/>
    </row>
    <row r="296" customFormat="false" ht="15" hidden="false" customHeight="false" outlineLevel="0" collapsed="false">
      <c r="A296" s="70"/>
      <c r="B296" s="70"/>
      <c r="C296" s="70"/>
      <c r="D296" s="68"/>
      <c r="E296" s="68"/>
      <c r="F296" s="68"/>
      <c r="G296" s="70"/>
      <c r="H296" s="68"/>
      <c r="I296" s="70"/>
    </row>
    <row r="297" customFormat="false" ht="15" hidden="false" customHeight="false" outlineLevel="0" collapsed="false">
      <c r="A297" s="70"/>
      <c r="B297" s="70"/>
      <c r="C297" s="70"/>
      <c r="D297" s="68"/>
      <c r="E297" s="68"/>
      <c r="F297" s="68"/>
      <c r="G297" s="70"/>
      <c r="H297" s="68"/>
      <c r="I297" s="70"/>
    </row>
    <row r="298" customFormat="false" ht="15" hidden="false" customHeight="false" outlineLevel="0" collapsed="false">
      <c r="A298" s="70"/>
      <c r="B298" s="70"/>
      <c r="C298" s="70"/>
      <c r="D298" s="68"/>
      <c r="E298" s="68"/>
      <c r="F298" s="68"/>
      <c r="G298" s="70"/>
      <c r="H298" s="68"/>
      <c r="I298" s="70"/>
    </row>
    <row r="299" customFormat="false" ht="15" hidden="false" customHeight="false" outlineLevel="0" collapsed="false">
      <c r="A299" s="70"/>
      <c r="B299" s="70"/>
      <c r="C299" s="70"/>
      <c r="D299" s="68"/>
      <c r="E299" s="68"/>
      <c r="F299" s="68"/>
      <c r="G299" s="70"/>
      <c r="H299" s="68"/>
      <c r="I299" s="70"/>
    </row>
    <row r="300" customFormat="false" ht="15" hidden="false" customHeight="false" outlineLevel="0" collapsed="false">
      <c r="A300" s="70"/>
      <c r="B300" s="70"/>
      <c r="C300" s="70"/>
      <c r="D300" s="68"/>
      <c r="E300" s="68"/>
      <c r="F300" s="68"/>
      <c r="G300" s="70"/>
      <c r="H300" s="68"/>
      <c r="I300" s="70"/>
    </row>
    <row r="301" customFormat="false" ht="15" hidden="false" customHeight="false" outlineLevel="0" collapsed="false">
      <c r="A301" s="70"/>
      <c r="B301" s="70"/>
      <c r="C301" s="70"/>
      <c r="D301" s="68"/>
      <c r="E301" s="68"/>
      <c r="F301" s="68"/>
      <c r="G301" s="70"/>
      <c r="H301" s="68"/>
      <c r="I301" s="70"/>
    </row>
    <row r="302" customFormat="false" ht="15" hidden="false" customHeight="false" outlineLevel="0" collapsed="false">
      <c r="A302" s="70"/>
      <c r="B302" s="70"/>
      <c r="C302" s="70"/>
      <c r="D302" s="68"/>
      <c r="E302" s="68"/>
      <c r="F302" s="68"/>
      <c r="G302" s="70"/>
      <c r="H302" s="68"/>
      <c r="I302" s="70"/>
    </row>
    <row r="303" customFormat="false" ht="15" hidden="false" customHeight="false" outlineLevel="0" collapsed="false">
      <c r="A303" s="70"/>
      <c r="B303" s="70"/>
      <c r="C303" s="70"/>
      <c r="D303" s="68"/>
      <c r="E303" s="68"/>
      <c r="F303" s="68"/>
      <c r="G303" s="70"/>
      <c r="H303" s="68"/>
      <c r="I303" s="70"/>
    </row>
    <row r="304" customFormat="false" ht="15" hidden="false" customHeight="false" outlineLevel="0" collapsed="false">
      <c r="A304" s="70"/>
      <c r="B304" s="70"/>
      <c r="C304" s="70"/>
      <c r="D304" s="68"/>
      <c r="E304" s="68"/>
      <c r="F304" s="68"/>
      <c r="G304" s="70"/>
      <c r="H304" s="68"/>
      <c r="I304" s="70"/>
    </row>
    <row r="305" customFormat="false" ht="15" hidden="false" customHeight="false" outlineLevel="0" collapsed="false">
      <c r="A305" s="70"/>
      <c r="B305" s="70"/>
      <c r="C305" s="70"/>
      <c r="D305" s="68"/>
      <c r="E305" s="68"/>
      <c r="F305" s="68"/>
      <c r="G305" s="70"/>
      <c r="H305" s="68"/>
      <c r="I305" s="70"/>
    </row>
    <row r="306" customFormat="false" ht="15" hidden="false" customHeight="false" outlineLevel="0" collapsed="false">
      <c r="A306" s="70"/>
      <c r="B306" s="70"/>
      <c r="C306" s="70"/>
      <c r="D306" s="68"/>
      <c r="E306" s="68"/>
      <c r="F306" s="68"/>
      <c r="G306" s="70"/>
      <c r="H306" s="68"/>
      <c r="I306" s="70"/>
    </row>
    <row r="307" customFormat="false" ht="15" hidden="false" customHeight="false" outlineLevel="0" collapsed="false">
      <c r="A307" s="70"/>
      <c r="B307" s="70"/>
      <c r="C307" s="70"/>
      <c r="D307" s="68"/>
      <c r="E307" s="68"/>
      <c r="F307" s="68"/>
      <c r="G307" s="70"/>
      <c r="H307" s="68"/>
      <c r="I307" s="70"/>
    </row>
    <row r="308" customFormat="false" ht="15" hidden="false" customHeight="false" outlineLevel="0" collapsed="false">
      <c r="A308" s="70"/>
      <c r="B308" s="70"/>
      <c r="C308" s="70"/>
      <c r="D308" s="68"/>
      <c r="E308" s="68"/>
      <c r="F308" s="68"/>
      <c r="G308" s="70"/>
      <c r="H308" s="68"/>
      <c r="I308" s="70"/>
    </row>
    <row r="309" customFormat="false" ht="15" hidden="false" customHeight="false" outlineLevel="0" collapsed="false">
      <c r="A309" s="70"/>
      <c r="B309" s="70"/>
      <c r="C309" s="70"/>
      <c r="D309" s="68"/>
      <c r="E309" s="68"/>
      <c r="F309" s="68"/>
      <c r="G309" s="70"/>
      <c r="H309" s="68"/>
      <c r="I309" s="70"/>
    </row>
    <row r="310" customFormat="false" ht="15" hidden="false" customHeight="false" outlineLevel="0" collapsed="false">
      <c r="A310" s="70"/>
      <c r="B310" s="70"/>
      <c r="C310" s="70"/>
      <c r="D310" s="68"/>
      <c r="E310" s="68"/>
      <c r="F310" s="68"/>
      <c r="G310" s="70"/>
      <c r="H310" s="68"/>
      <c r="I310" s="70"/>
    </row>
    <row r="311" customFormat="false" ht="15" hidden="false" customHeight="false" outlineLevel="0" collapsed="false">
      <c r="A311" s="70"/>
      <c r="B311" s="70"/>
      <c r="C311" s="70"/>
      <c r="D311" s="68"/>
      <c r="E311" s="68"/>
      <c r="F311" s="68"/>
      <c r="G311" s="70"/>
      <c r="H311" s="68"/>
      <c r="I311" s="70"/>
    </row>
    <row r="312" customFormat="false" ht="15" hidden="false" customHeight="false" outlineLevel="0" collapsed="false">
      <c r="A312" s="70"/>
      <c r="B312" s="70"/>
      <c r="C312" s="70"/>
      <c r="D312" s="68"/>
      <c r="E312" s="68"/>
      <c r="F312" s="68"/>
      <c r="G312" s="70"/>
      <c r="H312" s="68"/>
      <c r="I312" s="70"/>
    </row>
    <row r="313" customFormat="false" ht="15" hidden="false" customHeight="false" outlineLevel="0" collapsed="false">
      <c r="A313" s="70"/>
      <c r="B313" s="70"/>
      <c r="C313" s="70"/>
      <c r="D313" s="68"/>
      <c r="E313" s="68"/>
      <c r="F313" s="68"/>
      <c r="G313" s="70"/>
      <c r="H313" s="68"/>
      <c r="I313" s="70"/>
    </row>
    <row r="314" customFormat="false" ht="15" hidden="false" customHeight="false" outlineLevel="0" collapsed="false">
      <c r="A314" s="70"/>
      <c r="B314" s="70"/>
      <c r="C314" s="70"/>
      <c r="D314" s="68"/>
      <c r="E314" s="68"/>
      <c r="F314" s="68"/>
      <c r="G314" s="70"/>
      <c r="H314" s="68"/>
      <c r="I314" s="70"/>
    </row>
    <row r="315" customFormat="false" ht="15" hidden="false" customHeight="false" outlineLevel="0" collapsed="false">
      <c r="A315" s="70"/>
      <c r="B315" s="70"/>
      <c r="C315" s="70"/>
      <c r="D315" s="68"/>
      <c r="E315" s="68"/>
      <c r="F315" s="68"/>
      <c r="G315" s="70"/>
      <c r="H315" s="68"/>
      <c r="I315" s="70"/>
    </row>
    <row r="316" customFormat="false" ht="15" hidden="false" customHeight="false" outlineLevel="0" collapsed="false">
      <c r="A316" s="70"/>
      <c r="B316" s="70"/>
      <c r="C316" s="70"/>
      <c r="D316" s="68"/>
      <c r="E316" s="68"/>
      <c r="F316" s="68"/>
      <c r="G316" s="70"/>
      <c r="H316" s="68"/>
      <c r="I316" s="70"/>
    </row>
    <row r="317" customFormat="false" ht="15" hidden="false" customHeight="false" outlineLevel="0" collapsed="false">
      <c r="A317" s="70"/>
      <c r="B317" s="70"/>
      <c r="C317" s="70"/>
      <c r="D317" s="68"/>
      <c r="E317" s="68"/>
      <c r="F317" s="68"/>
      <c r="G317" s="70"/>
      <c r="H317" s="68"/>
      <c r="I317" s="70"/>
    </row>
    <row r="318" customFormat="false" ht="15" hidden="false" customHeight="false" outlineLevel="0" collapsed="false">
      <c r="A318" s="70"/>
      <c r="B318" s="70"/>
      <c r="C318" s="70"/>
      <c r="D318" s="68"/>
      <c r="E318" s="68"/>
      <c r="F318" s="68"/>
      <c r="G318" s="70"/>
      <c r="H318" s="68"/>
      <c r="I318" s="70"/>
    </row>
    <row r="319" customFormat="false" ht="15" hidden="false" customHeight="false" outlineLevel="0" collapsed="false">
      <c r="A319" s="70"/>
      <c r="B319" s="70"/>
      <c r="C319" s="70"/>
      <c r="D319" s="68"/>
      <c r="E319" s="68"/>
      <c r="F319" s="68"/>
      <c r="G319" s="70"/>
      <c r="H319" s="68"/>
      <c r="I319" s="70"/>
    </row>
    <row r="320" customFormat="false" ht="15" hidden="false" customHeight="false" outlineLevel="0" collapsed="false">
      <c r="A320" s="70"/>
      <c r="B320" s="70"/>
      <c r="C320" s="70"/>
      <c r="D320" s="68"/>
      <c r="E320" s="68"/>
      <c r="F320" s="68"/>
      <c r="G320" s="70"/>
      <c r="H320" s="68"/>
      <c r="I320" s="70"/>
    </row>
    <row r="321" customFormat="false" ht="15" hidden="false" customHeight="false" outlineLevel="0" collapsed="false">
      <c r="A321" s="70"/>
      <c r="B321" s="70"/>
      <c r="C321" s="70"/>
      <c r="D321" s="68"/>
      <c r="E321" s="68"/>
      <c r="F321" s="68"/>
      <c r="G321" s="70"/>
      <c r="H321" s="68"/>
      <c r="I321" s="70"/>
    </row>
    <row r="322" customFormat="false" ht="15" hidden="false" customHeight="false" outlineLevel="0" collapsed="false">
      <c r="A322" s="70"/>
      <c r="B322" s="70"/>
      <c r="C322" s="70"/>
      <c r="D322" s="68"/>
      <c r="E322" s="68"/>
      <c r="F322" s="68"/>
      <c r="G322" s="70"/>
      <c r="H322" s="68"/>
      <c r="I322" s="70"/>
    </row>
    <row r="323" customFormat="false" ht="15" hidden="false" customHeight="false" outlineLevel="0" collapsed="false">
      <c r="A323" s="70"/>
      <c r="B323" s="70"/>
      <c r="C323" s="70"/>
      <c r="D323" s="68"/>
      <c r="E323" s="68"/>
      <c r="F323" s="68"/>
      <c r="G323" s="70"/>
      <c r="H323" s="68"/>
      <c r="I323" s="70"/>
    </row>
    <row r="324" customFormat="false" ht="15" hidden="false" customHeight="false" outlineLevel="0" collapsed="false">
      <c r="A324" s="70"/>
      <c r="B324" s="70"/>
      <c r="C324" s="70"/>
      <c r="D324" s="68"/>
      <c r="E324" s="68"/>
      <c r="F324" s="68"/>
      <c r="G324" s="70"/>
      <c r="H324" s="68"/>
      <c r="I324" s="70"/>
    </row>
    <row r="325" customFormat="false" ht="15" hidden="false" customHeight="false" outlineLevel="0" collapsed="false">
      <c r="A325" s="70"/>
      <c r="B325" s="70"/>
      <c r="C325" s="70"/>
      <c r="D325" s="68"/>
      <c r="E325" s="68"/>
      <c r="F325" s="68"/>
      <c r="G325" s="70"/>
      <c r="H325" s="68"/>
      <c r="I325" s="70"/>
    </row>
    <row r="326" customFormat="false" ht="15" hidden="false" customHeight="false" outlineLevel="0" collapsed="false">
      <c r="A326" s="70"/>
      <c r="B326" s="70"/>
      <c r="C326" s="70"/>
      <c r="D326" s="68"/>
      <c r="E326" s="68"/>
      <c r="F326" s="68"/>
      <c r="G326" s="70"/>
      <c r="H326" s="68"/>
      <c r="I326" s="70"/>
    </row>
    <row r="327" customFormat="false" ht="15" hidden="false" customHeight="false" outlineLevel="0" collapsed="false">
      <c r="A327" s="70"/>
      <c r="B327" s="70"/>
      <c r="C327" s="70"/>
      <c r="D327" s="68"/>
      <c r="E327" s="68"/>
      <c r="F327" s="68"/>
      <c r="G327" s="70"/>
      <c r="H327" s="68"/>
      <c r="I327" s="70"/>
    </row>
    <row r="328" customFormat="false" ht="15" hidden="false" customHeight="false" outlineLevel="0" collapsed="false">
      <c r="A328" s="70"/>
      <c r="B328" s="70"/>
      <c r="C328" s="70"/>
      <c r="D328" s="68"/>
      <c r="E328" s="68"/>
      <c r="F328" s="68"/>
      <c r="G328" s="70"/>
      <c r="H328" s="68"/>
      <c r="I328" s="70"/>
    </row>
    <row r="329" customFormat="false" ht="15" hidden="false" customHeight="false" outlineLevel="0" collapsed="false">
      <c r="A329" s="70"/>
      <c r="B329" s="70"/>
      <c r="C329" s="70"/>
      <c r="D329" s="68"/>
      <c r="E329" s="68"/>
      <c r="F329" s="68"/>
      <c r="G329" s="70"/>
      <c r="H329" s="68"/>
      <c r="I329" s="70"/>
    </row>
    <row r="330" customFormat="false" ht="15" hidden="false" customHeight="false" outlineLevel="0" collapsed="false">
      <c r="A330" s="70"/>
      <c r="B330" s="70"/>
      <c r="C330" s="70"/>
      <c r="D330" s="68"/>
      <c r="E330" s="68"/>
      <c r="F330" s="68"/>
      <c r="G330" s="70"/>
      <c r="H330" s="68"/>
      <c r="I330" s="70"/>
    </row>
    <row r="331" customFormat="false" ht="15" hidden="false" customHeight="false" outlineLevel="0" collapsed="false">
      <c r="A331" s="70"/>
      <c r="B331" s="70"/>
      <c r="C331" s="70"/>
      <c r="D331" s="68"/>
      <c r="E331" s="68"/>
      <c r="F331" s="68"/>
      <c r="G331" s="70"/>
      <c r="H331" s="68"/>
      <c r="I331" s="70"/>
    </row>
    <row r="332" customFormat="false" ht="15" hidden="false" customHeight="false" outlineLevel="0" collapsed="false">
      <c r="A332" s="70"/>
      <c r="B332" s="70"/>
      <c r="C332" s="70"/>
      <c r="D332" s="68"/>
      <c r="E332" s="68"/>
      <c r="F332" s="68"/>
      <c r="G332" s="70"/>
      <c r="H332" s="68"/>
      <c r="I332" s="70"/>
    </row>
    <row r="333" customFormat="false" ht="15" hidden="false" customHeight="false" outlineLevel="0" collapsed="false">
      <c r="A333" s="70"/>
      <c r="B333" s="70"/>
      <c r="C333" s="70"/>
      <c r="D333" s="68"/>
      <c r="E333" s="68"/>
      <c r="F333" s="68"/>
      <c r="G333" s="70"/>
      <c r="H333" s="68"/>
      <c r="I333" s="70"/>
    </row>
    <row r="334" customFormat="false" ht="15" hidden="false" customHeight="false" outlineLevel="0" collapsed="false">
      <c r="A334" s="70"/>
      <c r="B334" s="70"/>
      <c r="C334" s="70"/>
      <c r="D334" s="68"/>
      <c r="E334" s="68"/>
      <c r="F334" s="68"/>
      <c r="G334" s="70"/>
      <c r="H334" s="68"/>
      <c r="I334" s="70"/>
    </row>
    <row r="335" customFormat="false" ht="15" hidden="false" customHeight="false" outlineLevel="0" collapsed="false">
      <c r="A335" s="70"/>
      <c r="B335" s="70"/>
      <c r="C335" s="70"/>
      <c r="D335" s="68"/>
      <c r="E335" s="68"/>
      <c r="F335" s="68"/>
      <c r="G335" s="70"/>
      <c r="H335" s="68"/>
      <c r="I335" s="70"/>
    </row>
    <row r="336" customFormat="false" ht="15" hidden="false" customHeight="false" outlineLevel="0" collapsed="false">
      <c r="A336" s="70"/>
      <c r="B336" s="70"/>
      <c r="C336" s="70"/>
      <c r="D336" s="68"/>
      <c r="E336" s="68"/>
      <c r="F336" s="68"/>
      <c r="G336" s="70"/>
      <c r="H336" s="68"/>
      <c r="I336" s="70"/>
    </row>
    <row r="337" customFormat="false" ht="15" hidden="false" customHeight="false" outlineLevel="0" collapsed="false">
      <c r="A337" s="70"/>
      <c r="B337" s="70"/>
      <c r="C337" s="70"/>
      <c r="D337" s="68"/>
      <c r="E337" s="68"/>
      <c r="F337" s="68"/>
      <c r="G337" s="70"/>
      <c r="H337" s="68"/>
      <c r="I337" s="70"/>
    </row>
    <row r="338" customFormat="false" ht="15" hidden="false" customHeight="false" outlineLevel="0" collapsed="false">
      <c r="A338" s="70"/>
      <c r="B338" s="70"/>
      <c r="C338" s="70"/>
      <c r="D338" s="68"/>
      <c r="E338" s="68"/>
      <c r="F338" s="68"/>
      <c r="G338" s="70"/>
      <c r="H338" s="68"/>
      <c r="I338" s="70"/>
    </row>
    <row r="339" customFormat="false" ht="15" hidden="false" customHeight="false" outlineLevel="0" collapsed="false">
      <c r="A339" s="70"/>
      <c r="B339" s="70"/>
      <c r="C339" s="70"/>
      <c r="D339" s="68"/>
      <c r="E339" s="68"/>
      <c r="F339" s="68"/>
      <c r="G339" s="70"/>
      <c r="H339" s="68"/>
      <c r="I339" s="70"/>
    </row>
    <row r="340" customFormat="false" ht="15" hidden="false" customHeight="false" outlineLevel="0" collapsed="false">
      <c r="A340" s="70"/>
      <c r="B340" s="70"/>
      <c r="C340" s="70"/>
      <c r="D340" s="68"/>
      <c r="E340" s="68"/>
      <c r="F340" s="68"/>
      <c r="G340" s="70"/>
      <c r="H340" s="68"/>
      <c r="I340" s="70"/>
    </row>
    <row r="341" customFormat="false" ht="15" hidden="false" customHeight="false" outlineLevel="0" collapsed="false">
      <c r="A341" s="70"/>
      <c r="B341" s="70"/>
      <c r="C341" s="70"/>
      <c r="D341" s="68"/>
      <c r="E341" s="68"/>
      <c r="F341" s="68"/>
      <c r="G341" s="70"/>
      <c r="H341" s="68"/>
      <c r="I341" s="70"/>
    </row>
    <row r="342" customFormat="false" ht="15" hidden="false" customHeight="false" outlineLevel="0" collapsed="false">
      <c r="A342" s="70"/>
      <c r="B342" s="70"/>
      <c r="C342" s="70"/>
      <c r="D342" s="68"/>
      <c r="E342" s="68"/>
      <c r="F342" s="68"/>
      <c r="G342" s="70"/>
      <c r="H342" s="68"/>
      <c r="I342" s="70"/>
    </row>
    <row r="343" customFormat="false" ht="15" hidden="false" customHeight="false" outlineLevel="0" collapsed="false">
      <c r="A343" s="70"/>
      <c r="B343" s="70"/>
      <c r="C343" s="70"/>
      <c r="D343" s="68"/>
      <c r="E343" s="68"/>
      <c r="F343" s="68"/>
      <c r="G343" s="70"/>
      <c r="H343" s="68"/>
      <c r="I343" s="70"/>
    </row>
    <row r="344" customFormat="false" ht="15" hidden="false" customHeight="false" outlineLevel="0" collapsed="false">
      <c r="A344" s="70"/>
      <c r="B344" s="70"/>
      <c r="C344" s="70"/>
      <c r="D344" s="68"/>
      <c r="E344" s="68"/>
      <c r="F344" s="68"/>
      <c r="G344" s="70"/>
      <c r="H344" s="68"/>
      <c r="I344" s="70"/>
    </row>
    <row r="345" customFormat="false" ht="15" hidden="false" customHeight="false" outlineLevel="0" collapsed="false">
      <c r="A345" s="70"/>
      <c r="B345" s="70"/>
      <c r="C345" s="70"/>
      <c r="D345" s="68"/>
      <c r="E345" s="68"/>
      <c r="F345" s="68"/>
      <c r="G345" s="70"/>
      <c r="H345" s="68"/>
      <c r="I345" s="70"/>
    </row>
    <row r="346" customFormat="false" ht="15" hidden="false" customHeight="false" outlineLevel="0" collapsed="false">
      <c r="A346" s="70"/>
      <c r="B346" s="70"/>
      <c r="C346" s="70"/>
      <c r="D346" s="68"/>
      <c r="E346" s="68"/>
      <c r="F346" s="68"/>
      <c r="G346" s="70"/>
      <c r="H346" s="68"/>
      <c r="I346" s="70"/>
    </row>
    <row r="347" customFormat="false" ht="15" hidden="false" customHeight="false" outlineLevel="0" collapsed="false">
      <c r="A347" s="70"/>
      <c r="B347" s="70"/>
      <c r="C347" s="70"/>
      <c r="D347" s="68"/>
      <c r="E347" s="68"/>
      <c r="F347" s="68"/>
      <c r="G347" s="70"/>
      <c r="H347" s="68"/>
      <c r="I347" s="70"/>
    </row>
    <row r="348" customFormat="false" ht="15" hidden="false" customHeight="false" outlineLevel="0" collapsed="false">
      <c r="A348" s="70"/>
      <c r="B348" s="70"/>
      <c r="C348" s="70"/>
      <c r="D348" s="68"/>
      <c r="E348" s="68"/>
      <c r="F348" s="68"/>
      <c r="G348" s="70"/>
      <c r="H348" s="68"/>
      <c r="I348" s="70"/>
    </row>
    <row r="349" customFormat="false" ht="15" hidden="false" customHeight="false" outlineLevel="0" collapsed="false">
      <c r="A349" s="70"/>
      <c r="B349" s="70"/>
      <c r="C349" s="70"/>
      <c r="D349" s="68"/>
      <c r="E349" s="68"/>
      <c r="F349" s="68"/>
      <c r="G349" s="70"/>
      <c r="H349" s="68"/>
      <c r="I349" s="70"/>
    </row>
    <row r="350" customFormat="false" ht="15" hidden="false" customHeight="false" outlineLevel="0" collapsed="false">
      <c r="A350" s="70"/>
      <c r="B350" s="70"/>
      <c r="C350" s="70"/>
      <c r="D350" s="68"/>
      <c r="E350" s="68"/>
      <c r="F350" s="68"/>
      <c r="G350" s="70"/>
      <c r="H350" s="68"/>
      <c r="I350" s="70"/>
    </row>
    <row r="351" customFormat="false" ht="15" hidden="false" customHeight="false" outlineLevel="0" collapsed="false">
      <c r="A351" s="70"/>
      <c r="B351" s="70"/>
      <c r="C351" s="70"/>
      <c r="D351" s="68"/>
      <c r="E351" s="68"/>
      <c r="F351" s="68"/>
      <c r="G351" s="70"/>
      <c r="H351" s="68"/>
      <c r="I351" s="70"/>
    </row>
    <row r="352" customFormat="false" ht="15" hidden="false" customHeight="false" outlineLevel="0" collapsed="false">
      <c r="A352" s="70"/>
      <c r="B352" s="70"/>
      <c r="C352" s="70"/>
      <c r="D352" s="68"/>
      <c r="E352" s="68"/>
      <c r="F352" s="68"/>
      <c r="G352" s="70"/>
      <c r="H352" s="68"/>
      <c r="I352" s="70"/>
    </row>
    <row r="353" customFormat="false" ht="15" hidden="false" customHeight="false" outlineLevel="0" collapsed="false">
      <c r="A353" s="70"/>
      <c r="B353" s="70"/>
      <c r="C353" s="70"/>
      <c r="D353" s="68"/>
      <c r="E353" s="68"/>
      <c r="F353" s="68"/>
      <c r="G353" s="70"/>
      <c r="H353" s="68"/>
      <c r="I353" s="70"/>
    </row>
    <row r="354" customFormat="false" ht="15" hidden="false" customHeight="false" outlineLevel="0" collapsed="false">
      <c r="A354" s="70"/>
      <c r="B354" s="70"/>
      <c r="C354" s="70"/>
      <c r="D354" s="68"/>
      <c r="E354" s="68"/>
      <c r="F354" s="68"/>
      <c r="G354" s="70"/>
      <c r="H354" s="68"/>
      <c r="I354" s="70"/>
    </row>
    <row r="355" customFormat="false" ht="15" hidden="false" customHeight="false" outlineLevel="0" collapsed="false">
      <c r="A355" s="70"/>
      <c r="B355" s="70"/>
      <c r="C355" s="70"/>
      <c r="D355" s="68"/>
      <c r="E355" s="68"/>
      <c r="F355" s="68"/>
      <c r="G355" s="70"/>
      <c r="H355" s="68"/>
      <c r="I355" s="70"/>
    </row>
    <row r="356" customFormat="false" ht="15" hidden="false" customHeight="false" outlineLevel="0" collapsed="false">
      <c r="A356" s="70"/>
      <c r="B356" s="70"/>
      <c r="C356" s="70"/>
      <c r="D356" s="68"/>
      <c r="E356" s="68"/>
      <c r="F356" s="68"/>
      <c r="G356" s="70"/>
      <c r="H356" s="68"/>
      <c r="I356" s="70"/>
    </row>
    <row r="357" customFormat="false" ht="15" hidden="false" customHeight="false" outlineLevel="0" collapsed="false">
      <c r="A357" s="70"/>
      <c r="B357" s="70"/>
      <c r="C357" s="70"/>
      <c r="D357" s="68"/>
      <c r="E357" s="68"/>
      <c r="F357" s="68"/>
      <c r="G357" s="70"/>
      <c r="H357" s="68"/>
      <c r="I357" s="70"/>
    </row>
    <row r="358" customFormat="false" ht="15" hidden="false" customHeight="false" outlineLevel="0" collapsed="false">
      <c r="A358" s="70"/>
      <c r="B358" s="70"/>
      <c r="C358" s="70"/>
      <c r="D358" s="68"/>
      <c r="E358" s="68"/>
      <c r="F358" s="68"/>
      <c r="G358" s="70"/>
      <c r="H358" s="68"/>
      <c r="I358" s="70"/>
    </row>
    <row r="359" customFormat="false" ht="15" hidden="false" customHeight="false" outlineLevel="0" collapsed="false">
      <c r="A359" s="70"/>
      <c r="B359" s="70"/>
      <c r="C359" s="70"/>
      <c r="D359" s="68"/>
      <c r="E359" s="68"/>
      <c r="F359" s="68"/>
      <c r="G359" s="70"/>
      <c r="H359" s="68"/>
      <c r="I359" s="70"/>
    </row>
    <row r="360" customFormat="false" ht="15" hidden="false" customHeight="false" outlineLevel="0" collapsed="false">
      <c r="A360" s="70"/>
      <c r="B360" s="70"/>
      <c r="C360" s="70"/>
      <c r="D360" s="68"/>
      <c r="E360" s="68"/>
      <c r="F360" s="68"/>
      <c r="G360" s="70"/>
      <c r="H360" s="68"/>
      <c r="I360" s="70"/>
    </row>
    <row r="361" customFormat="false" ht="15" hidden="false" customHeight="false" outlineLevel="0" collapsed="false">
      <c r="A361" s="70"/>
      <c r="B361" s="70"/>
      <c r="C361" s="70"/>
      <c r="D361" s="68"/>
      <c r="E361" s="68"/>
      <c r="F361" s="68"/>
      <c r="G361" s="70"/>
      <c r="H361" s="68"/>
      <c r="I361" s="70"/>
    </row>
    <row r="362" customFormat="false" ht="15" hidden="false" customHeight="false" outlineLevel="0" collapsed="false">
      <c r="A362" s="70"/>
      <c r="B362" s="70"/>
      <c r="C362" s="70"/>
      <c r="D362" s="68"/>
      <c r="E362" s="68"/>
      <c r="F362" s="68"/>
      <c r="G362" s="70"/>
      <c r="H362" s="68"/>
      <c r="I362" s="70"/>
    </row>
    <row r="363" customFormat="false" ht="15" hidden="false" customHeight="false" outlineLevel="0" collapsed="false">
      <c r="A363" s="70"/>
      <c r="B363" s="70"/>
      <c r="C363" s="70"/>
      <c r="D363" s="68"/>
      <c r="E363" s="68"/>
      <c r="F363" s="68"/>
      <c r="G363" s="70"/>
      <c r="H363" s="68"/>
      <c r="I363" s="70"/>
    </row>
    <row r="364" customFormat="false" ht="15" hidden="false" customHeight="false" outlineLevel="0" collapsed="false">
      <c r="A364" s="70"/>
      <c r="B364" s="70"/>
      <c r="C364" s="70"/>
      <c r="D364" s="68"/>
      <c r="E364" s="68"/>
      <c r="F364" s="68"/>
      <c r="G364" s="70"/>
      <c r="H364" s="68"/>
      <c r="I364" s="70"/>
    </row>
    <row r="365" customFormat="false" ht="15" hidden="false" customHeight="false" outlineLevel="0" collapsed="false">
      <c r="A365" s="70"/>
      <c r="B365" s="70"/>
      <c r="C365" s="70"/>
      <c r="D365" s="68"/>
      <c r="E365" s="68"/>
      <c r="F365" s="68"/>
      <c r="G365" s="70"/>
      <c r="H365" s="68"/>
      <c r="I365" s="70"/>
    </row>
    <row r="366" customFormat="false" ht="15" hidden="false" customHeight="false" outlineLevel="0" collapsed="false">
      <c r="A366" s="70"/>
      <c r="B366" s="70"/>
      <c r="C366" s="70"/>
      <c r="D366" s="68"/>
      <c r="E366" s="68"/>
      <c r="F366" s="68"/>
      <c r="G366" s="70"/>
      <c r="H366" s="68"/>
      <c r="I366" s="70"/>
    </row>
    <row r="367" customFormat="false" ht="15" hidden="false" customHeight="false" outlineLevel="0" collapsed="false">
      <c r="A367" s="70"/>
      <c r="B367" s="70"/>
      <c r="C367" s="70"/>
      <c r="D367" s="68"/>
      <c r="E367" s="68"/>
      <c r="F367" s="68"/>
      <c r="G367" s="70"/>
      <c r="H367" s="68"/>
      <c r="I367" s="70"/>
    </row>
    <row r="368" customFormat="false" ht="15" hidden="false" customHeight="false" outlineLevel="0" collapsed="false">
      <c r="A368" s="70"/>
      <c r="B368" s="70"/>
      <c r="C368" s="70"/>
      <c r="D368" s="68"/>
      <c r="E368" s="68"/>
      <c r="F368" s="68"/>
      <c r="G368" s="70"/>
      <c r="H368" s="68"/>
      <c r="I368" s="70"/>
    </row>
    <row r="369" customFormat="false" ht="15" hidden="false" customHeight="false" outlineLevel="0" collapsed="false">
      <c r="A369" s="70"/>
      <c r="B369" s="70"/>
      <c r="C369" s="70"/>
      <c r="D369" s="68"/>
      <c r="E369" s="68"/>
      <c r="F369" s="68"/>
      <c r="G369" s="70"/>
      <c r="H369" s="68"/>
      <c r="I369" s="70"/>
    </row>
    <row r="370" customFormat="false" ht="15" hidden="false" customHeight="false" outlineLevel="0" collapsed="false">
      <c r="A370" s="70"/>
      <c r="B370" s="70"/>
      <c r="C370" s="70"/>
      <c r="D370" s="68"/>
      <c r="E370" s="68"/>
      <c r="F370" s="68"/>
      <c r="G370" s="70"/>
      <c r="H370" s="68"/>
      <c r="I370" s="70"/>
    </row>
    <row r="371" customFormat="false" ht="15" hidden="false" customHeight="false" outlineLevel="0" collapsed="false">
      <c r="A371" s="70"/>
      <c r="B371" s="70"/>
      <c r="C371" s="70"/>
      <c r="D371" s="68"/>
      <c r="E371" s="68"/>
      <c r="F371" s="68"/>
      <c r="G371" s="70"/>
      <c r="H371" s="68"/>
      <c r="I371" s="70"/>
    </row>
    <row r="372" customFormat="false" ht="15" hidden="false" customHeight="false" outlineLevel="0" collapsed="false">
      <c r="A372" s="70"/>
      <c r="B372" s="70"/>
      <c r="C372" s="70"/>
      <c r="D372" s="68"/>
      <c r="E372" s="68"/>
      <c r="F372" s="68"/>
      <c r="G372" s="70"/>
      <c r="H372" s="68"/>
      <c r="I372" s="70"/>
    </row>
    <row r="373" customFormat="false" ht="15" hidden="false" customHeight="false" outlineLevel="0" collapsed="false">
      <c r="A373" s="70"/>
      <c r="B373" s="70"/>
      <c r="C373" s="70"/>
      <c r="D373" s="68"/>
      <c r="E373" s="68"/>
      <c r="F373" s="68"/>
      <c r="G373" s="70"/>
      <c r="H373" s="68"/>
      <c r="I373" s="70"/>
    </row>
    <row r="374" customFormat="false" ht="15" hidden="false" customHeight="false" outlineLevel="0" collapsed="false">
      <c r="A374" s="70"/>
      <c r="B374" s="70"/>
      <c r="C374" s="70"/>
      <c r="D374" s="68"/>
      <c r="E374" s="68"/>
      <c r="F374" s="68"/>
      <c r="G374" s="70"/>
      <c r="H374" s="68"/>
      <c r="I374" s="70"/>
    </row>
    <row r="375" customFormat="false" ht="15" hidden="false" customHeight="false" outlineLevel="0" collapsed="false">
      <c r="A375" s="70"/>
      <c r="B375" s="70"/>
      <c r="C375" s="70"/>
      <c r="D375" s="68"/>
      <c r="E375" s="68"/>
      <c r="F375" s="68"/>
      <c r="G375" s="70"/>
      <c r="H375" s="68"/>
      <c r="I375" s="70"/>
    </row>
    <row r="376" customFormat="false" ht="15" hidden="false" customHeight="false" outlineLevel="0" collapsed="false">
      <c r="A376" s="70"/>
      <c r="B376" s="70"/>
      <c r="C376" s="70"/>
      <c r="D376" s="68"/>
      <c r="E376" s="68"/>
      <c r="F376" s="68"/>
      <c r="G376" s="70"/>
      <c r="H376" s="68"/>
      <c r="I376" s="70"/>
    </row>
    <row r="377" customFormat="false" ht="15" hidden="false" customHeight="false" outlineLevel="0" collapsed="false">
      <c r="A377" s="70"/>
      <c r="B377" s="70"/>
      <c r="C377" s="70"/>
      <c r="D377" s="68"/>
      <c r="E377" s="68"/>
      <c r="F377" s="68"/>
      <c r="G377" s="70"/>
      <c r="H377" s="68"/>
      <c r="I377" s="70"/>
    </row>
    <row r="378" customFormat="false" ht="15" hidden="false" customHeight="false" outlineLevel="0" collapsed="false">
      <c r="A378" s="70"/>
      <c r="B378" s="70"/>
      <c r="C378" s="70"/>
      <c r="D378" s="68"/>
      <c r="E378" s="68"/>
      <c r="F378" s="68"/>
      <c r="G378" s="70"/>
      <c r="H378" s="68"/>
      <c r="I378" s="70"/>
    </row>
    <row r="379" customFormat="false" ht="15" hidden="false" customHeight="false" outlineLevel="0" collapsed="false">
      <c r="A379" s="70"/>
      <c r="B379" s="70"/>
      <c r="C379" s="70"/>
      <c r="D379" s="68"/>
      <c r="E379" s="68"/>
      <c r="F379" s="68"/>
      <c r="G379" s="70"/>
      <c r="H379" s="68"/>
      <c r="I379" s="70"/>
    </row>
    <row r="380" customFormat="false" ht="15" hidden="false" customHeight="false" outlineLevel="0" collapsed="false">
      <c r="A380" s="70"/>
      <c r="B380" s="70"/>
      <c r="C380" s="70"/>
      <c r="D380" s="68"/>
      <c r="E380" s="68"/>
      <c r="F380" s="68"/>
      <c r="G380" s="70"/>
      <c r="H380" s="68"/>
      <c r="I380" s="70"/>
    </row>
    <row r="381" customFormat="false" ht="15" hidden="false" customHeight="false" outlineLevel="0" collapsed="false">
      <c r="A381" s="70"/>
      <c r="B381" s="70"/>
      <c r="C381" s="70"/>
      <c r="D381" s="68"/>
      <c r="E381" s="68"/>
      <c r="F381" s="68"/>
      <c r="G381" s="70"/>
      <c r="H381" s="68"/>
      <c r="I381" s="70"/>
    </row>
    <row r="382" customFormat="false" ht="15" hidden="false" customHeight="false" outlineLevel="0" collapsed="false">
      <c r="A382" s="70"/>
      <c r="B382" s="70"/>
      <c r="C382" s="70"/>
      <c r="D382" s="68"/>
      <c r="E382" s="68"/>
      <c r="F382" s="68"/>
      <c r="G382" s="70"/>
      <c r="H382" s="68"/>
      <c r="I382" s="70"/>
    </row>
    <row r="383" customFormat="false" ht="15" hidden="false" customHeight="false" outlineLevel="0" collapsed="false">
      <c r="A383" s="70"/>
      <c r="B383" s="70"/>
      <c r="C383" s="70"/>
      <c r="D383" s="68"/>
      <c r="E383" s="68"/>
      <c r="F383" s="68"/>
      <c r="G383" s="70"/>
      <c r="H383" s="68"/>
      <c r="I383" s="70"/>
    </row>
    <row r="384" customFormat="false" ht="15" hidden="false" customHeight="false" outlineLevel="0" collapsed="false">
      <c r="A384" s="70"/>
      <c r="B384" s="70"/>
      <c r="C384" s="70"/>
      <c r="D384" s="68"/>
      <c r="E384" s="68"/>
      <c r="F384" s="68"/>
      <c r="G384" s="70"/>
      <c r="H384" s="68"/>
      <c r="I384" s="70"/>
    </row>
    <row r="385" customFormat="false" ht="15" hidden="false" customHeight="false" outlineLevel="0" collapsed="false">
      <c r="A385" s="70"/>
      <c r="B385" s="70"/>
      <c r="C385" s="70"/>
      <c r="D385" s="68"/>
      <c r="E385" s="68"/>
      <c r="F385" s="68"/>
      <c r="G385" s="70"/>
      <c r="H385" s="68"/>
      <c r="I385" s="70"/>
    </row>
    <row r="386" customFormat="false" ht="15" hidden="false" customHeight="false" outlineLevel="0" collapsed="false">
      <c r="A386" s="70"/>
      <c r="B386" s="70"/>
      <c r="C386" s="70"/>
      <c r="D386" s="68"/>
      <c r="E386" s="68"/>
      <c r="F386" s="68"/>
      <c r="G386" s="70"/>
      <c r="H386" s="68"/>
      <c r="I386" s="70"/>
    </row>
    <row r="387" customFormat="false" ht="15" hidden="false" customHeight="false" outlineLevel="0" collapsed="false">
      <c r="A387" s="70"/>
      <c r="B387" s="70"/>
      <c r="C387" s="70"/>
      <c r="D387" s="68"/>
      <c r="E387" s="68"/>
      <c r="F387" s="68"/>
      <c r="G387" s="70"/>
      <c r="H387" s="68"/>
      <c r="I387" s="70"/>
    </row>
    <row r="388" customFormat="false" ht="15" hidden="false" customHeight="false" outlineLevel="0" collapsed="false">
      <c r="A388" s="70"/>
      <c r="B388" s="70"/>
      <c r="C388" s="70"/>
      <c r="D388" s="68"/>
      <c r="E388" s="68"/>
      <c r="F388" s="68"/>
      <c r="G388" s="70"/>
      <c r="H388" s="68"/>
      <c r="I388" s="70"/>
    </row>
    <row r="389" customFormat="false" ht="15" hidden="false" customHeight="false" outlineLevel="0" collapsed="false">
      <c r="A389" s="70"/>
      <c r="B389" s="70"/>
      <c r="C389" s="70"/>
      <c r="D389" s="68"/>
      <c r="E389" s="68"/>
      <c r="F389" s="68"/>
      <c r="G389" s="70"/>
      <c r="H389" s="68"/>
      <c r="I389" s="70"/>
    </row>
    <row r="390" customFormat="false" ht="15" hidden="false" customHeight="false" outlineLevel="0" collapsed="false">
      <c r="A390" s="70"/>
      <c r="B390" s="70"/>
      <c r="C390" s="70"/>
      <c r="D390" s="68"/>
      <c r="E390" s="68"/>
      <c r="F390" s="68"/>
      <c r="G390" s="70"/>
      <c r="H390" s="68"/>
      <c r="I390" s="70"/>
    </row>
    <row r="391" customFormat="false" ht="15" hidden="false" customHeight="false" outlineLevel="0" collapsed="false">
      <c r="A391" s="70"/>
      <c r="B391" s="70"/>
      <c r="C391" s="70"/>
      <c r="D391" s="68"/>
      <c r="E391" s="68"/>
      <c r="F391" s="68"/>
      <c r="G391" s="70"/>
      <c r="H391" s="68"/>
      <c r="I391" s="70"/>
    </row>
    <row r="392" customFormat="false" ht="15" hidden="false" customHeight="false" outlineLevel="0" collapsed="false">
      <c r="A392" s="70"/>
      <c r="B392" s="70"/>
      <c r="C392" s="70"/>
      <c r="D392" s="68"/>
      <c r="E392" s="68"/>
      <c r="F392" s="68"/>
      <c r="G392" s="70"/>
      <c r="H392" s="68"/>
      <c r="I392" s="70"/>
    </row>
    <row r="393" customFormat="false" ht="15" hidden="false" customHeight="false" outlineLevel="0" collapsed="false">
      <c r="A393" s="70"/>
      <c r="B393" s="70"/>
      <c r="C393" s="70"/>
      <c r="D393" s="68"/>
      <c r="E393" s="68"/>
      <c r="F393" s="68"/>
      <c r="G393" s="70"/>
      <c r="H393" s="68"/>
      <c r="I393" s="70"/>
    </row>
    <row r="394" customFormat="false" ht="15" hidden="false" customHeight="false" outlineLevel="0" collapsed="false">
      <c r="A394" s="70"/>
      <c r="B394" s="70"/>
      <c r="C394" s="70"/>
      <c r="D394" s="68"/>
      <c r="E394" s="68"/>
      <c r="F394" s="68"/>
      <c r="G394" s="70"/>
      <c r="H394" s="68"/>
      <c r="I394" s="70"/>
    </row>
    <row r="395" customFormat="false" ht="15" hidden="false" customHeight="false" outlineLevel="0" collapsed="false">
      <c r="A395" s="70"/>
      <c r="B395" s="70"/>
      <c r="C395" s="70"/>
      <c r="D395" s="68"/>
      <c r="E395" s="68"/>
      <c r="F395" s="68"/>
      <c r="G395" s="70"/>
      <c r="H395" s="68"/>
      <c r="I395" s="70"/>
    </row>
    <row r="396" customFormat="false" ht="15" hidden="false" customHeight="false" outlineLevel="0" collapsed="false">
      <c r="A396" s="70"/>
      <c r="B396" s="70"/>
      <c r="C396" s="70"/>
      <c r="D396" s="68"/>
      <c r="E396" s="68"/>
      <c r="F396" s="68"/>
      <c r="G396" s="70"/>
      <c r="H396" s="68"/>
      <c r="I396" s="70"/>
    </row>
    <row r="397" customFormat="false" ht="15" hidden="false" customHeight="false" outlineLevel="0" collapsed="false">
      <c r="A397" s="70"/>
      <c r="B397" s="70"/>
      <c r="C397" s="70"/>
      <c r="D397" s="68"/>
      <c r="E397" s="68"/>
      <c r="F397" s="68"/>
      <c r="G397" s="70"/>
      <c r="H397" s="68"/>
      <c r="I397" s="70"/>
    </row>
    <row r="398" customFormat="false" ht="15" hidden="false" customHeight="false" outlineLevel="0" collapsed="false">
      <c r="A398" s="70"/>
      <c r="B398" s="70"/>
      <c r="C398" s="70"/>
      <c r="D398" s="68"/>
      <c r="E398" s="68"/>
      <c r="F398" s="68"/>
      <c r="G398" s="70"/>
      <c r="H398" s="68"/>
      <c r="I398" s="70"/>
    </row>
    <row r="399" customFormat="false" ht="15" hidden="false" customHeight="false" outlineLevel="0" collapsed="false">
      <c r="A399" s="70"/>
      <c r="B399" s="70"/>
      <c r="C399" s="70"/>
      <c r="D399" s="68"/>
      <c r="E399" s="68"/>
      <c r="F399" s="68"/>
      <c r="G399" s="70"/>
      <c r="H399" s="68"/>
      <c r="I399" s="70"/>
    </row>
    <row r="400" customFormat="false" ht="15" hidden="false" customHeight="false" outlineLevel="0" collapsed="false">
      <c r="A400" s="70"/>
      <c r="B400" s="70"/>
      <c r="C400" s="70"/>
      <c r="D400" s="68"/>
      <c r="E400" s="68"/>
      <c r="F400" s="68"/>
      <c r="G400" s="70"/>
      <c r="H400" s="68"/>
      <c r="I400" s="70"/>
    </row>
    <row r="401" customFormat="false" ht="15" hidden="false" customHeight="false" outlineLevel="0" collapsed="false">
      <c r="A401" s="70"/>
      <c r="B401" s="70"/>
      <c r="C401" s="70"/>
      <c r="D401" s="68"/>
      <c r="E401" s="68"/>
      <c r="F401" s="68"/>
      <c r="G401" s="70"/>
      <c r="H401" s="68"/>
      <c r="I401" s="70"/>
    </row>
    <row r="402" customFormat="false" ht="15" hidden="false" customHeight="false" outlineLevel="0" collapsed="false">
      <c r="A402" s="70"/>
      <c r="B402" s="70"/>
      <c r="C402" s="70"/>
      <c r="D402" s="68"/>
      <c r="E402" s="68"/>
      <c r="F402" s="68"/>
      <c r="G402" s="70"/>
      <c r="H402" s="68"/>
      <c r="I402" s="70"/>
    </row>
    <row r="403" customFormat="false" ht="15" hidden="false" customHeight="false" outlineLevel="0" collapsed="false">
      <c r="A403" s="70"/>
      <c r="B403" s="70"/>
      <c r="C403" s="70"/>
      <c r="D403" s="68"/>
      <c r="E403" s="68"/>
      <c r="F403" s="68"/>
      <c r="G403" s="70"/>
      <c r="H403" s="68"/>
      <c r="I403" s="70"/>
    </row>
    <row r="404" customFormat="false" ht="15" hidden="false" customHeight="false" outlineLevel="0" collapsed="false">
      <c r="A404" s="70"/>
      <c r="B404" s="70"/>
      <c r="C404" s="70"/>
      <c r="D404" s="68"/>
      <c r="E404" s="68"/>
      <c r="F404" s="68"/>
      <c r="G404" s="70"/>
      <c r="H404" s="68"/>
      <c r="I404" s="70"/>
    </row>
    <row r="405" customFormat="false" ht="15" hidden="false" customHeight="false" outlineLevel="0" collapsed="false">
      <c r="A405" s="70"/>
      <c r="B405" s="70"/>
      <c r="C405" s="70"/>
      <c r="D405" s="68"/>
      <c r="E405" s="68"/>
      <c r="F405" s="68"/>
      <c r="G405" s="70"/>
      <c r="H405" s="68"/>
      <c r="I405" s="70"/>
    </row>
    <row r="406" customFormat="false" ht="15" hidden="false" customHeight="false" outlineLevel="0" collapsed="false">
      <c r="A406" s="70"/>
      <c r="B406" s="70"/>
      <c r="C406" s="70"/>
      <c r="D406" s="68"/>
      <c r="E406" s="68"/>
      <c r="F406" s="68"/>
      <c r="G406" s="70"/>
      <c r="H406" s="68"/>
      <c r="I406" s="70"/>
    </row>
    <row r="407" customFormat="false" ht="15" hidden="false" customHeight="false" outlineLevel="0" collapsed="false">
      <c r="A407" s="70"/>
      <c r="B407" s="70"/>
      <c r="C407" s="70"/>
      <c r="D407" s="68"/>
      <c r="E407" s="68"/>
      <c r="F407" s="68"/>
      <c r="G407" s="70"/>
      <c r="H407" s="68"/>
      <c r="I407" s="70"/>
    </row>
    <row r="408" customFormat="false" ht="15" hidden="false" customHeight="false" outlineLevel="0" collapsed="false">
      <c r="A408" s="70"/>
      <c r="B408" s="70"/>
      <c r="C408" s="70"/>
      <c r="D408" s="68"/>
      <c r="E408" s="68"/>
      <c r="F408" s="68"/>
      <c r="G408" s="70"/>
      <c r="H408" s="68"/>
      <c r="I408" s="70"/>
    </row>
    <row r="409" customFormat="false" ht="15" hidden="false" customHeight="false" outlineLevel="0" collapsed="false">
      <c r="A409" s="70"/>
      <c r="B409" s="70"/>
      <c r="C409" s="70"/>
      <c r="D409" s="68"/>
      <c r="E409" s="68"/>
      <c r="F409" s="68"/>
      <c r="G409" s="70"/>
      <c r="H409" s="68"/>
      <c r="I409" s="70"/>
    </row>
    <row r="410" customFormat="false" ht="15" hidden="false" customHeight="false" outlineLevel="0" collapsed="false">
      <c r="A410" s="70"/>
      <c r="B410" s="70"/>
      <c r="C410" s="70"/>
      <c r="D410" s="68"/>
      <c r="E410" s="68"/>
      <c r="F410" s="68"/>
      <c r="G410" s="70"/>
      <c r="H410" s="68"/>
      <c r="I410" s="70"/>
    </row>
    <row r="411" customFormat="false" ht="15" hidden="false" customHeight="false" outlineLevel="0" collapsed="false">
      <c r="A411" s="70"/>
      <c r="B411" s="70"/>
      <c r="C411" s="70"/>
      <c r="D411" s="68"/>
      <c r="E411" s="68"/>
      <c r="F411" s="68"/>
      <c r="G411" s="70"/>
      <c r="H411" s="68"/>
      <c r="I411" s="70"/>
    </row>
    <row r="412" customFormat="false" ht="15" hidden="false" customHeight="false" outlineLevel="0" collapsed="false">
      <c r="A412" s="70"/>
      <c r="B412" s="70"/>
      <c r="C412" s="70"/>
      <c r="D412" s="68"/>
      <c r="E412" s="68"/>
      <c r="F412" s="68"/>
      <c r="G412" s="70"/>
      <c r="H412" s="68"/>
      <c r="I412" s="70"/>
    </row>
    <row r="413" customFormat="false" ht="15" hidden="false" customHeight="false" outlineLevel="0" collapsed="false">
      <c r="A413" s="70"/>
      <c r="B413" s="70"/>
      <c r="C413" s="70"/>
      <c r="D413" s="68"/>
      <c r="E413" s="68"/>
      <c r="F413" s="68"/>
      <c r="G413" s="70"/>
      <c r="H413" s="68"/>
      <c r="I413" s="70"/>
    </row>
    <row r="414" customFormat="false" ht="15" hidden="false" customHeight="false" outlineLevel="0" collapsed="false">
      <c r="A414" s="70"/>
      <c r="B414" s="70"/>
      <c r="C414" s="70"/>
      <c r="D414" s="68"/>
      <c r="E414" s="68"/>
      <c r="F414" s="68"/>
      <c r="G414" s="70"/>
      <c r="H414" s="68"/>
      <c r="I414" s="70"/>
    </row>
    <row r="415" customFormat="false" ht="15" hidden="false" customHeight="false" outlineLevel="0" collapsed="false">
      <c r="A415" s="70"/>
      <c r="B415" s="70"/>
      <c r="C415" s="70"/>
      <c r="D415" s="68"/>
      <c r="E415" s="68"/>
      <c r="F415" s="68"/>
      <c r="G415" s="70"/>
      <c r="H415" s="68"/>
      <c r="I415" s="70"/>
    </row>
    <row r="416" customFormat="false" ht="15" hidden="false" customHeight="false" outlineLevel="0" collapsed="false">
      <c r="A416" s="70"/>
      <c r="B416" s="70"/>
      <c r="C416" s="70"/>
      <c r="D416" s="68"/>
      <c r="E416" s="68"/>
      <c r="F416" s="68"/>
      <c r="G416" s="70"/>
      <c r="H416" s="68"/>
      <c r="I416" s="70"/>
    </row>
    <row r="417" customFormat="false" ht="15" hidden="false" customHeight="false" outlineLevel="0" collapsed="false">
      <c r="A417" s="70"/>
      <c r="B417" s="70"/>
      <c r="C417" s="70"/>
      <c r="D417" s="68"/>
      <c r="E417" s="68"/>
      <c r="F417" s="68"/>
      <c r="G417" s="70"/>
      <c r="H417" s="68"/>
      <c r="I417" s="70"/>
    </row>
    <row r="418" customFormat="false" ht="15" hidden="false" customHeight="false" outlineLevel="0" collapsed="false">
      <c r="A418" s="70"/>
      <c r="B418" s="70"/>
      <c r="C418" s="70"/>
      <c r="D418" s="68"/>
      <c r="E418" s="68"/>
      <c r="F418" s="68"/>
      <c r="G418" s="70"/>
      <c r="H418" s="68"/>
      <c r="I418" s="70"/>
    </row>
    <row r="419" customFormat="false" ht="15" hidden="false" customHeight="false" outlineLevel="0" collapsed="false">
      <c r="A419" s="70"/>
      <c r="B419" s="70"/>
      <c r="C419" s="70"/>
      <c r="D419" s="68"/>
      <c r="E419" s="68"/>
      <c r="F419" s="68"/>
      <c r="G419" s="70"/>
      <c r="H419" s="68"/>
      <c r="I419" s="70"/>
    </row>
    <row r="420" customFormat="false" ht="15" hidden="false" customHeight="false" outlineLevel="0" collapsed="false">
      <c r="A420" s="70"/>
      <c r="B420" s="70"/>
      <c r="C420" s="70"/>
      <c r="D420" s="68"/>
      <c r="E420" s="68"/>
      <c r="F420" s="68"/>
      <c r="G420" s="70"/>
      <c r="H420" s="68"/>
      <c r="I420" s="70"/>
    </row>
    <row r="421" customFormat="false" ht="15" hidden="false" customHeight="false" outlineLevel="0" collapsed="false">
      <c r="A421" s="70"/>
      <c r="B421" s="70"/>
      <c r="C421" s="70"/>
      <c r="D421" s="68"/>
      <c r="E421" s="68"/>
      <c r="F421" s="68"/>
      <c r="G421" s="70"/>
      <c r="H421" s="68"/>
      <c r="I421" s="70"/>
    </row>
    <row r="422" customFormat="false" ht="15" hidden="false" customHeight="false" outlineLevel="0" collapsed="false">
      <c r="A422" s="70"/>
      <c r="B422" s="70"/>
      <c r="C422" s="70"/>
      <c r="D422" s="68"/>
      <c r="E422" s="68"/>
      <c r="F422" s="68"/>
      <c r="G422" s="70"/>
      <c r="H422" s="68"/>
      <c r="I422" s="70"/>
    </row>
    <row r="423" customFormat="false" ht="15" hidden="false" customHeight="false" outlineLevel="0" collapsed="false">
      <c r="A423" s="70"/>
      <c r="B423" s="70"/>
      <c r="C423" s="70"/>
      <c r="D423" s="68"/>
      <c r="E423" s="68"/>
      <c r="F423" s="68"/>
      <c r="G423" s="70"/>
      <c r="H423" s="68"/>
      <c r="I423" s="70"/>
    </row>
    <row r="424" customFormat="false" ht="15" hidden="false" customHeight="false" outlineLevel="0" collapsed="false">
      <c r="A424" s="70"/>
      <c r="B424" s="70"/>
      <c r="C424" s="70"/>
      <c r="D424" s="68"/>
      <c r="E424" s="68"/>
      <c r="F424" s="68"/>
      <c r="G424" s="70"/>
      <c r="H424" s="68"/>
      <c r="I424" s="70"/>
    </row>
    <row r="425" customFormat="false" ht="15" hidden="false" customHeight="false" outlineLevel="0" collapsed="false">
      <c r="A425" s="70"/>
      <c r="B425" s="70"/>
      <c r="C425" s="70"/>
      <c r="D425" s="68"/>
      <c r="E425" s="68"/>
      <c r="F425" s="68"/>
      <c r="G425" s="70"/>
      <c r="H425" s="68"/>
      <c r="I425" s="70"/>
    </row>
    <row r="426" customFormat="false" ht="15" hidden="false" customHeight="false" outlineLevel="0" collapsed="false">
      <c r="A426" s="70"/>
      <c r="B426" s="70"/>
      <c r="C426" s="70"/>
      <c r="D426" s="68"/>
      <c r="E426" s="68"/>
      <c r="F426" s="68"/>
      <c r="G426" s="70"/>
      <c r="H426" s="68"/>
      <c r="I426" s="70"/>
    </row>
    <row r="427" customFormat="false" ht="15" hidden="false" customHeight="false" outlineLevel="0" collapsed="false">
      <c r="A427" s="70"/>
      <c r="B427" s="70"/>
      <c r="C427" s="70"/>
      <c r="D427" s="68"/>
      <c r="E427" s="68"/>
      <c r="F427" s="68"/>
      <c r="G427" s="70"/>
      <c r="H427" s="68"/>
      <c r="I427" s="70"/>
    </row>
    <row r="428" customFormat="false" ht="15" hidden="false" customHeight="false" outlineLevel="0" collapsed="false">
      <c r="A428" s="70"/>
      <c r="B428" s="70"/>
      <c r="C428" s="70"/>
      <c r="D428" s="68"/>
      <c r="E428" s="68"/>
      <c r="F428" s="68"/>
      <c r="G428" s="70"/>
      <c r="H428" s="68"/>
      <c r="I428" s="70"/>
    </row>
    <row r="429" customFormat="false" ht="15" hidden="false" customHeight="false" outlineLevel="0" collapsed="false">
      <c r="A429" s="70"/>
      <c r="B429" s="70"/>
      <c r="C429" s="70"/>
      <c r="D429" s="68"/>
      <c r="E429" s="68"/>
      <c r="F429" s="68"/>
      <c r="G429" s="70"/>
      <c r="H429" s="68"/>
      <c r="I429" s="70"/>
    </row>
    <row r="430" customFormat="false" ht="15" hidden="false" customHeight="false" outlineLevel="0" collapsed="false">
      <c r="A430" s="70"/>
      <c r="B430" s="70"/>
      <c r="C430" s="70"/>
      <c r="D430" s="68"/>
      <c r="E430" s="68"/>
      <c r="F430" s="68"/>
      <c r="G430" s="70"/>
      <c r="H430" s="68"/>
      <c r="I430" s="70"/>
    </row>
    <row r="431" customFormat="false" ht="15" hidden="false" customHeight="false" outlineLevel="0" collapsed="false">
      <c r="A431" s="70"/>
      <c r="B431" s="70"/>
      <c r="C431" s="70"/>
      <c r="D431" s="68"/>
      <c r="E431" s="68"/>
      <c r="F431" s="68"/>
      <c r="G431" s="70"/>
      <c r="H431" s="68"/>
      <c r="I431" s="70"/>
    </row>
    <row r="432" customFormat="false" ht="15" hidden="false" customHeight="false" outlineLevel="0" collapsed="false">
      <c r="A432" s="70"/>
      <c r="B432" s="70"/>
      <c r="C432" s="70"/>
      <c r="D432" s="68"/>
      <c r="E432" s="68"/>
      <c r="F432" s="68"/>
      <c r="G432" s="70"/>
      <c r="H432" s="68"/>
      <c r="I432" s="70"/>
    </row>
    <row r="433" customFormat="false" ht="15" hidden="false" customHeight="false" outlineLevel="0" collapsed="false">
      <c r="A433" s="70"/>
      <c r="B433" s="70"/>
      <c r="C433" s="70"/>
      <c r="D433" s="68"/>
      <c r="E433" s="68"/>
      <c r="F433" s="68"/>
      <c r="G433" s="70"/>
      <c r="H433" s="68"/>
      <c r="I433" s="70"/>
    </row>
    <row r="434" customFormat="false" ht="15" hidden="false" customHeight="false" outlineLevel="0" collapsed="false">
      <c r="A434" s="70"/>
      <c r="B434" s="70"/>
      <c r="C434" s="70"/>
      <c r="D434" s="68"/>
      <c r="E434" s="68"/>
      <c r="F434" s="68"/>
      <c r="G434" s="70"/>
      <c r="H434" s="68"/>
      <c r="I434" s="70"/>
    </row>
    <row r="435" customFormat="false" ht="15" hidden="false" customHeight="false" outlineLevel="0" collapsed="false">
      <c r="A435" s="70"/>
      <c r="B435" s="70"/>
      <c r="C435" s="70"/>
      <c r="D435" s="68"/>
      <c r="E435" s="68"/>
      <c r="F435" s="68"/>
      <c r="G435" s="70"/>
      <c r="H435" s="68"/>
      <c r="I435" s="70"/>
    </row>
    <row r="436" customFormat="false" ht="15" hidden="false" customHeight="false" outlineLevel="0" collapsed="false">
      <c r="A436" s="70"/>
      <c r="B436" s="70"/>
      <c r="C436" s="70"/>
      <c r="D436" s="68"/>
      <c r="E436" s="68"/>
      <c r="F436" s="68"/>
      <c r="G436" s="70"/>
      <c r="H436" s="68"/>
      <c r="I436" s="70"/>
    </row>
    <row r="437" customFormat="false" ht="15" hidden="false" customHeight="false" outlineLevel="0" collapsed="false">
      <c r="A437" s="70"/>
      <c r="B437" s="70"/>
      <c r="C437" s="70"/>
      <c r="D437" s="68"/>
      <c r="E437" s="68"/>
      <c r="F437" s="68"/>
      <c r="G437" s="70"/>
      <c r="H437" s="68"/>
      <c r="I437" s="70"/>
    </row>
    <row r="438" customFormat="false" ht="15" hidden="false" customHeight="false" outlineLevel="0" collapsed="false">
      <c r="A438" s="70"/>
      <c r="B438" s="70"/>
      <c r="C438" s="70"/>
      <c r="D438" s="68"/>
      <c r="E438" s="68"/>
      <c r="F438" s="68"/>
      <c r="G438" s="70"/>
      <c r="H438" s="68"/>
      <c r="I438" s="70"/>
    </row>
    <row r="439" customFormat="false" ht="15" hidden="false" customHeight="false" outlineLevel="0" collapsed="false">
      <c r="A439" s="70"/>
      <c r="B439" s="70"/>
      <c r="C439" s="70"/>
      <c r="D439" s="68"/>
      <c r="E439" s="68"/>
      <c r="F439" s="68"/>
      <c r="G439" s="70"/>
      <c r="H439" s="68"/>
      <c r="I439" s="70"/>
    </row>
    <row r="440" customFormat="false" ht="15" hidden="false" customHeight="false" outlineLevel="0" collapsed="false">
      <c r="A440" s="70"/>
      <c r="B440" s="70"/>
      <c r="C440" s="70"/>
      <c r="D440" s="68"/>
      <c r="E440" s="68"/>
      <c r="F440" s="68"/>
      <c r="G440" s="70"/>
      <c r="H440" s="68"/>
      <c r="I440" s="70"/>
    </row>
    <row r="441" customFormat="false" ht="15" hidden="false" customHeight="false" outlineLevel="0" collapsed="false">
      <c r="A441" s="70"/>
      <c r="B441" s="70"/>
      <c r="C441" s="70"/>
      <c r="D441" s="68"/>
      <c r="E441" s="68"/>
      <c r="F441" s="68"/>
      <c r="G441" s="70"/>
      <c r="H441" s="68"/>
      <c r="I441" s="70"/>
    </row>
    <row r="442" customFormat="false" ht="15" hidden="false" customHeight="false" outlineLevel="0" collapsed="false">
      <c r="A442" s="70"/>
      <c r="B442" s="70"/>
      <c r="C442" s="70"/>
      <c r="D442" s="68"/>
      <c r="E442" s="68"/>
      <c r="F442" s="68"/>
      <c r="G442" s="70"/>
      <c r="H442" s="68"/>
      <c r="I442" s="70"/>
    </row>
    <row r="443" customFormat="false" ht="15" hidden="false" customHeight="false" outlineLevel="0" collapsed="false">
      <c r="A443" s="70"/>
      <c r="B443" s="70"/>
      <c r="C443" s="70"/>
      <c r="D443" s="68"/>
      <c r="E443" s="68"/>
      <c r="F443" s="68"/>
      <c r="G443" s="70"/>
      <c r="H443" s="68"/>
      <c r="I443" s="70"/>
    </row>
    <row r="444" customFormat="false" ht="15" hidden="false" customHeight="false" outlineLevel="0" collapsed="false">
      <c r="A444" s="70"/>
      <c r="B444" s="70"/>
      <c r="C444" s="70"/>
      <c r="D444" s="68"/>
      <c r="E444" s="68"/>
      <c r="F444" s="68"/>
      <c r="G444" s="70"/>
      <c r="H444" s="68"/>
      <c r="I444" s="70"/>
    </row>
    <row r="445" customFormat="false" ht="15" hidden="false" customHeight="false" outlineLevel="0" collapsed="false">
      <c r="A445" s="70"/>
      <c r="B445" s="70"/>
      <c r="C445" s="70"/>
      <c r="D445" s="68"/>
      <c r="E445" s="68"/>
      <c r="F445" s="68"/>
      <c r="G445" s="70"/>
      <c r="H445" s="68"/>
      <c r="I445" s="70"/>
    </row>
    <row r="446" customFormat="false" ht="15" hidden="false" customHeight="false" outlineLevel="0" collapsed="false">
      <c r="A446" s="70"/>
      <c r="B446" s="70"/>
      <c r="C446" s="70"/>
      <c r="D446" s="68"/>
      <c r="E446" s="68"/>
      <c r="F446" s="68"/>
      <c r="G446" s="70"/>
      <c r="H446" s="68"/>
      <c r="I446" s="70"/>
    </row>
    <row r="447" customFormat="false" ht="15" hidden="false" customHeight="false" outlineLevel="0" collapsed="false">
      <c r="A447" s="70"/>
      <c r="B447" s="70"/>
      <c r="C447" s="70"/>
      <c r="D447" s="68"/>
      <c r="E447" s="68"/>
      <c r="F447" s="68"/>
      <c r="G447" s="70"/>
      <c r="H447" s="68"/>
      <c r="I447" s="70"/>
    </row>
    <row r="448" customFormat="false" ht="15" hidden="false" customHeight="false" outlineLevel="0" collapsed="false">
      <c r="A448" s="70"/>
      <c r="B448" s="70"/>
      <c r="C448" s="70"/>
      <c r="D448" s="68"/>
      <c r="E448" s="68"/>
      <c r="F448" s="68"/>
      <c r="G448" s="70"/>
      <c r="H448" s="68"/>
      <c r="I448" s="70"/>
    </row>
    <row r="449" customFormat="false" ht="15" hidden="false" customHeight="false" outlineLevel="0" collapsed="false">
      <c r="A449" s="70"/>
      <c r="B449" s="70"/>
      <c r="C449" s="70"/>
      <c r="D449" s="68"/>
      <c r="E449" s="68"/>
      <c r="F449" s="68"/>
      <c r="G449" s="70"/>
      <c r="H449" s="68"/>
      <c r="I449" s="70"/>
    </row>
    <row r="450" customFormat="false" ht="15" hidden="false" customHeight="false" outlineLevel="0" collapsed="false">
      <c r="A450" s="70"/>
      <c r="B450" s="70"/>
      <c r="C450" s="70"/>
      <c r="D450" s="68"/>
      <c r="E450" s="68"/>
      <c r="F450" s="68"/>
      <c r="G450" s="70"/>
      <c r="H450" s="68"/>
      <c r="I450" s="70"/>
    </row>
    <row r="451" customFormat="false" ht="15" hidden="false" customHeight="false" outlineLevel="0" collapsed="false">
      <c r="A451" s="70"/>
      <c r="B451" s="70"/>
      <c r="C451" s="70"/>
      <c r="D451" s="68"/>
      <c r="E451" s="68"/>
      <c r="F451" s="68"/>
      <c r="G451" s="70"/>
      <c r="H451" s="68"/>
      <c r="I451" s="70"/>
    </row>
    <row r="452" customFormat="false" ht="15" hidden="false" customHeight="false" outlineLevel="0" collapsed="false">
      <c r="A452" s="70"/>
      <c r="B452" s="70"/>
      <c r="C452" s="70"/>
      <c r="D452" s="68"/>
      <c r="E452" s="68"/>
      <c r="F452" s="68"/>
      <c r="G452" s="70"/>
      <c r="H452" s="68"/>
      <c r="I452" s="70"/>
    </row>
    <row r="453" customFormat="false" ht="15" hidden="false" customHeight="false" outlineLevel="0" collapsed="false">
      <c r="A453" s="70"/>
      <c r="B453" s="70"/>
      <c r="C453" s="70"/>
      <c r="D453" s="68"/>
      <c r="E453" s="68"/>
      <c r="F453" s="68"/>
      <c r="G453" s="70"/>
      <c r="H453" s="68"/>
      <c r="I453" s="70"/>
    </row>
    <row r="454" customFormat="false" ht="15" hidden="false" customHeight="false" outlineLevel="0" collapsed="false">
      <c r="A454" s="70"/>
      <c r="B454" s="70"/>
      <c r="C454" s="70"/>
      <c r="D454" s="68"/>
      <c r="E454" s="68"/>
      <c r="F454" s="68"/>
      <c r="G454" s="70"/>
      <c r="H454" s="68"/>
      <c r="I454" s="70"/>
    </row>
    <row r="455" customFormat="false" ht="15" hidden="false" customHeight="false" outlineLevel="0" collapsed="false">
      <c r="A455" s="70"/>
      <c r="B455" s="70"/>
      <c r="C455" s="70"/>
      <c r="D455" s="68"/>
      <c r="E455" s="68"/>
      <c r="F455" s="68"/>
      <c r="G455" s="70"/>
      <c r="H455" s="68"/>
      <c r="I455" s="70"/>
    </row>
    <row r="456" customFormat="false" ht="15" hidden="false" customHeight="false" outlineLevel="0" collapsed="false">
      <c r="A456" s="70"/>
      <c r="B456" s="70"/>
      <c r="C456" s="70"/>
      <c r="D456" s="68"/>
      <c r="E456" s="68"/>
      <c r="F456" s="68"/>
      <c r="G456" s="70"/>
      <c r="H456" s="68"/>
      <c r="I456" s="70"/>
    </row>
    <row r="457" customFormat="false" ht="15" hidden="false" customHeight="false" outlineLevel="0" collapsed="false">
      <c r="A457" s="70"/>
      <c r="B457" s="70"/>
      <c r="C457" s="70"/>
      <c r="D457" s="68"/>
      <c r="E457" s="68"/>
      <c r="F457" s="68"/>
      <c r="G457" s="70"/>
      <c r="H457" s="68"/>
      <c r="I457" s="70"/>
    </row>
    <row r="458" customFormat="false" ht="15" hidden="false" customHeight="false" outlineLevel="0" collapsed="false">
      <c r="A458" s="70"/>
      <c r="B458" s="70"/>
      <c r="C458" s="70"/>
      <c r="D458" s="68"/>
      <c r="E458" s="68"/>
      <c r="F458" s="68"/>
      <c r="G458" s="70"/>
      <c r="H458" s="68"/>
      <c r="I458" s="70"/>
    </row>
    <row r="459" customFormat="false" ht="15" hidden="false" customHeight="false" outlineLevel="0" collapsed="false">
      <c r="A459" s="70"/>
      <c r="B459" s="70"/>
      <c r="C459" s="70"/>
      <c r="D459" s="68"/>
      <c r="E459" s="68"/>
      <c r="F459" s="68"/>
      <c r="G459" s="70"/>
      <c r="H459" s="68"/>
      <c r="I459" s="70"/>
    </row>
    <row r="460" customFormat="false" ht="15" hidden="false" customHeight="false" outlineLevel="0" collapsed="false">
      <c r="A460" s="70"/>
      <c r="B460" s="70"/>
      <c r="C460" s="70"/>
      <c r="D460" s="68"/>
      <c r="E460" s="68"/>
      <c r="F460" s="68"/>
      <c r="G460" s="70"/>
      <c r="H460" s="68"/>
      <c r="I460" s="70"/>
    </row>
    <row r="461" customFormat="false" ht="15" hidden="false" customHeight="false" outlineLevel="0" collapsed="false">
      <c r="A461" s="70"/>
      <c r="B461" s="70"/>
      <c r="C461" s="70"/>
      <c r="D461" s="68"/>
      <c r="E461" s="68"/>
      <c r="F461" s="68"/>
      <c r="G461" s="70"/>
      <c r="H461" s="68"/>
      <c r="I461" s="70"/>
    </row>
    <row r="462" customFormat="false" ht="15" hidden="false" customHeight="false" outlineLevel="0" collapsed="false">
      <c r="A462" s="70"/>
      <c r="B462" s="70"/>
      <c r="C462" s="70"/>
      <c r="D462" s="68"/>
      <c r="E462" s="68"/>
      <c r="F462" s="68"/>
      <c r="G462" s="70"/>
      <c r="H462" s="68"/>
      <c r="I462" s="70"/>
    </row>
    <row r="463" customFormat="false" ht="15" hidden="false" customHeight="false" outlineLevel="0" collapsed="false">
      <c r="A463" s="70"/>
      <c r="B463" s="70"/>
      <c r="C463" s="70"/>
      <c r="D463" s="68"/>
      <c r="E463" s="68"/>
      <c r="F463" s="68"/>
      <c r="G463" s="70"/>
      <c r="H463" s="68"/>
      <c r="I463" s="70"/>
    </row>
    <row r="464" customFormat="false" ht="15" hidden="false" customHeight="false" outlineLevel="0" collapsed="false">
      <c r="A464" s="70"/>
      <c r="B464" s="70"/>
      <c r="C464" s="70"/>
      <c r="D464" s="68"/>
      <c r="E464" s="68"/>
      <c r="F464" s="68"/>
      <c r="G464" s="70"/>
      <c r="H464" s="68"/>
      <c r="I464" s="70"/>
    </row>
    <row r="465" customFormat="false" ht="15" hidden="false" customHeight="false" outlineLevel="0" collapsed="false">
      <c r="A465" s="70"/>
      <c r="B465" s="70"/>
      <c r="C465" s="70"/>
      <c r="D465" s="68"/>
      <c r="E465" s="68"/>
      <c r="F465" s="68"/>
      <c r="G465" s="70"/>
      <c r="H465" s="68"/>
      <c r="I465" s="70"/>
    </row>
    <row r="466" customFormat="false" ht="15" hidden="false" customHeight="false" outlineLevel="0" collapsed="false">
      <c r="A466" s="70"/>
      <c r="B466" s="70"/>
      <c r="C466" s="70"/>
      <c r="D466" s="68"/>
      <c r="E466" s="68"/>
      <c r="F466" s="68"/>
      <c r="G466" s="70"/>
      <c r="H466" s="68"/>
      <c r="I466" s="70"/>
    </row>
    <row r="467" customFormat="false" ht="15" hidden="false" customHeight="false" outlineLevel="0" collapsed="false">
      <c r="A467" s="70"/>
      <c r="B467" s="70"/>
      <c r="C467" s="70"/>
      <c r="D467" s="68"/>
      <c r="E467" s="68"/>
      <c r="F467" s="68"/>
      <c r="G467" s="70"/>
      <c r="H467" s="68"/>
      <c r="I467" s="70"/>
    </row>
    <row r="468" customFormat="false" ht="15" hidden="false" customHeight="false" outlineLevel="0" collapsed="false">
      <c r="A468" s="70"/>
      <c r="B468" s="70"/>
      <c r="C468" s="70"/>
      <c r="D468" s="68"/>
      <c r="E468" s="68"/>
      <c r="F468" s="68"/>
      <c r="G468" s="70"/>
      <c r="H468" s="68"/>
      <c r="I468" s="70"/>
    </row>
    <row r="469" customFormat="false" ht="15" hidden="false" customHeight="false" outlineLevel="0" collapsed="false">
      <c r="A469" s="70"/>
      <c r="B469" s="70"/>
      <c r="C469" s="70"/>
      <c r="D469" s="68"/>
      <c r="E469" s="68"/>
      <c r="F469" s="68"/>
      <c r="G469" s="70"/>
      <c r="H469" s="68"/>
      <c r="I469" s="70"/>
    </row>
    <row r="470" customFormat="false" ht="15" hidden="false" customHeight="false" outlineLevel="0" collapsed="false">
      <c r="A470" s="70"/>
      <c r="B470" s="70"/>
      <c r="C470" s="70"/>
      <c r="D470" s="68"/>
      <c r="E470" s="68"/>
      <c r="F470" s="68"/>
      <c r="G470" s="70"/>
      <c r="H470" s="68"/>
      <c r="I470" s="70"/>
    </row>
    <row r="471" customFormat="false" ht="15" hidden="false" customHeight="false" outlineLevel="0" collapsed="false">
      <c r="A471" s="70"/>
      <c r="B471" s="70"/>
      <c r="C471" s="70"/>
      <c r="D471" s="68"/>
      <c r="E471" s="68"/>
      <c r="F471" s="68"/>
      <c r="G471" s="70"/>
      <c r="H471" s="68"/>
      <c r="I471" s="70"/>
    </row>
    <row r="472" customFormat="false" ht="15" hidden="false" customHeight="false" outlineLevel="0" collapsed="false">
      <c r="A472" s="70"/>
      <c r="B472" s="70"/>
      <c r="C472" s="70"/>
      <c r="D472" s="68"/>
      <c r="E472" s="68"/>
      <c r="F472" s="68"/>
      <c r="G472" s="70"/>
      <c r="H472" s="68"/>
      <c r="I472" s="70"/>
    </row>
    <row r="473" customFormat="false" ht="15" hidden="false" customHeight="false" outlineLevel="0" collapsed="false">
      <c r="A473" s="70"/>
      <c r="B473" s="70"/>
      <c r="C473" s="70"/>
      <c r="D473" s="68"/>
      <c r="E473" s="68"/>
      <c r="F473" s="68"/>
      <c r="G473" s="70"/>
      <c r="H473" s="68"/>
      <c r="I473" s="70"/>
    </row>
    <row r="474" customFormat="false" ht="15" hidden="false" customHeight="false" outlineLevel="0" collapsed="false">
      <c r="A474" s="70"/>
      <c r="B474" s="70"/>
      <c r="C474" s="70"/>
      <c r="D474" s="68"/>
      <c r="E474" s="68"/>
      <c r="F474" s="68"/>
      <c r="G474" s="70"/>
      <c r="H474" s="68"/>
      <c r="I474" s="70"/>
    </row>
    <row r="475" customFormat="false" ht="15" hidden="false" customHeight="false" outlineLevel="0" collapsed="false">
      <c r="A475" s="70"/>
      <c r="B475" s="70"/>
      <c r="C475" s="70"/>
      <c r="D475" s="68"/>
      <c r="E475" s="68"/>
      <c r="F475" s="68"/>
      <c r="G475" s="70"/>
      <c r="H475" s="68"/>
      <c r="I475" s="70"/>
    </row>
    <row r="476" customFormat="false" ht="15" hidden="false" customHeight="false" outlineLevel="0" collapsed="false">
      <c r="A476" s="70"/>
      <c r="B476" s="70"/>
      <c r="C476" s="70"/>
      <c r="D476" s="68"/>
      <c r="E476" s="68"/>
      <c r="F476" s="68"/>
      <c r="G476" s="70"/>
      <c r="H476" s="68"/>
      <c r="I476" s="70"/>
    </row>
    <row r="477" customFormat="false" ht="15" hidden="false" customHeight="false" outlineLevel="0" collapsed="false">
      <c r="A477" s="70"/>
      <c r="B477" s="70"/>
      <c r="C477" s="70"/>
      <c r="D477" s="68"/>
      <c r="E477" s="68"/>
      <c r="F477" s="68"/>
      <c r="G477" s="70"/>
      <c r="H477" s="68"/>
      <c r="I477" s="70"/>
    </row>
    <row r="478" customFormat="false" ht="15" hidden="false" customHeight="false" outlineLevel="0" collapsed="false">
      <c r="A478" s="70"/>
      <c r="B478" s="70"/>
      <c r="C478" s="70"/>
      <c r="D478" s="68"/>
      <c r="E478" s="68"/>
      <c r="F478" s="68"/>
      <c r="G478" s="70"/>
      <c r="H478" s="68"/>
      <c r="I478" s="70"/>
    </row>
    <row r="479" customFormat="false" ht="15" hidden="false" customHeight="false" outlineLevel="0" collapsed="false">
      <c r="A479" s="70"/>
      <c r="B479" s="70"/>
      <c r="C479" s="70"/>
      <c r="D479" s="68"/>
      <c r="E479" s="68"/>
      <c r="F479" s="68"/>
      <c r="G479" s="70"/>
      <c r="H479" s="68"/>
      <c r="I479" s="70"/>
    </row>
    <row r="480" customFormat="false" ht="15" hidden="false" customHeight="false" outlineLevel="0" collapsed="false">
      <c r="A480" s="70"/>
      <c r="B480" s="70"/>
      <c r="C480" s="70"/>
      <c r="D480" s="68"/>
      <c r="E480" s="68"/>
      <c r="F480" s="68"/>
      <c r="G480" s="70"/>
      <c r="H480" s="68"/>
      <c r="I480" s="70"/>
    </row>
    <row r="481" customFormat="false" ht="15" hidden="false" customHeight="false" outlineLevel="0" collapsed="false">
      <c r="A481" s="70"/>
      <c r="B481" s="70"/>
      <c r="C481" s="70"/>
      <c r="D481" s="68"/>
      <c r="E481" s="68"/>
      <c r="F481" s="68"/>
      <c r="G481" s="70"/>
      <c r="H481" s="68"/>
      <c r="I481" s="70"/>
    </row>
    <row r="482" customFormat="false" ht="15" hidden="false" customHeight="false" outlineLevel="0" collapsed="false">
      <c r="A482" s="70"/>
      <c r="B482" s="70"/>
      <c r="C482" s="70"/>
      <c r="D482" s="68"/>
      <c r="E482" s="68"/>
      <c r="F482" s="68"/>
      <c r="G482" s="70"/>
      <c r="H482" s="68"/>
      <c r="I482" s="70"/>
    </row>
    <row r="483" customFormat="false" ht="15" hidden="false" customHeight="false" outlineLevel="0" collapsed="false">
      <c r="A483" s="70"/>
      <c r="B483" s="70"/>
      <c r="C483" s="70"/>
      <c r="D483" s="68"/>
      <c r="E483" s="68"/>
      <c r="F483" s="68"/>
      <c r="G483" s="70"/>
      <c r="H483" s="68"/>
      <c r="I483" s="70"/>
    </row>
    <row r="484" customFormat="false" ht="15" hidden="false" customHeight="false" outlineLevel="0" collapsed="false">
      <c r="A484" s="70"/>
      <c r="B484" s="70"/>
      <c r="C484" s="70"/>
      <c r="D484" s="68"/>
      <c r="E484" s="68"/>
      <c r="F484" s="68"/>
      <c r="G484" s="70"/>
      <c r="H484" s="68"/>
      <c r="I484" s="70"/>
    </row>
    <row r="485" customFormat="false" ht="15" hidden="false" customHeight="false" outlineLevel="0" collapsed="false">
      <c r="A485" s="70"/>
      <c r="B485" s="70"/>
      <c r="C485" s="70"/>
      <c r="D485" s="68"/>
      <c r="E485" s="68"/>
      <c r="F485" s="68"/>
      <c r="G485" s="70"/>
      <c r="H485" s="68"/>
      <c r="I485" s="70"/>
    </row>
    <row r="486" customFormat="false" ht="15" hidden="false" customHeight="false" outlineLevel="0" collapsed="false">
      <c r="A486" s="70"/>
      <c r="B486" s="70"/>
      <c r="C486" s="70"/>
      <c r="D486" s="68"/>
      <c r="E486" s="68"/>
      <c r="F486" s="68"/>
      <c r="G486" s="70"/>
      <c r="H486" s="68"/>
      <c r="I486" s="70"/>
    </row>
    <row r="487" customFormat="false" ht="15" hidden="false" customHeight="false" outlineLevel="0" collapsed="false">
      <c r="A487" s="70"/>
      <c r="B487" s="70"/>
      <c r="C487" s="70"/>
      <c r="D487" s="68"/>
      <c r="E487" s="68"/>
      <c r="F487" s="68"/>
      <c r="G487" s="70"/>
      <c r="H487" s="68"/>
      <c r="I487" s="70"/>
    </row>
    <row r="488" customFormat="false" ht="15" hidden="false" customHeight="false" outlineLevel="0" collapsed="false">
      <c r="A488" s="70"/>
      <c r="B488" s="70"/>
      <c r="C488" s="70"/>
      <c r="D488" s="68"/>
      <c r="E488" s="68"/>
      <c r="F488" s="68"/>
      <c r="G488" s="70"/>
      <c r="H488" s="68"/>
      <c r="I488" s="70"/>
    </row>
    <row r="489" customFormat="false" ht="15" hidden="false" customHeight="false" outlineLevel="0" collapsed="false">
      <c r="A489" s="70"/>
      <c r="B489" s="70"/>
      <c r="C489" s="70"/>
      <c r="D489" s="68"/>
      <c r="E489" s="68"/>
      <c r="F489" s="68"/>
      <c r="G489" s="70"/>
      <c r="H489" s="68"/>
      <c r="I489" s="70"/>
    </row>
    <row r="490" customFormat="false" ht="15" hidden="false" customHeight="false" outlineLevel="0" collapsed="false">
      <c r="A490" s="70"/>
      <c r="B490" s="70"/>
      <c r="C490" s="70"/>
      <c r="D490" s="68"/>
      <c r="E490" s="68"/>
      <c r="F490" s="68"/>
      <c r="G490" s="70"/>
      <c r="H490" s="68"/>
      <c r="I490" s="70"/>
    </row>
    <row r="491" customFormat="false" ht="15" hidden="false" customHeight="false" outlineLevel="0" collapsed="false">
      <c r="A491" s="70"/>
      <c r="B491" s="70"/>
      <c r="C491" s="70"/>
      <c r="D491" s="68"/>
      <c r="E491" s="68"/>
      <c r="F491" s="68"/>
      <c r="G491" s="70"/>
      <c r="H491" s="68"/>
      <c r="I491" s="70"/>
    </row>
    <row r="492" customFormat="false" ht="15" hidden="false" customHeight="false" outlineLevel="0" collapsed="false">
      <c r="A492" s="70"/>
      <c r="B492" s="70"/>
      <c r="C492" s="70"/>
      <c r="D492" s="68"/>
      <c r="E492" s="68"/>
      <c r="F492" s="68"/>
      <c r="G492" s="70"/>
      <c r="H492" s="68"/>
      <c r="I492" s="70"/>
    </row>
    <row r="493" customFormat="false" ht="15" hidden="false" customHeight="false" outlineLevel="0" collapsed="false">
      <c r="A493" s="70"/>
      <c r="B493" s="70"/>
      <c r="C493" s="70"/>
      <c r="D493" s="68"/>
      <c r="E493" s="68"/>
      <c r="F493" s="68"/>
      <c r="G493" s="70"/>
      <c r="H493" s="68"/>
      <c r="I493" s="70"/>
    </row>
    <row r="494" customFormat="false" ht="15" hidden="false" customHeight="false" outlineLevel="0" collapsed="false">
      <c r="A494" s="70"/>
      <c r="B494" s="70"/>
      <c r="C494" s="70"/>
      <c r="D494" s="68"/>
      <c r="E494" s="68"/>
      <c r="F494" s="68"/>
      <c r="G494" s="70"/>
      <c r="H494" s="68"/>
      <c r="I494" s="70"/>
    </row>
    <row r="495" customFormat="false" ht="15" hidden="false" customHeight="false" outlineLevel="0" collapsed="false">
      <c r="A495" s="70"/>
      <c r="B495" s="70"/>
      <c r="C495" s="70"/>
      <c r="D495" s="68"/>
      <c r="E495" s="68"/>
      <c r="F495" s="68"/>
      <c r="G495" s="70"/>
      <c r="H495" s="68"/>
      <c r="I495" s="70"/>
    </row>
    <row r="496" customFormat="false" ht="15" hidden="false" customHeight="false" outlineLevel="0" collapsed="false">
      <c r="A496" s="70"/>
      <c r="B496" s="70"/>
      <c r="C496" s="70"/>
      <c r="D496" s="68"/>
      <c r="E496" s="68"/>
      <c r="F496" s="68"/>
      <c r="G496" s="70"/>
      <c r="H496" s="68"/>
      <c r="I496" s="70"/>
    </row>
    <row r="497" customFormat="false" ht="15" hidden="false" customHeight="false" outlineLevel="0" collapsed="false">
      <c r="A497" s="70"/>
      <c r="B497" s="70"/>
      <c r="C497" s="70"/>
      <c r="D497" s="68"/>
      <c r="E497" s="68"/>
      <c r="F497" s="68"/>
      <c r="G497" s="70"/>
      <c r="H497" s="68"/>
      <c r="I497" s="70"/>
    </row>
    <row r="498" customFormat="false" ht="15" hidden="false" customHeight="false" outlineLevel="0" collapsed="false">
      <c r="A498" s="70"/>
      <c r="B498" s="70"/>
      <c r="C498" s="70"/>
      <c r="D498" s="68"/>
      <c r="E498" s="68"/>
      <c r="F498" s="68"/>
      <c r="G498" s="70"/>
      <c r="H498" s="68"/>
      <c r="I498" s="70"/>
    </row>
    <row r="499" customFormat="false" ht="15" hidden="false" customHeight="false" outlineLevel="0" collapsed="false">
      <c r="A499" s="70"/>
      <c r="B499" s="70"/>
      <c r="C499" s="70"/>
      <c r="D499" s="68"/>
      <c r="E499" s="68"/>
      <c r="F499" s="68"/>
      <c r="G499" s="70"/>
      <c r="H499" s="68"/>
      <c r="I499" s="70"/>
    </row>
    <row r="500" customFormat="false" ht="15" hidden="false" customHeight="false" outlineLevel="0" collapsed="false">
      <c r="A500" s="70"/>
      <c r="B500" s="70"/>
      <c r="C500" s="70"/>
      <c r="D500" s="68"/>
      <c r="E500" s="68"/>
      <c r="F500" s="68"/>
      <c r="G500" s="70"/>
      <c r="H500" s="68"/>
      <c r="I500" s="70"/>
    </row>
    <row r="501" customFormat="false" ht="15" hidden="false" customHeight="false" outlineLevel="0" collapsed="false">
      <c r="A501" s="70"/>
      <c r="B501" s="70"/>
      <c r="C501" s="70"/>
      <c r="D501" s="68"/>
      <c r="E501" s="68"/>
      <c r="F501" s="68"/>
      <c r="G501" s="70"/>
      <c r="H501" s="68"/>
      <c r="I501" s="70"/>
    </row>
    <row r="502" customFormat="false" ht="15" hidden="false" customHeight="false" outlineLevel="0" collapsed="false">
      <c r="A502" s="70"/>
      <c r="B502" s="70"/>
      <c r="C502" s="70"/>
      <c r="D502" s="68"/>
      <c r="E502" s="68"/>
      <c r="F502" s="68"/>
      <c r="G502" s="70"/>
      <c r="H502" s="68"/>
      <c r="I502" s="70"/>
    </row>
    <row r="503" customFormat="false" ht="15" hidden="false" customHeight="false" outlineLevel="0" collapsed="false">
      <c r="A503" s="70"/>
      <c r="B503" s="70"/>
      <c r="C503" s="70"/>
      <c r="D503" s="68"/>
      <c r="E503" s="68"/>
      <c r="F503" s="68"/>
      <c r="G503" s="70"/>
      <c r="H503" s="68"/>
      <c r="I503" s="70"/>
    </row>
    <row r="504" customFormat="false" ht="15" hidden="false" customHeight="false" outlineLevel="0" collapsed="false">
      <c r="A504" s="70"/>
      <c r="B504" s="70"/>
      <c r="C504" s="70"/>
      <c r="D504" s="68"/>
      <c r="E504" s="68"/>
      <c r="F504" s="68"/>
      <c r="G504" s="70"/>
      <c r="H504" s="68"/>
      <c r="I504" s="70"/>
    </row>
    <row r="505" customFormat="false" ht="15" hidden="false" customHeight="false" outlineLevel="0" collapsed="false">
      <c r="A505" s="70"/>
      <c r="B505" s="70"/>
      <c r="C505" s="70"/>
      <c r="D505" s="68"/>
      <c r="E505" s="68"/>
      <c r="F505" s="68"/>
      <c r="G505" s="70"/>
      <c r="H505" s="68"/>
      <c r="I505" s="70"/>
    </row>
    <row r="506" customFormat="false" ht="15" hidden="false" customHeight="false" outlineLevel="0" collapsed="false">
      <c r="A506" s="70"/>
      <c r="B506" s="70"/>
      <c r="C506" s="70"/>
      <c r="D506" s="68"/>
      <c r="E506" s="68"/>
      <c r="F506" s="68"/>
      <c r="G506" s="70"/>
      <c r="H506" s="68"/>
      <c r="I506" s="70"/>
    </row>
    <row r="507" customFormat="false" ht="15" hidden="false" customHeight="false" outlineLevel="0" collapsed="false">
      <c r="A507" s="70"/>
      <c r="B507" s="70"/>
      <c r="C507" s="70"/>
      <c r="D507" s="68"/>
      <c r="E507" s="68"/>
      <c r="F507" s="68"/>
      <c r="G507" s="70"/>
      <c r="H507" s="68"/>
      <c r="I507" s="70"/>
    </row>
    <row r="508" customFormat="false" ht="15" hidden="false" customHeight="false" outlineLevel="0" collapsed="false">
      <c r="A508" s="70"/>
      <c r="B508" s="70"/>
      <c r="C508" s="70"/>
      <c r="D508" s="68"/>
      <c r="E508" s="68"/>
      <c r="F508" s="68"/>
      <c r="G508" s="70"/>
      <c r="H508" s="68"/>
      <c r="I508" s="70"/>
    </row>
    <row r="509" customFormat="false" ht="15" hidden="false" customHeight="false" outlineLevel="0" collapsed="false">
      <c r="A509" s="70"/>
      <c r="B509" s="70"/>
      <c r="C509" s="70"/>
      <c r="D509" s="68"/>
      <c r="E509" s="68"/>
      <c r="F509" s="68"/>
      <c r="G509" s="70"/>
      <c r="H509" s="68"/>
      <c r="I509" s="70"/>
    </row>
    <row r="510" customFormat="false" ht="15" hidden="false" customHeight="false" outlineLevel="0" collapsed="false">
      <c r="A510" s="70"/>
      <c r="B510" s="70"/>
      <c r="C510" s="70"/>
      <c r="D510" s="68"/>
      <c r="E510" s="68"/>
      <c r="F510" s="68"/>
      <c r="G510" s="70"/>
      <c r="H510" s="68"/>
      <c r="I510" s="70"/>
    </row>
    <row r="511" customFormat="false" ht="15" hidden="false" customHeight="false" outlineLevel="0" collapsed="false">
      <c r="A511" s="70"/>
      <c r="B511" s="70"/>
      <c r="C511" s="70"/>
      <c r="D511" s="68"/>
      <c r="E511" s="68"/>
      <c r="F511" s="68"/>
      <c r="G511" s="70"/>
      <c r="H511" s="68"/>
      <c r="I511" s="70"/>
    </row>
    <row r="512" customFormat="false" ht="15" hidden="false" customHeight="false" outlineLevel="0" collapsed="false">
      <c r="A512" s="70"/>
      <c r="B512" s="70"/>
      <c r="C512" s="70"/>
      <c r="D512" s="68"/>
      <c r="E512" s="68"/>
      <c r="F512" s="68"/>
      <c r="G512" s="70"/>
      <c r="H512" s="68"/>
      <c r="I512" s="70"/>
    </row>
    <row r="513" customFormat="false" ht="15" hidden="false" customHeight="false" outlineLevel="0" collapsed="false">
      <c r="A513" s="70"/>
      <c r="B513" s="70"/>
      <c r="C513" s="70"/>
      <c r="D513" s="68"/>
      <c r="E513" s="68"/>
      <c r="F513" s="68"/>
      <c r="G513" s="70"/>
      <c r="H513" s="68"/>
      <c r="I513" s="70"/>
    </row>
    <row r="514" customFormat="false" ht="15" hidden="false" customHeight="false" outlineLevel="0" collapsed="false">
      <c r="A514" s="70"/>
      <c r="B514" s="70"/>
      <c r="C514" s="70"/>
      <c r="D514" s="68"/>
      <c r="E514" s="68"/>
      <c r="F514" s="68"/>
      <c r="G514" s="70"/>
      <c r="H514" s="68"/>
      <c r="I514" s="70"/>
    </row>
    <row r="515" customFormat="false" ht="15" hidden="false" customHeight="false" outlineLevel="0" collapsed="false">
      <c r="A515" s="70"/>
      <c r="B515" s="70"/>
      <c r="C515" s="70"/>
      <c r="D515" s="68"/>
      <c r="E515" s="68"/>
      <c r="F515" s="68"/>
      <c r="G515" s="70"/>
      <c r="H515" s="68"/>
      <c r="I515" s="70"/>
    </row>
    <row r="516" customFormat="false" ht="15" hidden="false" customHeight="false" outlineLevel="0" collapsed="false">
      <c r="A516" s="70"/>
      <c r="B516" s="70"/>
      <c r="C516" s="70"/>
      <c r="D516" s="68"/>
      <c r="E516" s="68"/>
      <c r="F516" s="68"/>
      <c r="G516" s="70"/>
      <c r="H516" s="68"/>
      <c r="I516" s="70"/>
    </row>
    <row r="517" customFormat="false" ht="15" hidden="false" customHeight="false" outlineLevel="0" collapsed="false">
      <c r="A517" s="70"/>
      <c r="B517" s="70"/>
      <c r="C517" s="70"/>
      <c r="D517" s="68"/>
      <c r="E517" s="68"/>
      <c r="F517" s="68"/>
      <c r="G517" s="70"/>
      <c r="H517" s="68"/>
      <c r="I517" s="70"/>
    </row>
    <row r="518" customFormat="false" ht="15" hidden="false" customHeight="false" outlineLevel="0" collapsed="false">
      <c r="A518" s="70"/>
      <c r="B518" s="70"/>
      <c r="C518" s="70"/>
      <c r="D518" s="68"/>
      <c r="E518" s="68"/>
      <c r="F518" s="68"/>
      <c r="G518" s="70"/>
      <c r="H518" s="68"/>
      <c r="I518" s="70"/>
    </row>
    <row r="519" customFormat="false" ht="15" hidden="false" customHeight="false" outlineLevel="0" collapsed="false">
      <c r="A519" s="70"/>
      <c r="B519" s="70"/>
      <c r="C519" s="70"/>
      <c r="D519" s="68"/>
      <c r="E519" s="68"/>
      <c r="F519" s="68"/>
      <c r="G519" s="70"/>
      <c r="H519" s="68"/>
      <c r="I519" s="70"/>
    </row>
    <row r="520" customFormat="false" ht="15" hidden="false" customHeight="false" outlineLevel="0" collapsed="false">
      <c r="A520" s="70"/>
      <c r="B520" s="70"/>
      <c r="C520" s="70"/>
      <c r="D520" s="68"/>
      <c r="E520" s="68"/>
      <c r="F520" s="68"/>
      <c r="G520" s="70"/>
      <c r="H520" s="68"/>
      <c r="I520" s="70"/>
    </row>
    <row r="521" customFormat="false" ht="15" hidden="false" customHeight="false" outlineLevel="0" collapsed="false">
      <c r="A521" s="70"/>
      <c r="B521" s="70"/>
      <c r="C521" s="70"/>
      <c r="D521" s="68"/>
      <c r="E521" s="68"/>
      <c r="F521" s="68"/>
      <c r="G521" s="70"/>
      <c r="H521" s="68"/>
      <c r="I521" s="70"/>
    </row>
    <row r="522" customFormat="false" ht="15" hidden="false" customHeight="false" outlineLevel="0" collapsed="false">
      <c r="A522" s="70"/>
      <c r="B522" s="70"/>
      <c r="C522" s="70"/>
      <c r="D522" s="68"/>
      <c r="E522" s="68"/>
      <c r="F522" s="68"/>
      <c r="G522" s="70"/>
      <c r="H522" s="68"/>
      <c r="I522" s="70"/>
    </row>
    <row r="523" customFormat="false" ht="15" hidden="false" customHeight="false" outlineLevel="0" collapsed="false">
      <c r="A523" s="70"/>
      <c r="B523" s="70"/>
      <c r="C523" s="70"/>
      <c r="D523" s="68"/>
      <c r="E523" s="68"/>
      <c r="F523" s="68"/>
      <c r="G523" s="70"/>
      <c r="H523" s="68"/>
      <c r="I523" s="70"/>
    </row>
    <row r="524" customFormat="false" ht="15" hidden="false" customHeight="false" outlineLevel="0" collapsed="false">
      <c r="A524" s="70"/>
      <c r="B524" s="70"/>
      <c r="C524" s="70"/>
      <c r="D524" s="68"/>
      <c r="E524" s="68"/>
      <c r="F524" s="68"/>
      <c r="G524" s="70"/>
      <c r="H524" s="68"/>
      <c r="I524" s="70"/>
    </row>
    <row r="525" customFormat="false" ht="15" hidden="false" customHeight="false" outlineLevel="0" collapsed="false">
      <c r="A525" s="70"/>
      <c r="B525" s="70"/>
      <c r="C525" s="70"/>
      <c r="D525" s="68"/>
      <c r="E525" s="68"/>
      <c r="F525" s="68"/>
      <c r="G525" s="70"/>
      <c r="H525" s="68"/>
      <c r="I525" s="70"/>
    </row>
    <row r="526" customFormat="false" ht="15" hidden="false" customHeight="false" outlineLevel="0" collapsed="false">
      <c r="A526" s="70"/>
      <c r="B526" s="70"/>
      <c r="C526" s="70"/>
      <c r="D526" s="68"/>
      <c r="E526" s="68"/>
      <c r="F526" s="68"/>
      <c r="G526" s="70"/>
      <c r="H526" s="68"/>
      <c r="I526" s="70"/>
    </row>
    <row r="527" customFormat="false" ht="15" hidden="false" customHeight="false" outlineLevel="0" collapsed="false">
      <c r="A527" s="70"/>
      <c r="B527" s="70"/>
      <c r="C527" s="70"/>
      <c r="D527" s="68"/>
      <c r="E527" s="68"/>
      <c r="F527" s="68"/>
      <c r="G527" s="70"/>
      <c r="H527" s="68"/>
      <c r="I527" s="70"/>
    </row>
    <row r="528" customFormat="false" ht="15" hidden="false" customHeight="false" outlineLevel="0" collapsed="false">
      <c r="A528" s="70"/>
      <c r="B528" s="70"/>
      <c r="C528" s="70"/>
      <c r="D528" s="68"/>
      <c r="E528" s="68"/>
      <c r="F528" s="68"/>
      <c r="G528" s="70"/>
      <c r="H528" s="68"/>
      <c r="I528" s="70"/>
    </row>
    <row r="529" customFormat="false" ht="15" hidden="false" customHeight="false" outlineLevel="0" collapsed="false">
      <c r="A529" s="70"/>
      <c r="B529" s="70"/>
      <c r="C529" s="70"/>
      <c r="D529" s="68"/>
      <c r="E529" s="68"/>
      <c r="F529" s="68"/>
      <c r="G529" s="70"/>
      <c r="H529" s="68"/>
      <c r="I529" s="70"/>
    </row>
    <row r="530" customFormat="false" ht="15" hidden="false" customHeight="false" outlineLevel="0" collapsed="false">
      <c r="A530" s="70"/>
      <c r="B530" s="70"/>
      <c r="C530" s="70"/>
      <c r="D530" s="68"/>
      <c r="E530" s="68"/>
      <c r="F530" s="68"/>
      <c r="G530" s="70"/>
      <c r="H530" s="68"/>
      <c r="I530" s="70"/>
    </row>
    <row r="531" customFormat="false" ht="15" hidden="false" customHeight="false" outlineLevel="0" collapsed="false">
      <c r="A531" s="70"/>
      <c r="B531" s="70"/>
      <c r="C531" s="70"/>
      <c r="D531" s="68"/>
      <c r="E531" s="68"/>
      <c r="F531" s="68"/>
      <c r="G531" s="70"/>
      <c r="H531" s="68"/>
      <c r="I531" s="70"/>
    </row>
    <row r="532" customFormat="false" ht="15" hidden="false" customHeight="false" outlineLevel="0" collapsed="false">
      <c r="A532" s="70"/>
      <c r="B532" s="70"/>
      <c r="C532" s="70"/>
      <c r="D532" s="68"/>
      <c r="E532" s="68"/>
      <c r="F532" s="68"/>
      <c r="G532" s="70"/>
      <c r="H532" s="68"/>
      <c r="I532" s="70"/>
    </row>
    <row r="533" customFormat="false" ht="15" hidden="false" customHeight="false" outlineLevel="0" collapsed="false">
      <c r="A533" s="70"/>
      <c r="B533" s="70"/>
      <c r="C533" s="70"/>
      <c r="D533" s="68"/>
      <c r="E533" s="68"/>
      <c r="F533" s="68"/>
      <c r="G533" s="70"/>
      <c r="H533" s="68"/>
      <c r="I533" s="70"/>
    </row>
    <row r="534" customFormat="false" ht="15" hidden="false" customHeight="false" outlineLevel="0" collapsed="false">
      <c r="A534" s="70"/>
      <c r="B534" s="70"/>
      <c r="C534" s="70"/>
      <c r="D534" s="68"/>
      <c r="E534" s="68"/>
      <c r="F534" s="68"/>
      <c r="G534" s="70"/>
      <c r="H534" s="68"/>
      <c r="I534" s="70"/>
    </row>
    <row r="535" customFormat="false" ht="15" hidden="false" customHeight="false" outlineLevel="0" collapsed="false">
      <c r="A535" s="70"/>
      <c r="B535" s="70"/>
      <c r="C535" s="70"/>
      <c r="D535" s="68"/>
      <c r="E535" s="68"/>
      <c r="F535" s="68"/>
      <c r="G535" s="70"/>
      <c r="H535" s="68"/>
      <c r="I535" s="70"/>
    </row>
    <row r="536" customFormat="false" ht="15" hidden="false" customHeight="false" outlineLevel="0" collapsed="false">
      <c r="A536" s="70"/>
      <c r="B536" s="70"/>
      <c r="C536" s="70"/>
      <c r="D536" s="68"/>
      <c r="E536" s="68"/>
      <c r="F536" s="68"/>
      <c r="G536" s="70"/>
      <c r="H536" s="68"/>
      <c r="I536" s="70"/>
    </row>
    <row r="537" customFormat="false" ht="15" hidden="false" customHeight="false" outlineLevel="0" collapsed="false">
      <c r="A537" s="70"/>
      <c r="B537" s="70"/>
      <c r="C537" s="70"/>
      <c r="D537" s="68"/>
      <c r="E537" s="68"/>
      <c r="F537" s="68"/>
      <c r="G537" s="70"/>
      <c r="H537" s="68"/>
      <c r="I537" s="70"/>
    </row>
    <row r="538" customFormat="false" ht="15" hidden="false" customHeight="false" outlineLevel="0" collapsed="false">
      <c r="A538" s="70"/>
      <c r="B538" s="70"/>
      <c r="C538" s="70"/>
      <c r="D538" s="68"/>
      <c r="E538" s="68"/>
      <c r="F538" s="68"/>
      <c r="G538" s="70"/>
      <c r="H538" s="68"/>
      <c r="I538" s="70"/>
    </row>
    <row r="539" customFormat="false" ht="15" hidden="false" customHeight="false" outlineLevel="0" collapsed="false">
      <c r="A539" s="70"/>
      <c r="B539" s="70"/>
      <c r="C539" s="70"/>
      <c r="D539" s="68"/>
      <c r="E539" s="68"/>
      <c r="F539" s="68"/>
      <c r="G539" s="70"/>
      <c r="H539" s="68"/>
      <c r="I539" s="70"/>
    </row>
    <row r="540" customFormat="false" ht="15" hidden="false" customHeight="false" outlineLevel="0" collapsed="false">
      <c r="A540" s="70"/>
      <c r="B540" s="70"/>
      <c r="C540" s="70"/>
      <c r="D540" s="68"/>
      <c r="E540" s="68"/>
      <c r="F540" s="68"/>
      <c r="G540" s="70"/>
      <c r="H540" s="68"/>
      <c r="I540" s="70"/>
    </row>
    <row r="541" customFormat="false" ht="15" hidden="false" customHeight="false" outlineLevel="0" collapsed="false">
      <c r="A541" s="70"/>
      <c r="B541" s="70"/>
      <c r="C541" s="70"/>
      <c r="D541" s="68"/>
      <c r="E541" s="68"/>
      <c r="F541" s="68"/>
      <c r="G541" s="70"/>
      <c r="H541" s="68"/>
      <c r="I541" s="70"/>
    </row>
    <row r="542" customFormat="false" ht="15" hidden="false" customHeight="false" outlineLevel="0" collapsed="false">
      <c r="A542" s="70"/>
      <c r="B542" s="70"/>
      <c r="C542" s="70"/>
      <c r="D542" s="68"/>
      <c r="E542" s="68"/>
      <c r="F542" s="68"/>
      <c r="G542" s="70"/>
      <c r="H542" s="68"/>
      <c r="I542" s="70"/>
    </row>
    <row r="543" customFormat="false" ht="15" hidden="false" customHeight="false" outlineLevel="0" collapsed="false">
      <c r="A543" s="70"/>
      <c r="B543" s="70"/>
      <c r="C543" s="70"/>
      <c r="D543" s="68"/>
      <c r="E543" s="68"/>
      <c r="F543" s="68"/>
      <c r="G543" s="70"/>
      <c r="H543" s="68"/>
      <c r="I543" s="70"/>
    </row>
    <row r="544" customFormat="false" ht="15" hidden="false" customHeight="false" outlineLevel="0" collapsed="false">
      <c r="A544" s="70"/>
      <c r="B544" s="70"/>
      <c r="C544" s="70"/>
      <c r="D544" s="68"/>
      <c r="E544" s="68"/>
      <c r="F544" s="68"/>
      <c r="G544" s="70"/>
      <c r="H544" s="68"/>
      <c r="I544" s="70"/>
    </row>
    <row r="545" customFormat="false" ht="15" hidden="false" customHeight="false" outlineLevel="0" collapsed="false">
      <c r="A545" s="70"/>
      <c r="B545" s="70"/>
      <c r="C545" s="70"/>
      <c r="D545" s="68"/>
      <c r="E545" s="68"/>
      <c r="F545" s="68"/>
      <c r="G545" s="70"/>
      <c r="H545" s="68"/>
      <c r="I545" s="70"/>
    </row>
    <row r="546" customFormat="false" ht="15" hidden="false" customHeight="false" outlineLevel="0" collapsed="false">
      <c r="A546" s="70"/>
      <c r="B546" s="70"/>
      <c r="C546" s="70"/>
      <c r="D546" s="68"/>
      <c r="E546" s="68"/>
      <c r="F546" s="68"/>
      <c r="G546" s="70"/>
      <c r="H546" s="68"/>
      <c r="I546" s="70"/>
    </row>
    <row r="547" customFormat="false" ht="15" hidden="false" customHeight="false" outlineLevel="0" collapsed="false">
      <c r="A547" s="70"/>
      <c r="B547" s="70"/>
      <c r="C547" s="70"/>
      <c r="D547" s="68"/>
      <c r="E547" s="68"/>
      <c r="F547" s="68"/>
      <c r="G547" s="70"/>
      <c r="H547" s="68"/>
      <c r="I547" s="70"/>
    </row>
    <row r="548" customFormat="false" ht="15" hidden="false" customHeight="false" outlineLevel="0" collapsed="false">
      <c r="A548" s="70"/>
      <c r="B548" s="70"/>
      <c r="C548" s="70"/>
      <c r="D548" s="68"/>
      <c r="E548" s="68"/>
      <c r="F548" s="68"/>
      <c r="G548" s="70"/>
      <c r="H548" s="68"/>
      <c r="I548" s="70"/>
    </row>
    <row r="549" customFormat="false" ht="15" hidden="false" customHeight="false" outlineLevel="0" collapsed="false">
      <c r="A549" s="70"/>
      <c r="B549" s="70"/>
      <c r="C549" s="70"/>
      <c r="D549" s="68"/>
      <c r="E549" s="68"/>
      <c r="F549" s="68"/>
      <c r="G549" s="70"/>
      <c r="H549" s="68"/>
      <c r="I549" s="70"/>
    </row>
    <row r="550" customFormat="false" ht="15" hidden="false" customHeight="false" outlineLevel="0" collapsed="false">
      <c r="A550" s="70"/>
      <c r="B550" s="70"/>
      <c r="C550" s="70"/>
      <c r="D550" s="68"/>
      <c r="E550" s="68"/>
      <c r="F550" s="68"/>
      <c r="G550" s="70"/>
      <c r="H550" s="68"/>
      <c r="I550" s="70"/>
    </row>
    <row r="551" customFormat="false" ht="15" hidden="false" customHeight="false" outlineLevel="0" collapsed="false">
      <c r="A551" s="70"/>
      <c r="B551" s="70"/>
      <c r="C551" s="70"/>
      <c r="D551" s="68"/>
      <c r="E551" s="68"/>
      <c r="F551" s="68"/>
      <c r="G551" s="70"/>
      <c r="H551" s="68"/>
      <c r="I551" s="70"/>
    </row>
    <row r="552" customFormat="false" ht="15" hidden="false" customHeight="false" outlineLevel="0" collapsed="false">
      <c r="A552" s="70"/>
      <c r="B552" s="70"/>
      <c r="C552" s="70"/>
      <c r="D552" s="68"/>
      <c r="E552" s="68"/>
      <c r="F552" s="68"/>
      <c r="G552" s="70"/>
      <c r="H552" s="68"/>
      <c r="I552" s="70"/>
    </row>
    <row r="553" customFormat="false" ht="15" hidden="false" customHeight="false" outlineLevel="0" collapsed="false">
      <c r="A553" s="70"/>
      <c r="B553" s="70"/>
      <c r="C553" s="70"/>
      <c r="D553" s="68"/>
      <c r="E553" s="68"/>
      <c r="F553" s="68"/>
      <c r="G553" s="70"/>
      <c r="H553" s="68"/>
      <c r="I553" s="70"/>
    </row>
    <row r="554" customFormat="false" ht="15" hidden="false" customHeight="false" outlineLevel="0" collapsed="false">
      <c r="A554" s="70"/>
      <c r="B554" s="70"/>
      <c r="C554" s="70"/>
      <c r="D554" s="68"/>
      <c r="E554" s="68"/>
      <c r="F554" s="68"/>
      <c r="G554" s="70"/>
      <c r="H554" s="68"/>
      <c r="I554" s="70"/>
    </row>
    <row r="555" customFormat="false" ht="15" hidden="false" customHeight="false" outlineLevel="0" collapsed="false">
      <c r="A555" s="70"/>
      <c r="B555" s="70"/>
      <c r="C555" s="70"/>
      <c r="D555" s="68"/>
      <c r="E555" s="68"/>
      <c r="F555" s="68"/>
      <c r="G555" s="70"/>
      <c r="H555" s="68"/>
      <c r="I555" s="70"/>
    </row>
    <row r="556" customFormat="false" ht="15" hidden="false" customHeight="false" outlineLevel="0" collapsed="false">
      <c r="A556" s="70"/>
      <c r="B556" s="70"/>
      <c r="C556" s="70"/>
      <c r="D556" s="68"/>
      <c r="E556" s="68"/>
      <c r="F556" s="68"/>
      <c r="G556" s="70"/>
      <c r="H556" s="68"/>
      <c r="I556" s="70"/>
    </row>
    <row r="557" customFormat="false" ht="15" hidden="false" customHeight="false" outlineLevel="0" collapsed="false">
      <c r="A557" s="70"/>
      <c r="B557" s="70"/>
      <c r="C557" s="70"/>
      <c r="D557" s="68"/>
      <c r="E557" s="68"/>
      <c r="F557" s="68"/>
      <c r="G557" s="70"/>
      <c r="H557" s="68"/>
      <c r="I557" s="70"/>
    </row>
    <row r="558" customFormat="false" ht="15" hidden="false" customHeight="false" outlineLevel="0" collapsed="false">
      <c r="A558" s="70"/>
      <c r="B558" s="70"/>
      <c r="C558" s="70"/>
      <c r="D558" s="68"/>
      <c r="E558" s="68"/>
      <c r="F558" s="68"/>
      <c r="G558" s="70"/>
      <c r="H558" s="68"/>
      <c r="I558" s="70"/>
    </row>
    <row r="559" customFormat="false" ht="15" hidden="false" customHeight="false" outlineLevel="0" collapsed="false">
      <c r="A559" s="70"/>
      <c r="B559" s="70"/>
      <c r="C559" s="70"/>
      <c r="D559" s="68"/>
      <c r="E559" s="68"/>
      <c r="F559" s="68"/>
      <c r="G559" s="70"/>
      <c r="H559" s="68"/>
      <c r="I559" s="70"/>
    </row>
    <row r="560" customFormat="false" ht="15" hidden="false" customHeight="false" outlineLevel="0" collapsed="false">
      <c r="A560" s="70"/>
      <c r="B560" s="70"/>
      <c r="C560" s="70"/>
      <c r="D560" s="68"/>
      <c r="E560" s="68"/>
      <c r="F560" s="68"/>
      <c r="G560" s="70"/>
      <c r="H560" s="68"/>
      <c r="I560" s="70"/>
    </row>
    <row r="561" customFormat="false" ht="15" hidden="false" customHeight="false" outlineLevel="0" collapsed="false">
      <c r="A561" s="70"/>
      <c r="B561" s="70"/>
      <c r="C561" s="70"/>
      <c r="D561" s="68"/>
      <c r="E561" s="68"/>
      <c r="F561" s="68"/>
      <c r="G561" s="70"/>
      <c r="H561" s="68"/>
      <c r="I561" s="70"/>
    </row>
    <row r="562" customFormat="false" ht="15" hidden="false" customHeight="false" outlineLevel="0" collapsed="false">
      <c r="A562" s="70"/>
      <c r="B562" s="70"/>
      <c r="C562" s="70"/>
      <c r="D562" s="68"/>
      <c r="E562" s="68"/>
      <c r="F562" s="68"/>
      <c r="G562" s="70"/>
      <c r="H562" s="68"/>
      <c r="I562" s="70"/>
    </row>
    <row r="563" customFormat="false" ht="15" hidden="false" customHeight="false" outlineLevel="0" collapsed="false">
      <c r="A563" s="70"/>
      <c r="B563" s="70"/>
      <c r="C563" s="70"/>
      <c r="D563" s="68"/>
      <c r="E563" s="68"/>
      <c r="F563" s="68"/>
      <c r="G563" s="70"/>
      <c r="H563" s="68"/>
      <c r="I563" s="70"/>
    </row>
    <row r="564" customFormat="false" ht="15" hidden="false" customHeight="false" outlineLevel="0" collapsed="false">
      <c r="A564" s="70"/>
      <c r="B564" s="70"/>
      <c r="C564" s="70"/>
      <c r="D564" s="68"/>
      <c r="E564" s="68"/>
      <c r="F564" s="68"/>
      <c r="G564" s="70"/>
      <c r="H564" s="68"/>
      <c r="I564" s="70"/>
    </row>
    <row r="565" customFormat="false" ht="15" hidden="false" customHeight="false" outlineLevel="0" collapsed="false">
      <c r="A565" s="70"/>
      <c r="B565" s="70"/>
      <c r="C565" s="70"/>
      <c r="D565" s="68"/>
      <c r="E565" s="68"/>
      <c r="F565" s="68"/>
      <c r="G565" s="70"/>
      <c r="H565" s="68"/>
      <c r="I565" s="70"/>
    </row>
    <row r="566" customFormat="false" ht="15" hidden="false" customHeight="false" outlineLevel="0" collapsed="false">
      <c r="A566" s="70"/>
      <c r="B566" s="70"/>
      <c r="C566" s="70"/>
      <c r="D566" s="68"/>
      <c r="E566" s="68"/>
      <c r="F566" s="68"/>
      <c r="G566" s="70"/>
      <c r="H566" s="68"/>
      <c r="I566" s="70"/>
    </row>
    <row r="567" customFormat="false" ht="15" hidden="false" customHeight="false" outlineLevel="0" collapsed="false">
      <c r="A567" s="70"/>
      <c r="B567" s="70"/>
      <c r="C567" s="70"/>
      <c r="D567" s="68"/>
      <c r="E567" s="68"/>
      <c r="F567" s="68"/>
      <c r="G567" s="70"/>
      <c r="H567" s="68"/>
      <c r="I567" s="70"/>
    </row>
    <row r="568" customFormat="false" ht="15" hidden="false" customHeight="false" outlineLevel="0" collapsed="false">
      <c r="A568" s="70"/>
      <c r="B568" s="70"/>
      <c r="C568" s="70"/>
      <c r="D568" s="68"/>
      <c r="E568" s="68"/>
      <c r="F568" s="68"/>
      <c r="G568" s="70"/>
      <c r="H568" s="68"/>
      <c r="I568" s="70"/>
    </row>
    <row r="569" customFormat="false" ht="15" hidden="false" customHeight="false" outlineLevel="0" collapsed="false">
      <c r="A569" s="70"/>
      <c r="B569" s="70"/>
      <c r="C569" s="70"/>
      <c r="D569" s="68"/>
      <c r="E569" s="68"/>
      <c r="F569" s="68"/>
      <c r="G569" s="70"/>
      <c r="H569" s="68"/>
      <c r="I569" s="70"/>
    </row>
    <row r="570" customFormat="false" ht="15" hidden="false" customHeight="false" outlineLevel="0" collapsed="false">
      <c r="A570" s="70"/>
      <c r="B570" s="70"/>
      <c r="C570" s="70"/>
      <c r="D570" s="68"/>
      <c r="E570" s="68"/>
      <c r="F570" s="68"/>
      <c r="G570" s="70"/>
      <c r="H570" s="68"/>
      <c r="I570" s="70"/>
    </row>
    <row r="571" customFormat="false" ht="15" hidden="false" customHeight="false" outlineLevel="0" collapsed="false">
      <c r="A571" s="70"/>
      <c r="B571" s="70"/>
      <c r="C571" s="70"/>
      <c r="D571" s="68"/>
      <c r="E571" s="68"/>
      <c r="F571" s="68"/>
      <c r="G571" s="70"/>
      <c r="H571" s="68"/>
      <c r="I571" s="70"/>
    </row>
    <row r="572" customFormat="false" ht="15" hidden="false" customHeight="false" outlineLevel="0" collapsed="false">
      <c r="A572" s="70"/>
      <c r="B572" s="70"/>
      <c r="C572" s="70"/>
      <c r="D572" s="68"/>
      <c r="E572" s="68"/>
      <c r="F572" s="68"/>
      <c r="G572" s="70"/>
      <c r="H572" s="68"/>
      <c r="I572" s="70"/>
    </row>
    <row r="573" customFormat="false" ht="15" hidden="false" customHeight="false" outlineLevel="0" collapsed="false">
      <c r="A573" s="70"/>
      <c r="B573" s="70"/>
      <c r="C573" s="70"/>
      <c r="D573" s="68"/>
      <c r="E573" s="68"/>
      <c r="F573" s="68"/>
      <c r="G573" s="70"/>
      <c r="H573" s="68"/>
      <c r="I573" s="70"/>
    </row>
    <row r="574" customFormat="false" ht="15" hidden="false" customHeight="false" outlineLevel="0" collapsed="false">
      <c r="A574" s="70"/>
      <c r="B574" s="70"/>
      <c r="C574" s="70"/>
      <c r="D574" s="68"/>
      <c r="E574" s="68"/>
      <c r="F574" s="68"/>
      <c r="G574" s="70"/>
      <c r="H574" s="68"/>
      <c r="I574" s="70"/>
    </row>
    <row r="575" customFormat="false" ht="15" hidden="false" customHeight="false" outlineLevel="0" collapsed="false">
      <c r="A575" s="70"/>
      <c r="B575" s="70"/>
      <c r="C575" s="70"/>
      <c r="D575" s="68"/>
      <c r="E575" s="68"/>
      <c r="F575" s="68"/>
      <c r="G575" s="70"/>
      <c r="H575" s="68"/>
      <c r="I575" s="70"/>
    </row>
    <row r="576" customFormat="false" ht="15" hidden="false" customHeight="false" outlineLevel="0" collapsed="false">
      <c r="A576" s="70"/>
      <c r="B576" s="70"/>
      <c r="C576" s="70"/>
      <c r="D576" s="68"/>
      <c r="E576" s="68"/>
      <c r="F576" s="68"/>
      <c r="G576" s="70"/>
      <c r="H576" s="68"/>
      <c r="I576" s="70"/>
    </row>
    <row r="577" customFormat="false" ht="15" hidden="false" customHeight="false" outlineLevel="0" collapsed="false">
      <c r="A577" s="70"/>
      <c r="B577" s="70"/>
      <c r="C577" s="70"/>
      <c r="D577" s="68"/>
      <c r="E577" s="68"/>
      <c r="F577" s="68"/>
      <c r="G577" s="70"/>
      <c r="H577" s="68"/>
      <c r="I577" s="70"/>
    </row>
    <row r="578" customFormat="false" ht="15" hidden="false" customHeight="false" outlineLevel="0" collapsed="false">
      <c r="A578" s="70"/>
      <c r="B578" s="70"/>
      <c r="C578" s="70"/>
      <c r="D578" s="68"/>
      <c r="E578" s="68"/>
      <c r="F578" s="68"/>
      <c r="G578" s="70"/>
      <c r="H578" s="68"/>
      <c r="I578" s="70"/>
    </row>
    <row r="579" customFormat="false" ht="15" hidden="false" customHeight="false" outlineLevel="0" collapsed="false">
      <c r="A579" s="70"/>
      <c r="B579" s="70"/>
      <c r="C579" s="70"/>
      <c r="D579" s="68"/>
      <c r="E579" s="68"/>
      <c r="F579" s="68"/>
      <c r="G579" s="70"/>
      <c r="H579" s="68"/>
      <c r="I579" s="70"/>
    </row>
    <row r="580" customFormat="false" ht="15" hidden="false" customHeight="false" outlineLevel="0" collapsed="false">
      <c r="A580" s="70"/>
      <c r="B580" s="70"/>
      <c r="C580" s="70"/>
      <c r="D580" s="68"/>
      <c r="E580" s="68"/>
      <c r="F580" s="68"/>
      <c r="G580" s="70"/>
      <c r="H580" s="68"/>
      <c r="I580" s="70"/>
    </row>
    <row r="581" customFormat="false" ht="15" hidden="false" customHeight="false" outlineLevel="0" collapsed="false">
      <c r="A581" s="70"/>
      <c r="B581" s="70"/>
      <c r="C581" s="70"/>
      <c r="D581" s="68"/>
      <c r="E581" s="68"/>
      <c r="F581" s="68"/>
      <c r="G581" s="70"/>
      <c r="H581" s="68"/>
      <c r="I581" s="70"/>
    </row>
    <row r="582" customFormat="false" ht="15" hidden="false" customHeight="false" outlineLevel="0" collapsed="false">
      <c r="A582" s="70"/>
      <c r="B582" s="70"/>
      <c r="C582" s="70"/>
      <c r="D582" s="68"/>
      <c r="E582" s="68"/>
      <c r="F582" s="68"/>
      <c r="G582" s="70"/>
      <c r="H582" s="68"/>
      <c r="I582" s="70"/>
    </row>
    <row r="583" customFormat="false" ht="15" hidden="false" customHeight="false" outlineLevel="0" collapsed="false">
      <c r="A583" s="70"/>
      <c r="B583" s="70"/>
      <c r="C583" s="70"/>
      <c r="D583" s="68"/>
      <c r="E583" s="68"/>
      <c r="F583" s="68"/>
      <c r="G583" s="70"/>
      <c r="H583" s="68"/>
      <c r="I583" s="70"/>
    </row>
    <row r="584" customFormat="false" ht="15" hidden="false" customHeight="false" outlineLevel="0" collapsed="false">
      <c r="A584" s="70"/>
      <c r="B584" s="70"/>
      <c r="C584" s="70"/>
      <c r="D584" s="68"/>
      <c r="E584" s="68"/>
      <c r="F584" s="68"/>
      <c r="G584" s="70"/>
      <c r="H584" s="68"/>
      <c r="I584" s="70"/>
    </row>
    <row r="585" customFormat="false" ht="15" hidden="false" customHeight="false" outlineLevel="0" collapsed="false">
      <c r="A585" s="70"/>
      <c r="B585" s="70"/>
      <c r="C585" s="70"/>
      <c r="D585" s="68"/>
      <c r="E585" s="68"/>
      <c r="F585" s="68"/>
      <c r="G585" s="70"/>
      <c r="H585" s="68"/>
      <c r="I585" s="70"/>
    </row>
    <row r="586" customFormat="false" ht="15" hidden="false" customHeight="false" outlineLevel="0" collapsed="false">
      <c r="A586" s="70"/>
      <c r="B586" s="70"/>
      <c r="C586" s="70"/>
      <c r="D586" s="68"/>
      <c r="E586" s="68"/>
      <c r="F586" s="68"/>
      <c r="G586" s="70"/>
      <c r="H586" s="68"/>
      <c r="I586" s="70"/>
    </row>
    <row r="587" customFormat="false" ht="15" hidden="false" customHeight="false" outlineLevel="0" collapsed="false">
      <c r="A587" s="70"/>
      <c r="B587" s="70"/>
      <c r="C587" s="70"/>
      <c r="D587" s="68"/>
      <c r="E587" s="68"/>
      <c r="F587" s="68"/>
      <c r="G587" s="70"/>
      <c r="H587" s="68"/>
      <c r="I587" s="70"/>
    </row>
    <row r="588" customFormat="false" ht="15" hidden="false" customHeight="false" outlineLevel="0" collapsed="false">
      <c r="A588" s="70"/>
      <c r="B588" s="70"/>
      <c r="C588" s="70"/>
      <c r="D588" s="68"/>
      <c r="E588" s="68"/>
      <c r="F588" s="68"/>
      <c r="G588" s="70"/>
      <c r="H588" s="68"/>
      <c r="I588" s="70"/>
    </row>
    <row r="589" customFormat="false" ht="15" hidden="false" customHeight="false" outlineLevel="0" collapsed="false">
      <c r="A589" s="70"/>
      <c r="B589" s="70"/>
      <c r="C589" s="70"/>
      <c r="D589" s="68"/>
      <c r="E589" s="68"/>
      <c r="F589" s="68"/>
      <c r="G589" s="70"/>
      <c r="H589" s="68"/>
      <c r="I589" s="70"/>
    </row>
    <row r="590" customFormat="false" ht="15" hidden="false" customHeight="false" outlineLevel="0" collapsed="false">
      <c r="A590" s="70"/>
      <c r="B590" s="70"/>
      <c r="C590" s="70"/>
      <c r="D590" s="68"/>
      <c r="E590" s="68"/>
      <c r="F590" s="68"/>
      <c r="G590" s="70"/>
      <c r="H590" s="68"/>
      <c r="I590" s="70"/>
    </row>
    <row r="591" customFormat="false" ht="15" hidden="false" customHeight="false" outlineLevel="0" collapsed="false">
      <c r="A591" s="70"/>
      <c r="B591" s="70"/>
      <c r="C591" s="70"/>
      <c r="D591" s="68"/>
      <c r="E591" s="68"/>
      <c r="F591" s="68"/>
      <c r="G591" s="70"/>
      <c r="H591" s="68"/>
      <c r="I591" s="70"/>
    </row>
    <row r="592" customFormat="false" ht="15" hidden="false" customHeight="false" outlineLevel="0" collapsed="false">
      <c r="A592" s="70"/>
      <c r="B592" s="70"/>
      <c r="C592" s="70"/>
      <c r="D592" s="68"/>
      <c r="E592" s="68"/>
      <c r="F592" s="68"/>
      <c r="G592" s="70"/>
      <c r="H592" s="68"/>
      <c r="I592" s="70"/>
    </row>
    <row r="593" customFormat="false" ht="15" hidden="false" customHeight="false" outlineLevel="0" collapsed="false">
      <c r="A593" s="70"/>
      <c r="B593" s="70"/>
      <c r="C593" s="70"/>
      <c r="D593" s="68"/>
      <c r="E593" s="68"/>
      <c r="F593" s="68"/>
      <c r="G593" s="70"/>
      <c r="H593" s="68"/>
      <c r="I593" s="70"/>
    </row>
    <row r="594" customFormat="false" ht="15" hidden="false" customHeight="false" outlineLevel="0" collapsed="false">
      <c r="A594" s="70"/>
      <c r="B594" s="70"/>
      <c r="C594" s="70"/>
      <c r="D594" s="68"/>
      <c r="E594" s="68"/>
      <c r="F594" s="68"/>
      <c r="G594" s="70"/>
      <c r="H594" s="68"/>
      <c r="I594" s="70"/>
    </row>
    <row r="595" customFormat="false" ht="15" hidden="false" customHeight="false" outlineLevel="0" collapsed="false">
      <c r="A595" s="70"/>
      <c r="B595" s="70"/>
      <c r="C595" s="70"/>
      <c r="D595" s="68"/>
      <c r="E595" s="68"/>
      <c r="F595" s="68"/>
      <c r="G595" s="70"/>
      <c r="H595" s="68"/>
      <c r="I595" s="70"/>
    </row>
    <row r="596" customFormat="false" ht="15" hidden="false" customHeight="false" outlineLevel="0" collapsed="false">
      <c r="A596" s="70"/>
      <c r="B596" s="70"/>
      <c r="C596" s="70"/>
      <c r="D596" s="68"/>
      <c r="E596" s="68"/>
      <c r="F596" s="68"/>
      <c r="G596" s="70"/>
      <c r="H596" s="68"/>
      <c r="I596" s="70"/>
    </row>
    <row r="597" customFormat="false" ht="15" hidden="false" customHeight="false" outlineLevel="0" collapsed="false">
      <c r="A597" s="70"/>
      <c r="B597" s="70"/>
      <c r="C597" s="70"/>
      <c r="D597" s="68"/>
      <c r="E597" s="68"/>
      <c r="F597" s="68"/>
      <c r="G597" s="70"/>
      <c r="H597" s="68"/>
      <c r="I597" s="70"/>
    </row>
    <row r="598" customFormat="false" ht="15" hidden="false" customHeight="false" outlineLevel="0" collapsed="false">
      <c r="A598" s="70"/>
      <c r="B598" s="70"/>
      <c r="C598" s="70"/>
      <c r="D598" s="68"/>
      <c r="E598" s="68"/>
      <c r="F598" s="68"/>
      <c r="G598" s="70"/>
      <c r="H598" s="68"/>
      <c r="I598" s="70"/>
    </row>
    <row r="599" customFormat="false" ht="15" hidden="false" customHeight="false" outlineLevel="0" collapsed="false">
      <c r="A599" s="70"/>
      <c r="B599" s="70"/>
      <c r="C599" s="70"/>
      <c r="D599" s="68"/>
      <c r="E599" s="68"/>
      <c r="F599" s="68"/>
      <c r="G599" s="70"/>
      <c r="H599" s="68"/>
      <c r="I599" s="70"/>
    </row>
    <row r="600" customFormat="false" ht="15" hidden="false" customHeight="false" outlineLevel="0" collapsed="false">
      <c r="A600" s="70"/>
      <c r="B600" s="70"/>
      <c r="C600" s="70"/>
      <c r="D600" s="68"/>
      <c r="E600" s="68"/>
      <c r="F600" s="68"/>
      <c r="G600" s="70"/>
      <c r="H600" s="68"/>
      <c r="I600" s="70"/>
    </row>
    <row r="601" customFormat="false" ht="15" hidden="false" customHeight="false" outlineLevel="0" collapsed="false">
      <c r="A601" s="70"/>
      <c r="B601" s="70"/>
      <c r="C601" s="70"/>
      <c r="D601" s="68"/>
      <c r="E601" s="68"/>
      <c r="F601" s="68"/>
      <c r="G601" s="70"/>
      <c r="H601" s="68"/>
      <c r="I601" s="70"/>
    </row>
    <row r="602" customFormat="false" ht="15" hidden="false" customHeight="false" outlineLevel="0" collapsed="false">
      <c r="A602" s="70"/>
      <c r="B602" s="70"/>
      <c r="C602" s="70"/>
      <c r="D602" s="68"/>
      <c r="E602" s="68"/>
      <c r="F602" s="68"/>
      <c r="G602" s="70"/>
      <c r="H602" s="68"/>
      <c r="I602" s="70"/>
    </row>
    <row r="603" customFormat="false" ht="15" hidden="false" customHeight="false" outlineLevel="0" collapsed="false">
      <c r="A603" s="70"/>
      <c r="B603" s="70"/>
      <c r="C603" s="70"/>
      <c r="D603" s="68"/>
      <c r="E603" s="68"/>
      <c r="F603" s="68"/>
      <c r="G603" s="70"/>
      <c r="H603" s="68"/>
      <c r="I603" s="70"/>
    </row>
    <row r="604" customFormat="false" ht="15" hidden="false" customHeight="false" outlineLevel="0" collapsed="false">
      <c r="A604" s="70"/>
      <c r="B604" s="70"/>
      <c r="C604" s="70"/>
      <c r="D604" s="68"/>
      <c r="E604" s="68"/>
      <c r="F604" s="68"/>
      <c r="G604" s="70"/>
      <c r="H604" s="68"/>
      <c r="I604" s="70"/>
    </row>
    <row r="605" customFormat="false" ht="15" hidden="false" customHeight="false" outlineLevel="0" collapsed="false">
      <c r="A605" s="70"/>
      <c r="B605" s="70"/>
      <c r="C605" s="70"/>
      <c r="D605" s="68"/>
      <c r="E605" s="68"/>
      <c r="F605" s="68"/>
      <c r="G605" s="70"/>
      <c r="H605" s="68"/>
      <c r="I605" s="70"/>
    </row>
    <row r="606" customFormat="false" ht="15" hidden="false" customHeight="false" outlineLevel="0" collapsed="false">
      <c r="A606" s="70"/>
      <c r="B606" s="70"/>
      <c r="C606" s="70"/>
      <c r="D606" s="68"/>
      <c r="E606" s="68"/>
      <c r="F606" s="68"/>
      <c r="G606" s="70"/>
      <c r="H606" s="68"/>
      <c r="I606" s="70"/>
    </row>
    <row r="607" customFormat="false" ht="15" hidden="false" customHeight="false" outlineLevel="0" collapsed="false">
      <c r="A607" s="70"/>
      <c r="B607" s="70"/>
      <c r="C607" s="70"/>
      <c r="D607" s="68"/>
      <c r="E607" s="68"/>
      <c r="F607" s="68"/>
      <c r="G607" s="70"/>
      <c r="H607" s="68"/>
      <c r="I607" s="70"/>
    </row>
    <row r="608" customFormat="false" ht="15" hidden="false" customHeight="false" outlineLevel="0" collapsed="false">
      <c r="A608" s="70"/>
      <c r="B608" s="70"/>
      <c r="C608" s="70"/>
      <c r="D608" s="68"/>
      <c r="E608" s="68"/>
      <c r="F608" s="68"/>
      <c r="G608" s="70"/>
      <c r="H608" s="68"/>
      <c r="I608" s="70"/>
    </row>
    <row r="609" customFormat="false" ht="15" hidden="false" customHeight="false" outlineLevel="0" collapsed="false">
      <c r="A609" s="70"/>
      <c r="B609" s="70"/>
      <c r="C609" s="70"/>
      <c r="D609" s="68"/>
      <c r="E609" s="68"/>
      <c r="F609" s="68"/>
      <c r="G609" s="70"/>
      <c r="H609" s="68"/>
      <c r="I609" s="70"/>
    </row>
    <row r="610" customFormat="false" ht="15" hidden="false" customHeight="false" outlineLevel="0" collapsed="false">
      <c r="A610" s="70"/>
      <c r="B610" s="70"/>
      <c r="C610" s="70"/>
      <c r="D610" s="68"/>
      <c r="E610" s="68"/>
      <c r="F610" s="68"/>
      <c r="G610" s="70"/>
      <c r="H610" s="68"/>
      <c r="I610" s="70"/>
    </row>
    <row r="611" customFormat="false" ht="15" hidden="false" customHeight="false" outlineLevel="0" collapsed="false">
      <c r="A611" s="70"/>
      <c r="B611" s="70"/>
      <c r="C611" s="70"/>
      <c r="D611" s="68"/>
      <c r="E611" s="68"/>
      <c r="F611" s="68"/>
      <c r="G611" s="70"/>
      <c r="H611" s="68"/>
      <c r="I611" s="70"/>
    </row>
    <row r="612" customFormat="false" ht="15" hidden="false" customHeight="false" outlineLevel="0" collapsed="false">
      <c r="A612" s="70"/>
      <c r="B612" s="70"/>
      <c r="C612" s="70"/>
      <c r="D612" s="68"/>
      <c r="E612" s="68"/>
      <c r="F612" s="68"/>
      <c r="G612" s="70"/>
      <c r="H612" s="68"/>
      <c r="I612" s="70"/>
    </row>
    <row r="613" customFormat="false" ht="15" hidden="false" customHeight="false" outlineLevel="0" collapsed="false">
      <c r="A613" s="70"/>
      <c r="B613" s="70"/>
      <c r="C613" s="70"/>
      <c r="D613" s="68"/>
      <c r="E613" s="68"/>
      <c r="F613" s="68"/>
      <c r="G613" s="70"/>
      <c r="H613" s="68"/>
      <c r="I613" s="70"/>
    </row>
    <row r="614" customFormat="false" ht="15" hidden="false" customHeight="false" outlineLevel="0" collapsed="false">
      <c r="A614" s="70"/>
      <c r="B614" s="70"/>
      <c r="C614" s="70"/>
      <c r="D614" s="68"/>
      <c r="E614" s="68"/>
      <c r="F614" s="68"/>
      <c r="G614" s="70"/>
      <c r="H614" s="68"/>
      <c r="I614" s="70"/>
    </row>
    <row r="615" customFormat="false" ht="15" hidden="false" customHeight="false" outlineLevel="0" collapsed="false">
      <c r="A615" s="70"/>
      <c r="B615" s="70"/>
      <c r="C615" s="70"/>
      <c r="D615" s="68"/>
      <c r="E615" s="68"/>
      <c r="F615" s="68"/>
      <c r="G615" s="70"/>
      <c r="H615" s="68"/>
      <c r="I615" s="70"/>
    </row>
    <row r="616" customFormat="false" ht="15" hidden="false" customHeight="false" outlineLevel="0" collapsed="false">
      <c r="A616" s="70"/>
      <c r="B616" s="70"/>
      <c r="C616" s="70"/>
      <c r="D616" s="68"/>
      <c r="E616" s="68"/>
      <c r="F616" s="68"/>
      <c r="G616" s="70"/>
      <c r="H616" s="68"/>
      <c r="I616" s="70"/>
    </row>
    <row r="617" customFormat="false" ht="15" hidden="false" customHeight="false" outlineLevel="0" collapsed="false">
      <c r="A617" s="70"/>
      <c r="B617" s="70"/>
      <c r="C617" s="70"/>
      <c r="D617" s="68"/>
      <c r="E617" s="68"/>
      <c r="F617" s="68"/>
      <c r="G617" s="70"/>
      <c r="H617" s="68"/>
      <c r="I617" s="70"/>
    </row>
    <row r="618" customFormat="false" ht="15" hidden="false" customHeight="false" outlineLevel="0" collapsed="false">
      <c r="A618" s="70"/>
      <c r="B618" s="70"/>
      <c r="C618" s="70"/>
      <c r="D618" s="68"/>
      <c r="E618" s="68"/>
      <c r="F618" s="68"/>
      <c r="G618" s="70"/>
      <c r="H618" s="68"/>
      <c r="I618" s="70"/>
    </row>
    <row r="619" customFormat="false" ht="15" hidden="false" customHeight="false" outlineLevel="0" collapsed="false">
      <c r="A619" s="70"/>
      <c r="B619" s="70"/>
      <c r="C619" s="70"/>
      <c r="D619" s="68"/>
      <c r="E619" s="68"/>
      <c r="F619" s="68"/>
      <c r="G619" s="70"/>
      <c r="H619" s="68"/>
      <c r="I619" s="70"/>
    </row>
    <row r="620" customFormat="false" ht="15" hidden="false" customHeight="false" outlineLevel="0" collapsed="false">
      <c r="A620" s="70"/>
      <c r="B620" s="70"/>
      <c r="C620" s="70"/>
      <c r="D620" s="68"/>
      <c r="E620" s="68"/>
      <c r="F620" s="68"/>
      <c r="G620" s="70"/>
      <c r="H620" s="68"/>
      <c r="I620" s="70"/>
    </row>
    <row r="621" customFormat="false" ht="15" hidden="false" customHeight="false" outlineLevel="0" collapsed="false">
      <c r="A621" s="70"/>
      <c r="B621" s="70"/>
      <c r="C621" s="70"/>
      <c r="D621" s="68"/>
      <c r="E621" s="68"/>
      <c r="F621" s="68"/>
      <c r="G621" s="70"/>
      <c r="H621" s="68"/>
      <c r="I621" s="70"/>
    </row>
    <row r="622" customFormat="false" ht="15" hidden="false" customHeight="false" outlineLevel="0" collapsed="false">
      <c r="A622" s="70"/>
      <c r="B622" s="70"/>
      <c r="C622" s="70"/>
      <c r="D622" s="68"/>
      <c r="E622" s="68"/>
      <c r="F622" s="68"/>
      <c r="G622" s="70"/>
      <c r="H622" s="68"/>
      <c r="I622" s="70"/>
    </row>
    <row r="623" customFormat="false" ht="15" hidden="false" customHeight="false" outlineLevel="0" collapsed="false">
      <c r="A623" s="70"/>
      <c r="B623" s="70"/>
      <c r="C623" s="70"/>
      <c r="D623" s="68"/>
      <c r="E623" s="68"/>
      <c r="F623" s="68"/>
      <c r="G623" s="70"/>
      <c r="H623" s="68"/>
      <c r="I623" s="70"/>
    </row>
    <row r="624" customFormat="false" ht="15" hidden="false" customHeight="false" outlineLevel="0" collapsed="false">
      <c r="A624" s="70"/>
      <c r="B624" s="70"/>
      <c r="C624" s="70"/>
      <c r="D624" s="68"/>
      <c r="E624" s="68"/>
      <c r="F624" s="68"/>
      <c r="G624" s="70"/>
      <c r="H624" s="68"/>
      <c r="I624" s="70"/>
    </row>
    <row r="625" customFormat="false" ht="15" hidden="false" customHeight="false" outlineLevel="0" collapsed="false">
      <c r="A625" s="70"/>
      <c r="B625" s="70"/>
      <c r="C625" s="70"/>
      <c r="D625" s="68"/>
      <c r="E625" s="68"/>
      <c r="F625" s="68"/>
      <c r="G625" s="70"/>
      <c r="H625" s="68"/>
      <c r="I625" s="70"/>
    </row>
    <row r="626" customFormat="false" ht="15" hidden="false" customHeight="false" outlineLevel="0" collapsed="false">
      <c r="A626" s="70"/>
      <c r="B626" s="70"/>
      <c r="C626" s="70"/>
      <c r="D626" s="68"/>
      <c r="E626" s="68"/>
      <c r="F626" s="68"/>
      <c r="G626" s="70"/>
      <c r="H626" s="68"/>
      <c r="I626" s="70"/>
    </row>
    <row r="627" customFormat="false" ht="15" hidden="false" customHeight="false" outlineLevel="0" collapsed="false">
      <c r="A627" s="70"/>
      <c r="B627" s="70"/>
      <c r="C627" s="70"/>
      <c r="D627" s="68"/>
      <c r="E627" s="68"/>
      <c r="F627" s="68"/>
      <c r="G627" s="70"/>
      <c r="H627" s="68"/>
      <c r="I627" s="70"/>
    </row>
    <row r="628" customFormat="false" ht="15" hidden="false" customHeight="false" outlineLevel="0" collapsed="false">
      <c r="A628" s="70"/>
      <c r="B628" s="70"/>
      <c r="C628" s="70"/>
      <c r="D628" s="68"/>
      <c r="E628" s="68"/>
      <c r="F628" s="68"/>
      <c r="G628" s="70"/>
      <c r="H628" s="68"/>
      <c r="I628" s="70"/>
    </row>
    <row r="629" customFormat="false" ht="15" hidden="false" customHeight="false" outlineLevel="0" collapsed="false">
      <c r="A629" s="70"/>
      <c r="B629" s="70"/>
      <c r="C629" s="70"/>
      <c r="D629" s="68"/>
      <c r="E629" s="68"/>
      <c r="F629" s="68"/>
      <c r="G629" s="70"/>
      <c r="H629" s="68"/>
      <c r="I629" s="70"/>
    </row>
    <row r="630" customFormat="false" ht="15" hidden="false" customHeight="false" outlineLevel="0" collapsed="false">
      <c r="A630" s="70"/>
      <c r="B630" s="70"/>
      <c r="C630" s="70"/>
      <c r="D630" s="68"/>
      <c r="E630" s="68"/>
      <c r="F630" s="68"/>
      <c r="G630" s="70"/>
      <c r="H630" s="68"/>
      <c r="I630" s="70"/>
    </row>
    <row r="631" customFormat="false" ht="15" hidden="false" customHeight="false" outlineLevel="0" collapsed="false">
      <c r="A631" s="70"/>
      <c r="B631" s="70"/>
      <c r="C631" s="70"/>
      <c r="D631" s="68"/>
      <c r="E631" s="68"/>
      <c r="F631" s="68"/>
      <c r="G631" s="70"/>
      <c r="H631" s="68"/>
      <c r="I631" s="70"/>
    </row>
    <row r="632" customFormat="false" ht="15" hidden="false" customHeight="false" outlineLevel="0" collapsed="false">
      <c r="A632" s="70"/>
      <c r="B632" s="70"/>
      <c r="C632" s="70"/>
      <c r="D632" s="68"/>
      <c r="E632" s="68"/>
      <c r="F632" s="68"/>
      <c r="G632" s="70"/>
      <c r="H632" s="68"/>
      <c r="I632" s="70"/>
    </row>
    <row r="633" customFormat="false" ht="15" hidden="false" customHeight="false" outlineLevel="0" collapsed="false">
      <c r="A633" s="70"/>
      <c r="B633" s="70"/>
      <c r="C633" s="70"/>
      <c r="D633" s="68"/>
      <c r="E633" s="68"/>
      <c r="F633" s="68"/>
      <c r="G633" s="70"/>
      <c r="H633" s="68"/>
      <c r="I633" s="70"/>
    </row>
    <row r="634" customFormat="false" ht="15" hidden="false" customHeight="false" outlineLevel="0" collapsed="false">
      <c r="A634" s="70"/>
      <c r="B634" s="70"/>
      <c r="C634" s="70"/>
      <c r="D634" s="68"/>
      <c r="E634" s="68"/>
      <c r="F634" s="68"/>
      <c r="G634" s="70"/>
      <c r="H634" s="68"/>
      <c r="I634" s="70"/>
    </row>
    <row r="635" customFormat="false" ht="15" hidden="false" customHeight="false" outlineLevel="0" collapsed="false">
      <c r="A635" s="70"/>
      <c r="B635" s="70"/>
      <c r="C635" s="70"/>
      <c r="D635" s="68"/>
      <c r="E635" s="68"/>
      <c r="F635" s="68"/>
      <c r="G635" s="70"/>
      <c r="H635" s="68"/>
      <c r="I635" s="70"/>
    </row>
    <row r="636" customFormat="false" ht="15" hidden="false" customHeight="false" outlineLevel="0" collapsed="false">
      <c r="A636" s="70"/>
      <c r="B636" s="70"/>
      <c r="C636" s="70"/>
      <c r="D636" s="68"/>
      <c r="E636" s="68"/>
      <c r="F636" s="68"/>
      <c r="G636" s="70"/>
      <c r="H636" s="68"/>
      <c r="I636" s="70"/>
    </row>
    <row r="637" customFormat="false" ht="15" hidden="false" customHeight="false" outlineLevel="0" collapsed="false">
      <c r="A637" s="70"/>
      <c r="B637" s="70"/>
      <c r="C637" s="70"/>
      <c r="D637" s="68"/>
      <c r="E637" s="68"/>
      <c r="F637" s="68"/>
      <c r="G637" s="70"/>
      <c r="H637" s="68"/>
      <c r="I637" s="70"/>
    </row>
    <row r="638" customFormat="false" ht="15" hidden="false" customHeight="false" outlineLevel="0" collapsed="false">
      <c r="A638" s="70"/>
      <c r="B638" s="70"/>
      <c r="C638" s="70"/>
      <c r="D638" s="68"/>
      <c r="E638" s="68"/>
      <c r="F638" s="68"/>
      <c r="G638" s="70"/>
      <c r="H638" s="68"/>
      <c r="I638" s="70"/>
    </row>
    <row r="639" customFormat="false" ht="15" hidden="false" customHeight="false" outlineLevel="0" collapsed="false">
      <c r="A639" s="70"/>
      <c r="B639" s="70"/>
      <c r="C639" s="70"/>
      <c r="D639" s="68"/>
      <c r="E639" s="68"/>
      <c r="F639" s="68"/>
      <c r="G639" s="70"/>
      <c r="H639" s="68"/>
      <c r="I639" s="70"/>
    </row>
    <row r="640" customFormat="false" ht="15" hidden="false" customHeight="false" outlineLevel="0" collapsed="false">
      <c r="A640" s="70"/>
      <c r="B640" s="70"/>
      <c r="C640" s="70"/>
      <c r="D640" s="68"/>
      <c r="E640" s="68"/>
      <c r="F640" s="68"/>
      <c r="G640" s="70"/>
      <c r="H640" s="68"/>
      <c r="I640" s="70"/>
    </row>
    <row r="641" customFormat="false" ht="15" hidden="false" customHeight="false" outlineLevel="0" collapsed="false">
      <c r="A641" s="70"/>
      <c r="B641" s="70"/>
      <c r="C641" s="70"/>
      <c r="D641" s="68"/>
      <c r="E641" s="68"/>
      <c r="F641" s="68"/>
      <c r="G641" s="70"/>
      <c r="H641" s="68"/>
      <c r="I641" s="70"/>
    </row>
    <row r="642" customFormat="false" ht="15" hidden="false" customHeight="false" outlineLevel="0" collapsed="false">
      <c r="A642" s="70"/>
      <c r="B642" s="70"/>
      <c r="C642" s="70"/>
      <c r="D642" s="68"/>
      <c r="E642" s="68"/>
      <c r="F642" s="68"/>
      <c r="G642" s="70"/>
      <c r="H642" s="68"/>
      <c r="I642" s="70"/>
    </row>
    <row r="643" customFormat="false" ht="15" hidden="false" customHeight="false" outlineLevel="0" collapsed="false">
      <c r="A643" s="70"/>
      <c r="B643" s="70"/>
      <c r="C643" s="70"/>
      <c r="D643" s="68"/>
      <c r="E643" s="68"/>
      <c r="F643" s="68"/>
      <c r="G643" s="70"/>
      <c r="H643" s="68"/>
      <c r="I643" s="70"/>
    </row>
    <row r="644" customFormat="false" ht="15" hidden="false" customHeight="false" outlineLevel="0" collapsed="false">
      <c r="A644" s="70"/>
      <c r="B644" s="70"/>
      <c r="C644" s="70"/>
      <c r="D644" s="68"/>
      <c r="E644" s="68"/>
      <c r="F644" s="68"/>
      <c r="G644" s="70"/>
      <c r="H644" s="68"/>
      <c r="I644" s="70"/>
    </row>
    <row r="645" customFormat="false" ht="15" hidden="false" customHeight="false" outlineLevel="0" collapsed="false">
      <c r="A645" s="70"/>
      <c r="B645" s="70"/>
      <c r="C645" s="70"/>
      <c r="D645" s="68"/>
      <c r="E645" s="68"/>
      <c r="F645" s="68"/>
      <c r="G645" s="70"/>
      <c r="H645" s="68"/>
      <c r="I645" s="70"/>
    </row>
    <row r="646" customFormat="false" ht="15" hidden="false" customHeight="false" outlineLevel="0" collapsed="false">
      <c r="A646" s="70"/>
      <c r="B646" s="70"/>
      <c r="C646" s="70"/>
      <c r="D646" s="68"/>
      <c r="E646" s="68"/>
      <c r="F646" s="68"/>
      <c r="G646" s="70"/>
      <c r="H646" s="68"/>
      <c r="I646" s="70"/>
    </row>
    <row r="647" customFormat="false" ht="15" hidden="false" customHeight="false" outlineLevel="0" collapsed="false">
      <c r="A647" s="70"/>
      <c r="B647" s="70"/>
      <c r="C647" s="70"/>
      <c r="D647" s="68"/>
      <c r="E647" s="68"/>
      <c r="F647" s="68"/>
      <c r="G647" s="70"/>
      <c r="H647" s="68"/>
      <c r="I647" s="70"/>
    </row>
    <row r="648" customFormat="false" ht="15" hidden="false" customHeight="false" outlineLevel="0" collapsed="false">
      <c r="A648" s="70"/>
      <c r="B648" s="70"/>
      <c r="C648" s="70"/>
      <c r="D648" s="68"/>
      <c r="E648" s="68"/>
      <c r="F648" s="68"/>
      <c r="G648" s="70"/>
      <c r="H648" s="68"/>
      <c r="I648" s="70"/>
    </row>
    <row r="649" customFormat="false" ht="15" hidden="false" customHeight="false" outlineLevel="0" collapsed="false">
      <c r="A649" s="70"/>
      <c r="B649" s="70"/>
      <c r="C649" s="70"/>
      <c r="D649" s="68"/>
      <c r="E649" s="68"/>
      <c r="F649" s="68"/>
      <c r="G649" s="70"/>
      <c r="H649" s="68"/>
      <c r="I649" s="70"/>
    </row>
    <row r="650" customFormat="false" ht="15" hidden="false" customHeight="false" outlineLevel="0" collapsed="false">
      <c r="A650" s="70"/>
      <c r="B650" s="70"/>
      <c r="C650" s="70"/>
      <c r="D650" s="68"/>
      <c r="E650" s="68"/>
      <c r="F650" s="68"/>
      <c r="G650" s="70"/>
      <c r="H650" s="68"/>
      <c r="I650" s="70"/>
    </row>
    <row r="651" customFormat="false" ht="15" hidden="false" customHeight="false" outlineLevel="0" collapsed="false">
      <c r="A651" s="70"/>
      <c r="B651" s="70"/>
      <c r="C651" s="70"/>
      <c r="D651" s="68"/>
      <c r="E651" s="68"/>
      <c r="F651" s="68"/>
      <c r="G651" s="70"/>
      <c r="H651" s="68"/>
      <c r="I651" s="70"/>
    </row>
    <row r="652" customFormat="false" ht="15" hidden="false" customHeight="false" outlineLevel="0" collapsed="false">
      <c r="A652" s="70"/>
      <c r="B652" s="70"/>
      <c r="C652" s="70"/>
      <c r="D652" s="68"/>
      <c r="E652" s="68"/>
      <c r="F652" s="68"/>
      <c r="G652" s="70"/>
      <c r="H652" s="68"/>
      <c r="I652" s="70"/>
    </row>
    <row r="653" customFormat="false" ht="15" hidden="false" customHeight="false" outlineLevel="0" collapsed="false">
      <c r="A653" s="70"/>
      <c r="B653" s="70"/>
      <c r="C653" s="70"/>
      <c r="D653" s="68"/>
      <c r="E653" s="68"/>
      <c r="F653" s="68"/>
      <c r="G653" s="70"/>
      <c r="H653" s="68"/>
      <c r="I653" s="70"/>
    </row>
    <row r="654" customFormat="false" ht="15" hidden="false" customHeight="false" outlineLevel="0" collapsed="false">
      <c r="A654" s="70"/>
      <c r="B654" s="70"/>
      <c r="C654" s="70"/>
      <c r="D654" s="68"/>
      <c r="E654" s="68"/>
      <c r="F654" s="68"/>
      <c r="G654" s="70"/>
      <c r="H654" s="68"/>
      <c r="I654" s="70"/>
    </row>
    <row r="655" customFormat="false" ht="15" hidden="false" customHeight="false" outlineLevel="0" collapsed="false">
      <c r="A655" s="70"/>
      <c r="B655" s="70"/>
      <c r="C655" s="70"/>
      <c r="D655" s="68"/>
      <c r="E655" s="68"/>
      <c r="F655" s="68"/>
      <c r="G655" s="70"/>
      <c r="H655" s="68"/>
      <c r="I655" s="70"/>
    </row>
    <row r="656" customFormat="false" ht="15" hidden="false" customHeight="false" outlineLevel="0" collapsed="false">
      <c r="A656" s="70"/>
      <c r="B656" s="70"/>
      <c r="C656" s="70"/>
      <c r="D656" s="68"/>
      <c r="E656" s="68"/>
      <c r="F656" s="68"/>
      <c r="G656" s="70"/>
      <c r="H656" s="68"/>
      <c r="I656" s="70"/>
    </row>
    <row r="657" customFormat="false" ht="15" hidden="false" customHeight="false" outlineLevel="0" collapsed="false">
      <c r="A657" s="70"/>
      <c r="B657" s="70"/>
      <c r="C657" s="70"/>
      <c r="D657" s="68"/>
      <c r="E657" s="68"/>
      <c r="F657" s="68"/>
      <c r="G657" s="70"/>
      <c r="H657" s="68"/>
      <c r="I657" s="70"/>
    </row>
    <row r="658" customFormat="false" ht="15" hidden="false" customHeight="false" outlineLevel="0" collapsed="false">
      <c r="A658" s="70"/>
      <c r="B658" s="70"/>
      <c r="C658" s="70"/>
      <c r="D658" s="68"/>
      <c r="E658" s="68"/>
      <c r="F658" s="68"/>
      <c r="G658" s="70"/>
      <c r="H658" s="68"/>
      <c r="I658" s="70"/>
    </row>
    <row r="659" customFormat="false" ht="15" hidden="false" customHeight="false" outlineLevel="0" collapsed="false">
      <c r="A659" s="70"/>
      <c r="B659" s="70"/>
      <c r="C659" s="70"/>
      <c r="D659" s="68"/>
      <c r="E659" s="68"/>
      <c r="F659" s="68"/>
      <c r="G659" s="70"/>
      <c r="H659" s="68"/>
      <c r="I659" s="70"/>
    </row>
    <row r="660" customFormat="false" ht="15" hidden="false" customHeight="false" outlineLevel="0" collapsed="false">
      <c r="A660" s="70"/>
      <c r="B660" s="70"/>
      <c r="C660" s="70"/>
      <c r="D660" s="68"/>
      <c r="E660" s="68"/>
      <c r="F660" s="68"/>
      <c r="G660" s="70"/>
      <c r="H660" s="68"/>
      <c r="I660" s="70"/>
    </row>
    <row r="661" customFormat="false" ht="15" hidden="false" customHeight="false" outlineLevel="0" collapsed="false">
      <c r="A661" s="70"/>
      <c r="B661" s="70"/>
      <c r="C661" s="70"/>
      <c r="D661" s="68"/>
      <c r="E661" s="68"/>
      <c r="F661" s="68"/>
      <c r="G661" s="70"/>
      <c r="H661" s="68"/>
      <c r="I661" s="70"/>
    </row>
    <row r="662" customFormat="false" ht="15" hidden="false" customHeight="false" outlineLevel="0" collapsed="false">
      <c r="A662" s="70"/>
      <c r="B662" s="70"/>
      <c r="C662" s="70"/>
      <c r="D662" s="68"/>
      <c r="E662" s="68"/>
      <c r="F662" s="68"/>
      <c r="G662" s="70"/>
      <c r="H662" s="68"/>
      <c r="I662" s="70"/>
    </row>
    <row r="663" customFormat="false" ht="15" hidden="false" customHeight="false" outlineLevel="0" collapsed="false">
      <c r="A663" s="70"/>
      <c r="B663" s="70"/>
      <c r="C663" s="70"/>
      <c r="D663" s="68"/>
      <c r="E663" s="68"/>
      <c r="F663" s="68"/>
      <c r="G663" s="70"/>
      <c r="H663" s="68"/>
      <c r="I663" s="70"/>
    </row>
    <row r="664" customFormat="false" ht="15" hidden="false" customHeight="false" outlineLevel="0" collapsed="false">
      <c r="A664" s="70"/>
      <c r="B664" s="70"/>
      <c r="C664" s="70"/>
      <c r="D664" s="68"/>
      <c r="E664" s="68"/>
      <c r="F664" s="68"/>
      <c r="G664" s="70"/>
      <c r="H664" s="68"/>
      <c r="I664" s="70"/>
    </row>
    <row r="665" customFormat="false" ht="15" hidden="false" customHeight="false" outlineLevel="0" collapsed="false">
      <c r="A665" s="70"/>
      <c r="B665" s="70"/>
      <c r="C665" s="70"/>
      <c r="D665" s="68"/>
      <c r="E665" s="68"/>
      <c r="F665" s="68"/>
      <c r="G665" s="70"/>
      <c r="H665" s="68"/>
      <c r="I665" s="70"/>
    </row>
    <row r="666" customFormat="false" ht="15" hidden="false" customHeight="false" outlineLevel="0" collapsed="false">
      <c r="A666" s="70"/>
      <c r="B666" s="70"/>
      <c r="C666" s="70"/>
      <c r="D666" s="68"/>
      <c r="E666" s="68"/>
      <c r="F666" s="68"/>
      <c r="G666" s="70"/>
      <c r="H666" s="68"/>
      <c r="I666" s="70"/>
    </row>
    <row r="667" customFormat="false" ht="15" hidden="false" customHeight="false" outlineLevel="0" collapsed="false">
      <c r="A667" s="70"/>
      <c r="B667" s="70"/>
      <c r="C667" s="70"/>
      <c r="D667" s="68"/>
      <c r="E667" s="68"/>
      <c r="F667" s="68"/>
      <c r="G667" s="70"/>
      <c r="H667" s="68"/>
      <c r="I667" s="70"/>
    </row>
    <row r="668" customFormat="false" ht="15" hidden="false" customHeight="false" outlineLevel="0" collapsed="false">
      <c r="A668" s="70"/>
      <c r="B668" s="70"/>
      <c r="C668" s="70"/>
      <c r="D668" s="68"/>
      <c r="E668" s="68"/>
      <c r="F668" s="68"/>
      <c r="G668" s="70"/>
      <c r="H668" s="68"/>
      <c r="I668" s="70"/>
    </row>
    <row r="669" customFormat="false" ht="15" hidden="false" customHeight="false" outlineLevel="0" collapsed="false">
      <c r="A669" s="70"/>
      <c r="B669" s="70"/>
      <c r="C669" s="70"/>
      <c r="D669" s="68"/>
      <c r="E669" s="68"/>
      <c r="F669" s="68"/>
      <c r="G669" s="70"/>
      <c r="H669" s="68"/>
      <c r="I669" s="70"/>
    </row>
    <row r="670" customFormat="false" ht="15" hidden="false" customHeight="false" outlineLevel="0" collapsed="false">
      <c r="A670" s="70"/>
      <c r="B670" s="70"/>
      <c r="C670" s="70"/>
      <c r="D670" s="68"/>
      <c r="E670" s="68"/>
      <c r="F670" s="68"/>
      <c r="G670" s="70"/>
      <c r="H670" s="68"/>
      <c r="I670" s="70"/>
    </row>
    <row r="671" customFormat="false" ht="15" hidden="false" customHeight="false" outlineLevel="0" collapsed="false">
      <c r="A671" s="70"/>
      <c r="B671" s="70"/>
      <c r="C671" s="70"/>
      <c r="D671" s="68"/>
      <c r="E671" s="68"/>
      <c r="F671" s="68"/>
      <c r="G671" s="70"/>
      <c r="H671" s="68"/>
      <c r="I671" s="70"/>
    </row>
    <row r="672" customFormat="false" ht="15" hidden="false" customHeight="false" outlineLevel="0" collapsed="false">
      <c r="A672" s="70"/>
      <c r="B672" s="70"/>
      <c r="C672" s="70"/>
      <c r="D672" s="68"/>
      <c r="E672" s="68"/>
      <c r="F672" s="68"/>
      <c r="G672" s="70"/>
      <c r="H672" s="68"/>
      <c r="I672" s="70"/>
    </row>
    <row r="673" customFormat="false" ht="15" hidden="false" customHeight="false" outlineLevel="0" collapsed="false">
      <c r="A673" s="70"/>
      <c r="B673" s="70"/>
      <c r="C673" s="70"/>
      <c r="D673" s="68"/>
      <c r="E673" s="68"/>
      <c r="F673" s="68"/>
      <c r="G673" s="70"/>
      <c r="H673" s="68"/>
      <c r="I673" s="70"/>
    </row>
    <row r="674" customFormat="false" ht="15" hidden="false" customHeight="false" outlineLevel="0" collapsed="false">
      <c r="A674" s="70"/>
      <c r="B674" s="70"/>
      <c r="C674" s="70"/>
      <c r="D674" s="68"/>
      <c r="E674" s="68"/>
      <c r="F674" s="68"/>
      <c r="G674" s="70"/>
      <c r="H674" s="68"/>
      <c r="I674" s="70"/>
    </row>
    <row r="675" customFormat="false" ht="15" hidden="false" customHeight="false" outlineLevel="0" collapsed="false">
      <c r="A675" s="70"/>
      <c r="B675" s="70"/>
      <c r="C675" s="70"/>
      <c r="D675" s="68"/>
      <c r="E675" s="68"/>
      <c r="F675" s="68"/>
      <c r="G675" s="70"/>
      <c r="H675" s="68"/>
      <c r="I675" s="70"/>
    </row>
    <row r="676" customFormat="false" ht="15" hidden="false" customHeight="false" outlineLevel="0" collapsed="false">
      <c r="A676" s="70"/>
      <c r="B676" s="70"/>
      <c r="C676" s="70"/>
      <c r="D676" s="68"/>
      <c r="E676" s="68"/>
      <c r="F676" s="68"/>
      <c r="G676" s="70"/>
      <c r="H676" s="68"/>
      <c r="I676" s="70"/>
    </row>
    <row r="677" customFormat="false" ht="15" hidden="false" customHeight="false" outlineLevel="0" collapsed="false">
      <c r="A677" s="70"/>
      <c r="B677" s="70"/>
      <c r="C677" s="70"/>
      <c r="D677" s="68"/>
      <c r="E677" s="68"/>
      <c r="F677" s="68"/>
      <c r="G677" s="70"/>
      <c r="H677" s="68"/>
      <c r="I677" s="70"/>
    </row>
    <row r="678" customFormat="false" ht="15" hidden="false" customHeight="false" outlineLevel="0" collapsed="false">
      <c r="A678" s="70"/>
      <c r="B678" s="70"/>
      <c r="C678" s="70"/>
      <c r="D678" s="68"/>
      <c r="E678" s="68"/>
      <c r="F678" s="68"/>
      <c r="G678" s="70"/>
      <c r="H678" s="68"/>
      <c r="I678" s="70"/>
    </row>
    <row r="679" customFormat="false" ht="15" hidden="false" customHeight="false" outlineLevel="0" collapsed="false">
      <c r="A679" s="70"/>
      <c r="B679" s="70"/>
      <c r="C679" s="70"/>
      <c r="D679" s="68"/>
      <c r="E679" s="68"/>
      <c r="F679" s="68"/>
      <c r="G679" s="70"/>
      <c r="H679" s="68"/>
      <c r="I679" s="70"/>
    </row>
    <row r="680" customFormat="false" ht="15" hidden="false" customHeight="false" outlineLevel="0" collapsed="false">
      <c r="A680" s="70"/>
      <c r="B680" s="70"/>
      <c r="C680" s="70"/>
      <c r="D680" s="68"/>
      <c r="E680" s="68"/>
      <c r="F680" s="68"/>
      <c r="G680" s="70"/>
      <c r="H680" s="68"/>
      <c r="I680" s="70"/>
    </row>
    <row r="681" customFormat="false" ht="15" hidden="false" customHeight="false" outlineLevel="0" collapsed="false">
      <c r="A681" s="70"/>
      <c r="B681" s="70"/>
      <c r="C681" s="70"/>
      <c r="D681" s="68"/>
      <c r="E681" s="68"/>
      <c r="F681" s="68"/>
      <c r="G681" s="70"/>
      <c r="H681" s="68"/>
      <c r="I681" s="70"/>
    </row>
    <row r="682" customFormat="false" ht="15" hidden="false" customHeight="false" outlineLevel="0" collapsed="false">
      <c r="A682" s="70"/>
      <c r="B682" s="70"/>
      <c r="C682" s="70"/>
      <c r="D682" s="68"/>
      <c r="E682" s="68"/>
      <c r="F682" s="68"/>
      <c r="G682" s="70"/>
      <c r="H682" s="68"/>
      <c r="I682" s="70"/>
    </row>
    <row r="683" customFormat="false" ht="15" hidden="false" customHeight="false" outlineLevel="0" collapsed="false">
      <c r="A683" s="70"/>
      <c r="B683" s="70"/>
      <c r="C683" s="70"/>
      <c r="D683" s="68"/>
      <c r="E683" s="68"/>
      <c r="F683" s="68"/>
      <c r="G683" s="70"/>
      <c r="H683" s="68"/>
      <c r="I683" s="70"/>
    </row>
    <row r="684" customFormat="false" ht="15" hidden="false" customHeight="false" outlineLevel="0" collapsed="false">
      <c r="A684" s="70"/>
      <c r="B684" s="70"/>
      <c r="C684" s="70"/>
      <c r="D684" s="68"/>
      <c r="E684" s="68"/>
      <c r="F684" s="68"/>
      <c r="G684" s="70"/>
      <c r="H684" s="68"/>
      <c r="I684" s="70"/>
    </row>
    <row r="685" customFormat="false" ht="15" hidden="false" customHeight="false" outlineLevel="0" collapsed="false">
      <c r="A685" s="70"/>
      <c r="B685" s="70"/>
      <c r="C685" s="70"/>
      <c r="D685" s="68"/>
      <c r="E685" s="68"/>
      <c r="F685" s="68"/>
      <c r="G685" s="70"/>
      <c r="H685" s="68"/>
      <c r="I685" s="70"/>
    </row>
    <row r="686" customFormat="false" ht="15" hidden="false" customHeight="false" outlineLevel="0" collapsed="false">
      <c r="A686" s="70"/>
      <c r="B686" s="70"/>
      <c r="C686" s="70"/>
      <c r="D686" s="68"/>
      <c r="E686" s="68"/>
      <c r="F686" s="68"/>
      <c r="G686" s="70"/>
      <c r="H686" s="68"/>
      <c r="I686" s="70"/>
    </row>
    <row r="687" customFormat="false" ht="15" hidden="false" customHeight="false" outlineLevel="0" collapsed="false">
      <c r="A687" s="70"/>
      <c r="B687" s="70"/>
      <c r="C687" s="70"/>
      <c r="D687" s="68"/>
      <c r="E687" s="68"/>
      <c r="F687" s="68"/>
      <c r="G687" s="70"/>
      <c r="H687" s="68"/>
      <c r="I687" s="70"/>
    </row>
    <row r="688" customFormat="false" ht="15" hidden="false" customHeight="false" outlineLevel="0" collapsed="false">
      <c r="A688" s="70"/>
      <c r="B688" s="70"/>
      <c r="C688" s="70"/>
      <c r="D688" s="68"/>
      <c r="E688" s="68"/>
      <c r="F688" s="68"/>
      <c r="G688" s="70"/>
      <c r="H688" s="68"/>
      <c r="I688" s="70"/>
    </row>
    <row r="689" customFormat="false" ht="15" hidden="false" customHeight="false" outlineLevel="0" collapsed="false">
      <c r="A689" s="70"/>
      <c r="B689" s="70"/>
      <c r="C689" s="70"/>
      <c r="D689" s="68"/>
      <c r="E689" s="68"/>
      <c r="F689" s="68"/>
      <c r="G689" s="70"/>
      <c r="H689" s="68"/>
      <c r="I689" s="70"/>
    </row>
    <row r="690" customFormat="false" ht="15" hidden="false" customHeight="false" outlineLevel="0" collapsed="false">
      <c r="A690" s="70"/>
      <c r="B690" s="70"/>
      <c r="C690" s="70"/>
      <c r="D690" s="68"/>
      <c r="E690" s="68"/>
      <c r="F690" s="68"/>
      <c r="G690" s="70"/>
      <c r="H690" s="68"/>
      <c r="I690" s="70"/>
    </row>
    <row r="691" customFormat="false" ht="15" hidden="false" customHeight="false" outlineLevel="0" collapsed="false">
      <c r="A691" s="70"/>
      <c r="B691" s="70"/>
      <c r="C691" s="70"/>
      <c r="D691" s="68"/>
      <c r="E691" s="68"/>
      <c r="F691" s="68"/>
      <c r="G691" s="70"/>
      <c r="H691" s="68"/>
      <c r="I691" s="70"/>
    </row>
    <row r="692" customFormat="false" ht="15" hidden="false" customHeight="false" outlineLevel="0" collapsed="false">
      <c r="A692" s="70"/>
      <c r="B692" s="70"/>
      <c r="C692" s="70"/>
      <c r="D692" s="68"/>
      <c r="E692" s="68"/>
      <c r="F692" s="68"/>
      <c r="G692" s="70"/>
      <c r="H692" s="68"/>
      <c r="I692" s="70"/>
    </row>
    <row r="693" customFormat="false" ht="15" hidden="false" customHeight="false" outlineLevel="0" collapsed="false">
      <c r="A693" s="70"/>
      <c r="B693" s="70"/>
      <c r="C693" s="70"/>
      <c r="D693" s="68"/>
      <c r="E693" s="68"/>
      <c r="F693" s="68"/>
      <c r="G693" s="70"/>
      <c r="H693" s="68"/>
      <c r="I693" s="70"/>
    </row>
    <row r="694" customFormat="false" ht="15" hidden="false" customHeight="false" outlineLevel="0" collapsed="false">
      <c r="A694" s="70"/>
      <c r="B694" s="70"/>
      <c r="C694" s="70"/>
      <c r="D694" s="68"/>
      <c r="E694" s="68"/>
      <c r="F694" s="68"/>
      <c r="G694" s="70"/>
      <c r="H694" s="68"/>
      <c r="I694" s="70"/>
    </row>
    <row r="695" customFormat="false" ht="15" hidden="false" customHeight="false" outlineLevel="0" collapsed="false">
      <c r="A695" s="70"/>
      <c r="B695" s="70"/>
      <c r="C695" s="70"/>
      <c r="D695" s="68"/>
      <c r="E695" s="68"/>
      <c r="F695" s="68"/>
      <c r="G695" s="70"/>
      <c r="H695" s="68"/>
      <c r="I695" s="70"/>
    </row>
    <row r="696" customFormat="false" ht="15" hidden="false" customHeight="false" outlineLevel="0" collapsed="false">
      <c r="A696" s="70"/>
      <c r="B696" s="70"/>
      <c r="C696" s="70"/>
      <c r="D696" s="68"/>
      <c r="E696" s="68"/>
      <c r="F696" s="68"/>
      <c r="G696" s="70"/>
      <c r="H696" s="68"/>
      <c r="I696" s="70"/>
    </row>
    <row r="697" customFormat="false" ht="15" hidden="false" customHeight="false" outlineLevel="0" collapsed="false">
      <c r="A697" s="70"/>
      <c r="B697" s="70"/>
      <c r="C697" s="70"/>
      <c r="D697" s="68"/>
      <c r="E697" s="68"/>
      <c r="F697" s="68"/>
      <c r="G697" s="70"/>
      <c r="H697" s="68"/>
      <c r="I697" s="70"/>
    </row>
    <row r="698" customFormat="false" ht="15" hidden="false" customHeight="false" outlineLevel="0" collapsed="false">
      <c r="A698" s="70"/>
      <c r="B698" s="70"/>
      <c r="C698" s="70"/>
      <c r="D698" s="68"/>
      <c r="E698" s="68"/>
      <c r="F698" s="68"/>
      <c r="G698" s="70"/>
      <c r="H698" s="68"/>
      <c r="I698" s="70"/>
    </row>
    <row r="699" customFormat="false" ht="15" hidden="false" customHeight="false" outlineLevel="0" collapsed="false">
      <c r="A699" s="70"/>
      <c r="B699" s="70"/>
      <c r="C699" s="70"/>
      <c r="D699" s="68"/>
      <c r="E699" s="68"/>
      <c r="F699" s="68"/>
      <c r="G699" s="70"/>
      <c r="H699" s="68"/>
      <c r="I699" s="70"/>
    </row>
    <row r="700" customFormat="false" ht="15" hidden="false" customHeight="false" outlineLevel="0" collapsed="false">
      <c r="A700" s="70"/>
      <c r="B700" s="70"/>
      <c r="C700" s="70"/>
      <c r="D700" s="68"/>
      <c r="E700" s="68"/>
      <c r="F700" s="68"/>
      <c r="G700" s="70"/>
      <c r="H700" s="68"/>
      <c r="I700" s="70"/>
    </row>
    <row r="701" customFormat="false" ht="15" hidden="false" customHeight="false" outlineLevel="0" collapsed="false">
      <c r="A701" s="70"/>
      <c r="B701" s="70"/>
      <c r="C701" s="70"/>
      <c r="D701" s="68"/>
      <c r="E701" s="68"/>
      <c r="F701" s="68"/>
      <c r="G701" s="70"/>
      <c r="H701" s="68"/>
      <c r="I701" s="70"/>
    </row>
    <row r="702" customFormat="false" ht="15" hidden="false" customHeight="false" outlineLevel="0" collapsed="false">
      <c r="A702" s="70"/>
      <c r="B702" s="70"/>
      <c r="C702" s="70"/>
      <c r="D702" s="68"/>
      <c r="E702" s="68"/>
      <c r="F702" s="68"/>
      <c r="G702" s="70"/>
      <c r="H702" s="68"/>
      <c r="I702" s="70"/>
    </row>
    <row r="703" customFormat="false" ht="15" hidden="false" customHeight="false" outlineLevel="0" collapsed="false">
      <c r="A703" s="70"/>
      <c r="B703" s="70"/>
      <c r="C703" s="70"/>
      <c r="D703" s="68"/>
      <c r="E703" s="68"/>
      <c r="F703" s="68"/>
      <c r="G703" s="70"/>
      <c r="H703" s="68"/>
      <c r="I703" s="70"/>
    </row>
    <row r="704" customFormat="false" ht="15" hidden="false" customHeight="false" outlineLevel="0" collapsed="false">
      <c r="A704" s="70"/>
      <c r="B704" s="70"/>
      <c r="C704" s="70"/>
      <c r="D704" s="68"/>
      <c r="E704" s="68"/>
      <c r="F704" s="68"/>
      <c r="G704" s="70"/>
      <c r="H704" s="68"/>
      <c r="I704" s="70"/>
    </row>
    <row r="705" customFormat="false" ht="15" hidden="false" customHeight="false" outlineLevel="0" collapsed="false">
      <c r="A705" s="70"/>
      <c r="B705" s="70"/>
      <c r="C705" s="70"/>
      <c r="D705" s="68"/>
      <c r="E705" s="68"/>
      <c r="F705" s="68"/>
      <c r="G705" s="70"/>
      <c r="H705" s="68"/>
      <c r="I705" s="70"/>
    </row>
    <row r="706" customFormat="false" ht="15" hidden="false" customHeight="false" outlineLevel="0" collapsed="false">
      <c r="A706" s="70"/>
      <c r="B706" s="70"/>
      <c r="C706" s="70"/>
      <c r="D706" s="68"/>
      <c r="E706" s="68"/>
      <c r="F706" s="68"/>
      <c r="G706" s="70"/>
      <c r="H706" s="68"/>
      <c r="I706" s="70"/>
    </row>
    <row r="707" customFormat="false" ht="15" hidden="false" customHeight="false" outlineLevel="0" collapsed="false">
      <c r="A707" s="70"/>
      <c r="B707" s="70"/>
      <c r="C707" s="70"/>
      <c r="D707" s="68"/>
      <c r="E707" s="68"/>
      <c r="F707" s="68"/>
      <c r="G707" s="70"/>
      <c r="H707" s="68"/>
      <c r="I707" s="70"/>
    </row>
    <row r="708" customFormat="false" ht="15" hidden="false" customHeight="false" outlineLevel="0" collapsed="false">
      <c r="A708" s="70"/>
      <c r="B708" s="70"/>
      <c r="C708" s="70"/>
      <c r="D708" s="68"/>
      <c r="E708" s="68"/>
      <c r="F708" s="68"/>
      <c r="G708" s="70"/>
      <c r="H708" s="68"/>
      <c r="I708" s="70"/>
    </row>
    <row r="709" customFormat="false" ht="15" hidden="false" customHeight="false" outlineLevel="0" collapsed="false">
      <c r="A709" s="70"/>
      <c r="B709" s="70"/>
      <c r="C709" s="70"/>
      <c r="D709" s="68"/>
      <c r="E709" s="68"/>
      <c r="F709" s="68"/>
      <c r="G709" s="70"/>
      <c r="H709" s="68"/>
      <c r="I709" s="70"/>
    </row>
    <row r="710" customFormat="false" ht="15" hidden="false" customHeight="false" outlineLevel="0" collapsed="false">
      <c r="A710" s="70"/>
      <c r="B710" s="70"/>
      <c r="C710" s="70"/>
      <c r="D710" s="68"/>
      <c r="E710" s="68"/>
      <c r="F710" s="68"/>
      <c r="G710" s="70"/>
      <c r="H710" s="68"/>
      <c r="I710" s="70"/>
    </row>
    <row r="711" customFormat="false" ht="15" hidden="false" customHeight="false" outlineLevel="0" collapsed="false">
      <c r="A711" s="70"/>
      <c r="B711" s="70"/>
      <c r="C711" s="70"/>
      <c r="D711" s="68"/>
      <c r="E711" s="68"/>
      <c r="F711" s="68"/>
      <c r="G711" s="70"/>
      <c r="H711" s="68"/>
      <c r="I711" s="70"/>
    </row>
    <row r="712" customFormat="false" ht="15" hidden="false" customHeight="false" outlineLevel="0" collapsed="false">
      <c r="A712" s="70"/>
      <c r="B712" s="70"/>
      <c r="C712" s="70"/>
      <c r="D712" s="68"/>
      <c r="E712" s="68"/>
      <c r="F712" s="68"/>
      <c r="G712" s="70"/>
      <c r="H712" s="68"/>
      <c r="I712" s="70"/>
    </row>
    <row r="713" customFormat="false" ht="15" hidden="false" customHeight="false" outlineLevel="0" collapsed="false">
      <c r="A713" s="70"/>
      <c r="B713" s="70"/>
      <c r="C713" s="70"/>
      <c r="D713" s="68"/>
      <c r="E713" s="68"/>
      <c r="F713" s="68"/>
      <c r="G713" s="70"/>
      <c r="H713" s="68"/>
      <c r="I713" s="70"/>
    </row>
    <row r="714" customFormat="false" ht="15" hidden="false" customHeight="false" outlineLevel="0" collapsed="false">
      <c r="A714" s="70"/>
      <c r="B714" s="70"/>
      <c r="C714" s="70"/>
      <c r="D714" s="68"/>
      <c r="E714" s="68"/>
      <c r="F714" s="68"/>
      <c r="G714" s="70"/>
      <c r="H714" s="68"/>
      <c r="I714" s="70"/>
    </row>
    <row r="715" customFormat="false" ht="15" hidden="false" customHeight="false" outlineLevel="0" collapsed="false">
      <c r="A715" s="70"/>
      <c r="B715" s="70"/>
      <c r="C715" s="70"/>
      <c r="D715" s="68"/>
      <c r="E715" s="68"/>
      <c r="F715" s="68"/>
      <c r="G715" s="70"/>
      <c r="H715" s="68"/>
      <c r="I715" s="70"/>
    </row>
    <row r="716" customFormat="false" ht="15" hidden="false" customHeight="false" outlineLevel="0" collapsed="false">
      <c r="A716" s="70"/>
      <c r="B716" s="70"/>
      <c r="C716" s="70"/>
      <c r="D716" s="68"/>
      <c r="E716" s="68"/>
      <c r="F716" s="68"/>
      <c r="G716" s="70"/>
      <c r="H716" s="68"/>
      <c r="I716" s="70"/>
    </row>
    <row r="717" customFormat="false" ht="15" hidden="false" customHeight="false" outlineLevel="0" collapsed="false">
      <c r="A717" s="70"/>
      <c r="B717" s="70"/>
      <c r="C717" s="70"/>
      <c r="D717" s="68"/>
      <c r="E717" s="68"/>
      <c r="F717" s="68"/>
      <c r="G717" s="70"/>
      <c r="H717" s="68"/>
      <c r="I717" s="70"/>
    </row>
    <row r="718" customFormat="false" ht="15" hidden="false" customHeight="false" outlineLevel="0" collapsed="false">
      <c r="A718" s="70"/>
      <c r="B718" s="70"/>
      <c r="C718" s="70"/>
      <c r="D718" s="68"/>
      <c r="E718" s="68"/>
      <c r="F718" s="68"/>
      <c r="G718" s="70"/>
      <c r="H718" s="68"/>
      <c r="I718" s="70"/>
    </row>
    <row r="719" customFormat="false" ht="15" hidden="false" customHeight="false" outlineLevel="0" collapsed="false">
      <c r="A719" s="70"/>
      <c r="B719" s="70"/>
      <c r="C719" s="70"/>
      <c r="D719" s="68"/>
      <c r="E719" s="68"/>
      <c r="F719" s="68"/>
      <c r="G719" s="70"/>
      <c r="H719" s="68"/>
      <c r="I719" s="70"/>
    </row>
    <row r="720" customFormat="false" ht="15" hidden="false" customHeight="false" outlineLevel="0" collapsed="false">
      <c r="A720" s="70"/>
      <c r="B720" s="70"/>
      <c r="C720" s="70"/>
      <c r="D720" s="68"/>
      <c r="E720" s="68"/>
      <c r="F720" s="68"/>
      <c r="G720" s="70"/>
      <c r="H720" s="68"/>
      <c r="I720" s="70"/>
    </row>
    <row r="721" customFormat="false" ht="15" hidden="false" customHeight="false" outlineLevel="0" collapsed="false">
      <c r="A721" s="70"/>
      <c r="B721" s="70"/>
      <c r="C721" s="70"/>
      <c r="D721" s="68"/>
      <c r="E721" s="68"/>
      <c r="F721" s="68"/>
      <c r="G721" s="70"/>
      <c r="H721" s="68"/>
      <c r="I721" s="70"/>
    </row>
    <row r="722" customFormat="false" ht="15" hidden="false" customHeight="false" outlineLevel="0" collapsed="false">
      <c r="A722" s="70"/>
      <c r="B722" s="70"/>
      <c r="C722" s="70"/>
      <c r="D722" s="68"/>
      <c r="E722" s="68"/>
      <c r="F722" s="68"/>
      <c r="G722" s="70"/>
      <c r="H722" s="68"/>
      <c r="I722" s="70"/>
    </row>
    <row r="723" customFormat="false" ht="15" hidden="false" customHeight="false" outlineLevel="0" collapsed="false">
      <c r="A723" s="70"/>
      <c r="B723" s="70"/>
      <c r="C723" s="70"/>
      <c r="D723" s="68"/>
      <c r="E723" s="68"/>
      <c r="F723" s="68"/>
      <c r="G723" s="70"/>
      <c r="H723" s="68"/>
      <c r="I723" s="70"/>
    </row>
    <row r="724" customFormat="false" ht="15" hidden="false" customHeight="false" outlineLevel="0" collapsed="false">
      <c r="A724" s="70"/>
      <c r="B724" s="70"/>
      <c r="C724" s="70"/>
      <c r="D724" s="68"/>
      <c r="E724" s="68"/>
      <c r="F724" s="68"/>
      <c r="G724" s="70"/>
      <c r="H724" s="68"/>
      <c r="I724" s="70"/>
    </row>
    <row r="725" customFormat="false" ht="15" hidden="false" customHeight="false" outlineLevel="0" collapsed="false">
      <c r="A725" s="70"/>
      <c r="B725" s="70"/>
      <c r="C725" s="70"/>
      <c r="D725" s="68"/>
      <c r="E725" s="68"/>
      <c r="F725" s="68"/>
      <c r="G725" s="70"/>
      <c r="H725" s="68"/>
      <c r="I725" s="70"/>
    </row>
    <row r="726" customFormat="false" ht="15" hidden="false" customHeight="false" outlineLevel="0" collapsed="false">
      <c r="A726" s="70"/>
      <c r="B726" s="70"/>
      <c r="C726" s="70"/>
      <c r="D726" s="68"/>
      <c r="E726" s="68"/>
      <c r="F726" s="68"/>
      <c r="G726" s="70"/>
      <c r="H726" s="68"/>
      <c r="I726" s="70"/>
    </row>
    <row r="727" customFormat="false" ht="15" hidden="false" customHeight="false" outlineLevel="0" collapsed="false">
      <c r="A727" s="70"/>
      <c r="B727" s="70"/>
      <c r="C727" s="70"/>
      <c r="D727" s="68"/>
      <c r="E727" s="68"/>
      <c r="F727" s="68"/>
      <c r="G727" s="70"/>
      <c r="H727" s="68"/>
      <c r="I727" s="70"/>
    </row>
    <row r="728" customFormat="false" ht="15" hidden="false" customHeight="false" outlineLevel="0" collapsed="false">
      <c r="A728" s="70"/>
      <c r="B728" s="70"/>
      <c r="C728" s="70"/>
      <c r="D728" s="68"/>
      <c r="E728" s="68"/>
      <c r="F728" s="68"/>
      <c r="G728" s="70"/>
      <c r="H728" s="68"/>
      <c r="I728" s="70"/>
    </row>
    <row r="729" customFormat="false" ht="15" hidden="false" customHeight="false" outlineLevel="0" collapsed="false">
      <c r="A729" s="70"/>
      <c r="B729" s="70"/>
      <c r="C729" s="70"/>
      <c r="D729" s="68"/>
      <c r="E729" s="68"/>
      <c r="F729" s="68"/>
      <c r="G729" s="70"/>
      <c r="H729" s="68"/>
      <c r="I729" s="70"/>
    </row>
    <row r="730" customFormat="false" ht="15" hidden="false" customHeight="false" outlineLevel="0" collapsed="false">
      <c r="A730" s="70"/>
      <c r="B730" s="70"/>
      <c r="C730" s="70"/>
      <c r="D730" s="68"/>
      <c r="E730" s="68"/>
      <c r="F730" s="68"/>
      <c r="G730" s="70"/>
      <c r="H730" s="68"/>
      <c r="I730" s="70"/>
    </row>
    <row r="731" customFormat="false" ht="15" hidden="false" customHeight="false" outlineLevel="0" collapsed="false">
      <c r="A731" s="70"/>
      <c r="B731" s="70"/>
      <c r="C731" s="70"/>
      <c r="D731" s="68"/>
      <c r="E731" s="68"/>
      <c r="F731" s="68"/>
      <c r="G731" s="70"/>
      <c r="H731" s="68"/>
      <c r="I731" s="70"/>
    </row>
    <row r="732" customFormat="false" ht="15" hidden="false" customHeight="false" outlineLevel="0" collapsed="false">
      <c r="A732" s="70"/>
      <c r="B732" s="70"/>
      <c r="C732" s="70"/>
      <c r="D732" s="68"/>
      <c r="E732" s="68"/>
      <c r="F732" s="68"/>
      <c r="G732" s="70"/>
      <c r="H732" s="68"/>
      <c r="I732" s="70"/>
    </row>
    <row r="733" customFormat="false" ht="15" hidden="false" customHeight="false" outlineLevel="0" collapsed="false">
      <c r="A733" s="70"/>
      <c r="B733" s="70"/>
      <c r="C733" s="70"/>
      <c r="D733" s="68"/>
      <c r="E733" s="68"/>
      <c r="F733" s="68"/>
      <c r="G733" s="70"/>
      <c r="H733" s="68"/>
      <c r="I733" s="70"/>
    </row>
    <row r="734" customFormat="false" ht="15" hidden="false" customHeight="false" outlineLevel="0" collapsed="false">
      <c r="A734" s="70"/>
      <c r="B734" s="70"/>
      <c r="C734" s="70"/>
      <c r="D734" s="68"/>
      <c r="E734" s="68"/>
      <c r="F734" s="68"/>
      <c r="G734" s="70"/>
      <c r="H734" s="68"/>
      <c r="I734" s="70"/>
    </row>
    <row r="735" customFormat="false" ht="15" hidden="false" customHeight="false" outlineLevel="0" collapsed="false">
      <c r="A735" s="70"/>
      <c r="B735" s="70"/>
      <c r="C735" s="70"/>
      <c r="D735" s="68"/>
      <c r="E735" s="68"/>
      <c r="F735" s="68"/>
      <c r="G735" s="70"/>
      <c r="H735" s="68"/>
      <c r="I735" s="70"/>
    </row>
    <row r="736" customFormat="false" ht="15" hidden="false" customHeight="false" outlineLevel="0" collapsed="false">
      <c r="A736" s="70"/>
      <c r="B736" s="70"/>
      <c r="C736" s="70"/>
      <c r="D736" s="68"/>
      <c r="E736" s="68"/>
      <c r="F736" s="68"/>
      <c r="G736" s="70"/>
      <c r="H736" s="68"/>
      <c r="I736" s="70"/>
    </row>
    <row r="737" customFormat="false" ht="15" hidden="false" customHeight="false" outlineLevel="0" collapsed="false">
      <c r="A737" s="70"/>
      <c r="B737" s="70"/>
      <c r="C737" s="70"/>
      <c r="D737" s="68"/>
      <c r="E737" s="68"/>
      <c r="F737" s="68"/>
      <c r="G737" s="70"/>
      <c r="H737" s="68"/>
      <c r="I737" s="70"/>
    </row>
    <row r="738" customFormat="false" ht="15" hidden="false" customHeight="false" outlineLevel="0" collapsed="false">
      <c r="A738" s="70"/>
      <c r="B738" s="70"/>
      <c r="C738" s="70"/>
      <c r="D738" s="68"/>
      <c r="E738" s="68"/>
      <c r="F738" s="68"/>
      <c r="G738" s="70"/>
      <c r="H738" s="68"/>
      <c r="I738" s="70"/>
    </row>
    <row r="739" customFormat="false" ht="15" hidden="false" customHeight="false" outlineLevel="0" collapsed="false">
      <c r="A739" s="70"/>
      <c r="B739" s="70"/>
      <c r="C739" s="70"/>
      <c r="D739" s="68"/>
      <c r="E739" s="68"/>
      <c r="F739" s="68"/>
      <c r="G739" s="70"/>
      <c r="H739" s="68"/>
      <c r="I739" s="70"/>
    </row>
    <row r="740" customFormat="false" ht="15" hidden="false" customHeight="false" outlineLevel="0" collapsed="false">
      <c r="A740" s="70"/>
      <c r="B740" s="70"/>
      <c r="C740" s="70"/>
      <c r="D740" s="68"/>
      <c r="E740" s="68"/>
      <c r="F740" s="68"/>
      <c r="G740" s="70"/>
      <c r="H740" s="68"/>
      <c r="I740" s="70"/>
    </row>
    <row r="741" customFormat="false" ht="15" hidden="false" customHeight="false" outlineLevel="0" collapsed="false">
      <c r="A741" s="70"/>
      <c r="B741" s="70"/>
      <c r="C741" s="70"/>
      <c r="D741" s="68"/>
      <c r="E741" s="68"/>
      <c r="F741" s="68"/>
      <c r="G741" s="70"/>
      <c r="H741" s="68"/>
      <c r="I741" s="70"/>
    </row>
    <row r="742" customFormat="false" ht="15" hidden="false" customHeight="false" outlineLevel="0" collapsed="false">
      <c r="A742" s="70"/>
      <c r="B742" s="70"/>
      <c r="C742" s="70"/>
      <c r="D742" s="68"/>
      <c r="E742" s="68"/>
      <c r="F742" s="68"/>
      <c r="G742" s="70"/>
      <c r="H742" s="68"/>
      <c r="I742" s="70"/>
    </row>
    <row r="743" customFormat="false" ht="15" hidden="false" customHeight="false" outlineLevel="0" collapsed="false">
      <c r="A743" s="70"/>
      <c r="B743" s="70"/>
      <c r="C743" s="70"/>
      <c r="D743" s="68"/>
      <c r="E743" s="68"/>
      <c r="F743" s="68"/>
      <c r="G743" s="70"/>
      <c r="H743" s="68"/>
      <c r="I743" s="70"/>
    </row>
    <row r="744" customFormat="false" ht="15" hidden="false" customHeight="false" outlineLevel="0" collapsed="false">
      <c r="A744" s="70"/>
      <c r="B744" s="70"/>
      <c r="C744" s="70"/>
      <c r="D744" s="68"/>
      <c r="E744" s="68"/>
      <c r="F744" s="68"/>
      <c r="G744" s="70"/>
      <c r="H744" s="68"/>
      <c r="I744" s="70"/>
    </row>
    <row r="745" customFormat="false" ht="15" hidden="false" customHeight="false" outlineLevel="0" collapsed="false">
      <c r="A745" s="70"/>
      <c r="B745" s="70"/>
      <c r="C745" s="70"/>
      <c r="D745" s="68"/>
      <c r="E745" s="68"/>
      <c r="F745" s="68"/>
      <c r="G745" s="70"/>
      <c r="H745" s="68"/>
      <c r="I745" s="70"/>
    </row>
    <row r="746" customFormat="false" ht="15" hidden="false" customHeight="false" outlineLevel="0" collapsed="false">
      <c r="A746" s="70"/>
      <c r="B746" s="70"/>
      <c r="C746" s="70"/>
      <c r="D746" s="68"/>
      <c r="E746" s="68"/>
      <c r="F746" s="68"/>
      <c r="G746" s="70"/>
      <c r="H746" s="68"/>
      <c r="I746" s="70"/>
    </row>
    <row r="747" customFormat="false" ht="15" hidden="false" customHeight="false" outlineLevel="0" collapsed="false">
      <c r="A747" s="70"/>
      <c r="B747" s="70"/>
      <c r="C747" s="70"/>
      <c r="D747" s="68"/>
      <c r="E747" s="68"/>
      <c r="F747" s="68"/>
      <c r="G747" s="70"/>
      <c r="H747" s="68"/>
      <c r="I747" s="70"/>
    </row>
    <row r="748" customFormat="false" ht="15" hidden="false" customHeight="false" outlineLevel="0" collapsed="false">
      <c r="A748" s="70"/>
      <c r="B748" s="70"/>
      <c r="C748" s="70"/>
      <c r="D748" s="68"/>
      <c r="E748" s="68"/>
      <c r="F748" s="68"/>
      <c r="G748" s="70"/>
      <c r="H748" s="68"/>
      <c r="I748" s="70"/>
    </row>
    <row r="749" customFormat="false" ht="15" hidden="false" customHeight="false" outlineLevel="0" collapsed="false">
      <c r="A749" s="70"/>
      <c r="B749" s="70"/>
      <c r="C749" s="70"/>
      <c r="D749" s="68"/>
      <c r="E749" s="68"/>
      <c r="F749" s="68"/>
      <c r="G749" s="70"/>
      <c r="H749" s="68"/>
      <c r="I749" s="70"/>
    </row>
    <row r="750" customFormat="false" ht="15" hidden="false" customHeight="false" outlineLevel="0" collapsed="false">
      <c r="A750" s="70"/>
      <c r="B750" s="70"/>
      <c r="C750" s="70"/>
      <c r="D750" s="68"/>
      <c r="E750" s="68"/>
      <c r="F750" s="68"/>
      <c r="G750" s="70"/>
      <c r="H750" s="68"/>
      <c r="I750" s="70"/>
    </row>
    <row r="751" customFormat="false" ht="15" hidden="false" customHeight="false" outlineLevel="0" collapsed="false">
      <c r="A751" s="70"/>
      <c r="B751" s="70"/>
      <c r="C751" s="70"/>
      <c r="D751" s="68"/>
      <c r="E751" s="68"/>
      <c r="F751" s="68"/>
      <c r="G751" s="70"/>
      <c r="H751" s="68"/>
      <c r="I751" s="70"/>
    </row>
    <row r="752" customFormat="false" ht="15" hidden="false" customHeight="false" outlineLevel="0" collapsed="false">
      <c r="A752" s="70"/>
      <c r="B752" s="70"/>
      <c r="C752" s="70"/>
      <c r="D752" s="68"/>
      <c r="E752" s="68"/>
      <c r="F752" s="68"/>
      <c r="G752" s="70"/>
      <c r="H752" s="68"/>
      <c r="I752" s="70"/>
    </row>
    <row r="753" customFormat="false" ht="15" hidden="false" customHeight="false" outlineLevel="0" collapsed="false">
      <c r="A753" s="70"/>
      <c r="B753" s="70"/>
      <c r="C753" s="70"/>
      <c r="D753" s="68"/>
      <c r="E753" s="68"/>
      <c r="F753" s="68"/>
      <c r="G753" s="70"/>
      <c r="H753" s="68"/>
      <c r="I753" s="70"/>
    </row>
    <row r="754" customFormat="false" ht="15" hidden="false" customHeight="false" outlineLevel="0" collapsed="false">
      <c r="A754" s="70"/>
      <c r="B754" s="70"/>
      <c r="C754" s="70"/>
      <c r="D754" s="68"/>
      <c r="E754" s="68"/>
      <c r="F754" s="68"/>
      <c r="G754" s="70"/>
      <c r="H754" s="68"/>
      <c r="I754" s="70"/>
    </row>
    <row r="755" customFormat="false" ht="15" hidden="false" customHeight="false" outlineLevel="0" collapsed="false">
      <c r="A755" s="70"/>
      <c r="B755" s="70"/>
      <c r="C755" s="70"/>
      <c r="D755" s="68"/>
      <c r="E755" s="68"/>
      <c r="F755" s="68"/>
      <c r="G755" s="70"/>
      <c r="H755" s="68"/>
      <c r="I755" s="70"/>
    </row>
    <row r="756" customFormat="false" ht="15" hidden="false" customHeight="false" outlineLevel="0" collapsed="false">
      <c r="A756" s="70"/>
      <c r="B756" s="70"/>
      <c r="C756" s="70"/>
      <c r="D756" s="68"/>
      <c r="E756" s="68"/>
      <c r="F756" s="68"/>
      <c r="G756" s="70"/>
      <c r="H756" s="68"/>
      <c r="I756" s="70"/>
    </row>
    <row r="757" customFormat="false" ht="15" hidden="false" customHeight="false" outlineLevel="0" collapsed="false">
      <c r="A757" s="70"/>
      <c r="B757" s="70"/>
      <c r="C757" s="70"/>
      <c r="D757" s="68"/>
      <c r="E757" s="68"/>
      <c r="F757" s="68"/>
      <c r="G757" s="70"/>
      <c r="H757" s="68"/>
      <c r="I757" s="70"/>
    </row>
    <row r="758" customFormat="false" ht="15" hidden="false" customHeight="false" outlineLevel="0" collapsed="false">
      <c r="A758" s="70"/>
      <c r="B758" s="70"/>
      <c r="C758" s="70"/>
      <c r="D758" s="68"/>
      <c r="E758" s="68"/>
      <c r="F758" s="68"/>
      <c r="G758" s="70"/>
      <c r="H758" s="68"/>
      <c r="I758" s="70"/>
    </row>
    <row r="759" customFormat="false" ht="15" hidden="false" customHeight="false" outlineLevel="0" collapsed="false">
      <c r="A759" s="70"/>
      <c r="B759" s="70"/>
      <c r="C759" s="70"/>
      <c r="D759" s="68"/>
      <c r="E759" s="68"/>
      <c r="F759" s="68"/>
      <c r="G759" s="70"/>
      <c r="H759" s="68"/>
      <c r="I759" s="70"/>
    </row>
    <row r="760" customFormat="false" ht="15" hidden="false" customHeight="false" outlineLevel="0" collapsed="false">
      <c r="A760" s="70"/>
      <c r="B760" s="70"/>
      <c r="C760" s="70"/>
      <c r="D760" s="68"/>
      <c r="E760" s="68"/>
      <c r="F760" s="68"/>
      <c r="G760" s="70"/>
      <c r="H760" s="68"/>
      <c r="I760" s="70"/>
    </row>
    <row r="761" customFormat="false" ht="15" hidden="false" customHeight="false" outlineLevel="0" collapsed="false">
      <c r="A761" s="70"/>
      <c r="B761" s="70"/>
      <c r="C761" s="70"/>
      <c r="D761" s="68"/>
      <c r="E761" s="68"/>
      <c r="F761" s="68"/>
      <c r="G761" s="70"/>
      <c r="H761" s="68"/>
      <c r="I761" s="70"/>
    </row>
    <row r="762" customFormat="false" ht="15" hidden="false" customHeight="false" outlineLevel="0" collapsed="false">
      <c r="A762" s="70"/>
      <c r="B762" s="70"/>
      <c r="C762" s="70"/>
      <c r="D762" s="68"/>
      <c r="E762" s="68"/>
      <c r="F762" s="68"/>
      <c r="G762" s="70"/>
      <c r="H762" s="68"/>
      <c r="I762" s="70"/>
    </row>
    <row r="763" customFormat="false" ht="15" hidden="false" customHeight="false" outlineLevel="0" collapsed="false">
      <c r="A763" s="70"/>
      <c r="B763" s="70"/>
      <c r="C763" s="70"/>
      <c r="D763" s="68"/>
      <c r="E763" s="68"/>
      <c r="F763" s="68"/>
      <c r="G763" s="70"/>
      <c r="H763" s="68"/>
      <c r="I763" s="70"/>
    </row>
    <row r="764" customFormat="false" ht="15" hidden="false" customHeight="false" outlineLevel="0" collapsed="false">
      <c r="A764" s="70"/>
      <c r="B764" s="70"/>
      <c r="C764" s="70"/>
      <c r="D764" s="68"/>
      <c r="E764" s="68"/>
      <c r="F764" s="68"/>
      <c r="G764" s="70"/>
      <c r="H764" s="68"/>
      <c r="I764" s="70"/>
    </row>
    <row r="765" customFormat="false" ht="15" hidden="false" customHeight="false" outlineLevel="0" collapsed="false">
      <c r="A765" s="70"/>
      <c r="B765" s="70"/>
      <c r="C765" s="70"/>
      <c r="D765" s="68"/>
      <c r="E765" s="68"/>
      <c r="F765" s="68"/>
      <c r="G765" s="70"/>
      <c r="H765" s="68"/>
      <c r="I765" s="70"/>
    </row>
    <row r="766" customFormat="false" ht="15" hidden="false" customHeight="false" outlineLevel="0" collapsed="false">
      <c r="A766" s="70"/>
      <c r="B766" s="70"/>
      <c r="C766" s="70"/>
      <c r="D766" s="68"/>
      <c r="E766" s="68"/>
      <c r="F766" s="68"/>
      <c r="G766" s="70"/>
      <c r="H766" s="68"/>
      <c r="I766" s="70"/>
    </row>
    <row r="767" customFormat="false" ht="15" hidden="false" customHeight="false" outlineLevel="0" collapsed="false">
      <c r="A767" s="70"/>
      <c r="B767" s="70"/>
      <c r="C767" s="70"/>
      <c r="D767" s="68"/>
      <c r="E767" s="68"/>
      <c r="F767" s="68"/>
      <c r="G767" s="70"/>
      <c r="H767" s="68"/>
      <c r="I767" s="70"/>
    </row>
    <row r="768" customFormat="false" ht="15" hidden="false" customHeight="false" outlineLevel="0" collapsed="false">
      <c r="A768" s="70"/>
      <c r="B768" s="70"/>
      <c r="C768" s="70"/>
      <c r="D768" s="68"/>
      <c r="E768" s="68"/>
      <c r="F768" s="68"/>
      <c r="G768" s="70"/>
      <c r="H768" s="68"/>
      <c r="I768" s="70"/>
    </row>
    <row r="769" customFormat="false" ht="15" hidden="false" customHeight="false" outlineLevel="0" collapsed="false">
      <c r="A769" s="70"/>
      <c r="B769" s="70"/>
      <c r="C769" s="70"/>
      <c r="D769" s="68"/>
      <c r="E769" s="68"/>
      <c r="F769" s="68"/>
      <c r="G769" s="70"/>
      <c r="H769" s="68"/>
      <c r="I769" s="70"/>
    </row>
    <row r="770" customFormat="false" ht="15" hidden="false" customHeight="false" outlineLevel="0" collapsed="false">
      <c r="A770" s="70"/>
      <c r="B770" s="70"/>
      <c r="C770" s="70"/>
      <c r="D770" s="68"/>
      <c r="E770" s="68"/>
      <c r="F770" s="68"/>
      <c r="G770" s="70"/>
      <c r="H770" s="68"/>
      <c r="I770" s="70"/>
    </row>
    <row r="771" customFormat="false" ht="15" hidden="false" customHeight="false" outlineLevel="0" collapsed="false">
      <c r="A771" s="70"/>
      <c r="B771" s="70"/>
      <c r="C771" s="70"/>
      <c r="D771" s="68"/>
      <c r="E771" s="68"/>
      <c r="F771" s="68"/>
      <c r="G771" s="70"/>
      <c r="H771" s="68"/>
      <c r="I771" s="70"/>
    </row>
    <row r="772" customFormat="false" ht="15" hidden="false" customHeight="false" outlineLevel="0" collapsed="false">
      <c r="A772" s="70"/>
      <c r="B772" s="70"/>
      <c r="C772" s="70"/>
      <c r="D772" s="68"/>
      <c r="E772" s="68"/>
      <c r="F772" s="68"/>
      <c r="G772" s="70"/>
      <c r="H772" s="68"/>
      <c r="I772" s="70"/>
    </row>
    <row r="773" customFormat="false" ht="15" hidden="false" customHeight="false" outlineLevel="0" collapsed="false">
      <c r="A773" s="70"/>
      <c r="B773" s="70"/>
      <c r="C773" s="70"/>
      <c r="D773" s="68"/>
      <c r="E773" s="68"/>
      <c r="F773" s="68"/>
      <c r="G773" s="70"/>
      <c r="H773" s="68"/>
      <c r="I773" s="70"/>
    </row>
    <row r="774" customFormat="false" ht="15" hidden="false" customHeight="false" outlineLevel="0" collapsed="false">
      <c r="A774" s="70"/>
      <c r="B774" s="70"/>
      <c r="C774" s="70"/>
      <c r="D774" s="68"/>
      <c r="E774" s="68"/>
      <c r="F774" s="68"/>
      <c r="G774" s="70"/>
      <c r="H774" s="68"/>
      <c r="I774" s="70"/>
    </row>
    <row r="775" customFormat="false" ht="15" hidden="false" customHeight="false" outlineLevel="0" collapsed="false">
      <c r="A775" s="70"/>
      <c r="B775" s="70"/>
      <c r="C775" s="70"/>
      <c r="D775" s="68"/>
      <c r="E775" s="68"/>
      <c r="F775" s="68"/>
      <c r="G775" s="70"/>
      <c r="H775" s="68"/>
      <c r="I775" s="70"/>
    </row>
    <row r="776" customFormat="false" ht="15" hidden="false" customHeight="false" outlineLevel="0" collapsed="false">
      <c r="A776" s="70"/>
      <c r="B776" s="70"/>
      <c r="C776" s="70"/>
      <c r="D776" s="68"/>
      <c r="E776" s="68"/>
      <c r="F776" s="68"/>
      <c r="G776" s="70"/>
      <c r="H776" s="68"/>
      <c r="I776" s="70"/>
    </row>
    <row r="777" customFormat="false" ht="15" hidden="false" customHeight="false" outlineLevel="0" collapsed="false">
      <c r="A777" s="70"/>
      <c r="B777" s="70"/>
      <c r="C777" s="70"/>
      <c r="D777" s="68"/>
      <c r="E777" s="68"/>
      <c r="F777" s="68"/>
      <c r="G777" s="70"/>
      <c r="H777" s="68"/>
      <c r="I777" s="70"/>
    </row>
    <row r="778" customFormat="false" ht="15" hidden="false" customHeight="false" outlineLevel="0" collapsed="false">
      <c r="A778" s="70"/>
      <c r="B778" s="70"/>
      <c r="C778" s="70"/>
      <c r="D778" s="68"/>
      <c r="E778" s="68"/>
      <c r="F778" s="68"/>
      <c r="G778" s="70"/>
      <c r="H778" s="68"/>
      <c r="I778" s="70"/>
    </row>
    <row r="779" customFormat="false" ht="15" hidden="false" customHeight="false" outlineLevel="0" collapsed="false">
      <c r="A779" s="70"/>
      <c r="B779" s="70"/>
      <c r="C779" s="70"/>
      <c r="D779" s="68"/>
      <c r="E779" s="68"/>
      <c r="F779" s="68"/>
      <c r="G779" s="70"/>
      <c r="H779" s="68"/>
      <c r="I779" s="70"/>
    </row>
    <row r="780" customFormat="false" ht="15" hidden="false" customHeight="false" outlineLevel="0" collapsed="false">
      <c r="A780" s="70"/>
      <c r="B780" s="70"/>
      <c r="C780" s="70"/>
      <c r="D780" s="68"/>
      <c r="E780" s="68"/>
      <c r="F780" s="68"/>
      <c r="G780" s="70"/>
      <c r="H780" s="68"/>
      <c r="I780" s="70"/>
    </row>
    <row r="781" customFormat="false" ht="15" hidden="false" customHeight="false" outlineLevel="0" collapsed="false">
      <c r="A781" s="70"/>
      <c r="B781" s="70"/>
      <c r="C781" s="70"/>
      <c r="D781" s="68"/>
      <c r="E781" s="68"/>
      <c r="F781" s="68"/>
      <c r="G781" s="70"/>
      <c r="H781" s="68"/>
      <c r="I781" s="70"/>
    </row>
    <row r="782" customFormat="false" ht="15" hidden="false" customHeight="false" outlineLevel="0" collapsed="false">
      <c r="A782" s="70"/>
      <c r="B782" s="70"/>
      <c r="C782" s="70"/>
      <c r="D782" s="68"/>
      <c r="E782" s="68"/>
      <c r="F782" s="68"/>
      <c r="G782" s="70"/>
      <c r="H782" s="68"/>
      <c r="I782" s="70"/>
    </row>
    <row r="783" customFormat="false" ht="15" hidden="false" customHeight="false" outlineLevel="0" collapsed="false">
      <c r="A783" s="70"/>
      <c r="B783" s="70"/>
      <c r="C783" s="70"/>
      <c r="D783" s="68"/>
      <c r="E783" s="68"/>
      <c r="F783" s="68"/>
      <c r="G783" s="70"/>
      <c r="H783" s="68"/>
      <c r="I783" s="70"/>
    </row>
    <row r="784" customFormat="false" ht="15" hidden="false" customHeight="false" outlineLevel="0" collapsed="false">
      <c r="A784" s="70"/>
      <c r="B784" s="70"/>
      <c r="C784" s="70"/>
      <c r="D784" s="68"/>
      <c r="E784" s="68"/>
      <c r="F784" s="68"/>
      <c r="G784" s="70"/>
      <c r="H784" s="68"/>
      <c r="I784" s="70"/>
    </row>
    <row r="785" customFormat="false" ht="15" hidden="false" customHeight="false" outlineLevel="0" collapsed="false">
      <c r="A785" s="70"/>
      <c r="B785" s="70"/>
      <c r="C785" s="70"/>
      <c r="D785" s="68"/>
      <c r="E785" s="68"/>
      <c r="F785" s="68"/>
      <c r="G785" s="70"/>
      <c r="H785" s="68"/>
      <c r="I785" s="70"/>
    </row>
    <row r="786" customFormat="false" ht="15" hidden="false" customHeight="false" outlineLevel="0" collapsed="false">
      <c r="A786" s="70"/>
      <c r="B786" s="70"/>
      <c r="C786" s="70"/>
      <c r="D786" s="68"/>
      <c r="E786" s="68"/>
      <c r="F786" s="68"/>
      <c r="G786" s="70"/>
      <c r="H786" s="68"/>
      <c r="I786" s="70"/>
    </row>
    <row r="787" customFormat="false" ht="15" hidden="false" customHeight="false" outlineLevel="0" collapsed="false">
      <c r="A787" s="70"/>
      <c r="B787" s="70"/>
      <c r="C787" s="70"/>
      <c r="D787" s="68"/>
      <c r="E787" s="68"/>
      <c r="F787" s="68"/>
      <c r="G787" s="70"/>
      <c r="H787" s="68"/>
      <c r="I787" s="70"/>
    </row>
    <row r="788" customFormat="false" ht="15" hidden="false" customHeight="false" outlineLevel="0" collapsed="false">
      <c r="A788" s="70"/>
      <c r="B788" s="70"/>
      <c r="C788" s="70"/>
      <c r="D788" s="68"/>
      <c r="E788" s="68"/>
      <c r="F788" s="68"/>
      <c r="G788" s="70"/>
      <c r="H788" s="68"/>
      <c r="I788" s="70"/>
    </row>
    <row r="789" customFormat="false" ht="15" hidden="false" customHeight="false" outlineLevel="0" collapsed="false">
      <c r="A789" s="70"/>
      <c r="B789" s="70"/>
      <c r="C789" s="70"/>
      <c r="D789" s="68"/>
      <c r="E789" s="68"/>
      <c r="F789" s="68"/>
      <c r="G789" s="70"/>
      <c r="H789" s="68"/>
      <c r="I789" s="70"/>
    </row>
    <row r="790" customFormat="false" ht="15" hidden="false" customHeight="false" outlineLevel="0" collapsed="false">
      <c r="A790" s="70"/>
      <c r="B790" s="70"/>
      <c r="C790" s="70"/>
      <c r="D790" s="68"/>
      <c r="E790" s="68"/>
      <c r="F790" s="68"/>
      <c r="G790" s="70"/>
      <c r="H790" s="68"/>
      <c r="I790" s="70"/>
    </row>
    <row r="791" customFormat="false" ht="15" hidden="false" customHeight="false" outlineLevel="0" collapsed="false">
      <c r="A791" s="70"/>
      <c r="B791" s="70"/>
      <c r="C791" s="70"/>
      <c r="D791" s="68"/>
      <c r="E791" s="68"/>
      <c r="F791" s="68"/>
      <c r="G791" s="70"/>
      <c r="H791" s="68"/>
      <c r="I791" s="70"/>
    </row>
    <row r="792" customFormat="false" ht="15" hidden="false" customHeight="false" outlineLevel="0" collapsed="false">
      <c r="A792" s="70"/>
      <c r="B792" s="70"/>
      <c r="C792" s="70"/>
      <c r="D792" s="68"/>
      <c r="E792" s="68"/>
      <c r="F792" s="68"/>
      <c r="G792" s="70"/>
      <c r="H792" s="68"/>
      <c r="I792" s="70"/>
    </row>
    <row r="793" customFormat="false" ht="15" hidden="false" customHeight="false" outlineLevel="0" collapsed="false">
      <c r="A793" s="70"/>
      <c r="B793" s="70"/>
      <c r="C793" s="70"/>
      <c r="D793" s="68"/>
      <c r="E793" s="68"/>
      <c r="F793" s="68"/>
      <c r="G793" s="70"/>
      <c r="H793" s="68"/>
      <c r="I793" s="70"/>
    </row>
    <row r="794" customFormat="false" ht="15" hidden="false" customHeight="false" outlineLevel="0" collapsed="false">
      <c r="A794" s="70"/>
      <c r="B794" s="70"/>
      <c r="C794" s="70"/>
      <c r="D794" s="68"/>
      <c r="E794" s="68"/>
      <c r="F794" s="68"/>
      <c r="G794" s="70"/>
      <c r="H794" s="68"/>
      <c r="I794" s="70"/>
    </row>
    <row r="795" customFormat="false" ht="15" hidden="false" customHeight="false" outlineLevel="0" collapsed="false">
      <c r="A795" s="70"/>
      <c r="B795" s="70"/>
      <c r="C795" s="70"/>
      <c r="D795" s="68"/>
      <c r="E795" s="68"/>
      <c r="F795" s="68"/>
      <c r="G795" s="70"/>
      <c r="H795" s="68"/>
      <c r="I795" s="70"/>
    </row>
    <row r="796" customFormat="false" ht="15" hidden="false" customHeight="false" outlineLevel="0" collapsed="false">
      <c r="A796" s="70"/>
      <c r="B796" s="70"/>
      <c r="C796" s="70"/>
      <c r="D796" s="68"/>
      <c r="E796" s="68"/>
      <c r="F796" s="68"/>
      <c r="G796" s="70"/>
      <c r="H796" s="68"/>
      <c r="I796" s="70"/>
    </row>
    <row r="797" customFormat="false" ht="15" hidden="false" customHeight="false" outlineLevel="0" collapsed="false">
      <c r="A797" s="70"/>
      <c r="B797" s="70"/>
      <c r="C797" s="70"/>
      <c r="D797" s="68"/>
      <c r="E797" s="68"/>
      <c r="F797" s="68"/>
      <c r="G797" s="70"/>
      <c r="H797" s="68"/>
      <c r="I797" s="70"/>
    </row>
    <row r="798" customFormat="false" ht="15" hidden="false" customHeight="false" outlineLevel="0" collapsed="false">
      <c r="A798" s="70"/>
      <c r="B798" s="70"/>
      <c r="C798" s="70"/>
      <c r="D798" s="68"/>
      <c r="E798" s="68"/>
      <c r="F798" s="68"/>
      <c r="G798" s="70"/>
      <c r="H798" s="68"/>
      <c r="I798" s="70"/>
    </row>
    <row r="799" customFormat="false" ht="15" hidden="false" customHeight="false" outlineLevel="0" collapsed="false">
      <c r="A799" s="70"/>
      <c r="B799" s="70"/>
      <c r="C799" s="70"/>
      <c r="D799" s="68"/>
      <c r="E799" s="68"/>
      <c r="F799" s="68"/>
      <c r="G799" s="70"/>
      <c r="H799" s="68"/>
      <c r="I799" s="70"/>
    </row>
    <row r="800" customFormat="false" ht="15" hidden="false" customHeight="false" outlineLevel="0" collapsed="false">
      <c r="A800" s="70"/>
      <c r="B800" s="70"/>
      <c r="C800" s="70"/>
      <c r="D800" s="68"/>
      <c r="E800" s="68"/>
      <c r="F800" s="68"/>
      <c r="G800" s="70"/>
      <c r="H800" s="68"/>
      <c r="I800" s="70"/>
    </row>
    <row r="801" customFormat="false" ht="15" hidden="false" customHeight="false" outlineLevel="0" collapsed="false">
      <c r="A801" s="70"/>
      <c r="B801" s="70"/>
      <c r="C801" s="70"/>
      <c r="D801" s="68"/>
      <c r="E801" s="68"/>
      <c r="F801" s="68"/>
      <c r="G801" s="70"/>
      <c r="H801" s="68"/>
      <c r="I801" s="70"/>
    </row>
    <row r="802" customFormat="false" ht="15" hidden="false" customHeight="false" outlineLevel="0" collapsed="false">
      <c r="A802" s="70"/>
      <c r="B802" s="70"/>
      <c r="C802" s="70"/>
      <c r="D802" s="68"/>
      <c r="E802" s="68"/>
      <c r="F802" s="68"/>
      <c r="G802" s="70"/>
      <c r="H802" s="68"/>
      <c r="I802" s="70"/>
    </row>
    <row r="803" customFormat="false" ht="15" hidden="false" customHeight="false" outlineLevel="0" collapsed="false">
      <c r="A803" s="70"/>
      <c r="B803" s="70"/>
      <c r="C803" s="70"/>
      <c r="D803" s="68"/>
      <c r="E803" s="68"/>
      <c r="F803" s="68"/>
      <c r="G803" s="70"/>
      <c r="H803" s="68"/>
      <c r="I803" s="70"/>
    </row>
    <row r="804" customFormat="false" ht="15" hidden="false" customHeight="false" outlineLevel="0" collapsed="false">
      <c r="A804" s="70"/>
      <c r="B804" s="70"/>
      <c r="C804" s="70"/>
      <c r="D804" s="68"/>
      <c r="E804" s="68"/>
      <c r="F804" s="68"/>
      <c r="G804" s="70"/>
      <c r="H804" s="68"/>
      <c r="I804" s="70"/>
    </row>
    <row r="805" customFormat="false" ht="15" hidden="false" customHeight="false" outlineLevel="0" collapsed="false">
      <c r="A805" s="70"/>
      <c r="B805" s="70"/>
      <c r="C805" s="70"/>
      <c r="D805" s="68"/>
      <c r="E805" s="68"/>
      <c r="F805" s="68"/>
      <c r="G805" s="70"/>
      <c r="H805" s="68"/>
      <c r="I805" s="70"/>
    </row>
    <row r="806" customFormat="false" ht="15" hidden="false" customHeight="false" outlineLevel="0" collapsed="false">
      <c r="A806" s="70"/>
      <c r="B806" s="70"/>
      <c r="C806" s="70"/>
      <c r="D806" s="68"/>
      <c r="E806" s="68"/>
      <c r="F806" s="68"/>
      <c r="G806" s="70"/>
      <c r="H806" s="68"/>
      <c r="I806" s="70"/>
    </row>
    <row r="807" customFormat="false" ht="15" hidden="false" customHeight="false" outlineLevel="0" collapsed="false">
      <c r="A807" s="70"/>
      <c r="B807" s="70"/>
      <c r="C807" s="70"/>
      <c r="D807" s="68"/>
      <c r="E807" s="68"/>
      <c r="F807" s="68"/>
      <c r="G807" s="70"/>
      <c r="H807" s="68"/>
      <c r="I807" s="70"/>
    </row>
    <row r="808" customFormat="false" ht="15" hidden="false" customHeight="false" outlineLevel="0" collapsed="false">
      <c r="A808" s="70"/>
      <c r="B808" s="70"/>
      <c r="C808" s="70"/>
      <c r="D808" s="68"/>
      <c r="E808" s="68"/>
      <c r="F808" s="68"/>
      <c r="G808" s="70"/>
      <c r="H808" s="68"/>
      <c r="I808" s="70"/>
    </row>
    <row r="809" customFormat="false" ht="15" hidden="false" customHeight="false" outlineLevel="0" collapsed="false">
      <c r="A809" s="70"/>
      <c r="B809" s="70"/>
      <c r="C809" s="70"/>
      <c r="D809" s="68"/>
      <c r="E809" s="68"/>
      <c r="F809" s="68"/>
      <c r="G809" s="70"/>
      <c r="H809" s="68"/>
      <c r="I809" s="70"/>
    </row>
    <row r="810" customFormat="false" ht="15" hidden="false" customHeight="false" outlineLevel="0" collapsed="false">
      <c r="A810" s="70"/>
      <c r="B810" s="70"/>
      <c r="C810" s="70"/>
      <c r="D810" s="68"/>
      <c r="E810" s="68"/>
      <c r="F810" s="68"/>
      <c r="G810" s="70"/>
      <c r="H810" s="68"/>
      <c r="I810" s="70"/>
    </row>
    <row r="811" customFormat="false" ht="15" hidden="false" customHeight="false" outlineLevel="0" collapsed="false">
      <c r="A811" s="70"/>
      <c r="B811" s="70"/>
      <c r="C811" s="70"/>
      <c r="D811" s="68"/>
      <c r="E811" s="68"/>
      <c r="F811" s="68"/>
      <c r="G811" s="70"/>
      <c r="H811" s="68"/>
      <c r="I811" s="70"/>
    </row>
    <row r="812" customFormat="false" ht="15" hidden="false" customHeight="false" outlineLevel="0" collapsed="false">
      <c r="A812" s="70"/>
      <c r="B812" s="70"/>
      <c r="C812" s="70"/>
      <c r="D812" s="68"/>
      <c r="E812" s="68"/>
      <c r="F812" s="68"/>
      <c r="G812" s="70"/>
      <c r="H812" s="68"/>
      <c r="I812" s="70"/>
    </row>
    <row r="813" customFormat="false" ht="15" hidden="false" customHeight="false" outlineLevel="0" collapsed="false">
      <c r="A813" s="70"/>
      <c r="B813" s="70"/>
      <c r="C813" s="70"/>
      <c r="D813" s="68"/>
      <c r="E813" s="68"/>
      <c r="F813" s="68"/>
      <c r="G813" s="70"/>
      <c r="H813" s="68"/>
      <c r="I813" s="70"/>
    </row>
    <row r="814" customFormat="false" ht="15" hidden="false" customHeight="false" outlineLevel="0" collapsed="false">
      <c r="A814" s="70"/>
      <c r="B814" s="70"/>
      <c r="C814" s="70"/>
      <c r="D814" s="68"/>
      <c r="E814" s="68"/>
      <c r="F814" s="68"/>
      <c r="G814" s="70"/>
      <c r="H814" s="68"/>
      <c r="I814" s="70"/>
    </row>
    <row r="815" customFormat="false" ht="15" hidden="false" customHeight="false" outlineLevel="0" collapsed="false">
      <c r="A815" s="70"/>
      <c r="B815" s="70"/>
      <c r="C815" s="70"/>
      <c r="D815" s="68"/>
      <c r="E815" s="68"/>
      <c r="F815" s="68"/>
      <c r="G815" s="70"/>
      <c r="H815" s="68"/>
      <c r="I815" s="70"/>
    </row>
    <row r="816" customFormat="false" ht="15" hidden="false" customHeight="false" outlineLevel="0" collapsed="false">
      <c r="A816" s="70"/>
      <c r="B816" s="70"/>
      <c r="C816" s="70"/>
      <c r="D816" s="68"/>
      <c r="E816" s="68"/>
      <c r="F816" s="68"/>
      <c r="G816" s="70"/>
      <c r="H816" s="68"/>
      <c r="I816" s="70"/>
    </row>
    <row r="817" customFormat="false" ht="15" hidden="false" customHeight="false" outlineLevel="0" collapsed="false">
      <c r="A817" s="70"/>
      <c r="B817" s="70"/>
      <c r="C817" s="70"/>
      <c r="D817" s="68"/>
      <c r="E817" s="68"/>
      <c r="F817" s="68"/>
      <c r="G817" s="70"/>
      <c r="H817" s="68"/>
      <c r="I817" s="70"/>
    </row>
    <row r="818" customFormat="false" ht="15" hidden="false" customHeight="false" outlineLevel="0" collapsed="false">
      <c r="A818" s="70"/>
      <c r="B818" s="70"/>
      <c r="C818" s="70"/>
      <c r="D818" s="68"/>
      <c r="E818" s="68"/>
      <c r="F818" s="68"/>
      <c r="G818" s="70"/>
      <c r="H818" s="68"/>
      <c r="I818" s="70"/>
    </row>
    <row r="819" customFormat="false" ht="15" hidden="false" customHeight="false" outlineLevel="0" collapsed="false">
      <c r="A819" s="70"/>
      <c r="B819" s="70"/>
      <c r="C819" s="70"/>
      <c r="D819" s="68"/>
      <c r="E819" s="68"/>
      <c r="F819" s="68"/>
      <c r="G819" s="70"/>
      <c r="H819" s="68"/>
      <c r="I819" s="70"/>
    </row>
    <row r="820" customFormat="false" ht="15" hidden="false" customHeight="false" outlineLevel="0" collapsed="false">
      <c r="A820" s="70"/>
      <c r="B820" s="70"/>
      <c r="C820" s="70"/>
      <c r="D820" s="68"/>
      <c r="E820" s="68"/>
      <c r="F820" s="68"/>
      <c r="G820" s="70"/>
      <c r="H820" s="68"/>
      <c r="I820" s="70"/>
    </row>
    <row r="821" customFormat="false" ht="15" hidden="false" customHeight="false" outlineLevel="0" collapsed="false">
      <c r="A821" s="70"/>
      <c r="B821" s="70"/>
      <c r="C821" s="70"/>
      <c r="D821" s="68"/>
      <c r="E821" s="68"/>
      <c r="F821" s="68"/>
      <c r="G821" s="70"/>
      <c r="H821" s="68"/>
      <c r="I821" s="70"/>
    </row>
    <row r="822" customFormat="false" ht="15" hidden="false" customHeight="false" outlineLevel="0" collapsed="false">
      <c r="A822" s="70"/>
      <c r="B822" s="70"/>
      <c r="C822" s="70"/>
      <c r="D822" s="68"/>
      <c r="E822" s="68"/>
      <c r="F822" s="68"/>
      <c r="G822" s="70"/>
      <c r="H822" s="68"/>
      <c r="I822" s="70"/>
    </row>
    <row r="823" customFormat="false" ht="15" hidden="false" customHeight="false" outlineLevel="0" collapsed="false">
      <c r="A823" s="70"/>
      <c r="B823" s="70"/>
      <c r="C823" s="70"/>
      <c r="D823" s="68"/>
      <c r="E823" s="68"/>
      <c r="F823" s="68"/>
      <c r="G823" s="70"/>
      <c r="H823" s="68"/>
      <c r="I823" s="70"/>
    </row>
    <row r="824" customFormat="false" ht="15" hidden="false" customHeight="false" outlineLevel="0" collapsed="false">
      <c r="A824" s="70"/>
      <c r="B824" s="70"/>
      <c r="C824" s="70"/>
      <c r="D824" s="68"/>
      <c r="E824" s="68"/>
      <c r="F824" s="68"/>
      <c r="G824" s="70"/>
      <c r="H824" s="68"/>
      <c r="I824" s="70"/>
    </row>
    <row r="825" customFormat="false" ht="15" hidden="false" customHeight="false" outlineLevel="0" collapsed="false">
      <c r="A825" s="70"/>
      <c r="B825" s="70"/>
      <c r="C825" s="70"/>
      <c r="D825" s="68"/>
      <c r="E825" s="68"/>
      <c r="F825" s="68"/>
      <c r="G825" s="70"/>
      <c r="H825" s="68"/>
      <c r="I825" s="70"/>
    </row>
    <row r="826" customFormat="false" ht="15" hidden="false" customHeight="false" outlineLevel="0" collapsed="false">
      <c r="A826" s="70"/>
      <c r="B826" s="70"/>
      <c r="C826" s="70"/>
      <c r="D826" s="68"/>
      <c r="E826" s="68"/>
      <c r="F826" s="68"/>
      <c r="G826" s="70"/>
      <c r="H826" s="68"/>
      <c r="I826" s="70"/>
    </row>
    <row r="827" customFormat="false" ht="15" hidden="false" customHeight="false" outlineLevel="0" collapsed="false">
      <c r="A827" s="70"/>
      <c r="B827" s="70"/>
      <c r="C827" s="70"/>
      <c r="D827" s="68"/>
      <c r="E827" s="68"/>
      <c r="F827" s="68"/>
      <c r="G827" s="70"/>
      <c r="H827" s="68"/>
      <c r="I827" s="70"/>
    </row>
    <row r="828" customFormat="false" ht="15" hidden="false" customHeight="false" outlineLevel="0" collapsed="false">
      <c r="A828" s="70"/>
      <c r="B828" s="70"/>
      <c r="C828" s="70"/>
      <c r="D828" s="68"/>
      <c r="E828" s="68"/>
      <c r="F828" s="68"/>
      <c r="G828" s="70"/>
      <c r="H828" s="68"/>
      <c r="I828" s="70"/>
    </row>
    <row r="829" customFormat="false" ht="15" hidden="false" customHeight="false" outlineLevel="0" collapsed="false">
      <c r="A829" s="70"/>
      <c r="B829" s="70"/>
      <c r="C829" s="70"/>
      <c r="D829" s="68"/>
      <c r="E829" s="68"/>
      <c r="F829" s="68"/>
      <c r="G829" s="70"/>
      <c r="H829" s="68"/>
      <c r="I829" s="70"/>
    </row>
    <row r="830" customFormat="false" ht="15" hidden="false" customHeight="false" outlineLevel="0" collapsed="false">
      <c r="A830" s="70"/>
      <c r="B830" s="70"/>
      <c r="C830" s="70"/>
      <c r="D830" s="68"/>
      <c r="E830" s="68"/>
      <c r="F830" s="68"/>
      <c r="G830" s="70"/>
      <c r="H830" s="68"/>
      <c r="I830" s="70"/>
    </row>
    <row r="831" customFormat="false" ht="15" hidden="false" customHeight="false" outlineLevel="0" collapsed="false">
      <c r="A831" s="70"/>
      <c r="B831" s="70"/>
      <c r="C831" s="70"/>
      <c r="D831" s="68"/>
      <c r="E831" s="68"/>
      <c r="F831" s="68"/>
      <c r="G831" s="70"/>
      <c r="H831" s="68"/>
      <c r="I831" s="70"/>
    </row>
    <row r="832" customFormat="false" ht="15" hidden="false" customHeight="false" outlineLevel="0" collapsed="false">
      <c r="A832" s="70"/>
      <c r="B832" s="70"/>
      <c r="C832" s="70"/>
      <c r="D832" s="68"/>
      <c r="E832" s="68"/>
      <c r="F832" s="68"/>
      <c r="G832" s="70"/>
      <c r="H832" s="68"/>
      <c r="I832" s="70"/>
    </row>
    <row r="833" customFormat="false" ht="15" hidden="false" customHeight="false" outlineLevel="0" collapsed="false">
      <c r="A833" s="70"/>
      <c r="B833" s="70"/>
      <c r="C833" s="70"/>
      <c r="D833" s="68"/>
      <c r="E833" s="68"/>
      <c r="F833" s="68"/>
      <c r="G833" s="70"/>
      <c r="H833" s="68"/>
      <c r="I833" s="70"/>
    </row>
    <row r="834" customFormat="false" ht="15" hidden="false" customHeight="false" outlineLevel="0" collapsed="false">
      <c r="A834" s="70"/>
      <c r="B834" s="70"/>
      <c r="C834" s="70"/>
      <c r="D834" s="68"/>
      <c r="E834" s="68"/>
      <c r="F834" s="68"/>
      <c r="G834" s="70"/>
      <c r="H834" s="68"/>
      <c r="I834" s="70"/>
    </row>
    <row r="835" customFormat="false" ht="15" hidden="false" customHeight="false" outlineLevel="0" collapsed="false">
      <c r="A835" s="70"/>
      <c r="B835" s="70"/>
      <c r="C835" s="70"/>
      <c r="D835" s="68"/>
      <c r="E835" s="68"/>
      <c r="F835" s="68"/>
      <c r="G835" s="70"/>
      <c r="H835" s="68"/>
      <c r="I835" s="70"/>
    </row>
    <row r="836" customFormat="false" ht="15" hidden="false" customHeight="false" outlineLevel="0" collapsed="false">
      <c r="A836" s="70"/>
      <c r="B836" s="70"/>
      <c r="C836" s="70"/>
      <c r="D836" s="68"/>
      <c r="E836" s="68"/>
      <c r="F836" s="68"/>
      <c r="G836" s="70"/>
      <c r="H836" s="68"/>
      <c r="I836" s="70"/>
    </row>
    <row r="837" customFormat="false" ht="15" hidden="false" customHeight="false" outlineLevel="0" collapsed="false">
      <c r="A837" s="70"/>
      <c r="B837" s="70"/>
      <c r="C837" s="70"/>
      <c r="D837" s="68"/>
      <c r="E837" s="68"/>
      <c r="F837" s="68"/>
      <c r="G837" s="70"/>
      <c r="H837" s="68"/>
      <c r="I837" s="70"/>
    </row>
    <row r="838" customFormat="false" ht="15" hidden="false" customHeight="false" outlineLevel="0" collapsed="false">
      <c r="A838" s="70"/>
      <c r="B838" s="70"/>
      <c r="C838" s="70"/>
      <c r="D838" s="68"/>
      <c r="E838" s="68"/>
      <c r="F838" s="68"/>
      <c r="G838" s="70"/>
      <c r="H838" s="68"/>
      <c r="I838" s="70"/>
    </row>
    <row r="839" customFormat="false" ht="15" hidden="false" customHeight="false" outlineLevel="0" collapsed="false">
      <c r="A839" s="70"/>
      <c r="B839" s="70"/>
      <c r="C839" s="70"/>
      <c r="D839" s="68"/>
      <c r="E839" s="68"/>
      <c r="F839" s="68"/>
      <c r="G839" s="70"/>
      <c r="H839" s="68"/>
      <c r="I839" s="70"/>
    </row>
    <row r="840" customFormat="false" ht="15" hidden="false" customHeight="false" outlineLevel="0" collapsed="false">
      <c r="A840" s="70"/>
      <c r="B840" s="70"/>
      <c r="C840" s="70"/>
      <c r="D840" s="68"/>
      <c r="E840" s="68"/>
      <c r="F840" s="68"/>
      <c r="G840" s="70"/>
      <c r="H840" s="68"/>
      <c r="I840" s="70"/>
    </row>
    <row r="841" customFormat="false" ht="15" hidden="false" customHeight="false" outlineLevel="0" collapsed="false">
      <c r="A841" s="70"/>
      <c r="B841" s="70"/>
      <c r="C841" s="70"/>
      <c r="D841" s="68"/>
      <c r="E841" s="68"/>
      <c r="F841" s="68"/>
      <c r="G841" s="70"/>
      <c r="H841" s="68"/>
      <c r="I841" s="70"/>
    </row>
    <row r="842" customFormat="false" ht="15" hidden="false" customHeight="false" outlineLevel="0" collapsed="false">
      <c r="A842" s="70"/>
      <c r="B842" s="70"/>
      <c r="C842" s="70"/>
      <c r="D842" s="68"/>
      <c r="E842" s="68"/>
      <c r="F842" s="68"/>
      <c r="G842" s="70"/>
      <c r="H842" s="68"/>
      <c r="I842" s="70"/>
    </row>
    <row r="843" customFormat="false" ht="15" hidden="false" customHeight="false" outlineLevel="0" collapsed="false">
      <c r="A843" s="70"/>
      <c r="B843" s="70"/>
      <c r="C843" s="70"/>
      <c r="D843" s="68"/>
      <c r="E843" s="68"/>
      <c r="F843" s="68"/>
      <c r="G843" s="70"/>
      <c r="H843" s="68"/>
      <c r="I843" s="70"/>
    </row>
    <row r="844" customFormat="false" ht="15" hidden="false" customHeight="false" outlineLevel="0" collapsed="false">
      <c r="A844" s="70"/>
      <c r="B844" s="70"/>
      <c r="C844" s="70"/>
      <c r="D844" s="68"/>
      <c r="E844" s="68"/>
      <c r="F844" s="68"/>
      <c r="G844" s="70"/>
      <c r="H844" s="68"/>
      <c r="I844" s="70"/>
    </row>
    <row r="845" customFormat="false" ht="15" hidden="false" customHeight="false" outlineLevel="0" collapsed="false">
      <c r="A845" s="70"/>
      <c r="B845" s="70"/>
      <c r="C845" s="70"/>
      <c r="D845" s="68"/>
      <c r="E845" s="68"/>
      <c r="F845" s="68"/>
      <c r="G845" s="70"/>
      <c r="H845" s="68"/>
      <c r="I845" s="70"/>
    </row>
    <row r="846" customFormat="false" ht="15" hidden="false" customHeight="false" outlineLevel="0" collapsed="false">
      <c r="A846" s="70"/>
      <c r="B846" s="70"/>
      <c r="C846" s="70"/>
      <c r="D846" s="68"/>
      <c r="E846" s="68"/>
      <c r="F846" s="68"/>
      <c r="G846" s="70"/>
      <c r="H846" s="68"/>
      <c r="I846" s="70"/>
    </row>
    <row r="847" customFormat="false" ht="15" hidden="false" customHeight="false" outlineLevel="0" collapsed="false">
      <c r="A847" s="70"/>
      <c r="B847" s="70"/>
      <c r="C847" s="70"/>
      <c r="D847" s="68"/>
      <c r="E847" s="68"/>
      <c r="F847" s="68"/>
      <c r="G847" s="70"/>
      <c r="H847" s="68"/>
      <c r="I847" s="70"/>
    </row>
    <row r="848" customFormat="false" ht="15" hidden="false" customHeight="false" outlineLevel="0" collapsed="false">
      <c r="A848" s="70"/>
      <c r="B848" s="70"/>
      <c r="C848" s="70"/>
      <c r="D848" s="68"/>
      <c r="E848" s="68"/>
      <c r="F848" s="68"/>
      <c r="G848" s="70"/>
      <c r="H848" s="68"/>
      <c r="I848" s="70"/>
    </row>
    <row r="849" customFormat="false" ht="15" hidden="false" customHeight="false" outlineLevel="0" collapsed="false">
      <c r="A849" s="70"/>
      <c r="B849" s="70"/>
      <c r="C849" s="70"/>
      <c r="D849" s="68"/>
      <c r="E849" s="68"/>
      <c r="F849" s="68"/>
      <c r="G849" s="70"/>
      <c r="H849" s="68"/>
      <c r="I849" s="70"/>
    </row>
    <row r="850" customFormat="false" ht="15" hidden="false" customHeight="false" outlineLevel="0" collapsed="false">
      <c r="A850" s="70"/>
      <c r="B850" s="70"/>
      <c r="C850" s="70"/>
      <c r="D850" s="68"/>
      <c r="E850" s="68"/>
      <c r="F850" s="68"/>
      <c r="G850" s="70"/>
      <c r="H850" s="68"/>
      <c r="I850" s="70"/>
    </row>
    <row r="851" customFormat="false" ht="15" hidden="false" customHeight="false" outlineLevel="0" collapsed="false">
      <c r="A851" s="70"/>
      <c r="B851" s="70"/>
      <c r="C851" s="70"/>
      <c r="D851" s="68"/>
      <c r="E851" s="68"/>
      <c r="F851" s="68"/>
      <c r="G851" s="70"/>
      <c r="H851" s="68"/>
      <c r="I851" s="70"/>
    </row>
    <row r="852" customFormat="false" ht="15" hidden="false" customHeight="false" outlineLevel="0" collapsed="false">
      <c r="A852" s="70"/>
      <c r="B852" s="70"/>
      <c r="C852" s="70"/>
      <c r="D852" s="68"/>
      <c r="E852" s="68"/>
      <c r="F852" s="68"/>
      <c r="G852" s="70"/>
      <c r="H852" s="68"/>
      <c r="I852" s="70"/>
    </row>
    <row r="853" customFormat="false" ht="15" hidden="false" customHeight="false" outlineLevel="0" collapsed="false">
      <c r="A853" s="70"/>
      <c r="B853" s="70"/>
      <c r="C853" s="70"/>
      <c r="D853" s="68"/>
      <c r="E853" s="68"/>
      <c r="F853" s="68"/>
      <c r="G853" s="70"/>
      <c r="H853" s="68"/>
      <c r="I853" s="70"/>
    </row>
    <row r="854" customFormat="false" ht="15" hidden="false" customHeight="false" outlineLevel="0" collapsed="false">
      <c r="A854" s="70"/>
      <c r="B854" s="70"/>
      <c r="C854" s="70"/>
      <c r="D854" s="68"/>
      <c r="E854" s="68"/>
      <c r="F854" s="68"/>
      <c r="G854" s="70"/>
      <c r="H854" s="68"/>
      <c r="I854" s="70"/>
    </row>
    <row r="855" customFormat="false" ht="15" hidden="false" customHeight="false" outlineLevel="0" collapsed="false">
      <c r="A855" s="70"/>
      <c r="B855" s="70"/>
      <c r="C855" s="70"/>
      <c r="D855" s="68"/>
      <c r="E855" s="68"/>
      <c r="F855" s="68"/>
      <c r="G855" s="70"/>
      <c r="H855" s="68"/>
      <c r="I855" s="70"/>
    </row>
    <row r="856" customFormat="false" ht="15" hidden="false" customHeight="false" outlineLevel="0" collapsed="false">
      <c r="A856" s="70"/>
      <c r="B856" s="70"/>
      <c r="C856" s="70"/>
      <c r="D856" s="68"/>
      <c r="E856" s="68"/>
      <c r="F856" s="68"/>
      <c r="G856" s="70"/>
      <c r="H856" s="68"/>
      <c r="I856" s="70"/>
    </row>
    <row r="857" customFormat="false" ht="15" hidden="false" customHeight="false" outlineLevel="0" collapsed="false">
      <c r="A857" s="70"/>
      <c r="B857" s="70"/>
      <c r="C857" s="70"/>
      <c r="D857" s="68"/>
      <c r="E857" s="68"/>
      <c r="F857" s="68"/>
      <c r="G857" s="70"/>
      <c r="H857" s="68"/>
      <c r="I857" s="70"/>
    </row>
    <row r="858" customFormat="false" ht="15" hidden="false" customHeight="false" outlineLevel="0" collapsed="false">
      <c r="A858" s="70"/>
      <c r="B858" s="70"/>
      <c r="C858" s="70"/>
      <c r="D858" s="68"/>
      <c r="E858" s="68"/>
      <c r="F858" s="68"/>
      <c r="G858" s="70"/>
      <c r="H858" s="68"/>
      <c r="I858" s="70"/>
    </row>
    <row r="859" customFormat="false" ht="15" hidden="false" customHeight="false" outlineLevel="0" collapsed="false">
      <c r="A859" s="70"/>
      <c r="B859" s="70"/>
      <c r="C859" s="70"/>
      <c r="D859" s="68"/>
      <c r="E859" s="68"/>
      <c r="F859" s="68"/>
      <c r="G859" s="70"/>
      <c r="H859" s="68"/>
      <c r="I859" s="70"/>
    </row>
    <row r="860" customFormat="false" ht="15" hidden="false" customHeight="false" outlineLevel="0" collapsed="false">
      <c r="A860" s="70"/>
      <c r="B860" s="70"/>
      <c r="C860" s="70"/>
      <c r="D860" s="68"/>
      <c r="E860" s="68"/>
      <c r="F860" s="68"/>
      <c r="G860" s="70"/>
      <c r="H860" s="68"/>
      <c r="I860" s="70"/>
    </row>
    <row r="861" customFormat="false" ht="15" hidden="false" customHeight="false" outlineLevel="0" collapsed="false">
      <c r="A861" s="70"/>
      <c r="B861" s="70"/>
      <c r="C861" s="70"/>
      <c r="D861" s="68"/>
      <c r="E861" s="68"/>
      <c r="F861" s="68"/>
      <c r="G861" s="70"/>
      <c r="H861" s="68"/>
      <c r="I861" s="70"/>
    </row>
    <row r="862" customFormat="false" ht="15" hidden="false" customHeight="false" outlineLevel="0" collapsed="false">
      <c r="A862" s="70"/>
      <c r="B862" s="70"/>
      <c r="C862" s="70"/>
      <c r="D862" s="68"/>
      <c r="E862" s="68"/>
      <c r="F862" s="68"/>
      <c r="G862" s="70"/>
      <c r="H862" s="68"/>
      <c r="I862" s="70"/>
    </row>
    <row r="863" customFormat="false" ht="15" hidden="false" customHeight="false" outlineLevel="0" collapsed="false">
      <c r="A863" s="70"/>
      <c r="B863" s="70"/>
      <c r="C863" s="70"/>
      <c r="D863" s="68"/>
      <c r="E863" s="68"/>
      <c r="F863" s="68"/>
      <c r="G863" s="70"/>
      <c r="H863" s="68"/>
      <c r="I863" s="70"/>
    </row>
    <row r="864" customFormat="false" ht="15" hidden="false" customHeight="false" outlineLevel="0" collapsed="false">
      <c r="A864" s="70"/>
      <c r="B864" s="70"/>
      <c r="C864" s="70"/>
      <c r="D864" s="68"/>
      <c r="E864" s="68"/>
      <c r="F864" s="68"/>
      <c r="G864" s="70"/>
      <c r="H864" s="68"/>
      <c r="I864" s="70"/>
    </row>
    <row r="865" customFormat="false" ht="15" hidden="false" customHeight="false" outlineLevel="0" collapsed="false">
      <c r="A865" s="70"/>
      <c r="B865" s="70"/>
      <c r="C865" s="70"/>
      <c r="D865" s="68"/>
      <c r="E865" s="68"/>
      <c r="F865" s="68"/>
      <c r="G865" s="70"/>
      <c r="H865" s="68"/>
      <c r="I865" s="70"/>
    </row>
    <row r="866" customFormat="false" ht="15" hidden="false" customHeight="false" outlineLevel="0" collapsed="false">
      <c r="A866" s="70"/>
      <c r="B866" s="70"/>
      <c r="C866" s="70"/>
      <c r="D866" s="68"/>
      <c r="E866" s="68"/>
      <c r="F866" s="68"/>
      <c r="G866" s="70"/>
      <c r="H866" s="68"/>
      <c r="I866" s="70"/>
    </row>
    <row r="867" customFormat="false" ht="15" hidden="false" customHeight="false" outlineLevel="0" collapsed="false">
      <c r="A867" s="70"/>
      <c r="B867" s="70"/>
      <c r="C867" s="70"/>
      <c r="D867" s="68"/>
      <c r="E867" s="68"/>
      <c r="F867" s="68"/>
      <c r="G867" s="70"/>
      <c r="H867" s="68"/>
      <c r="I867" s="70"/>
    </row>
    <row r="868" customFormat="false" ht="15" hidden="false" customHeight="false" outlineLevel="0" collapsed="false">
      <c r="A868" s="70"/>
      <c r="B868" s="70"/>
      <c r="C868" s="70"/>
      <c r="D868" s="68"/>
      <c r="E868" s="68"/>
      <c r="F868" s="68"/>
      <c r="G868" s="70"/>
      <c r="H868" s="68"/>
      <c r="I868" s="70"/>
    </row>
    <row r="869" customFormat="false" ht="15" hidden="false" customHeight="false" outlineLevel="0" collapsed="false">
      <c r="A869" s="70"/>
      <c r="B869" s="70"/>
      <c r="C869" s="70"/>
      <c r="D869" s="68"/>
      <c r="E869" s="68"/>
      <c r="F869" s="68"/>
      <c r="G869" s="70"/>
      <c r="H869" s="68"/>
      <c r="I869" s="70"/>
    </row>
    <row r="870" customFormat="false" ht="15" hidden="false" customHeight="false" outlineLevel="0" collapsed="false">
      <c r="A870" s="70"/>
      <c r="B870" s="70"/>
      <c r="C870" s="70"/>
      <c r="D870" s="68"/>
      <c r="E870" s="68"/>
      <c r="F870" s="68"/>
      <c r="G870" s="70"/>
      <c r="H870" s="68"/>
      <c r="I870" s="70"/>
    </row>
    <row r="871" customFormat="false" ht="15" hidden="false" customHeight="false" outlineLevel="0" collapsed="false">
      <c r="A871" s="70"/>
      <c r="B871" s="70"/>
      <c r="C871" s="70"/>
      <c r="D871" s="68"/>
      <c r="E871" s="68"/>
      <c r="F871" s="68"/>
      <c r="G871" s="70"/>
      <c r="H871" s="68"/>
      <c r="I871" s="70"/>
    </row>
    <row r="872" customFormat="false" ht="15" hidden="false" customHeight="false" outlineLevel="0" collapsed="false">
      <c r="A872" s="70"/>
      <c r="B872" s="70"/>
      <c r="C872" s="70"/>
      <c r="D872" s="68"/>
      <c r="E872" s="68"/>
      <c r="F872" s="68"/>
      <c r="G872" s="70"/>
      <c r="H872" s="68"/>
      <c r="I872" s="70"/>
    </row>
    <row r="873" customFormat="false" ht="15" hidden="false" customHeight="false" outlineLevel="0" collapsed="false">
      <c r="A873" s="70"/>
      <c r="B873" s="70"/>
      <c r="C873" s="70"/>
      <c r="D873" s="68"/>
      <c r="E873" s="68"/>
      <c r="F873" s="68"/>
      <c r="G873" s="70"/>
      <c r="H873" s="68"/>
      <c r="I873" s="70"/>
    </row>
    <row r="874" customFormat="false" ht="15" hidden="false" customHeight="false" outlineLevel="0" collapsed="false">
      <c r="A874" s="70"/>
      <c r="B874" s="70"/>
      <c r="C874" s="70"/>
      <c r="D874" s="68"/>
      <c r="E874" s="68"/>
      <c r="F874" s="68"/>
      <c r="G874" s="70"/>
      <c r="H874" s="68"/>
      <c r="I874" s="70"/>
    </row>
    <row r="875" customFormat="false" ht="15" hidden="false" customHeight="false" outlineLevel="0" collapsed="false">
      <c r="A875" s="70"/>
      <c r="B875" s="70"/>
      <c r="C875" s="70"/>
      <c r="D875" s="68"/>
      <c r="E875" s="68"/>
      <c r="F875" s="68"/>
      <c r="G875" s="70"/>
      <c r="H875" s="68"/>
      <c r="I875" s="70"/>
    </row>
    <row r="876" customFormat="false" ht="15" hidden="false" customHeight="false" outlineLevel="0" collapsed="false">
      <c r="A876" s="70"/>
      <c r="B876" s="70"/>
      <c r="C876" s="70"/>
      <c r="D876" s="68"/>
      <c r="E876" s="68"/>
      <c r="F876" s="68"/>
      <c r="G876" s="70"/>
      <c r="H876" s="68"/>
      <c r="I876" s="70"/>
    </row>
    <row r="877" customFormat="false" ht="15" hidden="false" customHeight="false" outlineLevel="0" collapsed="false">
      <c r="A877" s="70"/>
      <c r="B877" s="70"/>
      <c r="C877" s="70"/>
      <c r="D877" s="68"/>
      <c r="E877" s="68"/>
      <c r="F877" s="68"/>
      <c r="G877" s="70"/>
      <c r="H877" s="68"/>
      <c r="I877" s="70"/>
    </row>
    <row r="878" customFormat="false" ht="15" hidden="false" customHeight="false" outlineLevel="0" collapsed="false">
      <c r="A878" s="70"/>
      <c r="B878" s="70"/>
      <c r="C878" s="70"/>
      <c r="D878" s="68"/>
      <c r="E878" s="68"/>
      <c r="F878" s="68"/>
      <c r="G878" s="70"/>
      <c r="H878" s="68"/>
      <c r="I878" s="70"/>
    </row>
    <row r="879" customFormat="false" ht="15" hidden="false" customHeight="false" outlineLevel="0" collapsed="false">
      <c r="A879" s="70"/>
      <c r="B879" s="70"/>
      <c r="C879" s="70"/>
      <c r="D879" s="68"/>
      <c r="E879" s="68"/>
      <c r="F879" s="68"/>
      <c r="G879" s="70"/>
      <c r="H879" s="68"/>
      <c r="I879" s="70"/>
    </row>
    <row r="880" customFormat="false" ht="15" hidden="false" customHeight="false" outlineLevel="0" collapsed="false">
      <c r="A880" s="70"/>
      <c r="B880" s="70"/>
      <c r="C880" s="70"/>
      <c r="D880" s="68"/>
      <c r="E880" s="68"/>
      <c r="F880" s="68"/>
      <c r="G880" s="70"/>
      <c r="H880" s="68"/>
      <c r="I880" s="70"/>
    </row>
    <row r="881" customFormat="false" ht="15" hidden="false" customHeight="false" outlineLevel="0" collapsed="false">
      <c r="A881" s="70"/>
      <c r="B881" s="70"/>
      <c r="C881" s="70"/>
      <c r="D881" s="68"/>
      <c r="E881" s="68"/>
      <c r="F881" s="68"/>
      <c r="G881" s="70"/>
      <c r="H881" s="68"/>
      <c r="I881" s="70"/>
    </row>
    <row r="882" customFormat="false" ht="15" hidden="false" customHeight="false" outlineLevel="0" collapsed="false">
      <c r="A882" s="70"/>
      <c r="B882" s="70"/>
      <c r="C882" s="70"/>
      <c r="D882" s="68"/>
      <c r="E882" s="68"/>
      <c r="F882" s="68"/>
      <c r="G882" s="70"/>
      <c r="H882" s="68"/>
      <c r="I882" s="70"/>
    </row>
    <row r="883" customFormat="false" ht="15" hidden="false" customHeight="false" outlineLevel="0" collapsed="false">
      <c r="A883" s="70"/>
      <c r="B883" s="70"/>
      <c r="C883" s="70"/>
      <c r="D883" s="68"/>
      <c r="E883" s="68"/>
      <c r="F883" s="68"/>
      <c r="G883" s="70"/>
      <c r="H883" s="68"/>
      <c r="I883" s="70"/>
    </row>
    <row r="884" customFormat="false" ht="15" hidden="false" customHeight="false" outlineLevel="0" collapsed="false">
      <c r="A884" s="70"/>
      <c r="B884" s="70"/>
      <c r="C884" s="70"/>
      <c r="D884" s="68"/>
      <c r="E884" s="68"/>
      <c r="F884" s="68"/>
      <c r="G884" s="70"/>
      <c r="H884" s="68"/>
      <c r="I884" s="70"/>
    </row>
    <row r="885" customFormat="false" ht="15" hidden="false" customHeight="false" outlineLevel="0" collapsed="false">
      <c r="A885" s="70"/>
      <c r="B885" s="70"/>
      <c r="C885" s="70"/>
      <c r="D885" s="68"/>
      <c r="E885" s="68"/>
      <c r="F885" s="68"/>
      <c r="G885" s="70"/>
      <c r="H885" s="68"/>
      <c r="I885" s="70"/>
    </row>
    <row r="886" customFormat="false" ht="15" hidden="false" customHeight="false" outlineLevel="0" collapsed="false">
      <c r="A886" s="70"/>
      <c r="B886" s="70"/>
      <c r="C886" s="70"/>
      <c r="D886" s="68"/>
      <c r="E886" s="68"/>
      <c r="F886" s="68"/>
      <c r="G886" s="70"/>
      <c r="H886" s="68"/>
      <c r="I886" s="70"/>
    </row>
    <row r="887" customFormat="false" ht="15" hidden="false" customHeight="false" outlineLevel="0" collapsed="false">
      <c r="A887" s="70"/>
      <c r="B887" s="70"/>
      <c r="C887" s="70"/>
      <c r="D887" s="68"/>
      <c r="E887" s="68"/>
      <c r="F887" s="68"/>
      <c r="G887" s="70"/>
      <c r="H887" s="68"/>
      <c r="I887" s="70"/>
    </row>
    <row r="888" customFormat="false" ht="15" hidden="false" customHeight="false" outlineLevel="0" collapsed="false">
      <c r="A888" s="70"/>
      <c r="B888" s="70"/>
      <c r="C888" s="70"/>
      <c r="D888" s="68"/>
      <c r="E888" s="68"/>
      <c r="F888" s="68"/>
      <c r="G888" s="70"/>
      <c r="H888" s="68"/>
      <c r="I888" s="70"/>
    </row>
    <row r="889" customFormat="false" ht="15" hidden="false" customHeight="false" outlineLevel="0" collapsed="false">
      <c r="A889" s="70"/>
      <c r="B889" s="70"/>
      <c r="C889" s="70"/>
      <c r="D889" s="68"/>
      <c r="E889" s="68"/>
      <c r="F889" s="68"/>
      <c r="G889" s="70"/>
      <c r="H889" s="68"/>
      <c r="I889" s="70"/>
    </row>
    <row r="890" customFormat="false" ht="15" hidden="false" customHeight="false" outlineLevel="0" collapsed="false">
      <c r="A890" s="70"/>
      <c r="B890" s="70"/>
      <c r="C890" s="70"/>
      <c r="D890" s="68"/>
      <c r="E890" s="68"/>
      <c r="F890" s="68"/>
      <c r="G890" s="70"/>
      <c r="H890" s="68"/>
      <c r="I890" s="70"/>
    </row>
    <row r="891" customFormat="false" ht="15" hidden="false" customHeight="false" outlineLevel="0" collapsed="false">
      <c r="A891" s="70"/>
      <c r="B891" s="70"/>
      <c r="C891" s="70"/>
      <c r="D891" s="68"/>
      <c r="E891" s="68"/>
      <c r="F891" s="68"/>
      <c r="G891" s="70"/>
      <c r="H891" s="68"/>
      <c r="I891" s="70"/>
    </row>
    <row r="892" customFormat="false" ht="15" hidden="false" customHeight="false" outlineLevel="0" collapsed="false">
      <c r="A892" s="70"/>
      <c r="B892" s="70"/>
      <c r="C892" s="70"/>
      <c r="D892" s="68"/>
      <c r="E892" s="68"/>
      <c r="F892" s="68"/>
      <c r="G892" s="70"/>
      <c r="H892" s="68"/>
      <c r="I892" s="70"/>
    </row>
    <row r="893" customFormat="false" ht="15" hidden="false" customHeight="false" outlineLevel="0" collapsed="false">
      <c r="A893" s="70"/>
      <c r="B893" s="70"/>
      <c r="C893" s="70"/>
      <c r="D893" s="68"/>
      <c r="E893" s="68"/>
      <c r="F893" s="68"/>
      <c r="G893" s="70"/>
      <c r="H893" s="68"/>
      <c r="I893" s="70"/>
    </row>
    <row r="894" customFormat="false" ht="15" hidden="false" customHeight="false" outlineLevel="0" collapsed="false">
      <c r="A894" s="70"/>
      <c r="B894" s="70"/>
      <c r="C894" s="70"/>
      <c r="D894" s="68"/>
      <c r="E894" s="68"/>
      <c r="F894" s="68"/>
      <c r="G894" s="70"/>
      <c r="H894" s="68"/>
      <c r="I894" s="70"/>
    </row>
    <row r="895" customFormat="false" ht="15" hidden="false" customHeight="false" outlineLevel="0" collapsed="false">
      <c r="A895" s="70"/>
      <c r="B895" s="70"/>
      <c r="C895" s="70"/>
      <c r="D895" s="68"/>
      <c r="E895" s="68"/>
      <c r="F895" s="68"/>
      <c r="G895" s="70"/>
      <c r="H895" s="68"/>
      <c r="I895" s="70"/>
    </row>
    <row r="896" customFormat="false" ht="15" hidden="false" customHeight="false" outlineLevel="0" collapsed="false">
      <c r="A896" s="70"/>
      <c r="B896" s="70"/>
      <c r="C896" s="70"/>
      <c r="D896" s="68"/>
      <c r="E896" s="68"/>
      <c r="F896" s="68"/>
      <c r="G896" s="70"/>
      <c r="H896" s="68"/>
      <c r="I896" s="70"/>
    </row>
    <row r="897" customFormat="false" ht="15" hidden="false" customHeight="false" outlineLevel="0" collapsed="false">
      <c r="A897" s="70"/>
      <c r="B897" s="70"/>
      <c r="C897" s="70"/>
      <c r="D897" s="68"/>
      <c r="E897" s="68"/>
      <c r="F897" s="68"/>
      <c r="G897" s="70"/>
      <c r="H897" s="68"/>
      <c r="I897" s="70"/>
    </row>
    <row r="898" customFormat="false" ht="15" hidden="false" customHeight="false" outlineLevel="0" collapsed="false">
      <c r="A898" s="70"/>
      <c r="B898" s="70"/>
      <c r="C898" s="70"/>
      <c r="D898" s="68"/>
      <c r="E898" s="68"/>
      <c r="F898" s="68"/>
      <c r="G898" s="70"/>
      <c r="H898" s="68"/>
      <c r="I898" s="70"/>
    </row>
    <row r="899" customFormat="false" ht="15" hidden="false" customHeight="false" outlineLevel="0" collapsed="false">
      <c r="A899" s="70"/>
      <c r="B899" s="70"/>
      <c r="C899" s="70"/>
      <c r="D899" s="68"/>
      <c r="E899" s="68"/>
      <c r="F899" s="68"/>
      <c r="G899" s="70"/>
      <c r="H899" s="68"/>
      <c r="I899" s="70"/>
    </row>
    <row r="900" customFormat="false" ht="15" hidden="false" customHeight="false" outlineLevel="0" collapsed="false">
      <c r="A900" s="70"/>
      <c r="B900" s="70"/>
      <c r="C900" s="70"/>
      <c r="D900" s="68"/>
      <c r="E900" s="68"/>
      <c r="F900" s="68"/>
      <c r="G900" s="70"/>
      <c r="H900" s="68"/>
      <c r="I900" s="70"/>
    </row>
    <row r="901" customFormat="false" ht="15" hidden="false" customHeight="false" outlineLevel="0" collapsed="false">
      <c r="A901" s="70"/>
      <c r="B901" s="70"/>
      <c r="C901" s="70"/>
      <c r="D901" s="68"/>
      <c r="E901" s="68"/>
      <c r="F901" s="68"/>
      <c r="G901" s="70"/>
      <c r="H901" s="68"/>
      <c r="I901" s="70"/>
    </row>
    <row r="902" customFormat="false" ht="15" hidden="false" customHeight="false" outlineLevel="0" collapsed="false">
      <c r="A902" s="70"/>
      <c r="B902" s="70"/>
      <c r="C902" s="70"/>
      <c r="D902" s="68"/>
      <c r="E902" s="68"/>
      <c r="F902" s="68"/>
      <c r="G902" s="70"/>
      <c r="H902" s="68"/>
      <c r="I902" s="70"/>
    </row>
    <row r="903" customFormat="false" ht="15" hidden="false" customHeight="false" outlineLevel="0" collapsed="false">
      <c r="A903" s="70"/>
      <c r="B903" s="70"/>
      <c r="C903" s="70"/>
      <c r="D903" s="68"/>
      <c r="E903" s="68"/>
      <c r="F903" s="68"/>
      <c r="G903" s="70"/>
      <c r="H903" s="68"/>
      <c r="I903" s="70"/>
    </row>
    <row r="904" customFormat="false" ht="15" hidden="false" customHeight="false" outlineLevel="0" collapsed="false">
      <c r="A904" s="70"/>
      <c r="B904" s="70"/>
      <c r="C904" s="70"/>
      <c r="D904" s="68"/>
      <c r="E904" s="68"/>
      <c r="F904" s="68"/>
      <c r="G904" s="70"/>
      <c r="H904" s="68"/>
      <c r="I904" s="70"/>
    </row>
    <row r="905" customFormat="false" ht="15" hidden="false" customHeight="false" outlineLevel="0" collapsed="false">
      <c r="A905" s="70"/>
      <c r="B905" s="70"/>
      <c r="C905" s="70"/>
      <c r="D905" s="68"/>
      <c r="E905" s="68"/>
      <c r="F905" s="68"/>
      <c r="G905" s="70"/>
      <c r="H905" s="68"/>
      <c r="I905" s="70"/>
    </row>
    <row r="906" customFormat="false" ht="15" hidden="false" customHeight="false" outlineLevel="0" collapsed="false">
      <c r="A906" s="70"/>
      <c r="B906" s="70"/>
      <c r="C906" s="70"/>
      <c r="D906" s="68"/>
      <c r="E906" s="68"/>
      <c r="F906" s="68"/>
      <c r="G906" s="70"/>
      <c r="H906" s="68"/>
      <c r="I906" s="70"/>
    </row>
    <row r="907" customFormat="false" ht="15" hidden="false" customHeight="false" outlineLevel="0" collapsed="false">
      <c r="A907" s="70"/>
      <c r="B907" s="70"/>
      <c r="C907" s="70"/>
      <c r="D907" s="68"/>
      <c r="E907" s="68"/>
      <c r="F907" s="68"/>
      <c r="G907" s="70"/>
      <c r="H907" s="68"/>
      <c r="I907" s="70"/>
    </row>
    <row r="908" customFormat="false" ht="15" hidden="false" customHeight="false" outlineLevel="0" collapsed="false">
      <c r="A908" s="70"/>
      <c r="B908" s="70"/>
      <c r="C908" s="70"/>
      <c r="D908" s="68"/>
      <c r="E908" s="68"/>
      <c r="F908" s="68"/>
      <c r="G908" s="70"/>
      <c r="H908" s="68"/>
      <c r="I908" s="70"/>
    </row>
    <row r="909" customFormat="false" ht="15" hidden="false" customHeight="false" outlineLevel="0" collapsed="false">
      <c r="A909" s="70"/>
      <c r="B909" s="70"/>
      <c r="C909" s="70"/>
      <c r="D909" s="68"/>
      <c r="E909" s="68"/>
      <c r="F909" s="68"/>
      <c r="G909" s="70"/>
      <c r="H909" s="68"/>
      <c r="I909" s="70"/>
    </row>
    <row r="910" customFormat="false" ht="15" hidden="false" customHeight="false" outlineLevel="0" collapsed="false">
      <c r="A910" s="70"/>
      <c r="B910" s="70"/>
      <c r="C910" s="70"/>
      <c r="D910" s="68"/>
      <c r="E910" s="68"/>
      <c r="F910" s="68"/>
      <c r="G910" s="70"/>
      <c r="H910" s="68"/>
      <c r="I910" s="70"/>
    </row>
    <row r="911" customFormat="false" ht="15" hidden="false" customHeight="false" outlineLevel="0" collapsed="false">
      <c r="A911" s="70"/>
      <c r="B911" s="70"/>
      <c r="C911" s="70"/>
      <c r="D911" s="68"/>
      <c r="E911" s="68"/>
      <c r="F911" s="68"/>
      <c r="G911" s="70"/>
      <c r="H911" s="68"/>
      <c r="I911" s="70"/>
    </row>
    <row r="912" customFormat="false" ht="15" hidden="false" customHeight="false" outlineLevel="0" collapsed="false">
      <c r="A912" s="70"/>
      <c r="B912" s="70"/>
      <c r="C912" s="70"/>
      <c r="D912" s="68"/>
      <c r="E912" s="68"/>
      <c r="F912" s="68"/>
      <c r="G912" s="70"/>
      <c r="H912" s="68"/>
      <c r="I912" s="70"/>
    </row>
    <row r="913" customFormat="false" ht="15" hidden="false" customHeight="false" outlineLevel="0" collapsed="false">
      <c r="A913" s="70"/>
      <c r="B913" s="70"/>
      <c r="C913" s="70"/>
      <c r="D913" s="68"/>
      <c r="E913" s="68"/>
      <c r="F913" s="68"/>
      <c r="G913" s="70"/>
      <c r="H913" s="68"/>
      <c r="I913" s="70"/>
    </row>
    <row r="914" customFormat="false" ht="15" hidden="false" customHeight="false" outlineLevel="0" collapsed="false">
      <c r="A914" s="70"/>
      <c r="B914" s="70"/>
      <c r="C914" s="70"/>
      <c r="D914" s="68"/>
      <c r="E914" s="68"/>
      <c r="F914" s="68"/>
      <c r="G914" s="70"/>
      <c r="H914" s="68"/>
      <c r="I914" s="70"/>
    </row>
    <row r="915" customFormat="false" ht="15" hidden="false" customHeight="false" outlineLevel="0" collapsed="false">
      <c r="A915" s="70"/>
      <c r="B915" s="70"/>
      <c r="C915" s="70"/>
      <c r="D915" s="68"/>
      <c r="E915" s="68"/>
      <c r="F915" s="68"/>
      <c r="G915" s="70"/>
      <c r="H915" s="68"/>
      <c r="I915" s="70"/>
    </row>
    <row r="916" customFormat="false" ht="15" hidden="false" customHeight="false" outlineLevel="0" collapsed="false">
      <c r="A916" s="70"/>
      <c r="B916" s="70"/>
      <c r="C916" s="70"/>
      <c r="D916" s="68"/>
      <c r="E916" s="68"/>
      <c r="F916" s="68"/>
      <c r="G916" s="70"/>
      <c r="H916" s="68"/>
      <c r="I916" s="70"/>
    </row>
    <row r="917" customFormat="false" ht="15" hidden="false" customHeight="false" outlineLevel="0" collapsed="false">
      <c r="A917" s="70"/>
      <c r="B917" s="70"/>
      <c r="C917" s="70"/>
      <c r="D917" s="68"/>
      <c r="E917" s="68"/>
      <c r="F917" s="68"/>
      <c r="G917" s="70"/>
      <c r="H917" s="68"/>
      <c r="I917" s="70"/>
    </row>
    <row r="918" customFormat="false" ht="15" hidden="false" customHeight="false" outlineLevel="0" collapsed="false">
      <c r="A918" s="70"/>
      <c r="B918" s="70"/>
      <c r="C918" s="70"/>
      <c r="D918" s="68"/>
      <c r="E918" s="68"/>
      <c r="F918" s="68"/>
      <c r="G918" s="70"/>
      <c r="H918" s="68"/>
      <c r="I918" s="70"/>
    </row>
    <row r="919" customFormat="false" ht="15" hidden="false" customHeight="false" outlineLevel="0" collapsed="false">
      <c r="A919" s="70"/>
      <c r="B919" s="70"/>
      <c r="C919" s="70"/>
      <c r="D919" s="68"/>
      <c r="E919" s="68"/>
      <c r="F919" s="68"/>
      <c r="G919" s="70"/>
      <c r="H919" s="68"/>
      <c r="I919" s="70"/>
    </row>
    <row r="920" customFormat="false" ht="15" hidden="false" customHeight="false" outlineLevel="0" collapsed="false">
      <c r="A920" s="70"/>
      <c r="B920" s="70"/>
      <c r="C920" s="70"/>
      <c r="D920" s="68"/>
      <c r="E920" s="68"/>
      <c r="F920" s="68"/>
      <c r="G920" s="70"/>
      <c r="H920" s="68"/>
      <c r="I920" s="70"/>
    </row>
    <row r="921" customFormat="false" ht="15" hidden="false" customHeight="false" outlineLevel="0" collapsed="false">
      <c r="A921" s="70"/>
      <c r="B921" s="70"/>
      <c r="C921" s="70"/>
      <c r="D921" s="68"/>
      <c r="E921" s="68"/>
      <c r="F921" s="68"/>
      <c r="G921" s="70"/>
      <c r="H921" s="68"/>
      <c r="I921" s="70"/>
    </row>
    <row r="922" customFormat="false" ht="15" hidden="false" customHeight="false" outlineLevel="0" collapsed="false">
      <c r="A922" s="70"/>
      <c r="B922" s="70"/>
      <c r="C922" s="70"/>
      <c r="D922" s="68"/>
      <c r="E922" s="68"/>
      <c r="F922" s="68"/>
      <c r="G922" s="70"/>
      <c r="H922" s="68"/>
      <c r="I922" s="70"/>
    </row>
    <row r="923" customFormat="false" ht="15" hidden="false" customHeight="false" outlineLevel="0" collapsed="false">
      <c r="A923" s="70"/>
      <c r="B923" s="70"/>
      <c r="C923" s="70"/>
      <c r="D923" s="68"/>
      <c r="E923" s="68"/>
      <c r="F923" s="68"/>
      <c r="G923" s="70"/>
      <c r="H923" s="68"/>
      <c r="I923" s="70"/>
    </row>
    <row r="924" customFormat="false" ht="15" hidden="false" customHeight="false" outlineLevel="0" collapsed="false">
      <c r="A924" s="70"/>
      <c r="B924" s="70"/>
      <c r="C924" s="70"/>
      <c r="D924" s="68"/>
      <c r="E924" s="68"/>
      <c r="F924" s="68"/>
      <c r="G924" s="70"/>
      <c r="H924" s="68"/>
      <c r="I924" s="70"/>
    </row>
    <row r="925" customFormat="false" ht="15" hidden="false" customHeight="false" outlineLevel="0" collapsed="false">
      <c r="A925" s="70"/>
      <c r="B925" s="70"/>
      <c r="C925" s="70"/>
      <c r="D925" s="68"/>
      <c r="E925" s="68"/>
      <c r="F925" s="68"/>
      <c r="G925" s="70"/>
      <c r="H925" s="68"/>
      <c r="I925" s="70"/>
    </row>
    <row r="926" customFormat="false" ht="15" hidden="false" customHeight="false" outlineLevel="0" collapsed="false">
      <c r="A926" s="70"/>
      <c r="B926" s="70"/>
      <c r="C926" s="70"/>
      <c r="D926" s="68"/>
      <c r="E926" s="68"/>
      <c r="F926" s="68"/>
      <c r="G926" s="70"/>
      <c r="H926" s="68"/>
      <c r="I926" s="70"/>
    </row>
    <row r="927" customFormat="false" ht="15" hidden="false" customHeight="false" outlineLevel="0" collapsed="false">
      <c r="A927" s="70"/>
      <c r="B927" s="70"/>
      <c r="C927" s="70"/>
      <c r="D927" s="68"/>
      <c r="E927" s="68"/>
      <c r="F927" s="68"/>
      <c r="G927" s="70"/>
      <c r="H927" s="68"/>
      <c r="I927" s="70"/>
    </row>
    <row r="928" customFormat="false" ht="15" hidden="false" customHeight="false" outlineLevel="0" collapsed="false">
      <c r="A928" s="70"/>
      <c r="B928" s="70"/>
      <c r="C928" s="70"/>
      <c r="D928" s="68"/>
      <c r="E928" s="68"/>
      <c r="F928" s="68"/>
      <c r="G928" s="70"/>
      <c r="H928" s="68"/>
      <c r="I928" s="70"/>
    </row>
    <row r="929" customFormat="false" ht="15" hidden="false" customHeight="false" outlineLevel="0" collapsed="false">
      <c r="A929" s="70"/>
      <c r="B929" s="70"/>
      <c r="C929" s="70"/>
      <c r="D929" s="68"/>
      <c r="E929" s="68"/>
      <c r="F929" s="68"/>
      <c r="G929" s="70"/>
      <c r="H929" s="68"/>
      <c r="I929" s="70"/>
    </row>
    <row r="930" customFormat="false" ht="15" hidden="false" customHeight="false" outlineLevel="0" collapsed="false">
      <c r="A930" s="70"/>
      <c r="B930" s="70"/>
      <c r="C930" s="70"/>
      <c r="D930" s="68"/>
      <c r="E930" s="68"/>
      <c r="F930" s="68"/>
      <c r="G930" s="70"/>
      <c r="H930" s="68"/>
      <c r="I930" s="70"/>
    </row>
    <row r="931" customFormat="false" ht="15" hidden="false" customHeight="false" outlineLevel="0" collapsed="false">
      <c r="A931" s="70"/>
      <c r="B931" s="70"/>
      <c r="C931" s="70"/>
      <c r="D931" s="68"/>
      <c r="E931" s="68"/>
      <c r="F931" s="68"/>
      <c r="G931" s="70"/>
      <c r="H931" s="68"/>
      <c r="I931" s="70"/>
    </row>
    <row r="932" customFormat="false" ht="15" hidden="false" customHeight="false" outlineLevel="0" collapsed="false">
      <c r="A932" s="70"/>
      <c r="B932" s="70"/>
      <c r="C932" s="70"/>
      <c r="D932" s="68"/>
      <c r="E932" s="68"/>
      <c r="F932" s="68"/>
      <c r="G932" s="70"/>
      <c r="H932" s="68"/>
      <c r="I932" s="70"/>
    </row>
    <row r="933" customFormat="false" ht="15" hidden="false" customHeight="false" outlineLevel="0" collapsed="false">
      <c r="A933" s="70"/>
      <c r="B933" s="70"/>
      <c r="C933" s="70"/>
      <c r="D933" s="68"/>
      <c r="E933" s="68"/>
      <c r="F933" s="68"/>
      <c r="G933" s="70"/>
      <c r="H933" s="68"/>
      <c r="I933" s="70"/>
    </row>
    <row r="934" customFormat="false" ht="15" hidden="false" customHeight="false" outlineLevel="0" collapsed="false">
      <c r="A934" s="70"/>
      <c r="B934" s="70"/>
      <c r="C934" s="70"/>
      <c r="D934" s="68"/>
      <c r="E934" s="68"/>
      <c r="F934" s="68"/>
      <c r="G934" s="70"/>
      <c r="H934" s="68"/>
      <c r="I934" s="70"/>
    </row>
    <row r="935" customFormat="false" ht="15" hidden="false" customHeight="false" outlineLevel="0" collapsed="false">
      <c r="A935" s="70"/>
      <c r="B935" s="70"/>
      <c r="C935" s="70"/>
      <c r="D935" s="68"/>
      <c r="E935" s="68"/>
      <c r="F935" s="68"/>
      <c r="G935" s="70"/>
      <c r="H935" s="68"/>
      <c r="I935" s="70"/>
    </row>
    <row r="936" customFormat="false" ht="15" hidden="false" customHeight="false" outlineLevel="0" collapsed="false">
      <c r="A936" s="70"/>
      <c r="B936" s="70"/>
      <c r="C936" s="70"/>
      <c r="D936" s="68"/>
      <c r="E936" s="68"/>
      <c r="F936" s="68"/>
      <c r="G936" s="70"/>
      <c r="H936" s="68"/>
      <c r="I936" s="70"/>
    </row>
    <row r="937" customFormat="false" ht="15" hidden="false" customHeight="false" outlineLevel="0" collapsed="false">
      <c r="A937" s="70"/>
      <c r="B937" s="70"/>
      <c r="C937" s="70"/>
      <c r="D937" s="68"/>
      <c r="E937" s="68"/>
      <c r="F937" s="68"/>
      <c r="G937" s="70"/>
      <c r="H937" s="68"/>
      <c r="I937" s="70"/>
    </row>
    <row r="938" customFormat="false" ht="15" hidden="false" customHeight="false" outlineLevel="0" collapsed="false">
      <c r="A938" s="70"/>
      <c r="B938" s="70"/>
      <c r="C938" s="70"/>
      <c r="D938" s="68"/>
      <c r="E938" s="68"/>
      <c r="F938" s="68"/>
      <c r="G938" s="70"/>
      <c r="H938" s="68"/>
      <c r="I938" s="70"/>
    </row>
    <row r="939" customFormat="false" ht="15" hidden="false" customHeight="false" outlineLevel="0" collapsed="false">
      <c r="A939" s="70"/>
      <c r="B939" s="70"/>
      <c r="C939" s="70"/>
      <c r="D939" s="68"/>
      <c r="E939" s="68"/>
      <c r="F939" s="68"/>
      <c r="G939" s="70"/>
      <c r="H939" s="68"/>
      <c r="I939" s="70"/>
    </row>
    <row r="940" customFormat="false" ht="15" hidden="false" customHeight="false" outlineLevel="0" collapsed="false">
      <c r="A940" s="70"/>
      <c r="B940" s="70"/>
      <c r="C940" s="70"/>
      <c r="D940" s="68"/>
      <c r="E940" s="68"/>
      <c r="F940" s="68"/>
      <c r="G940" s="70"/>
      <c r="H940" s="68"/>
      <c r="I940" s="70"/>
    </row>
    <row r="941" customFormat="false" ht="15" hidden="false" customHeight="false" outlineLevel="0" collapsed="false">
      <c r="A941" s="70"/>
      <c r="B941" s="70"/>
      <c r="C941" s="70"/>
      <c r="D941" s="68"/>
      <c r="E941" s="68"/>
      <c r="F941" s="68"/>
      <c r="G941" s="70"/>
      <c r="H941" s="68"/>
      <c r="I941" s="70"/>
    </row>
    <row r="942" customFormat="false" ht="15" hidden="false" customHeight="false" outlineLevel="0" collapsed="false">
      <c r="A942" s="70"/>
      <c r="B942" s="70"/>
      <c r="C942" s="70"/>
      <c r="D942" s="68"/>
      <c r="E942" s="68"/>
      <c r="F942" s="68"/>
      <c r="G942" s="70"/>
      <c r="H942" s="68"/>
      <c r="I942" s="70"/>
    </row>
    <row r="943" customFormat="false" ht="15" hidden="false" customHeight="false" outlineLevel="0" collapsed="false">
      <c r="A943" s="70"/>
      <c r="B943" s="70"/>
      <c r="C943" s="70"/>
      <c r="D943" s="68"/>
      <c r="E943" s="68"/>
      <c r="F943" s="68"/>
      <c r="G943" s="70"/>
      <c r="H943" s="68"/>
      <c r="I943" s="70"/>
    </row>
    <row r="944" customFormat="false" ht="15" hidden="false" customHeight="false" outlineLevel="0" collapsed="false">
      <c r="A944" s="70"/>
      <c r="B944" s="70"/>
      <c r="C944" s="70"/>
      <c r="D944" s="68"/>
      <c r="E944" s="68"/>
      <c r="F944" s="68"/>
      <c r="G944" s="70"/>
      <c r="H944" s="68"/>
      <c r="I944" s="70"/>
    </row>
    <row r="945" customFormat="false" ht="15" hidden="false" customHeight="false" outlineLevel="0" collapsed="false">
      <c r="A945" s="70"/>
      <c r="B945" s="70"/>
      <c r="C945" s="70"/>
      <c r="D945" s="68"/>
      <c r="E945" s="68"/>
      <c r="F945" s="68"/>
      <c r="G945" s="70"/>
      <c r="H945" s="68"/>
      <c r="I945" s="70"/>
    </row>
    <row r="946" customFormat="false" ht="15" hidden="false" customHeight="false" outlineLevel="0" collapsed="false">
      <c r="A946" s="70"/>
      <c r="B946" s="70"/>
      <c r="C946" s="70"/>
      <c r="D946" s="68"/>
      <c r="E946" s="68"/>
      <c r="F946" s="68"/>
      <c r="G946" s="70"/>
      <c r="H946" s="68"/>
      <c r="I946" s="70"/>
    </row>
    <row r="947" customFormat="false" ht="15" hidden="false" customHeight="false" outlineLevel="0" collapsed="false">
      <c r="A947" s="70"/>
      <c r="B947" s="70"/>
      <c r="C947" s="70"/>
      <c r="D947" s="68"/>
      <c r="E947" s="68"/>
      <c r="F947" s="68"/>
      <c r="G947" s="70"/>
      <c r="H947" s="68"/>
      <c r="I947" s="70"/>
    </row>
    <row r="948" customFormat="false" ht="15" hidden="false" customHeight="false" outlineLevel="0" collapsed="false">
      <c r="A948" s="70"/>
      <c r="B948" s="70"/>
      <c r="C948" s="70"/>
      <c r="D948" s="68"/>
      <c r="E948" s="68"/>
      <c r="F948" s="68"/>
      <c r="G948" s="70"/>
      <c r="H948" s="68"/>
      <c r="I948" s="70"/>
    </row>
    <row r="949" customFormat="false" ht="15" hidden="false" customHeight="false" outlineLevel="0" collapsed="false">
      <c r="A949" s="70"/>
      <c r="B949" s="70"/>
      <c r="C949" s="70"/>
      <c r="D949" s="68"/>
      <c r="E949" s="68"/>
      <c r="F949" s="68"/>
      <c r="G949" s="70"/>
      <c r="H949" s="68"/>
      <c r="I949" s="70"/>
    </row>
    <row r="950" customFormat="false" ht="15" hidden="false" customHeight="false" outlineLevel="0" collapsed="false">
      <c r="A950" s="70"/>
      <c r="B950" s="70"/>
      <c r="C950" s="70"/>
      <c r="D950" s="68"/>
      <c r="E950" s="68"/>
      <c r="F950" s="68"/>
      <c r="G950" s="70"/>
      <c r="H950" s="68"/>
      <c r="I950" s="70"/>
    </row>
    <row r="951" customFormat="false" ht="15" hidden="false" customHeight="false" outlineLevel="0" collapsed="false">
      <c r="A951" s="70"/>
      <c r="B951" s="70"/>
      <c r="C951" s="70"/>
      <c r="D951" s="68"/>
      <c r="E951" s="68"/>
      <c r="F951" s="68"/>
      <c r="G951" s="70"/>
      <c r="H951" s="68"/>
      <c r="I951" s="70"/>
    </row>
    <row r="952" customFormat="false" ht="15" hidden="false" customHeight="false" outlineLevel="0" collapsed="false">
      <c r="A952" s="70"/>
      <c r="B952" s="70"/>
      <c r="C952" s="70"/>
      <c r="D952" s="68"/>
      <c r="E952" s="68"/>
      <c r="F952" s="68"/>
      <c r="G952" s="70"/>
      <c r="H952" s="68"/>
      <c r="I952" s="70"/>
    </row>
    <row r="953" customFormat="false" ht="15" hidden="false" customHeight="false" outlineLevel="0" collapsed="false">
      <c r="A953" s="70"/>
      <c r="B953" s="70"/>
      <c r="C953" s="70"/>
      <c r="D953" s="68"/>
      <c r="E953" s="68"/>
      <c r="F953" s="68"/>
      <c r="G953" s="70"/>
      <c r="H953" s="68"/>
      <c r="I953" s="70"/>
    </row>
    <row r="954" customFormat="false" ht="15" hidden="false" customHeight="false" outlineLevel="0" collapsed="false">
      <c r="A954" s="70"/>
      <c r="B954" s="70"/>
      <c r="C954" s="70"/>
      <c r="D954" s="68"/>
      <c r="E954" s="68"/>
      <c r="F954" s="68"/>
      <c r="G954" s="70"/>
      <c r="H954" s="68"/>
      <c r="I954" s="70"/>
    </row>
    <row r="955" customFormat="false" ht="15" hidden="false" customHeight="false" outlineLevel="0" collapsed="false">
      <c r="A955" s="70"/>
      <c r="B955" s="70"/>
      <c r="C955" s="70"/>
      <c r="D955" s="68"/>
      <c r="E955" s="68"/>
      <c r="F955" s="68"/>
      <c r="G955" s="70"/>
      <c r="H955" s="68"/>
      <c r="I955" s="70"/>
    </row>
    <row r="956" customFormat="false" ht="15" hidden="false" customHeight="false" outlineLevel="0" collapsed="false">
      <c r="A956" s="70"/>
      <c r="B956" s="70"/>
      <c r="C956" s="70"/>
      <c r="D956" s="68"/>
      <c r="E956" s="68"/>
      <c r="F956" s="68"/>
      <c r="G956" s="70"/>
      <c r="H956" s="68"/>
      <c r="I956" s="70"/>
    </row>
    <row r="957" customFormat="false" ht="15" hidden="false" customHeight="false" outlineLevel="0" collapsed="false">
      <c r="A957" s="70"/>
      <c r="B957" s="70"/>
      <c r="C957" s="70"/>
      <c r="D957" s="68"/>
      <c r="E957" s="68"/>
      <c r="F957" s="68"/>
      <c r="G957" s="70"/>
      <c r="H957" s="68"/>
      <c r="I957" s="70"/>
    </row>
    <row r="958" customFormat="false" ht="15" hidden="false" customHeight="false" outlineLevel="0" collapsed="false">
      <c r="A958" s="70"/>
      <c r="B958" s="70"/>
      <c r="C958" s="70"/>
      <c r="D958" s="68"/>
      <c r="E958" s="68"/>
      <c r="F958" s="68"/>
      <c r="G958" s="70"/>
      <c r="H958" s="68"/>
      <c r="I958" s="70"/>
    </row>
    <row r="959" customFormat="false" ht="15" hidden="false" customHeight="false" outlineLevel="0" collapsed="false">
      <c r="A959" s="70"/>
      <c r="B959" s="70"/>
      <c r="C959" s="70"/>
      <c r="D959" s="68"/>
      <c r="E959" s="68"/>
      <c r="F959" s="68"/>
      <c r="G959" s="70"/>
      <c r="H959" s="68"/>
      <c r="I959" s="70"/>
    </row>
    <row r="960" customFormat="false" ht="15" hidden="false" customHeight="false" outlineLevel="0" collapsed="false">
      <c r="A960" s="70"/>
      <c r="B960" s="70"/>
      <c r="C960" s="70"/>
      <c r="D960" s="68"/>
      <c r="E960" s="68"/>
      <c r="F960" s="68"/>
      <c r="G960" s="70"/>
      <c r="H960" s="68"/>
      <c r="I960" s="70"/>
    </row>
    <row r="961" customFormat="false" ht="15" hidden="false" customHeight="false" outlineLevel="0" collapsed="false">
      <c r="A961" s="70"/>
      <c r="B961" s="70"/>
      <c r="C961" s="70"/>
      <c r="D961" s="68"/>
      <c r="E961" s="68"/>
      <c r="F961" s="68"/>
      <c r="G961" s="70"/>
      <c r="H961" s="68"/>
      <c r="I961" s="70"/>
    </row>
    <row r="962" customFormat="false" ht="15" hidden="false" customHeight="false" outlineLevel="0" collapsed="false">
      <c r="A962" s="70"/>
      <c r="B962" s="70"/>
      <c r="C962" s="70"/>
      <c r="D962" s="68"/>
      <c r="E962" s="68"/>
      <c r="F962" s="68"/>
      <c r="G962" s="70"/>
      <c r="H962" s="68"/>
      <c r="I962" s="70"/>
    </row>
    <row r="963" customFormat="false" ht="15" hidden="false" customHeight="false" outlineLevel="0" collapsed="false">
      <c r="A963" s="70"/>
      <c r="B963" s="70"/>
      <c r="C963" s="70"/>
      <c r="D963" s="68"/>
      <c r="E963" s="68"/>
      <c r="F963" s="68"/>
      <c r="G963" s="70"/>
      <c r="H963" s="68"/>
      <c r="I963" s="70"/>
    </row>
    <row r="964" customFormat="false" ht="15" hidden="false" customHeight="false" outlineLevel="0" collapsed="false">
      <c r="A964" s="70"/>
      <c r="B964" s="70"/>
      <c r="C964" s="70"/>
      <c r="D964" s="68"/>
      <c r="E964" s="68"/>
      <c r="F964" s="68"/>
      <c r="G964" s="70"/>
      <c r="H964" s="68"/>
      <c r="I964" s="70"/>
    </row>
    <row r="965" customFormat="false" ht="15" hidden="false" customHeight="false" outlineLevel="0" collapsed="false">
      <c r="A965" s="70"/>
      <c r="B965" s="70"/>
      <c r="C965" s="70"/>
      <c r="D965" s="68"/>
      <c r="E965" s="68"/>
      <c r="F965" s="68"/>
      <c r="G965" s="70"/>
      <c r="H965" s="68"/>
      <c r="I965" s="70"/>
    </row>
    <row r="966" customFormat="false" ht="15" hidden="false" customHeight="false" outlineLevel="0" collapsed="false">
      <c r="A966" s="70"/>
      <c r="B966" s="70"/>
      <c r="C966" s="70"/>
      <c r="D966" s="68"/>
      <c r="E966" s="68"/>
      <c r="F966" s="68"/>
      <c r="G966" s="70"/>
      <c r="H966" s="68"/>
      <c r="I966" s="70"/>
    </row>
    <row r="967" customFormat="false" ht="15" hidden="false" customHeight="false" outlineLevel="0" collapsed="false">
      <c r="A967" s="70"/>
      <c r="B967" s="70"/>
      <c r="C967" s="70"/>
      <c r="D967" s="68"/>
      <c r="E967" s="68"/>
      <c r="F967" s="68"/>
      <c r="G967" s="70"/>
      <c r="H967" s="68"/>
      <c r="I967" s="70"/>
    </row>
    <row r="968" customFormat="false" ht="15" hidden="false" customHeight="false" outlineLevel="0" collapsed="false">
      <c r="A968" s="70"/>
      <c r="B968" s="70"/>
      <c r="C968" s="70"/>
      <c r="D968" s="68"/>
      <c r="E968" s="68"/>
      <c r="F968" s="68"/>
      <c r="G968" s="70"/>
      <c r="H968" s="68"/>
      <c r="I968" s="70"/>
    </row>
    <row r="969" customFormat="false" ht="15" hidden="false" customHeight="false" outlineLevel="0" collapsed="false">
      <c r="A969" s="70"/>
      <c r="B969" s="70"/>
      <c r="C969" s="70"/>
      <c r="D969" s="68"/>
      <c r="E969" s="68"/>
      <c r="F969" s="68"/>
      <c r="G969" s="70"/>
      <c r="H969" s="68"/>
      <c r="I969" s="70"/>
    </row>
    <row r="970" customFormat="false" ht="15" hidden="false" customHeight="false" outlineLevel="0" collapsed="false">
      <c r="A970" s="70"/>
      <c r="B970" s="70"/>
      <c r="C970" s="70"/>
      <c r="D970" s="68"/>
      <c r="E970" s="68"/>
      <c r="F970" s="68"/>
      <c r="G970" s="70"/>
      <c r="H970" s="68"/>
      <c r="I970" s="70"/>
    </row>
    <row r="971" customFormat="false" ht="15" hidden="false" customHeight="false" outlineLevel="0" collapsed="false">
      <c r="A971" s="70"/>
      <c r="B971" s="70"/>
      <c r="C971" s="70"/>
      <c r="D971" s="68"/>
      <c r="E971" s="68"/>
      <c r="F971" s="68"/>
      <c r="G971" s="70"/>
      <c r="H971" s="68"/>
      <c r="I971" s="70"/>
    </row>
    <row r="972" customFormat="false" ht="15" hidden="false" customHeight="false" outlineLevel="0" collapsed="false">
      <c r="A972" s="70"/>
      <c r="B972" s="70"/>
      <c r="C972" s="70"/>
      <c r="D972" s="68"/>
      <c r="E972" s="68"/>
      <c r="F972" s="68"/>
      <c r="G972" s="70"/>
      <c r="H972" s="68"/>
      <c r="I972" s="70"/>
    </row>
    <row r="973" customFormat="false" ht="15" hidden="false" customHeight="false" outlineLevel="0" collapsed="false">
      <c r="A973" s="70"/>
      <c r="B973" s="70"/>
      <c r="C973" s="70"/>
      <c r="D973" s="68"/>
      <c r="E973" s="68"/>
      <c r="F973" s="68"/>
      <c r="G973" s="70"/>
      <c r="H973" s="68"/>
      <c r="I973" s="70"/>
    </row>
    <row r="974" customFormat="false" ht="15" hidden="false" customHeight="false" outlineLevel="0" collapsed="false">
      <c r="A974" s="70"/>
      <c r="B974" s="70"/>
      <c r="C974" s="70"/>
      <c r="D974" s="68"/>
      <c r="E974" s="68"/>
      <c r="F974" s="68"/>
      <c r="G974" s="70"/>
      <c r="H974" s="68"/>
      <c r="I974" s="70"/>
    </row>
    <row r="975" customFormat="false" ht="15" hidden="false" customHeight="false" outlineLevel="0" collapsed="false">
      <c r="A975" s="70"/>
      <c r="B975" s="70"/>
      <c r="C975" s="70"/>
      <c r="D975" s="68"/>
      <c r="E975" s="68"/>
      <c r="F975" s="68"/>
      <c r="G975" s="70"/>
      <c r="H975" s="68"/>
      <c r="I975" s="70"/>
    </row>
    <row r="976" customFormat="false" ht="15" hidden="false" customHeight="false" outlineLevel="0" collapsed="false">
      <c r="A976" s="70"/>
      <c r="B976" s="70"/>
      <c r="C976" s="70"/>
      <c r="D976" s="68"/>
      <c r="E976" s="68"/>
      <c r="F976" s="68"/>
      <c r="G976" s="70"/>
      <c r="H976" s="68"/>
      <c r="I976" s="70"/>
    </row>
    <row r="977" customFormat="false" ht="15" hidden="false" customHeight="false" outlineLevel="0" collapsed="false">
      <c r="A977" s="70"/>
      <c r="B977" s="70"/>
      <c r="C977" s="70"/>
      <c r="D977" s="68"/>
      <c r="E977" s="68"/>
      <c r="F977" s="68"/>
      <c r="G977" s="70"/>
      <c r="H977" s="68"/>
      <c r="I977" s="70"/>
    </row>
    <row r="978" customFormat="false" ht="15" hidden="false" customHeight="false" outlineLevel="0" collapsed="false">
      <c r="A978" s="70"/>
      <c r="B978" s="70"/>
      <c r="C978" s="70"/>
      <c r="D978" s="68"/>
      <c r="E978" s="68"/>
      <c r="F978" s="68"/>
      <c r="G978" s="70"/>
      <c r="H978" s="68"/>
      <c r="I978" s="70"/>
    </row>
    <row r="979" customFormat="false" ht="15" hidden="false" customHeight="false" outlineLevel="0" collapsed="false">
      <c r="A979" s="70"/>
      <c r="B979" s="70"/>
      <c r="C979" s="70"/>
      <c r="D979" s="68"/>
      <c r="E979" s="68"/>
      <c r="F979" s="68"/>
      <c r="G979" s="70"/>
      <c r="H979" s="68"/>
      <c r="I979" s="70"/>
    </row>
    <row r="980" customFormat="false" ht="15" hidden="false" customHeight="false" outlineLevel="0" collapsed="false">
      <c r="A980" s="70"/>
      <c r="B980" s="70"/>
      <c r="C980" s="70"/>
      <c r="D980" s="68"/>
      <c r="E980" s="68"/>
      <c r="F980" s="68"/>
      <c r="G980" s="70"/>
      <c r="H980" s="68"/>
      <c r="I980" s="70"/>
    </row>
    <row r="981" customFormat="false" ht="15" hidden="false" customHeight="false" outlineLevel="0" collapsed="false">
      <c r="A981" s="70"/>
      <c r="B981" s="70"/>
      <c r="C981" s="70"/>
      <c r="D981" s="68"/>
      <c r="E981" s="68"/>
      <c r="F981" s="68"/>
      <c r="G981" s="70"/>
      <c r="H981" s="68"/>
      <c r="I981" s="70"/>
    </row>
    <row r="982" customFormat="false" ht="15" hidden="false" customHeight="false" outlineLevel="0" collapsed="false">
      <c r="A982" s="70"/>
      <c r="B982" s="70"/>
      <c r="C982" s="70"/>
      <c r="D982" s="68"/>
      <c r="E982" s="68"/>
      <c r="F982" s="68"/>
      <c r="G982" s="70"/>
      <c r="H982" s="68"/>
      <c r="I982" s="70"/>
    </row>
    <row r="983" customFormat="false" ht="15" hidden="false" customHeight="false" outlineLevel="0" collapsed="false">
      <c r="A983" s="70"/>
      <c r="B983" s="70"/>
      <c r="C983" s="70"/>
      <c r="D983" s="68"/>
      <c r="E983" s="68"/>
      <c r="F983" s="68"/>
      <c r="G983" s="70"/>
      <c r="H983" s="68"/>
      <c r="I983" s="70"/>
    </row>
    <row r="984" customFormat="false" ht="15" hidden="false" customHeight="false" outlineLevel="0" collapsed="false">
      <c r="A984" s="70"/>
      <c r="B984" s="70"/>
      <c r="C984" s="70"/>
      <c r="D984" s="68"/>
      <c r="E984" s="68"/>
      <c r="F984" s="68"/>
      <c r="G984" s="70"/>
      <c r="H984" s="68"/>
      <c r="I984" s="70"/>
    </row>
    <row r="985" customFormat="false" ht="15" hidden="false" customHeight="false" outlineLevel="0" collapsed="false">
      <c r="A985" s="70"/>
      <c r="B985" s="70"/>
      <c r="C985" s="70"/>
      <c r="D985" s="68"/>
      <c r="E985" s="68"/>
      <c r="F985" s="68"/>
      <c r="G985" s="70"/>
      <c r="H985" s="68"/>
      <c r="I985" s="70"/>
    </row>
    <row r="986" customFormat="false" ht="15" hidden="false" customHeight="false" outlineLevel="0" collapsed="false">
      <c r="A986" s="70"/>
      <c r="B986" s="70"/>
      <c r="C986" s="70"/>
      <c r="D986" s="68"/>
      <c r="E986" s="68"/>
      <c r="F986" s="68"/>
      <c r="G986" s="70"/>
      <c r="H986" s="68"/>
      <c r="I986" s="70"/>
    </row>
    <row r="987" customFormat="false" ht="15" hidden="false" customHeight="false" outlineLevel="0" collapsed="false">
      <c r="A987" s="70"/>
      <c r="B987" s="70"/>
      <c r="C987" s="70"/>
      <c r="D987" s="68"/>
      <c r="E987" s="68"/>
      <c r="F987" s="68"/>
      <c r="G987" s="70"/>
      <c r="H987" s="68"/>
      <c r="I987" s="70"/>
    </row>
    <row r="988" customFormat="false" ht="15" hidden="false" customHeight="false" outlineLevel="0" collapsed="false">
      <c r="A988" s="70"/>
      <c r="B988" s="70"/>
      <c r="C988" s="70"/>
      <c r="D988" s="68"/>
      <c r="E988" s="68"/>
      <c r="F988" s="68"/>
      <c r="G988" s="70"/>
      <c r="H988" s="68"/>
      <c r="I988" s="70"/>
    </row>
    <row r="989" customFormat="false" ht="15" hidden="false" customHeight="false" outlineLevel="0" collapsed="false">
      <c r="A989" s="70"/>
      <c r="B989" s="70"/>
      <c r="C989" s="70"/>
      <c r="D989" s="68"/>
      <c r="E989" s="68"/>
      <c r="F989" s="68"/>
      <c r="G989" s="70"/>
      <c r="H989" s="68"/>
      <c r="I989" s="70"/>
    </row>
    <row r="990" customFormat="false" ht="15" hidden="false" customHeight="false" outlineLevel="0" collapsed="false">
      <c r="A990" s="70"/>
      <c r="B990" s="70"/>
      <c r="C990" s="70"/>
      <c r="D990" s="68"/>
      <c r="E990" s="68"/>
      <c r="F990" s="68"/>
      <c r="G990" s="70"/>
      <c r="H990" s="68"/>
      <c r="I990" s="70"/>
    </row>
    <row r="991" customFormat="false" ht="15" hidden="false" customHeight="false" outlineLevel="0" collapsed="false">
      <c r="A991" s="70"/>
      <c r="B991" s="70"/>
      <c r="C991" s="70"/>
      <c r="D991" s="68"/>
      <c r="E991" s="68"/>
      <c r="F991" s="68"/>
      <c r="G991" s="70"/>
      <c r="H991" s="68"/>
      <c r="I991" s="70"/>
    </row>
    <row r="992" customFormat="false" ht="15" hidden="false" customHeight="false" outlineLevel="0" collapsed="false">
      <c r="A992" s="70"/>
      <c r="B992" s="70"/>
      <c r="C992" s="70"/>
      <c r="D992" s="68"/>
      <c r="E992" s="68"/>
      <c r="F992" s="68"/>
      <c r="G992" s="70"/>
      <c r="H992" s="68"/>
      <c r="I992" s="70"/>
    </row>
    <row r="993" customFormat="false" ht="15" hidden="false" customHeight="false" outlineLevel="0" collapsed="false">
      <c r="A993" s="70"/>
      <c r="B993" s="70"/>
      <c r="C993" s="70"/>
      <c r="D993" s="68"/>
      <c r="E993" s="68"/>
      <c r="F993" s="68"/>
      <c r="G993" s="70"/>
      <c r="H993" s="68"/>
      <c r="I993" s="70"/>
    </row>
    <row r="994" customFormat="false" ht="15" hidden="false" customHeight="false" outlineLevel="0" collapsed="false">
      <c r="A994" s="70"/>
      <c r="B994" s="70"/>
      <c r="C994" s="70"/>
      <c r="D994" s="68"/>
      <c r="E994" s="68"/>
      <c r="F994" s="68"/>
      <c r="G994" s="70"/>
      <c r="H994" s="68"/>
      <c r="I994" s="70"/>
    </row>
    <row r="995" customFormat="false" ht="15" hidden="false" customHeight="false" outlineLevel="0" collapsed="false">
      <c r="A995" s="70"/>
      <c r="B995" s="70"/>
      <c r="C995" s="70"/>
      <c r="D995" s="68"/>
      <c r="E995" s="68"/>
      <c r="F995" s="68"/>
      <c r="G995" s="70"/>
      <c r="H995" s="68"/>
      <c r="I995" s="70"/>
    </row>
    <row r="996" customFormat="false" ht="15" hidden="false" customHeight="false" outlineLevel="0" collapsed="false">
      <c r="A996" s="70"/>
      <c r="B996" s="70"/>
      <c r="C996" s="70"/>
      <c r="D996" s="68"/>
      <c r="E996" s="68"/>
      <c r="F996" s="68"/>
      <c r="G996" s="70"/>
      <c r="H996" s="68"/>
      <c r="I996" s="70"/>
    </row>
    <row r="997" customFormat="false" ht="15" hidden="false" customHeight="false" outlineLevel="0" collapsed="false">
      <c r="A997" s="70"/>
      <c r="B997" s="70"/>
      <c r="C997" s="70"/>
      <c r="D997" s="68"/>
      <c r="E997" s="68"/>
      <c r="F997" s="68"/>
      <c r="G997" s="70"/>
      <c r="H997" s="68"/>
      <c r="I997" s="70"/>
    </row>
    <row r="998" customFormat="false" ht="15" hidden="false" customHeight="false" outlineLevel="0" collapsed="false">
      <c r="A998" s="70"/>
      <c r="B998" s="70"/>
      <c r="C998" s="70"/>
      <c r="D998" s="68"/>
      <c r="E998" s="68"/>
      <c r="F998" s="68"/>
      <c r="G998" s="70"/>
      <c r="H998" s="68"/>
      <c r="I998" s="70"/>
    </row>
    <row r="999" customFormat="false" ht="15" hidden="false" customHeight="false" outlineLevel="0" collapsed="false">
      <c r="A999" s="70"/>
      <c r="B999" s="70"/>
      <c r="C999" s="70"/>
      <c r="D999" s="68"/>
      <c r="E999" s="68"/>
      <c r="F999" s="68"/>
      <c r="G999" s="70"/>
      <c r="H999" s="68"/>
      <c r="I999" s="70"/>
    </row>
    <row r="1000" customFormat="false" ht="15" hidden="false" customHeight="false" outlineLevel="0" collapsed="false">
      <c r="A1000" s="70"/>
      <c r="B1000" s="70"/>
      <c r="C1000" s="70"/>
      <c r="D1000" s="68"/>
      <c r="E1000" s="68"/>
      <c r="F1000" s="68"/>
      <c r="G1000" s="70"/>
      <c r="H1000" s="68"/>
      <c r="I1000" s="70"/>
    </row>
    <row r="1001" customFormat="false" ht="15" hidden="false" customHeight="false" outlineLevel="0" collapsed="false">
      <c r="A1001" s="70"/>
      <c r="B1001" s="70"/>
      <c r="C1001" s="70"/>
      <c r="D1001" s="68"/>
      <c r="E1001" s="68"/>
      <c r="F1001" s="68"/>
      <c r="G1001" s="70"/>
      <c r="H1001" s="68"/>
      <c r="I1001" s="70"/>
    </row>
    <row r="1002" customFormat="false" ht="15" hidden="false" customHeight="false" outlineLevel="0" collapsed="false">
      <c r="A1002" s="70"/>
      <c r="B1002" s="70"/>
      <c r="C1002" s="70"/>
      <c r="D1002" s="68"/>
      <c r="E1002" s="68"/>
      <c r="F1002" s="68"/>
      <c r="G1002" s="70"/>
      <c r="H1002" s="68"/>
      <c r="I1002" s="70"/>
    </row>
    <row r="1003" customFormat="false" ht="15" hidden="false" customHeight="false" outlineLevel="0" collapsed="false">
      <c r="A1003" s="70"/>
      <c r="B1003" s="70"/>
      <c r="C1003" s="70"/>
      <c r="D1003" s="68"/>
      <c r="E1003" s="68"/>
      <c r="F1003" s="68"/>
      <c r="G1003" s="70"/>
      <c r="H1003" s="68"/>
      <c r="I1003" s="70"/>
    </row>
    <row r="1004" customFormat="false" ht="15" hidden="false" customHeight="false" outlineLevel="0" collapsed="false">
      <c r="A1004" s="70"/>
      <c r="B1004" s="70"/>
      <c r="C1004" s="70"/>
      <c r="D1004" s="68"/>
      <c r="E1004" s="68"/>
      <c r="F1004" s="68"/>
      <c r="G1004" s="70"/>
      <c r="H1004" s="68"/>
      <c r="I1004" s="70"/>
    </row>
    <row r="1005" customFormat="false" ht="15" hidden="false" customHeight="false" outlineLevel="0" collapsed="false">
      <c r="A1005" s="70"/>
      <c r="B1005" s="70"/>
      <c r="C1005" s="70"/>
      <c r="D1005" s="68"/>
      <c r="E1005" s="68"/>
      <c r="F1005" s="68"/>
      <c r="G1005" s="70"/>
      <c r="H1005" s="68"/>
      <c r="I1005" s="70"/>
    </row>
    <row r="1006" customFormat="false" ht="15" hidden="false" customHeight="false" outlineLevel="0" collapsed="false">
      <c r="A1006" s="70"/>
      <c r="B1006" s="70"/>
      <c r="C1006" s="70"/>
      <c r="D1006" s="68"/>
      <c r="E1006" s="68"/>
      <c r="F1006" s="68"/>
      <c r="G1006" s="70"/>
      <c r="H1006" s="68"/>
      <c r="I1006" s="70"/>
    </row>
    <row r="1007" customFormat="false" ht="15" hidden="false" customHeight="false" outlineLevel="0" collapsed="false">
      <c r="A1007" s="70"/>
      <c r="B1007" s="70"/>
      <c r="C1007" s="70"/>
      <c r="D1007" s="68"/>
      <c r="E1007" s="68"/>
      <c r="F1007" s="68"/>
      <c r="G1007" s="70"/>
      <c r="H1007" s="68"/>
      <c r="I1007" s="70"/>
    </row>
    <row r="1008" customFormat="false" ht="15" hidden="false" customHeight="false" outlineLevel="0" collapsed="false">
      <c r="A1008" s="70"/>
      <c r="B1008" s="70"/>
      <c r="C1008" s="70"/>
      <c r="D1008" s="68"/>
      <c r="E1008" s="68"/>
      <c r="F1008" s="68"/>
      <c r="G1008" s="70"/>
      <c r="H1008" s="68"/>
      <c r="I1008" s="70"/>
    </row>
    <row r="1009" customFormat="false" ht="15" hidden="false" customHeight="false" outlineLevel="0" collapsed="false">
      <c r="A1009" s="70"/>
      <c r="B1009" s="70"/>
      <c r="C1009" s="70"/>
      <c r="D1009" s="68"/>
      <c r="E1009" s="68"/>
      <c r="F1009" s="68"/>
      <c r="G1009" s="70"/>
      <c r="H1009" s="68"/>
      <c r="I1009" s="70"/>
    </row>
    <row r="1010" customFormat="false" ht="15" hidden="false" customHeight="false" outlineLevel="0" collapsed="false">
      <c r="A1010" s="70"/>
      <c r="B1010" s="70"/>
      <c r="C1010" s="70"/>
      <c r="D1010" s="68"/>
      <c r="E1010" s="68"/>
      <c r="F1010" s="68"/>
      <c r="G1010" s="70"/>
      <c r="H1010" s="68"/>
      <c r="I1010" s="70"/>
    </row>
    <row r="1011" customFormat="false" ht="15" hidden="false" customHeight="false" outlineLevel="0" collapsed="false">
      <c r="A1011" s="70"/>
      <c r="B1011" s="70"/>
      <c r="C1011" s="70"/>
      <c r="D1011" s="68"/>
      <c r="E1011" s="68"/>
      <c r="F1011" s="68"/>
      <c r="G1011" s="70"/>
      <c r="H1011" s="68"/>
      <c r="I1011" s="70"/>
    </row>
    <row r="1012" customFormat="false" ht="15" hidden="false" customHeight="false" outlineLevel="0" collapsed="false">
      <c r="A1012" s="70"/>
      <c r="B1012" s="70"/>
      <c r="C1012" s="70"/>
      <c r="D1012" s="68"/>
      <c r="E1012" s="68"/>
      <c r="F1012" s="68"/>
      <c r="G1012" s="70"/>
      <c r="H1012" s="68"/>
      <c r="I1012" s="70"/>
    </row>
  </sheetData>
  <autoFilter ref="A4:I6000"/>
  <mergeCells count="3">
    <mergeCell ref="A1:I1"/>
    <mergeCell ref="A2:I2"/>
    <mergeCell ref="A3:D3"/>
  </mergeCells>
  <conditionalFormatting sqref="A5:I6000">
    <cfRule type="expression" priority="2" aboveAverage="0" equalAverage="0" bottom="0" percent="0" rank="0" text="" dxfId="8">
      <formula>AND($A5&lt;&gt;"",MOD(ROW(),2)=0)</formula>
    </cfRule>
    <cfRule type="expression" priority="3" aboveAverage="0" equalAverage="0" bottom="0" percent="0" rank="0" text="" dxfId="9">
      <formula>$A5&lt;&gt;""</formula>
    </cfRule>
  </conditionalFormatting>
  <conditionalFormatting sqref="I5:I6000">
    <cfRule type="expression" priority="4" aboveAverage="0" equalAverage="0" bottom="0" percent="0" rank="0" text="" dxfId="11">
      <formula>$I5=النظام!$B$30</formula>
    </cfRule>
  </conditionalFormatting>
  <hyperlinks>
    <hyperlink ref="E3" location="'سند الصرف'!C12" display="✍ سند الصرف"/>
    <hyperlink ref="F3" location="'سجل السندات'!A1" display="🧾 السجل"/>
  </hyperlink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codeName="shSum" filterMode="false">
    <tabColor rgb="FF6A1B9A"/>
    <pageSetUpPr fitToPage="true"/>
  </sheetPr>
  <dimension ref="B1:P39"/>
  <sheetViews>
    <sheetView showFormulas="false" showGridLines="false" showRowColHeaders="true" showZeros="true" rightToLeft="true" tabSelected="false" showOutlineSymbols="true" defaultGridColor="true" view="normal" topLeftCell="A1" colorId="64" zoomScale="90" zoomScaleNormal="9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2"/>
    <col collapsed="false" customWidth="true" hidden="false" outlineLevel="0" max="2" min="2" style="0" width="24"/>
    <col collapsed="false" customWidth="true" hidden="false" outlineLevel="0" max="4" min="3" style="0" width="15"/>
    <col collapsed="false" customWidth="true" hidden="false" outlineLevel="0" max="5" min="5" style="0" width="3"/>
    <col collapsed="false" customWidth="true" hidden="false" outlineLevel="0" max="6" min="6" style="0" width="14"/>
    <col collapsed="false" customWidth="true" hidden="false" outlineLevel="0" max="7" min="7" style="0" width="12"/>
    <col collapsed="false" customWidth="true" hidden="false" outlineLevel="0" max="8" min="8" style="0" width="15"/>
    <col collapsed="false" customWidth="true" hidden="false" outlineLevel="0" max="9" min="9" style="0" width="3"/>
    <col collapsed="false" customWidth="true" hidden="false" outlineLevel="0" max="10" min="10" style="0" width="16"/>
    <col collapsed="false" customWidth="true" hidden="false" outlineLevel="0" max="11" min="11" style="0" width="15"/>
    <col collapsed="false" customWidth="true" hidden="false" outlineLevel="0" max="12" min="12" style="0" width="10"/>
    <col collapsed="false" customWidth="true" hidden="false" outlineLevel="0" max="13" min="13" style="0" width="3"/>
    <col collapsed="false" customWidth="true" hidden="false" outlineLevel="0" max="14" min="14" style="0" width="30"/>
    <col collapsed="false" customWidth="true" hidden="false" outlineLevel="0" max="16" min="15" style="0" width="15"/>
  </cols>
  <sheetData>
    <row r="1" customFormat="false" ht="33.75" hidden="false" customHeight="true" outlineLevel="0" collapsed="false">
      <c r="B1" s="62" t="s">
        <v>119</v>
      </c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</row>
    <row r="2" customFormat="false" ht="19.5" hidden="false" customHeight="true" outlineLevel="0" collapsed="false">
      <c r="B2" s="63" t="s">
        <v>120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</row>
    <row r="3" customFormat="false" ht="15" hidden="false" customHeight="false" outlineLevel="0" collapsed="false">
      <c r="B3" s="65" t="s">
        <v>68</v>
      </c>
      <c r="C3" s="45" t="s">
        <v>109</v>
      </c>
      <c r="D3" s="46" t="s">
        <v>121</v>
      </c>
      <c r="J3" s="76" t="s">
        <v>122</v>
      </c>
      <c r="K3" s="77" t="n">
        <f aca="true">YEAR(TODAY())</f>
        <v>2026</v>
      </c>
    </row>
    <row r="5" customFormat="false" ht="15" hidden="false" customHeight="false" outlineLevel="0" collapsed="false">
      <c r="B5" s="78" t="s">
        <v>123</v>
      </c>
      <c r="C5" s="78"/>
      <c r="D5" s="79" t="s">
        <v>124</v>
      </c>
      <c r="E5" s="79"/>
      <c r="F5" s="79"/>
      <c r="G5" s="80" t="s">
        <v>125</v>
      </c>
      <c r="H5" s="80"/>
      <c r="J5" s="81" t="s">
        <v>126</v>
      </c>
      <c r="K5" s="81"/>
      <c r="N5" s="82" t="s">
        <v>127</v>
      </c>
      <c r="O5" s="82"/>
      <c r="P5" s="82"/>
    </row>
    <row r="6" customFormat="false" ht="31.5" hidden="false" customHeight="true" outlineLevel="0" collapsed="false">
      <c r="B6" s="83" t="n">
        <f aca="false">COUNT('سجل السندات'!$A$5:$A$20000)</f>
        <v>3</v>
      </c>
      <c r="C6" s="83"/>
      <c r="D6" s="84" t="n">
        <f aca="false">SUM('سجل السندات'!$L$5:$L$20000)</f>
        <v>45330.5</v>
      </c>
      <c r="E6" s="84"/>
      <c r="F6" s="84"/>
      <c r="G6" s="85" t="n">
        <f aca="false">IFERROR(AVERAGE('سجل السندات'!$L$5:$L$20000),0)</f>
        <v>15110.1666666667</v>
      </c>
      <c r="H6" s="85"/>
      <c r="J6" s="86" t="n">
        <f aca="false">MAX('سجل السندات'!$L$5:$L$20000)</f>
        <v>37500.5</v>
      </c>
      <c r="K6" s="86"/>
      <c r="N6" s="87" t="n">
        <f aca="true">SUMIFS('سجل السندات'!$L$5:$L$20000,'سجل السندات'!$C$5:$C$20000,"&gt;="&amp;DATE(YEAR(TODAY()),MONTH(TODAY()),1),'سجل السندات'!$C$5:$C$20000,"&lt;="&amp;TODAY())</f>
        <v>4830</v>
      </c>
      <c r="O6" s="87"/>
      <c r="P6" s="87"/>
    </row>
    <row r="8" customFormat="false" ht="31.5" hidden="false" customHeight="true" outlineLevel="0" collapsed="false">
      <c r="B8" s="75" t="s">
        <v>40</v>
      </c>
      <c r="C8" s="75" t="s">
        <v>37</v>
      </c>
      <c r="D8" s="75" t="s">
        <v>38</v>
      </c>
      <c r="F8" s="66" t="s">
        <v>128</v>
      </c>
      <c r="G8" s="66" t="s">
        <v>123</v>
      </c>
      <c r="H8" s="66" t="s">
        <v>80</v>
      </c>
      <c r="J8" s="88" t="s">
        <v>73</v>
      </c>
      <c r="K8" s="88" t="s">
        <v>80</v>
      </c>
      <c r="L8" s="88" t="s">
        <v>129</v>
      </c>
      <c r="N8" s="89" t="s">
        <v>130</v>
      </c>
      <c r="O8" s="89"/>
      <c r="P8" s="89"/>
    </row>
    <row r="9" customFormat="false" ht="15" hidden="false" customHeight="false" outlineLevel="0" collapsed="false">
      <c r="B9" s="90" t="str">
        <f aca="false">IFERROR(INDEX(الإعدادات!$E$5:$E$64,1)&amp;"","")</f>
        <v>مكة</v>
      </c>
      <c r="C9" s="91" t="n">
        <f aca="false">IF(B9="","",SUMIFS('بنود السندات'!$E$5:$E$60000,'بنود السندات'!$C$5:$C$60000,B9))</f>
        <v>28000</v>
      </c>
      <c r="D9" s="91" t="n">
        <f aca="false">IF(B9="","",SUMIFS('بنود السندات'!$F$5:$F$60000,'بنود السندات'!$C$5:$C$60000,B9))</f>
        <v>40500.5</v>
      </c>
      <c r="F9" s="90" t="s">
        <v>131</v>
      </c>
      <c r="G9" s="92" t="n">
        <f aca="false">COUNTIFS('سجل السندات'!$C$5:$C$20000,"&gt;="&amp;DATE($K$3,1,1),'سجل السندات'!$C$5:$C$20000,"&lt;"&amp;DATE($K$3,2,1))</f>
        <v>0</v>
      </c>
      <c r="H9" s="91" t="n">
        <f aca="false">SUMIFS('سجل السندات'!$L$5:$L$20000,'سجل السندات'!$C$5:$C$20000,"&gt;="&amp;DATE($K$3,1,1),'سجل السندات'!$C$5:$C$20000,"&lt;"&amp;DATE($K$3,2,1))</f>
        <v>0</v>
      </c>
      <c r="J9" s="90" t="str">
        <f aca="false">INDEX(الإعدادات!$I$5:$I$7,1)</f>
        <v>نقدي</v>
      </c>
      <c r="K9" s="91" t="n">
        <f aca="false">SUMIFS('سجل السندات'!$L$5:$L$20000,'سجل السندات'!$E$5:$E$20000,J9)</f>
        <v>3000</v>
      </c>
      <c r="L9" s="93" t="n">
        <f aca="false">COUNTIFS('سجل السندات'!$E$5:$E$20000,J9)</f>
        <v>1</v>
      </c>
      <c r="N9" s="19" t="s">
        <v>132</v>
      </c>
      <c r="O9" s="94" t="n">
        <f aca="false">DATE($K$3,1,1)</f>
        <v>46023</v>
      </c>
      <c r="P9" s="94"/>
    </row>
    <row r="10" customFormat="false" ht="15" hidden="false" customHeight="false" outlineLevel="0" collapsed="false">
      <c r="B10" s="90" t="str">
        <f aca="false">IFERROR(INDEX(الإعدادات!$E$5:$E$64,2)&amp;"","")</f>
        <v>الرياض</v>
      </c>
      <c r="C10" s="91" t="n">
        <f aca="false">IF(B10="","",SUMIFS('بنود السندات'!$E$5:$E$60000,'بنود السندات'!$C$5:$C$60000,B10))</f>
        <v>4830</v>
      </c>
      <c r="D10" s="91" t="n">
        <f aca="false">IF(B10="","",SUMIFS('بنود السندات'!$F$5:$F$60000,'بنود السندات'!$C$5:$C$60000,B10))</f>
        <v>4830</v>
      </c>
      <c r="F10" s="90" t="s">
        <v>133</v>
      </c>
      <c r="G10" s="92" t="n">
        <f aca="false">COUNTIFS('سجل السندات'!$C$5:$C$20000,"&gt;="&amp;DATE($K$3,2,1),'سجل السندات'!$C$5:$C$20000,"&lt;"&amp;DATE($K$3,3,1))</f>
        <v>0</v>
      </c>
      <c r="H10" s="91" t="n">
        <f aca="false">SUMIFS('سجل السندات'!$L$5:$L$20000,'سجل السندات'!$C$5:$C$20000,"&gt;="&amp;DATE($K$3,2,1),'سجل السندات'!$C$5:$C$20000,"&lt;"&amp;DATE($K$3,3,1))</f>
        <v>0</v>
      </c>
      <c r="J10" s="90" t="str">
        <f aca="false">INDEX(الإعدادات!$I$5:$I$7,2)</f>
        <v>شيك</v>
      </c>
      <c r="K10" s="91" t="n">
        <f aca="false">SUMIFS('سجل السندات'!$L$5:$L$20000,'سجل السندات'!$E$5:$E$20000,J10)</f>
        <v>37500.5</v>
      </c>
      <c r="L10" s="93" t="n">
        <f aca="false">COUNTIFS('سجل السندات'!$E$5:$E$20000,J10)</f>
        <v>1</v>
      </c>
      <c r="N10" s="19" t="s">
        <v>134</v>
      </c>
      <c r="O10" s="94" t="n">
        <f aca="false">DATE($K$3,12,31)</f>
        <v>46387</v>
      </c>
      <c r="P10" s="94"/>
    </row>
    <row r="11" customFormat="false" ht="31.5" hidden="false" customHeight="true" outlineLevel="0" collapsed="false">
      <c r="B11" s="90" t="str">
        <f aca="false">IFERROR(INDEX(الإعدادات!$E$5:$E$64,3)&amp;"","")</f>
        <v>جدة</v>
      </c>
      <c r="C11" s="91" t="n">
        <f aca="false">IF(B11="","",SUMIFS('بنود السندات'!$E$5:$E$60000,'بنود السندات'!$C$5:$C$60000,B11))</f>
        <v>12500.5</v>
      </c>
      <c r="D11" s="91" t="n">
        <f aca="false">IF(B11="","",SUMIFS('بنود السندات'!$F$5:$F$60000,'بنود السندات'!$C$5:$C$60000,B11))</f>
        <v>0</v>
      </c>
      <c r="F11" s="90" t="s">
        <v>135</v>
      </c>
      <c r="G11" s="92" t="n">
        <f aca="false">COUNTIFS('سجل السندات'!$C$5:$C$20000,"&gt;="&amp;DATE($K$3,3,1),'سجل السندات'!$C$5:$C$20000,"&lt;"&amp;DATE($K$3,4,1))</f>
        <v>0</v>
      </c>
      <c r="H11" s="91" t="n">
        <f aca="false">SUMIFS('سجل السندات'!$L$5:$L$20000,'سجل السندات'!$C$5:$C$20000,"&gt;="&amp;DATE($K$3,3,1),'سجل السندات'!$C$5:$C$20000,"&lt;"&amp;DATE($K$3,4,1))</f>
        <v>0</v>
      </c>
      <c r="J11" s="90" t="str">
        <f aca="false">INDEX(الإعدادات!$I$5:$I$7,3)</f>
        <v>تحويل بنكي</v>
      </c>
      <c r="K11" s="91" t="n">
        <f aca="false">SUMIFS('سجل السندات'!$L$5:$L$20000,'سجل السندات'!$E$5:$E$20000,J11)</f>
        <v>4830</v>
      </c>
      <c r="L11" s="93" t="n">
        <f aca="false">COUNTIFS('سجل السندات'!$E$5:$E$20000,J11)</f>
        <v>1</v>
      </c>
      <c r="N11" s="95" t="s">
        <v>136</v>
      </c>
      <c r="O11" s="95" t="s">
        <v>37</v>
      </c>
      <c r="P11" s="95" t="s">
        <v>38</v>
      </c>
    </row>
    <row r="12" customFormat="false" ht="15" hidden="false" customHeight="false" outlineLevel="0" collapsed="false">
      <c r="B12" s="90" t="str">
        <f aca="false">IFERROR(INDEX(الإعدادات!$E$5:$E$64,4)&amp;"","")</f>
        <v>المدينة المنورة</v>
      </c>
      <c r="C12" s="91" t="n">
        <f aca="false">IF(B12="","",SUMIFS('بنود السندات'!$E$5:$E$60000,'بنود السندات'!$C$5:$C$60000,B12))</f>
        <v>0</v>
      </c>
      <c r="D12" s="91" t="n">
        <f aca="false">IF(B12="","",SUMIFS('بنود السندات'!$F$5:$F$60000,'بنود السندات'!$C$5:$C$60000,B12))</f>
        <v>0</v>
      </c>
      <c r="F12" s="90" t="s">
        <v>137</v>
      </c>
      <c r="G12" s="92" t="n">
        <f aca="false">COUNTIFS('سجل السندات'!$C$5:$C$20000,"&gt;="&amp;DATE($K$3,4,1),'سجل السندات'!$C$5:$C$20000,"&lt;"&amp;DATE($K$3,5,1))</f>
        <v>0</v>
      </c>
      <c r="H12" s="91" t="n">
        <f aca="false">SUMIFS('سجل السندات'!$L$5:$L$20000,'سجل السندات'!$C$5:$C$20000,"&gt;="&amp;DATE($K$3,4,1),'سجل السندات'!$C$5:$C$20000,"&lt;"&amp;DATE($K$3,5,1))</f>
        <v>0</v>
      </c>
      <c r="J12" s="96" t="s">
        <v>138</v>
      </c>
      <c r="K12" s="97" t="n">
        <f aca="false">SUM(K9:K11)</f>
        <v>45330.5</v>
      </c>
      <c r="L12" s="98" t="n">
        <f aca="false">SUM(L9:L11)</f>
        <v>3</v>
      </c>
      <c r="N12" s="90" t="str">
        <f aca="false">IFERROR(INDEX(الإعدادات!$G$5:$G$64,1)&amp;"","")</f>
        <v>الرياض 940</v>
      </c>
      <c r="O12" s="91" t="n">
        <f aca="false">IF(N12="","",SUMIFS('بنود السندات'!$E$5:$E$60000,'بنود السندات'!$D$5:$D$60000,N12,'بنود السندات'!$G$5:$G$60000,"&gt;="&amp;$O$9,'بنود السندات'!$G$5:$G$60000,"&lt;="&amp;$O$10))</f>
        <v>0</v>
      </c>
      <c r="P12" s="91" t="n">
        <f aca="false">IF(N12="","",SUMIFS('بنود السندات'!$F$5:$F$60000,'بنود السندات'!$D$5:$D$60000,N12,'بنود السندات'!$G$5:$G$60000,"&gt;="&amp;$O$9,'بنود السندات'!$G$5:$G$60000,"&lt;="&amp;$O$10))</f>
        <v>3000</v>
      </c>
    </row>
    <row r="13" customFormat="false" ht="15" hidden="false" customHeight="false" outlineLevel="0" collapsed="false">
      <c r="B13" s="90" t="str">
        <f aca="false">IFERROR(INDEX(الإعدادات!$E$5:$E$64,5)&amp;"","")</f>
        <v>الدمام</v>
      </c>
      <c r="C13" s="91" t="n">
        <f aca="false">IF(B13="","",SUMIFS('بنود السندات'!$E$5:$E$60000,'بنود السندات'!$C$5:$C$60000,B13))</f>
        <v>0</v>
      </c>
      <c r="D13" s="91" t="n">
        <f aca="false">IF(B13="","",SUMIFS('بنود السندات'!$F$5:$F$60000,'بنود السندات'!$C$5:$C$60000,B13))</f>
        <v>0</v>
      </c>
      <c r="F13" s="90" t="s">
        <v>139</v>
      </c>
      <c r="G13" s="92" t="n">
        <f aca="false">COUNTIFS('سجل السندات'!$C$5:$C$20000,"&gt;="&amp;DATE($K$3,5,1),'سجل السندات'!$C$5:$C$20000,"&lt;"&amp;DATE($K$3,6,1))</f>
        <v>0</v>
      </c>
      <c r="H13" s="91" t="n">
        <f aca="false">SUMIFS('سجل السندات'!$L$5:$L$20000,'سجل السندات'!$C$5:$C$20000,"&gt;="&amp;DATE($K$3,5,1),'سجل السندات'!$C$5:$C$20000,"&lt;"&amp;DATE($K$3,6,1))</f>
        <v>0</v>
      </c>
      <c r="N13" s="90" t="str">
        <f aca="false">IFERROR(INDEX(الإعدادات!$G$5:$G$64,2)&amp;"","")</f>
        <v>الصندوق الرئيسي</v>
      </c>
      <c r="O13" s="91" t="n">
        <f aca="false">IF(N13="","",SUMIFS('بنود السندات'!$E$5:$E$60000,'بنود السندات'!$D$5:$D$60000,N13,'بنود السندات'!$G$5:$G$60000,"&gt;="&amp;$O$9,'بنود السندات'!$G$5:$G$60000,"&lt;="&amp;$O$10))</f>
        <v>0</v>
      </c>
      <c r="P13" s="91" t="n">
        <f aca="false">IF(N13="","",SUMIFS('بنود السندات'!$F$5:$F$60000,'بنود السندات'!$D$5:$D$60000,N13,'بنود السندات'!$G$5:$G$60000,"&gt;="&amp;$O$9,'بنود السندات'!$G$5:$G$60000,"&lt;="&amp;$O$10))</f>
        <v>0</v>
      </c>
    </row>
    <row r="14" customFormat="false" ht="15" hidden="false" customHeight="false" outlineLevel="0" collapsed="false">
      <c r="B14" s="90" t="str">
        <f aca="false">IFERROR(INDEX(الإعدادات!$E$5:$E$64,6)&amp;"","")</f>
        <v>الطائف</v>
      </c>
      <c r="C14" s="91" t="n">
        <f aca="false">IF(B14="","",SUMIFS('بنود السندات'!$E$5:$E$60000,'بنود السندات'!$C$5:$C$60000,B14))</f>
        <v>0</v>
      </c>
      <c r="D14" s="91" t="n">
        <f aca="false">IF(B14="","",SUMIFS('بنود السندات'!$F$5:$F$60000,'بنود السندات'!$C$5:$C$60000,B14))</f>
        <v>0</v>
      </c>
      <c r="F14" s="90" t="s">
        <v>140</v>
      </c>
      <c r="G14" s="92" t="n">
        <f aca="false">COUNTIFS('سجل السندات'!$C$5:$C$20000,"&gt;="&amp;DATE($K$3,6,1),'سجل السندات'!$C$5:$C$20000,"&lt;"&amp;DATE($K$3,7,1))</f>
        <v>0</v>
      </c>
      <c r="H14" s="91" t="n">
        <f aca="false">SUMIFS('سجل السندات'!$L$5:$L$20000,'سجل السندات'!$C$5:$C$20000,"&gt;="&amp;DATE($K$3,6,1),'سجل السندات'!$C$5:$C$20000,"&lt;"&amp;DATE($K$3,7,1))</f>
        <v>0</v>
      </c>
      <c r="N14" s="90" t="str">
        <f aca="false">IFERROR(INDEX(الإعدادات!$G$5:$G$64,3)&amp;"","")</f>
        <v>البنك الأهلي</v>
      </c>
      <c r="O14" s="91" t="n">
        <f aca="false">IF(N14="","",SUMIFS('بنود السندات'!$E$5:$E$60000,'بنود السندات'!$D$5:$D$60000,N14,'بنود السندات'!$G$5:$G$60000,"&gt;="&amp;$O$9,'بنود السندات'!$G$5:$G$60000,"&lt;="&amp;$O$10))</f>
        <v>0</v>
      </c>
      <c r="P14" s="91" t="n">
        <f aca="false">IF(N14="","",SUMIFS('بنود السندات'!$F$5:$F$60000,'بنود السندات'!$D$5:$D$60000,N14,'بنود السندات'!$G$5:$G$60000,"&gt;="&amp;$O$9,'بنود السندات'!$G$5:$G$60000,"&lt;="&amp;$O$10))</f>
        <v>37500.5</v>
      </c>
    </row>
    <row r="15" customFormat="false" ht="15" hidden="false" customHeight="false" outlineLevel="0" collapsed="false">
      <c r="B15" s="90" t="str">
        <f aca="false">IFERROR(INDEX(الإعدادات!$E$5:$E$64,7)&amp;"","")</f>
        <v/>
      </c>
      <c r="C15" s="91" t="str">
        <f aca="false">IF(B15="","",SUMIFS('بنود السندات'!$E$5:$E$60000,'بنود السندات'!$C$5:$C$60000,B15))</f>
        <v/>
      </c>
      <c r="D15" s="91" t="str">
        <f aca="false">IF(B15="","",SUMIFS('بنود السندات'!$F$5:$F$60000,'بنود السندات'!$C$5:$C$60000,B15))</f>
        <v/>
      </c>
      <c r="F15" s="90" t="s">
        <v>141</v>
      </c>
      <c r="G15" s="92" t="n">
        <f aca="false">COUNTIFS('سجل السندات'!$C$5:$C$20000,"&gt;="&amp;DATE($K$3,7,1),'سجل السندات'!$C$5:$C$20000,"&lt;"&amp;DATE($K$3,8,1))</f>
        <v>0</v>
      </c>
      <c r="H15" s="91" t="n">
        <f aca="false">SUMIFS('سجل السندات'!$L$5:$L$20000,'سجل السندات'!$C$5:$C$20000,"&gt;="&amp;DATE($K$3,7,1),'سجل السندات'!$C$5:$C$20000,"&lt;"&amp;DATE($K$3,8,1))</f>
        <v>0</v>
      </c>
      <c r="N15" s="90" t="str">
        <f aca="false">IFERROR(INDEX(الإعدادات!$G$5:$G$64,4)&amp;"","")</f>
        <v>مصرف الراجحي</v>
      </c>
      <c r="O15" s="91" t="n">
        <f aca="false">IF(N15="","",SUMIFS('بنود السندات'!$E$5:$E$60000,'بنود السندات'!$D$5:$D$60000,N15,'بنود السندات'!$G$5:$G$60000,"&gt;="&amp;$O$9,'بنود السندات'!$G$5:$G$60000,"&lt;="&amp;$O$10))</f>
        <v>0</v>
      </c>
      <c r="P15" s="91" t="n">
        <f aca="false">IF(N15="","",SUMIFS('بنود السندات'!$F$5:$F$60000,'بنود السندات'!$D$5:$D$60000,N15,'بنود السندات'!$G$5:$G$60000,"&gt;="&amp;$O$9,'بنود السندات'!$G$5:$G$60000,"&lt;="&amp;$O$10))</f>
        <v>4830</v>
      </c>
    </row>
    <row r="16" customFormat="false" ht="15" hidden="false" customHeight="false" outlineLevel="0" collapsed="false">
      <c r="B16" s="90" t="str">
        <f aca="false">IFERROR(INDEX(الإعدادات!$E$5:$E$64,8)&amp;"","")</f>
        <v/>
      </c>
      <c r="C16" s="91" t="str">
        <f aca="false">IF(B16="","",SUMIFS('بنود السندات'!$E$5:$E$60000,'بنود السندات'!$C$5:$C$60000,B16))</f>
        <v/>
      </c>
      <c r="D16" s="91" t="str">
        <f aca="false">IF(B16="","",SUMIFS('بنود السندات'!$F$5:$F$60000,'بنود السندات'!$C$5:$C$60000,B16))</f>
        <v/>
      </c>
      <c r="F16" s="90" t="s">
        <v>142</v>
      </c>
      <c r="G16" s="92" t="n">
        <f aca="false">COUNTIFS('سجل السندات'!$C$5:$C$20000,"&gt;="&amp;DATE($K$3,8,1),'سجل السندات'!$C$5:$C$20000,"&lt;"&amp;DATE($K$3,9,1))</f>
        <v>2</v>
      </c>
      <c r="H16" s="91" t="n">
        <f aca="false">SUMIFS('سجل السندات'!$L$5:$L$20000,'سجل السندات'!$C$5:$C$20000,"&gt;="&amp;DATE($K$3,8,1),'سجل السندات'!$C$5:$C$20000,"&lt;"&amp;DATE($K$3,9,1))</f>
        <v>40500.5</v>
      </c>
      <c r="N16" s="90" t="str">
        <f aca="false">IFERROR(INDEX(الإعدادات!$G$5:$G$64,5)&amp;"","")</f>
        <v>عهد وسلف موظفين</v>
      </c>
      <c r="O16" s="91" t="n">
        <f aca="false">IF(N16="","",SUMIFS('بنود السندات'!$E$5:$E$60000,'بنود السندات'!$D$5:$D$60000,N16,'بنود السندات'!$G$5:$G$60000,"&gt;="&amp;$O$9,'بنود السندات'!$G$5:$G$60000,"&lt;="&amp;$O$10))</f>
        <v>0</v>
      </c>
      <c r="P16" s="91" t="n">
        <f aca="false">IF(N16="","",SUMIFS('بنود السندات'!$F$5:$F$60000,'بنود السندات'!$D$5:$D$60000,N16,'بنود السندات'!$G$5:$G$60000,"&gt;="&amp;$O$9,'بنود السندات'!$G$5:$G$60000,"&lt;="&amp;$O$10))</f>
        <v>0</v>
      </c>
    </row>
    <row r="17" customFormat="false" ht="15" hidden="false" customHeight="false" outlineLevel="0" collapsed="false">
      <c r="B17" s="90" t="str">
        <f aca="false">IFERROR(INDEX(الإعدادات!$E$5:$E$64,9)&amp;"","")</f>
        <v/>
      </c>
      <c r="C17" s="91" t="str">
        <f aca="false">IF(B17="","",SUMIFS('بنود السندات'!$E$5:$E$60000,'بنود السندات'!$C$5:$C$60000,B17))</f>
        <v/>
      </c>
      <c r="D17" s="91" t="str">
        <f aca="false">IF(B17="","",SUMIFS('بنود السندات'!$F$5:$F$60000,'بنود السندات'!$C$5:$C$60000,B17))</f>
        <v/>
      </c>
      <c r="F17" s="90" t="s">
        <v>143</v>
      </c>
      <c r="G17" s="92" t="n">
        <f aca="false">COUNTIFS('سجل السندات'!$C$5:$C$20000,"&gt;="&amp;DATE($K$3,9,1),'سجل السندات'!$C$5:$C$20000,"&lt;"&amp;DATE($K$3,10,1))</f>
        <v>1</v>
      </c>
      <c r="H17" s="91" t="n">
        <f aca="false">SUMIFS('سجل السندات'!$L$5:$L$20000,'سجل السندات'!$C$5:$C$20000,"&gt;="&amp;DATE($K$3,9,1),'سجل السندات'!$C$5:$C$20000,"&lt;"&amp;DATE($K$3,10,1))</f>
        <v>4830</v>
      </c>
      <c r="N17" s="90" t="str">
        <f aca="false">IFERROR(INDEX(الإعدادات!$G$5:$G$64,6)&amp;"","")</f>
        <v>ذمم موظفين</v>
      </c>
      <c r="O17" s="91" t="n">
        <f aca="false">IF(N17="","",SUMIFS('بنود السندات'!$E$5:$E$60000,'بنود السندات'!$D$5:$D$60000,N17,'بنود السندات'!$G$5:$G$60000,"&gt;="&amp;$O$9,'بنود السندات'!$G$5:$G$60000,"&lt;="&amp;$O$10))</f>
        <v>3000</v>
      </c>
      <c r="P17" s="91" t="n">
        <f aca="false">IF(N17="","",SUMIFS('بنود السندات'!$F$5:$F$60000,'بنود السندات'!$D$5:$D$60000,N17,'بنود السندات'!$G$5:$G$60000,"&gt;="&amp;$O$9,'بنود السندات'!$G$5:$G$60000,"&lt;="&amp;$O$10))</f>
        <v>0</v>
      </c>
    </row>
    <row r="18" customFormat="false" ht="15" hidden="false" customHeight="false" outlineLevel="0" collapsed="false">
      <c r="B18" s="90" t="str">
        <f aca="false">IFERROR(INDEX(الإعدادات!$E$5:$E$64,10)&amp;"","")</f>
        <v/>
      </c>
      <c r="C18" s="91" t="str">
        <f aca="false">IF(B18="","",SUMIFS('بنود السندات'!$E$5:$E$60000,'بنود السندات'!$C$5:$C$60000,B18))</f>
        <v/>
      </c>
      <c r="D18" s="91" t="str">
        <f aca="false">IF(B18="","",SUMIFS('بنود السندات'!$F$5:$F$60000,'بنود السندات'!$C$5:$C$60000,B18))</f>
        <v/>
      </c>
      <c r="F18" s="90" t="s">
        <v>144</v>
      </c>
      <c r="G18" s="92" t="n">
        <f aca="false">COUNTIFS('سجل السندات'!$C$5:$C$20000,"&gt;="&amp;DATE($K$3,10,1),'سجل السندات'!$C$5:$C$20000,"&lt;"&amp;DATE($K$3,11,1))</f>
        <v>0</v>
      </c>
      <c r="H18" s="91" t="n">
        <f aca="false">SUMIFS('سجل السندات'!$L$5:$L$20000,'سجل السندات'!$C$5:$C$20000,"&gt;="&amp;DATE($K$3,10,1),'سجل السندات'!$C$5:$C$20000,"&lt;"&amp;DATE($K$3,11,1))</f>
        <v>0</v>
      </c>
      <c r="N18" s="90" t="str">
        <f aca="false">IFERROR(INDEX(الإعدادات!$G$5:$G$64,7)&amp;"","")</f>
        <v>مصروفات عمومية وإدارية</v>
      </c>
      <c r="O18" s="91" t="n">
        <f aca="false">IF(N18="","",SUMIFS('بنود السندات'!$E$5:$E$60000,'بنود السندات'!$D$5:$D$60000,N18,'بنود السندات'!$G$5:$G$60000,"&gt;="&amp;$O$9,'بنود السندات'!$G$5:$G$60000,"&lt;="&amp;$O$10))</f>
        <v>0</v>
      </c>
      <c r="P18" s="91" t="n">
        <f aca="false">IF(N18="","",SUMIFS('بنود السندات'!$F$5:$F$60000,'بنود السندات'!$D$5:$D$60000,N18,'بنود السندات'!$G$5:$G$60000,"&gt;="&amp;$O$9,'بنود السندات'!$G$5:$G$60000,"&lt;="&amp;$O$10))</f>
        <v>0</v>
      </c>
    </row>
    <row r="19" customFormat="false" ht="15" hidden="false" customHeight="false" outlineLevel="0" collapsed="false">
      <c r="B19" s="90" t="str">
        <f aca="false">IFERROR(INDEX(الإعدادات!$E$5:$E$64,11)&amp;"","")</f>
        <v/>
      </c>
      <c r="C19" s="91" t="str">
        <f aca="false">IF(B19="","",SUMIFS('بنود السندات'!$E$5:$E$60000,'بنود السندات'!$C$5:$C$60000,B19))</f>
        <v/>
      </c>
      <c r="D19" s="91" t="str">
        <f aca="false">IF(B19="","",SUMIFS('بنود السندات'!$F$5:$F$60000,'بنود السندات'!$C$5:$C$60000,B19))</f>
        <v/>
      </c>
      <c r="F19" s="90" t="s">
        <v>145</v>
      </c>
      <c r="G19" s="92" t="n">
        <f aca="false">COUNTIFS('سجل السندات'!$C$5:$C$20000,"&gt;="&amp;DATE($K$3,11,1),'سجل السندات'!$C$5:$C$20000,"&lt;"&amp;DATE($K$3,12,1))</f>
        <v>0</v>
      </c>
      <c r="H19" s="91" t="n">
        <f aca="false">SUMIFS('سجل السندات'!$L$5:$L$20000,'سجل السندات'!$C$5:$C$20000,"&gt;="&amp;DATE($K$3,11,1),'سجل السندات'!$C$5:$C$20000,"&lt;"&amp;DATE($K$3,12,1))</f>
        <v>0</v>
      </c>
      <c r="N19" s="90" t="str">
        <f aca="false">IFERROR(INDEX(الإعدادات!$G$5:$G$64,8)&amp;"","")</f>
        <v>رواتب وأجور</v>
      </c>
      <c r="O19" s="91" t="n">
        <f aca="false">IF(N19="","",SUMIFS('بنود السندات'!$E$5:$E$60000,'بنود السندات'!$D$5:$D$60000,N19,'بنود السندات'!$G$5:$G$60000,"&gt;="&amp;$O$9,'بنود السندات'!$G$5:$G$60000,"&lt;="&amp;$O$10))</f>
        <v>0</v>
      </c>
      <c r="P19" s="91" t="n">
        <f aca="false">IF(N19="","",SUMIFS('بنود السندات'!$F$5:$F$60000,'بنود السندات'!$D$5:$D$60000,N19,'بنود السندات'!$G$5:$G$60000,"&gt;="&amp;$O$9,'بنود السندات'!$G$5:$G$60000,"&lt;="&amp;$O$10))</f>
        <v>0</v>
      </c>
    </row>
    <row r="20" customFormat="false" ht="15" hidden="false" customHeight="false" outlineLevel="0" collapsed="false">
      <c r="B20" s="90" t="str">
        <f aca="false">IFERROR(INDEX(الإعدادات!$E$5:$E$64,12)&amp;"","")</f>
        <v/>
      </c>
      <c r="C20" s="91" t="str">
        <f aca="false">IF(B20="","",SUMIFS('بنود السندات'!$E$5:$E$60000,'بنود السندات'!$C$5:$C$60000,B20))</f>
        <v/>
      </c>
      <c r="D20" s="91" t="str">
        <f aca="false">IF(B20="","",SUMIFS('بنود السندات'!$F$5:$F$60000,'بنود السندات'!$C$5:$C$60000,B20))</f>
        <v/>
      </c>
      <c r="F20" s="90" t="s">
        <v>146</v>
      </c>
      <c r="G20" s="92" t="n">
        <f aca="false">COUNTIFS('سجل السندات'!$C$5:$C$20000,"&gt;="&amp;DATE($K$3,12,1),'سجل السندات'!$C$5:$C$20000,"&lt;"&amp;DATE($K$3,13,1))</f>
        <v>0</v>
      </c>
      <c r="H20" s="91" t="n">
        <f aca="false">SUMIFS('سجل السندات'!$L$5:$L$20000,'سجل السندات'!$C$5:$C$20000,"&gt;="&amp;DATE($K$3,12,1),'سجل السندات'!$C$5:$C$20000,"&lt;"&amp;DATE($K$3,13,1))</f>
        <v>0</v>
      </c>
      <c r="N20" s="90" t="str">
        <f aca="false">IFERROR(INDEX(الإعدادات!$G$5:$G$64,9)&amp;"","")</f>
        <v>مواد ومشتريات مشاريع</v>
      </c>
      <c r="O20" s="91" t="n">
        <f aca="false">IF(N20="","",SUMIFS('بنود السندات'!$E$5:$E$60000,'بنود السندات'!$D$5:$D$60000,N20,'بنود السندات'!$G$5:$G$60000,"&gt;="&amp;$O$9,'بنود السندات'!$G$5:$G$60000,"&lt;="&amp;$O$10))</f>
        <v>37500.5</v>
      </c>
      <c r="P20" s="91" t="n">
        <f aca="false">IF(N20="","",SUMIFS('بنود السندات'!$F$5:$F$60000,'بنود السندات'!$D$5:$D$60000,N20,'بنود السندات'!$G$5:$G$60000,"&gt;="&amp;$O$9,'بنود السندات'!$G$5:$G$60000,"&lt;="&amp;$O$10))</f>
        <v>0</v>
      </c>
    </row>
    <row r="21" customFormat="false" ht="15" hidden="false" customHeight="false" outlineLevel="0" collapsed="false">
      <c r="B21" s="96" t="s">
        <v>138</v>
      </c>
      <c r="C21" s="97" t="n">
        <f aca="false">SUM(C9:C20)</f>
        <v>45330.5</v>
      </c>
      <c r="D21" s="97" t="n">
        <f aca="false">SUM(D9:D20)</f>
        <v>45330.5</v>
      </c>
      <c r="F21" s="96" t="s">
        <v>138</v>
      </c>
      <c r="G21" s="98" t="n">
        <f aca="false">SUM(G9:G20)</f>
        <v>3</v>
      </c>
      <c r="H21" s="97" t="n">
        <f aca="false">SUM(H9:H20)</f>
        <v>45330.5</v>
      </c>
      <c r="N21" s="90" t="str">
        <f aca="false">IFERROR(INDEX(الإعدادات!$G$5:$G$64,10)&amp;"","")</f>
        <v>مقاولو الباطن</v>
      </c>
      <c r="O21" s="91" t="n">
        <f aca="false">IF(N21="","",SUMIFS('بنود السندات'!$E$5:$E$60000,'بنود السندات'!$D$5:$D$60000,N21,'بنود السندات'!$G$5:$G$60000,"&gt;="&amp;$O$9,'بنود السندات'!$G$5:$G$60000,"&lt;="&amp;$O$10))</f>
        <v>0</v>
      </c>
      <c r="P21" s="91" t="n">
        <f aca="false">IF(N21="","",SUMIFS('بنود السندات'!$F$5:$F$60000,'بنود السندات'!$D$5:$D$60000,N21,'بنود السندات'!$G$5:$G$60000,"&gt;="&amp;$O$9,'بنود السندات'!$G$5:$G$60000,"&lt;="&amp;$O$10))</f>
        <v>0</v>
      </c>
    </row>
    <row r="22" customFormat="false" ht="15" hidden="false" customHeight="false" outlineLevel="0" collapsed="false">
      <c r="N22" s="90" t="str">
        <f aca="false">IFERROR(INDEX(الإعدادات!$G$5:$G$64,11)&amp;"","")</f>
        <v>إيجارات</v>
      </c>
      <c r="O22" s="91" t="n">
        <f aca="false">IF(N22="","",SUMIFS('بنود السندات'!$E$5:$E$60000,'بنود السندات'!$D$5:$D$60000,N22,'بنود السندات'!$G$5:$G$60000,"&gt;="&amp;$O$9,'بنود السندات'!$G$5:$G$60000,"&lt;="&amp;$O$10))</f>
        <v>0</v>
      </c>
      <c r="P22" s="91" t="n">
        <f aca="false">IF(N22="","",SUMIFS('بنود السندات'!$F$5:$F$60000,'بنود السندات'!$D$5:$D$60000,N22,'بنود السندات'!$G$5:$G$60000,"&gt;="&amp;$O$9,'بنود السندات'!$G$5:$G$60000,"&lt;="&amp;$O$10))</f>
        <v>0</v>
      </c>
    </row>
    <row r="23" customFormat="false" ht="15" hidden="false" customHeight="false" outlineLevel="0" collapsed="false">
      <c r="N23" s="90" t="str">
        <f aca="false">IFERROR(INDEX(الإعدادات!$G$5:$G$64,12)&amp;"","")</f>
        <v>صيانة معدات</v>
      </c>
      <c r="O23" s="91" t="n">
        <f aca="false">IF(N23="","",SUMIFS('بنود السندات'!$E$5:$E$60000,'بنود السندات'!$D$5:$D$60000,N23,'بنود السندات'!$G$5:$G$60000,"&gt;="&amp;$O$9,'بنود السندات'!$G$5:$G$60000,"&lt;="&amp;$O$10))</f>
        <v>0</v>
      </c>
      <c r="P23" s="91" t="n">
        <f aca="false">IF(N23="","",SUMIFS('بنود السندات'!$F$5:$F$60000,'بنود السندات'!$D$5:$D$60000,N23,'بنود السندات'!$G$5:$G$60000,"&gt;="&amp;$O$9,'بنود السندات'!$G$5:$G$60000,"&lt;="&amp;$O$10))</f>
        <v>0</v>
      </c>
    </row>
    <row r="24" customFormat="false" ht="15" hidden="false" customHeight="false" outlineLevel="0" collapsed="false">
      <c r="N24" s="90" t="str">
        <f aca="false">IFERROR(INDEX(الإعدادات!$G$5:$G$64,13)&amp;"","")</f>
        <v>وقود ومحروقات</v>
      </c>
      <c r="O24" s="91" t="n">
        <f aca="false">IF(N24="","",SUMIFS('بنود السندات'!$E$5:$E$60000,'بنود السندات'!$D$5:$D$60000,N24,'بنود السندات'!$G$5:$G$60000,"&gt;="&amp;$O$9,'بنود السندات'!$G$5:$G$60000,"&lt;="&amp;$O$10))</f>
        <v>4200</v>
      </c>
      <c r="P24" s="91" t="n">
        <f aca="false">IF(N24="","",SUMIFS('بنود السندات'!$F$5:$F$60000,'بنود السندات'!$D$5:$D$60000,N24,'بنود السندات'!$G$5:$G$60000,"&gt;="&amp;$O$9,'بنود السندات'!$G$5:$G$60000,"&lt;="&amp;$O$10))</f>
        <v>0</v>
      </c>
    </row>
    <row r="25" customFormat="false" ht="15" hidden="false" customHeight="false" outlineLevel="0" collapsed="false">
      <c r="N25" s="90" t="str">
        <f aca="false">IFERROR(INDEX(الإعدادات!$G$5:$G$64,14)&amp;"","")</f>
        <v>ضريبة القيمة المضافة (مدخلات)</v>
      </c>
      <c r="O25" s="91" t="n">
        <f aca="false">IF(N25="","",SUMIFS('بنود السندات'!$E$5:$E$60000,'بنود السندات'!$D$5:$D$60000,N25,'بنود السندات'!$G$5:$G$60000,"&gt;="&amp;$O$9,'بنود السندات'!$G$5:$G$60000,"&lt;="&amp;$O$10))</f>
        <v>630</v>
      </c>
      <c r="P25" s="91" t="n">
        <f aca="false">IF(N25="","",SUMIFS('بنود السندات'!$F$5:$F$60000,'بنود السندات'!$D$5:$D$60000,N25,'بنود السندات'!$G$5:$G$60000,"&gt;="&amp;$O$9,'بنود السندات'!$G$5:$G$60000,"&lt;="&amp;$O$10))</f>
        <v>0</v>
      </c>
    </row>
    <row r="26" customFormat="false" ht="15" hidden="false" customHeight="false" outlineLevel="0" collapsed="false">
      <c r="N26" s="90" t="str">
        <f aca="false">IFERROR(INDEX(الإعدادات!$G$5:$G$64,15)&amp;"","")</f>
        <v>جاري المالك</v>
      </c>
      <c r="O26" s="91" t="n">
        <f aca="false">IF(N26="","",SUMIFS('بنود السندات'!$E$5:$E$60000,'بنود السندات'!$D$5:$D$60000,N26,'بنود السندات'!$G$5:$G$60000,"&gt;="&amp;$O$9,'بنود السندات'!$G$5:$G$60000,"&lt;="&amp;$O$10))</f>
        <v>0</v>
      </c>
      <c r="P26" s="91" t="n">
        <f aca="false">IF(N26="","",SUMIFS('بنود السندات'!$F$5:$F$60000,'بنود السندات'!$D$5:$D$60000,N26,'بنود السندات'!$G$5:$G$60000,"&gt;="&amp;$O$9,'بنود السندات'!$G$5:$G$60000,"&lt;="&amp;$O$10))</f>
        <v>0</v>
      </c>
    </row>
    <row r="27" customFormat="false" ht="15" hidden="false" customHeight="false" outlineLevel="0" collapsed="false">
      <c r="N27" s="90" t="str">
        <f aca="false">IFERROR(INDEX(الإعدادات!$G$5:$G$64,16)&amp;"","")</f>
        <v/>
      </c>
      <c r="O27" s="91" t="str">
        <f aca="false">IF(N27="","",SUMIFS('بنود السندات'!$E$5:$E$60000,'بنود السندات'!$D$5:$D$60000,N27,'بنود السندات'!$G$5:$G$60000,"&gt;="&amp;$O$9,'بنود السندات'!$G$5:$G$60000,"&lt;="&amp;$O$10))</f>
        <v/>
      </c>
      <c r="P27" s="91" t="str">
        <f aca="false">IF(N27="","",SUMIFS('بنود السندات'!$F$5:$F$60000,'بنود السندات'!$D$5:$D$60000,N27,'بنود السندات'!$G$5:$G$60000,"&gt;="&amp;$O$9,'بنود السندات'!$G$5:$G$60000,"&lt;="&amp;$O$10))</f>
        <v/>
      </c>
    </row>
    <row r="28" customFormat="false" ht="15" hidden="false" customHeight="false" outlineLevel="0" collapsed="false">
      <c r="N28" s="90" t="str">
        <f aca="false">IFERROR(INDEX(الإعدادات!$G$5:$G$64,17)&amp;"","")</f>
        <v/>
      </c>
      <c r="O28" s="91" t="str">
        <f aca="false">IF(N28="","",SUMIFS('بنود السندات'!$E$5:$E$60000,'بنود السندات'!$D$5:$D$60000,N28,'بنود السندات'!$G$5:$G$60000,"&gt;="&amp;$O$9,'بنود السندات'!$G$5:$G$60000,"&lt;="&amp;$O$10))</f>
        <v/>
      </c>
      <c r="P28" s="91" t="str">
        <f aca="false">IF(N28="","",SUMIFS('بنود السندات'!$F$5:$F$60000,'بنود السندات'!$D$5:$D$60000,N28,'بنود السندات'!$G$5:$G$60000,"&gt;="&amp;$O$9,'بنود السندات'!$G$5:$G$60000,"&lt;="&amp;$O$10))</f>
        <v/>
      </c>
    </row>
    <row r="29" customFormat="false" ht="15" hidden="false" customHeight="false" outlineLevel="0" collapsed="false">
      <c r="N29" s="90" t="str">
        <f aca="false">IFERROR(INDEX(الإعدادات!$G$5:$G$64,18)&amp;"","")</f>
        <v/>
      </c>
      <c r="O29" s="91" t="str">
        <f aca="false">IF(N29="","",SUMIFS('بنود السندات'!$E$5:$E$60000,'بنود السندات'!$D$5:$D$60000,N29,'بنود السندات'!$G$5:$G$60000,"&gt;="&amp;$O$9,'بنود السندات'!$G$5:$G$60000,"&lt;="&amp;$O$10))</f>
        <v/>
      </c>
      <c r="P29" s="91" t="str">
        <f aca="false">IF(N29="","",SUMIFS('بنود السندات'!$F$5:$F$60000,'بنود السندات'!$D$5:$D$60000,N29,'بنود السندات'!$G$5:$G$60000,"&gt;="&amp;$O$9,'بنود السندات'!$G$5:$G$60000,"&lt;="&amp;$O$10))</f>
        <v/>
      </c>
    </row>
    <row r="30" customFormat="false" ht="15" hidden="false" customHeight="false" outlineLevel="0" collapsed="false">
      <c r="N30" s="90" t="str">
        <f aca="false">IFERROR(INDEX(الإعدادات!$G$5:$G$64,19)&amp;"","")</f>
        <v/>
      </c>
      <c r="O30" s="91" t="str">
        <f aca="false">IF(N30="","",SUMIFS('بنود السندات'!$E$5:$E$60000,'بنود السندات'!$D$5:$D$60000,N30,'بنود السندات'!$G$5:$G$60000,"&gt;="&amp;$O$9,'بنود السندات'!$G$5:$G$60000,"&lt;="&amp;$O$10))</f>
        <v/>
      </c>
      <c r="P30" s="91" t="str">
        <f aca="false">IF(N30="","",SUMIFS('بنود السندات'!$F$5:$F$60000,'بنود السندات'!$D$5:$D$60000,N30,'بنود السندات'!$G$5:$G$60000,"&gt;="&amp;$O$9,'بنود السندات'!$G$5:$G$60000,"&lt;="&amp;$O$10))</f>
        <v/>
      </c>
    </row>
    <row r="31" customFormat="false" ht="15" hidden="false" customHeight="false" outlineLevel="0" collapsed="false">
      <c r="N31" s="90" t="str">
        <f aca="false">IFERROR(INDEX(الإعدادات!$G$5:$G$64,20)&amp;"","")</f>
        <v/>
      </c>
      <c r="O31" s="91" t="str">
        <f aca="false">IF(N31="","",SUMIFS('بنود السندات'!$E$5:$E$60000,'بنود السندات'!$D$5:$D$60000,N31,'بنود السندات'!$G$5:$G$60000,"&gt;="&amp;$O$9,'بنود السندات'!$G$5:$G$60000,"&lt;="&amp;$O$10))</f>
        <v/>
      </c>
      <c r="P31" s="91" t="str">
        <f aca="false">IF(N31="","",SUMIFS('بنود السندات'!$F$5:$F$60000,'بنود السندات'!$D$5:$D$60000,N31,'بنود السندات'!$G$5:$G$60000,"&gt;="&amp;$O$9,'بنود السندات'!$G$5:$G$60000,"&lt;="&amp;$O$10))</f>
        <v/>
      </c>
    </row>
    <row r="32" customFormat="false" ht="15" hidden="false" customHeight="false" outlineLevel="0" collapsed="false">
      <c r="N32" s="90" t="str">
        <f aca="false">IFERROR(INDEX(الإعدادات!$G$5:$G$64,21)&amp;"","")</f>
        <v/>
      </c>
      <c r="O32" s="91" t="str">
        <f aca="false">IF(N32="","",SUMIFS('بنود السندات'!$E$5:$E$60000,'بنود السندات'!$D$5:$D$60000,N32,'بنود السندات'!$G$5:$G$60000,"&gt;="&amp;$O$9,'بنود السندات'!$G$5:$G$60000,"&lt;="&amp;$O$10))</f>
        <v/>
      </c>
      <c r="P32" s="91" t="str">
        <f aca="false">IF(N32="","",SUMIFS('بنود السندات'!$F$5:$F$60000,'بنود السندات'!$D$5:$D$60000,N32,'بنود السندات'!$G$5:$G$60000,"&gt;="&amp;$O$9,'بنود السندات'!$G$5:$G$60000,"&lt;="&amp;$O$10))</f>
        <v/>
      </c>
    </row>
    <row r="33" customFormat="false" ht="15" hidden="false" customHeight="false" outlineLevel="0" collapsed="false">
      <c r="N33" s="90" t="str">
        <f aca="false">IFERROR(INDEX(الإعدادات!$G$5:$G$64,22)&amp;"","")</f>
        <v/>
      </c>
      <c r="O33" s="91" t="str">
        <f aca="false">IF(N33="","",SUMIFS('بنود السندات'!$E$5:$E$60000,'بنود السندات'!$D$5:$D$60000,N33,'بنود السندات'!$G$5:$G$60000,"&gt;="&amp;$O$9,'بنود السندات'!$G$5:$G$60000,"&lt;="&amp;$O$10))</f>
        <v/>
      </c>
      <c r="P33" s="91" t="str">
        <f aca="false">IF(N33="","",SUMIFS('بنود السندات'!$F$5:$F$60000,'بنود السندات'!$D$5:$D$60000,N33,'بنود السندات'!$G$5:$G$60000,"&gt;="&amp;$O$9,'بنود السندات'!$G$5:$G$60000,"&lt;="&amp;$O$10))</f>
        <v/>
      </c>
    </row>
    <row r="34" customFormat="false" ht="15" hidden="false" customHeight="false" outlineLevel="0" collapsed="false">
      <c r="N34" s="90" t="str">
        <f aca="false">IFERROR(INDEX(الإعدادات!$G$5:$G$64,23)&amp;"","")</f>
        <v/>
      </c>
      <c r="O34" s="91" t="str">
        <f aca="false">IF(N34="","",SUMIFS('بنود السندات'!$E$5:$E$60000,'بنود السندات'!$D$5:$D$60000,N34,'بنود السندات'!$G$5:$G$60000,"&gt;="&amp;$O$9,'بنود السندات'!$G$5:$G$60000,"&lt;="&amp;$O$10))</f>
        <v/>
      </c>
      <c r="P34" s="91" t="str">
        <f aca="false">IF(N34="","",SUMIFS('بنود السندات'!$F$5:$F$60000,'بنود السندات'!$D$5:$D$60000,N34,'بنود السندات'!$G$5:$G$60000,"&gt;="&amp;$O$9,'بنود السندات'!$G$5:$G$60000,"&lt;="&amp;$O$10))</f>
        <v/>
      </c>
    </row>
    <row r="35" customFormat="false" ht="15" hidden="false" customHeight="false" outlineLevel="0" collapsed="false">
      <c r="N35" s="90" t="str">
        <f aca="false">IFERROR(INDEX(الإعدادات!$G$5:$G$64,24)&amp;"","")</f>
        <v/>
      </c>
      <c r="O35" s="91" t="str">
        <f aca="false">IF(N35="","",SUMIFS('بنود السندات'!$E$5:$E$60000,'بنود السندات'!$D$5:$D$60000,N35,'بنود السندات'!$G$5:$G$60000,"&gt;="&amp;$O$9,'بنود السندات'!$G$5:$G$60000,"&lt;="&amp;$O$10))</f>
        <v/>
      </c>
      <c r="P35" s="91" t="str">
        <f aca="false">IF(N35="","",SUMIFS('بنود السندات'!$F$5:$F$60000,'بنود السندات'!$D$5:$D$60000,N35,'بنود السندات'!$G$5:$G$60000,"&gt;="&amp;$O$9,'بنود السندات'!$G$5:$G$60000,"&lt;="&amp;$O$10))</f>
        <v/>
      </c>
    </row>
    <row r="36" customFormat="false" ht="15" hidden="false" customHeight="false" outlineLevel="0" collapsed="false">
      <c r="N36" s="90" t="str">
        <f aca="false">IFERROR(INDEX(الإعدادات!$G$5:$G$64,25)&amp;"","")</f>
        <v/>
      </c>
      <c r="O36" s="91" t="str">
        <f aca="false">IF(N36="","",SUMIFS('بنود السندات'!$E$5:$E$60000,'بنود السندات'!$D$5:$D$60000,N36,'بنود السندات'!$G$5:$G$60000,"&gt;="&amp;$O$9,'بنود السندات'!$G$5:$G$60000,"&lt;="&amp;$O$10))</f>
        <v/>
      </c>
      <c r="P36" s="91" t="str">
        <f aca="false">IF(N36="","",SUMIFS('بنود السندات'!$F$5:$F$60000,'بنود السندات'!$D$5:$D$60000,N36,'بنود السندات'!$G$5:$G$60000,"&gt;="&amp;$O$9,'بنود السندات'!$G$5:$G$60000,"&lt;="&amp;$O$10))</f>
        <v/>
      </c>
    </row>
    <row r="37" customFormat="false" ht="15" hidden="false" customHeight="false" outlineLevel="0" collapsed="false">
      <c r="N37" s="96" t="s">
        <v>138</v>
      </c>
      <c r="O37" s="97" t="n">
        <f aca="false">SUM(O12:O36)</f>
        <v>45330.5</v>
      </c>
      <c r="P37" s="97" t="n">
        <f aca="false">SUM(P12:P36)</f>
        <v>45330.5</v>
      </c>
    </row>
    <row r="38" customFormat="false" ht="15" hidden="false" customHeight="true" outlineLevel="0" collapsed="false">
      <c r="N38" s="99" t="s">
        <v>147</v>
      </c>
      <c r="O38" s="99"/>
      <c r="P38" s="99"/>
    </row>
    <row r="39" customFormat="false" ht="15" hidden="false" customHeight="false" outlineLevel="0" collapsed="false">
      <c r="N39" s="99"/>
      <c r="O39" s="99"/>
      <c r="P39" s="99"/>
    </row>
  </sheetData>
  <mergeCells count="16">
    <mergeCell ref="B1:P1"/>
    <mergeCell ref="B2:P2"/>
    <mergeCell ref="B5:C5"/>
    <mergeCell ref="D5:F5"/>
    <mergeCell ref="G5:H5"/>
    <mergeCell ref="J5:K5"/>
    <mergeCell ref="N5:P5"/>
    <mergeCell ref="B6:C6"/>
    <mergeCell ref="D6:F6"/>
    <mergeCell ref="G6:H6"/>
    <mergeCell ref="J6:K6"/>
    <mergeCell ref="N6:P6"/>
    <mergeCell ref="N8:P8"/>
    <mergeCell ref="O9:P9"/>
    <mergeCell ref="O10:P10"/>
    <mergeCell ref="N38:P39"/>
  </mergeCells>
  <hyperlinks>
    <hyperlink ref="B3" location="'سند الصرف'!C12" display="✍ سند الصرف"/>
    <hyperlink ref="C3" location="'سجل السندات'!A1" display="🧾 السجل"/>
    <hyperlink ref="D3" location="'بنود السندات'!A1" display="📋 البنود"/>
  </hyperlink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codeName="shSet" filterMode="false">
    <tabColor rgb="FF9A6B00"/>
    <pageSetUpPr fitToPage="true"/>
  </sheetPr>
  <dimension ref="B1:I64"/>
  <sheetViews>
    <sheetView showFormulas="false" showGridLines="false" showRowColHeaders="true" showZeros="true" rightToLeft="true" tabSelected="false" showOutlineSymbols="true" defaultGridColor="true" view="normal" topLeftCell="A1" colorId="64" zoomScale="90" zoomScaleNormal="9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2"/>
    <col collapsed="false" customWidth="true" hidden="false" outlineLevel="0" max="2" min="2" style="0" width="28"/>
    <col collapsed="false" customWidth="true" hidden="false" outlineLevel="0" max="3" min="3" style="0" width="42"/>
    <col collapsed="false" customWidth="true" hidden="false" outlineLevel="0" max="4" min="4" style="0" width="3"/>
    <col collapsed="false" customWidth="true" hidden="false" outlineLevel="0" max="5" min="5" style="0" width="24"/>
    <col collapsed="false" customWidth="true" hidden="false" outlineLevel="0" max="6" min="6" style="0" width="3"/>
    <col collapsed="false" customWidth="true" hidden="false" outlineLevel="0" max="7" min="7" style="0" width="32"/>
    <col collapsed="false" customWidth="true" hidden="false" outlineLevel="0" max="8" min="8" style="0" width="3"/>
    <col collapsed="false" customWidth="true" hidden="false" outlineLevel="0" max="9" min="9" style="0" width="22"/>
  </cols>
  <sheetData>
    <row r="1" customFormat="false" ht="33.75" hidden="false" customHeight="true" outlineLevel="0" collapsed="false">
      <c r="B1" s="62" t="s">
        <v>148</v>
      </c>
      <c r="C1" s="62"/>
      <c r="D1" s="62"/>
      <c r="E1" s="62"/>
      <c r="F1" s="62"/>
      <c r="G1" s="62"/>
      <c r="H1" s="62"/>
      <c r="I1" s="62"/>
    </row>
    <row r="2" customFormat="false" ht="19.5" hidden="false" customHeight="true" outlineLevel="0" collapsed="false">
      <c r="B2" s="63" t="s">
        <v>149</v>
      </c>
      <c r="C2" s="63"/>
      <c r="D2" s="63"/>
      <c r="E2" s="63"/>
      <c r="F2" s="63"/>
      <c r="G2" s="63"/>
      <c r="H2" s="63"/>
      <c r="I2" s="63"/>
    </row>
    <row r="4" customFormat="false" ht="15" hidden="false" customHeight="false" outlineLevel="0" collapsed="false">
      <c r="B4" s="96" t="s">
        <v>150</v>
      </c>
      <c r="C4" s="96" t="s">
        <v>151</v>
      </c>
      <c r="E4" s="100" t="s">
        <v>152</v>
      </c>
      <c r="G4" s="100" t="s">
        <v>153</v>
      </c>
      <c r="I4" s="100" t="s">
        <v>154</v>
      </c>
    </row>
    <row r="5" customFormat="false" ht="15" hidden="false" customHeight="false" outlineLevel="0" collapsed="false">
      <c r="B5" s="101" t="s">
        <v>155</v>
      </c>
      <c r="C5" s="102" t="s">
        <v>156</v>
      </c>
      <c r="E5" s="102" t="s">
        <v>34</v>
      </c>
      <c r="G5" s="102" t="s">
        <v>32</v>
      </c>
      <c r="I5" s="103" t="s">
        <v>28</v>
      </c>
    </row>
    <row r="6" customFormat="false" ht="15" hidden="false" customHeight="false" outlineLevel="0" collapsed="false">
      <c r="B6" s="101" t="s">
        <v>157</v>
      </c>
      <c r="C6" s="102" t="s">
        <v>158</v>
      </c>
      <c r="E6" s="102" t="s">
        <v>103</v>
      </c>
      <c r="G6" s="102" t="s">
        <v>159</v>
      </c>
      <c r="I6" s="103" t="s">
        <v>90</v>
      </c>
    </row>
    <row r="7" customFormat="false" ht="15" hidden="false" customHeight="false" outlineLevel="0" collapsed="false">
      <c r="B7" s="101" t="s">
        <v>160</v>
      </c>
      <c r="C7" s="102" t="s">
        <v>161</v>
      </c>
      <c r="E7" s="102" t="s">
        <v>116</v>
      </c>
      <c r="G7" s="102" t="s">
        <v>93</v>
      </c>
      <c r="I7" s="103" t="s">
        <v>99</v>
      </c>
    </row>
    <row r="8" customFormat="false" ht="15" hidden="false" customHeight="false" outlineLevel="0" collapsed="false">
      <c r="B8" s="101" t="s">
        <v>162</v>
      </c>
      <c r="C8" s="102" t="s">
        <v>163</v>
      </c>
      <c r="E8" s="102" t="s">
        <v>164</v>
      </c>
      <c r="G8" s="102" t="s">
        <v>102</v>
      </c>
    </row>
    <row r="9" customFormat="false" ht="19.4" hidden="false" customHeight="false" outlineLevel="0" collapsed="false">
      <c r="B9" s="101" t="s">
        <v>165</v>
      </c>
      <c r="C9" s="102" t="s">
        <v>166</v>
      </c>
      <c r="E9" s="102" t="s">
        <v>167</v>
      </c>
      <c r="G9" s="102" t="s">
        <v>168</v>
      </c>
      <c r="I9" s="104" t="s">
        <v>169</v>
      </c>
    </row>
    <row r="10" customFormat="false" ht="15" hidden="false" customHeight="false" outlineLevel="0" collapsed="false">
      <c r="B10" s="101" t="s">
        <v>170</v>
      </c>
      <c r="C10" s="102" t="s">
        <v>171</v>
      </c>
      <c r="E10" s="102" t="s">
        <v>172</v>
      </c>
      <c r="G10" s="102" t="s">
        <v>41</v>
      </c>
    </row>
    <row r="11" customFormat="false" ht="15" hidden="false" customHeight="false" outlineLevel="0" collapsed="false">
      <c r="B11" s="101" t="s">
        <v>173</v>
      </c>
      <c r="C11" s="102" t="s">
        <v>174</v>
      </c>
      <c r="E11" s="102"/>
      <c r="G11" s="102" t="s">
        <v>175</v>
      </c>
    </row>
    <row r="12" customFormat="false" ht="15" hidden="false" customHeight="false" outlineLevel="0" collapsed="false">
      <c r="B12" s="101" t="s">
        <v>176</v>
      </c>
      <c r="C12" s="102" t="s">
        <v>177</v>
      </c>
      <c r="E12" s="102"/>
      <c r="G12" s="102" t="s">
        <v>178</v>
      </c>
    </row>
    <row r="13" customFormat="false" ht="15" hidden="false" customHeight="false" outlineLevel="0" collapsed="false">
      <c r="B13" s="101" t="s">
        <v>179</v>
      </c>
      <c r="C13" s="102" t="s">
        <v>180</v>
      </c>
      <c r="E13" s="102"/>
      <c r="G13" s="102" t="s">
        <v>115</v>
      </c>
    </row>
    <row r="14" customFormat="false" ht="15" hidden="false" customHeight="false" outlineLevel="0" collapsed="false">
      <c r="B14" s="101" t="s">
        <v>181</v>
      </c>
      <c r="C14" s="105" t="n">
        <v>1001</v>
      </c>
      <c r="E14" s="102"/>
      <c r="G14" s="102" t="s">
        <v>182</v>
      </c>
    </row>
    <row r="15" customFormat="false" ht="15" hidden="false" customHeight="false" outlineLevel="0" collapsed="false">
      <c r="B15" s="101" t="s">
        <v>61</v>
      </c>
      <c r="C15" s="102" t="s">
        <v>183</v>
      </c>
      <c r="E15" s="102"/>
      <c r="G15" s="102" t="s">
        <v>184</v>
      </c>
    </row>
    <row r="16" customFormat="false" ht="15" hidden="false" customHeight="false" outlineLevel="0" collapsed="false">
      <c r="B16" s="101" t="s">
        <v>62</v>
      </c>
      <c r="C16" s="102"/>
      <c r="E16" s="102"/>
      <c r="G16" s="102" t="s">
        <v>185</v>
      </c>
    </row>
    <row r="17" customFormat="false" ht="15" hidden="false" customHeight="false" outlineLevel="0" collapsed="false">
      <c r="B17" s="101" t="s">
        <v>63</v>
      </c>
      <c r="C17" s="102" t="s">
        <v>18</v>
      </c>
      <c r="E17" s="102"/>
      <c r="G17" s="102" t="s">
        <v>117</v>
      </c>
    </row>
    <row r="18" customFormat="false" ht="15" hidden="false" customHeight="false" outlineLevel="0" collapsed="false">
      <c r="B18" s="101" t="s">
        <v>186</v>
      </c>
      <c r="C18" s="102" t="s">
        <v>28</v>
      </c>
      <c r="E18" s="102"/>
      <c r="G18" s="102" t="s">
        <v>118</v>
      </c>
    </row>
    <row r="19" customFormat="false" ht="15" hidden="false" customHeight="false" outlineLevel="0" collapsed="false">
      <c r="B19" s="101" t="s">
        <v>187</v>
      </c>
      <c r="C19" s="102" t="s">
        <v>32</v>
      </c>
      <c r="E19" s="102"/>
      <c r="G19" s="102" t="s">
        <v>188</v>
      </c>
    </row>
    <row r="20" customFormat="false" ht="15" hidden="false" customHeight="false" outlineLevel="0" collapsed="false">
      <c r="B20" s="101" t="s">
        <v>189</v>
      </c>
      <c r="C20" s="102" t="s">
        <v>34</v>
      </c>
      <c r="E20" s="102"/>
      <c r="G20" s="102"/>
    </row>
    <row r="21" customFormat="false" ht="15" hidden="false" customHeight="false" outlineLevel="0" collapsed="false">
      <c r="E21" s="102"/>
      <c r="G21" s="102"/>
    </row>
    <row r="22" customFormat="false" ht="15" hidden="false" customHeight="false" outlineLevel="0" collapsed="false">
      <c r="E22" s="102"/>
      <c r="G22" s="102"/>
    </row>
    <row r="23" customFormat="false" ht="15" hidden="false" customHeight="false" outlineLevel="0" collapsed="false">
      <c r="E23" s="102"/>
      <c r="G23" s="102"/>
    </row>
    <row r="24" customFormat="false" ht="15" hidden="false" customHeight="false" outlineLevel="0" collapsed="false">
      <c r="B24" s="106" t="s">
        <v>190</v>
      </c>
      <c r="C24" s="106"/>
      <c r="E24" s="102"/>
      <c r="G24" s="102"/>
    </row>
    <row r="25" customFormat="false" ht="42" hidden="false" customHeight="true" outlineLevel="0" collapsed="false">
      <c r="B25" s="107" t="s">
        <v>191</v>
      </c>
      <c r="C25" s="108" t="s">
        <v>192</v>
      </c>
      <c r="E25" s="102"/>
      <c r="G25" s="102"/>
    </row>
    <row r="26" customFormat="false" ht="42" hidden="false" customHeight="true" outlineLevel="0" collapsed="false">
      <c r="B26" s="107" t="s">
        <v>193</v>
      </c>
      <c r="C26" s="108" t="s">
        <v>194</v>
      </c>
      <c r="E26" s="102"/>
      <c r="G26" s="102"/>
    </row>
    <row r="27" customFormat="false" ht="42" hidden="false" customHeight="true" outlineLevel="0" collapsed="false">
      <c r="B27" s="107" t="s">
        <v>195</v>
      </c>
      <c r="C27" s="108" t="s">
        <v>196</v>
      </c>
      <c r="E27" s="102"/>
      <c r="G27" s="102"/>
    </row>
    <row r="28" customFormat="false" ht="42" hidden="false" customHeight="true" outlineLevel="0" collapsed="false">
      <c r="B28" s="107" t="s">
        <v>197</v>
      </c>
      <c r="C28" s="108" t="s">
        <v>198</v>
      </c>
      <c r="E28" s="102"/>
      <c r="G28" s="102"/>
    </row>
    <row r="29" customFormat="false" ht="42" hidden="false" customHeight="true" outlineLevel="0" collapsed="false">
      <c r="B29" s="107" t="s">
        <v>199</v>
      </c>
      <c r="C29" s="108" t="s">
        <v>200</v>
      </c>
      <c r="E29" s="102"/>
      <c r="G29" s="102"/>
    </row>
    <row r="30" customFormat="false" ht="42" hidden="false" customHeight="true" outlineLevel="0" collapsed="false">
      <c r="B30" s="107" t="s">
        <v>201</v>
      </c>
      <c r="C30" s="108" t="s">
        <v>202</v>
      </c>
      <c r="E30" s="102"/>
      <c r="G30" s="102"/>
    </row>
    <row r="31" customFormat="false" ht="42" hidden="false" customHeight="true" outlineLevel="0" collapsed="false">
      <c r="B31" s="107" t="s">
        <v>201</v>
      </c>
      <c r="C31" s="108" t="s">
        <v>203</v>
      </c>
      <c r="E31" s="102"/>
      <c r="G31" s="102"/>
    </row>
    <row r="32" customFormat="false" ht="42" hidden="false" customHeight="true" outlineLevel="0" collapsed="false">
      <c r="B32" s="107" t="s">
        <v>201</v>
      </c>
      <c r="C32" s="108" t="s">
        <v>204</v>
      </c>
      <c r="E32" s="102"/>
      <c r="G32" s="102"/>
    </row>
    <row r="33" customFormat="false" ht="42" hidden="false" customHeight="true" outlineLevel="0" collapsed="false">
      <c r="B33" s="107" t="s">
        <v>201</v>
      </c>
      <c r="C33" s="108" t="s">
        <v>205</v>
      </c>
      <c r="E33" s="102"/>
      <c r="G33" s="102"/>
    </row>
    <row r="34" customFormat="false" ht="15" hidden="false" customHeight="false" outlineLevel="0" collapsed="false">
      <c r="E34" s="102"/>
      <c r="G34" s="102"/>
    </row>
    <row r="35" customFormat="false" ht="15" hidden="false" customHeight="false" outlineLevel="0" collapsed="false">
      <c r="E35" s="102"/>
      <c r="G35" s="102"/>
    </row>
    <row r="36" customFormat="false" ht="15" hidden="false" customHeight="false" outlineLevel="0" collapsed="false">
      <c r="E36" s="102"/>
      <c r="G36" s="102"/>
    </row>
    <row r="37" customFormat="false" ht="15" hidden="false" customHeight="false" outlineLevel="0" collapsed="false">
      <c r="E37" s="102"/>
      <c r="G37" s="102"/>
    </row>
    <row r="38" customFormat="false" ht="15" hidden="false" customHeight="false" outlineLevel="0" collapsed="false">
      <c r="E38" s="102"/>
      <c r="G38" s="102"/>
    </row>
    <row r="39" customFormat="false" ht="15" hidden="false" customHeight="false" outlineLevel="0" collapsed="false">
      <c r="E39" s="102"/>
      <c r="G39" s="102"/>
    </row>
    <row r="40" customFormat="false" ht="15" hidden="false" customHeight="false" outlineLevel="0" collapsed="false">
      <c r="E40" s="102"/>
      <c r="G40" s="102"/>
    </row>
    <row r="41" customFormat="false" ht="15" hidden="false" customHeight="false" outlineLevel="0" collapsed="false">
      <c r="E41" s="102"/>
      <c r="G41" s="102"/>
    </row>
    <row r="42" customFormat="false" ht="15" hidden="false" customHeight="false" outlineLevel="0" collapsed="false">
      <c r="E42" s="102"/>
      <c r="G42" s="102"/>
    </row>
    <row r="43" customFormat="false" ht="15" hidden="false" customHeight="false" outlineLevel="0" collapsed="false">
      <c r="E43" s="102"/>
      <c r="G43" s="102"/>
    </row>
    <row r="44" customFormat="false" ht="15" hidden="false" customHeight="false" outlineLevel="0" collapsed="false">
      <c r="E44" s="102"/>
      <c r="G44" s="102"/>
    </row>
    <row r="45" customFormat="false" ht="15" hidden="false" customHeight="false" outlineLevel="0" collapsed="false">
      <c r="E45" s="102"/>
      <c r="G45" s="102"/>
    </row>
    <row r="46" customFormat="false" ht="15" hidden="false" customHeight="false" outlineLevel="0" collapsed="false">
      <c r="E46" s="102"/>
      <c r="G46" s="102"/>
    </row>
    <row r="47" customFormat="false" ht="15" hidden="false" customHeight="false" outlineLevel="0" collapsed="false">
      <c r="E47" s="102"/>
      <c r="G47" s="102"/>
    </row>
    <row r="48" customFormat="false" ht="15" hidden="false" customHeight="false" outlineLevel="0" collapsed="false">
      <c r="E48" s="102"/>
      <c r="G48" s="102"/>
    </row>
    <row r="49" customFormat="false" ht="15" hidden="false" customHeight="false" outlineLevel="0" collapsed="false">
      <c r="E49" s="102"/>
      <c r="G49" s="102"/>
    </row>
    <row r="50" customFormat="false" ht="15" hidden="false" customHeight="false" outlineLevel="0" collapsed="false">
      <c r="E50" s="102"/>
      <c r="G50" s="102"/>
    </row>
    <row r="51" customFormat="false" ht="15" hidden="false" customHeight="false" outlineLevel="0" collapsed="false">
      <c r="E51" s="102"/>
      <c r="G51" s="102"/>
    </row>
    <row r="52" customFormat="false" ht="15" hidden="false" customHeight="false" outlineLevel="0" collapsed="false">
      <c r="E52" s="102"/>
      <c r="G52" s="102"/>
    </row>
    <row r="53" customFormat="false" ht="15" hidden="false" customHeight="false" outlineLevel="0" collapsed="false">
      <c r="E53" s="102"/>
      <c r="G53" s="102"/>
    </row>
    <row r="54" customFormat="false" ht="15" hidden="false" customHeight="false" outlineLevel="0" collapsed="false">
      <c r="E54" s="102"/>
      <c r="G54" s="102"/>
    </row>
    <row r="55" customFormat="false" ht="15" hidden="false" customHeight="false" outlineLevel="0" collapsed="false">
      <c r="E55" s="102"/>
      <c r="G55" s="102"/>
    </row>
    <row r="56" customFormat="false" ht="15" hidden="false" customHeight="false" outlineLevel="0" collapsed="false">
      <c r="E56" s="102"/>
      <c r="G56" s="102"/>
    </row>
    <row r="57" customFormat="false" ht="15" hidden="false" customHeight="false" outlineLevel="0" collapsed="false">
      <c r="E57" s="102"/>
      <c r="G57" s="102"/>
    </row>
    <row r="58" customFormat="false" ht="15" hidden="false" customHeight="false" outlineLevel="0" collapsed="false">
      <c r="E58" s="102"/>
      <c r="G58" s="102"/>
    </row>
    <row r="59" customFormat="false" ht="15" hidden="false" customHeight="false" outlineLevel="0" collapsed="false">
      <c r="E59" s="102"/>
      <c r="G59" s="102"/>
    </row>
    <row r="60" customFormat="false" ht="15" hidden="false" customHeight="false" outlineLevel="0" collapsed="false">
      <c r="E60" s="102"/>
      <c r="G60" s="102"/>
    </row>
    <row r="61" customFormat="false" ht="15" hidden="false" customHeight="false" outlineLevel="0" collapsed="false">
      <c r="E61" s="102"/>
      <c r="G61" s="102"/>
    </row>
    <row r="62" customFormat="false" ht="15" hidden="false" customHeight="false" outlineLevel="0" collapsed="false">
      <c r="E62" s="102"/>
      <c r="G62" s="102"/>
    </row>
    <row r="63" customFormat="false" ht="15" hidden="false" customHeight="false" outlineLevel="0" collapsed="false">
      <c r="E63" s="102"/>
      <c r="G63" s="102"/>
    </row>
    <row r="64" customFormat="false" ht="15" hidden="false" customHeight="false" outlineLevel="0" collapsed="false">
      <c r="E64" s="102"/>
      <c r="G64" s="102"/>
    </row>
  </sheetData>
  <mergeCells count="3">
    <mergeCell ref="B1:I1"/>
    <mergeCell ref="B2:I2"/>
    <mergeCell ref="B24:C24"/>
  </mergeCells>
  <dataValidations count="3">
    <dataValidation allowBlank="true" error="اختر من القائمة المنسدلة (أو أضف القيمة في ورقة الإعدادات)." errorStyle="stop" errorTitle="قيمة غير موجودة في القائمة" operator="between" showDropDown="false" showErrorMessage="true" showInputMessage="false" sqref="C18" type="list">
      <formula1>PAY_METHODS</formula1>
      <formula2>0</formula2>
    </dataValidation>
    <dataValidation allowBlank="true" error="اختر من القائمة المنسدلة (أو أضف القيمة في ورقة الإعدادات)." errorStyle="warning" errorTitle="قيمة غير موجودة في القائمة" operator="between" showDropDown="false" showErrorMessage="true" showInputMessage="false" sqref="C19" type="list">
      <formula1>ACCOUNTS</formula1>
      <formula2>0</formula2>
    </dataValidation>
    <dataValidation allowBlank="true" error="اختر من القائمة المنسدلة (أو أضف القيمة في ورقة الإعدادات)." errorStyle="stop" errorTitle="قيمة غير موجودة في القائمة" operator="between" showDropDown="false" showErrorMessage="true" showInputMessage="false" sqref="C20" type="list">
      <formula1>BRANCHES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codeName="shTaf" filterMode="false">
    <pageSetUpPr fitToPage="false"/>
  </sheetPr>
  <dimension ref="A1:E1001"/>
  <sheetViews>
    <sheetView showFormulas="false" showGridLines="true" showRowColHeaders="true" showZeros="true" rightToLeft="tru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8"/>
    <col collapsed="false" customWidth="true" hidden="false" outlineLevel="0" max="4" min="2" style="0" width="40"/>
    <col collapsed="false" customWidth="true" hidden="false" outlineLevel="0" max="5" min="5" style="0" width="30"/>
  </cols>
  <sheetData>
    <row r="1" customFormat="false" ht="15" hidden="false" customHeight="false" outlineLevel="0" collapsed="false">
      <c r="A1" s="109" t="s">
        <v>206</v>
      </c>
      <c r="B1" s="109" t="s">
        <v>207</v>
      </c>
      <c r="C1" s="109" t="s">
        <v>208</v>
      </c>
      <c r="D1" s="109" t="s">
        <v>209</v>
      </c>
      <c r="E1" s="109" t="s">
        <v>210</v>
      </c>
    </row>
    <row r="2" customFormat="false" ht="15" hidden="false" customHeight="false" outlineLevel="0" collapsed="false">
      <c r="A2" s="0" t="n">
        <v>0</v>
      </c>
    </row>
    <row r="3" customFormat="false" ht="15" hidden="false" customHeight="false" outlineLevel="0" collapsed="false">
      <c r="A3" s="0" t="n">
        <v>1</v>
      </c>
      <c r="B3" s="0" t="s">
        <v>211</v>
      </c>
      <c r="C3" s="0" t="s">
        <v>212</v>
      </c>
      <c r="D3" s="0" t="s">
        <v>213</v>
      </c>
      <c r="E3" s="0" t="s">
        <v>214</v>
      </c>
    </row>
    <row r="4" customFormat="false" ht="15" hidden="false" customHeight="false" outlineLevel="0" collapsed="false">
      <c r="A4" s="0" t="n">
        <v>2</v>
      </c>
      <c r="B4" s="0" t="s">
        <v>215</v>
      </c>
      <c r="C4" s="0" t="s">
        <v>216</v>
      </c>
      <c r="D4" s="0" t="s">
        <v>217</v>
      </c>
      <c r="E4" s="0" t="s">
        <v>218</v>
      </c>
    </row>
    <row r="5" customFormat="false" ht="15" hidden="false" customHeight="false" outlineLevel="0" collapsed="false">
      <c r="A5" s="0" t="n">
        <v>3</v>
      </c>
      <c r="B5" s="0" t="s">
        <v>219</v>
      </c>
      <c r="C5" s="0" t="s">
        <v>220</v>
      </c>
      <c r="D5" s="0" t="s">
        <v>221</v>
      </c>
      <c r="E5" s="0" t="s">
        <v>222</v>
      </c>
    </row>
    <row r="6" customFormat="false" ht="15" hidden="false" customHeight="false" outlineLevel="0" collapsed="false">
      <c r="A6" s="0" t="n">
        <v>4</v>
      </c>
      <c r="B6" s="0" t="s">
        <v>223</v>
      </c>
      <c r="C6" s="0" t="s">
        <v>224</v>
      </c>
      <c r="D6" s="0" t="s">
        <v>225</v>
      </c>
      <c r="E6" s="0" t="s">
        <v>226</v>
      </c>
    </row>
    <row r="7" customFormat="false" ht="15" hidden="false" customHeight="false" outlineLevel="0" collapsed="false">
      <c r="A7" s="0" t="n">
        <v>5</v>
      </c>
      <c r="B7" s="0" t="s">
        <v>227</v>
      </c>
      <c r="C7" s="0" t="s">
        <v>228</v>
      </c>
      <c r="D7" s="0" t="s">
        <v>229</v>
      </c>
      <c r="E7" s="0" t="s">
        <v>230</v>
      </c>
    </row>
    <row r="8" customFormat="false" ht="15" hidden="false" customHeight="false" outlineLevel="0" collapsed="false">
      <c r="A8" s="0" t="n">
        <v>6</v>
      </c>
      <c r="B8" s="0" t="s">
        <v>231</v>
      </c>
      <c r="C8" s="0" t="s">
        <v>232</v>
      </c>
      <c r="D8" s="0" t="s">
        <v>233</v>
      </c>
      <c r="E8" s="0" t="s">
        <v>234</v>
      </c>
    </row>
    <row r="9" customFormat="false" ht="15" hidden="false" customHeight="false" outlineLevel="0" collapsed="false">
      <c r="A9" s="0" t="n">
        <v>7</v>
      </c>
      <c r="B9" s="0" t="s">
        <v>235</v>
      </c>
      <c r="C9" s="0" t="s">
        <v>236</v>
      </c>
      <c r="D9" s="0" t="s">
        <v>237</v>
      </c>
      <c r="E9" s="0" t="s">
        <v>238</v>
      </c>
    </row>
    <row r="10" customFormat="false" ht="15" hidden="false" customHeight="false" outlineLevel="0" collapsed="false">
      <c r="A10" s="0" t="n">
        <v>8</v>
      </c>
      <c r="B10" s="0" t="s">
        <v>239</v>
      </c>
      <c r="C10" s="0" t="s">
        <v>240</v>
      </c>
      <c r="D10" s="0" t="s">
        <v>241</v>
      </c>
      <c r="E10" s="0" t="s">
        <v>242</v>
      </c>
    </row>
    <row r="11" customFormat="false" ht="15" hidden="false" customHeight="false" outlineLevel="0" collapsed="false">
      <c r="A11" s="0" t="n">
        <v>9</v>
      </c>
      <c r="B11" s="0" t="s">
        <v>243</v>
      </c>
      <c r="C11" s="0" t="s">
        <v>244</v>
      </c>
      <c r="D11" s="0" t="s">
        <v>245</v>
      </c>
      <c r="E11" s="0" t="s">
        <v>246</v>
      </c>
    </row>
    <row r="12" customFormat="false" ht="15" hidden="false" customHeight="false" outlineLevel="0" collapsed="false">
      <c r="A12" s="0" t="n">
        <v>10</v>
      </c>
      <c r="B12" s="0" t="s">
        <v>247</v>
      </c>
      <c r="C12" s="0" t="s">
        <v>248</v>
      </c>
      <c r="D12" s="0" t="s">
        <v>249</v>
      </c>
      <c r="E12" s="0" t="s">
        <v>250</v>
      </c>
    </row>
    <row r="13" customFormat="false" ht="15" hidden="false" customHeight="false" outlineLevel="0" collapsed="false">
      <c r="A13" s="0" t="n">
        <v>11</v>
      </c>
      <c r="B13" s="0" t="s">
        <v>251</v>
      </c>
      <c r="C13" s="0" t="s">
        <v>252</v>
      </c>
      <c r="D13" s="0" t="s">
        <v>253</v>
      </c>
      <c r="E13" s="0" t="s">
        <v>254</v>
      </c>
    </row>
    <row r="14" customFormat="false" ht="15" hidden="false" customHeight="false" outlineLevel="0" collapsed="false">
      <c r="A14" s="0" t="n">
        <v>12</v>
      </c>
      <c r="B14" s="0" t="s">
        <v>255</v>
      </c>
      <c r="C14" s="0" t="s">
        <v>256</v>
      </c>
      <c r="D14" s="0" t="s">
        <v>257</v>
      </c>
      <c r="E14" s="0" t="s">
        <v>258</v>
      </c>
    </row>
    <row r="15" customFormat="false" ht="15" hidden="false" customHeight="false" outlineLevel="0" collapsed="false">
      <c r="A15" s="0" t="n">
        <v>13</v>
      </c>
      <c r="B15" s="0" t="s">
        <v>259</v>
      </c>
      <c r="C15" s="0" t="s">
        <v>260</v>
      </c>
      <c r="D15" s="0" t="s">
        <v>261</v>
      </c>
      <c r="E15" s="0" t="s">
        <v>262</v>
      </c>
    </row>
    <row r="16" customFormat="false" ht="15" hidden="false" customHeight="false" outlineLevel="0" collapsed="false">
      <c r="A16" s="0" t="n">
        <v>14</v>
      </c>
      <c r="B16" s="0" t="s">
        <v>263</v>
      </c>
      <c r="C16" s="0" t="s">
        <v>264</v>
      </c>
      <c r="D16" s="0" t="s">
        <v>265</v>
      </c>
      <c r="E16" s="0" t="s">
        <v>266</v>
      </c>
    </row>
    <row r="17" customFormat="false" ht="15" hidden="false" customHeight="false" outlineLevel="0" collapsed="false">
      <c r="A17" s="0" t="n">
        <v>15</v>
      </c>
      <c r="B17" s="0" t="s">
        <v>267</v>
      </c>
      <c r="C17" s="0" t="s">
        <v>268</v>
      </c>
      <c r="D17" s="0" t="s">
        <v>269</v>
      </c>
      <c r="E17" s="0" t="s">
        <v>270</v>
      </c>
    </row>
    <row r="18" customFormat="false" ht="15" hidden="false" customHeight="false" outlineLevel="0" collapsed="false">
      <c r="A18" s="0" t="n">
        <v>16</v>
      </c>
      <c r="B18" s="0" t="s">
        <v>271</v>
      </c>
      <c r="C18" s="0" t="s">
        <v>272</v>
      </c>
      <c r="D18" s="0" t="s">
        <v>273</v>
      </c>
      <c r="E18" s="0" t="s">
        <v>274</v>
      </c>
    </row>
    <row r="19" customFormat="false" ht="15" hidden="false" customHeight="false" outlineLevel="0" collapsed="false">
      <c r="A19" s="0" t="n">
        <v>17</v>
      </c>
      <c r="B19" s="0" t="s">
        <v>275</v>
      </c>
      <c r="C19" s="0" t="s">
        <v>276</v>
      </c>
      <c r="D19" s="0" t="s">
        <v>277</v>
      </c>
      <c r="E19" s="0" t="s">
        <v>278</v>
      </c>
    </row>
    <row r="20" customFormat="false" ht="15" hidden="false" customHeight="false" outlineLevel="0" collapsed="false">
      <c r="A20" s="0" t="n">
        <v>18</v>
      </c>
      <c r="B20" s="0" t="s">
        <v>279</v>
      </c>
      <c r="C20" s="0" t="s">
        <v>280</v>
      </c>
      <c r="D20" s="0" t="s">
        <v>281</v>
      </c>
      <c r="E20" s="0" t="s">
        <v>282</v>
      </c>
    </row>
    <row r="21" customFormat="false" ht="15" hidden="false" customHeight="false" outlineLevel="0" collapsed="false">
      <c r="A21" s="0" t="n">
        <v>19</v>
      </c>
      <c r="B21" s="0" t="s">
        <v>283</v>
      </c>
      <c r="C21" s="0" t="s">
        <v>284</v>
      </c>
      <c r="D21" s="0" t="s">
        <v>285</v>
      </c>
      <c r="E21" s="0" t="s">
        <v>286</v>
      </c>
    </row>
    <row r="22" customFormat="false" ht="15" hidden="false" customHeight="false" outlineLevel="0" collapsed="false">
      <c r="A22" s="0" t="n">
        <v>20</v>
      </c>
      <c r="B22" s="0" t="s">
        <v>287</v>
      </c>
      <c r="C22" s="0" t="s">
        <v>288</v>
      </c>
      <c r="D22" s="0" t="s">
        <v>289</v>
      </c>
      <c r="E22" s="0" t="s">
        <v>290</v>
      </c>
    </row>
    <row r="23" customFormat="false" ht="15" hidden="false" customHeight="false" outlineLevel="0" collapsed="false">
      <c r="A23" s="0" t="n">
        <v>21</v>
      </c>
      <c r="B23" s="0" t="s">
        <v>291</v>
      </c>
      <c r="C23" s="0" t="s">
        <v>292</v>
      </c>
      <c r="D23" s="0" t="s">
        <v>293</v>
      </c>
      <c r="E23" s="0" t="s">
        <v>294</v>
      </c>
    </row>
    <row r="24" customFormat="false" ht="15" hidden="false" customHeight="false" outlineLevel="0" collapsed="false">
      <c r="A24" s="0" t="n">
        <v>22</v>
      </c>
      <c r="B24" s="0" t="s">
        <v>295</v>
      </c>
      <c r="C24" s="0" t="s">
        <v>296</v>
      </c>
      <c r="D24" s="0" t="s">
        <v>297</v>
      </c>
      <c r="E24" s="0" t="s">
        <v>298</v>
      </c>
    </row>
    <row r="25" customFormat="false" ht="15" hidden="false" customHeight="false" outlineLevel="0" collapsed="false">
      <c r="A25" s="0" t="n">
        <v>23</v>
      </c>
      <c r="B25" s="0" t="s">
        <v>299</v>
      </c>
      <c r="C25" s="0" t="s">
        <v>300</v>
      </c>
      <c r="D25" s="0" t="s">
        <v>301</v>
      </c>
      <c r="E25" s="0" t="s">
        <v>302</v>
      </c>
    </row>
    <row r="26" customFormat="false" ht="15" hidden="false" customHeight="false" outlineLevel="0" collapsed="false">
      <c r="A26" s="0" t="n">
        <v>24</v>
      </c>
      <c r="B26" s="0" t="s">
        <v>303</v>
      </c>
      <c r="C26" s="0" t="s">
        <v>304</v>
      </c>
      <c r="D26" s="0" t="s">
        <v>305</v>
      </c>
      <c r="E26" s="0" t="s">
        <v>306</v>
      </c>
    </row>
    <row r="27" customFormat="false" ht="15" hidden="false" customHeight="false" outlineLevel="0" collapsed="false">
      <c r="A27" s="0" t="n">
        <v>25</v>
      </c>
      <c r="B27" s="0" t="s">
        <v>307</v>
      </c>
      <c r="C27" s="0" t="s">
        <v>308</v>
      </c>
      <c r="D27" s="0" t="s">
        <v>309</v>
      </c>
      <c r="E27" s="0" t="s">
        <v>310</v>
      </c>
    </row>
    <row r="28" customFormat="false" ht="15" hidden="false" customHeight="false" outlineLevel="0" collapsed="false">
      <c r="A28" s="0" t="n">
        <v>26</v>
      </c>
      <c r="B28" s="0" t="s">
        <v>311</v>
      </c>
      <c r="C28" s="0" t="s">
        <v>312</v>
      </c>
      <c r="D28" s="0" t="s">
        <v>313</v>
      </c>
      <c r="E28" s="0" t="s">
        <v>314</v>
      </c>
    </row>
    <row r="29" customFormat="false" ht="15" hidden="false" customHeight="false" outlineLevel="0" collapsed="false">
      <c r="A29" s="0" t="n">
        <v>27</v>
      </c>
      <c r="B29" s="0" t="s">
        <v>315</v>
      </c>
      <c r="C29" s="0" t="s">
        <v>316</v>
      </c>
      <c r="D29" s="0" t="s">
        <v>317</v>
      </c>
      <c r="E29" s="0" t="s">
        <v>318</v>
      </c>
    </row>
    <row r="30" customFormat="false" ht="15" hidden="false" customHeight="false" outlineLevel="0" collapsed="false">
      <c r="A30" s="0" t="n">
        <v>28</v>
      </c>
      <c r="B30" s="0" t="s">
        <v>319</v>
      </c>
      <c r="C30" s="0" t="s">
        <v>320</v>
      </c>
      <c r="D30" s="0" t="s">
        <v>321</v>
      </c>
      <c r="E30" s="0" t="s">
        <v>322</v>
      </c>
    </row>
    <row r="31" customFormat="false" ht="15" hidden="false" customHeight="false" outlineLevel="0" collapsed="false">
      <c r="A31" s="0" t="n">
        <v>29</v>
      </c>
      <c r="B31" s="0" t="s">
        <v>323</v>
      </c>
      <c r="C31" s="0" t="s">
        <v>324</v>
      </c>
      <c r="D31" s="0" t="s">
        <v>325</v>
      </c>
      <c r="E31" s="0" t="s">
        <v>326</v>
      </c>
    </row>
    <row r="32" customFormat="false" ht="15" hidden="false" customHeight="false" outlineLevel="0" collapsed="false">
      <c r="A32" s="0" t="n">
        <v>30</v>
      </c>
      <c r="B32" s="0" t="s">
        <v>327</v>
      </c>
      <c r="C32" s="0" t="s">
        <v>328</v>
      </c>
      <c r="D32" s="0" t="s">
        <v>329</v>
      </c>
      <c r="E32" s="0" t="s">
        <v>330</v>
      </c>
    </row>
    <row r="33" customFormat="false" ht="15" hidden="false" customHeight="false" outlineLevel="0" collapsed="false">
      <c r="A33" s="0" t="n">
        <v>31</v>
      </c>
      <c r="B33" s="0" t="s">
        <v>331</v>
      </c>
      <c r="C33" s="0" t="s">
        <v>332</v>
      </c>
      <c r="D33" s="0" t="s">
        <v>333</v>
      </c>
      <c r="E33" s="0" t="s">
        <v>334</v>
      </c>
    </row>
    <row r="34" customFormat="false" ht="15" hidden="false" customHeight="false" outlineLevel="0" collapsed="false">
      <c r="A34" s="0" t="n">
        <v>32</v>
      </c>
      <c r="B34" s="0" t="s">
        <v>335</v>
      </c>
      <c r="C34" s="0" t="s">
        <v>336</v>
      </c>
      <c r="D34" s="0" t="s">
        <v>337</v>
      </c>
      <c r="E34" s="0" t="s">
        <v>338</v>
      </c>
    </row>
    <row r="35" customFormat="false" ht="15" hidden="false" customHeight="false" outlineLevel="0" collapsed="false">
      <c r="A35" s="0" t="n">
        <v>33</v>
      </c>
      <c r="B35" s="0" t="s">
        <v>339</v>
      </c>
      <c r="C35" s="0" t="s">
        <v>340</v>
      </c>
      <c r="D35" s="0" t="s">
        <v>341</v>
      </c>
      <c r="E35" s="0" t="s">
        <v>342</v>
      </c>
    </row>
    <row r="36" customFormat="false" ht="15" hidden="false" customHeight="false" outlineLevel="0" collapsed="false">
      <c r="A36" s="0" t="n">
        <v>34</v>
      </c>
      <c r="B36" s="0" t="s">
        <v>343</v>
      </c>
      <c r="C36" s="0" t="s">
        <v>344</v>
      </c>
      <c r="D36" s="0" t="s">
        <v>345</v>
      </c>
      <c r="E36" s="0" t="s">
        <v>346</v>
      </c>
    </row>
    <row r="37" customFormat="false" ht="15" hidden="false" customHeight="false" outlineLevel="0" collapsed="false">
      <c r="A37" s="0" t="n">
        <v>35</v>
      </c>
      <c r="B37" s="0" t="s">
        <v>347</v>
      </c>
      <c r="C37" s="0" t="s">
        <v>348</v>
      </c>
      <c r="D37" s="0" t="s">
        <v>349</v>
      </c>
      <c r="E37" s="0" t="s">
        <v>350</v>
      </c>
    </row>
    <row r="38" customFormat="false" ht="15" hidden="false" customHeight="false" outlineLevel="0" collapsed="false">
      <c r="A38" s="0" t="n">
        <v>36</v>
      </c>
      <c r="B38" s="0" t="s">
        <v>351</v>
      </c>
      <c r="C38" s="0" t="s">
        <v>352</v>
      </c>
      <c r="D38" s="0" t="s">
        <v>353</v>
      </c>
      <c r="E38" s="0" t="s">
        <v>354</v>
      </c>
    </row>
    <row r="39" customFormat="false" ht="15" hidden="false" customHeight="false" outlineLevel="0" collapsed="false">
      <c r="A39" s="0" t="n">
        <v>37</v>
      </c>
      <c r="B39" s="0" t="s">
        <v>355</v>
      </c>
      <c r="C39" s="0" t="s">
        <v>356</v>
      </c>
      <c r="D39" s="0" t="s">
        <v>357</v>
      </c>
      <c r="E39" s="0" t="s">
        <v>358</v>
      </c>
    </row>
    <row r="40" customFormat="false" ht="15" hidden="false" customHeight="false" outlineLevel="0" collapsed="false">
      <c r="A40" s="0" t="n">
        <v>38</v>
      </c>
      <c r="B40" s="0" t="s">
        <v>359</v>
      </c>
      <c r="C40" s="0" t="s">
        <v>360</v>
      </c>
      <c r="D40" s="0" t="s">
        <v>361</v>
      </c>
      <c r="E40" s="0" t="s">
        <v>362</v>
      </c>
    </row>
    <row r="41" customFormat="false" ht="15" hidden="false" customHeight="false" outlineLevel="0" collapsed="false">
      <c r="A41" s="0" t="n">
        <v>39</v>
      </c>
      <c r="B41" s="0" t="s">
        <v>363</v>
      </c>
      <c r="C41" s="0" t="s">
        <v>364</v>
      </c>
      <c r="D41" s="0" t="s">
        <v>365</v>
      </c>
      <c r="E41" s="0" t="s">
        <v>366</v>
      </c>
    </row>
    <row r="42" customFormat="false" ht="15" hidden="false" customHeight="false" outlineLevel="0" collapsed="false">
      <c r="A42" s="0" t="n">
        <v>40</v>
      </c>
      <c r="B42" s="0" t="s">
        <v>367</v>
      </c>
      <c r="C42" s="0" t="s">
        <v>368</v>
      </c>
      <c r="D42" s="0" t="s">
        <v>369</v>
      </c>
      <c r="E42" s="0" t="s">
        <v>370</v>
      </c>
    </row>
    <row r="43" customFormat="false" ht="15" hidden="false" customHeight="false" outlineLevel="0" collapsed="false">
      <c r="A43" s="0" t="n">
        <v>41</v>
      </c>
      <c r="B43" s="0" t="s">
        <v>371</v>
      </c>
      <c r="C43" s="0" t="s">
        <v>372</v>
      </c>
      <c r="D43" s="0" t="s">
        <v>373</v>
      </c>
      <c r="E43" s="0" t="s">
        <v>374</v>
      </c>
    </row>
    <row r="44" customFormat="false" ht="15" hidden="false" customHeight="false" outlineLevel="0" collapsed="false">
      <c r="A44" s="0" t="n">
        <v>42</v>
      </c>
      <c r="B44" s="0" t="s">
        <v>375</v>
      </c>
      <c r="C44" s="0" t="s">
        <v>376</v>
      </c>
      <c r="D44" s="0" t="s">
        <v>377</v>
      </c>
      <c r="E44" s="0" t="s">
        <v>378</v>
      </c>
    </row>
    <row r="45" customFormat="false" ht="15" hidden="false" customHeight="false" outlineLevel="0" collapsed="false">
      <c r="A45" s="0" t="n">
        <v>43</v>
      </c>
      <c r="B45" s="0" t="s">
        <v>379</v>
      </c>
      <c r="C45" s="0" t="s">
        <v>380</v>
      </c>
      <c r="D45" s="0" t="s">
        <v>381</v>
      </c>
      <c r="E45" s="0" t="s">
        <v>382</v>
      </c>
    </row>
    <row r="46" customFormat="false" ht="15" hidden="false" customHeight="false" outlineLevel="0" collapsed="false">
      <c r="A46" s="0" t="n">
        <v>44</v>
      </c>
      <c r="B46" s="0" t="s">
        <v>383</v>
      </c>
      <c r="C46" s="0" t="s">
        <v>384</v>
      </c>
      <c r="D46" s="0" t="s">
        <v>385</v>
      </c>
      <c r="E46" s="0" t="s">
        <v>386</v>
      </c>
    </row>
    <row r="47" customFormat="false" ht="15" hidden="false" customHeight="false" outlineLevel="0" collapsed="false">
      <c r="A47" s="0" t="n">
        <v>45</v>
      </c>
      <c r="B47" s="0" t="s">
        <v>387</v>
      </c>
      <c r="C47" s="0" t="s">
        <v>388</v>
      </c>
      <c r="D47" s="0" t="s">
        <v>389</v>
      </c>
      <c r="E47" s="0" t="s">
        <v>390</v>
      </c>
    </row>
    <row r="48" customFormat="false" ht="15" hidden="false" customHeight="false" outlineLevel="0" collapsed="false">
      <c r="A48" s="0" t="n">
        <v>46</v>
      </c>
      <c r="B48" s="0" t="s">
        <v>391</v>
      </c>
      <c r="C48" s="0" t="s">
        <v>392</v>
      </c>
      <c r="D48" s="0" t="s">
        <v>393</v>
      </c>
      <c r="E48" s="0" t="s">
        <v>394</v>
      </c>
    </row>
    <row r="49" customFormat="false" ht="15" hidden="false" customHeight="false" outlineLevel="0" collapsed="false">
      <c r="A49" s="0" t="n">
        <v>47</v>
      </c>
      <c r="B49" s="0" t="s">
        <v>395</v>
      </c>
      <c r="C49" s="0" t="s">
        <v>396</v>
      </c>
      <c r="D49" s="0" t="s">
        <v>397</v>
      </c>
      <c r="E49" s="0" t="s">
        <v>398</v>
      </c>
    </row>
    <row r="50" customFormat="false" ht="15" hidden="false" customHeight="false" outlineLevel="0" collapsed="false">
      <c r="A50" s="0" t="n">
        <v>48</v>
      </c>
      <c r="B50" s="0" t="s">
        <v>399</v>
      </c>
      <c r="C50" s="0" t="s">
        <v>400</v>
      </c>
      <c r="D50" s="0" t="s">
        <v>401</v>
      </c>
      <c r="E50" s="0" t="s">
        <v>402</v>
      </c>
    </row>
    <row r="51" customFormat="false" ht="15" hidden="false" customHeight="false" outlineLevel="0" collapsed="false">
      <c r="A51" s="0" t="n">
        <v>49</v>
      </c>
      <c r="B51" s="0" t="s">
        <v>403</v>
      </c>
      <c r="C51" s="0" t="s">
        <v>404</v>
      </c>
      <c r="D51" s="0" t="s">
        <v>405</v>
      </c>
      <c r="E51" s="0" t="s">
        <v>406</v>
      </c>
    </row>
    <row r="52" customFormat="false" ht="15" hidden="false" customHeight="false" outlineLevel="0" collapsed="false">
      <c r="A52" s="0" t="n">
        <v>50</v>
      </c>
      <c r="B52" s="0" t="s">
        <v>407</v>
      </c>
      <c r="C52" s="0" t="s">
        <v>408</v>
      </c>
      <c r="D52" s="0" t="s">
        <v>409</v>
      </c>
      <c r="E52" s="0" t="s">
        <v>410</v>
      </c>
    </row>
    <row r="53" customFormat="false" ht="15" hidden="false" customHeight="false" outlineLevel="0" collapsed="false">
      <c r="A53" s="0" t="n">
        <v>51</v>
      </c>
      <c r="B53" s="0" t="s">
        <v>411</v>
      </c>
      <c r="C53" s="0" t="s">
        <v>412</v>
      </c>
      <c r="D53" s="0" t="s">
        <v>413</v>
      </c>
      <c r="E53" s="0" t="s">
        <v>414</v>
      </c>
    </row>
    <row r="54" customFormat="false" ht="15" hidden="false" customHeight="false" outlineLevel="0" collapsed="false">
      <c r="A54" s="0" t="n">
        <v>52</v>
      </c>
      <c r="B54" s="0" t="s">
        <v>415</v>
      </c>
      <c r="C54" s="0" t="s">
        <v>416</v>
      </c>
      <c r="D54" s="0" t="s">
        <v>417</v>
      </c>
      <c r="E54" s="0" t="s">
        <v>418</v>
      </c>
    </row>
    <row r="55" customFormat="false" ht="15" hidden="false" customHeight="false" outlineLevel="0" collapsed="false">
      <c r="A55" s="0" t="n">
        <v>53</v>
      </c>
      <c r="B55" s="0" t="s">
        <v>419</v>
      </c>
      <c r="C55" s="0" t="s">
        <v>420</v>
      </c>
      <c r="D55" s="0" t="s">
        <v>421</v>
      </c>
      <c r="E55" s="0" t="s">
        <v>422</v>
      </c>
    </row>
    <row r="56" customFormat="false" ht="15" hidden="false" customHeight="false" outlineLevel="0" collapsed="false">
      <c r="A56" s="0" t="n">
        <v>54</v>
      </c>
      <c r="B56" s="0" t="s">
        <v>423</v>
      </c>
      <c r="C56" s="0" t="s">
        <v>424</v>
      </c>
      <c r="D56" s="0" t="s">
        <v>425</v>
      </c>
      <c r="E56" s="0" t="s">
        <v>426</v>
      </c>
    </row>
    <row r="57" customFormat="false" ht="15" hidden="false" customHeight="false" outlineLevel="0" collapsed="false">
      <c r="A57" s="0" t="n">
        <v>55</v>
      </c>
      <c r="B57" s="0" t="s">
        <v>427</v>
      </c>
      <c r="C57" s="0" t="s">
        <v>428</v>
      </c>
      <c r="D57" s="0" t="s">
        <v>429</v>
      </c>
      <c r="E57" s="0" t="s">
        <v>430</v>
      </c>
    </row>
    <row r="58" customFormat="false" ht="15" hidden="false" customHeight="false" outlineLevel="0" collapsed="false">
      <c r="A58" s="0" t="n">
        <v>56</v>
      </c>
      <c r="B58" s="0" t="s">
        <v>431</v>
      </c>
      <c r="C58" s="0" t="s">
        <v>432</v>
      </c>
      <c r="D58" s="0" t="s">
        <v>433</v>
      </c>
      <c r="E58" s="0" t="s">
        <v>434</v>
      </c>
    </row>
    <row r="59" customFormat="false" ht="15" hidden="false" customHeight="false" outlineLevel="0" collapsed="false">
      <c r="A59" s="0" t="n">
        <v>57</v>
      </c>
      <c r="B59" s="0" t="s">
        <v>435</v>
      </c>
      <c r="C59" s="0" t="s">
        <v>436</v>
      </c>
      <c r="D59" s="0" t="s">
        <v>437</v>
      </c>
      <c r="E59" s="0" t="s">
        <v>438</v>
      </c>
    </row>
    <row r="60" customFormat="false" ht="15" hidden="false" customHeight="false" outlineLevel="0" collapsed="false">
      <c r="A60" s="0" t="n">
        <v>58</v>
      </c>
      <c r="B60" s="0" t="s">
        <v>439</v>
      </c>
      <c r="C60" s="0" t="s">
        <v>440</v>
      </c>
      <c r="D60" s="0" t="s">
        <v>441</v>
      </c>
      <c r="E60" s="0" t="s">
        <v>442</v>
      </c>
    </row>
    <row r="61" customFormat="false" ht="15" hidden="false" customHeight="false" outlineLevel="0" collapsed="false">
      <c r="A61" s="0" t="n">
        <v>59</v>
      </c>
      <c r="B61" s="0" t="s">
        <v>443</v>
      </c>
      <c r="C61" s="0" t="s">
        <v>444</v>
      </c>
      <c r="D61" s="0" t="s">
        <v>445</v>
      </c>
      <c r="E61" s="0" t="s">
        <v>446</v>
      </c>
    </row>
    <row r="62" customFormat="false" ht="15" hidden="false" customHeight="false" outlineLevel="0" collapsed="false">
      <c r="A62" s="0" t="n">
        <v>60</v>
      </c>
      <c r="B62" s="0" t="s">
        <v>447</v>
      </c>
      <c r="C62" s="0" t="s">
        <v>448</v>
      </c>
      <c r="D62" s="0" t="s">
        <v>449</v>
      </c>
      <c r="E62" s="0" t="s">
        <v>450</v>
      </c>
    </row>
    <row r="63" customFormat="false" ht="15" hidden="false" customHeight="false" outlineLevel="0" collapsed="false">
      <c r="A63" s="0" t="n">
        <v>61</v>
      </c>
      <c r="B63" s="0" t="s">
        <v>451</v>
      </c>
      <c r="C63" s="0" t="s">
        <v>452</v>
      </c>
      <c r="D63" s="0" t="s">
        <v>453</v>
      </c>
      <c r="E63" s="0" t="s">
        <v>454</v>
      </c>
    </row>
    <row r="64" customFormat="false" ht="15" hidden="false" customHeight="false" outlineLevel="0" collapsed="false">
      <c r="A64" s="0" t="n">
        <v>62</v>
      </c>
      <c r="B64" s="0" t="s">
        <v>455</v>
      </c>
      <c r="C64" s="0" t="s">
        <v>456</v>
      </c>
      <c r="D64" s="0" t="s">
        <v>457</v>
      </c>
      <c r="E64" s="0" t="s">
        <v>458</v>
      </c>
    </row>
    <row r="65" customFormat="false" ht="15" hidden="false" customHeight="false" outlineLevel="0" collapsed="false">
      <c r="A65" s="0" t="n">
        <v>63</v>
      </c>
      <c r="B65" s="0" t="s">
        <v>459</v>
      </c>
      <c r="C65" s="0" t="s">
        <v>460</v>
      </c>
      <c r="D65" s="0" t="s">
        <v>461</v>
      </c>
      <c r="E65" s="0" t="s">
        <v>462</v>
      </c>
    </row>
    <row r="66" customFormat="false" ht="15" hidden="false" customHeight="false" outlineLevel="0" collapsed="false">
      <c r="A66" s="0" t="n">
        <v>64</v>
      </c>
      <c r="B66" s="0" t="s">
        <v>463</v>
      </c>
      <c r="C66" s="0" t="s">
        <v>464</v>
      </c>
      <c r="D66" s="0" t="s">
        <v>465</v>
      </c>
      <c r="E66" s="0" t="s">
        <v>466</v>
      </c>
    </row>
    <row r="67" customFormat="false" ht="15" hidden="false" customHeight="false" outlineLevel="0" collapsed="false">
      <c r="A67" s="0" t="n">
        <v>65</v>
      </c>
      <c r="B67" s="0" t="s">
        <v>467</v>
      </c>
      <c r="C67" s="0" t="s">
        <v>468</v>
      </c>
      <c r="D67" s="0" t="s">
        <v>469</v>
      </c>
      <c r="E67" s="0" t="s">
        <v>470</v>
      </c>
    </row>
    <row r="68" customFormat="false" ht="15" hidden="false" customHeight="false" outlineLevel="0" collapsed="false">
      <c r="A68" s="0" t="n">
        <v>66</v>
      </c>
      <c r="B68" s="0" t="s">
        <v>471</v>
      </c>
      <c r="C68" s="0" t="s">
        <v>472</v>
      </c>
      <c r="D68" s="0" t="s">
        <v>473</v>
      </c>
      <c r="E68" s="0" t="s">
        <v>474</v>
      </c>
    </row>
    <row r="69" customFormat="false" ht="15" hidden="false" customHeight="false" outlineLevel="0" collapsed="false">
      <c r="A69" s="0" t="n">
        <v>67</v>
      </c>
      <c r="B69" s="0" t="s">
        <v>475</v>
      </c>
      <c r="C69" s="0" t="s">
        <v>476</v>
      </c>
      <c r="D69" s="0" t="s">
        <v>477</v>
      </c>
      <c r="E69" s="0" t="s">
        <v>478</v>
      </c>
    </row>
    <row r="70" customFormat="false" ht="15" hidden="false" customHeight="false" outlineLevel="0" collapsed="false">
      <c r="A70" s="0" t="n">
        <v>68</v>
      </c>
      <c r="B70" s="0" t="s">
        <v>479</v>
      </c>
      <c r="C70" s="0" t="s">
        <v>480</v>
      </c>
      <c r="D70" s="0" t="s">
        <v>481</v>
      </c>
      <c r="E70" s="0" t="s">
        <v>482</v>
      </c>
    </row>
    <row r="71" customFormat="false" ht="15" hidden="false" customHeight="false" outlineLevel="0" collapsed="false">
      <c r="A71" s="0" t="n">
        <v>69</v>
      </c>
      <c r="B71" s="0" t="s">
        <v>483</v>
      </c>
      <c r="C71" s="0" t="s">
        <v>484</v>
      </c>
      <c r="D71" s="0" t="s">
        <v>485</v>
      </c>
      <c r="E71" s="0" t="s">
        <v>486</v>
      </c>
    </row>
    <row r="72" customFormat="false" ht="15" hidden="false" customHeight="false" outlineLevel="0" collapsed="false">
      <c r="A72" s="0" t="n">
        <v>70</v>
      </c>
      <c r="B72" s="0" t="s">
        <v>487</v>
      </c>
      <c r="C72" s="0" t="s">
        <v>488</v>
      </c>
      <c r="D72" s="0" t="s">
        <v>489</v>
      </c>
      <c r="E72" s="0" t="s">
        <v>490</v>
      </c>
    </row>
    <row r="73" customFormat="false" ht="15" hidden="false" customHeight="false" outlineLevel="0" collapsed="false">
      <c r="A73" s="0" t="n">
        <v>71</v>
      </c>
      <c r="B73" s="0" t="s">
        <v>491</v>
      </c>
      <c r="C73" s="0" t="s">
        <v>492</v>
      </c>
      <c r="D73" s="0" t="s">
        <v>493</v>
      </c>
      <c r="E73" s="0" t="s">
        <v>494</v>
      </c>
    </row>
    <row r="74" customFormat="false" ht="15" hidden="false" customHeight="false" outlineLevel="0" collapsed="false">
      <c r="A74" s="0" t="n">
        <v>72</v>
      </c>
      <c r="B74" s="0" t="s">
        <v>495</v>
      </c>
      <c r="C74" s="0" t="s">
        <v>496</v>
      </c>
      <c r="D74" s="0" t="s">
        <v>497</v>
      </c>
      <c r="E74" s="0" t="s">
        <v>498</v>
      </c>
    </row>
    <row r="75" customFormat="false" ht="15" hidden="false" customHeight="false" outlineLevel="0" collapsed="false">
      <c r="A75" s="0" t="n">
        <v>73</v>
      </c>
      <c r="B75" s="0" t="s">
        <v>499</v>
      </c>
      <c r="C75" s="0" t="s">
        <v>500</v>
      </c>
      <c r="D75" s="0" t="s">
        <v>501</v>
      </c>
      <c r="E75" s="0" t="s">
        <v>502</v>
      </c>
    </row>
    <row r="76" customFormat="false" ht="15" hidden="false" customHeight="false" outlineLevel="0" collapsed="false">
      <c r="A76" s="0" t="n">
        <v>74</v>
      </c>
      <c r="B76" s="0" t="s">
        <v>503</v>
      </c>
      <c r="C76" s="0" t="s">
        <v>504</v>
      </c>
      <c r="D76" s="0" t="s">
        <v>505</v>
      </c>
      <c r="E76" s="0" t="s">
        <v>506</v>
      </c>
    </row>
    <row r="77" customFormat="false" ht="15" hidden="false" customHeight="false" outlineLevel="0" collapsed="false">
      <c r="A77" s="0" t="n">
        <v>75</v>
      </c>
      <c r="B77" s="0" t="s">
        <v>507</v>
      </c>
      <c r="C77" s="0" t="s">
        <v>508</v>
      </c>
      <c r="D77" s="0" t="s">
        <v>509</v>
      </c>
      <c r="E77" s="0" t="s">
        <v>510</v>
      </c>
    </row>
    <row r="78" customFormat="false" ht="15" hidden="false" customHeight="false" outlineLevel="0" collapsed="false">
      <c r="A78" s="0" t="n">
        <v>76</v>
      </c>
      <c r="B78" s="0" t="s">
        <v>511</v>
      </c>
      <c r="C78" s="0" t="s">
        <v>512</v>
      </c>
      <c r="D78" s="0" t="s">
        <v>513</v>
      </c>
      <c r="E78" s="0" t="s">
        <v>514</v>
      </c>
    </row>
    <row r="79" customFormat="false" ht="15" hidden="false" customHeight="false" outlineLevel="0" collapsed="false">
      <c r="A79" s="0" t="n">
        <v>77</v>
      </c>
      <c r="B79" s="0" t="s">
        <v>515</v>
      </c>
      <c r="C79" s="0" t="s">
        <v>516</v>
      </c>
      <c r="D79" s="0" t="s">
        <v>517</v>
      </c>
      <c r="E79" s="0" t="s">
        <v>518</v>
      </c>
    </row>
    <row r="80" customFormat="false" ht="15" hidden="false" customHeight="false" outlineLevel="0" collapsed="false">
      <c r="A80" s="0" t="n">
        <v>78</v>
      </c>
      <c r="B80" s="0" t="s">
        <v>519</v>
      </c>
      <c r="C80" s="0" t="s">
        <v>520</v>
      </c>
      <c r="D80" s="0" t="s">
        <v>521</v>
      </c>
      <c r="E80" s="0" t="s">
        <v>522</v>
      </c>
    </row>
    <row r="81" customFormat="false" ht="15" hidden="false" customHeight="false" outlineLevel="0" collapsed="false">
      <c r="A81" s="0" t="n">
        <v>79</v>
      </c>
      <c r="B81" s="0" t="s">
        <v>523</v>
      </c>
      <c r="C81" s="0" t="s">
        <v>524</v>
      </c>
      <c r="D81" s="0" t="s">
        <v>525</v>
      </c>
      <c r="E81" s="0" t="s">
        <v>526</v>
      </c>
    </row>
    <row r="82" customFormat="false" ht="15" hidden="false" customHeight="false" outlineLevel="0" collapsed="false">
      <c r="A82" s="0" t="n">
        <v>80</v>
      </c>
      <c r="B82" s="0" t="s">
        <v>527</v>
      </c>
      <c r="C82" s="0" t="s">
        <v>528</v>
      </c>
      <c r="D82" s="0" t="s">
        <v>529</v>
      </c>
      <c r="E82" s="0" t="s">
        <v>530</v>
      </c>
    </row>
    <row r="83" customFormat="false" ht="15" hidden="false" customHeight="false" outlineLevel="0" collapsed="false">
      <c r="A83" s="0" t="n">
        <v>81</v>
      </c>
      <c r="B83" s="0" t="s">
        <v>531</v>
      </c>
      <c r="C83" s="0" t="s">
        <v>532</v>
      </c>
      <c r="D83" s="0" t="s">
        <v>533</v>
      </c>
      <c r="E83" s="0" t="s">
        <v>534</v>
      </c>
    </row>
    <row r="84" customFormat="false" ht="15" hidden="false" customHeight="false" outlineLevel="0" collapsed="false">
      <c r="A84" s="0" t="n">
        <v>82</v>
      </c>
      <c r="B84" s="0" t="s">
        <v>535</v>
      </c>
      <c r="C84" s="0" t="s">
        <v>536</v>
      </c>
      <c r="D84" s="0" t="s">
        <v>537</v>
      </c>
      <c r="E84" s="0" t="s">
        <v>538</v>
      </c>
    </row>
    <row r="85" customFormat="false" ht="15" hidden="false" customHeight="false" outlineLevel="0" collapsed="false">
      <c r="A85" s="0" t="n">
        <v>83</v>
      </c>
      <c r="B85" s="0" t="s">
        <v>539</v>
      </c>
      <c r="C85" s="0" t="s">
        <v>540</v>
      </c>
      <c r="D85" s="0" t="s">
        <v>541</v>
      </c>
      <c r="E85" s="0" t="s">
        <v>542</v>
      </c>
    </row>
    <row r="86" customFormat="false" ht="15" hidden="false" customHeight="false" outlineLevel="0" collapsed="false">
      <c r="A86" s="0" t="n">
        <v>84</v>
      </c>
      <c r="B86" s="0" t="s">
        <v>543</v>
      </c>
      <c r="C86" s="0" t="s">
        <v>544</v>
      </c>
      <c r="D86" s="0" t="s">
        <v>545</v>
      </c>
      <c r="E86" s="0" t="s">
        <v>546</v>
      </c>
    </row>
    <row r="87" customFormat="false" ht="15" hidden="false" customHeight="false" outlineLevel="0" collapsed="false">
      <c r="A87" s="0" t="n">
        <v>85</v>
      </c>
      <c r="B87" s="0" t="s">
        <v>547</v>
      </c>
      <c r="C87" s="0" t="s">
        <v>548</v>
      </c>
      <c r="D87" s="0" t="s">
        <v>549</v>
      </c>
      <c r="E87" s="0" t="s">
        <v>550</v>
      </c>
    </row>
    <row r="88" customFormat="false" ht="15" hidden="false" customHeight="false" outlineLevel="0" collapsed="false">
      <c r="A88" s="0" t="n">
        <v>86</v>
      </c>
      <c r="B88" s="0" t="s">
        <v>551</v>
      </c>
      <c r="C88" s="0" t="s">
        <v>552</v>
      </c>
      <c r="D88" s="0" t="s">
        <v>553</v>
      </c>
      <c r="E88" s="0" t="s">
        <v>554</v>
      </c>
    </row>
    <row r="89" customFormat="false" ht="15" hidden="false" customHeight="false" outlineLevel="0" collapsed="false">
      <c r="A89" s="0" t="n">
        <v>87</v>
      </c>
      <c r="B89" s="0" t="s">
        <v>555</v>
      </c>
      <c r="C89" s="0" t="s">
        <v>556</v>
      </c>
      <c r="D89" s="0" t="s">
        <v>557</v>
      </c>
      <c r="E89" s="0" t="s">
        <v>558</v>
      </c>
    </row>
    <row r="90" customFormat="false" ht="15" hidden="false" customHeight="false" outlineLevel="0" collapsed="false">
      <c r="A90" s="0" t="n">
        <v>88</v>
      </c>
      <c r="B90" s="0" t="s">
        <v>559</v>
      </c>
      <c r="C90" s="0" t="s">
        <v>560</v>
      </c>
      <c r="D90" s="0" t="s">
        <v>561</v>
      </c>
      <c r="E90" s="0" t="s">
        <v>562</v>
      </c>
    </row>
    <row r="91" customFormat="false" ht="15" hidden="false" customHeight="false" outlineLevel="0" collapsed="false">
      <c r="A91" s="0" t="n">
        <v>89</v>
      </c>
      <c r="B91" s="0" t="s">
        <v>563</v>
      </c>
      <c r="C91" s="0" t="s">
        <v>564</v>
      </c>
      <c r="D91" s="0" t="s">
        <v>565</v>
      </c>
      <c r="E91" s="0" t="s">
        <v>566</v>
      </c>
    </row>
    <row r="92" customFormat="false" ht="15" hidden="false" customHeight="false" outlineLevel="0" collapsed="false">
      <c r="A92" s="0" t="n">
        <v>90</v>
      </c>
      <c r="B92" s="0" t="s">
        <v>567</v>
      </c>
      <c r="C92" s="0" t="s">
        <v>568</v>
      </c>
      <c r="D92" s="0" t="s">
        <v>569</v>
      </c>
      <c r="E92" s="0" t="s">
        <v>570</v>
      </c>
    </row>
    <row r="93" customFormat="false" ht="15" hidden="false" customHeight="false" outlineLevel="0" collapsed="false">
      <c r="A93" s="0" t="n">
        <v>91</v>
      </c>
      <c r="B93" s="0" t="s">
        <v>571</v>
      </c>
      <c r="C93" s="0" t="s">
        <v>572</v>
      </c>
      <c r="D93" s="0" t="s">
        <v>573</v>
      </c>
      <c r="E93" s="0" t="s">
        <v>574</v>
      </c>
    </row>
    <row r="94" customFormat="false" ht="15" hidden="false" customHeight="false" outlineLevel="0" collapsed="false">
      <c r="A94" s="0" t="n">
        <v>92</v>
      </c>
      <c r="B94" s="0" t="s">
        <v>575</v>
      </c>
      <c r="C94" s="0" t="s">
        <v>576</v>
      </c>
      <c r="D94" s="0" t="s">
        <v>577</v>
      </c>
      <c r="E94" s="0" t="s">
        <v>578</v>
      </c>
    </row>
    <row r="95" customFormat="false" ht="15" hidden="false" customHeight="false" outlineLevel="0" collapsed="false">
      <c r="A95" s="0" t="n">
        <v>93</v>
      </c>
      <c r="B95" s="0" t="s">
        <v>579</v>
      </c>
      <c r="C95" s="0" t="s">
        <v>580</v>
      </c>
      <c r="D95" s="0" t="s">
        <v>581</v>
      </c>
      <c r="E95" s="0" t="s">
        <v>582</v>
      </c>
    </row>
    <row r="96" customFormat="false" ht="15" hidden="false" customHeight="false" outlineLevel="0" collapsed="false">
      <c r="A96" s="0" t="n">
        <v>94</v>
      </c>
      <c r="B96" s="0" t="s">
        <v>583</v>
      </c>
      <c r="C96" s="0" t="s">
        <v>584</v>
      </c>
      <c r="D96" s="0" t="s">
        <v>585</v>
      </c>
      <c r="E96" s="0" t="s">
        <v>586</v>
      </c>
    </row>
    <row r="97" customFormat="false" ht="15" hidden="false" customHeight="false" outlineLevel="0" collapsed="false">
      <c r="A97" s="0" t="n">
        <v>95</v>
      </c>
      <c r="B97" s="0" t="s">
        <v>587</v>
      </c>
      <c r="C97" s="0" t="s">
        <v>588</v>
      </c>
      <c r="D97" s="0" t="s">
        <v>589</v>
      </c>
      <c r="E97" s="0" t="s">
        <v>590</v>
      </c>
    </row>
    <row r="98" customFormat="false" ht="15" hidden="false" customHeight="false" outlineLevel="0" collapsed="false">
      <c r="A98" s="0" t="n">
        <v>96</v>
      </c>
      <c r="B98" s="0" t="s">
        <v>591</v>
      </c>
      <c r="C98" s="0" t="s">
        <v>592</v>
      </c>
      <c r="D98" s="0" t="s">
        <v>593</v>
      </c>
      <c r="E98" s="0" t="s">
        <v>594</v>
      </c>
    </row>
    <row r="99" customFormat="false" ht="15" hidden="false" customHeight="false" outlineLevel="0" collapsed="false">
      <c r="A99" s="0" t="n">
        <v>97</v>
      </c>
      <c r="B99" s="0" t="s">
        <v>595</v>
      </c>
      <c r="C99" s="0" t="s">
        <v>596</v>
      </c>
      <c r="D99" s="0" t="s">
        <v>597</v>
      </c>
      <c r="E99" s="0" t="s">
        <v>598</v>
      </c>
    </row>
    <row r="100" customFormat="false" ht="15" hidden="false" customHeight="false" outlineLevel="0" collapsed="false">
      <c r="A100" s="0" t="n">
        <v>98</v>
      </c>
      <c r="B100" s="0" t="s">
        <v>599</v>
      </c>
      <c r="C100" s="0" t="s">
        <v>600</v>
      </c>
      <c r="D100" s="0" t="s">
        <v>601</v>
      </c>
      <c r="E100" s="0" t="s">
        <v>602</v>
      </c>
    </row>
    <row r="101" customFormat="false" ht="15" hidden="false" customHeight="false" outlineLevel="0" collapsed="false">
      <c r="A101" s="0" t="n">
        <v>99</v>
      </c>
      <c r="B101" s="0" t="s">
        <v>603</v>
      </c>
      <c r="C101" s="0" t="s">
        <v>604</v>
      </c>
      <c r="D101" s="0" t="s">
        <v>605</v>
      </c>
      <c r="E101" s="0" t="s">
        <v>606</v>
      </c>
    </row>
    <row r="102" customFormat="false" ht="15" hidden="false" customHeight="false" outlineLevel="0" collapsed="false">
      <c r="A102" s="0" t="n">
        <v>100</v>
      </c>
      <c r="B102" s="0" t="s">
        <v>607</v>
      </c>
      <c r="C102" s="0" t="s">
        <v>608</v>
      </c>
      <c r="D102" s="0" t="s">
        <v>609</v>
      </c>
      <c r="E102" s="0" t="s">
        <v>610</v>
      </c>
    </row>
    <row r="103" customFormat="false" ht="15" hidden="false" customHeight="false" outlineLevel="0" collapsed="false">
      <c r="A103" s="0" t="n">
        <v>101</v>
      </c>
      <c r="B103" s="0" t="s">
        <v>611</v>
      </c>
      <c r="C103" s="0" t="s">
        <v>612</v>
      </c>
      <c r="D103" s="0" t="s">
        <v>613</v>
      </c>
      <c r="E103" s="0" t="s">
        <v>614</v>
      </c>
    </row>
    <row r="104" customFormat="false" ht="15" hidden="false" customHeight="false" outlineLevel="0" collapsed="false">
      <c r="A104" s="0" t="n">
        <v>102</v>
      </c>
      <c r="B104" s="0" t="s">
        <v>615</v>
      </c>
      <c r="C104" s="0" t="s">
        <v>616</v>
      </c>
      <c r="D104" s="0" t="s">
        <v>617</v>
      </c>
      <c r="E104" s="0" t="s">
        <v>618</v>
      </c>
    </row>
    <row r="105" customFormat="false" ht="15" hidden="false" customHeight="false" outlineLevel="0" collapsed="false">
      <c r="A105" s="0" t="n">
        <v>103</v>
      </c>
      <c r="B105" s="0" t="s">
        <v>619</v>
      </c>
      <c r="C105" s="0" t="s">
        <v>620</v>
      </c>
      <c r="D105" s="0" t="s">
        <v>621</v>
      </c>
      <c r="E105" s="0" t="s">
        <v>622</v>
      </c>
    </row>
    <row r="106" customFormat="false" ht="15" hidden="false" customHeight="false" outlineLevel="0" collapsed="false">
      <c r="A106" s="0" t="n">
        <v>104</v>
      </c>
      <c r="B106" s="0" t="s">
        <v>623</v>
      </c>
      <c r="C106" s="0" t="s">
        <v>624</v>
      </c>
      <c r="D106" s="0" t="s">
        <v>625</v>
      </c>
      <c r="E106" s="0" t="s">
        <v>626</v>
      </c>
    </row>
    <row r="107" customFormat="false" ht="15" hidden="false" customHeight="false" outlineLevel="0" collapsed="false">
      <c r="A107" s="0" t="n">
        <v>105</v>
      </c>
      <c r="B107" s="0" t="s">
        <v>627</v>
      </c>
      <c r="C107" s="0" t="s">
        <v>628</v>
      </c>
      <c r="D107" s="0" t="s">
        <v>629</v>
      </c>
      <c r="E107" s="0" t="s">
        <v>630</v>
      </c>
    </row>
    <row r="108" customFormat="false" ht="15" hidden="false" customHeight="false" outlineLevel="0" collapsed="false">
      <c r="A108" s="0" t="n">
        <v>106</v>
      </c>
      <c r="B108" s="0" t="s">
        <v>631</v>
      </c>
      <c r="C108" s="0" t="s">
        <v>632</v>
      </c>
      <c r="D108" s="0" t="s">
        <v>633</v>
      </c>
      <c r="E108" s="0" t="s">
        <v>634</v>
      </c>
    </row>
    <row r="109" customFormat="false" ht="15" hidden="false" customHeight="false" outlineLevel="0" collapsed="false">
      <c r="A109" s="0" t="n">
        <v>107</v>
      </c>
      <c r="B109" s="0" t="s">
        <v>635</v>
      </c>
      <c r="C109" s="0" t="s">
        <v>636</v>
      </c>
      <c r="D109" s="0" t="s">
        <v>637</v>
      </c>
      <c r="E109" s="0" t="s">
        <v>638</v>
      </c>
    </row>
    <row r="110" customFormat="false" ht="15" hidden="false" customHeight="false" outlineLevel="0" collapsed="false">
      <c r="A110" s="0" t="n">
        <v>108</v>
      </c>
      <c r="B110" s="0" t="s">
        <v>639</v>
      </c>
      <c r="C110" s="0" t="s">
        <v>640</v>
      </c>
      <c r="D110" s="0" t="s">
        <v>641</v>
      </c>
      <c r="E110" s="0" t="s">
        <v>642</v>
      </c>
    </row>
    <row r="111" customFormat="false" ht="15" hidden="false" customHeight="false" outlineLevel="0" collapsed="false">
      <c r="A111" s="0" t="n">
        <v>109</v>
      </c>
      <c r="B111" s="0" t="s">
        <v>643</v>
      </c>
      <c r="C111" s="0" t="s">
        <v>644</v>
      </c>
      <c r="D111" s="0" t="s">
        <v>645</v>
      </c>
      <c r="E111" s="0" t="s">
        <v>646</v>
      </c>
    </row>
    <row r="112" customFormat="false" ht="15" hidden="false" customHeight="false" outlineLevel="0" collapsed="false">
      <c r="A112" s="0" t="n">
        <v>110</v>
      </c>
      <c r="B112" s="0" t="s">
        <v>647</v>
      </c>
      <c r="C112" s="0" t="s">
        <v>648</v>
      </c>
      <c r="D112" s="0" t="s">
        <v>649</v>
      </c>
      <c r="E112" s="0" t="s">
        <v>650</v>
      </c>
    </row>
    <row r="113" customFormat="false" ht="15" hidden="false" customHeight="false" outlineLevel="0" collapsed="false">
      <c r="A113" s="0" t="n">
        <v>111</v>
      </c>
      <c r="B113" s="0" t="s">
        <v>651</v>
      </c>
      <c r="C113" s="0" t="s">
        <v>652</v>
      </c>
      <c r="D113" s="0" t="s">
        <v>653</v>
      </c>
      <c r="E113" s="0" t="s">
        <v>654</v>
      </c>
    </row>
    <row r="114" customFormat="false" ht="15" hidden="false" customHeight="false" outlineLevel="0" collapsed="false">
      <c r="A114" s="0" t="n">
        <v>112</v>
      </c>
      <c r="B114" s="0" t="s">
        <v>655</v>
      </c>
      <c r="C114" s="0" t="s">
        <v>656</v>
      </c>
      <c r="D114" s="0" t="s">
        <v>657</v>
      </c>
      <c r="E114" s="0" t="s">
        <v>658</v>
      </c>
    </row>
    <row r="115" customFormat="false" ht="15" hidden="false" customHeight="false" outlineLevel="0" collapsed="false">
      <c r="A115" s="0" t="n">
        <v>113</v>
      </c>
      <c r="B115" s="0" t="s">
        <v>659</v>
      </c>
      <c r="C115" s="0" t="s">
        <v>660</v>
      </c>
      <c r="D115" s="0" t="s">
        <v>661</v>
      </c>
      <c r="E115" s="0" t="s">
        <v>662</v>
      </c>
    </row>
    <row r="116" customFormat="false" ht="15" hidden="false" customHeight="false" outlineLevel="0" collapsed="false">
      <c r="A116" s="0" t="n">
        <v>114</v>
      </c>
      <c r="B116" s="0" t="s">
        <v>663</v>
      </c>
      <c r="C116" s="0" t="s">
        <v>664</v>
      </c>
      <c r="D116" s="0" t="s">
        <v>665</v>
      </c>
      <c r="E116" s="0" t="s">
        <v>666</v>
      </c>
    </row>
    <row r="117" customFormat="false" ht="15" hidden="false" customHeight="false" outlineLevel="0" collapsed="false">
      <c r="A117" s="0" t="n">
        <v>115</v>
      </c>
      <c r="B117" s="0" t="s">
        <v>667</v>
      </c>
      <c r="C117" s="0" t="s">
        <v>668</v>
      </c>
      <c r="D117" s="0" t="s">
        <v>669</v>
      </c>
      <c r="E117" s="0" t="s">
        <v>670</v>
      </c>
    </row>
    <row r="118" customFormat="false" ht="15" hidden="false" customHeight="false" outlineLevel="0" collapsed="false">
      <c r="A118" s="0" t="n">
        <v>116</v>
      </c>
      <c r="B118" s="0" t="s">
        <v>671</v>
      </c>
      <c r="C118" s="0" t="s">
        <v>672</v>
      </c>
      <c r="D118" s="0" t="s">
        <v>673</v>
      </c>
      <c r="E118" s="0" t="s">
        <v>674</v>
      </c>
    </row>
    <row r="119" customFormat="false" ht="15" hidden="false" customHeight="false" outlineLevel="0" collapsed="false">
      <c r="A119" s="0" t="n">
        <v>117</v>
      </c>
      <c r="B119" s="0" t="s">
        <v>675</v>
      </c>
      <c r="C119" s="0" t="s">
        <v>676</v>
      </c>
      <c r="D119" s="0" t="s">
        <v>677</v>
      </c>
      <c r="E119" s="0" t="s">
        <v>678</v>
      </c>
    </row>
    <row r="120" customFormat="false" ht="15" hidden="false" customHeight="false" outlineLevel="0" collapsed="false">
      <c r="A120" s="0" t="n">
        <v>118</v>
      </c>
      <c r="B120" s="0" t="s">
        <v>679</v>
      </c>
      <c r="C120" s="0" t="s">
        <v>680</v>
      </c>
      <c r="D120" s="0" t="s">
        <v>681</v>
      </c>
      <c r="E120" s="0" t="s">
        <v>682</v>
      </c>
    </row>
    <row r="121" customFormat="false" ht="15" hidden="false" customHeight="false" outlineLevel="0" collapsed="false">
      <c r="A121" s="0" t="n">
        <v>119</v>
      </c>
      <c r="B121" s="0" t="s">
        <v>683</v>
      </c>
      <c r="C121" s="0" t="s">
        <v>684</v>
      </c>
      <c r="D121" s="0" t="s">
        <v>685</v>
      </c>
      <c r="E121" s="0" t="s">
        <v>686</v>
      </c>
    </row>
    <row r="122" customFormat="false" ht="15" hidden="false" customHeight="false" outlineLevel="0" collapsed="false">
      <c r="A122" s="0" t="n">
        <v>120</v>
      </c>
      <c r="B122" s="0" t="s">
        <v>687</v>
      </c>
      <c r="C122" s="0" t="s">
        <v>688</v>
      </c>
      <c r="D122" s="0" t="s">
        <v>689</v>
      </c>
      <c r="E122" s="0" t="s">
        <v>690</v>
      </c>
    </row>
    <row r="123" customFormat="false" ht="15" hidden="false" customHeight="false" outlineLevel="0" collapsed="false">
      <c r="A123" s="0" t="n">
        <v>121</v>
      </c>
      <c r="B123" s="0" t="s">
        <v>691</v>
      </c>
      <c r="C123" s="0" t="s">
        <v>692</v>
      </c>
      <c r="D123" s="0" t="s">
        <v>693</v>
      </c>
      <c r="E123" s="0" t="s">
        <v>694</v>
      </c>
    </row>
    <row r="124" customFormat="false" ht="15" hidden="false" customHeight="false" outlineLevel="0" collapsed="false">
      <c r="A124" s="0" t="n">
        <v>122</v>
      </c>
      <c r="B124" s="0" t="s">
        <v>695</v>
      </c>
      <c r="C124" s="0" t="s">
        <v>696</v>
      </c>
      <c r="D124" s="0" t="s">
        <v>697</v>
      </c>
      <c r="E124" s="0" t="s">
        <v>698</v>
      </c>
    </row>
    <row r="125" customFormat="false" ht="15" hidden="false" customHeight="false" outlineLevel="0" collapsed="false">
      <c r="A125" s="0" t="n">
        <v>123</v>
      </c>
      <c r="B125" s="0" t="s">
        <v>699</v>
      </c>
      <c r="C125" s="0" t="s">
        <v>700</v>
      </c>
      <c r="D125" s="0" t="s">
        <v>701</v>
      </c>
      <c r="E125" s="0" t="s">
        <v>702</v>
      </c>
    </row>
    <row r="126" customFormat="false" ht="15" hidden="false" customHeight="false" outlineLevel="0" collapsed="false">
      <c r="A126" s="0" t="n">
        <v>124</v>
      </c>
      <c r="B126" s="0" t="s">
        <v>703</v>
      </c>
      <c r="C126" s="0" t="s">
        <v>704</v>
      </c>
      <c r="D126" s="0" t="s">
        <v>705</v>
      </c>
      <c r="E126" s="0" t="s">
        <v>706</v>
      </c>
    </row>
    <row r="127" customFormat="false" ht="15" hidden="false" customHeight="false" outlineLevel="0" collapsed="false">
      <c r="A127" s="0" t="n">
        <v>125</v>
      </c>
      <c r="B127" s="0" t="s">
        <v>707</v>
      </c>
      <c r="C127" s="0" t="s">
        <v>708</v>
      </c>
      <c r="D127" s="0" t="s">
        <v>709</v>
      </c>
      <c r="E127" s="0" t="s">
        <v>710</v>
      </c>
    </row>
    <row r="128" customFormat="false" ht="15" hidden="false" customHeight="false" outlineLevel="0" collapsed="false">
      <c r="A128" s="0" t="n">
        <v>126</v>
      </c>
      <c r="B128" s="0" t="s">
        <v>711</v>
      </c>
      <c r="C128" s="0" t="s">
        <v>712</v>
      </c>
      <c r="D128" s="0" t="s">
        <v>713</v>
      </c>
      <c r="E128" s="0" t="s">
        <v>714</v>
      </c>
    </row>
    <row r="129" customFormat="false" ht="15" hidden="false" customHeight="false" outlineLevel="0" collapsed="false">
      <c r="A129" s="0" t="n">
        <v>127</v>
      </c>
      <c r="B129" s="0" t="s">
        <v>715</v>
      </c>
      <c r="C129" s="0" t="s">
        <v>716</v>
      </c>
      <c r="D129" s="0" t="s">
        <v>717</v>
      </c>
      <c r="E129" s="0" t="s">
        <v>718</v>
      </c>
    </row>
    <row r="130" customFormat="false" ht="15" hidden="false" customHeight="false" outlineLevel="0" collapsed="false">
      <c r="A130" s="0" t="n">
        <v>128</v>
      </c>
      <c r="B130" s="0" t="s">
        <v>719</v>
      </c>
      <c r="C130" s="0" t="s">
        <v>720</v>
      </c>
      <c r="D130" s="0" t="s">
        <v>721</v>
      </c>
      <c r="E130" s="0" t="s">
        <v>722</v>
      </c>
    </row>
    <row r="131" customFormat="false" ht="15" hidden="false" customHeight="false" outlineLevel="0" collapsed="false">
      <c r="A131" s="0" t="n">
        <v>129</v>
      </c>
      <c r="B131" s="0" t="s">
        <v>723</v>
      </c>
      <c r="C131" s="0" t="s">
        <v>724</v>
      </c>
      <c r="D131" s="0" t="s">
        <v>725</v>
      </c>
      <c r="E131" s="0" t="s">
        <v>726</v>
      </c>
    </row>
    <row r="132" customFormat="false" ht="15" hidden="false" customHeight="false" outlineLevel="0" collapsed="false">
      <c r="A132" s="0" t="n">
        <v>130</v>
      </c>
      <c r="B132" s="0" t="s">
        <v>727</v>
      </c>
      <c r="C132" s="0" t="s">
        <v>728</v>
      </c>
      <c r="D132" s="0" t="s">
        <v>729</v>
      </c>
      <c r="E132" s="0" t="s">
        <v>730</v>
      </c>
    </row>
    <row r="133" customFormat="false" ht="15" hidden="false" customHeight="false" outlineLevel="0" collapsed="false">
      <c r="A133" s="0" t="n">
        <v>131</v>
      </c>
      <c r="B133" s="0" t="s">
        <v>731</v>
      </c>
      <c r="C133" s="0" t="s">
        <v>732</v>
      </c>
      <c r="D133" s="0" t="s">
        <v>733</v>
      </c>
      <c r="E133" s="0" t="s">
        <v>734</v>
      </c>
    </row>
    <row r="134" customFormat="false" ht="15" hidden="false" customHeight="false" outlineLevel="0" collapsed="false">
      <c r="A134" s="0" t="n">
        <v>132</v>
      </c>
      <c r="B134" s="0" t="s">
        <v>735</v>
      </c>
      <c r="C134" s="0" t="s">
        <v>736</v>
      </c>
      <c r="D134" s="0" t="s">
        <v>737</v>
      </c>
      <c r="E134" s="0" t="s">
        <v>738</v>
      </c>
    </row>
    <row r="135" customFormat="false" ht="15" hidden="false" customHeight="false" outlineLevel="0" collapsed="false">
      <c r="A135" s="0" t="n">
        <v>133</v>
      </c>
      <c r="B135" s="0" t="s">
        <v>739</v>
      </c>
      <c r="C135" s="0" t="s">
        <v>740</v>
      </c>
      <c r="D135" s="0" t="s">
        <v>741</v>
      </c>
      <c r="E135" s="0" t="s">
        <v>742</v>
      </c>
    </row>
    <row r="136" customFormat="false" ht="15" hidden="false" customHeight="false" outlineLevel="0" collapsed="false">
      <c r="A136" s="0" t="n">
        <v>134</v>
      </c>
      <c r="B136" s="0" t="s">
        <v>743</v>
      </c>
      <c r="C136" s="0" t="s">
        <v>744</v>
      </c>
      <c r="D136" s="0" t="s">
        <v>745</v>
      </c>
      <c r="E136" s="0" t="s">
        <v>746</v>
      </c>
    </row>
    <row r="137" customFormat="false" ht="15" hidden="false" customHeight="false" outlineLevel="0" collapsed="false">
      <c r="A137" s="0" t="n">
        <v>135</v>
      </c>
      <c r="B137" s="0" t="s">
        <v>747</v>
      </c>
      <c r="C137" s="0" t="s">
        <v>748</v>
      </c>
      <c r="D137" s="0" t="s">
        <v>749</v>
      </c>
      <c r="E137" s="0" t="s">
        <v>750</v>
      </c>
    </row>
    <row r="138" customFormat="false" ht="15" hidden="false" customHeight="false" outlineLevel="0" collapsed="false">
      <c r="A138" s="0" t="n">
        <v>136</v>
      </c>
      <c r="B138" s="0" t="s">
        <v>751</v>
      </c>
      <c r="C138" s="0" t="s">
        <v>752</v>
      </c>
      <c r="D138" s="0" t="s">
        <v>753</v>
      </c>
      <c r="E138" s="0" t="s">
        <v>754</v>
      </c>
    </row>
    <row r="139" customFormat="false" ht="15" hidden="false" customHeight="false" outlineLevel="0" collapsed="false">
      <c r="A139" s="0" t="n">
        <v>137</v>
      </c>
      <c r="B139" s="0" t="s">
        <v>755</v>
      </c>
      <c r="C139" s="0" t="s">
        <v>756</v>
      </c>
      <c r="D139" s="0" t="s">
        <v>757</v>
      </c>
      <c r="E139" s="0" t="s">
        <v>758</v>
      </c>
    </row>
    <row r="140" customFormat="false" ht="15" hidden="false" customHeight="false" outlineLevel="0" collapsed="false">
      <c r="A140" s="0" t="n">
        <v>138</v>
      </c>
      <c r="B140" s="0" t="s">
        <v>759</v>
      </c>
      <c r="C140" s="0" t="s">
        <v>760</v>
      </c>
      <c r="D140" s="0" t="s">
        <v>761</v>
      </c>
      <c r="E140" s="0" t="s">
        <v>762</v>
      </c>
    </row>
    <row r="141" customFormat="false" ht="15" hidden="false" customHeight="false" outlineLevel="0" collapsed="false">
      <c r="A141" s="0" t="n">
        <v>139</v>
      </c>
      <c r="B141" s="0" t="s">
        <v>763</v>
      </c>
      <c r="C141" s="0" t="s">
        <v>764</v>
      </c>
      <c r="D141" s="0" t="s">
        <v>765</v>
      </c>
      <c r="E141" s="0" t="s">
        <v>766</v>
      </c>
    </row>
    <row r="142" customFormat="false" ht="15" hidden="false" customHeight="false" outlineLevel="0" collapsed="false">
      <c r="A142" s="0" t="n">
        <v>140</v>
      </c>
      <c r="B142" s="0" t="s">
        <v>767</v>
      </c>
      <c r="C142" s="0" t="s">
        <v>768</v>
      </c>
      <c r="D142" s="0" t="s">
        <v>769</v>
      </c>
      <c r="E142" s="0" t="s">
        <v>770</v>
      </c>
    </row>
    <row r="143" customFormat="false" ht="15" hidden="false" customHeight="false" outlineLevel="0" collapsed="false">
      <c r="A143" s="0" t="n">
        <v>141</v>
      </c>
      <c r="B143" s="0" t="s">
        <v>771</v>
      </c>
      <c r="C143" s="0" t="s">
        <v>772</v>
      </c>
      <c r="D143" s="0" t="s">
        <v>773</v>
      </c>
      <c r="E143" s="0" t="s">
        <v>774</v>
      </c>
    </row>
    <row r="144" customFormat="false" ht="15" hidden="false" customHeight="false" outlineLevel="0" collapsed="false">
      <c r="A144" s="0" t="n">
        <v>142</v>
      </c>
      <c r="B144" s="0" t="s">
        <v>775</v>
      </c>
      <c r="C144" s="0" t="s">
        <v>776</v>
      </c>
      <c r="D144" s="0" t="s">
        <v>777</v>
      </c>
      <c r="E144" s="0" t="s">
        <v>778</v>
      </c>
    </row>
    <row r="145" customFormat="false" ht="15" hidden="false" customHeight="false" outlineLevel="0" collapsed="false">
      <c r="A145" s="0" t="n">
        <v>143</v>
      </c>
      <c r="B145" s="0" t="s">
        <v>779</v>
      </c>
      <c r="C145" s="0" t="s">
        <v>780</v>
      </c>
      <c r="D145" s="0" t="s">
        <v>781</v>
      </c>
      <c r="E145" s="0" t="s">
        <v>782</v>
      </c>
    </row>
    <row r="146" customFormat="false" ht="15" hidden="false" customHeight="false" outlineLevel="0" collapsed="false">
      <c r="A146" s="0" t="n">
        <v>144</v>
      </c>
      <c r="B146" s="0" t="s">
        <v>783</v>
      </c>
      <c r="C146" s="0" t="s">
        <v>784</v>
      </c>
      <c r="D146" s="0" t="s">
        <v>785</v>
      </c>
      <c r="E146" s="0" t="s">
        <v>786</v>
      </c>
    </row>
    <row r="147" customFormat="false" ht="15" hidden="false" customHeight="false" outlineLevel="0" collapsed="false">
      <c r="A147" s="0" t="n">
        <v>145</v>
      </c>
      <c r="B147" s="0" t="s">
        <v>787</v>
      </c>
      <c r="C147" s="0" t="s">
        <v>788</v>
      </c>
      <c r="D147" s="0" t="s">
        <v>789</v>
      </c>
      <c r="E147" s="0" t="s">
        <v>790</v>
      </c>
    </row>
    <row r="148" customFormat="false" ht="15" hidden="false" customHeight="false" outlineLevel="0" collapsed="false">
      <c r="A148" s="0" t="n">
        <v>146</v>
      </c>
      <c r="B148" s="0" t="s">
        <v>791</v>
      </c>
      <c r="C148" s="0" t="s">
        <v>792</v>
      </c>
      <c r="D148" s="0" t="s">
        <v>793</v>
      </c>
      <c r="E148" s="0" t="s">
        <v>794</v>
      </c>
    </row>
    <row r="149" customFormat="false" ht="15" hidden="false" customHeight="false" outlineLevel="0" collapsed="false">
      <c r="A149" s="0" t="n">
        <v>147</v>
      </c>
      <c r="B149" s="0" t="s">
        <v>795</v>
      </c>
      <c r="C149" s="0" t="s">
        <v>796</v>
      </c>
      <c r="D149" s="0" t="s">
        <v>797</v>
      </c>
      <c r="E149" s="0" t="s">
        <v>798</v>
      </c>
    </row>
    <row r="150" customFormat="false" ht="15" hidden="false" customHeight="false" outlineLevel="0" collapsed="false">
      <c r="A150" s="0" t="n">
        <v>148</v>
      </c>
      <c r="B150" s="0" t="s">
        <v>799</v>
      </c>
      <c r="C150" s="0" t="s">
        <v>800</v>
      </c>
      <c r="D150" s="0" t="s">
        <v>801</v>
      </c>
      <c r="E150" s="0" t="s">
        <v>802</v>
      </c>
    </row>
    <row r="151" customFormat="false" ht="15" hidden="false" customHeight="false" outlineLevel="0" collapsed="false">
      <c r="A151" s="0" t="n">
        <v>149</v>
      </c>
      <c r="B151" s="0" t="s">
        <v>803</v>
      </c>
      <c r="C151" s="0" t="s">
        <v>804</v>
      </c>
      <c r="D151" s="0" t="s">
        <v>805</v>
      </c>
      <c r="E151" s="0" t="s">
        <v>806</v>
      </c>
    </row>
    <row r="152" customFormat="false" ht="15" hidden="false" customHeight="false" outlineLevel="0" collapsed="false">
      <c r="A152" s="0" t="n">
        <v>150</v>
      </c>
      <c r="B152" s="0" t="s">
        <v>807</v>
      </c>
      <c r="C152" s="0" t="s">
        <v>808</v>
      </c>
      <c r="D152" s="0" t="s">
        <v>809</v>
      </c>
      <c r="E152" s="0" t="s">
        <v>810</v>
      </c>
    </row>
    <row r="153" customFormat="false" ht="15" hidden="false" customHeight="false" outlineLevel="0" collapsed="false">
      <c r="A153" s="0" t="n">
        <v>151</v>
      </c>
      <c r="B153" s="0" t="s">
        <v>811</v>
      </c>
      <c r="C153" s="0" t="s">
        <v>812</v>
      </c>
      <c r="D153" s="0" t="s">
        <v>813</v>
      </c>
      <c r="E153" s="0" t="s">
        <v>814</v>
      </c>
    </row>
    <row r="154" customFormat="false" ht="15" hidden="false" customHeight="false" outlineLevel="0" collapsed="false">
      <c r="A154" s="0" t="n">
        <v>152</v>
      </c>
      <c r="B154" s="0" t="s">
        <v>815</v>
      </c>
      <c r="C154" s="0" t="s">
        <v>816</v>
      </c>
      <c r="D154" s="0" t="s">
        <v>817</v>
      </c>
      <c r="E154" s="0" t="s">
        <v>818</v>
      </c>
    </row>
    <row r="155" customFormat="false" ht="15" hidden="false" customHeight="false" outlineLevel="0" collapsed="false">
      <c r="A155" s="0" t="n">
        <v>153</v>
      </c>
      <c r="B155" s="0" t="s">
        <v>819</v>
      </c>
      <c r="C155" s="0" t="s">
        <v>820</v>
      </c>
      <c r="D155" s="0" t="s">
        <v>821</v>
      </c>
      <c r="E155" s="0" t="s">
        <v>822</v>
      </c>
    </row>
    <row r="156" customFormat="false" ht="15" hidden="false" customHeight="false" outlineLevel="0" collapsed="false">
      <c r="A156" s="0" t="n">
        <v>154</v>
      </c>
      <c r="B156" s="0" t="s">
        <v>823</v>
      </c>
      <c r="C156" s="0" t="s">
        <v>824</v>
      </c>
      <c r="D156" s="0" t="s">
        <v>825</v>
      </c>
      <c r="E156" s="0" t="s">
        <v>826</v>
      </c>
    </row>
    <row r="157" customFormat="false" ht="15" hidden="false" customHeight="false" outlineLevel="0" collapsed="false">
      <c r="A157" s="0" t="n">
        <v>155</v>
      </c>
      <c r="B157" s="0" t="s">
        <v>827</v>
      </c>
      <c r="C157" s="0" t="s">
        <v>828</v>
      </c>
      <c r="D157" s="0" t="s">
        <v>829</v>
      </c>
      <c r="E157" s="0" t="s">
        <v>830</v>
      </c>
    </row>
    <row r="158" customFormat="false" ht="15" hidden="false" customHeight="false" outlineLevel="0" collapsed="false">
      <c r="A158" s="0" t="n">
        <v>156</v>
      </c>
      <c r="B158" s="0" t="s">
        <v>831</v>
      </c>
      <c r="C158" s="0" t="s">
        <v>832</v>
      </c>
      <c r="D158" s="0" t="s">
        <v>833</v>
      </c>
      <c r="E158" s="0" t="s">
        <v>834</v>
      </c>
    </row>
    <row r="159" customFormat="false" ht="15" hidden="false" customHeight="false" outlineLevel="0" collapsed="false">
      <c r="A159" s="0" t="n">
        <v>157</v>
      </c>
      <c r="B159" s="0" t="s">
        <v>835</v>
      </c>
      <c r="C159" s="0" t="s">
        <v>836</v>
      </c>
      <c r="D159" s="0" t="s">
        <v>837</v>
      </c>
      <c r="E159" s="0" t="s">
        <v>838</v>
      </c>
    </row>
    <row r="160" customFormat="false" ht="15" hidden="false" customHeight="false" outlineLevel="0" collapsed="false">
      <c r="A160" s="0" t="n">
        <v>158</v>
      </c>
      <c r="B160" s="0" t="s">
        <v>839</v>
      </c>
      <c r="C160" s="0" t="s">
        <v>840</v>
      </c>
      <c r="D160" s="0" t="s">
        <v>841</v>
      </c>
      <c r="E160" s="0" t="s">
        <v>842</v>
      </c>
    </row>
    <row r="161" customFormat="false" ht="15" hidden="false" customHeight="false" outlineLevel="0" collapsed="false">
      <c r="A161" s="0" t="n">
        <v>159</v>
      </c>
      <c r="B161" s="0" t="s">
        <v>843</v>
      </c>
      <c r="C161" s="0" t="s">
        <v>844</v>
      </c>
      <c r="D161" s="0" t="s">
        <v>845</v>
      </c>
      <c r="E161" s="0" t="s">
        <v>846</v>
      </c>
    </row>
    <row r="162" customFormat="false" ht="15" hidden="false" customHeight="false" outlineLevel="0" collapsed="false">
      <c r="A162" s="0" t="n">
        <v>160</v>
      </c>
      <c r="B162" s="0" t="s">
        <v>847</v>
      </c>
      <c r="C162" s="0" t="s">
        <v>848</v>
      </c>
      <c r="D162" s="0" t="s">
        <v>849</v>
      </c>
      <c r="E162" s="0" t="s">
        <v>850</v>
      </c>
    </row>
    <row r="163" customFormat="false" ht="15" hidden="false" customHeight="false" outlineLevel="0" collapsed="false">
      <c r="A163" s="0" t="n">
        <v>161</v>
      </c>
      <c r="B163" s="0" t="s">
        <v>851</v>
      </c>
      <c r="C163" s="0" t="s">
        <v>852</v>
      </c>
      <c r="D163" s="0" t="s">
        <v>853</v>
      </c>
      <c r="E163" s="0" t="s">
        <v>854</v>
      </c>
    </row>
    <row r="164" customFormat="false" ht="15" hidden="false" customHeight="false" outlineLevel="0" collapsed="false">
      <c r="A164" s="0" t="n">
        <v>162</v>
      </c>
      <c r="B164" s="0" t="s">
        <v>855</v>
      </c>
      <c r="C164" s="0" t="s">
        <v>856</v>
      </c>
      <c r="D164" s="0" t="s">
        <v>857</v>
      </c>
      <c r="E164" s="0" t="s">
        <v>858</v>
      </c>
    </row>
    <row r="165" customFormat="false" ht="15" hidden="false" customHeight="false" outlineLevel="0" collapsed="false">
      <c r="A165" s="0" t="n">
        <v>163</v>
      </c>
      <c r="B165" s="0" t="s">
        <v>859</v>
      </c>
      <c r="C165" s="0" t="s">
        <v>860</v>
      </c>
      <c r="D165" s="0" t="s">
        <v>861</v>
      </c>
      <c r="E165" s="0" t="s">
        <v>862</v>
      </c>
    </row>
    <row r="166" customFormat="false" ht="15" hidden="false" customHeight="false" outlineLevel="0" collapsed="false">
      <c r="A166" s="0" t="n">
        <v>164</v>
      </c>
      <c r="B166" s="0" t="s">
        <v>863</v>
      </c>
      <c r="C166" s="0" t="s">
        <v>864</v>
      </c>
      <c r="D166" s="0" t="s">
        <v>865</v>
      </c>
      <c r="E166" s="0" t="s">
        <v>866</v>
      </c>
    </row>
    <row r="167" customFormat="false" ht="15" hidden="false" customHeight="false" outlineLevel="0" collapsed="false">
      <c r="A167" s="0" t="n">
        <v>165</v>
      </c>
      <c r="B167" s="0" t="s">
        <v>867</v>
      </c>
      <c r="C167" s="0" t="s">
        <v>868</v>
      </c>
      <c r="D167" s="0" t="s">
        <v>869</v>
      </c>
      <c r="E167" s="0" t="s">
        <v>870</v>
      </c>
    </row>
    <row r="168" customFormat="false" ht="15" hidden="false" customHeight="false" outlineLevel="0" collapsed="false">
      <c r="A168" s="0" t="n">
        <v>166</v>
      </c>
      <c r="B168" s="0" t="s">
        <v>871</v>
      </c>
      <c r="C168" s="0" t="s">
        <v>872</v>
      </c>
      <c r="D168" s="0" t="s">
        <v>873</v>
      </c>
      <c r="E168" s="0" t="s">
        <v>874</v>
      </c>
    </row>
    <row r="169" customFormat="false" ht="15" hidden="false" customHeight="false" outlineLevel="0" collapsed="false">
      <c r="A169" s="0" t="n">
        <v>167</v>
      </c>
      <c r="B169" s="0" t="s">
        <v>875</v>
      </c>
      <c r="C169" s="0" t="s">
        <v>876</v>
      </c>
      <c r="D169" s="0" t="s">
        <v>877</v>
      </c>
      <c r="E169" s="0" t="s">
        <v>878</v>
      </c>
    </row>
    <row r="170" customFormat="false" ht="15" hidden="false" customHeight="false" outlineLevel="0" collapsed="false">
      <c r="A170" s="0" t="n">
        <v>168</v>
      </c>
      <c r="B170" s="0" t="s">
        <v>879</v>
      </c>
      <c r="C170" s="0" t="s">
        <v>880</v>
      </c>
      <c r="D170" s="0" t="s">
        <v>881</v>
      </c>
      <c r="E170" s="0" t="s">
        <v>882</v>
      </c>
    </row>
    <row r="171" customFormat="false" ht="15" hidden="false" customHeight="false" outlineLevel="0" collapsed="false">
      <c r="A171" s="0" t="n">
        <v>169</v>
      </c>
      <c r="B171" s="0" t="s">
        <v>883</v>
      </c>
      <c r="C171" s="0" t="s">
        <v>884</v>
      </c>
      <c r="D171" s="0" t="s">
        <v>885</v>
      </c>
      <c r="E171" s="0" t="s">
        <v>886</v>
      </c>
    </row>
    <row r="172" customFormat="false" ht="15" hidden="false" customHeight="false" outlineLevel="0" collapsed="false">
      <c r="A172" s="0" t="n">
        <v>170</v>
      </c>
      <c r="B172" s="0" t="s">
        <v>887</v>
      </c>
      <c r="C172" s="0" t="s">
        <v>888</v>
      </c>
      <c r="D172" s="0" t="s">
        <v>889</v>
      </c>
      <c r="E172" s="0" t="s">
        <v>890</v>
      </c>
    </row>
    <row r="173" customFormat="false" ht="15" hidden="false" customHeight="false" outlineLevel="0" collapsed="false">
      <c r="A173" s="0" t="n">
        <v>171</v>
      </c>
      <c r="B173" s="0" t="s">
        <v>891</v>
      </c>
      <c r="C173" s="0" t="s">
        <v>892</v>
      </c>
      <c r="D173" s="0" t="s">
        <v>893</v>
      </c>
      <c r="E173" s="0" t="s">
        <v>894</v>
      </c>
    </row>
    <row r="174" customFormat="false" ht="15" hidden="false" customHeight="false" outlineLevel="0" collapsed="false">
      <c r="A174" s="0" t="n">
        <v>172</v>
      </c>
      <c r="B174" s="0" t="s">
        <v>895</v>
      </c>
      <c r="C174" s="0" t="s">
        <v>896</v>
      </c>
      <c r="D174" s="0" t="s">
        <v>897</v>
      </c>
      <c r="E174" s="0" t="s">
        <v>898</v>
      </c>
    </row>
    <row r="175" customFormat="false" ht="15" hidden="false" customHeight="false" outlineLevel="0" collapsed="false">
      <c r="A175" s="0" t="n">
        <v>173</v>
      </c>
      <c r="B175" s="0" t="s">
        <v>899</v>
      </c>
      <c r="C175" s="0" t="s">
        <v>900</v>
      </c>
      <c r="D175" s="0" t="s">
        <v>901</v>
      </c>
      <c r="E175" s="0" t="s">
        <v>902</v>
      </c>
    </row>
    <row r="176" customFormat="false" ht="15" hidden="false" customHeight="false" outlineLevel="0" collapsed="false">
      <c r="A176" s="0" t="n">
        <v>174</v>
      </c>
      <c r="B176" s="0" t="s">
        <v>903</v>
      </c>
      <c r="C176" s="0" t="s">
        <v>904</v>
      </c>
      <c r="D176" s="0" t="s">
        <v>905</v>
      </c>
      <c r="E176" s="0" t="s">
        <v>906</v>
      </c>
    </row>
    <row r="177" customFormat="false" ht="15" hidden="false" customHeight="false" outlineLevel="0" collapsed="false">
      <c r="A177" s="0" t="n">
        <v>175</v>
      </c>
      <c r="B177" s="0" t="s">
        <v>907</v>
      </c>
      <c r="C177" s="0" t="s">
        <v>908</v>
      </c>
      <c r="D177" s="0" t="s">
        <v>909</v>
      </c>
      <c r="E177" s="0" t="s">
        <v>910</v>
      </c>
    </row>
    <row r="178" customFormat="false" ht="15" hidden="false" customHeight="false" outlineLevel="0" collapsed="false">
      <c r="A178" s="0" t="n">
        <v>176</v>
      </c>
      <c r="B178" s="0" t="s">
        <v>911</v>
      </c>
      <c r="C178" s="0" t="s">
        <v>912</v>
      </c>
      <c r="D178" s="0" t="s">
        <v>913</v>
      </c>
      <c r="E178" s="0" t="s">
        <v>914</v>
      </c>
    </row>
    <row r="179" customFormat="false" ht="15" hidden="false" customHeight="false" outlineLevel="0" collapsed="false">
      <c r="A179" s="0" t="n">
        <v>177</v>
      </c>
      <c r="B179" s="0" t="s">
        <v>915</v>
      </c>
      <c r="C179" s="0" t="s">
        <v>916</v>
      </c>
      <c r="D179" s="0" t="s">
        <v>917</v>
      </c>
      <c r="E179" s="0" t="s">
        <v>918</v>
      </c>
    </row>
    <row r="180" customFormat="false" ht="15" hidden="false" customHeight="false" outlineLevel="0" collapsed="false">
      <c r="A180" s="0" t="n">
        <v>178</v>
      </c>
      <c r="B180" s="0" t="s">
        <v>919</v>
      </c>
      <c r="C180" s="0" t="s">
        <v>920</v>
      </c>
      <c r="D180" s="0" t="s">
        <v>921</v>
      </c>
      <c r="E180" s="0" t="s">
        <v>922</v>
      </c>
    </row>
    <row r="181" customFormat="false" ht="15" hidden="false" customHeight="false" outlineLevel="0" collapsed="false">
      <c r="A181" s="0" t="n">
        <v>179</v>
      </c>
      <c r="B181" s="0" t="s">
        <v>923</v>
      </c>
      <c r="C181" s="0" t="s">
        <v>924</v>
      </c>
      <c r="D181" s="0" t="s">
        <v>925</v>
      </c>
      <c r="E181" s="0" t="s">
        <v>926</v>
      </c>
    </row>
    <row r="182" customFormat="false" ht="15" hidden="false" customHeight="false" outlineLevel="0" collapsed="false">
      <c r="A182" s="0" t="n">
        <v>180</v>
      </c>
      <c r="B182" s="0" t="s">
        <v>927</v>
      </c>
      <c r="C182" s="0" t="s">
        <v>928</v>
      </c>
      <c r="D182" s="0" t="s">
        <v>929</v>
      </c>
      <c r="E182" s="0" t="s">
        <v>930</v>
      </c>
    </row>
    <row r="183" customFormat="false" ht="15" hidden="false" customHeight="false" outlineLevel="0" collapsed="false">
      <c r="A183" s="0" t="n">
        <v>181</v>
      </c>
      <c r="B183" s="0" t="s">
        <v>931</v>
      </c>
      <c r="C183" s="0" t="s">
        <v>932</v>
      </c>
      <c r="D183" s="0" t="s">
        <v>933</v>
      </c>
      <c r="E183" s="0" t="s">
        <v>934</v>
      </c>
    </row>
    <row r="184" customFormat="false" ht="15" hidden="false" customHeight="false" outlineLevel="0" collapsed="false">
      <c r="A184" s="0" t="n">
        <v>182</v>
      </c>
      <c r="B184" s="0" t="s">
        <v>935</v>
      </c>
      <c r="C184" s="0" t="s">
        <v>936</v>
      </c>
      <c r="D184" s="0" t="s">
        <v>937</v>
      </c>
      <c r="E184" s="0" t="s">
        <v>938</v>
      </c>
    </row>
    <row r="185" customFormat="false" ht="15" hidden="false" customHeight="false" outlineLevel="0" collapsed="false">
      <c r="A185" s="0" t="n">
        <v>183</v>
      </c>
      <c r="B185" s="0" t="s">
        <v>939</v>
      </c>
      <c r="C185" s="0" t="s">
        <v>940</v>
      </c>
      <c r="D185" s="0" t="s">
        <v>941</v>
      </c>
      <c r="E185" s="0" t="s">
        <v>942</v>
      </c>
    </row>
    <row r="186" customFormat="false" ht="15" hidden="false" customHeight="false" outlineLevel="0" collapsed="false">
      <c r="A186" s="0" t="n">
        <v>184</v>
      </c>
      <c r="B186" s="0" t="s">
        <v>943</v>
      </c>
      <c r="C186" s="0" t="s">
        <v>944</v>
      </c>
      <c r="D186" s="0" t="s">
        <v>945</v>
      </c>
      <c r="E186" s="0" t="s">
        <v>946</v>
      </c>
    </row>
    <row r="187" customFormat="false" ht="15" hidden="false" customHeight="false" outlineLevel="0" collapsed="false">
      <c r="A187" s="0" t="n">
        <v>185</v>
      </c>
      <c r="B187" s="0" t="s">
        <v>947</v>
      </c>
      <c r="C187" s="0" t="s">
        <v>948</v>
      </c>
      <c r="D187" s="0" t="s">
        <v>949</v>
      </c>
      <c r="E187" s="0" t="s">
        <v>950</v>
      </c>
    </row>
    <row r="188" customFormat="false" ht="15" hidden="false" customHeight="false" outlineLevel="0" collapsed="false">
      <c r="A188" s="0" t="n">
        <v>186</v>
      </c>
      <c r="B188" s="0" t="s">
        <v>951</v>
      </c>
      <c r="C188" s="0" t="s">
        <v>952</v>
      </c>
      <c r="D188" s="0" t="s">
        <v>953</v>
      </c>
      <c r="E188" s="0" t="s">
        <v>954</v>
      </c>
    </row>
    <row r="189" customFormat="false" ht="15" hidden="false" customHeight="false" outlineLevel="0" collapsed="false">
      <c r="A189" s="0" t="n">
        <v>187</v>
      </c>
      <c r="B189" s="0" t="s">
        <v>955</v>
      </c>
      <c r="C189" s="0" t="s">
        <v>956</v>
      </c>
      <c r="D189" s="0" t="s">
        <v>957</v>
      </c>
      <c r="E189" s="0" t="s">
        <v>958</v>
      </c>
    </row>
    <row r="190" customFormat="false" ht="15" hidden="false" customHeight="false" outlineLevel="0" collapsed="false">
      <c r="A190" s="0" t="n">
        <v>188</v>
      </c>
      <c r="B190" s="0" t="s">
        <v>959</v>
      </c>
      <c r="C190" s="0" t="s">
        <v>960</v>
      </c>
      <c r="D190" s="0" t="s">
        <v>961</v>
      </c>
      <c r="E190" s="0" t="s">
        <v>962</v>
      </c>
    </row>
    <row r="191" customFormat="false" ht="15" hidden="false" customHeight="false" outlineLevel="0" collapsed="false">
      <c r="A191" s="0" t="n">
        <v>189</v>
      </c>
      <c r="B191" s="0" t="s">
        <v>963</v>
      </c>
      <c r="C191" s="0" t="s">
        <v>964</v>
      </c>
      <c r="D191" s="0" t="s">
        <v>965</v>
      </c>
      <c r="E191" s="0" t="s">
        <v>966</v>
      </c>
    </row>
    <row r="192" customFormat="false" ht="15" hidden="false" customHeight="false" outlineLevel="0" collapsed="false">
      <c r="A192" s="0" t="n">
        <v>190</v>
      </c>
      <c r="B192" s="0" t="s">
        <v>967</v>
      </c>
      <c r="C192" s="0" t="s">
        <v>968</v>
      </c>
      <c r="D192" s="0" t="s">
        <v>969</v>
      </c>
      <c r="E192" s="0" t="s">
        <v>970</v>
      </c>
    </row>
    <row r="193" customFormat="false" ht="15" hidden="false" customHeight="false" outlineLevel="0" collapsed="false">
      <c r="A193" s="0" t="n">
        <v>191</v>
      </c>
      <c r="B193" s="0" t="s">
        <v>971</v>
      </c>
      <c r="C193" s="0" t="s">
        <v>972</v>
      </c>
      <c r="D193" s="0" t="s">
        <v>973</v>
      </c>
      <c r="E193" s="0" t="s">
        <v>974</v>
      </c>
    </row>
    <row r="194" customFormat="false" ht="15" hidden="false" customHeight="false" outlineLevel="0" collapsed="false">
      <c r="A194" s="0" t="n">
        <v>192</v>
      </c>
      <c r="B194" s="0" t="s">
        <v>975</v>
      </c>
      <c r="C194" s="0" t="s">
        <v>976</v>
      </c>
      <c r="D194" s="0" t="s">
        <v>977</v>
      </c>
      <c r="E194" s="0" t="s">
        <v>978</v>
      </c>
    </row>
    <row r="195" customFormat="false" ht="15" hidden="false" customHeight="false" outlineLevel="0" collapsed="false">
      <c r="A195" s="0" t="n">
        <v>193</v>
      </c>
      <c r="B195" s="0" t="s">
        <v>979</v>
      </c>
      <c r="C195" s="0" t="s">
        <v>980</v>
      </c>
      <c r="D195" s="0" t="s">
        <v>981</v>
      </c>
      <c r="E195" s="0" t="s">
        <v>982</v>
      </c>
    </row>
    <row r="196" customFormat="false" ht="15" hidden="false" customHeight="false" outlineLevel="0" collapsed="false">
      <c r="A196" s="0" t="n">
        <v>194</v>
      </c>
      <c r="B196" s="0" t="s">
        <v>983</v>
      </c>
      <c r="C196" s="0" t="s">
        <v>984</v>
      </c>
      <c r="D196" s="0" t="s">
        <v>985</v>
      </c>
      <c r="E196" s="0" t="s">
        <v>986</v>
      </c>
    </row>
    <row r="197" customFormat="false" ht="15" hidden="false" customHeight="false" outlineLevel="0" collapsed="false">
      <c r="A197" s="0" t="n">
        <v>195</v>
      </c>
      <c r="B197" s="0" t="s">
        <v>987</v>
      </c>
      <c r="C197" s="0" t="s">
        <v>988</v>
      </c>
      <c r="D197" s="0" t="s">
        <v>989</v>
      </c>
      <c r="E197" s="0" t="s">
        <v>990</v>
      </c>
    </row>
    <row r="198" customFormat="false" ht="15" hidden="false" customHeight="false" outlineLevel="0" collapsed="false">
      <c r="A198" s="0" t="n">
        <v>196</v>
      </c>
      <c r="B198" s="0" t="s">
        <v>991</v>
      </c>
      <c r="C198" s="0" t="s">
        <v>992</v>
      </c>
      <c r="D198" s="0" t="s">
        <v>993</v>
      </c>
      <c r="E198" s="0" t="s">
        <v>994</v>
      </c>
    </row>
    <row r="199" customFormat="false" ht="15" hidden="false" customHeight="false" outlineLevel="0" collapsed="false">
      <c r="A199" s="0" t="n">
        <v>197</v>
      </c>
      <c r="B199" s="0" t="s">
        <v>995</v>
      </c>
      <c r="C199" s="0" t="s">
        <v>996</v>
      </c>
      <c r="D199" s="0" t="s">
        <v>997</v>
      </c>
      <c r="E199" s="0" t="s">
        <v>998</v>
      </c>
    </row>
    <row r="200" customFormat="false" ht="15" hidden="false" customHeight="false" outlineLevel="0" collapsed="false">
      <c r="A200" s="0" t="n">
        <v>198</v>
      </c>
      <c r="B200" s="0" t="s">
        <v>999</v>
      </c>
      <c r="C200" s="0" t="s">
        <v>1000</v>
      </c>
      <c r="D200" s="0" t="s">
        <v>1001</v>
      </c>
      <c r="E200" s="0" t="s">
        <v>1002</v>
      </c>
    </row>
    <row r="201" customFormat="false" ht="15" hidden="false" customHeight="false" outlineLevel="0" collapsed="false">
      <c r="A201" s="0" t="n">
        <v>199</v>
      </c>
      <c r="B201" s="0" t="s">
        <v>1003</v>
      </c>
      <c r="C201" s="0" t="s">
        <v>1004</v>
      </c>
      <c r="D201" s="0" t="s">
        <v>1005</v>
      </c>
      <c r="E201" s="0" t="s">
        <v>1006</v>
      </c>
    </row>
    <row r="202" customFormat="false" ht="15" hidden="false" customHeight="false" outlineLevel="0" collapsed="false">
      <c r="A202" s="0" t="n">
        <v>200</v>
      </c>
      <c r="B202" s="0" t="s">
        <v>1007</v>
      </c>
      <c r="C202" s="0" t="s">
        <v>1008</v>
      </c>
      <c r="D202" s="0" t="s">
        <v>1009</v>
      </c>
      <c r="E202" s="0" t="s">
        <v>1010</v>
      </c>
    </row>
    <row r="203" customFormat="false" ht="15" hidden="false" customHeight="false" outlineLevel="0" collapsed="false">
      <c r="A203" s="0" t="n">
        <v>201</v>
      </c>
      <c r="B203" s="0" t="s">
        <v>1011</v>
      </c>
      <c r="C203" s="0" t="s">
        <v>1012</v>
      </c>
      <c r="D203" s="0" t="s">
        <v>1013</v>
      </c>
      <c r="E203" s="0" t="s">
        <v>1014</v>
      </c>
    </row>
    <row r="204" customFormat="false" ht="15" hidden="false" customHeight="false" outlineLevel="0" collapsed="false">
      <c r="A204" s="0" t="n">
        <v>202</v>
      </c>
      <c r="B204" s="0" t="s">
        <v>1015</v>
      </c>
      <c r="C204" s="0" t="s">
        <v>1016</v>
      </c>
      <c r="D204" s="0" t="s">
        <v>1017</v>
      </c>
      <c r="E204" s="0" t="s">
        <v>1018</v>
      </c>
    </row>
    <row r="205" customFormat="false" ht="15" hidden="false" customHeight="false" outlineLevel="0" collapsed="false">
      <c r="A205" s="0" t="n">
        <v>203</v>
      </c>
      <c r="B205" s="0" t="s">
        <v>1019</v>
      </c>
      <c r="C205" s="0" t="s">
        <v>1020</v>
      </c>
      <c r="D205" s="0" t="s">
        <v>1021</v>
      </c>
      <c r="E205" s="0" t="s">
        <v>1022</v>
      </c>
    </row>
    <row r="206" customFormat="false" ht="15" hidden="false" customHeight="false" outlineLevel="0" collapsed="false">
      <c r="A206" s="0" t="n">
        <v>204</v>
      </c>
      <c r="B206" s="0" t="s">
        <v>1023</v>
      </c>
      <c r="C206" s="0" t="s">
        <v>1024</v>
      </c>
      <c r="D206" s="0" t="s">
        <v>1025</v>
      </c>
      <c r="E206" s="0" t="s">
        <v>1026</v>
      </c>
    </row>
    <row r="207" customFormat="false" ht="15" hidden="false" customHeight="false" outlineLevel="0" collapsed="false">
      <c r="A207" s="0" t="n">
        <v>205</v>
      </c>
      <c r="B207" s="0" t="s">
        <v>1027</v>
      </c>
      <c r="C207" s="0" t="s">
        <v>1028</v>
      </c>
      <c r="D207" s="0" t="s">
        <v>1029</v>
      </c>
      <c r="E207" s="0" t="s">
        <v>1030</v>
      </c>
    </row>
    <row r="208" customFormat="false" ht="15" hidden="false" customHeight="false" outlineLevel="0" collapsed="false">
      <c r="A208" s="0" t="n">
        <v>206</v>
      </c>
      <c r="B208" s="0" t="s">
        <v>1031</v>
      </c>
      <c r="C208" s="0" t="s">
        <v>1032</v>
      </c>
      <c r="D208" s="0" t="s">
        <v>1033</v>
      </c>
      <c r="E208" s="0" t="s">
        <v>1034</v>
      </c>
    </row>
    <row r="209" customFormat="false" ht="15" hidden="false" customHeight="false" outlineLevel="0" collapsed="false">
      <c r="A209" s="0" t="n">
        <v>207</v>
      </c>
      <c r="B209" s="0" t="s">
        <v>1035</v>
      </c>
      <c r="C209" s="0" t="s">
        <v>1036</v>
      </c>
      <c r="D209" s="0" t="s">
        <v>1037</v>
      </c>
      <c r="E209" s="0" t="s">
        <v>1038</v>
      </c>
    </row>
    <row r="210" customFormat="false" ht="15" hidden="false" customHeight="false" outlineLevel="0" collapsed="false">
      <c r="A210" s="0" t="n">
        <v>208</v>
      </c>
      <c r="B210" s="0" t="s">
        <v>1039</v>
      </c>
      <c r="C210" s="0" t="s">
        <v>1040</v>
      </c>
      <c r="D210" s="0" t="s">
        <v>1041</v>
      </c>
      <c r="E210" s="0" t="s">
        <v>1042</v>
      </c>
    </row>
    <row r="211" customFormat="false" ht="15" hidden="false" customHeight="false" outlineLevel="0" collapsed="false">
      <c r="A211" s="0" t="n">
        <v>209</v>
      </c>
      <c r="B211" s="0" t="s">
        <v>1043</v>
      </c>
      <c r="C211" s="0" t="s">
        <v>1044</v>
      </c>
      <c r="D211" s="0" t="s">
        <v>1045</v>
      </c>
      <c r="E211" s="0" t="s">
        <v>1046</v>
      </c>
    </row>
    <row r="212" customFormat="false" ht="15" hidden="false" customHeight="false" outlineLevel="0" collapsed="false">
      <c r="A212" s="0" t="n">
        <v>210</v>
      </c>
      <c r="B212" s="0" t="s">
        <v>1047</v>
      </c>
      <c r="C212" s="0" t="s">
        <v>1048</v>
      </c>
      <c r="D212" s="0" t="s">
        <v>1049</v>
      </c>
      <c r="E212" s="0" t="s">
        <v>1050</v>
      </c>
    </row>
    <row r="213" customFormat="false" ht="15" hidden="false" customHeight="false" outlineLevel="0" collapsed="false">
      <c r="A213" s="0" t="n">
        <v>211</v>
      </c>
      <c r="B213" s="0" t="s">
        <v>1051</v>
      </c>
      <c r="C213" s="0" t="s">
        <v>1052</v>
      </c>
      <c r="D213" s="0" t="s">
        <v>1053</v>
      </c>
      <c r="E213" s="0" t="s">
        <v>1054</v>
      </c>
    </row>
    <row r="214" customFormat="false" ht="15" hidden="false" customHeight="false" outlineLevel="0" collapsed="false">
      <c r="A214" s="0" t="n">
        <v>212</v>
      </c>
      <c r="B214" s="0" t="s">
        <v>1055</v>
      </c>
      <c r="C214" s="0" t="s">
        <v>1056</v>
      </c>
      <c r="D214" s="0" t="s">
        <v>1057</v>
      </c>
      <c r="E214" s="0" t="s">
        <v>1058</v>
      </c>
    </row>
    <row r="215" customFormat="false" ht="15" hidden="false" customHeight="false" outlineLevel="0" collapsed="false">
      <c r="A215" s="0" t="n">
        <v>213</v>
      </c>
      <c r="B215" s="0" t="s">
        <v>1059</v>
      </c>
      <c r="C215" s="0" t="s">
        <v>1060</v>
      </c>
      <c r="D215" s="0" t="s">
        <v>1061</v>
      </c>
      <c r="E215" s="0" t="s">
        <v>1062</v>
      </c>
    </row>
    <row r="216" customFormat="false" ht="15" hidden="false" customHeight="false" outlineLevel="0" collapsed="false">
      <c r="A216" s="0" t="n">
        <v>214</v>
      </c>
      <c r="B216" s="0" t="s">
        <v>1063</v>
      </c>
      <c r="C216" s="0" t="s">
        <v>1064</v>
      </c>
      <c r="D216" s="0" t="s">
        <v>1065</v>
      </c>
      <c r="E216" s="0" t="s">
        <v>1066</v>
      </c>
    </row>
    <row r="217" customFormat="false" ht="15" hidden="false" customHeight="false" outlineLevel="0" collapsed="false">
      <c r="A217" s="0" t="n">
        <v>215</v>
      </c>
      <c r="B217" s="0" t="s">
        <v>1067</v>
      </c>
      <c r="C217" s="0" t="s">
        <v>1068</v>
      </c>
      <c r="D217" s="0" t="s">
        <v>1069</v>
      </c>
      <c r="E217" s="0" t="s">
        <v>1070</v>
      </c>
    </row>
    <row r="218" customFormat="false" ht="15" hidden="false" customHeight="false" outlineLevel="0" collapsed="false">
      <c r="A218" s="0" t="n">
        <v>216</v>
      </c>
      <c r="B218" s="0" t="s">
        <v>1071</v>
      </c>
      <c r="C218" s="0" t="s">
        <v>1072</v>
      </c>
      <c r="D218" s="0" t="s">
        <v>1073</v>
      </c>
      <c r="E218" s="0" t="s">
        <v>1074</v>
      </c>
    </row>
    <row r="219" customFormat="false" ht="15" hidden="false" customHeight="false" outlineLevel="0" collapsed="false">
      <c r="A219" s="0" t="n">
        <v>217</v>
      </c>
      <c r="B219" s="0" t="s">
        <v>1075</v>
      </c>
      <c r="C219" s="0" t="s">
        <v>1076</v>
      </c>
      <c r="D219" s="0" t="s">
        <v>1077</v>
      </c>
      <c r="E219" s="0" t="s">
        <v>1078</v>
      </c>
    </row>
    <row r="220" customFormat="false" ht="15" hidden="false" customHeight="false" outlineLevel="0" collapsed="false">
      <c r="A220" s="0" t="n">
        <v>218</v>
      </c>
      <c r="B220" s="0" t="s">
        <v>1079</v>
      </c>
      <c r="C220" s="0" t="s">
        <v>1080</v>
      </c>
      <c r="D220" s="0" t="s">
        <v>1081</v>
      </c>
      <c r="E220" s="0" t="s">
        <v>1082</v>
      </c>
    </row>
    <row r="221" customFormat="false" ht="15" hidden="false" customHeight="false" outlineLevel="0" collapsed="false">
      <c r="A221" s="0" t="n">
        <v>219</v>
      </c>
      <c r="B221" s="0" t="s">
        <v>1083</v>
      </c>
      <c r="C221" s="0" t="s">
        <v>1084</v>
      </c>
      <c r="D221" s="0" t="s">
        <v>1085</v>
      </c>
      <c r="E221" s="0" t="s">
        <v>1086</v>
      </c>
    </row>
    <row r="222" customFormat="false" ht="15" hidden="false" customHeight="false" outlineLevel="0" collapsed="false">
      <c r="A222" s="0" t="n">
        <v>220</v>
      </c>
      <c r="B222" s="0" t="s">
        <v>1087</v>
      </c>
      <c r="C222" s="0" t="s">
        <v>1088</v>
      </c>
      <c r="D222" s="0" t="s">
        <v>1089</v>
      </c>
      <c r="E222" s="0" t="s">
        <v>1090</v>
      </c>
    </row>
    <row r="223" customFormat="false" ht="15" hidden="false" customHeight="false" outlineLevel="0" collapsed="false">
      <c r="A223" s="0" t="n">
        <v>221</v>
      </c>
      <c r="B223" s="0" t="s">
        <v>1091</v>
      </c>
      <c r="C223" s="0" t="s">
        <v>1092</v>
      </c>
      <c r="D223" s="0" t="s">
        <v>1093</v>
      </c>
      <c r="E223" s="0" t="s">
        <v>1094</v>
      </c>
    </row>
    <row r="224" customFormat="false" ht="15" hidden="false" customHeight="false" outlineLevel="0" collapsed="false">
      <c r="A224" s="0" t="n">
        <v>222</v>
      </c>
      <c r="B224" s="0" t="s">
        <v>1095</v>
      </c>
      <c r="C224" s="0" t="s">
        <v>1096</v>
      </c>
      <c r="D224" s="0" t="s">
        <v>1097</v>
      </c>
      <c r="E224" s="0" t="s">
        <v>1098</v>
      </c>
    </row>
    <row r="225" customFormat="false" ht="15" hidden="false" customHeight="false" outlineLevel="0" collapsed="false">
      <c r="A225" s="0" t="n">
        <v>223</v>
      </c>
      <c r="B225" s="0" t="s">
        <v>1099</v>
      </c>
      <c r="C225" s="0" t="s">
        <v>1100</v>
      </c>
      <c r="D225" s="0" t="s">
        <v>1101</v>
      </c>
      <c r="E225" s="0" t="s">
        <v>1102</v>
      </c>
    </row>
    <row r="226" customFormat="false" ht="15" hidden="false" customHeight="false" outlineLevel="0" collapsed="false">
      <c r="A226" s="0" t="n">
        <v>224</v>
      </c>
      <c r="B226" s="0" t="s">
        <v>1103</v>
      </c>
      <c r="C226" s="0" t="s">
        <v>1104</v>
      </c>
      <c r="D226" s="0" t="s">
        <v>1105</v>
      </c>
      <c r="E226" s="0" t="s">
        <v>1106</v>
      </c>
    </row>
    <row r="227" customFormat="false" ht="15" hidden="false" customHeight="false" outlineLevel="0" collapsed="false">
      <c r="A227" s="0" t="n">
        <v>225</v>
      </c>
      <c r="B227" s="0" t="s">
        <v>1107</v>
      </c>
      <c r="C227" s="0" t="s">
        <v>1108</v>
      </c>
      <c r="D227" s="0" t="s">
        <v>1109</v>
      </c>
      <c r="E227" s="0" t="s">
        <v>1110</v>
      </c>
    </row>
    <row r="228" customFormat="false" ht="15" hidden="false" customHeight="false" outlineLevel="0" collapsed="false">
      <c r="A228" s="0" t="n">
        <v>226</v>
      </c>
      <c r="B228" s="0" t="s">
        <v>1111</v>
      </c>
      <c r="C228" s="0" t="s">
        <v>1112</v>
      </c>
      <c r="D228" s="0" t="s">
        <v>1113</v>
      </c>
      <c r="E228" s="0" t="s">
        <v>1114</v>
      </c>
    </row>
    <row r="229" customFormat="false" ht="15" hidden="false" customHeight="false" outlineLevel="0" collapsed="false">
      <c r="A229" s="0" t="n">
        <v>227</v>
      </c>
      <c r="B229" s="0" t="s">
        <v>1115</v>
      </c>
      <c r="C229" s="0" t="s">
        <v>1116</v>
      </c>
      <c r="D229" s="0" t="s">
        <v>1117</v>
      </c>
      <c r="E229" s="0" t="s">
        <v>1118</v>
      </c>
    </row>
    <row r="230" customFormat="false" ht="15" hidden="false" customHeight="false" outlineLevel="0" collapsed="false">
      <c r="A230" s="0" t="n">
        <v>228</v>
      </c>
      <c r="B230" s="0" t="s">
        <v>1119</v>
      </c>
      <c r="C230" s="0" t="s">
        <v>1120</v>
      </c>
      <c r="D230" s="0" t="s">
        <v>1121</v>
      </c>
      <c r="E230" s="0" t="s">
        <v>1122</v>
      </c>
    </row>
    <row r="231" customFormat="false" ht="15" hidden="false" customHeight="false" outlineLevel="0" collapsed="false">
      <c r="A231" s="0" t="n">
        <v>229</v>
      </c>
      <c r="B231" s="0" t="s">
        <v>1123</v>
      </c>
      <c r="C231" s="0" t="s">
        <v>1124</v>
      </c>
      <c r="D231" s="0" t="s">
        <v>1125</v>
      </c>
      <c r="E231" s="0" t="s">
        <v>1126</v>
      </c>
    </row>
    <row r="232" customFormat="false" ht="15" hidden="false" customHeight="false" outlineLevel="0" collapsed="false">
      <c r="A232" s="0" t="n">
        <v>230</v>
      </c>
      <c r="B232" s="0" t="s">
        <v>1127</v>
      </c>
      <c r="C232" s="0" t="s">
        <v>1128</v>
      </c>
      <c r="D232" s="0" t="s">
        <v>1129</v>
      </c>
      <c r="E232" s="0" t="s">
        <v>1130</v>
      </c>
    </row>
    <row r="233" customFormat="false" ht="15" hidden="false" customHeight="false" outlineLevel="0" collapsed="false">
      <c r="A233" s="0" t="n">
        <v>231</v>
      </c>
      <c r="B233" s="0" t="s">
        <v>1131</v>
      </c>
      <c r="C233" s="0" t="s">
        <v>1132</v>
      </c>
      <c r="D233" s="0" t="s">
        <v>1133</v>
      </c>
      <c r="E233" s="0" t="s">
        <v>1134</v>
      </c>
    </row>
    <row r="234" customFormat="false" ht="15" hidden="false" customHeight="false" outlineLevel="0" collapsed="false">
      <c r="A234" s="0" t="n">
        <v>232</v>
      </c>
      <c r="B234" s="0" t="s">
        <v>1135</v>
      </c>
      <c r="C234" s="0" t="s">
        <v>1136</v>
      </c>
      <c r="D234" s="0" t="s">
        <v>1137</v>
      </c>
      <c r="E234" s="0" t="s">
        <v>1138</v>
      </c>
    </row>
    <row r="235" customFormat="false" ht="15" hidden="false" customHeight="false" outlineLevel="0" collapsed="false">
      <c r="A235" s="0" t="n">
        <v>233</v>
      </c>
      <c r="B235" s="0" t="s">
        <v>1139</v>
      </c>
      <c r="C235" s="0" t="s">
        <v>1140</v>
      </c>
      <c r="D235" s="0" t="s">
        <v>1141</v>
      </c>
      <c r="E235" s="0" t="s">
        <v>1142</v>
      </c>
    </row>
    <row r="236" customFormat="false" ht="15" hidden="false" customHeight="false" outlineLevel="0" collapsed="false">
      <c r="A236" s="0" t="n">
        <v>234</v>
      </c>
      <c r="B236" s="0" t="s">
        <v>1143</v>
      </c>
      <c r="C236" s="0" t="s">
        <v>1144</v>
      </c>
      <c r="D236" s="0" t="s">
        <v>1145</v>
      </c>
      <c r="E236" s="0" t="s">
        <v>1146</v>
      </c>
    </row>
    <row r="237" customFormat="false" ht="15" hidden="false" customHeight="false" outlineLevel="0" collapsed="false">
      <c r="A237" s="0" t="n">
        <v>235</v>
      </c>
      <c r="B237" s="0" t="s">
        <v>1147</v>
      </c>
      <c r="C237" s="0" t="s">
        <v>1148</v>
      </c>
      <c r="D237" s="0" t="s">
        <v>1149</v>
      </c>
      <c r="E237" s="0" t="s">
        <v>1150</v>
      </c>
    </row>
    <row r="238" customFormat="false" ht="15" hidden="false" customHeight="false" outlineLevel="0" collapsed="false">
      <c r="A238" s="0" t="n">
        <v>236</v>
      </c>
      <c r="B238" s="0" t="s">
        <v>1151</v>
      </c>
      <c r="C238" s="0" t="s">
        <v>1152</v>
      </c>
      <c r="D238" s="0" t="s">
        <v>1153</v>
      </c>
      <c r="E238" s="0" t="s">
        <v>1154</v>
      </c>
    </row>
    <row r="239" customFormat="false" ht="15" hidden="false" customHeight="false" outlineLevel="0" collapsed="false">
      <c r="A239" s="0" t="n">
        <v>237</v>
      </c>
      <c r="B239" s="0" t="s">
        <v>1155</v>
      </c>
      <c r="C239" s="0" t="s">
        <v>1156</v>
      </c>
      <c r="D239" s="0" t="s">
        <v>1157</v>
      </c>
      <c r="E239" s="0" t="s">
        <v>1158</v>
      </c>
    </row>
    <row r="240" customFormat="false" ht="15" hidden="false" customHeight="false" outlineLevel="0" collapsed="false">
      <c r="A240" s="0" t="n">
        <v>238</v>
      </c>
      <c r="B240" s="0" t="s">
        <v>1159</v>
      </c>
      <c r="C240" s="0" t="s">
        <v>1160</v>
      </c>
      <c r="D240" s="0" t="s">
        <v>1161</v>
      </c>
      <c r="E240" s="0" t="s">
        <v>1162</v>
      </c>
    </row>
    <row r="241" customFormat="false" ht="15" hidden="false" customHeight="false" outlineLevel="0" collapsed="false">
      <c r="A241" s="0" t="n">
        <v>239</v>
      </c>
      <c r="B241" s="0" t="s">
        <v>1163</v>
      </c>
      <c r="C241" s="0" t="s">
        <v>1164</v>
      </c>
      <c r="D241" s="0" t="s">
        <v>1165</v>
      </c>
      <c r="E241" s="0" t="s">
        <v>1166</v>
      </c>
    </row>
    <row r="242" customFormat="false" ht="15" hidden="false" customHeight="false" outlineLevel="0" collapsed="false">
      <c r="A242" s="0" t="n">
        <v>240</v>
      </c>
      <c r="B242" s="0" t="s">
        <v>1167</v>
      </c>
      <c r="C242" s="0" t="s">
        <v>1168</v>
      </c>
      <c r="D242" s="0" t="s">
        <v>1169</v>
      </c>
      <c r="E242" s="0" t="s">
        <v>1170</v>
      </c>
    </row>
    <row r="243" customFormat="false" ht="15" hidden="false" customHeight="false" outlineLevel="0" collapsed="false">
      <c r="A243" s="0" t="n">
        <v>241</v>
      </c>
      <c r="B243" s="0" t="s">
        <v>1171</v>
      </c>
      <c r="C243" s="0" t="s">
        <v>1172</v>
      </c>
      <c r="D243" s="0" t="s">
        <v>1173</v>
      </c>
      <c r="E243" s="0" t="s">
        <v>1174</v>
      </c>
    </row>
    <row r="244" customFormat="false" ht="15" hidden="false" customHeight="false" outlineLevel="0" collapsed="false">
      <c r="A244" s="0" t="n">
        <v>242</v>
      </c>
      <c r="B244" s="0" t="s">
        <v>1175</v>
      </c>
      <c r="C244" s="0" t="s">
        <v>1176</v>
      </c>
      <c r="D244" s="0" t="s">
        <v>1177</v>
      </c>
      <c r="E244" s="0" t="s">
        <v>1178</v>
      </c>
    </row>
    <row r="245" customFormat="false" ht="15" hidden="false" customHeight="false" outlineLevel="0" collapsed="false">
      <c r="A245" s="0" t="n">
        <v>243</v>
      </c>
      <c r="B245" s="0" t="s">
        <v>1179</v>
      </c>
      <c r="C245" s="0" t="s">
        <v>1180</v>
      </c>
      <c r="D245" s="0" t="s">
        <v>1181</v>
      </c>
      <c r="E245" s="0" t="s">
        <v>1182</v>
      </c>
    </row>
    <row r="246" customFormat="false" ht="15" hidden="false" customHeight="false" outlineLevel="0" collapsed="false">
      <c r="A246" s="0" t="n">
        <v>244</v>
      </c>
      <c r="B246" s="0" t="s">
        <v>1183</v>
      </c>
      <c r="C246" s="0" t="s">
        <v>1184</v>
      </c>
      <c r="D246" s="0" t="s">
        <v>1185</v>
      </c>
      <c r="E246" s="0" t="s">
        <v>1186</v>
      </c>
    </row>
    <row r="247" customFormat="false" ht="15" hidden="false" customHeight="false" outlineLevel="0" collapsed="false">
      <c r="A247" s="0" t="n">
        <v>245</v>
      </c>
      <c r="B247" s="0" t="s">
        <v>1187</v>
      </c>
      <c r="C247" s="0" t="s">
        <v>1188</v>
      </c>
      <c r="D247" s="0" t="s">
        <v>1189</v>
      </c>
      <c r="E247" s="0" t="s">
        <v>1190</v>
      </c>
    </row>
    <row r="248" customFormat="false" ht="15" hidden="false" customHeight="false" outlineLevel="0" collapsed="false">
      <c r="A248" s="0" t="n">
        <v>246</v>
      </c>
      <c r="B248" s="0" t="s">
        <v>1191</v>
      </c>
      <c r="C248" s="0" t="s">
        <v>1192</v>
      </c>
      <c r="D248" s="0" t="s">
        <v>1193</v>
      </c>
      <c r="E248" s="0" t="s">
        <v>1194</v>
      </c>
    </row>
    <row r="249" customFormat="false" ht="15" hidden="false" customHeight="false" outlineLevel="0" collapsed="false">
      <c r="A249" s="0" t="n">
        <v>247</v>
      </c>
      <c r="B249" s="0" t="s">
        <v>1195</v>
      </c>
      <c r="C249" s="0" t="s">
        <v>1196</v>
      </c>
      <c r="D249" s="0" t="s">
        <v>1197</v>
      </c>
      <c r="E249" s="0" t="s">
        <v>1198</v>
      </c>
    </row>
    <row r="250" customFormat="false" ht="15" hidden="false" customHeight="false" outlineLevel="0" collapsed="false">
      <c r="A250" s="0" t="n">
        <v>248</v>
      </c>
      <c r="B250" s="0" t="s">
        <v>1199</v>
      </c>
      <c r="C250" s="0" t="s">
        <v>1200</v>
      </c>
      <c r="D250" s="0" t="s">
        <v>1201</v>
      </c>
      <c r="E250" s="0" t="s">
        <v>1202</v>
      </c>
    </row>
    <row r="251" customFormat="false" ht="15" hidden="false" customHeight="false" outlineLevel="0" collapsed="false">
      <c r="A251" s="0" t="n">
        <v>249</v>
      </c>
      <c r="B251" s="0" t="s">
        <v>1203</v>
      </c>
      <c r="C251" s="0" t="s">
        <v>1204</v>
      </c>
      <c r="D251" s="0" t="s">
        <v>1205</v>
      </c>
      <c r="E251" s="0" t="s">
        <v>1206</v>
      </c>
    </row>
    <row r="252" customFormat="false" ht="15" hidden="false" customHeight="false" outlineLevel="0" collapsed="false">
      <c r="A252" s="0" t="n">
        <v>250</v>
      </c>
      <c r="B252" s="0" t="s">
        <v>1207</v>
      </c>
      <c r="C252" s="0" t="s">
        <v>1208</v>
      </c>
      <c r="D252" s="0" t="s">
        <v>1209</v>
      </c>
      <c r="E252" s="0" t="s">
        <v>1210</v>
      </c>
    </row>
    <row r="253" customFormat="false" ht="15" hidden="false" customHeight="false" outlineLevel="0" collapsed="false">
      <c r="A253" s="0" t="n">
        <v>251</v>
      </c>
      <c r="B253" s="0" t="s">
        <v>1211</v>
      </c>
      <c r="C253" s="0" t="s">
        <v>1212</v>
      </c>
      <c r="D253" s="0" t="s">
        <v>1213</v>
      </c>
      <c r="E253" s="0" t="s">
        <v>1214</v>
      </c>
    </row>
    <row r="254" customFormat="false" ht="15" hidden="false" customHeight="false" outlineLevel="0" collapsed="false">
      <c r="A254" s="0" t="n">
        <v>252</v>
      </c>
      <c r="B254" s="0" t="s">
        <v>1215</v>
      </c>
      <c r="C254" s="0" t="s">
        <v>1216</v>
      </c>
      <c r="D254" s="0" t="s">
        <v>1217</v>
      </c>
      <c r="E254" s="0" t="s">
        <v>1218</v>
      </c>
    </row>
    <row r="255" customFormat="false" ht="15" hidden="false" customHeight="false" outlineLevel="0" collapsed="false">
      <c r="A255" s="0" t="n">
        <v>253</v>
      </c>
      <c r="B255" s="0" t="s">
        <v>1219</v>
      </c>
      <c r="C255" s="0" t="s">
        <v>1220</v>
      </c>
      <c r="D255" s="0" t="s">
        <v>1221</v>
      </c>
      <c r="E255" s="0" t="s">
        <v>1222</v>
      </c>
    </row>
    <row r="256" customFormat="false" ht="15" hidden="false" customHeight="false" outlineLevel="0" collapsed="false">
      <c r="A256" s="0" t="n">
        <v>254</v>
      </c>
      <c r="B256" s="0" t="s">
        <v>1223</v>
      </c>
      <c r="C256" s="0" t="s">
        <v>1224</v>
      </c>
      <c r="D256" s="0" t="s">
        <v>1225</v>
      </c>
      <c r="E256" s="0" t="s">
        <v>1226</v>
      </c>
    </row>
    <row r="257" customFormat="false" ht="15" hidden="false" customHeight="false" outlineLevel="0" collapsed="false">
      <c r="A257" s="0" t="n">
        <v>255</v>
      </c>
      <c r="B257" s="0" t="s">
        <v>1227</v>
      </c>
      <c r="C257" s="0" t="s">
        <v>1228</v>
      </c>
      <c r="D257" s="0" t="s">
        <v>1229</v>
      </c>
      <c r="E257" s="0" t="s">
        <v>1230</v>
      </c>
    </row>
    <row r="258" customFormat="false" ht="15" hidden="false" customHeight="false" outlineLevel="0" collapsed="false">
      <c r="A258" s="0" t="n">
        <v>256</v>
      </c>
      <c r="B258" s="0" t="s">
        <v>1231</v>
      </c>
      <c r="C258" s="0" t="s">
        <v>1232</v>
      </c>
      <c r="D258" s="0" t="s">
        <v>1233</v>
      </c>
      <c r="E258" s="0" t="s">
        <v>1234</v>
      </c>
    </row>
    <row r="259" customFormat="false" ht="15" hidden="false" customHeight="false" outlineLevel="0" collapsed="false">
      <c r="A259" s="0" t="n">
        <v>257</v>
      </c>
      <c r="B259" s="0" t="s">
        <v>1235</v>
      </c>
      <c r="C259" s="0" t="s">
        <v>1236</v>
      </c>
      <c r="D259" s="0" t="s">
        <v>1237</v>
      </c>
      <c r="E259" s="0" t="s">
        <v>1238</v>
      </c>
    </row>
    <row r="260" customFormat="false" ht="15" hidden="false" customHeight="false" outlineLevel="0" collapsed="false">
      <c r="A260" s="0" t="n">
        <v>258</v>
      </c>
      <c r="B260" s="0" t="s">
        <v>1239</v>
      </c>
      <c r="C260" s="0" t="s">
        <v>1240</v>
      </c>
      <c r="D260" s="0" t="s">
        <v>1241</v>
      </c>
      <c r="E260" s="0" t="s">
        <v>1242</v>
      </c>
    </row>
    <row r="261" customFormat="false" ht="15" hidden="false" customHeight="false" outlineLevel="0" collapsed="false">
      <c r="A261" s="0" t="n">
        <v>259</v>
      </c>
      <c r="B261" s="0" t="s">
        <v>1243</v>
      </c>
      <c r="C261" s="0" t="s">
        <v>1244</v>
      </c>
      <c r="D261" s="0" t="s">
        <v>1245</v>
      </c>
      <c r="E261" s="0" t="s">
        <v>1246</v>
      </c>
    </row>
    <row r="262" customFormat="false" ht="15" hidden="false" customHeight="false" outlineLevel="0" collapsed="false">
      <c r="A262" s="0" t="n">
        <v>260</v>
      </c>
      <c r="B262" s="0" t="s">
        <v>1247</v>
      </c>
      <c r="C262" s="0" t="s">
        <v>1248</v>
      </c>
      <c r="D262" s="0" t="s">
        <v>1249</v>
      </c>
      <c r="E262" s="0" t="s">
        <v>1250</v>
      </c>
    </row>
    <row r="263" customFormat="false" ht="15" hidden="false" customHeight="false" outlineLevel="0" collapsed="false">
      <c r="A263" s="0" t="n">
        <v>261</v>
      </c>
      <c r="B263" s="0" t="s">
        <v>1251</v>
      </c>
      <c r="C263" s="0" t="s">
        <v>1252</v>
      </c>
      <c r="D263" s="0" t="s">
        <v>1253</v>
      </c>
      <c r="E263" s="0" t="s">
        <v>1254</v>
      </c>
    </row>
    <row r="264" customFormat="false" ht="15" hidden="false" customHeight="false" outlineLevel="0" collapsed="false">
      <c r="A264" s="0" t="n">
        <v>262</v>
      </c>
      <c r="B264" s="0" t="s">
        <v>1255</v>
      </c>
      <c r="C264" s="0" t="s">
        <v>1256</v>
      </c>
      <c r="D264" s="0" t="s">
        <v>1257</v>
      </c>
      <c r="E264" s="0" t="s">
        <v>1258</v>
      </c>
    </row>
    <row r="265" customFormat="false" ht="15" hidden="false" customHeight="false" outlineLevel="0" collapsed="false">
      <c r="A265" s="0" t="n">
        <v>263</v>
      </c>
      <c r="B265" s="0" t="s">
        <v>1259</v>
      </c>
      <c r="C265" s="0" t="s">
        <v>1260</v>
      </c>
      <c r="D265" s="0" t="s">
        <v>1261</v>
      </c>
      <c r="E265" s="0" t="s">
        <v>1262</v>
      </c>
    </row>
    <row r="266" customFormat="false" ht="15" hidden="false" customHeight="false" outlineLevel="0" collapsed="false">
      <c r="A266" s="0" t="n">
        <v>264</v>
      </c>
      <c r="B266" s="0" t="s">
        <v>1263</v>
      </c>
      <c r="C266" s="0" t="s">
        <v>1264</v>
      </c>
      <c r="D266" s="0" t="s">
        <v>1265</v>
      </c>
      <c r="E266" s="0" t="s">
        <v>1266</v>
      </c>
    </row>
    <row r="267" customFormat="false" ht="15" hidden="false" customHeight="false" outlineLevel="0" collapsed="false">
      <c r="A267" s="0" t="n">
        <v>265</v>
      </c>
      <c r="B267" s="0" t="s">
        <v>1267</v>
      </c>
      <c r="C267" s="0" t="s">
        <v>1268</v>
      </c>
      <c r="D267" s="0" t="s">
        <v>1269</v>
      </c>
      <c r="E267" s="0" t="s">
        <v>1270</v>
      </c>
    </row>
    <row r="268" customFormat="false" ht="15" hidden="false" customHeight="false" outlineLevel="0" collapsed="false">
      <c r="A268" s="0" t="n">
        <v>266</v>
      </c>
      <c r="B268" s="0" t="s">
        <v>1271</v>
      </c>
      <c r="C268" s="0" t="s">
        <v>1272</v>
      </c>
      <c r="D268" s="0" t="s">
        <v>1273</v>
      </c>
      <c r="E268" s="0" t="s">
        <v>1274</v>
      </c>
    </row>
    <row r="269" customFormat="false" ht="15" hidden="false" customHeight="false" outlineLevel="0" collapsed="false">
      <c r="A269" s="0" t="n">
        <v>267</v>
      </c>
      <c r="B269" s="0" t="s">
        <v>1275</v>
      </c>
      <c r="C269" s="0" t="s">
        <v>1276</v>
      </c>
      <c r="D269" s="0" t="s">
        <v>1277</v>
      </c>
      <c r="E269" s="0" t="s">
        <v>1278</v>
      </c>
    </row>
    <row r="270" customFormat="false" ht="15" hidden="false" customHeight="false" outlineLevel="0" collapsed="false">
      <c r="A270" s="0" t="n">
        <v>268</v>
      </c>
      <c r="B270" s="0" t="s">
        <v>1279</v>
      </c>
      <c r="C270" s="0" t="s">
        <v>1280</v>
      </c>
      <c r="D270" s="0" t="s">
        <v>1281</v>
      </c>
      <c r="E270" s="0" t="s">
        <v>1282</v>
      </c>
    </row>
    <row r="271" customFormat="false" ht="15" hidden="false" customHeight="false" outlineLevel="0" collapsed="false">
      <c r="A271" s="0" t="n">
        <v>269</v>
      </c>
      <c r="B271" s="0" t="s">
        <v>1283</v>
      </c>
      <c r="C271" s="0" t="s">
        <v>1284</v>
      </c>
      <c r="D271" s="0" t="s">
        <v>1285</v>
      </c>
      <c r="E271" s="0" t="s">
        <v>1286</v>
      </c>
    </row>
    <row r="272" customFormat="false" ht="15" hidden="false" customHeight="false" outlineLevel="0" collapsed="false">
      <c r="A272" s="0" t="n">
        <v>270</v>
      </c>
      <c r="B272" s="0" t="s">
        <v>1287</v>
      </c>
      <c r="C272" s="0" t="s">
        <v>1288</v>
      </c>
      <c r="D272" s="0" t="s">
        <v>1289</v>
      </c>
      <c r="E272" s="0" t="s">
        <v>1290</v>
      </c>
    </row>
    <row r="273" customFormat="false" ht="15" hidden="false" customHeight="false" outlineLevel="0" collapsed="false">
      <c r="A273" s="0" t="n">
        <v>271</v>
      </c>
      <c r="B273" s="0" t="s">
        <v>1291</v>
      </c>
      <c r="C273" s="0" t="s">
        <v>1292</v>
      </c>
      <c r="D273" s="0" t="s">
        <v>1293</v>
      </c>
      <c r="E273" s="0" t="s">
        <v>1294</v>
      </c>
    </row>
    <row r="274" customFormat="false" ht="15" hidden="false" customHeight="false" outlineLevel="0" collapsed="false">
      <c r="A274" s="0" t="n">
        <v>272</v>
      </c>
      <c r="B274" s="0" t="s">
        <v>1295</v>
      </c>
      <c r="C274" s="0" t="s">
        <v>1296</v>
      </c>
      <c r="D274" s="0" t="s">
        <v>1297</v>
      </c>
      <c r="E274" s="0" t="s">
        <v>1298</v>
      </c>
    </row>
    <row r="275" customFormat="false" ht="15" hidden="false" customHeight="false" outlineLevel="0" collapsed="false">
      <c r="A275" s="0" t="n">
        <v>273</v>
      </c>
      <c r="B275" s="0" t="s">
        <v>1299</v>
      </c>
      <c r="C275" s="0" t="s">
        <v>1300</v>
      </c>
      <c r="D275" s="0" t="s">
        <v>1301</v>
      </c>
      <c r="E275" s="0" t="s">
        <v>1302</v>
      </c>
    </row>
    <row r="276" customFormat="false" ht="15" hidden="false" customHeight="false" outlineLevel="0" collapsed="false">
      <c r="A276" s="0" t="n">
        <v>274</v>
      </c>
      <c r="B276" s="0" t="s">
        <v>1303</v>
      </c>
      <c r="C276" s="0" t="s">
        <v>1304</v>
      </c>
      <c r="D276" s="0" t="s">
        <v>1305</v>
      </c>
      <c r="E276" s="0" t="s">
        <v>1306</v>
      </c>
    </row>
    <row r="277" customFormat="false" ht="15" hidden="false" customHeight="false" outlineLevel="0" collapsed="false">
      <c r="A277" s="0" t="n">
        <v>275</v>
      </c>
      <c r="B277" s="0" t="s">
        <v>1307</v>
      </c>
      <c r="C277" s="0" t="s">
        <v>1308</v>
      </c>
      <c r="D277" s="0" t="s">
        <v>1309</v>
      </c>
      <c r="E277" s="0" t="s">
        <v>1310</v>
      </c>
    </row>
    <row r="278" customFormat="false" ht="15" hidden="false" customHeight="false" outlineLevel="0" collapsed="false">
      <c r="A278" s="0" t="n">
        <v>276</v>
      </c>
      <c r="B278" s="0" t="s">
        <v>1311</v>
      </c>
      <c r="C278" s="0" t="s">
        <v>1312</v>
      </c>
      <c r="D278" s="0" t="s">
        <v>1313</v>
      </c>
      <c r="E278" s="0" t="s">
        <v>1314</v>
      </c>
    </row>
    <row r="279" customFormat="false" ht="15" hidden="false" customHeight="false" outlineLevel="0" collapsed="false">
      <c r="A279" s="0" t="n">
        <v>277</v>
      </c>
      <c r="B279" s="0" t="s">
        <v>1315</v>
      </c>
      <c r="C279" s="0" t="s">
        <v>1316</v>
      </c>
      <c r="D279" s="0" t="s">
        <v>1317</v>
      </c>
      <c r="E279" s="0" t="s">
        <v>1318</v>
      </c>
    </row>
    <row r="280" customFormat="false" ht="15" hidden="false" customHeight="false" outlineLevel="0" collapsed="false">
      <c r="A280" s="0" t="n">
        <v>278</v>
      </c>
      <c r="B280" s="0" t="s">
        <v>1319</v>
      </c>
      <c r="C280" s="0" t="s">
        <v>1320</v>
      </c>
      <c r="D280" s="0" t="s">
        <v>1321</v>
      </c>
      <c r="E280" s="0" t="s">
        <v>1322</v>
      </c>
    </row>
    <row r="281" customFormat="false" ht="15" hidden="false" customHeight="false" outlineLevel="0" collapsed="false">
      <c r="A281" s="0" t="n">
        <v>279</v>
      </c>
      <c r="B281" s="0" t="s">
        <v>1323</v>
      </c>
      <c r="C281" s="0" t="s">
        <v>1324</v>
      </c>
      <c r="D281" s="0" t="s">
        <v>1325</v>
      </c>
      <c r="E281" s="0" t="s">
        <v>1326</v>
      </c>
    </row>
    <row r="282" customFormat="false" ht="15" hidden="false" customHeight="false" outlineLevel="0" collapsed="false">
      <c r="A282" s="0" t="n">
        <v>280</v>
      </c>
      <c r="B282" s="0" t="s">
        <v>1327</v>
      </c>
      <c r="C282" s="0" t="s">
        <v>1328</v>
      </c>
      <c r="D282" s="0" t="s">
        <v>1329</v>
      </c>
      <c r="E282" s="0" t="s">
        <v>1330</v>
      </c>
    </row>
    <row r="283" customFormat="false" ht="15" hidden="false" customHeight="false" outlineLevel="0" collapsed="false">
      <c r="A283" s="0" t="n">
        <v>281</v>
      </c>
      <c r="B283" s="0" t="s">
        <v>1331</v>
      </c>
      <c r="C283" s="0" t="s">
        <v>1332</v>
      </c>
      <c r="D283" s="0" t="s">
        <v>1333</v>
      </c>
      <c r="E283" s="0" t="s">
        <v>1334</v>
      </c>
    </row>
    <row r="284" customFormat="false" ht="15" hidden="false" customHeight="false" outlineLevel="0" collapsed="false">
      <c r="A284" s="0" t="n">
        <v>282</v>
      </c>
      <c r="B284" s="0" t="s">
        <v>1335</v>
      </c>
      <c r="C284" s="0" t="s">
        <v>1336</v>
      </c>
      <c r="D284" s="0" t="s">
        <v>1337</v>
      </c>
      <c r="E284" s="0" t="s">
        <v>1338</v>
      </c>
    </row>
    <row r="285" customFormat="false" ht="15" hidden="false" customHeight="false" outlineLevel="0" collapsed="false">
      <c r="A285" s="0" t="n">
        <v>283</v>
      </c>
      <c r="B285" s="0" t="s">
        <v>1339</v>
      </c>
      <c r="C285" s="0" t="s">
        <v>1340</v>
      </c>
      <c r="D285" s="0" t="s">
        <v>1341</v>
      </c>
      <c r="E285" s="0" t="s">
        <v>1342</v>
      </c>
    </row>
    <row r="286" customFormat="false" ht="15" hidden="false" customHeight="false" outlineLevel="0" collapsed="false">
      <c r="A286" s="0" t="n">
        <v>284</v>
      </c>
      <c r="B286" s="0" t="s">
        <v>1343</v>
      </c>
      <c r="C286" s="0" t="s">
        <v>1344</v>
      </c>
      <c r="D286" s="0" t="s">
        <v>1345</v>
      </c>
      <c r="E286" s="0" t="s">
        <v>1346</v>
      </c>
    </row>
    <row r="287" customFormat="false" ht="15" hidden="false" customHeight="false" outlineLevel="0" collapsed="false">
      <c r="A287" s="0" t="n">
        <v>285</v>
      </c>
      <c r="B287" s="0" t="s">
        <v>1347</v>
      </c>
      <c r="C287" s="0" t="s">
        <v>1348</v>
      </c>
      <c r="D287" s="0" t="s">
        <v>1349</v>
      </c>
      <c r="E287" s="0" t="s">
        <v>1350</v>
      </c>
    </row>
    <row r="288" customFormat="false" ht="15" hidden="false" customHeight="false" outlineLevel="0" collapsed="false">
      <c r="A288" s="0" t="n">
        <v>286</v>
      </c>
      <c r="B288" s="0" t="s">
        <v>1351</v>
      </c>
      <c r="C288" s="0" t="s">
        <v>1352</v>
      </c>
      <c r="D288" s="0" t="s">
        <v>1353</v>
      </c>
      <c r="E288" s="0" t="s">
        <v>1354</v>
      </c>
    </row>
    <row r="289" customFormat="false" ht="15" hidden="false" customHeight="false" outlineLevel="0" collapsed="false">
      <c r="A289" s="0" t="n">
        <v>287</v>
      </c>
      <c r="B289" s="0" t="s">
        <v>1355</v>
      </c>
      <c r="C289" s="0" t="s">
        <v>1356</v>
      </c>
      <c r="D289" s="0" t="s">
        <v>1357</v>
      </c>
      <c r="E289" s="0" t="s">
        <v>1358</v>
      </c>
    </row>
    <row r="290" customFormat="false" ht="15" hidden="false" customHeight="false" outlineLevel="0" collapsed="false">
      <c r="A290" s="0" t="n">
        <v>288</v>
      </c>
      <c r="B290" s="0" t="s">
        <v>1359</v>
      </c>
      <c r="C290" s="0" t="s">
        <v>1360</v>
      </c>
      <c r="D290" s="0" t="s">
        <v>1361</v>
      </c>
      <c r="E290" s="0" t="s">
        <v>1362</v>
      </c>
    </row>
    <row r="291" customFormat="false" ht="15" hidden="false" customHeight="false" outlineLevel="0" collapsed="false">
      <c r="A291" s="0" t="n">
        <v>289</v>
      </c>
      <c r="B291" s="0" t="s">
        <v>1363</v>
      </c>
      <c r="C291" s="0" t="s">
        <v>1364</v>
      </c>
      <c r="D291" s="0" t="s">
        <v>1365</v>
      </c>
      <c r="E291" s="0" t="s">
        <v>1366</v>
      </c>
    </row>
    <row r="292" customFormat="false" ht="15" hidden="false" customHeight="false" outlineLevel="0" collapsed="false">
      <c r="A292" s="0" t="n">
        <v>290</v>
      </c>
      <c r="B292" s="0" t="s">
        <v>1367</v>
      </c>
      <c r="C292" s="0" t="s">
        <v>1368</v>
      </c>
      <c r="D292" s="0" t="s">
        <v>1369</v>
      </c>
      <c r="E292" s="0" t="s">
        <v>1370</v>
      </c>
    </row>
    <row r="293" customFormat="false" ht="15" hidden="false" customHeight="false" outlineLevel="0" collapsed="false">
      <c r="A293" s="0" t="n">
        <v>291</v>
      </c>
      <c r="B293" s="0" t="s">
        <v>1371</v>
      </c>
      <c r="C293" s="0" t="s">
        <v>1372</v>
      </c>
      <c r="D293" s="0" t="s">
        <v>1373</v>
      </c>
      <c r="E293" s="0" t="s">
        <v>1374</v>
      </c>
    </row>
    <row r="294" customFormat="false" ht="15" hidden="false" customHeight="false" outlineLevel="0" collapsed="false">
      <c r="A294" s="0" t="n">
        <v>292</v>
      </c>
      <c r="B294" s="0" t="s">
        <v>1375</v>
      </c>
      <c r="C294" s="0" t="s">
        <v>1376</v>
      </c>
      <c r="D294" s="0" t="s">
        <v>1377</v>
      </c>
      <c r="E294" s="0" t="s">
        <v>1378</v>
      </c>
    </row>
    <row r="295" customFormat="false" ht="15" hidden="false" customHeight="false" outlineLevel="0" collapsed="false">
      <c r="A295" s="0" t="n">
        <v>293</v>
      </c>
      <c r="B295" s="0" t="s">
        <v>1379</v>
      </c>
      <c r="C295" s="0" t="s">
        <v>1380</v>
      </c>
      <c r="D295" s="0" t="s">
        <v>1381</v>
      </c>
      <c r="E295" s="0" t="s">
        <v>1382</v>
      </c>
    </row>
    <row r="296" customFormat="false" ht="15" hidden="false" customHeight="false" outlineLevel="0" collapsed="false">
      <c r="A296" s="0" t="n">
        <v>294</v>
      </c>
      <c r="B296" s="0" t="s">
        <v>1383</v>
      </c>
      <c r="C296" s="0" t="s">
        <v>1384</v>
      </c>
      <c r="D296" s="0" t="s">
        <v>1385</v>
      </c>
      <c r="E296" s="0" t="s">
        <v>1386</v>
      </c>
    </row>
    <row r="297" customFormat="false" ht="15" hidden="false" customHeight="false" outlineLevel="0" collapsed="false">
      <c r="A297" s="0" t="n">
        <v>295</v>
      </c>
      <c r="B297" s="0" t="s">
        <v>1387</v>
      </c>
      <c r="C297" s="0" t="s">
        <v>1388</v>
      </c>
      <c r="D297" s="0" t="s">
        <v>1389</v>
      </c>
      <c r="E297" s="0" t="s">
        <v>1390</v>
      </c>
    </row>
    <row r="298" customFormat="false" ht="15" hidden="false" customHeight="false" outlineLevel="0" collapsed="false">
      <c r="A298" s="0" t="n">
        <v>296</v>
      </c>
      <c r="B298" s="0" t="s">
        <v>1391</v>
      </c>
      <c r="C298" s="0" t="s">
        <v>1392</v>
      </c>
      <c r="D298" s="0" t="s">
        <v>1393</v>
      </c>
      <c r="E298" s="0" t="s">
        <v>1394</v>
      </c>
    </row>
    <row r="299" customFormat="false" ht="15" hidden="false" customHeight="false" outlineLevel="0" collapsed="false">
      <c r="A299" s="0" t="n">
        <v>297</v>
      </c>
      <c r="B299" s="0" t="s">
        <v>1395</v>
      </c>
      <c r="C299" s="0" t="s">
        <v>1396</v>
      </c>
      <c r="D299" s="0" t="s">
        <v>1397</v>
      </c>
      <c r="E299" s="0" t="s">
        <v>1398</v>
      </c>
    </row>
    <row r="300" customFormat="false" ht="15" hidden="false" customHeight="false" outlineLevel="0" collapsed="false">
      <c r="A300" s="0" t="n">
        <v>298</v>
      </c>
      <c r="B300" s="0" t="s">
        <v>1399</v>
      </c>
      <c r="C300" s="0" t="s">
        <v>1400</v>
      </c>
      <c r="D300" s="0" t="s">
        <v>1401</v>
      </c>
      <c r="E300" s="0" t="s">
        <v>1402</v>
      </c>
    </row>
    <row r="301" customFormat="false" ht="15" hidden="false" customHeight="false" outlineLevel="0" collapsed="false">
      <c r="A301" s="0" t="n">
        <v>299</v>
      </c>
      <c r="B301" s="0" t="s">
        <v>1403</v>
      </c>
      <c r="C301" s="0" t="s">
        <v>1404</v>
      </c>
      <c r="D301" s="0" t="s">
        <v>1405</v>
      </c>
      <c r="E301" s="0" t="s">
        <v>1406</v>
      </c>
    </row>
    <row r="302" customFormat="false" ht="15" hidden="false" customHeight="false" outlineLevel="0" collapsed="false">
      <c r="A302" s="0" t="n">
        <v>300</v>
      </c>
      <c r="B302" s="0" t="s">
        <v>1407</v>
      </c>
      <c r="C302" s="0" t="s">
        <v>1408</v>
      </c>
      <c r="D302" s="0" t="s">
        <v>1409</v>
      </c>
      <c r="E302" s="0" t="s">
        <v>1410</v>
      </c>
    </row>
    <row r="303" customFormat="false" ht="15" hidden="false" customHeight="false" outlineLevel="0" collapsed="false">
      <c r="A303" s="0" t="n">
        <v>301</v>
      </c>
      <c r="B303" s="0" t="s">
        <v>1411</v>
      </c>
      <c r="C303" s="0" t="s">
        <v>1412</v>
      </c>
      <c r="D303" s="0" t="s">
        <v>1413</v>
      </c>
      <c r="E303" s="0" t="s">
        <v>1414</v>
      </c>
    </row>
    <row r="304" customFormat="false" ht="15" hidden="false" customHeight="false" outlineLevel="0" collapsed="false">
      <c r="A304" s="0" t="n">
        <v>302</v>
      </c>
      <c r="B304" s="0" t="s">
        <v>1415</v>
      </c>
      <c r="C304" s="0" t="s">
        <v>1416</v>
      </c>
      <c r="D304" s="0" t="s">
        <v>1417</v>
      </c>
      <c r="E304" s="0" t="s">
        <v>1418</v>
      </c>
    </row>
    <row r="305" customFormat="false" ht="15" hidden="false" customHeight="false" outlineLevel="0" collapsed="false">
      <c r="A305" s="0" t="n">
        <v>303</v>
      </c>
      <c r="B305" s="0" t="s">
        <v>1419</v>
      </c>
      <c r="C305" s="0" t="s">
        <v>1420</v>
      </c>
      <c r="D305" s="0" t="s">
        <v>1421</v>
      </c>
      <c r="E305" s="0" t="s">
        <v>1422</v>
      </c>
    </row>
    <row r="306" customFormat="false" ht="15" hidden="false" customHeight="false" outlineLevel="0" collapsed="false">
      <c r="A306" s="0" t="n">
        <v>304</v>
      </c>
      <c r="B306" s="0" t="s">
        <v>1423</v>
      </c>
      <c r="C306" s="0" t="s">
        <v>1424</v>
      </c>
      <c r="D306" s="0" t="s">
        <v>1425</v>
      </c>
      <c r="E306" s="0" t="s">
        <v>1426</v>
      </c>
    </row>
    <row r="307" customFormat="false" ht="15" hidden="false" customHeight="false" outlineLevel="0" collapsed="false">
      <c r="A307" s="0" t="n">
        <v>305</v>
      </c>
      <c r="B307" s="0" t="s">
        <v>1427</v>
      </c>
      <c r="C307" s="0" t="s">
        <v>1428</v>
      </c>
      <c r="D307" s="0" t="s">
        <v>1429</v>
      </c>
      <c r="E307" s="0" t="s">
        <v>1430</v>
      </c>
    </row>
    <row r="308" customFormat="false" ht="15" hidden="false" customHeight="false" outlineLevel="0" collapsed="false">
      <c r="A308" s="0" t="n">
        <v>306</v>
      </c>
      <c r="B308" s="0" t="s">
        <v>1431</v>
      </c>
      <c r="C308" s="0" t="s">
        <v>1432</v>
      </c>
      <c r="D308" s="0" t="s">
        <v>1433</v>
      </c>
      <c r="E308" s="0" t="s">
        <v>1434</v>
      </c>
    </row>
    <row r="309" customFormat="false" ht="15" hidden="false" customHeight="false" outlineLevel="0" collapsed="false">
      <c r="A309" s="0" t="n">
        <v>307</v>
      </c>
      <c r="B309" s="0" t="s">
        <v>1435</v>
      </c>
      <c r="C309" s="0" t="s">
        <v>1436</v>
      </c>
      <c r="D309" s="0" t="s">
        <v>1437</v>
      </c>
      <c r="E309" s="0" t="s">
        <v>1438</v>
      </c>
    </row>
    <row r="310" customFormat="false" ht="15" hidden="false" customHeight="false" outlineLevel="0" collapsed="false">
      <c r="A310" s="0" t="n">
        <v>308</v>
      </c>
      <c r="B310" s="0" t="s">
        <v>1439</v>
      </c>
      <c r="C310" s="0" t="s">
        <v>1440</v>
      </c>
      <c r="D310" s="0" t="s">
        <v>1441</v>
      </c>
      <c r="E310" s="0" t="s">
        <v>1442</v>
      </c>
    </row>
    <row r="311" customFormat="false" ht="15" hidden="false" customHeight="false" outlineLevel="0" collapsed="false">
      <c r="A311" s="0" t="n">
        <v>309</v>
      </c>
      <c r="B311" s="0" t="s">
        <v>1443</v>
      </c>
      <c r="C311" s="0" t="s">
        <v>1444</v>
      </c>
      <c r="D311" s="0" t="s">
        <v>1445</v>
      </c>
      <c r="E311" s="0" t="s">
        <v>1446</v>
      </c>
    </row>
    <row r="312" customFormat="false" ht="15" hidden="false" customHeight="false" outlineLevel="0" collapsed="false">
      <c r="A312" s="0" t="n">
        <v>310</v>
      </c>
      <c r="B312" s="0" t="s">
        <v>1447</v>
      </c>
      <c r="C312" s="0" t="s">
        <v>1448</v>
      </c>
      <c r="D312" s="0" t="s">
        <v>1449</v>
      </c>
      <c r="E312" s="0" t="s">
        <v>1450</v>
      </c>
    </row>
    <row r="313" customFormat="false" ht="15" hidden="false" customHeight="false" outlineLevel="0" collapsed="false">
      <c r="A313" s="0" t="n">
        <v>311</v>
      </c>
      <c r="B313" s="0" t="s">
        <v>1451</v>
      </c>
      <c r="C313" s="0" t="s">
        <v>1452</v>
      </c>
      <c r="D313" s="0" t="s">
        <v>1453</v>
      </c>
      <c r="E313" s="0" t="s">
        <v>1454</v>
      </c>
    </row>
    <row r="314" customFormat="false" ht="15" hidden="false" customHeight="false" outlineLevel="0" collapsed="false">
      <c r="A314" s="0" t="n">
        <v>312</v>
      </c>
      <c r="B314" s="0" t="s">
        <v>1455</v>
      </c>
      <c r="C314" s="0" t="s">
        <v>1456</v>
      </c>
      <c r="D314" s="0" t="s">
        <v>1457</v>
      </c>
      <c r="E314" s="0" t="s">
        <v>1458</v>
      </c>
    </row>
    <row r="315" customFormat="false" ht="15" hidden="false" customHeight="false" outlineLevel="0" collapsed="false">
      <c r="A315" s="0" t="n">
        <v>313</v>
      </c>
      <c r="B315" s="0" t="s">
        <v>1459</v>
      </c>
      <c r="C315" s="0" t="s">
        <v>1460</v>
      </c>
      <c r="D315" s="0" t="s">
        <v>1461</v>
      </c>
      <c r="E315" s="0" t="s">
        <v>1462</v>
      </c>
    </row>
    <row r="316" customFormat="false" ht="15" hidden="false" customHeight="false" outlineLevel="0" collapsed="false">
      <c r="A316" s="0" t="n">
        <v>314</v>
      </c>
      <c r="B316" s="0" t="s">
        <v>1463</v>
      </c>
      <c r="C316" s="0" t="s">
        <v>1464</v>
      </c>
      <c r="D316" s="0" t="s">
        <v>1465</v>
      </c>
      <c r="E316" s="0" t="s">
        <v>1466</v>
      </c>
    </row>
    <row r="317" customFormat="false" ht="15" hidden="false" customHeight="false" outlineLevel="0" collapsed="false">
      <c r="A317" s="0" t="n">
        <v>315</v>
      </c>
      <c r="B317" s="0" t="s">
        <v>1467</v>
      </c>
      <c r="C317" s="0" t="s">
        <v>1468</v>
      </c>
      <c r="D317" s="0" t="s">
        <v>1469</v>
      </c>
      <c r="E317" s="0" t="s">
        <v>1470</v>
      </c>
    </row>
    <row r="318" customFormat="false" ht="15" hidden="false" customHeight="false" outlineLevel="0" collapsed="false">
      <c r="A318" s="0" t="n">
        <v>316</v>
      </c>
      <c r="B318" s="0" t="s">
        <v>1471</v>
      </c>
      <c r="C318" s="0" t="s">
        <v>1472</v>
      </c>
      <c r="D318" s="0" t="s">
        <v>1473</v>
      </c>
      <c r="E318" s="0" t="s">
        <v>1474</v>
      </c>
    </row>
    <row r="319" customFormat="false" ht="15" hidden="false" customHeight="false" outlineLevel="0" collapsed="false">
      <c r="A319" s="0" t="n">
        <v>317</v>
      </c>
      <c r="B319" s="0" t="s">
        <v>1475</v>
      </c>
      <c r="C319" s="0" t="s">
        <v>1476</v>
      </c>
      <c r="D319" s="0" t="s">
        <v>1477</v>
      </c>
      <c r="E319" s="0" t="s">
        <v>1478</v>
      </c>
    </row>
    <row r="320" customFormat="false" ht="15" hidden="false" customHeight="false" outlineLevel="0" collapsed="false">
      <c r="A320" s="0" t="n">
        <v>318</v>
      </c>
      <c r="B320" s="0" t="s">
        <v>1479</v>
      </c>
      <c r="C320" s="0" t="s">
        <v>1480</v>
      </c>
      <c r="D320" s="0" t="s">
        <v>1481</v>
      </c>
      <c r="E320" s="0" t="s">
        <v>1482</v>
      </c>
    </row>
    <row r="321" customFormat="false" ht="15" hidden="false" customHeight="false" outlineLevel="0" collapsed="false">
      <c r="A321" s="0" t="n">
        <v>319</v>
      </c>
      <c r="B321" s="0" t="s">
        <v>1483</v>
      </c>
      <c r="C321" s="0" t="s">
        <v>1484</v>
      </c>
      <c r="D321" s="0" t="s">
        <v>1485</v>
      </c>
      <c r="E321" s="0" t="s">
        <v>1486</v>
      </c>
    </row>
    <row r="322" customFormat="false" ht="15" hidden="false" customHeight="false" outlineLevel="0" collapsed="false">
      <c r="A322" s="0" t="n">
        <v>320</v>
      </c>
      <c r="B322" s="0" t="s">
        <v>1487</v>
      </c>
      <c r="C322" s="0" t="s">
        <v>1488</v>
      </c>
      <c r="D322" s="0" t="s">
        <v>1489</v>
      </c>
      <c r="E322" s="0" t="s">
        <v>1490</v>
      </c>
    </row>
    <row r="323" customFormat="false" ht="15" hidden="false" customHeight="false" outlineLevel="0" collapsed="false">
      <c r="A323" s="0" t="n">
        <v>321</v>
      </c>
      <c r="B323" s="0" t="s">
        <v>1491</v>
      </c>
      <c r="C323" s="0" t="s">
        <v>1492</v>
      </c>
      <c r="D323" s="0" t="s">
        <v>1493</v>
      </c>
      <c r="E323" s="0" t="s">
        <v>1494</v>
      </c>
    </row>
    <row r="324" customFormat="false" ht="15" hidden="false" customHeight="false" outlineLevel="0" collapsed="false">
      <c r="A324" s="0" t="n">
        <v>322</v>
      </c>
      <c r="B324" s="0" t="s">
        <v>1495</v>
      </c>
      <c r="C324" s="0" t="s">
        <v>1496</v>
      </c>
      <c r="D324" s="0" t="s">
        <v>1497</v>
      </c>
      <c r="E324" s="0" t="s">
        <v>1498</v>
      </c>
    </row>
    <row r="325" customFormat="false" ht="15" hidden="false" customHeight="false" outlineLevel="0" collapsed="false">
      <c r="A325" s="0" t="n">
        <v>323</v>
      </c>
      <c r="B325" s="0" t="s">
        <v>1499</v>
      </c>
      <c r="C325" s="0" t="s">
        <v>1500</v>
      </c>
      <c r="D325" s="0" t="s">
        <v>1501</v>
      </c>
      <c r="E325" s="0" t="s">
        <v>1502</v>
      </c>
    </row>
    <row r="326" customFormat="false" ht="15" hidden="false" customHeight="false" outlineLevel="0" collapsed="false">
      <c r="A326" s="0" t="n">
        <v>324</v>
      </c>
      <c r="B326" s="0" t="s">
        <v>1503</v>
      </c>
      <c r="C326" s="0" t="s">
        <v>1504</v>
      </c>
      <c r="D326" s="0" t="s">
        <v>1505</v>
      </c>
      <c r="E326" s="0" t="s">
        <v>1506</v>
      </c>
    </row>
    <row r="327" customFormat="false" ht="15" hidden="false" customHeight="false" outlineLevel="0" collapsed="false">
      <c r="A327" s="0" t="n">
        <v>325</v>
      </c>
      <c r="B327" s="0" t="s">
        <v>1507</v>
      </c>
      <c r="C327" s="0" t="s">
        <v>1508</v>
      </c>
      <c r="D327" s="0" t="s">
        <v>1509</v>
      </c>
      <c r="E327" s="0" t="s">
        <v>1510</v>
      </c>
    </row>
    <row r="328" customFormat="false" ht="15" hidden="false" customHeight="false" outlineLevel="0" collapsed="false">
      <c r="A328" s="0" t="n">
        <v>326</v>
      </c>
      <c r="B328" s="0" t="s">
        <v>1511</v>
      </c>
      <c r="C328" s="0" t="s">
        <v>1512</v>
      </c>
      <c r="D328" s="0" t="s">
        <v>1513</v>
      </c>
      <c r="E328" s="0" t="s">
        <v>1514</v>
      </c>
    </row>
    <row r="329" customFormat="false" ht="15" hidden="false" customHeight="false" outlineLevel="0" collapsed="false">
      <c r="A329" s="0" t="n">
        <v>327</v>
      </c>
      <c r="B329" s="0" t="s">
        <v>1515</v>
      </c>
      <c r="C329" s="0" t="s">
        <v>1516</v>
      </c>
      <c r="D329" s="0" t="s">
        <v>1517</v>
      </c>
      <c r="E329" s="0" t="s">
        <v>1518</v>
      </c>
    </row>
    <row r="330" customFormat="false" ht="15" hidden="false" customHeight="false" outlineLevel="0" collapsed="false">
      <c r="A330" s="0" t="n">
        <v>328</v>
      </c>
      <c r="B330" s="0" t="s">
        <v>1519</v>
      </c>
      <c r="C330" s="0" t="s">
        <v>1520</v>
      </c>
      <c r="D330" s="0" t="s">
        <v>1521</v>
      </c>
      <c r="E330" s="0" t="s">
        <v>1522</v>
      </c>
    </row>
    <row r="331" customFormat="false" ht="15" hidden="false" customHeight="false" outlineLevel="0" collapsed="false">
      <c r="A331" s="0" t="n">
        <v>329</v>
      </c>
      <c r="B331" s="0" t="s">
        <v>1523</v>
      </c>
      <c r="C331" s="0" t="s">
        <v>1524</v>
      </c>
      <c r="D331" s="0" t="s">
        <v>1525</v>
      </c>
      <c r="E331" s="0" t="s">
        <v>1526</v>
      </c>
    </row>
    <row r="332" customFormat="false" ht="15" hidden="false" customHeight="false" outlineLevel="0" collapsed="false">
      <c r="A332" s="0" t="n">
        <v>330</v>
      </c>
      <c r="B332" s="0" t="s">
        <v>1527</v>
      </c>
      <c r="C332" s="0" t="s">
        <v>1528</v>
      </c>
      <c r="D332" s="0" t="s">
        <v>1529</v>
      </c>
      <c r="E332" s="0" t="s">
        <v>1530</v>
      </c>
    </row>
    <row r="333" customFormat="false" ht="15" hidden="false" customHeight="false" outlineLevel="0" collapsed="false">
      <c r="A333" s="0" t="n">
        <v>331</v>
      </c>
      <c r="B333" s="0" t="s">
        <v>1531</v>
      </c>
      <c r="C333" s="0" t="s">
        <v>1532</v>
      </c>
      <c r="D333" s="0" t="s">
        <v>1533</v>
      </c>
      <c r="E333" s="0" t="s">
        <v>1534</v>
      </c>
    </row>
    <row r="334" customFormat="false" ht="15" hidden="false" customHeight="false" outlineLevel="0" collapsed="false">
      <c r="A334" s="0" t="n">
        <v>332</v>
      </c>
      <c r="B334" s="0" t="s">
        <v>1535</v>
      </c>
      <c r="C334" s="0" t="s">
        <v>1536</v>
      </c>
      <c r="D334" s="0" t="s">
        <v>1537</v>
      </c>
      <c r="E334" s="0" t="s">
        <v>1538</v>
      </c>
    </row>
    <row r="335" customFormat="false" ht="15" hidden="false" customHeight="false" outlineLevel="0" collapsed="false">
      <c r="A335" s="0" t="n">
        <v>333</v>
      </c>
      <c r="B335" s="0" t="s">
        <v>1539</v>
      </c>
      <c r="C335" s="0" t="s">
        <v>1540</v>
      </c>
      <c r="D335" s="0" t="s">
        <v>1541</v>
      </c>
      <c r="E335" s="0" t="s">
        <v>1542</v>
      </c>
    </row>
    <row r="336" customFormat="false" ht="15" hidden="false" customHeight="false" outlineLevel="0" collapsed="false">
      <c r="A336" s="0" t="n">
        <v>334</v>
      </c>
      <c r="B336" s="0" t="s">
        <v>1543</v>
      </c>
      <c r="C336" s="0" t="s">
        <v>1544</v>
      </c>
      <c r="D336" s="0" t="s">
        <v>1545</v>
      </c>
      <c r="E336" s="0" t="s">
        <v>1546</v>
      </c>
    </row>
    <row r="337" customFormat="false" ht="15" hidden="false" customHeight="false" outlineLevel="0" collapsed="false">
      <c r="A337" s="0" t="n">
        <v>335</v>
      </c>
      <c r="B337" s="0" t="s">
        <v>1547</v>
      </c>
      <c r="C337" s="0" t="s">
        <v>1548</v>
      </c>
      <c r="D337" s="0" t="s">
        <v>1549</v>
      </c>
      <c r="E337" s="0" t="s">
        <v>1550</v>
      </c>
    </row>
    <row r="338" customFormat="false" ht="15" hidden="false" customHeight="false" outlineLevel="0" collapsed="false">
      <c r="A338" s="0" t="n">
        <v>336</v>
      </c>
      <c r="B338" s="0" t="s">
        <v>1551</v>
      </c>
      <c r="C338" s="0" t="s">
        <v>1552</v>
      </c>
      <c r="D338" s="0" t="s">
        <v>1553</v>
      </c>
      <c r="E338" s="0" t="s">
        <v>1554</v>
      </c>
    </row>
    <row r="339" customFormat="false" ht="15" hidden="false" customHeight="false" outlineLevel="0" collapsed="false">
      <c r="A339" s="0" t="n">
        <v>337</v>
      </c>
      <c r="B339" s="0" t="s">
        <v>1555</v>
      </c>
      <c r="C339" s="0" t="s">
        <v>1556</v>
      </c>
      <c r="D339" s="0" t="s">
        <v>1557</v>
      </c>
      <c r="E339" s="0" t="s">
        <v>1558</v>
      </c>
    </row>
    <row r="340" customFormat="false" ht="15" hidden="false" customHeight="false" outlineLevel="0" collapsed="false">
      <c r="A340" s="0" t="n">
        <v>338</v>
      </c>
      <c r="B340" s="0" t="s">
        <v>1559</v>
      </c>
      <c r="C340" s="0" t="s">
        <v>1560</v>
      </c>
      <c r="D340" s="0" t="s">
        <v>1561</v>
      </c>
      <c r="E340" s="0" t="s">
        <v>1562</v>
      </c>
    </row>
    <row r="341" customFormat="false" ht="15" hidden="false" customHeight="false" outlineLevel="0" collapsed="false">
      <c r="A341" s="0" t="n">
        <v>339</v>
      </c>
      <c r="B341" s="0" t="s">
        <v>1563</v>
      </c>
      <c r="C341" s="0" t="s">
        <v>1564</v>
      </c>
      <c r="D341" s="0" t="s">
        <v>1565</v>
      </c>
      <c r="E341" s="0" t="s">
        <v>1566</v>
      </c>
    </row>
    <row r="342" customFormat="false" ht="15" hidden="false" customHeight="false" outlineLevel="0" collapsed="false">
      <c r="A342" s="0" t="n">
        <v>340</v>
      </c>
      <c r="B342" s="0" t="s">
        <v>1567</v>
      </c>
      <c r="C342" s="0" t="s">
        <v>1568</v>
      </c>
      <c r="D342" s="0" t="s">
        <v>1569</v>
      </c>
      <c r="E342" s="0" t="s">
        <v>1570</v>
      </c>
    </row>
    <row r="343" customFormat="false" ht="15" hidden="false" customHeight="false" outlineLevel="0" collapsed="false">
      <c r="A343" s="0" t="n">
        <v>341</v>
      </c>
      <c r="B343" s="0" t="s">
        <v>1571</v>
      </c>
      <c r="C343" s="0" t="s">
        <v>1572</v>
      </c>
      <c r="D343" s="0" t="s">
        <v>1573</v>
      </c>
      <c r="E343" s="0" t="s">
        <v>1574</v>
      </c>
    </row>
    <row r="344" customFormat="false" ht="15" hidden="false" customHeight="false" outlineLevel="0" collapsed="false">
      <c r="A344" s="0" t="n">
        <v>342</v>
      </c>
      <c r="B344" s="0" t="s">
        <v>1575</v>
      </c>
      <c r="C344" s="0" t="s">
        <v>1576</v>
      </c>
      <c r="D344" s="0" t="s">
        <v>1577</v>
      </c>
      <c r="E344" s="0" t="s">
        <v>1578</v>
      </c>
    </row>
    <row r="345" customFormat="false" ht="15" hidden="false" customHeight="false" outlineLevel="0" collapsed="false">
      <c r="A345" s="0" t="n">
        <v>343</v>
      </c>
      <c r="B345" s="0" t="s">
        <v>1579</v>
      </c>
      <c r="C345" s="0" t="s">
        <v>1580</v>
      </c>
      <c r="D345" s="0" t="s">
        <v>1581</v>
      </c>
      <c r="E345" s="0" t="s">
        <v>1582</v>
      </c>
    </row>
    <row r="346" customFormat="false" ht="15" hidden="false" customHeight="false" outlineLevel="0" collapsed="false">
      <c r="A346" s="0" t="n">
        <v>344</v>
      </c>
      <c r="B346" s="0" t="s">
        <v>1583</v>
      </c>
      <c r="C346" s="0" t="s">
        <v>1584</v>
      </c>
      <c r="D346" s="0" t="s">
        <v>1585</v>
      </c>
      <c r="E346" s="0" t="s">
        <v>1586</v>
      </c>
    </row>
    <row r="347" customFormat="false" ht="15" hidden="false" customHeight="false" outlineLevel="0" collapsed="false">
      <c r="A347" s="0" t="n">
        <v>345</v>
      </c>
      <c r="B347" s="0" t="s">
        <v>1587</v>
      </c>
      <c r="C347" s="0" t="s">
        <v>1588</v>
      </c>
      <c r="D347" s="0" t="s">
        <v>1589</v>
      </c>
      <c r="E347" s="0" t="s">
        <v>1590</v>
      </c>
    </row>
    <row r="348" customFormat="false" ht="15" hidden="false" customHeight="false" outlineLevel="0" collapsed="false">
      <c r="A348" s="0" t="n">
        <v>346</v>
      </c>
      <c r="B348" s="0" t="s">
        <v>1591</v>
      </c>
      <c r="C348" s="0" t="s">
        <v>1592</v>
      </c>
      <c r="D348" s="0" t="s">
        <v>1593</v>
      </c>
      <c r="E348" s="0" t="s">
        <v>1594</v>
      </c>
    </row>
    <row r="349" customFormat="false" ht="15" hidden="false" customHeight="false" outlineLevel="0" collapsed="false">
      <c r="A349" s="0" t="n">
        <v>347</v>
      </c>
      <c r="B349" s="0" t="s">
        <v>1595</v>
      </c>
      <c r="C349" s="0" t="s">
        <v>1596</v>
      </c>
      <c r="D349" s="0" t="s">
        <v>1597</v>
      </c>
      <c r="E349" s="0" t="s">
        <v>1598</v>
      </c>
    </row>
    <row r="350" customFormat="false" ht="15" hidden="false" customHeight="false" outlineLevel="0" collapsed="false">
      <c r="A350" s="0" t="n">
        <v>348</v>
      </c>
      <c r="B350" s="0" t="s">
        <v>1599</v>
      </c>
      <c r="C350" s="0" t="s">
        <v>1600</v>
      </c>
      <c r="D350" s="0" t="s">
        <v>1601</v>
      </c>
      <c r="E350" s="0" t="s">
        <v>1602</v>
      </c>
    </row>
    <row r="351" customFormat="false" ht="15" hidden="false" customHeight="false" outlineLevel="0" collapsed="false">
      <c r="A351" s="0" t="n">
        <v>349</v>
      </c>
      <c r="B351" s="0" t="s">
        <v>1603</v>
      </c>
      <c r="C351" s="0" t="s">
        <v>1604</v>
      </c>
      <c r="D351" s="0" t="s">
        <v>1605</v>
      </c>
      <c r="E351" s="0" t="s">
        <v>1606</v>
      </c>
    </row>
    <row r="352" customFormat="false" ht="15" hidden="false" customHeight="false" outlineLevel="0" collapsed="false">
      <c r="A352" s="0" t="n">
        <v>350</v>
      </c>
      <c r="B352" s="0" t="s">
        <v>1607</v>
      </c>
      <c r="C352" s="0" t="s">
        <v>1608</v>
      </c>
      <c r="D352" s="0" t="s">
        <v>1609</v>
      </c>
      <c r="E352" s="0" t="s">
        <v>1610</v>
      </c>
    </row>
    <row r="353" customFormat="false" ht="15" hidden="false" customHeight="false" outlineLevel="0" collapsed="false">
      <c r="A353" s="0" t="n">
        <v>351</v>
      </c>
      <c r="B353" s="0" t="s">
        <v>1611</v>
      </c>
      <c r="C353" s="0" t="s">
        <v>1612</v>
      </c>
      <c r="D353" s="0" t="s">
        <v>1613</v>
      </c>
      <c r="E353" s="0" t="s">
        <v>1614</v>
      </c>
    </row>
    <row r="354" customFormat="false" ht="15" hidden="false" customHeight="false" outlineLevel="0" collapsed="false">
      <c r="A354" s="0" t="n">
        <v>352</v>
      </c>
      <c r="B354" s="0" t="s">
        <v>1615</v>
      </c>
      <c r="C354" s="0" t="s">
        <v>1616</v>
      </c>
      <c r="D354" s="0" t="s">
        <v>1617</v>
      </c>
      <c r="E354" s="0" t="s">
        <v>1618</v>
      </c>
    </row>
    <row r="355" customFormat="false" ht="15" hidden="false" customHeight="false" outlineLevel="0" collapsed="false">
      <c r="A355" s="0" t="n">
        <v>353</v>
      </c>
      <c r="B355" s="0" t="s">
        <v>1619</v>
      </c>
      <c r="C355" s="0" t="s">
        <v>1620</v>
      </c>
      <c r="D355" s="0" t="s">
        <v>1621</v>
      </c>
      <c r="E355" s="0" t="s">
        <v>1622</v>
      </c>
    </row>
    <row r="356" customFormat="false" ht="15" hidden="false" customHeight="false" outlineLevel="0" collapsed="false">
      <c r="A356" s="0" t="n">
        <v>354</v>
      </c>
      <c r="B356" s="0" t="s">
        <v>1623</v>
      </c>
      <c r="C356" s="0" t="s">
        <v>1624</v>
      </c>
      <c r="D356" s="0" t="s">
        <v>1625</v>
      </c>
      <c r="E356" s="0" t="s">
        <v>1626</v>
      </c>
    </row>
    <row r="357" customFormat="false" ht="15" hidden="false" customHeight="false" outlineLevel="0" collapsed="false">
      <c r="A357" s="0" t="n">
        <v>355</v>
      </c>
      <c r="B357" s="0" t="s">
        <v>1627</v>
      </c>
      <c r="C357" s="0" t="s">
        <v>1628</v>
      </c>
      <c r="D357" s="0" t="s">
        <v>1629</v>
      </c>
      <c r="E357" s="0" t="s">
        <v>1630</v>
      </c>
    </row>
    <row r="358" customFormat="false" ht="15" hidden="false" customHeight="false" outlineLevel="0" collapsed="false">
      <c r="A358" s="0" t="n">
        <v>356</v>
      </c>
      <c r="B358" s="0" t="s">
        <v>1631</v>
      </c>
      <c r="C358" s="0" t="s">
        <v>1632</v>
      </c>
      <c r="D358" s="0" t="s">
        <v>1633</v>
      </c>
      <c r="E358" s="0" t="s">
        <v>1634</v>
      </c>
    </row>
    <row r="359" customFormat="false" ht="15" hidden="false" customHeight="false" outlineLevel="0" collapsed="false">
      <c r="A359" s="0" t="n">
        <v>357</v>
      </c>
      <c r="B359" s="0" t="s">
        <v>1635</v>
      </c>
      <c r="C359" s="0" t="s">
        <v>1636</v>
      </c>
      <c r="D359" s="0" t="s">
        <v>1637</v>
      </c>
      <c r="E359" s="0" t="s">
        <v>1638</v>
      </c>
    </row>
    <row r="360" customFormat="false" ht="15" hidden="false" customHeight="false" outlineLevel="0" collapsed="false">
      <c r="A360" s="0" t="n">
        <v>358</v>
      </c>
      <c r="B360" s="0" t="s">
        <v>1639</v>
      </c>
      <c r="C360" s="0" t="s">
        <v>1640</v>
      </c>
      <c r="D360" s="0" t="s">
        <v>1641</v>
      </c>
      <c r="E360" s="0" t="s">
        <v>1642</v>
      </c>
    </row>
    <row r="361" customFormat="false" ht="15" hidden="false" customHeight="false" outlineLevel="0" collapsed="false">
      <c r="A361" s="0" t="n">
        <v>359</v>
      </c>
      <c r="B361" s="0" t="s">
        <v>1643</v>
      </c>
      <c r="C361" s="0" t="s">
        <v>1644</v>
      </c>
      <c r="D361" s="0" t="s">
        <v>1645</v>
      </c>
      <c r="E361" s="0" t="s">
        <v>1646</v>
      </c>
    </row>
    <row r="362" customFormat="false" ht="15" hidden="false" customHeight="false" outlineLevel="0" collapsed="false">
      <c r="A362" s="0" t="n">
        <v>360</v>
      </c>
      <c r="B362" s="0" t="s">
        <v>1647</v>
      </c>
      <c r="C362" s="0" t="s">
        <v>1648</v>
      </c>
      <c r="D362" s="0" t="s">
        <v>1649</v>
      </c>
      <c r="E362" s="0" t="s">
        <v>1650</v>
      </c>
    </row>
    <row r="363" customFormat="false" ht="15" hidden="false" customHeight="false" outlineLevel="0" collapsed="false">
      <c r="A363" s="0" t="n">
        <v>361</v>
      </c>
      <c r="B363" s="0" t="s">
        <v>1651</v>
      </c>
      <c r="C363" s="0" t="s">
        <v>1652</v>
      </c>
      <c r="D363" s="0" t="s">
        <v>1653</v>
      </c>
      <c r="E363" s="0" t="s">
        <v>1654</v>
      </c>
    </row>
    <row r="364" customFormat="false" ht="15" hidden="false" customHeight="false" outlineLevel="0" collapsed="false">
      <c r="A364" s="0" t="n">
        <v>362</v>
      </c>
      <c r="B364" s="0" t="s">
        <v>1655</v>
      </c>
      <c r="C364" s="0" t="s">
        <v>1656</v>
      </c>
      <c r="D364" s="0" t="s">
        <v>1657</v>
      </c>
      <c r="E364" s="0" t="s">
        <v>1658</v>
      </c>
    </row>
    <row r="365" customFormat="false" ht="15" hidden="false" customHeight="false" outlineLevel="0" collapsed="false">
      <c r="A365" s="0" t="n">
        <v>363</v>
      </c>
      <c r="B365" s="0" t="s">
        <v>1659</v>
      </c>
      <c r="C365" s="0" t="s">
        <v>1660</v>
      </c>
      <c r="D365" s="0" t="s">
        <v>1661</v>
      </c>
      <c r="E365" s="0" t="s">
        <v>1662</v>
      </c>
    </row>
    <row r="366" customFormat="false" ht="15" hidden="false" customHeight="false" outlineLevel="0" collapsed="false">
      <c r="A366" s="0" t="n">
        <v>364</v>
      </c>
      <c r="B366" s="0" t="s">
        <v>1663</v>
      </c>
      <c r="C366" s="0" t="s">
        <v>1664</v>
      </c>
      <c r="D366" s="0" t="s">
        <v>1665</v>
      </c>
      <c r="E366" s="0" t="s">
        <v>1666</v>
      </c>
    </row>
    <row r="367" customFormat="false" ht="15" hidden="false" customHeight="false" outlineLevel="0" collapsed="false">
      <c r="A367" s="0" t="n">
        <v>365</v>
      </c>
      <c r="B367" s="0" t="s">
        <v>1667</v>
      </c>
      <c r="C367" s="0" t="s">
        <v>1668</v>
      </c>
      <c r="D367" s="0" t="s">
        <v>1669</v>
      </c>
      <c r="E367" s="0" t="s">
        <v>1670</v>
      </c>
    </row>
    <row r="368" customFormat="false" ht="15" hidden="false" customHeight="false" outlineLevel="0" collapsed="false">
      <c r="A368" s="0" t="n">
        <v>366</v>
      </c>
      <c r="B368" s="0" t="s">
        <v>1671</v>
      </c>
      <c r="C368" s="0" t="s">
        <v>1672</v>
      </c>
      <c r="D368" s="0" t="s">
        <v>1673</v>
      </c>
      <c r="E368" s="0" t="s">
        <v>1674</v>
      </c>
    </row>
    <row r="369" customFormat="false" ht="15" hidden="false" customHeight="false" outlineLevel="0" collapsed="false">
      <c r="A369" s="0" t="n">
        <v>367</v>
      </c>
      <c r="B369" s="0" t="s">
        <v>1675</v>
      </c>
      <c r="C369" s="0" t="s">
        <v>1676</v>
      </c>
      <c r="D369" s="0" t="s">
        <v>1677</v>
      </c>
      <c r="E369" s="0" t="s">
        <v>1678</v>
      </c>
    </row>
    <row r="370" customFormat="false" ht="15" hidden="false" customHeight="false" outlineLevel="0" collapsed="false">
      <c r="A370" s="0" t="n">
        <v>368</v>
      </c>
      <c r="B370" s="0" t="s">
        <v>1679</v>
      </c>
      <c r="C370" s="0" t="s">
        <v>1680</v>
      </c>
      <c r="D370" s="0" t="s">
        <v>1681</v>
      </c>
      <c r="E370" s="0" t="s">
        <v>1682</v>
      </c>
    </row>
    <row r="371" customFormat="false" ht="15" hidden="false" customHeight="false" outlineLevel="0" collapsed="false">
      <c r="A371" s="0" t="n">
        <v>369</v>
      </c>
      <c r="B371" s="0" t="s">
        <v>1683</v>
      </c>
      <c r="C371" s="0" t="s">
        <v>1684</v>
      </c>
      <c r="D371" s="0" t="s">
        <v>1685</v>
      </c>
      <c r="E371" s="0" t="s">
        <v>1686</v>
      </c>
    </row>
    <row r="372" customFormat="false" ht="15" hidden="false" customHeight="false" outlineLevel="0" collapsed="false">
      <c r="A372" s="0" t="n">
        <v>370</v>
      </c>
      <c r="B372" s="0" t="s">
        <v>1687</v>
      </c>
      <c r="C372" s="0" t="s">
        <v>1688</v>
      </c>
      <c r="D372" s="0" t="s">
        <v>1689</v>
      </c>
      <c r="E372" s="0" t="s">
        <v>1690</v>
      </c>
    </row>
    <row r="373" customFormat="false" ht="15" hidden="false" customHeight="false" outlineLevel="0" collapsed="false">
      <c r="A373" s="0" t="n">
        <v>371</v>
      </c>
      <c r="B373" s="0" t="s">
        <v>1691</v>
      </c>
      <c r="C373" s="0" t="s">
        <v>1692</v>
      </c>
      <c r="D373" s="0" t="s">
        <v>1693</v>
      </c>
      <c r="E373" s="0" t="s">
        <v>1694</v>
      </c>
    </row>
    <row r="374" customFormat="false" ht="15" hidden="false" customHeight="false" outlineLevel="0" collapsed="false">
      <c r="A374" s="0" t="n">
        <v>372</v>
      </c>
      <c r="B374" s="0" t="s">
        <v>1695</v>
      </c>
      <c r="C374" s="0" t="s">
        <v>1696</v>
      </c>
      <c r="D374" s="0" t="s">
        <v>1697</v>
      </c>
      <c r="E374" s="0" t="s">
        <v>1698</v>
      </c>
    </row>
    <row r="375" customFormat="false" ht="15" hidden="false" customHeight="false" outlineLevel="0" collapsed="false">
      <c r="A375" s="0" t="n">
        <v>373</v>
      </c>
      <c r="B375" s="0" t="s">
        <v>1699</v>
      </c>
      <c r="C375" s="0" t="s">
        <v>1700</v>
      </c>
      <c r="D375" s="0" t="s">
        <v>1701</v>
      </c>
      <c r="E375" s="0" t="s">
        <v>1702</v>
      </c>
    </row>
    <row r="376" customFormat="false" ht="15" hidden="false" customHeight="false" outlineLevel="0" collapsed="false">
      <c r="A376" s="0" t="n">
        <v>374</v>
      </c>
      <c r="B376" s="0" t="s">
        <v>1703</v>
      </c>
      <c r="C376" s="0" t="s">
        <v>1704</v>
      </c>
      <c r="D376" s="0" t="s">
        <v>1705</v>
      </c>
      <c r="E376" s="0" t="s">
        <v>1706</v>
      </c>
    </row>
    <row r="377" customFormat="false" ht="15" hidden="false" customHeight="false" outlineLevel="0" collapsed="false">
      <c r="A377" s="0" t="n">
        <v>375</v>
      </c>
      <c r="B377" s="0" t="s">
        <v>1707</v>
      </c>
      <c r="C377" s="0" t="s">
        <v>1708</v>
      </c>
      <c r="D377" s="0" t="s">
        <v>1709</v>
      </c>
      <c r="E377" s="0" t="s">
        <v>1710</v>
      </c>
    </row>
    <row r="378" customFormat="false" ht="15" hidden="false" customHeight="false" outlineLevel="0" collapsed="false">
      <c r="A378" s="0" t="n">
        <v>376</v>
      </c>
      <c r="B378" s="0" t="s">
        <v>1711</v>
      </c>
      <c r="C378" s="0" t="s">
        <v>1712</v>
      </c>
      <c r="D378" s="0" t="s">
        <v>1713</v>
      </c>
      <c r="E378" s="0" t="s">
        <v>1714</v>
      </c>
    </row>
    <row r="379" customFormat="false" ht="15" hidden="false" customHeight="false" outlineLevel="0" collapsed="false">
      <c r="A379" s="0" t="n">
        <v>377</v>
      </c>
      <c r="B379" s="0" t="s">
        <v>1715</v>
      </c>
      <c r="C379" s="0" t="s">
        <v>1716</v>
      </c>
      <c r="D379" s="0" t="s">
        <v>1717</v>
      </c>
      <c r="E379" s="0" t="s">
        <v>1718</v>
      </c>
    </row>
    <row r="380" customFormat="false" ht="15" hidden="false" customHeight="false" outlineLevel="0" collapsed="false">
      <c r="A380" s="0" t="n">
        <v>378</v>
      </c>
      <c r="B380" s="0" t="s">
        <v>1719</v>
      </c>
      <c r="C380" s="0" t="s">
        <v>1720</v>
      </c>
      <c r="D380" s="0" t="s">
        <v>1721</v>
      </c>
      <c r="E380" s="0" t="s">
        <v>1722</v>
      </c>
    </row>
    <row r="381" customFormat="false" ht="15" hidden="false" customHeight="false" outlineLevel="0" collapsed="false">
      <c r="A381" s="0" t="n">
        <v>379</v>
      </c>
      <c r="B381" s="0" t="s">
        <v>1723</v>
      </c>
      <c r="C381" s="0" t="s">
        <v>1724</v>
      </c>
      <c r="D381" s="0" t="s">
        <v>1725</v>
      </c>
      <c r="E381" s="0" t="s">
        <v>1726</v>
      </c>
    </row>
    <row r="382" customFormat="false" ht="15" hidden="false" customHeight="false" outlineLevel="0" collapsed="false">
      <c r="A382" s="0" t="n">
        <v>380</v>
      </c>
      <c r="B382" s="0" t="s">
        <v>1727</v>
      </c>
      <c r="C382" s="0" t="s">
        <v>1728</v>
      </c>
      <c r="D382" s="0" t="s">
        <v>1729</v>
      </c>
      <c r="E382" s="0" t="s">
        <v>1730</v>
      </c>
    </row>
    <row r="383" customFormat="false" ht="15" hidden="false" customHeight="false" outlineLevel="0" collapsed="false">
      <c r="A383" s="0" t="n">
        <v>381</v>
      </c>
      <c r="B383" s="0" t="s">
        <v>1731</v>
      </c>
      <c r="C383" s="0" t="s">
        <v>1732</v>
      </c>
      <c r="D383" s="0" t="s">
        <v>1733</v>
      </c>
      <c r="E383" s="0" t="s">
        <v>1734</v>
      </c>
    </row>
    <row r="384" customFormat="false" ht="15" hidden="false" customHeight="false" outlineLevel="0" collapsed="false">
      <c r="A384" s="0" t="n">
        <v>382</v>
      </c>
      <c r="B384" s="0" t="s">
        <v>1735</v>
      </c>
      <c r="C384" s="0" t="s">
        <v>1736</v>
      </c>
      <c r="D384" s="0" t="s">
        <v>1737</v>
      </c>
      <c r="E384" s="0" t="s">
        <v>1738</v>
      </c>
    </row>
    <row r="385" customFormat="false" ht="15" hidden="false" customHeight="false" outlineLevel="0" collapsed="false">
      <c r="A385" s="0" t="n">
        <v>383</v>
      </c>
      <c r="B385" s="0" t="s">
        <v>1739</v>
      </c>
      <c r="C385" s="0" t="s">
        <v>1740</v>
      </c>
      <c r="D385" s="0" t="s">
        <v>1741</v>
      </c>
      <c r="E385" s="0" t="s">
        <v>1742</v>
      </c>
    </row>
    <row r="386" customFormat="false" ht="15" hidden="false" customHeight="false" outlineLevel="0" collapsed="false">
      <c r="A386" s="0" t="n">
        <v>384</v>
      </c>
      <c r="B386" s="0" t="s">
        <v>1743</v>
      </c>
      <c r="C386" s="0" t="s">
        <v>1744</v>
      </c>
      <c r="D386" s="0" t="s">
        <v>1745</v>
      </c>
      <c r="E386" s="0" t="s">
        <v>1746</v>
      </c>
    </row>
    <row r="387" customFormat="false" ht="15" hidden="false" customHeight="false" outlineLevel="0" collapsed="false">
      <c r="A387" s="0" t="n">
        <v>385</v>
      </c>
      <c r="B387" s="0" t="s">
        <v>1747</v>
      </c>
      <c r="C387" s="0" t="s">
        <v>1748</v>
      </c>
      <c r="D387" s="0" t="s">
        <v>1749</v>
      </c>
      <c r="E387" s="0" t="s">
        <v>1750</v>
      </c>
    </row>
    <row r="388" customFormat="false" ht="15" hidden="false" customHeight="false" outlineLevel="0" collapsed="false">
      <c r="A388" s="0" t="n">
        <v>386</v>
      </c>
      <c r="B388" s="0" t="s">
        <v>1751</v>
      </c>
      <c r="C388" s="0" t="s">
        <v>1752</v>
      </c>
      <c r="D388" s="0" t="s">
        <v>1753</v>
      </c>
      <c r="E388" s="0" t="s">
        <v>1754</v>
      </c>
    </row>
    <row r="389" customFormat="false" ht="15" hidden="false" customHeight="false" outlineLevel="0" collapsed="false">
      <c r="A389" s="0" t="n">
        <v>387</v>
      </c>
      <c r="B389" s="0" t="s">
        <v>1755</v>
      </c>
      <c r="C389" s="0" t="s">
        <v>1756</v>
      </c>
      <c r="D389" s="0" t="s">
        <v>1757</v>
      </c>
      <c r="E389" s="0" t="s">
        <v>1758</v>
      </c>
    </row>
    <row r="390" customFormat="false" ht="15" hidden="false" customHeight="false" outlineLevel="0" collapsed="false">
      <c r="A390" s="0" t="n">
        <v>388</v>
      </c>
      <c r="B390" s="0" t="s">
        <v>1759</v>
      </c>
      <c r="C390" s="0" t="s">
        <v>1760</v>
      </c>
      <c r="D390" s="0" t="s">
        <v>1761</v>
      </c>
      <c r="E390" s="0" t="s">
        <v>1762</v>
      </c>
    </row>
    <row r="391" customFormat="false" ht="15" hidden="false" customHeight="false" outlineLevel="0" collapsed="false">
      <c r="A391" s="0" t="n">
        <v>389</v>
      </c>
      <c r="B391" s="0" t="s">
        <v>1763</v>
      </c>
      <c r="C391" s="0" t="s">
        <v>1764</v>
      </c>
      <c r="D391" s="0" t="s">
        <v>1765</v>
      </c>
      <c r="E391" s="0" t="s">
        <v>1766</v>
      </c>
    </row>
    <row r="392" customFormat="false" ht="15" hidden="false" customHeight="false" outlineLevel="0" collapsed="false">
      <c r="A392" s="0" t="n">
        <v>390</v>
      </c>
      <c r="B392" s="0" t="s">
        <v>1767</v>
      </c>
      <c r="C392" s="0" t="s">
        <v>1768</v>
      </c>
      <c r="D392" s="0" t="s">
        <v>1769</v>
      </c>
      <c r="E392" s="0" t="s">
        <v>1770</v>
      </c>
    </row>
    <row r="393" customFormat="false" ht="15" hidden="false" customHeight="false" outlineLevel="0" collapsed="false">
      <c r="A393" s="0" t="n">
        <v>391</v>
      </c>
      <c r="B393" s="0" t="s">
        <v>1771</v>
      </c>
      <c r="C393" s="0" t="s">
        <v>1772</v>
      </c>
      <c r="D393" s="0" t="s">
        <v>1773</v>
      </c>
      <c r="E393" s="0" t="s">
        <v>1774</v>
      </c>
    </row>
    <row r="394" customFormat="false" ht="15" hidden="false" customHeight="false" outlineLevel="0" collapsed="false">
      <c r="A394" s="0" t="n">
        <v>392</v>
      </c>
      <c r="B394" s="0" t="s">
        <v>1775</v>
      </c>
      <c r="C394" s="0" t="s">
        <v>1776</v>
      </c>
      <c r="D394" s="0" t="s">
        <v>1777</v>
      </c>
      <c r="E394" s="0" t="s">
        <v>1778</v>
      </c>
    </row>
    <row r="395" customFormat="false" ht="15" hidden="false" customHeight="false" outlineLevel="0" collapsed="false">
      <c r="A395" s="0" t="n">
        <v>393</v>
      </c>
      <c r="B395" s="0" t="s">
        <v>1779</v>
      </c>
      <c r="C395" s="0" t="s">
        <v>1780</v>
      </c>
      <c r="D395" s="0" t="s">
        <v>1781</v>
      </c>
      <c r="E395" s="0" t="s">
        <v>1782</v>
      </c>
    </row>
    <row r="396" customFormat="false" ht="15" hidden="false" customHeight="false" outlineLevel="0" collapsed="false">
      <c r="A396" s="0" t="n">
        <v>394</v>
      </c>
      <c r="B396" s="0" t="s">
        <v>1783</v>
      </c>
      <c r="C396" s="0" t="s">
        <v>1784</v>
      </c>
      <c r="D396" s="0" t="s">
        <v>1785</v>
      </c>
      <c r="E396" s="0" t="s">
        <v>1786</v>
      </c>
    </row>
    <row r="397" customFormat="false" ht="15" hidden="false" customHeight="false" outlineLevel="0" collapsed="false">
      <c r="A397" s="0" t="n">
        <v>395</v>
      </c>
      <c r="B397" s="0" t="s">
        <v>1787</v>
      </c>
      <c r="C397" s="0" t="s">
        <v>1788</v>
      </c>
      <c r="D397" s="0" t="s">
        <v>1789</v>
      </c>
      <c r="E397" s="0" t="s">
        <v>1790</v>
      </c>
    </row>
    <row r="398" customFormat="false" ht="15" hidden="false" customHeight="false" outlineLevel="0" collapsed="false">
      <c r="A398" s="0" t="n">
        <v>396</v>
      </c>
      <c r="B398" s="0" t="s">
        <v>1791</v>
      </c>
      <c r="C398" s="0" t="s">
        <v>1792</v>
      </c>
      <c r="D398" s="0" t="s">
        <v>1793</v>
      </c>
      <c r="E398" s="0" t="s">
        <v>1794</v>
      </c>
    </row>
    <row r="399" customFormat="false" ht="15" hidden="false" customHeight="false" outlineLevel="0" collapsed="false">
      <c r="A399" s="0" t="n">
        <v>397</v>
      </c>
      <c r="B399" s="0" t="s">
        <v>1795</v>
      </c>
      <c r="C399" s="0" t="s">
        <v>1796</v>
      </c>
      <c r="D399" s="0" t="s">
        <v>1797</v>
      </c>
      <c r="E399" s="0" t="s">
        <v>1798</v>
      </c>
    </row>
    <row r="400" customFormat="false" ht="15" hidden="false" customHeight="false" outlineLevel="0" collapsed="false">
      <c r="A400" s="0" t="n">
        <v>398</v>
      </c>
      <c r="B400" s="0" t="s">
        <v>1799</v>
      </c>
      <c r="C400" s="0" t="s">
        <v>1800</v>
      </c>
      <c r="D400" s="0" t="s">
        <v>1801</v>
      </c>
      <c r="E400" s="0" t="s">
        <v>1802</v>
      </c>
    </row>
    <row r="401" customFormat="false" ht="15" hidden="false" customHeight="false" outlineLevel="0" collapsed="false">
      <c r="A401" s="0" t="n">
        <v>399</v>
      </c>
      <c r="B401" s="0" t="s">
        <v>1803</v>
      </c>
      <c r="C401" s="0" t="s">
        <v>1804</v>
      </c>
      <c r="D401" s="0" t="s">
        <v>1805</v>
      </c>
      <c r="E401" s="0" t="s">
        <v>1806</v>
      </c>
    </row>
    <row r="402" customFormat="false" ht="15" hidden="false" customHeight="false" outlineLevel="0" collapsed="false">
      <c r="A402" s="0" t="n">
        <v>400</v>
      </c>
      <c r="B402" s="0" t="s">
        <v>1807</v>
      </c>
      <c r="C402" s="0" t="s">
        <v>1808</v>
      </c>
      <c r="D402" s="0" t="s">
        <v>1809</v>
      </c>
      <c r="E402" s="0" t="s">
        <v>1810</v>
      </c>
    </row>
    <row r="403" customFormat="false" ht="15" hidden="false" customHeight="false" outlineLevel="0" collapsed="false">
      <c r="A403" s="0" t="n">
        <v>401</v>
      </c>
      <c r="B403" s="0" t="s">
        <v>1811</v>
      </c>
      <c r="C403" s="0" t="s">
        <v>1812</v>
      </c>
      <c r="D403" s="0" t="s">
        <v>1813</v>
      </c>
      <c r="E403" s="0" t="s">
        <v>1814</v>
      </c>
    </row>
    <row r="404" customFormat="false" ht="15" hidden="false" customHeight="false" outlineLevel="0" collapsed="false">
      <c r="A404" s="0" t="n">
        <v>402</v>
      </c>
      <c r="B404" s="0" t="s">
        <v>1815</v>
      </c>
      <c r="C404" s="0" t="s">
        <v>1816</v>
      </c>
      <c r="D404" s="0" t="s">
        <v>1817</v>
      </c>
      <c r="E404" s="0" t="s">
        <v>1818</v>
      </c>
    </row>
    <row r="405" customFormat="false" ht="15" hidden="false" customHeight="false" outlineLevel="0" collapsed="false">
      <c r="A405" s="0" t="n">
        <v>403</v>
      </c>
      <c r="B405" s="0" t="s">
        <v>1819</v>
      </c>
      <c r="C405" s="0" t="s">
        <v>1820</v>
      </c>
      <c r="D405" s="0" t="s">
        <v>1821</v>
      </c>
      <c r="E405" s="0" t="s">
        <v>1822</v>
      </c>
    </row>
    <row r="406" customFormat="false" ht="15" hidden="false" customHeight="false" outlineLevel="0" collapsed="false">
      <c r="A406" s="0" t="n">
        <v>404</v>
      </c>
      <c r="B406" s="0" t="s">
        <v>1823</v>
      </c>
      <c r="C406" s="0" t="s">
        <v>1824</v>
      </c>
      <c r="D406" s="0" t="s">
        <v>1825</v>
      </c>
      <c r="E406" s="0" t="s">
        <v>1826</v>
      </c>
    </row>
    <row r="407" customFormat="false" ht="15" hidden="false" customHeight="false" outlineLevel="0" collapsed="false">
      <c r="A407" s="0" t="n">
        <v>405</v>
      </c>
      <c r="B407" s="0" t="s">
        <v>1827</v>
      </c>
      <c r="C407" s="0" t="s">
        <v>1828</v>
      </c>
      <c r="D407" s="0" t="s">
        <v>1829</v>
      </c>
      <c r="E407" s="0" t="s">
        <v>1830</v>
      </c>
    </row>
    <row r="408" customFormat="false" ht="15" hidden="false" customHeight="false" outlineLevel="0" collapsed="false">
      <c r="A408" s="0" t="n">
        <v>406</v>
      </c>
      <c r="B408" s="0" t="s">
        <v>1831</v>
      </c>
      <c r="C408" s="0" t="s">
        <v>1832</v>
      </c>
      <c r="D408" s="0" t="s">
        <v>1833</v>
      </c>
      <c r="E408" s="0" t="s">
        <v>1834</v>
      </c>
    </row>
    <row r="409" customFormat="false" ht="15" hidden="false" customHeight="false" outlineLevel="0" collapsed="false">
      <c r="A409" s="0" t="n">
        <v>407</v>
      </c>
      <c r="B409" s="0" t="s">
        <v>1835</v>
      </c>
      <c r="C409" s="0" t="s">
        <v>1836</v>
      </c>
      <c r="D409" s="0" t="s">
        <v>1837</v>
      </c>
      <c r="E409" s="0" t="s">
        <v>1838</v>
      </c>
    </row>
    <row r="410" customFormat="false" ht="15" hidden="false" customHeight="false" outlineLevel="0" collapsed="false">
      <c r="A410" s="0" t="n">
        <v>408</v>
      </c>
      <c r="B410" s="0" t="s">
        <v>1839</v>
      </c>
      <c r="C410" s="0" t="s">
        <v>1840</v>
      </c>
      <c r="D410" s="0" t="s">
        <v>1841</v>
      </c>
      <c r="E410" s="0" t="s">
        <v>1842</v>
      </c>
    </row>
    <row r="411" customFormat="false" ht="15" hidden="false" customHeight="false" outlineLevel="0" collapsed="false">
      <c r="A411" s="0" t="n">
        <v>409</v>
      </c>
      <c r="B411" s="0" t="s">
        <v>1843</v>
      </c>
      <c r="C411" s="0" t="s">
        <v>1844</v>
      </c>
      <c r="D411" s="0" t="s">
        <v>1845</v>
      </c>
      <c r="E411" s="0" t="s">
        <v>1846</v>
      </c>
    </row>
    <row r="412" customFormat="false" ht="15" hidden="false" customHeight="false" outlineLevel="0" collapsed="false">
      <c r="A412" s="0" t="n">
        <v>410</v>
      </c>
      <c r="B412" s="0" t="s">
        <v>1847</v>
      </c>
      <c r="C412" s="0" t="s">
        <v>1848</v>
      </c>
      <c r="D412" s="0" t="s">
        <v>1849</v>
      </c>
      <c r="E412" s="0" t="s">
        <v>1850</v>
      </c>
    </row>
    <row r="413" customFormat="false" ht="15" hidden="false" customHeight="false" outlineLevel="0" collapsed="false">
      <c r="A413" s="0" t="n">
        <v>411</v>
      </c>
      <c r="B413" s="0" t="s">
        <v>1851</v>
      </c>
      <c r="C413" s="0" t="s">
        <v>1852</v>
      </c>
      <c r="D413" s="0" t="s">
        <v>1853</v>
      </c>
      <c r="E413" s="0" t="s">
        <v>1854</v>
      </c>
    </row>
    <row r="414" customFormat="false" ht="15" hidden="false" customHeight="false" outlineLevel="0" collapsed="false">
      <c r="A414" s="0" t="n">
        <v>412</v>
      </c>
      <c r="B414" s="0" t="s">
        <v>1855</v>
      </c>
      <c r="C414" s="0" t="s">
        <v>1856</v>
      </c>
      <c r="D414" s="0" t="s">
        <v>1857</v>
      </c>
      <c r="E414" s="0" t="s">
        <v>1858</v>
      </c>
    </row>
    <row r="415" customFormat="false" ht="15" hidden="false" customHeight="false" outlineLevel="0" collapsed="false">
      <c r="A415" s="0" t="n">
        <v>413</v>
      </c>
      <c r="B415" s="0" t="s">
        <v>1859</v>
      </c>
      <c r="C415" s="0" t="s">
        <v>1860</v>
      </c>
      <c r="D415" s="0" t="s">
        <v>1861</v>
      </c>
      <c r="E415" s="0" t="s">
        <v>1862</v>
      </c>
    </row>
    <row r="416" customFormat="false" ht="15" hidden="false" customHeight="false" outlineLevel="0" collapsed="false">
      <c r="A416" s="0" t="n">
        <v>414</v>
      </c>
      <c r="B416" s="0" t="s">
        <v>1863</v>
      </c>
      <c r="C416" s="0" t="s">
        <v>1864</v>
      </c>
      <c r="D416" s="0" t="s">
        <v>1865</v>
      </c>
      <c r="E416" s="0" t="s">
        <v>1866</v>
      </c>
    </row>
    <row r="417" customFormat="false" ht="15" hidden="false" customHeight="false" outlineLevel="0" collapsed="false">
      <c r="A417" s="0" t="n">
        <v>415</v>
      </c>
      <c r="B417" s="0" t="s">
        <v>1867</v>
      </c>
      <c r="C417" s="0" t="s">
        <v>1868</v>
      </c>
      <c r="D417" s="0" t="s">
        <v>1869</v>
      </c>
      <c r="E417" s="0" t="s">
        <v>1870</v>
      </c>
    </row>
    <row r="418" customFormat="false" ht="15" hidden="false" customHeight="false" outlineLevel="0" collapsed="false">
      <c r="A418" s="0" t="n">
        <v>416</v>
      </c>
      <c r="B418" s="0" t="s">
        <v>1871</v>
      </c>
      <c r="C418" s="0" t="s">
        <v>1872</v>
      </c>
      <c r="D418" s="0" t="s">
        <v>1873</v>
      </c>
      <c r="E418" s="0" t="s">
        <v>1874</v>
      </c>
    </row>
    <row r="419" customFormat="false" ht="15" hidden="false" customHeight="false" outlineLevel="0" collapsed="false">
      <c r="A419" s="0" t="n">
        <v>417</v>
      </c>
      <c r="B419" s="0" t="s">
        <v>1875</v>
      </c>
      <c r="C419" s="0" t="s">
        <v>1876</v>
      </c>
      <c r="D419" s="0" t="s">
        <v>1877</v>
      </c>
      <c r="E419" s="0" t="s">
        <v>1878</v>
      </c>
    </row>
    <row r="420" customFormat="false" ht="15" hidden="false" customHeight="false" outlineLevel="0" collapsed="false">
      <c r="A420" s="0" t="n">
        <v>418</v>
      </c>
      <c r="B420" s="0" t="s">
        <v>1879</v>
      </c>
      <c r="C420" s="0" t="s">
        <v>1880</v>
      </c>
      <c r="D420" s="0" t="s">
        <v>1881</v>
      </c>
      <c r="E420" s="0" t="s">
        <v>1882</v>
      </c>
    </row>
    <row r="421" customFormat="false" ht="15" hidden="false" customHeight="false" outlineLevel="0" collapsed="false">
      <c r="A421" s="0" t="n">
        <v>419</v>
      </c>
      <c r="B421" s="0" t="s">
        <v>1883</v>
      </c>
      <c r="C421" s="0" t="s">
        <v>1884</v>
      </c>
      <c r="D421" s="0" t="s">
        <v>1885</v>
      </c>
      <c r="E421" s="0" t="s">
        <v>1886</v>
      </c>
    </row>
    <row r="422" customFormat="false" ht="15" hidden="false" customHeight="false" outlineLevel="0" collapsed="false">
      <c r="A422" s="0" t="n">
        <v>420</v>
      </c>
      <c r="B422" s="0" t="s">
        <v>1887</v>
      </c>
      <c r="C422" s="0" t="s">
        <v>1888</v>
      </c>
      <c r="D422" s="0" t="s">
        <v>1889</v>
      </c>
      <c r="E422" s="0" t="s">
        <v>1890</v>
      </c>
    </row>
    <row r="423" customFormat="false" ht="15" hidden="false" customHeight="false" outlineLevel="0" collapsed="false">
      <c r="A423" s="0" t="n">
        <v>421</v>
      </c>
      <c r="B423" s="0" t="s">
        <v>1891</v>
      </c>
      <c r="C423" s="0" t="s">
        <v>1892</v>
      </c>
      <c r="D423" s="0" t="s">
        <v>1893</v>
      </c>
      <c r="E423" s="0" t="s">
        <v>1894</v>
      </c>
    </row>
    <row r="424" customFormat="false" ht="15" hidden="false" customHeight="false" outlineLevel="0" collapsed="false">
      <c r="A424" s="0" t="n">
        <v>422</v>
      </c>
      <c r="B424" s="0" t="s">
        <v>1895</v>
      </c>
      <c r="C424" s="0" t="s">
        <v>1896</v>
      </c>
      <c r="D424" s="0" t="s">
        <v>1897</v>
      </c>
      <c r="E424" s="0" t="s">
        <v>1898</v>
      </c>
    </row>
    <row r="425" customFormat="false" ht="15" hidden="false" customHeight="false" outlineLevel="0" collapsed="false">
      <c r="A425" s="0" t="n">
        <v>423</v>
      </c>
      <c r="B425" s="0" t="s">
        <v>1899</v>
      </c>
      <c r="C425" s="0" t="s">
        <v>1900</v>
      </c>
      <c r="D425" s="0" t="s">
        <v>1901</v>
      </c>
      <c r="E425" s="0" t="s">
        <v>1902</v>
      </c>
    </row>
    <row r="426" customFormat="false" ht="15" hidden="false" customHeight="false" outlineLevel="0" collapsed="false">
      <c r="A426" s="0" t="n">
        <v>424</v>
      </c>
      <c r="B426" s="0" t="s">
        <v>1903</v>
      </c>
      <c r="C426" s="0" t="s">
        <v>1904</v>
      </c>
      <c r="D426" s="0" t="s">
        <v>1905</v>
      </c>
      <c r="E426" s="0" t="s">
        <v>1906</v>
      </c>
    </row>
    <row r="427" customFormat="false" ht="15" hidden="false" customHeight="false" outlineLevel="0" collapsed="false">
      <c r="A427" s="0" t="n">
        <v>425</v>
      </c>
      <c r="B427" s="0" t="s">
        <v>1907</v>
      </c>
      <c r="C427" s="0" t="s">
        <v>1908</v>
      </c>
      <c r="D427" s="0" t="s">
        <v>1909</v>
      </c>
      <c r="E427" s="0" t="s">
        <v>1910</v>
      </c>
    </row>
    <row r="428" customFormat="false" ht="15" hidden="false" customHeight="false" outlineLevel="0" collapsed="false">
      <c r="A428" s="0" t="n">
        <v>426</v>
      </c>
      <c r="B428" s="0" t="s">
        <v>1911</v>
      </c>
      <c r="C428" s="0" t="s">
        <v>1912</v>
      </c>
      <c r="D428" s="0" t="s">
        <v>1913</v>
      </c>
      <c r="E428" s="0" t="s">
        <v>1914</v>
      </c>
    </row>
    <row r="429" customFormat="false" ht="15" hidden="false" customHeight="false" outlineLevel="0" collapsed="false">
      <c r="A429" s="0" t="n">
        <v>427</v>
      </c>
      <c r="B429" s="0" t="s">
        <v>1915</v>
      </c>
      <c r="C429" s="0" t="s">
        <v>1916</v>
      </c>
      <c r="D429" s="0" t="s">
        <v>1917</v>
      </c>
      <c r="E429" s="0" t="s">
        <v>1918</v>
      </c>
    </row>
    <row r="430" customFormat="false" ht="15" hidden="false" customHeight="false" outlineLevel="0" collapsed="false">
      <c r="A430" s="0" t="n">
        <v>428</v>
      </c>
      <c r="B430" s="0" t="s">
        <v>1919</v>
      </c>
      <c r="C430" s="0" t="s">
        <v>1920</v>
      </c>
      <c r="D430" s="0" t="s">
        <v>1921</v>
      </c>
      <c r="E430" s="0" t="s">
        <v>1922</v>
      </c>
    </row>
    <row r="431" customFormat="false" ht="15" hidden="false" customHeight="false" outlineLevel="0" collapsed="false">
      <c r="A431" s="0" t="n">
        <v>429</v>
      </c>
      <c r="B431" s="0" t="s">
        <v>1923</v>
      </c>
      <c r="C431" s="0" t="s">
        <v>1924</v>
      </c>
      <c r="D431" s="0" t="s">
        <v>1925</v>
      </c>
      <c r="E431" s="0" t="s">
        <v>1926</v>
      </c>
    </row>
    <row r="432" customFormat="false" ht="15" hidden="false" customHeight="false" outlineLevel="0" collapsed="false">
      <c r="A432" s="0" t="n">
        <v>430</v>
      </c>
      <c r="B432" s="0" t="s">
        <v>1927</v>
      </c>
      <c r="C432" s="0" t="s">
        <v>1928</v>
      </c>
      <c r="D432" s="0" t="s">
        <v>1929</v>
      </c>
      <c r="E432" s="0" t="s">
        <v>1930</v>
      </c>
    </row>
    <row r="433" customFormat="false" ht="15" hidden="false" customHeight="false" outlineLevel="0" collapsed="false">
      <c r="A433" s="0" t="n">
        <v>431</v>
      </c>
      <c r="B433" s="0" t="s">
        <v>1931</v>
      </c>
      <c r="C433" s="0" t="s">
        <v>1932</v>
      </c>
      <c r="D433" s="0" t="s">
        <v>1933</v>
      </c>
      <c r="E433" s="0" t="s">
        <v>1934</v>
      </c>
    </row>
    <row r="434" customFormat="false" ht="15" hidden="false" customHeight="false" outlineLevel="0" collapsed="false">
      <c r="A434" s="0" t="n">
        <v>432</v>
      </c>
      <c r="B434" s="0" t="s">
        <v>1935</v>
      </c>
      <c r="C434" s="0" t="s">
        <v>1936</v>
      </c>
      <c r="D434" s="0" t="s">
        <v>1937</v>
      </c>
      <c r="E434" s="0" t="s">
        <v>1938</v>
      </c>
    </row>
    <row r="435" customFormat="false" ht="15" hidden="false" customHeight="false" outlineLevel="0" collapsed="false">
      <c r="A435" s="0" t="n">
        <v>433</v>
      </c>
      <c r="B435" s="0" t="s">
        <v>1939</v>
      </c>
      <c r="C435" s="0" t="s">
        <v>1940</v>
      </c>
      <c r="D435" s="0" t="s">
        <v>1941</v>
      </c>
      <c r="E435" s="0" t="s">
        <v>1942</v>
      </c>
    </row>
    <row r="436" customFormat="false" ht="15" hidden="false" customHeight="false" outlineLevel="0" collapsed="false">
      <c r="A436" s="0" t="n">
        <v>434</v>
      </c>
      <c r="B436" s="0" t="s">
        <v>1943</v>
      </c>
      <c r="C436" s="0" t="s">
        <v>1944</v>
      </c>
      <c r="D436" s="0" t="s">
        <v>1945</v>
      </c>
      <c r="E436" s="0" t="s">
        <v>1946</v>
      </c>
    </row>
    <row r="437" customFormat="false" ht="15" hidden="false" customHeight="false" outlineLevel="0" collapsed="false">
      <c r="A437" s="0" t="n">
        <v>435</v>
      </c>
      <c r="B437" s="0" t="s">
        <v>1947</v>
      </c>
      <c r="C437" s="0" t="s">
        <v>1948</v>
      </c>
      <c r="D437" s="0" t="s">
        <v>1949</v>
      </c>
      <c r="E437" s="0" t="s">
        <v>1950</v>
      </c>
    </row>
    <row r="438" customFormat="false" ht="15" hidden="false" customHeight="false" outlineLevel="0" collapsed="false">
      <c r="A438" s="0" t="n">
        <v>436</v>
      </c>
      <c r="B438" s="0" t="s">
        <v>1951</v>
      </c>
      <c r="C438" s="0" t="s">
        <v>1952</v>
      </c>
      <c r="D438" s="0" t="s">
        <v>1953</v>
      </c>
      <c r="E438" s="0" t="s">
        <v>1954</v>
      </c>
    </row>
    <row r="439" customFormat="false" ht="15" hidden="false" customHeight="false" outlineLevel="0" collapsed="false">
      <c r="A439" s="0" t="n">
        <v>437</v>
      </c>
      <c r="B439" s="0" t="s">
        <v>1955</v>
      </c>
      <c r="C439" s="0" t="s">
        <v>1956</v>
      </c>
      <c r="D439" s="0" t="s">
        <v>1957</v>
      </c>
      <c r="E439" s="0" t="s">
        <v>1958</v>
      </c>
    </row>
    <row r="440" customFormat="false" ht="15" hidden="false" customHeight="false" outlineLevel="0" collapsed="false">
      <c r="A440" s="0" t="n">
        <v>438</v>
      </c>
      <c r="B440" s="0" t="s">
        <v>1959</v>
      </c>
      <c r="C440" s="0" t="s">
        <v>1960</v>
      </c>
      <c r="D440" s="0" t="s">
        <v>1961</v>
      </c>
      <c r="E440" s="0" t="s">
        <v>1962</v>
      </c>
    </row>
    <row r="441" customFormat="false" ht="15" hidden="false" customHeight="false" outlineLevel="0" collapsed="false">
      <c r="A441" s="0" t="n">
        <v>439</v>
      </c>
      <c r="B441" s="0" t="s">
        <v>1963</v>
      </c>
      <c r="C441" s="0" t="s">
        <v>1964</v>
      </c>
      <c r="D441" s="0" t="s">
        <v>1965</v>
      </c>
      <c r="E441" s="0" t="s">
        <v>1966</v>
      </c>
    </row>
    <row r="442" customFormat="false" ht="15" hidden="false" customHeight="false" outlineLevel="0" collapsed="false">
      <c r="A442" s="0" t="n">
        <v>440</v>
      </c>
      <c r="B442" s="0" t="s">
        <v>1967</v>
      </c>
      <c r="C442" s="0" t="s">
        <v>1968</v>
      </c>
      <c r="D442" s="0" t="s">
        <v>1969</v>
      </c>
      <c r="E442" s="0" t="s">
        <v>1970</v>
      </c>
    </row>
    <row r="443" customFormat="false" ht="15" hidden="false" customHeight="false" outlineLevel="0" collapsed="false">
      <c r="A443" s="0" t="n">
        <v>441</v>
      </c>
      <c r="B443" s="0" t="s">
        <v>1971</v>
      </c>
      <c r="C443" s="0" t="s">
        <v>1972</v>
      </c>
      <c r="D443" s="0" t="s">
        <v>1973</v>
      </c>
      <c r="E443" s="0" t="s">
        <v>1974</v>
      </c>
    </row>
    <row r="444" customFormat="false" ht="15" hidden="false" customHeight="false" outlineLevel="0" collapsed="false">
      <c r="A444" s="0" t="n">
        <v>442</v>
      </c>
      <c r="B444" s="0" t="s">
        <v>1975</v>
      </c>
      <c r="C444" s="0" t="s">
        <v>1976</v>
      </c>
      <c r="D444" s="0" t="s">
        <v>1977</v>
      </c>
      <c r="E444" s="0" t="s">
        <v>1978</v>
      </c>
    </row>
    <row r="445" customFormat="false" ht="15" hidden="false" customHeight="false" outlineLevel="0" collapsed="false">
      <c r="A445" s="0" t="n">
        <v>443</v>
      </c>
      <c r="B445" s="0" t="s">
        <v>1979</v>
      </c>
      <c r="C445" s="0" t="s">
        <v>1980</v>
      </c>
      <c r="D445" s="0" t="s">
        <v>1981</v>
      </c>
      <c r="E445" s="0" t="s">
        <v>1982</v>
      </c>
    </row>
    <row r="446" customFormat="false" ht="15" hidden="false" customHeight="false" outlineLevel="0" collapsed="false">
      <c r="A446" s="0" t="n">
        <v>444</v>
      </c>
      <c r="B446" s="0" t="s">
        <v>1983</v>
      </c>
      <c r="C446" s="0" t="s">
        <v>1984</v>
      </c>
      <c r="D446" s="0" t="s">
        <v>1985</v>
      </c>
      <c r="E446" s="0" t="s">
        <v>1986</v>
      </c>
    </row>
    <row r="447" customFormat="false" ht="15" hidden="false" customHeight="false" outlineLevel="0" collapsed="false">
      <c r="A447" s="0" t="n">
        <v>445</v>
      </c>
      <c r="B447" s="0" t="s">
        <v>1987</v>
      </c>
      <c r="C447" s="0" t="s">
        <v>1988</v>
      </c>
      <c r="D447" s="0" t="s">
        <v>1989</v>
      </c>
      <c r="E447" s="0" t="s">
        <v>1990</v>
      </c>
    </row>
    <row r="448" customFormat="false" ht="15" hidden="false" customHeight="false" outlineLevel="0" collapsed="false">
      <c r="A448" s="0" t="n">
        <v>446</v>
      </c>
      <c r="B448" s="0" t="s">
        <v>1991</v>
      </c>
      <c r="C448" s="0" t="s">
        <v>1992</v>
      </c>
      <c r="D448" s="0" t="s">
        <v>1993</v>
      </c>
      <c r="E448" s="0" t="s">
        <v>1994</v>
      </c>
    </row>
    <row r="449" customFormat="false" ht="15" hidden="false" customHeight="false" outlineLevel="0" collapsed="false">
      <c r="A449" s="0" t="n">
        <v>447</v>
      </c>
      <c r="B449" s="0" t="s">
        <v>1995</v>
      </c>
      <c r="C449" s="0" t="s">
        <v>1996</v>
      </c>
      <c r="D449" s="0" t="s">
        <v>1997</v>
      </c>
      <c r="E449" s="0" t="s">
        <v>1998</v>
      </c>
    </row>
    <row r="450" customFormat="false" ht="15" hidden="false" customHeight="false" outlineLevel="0" collapsed="false">
      <c r="A450" s="0" t="n">
        <v>448</v>
      </c>
      <c r="B450" s="0" t="s">
        <v>1999</v>
      </c>
      <c r="C450" s="0" t="s">
        <v>2000</v>
      </c>
      <c r="D450" s="0" t="s">
        <v>2001</v>
      </c>
      <c r="E450" s="0" t="s">
        <v>2002</v>
      </c>
    </row>
    <row r="451" customFormat="false" ht="15" hidden="false" customHeight="false" outlineLevel="0" collapsed="false">
      <c r="A451" s="0" t="n">
        <v>449</v>
      </c>
      <c r="B451" s="0" t="s">
        <v>2003</v>
      </c>
      <c r="C451" s="0" t="s">
        <v>2004</v>
      </c>
      <c r="D451" s="0" t="s">
        <v>2005</v>
      </c>
      <c r="E451" s="0" t="s">
        <v>2006</v>
      </c>
    </row>
    <row r="452" customFormat="false" ht="15" hidden="false" customHeight="false" outlineLevel="0" collapsed="false">
      <c r="A452" s="0" t="n">
        <v>450</v>
      </c>
      <c r="B452" s="0" t="s">
        <v>2007</v>
      </c>
      <c r="C452" s="0" t="s">
        <v>2008</v>
      </c>
      <c r="D452" s="0" t="s">
        <v>2009</v>
      </c>
      <c r="E452" s="0" t="s">
        <v>2010</v>
      </c>
    </row>
    <row r="453" customFormat="false" ht="15" hidden="false" customHeight="false" outlineLevel="0" collapsed="false">
      <c r="A453" s="0" t="n">
        <v>451</v>
      </c>
      <c r="B453" s="0" t="s">
        <v>2011</v>
      </c>
      <c r="C453" s="0" t="s">
        <v>2012</v>
      </c>
      <c r="D453" s="0" t="s">
        <v>2013</v>
      </c>
      <c r="E453" s="0" t="s">
        <v>2014</v>
      </c>
    </row>
    <row r="454" customFormat="false" ht="15" hidden="false" customHeight="false" outlineLevel="0" collapsed="false">
      <c r="A454" s="0" t="n">
        <v>452</v>
      </c>
      <c r="B454" s="0" t="s">
        <v>2015</v>
      </c>
      <c r="C454" s="0" t="s">
        <v>2016</v>
      </c>
      <c r="D454" s="0" t="s">
        <v>2017</v>
      </c>
      <c r="E454" s="0" t="s">
        <v>2018</v>
      </c>
    </row>
    <row r="455" customFormat="false" ht="15" hidden="false" customHeight="false" outlineLevel="0" collapsed="false">
      <c r="A455" s="0" t="n">
        <v>453</v>
      </c>
      <c r="B455" s="0" t="s">
        <v>2019</v>
      </c>
      <c r="C455" s="0" t="s">
        <v>2020</v>
      </c>
      <c r="D455" s="0" t="s">
        <v>2021</v>
      </c>
      <c r="E455" s="0" t="s">
        <v>2022</v>
      </c>
    </row>
    <row r="456" customFormat="false" ht="15" hidden="false" customHeight="false" outlineLevel="0" collapsed="false">
      <c r="A456" s="0" t="n">
        <v>454</v>
      </c>
      <c r="B456" s="0" t="s">
        <v>2023</v>
      </c>
      <c r="C456" s="0" t="s">
        <v>2024</v>
      </c>
      <c r="D456" s="0" t="s">
        <v>2025</v>
      </c>
      <c r="E456" s="0" t="s">
        <v>2026</v>
      </c>
    </row>
    <row r="457" customFormat="false" ht="15" hidden="false" customHeight="false" outlineLevel="0" collapsed="false">
      <c r="A457" s="0" t="n">
        <v>455</v>
      </c>
      <c r="B457" s="0" t="s">
        <v>2027</v>
      </c>
      <c r="C457" s="0" t="s">
        <v>2028</v>
      </c>
      <c r="D457" s="0" t="s">
        <v>2029</v>
      </c>
      <c r="E457" s="0" t="s">
        <v>2030</v>
      </c>
    </row>
    <row r="458" customFormat="false" ht="15" hidden="false" customHeight="false" outlineLevel="0" collapsed="false">
      <c r="A458" s="0" t="n">
        <v>456</v>
      </c>
      <c r="B458" s="0" t="s">
        <v>2031</v>
      </c>
      <c r="C458" s="0" t="s">
        <v>2032</v>
      </c>
      <c r="D458" s="0" t="s">
        <v>2033</v>
      </c>
      <c r="E458" s="0" t="s">
        <v>2034</v>
      </c>
    </row>
    <row r="459" customFormat="false" ht="15" hidden="false" customHeight="false" outlineLevel="0" collapsed="false">
      <c r="A459" s="0" t="n">
        <v>457</v>
      </c>
      <c r="B459" s="0" t="s">
        <v>2035</v>
      </c>
      <c r="C459" s="0" t="s">
        <v>2036</v>
      </c>
      <c r="D459" s="0" t="s">
        <v>2037</v>
      </c>
      <c r="E459" s="0" t="s">
        <v>2038</v>
      </c>
    </row>
    <row r="460" customFormat="false" ht="15" hidden="false" customHeight="false" outlineLevel="0" collapsed="false">
      <c r="A460" s="0" t="n">
        <v>458</v>
      </c>
      <c r="B460" s="0" t="s">
        <v>2039</v>
      </c>
      <c r="C460" s="0" t="s">
        <v>2040</v>
      </c>
      <c r="D460" s="0" t="s">
        <v>2041</v>
      </c>
      <c r="E460" s="0" t="s">
        <v>2042</v>
      </c>
    </row>
    <row r="461" customFormat="false" ht="15" hidden="false" customHeight="false" outlineLevel="0" collapsed="false">
      <c r="A461" s="0" t="n">
        <v>459</v>
      </c>
      <c r="B461" s="0" t="s">
        <v>2043</v>
      </c>
      <c r="C461" s="0" t="s">
        <v>2044</v>
      </c>
      <c r="D461" s="0" t="s">
        <v>2045</v>
      </c>
      <c r="E461" s="0" t="s">
        <v>2046</v>
      </c>
    </row>
    <row r="462" customFormat="false" ht="15" hidden="false" customHeight="false" outlineLevel="0" collapsed="false">
      <c r="A462" s="0" t="n">
        <v>460</v>
      </c>
      <c r="B462" s="0" t="s">
        <v>2047</v>
      </c>
      <c r="C462" s="0" t="s">
        <v>2048</v>
      </c>
      <c r="D462" s="0" t="s">
        <v>2049</v>
      </c>
      <c r="E462" s="0" t="s">
        <v>2050</v>
      </c>
    </row>
    <row r="463" customFormat="false" ht="15" hidden="false" customHeight="false" outlineLevel="0" collapsed="false">
      <c r="A463" s="0" t="n">
        <v>461</v>
      </c>
      <c r="B463" s="0" t="s">
        <v>2051</v>
      </c>
      <c r="C463" s="0" t="s">
        <v>2052</v>
      </c>
      <c r="D463" s="0" t="s">
        <v>2053</v>
      </c>
      <c r="E463" s="0" t="s">
        <v>2054</v>
      </c>
    </row>
    <row r="464" customFormat="false" ht="15" hidden="false" customHeight="false" outlineLevel="0" collapsed="false">
      <c r="A464" s="0" t="n">
        <v>462</v>
      </c>
      <c r="B464" s="0" t="s">
        <v>2055</v>
      </c>
      <c r="C464" s="0" t="s">
        <v>2056</v>
      </c>
      <c r="D464" s="0" t="s">
        <v>2057</v>
      </c>
      <c r="E464" s="0" t="s">
        <v>2058</v>
      </c>
    </row>
    <row r="465" customFormat="false" ht="15" hidden="false" customHeight="false" outlineLevel="0" collapsed="false">
      <c r="A465" s="0" t="n">
        <v>463</v>
      </c>
      <c r="B465" s="0" t="s">
        <v>2059</v>
      </c>
      <c r="C465" s="0" t="s">
        <v>2060</v>
      </c>
      <c r="D465" s="0" t="s">
        <v>2061</v>
      </c>
      <c r="E465" s="0" t="s">
        <v>2062</v>
      </c>
    </row>
    <row r="466" customFormat="false" ht="15" hidden="false" customHeight="false" outlineLevel="0" collapsed="false">
      <c r="A466" s="0" t="n">
        <v>464</v>
      </c>
      <c r="B466" s="0" t="s">
        <v>2063</v>
      </c>
      <c r="C466" s="0" t="s">
        <v>2064</v>
      </c>
      <c r="D466" s="0" t="s">
        <v>2065</v>
      </c>
      <c r="E466" s="0" t="s">
        <v>2066</v>
      </c>
    </row>
    <row r="467" customFormat="false" ht="15" hidden="false" customHeight="false" outlineLevel="0" collapsed="false">
      <c r="A467" s="0" t="n">
        <v>465</v>
      </c>
      <c r="B467" s="0" t="s">
        <v>2067</v>
      </c>
      <c r="C467" s="0" t="s">
        <v>2068</v>
      </c>
      <c r="D467" s="0" t="s">
        <v>2069</v>
      </c>
      <c r="E467" s="0" t="s">
        <v>2070</v>
      </c>
    </row>
    <row r="468" customFormat="false" ht="15" hidden="false" customHeight="false" outlineLevel="0" collapsed="false">
      <c r="A468" s="0" t="n">
        <v>466</v>
      </c>
      <c r="B468" s="0" t="s">
        <v>2071</v>
      </c>
      <c r="C468" s="0" t="s">
        <v>2072</v>
      </c>
      <c r="D468" s="0" t="s">
        <v>2073</v>
      </c>
      <c r="E468" s="0" t="s">
        <v>2074</v>
      </c>
    </row>
    <row r="469" customFormat="false" ht="15" hidden="false" customHeight="false" outlineLevel="0" collapsed="false">
      <c r="A469" s="0" t="n">
        <v>467</v>
      </c>
      <c r="B469" s="0" t="s">
        <v>2075</v>
      </c>
      <c r="C469" s="0" t="s">
        <v>2076</v>
      </c>
      <c r="D469" s="0" t="s">
        <v>2077</v>
      </c>
      <c r="E469" s="0" t="s">
        <v>2078</v>
      </c>
    </row>
    <row r="470" customFormat="false" ht="15" hidden="false" customHeight="false" outlineLevel="0" collapsed="false">
      <c r="A470" s="0" t="n">
        <v>468</v>
      </c>
      <c r="B470" s="0" t="s">
        <v>2079</v>
      </c>
      <c r="C470" s="0" t="s">
        <v>2080</v>
      </c>
      <c r="D470" s="0" t="s">
        <v>2081</v>
      </c>
      <c r="E470" s="0" t="s">
        <v>2082</v>
      </c>
    </row>
    <row r="471" customFormat="false" ht="15" hidden="false" customHeight="false" outlineLevel="0" collapsed="false">
      <c r="A471" s="0" t="n">
        <v>469</v>
      </c>
      <c r="B471" s="0" t="s">
        <v>2083</v>
      </c>
      <c r="C471" s="0" t="s">
        <v>2084</v>
      </c>
      <c r="D471" s="0" t="s">
        <v>2085</v>
      </c>
      <c r="E471" s="0" t="s">
        <v>2086</v>
      </c>
    </row>
    <row r="472" customFormat="false" ht="15" hidden="false" customHeight="false" outlineLevel="0" collapsed="false">
      <c r="A472" s="0" t="n">
        <v>470</v>
      </c>
      <c r="B472" s="0" t="s">
        <v>2087</v>
      </c>
      <c r="C472" s="0" t="s">
        <v>2088</v>
      </c>
      <c r="D472" s="0" t="s">
        <v>2089</v>
      </c>
      <c r="E472" s="0" t="s">
        <v>2090</v>
      </c>
    </row>
    <row r="473" customFormat="false" ht="15" hidden="false" customHeight="false" outlineLevel="0" collapsed="false">
      <c r="A473" s="0" t="n">
        <v>471</v>
      </c>
      <c r="B473" s="0" t="s">
        <v>2091</v>
      </c>
      <c r="C473" s="0" t="s">
        <v>2092</v>
      </c>
      <c r="D473" s="0" t="s">
        <v>2093</v>
      </c>
      <c r="E473" s="0" t="s">
        <v>2094</v>
      </c>
    </row>
    <row r="474" customFormat="false" ht="15" hidden="false" customHeight="false" outlineLevel="0" collapsed="false">
      <c r="A474" s="0" t="n">
        <v>472</v>
      </c>
      <c r="B474" s="0" t="s">
        <v>2095</v>
      </c>
      <c r="C474" s="0" t="s">
        <v>2096</v>
      </c>
      <c r="D474" s="0" t="s">
        <v>2097</v>
      </c>
      <c r="E474" s="0" t="s">
        <v>2098</v>
      </c>
    </row>
    <row r="475" customFormat="false" ht="15" hidden="false" customHeight="false" outlineLevel="0" collapsed="false">
      <c r="A475" s="0" t="n">
        <v>473</v>
      </c>
      <c r="B475" s="0" t="s">
        <v>2099</v>
      </c>
      <c r="C475" s="0" t="s">
        <v>2100</v>
      </c>
      <c r="D475" s="0" t="s">
        <v>2101</v>
      </c>
      <c r="E475" s="0" t="s">
        <v>2102</v>
      </c>
    </row>
    <row r="476" customFormat="false" ht="15" hidden="false" customHeight="false" outlineLevel="0" collapsed="false">
      <c r="A476" s="0" t="n">
        <v>474</v>
      </c>
      <c r="B476" s="0" t="s">
        <v>2103</v>
      </c>
      <c r="C476" s="0" t="s">
        <v>2104</v>
      </c>
      <c r="D476" s="0" t="s">
        <v>2105</v>
      </c>
      <c r="E476" s="0" t="s">
        <v>2106</v>
      </c>
    </row>
    <row r="477" customFormat="false" ht="15" hidden="false" customHeight="false" outlineLevel="0" collapsed="false">
      <c r="A477" s="0" t="n">
        <v>475</v>
      </c>
      <c r="B477" s="0" t="s">
        <v>2107</v>
      </c>
      <c r="C477" s="0" t="s">
        <v>2108</v>
      </c>
      <c r="D477" s="0" t="s">
        <v>2109</v>
      </c>
      <c r="E477" s="0" t="s">
        <v>2110</v>
      </c>
    </row>
    <row r="478" customFormat="false" ht="15" hidden="false" customHeight="false" outlineLevel="0" collapsed="false">
      <c r="A478" s="0" t="n">
        <v>476</v>
      </c>
      <c r="B478" s="0" t="s">
        <v>2111</v>
      </c>
      <c r="C478" s="0" t="s">
        <v>2112</v>
      </c>
      <c r="D478" s="0" t="s">
        <v>2113</v>
      </c>
      <c r="E478" s="0" t="s">
        <v>2114</v>
      </c>
    </row>
    <row r="479" customFormat="false" ht="15" hidden="false" customHeight="false" outlineLevel="0" collapsed="false">
      <c r="A479" s="0" t="n">
        <v>477</v>
      </c>
      <c r="B479" s="0" t="s">
        <v>2115</v>
      </c>
      <c r="C479" s="0" t="s">
        <v>2116</v>
      </c>
      <c r="D479" s="0" t="s">
        <v>2117</v>
      </c>
      <c r="E479" s="0" t="s">
        <v>2118</v>
      </c>
    </row>
    <row r="480" customFormat="false" ht="15" hidden="false" customHeight="false" outlineLevel="0" collapsed="false">
      <c r="A480" s="0" t="n">
        <v>478</v>
      </c>
      <c r="B480" s="0" t="s">
        <v>2119</v>
      </c>
      <c r="C480" s="0" t="s">
        <v>2120</v>
      </c>
      <c r="D480" s="0" t="s">
        <v>2121</v>
      </c>
      <c r="E480" s="0" t="s">
        <v>2122</v>
      </c>
    </row>
    <row r="481" customFormat="false" ht="15" hidden="false" customHeight="false" outlineLevel="0" collapsed="false">
      <c r="A481" s="0" t="n">
        <v>479</v>
      </c>
      <c r="B481" s="0" t="s">
        <v>2123</v>
      </c>
      <c r="C481" s="0" t="s">
        <v>2124</v>
      </c>
      <c r="D481" s="0" t="s">
        <v>2125</v>
      </c>
      <c r="E481" s="0" t="s">
        <v>2126</v>
      </c>
    </row>
    <row r="482" customFormat="false" ht="15" hidden="false" customHeight="false" outlineLevel="0" collapsed="false">
      <c r="A482" s="0" t="n">
        <v>480</v>
      </c>
      <c r="B482" s="0" t="s">
        <v>2127</v>
      </c>
      <c r="C482" s="0" t="s">
        <v>2128</v>
      </c>
      <c r="D482" s="0" t="s">
        <v>2129</v>
      </c>
      <c r="E482" s="0" t="s">
        <v>2130</v>
      </c>
    </row>
    <row r="483" customFormat="false" ht="15" hidden="false" customHeight="false" outlineLevel="0" collapsed="false">
      <c r="A483" s="0" t="n">
        <v>481</v>
      </c>
      <c r="B483" s="0" t="s">
        <v>2131</v>
      </c>
      <c r="C483" s="0" t="s">
        <v>2132</v>
      </c>
      <c r="D483" s="0" t="s">
        <v>2133</v>
      </c>
      <c r="E483" s="0" t="s">
        <v>2134</v>
      </c>
    </row>
    <row r="484" customFormat="false" ht="15" hidden="false" customHeight="false" outlineLevel="0" collapsed="false">
      <c r="A484" s="0" t="n">
        <v>482</v>
      </c>
      <c r="B484" s="0" t="s">
        <v>2135</v>
      </c>
      <c r="C484" s="0" t="s">
        <v>2136</v>
      </c>
      <c r="D484" s="0" t="s">
        <v>2137</v>
      </c>
      <c r="E484" s="0" t="s">
        <v>2138</v>
      </c>
    </row>
    <row r="485" customFormat="false" ht="15" hidden="false" customHeight="false" outlineLevel="0" collapsed="false">
      <c r="A485" s="0" t="n">
        <v>483</v>
      </c>
      <c r="B485" s="0" t="s">
        <v>2139</v>
      </c>
      <c r="C485" s="0" t="s">
        <v>2140</v>
      </c>
      <c r="D485" s="0" t="s">
        <v>2141</v>
      </c>
      <c r="E485" s="0" t="s">
        <v>2142</v>
      </c>
    </row>
    <row r="486" customFormat="false" ht="15" hidden="false" customHeight="false" outlineLevel="0" collapsed="false">
      <c r="A486" s="0" t="n">
        <v>484</v>
      </c>
      <c r="B486" s="0" t="s">
        <v>2143</v>
      </c>
      <c r="C486" s="0" t="s">
        <v>2144</v>
      </c>
      <c r="D486" s="0" t="s">
        <v>2145</v>
      </c>
      <c r="E486" s="0" t="s">
        <v>2146</v>
      </c>
    </row>
    <row r="487" customFormat="false" ht="15" hidden="false" customHeight="false" outlineLevel="0" collapsed="false">
      <c r="A487" s="0" t="n">
        <v>485</v>
      </c>
      <c r="B487" s="0" t="s">
        <v>2147</v>
      </c>
      <c r="C487" s="0" t="s">
        <v>2148</v>
      </c>
      <c r="D487" s="0" t="s">
        <v>2149</v>
      </c>
      <c r="E487" s="0" t="s">
        <v>2150</v>
      </c>
    </row>
    <row r="488" customFormat="false" ht="15" hidden="false" customHeight="false" outlineLevel="0" collapsed="false">
      <c r="A488" s="0" t="n">
        <v>486</v>
      </c>
      <c r="B488" s="0" t="s">
        <v>2151</v>
      </c>
      <c r="C488" s="0" t="s">
        <v>2152</v>
      </c>
      <c r="D488" s="0" t="s">
        <v>2153</v>
      </c>
      <c r="E488" s="0" t="s">
        <v>2154</v>
      </c>
    </row>
    <row r="489" customFormat="false" ht="15" hidden="false" customHeight="false" outlineLevel="0" collapsed="false">
      <c r="A489" s="0" t="n">
        <v>487</v>
      </c>
      <c r="B489" s="0" t="s">
        <v>2155</v>
      </c>
      <c r="C489" s="0" t="s">
        <v>2156</v>
      </c>
      <c r="D489" s="0" t="s">
        <v>2157</v>
      </c>
      <c r="E489" s="0" t="s">
        <v>2158</v>
      </c>
    </row>
    <row r="490" customFormat="false" ht="15" hidden="false" customHeight="false" outlineLevel="0" collapsed="false">
      <c r="A490" s="0" t="n">
        <v>488</v>
      </c>
      <c r="B490" s="0" t="s">
        <v>2159</v>
      </c>
      <c r="C490" s="0" t="s">
        <v>2160</v>
      </c>
      <c r="D490" s="0" t="s">
        <v>2161</v>
      </c>
      <c r="E490" s="0" t="s">
        <v>2162</v>
      </c>
    </row>
    <row r="491" customFormat="false" ht="15" hidden="false" customHeight="false" outlineLevel="0" collapsed="false">
      <c r="A491" s="0" t="n">
        <v>489</v>
      </c>
      <c r="B491" s="0" t="s">
        <v>2163</v>
      </c>
      <c r="C491" s="0" t="s">
        <v>2164</v>
      </c>
      <c r="D491" s="0" t="s">
        <v>2165</v>
      </c>
      <c r="E491" s="0" t="s">
        <v>2166</v>
      </c>
    </row>
    <row r="492" customFormat="false" ht="15" hidden="false" customHeight="false" outlineLevel="0" collapsed="false">
      <c r="A492" s="0" t="n">
        <v>490</v>
      </c>
      <c r="B492" s="0" t="s">
        <v>2167</v>
      </c>
      <c r="C492" s="0" t="s">
        <v>2168</v>
      </c>
      <c r="D492" s="0" t="s">
        <v>2169</v>
      </c>
      <c r="E492" s="0" t="s">
        <v>2170</v>
      </c>
    </row>
    <row r="493" customFormat="false" ht="15" hidden="false" customHeight="false" outlineLevel="0" collapsed="false">
      <c r="A493" s="0" t="n">
        <v>491</v>
      </c>
      <c r="B493" s="0" t="s">
        <v>2171</v>
      </c>
      <c r="C493" s="0" t="s">
        <v>2172</v>
      </c>
      <c r="D493" s="0" t="s">
        <v>2173</v>
      </c>
      <c r="E493" s="0" t="s">
        <v>2174</v>
      </c>
    </row>
    <row r="494" customFormat="false" ht="15" hidden="false" customHeight="false" outlineLevel="0" collapsed="false">
      <c r="A494" s="0" t="n">
        <v>492</v>
      </c>
      <c r="B494" s="0" t="s">
        <v>2175</v>
      </c>
      <c r="C494" s="0" t="s">
        <v>2176</v>
      </c>
      <c r="D494" s="0" t="s">
        <v>2177</v>
      </c>
      <c r="E494" s="0" t="s">
        <v>2178</v>
      </c>
    </row>
    <row r="495" customFormat="false" ht="15" hidden="false" customHeight="false" outlineLevel="0" collapsed="false">
      <c r="A495" s="0" t="n">
        <v>493</v>
      </c>
      <c r="B495" s="0" t="s">
        <v>2179</v>
      </c>
      <c r="C495" s="0" t="s">
        <v>2180</v>
      </c>
      <c r="D495" s="0" t="s">
        <v>2181</v>
      </c>
      <c r="E495" s="0" t="s">
        <v>2182</v>
      </c>
    </row>
    <row r="496" customFormat="false" ht="15" hidden="false" customHeight="false" outlineLevel="0" collapsed="false">
      <c r="A496" s="0" t="n">
        <v>494</v>
      </c>
      <c r="B496" s="0" t="s">
        <v>2183</v>
      </c>
      <c r="C496" s="0" t="s">
        <v>2184</v>
      </c>
      <c r="D496" s="0" t="s">
        <v>2185</v>
      </c>
      <c r="E496" s="0" t="s">
        <v>2186</v>
      </c>
    </row>
    <row r="497" customFormat="false" ht="15" hidden="false" customHeight="false" outlineLevel="0" collapsed="false">
      <c r="A497" s="0" t="n">
        <v>495</v>
      </c>
      <c r="B497" s="0" t="s">
        <v>2187</v>
      </c>
      <c r="C497" s="0" t="s">
        <v>2188</v>
      </c>
      <c r="D497" s="0" t="s">
        <v>2189</v>
      </c>
      <c r="E497" s="0" t="s">
        <v>2190</v>
      </c>
    </row>
    <row r="498" customFormat="false" ht="15" hidden="false" customHeight="false" outlineLevel="0" collapsed="false">
      <c r="A498" s="0" t="n">
        <v>496</v>
      </c>
      <c r="B498" s="0" t="s">
        <v>2191</v>
      </c>
      <c r="C498" s="0" t="s">
        <v>2192</v>
      </c>
      <c r="D498" s="0" t="s">
        <v>2193</v>
      </c>
      <c r="E498" s="0" t="s">
        <v>2194</v>
      </c>
    </row>
    <row r="499" customFormat="false" ht="15" hidden="false" customHeight="false" outlineLevel="0" collapsed="false">
      <c r="A499" s="0" t="n">
        <v>497</v>
      </c>
      <c r="B499" s="0" t="s">
        <v>2195</v>
      </c>
      <c r="C499" s="0" t="s">
        <v>2196</v>
      </c>
      <c r="D499" s="0" t="s">
        <v>2197</v>
      </c>
      <c r="E499" s="0" t="s">
        <v>2198</v>
      </c>
    </row>
    <row r="500" customFormat="false" ht="15" hidden="false" customHeight="false" outlineLevel="0" collapsed="false">
      <c r="A500" s="0" t="n">
        <v>498</v>
      </c>
      <c r="B500" s="0" t="s">
        <v>2199</v>
      </c>
      <c r="C500" s="0" t="s">
        <v>2200</v>
      </c>
      <c r="D500" s="0" t="s">
        <v>2201</v>
      </c>
      <c r="E500" s="0" t="s">
        <v>2202</v>
      </c>
    </row>
    <row r="501" customFormat="false" ht="15" hidden="false" customHeight="false" outlineLevel="0" collapsed="false">
      <c r="A501" s="0" t="n">
        <v>499</v>
      </c>
      <c r="B501" s="0" t="s">
        <v>2203</v>
      </c>
      <c r="C501" s="0" t="s">
        <v>2204</v>
      </c>
      <c r="D501" s="0" t="s">
        <v>2205</v>
      </c>
      <c r="E501" s="0" t="s">
        <v>2206</v>
      </c>
    </row>
    <row r="502" customFormat="false" ht="15" hidden="false" customHeight="false" outlineLevel="0" collapsed="false">
      <c r="A502" s="0" t="n">
        <v>500</v>
      </c>
      <c r="B502" s="0" t="s">
        <v>2207</v>
      </c>
      <c r="C502" s="0" t="s">
        <v>2208</v>
      </c>
      <c r="D502" s="0" t="s">
        <v>2209</v>
      </c>
      <c r="E502" s="0" t="s">
        <v>2210</v>
      </c>
    </row>
    <row r="503" customFormat="false" ht="15" hidden="false" customHeight="false" outlineLevel="0" collapsed="false">
      <c r="A503" s="0" t="n">
        <v>501</v>
      </c>
      <c r="B503" s="0" t="s">
        <v>2211</v>
      </c>
      <c r="C503" s="0" t="s">
        <v>2212</v>
      </c>
      <c r="D503" s="0" t="s">
        <v>2213</v>
      </c>
      <c r="E503" s="0" t="s">
        <v>2214</v>
      </c>
    </row>
    <row r="504" customFormat="false" ht="15" hidden="false" customHeight="false" outlineLevel="0" collapsed="false">
      <c r="A504" s="0" t="n">
        <v>502</v>
      </c>
      <c r="B504" s="0" t="s">
        <v>2215</v>
      </c>
      <c r="C504" s="0" t="s">
        <v>2216</v>
      </c>
      <c r="D504" s="0" t="s">
        <v>2217</v>
      </c>
      <c r="E504" s="0" t="s">
        <v>2218</v>
      </c>
    </row>
    <row r="505" customFormat="false" ht="15" hidden="false" customHeight="false" outlineLevel="0" collapsed="false">
      <c r="A505" s="0" t="n">
        <v>503</v>
      </c>
      <c r="B505" s="0" t="s">
        <v>2219</v>
      </c>
      <c r="C505" s="0" t="s">
        <v>2220</v>
      </c>
      <c r="D505" s="0" t="s">
        <v>2221</v>
      </c>
      <c r="E505" s="0" t="s">
        <v>2222</v>
      </c>
    </row>
    <row r="506" customFormat="false" ht="15" hidden="false" customHeight="false" outlineLevel="0" collapsed="false">
      <c r="A506" s="0" t="n">
        <v>504</v>
      </c>
      <c r="B506" s="0" t="s">
        <v>2223</v>
      </c>
      <c r="C506" s="0" t="s">
        <v>2224</v>
      </c>
      <c r="D506" s="0" t="s">
        <v>2225</v>
      </c>
      <c r="E506" s="0" t="s">
        <v>2226</v>
      </c>
    </row>
    <row r="507" customFormat="false" ht="15" hidden="false" customHeight="false" outlineLevel="0" collapsed="false">
      <c r="A507" s="0" t="n">
        <v>505</v>
      </c>
      <c r="B507" s="0" t="s">
        <v>2227</v>
      </c>
      <c r="C507" s="0" t="s">
        <v>2228</v>
      </c>
      <c r="D507" s="0" t="s">
        <v>2229</v>
      </c>
      <c r="E507" s="0" t="s">
        <v>2230</v>
      </c>
    </row>
    <row r="508" customFormat="false" ht="15" hidden="false" customHeight="false" outlineLevel="0" collapsed="false">
      <c r="A508" s="0" t="n">
        <v>506</v>
      </c>
      <c r="B508" s="0" t="s">
        <v>2231</v>
      </c>
      <c r="C508" s="0" t="s">
        <v>2232</v>
      </c>
      <c r="D508" s="0" t="s">
        <v>2233</v>
      </c>
      <c r="E508" s="0" t="s">
        <v>2234</v>
      </c>
    </row>
    <row r="509" customFormat="false" ht="15" hidden="false" customHeight="false" outlineLevel="0" collapsed="false">
      <c r="A509" s="0" t="n">
        <v>507</v>
      </c>
      <c r="B509" s="0" t="s">
        <v>2235</v>
      </c>
      <c r="C509" s="0" t="s">
        <v>2236</v>
      </c>
      <c r="D509" s="0" t="s">
        <v>2237</v>
      </c>
      <c r="E509" s="0" t="s">
        <v>2238</v>
      </c>
    </row>
    <row r="510" customFormat="false" ht="15" hidden="false" customHeight="false" outlineLevel="0" collapsed="false">
      <c r="A510" s="0" t="n">
        <v>508</v>
      </c>
      <c r="B510" s="0" t="s">
        <v>2239</v>
      </c>
      <c r="C510" s="0" t="s">
        <v>2240</v>
      </c>
      <c r="D510" s="0" t="s">
        <v>2241</v>
      </c>
      <c r="E510" s="0" t="s">
        <v>2242</v>
      </c>
    </row>
    <row r="511" customFormat="false" ht="15" hidden="false" customHeight="false" outlineLevel="0" collapsed="false">
      <c r="A511" s="0" t="n">
        <v>509</v>
      </c>
      <c r="B511" s="0" t="s">
        <v>2243</v>
      </c>
      <c r="C511" s="0" t="s">
        <v>2244</v>
      </c>
      <c r="D511" s="0" t="s">
        <v>2245</v>
      </c>
      <c r="E511" s="0" t="s">
        <v>2246</v>
      </c>
    </row>
    <row r="512" customFormat="false" ht="15" hidden="false" customHeight="false" outlineLevel="0" collapsed="false">
      <c r="A512" s="0" t="n">
        <v>510</v>
      </c>
      <c r="B512" s="0" t="s">
        <v>2247</v>
      </c>
      <c r="C512" s="0" t="s">
        <v>2248</v>
      </c>
      <c r="D512" s="0" t="s">
        <v>2249</v>
      </c>
      <c r="E512" s="0" t="s">
        <v>2250</v>
      </c>
    </row>
    <row r="513" customFormat="false" ht="15" hidden="false" customHeight="false" outlineLevel="0" collapsed="false">
      <c r="A513" s="0" t="n">
        <v>511</v>
      </c>
      <c r="B513" s="0" t="s">
        <v>2251</v>
      </c>
      <c r="C513" s="0" t="s">
        <v>2252</v>
      </c>
      <c r="D513" s="0" t="s">
        <v>2253</v>
      </c>
      <c r="E513" s="0" t="s">
        <v>2254</v>
      </c>
    </row>
    <row r="514" customFormat="false" ht="15" hidden="false" customHeight="false" outlineLevel="0" collapsed="false">
      <c r="A514" s="0" t="n">
        <v>512</v>
      </c>
      <c r="B514" s="0" t="s">
        <v>2255</v>
      </c>
      <c r="C514" s="0" t="s">
        <v>2256</v>
      </c>
      <c r="D514" s="0" t="s">
        <v>2257</v>
      </c>
      <c r="E514" s="0" t="s">
        <v>2258</v>
      </c>
    </row>
    <row r="515" customFormat="false" ht="15" hidden="false" customHeight="false" outlineLevel="0" collapsed="false">
      <c r="A515" s="0" t="n">
        <v>513</v>
      </c>
      <c r="B515" s="0" t="s">
        <v>2259</v>
      </c>
      <c r="C515" s="0" t="s">
        <v>2260</v>
      </c>
      <c r="D515" s="0" t="s">
        <v>2261</v>
      </c>
      <c r="E515" s="0" t="s">
        <v>2262</v>
      </c>
    </row>
    <row r="516" customFormat="false" ht="15" hidden="false" customHeight="false" outlineLevel="0" collapsed="false">
      <c r="A516" s="0" t="n">
        <v>514</v>
      </c>
      <c r="B516" s="0" t="s">
        <v>2263</v>
      </c>
      <c r="C516" s="0" t="s">
        <v>2264</v>
      </c>
      <c r="D516" s="0" t="s">
        <v>2265</v>
      </c>
      <c r="E516" s="0" t="s">
        <v>2266</v>
      </c>
    </row>
    <row r="517" customFormat="false" ht="15" hidden="false" customHeight="false" outlineLevel="0" collapsed="false">
      <c r="A517" s="0" t="n">
        <v>515</v>
      </c>
      <c r="B517" s="0" t="s">
        <v>2267</v>
      </c>
      <c r="C517" s="0" t="s">
        <v>2268</v>
      </c>
      <c r="D517" s="0" t="s">
        <v>2269</v>
      </c>
      <c r="E517" s="0" t="s">
        <v>2270</v>
      </c>
    </row>
    <row r="518" customFormat="false" ht="15" hidden="false" customHeight="false" outlineLevel="0" collapsed="false">
      <c r="A518" s="0" t="n">
        <v>516</v>
      </c>
      <c r="B518" s="0" t="s">
        <v>2271</v>
      </c>
      <c r="C518" s="0" t="s">
        <v>2272</v>
      </c>
      <c r="D518" s="0" t="s">
        <v>2273</v>
      </c>
      <c r="E518" s="0" t="s">
        <v>2274</v>
      </c>
    </row>
    <row r="519" customFormat="false" ht="15" hidden="false" customHeight="false" outlineLevel="0" collapsed="false">
      <c r="A519" s="0" t="n">
        <v>517</v>
      </c>
      <c r="B519" s="0" t="s">
        <v>2275</v>
      </c>
      <c r="C519" s="0" t="s">
        <v>2276</v>
      </c>
      <c r="D519" s="0" t="s">
        <v>2277</v>
      </c>
      <c r="E519" s="0" t="s">
        <v>2278</v>
      </c>
    </row>
    <row r="520" customFormat="false" ht="15" hidden="false" customHeight="false" outlineLevel="0" collapsed="false">
      <c r="A520" s="0" t="n">
        <v>518</v>
      </c>
      <c r="B520" s="0" t="s">
        <v>2279</v>
      </c>
      <c r="C520" s="0" t="s">
        <v>2280</v>
      </c>
      <c r="D520" s="0" t="s">
        <v>2281</v>
      </c>
      <c r="E520" s="0" t="s">
        <v>2282</v>
      </c>
    </row>
    <row r="521" customFormat="false" ht="15" hidden="false" customHeight="false" outlineLevel="0" collapsed="false">
      <c r="A521" s="0" t="n">
        <v>519</v>
      </c>
      <c r="B521" s="0" t="s">
        <v>2283</v>
      </c>
      <c r="C521" s="0" t="s">
        <v>2284</v>
      </c>
      <c r="D521" s="0" t="s">
        <v>2285</v>
      </c>
      <c r="E521" s="0" t="s">
        <v>2286</v>
      </c>
    </row>
    <row r="522" customFormat="false" ht="15" hidden="false" customHeight="false" outlineLevel="0" collapsed="false">
      <c r="A522" s="0" t="n">
        <v>520</v>
      </c>
      <c r="B522" s="0" t="s">
        <v>2287</v>
      </c>
      <c r="C522" s="0" t="s">
        <v>2288</v>
      </c>
      <c r="D522" s="0" t="s">
        <v>2289</v>
      </c>
      <c r="E522" s="0" t="s">
        <v>2290</v>
      </c>
    </row>
    <row r="523" customFormat="false" ht="15" hidden="false" customHeight="false" outlineLevel="0" collapsed="false">
      <c r="A523" s="0" t="n">
        <v>521</v>
      </c>
      <c r="B523" s="0" t="s">
        <v>2291</v>
      </c>
      <c r="C523" s="0" t="s">
        <v>2292</v>
      </c>
      <c r="D523" s="0" t="s">
        <v>2293</v>
      </c>
      <c r="E523" s="0" t="s">
        <v>2294</v>
      </c>
    </row>
    <row r="524" customFormat="false" ht="15" hidden="false" customHeight="false" outlineLevel="0" collapsed="false">
      <c r="A524" s="0" t="n">
        <v>522</v>
      </c>
      <c r="B524" s="0" t="s">
        <v>2295</v>
      </c>
      <c r="C524" s="0" t="s">
        <v>2296</v>
      </c>
      <c r="D524" s="0" t="s">
        <v>2297</v>
      </c>
      <c r="E524" s="0" t="s">
        <v>2298</v>
      </c>
    </row>
    <row r="525" customFormat="false" ht="15" hidden="false" customHeight="false" outlineLevel="0" collapsed="false">
      <c r="A525" s="0" t="n">
        <v>523</v>
      </c>
      <c r="B525" s="0" t="s">
        <v>2299</v>
      </c>
      <c r="C525" s="0" t="s">
        <v>2300</v>
      </c>
      <c r="D525" s="0" t="s">
        <v>2301</v>
      </c>
      <c r="E525" s="0" t="s">
        <v>2302</v>
      </c>
    </row>
    <row r="526" customFormat="false" ht="15" hidden="false" customHeight="false" outlineLevel="0" collapsed="false">
      <c r="A526" s="0" t="n">
        <v>524</v>
      </c>
      <c r="B526" s="0" t="s">
        <v>2303</v>
      </c>
      <c r="C526" s="0" t="s">
        <v>2304</v>
      </c>
      <c r="D526" s="0" t="s">
        <v>2305</v>
      </c>
      <c r="E526" s="0" t="s">
        <v>2306</v>
      </c>
    </row>
    <row r="527" customFormat="false" ht="15" hidden="false" customHeight="false" outlineLevel="0" collapsed="false">
      <c r="A527" s="0" t="n">
        <v>525</v>
      </c>
      <c r="B527" s="0" t="s">
        <v>2307</v>
      </c>
      <c r="C527" s="0" t="s">
        <v>2308</v>
      </c>
      <c r="D527" s="0" t="s">
        <v>2309</v>
      </c>
      <c r="E527" s="0" t="s">
        <v>2310</v>
      </c>
    </row>
    <row r="528" customFormat="false" ht="15" hidden="false" customHeight="false" outlineLevel="0" collapsed="false">
      <c r="A528" s="0" t="n">
        <v>526</v>
      </c>
      <c r="B528" s="0" t="s">
        <v>2311</v>
      </c>
      <c r="C528" s="0" t="s">
        <v>2312</v>
      </c>
      <c r="D528" s="0" t="s">
        <v>2313</v>
      </c>
      <c r="E528" s="0" t="s">
        <v>2314</v>
      </c>
    </row>
    <row r="529" customFormat="false" ht="15" hidden="false" customHeight="false" outlineLevel="0" collapsed="false">
      <c r="A529" s="0" t="n">
        <v>527</v>
      </c>
      <c r="B529" s="0" t="s">
        <v>2315</v>
      </c>
      <c r="C529" s="0" t="s">
        <v>2316</v>
      </c>
      <c r="D529" s="0" t="s">
        <v>2317</v>
      </c>
      <c r="E529" s="0" t="s">
        <v>2318</v>
      </c>
    </row>
    <row r="530" customFormat="false" ht="15" hidden="false" customHeight="false" outlineLevel="0" collapsed="false">
      <c r="A530" s="0" t="n">
        <v>528</v>
      </c>
      <c r="B530" s="0" t="s">
        <v>2319</v>
      </c>
      <c r="C530" s="0" t="s">
        <v>2320</v>
      </c>
      <c r="D530" s="0" t="s">
        <v>2321</v>
      </c>
      <c r="E530" s="0" t="s">
        <v>2322</v>
      </c>
    </row>
    <row r="531" customFormat="false" ht="15" hidden="false" customHeight="false" outlineLevel="0" collapsed="false">
      <c r="A531" s="0" t="n">
        <v>529</v>
      </c>
      <c r="B531" s="0" t="s">
        <v>2323</v>
      </c>
      <c r="C531" s="0" t="s">
        <v>2324</v>
      </c>
      <c r="D531" s="0" t="s">
        <v>2325</v>
      </c>
      <c r="E531" s="0" t="s">
        <v>2326</v>
      </c>
    </row>
    <row r="532" customFormat="false" ht="15" hidden="false" customHeight="false" outlineLevel="0" collapsed="false">
      <c r="A532" s="0" t="n">
        <v>530</v>
      </c>
      <c r="B532" s="0" t="s">
        <v>2327</v>
      </c>
      <c r="C532" s="0" t="s">
        <v>2328</v>
      </c>
      <c r="D532" s="0" t="s">
        <v>2329</v>
      </c>
      <c r="E532" s="0" t="s">
        <v>2330</v>
      </c>
    </row>
    <row r="533" customFormat="false" ht="15" hidden="false" customHeight="false" outlineLevel="0" collapsed="false">
      <c r="A533" s="0" t="n">
        <v>531</v>
      </c>
      <c r="B533" s="0" t="s">
        <v>2331</v>
      </c>
      <c r="C533" s="0" t="s">
        <v>2332</v>
      </c>
      <c r="D533" s="0" t="s">
        <v>2333</v>
      </c>
      <c r="E533" s="0" t="s">
        <v>2334</v>
      </c>
    </row>
    <row r="534" customFormat="false" ht="15" hidden="false" customHeight="false" outlineLevel="0" collapsed="false">
      <c r="A534" s="0" t="n">
        <v>532</v>
      </c>
      <c r="B534" s="0" t="s">
        <v>2335</v>
      </c>
      <c r="C534" s="0" t="s">
        <v>2336</v>
      </c>
      <c r="D534" s="0" t="s">
        <v>2337</v>
      </c>
      <c r="E534" s="0" t="s">
        <v>2338</v>
      </c>
    </row>
    <row r="535" customFormat="false" ht="15" hidden="false" customHeight="false" outlineLevel="0" collapsed="false">
      <c r="A535" s="0" t="n">
        <v>533</v>
      </c>
      <c r="B535" s="0" t="s">
        <v>2339</v>
      </c>
      <c r="C535" s="0" t="s">
        <v>2340</v>
      </c>
      <c r="D535" s="0" t="s">
        <v>2341</v>
      </c>
      <c r="E535" s="0" t="s">
        <v>2342</v>
      </c>
    </row>
    <row r="536" customFormat="false" ht="15" hidden="false" customHeight="false" outlineLevel="0" collapsed="false">
      <c r="A536" s="0" t="n">
        <v>534</v>
      </c>
      <c r="B536" s="0" t="s">
        <v>2343</v>
      </c>
      <c r="C536" s="0" t="s">
        <v>2344</v>
      </c>
      <c r="D536" s="0" t="s">
        <v>2345</v>
      </c>
      <c r="E536" s="0" t="s">
        <v>2346</v>
      </c>
    </row>
    <row r="537" customFormat="false" ht="15" hidden="false" customHeight="false" outlineLevel="0" collapsed="false">
      <c r="A537" s="0" t="n">
        <v>535</v>
      </c>
      <c r="B537" s="0" t="s">
        <v>2347</v>
      </c>
      <c r="C537" s="0" t="s">
        <v>2348</v>
      </c>
      <c r="D537" s="0" t="s">
        <v>2349</v>
      </c>
      <c r="E537" s="0" t="s">
        <v>2350</v>
      </c>
    </row>
    <row r="538" customFormat="false" ht="15" hidden="false" customHeight="false" outlineLevel="0" collapsed="false">
      <c r="A538" s="0" t="n">
        <v>536</v>
      </c>
      <c r="B538" s="0" t="s">
        <v>2351</v>
      </c>
      <c r="C538" s="0" t="s">
        <v>2352</v>
      </c>
      <c r="D538" s="0" t="s">
        <v>2353</v>
      </c>
      <c r="E538" s="0" t="s">
        <v>2354</v>
      </c>
    </row>
    <row r="539" customFormat="false" ht="15" hidden="false" customHeight="false" outlineLevel="0" collapsed="false">
      <c r="A539" s="0" t="n">
        <v>537</v>
      </c>
      <c r="B539" s="0" t="s">
        <v>2355</v>
      </c>
      <c r="C539" s="0" t="s">
        <v>2356</v>
      </c>
      <c r="D539" s="0" t="s">
        <v>2357</v>
      </c>
      <c r="E539" s="0" t="s">
        <v>2358</v>
      </c>
    </row>
    <row r="540" customFormat="false" ht="15" hidden="false" customHeight="false" outlineLevel="0" collapsed="false">
      <c r="A540" s="0" t="n">
        <v>538</v>
      </c>
      <c r="B540" s="0" t="s">
        <v>2359</v>
      </c>
      <c r="C540" s="0" t="s">
        <v>2360</v>
      </c>
      <c r="D540" s="0" t="s">
        <v>2361</v>
      </c>
      <c r="E540" s="0" t="s">
        <v>2362</v>
      </c>
    </row>
    <row r="541" customFormat="false" ht="15" hidden="false" customHeight="false" outlineLevel="0" collapsed="false">
      <c r="A541" s="0" t="n">
        <v>539</v>
      </c>
      <c r="B541" s="0" t="s">
        <v>2363</v>
      </c>
      <c r="C541" s="0" t="s">
        <v>2364</v>
      </c>
      <c r="D541" s="0" t="s">
        <v>2365</v>
      </c>
      <c r="E541" s="0" t="s">
        <v>2366</v>
      </c>
    </row>
    <row r="542" customFormat="false" ht="15" hidden="false" customHeight="false" outlineLevel="0" collapsed="false">
      <c r="A542" s="0" t="n">
        <v>540</v>
      </c>
      <c r="B542" s="0" t="s">
        <v>2367</v>
      </c>
      <c r="C542" s="0" t="s">
        <v>2368</v>
      </c>
      <c r="D542" s="0" t="s">
        <v>2369</v>
      </c>
      <c r="E542" s="0" t="s">
        <v>2370</v>
      </c>
    </row>
    <row r="543" customFormat="false" ht="15" hidden="false" customHeight="false" outlineLevel="0" collapsed="false">
      <c r="A543" s="0" t="n">
        <v>541</v>
      </c>
      <c r="B543" s="0" t="s">
        <v>2371</v>
      </c>
      <c r="C543" s="0" t="s">
        <v>2372</v>
      </c>
      <c r="D543" s="0" t="s">
        <v>2373</v>
      </c>
      <c r="E543" s="0" t="s">
        <v>2374</v>
      </c>
    </row>
    <row r="544" customFormat="false" ht="15" hidden="false" customHeight="false" outlineLevel="0" collapsed="false">
      <c r="A544" s="0" t="n">
        <v>542</v>
      </c>
      <c r="B544" s="0" t="s">
        <v>2375</v>
      </c>
      <c r="C544" s="0" t="s">
        <v>2376</v>
      </c>
      <c r="D544" s="0" t="s">
        <v>2377</v>
      </c>
      <c r="E544" s="0" t="s">
        <v>2378</v>
      </c>
    </row>
    <row r="545" customFormat="false" ht="15" hidden="false" customHeight="false" outlineLevel="0" collapsed="false">
      <c r="A545" s="0" t="n">
        <v>543</v>
      </c>
      <c r="B545" s="0" t="s">
        <v>2379</v>
      </c>
      <c r="C545" s="0" t="s">
        <v>2380</v>
      </c>
      <c r="D545" s="0" t="s">
        <v>2381</v>
      </c>
      <c r="E545" s="0" t="s">
        <v>2382</v>
      </c>
    </row>
    <row r="546" customFormat="false" ht="15" hidden="false" customHeight="false" outlineLevel="0" collapsed="false">
      <c r="A546" s="0" t="n">
        <v>544</v>
      </c>
      <c r="B546" s="0" t="s">
        <v>2383</v>
      </c>
      <c r="C546" s="0" t="s">
        <v>2384</v>
      </c>
      <c r="D546" s="0" t="s">
        <v>2385</v>
      </c>
      <c r="E546" s="0" t="s">
        <v>2386</v>
      </c>
    </row>
    <row r="547" customFormat="false" ht="15" hidden="false" customHeight="false" outlineLevel="0" collapsed="false">
      <c r="A547" s="0" t="n">
        <v>545</v>
      </c>
      <c r="B547" s="0" t="s">
        <v>2387</v>
      </c>
      <c r="C547" s="0" t="s">
        <v>2388</v>
      </c>
      <c r="D547" s="0" t="s">
        <v>2389</v>
      </c>
      <c r="E547" s="0" t="s">
        <v>2390</v>
      </c>
    </row>
    <row r="548" customFormat="false" ht="15" hidden="false" customHeight="false" outlineLevel="0" collapsed="false">
      <c r="A548" s="0" t="n">
        <v>546</v>
      </c>
      <c r="B548" s="0" t="s">
        <v>2391</v>
      </c>
      <c r="C548" s="0" t="s">
        <v>2392</v>
      </c>
      <c r="D548" s="0" t="s">
        <v>2393</v>
      </c>
      <c r="E548" s="0" t="s">
        <v>2394</v>
      </c>
    </row>
    <row r="549" customFormat="false" ht="15" hidden="false" customHeight="false" outlineLevel="0" collapsed="false">
      <c r="A549" s="0" t="n">
        <v>547</v>
      </c>
      <c r="B549" s="0" t="s">
        <v>2395</v>
      </c>
      <c r="C549" s="0" t="s">
        <v>2396</v>
      </c>
      <c r="D549" s="0" t="s">
        <v>2397</v>
      </c>
      <c r="E549" s="0" t="s">
        <v>2398</v>
      </c>
    </row>
    <row r="550" customFormat="false" ht="15" hidden="false" customHeight="false" outlineLevel="0" collapsed="false">
      <c r="A550" s="0" t="n">
        <v>548</v>
      </c>
      <c r="B550" s="0" t="s">
        <v>2399</v>
      </c>
      <c r="C550" s="0" t="s">
        <v>2400</v>
      </c>
      <c r="D550" s="0" t="s">
        <v>2401</v>
      </c>
      <c r="E550" s="0" t="s">
        <v>2402</v>
      </c>
    </row>
    <row r="551" customFormat="false" ht="15" hidden="false" customHeight="false" outlineLevel="0" collapsed="false">
      <c r="A551" s="0" t="n">
        <v>549</v>
      </c>
      <c r="B551" s="0" t="s">
        <v>2403</v>
      </c>
      <c r="C551" s="0" t="s">
        <v>2404</v>
      </c>
      <c r="D551" s="0" t="s">
        <v>2405</v>
      </c>
      <c r="E551" s="0" t="s">
        <v>2406</v>
      </c>
    </row>
    <row r="552" customFormat="false" ht="15" hidden="false" customHeight="false" outlineLevel="0" collapsed="false">
      <c r="A552" s="0" t="n">
        <v>550</v>
      </c>
      <c r="B552" s="0" t="s">
        <v>2407</v>
      </c>
      <c r="C552" s="0" t="s">
        <v>2408</v>
      </c>
      <c r="D552" s="0" t="s">
        <v>2409</v>
      </c>
      <c r="E552" s="0" t="s">
        <v>2410</v>
      </c>
    </row>
    <row r="553" customFormat="false" ht="15" hidden="false" customHeight="false" outlineLevel="0" collapsed="false">
      <c r="A553" s="0" t="n">
        <v>551</v>
      </c>
      <c r="B553" s="0" t="s">
        <v>2411</v>
      </c>
      <c r="C553" s="0" t="s">
        <v>2412</v>
      </c>
      <c r="D553" s="0" t="s">
        <v>2413</v>
      </c>
      <c r="E553" s="0" t="s">
        <v>2414</v>
      </c>
    </row>
    <row r="554" customFormat="false" ht="15" hidden="false" customHeight="false" outlineLevel="0" collapsed="false">
      <c r="A554" s="0" t="n">
        <v>552</v>
      </c>
      <c r="B554" s="0" t="s">
        <v>2415</v>
      </c>
      <c r="C554" s="0" t="s">
        <v>2416</v>
      </c>
      <c r="D554" s="0" t="s">
        <v>2417</v>
      </c>
      <c r="E554" s="0" t="s">
        <v>2418</v>
      </c>
    </row>
    <row r="555" customFormat="false" ht="15" hidden="false" customHeight="false" outlineLevel="0" collapsed="false">
      <c r="A555" s="0" t="n">
        <v>553</v>
      </c>
      <c r="B555" s="0" t="s">
        <v>2419</v>
      </c>
      <c r="C555" s="0" t="s">
        <v>2420</v>
      </c>
      <c r="D555" s="0" t="s">
        <v>2421</v>
      </c>
      <c r="E555" s="0" t="s">
        <v>2422</v>
      </c>
    </row>
    <row r="556" customFormat="false" ht="15" hidden="false" customHeight="false" outlineLevel="0" collapsed="false">
      <c r="A556" s="0" t="n">
        <v>554</v>
      </c>
      <c r="B556" s="0" t="s">
        <v>2423</v>
      </c>
      <c r="C556" s="0" t="s">
        <v>2424</v>
      </c>
      <c r="D556" s="0" t="s">
        <v>2425</v>
      </c>
      <c r="E556" s="0" t="s">
        <v>2426</v>
      </c>
    </row>
    <row r="557" customFormat="false" ht="15" hidden="false" customHeight="false" outlineLevel="0" collapsed="false">
      <c r="A557" s="0" t="n">
        <v>555</v>
      </c>
      <c r="B557" s="0" t="s">
        <v>2427</v>
      </c>
      <c r="C557" s="0" t="s">
        <v>2428</v>
      </c>
      <c r="D557" s="0" t="s">
        <v>2429</v>
      </c>
      <c r="E557" s="0" t="s">
        <v>2430</v>
      </c>
    </row>
    <row r="558" customFormat="false" ht="15" hidden="false" customHeight="false" outlineLevel="0" collapsed="false">
      <c r="A558" s="0" t="n">
        <v>556</v>
      </c>
      <c r="B558" s="0" t="s">
        <v>2431</v>
      </c>
      <c r="C558" s="0" t="s">
        <v>2432</v>
      </c>
      <c r="D558" s="0" t="s">
        <v>2433</v>
      </c>
      <c r="E558" s="0" t="s">
        <v>2434</v>
      </c>
    </row>
    <row r="559" customFormat="false" ht="15" hidden="false" customHeight="false" outlineLevel="0" collapsed="false">
      <c r="A559" s="0" t="n">
        <v>557</v>
      </c>
      <c r="B559" s="0" t="s">
        <v>2435</v>
      </c>
      <c r="C559" s="0" t="s">
        <v>2436</v>
      </c>
      <c r="D559" s="0" t="s">
        <v>2437</v>
      </c>
      <c r="E559" s="0" t="s">
        <v>2438</v>
      </c>
    </row>
    <row r="560" customFormat="false" ht="15" hidden="false" customHeight="false" outlineLevel="0" collapsed="false">
      <c r="A560" s="0" t="n">
        <v>558</v>
      </c>
      <c r="B560" s="0" t="s">
        <v>2439</v>
      </c>
      <c r="C560" s="0" t="s">
        <v>2440</v>
      </c>
      <c r="D560" s="0" t="s">
        <v>2441</v>
      </c>
      <c r="E560" s="0" t="s">
        <v>2442</v>
      </c>
    </row>
    <row r="561" customFormat="false" ht="15" hidden="false" customHeight="false" outlineLevel="0" collapsed="false">
      <c r="A561" s="0" t="n">
        <v>559</v>
      </c>
      <c r="B561" s="0" t="s">
        <v>2443</v>
      </c>
      <c r="C561" s="0" t="s">
        <v>2444</v>
      </c>
      <c r="D561" s="0" t="s">
        <v>2445</v>
      </c>
      <c r="E561" s="0" t="s">
        <v>2446</v>
      </c>
    </row>
    <row r="562" customFormat="false" ht="15" hidden="false" customHeight="false" outlineLevel="0" collapsed="false">
      <c r="A562" s="0" t="n">
        <v>560</v>
      </c>
      <c r="B562" s="0" t="s">
        <v>2447</v>
      </c>
      <c r="C562" s="0" t="s">
        <v>2448</v>
      </c>
      <c r="D562" s="0" t="s">
        <v>2449</v>
      </c>
      <c r="E562" s="0" t="s">
        <v>2450</v>
      </c>
    </row>
    <row r="563" customFormat="false" ht="15" hidden="false" customHeight="false" outlineLevel="0" collapsed="false">
      <c r="A563" s="0" t="n">
        <v>561</v>
      </c>
      <c r="B563" s="0" t="s">
        <v>2451</v>
      </c>
      <c r="C563" s="0" t="s">
        <v>2452</v>
      </c>
      <c r="D563" s="0" t="s">
        <v>2453</v>
      </c>
      <c r="E563" s="0" t="s">
        <v>2454</v>
      </c>
    </row>
    <row r="564" customFormat="false" ht="15" hidden="false" customHeight="false" outlineLevel="0" collapsed="false">
      <c r="A564" s="0" t="n">
        <v>562</v>
      </c>
      <c r="B564" s="0" t="s">
        <v>2455</v>
      </c>
      <c r="C564" s="0" t="s">
        <v>2456</v>
      </c>
      <c r="D564" s="0" t="s">
        <v>2457</v>
      </c>
      <c r="E564" s="0" t="s">
        <v>2458</v>
      </c>
    </row>
    <row r="565" customFormat="false" ht="15" hidden="false" customHeight="false" outlineLevel="0" collapsed="false">
      <c r="A565" s="0" t="n">
        <v>563</v>
      </c>
      <c r="B565" s="0" t="s">
        <v>2459</v>
      </c>
      <c r="C565" s="0" t="s">
        <v>2460</v>
      </c>
      <c r="D565" s="0" t="s">
        <v>2461</v>
      </c>
      <c r="E565" s="0" t="s">
        <v>2462</v>
      </c>
    </row>
    <row r="566" customFormat="false" ht="15" hidden="false" customHeight="false" outlineLevel="0" collapsed="false">
      <c r="A566" s="0" t="n">
        <v>564</v>
      </c>
      <c r="B566" s="0" t="s">
        <v>2463</v>
      </c>
      <c r="C566" s="0" t="s">
        <v>2464</v>
      </c>
      <c r="D566" s="0" t="s">
        <v>2465</v>
      </c>
      <c r="E566" s="0" t="s">
        <v>2466</v>
      </c>
    </row>
    <row r="567" customFormat="false" ht="15" hidden="false" customHeight="false" outlineLevel="0" collapsed="false">
      <c r="A567" s="0" t="n">
        <v>565</v>
      </c>
      <c r="B567" s="0" t="s">
        <v>2467</v>
      </c>
      <c r="C567" s="0" t="s">
        <v>2468</v>
      </c>
      <c r="D567" s="0" t="s">
        <v>2469</v>
      </c>
      <c r="E567" s="0" t="s">
        <v>2470</v>
      </c>
    </row>
    <row r="568" customFormat="false" ht="15" hidden="false" customHeight="false" outlineLevel="0" collapsed="false">
      <c r="A568" s="0" t="n">
        <v>566</v>
      </c>
      <c r="B568" s="0" t="s">
        <v>2471</v>
      </c>
      <c r="C568" s="0" t="s">
        <v>2472</v>
      </c>
      <c r="D568" s="0" t="s">
        <v>2473</v>
      </c>
      <c r="E568" s="0" t="s">
        <v>2474</v>
      </c>
    </row>
    <row r="569" customFormat="false" ht="15" hidden="false" customHeight="false" outlineLevel="0" collapsed="false">
      <c r="A569" s="0" t="n">
        <v>567</v>
      </c>
      <c r="B569" s="0" t="s">
        <v>2475</v>
      </c>
      <c r="C569" s="0" t="s">
        <v>2476</v>
      </c>
      <c r="D569" s="0" t="s">
        <v>2477</v>
      </c>
      <c r="E569" s="0" t="s">
        <v>2478</v>
      </c>
    </row>
    <row r="570" customFormat="false" ht="15" hidden="false" customHeight="false" outlineLevel="0" collapsed="false">
      <c r="A570" s="0" t="n">
        <v>568</v>
      </c>
      <c r="B570" s="0" t="s">
        <v>2479</v>
      </c>
      <c r="C570" s="0" t="s">
        <v>2480</v>
      </c>
      <c r="D570" s="0" t="s">
        <v>2481</v>
      </c>
      <c r="E570" s="0" t="s">
        <v>2482</v>
      </c>
    </row>
    <row r="571" customFormat="false" ht="15" hidden="false" customHeight="false" outlineLevel="0" collapsed="false">
      <c r="A571" s="0" t="n">
        <v>569</v>
      </c>
      <c r="B571" s="0" t="s">
        <v>2483</v>
      </c>
      <c r="C571" s="0" t="s">
        <v>2484</v>
      </c>
      <c r="D571" s="0" t="s">
        <v>2485</v>
      </c>
      <c r="E571" s="0" t="s">
        <v>2486</v>
      </c>
    </row>
    <row r="572" customFormat="false" ht="15" hidden="false" customHeight="false" outlineLevel="0" collapsed="false">
      <c r="A572" s="0" t="n">
        <v>570</v>
      </c>
      <c r="B572" s="0" t="s">
        <v>2487</v>
      </c>
      <c r="C572" s="0" t="s">
        <v>2488</v>
      </c>
      <c r="D572" s="0" t="s">
        <v>2489</v>
      </c>
      <c r="E572" s="0" t="s">
        <v>2490</v>
      </c>
    </row>
    <row r="573" customFormat="false" ht="15" hidden="false" customHeight="false" outlineLevel="0" collapsed="false">
      <c r="A573" s="0" t="n">
        <v>571</v>
      </c>
      <c r="B573" s="0" t="s">
        <v>2491</v>
      </c>
      <c r="C573" s="0" t="s">
        <v>2492</v>
      </c>
      <c r="D573" s="0" t="s">
        <v>2493</v>
      </c>
      <c r="E573" s="0" t="s">
        <v>2494</v>
      </c>
    </row>
    <row r="574" customFormat="false" ht="15" hidden="false" customHeight="false" outlineLevel="0" collapsed="false">
      <c r="A574" s="0" t="n">
        <v>572</v>
      </c>
      <c r="B574" s="0" t="s">
        <v>2495</v>
      </c>
      <c r="C574" s="0" t="s">
        <v>2496</v>
      </c>
      <c r="D574" s="0" t="s">
        <v>2497</v>
      </c>
      <c r="E574" s="0" t="s">
        <v>2498</v>
      </c>
    </row>
    <row r="575" customFormat="false" ht="15" hidden="false" customHeight="false" outlineLevel="0" collapsed="false">
      <c r="A575" s="0" t="n">
        <v>573</v>
      </c>
      <c r="B575" s="0" t="s">
        <v>2499</v>
      </c>
      <c r="C575" s="0" t="s">
        <v>2500</v>
      </c>
      <c r="D575" s="0" t="s">
        <v>2501</v>
      </c>
      <c r="E575" s="0" t="s">
        <v>2502</v>
      </c>
    </row>
    <row r="576" customFormat="false" ht="15" hidden="false" customHeight="false" outlineLevel="0" collapsed="false">
      <c r="A576" s="0" t="n">
        <v>574</v>
      </c>
      <c r="B576" s="0" t="s">
        <v>2503</v>
      </c>
      <c r="C576" s="0" t="s">
        <v>2504</v>
      </c>
      <c r="D576" s="0" t="s">
        <v>2505</v>
      </c>
      <c r="E576" s="0" t="s">
        <v>2506</v>
      </c>
    </row>
    <row r="577" customFormat="false" ht="15" hidden="false" customHeight="false" outlineLevel="0" collapsed="false">
      <c r="A577" s="0" t="n">
        <v>575</v>
      </c>
      <c r="B577" s="0" t="s">
        <v>2507</v>
      </c>
      <c r="C577" s="0" t="s">
        <v>2508</v>
      </c>
      <c r="D577" s="0" t="s">
        <v>2509</v>
      </c>
      <c r="E577" s="0" t="s">
        <v>2510</v>
      </c>
    </row>
    <row r="578" customFormat="false" ht="15" hidden="false" customHeight="false" outlineLevel="0" collapsed="false">
      <c r="A578" s="0" t="n">
        <v>576</v>
      </c>
      <c r="B578" s="0" t="s">
        <v>2511</v>
      </c>
      <c r="C578" s="0" t="s">
        <v>2512</v>
      </c>
      <c r="D578" s="0" t="s">
        <v>2513</v>
      </c>
      <c r="E578" s="0" t="s">
        <v>2514</v>
      </c>
    </row>
    <row r="579" customFormat="false" ht="15" hidden="false" customHeight="false" outlineLevel="0" collapsed="false">
      <c r="A579" s="0" t="n">
        <v>577</v>
      </c>
      <c r="B579" s="0" t="s">
        <v>2515</v>
      </c>
      <c r="C579" s="0" t="s">
        <v>2516</v>
      </c>
      <c r="D579" s="0" t="s">
        <v>2517</v>
      </c>
      <c r="E579" s="0" t="s">
        <v>2518</v>
      </c>
    </row>
    <row r="580" customFormat="false" ht="15" hidden="false" customHeight="false" outlineLevel="0" collapsed="false">
      <c r="A580" s="0" t="n">
        <v>578</v>
      </c>
      <c r="B580" s="0" t="s">
        <v>2519</v>
      </c>
      <c r="C580" s="0" t="s">
        <v>2520</v>
      </c>
      <c r="D580" s="0" t="s">
        <v>2521</v>
      </c>
      <c r="E580" s="0" t="s">
        <v>2522</v>
      </c>
    </row>
    <row r="581" customFormat="false" ht="15" hidden="false" customHeight="false" outlineLevel="0" collapsed="false">
      <c r="A581" s="0" t="n">
        <v>579</v>
      </c>
      <c r="B581" s="0" t="s">
        <v>2523</v>
      </c>
      <c r="C581" s="0" t="s">
        <v>2524</v>
      </c>
      <c r="D581" s="0" t="s">
        <v>2525</v>
      </c>
      <c r="E581" s="0" t="s">
        <v>2526</v>
      </c>
    </row>
    <row r="582" customFormat="false" ht="15" hidden="false" customHeight="false" outlineLevel="0" collapsed="false">
      <c r="A582" s="0" t="n">
        <v>580</v>
      </c>
      <c r="B582" s="0" t="s">
        <v>2527</v>
      </c>
      <c r="C582" s="0" t="s">
        <v>2528</v>
      </c>
      <c r="D582" s="0" t="s">
        <v>2529</v>
      </c>
      <c r="E582" s="0" t="s">
        <v>2530</v>
      </c>
    </row>
    <row r="583" customFormat="false" ht="15" hidden="false" customHeight="false" outlineLevel="0" collapsed="false">
      <c r="A583" s="0" t="n">
        <v>581</v>
      </c>
      <c r="B583" s="0" t="s">
        <v>2531</v>
      </c>
      <c r="C583" s="0" t="s">
        <v>2532</v>
      </c>
      <c r="D583" s="0" t="s">
        <v>2533</v>
      </c>
      <c r="E583" s="0" t="s">
        <v>2534</v>
      </c>
    </row>
    <row r="584" customFormat="false" ht="15" hidden="false" customHeight="false" outlineLevel="0" collapsed="false">
      <c r="A584" s="0" t="n">
        <v>582</v>
      </c>
      <c r="B584" s="0" t="s">
        <v>2535</v>
      </c>
      <c r="C584" s="0" t="s">
        <v>2536</v>
      </c>
      <c r="D584" s="0" t="s">
        <v>2537</v>
      </c>
      <c r="E584" s="0" t="s">
        <v>2538</v>
      </c>
    </row>
    <row r="585" customFormat="false" ht="15" hidden="false" customHeight="false" outlineLevel="0" collapsed="false">
      <c r="A585" s="0" t="n">
        <v>583</v>
      </c>
      <c r="B585" s="0" t="s">
        <v>2539</v>
      </c>
      <c r="C585" s="0" t="s">
        <v>2540</v>
      </c>
      <c r="D585" s="0" t="s">
        <v>2541</v>
      </c>
      <c r="E585" s="0" t="s">
        <v>2542</v>
      </c>
    </row>
    <row r="586" customFormat="false" ht="15" hidden="false" customHeight="false" outlineLevel="0" collapsed="false">
      <c r="A586" s="0" t="n">
        <v>584</v>
      </c>
      <c r="B586" s="0" t="s">
        <v>2543</v>
      </c>
      <c r="C586" s="0" t="s">
        <v>2544</v>
      </c>
      <c r="D586" s="0" t="s">
        <v>2545</v>
      </c>
      <c r="E586" s="0" t="s">
        <v>2546</v>
      </c>
    </row>
    <row r="587" customFormat="false" ht="15" hidden="false" customHeight="false" outlineLevel="0" collapsed="false">
      <c r="A587" s="0" t="n">
        <v>585</v>
      </c>
      <c r="B587" s="0" t="s">
        <v>2547</v>
      </c>
      <c r="C587" s="0" t="s">
        <v>2548</v>
      </c>
      <c r="D587" s="0" t="s">
        <v>2549</v>
      </c>
      <c r="E587" s="0" t="s">
        <v>2550</v>
      </c>
    </row>
    <row r="588" customFormat="false" ht="15" hidden="false" customHeight="false" outlineLevel="0" collapsed="false">
      <c r="A588" s="0" t="n">
        <v>586</v>
      </c>
      <c r="B588" s="0" t="s">
        <v>2551</v>
      </c>
      <c r="C588" s="0" t="s">
        <v>2552</v>
      </c>
      <c r="D588" s="0" t="s">
        <v>2553</v>
      </c>
      <c r="E588" s="0" t="s">
        <v>2554</v>
      </c>
    </row>
    <row r="589" customFormat="false" ht="15" hidden="false" customHeight="false" outlineLevel="0" collapsed="false">
      <c r="A589" s="0" t="n">
        <v>587</v>
      </c>
      <c r="B589" s="0" t="s">
        <v>2555</v>
      </c>
      <c r="C589" s="0" t="s">
        <v>2556</v>
      </c>
      <c r="D589" s="0" t="s">
        <v>2557</v>
      </c>
      <c r="E589" s="0" t="s">
        <v>2558</v>
      </c>
    </row>
    <row r="590" customFormat="false" ht="15" hidden="false" customHeight="false" outlineLevel="0" collapsed="false">
      <c r="A590" s="0" t="n">
        <v>588</v>
      </c>
      <c r="B590" s="0" t="s">
        <v>2559</v>
      </c>
      <c r="C590" s="0" t="s">
        <v>2560</v>
      </c>
      <c r="D590" s="0" t="s">
        <v>2561</v>
      </c>
      <c r="E590" s="0" t="s">
        <v>2562</v>
      </c>
    </row>
    <row r="591" customFormat="false" ht="15" hidden="false" customHeight="false" outlineLevel="0" collapsed="false">
      <c r="A591" s="0" t="n">
        <v>589</v>
      </c>
      <c r="B591" s="0" t="s">
        <v>2563</v>
      </c>
      <c r="C591" s="0" t="s">
        <v>2564</v>
      </c>
      <c r="D591" s="0" t="s">
        <v>2565</v>
      </c>
      <c r="E591" s="0" t="s">
        <v>2566</v>
      </c>
    </row>
    <row r="592" customFormat="false" ht="15" hidden="false" customHeight="false" outlineLevel="0" collapsed="false">
      <c r="A592" s="0" t="n">
        <v>590</v>
      </c>
      <c r="B592" s="0" t="s">
        <v>2567</v>
      </c>
      <c r="C592" s="0" t="s">
        <v>2568</v>
      </c>
      <c r="D592" s="0" t="s">
        <v>2569</v>
      </c>
      <c r="E592" s="0" t="s">
        <v>2570</v>
      </c>
    </row>
    <row r="593" customFormat="false" ht="15" hidden="false" customHeight="false" outlineLevel="0" collapsed="false">
      <c r="A593" s="0" t="n">
        <v>591</v>
      </c>
      <c r="B593" s="0" t="s">
        <v>2571</v>
      </c>
      <c r="C593" s="0" t="s">
        <v>2572</v>
      </c>
      <c r="D593" s="0" t="s">
        <v>2573</v>
      </c>
      <c r="E593" s="0" t="s">
        <v>2574</v>
      </c>
    </row>
    <row r="594" customFormat="false" ht="15" hidden="false" customHeight="false" outlineLevel="0" collapsed="false">
      <c r="A594" s="0" t="n">
        <v>592</v>
      </c>
      <c r="B594" s="0" t="s">
        <v>2575</v>
      </c>
      <c r="C594" s="0" t="s">
        <v>2576</v>
      </c>
      <c r="D594" s="0" t="s">
        <v>2577</v>
      </c>
      <c r="E594" s="0" t="s">
        <v>2578</v>
      </c>
    </row>
    <row r="595" customFormat="false" ht="15" hidden="false" customHeight="false" outlineLevel="0" collapsed="false">
      <c r="A595" s="0" t="n">
        <v>593</v>
      </c>
      <c r="B595" s="0" t="s">
        <v>2579</v>
      </c>
      <c r="C595" s="0" t="s">
        <v>2580</v>
      </c>
      <c r="D595" s="0" t="s">
        <v>2581</v>
      </c>
      <c r="E595" s="0" t="s">
        <v>2582</v>
      </c>
    </row>
    <row r="596" customFormat="false" ht="15" hidden="false" customHeight="false" outlineLevel="0" collapsed="false">
      <c r="A596" s="0" t="n">
        <v>594</v>
      </c>
      <c r="B596" s="0" t="s">
        <v>2583</v>
      </c>
      <c r="C596" s="0" t="s">
        <v>2584</v>
      </c>
      <c r="D596" s="0" t="s">
        <v>2585</v>
      </c>
      <c r="E596" s="0" t="s">
        <v>2586</v>
      </c>
    </row>
    <row r="597" customFormat="false" ht="15" hidden="false" customHeight="false" outlineLevel="0" collapsed="false">
      <c r="A597" s="0" t="n">
        <v>595</v>
      </c>
      <c r="B597" s="0" t="s">
        <v>2587</v>
      </c>
      <c r="C597" s="0" t="s">
        <v>2588</v>
      </c>
      <c r="D597" s="0" t="s">
        <v>2589</v>
      </c>
      <c r="E597" s="0" t="s">
        <v>2590</v>
      </c>
    </row>
    <row r="598" customFormat="false" ht="15" hidden="false" customHeight="false" outlineLevel="0" collapsed="false">
      <c r="A598" s="0" t="n">
        <v>596</v>
      </c>
      <c r="B598" s="0" t="s">
        <v>2591</v>
      </c>
      <c r="C598" s="0" t="s">
        <v>2592</v>
      </c>
      <c r="D598" s="0" t="s">
        <v>2593</v>
      </c>
      <c r="E598" s="0" t="s">
        <v>2594</v>
      </c>
    </row>
    <row r="599" customFormat="false" ht="15" hidden="false" customHeight="false" outlineLevel="0" collapsed="false">
      <c r="A599" s="0" t="n">
        <v>597</v>
      </c>
      <c r="B599" s="0" t="s">
        <v>2595</v>
      </c>
      <c r="C599" s="0" t="s">
        <v>2596</v>
      </c>
      <c r="D599" s="0" t="s">
        <v>2597</v>
      </c>
      <c r="E599" s="0" t="s">
        <v>2598</v>
      </c>
    </row>
    <row r="600" customFormat="false" ht="15" hidden="false" customHeight="false" outlineLevel="0" collapsed="false">
      <c r="A600" s="0" t="n">
        <v>598</v>
      </c>
      <c r="B600" s="0" t="s">
        <v>2599</v>
      </c>
      <c r="C600" s="0" t="s">
        <v>2600</v>
      </c>
      <c r="D600" s="0" t="s">
        <v>2601</v>
      </c>
      <c r="E600" s="0" t="s">
        <v>2602</v>
      </c>
    </row>
    <row r="601" customFormat="false" ht="15" hidden="false" customHeight="false" outlineLevel="0" collapsed="false">
      <c r="A601" s="0" t="n">
        <v>599</v>
      </c>
      <c r="B601" s="0" t="s">
        <v>2603</v>
      </c>
      <c r="C601" s="0" t="s">
        <v>2604</v>
      </c>
      <c r="D601" s="0" t="s">
        <v>2605</v>
      </c>
      <c r="E601" s="0" t="s">
        <v>2606</v>
      </c>
    </row>
    <row r="602" customFormat="false" ht="15" hidden="false" customHeight="false" outlineLevel="0" collapsed="false">
      <c r="A602" s="0" t="n">
        <v>600</v>
      </c>
      <c r="B602" s="0" t="s">
        <v>2607</v>
      </c>
      <c r="C602" s="0" t="s">
        <v>2608</v>
      </c>
      <c r="D602" s="0" t="s">
        <v>2609</v>
      </c>
      <c r="E602" s="0" t="s">
        <v>2610</v>
      </c>
    </row>
    <row r="603" customFormat="false" ht="15" hidden="false" customHeight="false" outlineLevel="0" collapsed="false">
      <c r="A603" s="0" t="n">
        <v>601</v>
      </c>
      <c r="B603" s="0" t="s">
        <v>2611</v>
      </c>
      <c r="C603" s="0" t="s">
        <v>2612</v>
      </c>
      <c r="D603" s="0" t="s">
        <v>2613</v>
      </c>
      <c r="E603" s="0" t="s">
        <v>2614</v>
      </c>
    </row>
    <row r="604" customFormat="false" ht="15" hidden="false" customHeight="false" outlineLevel="0" collapsed="false">
      <c r="A604" s="0" t="n">
        <v>602</v>
      </c>
      <c r="B604" s="0" t="s">
        <v>2615</v>
      </c>
      <c r="C604" s="0" t="s">
        <v>2616</v>
      </c>
      <c r="D604" s="0" t="s">
        <v>2617</v>
      </c>
      <c r="E604" s="0" t="s">
        <v>2618</v>
      </c>
    </row>
    <row r="605" customFormat="false" ht="15" hidden="false" customHeight="false" outlineLevel="0" collapsed="false">
      <c r="A605" s="0" t="n">
        <v>603</v>
      </c>
      <c r="B605" s="0" t="s">
        <v>2619</v>
      </c>
      <c r="C605" s="0" t="s">
        <v>2620</v>
      </c>
      <c r="D605" s="0" t="s">
        <v>2621</v>
      </c>
      <c r="E605" s="0" t="s">
        <v>2622</v>
      </c>
    </row>
    <row r="606" customFormat="false" ht="15" hidden="false" customHeight="false" outlineLevel="0" collapsed="false">
      <c r="A606" s="0" t="n">
        <v>604</v>
      </c>
      <c r="B606" s="0" t="s">
        <v>2623</v>
      </c>
      <c r="C606" s="0" t="s">
        <v>2624</v>
      </c>
      <c r="D606" s="0" t="s">
        <v>2625</v>
      </c>
      <c r="E606" s="0" t="s">
        <v>2626</v>
      </c>
    </row>
    <row r="607" customFormat="false" ht="15" hidden="false" customHeight="false" outlineLevel="0" collapsed="false">
      <c r="A607" s="0" t="n">
        <v>605</v>
      </c>
      <c r="B607" s="0" t="s">
        <v>2627</v>
      </c>
      <c r="C607" s="0" t="s">
        <v>2628</v>
      </c>
      <c r="D607" s="0" t="s">
        <v>2629</v>
      </c>
      <c r="E607" s="0" t="s">
        <v>2630</v>
      </c>
    </row>
    <row r="608" customFormat="false" ht="15" hidden="false" customHeight="false" outlineLevel="0" collapsed="false">
      <c r="A608" s="0" t="n">
        <v>606</v>
      </c>
      <c r="B608" s="0" t="s">
        <v>2631</v>
      </c>
      <c r="C608" s="0" t="s">
        <v>2632</v>
      </c>
      <c r="D608" s="0" t="s">
        <v>2633</v>
      </c>
      <c r="E608" s="0" t="s">
        <v>2634</v>
      </c>
    </row>
    <row r="609" customFormat="false" ht="15" hidden="false" customHeight="false" outlineLevel="0" collapsed="false">
      <c r="A609" s="0" t="n">
        <v>607</v>
      </c>
      <c r="B609" s="0" t="s">
        <v>2635</v>
      </c>
      <c r="C609" s="0" t="s">
        <v>2636</v>
      </c>
      <c r="D609" s="0" t="s">
        <v>2637</v>
      </c>
      <c r="E609" s="0" t="s">
        <v>2638</v>
      </c>
    </row>
    <row r="610" customFormat="false" ht="15" hidden="false" customHeight="false" outlineLevel="0" collapsed="false">
      <c r="A610" s="0" t="n">
        <v>608</v>
      </c>
      <c r="B610" s="0" t="s">
        <v>2639</v>
      </c>
      <c r="C610" s="0" t="s">
        <v>2640</v>
      </c>
      <c r="D610" s="0" t="s">
        <v>2641</v>
      </c>
      <c r="E610" s="0" t="s">
        <v>2642</v>
      </c>
    </row>
    <row r="611" customFormat="false" ht="15" hidden="false" customHeight="false" outlineLevel="0" collapsed="false">
      <c r="A611" s="0" t="n">
        <v>609</v>
      </c>
      <c r="B611" s="0" t="s">
        <v>2643</v>
      </c>
      <c r="C611" s="0" t="s">
        <v>2644</v>
      </c>
      <c r="D611" s="0" t="s">
        <v>2645</v>
      </c>
      <c r="E611" s="0" t="s">
        <v>2646</v>
      </c>
    </row>
    <row r="612" customFormat="false" ht="15" hidden="false" customHeight="false" outlineLevel="0" collapsed="false">
      <c r="A612" s="0" t="n">
        <v>610</v>
      </c>
      <c r="B612" s="0" t="s">
        <v>2647</v>
      </c>
      <c r="C612" s="0" t="s">
        <v>2648</v>
      </c>
      <c r="D612" s="0" t="s">
        <v>2649</v>
      </c>
      <c r="E612" s="0" t="s">
        <v>2650</v>
      </c>
    </row>
    <row r="613" customFormat="false" ht="15" hidden="false" customHeight="false" outlineLevel="0" collapsed="false">
      <c r="A613" s="0" t="n">
        <v>611</v>
      </c>
      <c r="B613" s="0" t="s">
        <v>2651</v>
      </c>
      <c r="C613" s="0" t="s">
        <v>2652</v>
      </c>
      <c r="D613" s="0" t="s">
        <v>2653</v>
      </c>
      <c r="E613" s="0" t="s">
        <v>2654</v>
      </c>
    </row>
    <row r="614" customFormat="false" ht="15" hidden="false" customHeight="false" outlineLevel="0" collapsed="false">
      <c r="A614" s="0" t="n">
        <v>612</v>
      </c>
      <c r="B614" s="0" t="s">
        <v>2655</v>
      </c>
      <c r="C614" s="0" t="s">
        <v>2656</v>
      </c>
      <c r="D614" s="0" t="s">
        <v>2657</v>
      </c>
      <c r="E614" s="0" t="s">
        <v>2658</v>
      </c>
    </row>
    <row r="615" customFormat="false" ht="15" hidden="false" customHeight="false" outlineLevel="0" collapsed="false">
      <c r="A615" s="0" t="n">
        <v>613</v>
      </c>
      <c r="B615" s="0" t="s">
        <v>2659</v>
      </c>
      <c r="C615" s="0" t="s">
        <v>2660</v>
      </c>
      <c r="D615" s="0" t="s">
        <v>2661</v>
      </c>
      <c r="E615" s="0" t="s">
        <v>2662</v>
      </c>
    </row>
    <row r="616" customFormat="false" ht="15" hidden="false" customHeight="false" outlineLevel="0" collapsed="false">
      <c r="A616" s="0" t="n">
        <v>614</v>
      </c>
      <c r="B616" s="0" t="s">
        <v>2663</v>
      </c>
      <c r="C616" s="0" t="s">
        <v>2664</v>
      </c>
      <c r="D616" s="0" t="s">
        <v>2665</v>
      </c>
      <c r="E616" s="0" t="s">
        <v>2666</v>
      </c>
    </row>
    <row r="617" customFormat="false" ht="15" hidden="false" customHeight="false" outlineLevel="0" collapsed="false">
      <c r="A617" s="0" t="n">
        <v>615</v>
      </c>
      <c r="B617" s="0" t="s">
        <v>2667</v>
      </c>
      <c r="C617" s="0" t="s">
        <v>2668</v>
      </c>
      <c r="D617" s="0" t="s">
        <v>2669</v>
      </c>
      <c r="E617" s="0" t="s">
        <v>2670</v>
      </c>
    </row>
    <row r="618" customFormat="false" ht="15" hidden="false" customHeight="false" outlineLevel="0" collapsed="false">
      <c r="A618" s="0" t="n">
        <v>616</v>
      </c>
      <c r="B618" s="0" t="s">
        <v>2671</v>
      </c>
      <c r="C618" s="0" t="s">
        <v>2672</v>
      </c>
      <c r="D618" s="0" t="s">
        <v>2673</v>
      </c>
      <c r="E618" s="0" t="s">
        <v>2674</v>
      </c>
    </row>
    <row r="619" customFormat="false" ht="15" hidden="false" customHeight="false" outlineLevel="0" collapsed="false">
      <c r="A619" s="0" t="n">
        <v>617</v>
      </c>
      <c r="B619" s="0" t="s">
        <v>2675</v>
      </c>
      <c r="C619" s="0" t="s">
        <v>2676</v>
      </c>
      <c r="D619" s="0" t="s">
        <v>2677</v>
      </c>
      <c r="E619" s="0" t="s">
        <v>2678</v>
      </c>
    </row>
    <row r="620" customFormat="false" ht="15" hidden="false" customHeight="false" outlineLevel="0" collapsed="false">
      <c r="A620" s="0" t="n">
        <v>618</v>
      </c>
      <c r="B620" s="0" t="s">
        <v>2679</v>
      </c>
      <c r="C620" s="0" t="s">
        <v>2680</v>
      </c>
      <c r="D620" s="0" t="s">
        <v>2681</v>
      </c>
      <c r="E620" s="0" t="s">
        <v>2682</v>
      </c>
    </row>
    <row r="621" customFormat="false" ht="15" hidden="false" customHeight="false" outlineLevel="0" collapsed="false">
      <c r="A621" s="0" t="n">
        <v>619</v>
      </c>
      <c r="B621" s="0" t="s">
        <v>2683</v>
      </c>
      <c r="C621" s="0" t="s">
        <v>2684</v>
      </c>
      <c r="D621" s="0" t="s">
        <v>2685</v>
      </c>
      <c r="E621" s="0" t="s">
        <v>2686</v>
      </c>
    </row>
    <row r="622" customFormat="false" ht="15" hidden="false" customHeight="false" outlineLevel="0" collapsed="false">
      <c r="A622" s="0" t="n">
        <v>620</v>
      </c>
      <c r="B622" s="0" t="s">
        <v>2687</v>
      </c>
      <c r="C622" s="0" t="s">
        <v>2688</v>
      </c>
      <c r="D622" s="0" t="s">
        <v>2689</v>
      </c>
      <c r="E622" s="0" t="s">
        <v>2690</v>
      </c>
    </row>
    <row r="623" customFormat="false" ht="15" hidden="false" customHeight="false" outlineLevel="0" collapsed="false">
      <c r="A623" s="0" t="n">
        <v>621</v>
      </c>
      <c r="B623" s="0" t="s">
        <v>2691</v>
      </c>
      <c r="C623" s="0" t="s">
        <v>2692</v>
      </c>
      <c r="D623" s="0" t="s">
        <v>2693</v>
      </c>
      <c r="E623" s="0" t="s">
        <v>2694</v>
      </c>
    </row>
    <row r="624" customFormat="false" ht="15" hidden="false" customHeight="false" outlineLevel="0" collapsed="false">
      <c r="A624" s="0" t="n">
        <v>622</v>
      </c>
      <c r="B624" s="0" t="s">
        <v>2695</v>
      </c>
      <c r="C624" s="0" t="s">
        <v>2696</v>
      </c>
      <c r="D624" s="0" t="s">
        <v>2697</v>
      </c>
      <c r="E624" s="0" t="s">
        <v>2698</v>
      </c>
    </row>
    <row r="625" customFormat="false" ht="15" hidden="false" customHeight="false" outlineLevel="0" collapsed="false">
      <c r="A625" s="0" t="n">
        <v>623</v>
      </c>
      <c r="B625" s="0" t="s">
        <v>2699</v>
      </c>
      <c r="C625" s="0" t="s">
        <v>2700</v>
      </c>
      <c r="D625" s="0" t="s">
        <v>2701</v>
      </c>
      <c r="E625" s="0" t="s">
        <v>2702</v>
      </c>
    </row>
    <row r="626" customFormat="false" ht="15" hidden="false" customHeight="false" outlineLevel="0" collapsed="false">
      <c r="A626" s="0" t="n">
        <v>624</v>
      </c>
      <c r="B626" s="0" t="s">
        <v>2703</v>
      </c>
      <c r="C626" s="0" t="s">
        <v>2704</v>
      </c>
      <c r="D626" s="0" t="s">
        <v>2705</v>
      </c>
      <c r="E626" s="0" t="s">
        <v>2706</v>
      </c>
    </row>
    <row r="627" customFormat="false" ht="15" hidden="false" customHeight="false" outlineLevel="0" collapsed="false">
      <c r="A627" s="0" t="n">
        <v>625</v>
      </c>
      <c r="B627" s="0" t="s">
        <v>2707</v>
      </c>
      <c r="C627" s="0" t="s">
        <v>2708</v>
      </c>
      <c r="D627" s="0" t="s">
        <v>2709</v>
      </c>
      <c r="E627" s="0" t="s">
        <v>2710</v>
      </c>
    </row>
    <row r="628" customFormat="false" ht="15" hidden="false" customHeight="false" outlineLevel="0" collapsed="false">
      <c r="A628" s="0" t="n">
        <v>626</v>
      </c>
      <c r="B628" s="0" t="s">
        <v>2711</v>
      </c>
      <c r="C628" s="0" t="s">
        <v>2712</v>
      </c>
      <c r="D628" s="0" t="s">
        <v>2713</v>
      </c>
      <c r="E628" s="0" t="s">
        <v>2714</v>
      </c>
    </row>
    <row r="629" customFormat="false" ht="15" hidden="false" customHeight="false" outlineLevel="0" collapsed="false">
      <c r="A629" s="0" t="n">
        <v>627</v>
      </c>
      <c r="B629" s="0" t="s">
        <v>2715</v>
      </c>
      <c r="C629" s="0" t="s">
        <v>2716</v>
      </c>
      <c r="D629" s="0" t="s">
        <v>2717</v>
      </c>
      <c r="E629" s="0" t="s">
        <v>2718</v>
      </c>
    </row>
    <row r="630" customFormat="false" ht="15" hidden="false" customHeight="false" outlineLevel="0" collapsed="false">
      <c r="A630" s="0" t="n">
        <v>628</v>
      </c>
      <c r="B630" s="0" t="s">
        <v>2719</v>
      </c>
      <c r="C630" s="0" t="s">
        <v>2720</v>
      </c>
      <c r="D630" s="0" t="s">
        <v>2721</v>
      </c>
      <c r="E630" s="0" t="s">
        <v>2722</v>
      </c>
    </row>
    <row r="631" customFormat="false" ht="15" hidden="false" customHeight="false" outlineLevel="0" collapsed="false">
      <c r="A631" s="0" t="n">
        <v>629</v>
      </c>
      <c r="B631" s="0" t="s">
        <v>2723</v>
      </c>
      <c r="C631" s="0" t="s">
        <v>2724</v>
      </c>
      <c r="D631" s="0" t="s">
        <v>2725</v>
      </c>
      <c r="E631" s="0" t="s">
        <v>2726</v>
      </c>
    </row>
    <row r="632" customFormat="false" ht="15" hidden="false" customHeight="false" outlineLevel="0" collapsed="false">
      <c r="A632" s="0" t="n">
        <v>630</v>
      </c>
      <c r="B632" s="0" t="s">
        <v>2727</v>
      </c>
      <c r="C632" s="0" t="s">
        <v>2728</v>
      </c>
      <c r="D632" s="0" t="s">
        <v>2729</v>
      </c>
      <c r="E632" s="0" t="s">
        <v>2730</v>
      </c>
    </row>
    <row r="633" customFormat="false" ht="15" hidden="false" customHeight="false" outlineLevel="0" collapsed="false">
      <c r="A633" s="0" t="n">
        <v>631</v>
      </c>
      <c r="B633" s="0" t="s">
        <v>2731</v>
      </c>
      <c r="C633" s="0" t="s">
        <v>2732</v>
      </c>
      <c r="D633" s="0" t="s">
        <v>2733</v>
      </c>
      <c r="E633" s="0" t="s">
        <v>2734</v>
      </c>
    </row>
    <row r="634" customFormat="false" ht="15" hidden="false" customHeight="false" outlineLevel="0" collapsed="false">
      <c r="A634" s="0" t="n">
        <v>632</v>
      </c>
      <c r="B634" s="0" t="s">
        <v>2735</v>
      </c>
      <c r="C634" s="0" t="s">
        <v>2736</v>
      </c>
      <c r="D634" s="0" t="s">
        <v>2737</v>
      </c>
      <c r="E634" s="0" t="s">
        <v>2738</v>
      </c>
    </row>
    <row r="635" customFormat="false" ht="15" hidden="false" customHeight="false" outlineLevel="0" collapsed="false">
      <c r="A635" s="0" t="n">
        <v>633</v>
      </c>
      <c r="B635" s="0" t="s">
        <v>2739</v>
      </c>
      <c r="C635" s="0" t="s">
        <v>2740</v>
      </c>
      <c r="D635" s="0" t="s">
        <v>2741</v>
      </c>
      <c r="E635" s="0" t="s">
        <v>2742</v>
      </c>
    </row>
    <row r="636" customFormat="false" ht="15" hidden="false" customHeight="false" outlineLevel="0" collapsed="false">
      <c r="A636" s="0" t="n">
        <v>634</v>
      </c>
      <c r="B636" s="0" t="s">
        <v>2743</v>
      </c>
      <c r="C636" s="0" t="s">
        <v>2744</v>
      </c>
      <c r="D636" s="0" t="s">
        <v>2745</v>
      </c>
      <c r="E636" s="0" t="s">
        <v>2746</v>
      </c>
    </row>
    <row r="637" customFormat="false" ht="15" hidden="false" customHeight="false" outlineLevel="0" collapsed="false">
      <c r="A637" s="0" t="n">
        <v>635</v>
      </c>
      <c r="B637" s="0" t="s">
        <v>2747</v>
      </c>
      <c r="C637" s="0" t="s">
        <v>2748</v>
      </c>
      <c r="D637" s="0" t="s">
        <v>2749</v>
      </c>
      <c r="E637" s="0" t="s">
        <v>2750</v>
      </c>
    </row>
    <row r="638" customFormat="false" ht="15" hidden="false" customHeight="false" outlineLevel="0" collapsed="false">
      <c r="A638" s="0" t="n">
        <v>636</v>
      </c>
      <c r="B638" s="0" t="s">
        <v>2751</v>
      </c>
      <c r="C638" s="0" t="s">
        <v>2752</v>
      </c>
      <c r="D638" s="0" t="s">
        <v>2753</v>
      </c>
      <c r="E638" s="0" t="s">
        <v>2754</v>
      </c>
    </row>
    <row r="639" customFormat="false" ht="15" hidden="false" customHeight="false" outlineLevel="0" collapsed="false">
      <c r="A639" s="0" t="n">
        <v>637</v>
      </c>
      <c r="B639" s="0" t="s">
        <v>2755</v>
      </c>
      <c r="C639" s="0" t="s">
        <v>2756</v>
      </c>
      <c r="D639" s="0" t="s">
        <v>2757</v>
      </c>
      <c r="E639" s="0" t="s">
        <v>2758</v>
      </c>
    </row>
    <row r="640" customFormat="false" ht="15" hidden="false" customHeight="false" outlineLevel="0" collapsed="false">
      <c r="A640" s="0" t="n">
        <v>638</v>
      </c>
      <c r="B640" s="0" t="s">
        <v>2759</v>
      </c>
      <c r="C640" s="0" t="s">
        <v>2760</v>
      </c>
      <c r="D640" s="0" t="s">
        <v>2761</v>
      </c>
      <c r="E640" s="0" t="s">
        <v>2762</v>
      </c>
    </row>
    <row r="641" customFormat="false" ht="15" hidden="false" customHeight="false" outlineLevel="0" collapsed="false">
      <c r="A641" s="0" t="n">
        <v>639</v>
      </c>
      <c r="B641" s="0" t="s">
        <v>2763</v>
      </c>
      <c r="C641" s="0" t="s">
        <v>2764</v>
      </c>
      <c r="D641" s="0" t="s">
        <v>2765</v>
      </c>
      <c r="E641" s="0" t="s">
        <v>2766</v>
      </c>
    </row>
    <row r="642" customFormat="false" ht="15" hidden="false" customHeight="false" outlineLevel="0" collapsed="false">
      <c r="A642" s="0" t="n">
        <v>640</v>
      </c>
      <c r="B642" s="0" t="s">
        <v>2767</v>
      </c>
      <c r="C642" s="0" t="s">
        <v>2768</v>
      </c>
      <c r="D642" s="0" t="s">
        <v>2769</v>
      </c>
      <c r="E642" s="0" t="s">
        <v>2770</v>
      </c>
    </row>
    <row r="643" customFormat="false" ht="15" hidden="false" customHeight="false" outlineLevel="0" collapsed="false">
      <c r="A643" s="0" t="n">
        <v>641</v>
      </c>
      <c r="B643" s="0" t="s">
        <v>2771</v>
      </c>
      <c r="C643" s="0" t="s">
        <v>2772</v>
      </c>
      <c r="D643" s="0" t="s">
        <v>2773</v>
      </c>
      <c r="E643" s="0" t="s">
        <v>2774</v>
      </c>
    </row>
    <row r="644" customFormat="false" ht="15" hidden="false" customHeight="false" outlineLevel="0" collapsed="false">
      <c r="A644" s="0" t="n">
        <v>642</v>
      </c>
      <c r="B644" s="0" t="s">
        <v>2775</v>
      </c>
      <c r="C644" s="0" t="s">
        <v>2776</v>
      </c>
      <c r="D644" s="0" t="s">
        <v>2777</v>
      </c>
      <c r="E644" s="0" t="s">
        <v>2778</v>
      </c>
    </row>
    <row r="645" customFormat="false" ht="15" hidden="false" customHeight="false" outlineLevel="0" collapsed="false">
      <c r="A645" s="0" t="n">
        <v>643</v>
      </c>
      <c r="B645" s="0" t="s">
        <v>2779</v>
      </c>
      <c r="C645" s="0" t="s">
        <v>2780</v>
      </c>
      <c r="D645" s="0" t="s">
        <v>2781</v>
      </c>
      <c r="E645" s="0" t="s">
        <v>2782</v>
      </c>
    </row>
    <row r="646" customFormat="false" ht="15" hidden="false" customHeight="false" outlineLevel="0" collapsed="false">
      <c r="A646" s="0" t="n">
        <v>644</v>
      </c>
      <c r="B646" s="0" t="s">
        <v>2783</v>
      </c>
      <c r="C646" s="0" t="s">
        <v>2784</v>
      </c>
      <c r="D646" s="0" t="s">
        <v>2785</v>
      </c>
      <c r="E646" s="0" t="s">
        <v>2786</v>
      </c>
    </row>
    <row r="647" customFormat="false" ht="15" hidden="false" customHeight="false" outlineLevel="0" collapsed="false">
      <c r="A647" s="0" t="n">
        <v>645</v>
      </c>
      <c r="B647" s="0" t="s">
        <v>2787</v>
      </c>
      <c r="C647" s="0" t="s">
        <v>2788</v>
      </c>
      <c r="D647" s="0" t="s">
        <v>2789</v>
      </c>
      <c r="E647" s="0" t="s">
        <v>2790</v>
      </c>
    </row>
    <row r="648" customFormat="false" ht="15" hidden="false" customHeight="false" outlineLevel="0" collapsed="false">
      <c r="A648" s="0" t="n">
        <v>646</v>
      </c>
      <c r="B648" s="0" t="s">
        <v>2791</v>
      </c>
      <c r="C648" s="0" t="s">
        <v>2792</v>
      </c>
      <c r="D648" s="0" t="s">
        <v>2793</v>
      </c>
      <c r="E648" s="0" t="s">
        <v>2794</v>
      </c>
    </row>
    <row r="649" customFormat="false" ht="15" hidden="false" customHeight="false" outlineLevel="0" collapsed="false">
      <c r="A649" s="0" t="n">
        <v>647</v>
      </c>
      <c r="B649" s="0" t="s">
        <v>2795</v>
      </c>
      <c r="C649" s="0" t="s">
        <v>2796</v>
      </c>
      <c r="D649" s="0" t="s">
        <v>2797</v>
      </c>
      <c r="E649" s="0" t="s">
        <v>2798</v>
      </c>
    </row>
    <row r="650" customFormat="false" ht="15" hidden="false" customHeight="false" outlineLevel="0" collapsed="false">
      <c r="A650" s="0" t="n">
        <v>648</v>
      </c>
      <c r="B650" s="0" t="s">
        <v>2799</v>
      </c>
      <c r="C650" s="0" t="s">
        <v>2800</v>
      </c>
      <c r="D650" s="0" t="s">
        <v>2801</v>
      </c>
      <c r="E650" s="0" t="s">
        <v>2802</v>
      </c>
    </row>
    <row r="651" customFormat="false" ht="15" hidden="false" customHeight="false" outlineLevel="0" collapsed="false">
      <c r="A651" s="0" t="n">
        <v>649</v>
      </c>
      <c r="B651" s="0" t="s">
        <v>2803</v>
      </c>
      <c r="C651" s="0" t="s">
        <v>2804</v>
      </c>
      <c r="D651" s="0" t="s">
        <v>2805</v>
      </c>
      <c r="E651" s="0" t="s">
        <v>2806</v>
      </c>
    </row>
    <row r="652" customFormat="false" ht="15" hidden="false" customHeight="false" outlineLevel="0" collapsed="false">
      <c r="A652" s="0" t="n">
        <v>650</v>
      </c>
      <c r="B652" s="0" t="s">
        <v>2807</v>
      </c>
      <c r="C652" s="0" t="s">
        <v>2808</v>
      </c>
      <c r="D652" s="0" t="s">
        <v>2809</v>
      </c>
      <c r="E652" s="0" t="s">
        <v>2810</v>
      </c>
    </row>
    <row r="653" customFormat="false" ht="15" hidden="false" customHeight="false" outlineLevel="0" collapsed="false">
      <c r="A653" s="0" t="n">
        <v>651</v>
      </c>
      <c r="B653" s="0" t="s">
        <v>2811</v>
      </c>
      <c r="C653" s="0" t="s">
        <v>2812</v>
      </c>
      <c r="D653" s="0" t="s">
        <v>2813</v>
      </c>
      <c r="E653" s="0" t="s">
        <v>2814</v>
      </c>
    </row>
    <row r="654" customFormat="false" ht="15" hidden="false" customHeight="false" outlineLevel="0" collapsed="false">
      <c r="A654" s="0" t="n">
        <v>652</v>
      </c>
      <c r="B654" s="0" t="s">
        <v>2815</v>
      </c>
      <c r="C654" s="0" t="s">
        <v>2816</v>
      </c>
      <c r="D654" s="0" t="s">
        <v>2817</v>
      </c>
      <c r="E654" s="0" t="s">
        <v>2818</v>
      </c>
    </row>
    <row r="655" customFormat="false" ht="15" hidden="false" customHeight="false" outlineLevel="0" collapsed="false">
      <c r="A655" s="0" t="n">
        <v>653</v>
      </c>
      <c r="B655" s="0" t="s">
        <v>2819</v>
      </c>
      <c r="C655" s="0" t="s">
        <v>2820</v>
      </c>
      <c r="D655" s="0" t="s">
        <v>2821</v>
      </c>
      <c r="E655" s="0" t="s">
        <v>2822</v>
      </c>
    </row>
    <row r="656" customFormat="false" ht="15" hidden="false" customHeight="false" outlineLevel="0" collapsed="false">
      <c r="A656" s="0" t="n">
        <v>654</v>
      </c>
      <c r="B656" s="0" t="s">
        <v>2823</v>
      </c>
      <c r="C656" s="0" t="s">
        <v>2824</v>
      </c>
      <c r="D656" s="0" t="s">
        <v>2825</v>
      </c>
      <c r="E656" s="0" t="s">
        <v>2826</v>
      </c>
    </row>
    <row r="657" customFormat="false" ht="15" hidden="false" customHeight="false" outlineLevel="0" collapsed="false">
      <c r="A657" s="0" t="n">
        <v>655</v>
      </c>
      <c r="B657" s="0" t="s">
        <v>2827</v>
      </c>
      <c r="C657" s="0" t="s">
        <v>2828</v>
      </c>
      <c r="D657" s="0" t="s">
        <v>2829</v>
      </c>
      <c r="E657" s="0" t="s">
        <v>2830</v>
      </c>
    </row>
    <row r="658" customFormat="false" ht="15" hidden="false" customHeight="false" outlineLevel="0" collapsed="false">
      <c r="A658" s="0" t="n">
        <v>656</v>
      </c>
      <c r="B658" s="0" t="s">
        <v>2831</v>
      </c>
      <c r="C658" s="0" t="s">
        <v>2832</v>
      </c>
      <c r="D658" s="0" t="s">
        <v>2833</v>
      </c>
      <c r="E658" s="0" t="s">
        <v>2834</v>
      </c>
    </row>
    <row r="659" customFormat="false" ht="15" hidden="false" customHeight="false" outlineLevel="0" collapsed="false">
      <c r="A659" s="0" t="n">
        <v>657</v>
      </c>
      <c r="B659" s="0" t="s">
        <v>2835</v>
      </c>
      <c r="C659" s="0" t="s">
        <v>2836</v>
      </c>
      <c r="D659" s="0" t="s">
        <v>2837</v>
      </c>
      <c r="E659" s="0" t="s">
        <v>2838</v>
      </c>
    </row>
    <row r="660" customFormat="false" ht="15" hidden="false" customHeight="false" outlineLevel="0" collapsed="false">
      <c r="A660" s="0" t="n">
        <v>658</v>
      </c>
      <c r="B660" s="0" t="s">
        <v>2839</v>
      </c>
      <c r="C660" s="0" t="s">
        <v>2840</v>
      </c>
      <c r="D660" s="0" t="s">
        <v>2841</v>
      </c>
      <c r="E660" s="0" t="s">
        <v>2842</v>
      </c>
    </row>
    <row r="661" customFormat="false" ht="15" hidden="false" customHeight="false" outlineLevel="0" collapsed="false">
      <c r="A661" s="0" t="n">
        <v>659</v>
      </c>
      <c r="B661" s="0" t="s">
        <v>2843</v>
      </c>
      <c r="C661" s="0" t="s">
        <v>2844</v>
      </c>
      <c r="D661" s="0" t="s">
        <v>2845</v>
      </c>
      <c r="E661" s="0" t="s">
        <v>2846</v>
      </c>
    </row>
    <row r="662" customFormat="false" ht="15" hidden="false" customHeight="false" outlineLevel="0" collapsed="false">
      <c r="A662" s="0" t="n">
        <v>660</v>
      </c>
      <c r="B662" s="0" t="s">
        <v>2847</v>
      </c>
      <c r="C662" s="0" t="s">
        <v>2848</v>
      </c>
      <c r="D662" s="0" t="s">
        <v>2849</v>
      </c>
      <c r="E662" s="0" t="s">
        <v>2850</v>
      </c>
    </row>
    <row r="663" customFormat="false" ht="15" hidden="false" customHeight="false" outlineLevel="0" collapsed="false">
      <c r="A663" s="0" t="n">
        <v>661</v>
      </c>
      <c r="B663" s="0" t="s">
        <v>2851</v>
      </c>
      <c r="C663" s="0" t="s">
        <v>2852</v>
      </c>
      <c r="D663" s="0" t="s">
        <v>2853</v>
      </c>
      <c r="E663" s="0" t="s">
        <v>2854</v>
      </c>
    </row>
    <row r="664" customFormat="false" ht="15" hidden="false" customHeight="false" outlineLevel="0" collapsed="false">
      <c r="A664" s="0" t="n">
        <v>662</v>
      </c>
      <c r="B664" s="0" t="s">
        <v>2855</v>
      </c>
      <c r="C664" s="0" t="s">
        <v>2856</v>
      </c>
      <c r="D664" s="0" t="s">
        <v>2857</v>
      </c>
      <c r="E664" s="0" t="s">
        <v>2858</v>
      </c>
    </row>
    <row r="665" customFormat="false" ht="15" hidden="false" customHeight="false" outlineLevel="0" collapsed="false">
      <c r="A665" s="0" t="n">
        <v>663</v>
      </c>
      <c r="B665" s="0" t="s">
        <v>2859</v>
      </c>
      <c r="C665" s="0" t="s">
        <v>2860</v>
      </c>
      <c r="D665" s="0" t="s">
        <v>2861</v>
      </c>
      <c r="E665" s="0" t="s">
        <v>2862</v>
      </c>
    </row>
    <row r="666" customFormat="false" ht="15" hidden="false" customHeight="false" outlineLevel="0" collapsed="false">
      <c r="A666" s="0" t="n">
        <v>664</v>
      </c>
      <c r="B666" s="0" t="s">
        <v>2863</v>
      </c>
      <c r="C666" s="0" t="s">
        <v>2864</v>
      </c>
      <c r="D666" s="0" t="s">
        <v>2865</v>
      </c>
      <c r="E666" s="0" t="s">
        <v>2866</v>
      </c>
    </row>
    <row r="667" customFormat="false" ht="15" hidden="false" customHeight="false" outlineLevel="0" collapsed="false">
      <c r="A667" s="0" t="n">
        <v>665</v>
      </c>
      <c r="B667" s="0" t="s">
        <v>2867</v>
      </c>
      <c r="C667" s="0" t="s">
        <v>2868</v>
      </c>
      <c r="D667" s="0" t="s">
        <v>2869</v>
      </c>
      <c r="E667" s="0" t="s">
        <v>2870</v>
      </c>
    </row>
    <row r="668" customFormat="false" ht="15" hidden="false" customHeight="false" outlineLevel="0" collapsed="false">
      <c r="A668" s="0" t="n">
        <v>666</v>
      </c>
      <c r="B668" s="0" t="s">
        <v>2871</v>
      </c>
      <c r="C668" s="0" t="s">
        <v>2872</v>
      </c>
      <c r="D668" s="0" t="s">
        <v>2873</v>
      </c>
      <c r="E668" s="0" t="s">
        <v>2874</v>
      </c>
    </row>
    <row r="669" customFormat="false" ht="15" hidden="false" customHeight="false" outlineLevel="0" collapsed="false">
      <c r="A669" s="0" t="n">
        <v>667</v>
      </c>
      <c r="B669" s="0" t="s">
        <v>2875</v>
      </c>
      <c r="C669" s="0" t="s">
        <v>2876</v>
      </c>
      <c r="D669" s="0" t="s">
        <v>2877</v>
      </c>
      <c r="E669" s="0" t="s">
        <v>2878</v>
      </c>
    </row>
    <row r="670" customFormat="false" ht="15" hidden="false" customHeight="false" outlineLevel="0" collapsed="false">
      <c r="A670" s="0" t="n">
        <v>668</v>
      </c>
      <c r="B670" s="0" t="s">
        <v>2879</v>
      </c>
      <c r="C670" s="0" t="s">
        <v>2880</v>
      </c>
      <c r="D670" s="0" t="s">
        <v>2881</v>
      </c>
      <c r="E670" s="0" t="s">
        <v>2882</v>
      </c>
    </row>
    <row r="671" customFormat="false" ht="15" hidden="false" customHeight="false" outlineLevel="0" collapsed="false">
      <c r="A671" s="0" t="n">
        <v>669</v>
      </c>
      <c r="B671" s="0" t="s">
        <v>2883</v>
      </c>
      <c r="C671" s="0" t="s">
        <v>2884</v>
      </c>
      <c r="D671" s="0" t="s">
        <v>2885</v>
      </c>
      <c r="E671" s="0" t="s">
        <v>2886</v>
      </c>
    </row>
    <row r="672" customFormat="false" ht="15" hidden="false" customHeight="false" outlineLevel="0" collapsed="false">
      <c r="A672" s="0" t="n">
        <v>670</v>
      </c>
      <c r="B672" s="0" t="s">
        <v>2887</v>
      </c>
      <c r="C672" s="0" t="s">
        <v>2888</v>
      </c>
      <c r="D672" s="0" t="s">
        <v>2889</v>
      </c>
      <c r="E672" s="0" t="s">
        <v>2890</v>
      </c>
    </row>
    <row r="673" customFormat="false" ht="15" hidden="false" customHeight="false" outlineLevel="0" collapsed="false">
      <c r="A673" s="0" t="n">
        <v>671</v>
      </c>
      <c r="B673" s="0" t="s">
        <v>2891</v>
      </c>
      <c r="C673" s="0" t="s">
        <v>2892</v>
      </c>
      <c r="D673" s="0" t="s">
        <v>2893</v>
      </c>
      <c r="E673" s="0" t="s">
        <v>2894</v>
      </c>
    </row>
    <row r="674" customFormat="false" ht="15" hidden="false" customHeight="false" outlineLevel="0" collapsed="false">
      <c r="A674" s="0" t="n">
        <v>672</v>
      </c>
      <c r="B674" s="0" t="s">
        <v>2895</v>
      </c>
      <c r="C674" s="0" t="s">
        <v>2896</v>
      </c>
      <c r="D674" s="0" t="s">
        <v>2897</v>
      </c>
      <c r="E674" s="0" t="s">
        <v>2898</v>
      </c>
    </row>
    <row r="675" customFormat="false" ht="15" hidden="false" customHeight="false" outlineLevel="0" collapsed="false">
      <c r="A675" s="0" t="n">
        <v>673</v>
      </c>
      <c r="B675" s="0" t="s">
        <v>2899</v>
      </c>
      <c r="C675" s="0" t="s">
        <v>2900</v>
      </c>
      <c r="D675" s="0" t="s">
        <v>2901</v>
      </c>
      <c r="E675" s="0" t="s">
        <v>2902</v>
      </c>
    </row>
    <row r="676" customFormat="false" ht="15" hidden="false" customHeight="false" outlineLevel="0" collapsed="false">
      <c r="A676" s="0" t="n">
        <v>674</v>
      </c>
      <c r="B676" s="0" t="s">
        <v>2903</v>
      </c>
      <c r="C676" s="0" t="s">
        <v>2904</v>
      </c>
      <c r="D676" s="0" t="s">
        <v>2905</v>
      </c>
      <c r="E676" s="0" t="s">
        <v>2906</v>
      </c>
    </row>
    <row r="677" customFormat="false" ht="15" hidden="false" customHeight="false" outlineLevel="0" collapsed="false">
      <c r="A677" s="0" t="n">
        <v>675</v>
      </c>
      <c r="B677" s="0" t="s">
        <v>2907</v>
      </c>
      <c r="C677" s="0" t="s">
        <v>2908</v>
      </c>
      <c r="D677" s="0" t="s">
        <v>2909</v>
      </c>
      <c r="E677" s="0" t="s">
        <v>2910</v>
      </c>
    </row>
    <row r="678" customFormat="false" ht="15" hidden="false" customHeight="false" outlineLevel="0" collapsed="false">
      <c r="A678" s="0" t="n">
        <v>676</v>
      </c>
      <c r="B678" s="0" t="s">
        <v>2911</v>
      </c>
      <c r="C678" s="0" t="s">
        <v>2912</v>
      </c>
      <c r="D678" s="0" t="s">
        <v>2913</v>
      </c>
      <c r="E678" s="0" t="s">
        <v>2914</v>
      </c>
    </row>
    <row r="679" customFormat="false" ht="15" hidden="false" customHeight="false" outlineLevel="0" collapsed="false">
      <c r="A679" s="0" t="n">
        <v>677</v>
      </c>
      <c r="B679" s="0" t="s">
        <v>2915</v>
      </c>
      <c r="C679" s="0" t="s">
        <v>2916</v>
      </c>
      <c r="D679" s="0" t="s">
        <v>2917</v>
      </c>
      <c r="E679" s="0" t="s">
        <v>2918</v>
      </c>
    </row>
    <row r="680" customFormat="false" ht="15" hidden="false" customHeight="false" outlineLevel="0" collapsed="false">
      <c r="A680" s="0" t="n">
        <v>678</v>
      </c>
      <c r="B680" s="0" t="s">
        <v>2919</v>
      </c>
      <c r="C680" s="0" t="s">
        <v>2920</v>
      </c>
      <c r="D680" s="0" t="s">
        <v>2921</v>
      </c>
      <c r="E680" s="0" t="s">
        <v>2922</v>
      </c>
    </row>
    <row r="681" customFormat="false" ht="15" hidden="false" customHeight="false" outlineLevel="0" collapsed="false">
      <c r="A681" s="0" t="n">
        <v>679</v>
      </c>
      <c r="B681" s="0" t="s">
        <v>2923</v>
      </c>
      <c r="C681" s="0" t="s">
        <v>2924</v>
      </c>
      <c r="D681" s="0" t="s">
        <v>2925</v>
      </c>
      <c r="E681" s="0" t="s">
        <v>2926</v>
      </c>
    </row>
    <row r="682" customFormat="false" ht="15" hidden="false" customHeight="false" outlineLevel="0" collapsed="false">
      <c r="A682" s="0" t="n">
        <v>680</v>
      </c>
      <c r="B682" s="0" t="s">
        <v>2927</v>
      </c>
      <c r="C682" s="0" t="s">
        <v>2928</v>
      </c>
      <c r="D682" s="0" t="s">
        <v>2929</v>
      </c>
      <c r="E682" s="0" t="s">
        <v>2930</v>
      </c>
    </row>
    <row r="683" customFormat="false" ht="15" hidden="false" customHeight="false" outlineLevel="0" collapsed="false">
      <c r="A683" s="0" t="n">
        <v>681</v>
      </c>
      <c r="B683" s="0" t="s">
        <v>2931</v>
      </c>
      <c r="C683" s="0" t="s">
        <v>2932</v>
      </c>
      <c r="D683" s="0" t="s">
        <v>2933</v>
      </c>
      <c r="E683" s="0" t="s">
        <v>2934</v>
      </c>
    </row>
    <row r="684" customFormat="false" ht="15" hidden="false" customHeight="false" outlineLevel="0" collapsed="false">
      <c r="A684" s="0" t="n">
        <v>682</v>
      </c>
      <c r="B684" s="0" t="s">
        <v>2935</v>
      </c>
      <c r="C684" s="0" t="s">
        <v>2936</v>
      </c>
      <c r="D684" s="0" t="s">
        <v>2937</v>
      </c>
      <c r="E684" s="0" t="s">
        <v>2938</v>
      </c>
    </row>
    <row r="685" customFormat="false" ht="15" hidden="false" customHeight="false" outlineLevel="0" collapsed="false">
      <c r="A685" s="0" t="n">
        <v>683</v>
      </c>
      <c r="B685" s="0" t="s">
        <v>2939</v>
      </c>
      <c r="C685" s="0" t="s">
        <v>2940</v>
      </c>
      <c r="D685" s="0" t="s">
        <v>2941</v>
      </c>
      <c r="E685" s="0" t="s">
        <v>2942</v>
      </c>
    </row>
    <row r="686" customFormat="false" ht="15" hidden="false" customHeight="false" outlineLevel="0" collapsed="false">
      <c r="A686" s="0" t="n">
        <v>684</v>
      </c>
      <c r="B686" s="0" t="s">
        <v>2943</v>
      </c>
      <c r="C686" s="0" t="s">
        <v>2944</v>
      </c>
      <c r="D686" s="0" t="s">
        <v>2945</v>
      </c>
      <c r="E686" s="0" t="s">
        <v>2946</v>
      </c>
    </row>
    <row r="687" customFormat="false" ht="15" hidden="false" customHeight="false" outlineLevel="0" collapsed="false">
      <c r="A687" s="0" t="n">
        <v>685</v>
      </c>
      <c r="B687" s="0" t="s">
        <v>2947</v>
      </c>
      <c r="C687" s="0" t="s">
        <v>2948</v>
      </c>
      <c r="D687" s="0" t="s">
        <v>2949</v>
      </c>
      <c r="E687" s="0" t="s">
        <v>2950</v>
      </c>
    </row>
    <row r="688" customFormat="false" ht="15" hidden="false" customHeight="false" outlineLevel="0" collapsed="false">
      <c r="A688" s="0" t="n">
        <v>686</v>
      </c>
      <c r="B688" s="0" t="s">
        <v>2951</v>
      </c>
      <c r="C688" s="0" t="s">
        <v>2952</v>
      </c>
      <c r="D688" s="0" t="s">
        <v>2953</v>
      </c>
      <c r="E688" s="0" t="s">
        <v>2954</v>
      </c>
    </row>
    <row r="689" customFormat="false" ht="15" hidden="false" customHeight="false" outlineLevel="0" collapsed="false">
      <c r="A689" s="0" t="n">
        <v>687</v>
      </c>
      <c r="B689" s="0" t="s">
        <v>2955</v>
      </c>
      <c r="C689" s="0" t="s">
        <v>2956</v>
      </c>
      <c r="D689" s="0" t="s">
        <v>2957</v>
      </c>
      <c r="E689" s="0" t="s">
        <v>2958</v>
      </c>
    </row>
    <row r="690" customFormat="false" ht="15" hidden="false" customHeight="false" outlineLevel="0" collapsed="false">
      <c r="A690" s="0" t="n">
        <v>688</v>
      </c>
      <c r="B690" s="0" t="s">
        <v>2959</v>
      </c>
      <c r="C690" s="0" t="s">
        <v>2960</v>
      </c>
      <c r="D690" s="0" t="s">
        <v>2961</v>
      </c>
      <c r="E690" s="0" t="s">
        <v>2962</v>
      </c>
    </row>
    <row r="691" customFormat="false" ht="15" hidden="false" customHeight="false" outlineLevel="0" collapsed="false">
      <c r="A691" s="0" t="n">
        <v>689</v>
      </c>
      <c r="B691" s="0" t="s">
        <v>2963</v>
      </c>
      <c r="C691" s="0" t="s">
        <v>2964</v>
      </c>
      <c r="D691" s="0" t="s">
        <v>2965</v>
      </c>
      <c r="E691" s="0" t="s">
        <v>2966</v>
      </c>
    </row>
    <row r="692" customFormat="false" ht="15" hidden="false" customHeight="false" outlineLevel="0" collapsed="false">
      <c r="A692" s="0" t="n">
        <v>690</v>
      </c>
      <c r="B692" s="0" t="s">
        <v>2967</v>
      </c>
      <c r="C692" s="0" t="s">
        <v>2968</v>
      </c>
      <c r="D692" s="0" t="s">
        <v>2969</v>
      </c>
      <c r="E692" s="0" t="s">
        <v>2970</v>
      </c>
    </row>
    <row r="693" customFormat="false" ht="15" hidden="false" customHeight="false" outlineLevel="0" collapsed="false">
      <c r="A693" s="0" t="n">
        <v>691</v>
      </c>
      <c r="B693" s="0" t="s">
        <v>2971</v>
      </c>
      <c r="C693" s="0" t="s">
        <v>2972</v>
      </c>
      <c r="D693" s="0" t="s">
        <v>2973</v>
      </c>
      <c r="E693" s="0" t="s">
        <v>2974</v>
      </c>
    </row>
    <row r="694" customFormat="false" ht="15" hidden="false" customHeight="false" outlineLevel="0" collapsed="false">
      <c r="A694" s="0" t="n">
        <v>692</v>
      </c>
      <c r="B694" s="0" t="s">
        <v>2975</v>
      </c>
      <c r="C694" s="0" t="s">
        <v>2976</v>
      </c>
      <c r="D694" s="0" t="s">
        <v>2977</v>
      </c>
      <c r="E694" s="0" t="s">
        <v>2978</v>
      </c>
    </row>
    <row r="695" customFormat="false" ht="15" hidden="false" customHeight="false" outlineLevel="0" collapsed="false">
      <c r="A695" s="0" t="n">
        <v>693</v>
      </c>
      <c r="B695" s="0" t="s">
        <v>2979</v>
      </c>
      <c r="C695" s="0" t="s">
        <v>2980</v>
      </c>
      <c r="D695" s="0" t="s">
        <v>2981</v>
      </c>
      <c r="E695" s="0" t="s">
        <v>2982</v>
      </c>
    </row>
    <row r="696" customFormat="false" ht="15" hidden="false" customHeight="false" outlineLevel="0" collapsed="false">
      <c r="A696" s="0" t="n">
        <v>694</v>
      </c>
      <c r="B696" s="0" t="s">
        <v>2983</v>
      </c>
      <c r="C696" s="0" t="s">
        <v>2984</v>
      </c>
      <c r="D696" s="0" t="s">
        <v>2985</v>
      </c>
      <c r="E696" s="0" t="s">
        <v>2986</v>
      </c>
    </row>
    <row r="697" customFormat="false" ht="15" hidden="false" customHeight="false" outlineLevel="0" collapsed="false">
      <c r="A697" s="0" t="n">
        <v>695</v>
      </c>
      <c r="B697" s="0" t="s">
        <v>2987</v>
      </c>
      <c r="C697" s="0" t="s">
        <v>2988</v>
      </c>
      <c r="D697" s="0" t="s">
        <v>2989</v>
      </c>
      <c r="E697" s="0" t="s">
        <v>2990</v>
      </c>
    </row>
    <row r="698" customFormat="false" ht="15" hidden="false" customHeight="false" outlineLevel="0" collapsed="false">
      <c r="A698" s="0" t="n">
        <v>696</v>
      </c>
      <c r="B698" s="0" t="s">
        <v>2991</v>
      </c>
      <c r="C698" s="0" t="s">
        <v>2992</v>
      </c>
      <c r="D698" s="0" t="s">
        <v>2993</v>
      </c>
      <c r="E698" s="0" t="s">
        <v>2994</v>
      </c>
    </row>
    <row r="699" customFormat="false" ht="15" hidden="false" customHeight="false" outlineLevel="0" collapsed="false">
      <c r="A699" s="0" t="n">
        <v>697</v>
      </c>
      <c r="B699" s="0" t="s">
        <v>2995</v>
      </c>
      <c r="C699" s="0" t="s">
        <v>2996</v>
      </c>
      <c r="D699" s="0" t="s">
        <v>2997</v>
      </c>
      <c r="E699" s="0" t="s">
        <v>2998</v>
      </c>
    </row>
    <row r="700" customFormat="false" ht="15" hidden="false" customHeight="false" outlineLevel="0" collapsed="false">
      <c r="A700" s="0" t="n">
        <v>698</v>
      </c>
      <c r="B700" s="0" t="s">
        <v>2999</v>
      </c>
      <c r="C700" s="0" t="s">
        <v>3000</v>
      </c>
      <c r="D700" s="0" t="s">
        <v>3001</v>
      </c>
      <c r="E700" s="0" t="s">
        <v>3002</v>
      </c>
    </row>
    <row r="701" customFormat="false" ht="15" hidden="false" customHeight="false" outlineLevel="0" collapsed="false">
      <c r="A701" s="0" t="n">
        <v>699</v>
      </c>
      <c r="B701" s="0" t="s">
        <v>3003</v>
      </c>
      <c r="C701" s="0" t="s">
        <v>3004</v>
      </c>
      <c r="D701" s="0" t="s">
        <v>3005</v>
      </c>
      <c r="E701" s="0" t="s">
        <v>3006</v>
      </c>
    </row>
    <row r="702" customFormat="false" ht="15" hidden="false" customHeight="false" outlineLevel="0" collapsed="false">
      <c r="A702" s="0" t="n">
        <v>700</v>
      </c>
      <c r="B702" s="0" t="s">
        <v>3007</v>
      </c>
      <c r="C702" s="0" t="s">
        <v>3008</v>
      </c>
      <c r="D702" s="0" t="s">
        <v>3009</v>
      </c>
      <c r="E702" s="0" t="s">
        <v>3010</v>
      </c>
    </row>
    <row r="703" customFormat="false" ht="15" hidden="false" customHeight="false" outlineLevel="0" collapsed="false">
      <c r="A703" s="0" t="n">
        <v>701</v>
      </c>
      <c r="B703" s="0" t="s">
        <v>3011</v>
      </c>
      <c r="C703" s="0" t="s">
        <v>3012</v>
      </c>
      <c r="D703" s="0" t="s">
        <v>3013</v>
      </c>
      <c r="E703" s="0" t="s">
        <v>3014</v>
      </c>
    </row>
    <row r="704" customFormat="false" ht="15" hidden="false" customHeight="false" outlineLevel="0" collapsed="false">
      <c r="A704" s="0" t="n">
        <v>702</v>
      </c>
      <c r="B704" s="0" t="s">
        <v>3015</v>
      </c>
      <c r="C704" s="0" t="s">
        <v>3016</v>
      </c>
      <c r="D704" s="0" t="s">
        <v>3017</v>
      </c>
      <c r="E704" s="0" t="s">
        <v>3018</v>
      </c>
    </row>
    <row r="705" customFormat="false" ht="15" hidden="false" customHeight="false" outlineLevel="0" collapsed="false">
      <c r="A705" s="0" t="n">
        <v>703</v>
      </c>
      <c r="B705" s="0" t="s">
        <v>3019</v>
      </c>
      <c r="C705" s="0" t="s">
        <v>3020</v>
      </c>
      <c r="D705" s="0" t="s">
        <v>3021</v>
      </c>
      <c r="E705" s="0" t="s">
        <v>3022</v>
      </c>
    </row>
    <row r="706" customFormat="false" ht="15" hidden="false" customHeight="false" outlineLevel="0" collapsed="false">
      <c r="A706" s="0" t="n">
        <v>704</v>
      </c>
      <c r="B706" s="0" t="s">
        <v>3023</v>
      </c>
      <c r="C706" s="0" t="s">
        <v>3024</v>
      </c>
      <c r="D706" s="0" t="s">
        <v>3025</v>
      </c>
      <c r="E706" s="0" t="s">
        <v>3026</v>
      </c>
    </row>
    <row r="707" customFormat="false" ht="15" hidden="false" customHeight="false" outlineLevel="0" collapsed="false">
      <c r="A707" s="0" t="n">
        <v>705</v>
      </c>
      <c r="B707" s="0" t="s">
        <v>3027</v>
      </c>
      <c r="C707" s="0" t="s">
        <v>3028</v>
      </c>
      <c r="D707" s="0" t="s">
        <v>3029</v>
      </c>
      <c r="E707" s="0" t="s">
        <v>3030</v>
      </c>
    </row>
    <row r="708" customFormat="false" ht="15" hidden="false" customHeight="false" outlineLevel="0" collapsed="false">
      <c r="A708" s="0" t="n">
        <v>706</v>
      </c>
      <c r="B708" s="0" t="s">
        <v>3031</v>
      </c>
      <c r="C708" s="0" t="s">
        <v>3032</v>
      </c>
      <c r="D708" s="0" t="s">
        <v>3033</v>
      </c>
      <c r="E708" s="0" t="s">
        <v>3034</v>
      </c>
    </row>
    <row r="709" customFormat="false" ht="15" hidden="false" customHeight="false" outlineLevel="0" collapsed="false">
      <c r="A709" s="0" t="n">
        <v>707</v>
      </c>
      <c r="B709" s="0" t="s">
        <v>3035</v>
      </c>
      <c r="C709" s="0" t="s">
        <v>3036</v>
      </c>
      <c r="D709" s="0" t="s">
        <v>3037</v>
      </c>
      <c r="E709" s="0" t="s">
        <v>3038</v>
      </c>
    </row>
    <row r="710" customFormat="false" ht="15" hidden="false" customHeight="false" outlineLevel="0" collapsed="false">
      <c r="A710" s="0" t="n">
        <v>708</v>
      </c>
      <c r="B710" s="0" t="s">
        <v>3039</v>
      </c>
      <c r="C710" s="0" t="s">
        <v>3040</v>
      </c>
      <c r="D710" s="0" t="s">
        <v>3041</v>
      </c>
      <c r="E710" s="0" t="s">
        <v>3042</v>
      </c>
    </row>
    <row r="711" customFormat="false" ht="15" hidden="false" customHeight="false" outlineLevel="0" collapsed="false">
      <c r="A711" s="0" t="n">
        <v>709</v>
      </c>
      <c r="B711" s="0" t="s">
        <v>3043</v>
      </c>
      <c r="C711" s="0" t="s">
        <v>3044</v>
      </c>
      <c r="D711" s="0" t="s">
        <v>3045</v>
      </c>
      <c r="E711" s="0" t="s">
        <v>3046</v>
      </c>
    </row>
    <row r="712" customFormat="false" ht="15" hidden="false" customHeight="false" outlineLevel="0" collapsed="false">
      <c r="A712" s="0" t="n">
        <v>710</v>
      </c>
      <c r="B712" s="0" t="s">
        <v>3047</v>
      </c>
      <c r="C712" s="0" t="s">
        <v>3048</v>
      </c>
      <c r="D712" s="0" t="s">
        <v>3049</v>
      </c>
      <c r="E712" s="0" t="s">
        <v>3050</v>
      </c>
    </row>
    <row r="713" customFormat="false" ht="15" hidden="false" customHeight="false" outlineLevel="0" collapsed="false">
      <c r="A713" s="0" t="n">
        <v>711</v>
      </c>
      <c r="B713" s="0" t="s">
        <v>3051</v>
      </c>
      <c r="C713" s="0" t="s">
        <v>3052</v>
      </c>
      <c r="D713" s="0" t="s">
        <v>3053</v>
      </c>
      <c r="E713" s="0" t="s">
        <v>3054</v>
      </c>
    </row>
    <row r="714" customFormat="false" ht="15" hidden="false" customHeight="false" outlineLevel="0" collapsed="false">
      <c r="A714" s="0" t="n">
        <v>712</v>
      </c>
      <c r="B714" s="0" t="s">
        <v>3055</v>
      </c>
      <c r="C714" s="0" t="s">
        <v>3056</v>
      </c>
      <c r="D714" s="0" t="s">
        <v>3057</v>
      </c>
      <c r="E714" s="0" t="s">
        <v>3058</v>
      </c>
    </row>
    <row r="715" customFormat="false" ht="15" hidden="false" customHeight="false" outlineLevel="0" collapsed="false">
      <c r="A715" s="0" t="n">
        <v>713</v>
      </c>
      <c r="B715" s="0" t="s">
        <v>3059</v>
      </c>
      <c r="C715" s="0" t="s">
        <v>3060</v>
      </c>
      <c r="D715" s="0" t="s">
        <v>3061</v>
      </c>
      <c r="E715" s="0" t="s">
        <v>3062</v>
      </c>
    </row>
    <row r="716" customFormat="false" ht="15" hidden="false" customHeight="false" outlineLevel="0" collapsed="false">
      <c r="A716" s="0" t="n">
        <v>714</v>
      </c>
      <c r="B716" s="0" t="s">
        <v>3063</v>
      </c>
      <c r="C716" s="0" t="s">
        <v>3064</v>
      </c>
      <c r="D716" s="0" t="s">
        <v>3065</v>
      </c>
      <c r="E716" s="0" t="s">
        <v>3066</v>
      </c>
    </row>
    <row r="717" customFormat="false" ht="15" hidden="false" customHeight="false" outlineLevel="0" collapsed="false">
      <c r="A717" s="0" t="n">
        <v>715</v>
      </c>
      <c r="B717" s="0" t="s">
        <v>3067</v>
      </c>
      <c r="C717" s="0" t="s">
        <v>3068</v>
      </c>
      <c r="D717" s="0" t="s">
        <v>3069</v>
      </c>
      <c r="E717" s="0" t="s">
        <v>3070</v>
      </c>
    </row>
    <row r="718" customFormat="false" ht="15" hidden="false" customHeight="false" outlineLevel="0" collapsed="false">
      <c r="A718" s="0" t="n">
        <v>716</v>
      </c>
      <c r="B718" s="0" t="s">
        <v>3071</v>
      </c>
      <c r="C718" s="0" t="s">
        <v>3072</v>
      </c>
      <c r="D718" s="0" t="s">
        <v>3073</v>
      </c>
      <c r="E718" s="0" t="s">
        <v>3074</v>
      </c>
    </row>
    <row r="719" customFormat="false" ht="15" hidden="false" customHeight="false" outlineLevel="0" collapsed="false">
      <c r="A719" s="0" t="n">
        <v>717</v>
      </c>
      <c r="B719" s="0" t="s">
        <v>3075</v>
      </c>
      <c r="C719" s="0" t="s">
        <v>3076</v>
      </c>
      <c r="D719" s="0" t="s">
        <v>3077</v>
      </c>
      <c r="E719" s="0" t="s">
        <v>3078</v>
      </c>
    </row>
    <row r="720" customFormat="false" ht="15" hidden="false" customHeight="false" outlineLevel="0" collapsed="false">
      <c r="A720" s="0" t="n">
        <v>718</v>
      </c>
      <c r="B720" s="0" t="s">
        <v>3079</v>
      </c>
      <c r="C720" s="0" t="s">
        <v>3080</v>
      </c>
      <c r="D720" s="0" t="s">
        <v>3081</v>
      </c>
      <c r="E720" s="0" t="s">
        <v>3082</v>
      </c>
    </row>
    <row r="721" customFormat="false" ht="15" hidden="false" customHeight="false" outlineLevel="0" collapsed="false">
      <c r="A721" s="0" t="n">
        <v>719</v>
      </c>
      <c r="B721" s="0" t="s">
        <v>3083</v>
      </c>
      <c r="C721" s="0" t="s">
        <v>3084</v>
      </c>
      <c r="D721" s="0" t="s">
        <v>3085</v>
      </c>
      <c r="E721" s="0" t="s">
        <v>3086</v>
      </c>
    </row>
    <row r="722" customFormat="false" ht="15" hidden="false" customHeight="false" outlineLevel="0" collapsed="false">
      <c r="A722" s="0" t="n">
        <v>720</v>
      </c>
      <c r="B722" s="0" t="s">
        <v>3087</v>
      </c>
      <c r="C722" s="0" t="s">
        <v>3088</v>
      </c>
      <c r="D722" s="0" t="s">
        <v>3089</v>
      </c>
      <c r="E722" s="0" t="s">
        <v>3090</v>
      </c>
    </row>
    <row r="723" customFormat="false" ht="15" hidden="false" customHeight="false" outlineLevel="0" collapsed="false">
      <c r="A723" s="0" t="n">
        <v>721</v>
      </c>
      <c r="B723" s="0" t="s">
        <v>3091</v>
      </c>
      <c r="C723" s="0" t="s">
        <v>3092</v>
      </c>
      <c r="D723" s="0" t="s">
        <v>3093</v>
      </c>
      <c r="E723" s="0" t="s">
        <v>3094</v>
      </c>
    </row>
    <row r="724" customFormat="false" ht="15" hidden="false" customHeight="false" outlineLevel="0" collapsed="false">
      <c r="A724" s="0" t="n">
        <v>722</v>
      </c>
      <c r="B724" s="0" t="s">
        <v>3095</v>
      </c>
      <c r="C724" s="0" t="s">
        <v>3096</v>
      </c>
      <c r="D724" s="0" t="s">
        <v>3097</v>
      </c>
      <c r="E724" s="0" t="s">
        <v>3098</v>
      </c>
    </row>
    <row r="725" customFormat="false" ht="15" hidden="false" customHeight="false" outlineLevel="0" collapsed="false">
      <c r="A725" s="0" t="n">
        <v>723</v>
      </c>
      <c r="B725" s="0" t="s">
        <v>3099</v>
      </c>
      <c r="C725" s="0" t="s">
        <v>3100</v>
      </c>
      <c r="D725" s="0" t="s">
        <v>3101</v>
      </c>
      <c r="E725" s="0" t="s">
        <v>3102</v>
      </c>
    </row>
    <row r="726" customFormat="false" ht="15" hidden="false" customHeight="false" outlineLevel="0" collapsed="false">
      <c r="A726" s="0" t="n">
        <v>724</v>
      </c>
      <c r="B726" s="0" t="s">
        <v>3103</v>
      </c>
      <c r="C726" s="0" t="s">
        <v>3104</v>
      </c>
      <c r="D726" s="0" t="s">
        <v>3105</v>
      </c>
      <c r="E726" s="0" t="s">
        <v>3106</v>
      </c>
    </row>
    <row r="727" customFormat="false" ht="15" hidden="false" customHeight="false" outlineLevel="0" collapsed="false">
      <c r="A727" s="0" t="n">
        <v>725</v>
      </c>
      <c r="B727" s="0" t="s">
        <v>3107</v>
      </c>
      <c r="C727" s="0" t="s">
        <v>3108</v>
      </c>
      <c r="D727" s="0" t="s">
        <v>3109</v>
      </c>
      <c r="E727" s="0" t="s">
        <v>3110</v>
      </c>
    </row>
    <row r="728" customFormat="false" ht="15" hidden="false" customHeight="false" outlineLevel="0" collapsed="false">
      <c r="A728" s="0" t="n">
        <v>726</v>
      </c>
      <c r="B728" s="0" t="s">
        <v>3111</v>
      </c>
      <c r="C728" s="0" t="s">
        <v>3112</v>
      </c>
      <c r="D728" s="0" t="s">
        <v>3113</v>
      </c>
      <c r="E728" s="0" t="s">
        <v>3114</v>
      </c>
    </row>
    <row r="729" customFormat="false" ht="15" hidden="false" customHeight="false" outlineLevel="0" collapsed="false">
      <c r="A729" s="0" t="n">
        <v>727</v>
      </c>
      <c r="B729" s="0" t="s">
        <v>3115</v>
      </c>
      <c r="C729" s="0" t="s">
        <v>3116</v>
      </c>
      <c r="D729" s="0" t="s">
        <v>3117</v>
      </c>
      <c r="E729" s="0" t="s">
        <v>3118</v>
      </c>
    </row>
    <row r="730" customFormat="false" ht="15" hidden="false" customHeight="false" outlineLevel="0" collapsed="false">
      <c r="A730" s="0" t="n">
        <v>728</v>
      </c>
      <c r="B730" s="0" t="s">
        <v>3119</v>
      </c>
      <c r="C730" s="0" t="s">
        <v>3120</v>
      </c>
      <c r="D730" s="0" t="s">
        <v>3121</v>
      </c>
      <c r="E730" s="0" t="s">
        <v>3122</v>
      </c>
    </row>
    <row r="731" customFormat="false" ht="15" hidden="false" customHeight="false" outlineLevel="0" collapsed="false">
      <c r="A731" s="0" t="n">
        <v>729</v>
      </c>
      <c r="B731" s="0" t="s">
        <v>3123</v>
      </c>
      <c r="C731" s="0" t="s">
        <v>3124</v>
      </c>
      <c r="D731" s="0" t="s">
        <v>3125</v>
      </c>
      <c r="E731" s="0" t="s">
        <v>3126</v>
      </c>
    </row>
    <row r="732" customFormat="false" ht="15" hidden="false" customHeight="false" outlineLevel="0" collapsed="false">
      <c r="A732" s="0" t="n">
        <v>730</v>
      </c>
      <c r="B732" s="0" t="s">
        <v>3127</v>
      </c>
      <c r="C732" s="0" t="s">
        <v>3128</v>
      </c>
      <c r="D732" s="0" t="s">
        <v>3129</v>
      </c>
      <c r="E732" s="0" t="s">
        <v>3130</v>
      </c>
    </row>
    <row r="733" customFormat="false" ht="15" hidden="false" customHeight="false" outlineLevel="0" collapsed="false">
      <c r="A733" s="0" t="n">
        <v>731</v>
      </c>
      <c r="B733" s="0" t="s">
        <v>3131</v>
      </c>
      <c r="C733" s="0" t="s">
        <v>3132</v>
      </c>
      <c r="D733" s="0" t="s">
        <v>3133</v>
      </c>
      <c r="E733" s="0" t="s">
        <v>3134</v>
      </c>
    </row>
    <row r="734" customFormat="false" ht="15" hidden="false" customHeight="false" outlineLevel="0" collapsed="false">
      <c r="A734" s="0" t="n">
        <v>732</v>
      </c>
      <c r="B734" s="0" t="s">
        <v>3135</v>
      </c>
      <c r="C734" s="0" t="s">
        <v>3136</v>
      </c>
      <c r="D734" s="0" t="s">
        <v>3137</v>
      </c>
      <c r="E734" s="0" t="s">
        <v>3138</v>
      </c>
    </row>
    <row r="735" customFormat="false" ht="15" hidden="false" customHeight="false" outlineLevel="0" collapsed="false">
      <c r="A735" s="0" t="n">
        <v>733</v>
      </c>
      <c r="B735" s="0" t="s">
        <v>3139</v>
      </c>
      <c r="C735" s="0" t="s">
        <v>3140</v>
      </c>
      <c r="D735" s="0" t="s">
        <v>3141</v>
      </c>
      <c r="E735" s="0" t="s">
        <v>3142</v>
      </c>
    </row>
    <row r="736" customFormat="false" ht="15" hidden="false" customHeight="false" outlineLevel="0" collapsed="false">
      <c r="A736" s="0" t="n">
        <v>734</v>
      </c>
      <c r="B736" s="0" t="s">
        <v>3143</v>
      </c>
      <c r="C736" s="0" t="s">
        <v>3144</v>
      </c>
      <c r="D736" s="0" t="s">
        <v>3145</v>
      </c>
      <c r="E736" s="0" t="s">
        <v>3146</v>
      </c>
    </row>
    <row r="737" customFormat="false" ht="15" hidden="false" customHeight="false" outlineLevel="0" collapsed="false">
      <c r="A737" s="0" t="n">
        <v>735</v>
      </c>
      <c r="B737" s="0" t="s">
        <v>3147</v>
      </c>
      <c r="C737" s="0" t="s">
        <v>3148</v>
      </c>
      <c r="D737" s="0" t="s">
        <v>3149</v>
      </c>
      <c r="E737" s="0" t="s">
        <v>3150</v>
      </c>
    </row>
    <row r="738" customFormat="false" ht="15" hidden="false" customHeight="false" outlineLevel="0" collapsed="false">
      <c r="A738" s="0" t="n">
        <v>736</v>
      </c>
      <c r="B738" s="0" t="s">
        <v>3151</v>
      </c>
      <c r="C738" s="0" t="s">
        <v>3152</v>
      </c>
      <c r="D738" s="0" t="s">
        <v>3153</v>
      </c>
      <c r="E738" s="0" t="s">
        <v>3154</v>
      </c>
    </row>
    <row r="739" customFormat="false" ht="15" hidden="false" customHeight="false" outlineLevel="0" collapsed="false">
      <c r="A739" s="0" t="n">
        <v>737</v>
      </c>
      <c r="B739" s="0" t="s">
        <v>3155</v>
      </c>
      <c r="C739" s="0" t="s">
        <v>3156</v>
      </c>
      <c r="D739" s="0" t="s">
        <v>3157</v>
      </c>
      <c r="E739" s="0" t="s">
        <v>3158</v>
      </c>
    </row>
    <row r="740" customFormat="false" ht="15" hidden="false" customHeight="false" outlineLevel="0" collapsed="false">
      <c r="A740" s="0" t="n">
        <v>738</v>
      </c>
      <c r="B740" s="0" t="s">
        <v>3159</v>
      </c>
      <c r="C740" s="0" t="s">
        <v>3160</v>
      </c>
      <c r="D740" s="0" t="s">
        <v>3161</v>
      </c>
      <c r="E740" s="0" t="s">
        <v>3162</v>
      </c>
    </row>
    <row r="741" customFormat="false" ht="15" hidden="false" customHeight="false" outlineLevel="0" collapsed="false">
      <c r="A741" s="0" t="n">
        <v>739</v>
      </c>
      <c r="B741" s="0" t="s">
        <v>3163</v>
      </c>
      <c r="C741" s="0" t="s">
        <v>3164</v>
      </c>
      <c r="D741" s="0" t="s">
        <v>3165</v>
      </c>
      <c r="E741" s="0" t="s">
        <v>3166</v>
      </c>
    </row>
    <row r="742" customFormat="false" ht="15" hidden="false" customHeight="false" outlineLevel="0" collapsed="false">
      <c r="A742" s="0" t="n">
        <v>740</v>
      </c>
      <c r="B742" s="0" t="s">
        <v>3167</v>
      </c>
      <c r="C742" s="0" t="s">
        <v>3168</v>
      </c>
      <c r="D742" s="0" t="s">
        <v>3169</v>
      </c>
      <c r="E742" s="0" t="s">
        <v>3170</v>
      </c>
    </row>
    <row r="743" customFormat="false" ht="15" hidden="false" customHeight="false" outlineLevel="0" collapsed="false">
      <c r="A743" s="0" t="n">
        <v>741</v>
      </c>
      <c r="B743" s="0" t="s">
        <v>3171</v>
      </c>
      <c r="C743" s="0" t="s">
        <v>3172</v>
      </c>
      <c r="D743" s="0" t="s">
        <v>3173</v>
      </c>
      <c r="E743" s="0" t="s">
        <v>3174</v>
      </c>
    </row>
    <row r="744" customFormat="false" ht="15" hidden="false" customHeight="false" outlineLevel="0" collapsed="false">
      <c r="A744" s="0" t="n">
        <v>742</v>
      </c>
      <c r="B744" s="0" t="s">
        <v>3175</v>
      </c>
      <c r="C744" s="0" t="s">
        <v>3176</v>
      </c>
      <c r="D744" s="0" t="s">
        <v>3177</v>
      </c>
      <c r="E744" s="0" t="s">
        <v>3178</v>
      </c>
    </row>
    <row r="745" customFormat="false" ht="15" hidden="false" customHeight="false" outlineLevel="0" collapsed="false">
      <c r="A745" s="0" t="n">
        <v>743</v>
      </c>
      <c r="B745" s="0" t="s">
        <v>3179</v>
      </c>
      <c r="C745" s="0" t="s">
        <v>3180</v>
      </c>
      <c r="D745" s="0" t="s">
        <v>3181</v>
      </c>
      <c r="E745" s="0" t="s">
        <v>3182</v>
      </c>
    </row>
    <row r="746" customFormat="false" ht="15" hidden="false" customHeight="false" outlineLevel="0" collapsed="false">
      <c r="A746" s="0" t="n">
        <v>744</v>
      </c>
      <c r="B746" s="0" t="s">
        <v>3183</v>
      </c>
      <c r="C746" s="0" t="s">
        <v>3184</v>
      </c>
      <c r="D746" s="0" t="s">
        <v>3185</v>
      </c>
      <c r="E746" s="0" t="s">
        <v>3186</v>
      </c>
    </row>
    <row r="747" customFormat="false" ht="15" hidden="false" customHeight="false" outlineLevel="0" collapsed="false">
      <c r="A747" s="0" t="n">
        <v>745</v>
      </c>
      <c r="B747" s="0" t="s">
        <v>3187</v>
      </c>
      <c r="C747" s="0" t="s">
        <v>3188</v>
      </c>
      <c r="D747" s="0" t="s">
        <v>3189</v>
      </c>
      <c r="E747" s="0" t="s">
        <v>3190</v>
      </c>
    </row>
    <row r="748" customFormat="false" ht="15" hidden="false" customHeight="false" outlineLevel="0" collapsed="false">
      <c r="A748" s="0" t="n">
        <v>746</v>
      </c>
      <c r="B748" s="0" t="s">
        <v>3191</v>
      </c>
      <c r="C748" s="0" t="s">
        <v>3192</v>
      </c>
      <c r="D748" s="0" t="s">
        <v>3193</v>
      </c>
      <c r="E748" s="0" t="s">
        <v>3194</v>
      </c>
    </row>
    <row r="749" customFormat="false" ht="15" hidden="false" customHeight="false" outlineLevel="0" collapsed="false">
      <c r="A749" s="0" t="n">
        <v>747</v>
      </c>
      <c r="B749" s="0" t="s">
        <v>3195</v>
      </c>
      <c r="C749" s="0" t="s">
        <v>3196</v>
      </c>
      <c r="D749" s="0" t="s">
        <v>3197</v>
      </c>
      <c r="E749" s="0" t="s">
        <v>3198</v>
      </c>
    </row>
    <row r="750" customFormat="false" ht="15" hidden="false" customHeight="false" outlineLevel="0" collapsed="false">
      <c r="A750" s="0" t="n">
        <v>748</v>
      </c>
      <c r="B750" s="0" t="s">
        <v>3199</v>
      </c>
      <c r="C750" s="0" t="s">
        <v>3200</v>
      </c>
      <c r="D750" s="0" t="s">
        <v>3201</v>
      </c>
      <c r="E750" s="0" t="s">
        <v>3202</v>
      </c>
    </row>
    <row r="751" customFormat="false" ht="15" hidden="false" customHeight="false" outlineLevel="0" collapsed="false">
      <c r="A751" s="0" t="n">
        <v>749</v>
      </c>
      <c r="B751" s="0" t="s">
        <v>3203</v>
      </c>
      <c r="C751" s="0" t="s">
        <v>3204</v>
      </c>
      <c r="D751" s="0" t="s">
        <v>3205</v>
      </c>
      <c r="E751" s="0" t="s">
        <v>3206</v>
      </c>
    </row>
    <row r="752" customFormat="false" ht="15" hidden="false" customHeight="false" outlineLevel="0" collapsed="false">
      <c r="A752" s="0" t="n">
        <v>750</v>
      </c>
      <c r="B752" s="0" t="s">
        <v>3207</v>
      </c>
      <c r="C752" s="0" t="s">
        <v>3208</v>
      </c>
      <c r="D752" s="0" t="s">
        <v>3209</v>
      </c>
      <c r="E752" s="0" t="s">
        <v>3210</v>
      </c>
    </row>
    <row r="753" customFormat="false" ht="15" hidden="false" customHeight="false" outlineLevel="0" collapsed="false">
      <c r="A753" s="0" t="n">
        <v>751</v>
      </c>
      <c r="B753" s="0" t="s">
        <v>3211</v>
      </c>
      <c r="C753" s="0" t="s">
        <v>3212</v>
      </c>
      <c r="D753" s="0" t="s">
        <v>3213</v>
      </c>
      <c r="E753" s="0" t="s">
        <v>3214</v>
      </c>
    </row>
    <row r="754" customFormat="false" ht="15" hidden="false" customHeight="false" outlineLevel="0" collapsed="false">
      <c r="A754" s="0" t="n">
        <v>752</v>
      </c>
      <c r="B754" s="0" t="s">
        <v>3215</v>
      </c>
      <c r="C754" s="0" t="s">
        <v>3216</v>
      </c>
      <c r="D754" s="0" t="s">
        <v>3217</v>
      </c>
      <c r="E754" s="0" t="s">
        <v>3218</v>
      </c>
    </row>
    <row r="755" customFormat="false" ht="15" hidden="false" customHeight="false" outlineLevel="0" collapsed="false">
      <c r="A755" s="0" t="n">
        <v>753</v>
      </c>
      <c r="B755" s="0" t="s">
        <v>3219</v>
      </c>
      <c r="C755" s="0" t="s">
        <v>3220</v>
      </c>
      <c r="D755" s="0" t="s">
        <v>3221</v>
      </c>
      <c r="E755" s="0" t="s">
        <v>3222</v>
      </c>
    </row>
    <row r="756" customFormat="false" ht="15" hidden="false" customHeight="false" outlineLevel="0" collapsed="false">
      <c r="A756" s="0" t="n">
        <v>754</v>
      </c>
      <c r="B756" s="0" t="s">
        <v>3223</v>
      </c>
      <c r="C756" s="0" t="s">
        <v>3224</v>
      </c>
      <c r="D756" s="0" t="s">
        <v>3225</v>
      </c>
      <c r="E756" s="0" t="s">
        <v>3226</v>
      </c>
    </row>
    <row r="757" customFormat="false" ht="15" hidden="false" customHeight="false" outlineLevel="0" collapsed="false">
      <c r="A757" s="0" t="n">
        <v>755</v>
      </c>
      <c r="B757" s="0" t="s">
        <v>3227</v>
      </c>
      <c r="C757" s="0" t="s">
        <v>3228</v>
      </c>
      <c r="D757" s="0" t="s">
        <v>3229</v>
      </c>
      <c r="E757" s="0" t="s">
        <v>3230</v>
      </c>
    </row>
    <row r="758" customFormat="false" ht="15" hidden="false" customHeight="false" outlineLevel="0" collapsed="false">
      <c r="A758" s="0" t="n">
        <v>756</v>
      </c>
      <c r="B758" s="0" t="s">
        <v>3231</v>
      </c>
      <c r="C758" s="0" t="s">
        <v>3232</v>
      </c>
      <c r="D758" s="0" t="s">
        <v>3233</v>
      </c>
      <c r="E758" s="0" t="s">
        <v>3234</v>
      </c>
    </row>
    <row r="759" customFormat="false" ht="15" hidden="false" customHeight="false" outlineLevel="0" collapsed="false">
      <c r="A759" s="0" t="n">
        <v>757</v>
      </c>
      <c r="B759" s="0" t="s">
        <v>3235</v>
      </c>
      <c r="C759" s="0" t="s">
        <v>3236</v>
      </c>
      <c r="D759" s="0" t="s">
        <v>3237</v>
      </c>
      <c r="E759" s="0" t="s">
        <v>3238</v>
      </c>
    </row>
    <row r="760" customFormat="false" ht="15" hidden="false" customHeight="false" outlineLevel="0" collapsed="false">
      <c r="A760" s="0" t="n">
        <v>758</v>
      </c>
      <c r="B760" s="0" t="s">
        <v>3239</v>
      </c>
      <c r="C760" s="0" t="s">
        <v>3240</v>
      </c>
      <c r="D760" s="0" t="s">
        <v>3241</v>
      </c>
      <c r="E760" s="0" t="s">
        <v>3242</v>
      </c>
    </row>
    <row r="761" customFormat="false" ht="15" hidden="false" customHeight="false" outlineLevel="0" collapsed="false">
      <c r="A761" s="0" t="n">
        <v>759</v>
      </c>
      <c r="B761" s="0" t="s">
        <v>3243</v>
      </c>
      <c r="C761" s="0" t="s">
        <v>3244</v>
      </c>
      <c r="D761" s="0" t="s">
        <v>3245</v>
      </c>
      <c r="E761" s="0" t="s">
        <v>3246</v>
      </c>
    </row>
    <row r="762" customFormat="false" ht="15" hidden="false" customHeight="false" outlineLevel="0" collapsed="false">
      <c r="A762" s="0" t="n">
        <v>760</v>
      </c>
      <c r="B762" s="0" t="s">
        <v>3247</v>
      </c>
      <c r="C762" s="0" t="s">
        <v>3248</v>
      </c>
      <c r="D762" s="0" t="s">
        <v>3249</v>
      </c>
      <c r="E762" s="0" t="s">
        <v>3250</v>
      </c>
    </row>
    <row r="763" customFormat="false" ht="15" hidden="false" customHeight="false" outlineLevel="0" collapsed="false">
      <c r="A763" s="0" t="n">
        <v>761</v>
      </c>
      <c r="B763" s="0" t="s">
        <v>3251</v>
      </c>
      <c r="C763" s="0" t="s">
        <v>3252</v>
      </c>
      <c r="D763" s="0" t="s">
        <v>3253</v>
      </c>
      <c r="E763" s="0" t="s">
        <v>3254</v>
      </c>
    </row>
    <row r="764" customFormat="false" ht="15" hidden="false" customHeight="false" outlineLevel="0" collapsed="false">
      <c r="A764" s="0" t="n">
        <v>762</v>
      </c>
      <c r="B764" s="0" t="s">
        <v>3255</v>
      </c>
      <c r="C764" s="0" t="s">
        <v>3256</v>
      </c>
      <c r="D764" s="0" t="s">
        <v>3257</v>
      </c>
      <c r="E764" s="0" t="s">
        <v>3258</v>
      </c>
    </row>
    <row r="765" customFormat="false" ht="15" hidden="false" customHeight="false" outlineLevel="0" collapsed="false">
      <c r="A765" s="0" t="n">
        <v>763</v>
      </c>
      <c r="B765" s="0" t="s">
        <v>3259</v>
      </c>
      <c r="C765" s="0" t="s">
        <v>3260</v>
      </c>
      <c r="D765" s="0" t="s">
        <v>3261</v>
      </c>
      <c r="E765" s="0" t="s">
        <v>3262</v>
      </c>
    </row>
    <row r="766" customFormat="false" ht="15" hidden="false" customHeight="false" outlineLevel="0" collapsed="false">
      <c r="A766" s="0" t="n">
        <v>764</v>
      </c>
      <c r="B766" s="0" t="s">
        <v>3263</v>
      </c>
      <c r="C766" s="0" t="s">
        <v>3264</v>
      </c>
      <c r="D766" s="0" t="s">
        <v>3265</v>
      </c>
      <c r="E766" s="0" t="s">
        <v>3266</v>
      </c>
    </row>
    <row r="767" customFormat="false" ht="15" hidden="false" customHeight="false" outlineLevel="0" collapsed="false">
      <c r="A767" s="0" t="n">
        <v>765</v>
      </c>
      <c r="B767" s="0" t="s">
        <v>3267</v>
      </c>
      <c r="C767" s="0" t="s">
        <v>3268</v>
      </c>
      <c r="D767" s="0" t="s">
        <v>3269</v>
      </c>
      <c r="E767" s="0" t="s">
        <v>3270</v>
      </c>
    </row>
    <row r="768" customFormat="false" ht="15" hidden="false" customHeight="false" outlineLevel="0" collapsed="false">
      <c r="A768" s="0" t="n">
        <v>766</v>
      </c>
      <c r="B768" s="0" t="s">
        <v>3271</v>
      </c>
      <c r="C768" s="0" t="s">
        <v>3272</v>
      </c>
      <c r="D768" s="0" t="s">
        <v>3273</v>
      </c>
      <c r="E768" s="0" t="s">
        <v>3274</v>
      </c>
    </row>
    <row r="769" customFormat="false" ht="15" hidden="false" customHeight="false" outlineLevel="0" collapsed="false">
      <c r="A769" s="0" t="n">
        <v>767</v>
      </c>
      <c r="B769" s="0" t="s">
        <v>3275</v>
      </c>
      <c r="C769" s="0" t="s">
        <v>3276</v>
      </c>
      <c r="D769" s="0" t="s">
        <v>3277</v>
      </c>
      <c r="E769" s="0" t="s">
        <v>3278</v>
      </c>
    </row>
    <row r="770" customFormat="false" ht="15" hidden="false" customHeight="false" outlineLevel="0" collapsed="false">
      <c r="A770" s="0" t="n">
        <v>768</v>
      </c>
      <c r="B770" s="0" t="s">
        <v>3279</v>
      </c>
      <c r="C770" s="0" t="s">
        <v>3280</v>
      </c>
      <c r="D770" s="0" t="s">
        <v>3281</v>
      </c>
      <c r="E770" s="0" t="s">
        <v>3282</v>
      </c>
    </row>
    <row r="771" customFormat="false" ht="15" hidden="false" customHeight="false" outlineLevel="0" collapsed="false">
      <c r="A771" s="0" t="n">
        <v>769</v>
      </c>
      <c r="B771" s="0" t="s">
        <v>3283</v>
      </c>
      <c r="C771" s="0" t="s">
        <v>3284</v>
      </c>
      <c r="D771" s="0" t="s">
        <v>3285</v>
      </c>
      <c r="E771" s="0" t="s">
        <v>3286</v>
      </c>
    </row>
    <row r="772" customFormat="false" ht="15" hidden="false" customHeight="false" outlineLevel="0" collapsed="false">
      <c r="A772" s="0" t="n">
        <v>770</v>
      </c>
      <c r="B772" s="0" t="s">
        <v>3287</v>
      </c>
      <c r="C772" s="0" t="s">
        <v>3288</v>
      </c>
      <c r="D772" s="0" t="s">
        <v>3289</v>
      </c>
      <c r="E772" s="0" t="s">
        <v>3290</v>
      </c>
    </row>
    <row r="773" customFormat="false" ht="15" hidden="false" customHeight="false" outlineLevel="0" collapsed="false">
      <c r="A773" s="0" t="n">
        <v>771</v>
      </c>
      <c r="B773" s="0" t="s">
        <v>3291</v>
      </c>
      <c r="C773" s="0" t="s">
        <v>3292</v>
      </c>
      <c r="D773" s="0" t="s">
        <v>3293</v>
      </c>
      <c r="E773" s="0" t="s">
        <v>3294</v>
      </c>
    </row>
    <row r="774" customFormat="false" ht="15" hidden="false" customHeight="false" outlineLevel="0" collapsed="false">
      <c r="A774" s="0" t="n">
        <v>772</v>
      </c>
      <c r="B774" s="0" t="s">
        <v>3295</v>
      </c>
      <c r="C774" s="0" t="s">
        <v>3296</v>
      </c>
      <c r="D774" s="0" t="s">
        <v>3297</v>
      </c>
      <c r="E774" s="0" t="s">
        <v>3298</v>
      </c>
    </row>
    <row r="775" customFormat="false" ht="15" hidden="false" customHeight="false" outlineLevel="0" collapsed="false">
      <c r="A775" s="0" t="n">
        <v>773</v>
      </c>
      <c r="B775" s="0" t="s">
        <v>3299</v>
      </c>
      <c r="C775" s="0" t="s">
        <v>3300</v>
      </c>
      <c r="D775" s="0" t="s">
        <v>3301</v>
      </c>
      <c r="E775" s="0" t="s">
        <v>3302</v>
      </c>
    </row>
    <row r="776" customFormat="false" ht="15" hidden="false" customHeight="false" outlineLevel="0" collapsed="false">
      <c r="A776" s="0" t="n">
        <v>774</v>
      </c>
      <c r="B776" s="0" t="s">
        <v>3303</v>
      </c>
      <c r="C776" s="0" t="s">
        <v>3304</v>
      </c>
      <c r="D776" s="0" t="s">
        <v>3305</v>
      </c>
      <c r="E776" s="0" t="s">
        <v>3306</v>
      </c>
    </row>
    <row r="777" customFormat="false" ht="15" hidden="false" customHeight="false" outlineLevel="0" collapsed="false">
      <c r="A777" s="0" t="n">
        <v>775</v>
      </c>
      <c r="B777" s="0" t="s">
        <v>3307</v>
      </c>
      <c r="C777" s="0" t="s">
        <v>3308</v>
      </c>
      <c r="D777" s="0" t="s">
        <v>3309</v>
      </c>
      <c r="E777" s="0" t="s">
        <v>3310</v>
      </c>
    </row>
    <row r="778" customFormat="false" ht="15" hidden="false" customHeight="false" outlineLevel="0" collapsed="false">
      <c r="A778" s="0" t="n">
        <v>776</v>
      </c>
      <c r="B778" s="0" t="s">
        <v>3311</v>
      </c>
      <c r="C778" s="0" t="s">
        <v>3312</v>
      </c>
      <c r="D778" s="0" t="s">
        <v>3313</v>
      </c>
      <c r="E778" s="0" t="s">
        <v>3314</v>
      </c>
    </row>
    <row r="779" customFormat="false" ht="15" hidden="false" customHeight="false" outlineLevel="0" collapsed="false">
      <c r="A779" s="0" t="n">
        <v>777</v>
      </c>
      <c r="B779" s="0" t="s">
        <v>3315</v>
      </c>
      <c r="C779" s="0" t="s">
        <v>3316</v>
      </c>
      <c r="D779" s="0" t="s">
        <v>3317</v>
      </c>
      <c r="E779" s="0" t="s">
        <v>3318</v>
      </c>
    </row>
    <row r="780" customFormat="false" ht="15" hidden="false" customHeight="false" outlineLevel="0" collapsed="false">
      <c r="A780" s="0" t="n">
        <v>778</v>
      </c>
      <c r="B780" s="0" t="s">
        <v>3319</v>
      </c>
      <c r="C780" s="0" t="s">
        <v>3320</v>
      </c>
      <c r="D780" s="0" t="s">
        <v>3321</v>
      </c>
      <c r="E780" s="0" t="s">
        <v>3322</v>
      </c>
    </row>
    <row r="781" customFormat="false" ht="15" hidden="false" customHeight="false" outlineLevel="0" collapsed="false">
      <c r="A781" s="0" t="n">
        <v>779</v>
      </c>
      <c r="B781" s="0" t="s">
        <v>3323</v>
      </c>
      <c r="C781" s="0" t="s">
        <v>3324</v>
      </c>
      <c r="D781" s="0" t="s">
        <v>3325</v>
      </c>
      <c r="E781" s="0" t="s">
        <v>3326</v>
      </c>
    </row>
    <row r="782" customFormat="false" ht="15" hidden="false" customHeight="false" outlineLevel="0" collapsed="false">
      <c r="A782" s="0" t="n">
        <v>780</v>
      </c>
      <c r="B782" s="0" t="s">
        <v>3327</v>
      </c>
      <c r="C782" s="0" t="s">
        <v>3328</v>
      </c>
      <c r="D782" s="0" t="s">
        <v>3329</v>
      </c>
      <c r="E782" s="0" t="s">
        <v>3330</v>
      </c>
    </row>
    <row r="783" customFormat="false" ht="15" hidden="false" customHeight="false" outlineLevel="0" collapsed="false">
      <c r="A783" s="0" t="n">
        <v>781</v>
      </c>
      <c r="B783" s="0" t="s">
        <v>3331</v>
      </c>
      <c r="C783" s="0" t="s">
        <v>3332</v>
      </c>
      <c r="D783" s="0" t="s">
        <v>3333</v>
      </c>
      <c r="E783" s="0" t="s">
        <v>3334</v>
      </c>
    </row>
    <row r="784" customFormat="false" ht="15" hidden="false" customHeight="false" outlineLevel="0" collapsed="false">
      <c r="A784" s="0" t="n">
        <v>782</v>
      </c>
      <c r="B784" s="0" t="s">
        <v>3335</v>
      </c>
      <c r="C784" s="0" t="s">
        <v>3336</v>
      </c>
      <c r="D784" s="0" t="s">
        <v>3337</v>
      </c>
      <c r="E784" s="0" t="s">
        <v>3338</v>
      </c>
    </row>
    <row r="785" customFormat="false" ht="15" hidden="false" customHeight="false" outlineLevel="0" collapsed="false">
      <c r="A785" s="0" t="n">
        <v>783</v>
      </c>
      <c r="B785" s="0" t="s">
        <v>3339</v>
      </c>
      <c r="C785" s="0" t="s">
        <v>3340</v>
      </c>
      <c r="D785" s="0" t="s">
        <v>3341</v>
      </c>
      <c r="E785" s="0" t="s">
        <v>3342</v>
      </c>
    </row>
    <row r="786" customFormat="false" ht="15" hidden="false" customHeight="false" outlineLevel="0" collapsed="false">
      <c r="A786" s="0" t="n">
        <v>784</v>
      </c>
      <c r="B786" s="0" t="s">
        <v>3343</v>
      </c>
      <c r="C786" s="0" t="s">
        <v>3344</v>
      </c>
      <c r="D786" s="0" t="s">
        <v>3345</v>
      </c>
      <c r="E786" s="0" t="s">
        <v>3346</v>
      </c>
    </row>
    <row r="787" customFormat="false" ht="15" hidden="false" customHeight="false" outlineLevel="0" collapsed="false">
      <c r="A787" s="0" t="n">
        <v>785</v>
      </c>
      <c r="B787" s="0" t="s">
        <v>3347</v>
      </c>
      <c r="C787" s="0" t="s">
        <v>3348</v>
      </c>
      <c r="D787" s="0" t="s">
        <v>3349</v>
      </c>
      <c r="E787" s="0" t="s">
        <v>3350</v>
      </c>
    </row>
    <row r="788" customFormat="false" ht="15" hidden="false" customHeight="false" outlineLevel="0" collapsed="false">
      <c r="A788" s="0" t="n">
        <v>786</v>
      </c>
      <c r="B788" s="0" t="s">
        <v>3351</v>
      </c>
      <c r="C788" s="0" t="s">
        <v>3352</v>
      </c>
      <c r="D788" s="0" t="s">
        <v>3353</v>
      </c>
      <c r="E788" s="0" t="s">
        <v>3354</v>
      </c>
    </row>
    <row r="789" customFormat="false" ht="15" hidden="false" customHeight="false" outlineLevel="0" collapsed="false">
      <c r="A789" s="0" t="n">
        <v>787</v>
      </c>
      <c r="B789" s="0" t="s">
        <v>3355</v>
      </c>
      <c r="C789" s="0" t="s">
        <v>3356</v>
      </c>
      <c r="D789" s="0" t="s">
        <v>3357</v>
      </c>
      <c r="E789" s="0" t="s">
        <v>3358</v>
      </c>
    </row>
    <row r="790" customFormat="false" ht="15" hidden="false" customHeight="false" outlineLevel="0" collapsed="false">
      <c r="A790" s="0" t="n">
        <v>788</v>
      </c>
      <c r="B790" s="0" t="s">
        <v>3359</v>
      </c>
      <c r="C790" s="0" t="s">
        <v>3360</v>
      </c>
      <c r="D790" s="0" t="s">
        <v>3361</v>
      </c>
      <c r="E790" s="0" t="s">
        <v>3362</v>
      </c>
    </row>
    <row r="791" customFormat="false" ht="15" hidden="false" customHeight="false" outlineLevel="0" collapsed="false">
      <c r="A791" s="0" t="n">
        <v>789</v>
      </c>
      <c r="B791" s="0" t="s">
        <v>3363</v>
      </c>
      <c r="C791" s="0" t="s">
        <v>3364</v>
      </c>
      <c r="D791" s="0" t="s">
        <v>3365</v>
      </c>
      <c r="E791" s="0" t="s">
        <v>3366</v>
      </c>
    </row>
    <row r="792" customFormat="false" ht="15" hidden="false" customHeight="false" outlineLevel="0" collapsed="false">
      <c r="A792" s="0" t="n">
        <v>790</v>
      </c>
      <c r="B792" s="0" t="s">
        <v>3367</v>
      </c>
      <c r="C792" s="0" t="s">
        <v>3368</v>
      </c>
      <c r="D792" s="0" t="s">
        <v>3369</v>
      </c>
      <c r="E792" s="0" t="s">
        <v>3370</v>
      </c>
    </row>
    <row r="793" customFormat="false" ht="15" hidden="false" customHeight="false" outlineLevel="0" collapsed="false">
      <c r="A793" s="0" t="n">
        <v>791</v>
      </c>
      <c r="B793" s="0" t="s">
        <v>3371</v>
      </c>
      <c r="C793" s="0" t="s">
        <v>3372</v>
      </c>
      <c r="D793" s="0" t="s">
        <v>3373</v>
      </c>
      <c r="E793" s="0" t="s">
        <v>3374</v>
      </c>
    </row>
    <row r="794" customFormat="false" ht="15" hidden="false" customHeight="false" outlineLevel="0" collapsed="false">
      <c r="A794" s="0" t="n">
        <v>792</v>
      </c>
      <c r="B794" s="0" t="s">
        <v>3375</v>
      </c>
      <c r="C794" s="0" t="s">
        <v>3376</v>
      </c>
      <c r="D794" s="0" t="s">
        <v>3377</v>
      </c>
      <c r="E794" s="0" t="s">
        <v>3378</v>
      </c>
    </row>
    <row r="795" customFormat="false" ht="15" hidden="false" customHeight="false" outlineLevel="0" collapsed="false">
      <c r="A795" s="0" t="n">
        <v>793</v>
      </c>
      <c r="B795" s="0" t="s">
        <v>3379</v>
      </c>
      <c r="C795" s="0" t="s">
        <v>3380</v>
      </c>
      <c r="D795" s="0" t="s">
        <v>3381</v>
      </c>
      <c r="E795" s="0" t="s">
        <v>3382</v>
      </c>
    </row>
    <row r="796" customFormat="false" ht="15" hidden="false" customHeight="false" outlineLevel="0" collapsed="false">
      <c r="A796" s="0" t="n">
        <v>794</v>
      </c>
      <c r="B796" s="0" t="s">
        <v>3383</v>
      </c>
      <c r="C796" s="0" t="s">
        <v>3384</v>
      </c>
      <c r="D796" s="0" t="s">
        <v>3385</v>
      </c>
      <c r="E796" s="0" t="s">
        <v>3386</v>
      </c>
    </row>
    <row r="797" customFormat="false" ht="15" hidden="false" customHeight="false" outlineLevel="0" collapsed="false">
      <c r="A797" s="0" t="n">
        <v>795</v>
      </c>
      <c r="B797" s="0" t="s">
        <v>3387</v>
      </c>
      <c r="C797" s="0" t="s">
        <v>3388</v>
      </c>
      <c r="D797" s="0" t="s">
        <v>3389</v>
      </c>
      <c r="E797" s="0" t="s">
        <v>3390</v>
      </c>
    </row>
    <row r="798" customFormat="false" ht="15" hidden="false" customHeight="false" outlineLevel="0" collapsed="false">
      <c r="A798" s="0" t="n">
        <v>796</v>
      </c>
      <c r="B798" s="0" t="s">
        <v>3391</v>
      </c>
      <c r="C798" s="0" t="s">
        <v>3392</v>
      </c>
      <c r="D798" s="0" t="s">
        <v>3393</v>
      </c>
      <c r="E798" s="0" t="s">
        <v>3394</v>
      </c>
    </row>
    <row r="799" customFormat="false" ht="15" hidden="false" customHeight="false" outlineLevel="0" collapsed="false">
      <c r="A799" s="0" t="n">
        <v>797</v>
      </c>
      <c r="B799" s="0" t="s">
        <v>3395</v>
      </c>
      <c r="C799" s="0" t="s">
        <v>3396</v>
      </c>
      <c r="D799" s="0" t="s">
        <v>3397</v>
      </c>
      <c r="E799" s="0" t="s">
        <v>3398</v>
      </c>
    </row>
    <row r="800" customFormat="false" ht="15" hidden="false" customHeight="false" outlineLevel="0" collapsed="false">
      <c r="A800" s="0" t="n">
        <v>798</v>
      </c>
      <c r="B800" s="0" t="s">
        <v>3399</v>
      </c>
      <c r="C800" s="0" t="s">
        <v>3400</v>
      </c>
      <c r="D800" s="0" t="s">
        <v>3401</v>
      </c>
      <c r="E800" s="0" t="s">
        <v>3402</v>
      </c>
    </row>
    <row r="801" customFormat="false" ht="15" hidden="false" customHeight="false" outlineLevel="0" collapsed="false">
      <c r="A801" s="0" t="n">
        <v>799</v>
      </c>
      <c r="B801" s="0" t="s">
        <v>3403</v>
      </c>
      <c r="C801" s="0" t="s">
        <v>3404</v>
      </c>
      <c r="D801" s="0" t="s">
        <v>3405</v>
      </c>
      <c r="E801" s="0" t="s">
        <v>3406</v>
      </c>
    </row>
    <row r="802" customFormat="false" ht="15" hidden="false" customHeight="false" outlineLevel="0" collapsed="false">
      <c r="A802" s="0" t="n">
        <v>800</v>
      </c>
      <c r="B802" s="0" t="s">
        <v>3407</v>
      </c>
      <c r="C802" s="0" t="s">
        <v>3408</v>
      </c>
      <c r="D802" s="0" t="s">
        <v>3409</v>
      </c>
      <c r="E802" s="0" t="s">
        <v>3410</v>
      </c>
    </row>
    <row r="803" customFormat="false" ht="15" hidden="false" customHeight="false" outlineLevel="0" collapsed="false">
      <c r="A803" s="0" t="n">
        <v>801</v>
      </c>
      <c r="B803" s="0" t="s">
        <v>3411</v>
      </c>
      <c r="C803" s="0" t="s">
        <v>3412</v>
      </c>
      <c r="D803" s="0" t="s">
        <v>3413</v>
      </c>
      <c r="E803" s="0" t="s">
        <v>3414</v>
      </c>
    </row>
    <row r="804" customFormat="false" ht="15" hidden="false" customHeight="false" outlineLevel="0" collapsed="false">
      <c r="A804" s="0" t="n">
        <v>802</v>
      </c>
      <c r="B804" s="0" t="s">
        <v>3415</v>
      </c>
      <c r="C804" s="0" t="s">
        <v>3416</v>
      </c>
      <c r="D804" s="0" t="s">
        <v>3417</v>
      </c>
      <c r="E804" s="0" t="s">
        <v>3418</v>
      </c>
    </row>
    <row r="805" customFormat="false" ht="15" hidden="false" customHeight="false" outlineLevel="0" collapsed="false">
      <c r="A805" s="0" t="n">
        <v>803</v>
      </c>
      <c r="B805" s="0" t="s">
        <v>3419</v>
      </c>
      <c r="C805" s="0" t="s">
        <v>3420</v>
      </c>
      <c r="D805" s="0" t="s">
        <v>3421</v>
      </c>
      <c r="E805" s="0" t="s">
        <v>3422</v>
      </c>
    </row>
    <row r="806" customFormat="false" ht="15" hidden="false" customHeight="false" outlineLevel="0" collapsed="false">
      <c r="A806" s="0" t="n">
        <v>804</v>
      </c>
      <c r="B806" s="0" t="s">
        <v>3423</v>
      </c>
      <c r="C806" s="0" t="s">
        <v>3424</v>
      </c>
      <c r="D806" s="0" t="s">
        <v>3425</v>
      </c>
      <c r="E806" s="0" t="s">
        <v>3426</v>
      </c>
    </row>
    <row r="807" customFormat="false" ht="15" hidden="false" customHeight="false" outlineLevel="0" collapsed="false">
      <c r="A807" s="0" t="n">
        <v>805</v>
      </c>
      <c r="B807" s="0" t="s">
        <v>3427</v>
      </c>
      <c r="C807" s="0" t="s">
        <v>3428</v>
      </c>
      <c r="D807" s="0" t="s">
        <v>3429</v>
      </c>
      <c r="E807" s="0" t="s">
        <v>3430</v>
      </c>
    </row>
    <row r="808" customFormat="false" ht="15" hidden="false" customHeight="false" outlineLevel="0" collapsed="false">
      <c r="A808" s="0" t="n">
        <v>806</v>
      </c>
      <c r="B808" s="0" t="s">
        <v>3431</v>
      </c>
      <c r="C808" s="0" t="s">
        <v>3432</v>
      </c>
      <c r="D808" s="0" t="s">
        <v>3433</v>
      </c>
      <c r="E808" s="0" t="s">
        <v>3434</v>
      </c>
    </row>
    <row r="809" customFormat="false" ht="15" hidden="false" customHeight="false" outlineLevel="0" collapsed="false">
      <c r="A809" s="0" t="n">
        <v>807</v>
      </c>
      <c r="B809" s="0" t="s">
        <v>3435</v>
      </c>
      <c r="C809" s="0" t="s">
        <v>3436</v>
      </c>
      <c r="D809" s="0" t="s">
        <v>3437</v>
      </c>
      <c r="E809" s="0" t="s">
        <v>3438</v>
      </c>
    </row>
    <row r="810" customFormat="false" ht="15" hidden="false" customHeight="false" outlineLevel="0" collapsed="false">
      <c r="A810" s="0" t="n">
        <v>808</v>
      </c>
      <c r="B810" s="0" t="s">
        <v>3439</v>
      </c>
      <c r="C810" s="0" t="s">
        <v>3440</v>
      </c>
      <c r="D810" s="0" t="s">
        <v>3441</v>
      </c>
      <c r="E810" s="0" t="s">
        <v>3442</v>
      </c>
    </row>
    <row r="811" customFormat="false" ht="15" hidden="false" customHeight="false" outlineLevel="0" collapsed="false">
      <c r="A811" s="0" t="n">
        <v>809</v>
      </c>
      <c r="B811" s="0" t="s">
        <v>3443</v>
      </c>
      <c r="C811" s="0" t="s">
        <v>3444</v>
      </c>
      <c r="D811" s="0" t="s">
        <v>3445</v>
      </c>
      <c r="E811" s="0" t="s">
        <v>3446</v>
      </c>
    </row>
    <row r="812" customFormat="false" ht="15" hidden="false" customHeight="false" outlineLevel="0" collapsed="false">
      <c r="A812" s="0" t="n">
        <v>810</v>
      </c>
      <c r="B812" s="0" t="s">
        <v>3447</v>
      </c>
      <c r="C812" s="0" t="s">
        <v>3448</v>
      </c>
      <c r="D812" s="0" t="s">
        <v>3449</v>
      </c>
      <c r="E812" s="0" t="s">
        <v>3450</v>
      </c>
    </row>
    <row r="813" customFormat="false" ht="15" hidden="false" customHeight="false" outlineLevel="0" collapsed="false">
      <c r="A813" s="0" t="n">
        <v>811</v>
      </c>
      <c r="B813" s="0" t="s">
        <v>3451</v>
      </c>
      <c r="C813" s="0" t="s">
        <v>3452</v>
      </c>
      <c r="D813" s="0" t="s">
        <v>3453</v>
      </c>
      <c r="E813" s="0" t="s">
        <v>3454</v>
      </c>
    </row>
    <row r="814" customFormat="false" ht="15" hidden="false" customHeight="false" outlineLevel="0" collapsed="false">
      <c r="A814" s="0" t="n">
        <v>812</v>
      </c>
      <c r="B814" s="0" t="s">
        <v>3455</v>
      </c>
      <c r="C814" s="0" t="s">
        <v>3456</v>
      </c>
      <c r="D814" s="0" t="s">
        <v>3457</v>
      </c>
      <c r="E814" s="0" t="s">
        <v>3458</v>
      </c>
    </row>
    <row r="815" customFormat="false" ht="15" hidden="false" customHeight="false" outlineLevel="0" collapsed="false">
      <c r="A815" s="0" t="n">
        <v>813</v>
      </c>
      <c r="B815" s="0" t="s">
        <v>3459</v>
      </c>
      <c r="C815" s="0" t="s">
        <v>3460</v>
      </c>
      <c r="D815" s="0" t="s">
        <v>3461</v>
      </c>
      <c r="E815" s="0" t="s">
        <v>3462</v>
      </c>
    </row>
    <row r="816" customFormat="false" ht="15" hidden="false" customHeight="false" outlineLevel="0" collapsed="false">
      <c r="A816" s="0" t="n">
        <v>814</v>
      </c>
      <c r="B816" s="0" t="s">
        <v>3463</v>
      </c>
      <c r="C816" s="0" t="s">
        <v>3464</v>
      </c>
      <c r="D816" s="0" t="s">
        <v>3465</v>
      </c>
      <c r="E816" s="0" t="s">
        <v>3466</v>
      </c>
    </row>
    <row r="817" customFormat="false" ht="15" hidden="false" customHeight="false" outlineLevel="0" collapsed="false">
      <c r="A817" s="0" t="n">
        <v>815</v>
      </c>
      <c r="B817" s="0" t="s">
        <v>3467</v>
      </c>
      <c r="C817" s="0" t="s">
        <v>3468</v>
      </c>
      <c r="D817" s="0" t="s">
        <v>3469</v>
      </c>
      <c r="E817" s="0" t="s">
        <v>3470</v>
      </c>
    </row>
    <row r="818" customFormat="false" ht="15" hidden="false" customHeight="false" outlineLevel="0" collapsed="false">
      <c r="A818" s="0" t="n">
        <v>816</v>
      </c>
      <c r="B818" s="0" t="s">
        <v>3471</v>
      </c>
      <c r="C818" s="0" t="s">
        <v>3472</v>
      </c>
      <c r="D818" s="0" t="s">
        <v>3473</v>
      </c>
      <c r="E818" s="0" t="s">
        <v>3474</v>
      </c>
    </row>
    <row r="819" customFormat="false" ht="15" hidden="false" customHeight="false" outlineLevel="0" collapsed="false">
      <c r="A819" s="0" t="n">
        <v>817</v>
      </c>
      <c r="B819" s="0" t="s">
        <v>3475</v>
      </c>
      <c r="C819" s="0" t="s">
        <v>3476</v>
      </c>
      <c r="D819" s="0" t="s">
        <v>3477</v>
      </c>
      <c r="E819" s="0" t="s">
        <v>3478</v>
      </c>
    </row>
    <row r="820" customFormat="false" ht="15" hidden="false" customHeight="false" outlineLevel="0" collapsed="false">
      <c r="A820" s="0" t="n">
        <v>818</v>
      </c>
      <c r="B820" s="0" t="s">
        <v>3479</v>
      </c>
      <c r="C820" s="0" t="s">
        <v>3480</v>
      </c>
      <c r="D820" s="0" t="s">
        <v>3481</v>
      </c>
      <c r="E820" s="0" t="s">
        <v>3482</v>
      </c>
    </row>
    <row r="821" customFormat="false" ht="15" hidden="false" customHeight="false" outlineLevel="0" collapsed="false">
      <c r="A821" s="0" t="n">
        <v>819</v>
      </c>
      <c r="B821" s="0" t="s">
        <v>3483</v>
      </c>
      <c r="C821" s="0" t="s">
        <v>3484</v>
      </c>
      <c r="D821" s="0" t="s">
        <v>3485</v>
      </c>
      <c r="E821" s="0" t="s">
        <v>3486</v>
      </c>
    </row>
    <row r="822" customFormat="false" ht="15" hidden="false" customHeight="false" outlineLevel="0" collapsed="false">
      <c r="A822" s="0" t="n">
        <v>820</v>
      </c>
      <c r="B822" s="0" t="s">
        <v>3487</v>
      </c>
      <c r="C822" s="0" t="s">
        <v>3488</v>
      </c>
      <c r="D822" s="0" t="s">
        <v>3489</v>
      </c>
      <c r="E822" s="0" t="s">
        <v>3490</v>
      </c>
    </row>
    <row r="823" customFormat="false" ht="15" hidden="false" customHeight="false" outlineLevel="0" collapsed="false">
      <c r="A823" s="0" t="n">
        <v>821</v>
      </c>
      <c r="B823" s="0" t="s">
        <v>3491</v>
      </c>
      <c r="C823" s="0" t="s">
        <v>3492</v>
      </c>
      <c r="D823" s="0" t="s">
        <v>3493</v>
      </c>
      <c r="E823" s="0" t="s">
        <v>3494</v>
      </c>
    </row>
    <row r="824" customFormat="false" ht="15" hidden="false" customHeight="false" outlineLevel="0" collapsed="false">
      <c r="A824" s="0" t="n">
        <v>822</v>
      </c>
      <c r="B824" s="0" t="s">
        <v>3495</v>
      </c>
      <c r="C824" s="0" t="s">
        <v>3496</v>
      </c>
      <c r="D824" s="0" t="s">
        <v>3497</v>
      </c>
      <c r="E824" s="0" t="s">
        <v>3498</v>
      </c>
    </row>
    <row r="825" customFormat="false" ht="15" hidden="false" customHeight="false" outlineLevel="0" collapsed="false">
      <c r="A825" s="0" t="n">
        <v>823</v>
      </c>
      <c r="B825" s="0" t="s">
        <v>3499</v>
      </c>
      <c r="C825" s="0" t="s">
        <v>3500</v>
      </c>
      <c r="D825" s="0" t="s">
        <v>3501</v>
      </c>
      <c r="E825" s="0" t="s">
        <v>3502</v>
      </c>
    </row>
    <row r="826" customFormat="false" ht="15" hidden="false" customHeight="false" outlineLevel="0" collapsed="false">
      <c r="A826" s="0" t="n">
        <v>824</v>
      </c>
      <c r="B826" s="0" t="s">
        <v>3503</v>
      </c>
      <c r="C826" s="0" t="s">
        <v>3504</v>
      </c>
      <c r="D826" s="0" t="s">
        <v>3505</v>
      </c>
      <c r="E826" s="0" t="s">
        <v>3506</v>
      </c>
    </row>
    <row r="827" customFormat="false" ht="15" hidden="false" customHeight="false" outlineLevel="0" collapsed="false">
      <c r="A827" s="0" t="n">
        <v>825</v>
      </c>
      <c r="B827" s="0" t="s">
        <v>3507</v>
      </c>
      <c r="C827" s="0" t="s">
        <v>3508</v>
      </c>
      <c r="D827" s="0" t="s">
        <v>3509</v>
      </c>
      <c r="E827" s="0" t="s">
        <v>3510</v>
      </c>
    </row>
    <row r="828" customFormat="false" ht="15" hidden="false" customHeight="false" outlineLevel="0" collapsed="false">
      <c r="A828" s="0" t="n">
        <v>826</v>
      </c>
      <c r="B828" s="0" t="s">
        <v>3511</v>
      </c>
      <c r="C828" s="0" t="s">
        <v>3512</v>
      </c>
      <c r="D828" s="0" t="s">
        <v>3513</v>
      </c>
      <c r="E828" s="0" t="s">
        <v>3514</v>
      </c>
    </row>
    <row r="829" customFormat="false" ht="15" hidden="false" customHeight="false" outlineLevel="0" collapsed="false">
      <c r="A829" s="0" t="n">
        <v>827</v>
      </c>
      <c r="B829" s="0" t="s">
        <v>3515</v>
      </c>
      <c r="C829" s="0" t="s">
        <v>3516</v>
      </c>
      <c r="D829" s="0" t="s">
        <v>3517</v>
      </c>
      <c r="E829" s="0" t="s">
        <v>3518</v>
      </c>
    </row>
    <row r="830" customFormat="false" ht="15" hidden="false" customHeight="false" outlineLevel="0" collapsed="false">
      <c r="A830" s="0" t="n">
        <v>828</v>
      </c>
      <c r="B830" s="0" t="s">
        <v>3519</v>
      </c>
      <c r="C830" s="0" t="s">
        <v>3520</v>
      </c>
      <c r="D830" s="0" t="s">
        <v>3521</v>
      </c>
      <c r="E830" s="0" t="s">
        <v>3522</v>
      </c>
    </row>
    <row r="831" customFormat="false" ht="15" hidden="false" customHeight="false" outlineLevel="0" collapsed="false">
      <c r="A831" s="0" t="n">
        <v>829</v>
      </c>
      <c r="B831" s="0" t="s">
        <v>3523</v>
      </c>
      <c r="C831" s="0" t="s">
        <v>3524</v>
      </c>
      <c r="D831" s="0" t="s">
        <v>3525</v>
      </c>
      <c r="E831" s="0" t="s">
        <v>3526</v>
      </c>
    </row>
    <row r="832" customFormat="false" ht="15" hidden="false" customHeight="false" outlineLevel="0" collapsed="false">
      <c r="A832" s="0" t="n">
        <v>830</v>
      </c>
      <c r="B832" s="0" t="s">
        <v>3527</v>
      </c>
      <c r="C832" s="0" t="s">
        <v>3528</v>
      </c>
      <c r="D832" s="0" t="s">
        <v>3529</v>
      </c>
      <c r="E832" s="0" t="s">
        <v>3530</v>
      </c>
    </row>
    <row r="833" customFormat="false" ht="15" hidden="false" customHeight="false" outlineLevel="0" collapsed="false">
      <c r="A833" s="0" t="n">
        <v>831</v>
      </c>
      <c r="B833" s="0" t="s">
        <v>3531</v>
      </c>
      <c r="C833" s="0" t="s">
        <v>3532</v>
      </c>
      <c r="D833" s="0" t="s">
        <v>3533</v>
      </c>
      <c r="E833" s="0" t="s">
        <v>3534</v>
      </c>
    </row>
    <row r="834" customFormat="false" ht="15" hidden="false" customHeight="false" outlineLevel="0" collapsed="false">
      <c r="A834" s="0" t="n">
        <v>832</v>
      </c>
      <c r="B834" s="0" t="s">
        <v>3535</v>
      </c>
      <c r="C834" s="0" t="s">
        <v>3536</v>
      </c>
      <c r="D834" s="0" t="s">
        <v>3537</v>
      </c>
      <c r="E834" s="0" t="s">
        <v>3538</v>
      </c>
    </row>
    <row r="835" customFormat="false" ht="15" hidden="false" customHeight="false" outlineLevel="0" collapsed="false">
      <c r="A835" s="0" t="n">
        <v>833</v>
      </c>
      <c r="B835" s="0" t="s">
        <v>3539</v>
      </c>
      <c r="C835" s="0" t="s">
        <v>3540</v>
      </c>
      <c r="D835" s="0" t="s">
        <v>3541</v>
      </c>
      <c r="E835" s="0" t="s">
        <v>3542</v>
      </c>
    </row>
    <row r="836" customFormat="false" ht="15" hidden="false" customHeight="false" outlineLevel="0" collapsed="false">
      <c r="A836" s="0" t="n">
        <v>834</v>
      </c>
      <c r="B836" s="0" t="s">
        <v>3543</v>
      </c>
      <c r="C836" s="0" t="s">
        <v>3544</v>
      </c>
      <c r="D836" s="0" t="s">
        <v>3545</v>
      </c>
      <c r="E836" s="0" t="s">
        <v>3546</v>
      </c>
    </row>
    <row r="837" customFormat="false" ht="15" hidden="false" customHeight="false" outlineLevel="0" collapsed="false">
      <c r="A837" s="0" t="n">
        <v>835</v>
      </c>
      <c r="B837" s="0" t="s">
        <v>3547</v>
      </c>
      <c r="C837" s="0" t="s">
        <v>3548</v>
      </c>
      <c r="D837" s="0" t="s">
        <v>3549</v>
      </c>
      <c r="E837" s="0" t="s">
        <v>3550</v>
      </c>
    </row>
    <row r="838" customFormat="false" ht="15" hidden="false" customHeight="false" outlineLevel="0" collapsed="false">
      <c r="A838" s="0" t="n">
        <v>836</v>
      </c>
      <c r="B838" s="0" t="s">
        <v>3551</v>
      </c>
      <c r="C838" s="0" t="s">
        <v>3552</v>
      </c>
      <c r="D838" s="0" t="s">
        <v>3553</v>
      </c>
      <c r="E838" s="0" t="s">
        <v>3554</v>
      </c>
    </row>
    <row r="839" customFormat="false" ht="15" hidden="false" customHeight="false" outlineLevel="0" collapsed="false">
      <c r="A839" s="0" t="n">
        <v>837</v>
      </c>
      <c r="B839" s="0" t="s">
        <v>3555</v>
      </c>
      <c r="C839" s="0" t="s">
        <v>3556</v>
      </c>
      <c r="D839" s="0" t="s">
        <v>3557</v>
      </c>
      <c r="E839" s="0" t="s">
        <v>3558</v>
      </c>
    </row>
    <row r="840" customFormat="false" ht="15" hidden="false" customHeight="false" outlineLevel="0" collapsed="false">
      <c r="A840" s="0" t="n">
        <v>838</v>
      </c>
      <c r="B840" s="0" t="s">
        <v>3559</v>
      </c>
      <c r="C840" s="0" t="s">
        <v>3560</v>
      </c>
      <c r="D840" s="0" t="s">
        <v>3561</v>
      </c>
      <c r="E840" s="0" t="s">
        <v>3562</v>
      </c>
    </row>
    <row r="841" customFormat="false" ht="15" hidden="false" customHeight="false" outlineLevel="0" collapsed="false">
      <c r="A841" s="0" t="n">
        <v>839</v>
      </c>
      <c r="B841" s="0" t="s">
        <v>3563</v>
      </c>
      <c r="C841" s="0" t="s">
        <v>3564</v>
      </c>
      <c r="D841" s="0" t="s">
        <v>3565</v>
      </c>
      <c r="E841" s="0" t="s">
        <v>3566</v>
      </c>
    </row>
    <row r="842" customFormat="false" ht="15" hidden="false" customHeight="false" outlineLevel="0" collapsed="false">
      <c r="A842" s="0" t="n">
        <v>840</v>
      </c>
      <c r="B842" s="0" t="s">
        <v>3567</v>
      </c>
      <c r="C842" s="0" t="s">
        <v>3568</v>
      </c>
      <c r="D842" s="0" t="s">
        <v>3569</v>
      </c>
      <c r="E842" s="0" t="s">
        <v>3570</v>
      </c>
    </row>
    <row r="843" customFormat="false" ht="15" hidden="false" customHeight="false" outlineLevel="0" collapsed="false">
      <c r="A843" s="0" t="n">
        <v>841</v>
      </c>
      <c r="B843" s="0" t="s">
        <v>3571</v>
      </c>
      <c r="C843" s="0" t="s">
        <v>3572</v>
      </c>
      <c r="D843" s="0" t="s">
        <v>3573</v>
      </c>
      <c r="E843" s="0" t="s">
        <v>3574</v>
      </c>
    </row>
    <row r="844" customFormat="false" ht="15" hidden="false" customHeight="false" outlineLevel="0" collapsed="false">
      <c r="A844" s="0" t="n">
        <v>842</v>
      </c>
      <c r="B844" s="0" t="s">
        <v>3575</v>
      </c>
      <c r="C844" s="0" t="s">
        <v>3576</v>
      </c>
      <c r="D844" s="0" t="s">
        <v>3577</v>
      </c>
      <c r="E844" s="0" t="s">
        <v>3578</v>
      </c>
    </row>
    <row r="845" customFormat="false" ht="15" hidden="false" customHeight="false" outlineLevel="0" collapsed="false">
      <c r="A845" s="0" t="n">
        <v>843</v>
      </c>
      <c r="B845" s="0" t="s">
        <v>3579</v>
      </c>
      <c r="C845" s="0" t="s">
        <v>3580</v>
      </c>
      <c r="D845" s="0" t="s">
        <v>3581</v>
      </c>
      <c r="E845" s="0" t="s">
        <v>3582</v>
      </c>
    </row>
    <row r="846" customFormat="false" ht="15" hidden="false" customHeight="false" outlineLevel="0" collapsed="false">
      <c r="A846" s="0" t="n">
        <v>844</v>
      </c>
      <c r="B846" s="0" t="s">
        <v>3583</v>
      </c>
      <c r="C846" s="0" t="s">
        <v>3584</v>
      </c>
      <c r="D846" s="0" t="s">
        <v>3585</v>
      </c>
      <c r="E846" s="0" t="s">
        <v>3586</v>
      </c>
    </row>
    <row r="847" customFormat="false" ht="15" hidden="false" customHeight="false" outlineLevel="0" collapsed="false">
      <c r="A847" s="0" t="n">
        <v>845</v>
      </c>
      <c r="B847" s="0" t="s">
        <v>3587</v>
      </c>
      <c r="C847" s="0" t="s">
        <v>3588</v>
      </c>
      <c r="D847" s="0" t="s">
        <v>3589</v>
      </c>
      <c r="E847" s="0" t="s">
        <v>3590</v>
      </c>
    </row>
    <row r="848" customFormat="false" ht="15" hidden="false" customHeight="false" outlineLevel="0" collapsed="false">
      <c r="A848" s="0" t="n">
        <v>846</v>
      </c>
      <c r="B848" s="0" t="s">
        <v>3591</v>
      </c>
      <c r="C848" s="0" t="s">
        <v>3592</v>
      </c>
      <c r="D848" s="0" t="s">
        <v>3593</v>
      </c>
      <c r="E848" s="0" t="s">
        <v>3594</v>
      </c>
    </row>
    <row r="849" customFormat="false" ht="15" hidden="false" customHeight="false" outlineLevel="0" collapsed="false">
      <c r="A849" s="0" t="n">
        <v>847</v>
      </c>
      <c r="B849" s="0" t="s">
        <v>3595</v>
      </c>
      <c r="C849" s="0" t="s">
        <v>3596</v>
      </c>
      <c r="D849" s="0" t="s">
        <v>3597</v>
      </c>
      <c r="E849" s="0" t="s">
        <v>3598</v>
      </c>
    </row>
    <row r="850" customFormat="false" ht="15" hidden="false" customHeight="false" outlineLevel="0" collapsed="false">
      <c r="A850" s="0" t="n">
        <v>848</v>
      </c>
      <c r="B850" s="0" t="s">
        <v>3599</v>
      </c>
      <c r="C850" s="0" t="s">
        <v>3600</v>
      </c>
      <c r="D850" s="0" t="s">
        <v>3601</v>
      </c>
      <c r="E850" s="0" t="s">
        <v>3602</v>
      </c>
    </row>
    <row r="851" customFormat="false" ht="15" hidden="false" customHeight="false" outlineLevel="0" collapsed="false">
      <c r="A851" s="0" t="n">
        <v>849</v>
      </c>
      <c r="B851" s="0" t="s">
        <v>3603</v>
      </c>
      <c r="C851" s="0" t="s">
        <v>3604</v>
      </c>
      <c r="D851" s="0" t="s">
        <v>3605</v>
      </c>
      <c r="E851" s="0" t="s">
        <v>3606</v>
      </c>
    </row>
    <row r="852" customFormat="false" ht="15" hidden="false" customHeight="false" outlineLevel="0" collapsed="false">
      <c r="A852" s="0" t="n">
        <v>850</v>
      </c>
      <c r="B852" s="0" t="s">
        <v>3607</v>
      </c>
      <c r="C852" s="0" t="s">
        <v>3608</v>
      </c>
      <c r="D852" s="0" t="s">
        <v>3609</v>
      </c>
      <c r="E852" s="0" t="s">
        <v>3610</v>
      </c>
    </row>
    <row r="853" customFormat="false" ht="15" hidden="false" customHeight="false" outlineLevel="0" collapsed="false">
      <c r="A853" s="0" t="n">
        <v>851</v>
      </c>
      <c r="B853" s="0" t="s">
        <v>3611</v>
      </c>
      <c r="C853" s="0" t="s">
        <v>3612</v>
      </c>
      <c r="D853" s="0" t="s">
        <v>3613</v>
      </c>
      <c r="E853" s="0" t="s">
        <v>3614</v>
      </c>
    </row>
    <row r="854" customFormat="false" ht="15" hidden="false" customHeight="false" outlineLevel="0" collapsed="false">
      <c r="A854" s="0" t="n">
        <v>852</v>
      </c>
      <c r="B854" s="0" t="s">
        <v>3615</v>
      </c>
      <c r="C854" s="0" t="s">
        <v>3616</v>
      </c>
      <c r="D854" s="0" t="s">
        <v>3617</v>
      </c>
      <c r="E854" s="0" t="s">
        <v>3618</v>
      </c>
    </row>
    <row r="855" customFormat="false" ht="15" hidden="false" customHeight="false" outlineLevel="0" collapsed="false">
      <c r="A855" s="0" t="n">
        <v>853</v>
      </c>
      <c r="B855" s="0" t="s">
        <v>3619</v>
      </c>
      <c r="C855" s="0" t="s">
        <v>3620</v>
      </c>
      <c r="D855" s="0" t="s">
        <v>3621</v>
      </c>
      <c r="E855" s="0" t="s">
        <v>3622</v>
      </c>
    </row>
    <row r="856" customFormat="false" ht="15" hidden="false" customHeight="false" outlineLevel="0" collapsed="false">
      <c r="A856" s="0" t="n">
        <v>854</v>
      </c>
      <c r="B856" s="0" t="s">
        <v>3623</v>
      </c>
      <c r="C856" s="0" t="s">
        <v>3624</v>
      </c>
      <c r="D856" s="0" t="s">
        <v>3625</v>
      </c>
      <c r="E856" s="0" t="s">
        <v>3626</v>
      </c>
    </row>
    <row r="857" customFormat="false" ht="15" hidden="false" customHeight="false" outlineLevel="0" collapsed="false">
      <c r="A857" s="0" t="n">
        <v>855</v>
      </c>
      <c r="B857" s="0" t="s">
        <v>3627</v>
      </c>
      <c r="C857" s="0" t="s">
        <v>3628</v>
      </c>
      <c r="D857" s="0" t="s">
        <v>3629</v>
      </c>
      <c r="E857" s="0" t="s">
        <v>3630</v>
      </c>
    </row>
    <row r="858" customFormat="false" ht="15" hidden="false" customHeight="false" outlineLevel="0" collapsed="false">
      <c r="A858" s="0" t="n">
        <v>856</v>
      </c>
      <c r="B858" s="0" t="s">
        <v>3631</v>
      </c>
      <c r="C858" s="0" t="s">
        <v>3632</v>
      </c>
      <c r="D858" s="0" t="s">
        <v>3633</v>
      </c>
      <c r="E858" s="0" t="s">
        <v>3634</v>
      </c>
    </row>
    <row r="859" customFormat="false" ht="15" hidden="false" customHeight="false" outlineLevel="0" collapsed="false">
      <c r="A859" s="0" t="n">
        <v>857</v>
      </c>
      <c r="B859" s="0" t="s">
        <v>3635</v>
      </c>
      <c r="C859" s="0" t="s">
        <v>3636</v>
      </c>
      <c r="D859" s="0" t="s">
        <v>3637</v>
      </c>
      <c r="E859" s="0" t="s">
        <v>3638</v>
      </c>
    </row>
    <row r="860" customFormat="false" ht="15" hidden="false" customHeight="false" outlineLevel="0" collapsed="false">
      <c r="A860" s="0" t="n">
        <v>858</v>
      </c>
      <c r="B860" s="0" t="s">
        <v>3639</v>
      </c>
      <c r="C860" s="0" t="s">
        <v>3640</v>
      </c>
      <c r="D860" s="0" t="s">
        <v>3641</v>
      </c>
      <c r="E860" s="0" t="s">
        <v>3642</v>
      </c>
    </row>
    <row r="861" customFormat="false" ht="15" hidden="false" customHeight="false" outlineLevel="0" collapsed="false">
      <c r="A861" s="0" t="n">
        <v>859</v>
      </c>
      <c r="B861" s="0" t="s">
        <v>3643</v>
      </c>
      <c r="C861" s="0" t="s">
        <v>3644</v>
      </c>
      <c r="D861" s="0" t="s">
        <v>3645</v>
      </c>
      <c r="E861" s="0" t="s">
        <v>3646</v>
      </c>
    </row>
    <row r="862" customFormat="false" ht="15" hidden="false" customHeight="false" outlineLevel="0" collapsed="false">
      <c r="A862" s="0" t="n">
        <v>860</v>
      </c>
      <c r="B862" s="0" t="s">
        <v>3647</v>
      </c>
      <c r="C862" s="0" t="s">
        <v>3648</v>
      </c>
      <c r="D862" s="0" t="s">
        <v>3649</v>
      </c>
      <c r="E862" s="0" t="s">
        <v>3650</v>
      </c>
    </row>
    <row r="863" customFormat="false" ht="15" hidden="false" customHeight="false" outlineLevel="0" collapsed="false">
      <c r="A863" s="0" t="n">
        <v>861</v>
      </c>
      <c r="B863" s="0" t="s">
        <v>3651</v>
      </c>
      <c r="C863" s="0" t="s">
        <v>3652</v>
      </c>
      <c r="D863" s="0" t="s">
        <v>3653</v>
      </c>
      <c r="E863" s="0" t="s">
        <v>3654</v>
      </c>
    </row>
    <row r="864" customFormat="false" ht="15" hidden="false" customHeight="false" outlineLevel="0" collapsed="false">
      <c r="A864" s="0" t="n">
        <v>862</v>
      </c>
      <c r="B864" s="0" t="s">
        <v>3655</v>
      </c>
      <c r="C864" s="0" t="s">
        <v>3656</v>
      </c>
      <c r="D864" s="0" t="s">
        <v>3657</v>
      </c>
      <c r="E864" s="0" t="s">
        <v>3658</v>
      </c>
    </row>
    <row r="865" customFormat="false" ht="15" hidden="false" customHeight="false" outlineLevel="0" collapsed="false">
      <c r="A865" s="0" t="n">
        <v>863</v>
      </c>
      <c r="B865" s="0" t="s">
        <v>3659</v>
      </c>
      <c r="C865" s="0" t="s">
        <v>3660</v>
      </c>
      <c r="D865" s="0" t="s">
        <v>3661</v>
      </c>
      <c r="E865" s="0" t="s">
        <v>3662</v>
      </c>
    </row>
    <row r="866" customFormat="false" ht="15" hidden="false" customHeight="false" outlineLevel="0" collapsed="false">
      <c r="A866" s="0" t="n">
        <v>864</v>
      </c>
      <c r="B866" s="0" t="s">
        <v>3663</v>
      </c>
      <c r="C866" s="0" t="s">
        <v>3664</v>
      </c>
      <c r="D866" s="0" t="s">
        <v>3665</v>
      </c>
      <c r="E866" s="0" t="s">
        <v>3666</v>
      </c>
    </row>
    <row r="867" customFormat="false" ht="15" hidden="false" customHeight="false" outlineLevel="0" collapsed="false">
      <c r="A867" s="0" t="n">
        <v>865</v>
      </c>
      <c r="B867" s="0" t="s">
        <v>3667</v>
      </c>
      <c r="C867" s="0" t="s">
        <v>3668</v>
      </c>
      <c r="D867" s="0" t="s">
        <v>3669</v>
      </c>
      <c r="E867" s="0" t="s">
        <v>3670</v>
      </c>
    </row>
    <row r="868" customFormat="false" ht="15" hidden="false" customHeight="false" outlineLevel="0" collapsed="false">
      <c r="A868" s="0" t="n">
        <v>866</v>
      </c>
      <c r="B868" s="0" t="s">
        <v>3671</v>
      </c>
      <c r="C868" s="0" t="s">
        <v>3672</v>
      </c>
      <c r="D868" s="0" t="s">
        <v>3673</v>
      </c>
      <c r="E868" s="0" t="s">
        <v>3674</v>
      </c>
    </row>
    <row r="869" customFormat="false" ht="15" hidden="false" customHeight="false" outlineLevel="0" collapsed="false">
      <c r="A869" s="0" t="n">
        <v>867</v>
      </c>
      <c r="B869" s="0" t="s">
        <v>3675</v>
      </c>
      <c r="C869" s="0" t="s">
        <v>3676</v>
      </c>
      <c r="D869" s="0" t="s">
        <v>3677</v>
      </c>
      <c r="E869" s="0" t="s">
        <v>3678</v>
      </c>
    </row>
    <row r="870" customFormat="false" ht="15" hidden="false" customHeight="false" outlineLevel="0" collapsed="false">
      <c r="A870" s="0" t="n">
        <v>868</v>
      </c>
      <c r="B870" s="0" t="s">
        <v>3679</v>
      </c>
      <c r="C870" s="0" t="s">
        <v>3680</v>
      </c>
      <c r="D870" s="0" t="s">
        <v>3681</v>
      </c>
      <c r="E870" s="0" t="s">
        <v>3682</v>
      </c>
    </row>
    <row r="871" customFormat="false" ht="15" hidden="false" customHeight="false" outlineLevel="0" collapsed="false">
      <c r="A871" s="0" t="n">
        <v>869</v>
      </c>
      <c r="B871" s="0" t="s">
        <v>3683</v>
      </c>
      <c r="C871" s="0" t="s">
        <v>3684</v>
      </c>
      <c r="D871" s="0" t="s">
        <v>3685</v>
      </c>
      <c r="E871" s="0" t="s">
        <v>3686</v>
      </c>
    </row>
    <row r="872" customFormat="false" ht="15" hidden="false" customHeight="false" outlineLevel="0" collapsed="false">
      <c r="A872" s="0" t="n">
        <v>870</v>
      </c>
      <c r="B872" s="0" t="s">
        <v>3687</v>
      </c>
      <c r="C872" s="0" t="s">
        <v>3688</v>
      </c>
      <c r="D872" s="0" t="s">
        <v>3689</v>
      </c>
      <c r="E872" s="0" t="s">
        <v>3690</v>
      </c>
    </row>
    <row r="873" customFormat="false" ht="15" hidden="false" customHeight="false" outlineLevel="0" collapsed="false">
      <c r="A873" s="0" t="n">
        <v>871</v>
      </c>
      <c r="B873" s="0" t="s">
        <v>3691</v>
      </c>
      <c r="C873" s="0" t="s">
        <v>3692</v>
      </c>
      <c r="D873" s="0" t="s">
        <v>3693</v>
      </c>
      <c r="E873" s="0" t="s">
        <v>3694</v>
      </c>
    </row>
    <row r="874" customFormat="false" ht="15" hidden="false" customHeight="false" outlineLevel="0" collapsed="false">
      <c r="A874" s="0" t="n">
        <v>872</v>
      </c>
      <c r="B874" s="0" t="s">
        <v>3695</v>
      </c>
      <c r="C874" s="0" t="s">
        <v>3696</v>
      </c>
      <c r="D874" s="0" t="s">
        <v>3697</v>
      </c>
      <c r="E874" s="0" t="s">
        <v>3698</v>
      </c>
    </row>
    <row r="875" customFormat="false" ht="15" hidden="false" customHeight="false" outlineLevel="0" collapsed="false">
      <c r="A875" s="0" t="n">
        <v>873</v>
      </c>
      <c r="B875" s="0" t="s">
        <v>3699</v>
      </c>
      <c r="C875" s="0" t="s">
        <v>3700</v>
      </c>
      <c r="D875" s="0" t="s">
        <v>3701</v>
      </c>
      <c r="E875" s="0" t="s">
        <v>3702</v>
      </c>
    </row>
    <row r="876" customFormat="false" ht="15" hidden="false" customHeight="false" outlineLevel="0" collapsed="false">
      <c r="A876" s="0" t="n">
        <v>874</v>
      </c>
      <c r="B876" s="0" t="s">
        <v>3703</v>
      </c>
      <c r="C876" s="0" t="s">
        <v>3704</v>
      </c>
      <c r="D876" s="0" t="s">
        <v>3705</v>
      </c>
      <c r="E876" s="0" t="s">
        <v>3706</v>
      </c>
    </row>
    <row r="877" customFormat="false" ht="15" hidden="false" customHeight="false" outlineLevel="0" collapsed="false">
      <c r="A877" s="0" t="n">
        <v>875</v>
      </c>
      <c r="B877" s="0" t="s">
        <v>3707</v>
      </c>
      <c r="C877" s="0" t="s">
        <v>3708</v>
      </c>
      <c r="D877" s="0" t="s">
        <v>3709</v>
      </c>
      <c r="E877" s="0" t="s">
        <v>3710</v>
      </c>
    </row>
    <row r="878" customFormat="false" ht="15" hidden="false" customHeight="false" outlineLevel="0" collapsed="false">
      <c r="A878" s="0" t="n">
        <v>876</v>
      </c>
      <c r="B878" s="0" t="s">
        <v>3711</v>
      </c>
      <c r="C878" s="0" t="s">
        <v>3712</v>
      </c>
      <c r="D878" s="0" t="s">
        <v>3713</v>
      </c>
      <c r="E878" s="0" t="s">
        <v>3714</v>
      </c>
    </row>
    <row r="879" customFormat="false" ht="15" hidden="false" customHeight="false" outlineLevel="0" collapsed="false">
      <c r="A879" s="0" t="n">
        <v>877</v>
      </c>
      <c r="B879" s="0" t="s">
        <v>3715</v>
      </c>
      <c r="C879" s="0" t="s">
        <v>3716</v>
      </c>
      <c r="D879" s="0" t="s">
        <v>3717</v>
      </c>
      <c r="E879" s="0" t="s">
        <v>3718</v>
      </c>
    </row>
    <row r="880" customFormat="false" ht="15" hidden="false" customHeight="false" outlineLevel="0" collapsed="false">
      <c r="A880" s="0" t="n">
        <v>878</v>
      </c>
      <c r="B880" s="0" t="s">
        <v>3719</v>
      </c>
      <c r="C880" s="0" t="s">
        <v>3720</v>
      </c>
      <c r="D880" s="0" t="s">
        <v>3721</v>
      </c>
      <c r="E880" s="0" t="s">
        <v>3722</v>
      </c>
    </row>
    <row r="881" customFormat="false" ht="15" hidden="false" customHeight="false" outlineLevel="0" collapsed="false">
      <c r="A881" s="0" t="n">
        <v>879</v>
      </c>
      <c r="B881" s="0" t="s">
        <v>3723</v>
      </c>
      <c r="C881" s="0" t="s">
        <v>3724</v>
      </c>
      <c r="D881" s="0" t="s">
        <v>3725</v>
      </c>
      <c r="E881" s="0" t="s">
        <v>3726</v>
      </c>
    </row>
    <row r="882" customFormat="false" ht="15" hidden="false" customHeight="false" outlineLevel="0" collapsed="false">
      <c r="A882" s="0" t="n">
        <v>880</v>
      </c>
      <c r="B882" s="0" t="s">
        <v>3727</v>
      </c>
      <c r="C882" s="0" t="s">
        <v>3728</v>
      </c>
      <c r="D882" s="0" t="s">
        <v>3729</v>
      </c>
      <c r="E882" s="0" t="s">
        <v>3730</v>
      </c>
    </row>
    <row r="883" customFormat="false" ht="15" hidden="false" customHeight="false" outlineLevel="0" collapsed="false">
      <c r="A883" s="0" t="n">
        <v>881</v>
      </c>
      <c r="B883" s="0" t="s">
        <v>3731</v>
      </c>
      <c r="C883" s="0" t="s">
        <v>3732</v>
      </c>
      <c r="D883" s="0" t="s">
        <v>3733</v>
      </c>
      <c r="E883" s="0" t="s">
        <v>3734</v>
      </c>
    </row>
    <row r="884" customFormat="false" ht="15" hidden="false" customHeight="false" outlineLevel="0" collapsed="false">
      <c r="A884" s="0" t="n">
        <v>882</v>
      </c>
      <c r="B884" s="0" t="s">
        <v>3735</v>
      </c>
      <c r="C884" s="0" t="s">
        <v>3736</v>
      </c>
      <c r="D884" s="0" t="s">
        <v>3737</v>
      </c>
      <c r="E884" s="0" t="s">
        <v>3738</v>
      </c>
    </row>
    <row r="885" customFormat="false" ht="15" hidden="false" customHeight="false" outlineLevel="0" collapsed="false">
      <c r="A885" s="0" t="n">
        <v>883</v>
      </c>
      <c r="B885" s="0" t="s">
        <v>3739</v>
      </c>
      <c r="C885" s="0" t="s">
        <v>3740</v>
      </c>
      <c r="D885" s="0" t="s">
        <v>3741</v>
      </c>
      <c r="E885" s="0" t="s">
        <v>3742</v>
      </c>
    </row>
    <row r="886" customFormat="false" ht="15" hidden="false" customHeight="false" outlineLevel="0" collapsed="false">
      <c r="A886" s="0" t="n">
        <v>884</v>
      </c>
      <c r="B886" s="0" t="s">
        <v>3743</v>
      </c>
      <c r="C886" s="0" t="s">
        <v>3744</v>
      </c>
      <c r="D886" s="0" t="s">
        <v>3745</v>
      </c>
      <c r="E886" s="0" t="s">
        <v>3746</v>
      </c>
    </row>
    <row r="887" customFormat="false" ht="15" hidden="false" customHeight="false" outlineLevel="0" collapsed="false">
      <c r="A887" s="0" t="n">
        <v>885</v>
      </c>
      <c r="B887" s="0" t="s">
        <v>3747</v>
      </c>
      <c r="C887" s="0" t="s">
        <v>3748</v>
      </c>
      <c r="D887" s="0" t="s">
        <v>3749</v>
      </c>
      <c r="E887" s="0" t="s">
        <v>3750</v>
      </c>
    </row>
    <row r="888" customFormat="false" ht="15" hidden="false" customHeight="false" outlineLevel="0" collapsed="false">
      <c r="A888" s="0" t="n">
        <v>886</v>
      </c>
      <c r="B888" s="0" t="s">
        <v>3751</v>
      </c>
      <c r="C888" s="0" t="s">
        <v>3752</v>
      </c>
      <c r="D888" s="0" t="s">
        <v>3753</v>
      </c>
      <c r="E888" s="0" t="s">
        <v>3754</v>
      </c>
    </row>
    <row r="889" customFormat="false" ht="15" hidden="false" customHeight="false" outlineLevel="0" collapsed="false">
      <c r="A889" s="0" t="n">
        <v>887</v>
      </c>
      <c r="B889" s="0" t="s">
        <v>3755</v>
      </c>
      <c r="C889" s="0" t="s">
        <v>3756</v>
      </c>
      <c r="D889" s="0" t="s">
        <v>3757</v>
      </c>
      <c r="E889" s="0" t="s">
        <v>3758</v>
      </c>
    </row>
    <row r="890" customFormat="false" ht="15" hidden="false" customHeight="false" outlineLevel="0" collapsed="false">
      <c r="A890" s="0" t="n">
        <v>888</v>
      </c>
      <c r="B890" s="0" t="s">
        <v>3759</v>
      </c>
      <c r="C890" s="0" t="s">
        <v>3760</v>
      </c>
      <c r="D890" s="0" t="s">
        <v>3761</v>
      </c>
      <c r="E890" s="0" t="s">
        <v>3762</v>
      </c>
    </row>
    <row r="891" customFormat="false" ht="15" hidden="false" customHeight="false" outlineLevel="0" collapsed="false">
      <c r="A891" s="0" t="n">
        <v>889</v>
      </c>
      <c r="B891" s="0" t="s">
        <v>3763</v>
      </c>
      <c r="C891" s="0" t="s">
        <v>3764</v>
      </c>
      <c r="D891" s="0" t="s">
        <v>3765</v>
      </c>
      <c r="E891" s="0" t="s">
        <v>3766</v>
      </c>
    </row>
    <row r="892" customFormat="false" ht="15" hidden="false" customHeight="false" outlineLevel="0" collapsed="false">
      <c r="A892" s="0" t="n">
        <v>890</v>
      </c>
      <c r="B892" s="0" t="s">
        <v>3767</v>
      </c>
      <c r="C892" s="0" t="s">
        <v>3768</v>
      </c>
      <c r="D892" s="0" t="s">
        <v>3769</v>
      </c>
      <c r="E892" s="0" t="s">
        <v>3770</v>
      </c>
    </row>
    <row r="893" customFormat="false" ht="15" hidden="false" customHeight="false" outlineLevel="0" collapsed="false">
      <c r="A893" s="0" t="n">
        <v>891</v>
      </c>
      <c r="B893" s="0" t="s">
        <v>3771</v>
      </c>
      <c r="C893" s="0" t="s">
        <v>3772</v>
      </c>
      <c r="D893" s="0" t="s">
        <v>3773</v>
      </c>
      <c r="E893" s="0" t="s">
        <v>3774</v>
      </c>
    </row>
    <row r="894" customFormat="false" ht="15" hidden="false" customHeight="false" outlineLevel="0" collapsed="false">
      <c r="A894" s="0" t="n">
        <v>892</v>
      </c>
      <c r="B894" s="0" t="s">
        <v>3775</v>
      </c>
      <c r="C894" s="0" t="s">
        <v>3776</v>
      </c>
      <c r="D894" s="0" t="s">
        <v>3777</v>
      </c>
      <c r="E894" s="0" t="s">
        <v>3778</v>
      </c>
    </row>
    <row r="895" customFormat="false" ht="15" hidden="false" customHeight="false" outlineLevel="0" collapsed="false">
      <c r="A895" s="0" t="n">
        <v>893</v>
      </c>
      <c r="B895" s="0" t="s">
        <v>3779</v>
      </c>
      <c r="C895" s="0" t="s">
        <v>3780</v>
      </c>
      <c r="D895" s="0" t="s">
        <v>3781</v>
      </c>
      <c r="E895" s="0" t="s">
        <v>3782</v>
      </c>
    </row>
    <row r="896" customFormat="false" ht="15" hidden="false" customHeight="false" outlineLevel="0" collapsed="false">
      <c r="A896" s="0" t="n">
        <v>894</v>
      </c>
      <c r="B896" s="0" t="s">
        <v>3783</v>
      </c>
      <c r="C896" s="0" t="s">
        <v>3784</v>
      </c>
      <c r="D896" s="0" t="s">
        <v>3785</v>
      </c>
      <c r="E896" s="0" t="s">
        <v>3786</v>
      </c>
    </row>
    <row r="897" customFormat="false" ht="15" hidden="false" customHeight="false" outlineLevel="0" collapsed="false">
      <c r="A897" s="0" t="n">
        <v>895</v>
      </c>
      <c r="B897" s="0" t="s">
        <v>3787</v>
      </c>
      <c r="C897" s="0" t="s">
        <v>3788</v>
      </c>
      <c r="D897" s="0" t="s">
        <v>3789</v>
      </c>
      <c r="E897" s="0" t="s">
        <v>3790</v>
      </c>
    </row>
    <row r="898" customFormat="false" ht="15" hidden="false" customHeight="false" outlineLevel="0" collapsed="false">
      <c r="A898" s="0" t="n">
        <v>896</v>
      </c>
      <c r="B898" s="0" t="s">
        <v>3791</v>
      </c>
      <c r="C898" s="0" t="s">
        <v>3792</v>
      </c>
      <c r="D898" s="0" t="s">
        <v>3793</v>
      </c>
      <c r="E898" s="0" t="s">
        <v>3794</v>
      </c>
    </row>
    <row r="899" customFormat="false" ht="15" hidden="false" customHeight="false" outlineLevel="0" collapsed="false">
      <c r="A899" s="0" t="n">
        <v>897</v>
      </c>
      <c r="B899" s="0" t="s">
        <v>3795</v>
      </c>
      <c r="C899" s="0" t="s">
        <v>3796</v>
      </c>
      <c r="D899" s="0" t="s">
        <v>3797</v>
      </c>
      <c r="E899" s="0" t="s">
        <v>3798</v>
      </c>
    </row>
    <row r="900" customFormat="false" ht="15" hidden="false" customHeight="false" outlineLevel="0" collapsed="false">
      <c r="A900" s="0" t="n">
        <v>898</v>
      </c>
      <c r="B900" s="0" t="s">
        <v>3799</v>
      </c>
      <c r="C900" s="0" t="s">
        <v>3800</v>
      </c>
      <c r="D900" s="0" t="s">
        <v>3801</v>
      </c>
      <c r="E900" s="0" t="s">
        <v>3802</v>
      </c>
    </row>
    <row r="901" customFormat="false" ht="15" hidden="false" customHeight="false" outlineLevel="0" collapsed="false">
      <c r="A901" s="0" t="n">
        <v>899</v>
      </c>
      <c r="B901" s="0" t="s">
        <v>3803</v>
      </c>
      <c r="C901" s="0" t="s">
        <v>3804</v>
      </c>
      <c r="D901" s="0" t="s">
        <v>3805</v>
      </c>
      <c r="E901" s="0" t="s">
        <v>3806</v>
      </c>
    </row>
    <row r="902" customFormat="false" ht="15" hidden="false" customHeight="false" outlineLevel="0" collapsed="false">
      <c r="A902" s="0" t="n">
        <v>900</v>
      </c>
      <c r="B902" s="0" t="s">
        <v>3807</v>
      </c>
      <c r="C902" s="0" t="s">
        <v>3808</v>
      </c>
      <c r="D902" s="0" t="s">
        <v>3809</v>
      </c>
      <c r="E902" s="0" t="s">
        <v>3810</v>
      </c>
    </row>
    <row r="903" customFormat="false" ht="15" hidden="false" customHeight="false" outlineLevel="0" collapsed="false">
      <c r="A903" s="0" t="n">
        <v>901</v>
      </c>
      <c r="B903" s="0" t="s">
        <v>3811</v>
      </c>
      <c r="C903" s="0" t="s">
        <v>3812</v>
      </c>
      <c r="D903" s="0" t="s">
        <v>3813</v>
      </c>
      <c r="E903" s="0" t="s">
        <v>3814</v>
      </c>
    </row>
    <row r="904" customFormat="false" ht="15" hidden="false" customHeight="false" outlineLevel="0" collapsed="false">
      <c r="A904" s="0" t="n">
        <v>902</v>
      </c>
      <c r="B904" s="0" t="s">
        <v>3815</v>
      </c>
      <c r="C904" s="0" t="s">
        <v>3816</v>
      </c>
      <c r="D904" s="0" t="s">
        <v>3817</v>
      </c>
      <c r="E904" s="0" t="s">
        <v>3818</v>
      </c>
    </row>
    <row r="905" customFormat="false" ht="15" hidden="false" customHeight="false" outlineLevel="0" collapsed="false">
      <c r="A905" s="0" t="n">
        <v>903</v>
      </c>
      <c r="B905" s="0" t="s">
        <v>3819</v>
      </c>
      <c r="C905" s="0" t="s">
        <v>3820</v>
      </c>
      <c r="D905" s="0" t="s">
        <v>3821</v>
      </c>
      <c r="E905" s="0" t="s">
        <v>3822</v>
      </c>
    </row>
    <row r="906" customFormat="false" ht="15" hidden="false" customHeight="false" outlineLevel="0" collapsed="false">
      <c r="A906" s="0" t="n">
        <v>904</v>
      </c>
      <c r="B906" s="0" t="s">
        <v>3823</v>
      </c>
      <c r="C906" s="0" t="s">
        <v>3824</v>
      </c>
      <c r="D906" s="0" t="s">
        <v>3825</v>
      </c>
      <c r="E906" s="0" t="s">
        <v>3826</v>
      </c>
    </row>
    <row r="907" customFormat="false" ht="15" hidden="false" customHeight="false" outlineLevel="0" collapsed="false">
      <c r="A907" s="0" t="n">
        <v>905</v>
      </c>
      <c r="B907" s="0" t="s">
        <v>3827</v>
      </c>
      <c r="C907" s="0" t="s">
        <v>3828</v>
      </c>
      <c r="D907" s="0" t="s">
        <v>3829</v>
      </c>
      <c r="E907" s="0" t="s">
        <v>3830</v>
      </c>
    </row>
    <row r="908" customFormat="false" ht="15" hidden="false" customHeight="false" outlineLevel="0" collapsed="false">
      <c r="A908" s="0" t="n">
        <v>906</v>
      </c>
      <c r="B908" s="0" t="s">
        <v>3831</v>
      </c>
      <c r="C908" s="0" t="s">
        <v>3832</v>
      </c>
      <c r="D908" s="0" t="s">
        <v>3833</v>
      </c>
      <c r="E908" s="0" t="s">
        <v>3834</v>
      </c>
    </row>
    <row r="909" customFormat="false" ht="15" hidden="false" customHeight="false" outlineLevel="0" collapsed="false">
      <c r="A909" s="0" t="n">
        <v>907</v>
      </c>
      <c r="B909" s="0" t="s">
        <v>3835</v>
      </c>
      <c r="C909" s="0" t="s">
        <v>3836</v>
      </c>
      <c r="D909" s="0" t="s">
        <v>3837</v>
      </c>
      <c r="E909" s="0" t="s">
        <v>3838</v>
      </c>
    </row>
    <row r="910" customFormat="false" ht="15" hidden="false" customHeight="false" outlineLevel="0" collapsed="false">
      <c r="A910" s="0" t="n">
        <v>908</v>
      </c>
      <c r="B910" s="0" t="s">
        <v>3839</v>
      </c>
      <c r="C910" s="0" t="s">
        <v>3840</v>
      </c>
      <c r="D910" s="0" t="s">
        <v>3841</v>
      </c>
      <c r="E910" s="0" t="s">
        <v>3842</v>
      </c>
    </row>
    <row r="911" customFormat="false" ht="15" hidden="false" customHeight="false" outlineLevel="0" collapsed="false">
      <c r="A911" s="0" t="n">
        <v>909</v>
      </c>
      <c r="B911" s="0" t="s">
        <v>3843</v>
      </c>
      <c r="C911" s="0" t="s">
        <v>3844</v>
      </c>
      <c r="D911" s="0" t="s">
        <v>3845</v>
      </c>
      <c r="E911" s="0" t="s">
        <v>3846</v>
      </c>
    </row>
    <row r="912" customFormat="false" ht="15" hidden="false" customHeight="false" outlineLevel="0" collapsed="false">
      <c r="A912" s="0" t="n">
        <v>910</v>
      </c>
      <c r="B912" s="0" t="s">
        <v>3847</v>
      </c>
      <c r="C912" s="0" t="s">
        <v>3848</v>
      </c>
      <c r="D912" s="0" t="s">
        <v>3849</v>
      </c>
      <c r="E912" s="0" t="s">
        <v>3850</v>
      </c>
    </row>
    <row r="913" customFormat="false" ht="15" hidden="false" customHeight="false" outlineLevel="0" collapsed="false">
      <c r="A913" s="0" t="n">
        <v>911</v>
      </c>
      <c r="B913" s="0" t="s">
        <v>3851</v>
      </c>
      <c r="C913" s="0" t="s">
        <v>3852</v>
      </c>
      <c r="D913" s="0" t="s">
        <v>3853</v>
      </c>
      <c r="E913" s="0" t="s">
        <v>3854</v>
      </c>
    </row>
    <row r="914" customFormat="false" ht="15" hidden="false" customHeight="false" outlineLevel="0" collapsed="false">
      <c r="A914" s="0" t="n">
        <v>912</v>
      </c>
      <c r="B914" s="0" t="s">
        <v>3855</v>
      </c>
      <c r="C914" s="0" t="s">
        <v>3856</v>
      </c>
      <c r="D914" s="0" t="s">
        <v>3857</v>
      </c>
      <c r="E914" s="0" t="s">
        <v>3858</v>
      </c>
    </row>
    <row r="915" customFormat="false" ht="15" hidden="false" customHeight="false" outlineLevel="0" collapsed="false">
      <c r="A915" s="0" t="n">
        <v>913</v>
      </c>
      <c r="B915" s="0" t="s">
        <v>3859</v>
      </c>
      <c r="C915" s="0" t="s">
        <v>3860</v>
      </c>
      <c r="D915" s="0" t="s">
        <v>3861</v>
      </c>
      <c r="E915" s="0" t="s">
        <v>3862</v>
      </c>
    </row>
    <row r="916" customFormat="false" ht="15" hidden="false" customHeight="false" outlineLevel="0" collapsed="false">
      <c r="A916" s="0" t="n">
        <v>914</v>
      </c>
      <c r="B916" s="0" t="s">
        <v>3863</v>
      </c>
      <c r="C916" s="0" t="s">
        <v>3864</v>
      </c>
      <c r="D916" s="0" t="s">
        <v>3865</v>
      </c>
      <c r="E916" s="0" t="s">
        <v>3866</v>
      </c>
    </row>
    <row r="917" customFormat="false" ht="15" hidden="false" customHeight="false" outlineLevel="0" collapsed="false">
      <c r="A917" s="0" t="n">
        <v>915</v>
      </c>
      <c r="B917" s="0" t="s">
        <v>3867</v>
      </c>
      <c r="C917" s="0" t="s">
        <v>3868</v>
      </c>
      <c r="D917" s="0" t="s">
        <v>3869</v>
      </c>
      <c r="E917" s="0" t="s">
        <v>3870</v>
      </c>
    </row>
    <row r="918" customFormat="false" ht="15" hidden="false" customHeight="false" outlineLevel="0" collapsed="false">
      <c r="A918" s="0" t="n">
        <v>916</v>
      </c>
      <c r="B918" s="0" t="s">
        <v>3871</v>
      </c>
      <c r="C918" s="0" t="s">
        <v>3872</v>
      </c>
      <c r="D918" s="0" t="s">
        <v>3873</v>
      </c>
      <c r="E918" s="0" t="s">
        <v>3874</v>
      </c>
    </row>
    <row r="919" customFormat="false" ht="15" hidden="false" customHeight="false" outlineLevel="0" collapsed="false">
      <c r="A919" s="0" t="n">
        <v>917</v>
      </c>
      <c r="B919" s="0" t="s">
        <v>3875</v>
      </c>
      <c r="C919" s="0" t="s">
        <v>3876</v>
      </c>
      <c r="D919" s="0" t="s">
        <v>3877</v>
      </c>
      <c r="E919" s="0" t="s">
        <v>3878</v>
      </c>
    </row>
    <row r="920" customFormat="false" ht="15" hidden="false" customHeight="false" outlineLevel="0" collapsed="false">
      <c r="A920" s="0" t="n">
        <v>918</v>
      </c>
      <c r="B920" s="0" t="s">
        <v>3879</v>
      </c>
      <c r="C920" s="0" t="s">
        <v>3880</v>
      </c>
      <c r="D920" s="0" t="s">
        <v>3881</v>
      </c>
      <c r="E920" s="0" t="s">
        <v>3882</v>
      </c>
    </row>
    <row r="921" customFormat="false" ht="15" hidden="false" customHeight="false" outlineLevel="0" collapsed="false">
      <c r="A921" s="0" t="n">
        <v>919</v>
      </c>
      <c r="B921" s="0" t="s">
        <v>3883</v>
      </c>
      <c r="C921" s="0" t="s">
        <v>3884</v>
      </c>
      <c r="D921" s="0" t="s">
        <v>3885</v>
      </c>
      <c r="E921" s="0" t="s">
        <v>3886</v>
      </c>
    </row>
    <row r="922" customFormat="false" ht="15" hidden="false" customHeight="false" outlineLevel="0" collapsed="false">
      <c r="A922" s="0" t="n">
        <v>920</v>
      </c>
      <c r="B922" s="0" t="s">
        <v>3887</v>
      </c>
      <c r="C922" s="0" t="s">
        <v>3888</v>
      </c>
      <c r="D922" s="0" t="s">
        <v>3889</v>
      </c>
      <c r="E922" s="0" t="s">
        <v>3890</v>
      </c>
    </row>
    <row r="923" customFormat="false" ht="15" hidden="false" customHeight="false" outlineLevel="0" collapsed="false">
      <c r="A923" s="0" t="n">
        <v>921</v>
      </c>
      <c r="B923" s="0" t="s">
        <v>3891</v>
      </c>
      <c r="C923" s="0" t="s">
        <v>3892</v>
      </c>
      <c r="D923" s="0" t="s">
        <v>3893</v>
      </c>
      <c r="E923" s="0" t="s">
        <v>3894</v>
      </c>
    </row>
    <row r="924" customFormat="false" ht="15" hidden="false" customHeight="false" outlineLevel="0" collapsed="false">
      <c r="A924" s="0" t="n">
        <v>922</v>
      </c>
      <c r="B924" s="0" t="s">
        <v>3895</v>
      </c>
      <c r="C924" s="0" t="s">
        <v>3896</v>
      </c>
      <c r="D924" s="0" t="s">
        <v>3897</v>
      </c>
      <c r="E924" s="0" t="s">
        <v>3898</v>
      </c>
    </row>
    <row r="925" customFormat="false" ht="15" hidden="false" customHeight="false" outlineLevel="0" collapsed="false">
      <c r="A925" s="0" t="n">
        <v>923</v>
      </c>
      <c r="B925" s="0" t="s">
        <v>3899</v>
      </c>
      <c r="C925" s="0" t="s">
        <v>3900</v>
      </c>
      <c r="D925" s="0" t="s">
        <v>3901</v>
      </c>
      <c r="E925" s="0" t="s">
        <v>3902</v>
      </c>
    </row>
    <row r="926" customFormat="false" ht="15" hidden="false" customHeight="false" outlineLevel="0" collapsed="false">
      <c r="A926" s="0" t="n">
        <v>924</v>
      </c>
      <c r="B926" s="0" t="s">
        <v>3903</v>
      </c>
      <c r="C926" s="0" t="s">
        <v>3904</v>
      </c>
      <c r="D926" s="0" t="s">
        <v>3905</v>
      </c>
      <c r="E926" s="0" t="s">
        <v>3906</v>
      </c>
    </row>
    <row r="927" customFormat="false" ht="15" hidden="false" customHeight="false" outlineLevel="0" collapsed="false">
      <c r="A927" s="0" t="n">
        <v>925</v>
      </c>
      <c r="B927" s="0" t="s">
        <v>3907</v>
      </c>
      <c r="C927" s="0" t="s">
        <v>3908</v>
      </c>
      <c r="D927" s="0" t="s">
        <v>3909</v>
      </c>
      <c r="E927" s="0" t="s">
        <v>3910</v>
      </c>
    </row>
    <row r="928" customFormat="false" ht="15" hidden="false" customHeight="false" outlineLevel="0" collapsed="false">
      <c r="A928" s="0" t="n">
        <v>926</v>
      </c>
      <c r="B928" s="0" t="s">
        <v>3911</v>
      </c>
      <c r="C928" s="0" t="s">
        <v>3912</v>
      </c>
      <c r="D928" s="0" t="s">
        <v>3913</v>
      </c>
      <c r="E928" s="0" t="s">
        <v>3914</v>
      </c>
    </row>
    <row r="929" customFormat="false" ht="15" hidden="false" customHeight="false" outlineLevel="0" collapsed="false">
      <c r="A929" s="0" t="n">
        <v>927</v>
      </c>
      <c r="B929" s="0" t="s">
        <v>3915</v>
      </c>
      <c r="C929" s="0" t="s">
        <v>3916</v>
      </c>
      <c r="D929" s="0" t="s">
        <v>3917</v>
      </c>
      <c r="E929" s="0" t="s">
        <v>3918</v>
      </c>
    </row>
    <row r="930" customFormat="false" ht="15" hidden="false" customHeight="false" outlineLevel="0" collapsed="false">
      <c r="A930" s="0" t="n">
        <v>928</v>
      </c>
      <c r="B930" s="0" t="s">
        <v>3919</v>
      </c>
      <c r="C930" s="0" t="s">
        <v>3920</v>
      </c>
      <c r="D930" s="0" t="s">
        <v>3921</v>
      </c>
      <c r="E930" s="0" t="s">
        <v>3922</v>
      </c>
    </row>
    <row r="931" customFormat="false" ht="15" hidden="false" customHeight="false" outlineLevel="0" collapsed="false">
      <c r="A931" s="0" t="n">
        <v>929</v>
      </c>
      <c r="B931" s="0" t="s">
        <v>3923</v>
      </c>
      <c r="C931" s="0" t="s">
        <v>3924</v>
      </c>
      <c r="D931" s="0" t="s">
        <v>3925</v>
      </c>
      <c r="E931" s="0" t="s">
        <v>3926</v>
      </c>
    </row>
    <row r="932" customFormat="false" ht="15" hidden="false" customHeight="false" outlineLevel="0" collapsed="false">
      <c r="A932" s="0" t="n">
        <v>930</v>
      </c>
      <c r="B932" s="0" t="s">
        <v>3927</v>
      </c>
      <c r="C932" s="0" t="s">
        <v>3928</v>
      </c>
      <c r="D932" s="0" t="s">
        <v>3929</v>
      </c>
      <c r="E932" s="0" t="s">
        <v>3930</v>
      </c>
    </row>
    <row r="933" customFormat="false" ht="15" hidden="false" customHeight="false" outlineLevel="0" collapsed="false">
      <c r="A933" s="0" t="n">
        <v>931</v>
      </c>
      <c r="B933" s="0" t="s">
        <v>3931</v>
      </c>
      <c r="C933" s="0" t="s">
        <v>3932</v>
      </c>
      <c r="D933" s="0" t="s">
        <v>3933</v>
      </c>
      <c r="E933" s="0" t="s">
        <v>3934</v>
      </c>
    </row>
    <row r="934" customFormat="false" ht="15" hidden="false" customHeight="false" outlineLevel="0" collapsed="false">
      <c r="A934" s="0" t="n">
        <v>932</v>
      </c>
      <c r="B934" s="0" t="s">
        <v>3935</v>
      </c>
      <c r="C934" s="0" t="s">
        <v>3936</v>
      </c>
      <c r="D934" s="0" t="s">
        <v>3937</v>
      </c>
      <c r="E934" s="0" t="s">
        <v>3938</v>
      </c>
    </row>
    <row r="935" customFormat="false" ht="15" hidden="false" customHeight="false" outlineLevel="0" collapsed="false">
      <c r="A935" s="0" t="n">
        <v>933</v>
      </c>
      <c r="B935" s="0" t="s">
        <v>3939</v>
      </c>
      <c r="C935" s="0" t="s">
        <v>3940</v>
      </c>
      <c r="D935" s="0" t="s">
        <v>3941</v>
      </c>
      <c r="E935" s="0" t="s">
        <v>3942</v>
      </c>
    </row>
    <row r="936" customFormat="false" ht="15" hidden="false" customHeight="false" outlineLevel="0" collapsed="false">
      <c r="A936" s="0" t="n">
        <v>934</v>
      </c>
      <c r="B936" s="0" t="s">
        <v>3943</v>
      </c>
      <c r="C936" s="0" t="s">
        <v>3944</v>
      </c>
      <c r="D936" s="0" t="s">
        <v>3945</v>
      </c>
      <c r="E936" s="0" t="s">
        <v>3946</v>
      </c>
    </row>
    <row r="937" customFormat="false" ht="15" hidden="false" customHeight="false" outlineLevel="0" collapsed="false">
      <c r="A937" s="0" t="n">
        <v>935</v>
      </c>
      <c r="B937" s="0" t="s">
        <v>3947</v>
      </c>
      <c r="C937" s="0" t="s">
        <v>3948</v>
      </c>
      <c r="D937" s="0" t="s">
        <v>3949</v>
      </c>
      <c r="E937" s="0" t="s">
        <v>3950</v>
      </c>
    </row>
    <row r="938" customFormat="false" ht="15" hidden="false" customHeight="false" outlineLevel="0" collapsed="false">
      <c r="A938" s="0" t="n">
        <v>936</v>
      </c>
      <c r="B938" s="0" t="s">
        <v>3951</v>
      </c>
      <c r="C938" s="0" t="s">
        <v>3952</v>
      </c>
      <c r="D938" s="0" t="s">
        <v>3953</v>
      </c>
      <c r="E938" s="0" t="s">
        <v>3954</v>
      </c>
    </row>
    <row r="939" customFormat="false" ht="15" hidden="false" customHeight="false" outlineLevel="0" collapsed="false">
      <c r="A939" s="0" t="n">
        <v>937</v>
      </c>
      <c r="B939" s="0" t="s">
        <v>3955</v>
      </c>
      <c r="C939" s="0" t="s">
        <v>3956</v>
      </c>
      <c r="D939" s="0" t="s">
        <v>3957</v>
      </c>
      <c r="E939" s="0" t="s">
        <v>3958</v>
      </c>
    </row>
    <row r="940" customFormat="false" ht="15" hidden="false" customHeight="false" outlineLevel="0" collapsed="false">
      <c r="A940" s="0" t="n">
        <v>938</v>
      </c>
      <c r="B940" s="0" t="s">
        <v>3959</v>
      </c>
      <c r="C940" s="0" t="s">
        <v>3960</v>
      </c>
      <c r="D940" s="0" t="s">
        <v>3961</v>
      </c>
      <c r="E940" s="0" t="s">
        <v>3962</v>
      </c>
    </row>
    <row r="941" customFormat="false" ht="15" hidden="false" customHeight="false" outlineLevel="0" collapsed="false">
      <c r="A941" s="0" t="n">
        <v>939</v>
      </c>
      <c r="B941" s="0" t="s">
        <v>3963</v>
      </c>
      <c r="C941" s="0" t="s">
        <v>3964</v>
      </c>
      <c r="D941" s="0" t="s">
        <v>3965</v>
      </c>
      <c r="E941" s="0" t="s">
        <v>3966</v>
      </c>
    </row>
    <row r="942" customFormat="false" ht="15" hidden="false" customHeight="false" outlineLevel="0" collapsed="false">
      <c r="A942" s="0" t="n">
        <v>940</v>
      </c>
      <c r="B942" s="0" t="s">
        <v>3967</v>
      </c>
      <c r="C942" s="0" t="s">
        <v>3968</v>
      </c>
      <c r="D942" s="0" t="s">
        <v>3969</v>
      </c>
      <c r="E942" s="0" t="s">
        <v>3970</v>
      </c>
    </row>
    <row r="943" customFormat="false" ht="15" hidden="false" customHeight="false" outlineLevel="0" collapsed="false">
      <c r="A943" s="0" t="n">
        <v>941</v>
      </c>
      <c r="B943" s="0" t="s">
        <v>3971</v>
      </c>
      <c r="C943" s="0" t="s">
        <v>3972</v>
      </c>
      <c r="D943" s="0" t="s">
        <v>3973</v>
      </c>
      <c r="E943" s="0" t="s">
        <v>3974</v>
      </c>
    </row>
    <row r="944" customFormat="false" ht="15" hidden="false" customHeight="false" outlineLevel="0" collapsed="false">
      <c r="A944" s="0" t="n">
        <v>942</v>
      </c>
      <c r="B944" s="0" t="s">
        <v>3975</v>
      </c>
      <c r="C944" s="0" t="s">
        <v>3976</v>
      </c>
      <c r="D944" s="0" t="s">
        <v>3977</v>
      </c>
      <c r="E944" s="0" t="s">
        <v>3978</v>
      </c>
    </row>
    <row r="945" customFormat="false" ht="15" hidden="false" customHeight="false" outlineLevel="0" collapsed="false">
      <c r="A945" s="0" t="n">
        <v>943</v>
      </c>
      <c r="B945" s="0" t="s">
        <v>3979</v>
      </c>
      <c r="C945" s="0" t="s">
        <v>3980</v>
      </c>
      <c r="D945" s="0" t="s">
        <v>3981</v>
      </c>
      <c r="E945" s="0" t="s">
        <v>3982</v>
      </c>
    </row>
    <row r="946" customFormat="false" ht="15" hidden="false" customHeight="false" outlineLevel="0" collapsed="false">
      <c r="A946" s="0" t="n">
        <v>944</v>
      </c>
      <c r="B946" s="0" t="s">
        <v>3983</v>
      </c>
      <c r="C946" s="0" t="s">
        <v>3984</v>
      </c>
      <c r="D946" s="0" t="s">
        <v>3985</v>
      </c>
      <c r="E946" s="0" t="s">
        <v>3986</v>
      </c>
    </row>
    <row r="947" customFormat="false" ht="15" hidden="false" customHeight="false" outlineLevel="0" collapsed="false">
      <c r="A947" s="0" t="n">
        <v>945</v>
      </c>
      <c r="B947" s="0" t="s">
        <v>3987</v>
      </c>
      <c r="C947" s="0" t="s">
        <v>3988</v>
      </c>
      <c r="D947" s="0" t="s">
        <v>3989</v>
      </c>
      <c r="E947" s="0" t="s">
        <v>3990</v>
      </c>
    </row>
    <row r="948" customFormat="false" ht="15" hidden="false" customHeight="false" outlineLevel="0" collapsed="false">
      <c r="A948" s="0" t="n">
        <v>946</v>
      </c>
      <c r="B948" s="0" t="s">
        <v>3991</v>
      </c>
      <c r="C948" s="0" t="s">
        <v>3992</v>
      </c>
      <c r="D948" s="0" t="s">
        <v>3993</v>
      </c>
      <c r="E948" s="0" t="s">
        <v>3994</v>
      </c>
    </row>
    <row r="949" customFormat="false" ht="15" hidden="false" customHeight="false" outlineLevel="0" collapsed="false">
      <c r="A949" s="0" t="n">
        <v>947</v>
      </c>
      <c r="B949" s="0" t="s">
        <v>3995</v>
      </c>
      <c r="C949" s="0" t="s">
        <v>3996</v>
      </c>
      <c r="D949" s="0" t="s">
        <v>3997</v>
      </c>
      <c r="E949" s="0" t="s">
        <v>3998</v>
      </c>
    </row>
    <row r="950" customFormat="false" ht="15" hidden="false" customHeight="false" outlineLevel="0" collapsed="false">
      <c r="A950" s="0" t="n">
        <v>948</v>
      </c>
      <c r="B950" s="0" t="s">
        <v>3999</v>
      </c>
      <c r="C950" s="0" t="s">
        <v>4000</v>
      </c>
      <c r="D950" s="0" t="s">
        <v>4001</v>
      </c>
      <c r="E950" s="0" t="s">
        <v>4002</v>
      </c>
    </row>
    <row r="951" customFormat="false" ht="15" hidden="false" customHeight="false" outlineLevel="0" collapsed="false">
      <c r="A951" s="0" t="n">
        <v>949</v>
      </c>
      <c r="B951" s="0" t="s">
        <v>4003</v>
      </c>
      <c r="C951" s="0" t="s">
        <v>4004</v>
      </c>
      <c r="D951" s="0" t="s">
        <v>4005</v>
      </c>
      <c r="E951" s="0" t="s">
        <v>4006</v>
      </c>
    </row>
    <row r="952" customFormat="false" ht="15" hidden="false" customHeight="false" outlineLevel="0" collapsed="false">
      <c r="A952" s="0" t="n">
        <v>950</v>
      </c>
      <c r="B952" s="0" t="s">
        <v>4007</v>
      </c>
      <c r="C952" s="0" t="s">
        <v>4008</v>
      </c>
      <c r="D952" s="0" t="s">
        <v>4009</v>
      </c>
      <c r="E952" s="0" t="s">
        <v>4010</v>
      </c>
    </row>
    <row r="953" customFormat="false" ht="15" hidden="false" customHeight="false" outlineLevel="0" collapsed="false">
      <c r="A953" s="0" t="n">
        <v>951</v>
      </c>
      <c r="B953" s="0" t="s">
        <v>4011</v>
      </c>
      <c r="C953" s="0" t="s">
        <v>4012</v>
      </c>
      <c r="D953" s="0" t="s">
        <v>4013</v>
      </c>
      <c r="E953" s="0" t="s">
        <v>4014</v>
      </c>
    </row>
    <row r="954" customFormat="false" ht="15" hidden="false" customHeight="false" outlineLevel="0" collapsed="false">
      <c r="A954" s="0" t="n">
        <v>952</v>
      </c>
      <c r="B954" s="0" t="s">
        <v>4015</v>
      </c>
      <c r="C954" s="0" t="s">
        <v>4016</v>
      </c>
      <c r="D954" s="0" t="s">
        <v>4017</v>
      </c>
      <c r="E954" s="0" t="s">
        <v>4018</v>
      </c>
    </row>
    <row r="955" customFormat="false" ht="15" hidden="false" customHeight="false" outlineLevel="0" collapsed="false">
      <c r="A955" s="0" t="n">
        <v>953</v>
      </c>
      <c r="B955" s="0" t="s">
        <v>4019</v>
      </c>
      <c r="C955" s="0" t="s">
        <v>4020</v>
      </c>
      <c r="D955" s="0" t="s">
        <v>4021</v>
      </c>
      <c r="E955" s="0" t="s">
        <v>4022</v>
      </c>
    </row>
    <row r="956" customFormat="false" ht="15" hidden="false" customHeight="false" outlineLevel="0" collapsed="false">
      <c r="A956" s="0" t="n">
        <v>954</v>
      </c>
      <c r="B956" s="0" t="s">
        <v>4023</v>
      </c>
      <c r="C956" s="0" t="s">
        <v>4024</v>
      </c>
      <c r="D956" s="0" t="s">
        <v>4025</v>
      </c>
      <c r="E956" s="0" t="s">
        <v>4026</v>
      </c>
    </row>
    <row r="957" customFormat="false" ht="15" hidden="false" customHeight="false" outlineLevel="0" collapsed="false">
      <c r="A957" s="0" t="n">
        <v>955</v>
      </c>
      <c r="B957" s="0" t="s">
        <v>4027</v>
      </c>
      <c r="C957" s="0" t="s">
        <v>4028</v>
      </c>
      <c r="D957" s="0" t="s">
        <v>4029</v>
      </c>
      <c r="E957" s="0" t="s">
        <v>4030</v>
      </c>
    </row>
    <row r="958" customFormat="false" ht="15" hidden="false" customHeight="false" outlineLevel="0" collapsed="false">
      <c r="A958" s="0" t="n">
        <v>956</v>
      </c>
      <c r="B958" s="0" t="s">
        <v>4031</v>
      </c>
      <c r="C958" s="0" t="s">
        <v>4032</v>
      </c>
      <c r="D958" s="0" t="s">
        <v>4033</v>
      </c>
      <c r="E958" s="0" t="s">
        <v>4034</v>
      </c>
    </row>
    <row r="959" customFormat="false" ht="15" hidden="false" customHeight="false" outlineLevel="0" collapsed="false">
      <c r="A959" s="0" t="n">
        <v>957</v>
      </c>
      <c r="B959" s="0" t="s">
        <v>4035</v>
      </c>
      <c r="C959" s="0" t="s">
        <v>4036</v>
      </c>
      <c r="D959" s="0" t="s">
        <v>4037</v>
      </c>
      <c r="E959" s="0" t="s">
        <v>4038</v>
      </c>
    </row>
    <row r="960" customFormat="false" ht="15" hidden="false" customHeight="false" outlineLevel="0" collapsed="false">
      <c r="A960" s="0" t="n">
        <v>958</v>
      </c>
      <c r="B960" s="0" t="s">
        <v>4039</v>
      </c>
      <c r="C960" s="0" t="s">
        <v>4040</v>
      </c>
      <c r="D960" s="0" t="s">
        <v>4041</v>
      </c>
      <c r="E960" s="0" t="s">
        <v>4042</v>
      </c>
    </row>
    <row r="961" customFormat="false" ht="15" hidden="false" customHeight="false" outlineLevel="0" collapsed="false">
      <c r="A961" s="0" t="n">
        <v>959</v>
      </c>
      <c r="B961" s="0" t="s">
        <v>4043</v>
      </c>
      <c r="C961" s="0" t="s">
        <v>4044</v>
      </c>
      <c r="D961" s="0" t="s">
        <v>4045</v>
      </c>
      <c r="E961" s="0" t="s">
        <v>4046</v>
      </c>
    </row>
    <row r="962" customFormat="false" ht="15" hidden="false" customHeight="false" outlineLevel="0" collapsed="false">
      <c r="A962" s="0" t="n">
        <v>960</v>
      </c>
      <c r="B962" s="0" t="s">
        <v>4047</v>
      </c>
      <c r="C962" s="0" t="s">
        <v>4048</v>
      </c>
      <c r="D962" s="0" t="s">
        <v>4049</v>
      </c>
      <c r="E962" s="0" t="s">
        <v>4050</v>
      </c>
    </row>
    <row r="963" customFormat="false" ht="15" hidden="false" customHeight="false" outlineLevel="0" collapsed="false">
      <c r="A963" s="0" t="n">
        <v>961</v>
      </c>
      <c r="B963" s="0" t="s">
        <v>4051</v>
      </c>
      <c r="C963" s="0" t="s">
        <v>4052</v>
      </c>
      <c r="D963" s="0" t="s">
        <v>4053</v>
      </c>
      <c r="E963" s="0" t="s">
        <v>4054</v>
      </c>
    </row>
    <row r="964" customFormat="false" ht="15" hidden="false" customHeight="false" outlineLevel="0" collapsed="false">
      <c r="A964" s="0" t="n">
        <v>962</v>
      </c>
      <c r="B964" s="0" t="s">
        <v>4055</v>
      </c>
      <c r="C964" s="0" t="s">
        <v>4056</v>
      </c>
      <c r="D964" s="0" t="s">
        <v>4057</v>
      </c>
      <c r="E964" s="0" t="s">
        <v>4058</v>
      </c>
    </row>
    <row r="965" customFormat="false" ht="15" hidden="false" customHeight="false" outlineLevel="0" collapsed="false">
      <c r="A965" s="0" t="n">
        <v>963</v>
      </c>
      <c r="B965" s="0" t="s">
        <v>4059</v>
      </c>
      <c r="C965" s="0" t="s">
        <v>4060</v>
      </c>
      <c r="D965" s="0" t="s">
        <v>4061</v>
      </c>
      <c r="E965" s="0" t="s">
        <v>4062</v>
      </c>
    </row>
    <row r="966" customFormat="false" ht="15" hidden="false" customHeight="false" outlineLevel="0" collapsed="false">
      <c r="A966" s="0" t="n">
        <v>964</v>
      </c>
      <c r="B966" s="0" t="s">
        <v>4063</v>
      </c>
      <c r="C966" s="0" t="s">
        <v>4064</v>
      </c>
      <c r="D966" s="0" t="s">
        <v>4065</v>
      </c>
      <c r="E966" s="0" t="s">
        <v>4066</v>
      </c>
    </row>
    <row r="967" customFormat="false" ht="15" hidden="false" customHeight="false" outlineLevel="0" collapsed="false">
      <c r="A967" s="0" t="n">
        <v>965</v>
      </c>
      <c r="B967" s="0" t="s">
        <v>4067</v>
      </c>
      <c r="C967" s="0" t="s">
        <v>4068</v>
      </c>
      <c r="D967" s="0" t="s">
        <v>4069</v>
      </c>
      <c r="E967" s="0" t="s">
        <v>4070</v>
      </c>
    </row>
    <row r="968" customFormat="false" ht="15" hidden="false" customHeight="false" outlineLevel="0" collapsed="false">
      <c r="A968" s="0" t="n">
        <v>966</v>
      </c>
      <c r="B968" s="0" t="s">
        <v>4071</v>
      </c>
      <c r="C968" s="0" t="s">
        <v>4072</v>
      </c>
      <c r="D968" s="0" t="s">
        <v>4073</v>
      </c>
      <c r="E968" s="0" t="s">
        <v>4074</v>
      </c>
    </row>
    <row r="969" customFormat="false" ht="15" hidden="false" customHeight="false" outlineLevel="0" collapsed="false">
      <c r="A969" s="0" t="n">
        <v>967</v>
      </c>
      <c r="B969" s="0" t="s">
        <v>4075</v>
      </c>
      <c r="C969" s="0" t="s">
        <v>4076</v>
      </c>
      <c r="D969" s="0" t="s">
        <v>4077</v>
      </c>
      <c r="E969" s="0" t="s">
        <v>4078</v>
      </c>
    </row>
    <row r="970" customFormat="false" ht="15" hidden="false" customHeight="false" outlineLevel="0" collapsed="false">
      <c r="A970" s="0" t="n">
        <v>968</v>
      </c>
      <c r="B970" s="0" t="s">
        <v>4079</v>
      </c>
      <c r="C970" s="0" t="s">
        <v>4080</v>
      </c>
      <c r="D970" s="0" t="s">
        <v>4081</v>
      </c>
      <c r="E970" s="0" t="s">
        <v>4082</v>
      </c>
    </row>
    <row r="971" customFormat="false" ht="15" hidden="false" customHeight="false" outlineLevel="0" collapsed="false">
      <c r="A971" s="0" t="n">
        <v>969</v>
      </c>
      <c r="B971" s="0" t="s">
        <v>4083</v>
      </c>
      <c r="C971" s="0" t="s">
        <v>4084</v>
      </c>
      <c r="D971" s="0" t="s">
        <v>4085</v>
      </c>
      <c r="E971" s="0" t="s">
        <v>4086</v>
      </c>
    </row>
    <row r="972" customFormat="false" ht="15" hidden="false" customHeight="false" outlineLevel="0" collapsed="false">
      <c r="A972" s="0" t="n">
        <v>970</v>
      </c>
      <c r="B972" s="0" t="s">
        <v>4087</v>
      </c>
      <c r="C972" s="0" t="s">
        <v>4088</v>
      </c>
      <c r="D972" s="0" t="s">
        <v>4089</v>
      </c>
      <c r="E972" s="0" t="s">
        <v>4090</v>
      </c>
    </row>
    <row r="973" customFormat="false" ht="15" hidden="false" customHeight="false" outlineLevel="0" collapsed="false">
      <c r="A973" s="0" t="n">
        <v>971</v>
      </c>
      <c r="B973" s="0" t="s">
        <v>4091</v>
      </c>
      <c r="C973" s="0" t="s">
        <v>4092</v>
      </c>
      <c r="D973" s="0" t="s">
        <v>4093</v>
      </c>
      <c r="E973" s="0" t="s">
        <v>4094</v>
      </c>
    </row>
    <row r="974" customFormat="false" ht="15" hidden="false" customHeight="false" outlineLevel="0" collapsed="false">
      <c r="A974" s="0" t="n">
        <v>972</v>
      </c>
      <c r="B974" s="0" t="s">
        <v>4095</v>
      </c>
      <c r="C974" s="0" t="s">
        <v>4096</v>
      </c>
      <c r="D974" s="0" t="s">
        <v>4097</v>
      </c>
      <c r="E974" s="0" t="s">
        <v>4098</v>
      </c>
    </row>
    <row r="975" customFormat="false" ht="15" hidden="false" customHeight="false" outlineLevel="0" collapsed="false">
      <c r="A975" s="0" t="n">
        <v>973</v>
      </c>
      <c r="B975" s="0" t="s">
        <v>4099</v>
      </c>
      <c r="C975" s="0" t="s">
        <v>4100</v>
      </c>
      <c r="D975" s="0" t="s">
        <v>4101</v>
      </c>
      <c r="E975" s="0" t="s">
        <v>4102</v>
      </c>
    </row>
    <row r="976" customFormat="false" ht="15" hidden="false" customHeight="false" outlineLevel="0" collapsed="false">
      <c r="A976" s="0" t="n">
        <v>974</v>
      </c>
      <c r="B976" s="0" t="s">
        <v>4103</v>
      </c>
      <c r="C976" s="0" t="s">
        <v>4104</v>
      </c>
      <c r="D976" s="0" t="s">
        <v>4105</v>
      </c>
      <c r="E976" s="0" t="s">
        <v>4106</v>
      </c>
    </row>
    <row r="977" customFormat="false" ht="15" hidden="false" customHeight="false" outlineLevel="0" collapsed="false">
      <c r="A977" s="0" t="n">
        <v>975</v>
      </c>
      <c r="B977" s="0" t="s">
        <v>4107</v>
      </c>
      <c r="C977" s="0" t="s">
        <v>4108</v>
      </c>
      <c r="D977" s="0" t="s">
        <v>4109</v>
      </c>
      <c r="E977" s="0" t="s">
        <v>4110</v>
      </c>
    </row>
    <row r="978" customFormat="false" ht="15" hidden="false" customHeight="false" outlineLevel="0" collapsed="false">
      <c r="A978" s="0" t="n">
        <v>976</v>
      </c>
      <c r="B978" s="0" t="s">
        <v>4111</v>
      </c>
      <c r="C978" s="0" t="s">
        <v>4112</v>
      </c>
      <c r="D978" s="0" t="s">
        <v>4113</v>
      </c>
      <c r="E978" s="0" t="s">
        <v>4114</v>
      </c>
    </row>
    <row r="979" customFormat="false" ht="15" hidden="false" customHeight="false" outlineLevel="0" collapsed="false">
      <c r="A979" s="0" t="n">
        <v>977</v>
      </c>
      <c r="B979" s="0" t="s">
        <v>4115</v>
      </c>
      <c r="C979" s="0" t="s">
        <v>4116</v>
      </c>
      <c r="D979" s="0" t="s">
        <v>4117</v>
      </c>
      <c r="E979" s="0" t="s">
        <v>4118</v>
      </c>
    </row>
    <row r="980" customFormat="false" ht="15" hidden="false" customHeight="false" outlineLevel="0" collapsed="false">
      <c r="A980" s="0" t="n">
        <v>978</v>
      </c>
      <c r="B980" s="0" t="s">
        <v>4119</v>
      </c>
      <c r="C980" s="0" t="s">
        <v>4120</v>
      </c>
      <c r="D980" s="0" t="s">
        <v>4121</v>
      </c>
      <c r="E980" s="0" t="s">
        <v>4122</v>
      </c>
    </row>
    <row r="981" customFormat="false" ht="15" hidden="false" customHeight="false" outlineLevel="0" collapsed="false">
      <c r="A981" s="0" t="n">
        <v>979</v>
      </c>
      <c r="B981" s="0" t="s">
        <v>4123</v>
      </c>
      <c r="C981" s="0" t="s">
        <v>4124</v>
      </c>
      <c r="D981" s="0" t="s">
        <v>4125</v>
      </c>
      <c r="E981" s="0" t="s">
        <v>4126</v>
      </c>
    </row>
    <row r="982" customFormat="false" ht="15" hidden="false" customHeight="false" outlineLevel="0" collapsed="false">
      <c r="A982" s="0" t="n">
        <v>980</v>
      </c>
      <c r="B982" s="0" t="s">
        <v>4127</v>
      </c>
      <c r="C982" s="0" t="s">
        <v>4128</v>
      </c>
      <c r="D982" s="0" t="s">
        <v>4129</v>
      </c>
      <c r="E982" s="0" t="s">
        <v>4130</v>
      </c>
    </row>
    <row r="983" customFormat="false" ht="15" hidden="false" customHeight="false" outlineLevel="0" collapsed="false">
      <c r="A983" s="0" t="n">
        <v>981</v>
      </c>
      <c r="B983" s="0" t="s">
        <v>4131</v>
      </c>
      <c r="C983" s="0" t="s">
        <v>4132</v>
      </c>
      <c r="D983" s="0" t="s">
        <v>4133</v>
      </c>
      <c r="E983" s="0" t="s">
        <v>4134</v>
      </c>
    </row>
    <row r="984" customFormat="false" ht="15" hidden="false" customHeight="false" outlineLevel="0" collapsed="false">
      <c r="A984" s="0" t="n">
        <v>982</v>
      </c>
      <c r="B984" s="0" t="s">
        <v>4135</v>
      </c>
      <c r="C984" s="0" t="s">
        <v>4136</v>
      </c>
      <c r="D984" s="0" t="s">
        <v>4137</v>
      </c>
      <c r="E984" s="0" t="s">
        <v>4138</v>
      </c>
    </row>
    <row r="985" customFormat="false" ht="15" hidden="false" customHeight="false" outlineLevel="0" collapsed="false">
      <c r="A985" s="0" t="n">
        <v>983</v>
      </c>
      <c r="B985" s="0" t="s">
        <v>4139</v>
      </c>
      <c r="C985" s="0" t="s">
        <v>4140</v>
      </c>
      <c r="D985" s="0" t="s">
        <v>4141</v>
      </c>
      <c r="E985" s="0" t="s">
        <v>4142</v>
      </c>
    </row>
    <row r="986" customFormat="false" ht="15" hidden="false" customHeight="false" outlineLevel="0" collapsed="false">
      <c r="A986" s="0" t="n">
        <v>984</v>
      </c>
      <c r="B986" s="0" t="s">
        <v>4143</v>
      </c>
      <c r="C986" s="0" t="s">
        <v>4144</v>
      </c>
      <c r="D986" s="0" t="s">
        <v>4145</v>
      </c>
      <c r="E986" s="0" t="s">
        <v>4146</v>
      </c>
    </row>
    <row r="987" customFormat="false" ht="15" hidden="false" customHeight="false" outlineLevel="0" collapsed="false">
      <c r="A987" s="0" t="n">
        <v>985</v>
      </c>
      <c r="B987" s="0" t="s">
        <v>4147</v>
      </c>
      <c r="C987" s="0" t="s">
        <v>4148</v>
      </c>
      <c r="D987" s="0" t="s">
        <v>4149</v>
      </c>
      <c r="E987" s="0" t="s">
        <v>4150</v>
      </c>
    </row>
    <row r="988" customFormat="false" ht="15" hidden="false" customHeight="false" outlineLevel="0" collapsed="false">
      <c r="A988" s="0" t="n">
        <v>986</v>
      </c>
      <c r="B988" s="0" t="s">
        <v>4151</v>
      </c>
      <c r="C988" s="0" t="s">
        <v>4152</v>
      </c>
      <c r="D988" s="0" t="s">
        <v>4153</v>
      </c>
      <c r="E988" s="0" t="s">
        <v>4154</v>
      </c>
    </row>
    <row r="989" customFormat="false" ht="15" hidden="false" customHeight="false" outlineLevel="0" collapsed="false">
      <c r="A989" s="0" t="n">
        <v>987</v>
      </c>
      <c r="B989" s="0" t="s">
        <v>4155</v>
      </c>
      <c r="C989" s="0" t="s">
        <v>4156</v>
      </c>
      <c r="D989" s="0" t="s">
        <v>4157</v>
      </c>
      <c r="E989" s="0" t="s">
        <v>4158</v>
      </c>
    </row>
    <row r="990" customFormat="false" ht="15" hidden="false" customHeight="false" outlineLevel="0" collapsed="false">
      <c r="A990" s="0" t="n">
        <v>988</v>
      </c>
      <c r="B990" s="0" t="s">
        <v>4159</v>
      </c>
      <c r="C990" s="0" t="s">
        <v>4160</v>
      </c>
      <c r="D990" s="0" t="s">
        <v>4161</v>
      </c>
      <c r="E990" s="0" t="s">
        <v>4162</v>
      </c>
    </row>
    <row r="991" customFormat="false" ht="15" hidden="false" customHeight="false" outlineLevel="0" collapsed="false">
      <c r="A991" s="0" t="n">
        <v>989</v>
      </c>
      <c r="B991" s="0" t="s">
        <v>4163</v>
      </c>
      <c r="C991" s="0" t="s">
        <v>4164</v>
      </c>
      <c r="D991" s="0" t="s">
        <v>4165</v>
      </c>
      <c r="E991" s="0" t="s">
        <v>4166</v>
      </c>
    </row>
    <row r="992" customFormat="false" ht="15" hidden="false" customHeight="false" outlineLevel="0" collapsed="false">
      <c r="A992" s="0" t="n">
        <v>990</v>
      </c>
      <c r="B992" s="0" t="s">
        <v>4167</v>
      </c>
      <c r="C992" s="0" t="s">
        <v>4168</v>
      </c>
      <c r="D992" s="0" t="s">
        <v>4169</v>
      </c>
      <c r="E992" s="0" t="s">
        <v>4170</v>
      </c>
    </row>
    <row r="993" customFormat="false" ht="15" hidden="false" customHeight="false" outlineLevel="0" collapsed="false">
      <c r="A993" s="0" t="n">
        <v>991</v>
      </c>
      <c r="B993" s="0" t="s">
        <v>4171</v>
      </c>
      <c r="C993" s="0" t="s">
        <v>4172</v>
      </c>
      <c r="D993" s="0" t="s">
        <v>4173</v>
      </c>
      <c r="E993" s="0" t="s">
        <v>4174</v>
      </c>
    </row>
    <row r="994" customFormat="false" ht="15" hidden="false" customHeight="false" outlineLevel="0" collapsed="false">
      <c r="A994" s="0" t="n">
        <v>992</v>
      </c>
      <c r="B994" s="0" t="s">
        <v>4175</v>
      </c>
      <c r="C994" s="0" t="s">
        <v>4176</v>
      </c>
      <c r="D994" s="0" t="s">
        <v>4177</v>
      </c>
      <c r="E994" s="0" t="s">
        <v>4178</v>
      </c>
    </row>
    <row r="995" customFormat="false" ht="15" hidden="false" customHeight="false" outlineLevel="0" collapsed="false">
      <c r="A995" s="0" t="n">
        <v>993</v>
      </c>
      <c r="B995" s="0" t="s">
        <v>4179</v>
      </c>
      <c r="C995" s="0" t="s">
        <v>4180</v>
      </c>
      <c r="D995" s="0" t="s">
        <v>4181</v>
      </c>
      <c r="E995" s="0" t="s">
        <v>4182</v>
      </c>
    </row>
    <row r="996" customFormat="false" ht="15" hidden="false" customHeight="false" outlineLevel="0" collapsed="false">
      <c r="A996" s="0" t="n">
        <v>994</v>
      </c>
      <c r="B996" s="0" t="s">
        <v>4183</v>
      </c>
      <c r="C996" s="0" t="s">
        <v>4184</v>
      </c>
      <c r="D996" s="0" t="s">
        <v>4185</v>
      </c>
      <c r="E996" s="0" t="s">
        <v>4186</v>
      </c>
    </row>
    <row r="997" customFormat="false" ht="15" hidden="false" customHeight="false" outlineLevel="0" collapsed="false">
      <c r="A997" s="0" t="n">
        <v>995</v>
      </c>
      <c r="B997" s="0" t="s">
        <v>4187</v>
      </c>
      <c r="C997" s="0" t="s">
        <v>4188</v>
      </c>
      <c r="D997" s="0" t="s">
        <v>4189</v>
      </c>
      <c r="E997" s="0" t="s">
        <v>4190</v>
      </c>
    </row>
    <row r="998" customFormat="false" ht="15" hidden="false" customHeight="false" outlineLevel="0" collapsed="false">
      <c r="A998" s="0" t="n">
        <v>996</v>
      </c>
      <c r="B998" s="0" t="s">
        <v>4191</v>
      </c>
      <c r="C998" s="0" t="s">
        <v>4192</v>
      </c>
      <c r="D998" s="0" t="s">
        <v>4193</v>
      </c>
      <c r="E998" s="0" t="s">
        <v>4194</v>
      </c>
    </row>
    <row r="999" customFormat="false" ht="15" hidden="false" customHeight="false" outlineLevel="0" collapsed="false">
      <c r="A999" s="0" t="n">
        <v>997</v>
      </c>
      <c r="B999" s="0" t="s">
        <v>4195</v>
      </c>
      <c r="C999" s="0" t="s">
        <v>4196</v>
      </c>
      <c r="D999" s="0" t="s">
        <v>4197</v>
      </c>
      <c r="E999" s="0" t="s">
        <v>4198</v>
      </c>
    </row>
    <row r="1000" customFormat="false" ht="15" hidden="false" customHeight="false" outlineLevel="0" collapsed="false">
      <c r="A1000" s="0" t="n">
        <v>998</v>
      </c>
      <c r="B1000" s="0" t="s">
        <v>4199</v>
      </c>
      <c r="C1000" s="0" t="s">
        <v>4200</v>
      </c>
      <c r="D1000" s="0" t="s">
        <v>4201</v>
      </c>
      <c r="E1000" s="0" t="s">
        <v>4202</v>
      </c>
    </row>
    <row r="1001" customFormat="false" ht="15" hidden="false" customHeight="false" outlineLevel="0" collapsed="false">
      <c r="A1001" s="0" t="n">
        <v>999</v>
      </c>
      <c r="B1001" s="0" t="s">
        <v>4203</v>
      </c>
      <c r="C1001" s="0" t="s">
        <v>4204</v>
      </c>
      <c r="D1001" s="0" t="s">
        <v>4205</v>
      </c>
      <c r="E1001" s="0" t="s">
        <v>4206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codeName="shSys" filterMode="false">
    <pageSetUpPr fitToPage="false"/>
  </sheetPr>
  <dimension ref="A1:C30"/>
  <sheetViews>
    <sheetView showFormulas="false" showGridLines="true" showRowColHeaders="true" showZeros="true" rightToLeft="tru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20"/>
    <col collapsed="false" customWidth="true" hidden="false" outlineLevel="0" max="2" min="2" style="0" width="80"/>
  </cols>
  <sheetData>
    <row r="1" customFormat="false" ht="15" hidden="false" customHeight="false" outlineLevel="0" collapsed="false">
      <c r="A1" s="0" t="s">
        <v>4207</v>
      </c>
      <c r="B1" s="0" t="n">
        <v>0</v>
      </c>
      <c r="C1" s="0" t="s">
        <v>4208</v>
      </c>
    </row>
    <row r="3" customFormat="false" ht="15" hidden="false" customHeight="false" outlineLevel="0" collapsed="false">
      <c r="A3" s="0" t="s">
        <v>4209</v>
      </c>
      <c r="B3" s="0" t="s">
        <v>4210</v>
      </c>
    </row>
    <row r="4" customFormat="false" ht="15" hidden="false" customHeight="false" outlineLevel="0" collapsed="false">
      <c r="A4" s="0" t="s">
        <v>4211</v>
      </c>
      <c r="B4" s="0" t="s">
        <v>4212</v>
      </c>
    </row>
    <row r="5" customFormat="false" ht="15" hidden="false" customHeight="false" outlineLevel="0" collapsed="false">
      <c r="A5" s="0" t="s">
        <v>4213</v>
      </c>
      <c r="B5" s="0" t="s">
        <v>4214</v>
      </c>
    </row>
    <row r="6" customFormat="false" ht="15" hidden="false" customHeight="false" outlineLevel="0" collapsed="false">
      <c r="A6" s="0" t="s">
        <v>4215</v>
      </c>
      <c r="B6" s="0" t="s">
        <v>4216</v>
      </c>
    </row>
    <row r="7" customFormat="false" ht="15" hidden="false" customHeight="false" outlineLevel="0" collapsed="false">
      <c r="A7" s="0" t="s">
        <v>4217</v>
      </c>
      <c r="B7" s="0" t="s">
        <v>4218</v>
      </c>
    </row>
    <row r="8" customFormat="false" ht="15" hidden="false" customHeight="false" outlineLevel="0" collapsed="false">
      <c r="A8" s="0" t="s">
        <v>4219</v>
      </c>
      <c r="B8" s="0" t="s">
        <v>4220</v>
      </c>
    </row>
    <row r="9" customFormat="false" ht="15" hidden="false" customHeight="false" outlineLevel="0" collapsed="false">
      <c r="A9" s="0" t="s">
        <v>4221</v>
      </c>
      <c r="B9" s="0" t="s">
        <v>4222</v>
      </c>
    </row>
    <row r="10" customFormat="false" ht="15" hidden="false" customHeight="false" outlineLevel="0" collapsed="false">
      <c r="A10" s="0" t="s">
        <v>4223</v>
      </c>
      <c r="B10" s="0" t="s">
        <v>4224</v>
      </c>
    </row>
    <row r="11" customFormat="false" ht="15" hidden="false" customHeight="false" outlineLevel="0" collapsed="false">
      <c r="A11" s="0" t="s">
        <v>4225</v>
      </c>
      <c r="B11" s="0" t="s">
        <v>4226</v>
      </c>
    </row>
    <row r="12" customFormat="false" ht="15" hidden="false" customHeight="false" outlineLevel="0" collapsed="false">
      <c r="A12" s="0" t="s">
        <v>4227</v>
      </c>
      <c r="B12" s="0" t="s">
        <v>4228</v>
      </c>
    </row>
    <row r="13" customFormat="false" ht="15" hidden="false" customHeight="false" outlineLevel="0" collapsed="false">
      <c r="A13" s="0" t="s">
        <v>4229</v>
      </c>
      <c r="B13" s="0" t="s">
        <v>4230</v>
      </c>
    </row>
    <row r="14" customFormat="false" ht="15" hidden="false" customHeight="false" outlineLevel="0" collapsed="false">
      <c r="A14" s="0" t="s">
        <v>4231</v>
      </c>
      <c r="B14" s="0" t="s">
        <v>4232</v>
      </c>
    </row>
    <row r="15" customFormat="false" ht="15" hidden="false" customHeight="false" outlineLevel="0" collapsed="false">
      <c r="A15" s="0" t="s">
        <v>4233</v>
      </c>
      <c r="B15" s="0" t="s">
        <v>4234</v>
      </c>
    </row>
    <row r="16" customFormat="false" ht="15" hidden="false" customHeight="false" outlineLevel="0" collapsed="false">
      <c r="A16" s="0" t="s">
        <v>4235</v>
      </c>
      <c r="B16" s="0" t="s">
        <v>4236</v>
      </c>
    </row>
    <row r="17" customFormat="false" ht="26.1" hidden="false" customHeight="false" outlineLevel="0" collapsed="false">
      <c r="A17" s="0" t="s">
        <v>4237</v>
      </c>
      <c r="B17" s="110" t="s">
        <v>4238</v>
      </c>
    </row>
    <row r="18" customFormat="false" ht="15" hidden="false" customHeight="false" outlineLevel="0" collapsed="false">
      <c r="A18" s="0" t="s">
        <v>4239</v>
      </c>
      <c r="B18" s="0" t="s">
        <v>4240</v>
      </c>
    </row>
    <row r="19" customFormat="false" ht="15" hidden="false" customHeight="false" outlineLevel="0" collapsed="false">
      <c r="A19" s="0" t="s">
        <v>4241</v>
      </c>
      <c r="B19" s="0" t="s">
        <v>4242</v>
      </c>
    </row>
    <row r="20" customFormat="false" ht="15" hidden="false" customHeight="false" outlineLevel="0" collapsed="false">
      <c r="A20" s="0" t="s">
        <v>4243</v>
      </c>
      <c r="B20" s="0" t="s">
        <v>4244</v>
      </c>
    </row>
    <row r="21" customFormat="false" ht="15" hidden="false" customHeight="false" outlineLevel="0" collapsed="false">
      <c r="A21" s="0" t="s">
        <v>4245</v>
      </c>
      <c r="B21" s="0" t="s">
        <v>4246</v>
      </c>
    </row>
    <row r="22" customFormat="false" ht="15" hidden="false" customHeight="false" outlineLevel="0" collapsed="false">
      <c r="A22" s="0" t="s">
        <v>4247</v>
      </c>
      <c r="B22" s="0" t="s">
        <v>4248</v>
      </c>
    </row>
    <row r="23" customFormat="false" ht="26.1" hidden="false" customHeight="false" outlineLevel="0" collapsed="false">
      <c r="A23" s="0" t="s">
        <v>4249</v>
      </c>
      <c r="B23" s="110" t="s">
        <v>4250</v>
      </c>
    </row>
    <row r="24" customFormat="false" ht="15" hidden="false" customHeight="false" outlineLevel="0" collapsed="false">
      <c r="A24" s="0" t="s">
        <v>4251</v>
      </c>
      <c r="B24" s="0" t="s">
        <v>4252</v>
      </c>
    </row>
    <row r="25" customFormat="false" ht="15" hidden="false" customHeight="false" outlineLevel="0" collapsed="false">
      <c r="A25" s="0" t="s">
        <v>4253</v>
      </c>
      <c r="B25" s="0" t="s">
        <v>4254</v>
      </c>
    </row>
    <row r="26" customFormat="false" ht="15" hidden="false" customHeight="false" outlineLevel="0" collapsed="false">
      <c r="A26" s="0" t="s">
        <v>4255</v>
      </c>
      <c r="B26" s="0" t="s">
        <v>4256</v>
      </c>
    </row>
    <row r="27" customFormat="false" ht="15" hidden="false" customHeight="false" outlineLevel="0" collapsed="false">
      <c r="A27" s="0" t="s">
        <v>4257</v>
      </c>
      <c r="B27" s="0" t="s">
        <v>4258</v>
      </c>
    </row>
    <row r="28" customFormat="false" ht="15" hidden="false" customHeight="false" outlineLevel="0" collapsed="false">
      <c r="A28" s="0" t="s">
        <v>4259</v>
      </c>
      <c r="B28" s="0" t="s">
        <v>4260</v>
      </c>
    </row>
    <row r="29" customFormat="false" ht="15" hidden="false" customHeight="false" outlineLevel="0" collapsed="false">
      <c r="A29" s="0" t="s">
        <v>4261</v>
      </c>
      <c r="B29" s="0" t="s">
        <v>113</v>
      </c>
    </row>
    <row r="30" customFormat="false" ht="15" hidden="false" customHeight="false" outlineLevel="0" collapsed="false">
      <c r="A30" s="0" t="s">
        <v>4262</v>
      </c>
      <c r="B30" s="0" t="s">
        <v>114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2026-09-29T10:17:04Z</dcterms:created>
  <dc:creator>openpyxl</dc:creator>
  <dc:description/>
  <dc:language>en-US</dc:language>
  <cp:lastModifiedBy/>
  <dcterms:modified xsi:type="dcterms:W3CDTF">2026-09-29T10:17:24Z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