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التعليمات" sheetId="1" state="visible" r:id="rId1"/>
    <sheet name="لوحة التحكم" sheetId="2" state="visible" r:id="rId2"/>
    <sheet name="بيانات العقد" sheetId="3" state="visible" r:id="rId3"/>
    <sheet name="جدول الكميات" sheetId="4" state="visible" r:id="rId4"/>
    <sheet name="الكميات المنفذة" sheetId="5" state="visible" r:id="rId5"/>
    <sheet name="الأوامر التغييرية" sheetId="6" state="visible" r:id="rId6"/>
    <sheet name="الاستقطاعات الفنية" sheetId="7" state="visible" r:id="rId7"/>
    <sheet name="سجل المستخلصات" sheetId="8" state="visible" r:id="rId8"/>
    <sheet name="نموذج المستخلص" sheetId="9" state="visible" r:id="rId9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Pct">'بيانات العقد'!$C$28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LatestIPC">'لوحة التحكم'!$L$3</definedName>
    <definedName name="SelIPC">'نموذج المستخلص'!$D$5</definedName>
    <definedName name="_xlnm._FilterDatabase" localSheetId="3" hidden="1">'جدول الكميات'!$A$5:$I$105</definedName>
    <definedName name="_xlnm.Print_Titles" localSheetId="3">'جدول الكميات'!$5:$5</definedName>
    <definedName name="_xlnm.Print_Titles" localSheetId="4">'الكميات المنفذة'!$4:$5</definedName>
    <definedName name="_xlnm._FilterDatabase" localSheetId="5" hidden="1">'الأوامر التغييرية'!$A$5:$L$55</definedName>
    <definedName name="_xlnm._FilterDatabase" localSheetId="6" hidden="1">'الاستقطاعات الفنية'!$A$5:$M$105</definedName>
    <definedName name="_xlnm.Print_Titles" localSheetId="7">'سجل المستخلصات'!$4:$5</definedName>
    <definedName name="_xlnm.Print_Titles" localSheetId="8">'نموذج المستخلص'!$36:$36</definedName>
    <definedName name="_xlnm.Print_Area" localSheetId="8">'نموذج المستخلص'!$B$1:$M$137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yyyy/mm/dd"/>
    <numFmt numFmtId="166" formatCode="#,##0.00;[Red](#,##0.00);&quot;-&quot;"/>
    <numFmt numFmtId="167" formatCode="0.0%;[Red]-0.0%;&quot;-&quot;"/>
    <numFmt numFmtId="168" formatCode="#,##0.00;[Red]-#,##0.00;;@"/>
    <numFmt numFmtId="169" formatCode="0.00%;-0.00%;;@"/>
    <numFmt numFmtId="170" formatCode="&quot;مستخلص &quot;0"/>
    <numFmt numFmtId="171" formatCode="0.0%;[Red]-0.0%;;@"/>
    <numFmt numFmtId="172" formatCode="#,##0;[Red](#,##0);&quot;-&quot;"/>
    <numFmt numFmtId="173" formatCode="0;-0;&quot;-&quot;"/>
    <numFmt numFmtId="174" formatCode="&quot;مستخلص رقم &quot;0"/>
    <numFmt numFmtId="175" formatCode="0&quot; يوم&quot;"/>
    <numFmt numFmtId="176" formatCode="0.0%;-0.0%;;@"/>
  </numFmts>
  <fonts count="4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b val="1"/>
      <color rgb="009A6B00"/>
      <sz val="9"/>
    </font>
    <font>
      <name val="Arial"/>
      <color rgb="00008000"/>
      <sz val="10"/>
    </font>
    <font>
      <name val="Arial"/>
      <b val="1"/>
      <color rgb="001F2933"/>
      <sz val="9"/>
    </font>
    <font>
      <name val="Arial"/>
      <b val="1"/>
      <color rgb="001F3A5F"/>
      <sz val="10"/>
    </font>
    <font>
      <name val="Arial"/>
      <b val="1"/>
      <color rgb="00FFFFFF"/>
      <sz val="14"/>
    </font>
    <font>
      <name val="Arial"/>
      <b val="1"/>
      <color rgb="005A6772"/>
      <sz val="9"/>
    </font>
    <font>
      <name val="Arial"/>
      <b val="1"/>
      <color rgb="001F3A5F"/>
      <sz val="15"/>
    </font>
    <font>
      <name val="Arial"/>
      <b val="1"/>
      <color rgb="007B4F9D"/>
      <sz val="15"/>
    </font>
    <font>
      <name val="Arial"/>
      <b val="1"/>
      <color rgb="002E7D7A"/>
      <sz val="15"/>
    </font>
    <font>
      <name val="Arial"/>
      <b val="1"/>
      <color rgb="005A6772"/>
      <sz val="15"/>
    </font>
    <font>
      <name val="Arial"/>
      <b val="1"/>
      <color rgb="002E7D7A"/>
      <sz val="20"/>
    </font>
    <font>
      <name val="Arial"/>
      <b val="1"/>
      <color rgb="001F3A5F"/>
      <sz val="20"/>
    </font>
    <font>
      <name val="Arial"/>
      <b val="1"/>
      <color rgb="009A6B00"/>
      <sz val="20"/>
    </font>
    <font>
      <name val="Arial"/>
      <b val="1"/>
      <color rgb="005A6772"/>
      <sz val="20"/>
    </font>
    <font>
      <name val="Arial"/>
      <b val="1"/>
      <color rgb="002E7D32"/>
      <sz val="15"/>
    </font>
    <font>
      <name val="Arial"/>
      <b val="1"/>
      <color rgb="00C62828"/>
      <sz val="15"/>
    </font>
    <font>
      <name val="Arial"/>
      <b val="1"/>
      <color rgb="00C0504D"/>
      <sz val="15"/>
    </font>
    <font>
      <name val="Arial"/>
      <i val="1"/>
      <color rgb="005A6772"/>
      <sz val="8"/>
    </font>
    <font>
      <name val="Arial"/>
      <b val="1"/>
      <color rgb="001F3A5F"/>
      <sz val="11"/>
    </font>
    <font>
      <name val="Arial"/>
      <b val="1"/>
      <color rgb="000000FF"/>
      <sz val="16"/>
    </font>
    <font>
      <name val="Arial"/>
      <b val="1"/>
      <color rgb="009A6B00"/>
      <sz val="11"/>
    </font>
    <font>
      <name val="Arial"/>
      <b val="1"/>
      <color rgb="002E7D7A"/>
      <sz val="16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9"/>
    </font>
    <font>
      <name val="Arial"/>
      <color rgb="005A6772"/>
      <sz val="9"/>
    </font>
    <font>
      <name val="Arial"/>
      <color rgb="001F2933"/>
      <sz val="9"/>
    </font>
    <font>
      <name val="Arial"/>
      <b val="1"/>
      <color rgb="000000FF"/>
      <sz val="10"/>
    </font>
    <font>
      <name val="Arial"/>
      <b val="1"/>
      <color rgb="009A6B00"/>
      <sz val="12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FF3CD"/>
        <bgColor rgb="00FFF3CD"/>
      </patternFill>
    </fill>
    <fill>
      <patternFill patternType="solid">
        <fgColor rgb="00D9E2EC"/>
        <bgColor rgb="00D9E2EC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8C6D1F"/>
        <bgColor rgb="008C6D1F"/>
      </patternFill>
    </fill>
    <fill>
      <patternFill patternType="solid">
        <fgColor rgb="00F7FBFF"/>
        <bgColor rgb="00F7FBFF"/>
      </patternFill>
    </fill>
    <fill>
      <patternFill patternType="solid">
        <fgColor rgb="009A6B00"/>
        <bgColor rgb="009A6B00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</fills>
  <borders count="1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 style="thin">
        <color rgb="00C9D3DD"/>
      </left>
      <right style="thin">
        <color rgb="00C9D3DD"/>
      </right>
      <top style="thick">
        <color rgb="001F3A5F"/>
      </top>
    </border>
    <border>
      <left style="thin">
        <color rgb="00C9D3DD"/>
      </left>
      <right style="thin">
        <color rgb="00C9D3DD"/>
      </right>
      <bottom style="thin">
        <color rgb="00C9D3DD"/>
      </bottom>
    </border>
    <border>
      <left style="thin">
        <color rgb="00C9D3DD"/>
      </left>
      <right style="thin">
        <color rgb="00C9D3DD"/>
      </right>
      <top style="thick">
        <color rgb="007B4F9D"/>
      </top>
    </border>
    <border>
      <left style="thin">
        <color rgb="00C9D3DD"/>
      </left>
      <right style="thin">
        <color rgb="00C9D3DD"/>
      </right>
      <top style="thick">
        <color rgb="002E7D7A"/>
      </top>
    </border>
    <border>
      <left style="thin">
        <color rgb="00C9D3DD"/>
      </left>
      <right style="thin">
        <color rgb="00C9D3DD"/>
      </right>
      <top style="thick">
        <color rgb="005A6772"/>
      </top>
    </border>
    <border>
      <left style="thin">
        <color rgb="00C9D3DD"/>
      </left>
      <right style="thin">
        <color rgb="00C9D3DD"/>
      </right>
      <top style="thick">
        <color rgb="009A6B00"/>
      </top>
    </border>
    <border>
      <left style="thin">
        <color rgb="00C9D3DD"/>
      </left>
      <right style="thin">
        <color rgb="00C9D3DD"/>
      </right>
      <top style="thick">
        <color rgb="002E7D32"/>
      </top>
    </border>
    <border>
      <left style="thin">
        <color rgb="00C9D3DD"/>
      </left>
      <right style="thin">
        <color rgb="00C9D3DD"/>
      </right>
      <top style="thick">
        <color rgb="00C62828"/>
      </top>
    </border>
    <border>
      <left style="thin">
        <color rgb="00C9D3DD"/>
      </left>
      <right style="thin">
        <color rgb="00C9D3DD"/>
      </right>
      <top style="thick">
        <color rgb="00C0504D"/>
      </top>
    </border>
    <border>
      <left style="medium">
        <color rgb="009A6B00"/>
      </left>
      <right style="medium">
        <color rgb="009A6B00"/>
      </right>
      <top style="medium">
        <color rgb="009A6B00"/>
      </top>
      <bottom style="medium">
        <color rgb="009A6B00"/>
      </bottom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40" fillId="6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5" borderId="2" applyAlignment="1" pivotButton="0" quotePrefix="0" xfId="0">
      <alignment horizontal="center" vertical="center" readingOrder="2"/>
    </xf>
    <xf numFmtId="0" fontId="7" fillId="15" borderId="2" applyAlignment="1" pivotButton="0" quotePrefix="0" xfId="0">
      <alignment horizontal="center" vertical="center" readingOrder="2"/>
    </xf>
    <xf numFmtId="0" fontId="34" fillId="16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14" fillId="5" borderId="2" applyAlignment="1" pivotButton="0" quotePrefix="0" xfId="0">
      <alignment horizontal="right" vertical="center" indent="1" readingOrder="2"/>
    </xf>
    <xf numFmtId="0" fontId="8" fillId="14" borderId="0" applyAlignment="1" pivotButton="0" quotePrefix="0" xfId="0">
      <alignment horizontal="right" vertical="center" indent="1" readingOrder="2"/>
    </xf>
    <xf numFmtId="0" fontId="41" fillId="0" borderId="2" applyAlignment="1" pivotButton="0" quotePrefix="0" xfId="0">
      <alignment horizontal="center" vertical="center" readingOrder="2"/>
    </xf>
    <xf numFmtId="0" fontId="14" fillId="0" borderId="0" applyAlignment="1" pivotButton="0" quotePrefix="0" xfId="0">
      <alignment horizontal="left" vertical="center" readingOrder="2"/>
    </xf>
    <xf numFmtId="174" fontId="15" fillId="14" borderId="0" applyAlignment="1" pivotButton="0" quotePrefix="0" xfId="0">
      <alignment horizontal="center" vertical="center" readingOrder="2"/>
    </xf>
    <xf numFmtId="0" fontId="14" fillId="0" borderId="0" applyAlignment="1" pivotButton="0" quotePrefix="0" xfId="0">
      <alignment horizontal="center" vertical="center" readingOrder="2"/>
    </xf>
    <xf numFmtId="0" fontId="16" fillId="15" borderId="3" applyAlignment="1" pivotButton="0" quotePrefix="0" xfId="0">
      <alignment horizontal="center" vertical="center" wrapText="1" readingOrder="2"/>
    </xf>
    <xf numFmtId="0" fontId="16" fillId="15" borderId="5" applyAlignment="1" pivotButton="0" quotePrefix="0" xfId="0">
      <alignment horizontal="center" vertical="center" wrapText="1" readingOrder="2"/>
    </xf>
    <xf numFmtId="0" fontId="16" fillId="15" borderId="6" applyAlignment="1" pivotButton="0" quotePrefix="0" xfId="0">
      <alignment horizontal="center" vertical="center" wrapText="1" readingOrder="2"/>
    </xf>
    <xf numFmtId="0" fontId="16" fillId="15" borderId="7" applyAlignment="1" pivotButton="0" quotePrefix="0" xfId="0">
      <alignment horizontal="center" vertical="center" wrapText="1" readingOrder="2"/>
    </xf>
    <xf numFmtId="166" fontId="17" fillId="15" borderId="4" applyAlignment="1" pivotButton="0" quotePrefix="0" xfId="0">
      <alignment horizontal="center" vertical="center" readingOrder="2"/>
    </xf>
    <xf numFmtId="166" fontId="18" fillId="15" borderId="4" applyAlignment="1" pivotButton="0" quotePrefix="0" xfId="0">
      <alignment horizontal="center" vertical="center" readingOrder="2"/>
    </xf>
    <xf numFmtId="166" fontId="19" fillId="15" borderId="4" applyAlignment="1" pivotButton="0" quotePrefix="0" xfId="0">
      <alignment horizontal="center" vertical="center" readingOrder="2"/>
    </xf>
    <xf numFmtId="166" fontId="20" fillId="15" borderId="4" applyAlignment="1" pivotButton="0" quotePrefix="0" xfId="0">
      <alignment horizontal="center" vertical="center" readingOrder="2"/>
    </xf>
    <xf numFmtId="0" fontId="16" fillId="15" borderId="8" applyAlignment="1" pivotButton="0" quotePrefix="0" xfId="0">
      <alignment horizontal="center" vertical="center" wrapText="1" readingOrder="2"/>
    </xf>
    <xf numFmtId="167" fontId="21" fillId="15" borderId="4" applyAlignment="1" pivotButton="0" quotePrefix="0" xfId="0">
      <alignment horizontal="center" vertical="center" readingOrder="2"/>
    </xf>
    <xf numFmtId="167" fontId="22" fillId="15" borderId="4" applyAlignment="1" pivotButton="0" quotePrefix="0" xfId="0">
      <alignment horizontal="center" vertical="center" readingOrder="2"/>
    </xf>
    <xf numFmtId="167" fontId="23" fillId="15" borderId="4" applyAlignment="1" pivotButton="0" quotePrefix="0" xfId="0">
      <alignment horizontal="center" vertical="center" readingOrder="2"/>
    </xf>
    <xf numFmtId="167" fontId="24" fillId="15" borderId="4" applyAlignment="1" pivotButton="0" quotePrefix="0" xfId="0">
      <alignment horizontal="center" vertical="center" readingOrder="2"/>
    </xf>
    <xf numFmtId="2" fontId="22" fillId="15" borderId="4" applyAlignment="1" pivotButton="0" quotePrefix="0" xfId="0">
      <alignment horizontal="center" vertical="center" readingOrder="2"/>
    </xf>
    <xf numFmtId="0" fontId="16" fillId="15" borderId="9" applyAlignment="1" pivotButton="0" quotePrefix="0" xfId="0">
      <alignment horizontal="center" vertical="center" wrapText="1" readingOrder="2"/>
    </xf>
    <xf numFmtId="0" fontId="16" fillId="15" borderId="10" applyAlignment="1" pivotButton="0" quotePrefix="0" xfId="0">
      <alignment horizontal="center" vertical="center" wrapText="1" readingOrder="2"/>
    </xf>
    <xf numFmtId="166" fontId="25" fillId="15" borderId="4" applyAlignment="1" pivotButton="0" quotePrefix="0" xfId="0">
      <alignment horizontal="center" vertical="center" readingOrder="2"/>
    </xf>
    <xf numFmtId="166" fontId="26" fillId="15" borderId="4" applyAlignment="1" pivotButton="0" quotePrefix="0" xfId="0">
      <alignment horizontal="center" vertical="center" readingOrder="2"/>
    </xf>
    <xf numFmtId="167" fontId="25" fillId="15" borderId="4" applyAlignment="1" pivotButton="0" quotePrefix="0" xfId="0">
      <alignment horizontal="center" vertical="center" readingOrder="2"/>
    </xf>
    <xf numFmtId="175" fontId="20" fillId="15" borderId="4" applyAlignment="1" pivotButton="0" quotePrefix="0" xfId="0">
      <alignment horizontal="center" vertical="center" readingOrder="2"/>
    </xf>
    <xf numFmtId="0" fontId="16" fillId="15" borderId="11" applyAlignment="1" pivotButton="0" quotePrefix="0" xfId="0">
      <alignment horizontal="center" vertical="center" wrapText="1" readingOrder="2"/>
    </xf>
    <xf numFmtId="166" fontId="27" fillId="15" borderId="4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0" fontId="3" fillId="2" borderId="2" applyAlignment="1" pivotButton="0" quotePrefix="0" xfId="0">
      <alignment horizontal="center" vertical="center" wrapText="1" readingOrder="2"/>
    </xf>
    <xf numFmtId="0" fontId="3" fillId="2" borderId="2" applyAlignment="1" pivotButton="0" quotePrefix="0" xfId="0">
      <alignment horizontal="center" vertical="center" readingOrder="2"/>
    </xf>
    <xf numFmtId="0" fontId="4" fillId="5" borderId="2" applyAlignment="1" pivotButton="0" quotePrefix="0" xfId="0">
      <alignment horizontal="right" vertical="center" indent="1" readingOrder="2"/>
    </xf>
    <xf numFmtId="172" fontId="10" fillId="0" borderId="2" applyAlignment="1" pivotButton="0" quotePrefix="0" xfId="0">
      <alignment horizontal="center" vertical="center" readingOrder="2"/>
    </xf>
    <xf numFmtId="167" fontId="4" fillId="0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7" fontId="3" fillId="2" borderId="2" applyAlignment="1" pivotButton="0" quotePrefix="0" xfId="0">
      <alignment horizontal="center" vertical="center" readingOrder="2"/>
    </xf>
    <xf numFmtId="0" fontId="28" fillId="0" borderId="0" applyAlignment="1" pivotButton="0" quotePrefix="0" xfId="0">
      <alignment horizontal="right" vertical="center" wrapText="1" readingOrder="2"/>
    </xf>
    <xf numFmtId="0" fontId="5" fillId="6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6" borderId="2" applyAlignment="1" pivotButton="0" quotePrefix="0" xfId="0">
      <alignment horizontal="right" vertical="center" indent="1" readingOrder="2"/>
    </xf>
    <xf numFmtId="165" fontId="5" fillId="6" borderId="2" applyAlignment="1" pivotButton="0" quotePrefix="0" xfId="0">
      <alignment horizontal="center" vertical="center" readingOrder="2"/>
    </xf>
    <xf numFmtId="1" fontId="5" fillId="6" borderId="2" applyAlignment="1" pivotButton="0" quotePrefix="0" xfId="0">
      <alignment horizontal="center" vertical="center" readingOrder="2"/>
    </xf>
    <xf numFmtId="165" fontId="4" fillId="7" borderId="2" applyAlignment="1" pivotButton="0" quotePrefix="0" xfId="0">
      <alignment horizontal="center" vertical="center" readingOrder="2"/>
    </xf>
    <xf numFmtId="166" fontId="7" fillId="7" borderId="2" applyAlignment="1" pivotButton="0" quotePrefix="0" xfId="0">
      <alignment horizontal="center" vertical="center" readingOrder="2"/>
    </xf>
    <xf numFmtId="166" fontId="4" fillId="7" borderId="2" applyAlignment="1" pivotButton="0" quotePrefix="0" xfId="0">
      <alignment horizontal="center" vertical="center" readingOrder="2"/>
    </xf>
    <xf numFmtId="167" fontId="5" fillId="6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6" borderId="2" applyAlignment="1" pivotButton="0" quotePrefix="0" xfId="0">
      <alignment horizontal="right" vertical="center" wrapText="1" indent="1" readingOrder="2"/>
    </xf>
    <xf numFmtId="168" fontId="5" fillId="6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169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167" fontId="8" fillId="2" borderId="0" applyAlignment="1" pivotButton="0" quotePrefix="0" xfId="0">
      <alignment horizontal="center" vertical="center" readingOrder="2"/>
    </xf>
    <xf numFmtId="0" fontId="11" fillId="8" borderId="0" applyAlignment="1" pivotButton="0" quotePrefix="0" xfId="0">
      <alignment horizontal="right" vertical="center" wrapText="1" readingOrder="2"/>
    </xf>
    <xf numFmtId="0" fontId="3" fillId="4" borderId="0" applyAlignment="1" pivotButton="0" quotePrefix="0" xfId="0">
      <alignment horizontal="center" vertical="center" readingOrder="2"/>
    </xf>
    <xf numFmtId="0" fontId="3" fillId="3" borderId="0" applyAlignment="1" pivotButton="0" quotePrefix="0" xfId="0">
      <alignment horizontal="center" vertical="center" readingOrder="2"/>
    </xf>
    <xf numFmtId="170" fontId="3" fillId="2" borderId="2" applyAlignment="1" pivotButton="0" quotePrefix="0" xfId="0">
      <alignment horizontal="center" vertical="center" readingOrder="2"/>
    </xf>
    <xf numFmtId="0" fontId="12" fillId="0" borderId="2" applyAlignment="1" pivotButton="0" quotePrefix="0" xfId="0">
      <alignment horizontal="center" vertical="center" readingOrder="2"/>
    </xf>
    <xf numFmtId="0" fontId="12" fillId="0" borderId="2" applyAlignment="1" pivotButton="0" quotePrefix="0" xfId="0">
      <alignment horizontal="right" vertical="center" indent="1" readingOrder="2"/>
    </xf>
    <xf numFmtId="168" fontId="12" fillId="0" borderId="2" applyAlignment="1" pivotButton="0" quotePrefix="0" xfId="0">
      <alignment horizontal="center" vertical="center" readingOrder="2"/>
    </xf>
    <xf numFmtId="171" fontId="10" fillId="0" borderId="2" applyAlignment="1" pivotButton="0" quotePrefix="0" xfId="0">
      <alignment horizontal="center" vertical="center" readingOrder="2"/>
    </xf>
    <xf numFmtId="168" fontId="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172" fontId="13" fillId="9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6" fontId="5" fillId="6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0" fontId="5" fillId="6" borderId="2" applyAlignment="1" pivotButton="0" quotePrefix="0" xfId="0">
      <alignment horizontal="right" vertical="center" wrapText="1" readingOrder="2"/>
    </xf>
    <xf numFmtId="166" fontId="3" fillId="2" borderId="0" applyAlignment="1" pivotButton="0" quotePrefix="0" xfId="0">
      <alignment horizontal="center" vertical="center" readingOrder="2"/>
    </xf>
    <xf numFmtId="0" fontId="12" fillId="0" borderId="2" applyAlignment="1" pivotButton="0" quotePrefix="0" xfId="0">
      <alignment horizontal="right" vertical="center" wrapText="1" indent="1" readingOrder="2"/>
    </xf>
    <xf numFmtId="166" fontId="4" fillId="0" borderId="2" applyAlignment="1" pivotButton="0" quotePrefix="0" xfId="0">
      <alignment horizontal="center" vertical="center" readingOrder="2"/>
    </xf>
    <xf numFmtId="166" fontId="3" fillId="3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0" borderId="2" applyAlignment="1" pivotButton="0" quotePrefix="0" xfId="0">
      <alignment horizontal="center" vertical="center" readingOrder="2"/>
    </xf>
    <xf numFmtId="0" fontId="3" fillId="11" borderId="2" applyAlignment="1" pivotButton="0" quotePrefix="0" xfId="0">
      <alignment horizontal="center" vertical="center" readingOrder="2"/>
    </xf>
    <xf numFmtId="0" fontId="3" fillId="12" borderId="2" applyAlignment="1" pivotButton="0" quotePrefix="0" xfId="0">
      <alignment horizontal="center" vertical="center" wrapText="1" readingOrder="2"/>
    </xf>
    <xf numFmtId="1" fontId="4" fillId="5" borderId="2" applyAlignment="1" pivotButton="0" quotePrefix="0" xfId="0">
      <alignment horizontal="center" vertical="center" readingOrder="2"/>
    </xf>
    <xf numFmtId="166" fontId="4" fillId="13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0" fontId="29" fillId="0" borderId="0" applyAlignment="1" pivotButton="0" quotePrefix="0" xfId="0">
      <alignment horizontal="left" vertical="center" readingOrder="2"/>
    </xf>
    <xf numFmtId="0" fontId="30" fillId="6" borderId="12" applyAlignment="1" pivotButton="0" quotePrefix="0" xfId="0">
      <alignment horizontal="center" vertical="center" readingOrder="2"/>
    </xf>
    <xf numFmtId="0" fontId="31" fillId="0" borderId="0" applyAlignment="1" pivotButton="0" quotePrefix="0" xfId="0">
      <alignment horizontal="right" vertical="center" readingOrder="2"/>
    </xf>
    <xf numFmtId="0" fontId="4" fillId="0" borderId="2" applyAlignment="1" pivotButton="0" quotePrefix="0" xfId="0">
      <alignment horizontal="right" vertical="center" indent="1" readingOrder="2"/>
    </xf>
    <xf numFmtId="174" fontId="4" fillId="0" borderId="2" applyAlignment="1" pivotButton="0" quotePrefix="0" xfId="0">
      <alignment horizontal="center" vertical="center" readingOrder="2"/>
    </xf>
    <xf numFmtId="0" fontId="16" fillId="5" borderId="2" applyAlignment="1" pivotButton="0" quotePrefix="0" xfId="0">
      <alignment horizontal="center" vertical="center" readingOrder="2"/>
    </xf>
    <xf numFmtId="165" fontId="4" fillId="0" borderId="2" applyAlignment="1" pivotButton="0" quotePrefix="0" xfId="0">
      <alignment horizontal="center" vertical="center" readingOrder="2"/>
    </xf>
    <xf numFmtId="167" fontId="32" fillId="0" borderId="2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9" borderId="2" applyAlignment="1" pivotButton="0" quotePrefix="0" xfId="0">
      <alignment horizontal="center" vertical="center" readingOrder="2"/>
    </xf>
    <xf numFmtId="0" fontId="4" fillId="9" borderId="2" applyAlignment="1" pivotButton="0" quotePrefix="0" xfId="0">
      <alignment horizontal="right" vertical="center" indent="1" readingOrder="2"/>
    </xf>
    <xf numFmtId="166" fontId="4" fillId="9" borderId="2" applyAlignment="1" pivotButton="0" quotePrefix="0" xfId="0">
      <alignment horizontal="center" vertical="center" readingOrder="2"/>
    </xf>
    <xf numFmtId="0" fontId="33" fillId="0" borderId="2" applyAlignment="1" pivotButton="0" quotePrefix="0" xfId="0">
      <alignment horizontal="center" vertical="center" readingOrder="2"/>
    </xf>
    <xf numFmtId="0" fontId="33" fillId="0" borderId="2" applyAlignment="1" pivotButton="0" quotePrefix="0" xfId="0">
      <alignment horizontal="right" vertical="center" indent="1" readingOrder="2"/>
    </xf>
    <xf numFmtId="166" fontId="33" fillId="0" borderId="2" applyAlignment="1" pivotButton="0" quotePrefix="0" xfId="0">
      <alignment horizontal="center" vertical="center" readingOrder="2"/>
    </xf>
    <xf numFmtId="166" fontId="34" fillId="13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35" fillId="4" borderId="0" applyAlignment="1" pivotButton="0" quotePrefix="0" xfId="0">
      <alignment horizontal="center" vertical="center" readingOrder="2"/>
    </xf>
    <xf numFmtId="166" fontId="36" fillId="4" borderId="0" applyAlignment="1" pivotButton="0" quotePrefix="0" xfId="0">
      <alignment horizontal="center" vertical="center" readingOrder="2"/>
    </xf>
    <xf numFmtId="0" fontId="37" fillId="0" borderId="0" applyAlignment="1" pivotButton="0" quotePrefix="0" xfId="0">
      <alignment horizontal="right" vertical="center" readingOrder="2"/>
    </xf>
    <xf numFmtId="0" fontId="14" fillId="5" borderId="2" applyAlignment="1" pivotButton="0" quotePrefix="0" xfId="0">
      <alignment horizontal="center" vertical="center" readingOrder="2"/>
    </xf>
    <xf numFmtId="0" fontId="38" fillId="0" borderId="2" applyAlignment="1" pivotButton="0" quotePrefix="0" xfId="0">
      <alignment horizontal="right" vertical="top" wrapText="1" indent="1" readingOrder="2"/>
    </xf>
    <xf numFmtId="0" fontId="39" fillId="0" borderId="2" applyAlignment="1" pivotButton="0" quotePrefix="0" xfId="0">
      <alignment horizontal="center" vertical="center" readingOrder="2"/>
    </xf>
    <xf numFmtId="0" fontId="39" fillId="0" borderId="2" applyAlignment="1" pivotButton="0" quotePrefix="0" xfId="0">
      <alignment horizontal="right" vertical="center" wrapText="1" indent="1" readingOrder="2"/>
    </xf>
    <xf numFmtId="168" fontId="39" fillId="0" borderId="2" applyAlignment="1" pivotButton="0" quotePrefix="0" xfId="0">
      <alignment horizontal="center" vertical="center" readingOrder="2"/>
    </xf>
    <xf numFmtId="168" fontId="13" fillId="13" borderId="2" applyAlignment="1" pivotButton="0" quotePrefix="0" xfId="0">
      <alignment horizontal="center" vertical="center" readingOrder="2"/>
    </xf>
    <xf numFmtId="176" fontId="39" fillId="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4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9A6B00"/>
          <bgColor rgb="009A6B00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DECEA"/>
          <bgColor rgb="00FDECEA"/>
        </patternFill>
      </fill>
    </dxf>
    <dxf>
      <font>
        <b val="1"/>
        <color rgb="00C62828"/>
      </font>
      <fill>
        <patternFill patternType="solid">
          <fgColor rgb="00F8CBAD"/>
          <bgColor rgb="00F8CBAD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2E7D32"/>
      </font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منحنى الإنجاز التراكمي (S-Curve): الفعلي مقابل المخطط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'سجل المستخلصات'!L5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'سجل المستخلصات'!$A$6:$A$29</f>
            </numRef>
          </cat>
          <val>
            <numRef>
              <f>'سجل المستخلصات'!$L$6:$L$29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'سجل المستخلصات'!M5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'سجل المستخلصات'!$M$6:$M$29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نسبة الإنجاز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صافي المستحق مقابل المحصل لكل مستخلص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'سجل المستخلصات'!Z5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'سجل المستخلصات'!$A$6:$A$29</f>
            </numRef>
          </cat>
          <val>
            <numRef>
              <f>'سجل المستخلصات'!$Z$6:$Z$29</f>
            </numRef>
          </val>
        </ser>
        <ser>
          <idx val="1"/>
          <order val="1"/>
          <tx>
            <strRef>
              <f>'سجل المستخلصات'!AA5</f>
            </strRef>
          </tx>
          <spPr>
            <a:solidFill>
              <a:srgbClr val="63BE7B"/>
            </a:solidFill>
            <a:ln>
              <a:prstDash val="solid"/>
            </a:ln>
          </spPr>
          <cat>
            <numRef>
              <f>'سجل المستخلصات'!$A$6:$A$29</f>
            </numRef>
          </cat>
          <val>
            <numRef>
              <f>'سجل المستخلصات'!$AA$6:$AA$29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نسبة الإنجاز حسب القسم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'لوحة التحكم'!G20</f>
            </strRef>
          </tx>
          <spPr>
            <a:solidFill>
              <a:srgbClr val="2E7D7A"/>
            </a:solidFill>
            <a:ln>
              <a:prstDash val="solid"/>
            </a:ln>
          </spPr>
          <cat>
            <numRef>
              <f>'لوحة التحكم'!$B$21:$B$29</f>
            </numRef>
          </cat>
          <val>
            <numRef>
              <f>'لوحة التحكم'!$G$21:$G$29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قيمة العقد المعدلة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'لوحة التحكم'!$J$21:$J$26</f>
            </numRef>
          </cat>
          <val>
            <numRef>
              <f>'لوحة التحكم'!$N$21:$N$26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Tracker</author>
  </authors>
  <commentList>
    <comment ref="J106" authorId="0" shapeId="0">
      <text>
        <t>إجمالي المبالغ التي تم الإفراج عنها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50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69</row>
      <rowOff>0</rowOff>
    </from>
    <ext cx="54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50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6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  <col width="2" customWidth="1" min="4" max="4"/>
  </cols>
  <sheetData>
    <row r="1" ht="38" customHeight="1">
      <c r="B1" s="1" t="inlineStr">
        <is>
          <t>📘 دليل استخدام شيت تتبع المستخلصات — Payment Certificates &amp; Billing Tracker</t>
        </is>
      </c>
      <c r="C1" s="1" t="n"/>
    </row>
    <row r="2" ht="20" customHeight="1">
      <c r="B2" s="2" t="inlineStr">
        <is>
          <t>نظام متكامل لاحتساب نسب الإنجاز والدفعة المقدمة وضمان الأعمال والاستقطاعات الفنية لكل مستخلص بالتراكمي</t>
        </is>
      </c>
      <c r="C2" s="2" t="n"/>
    </row>
    <row r="3" ht="26" customHeight="1">
      <c r="B3" s="3" t="inlineStr">
        <is>
          <t>📊 الانتقال للوحة التحكم</t>
        </is>
      </c>
      <c r="C3" s="4" t="inlineStr">
        <is>
          <t>⚙ ابدأ ببيانات العقد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 من شيت آخر</t>
        </is>
      </c>
      <c r="C8" s="7" t="inlineStr">
        <is>
          <t>خط أخضر — قيمة مسحوبة آلياً من شيت آخر.</t>
        </is>
      </c>
    </row>
    <row r="9">
      <c r="B9" s="10" t="inlineStr">
        <is>
          <t>تنبيه</t>
        </is>
      </c>
      <c r="C9" s="7" t="inlineStr">
        <is>
          <t>تظليل أحمر/برتقالي: تجاوز كمية، كود مكرر، بيانات ناقصة،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4" customHeight="1">
      <c r="B12" s="11" t="inlineStr">
        <is>
          <t>بيانات العقد</t>
        </is>
      </c>
      <c r="C12" s="7" t="inlineStr">
        <is>
          <t>أدخل بيانات المشروع والنسب التعاقدية: الدفعة المقدمة وطريقة استردادها، ضمان الأعمال وحده الأقصى، الضرائب. يمكن تعديل القوائم المنسدلة من نفس الشيت.</t>
        </is>
      </c>
    </row>
    <row r="13" ht="34" customHeight="1">
      <c r="B13" s="11" t="inlineStr">
        <is>
          <t>جدول الكميات</t>
        </is>
      </c>
      <c r="C13" s="7" t="inlineStr">
        <is>
          <t>أدخل بنود جدول الكميات (كود فريد، القسم، الوصف، الوحدة، الكمية، السعر). الإجمالي = قيمة العقد الأصلية.</t>
        </is>
      </c>
    </row>
    <row r="14" ht="34" customHeight="1">
      <c r="B14" s="11" t="inlineStr">
        <is>
          <t>الكميات المنفذة</t>
        </is>
      </c>
      <c r="C14" s="7" t="inlineStr">
        <is>
          <t>في كل مستخلص أدخل الكمية المنفذة خلال الفترة فقط تحت عمود رقم المستخلص؛ يتم حساب التراكمي ونسبة إنجاز كل بند وتنبيه تجاوز الكمية التعاقدية آلياً.</t>
        </is>
      </c>
    </row>
    <row r="15" ht="34" customHeight="1">
      <c r="B15" s="11" t="inlineStr">
        <is>
          <t>الأوامر التغييرية</t>
        </is>
      </c>
      <c r="C15" s="7" t="inlineStr">
        <is>
          <t>سجل الأوامر التغييرية: قيمة الأمر تعدّل قيمة العقد عند الاعتماد، والقيمة المدرجة تدخل المستخلص المحدد.</t>
        </is>
      </c>
    </row>
    <row r="16" ht="34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 الذي خُصمت منه، وعند المعالجة اختر «نعم» وحدد مستخلص الإفراج.</t>
        </is>
      </c>
    </row>
    <row r="17" ht="34" customHeight="1">
      <c r="B17" s="11" t="inlineStr">
        <is>
          <t>سجل المستخلصات</t>
        </is>
      </c>
      <c r="C17" s="7" t="inlineStr">
        <is>
          <t>أدخل تواريخ المستخلص (إدخال «الفترة إلى» يُفعّل المستخلص)، الحالة، رصيد المواد بالموقع، النسبة المخططة، الإفراج عن الضمان والغرامات إن وجدت، ثم بيانات التحصيل. كل الحسابات تراكمية.</t>
        </is>
      </c>
    </row>
    <row r="18" ht="34" customHeight="1">
      <c r="B18" s="11" t="inlineStr">
        <is>
          <t>نموذج المستخلص</t>
        </is>
      </c>
      <c r="C18" s="7" t="inlineStr">
        <is>
          <t>اختر رقم المستخلص من الخلية الصفراء لعرض شهادة الدفع (سابق / حالي / تراكمي) مع تفاصيل البنود، جاهزة للطباعة.</t>
        </is>
      </c>
    </row>
    <row r="19" ht="34" customHeight="1">
      <c r="B19" s="11" t="inlineStr">
        <is>
          <t>لوحة التحكم</t>
        </is>
      </c>
      <c r="C19" s="7" t="inlineStr">
        <is>
          <t>تابع المؤشرات: الإنجاز الفعلي مقابل المخطط، SPI، الموقف المالي، التحصيل، المحتجزات، والرسوم البيانية.</t>
        </is>
      </c>
    </row>
    <row r="21" ht="22" customHeight="1">
      <c r="B21" s="5" t="inlineStr">
        <is>
          <t>منطق الاحتساب (كل القيم تراكمية ثم: الحالي = التراكمي − السابق)</t>
        </is>
      </c>
      <c r="C21" s="5" t="n"/>
    </row>
    <row r="22" ht="30" customHeight="1">
      <c r="B22" s="12" t="inlineStr">
        <is>
          <t>قيمة الأعمال المنفذة</t>
        </is>
      </c>
      <c r="C22" s="7" t="inlineStr">
        <is>
          <t>Σ (سعر الوحدة × مجموع كميات البند حتى المستخلص الحالي) — SUMPRODUCT ديناميكي على مصفوفة الكميات.</t>
        </is>
      </c>
    </row>
    <row r="23" ht="30" customHeight="1">
      <c r="B23" s="12" t="inlineStr">
        <is>
          <t>نسبة الإنجاز</t>
        </is>
      </c>
      <c r="C23" s="7" t="inlineStr">
        <is>
          <t>(الأعمال المنفذة + التغييرية المدرجة) ÷ (قيمة العقد الأصلية + التغييرية المدرجة).</t>
        </is>
      </c>
    </row>
    <row r="24" ht="30" customHeight="1">
      <c r="B24" s="12" t="inlineStr">
        <is>
          <t>استرداد الدفعة المقدمة</t>
        </is>
      </c>
      <c r="C24" s="7" t="inlineStr">
        <is>
          <t>MIN(قيمة الدفعة ، MAX(0 ، الأعمال − نسبة البدء × العقد) × نسبة الاسترداد)، ويُسترد كامل الرصيد عند بلوغ نسبة «الاسترداد الكامل».</t>
        </is>
      </c>
    </row>
    <row r="25" ht="30" customHeight="1">
      <c r="B25" s="12" t="inlineStr">
        <is>
          <t>ضمان الأعمال</t>
        </is>
      </c>
      <c r="C25" s="7" t="inlineStr">
        <is>
          <t>MIN(إجمالي القيمة التراكمية × نسبة الضمان ، الحد الأقصى) − مجموع المفرج عنه.</t>
        </is>
      </c>
    </row>
    <row r="26" ht="30" customHeight="1">
      <c r="B26" s="12" t="inlineStr">
        <is>
          <t>الاستقطاعات الفنية</t>
        </is>
      </c>
      <c r="C26" s="7" t="inlineStr">
        <is>
          <t>مجموع المستقطع حتى المستخلص − مجموع المفرج عنه حتى المستخلص (SUMIFS).</t>
        </is>
      </c>
    </row>
    <row r="27" ht="30" customHeight="1">
      <c r="B27" s="12" t="inlineStr">
        <is>
          <t>الصافي قبل الضرائب</t>
        </is>
      </c>
      <c r="C27" s="7" t="inlineStr">
        <is>
          <t>إجمالي القيمة − الاسترداد − صافي الضمان − الاستقطاعات الفنية − الغرامات التراكمية.</t>
        </is>
      </c>
    </row>
    <row r="28" ht="30" customHeight="1">
      <c r="B28" s="12" t="inlineStr">
        <is>
          <t>ضريبة القيمة المضافة</t>
        </is>
      </c>
      <c r="C28" s="7" t="inlineStr">
        <is>
          <t>النسبة × (الصافي + الضمان إن كان الإعداد «نعم»).</t>
        </is>
      </c>
    </row>
    <row r="29" ht="30" customHeight="1">
      <c r="B29" s="12" t="inlineStr">
        <is>
          <t>ضريبة الخصم من المنبع</t>
        </is>
      </c>
      <c r="C29" s="7" t="inlineStr">
        <is>
          <t>النسبة × (الصافي قبل خصم الضمان).</t>
        </is>
      </c>
    </row>
    <row r="30" ht="30" customHeight="1">
      <c r="B30" s="12" t="inlineStr">
        <is>
          <t>المستحق الحالي</t>
        </is>
      </c>
      <c r="C30" s="7" t="inlineStr">
        <is>
          <t>صافي المستحق التراكمي للمستخلص − صافي المستحق التراكمي للمستخلص السابق.</t>
        </is>
      </c>
    </row>
    <row r="31" ht="30" customHeight="1">
      <c r="B31" s="12" t="inlineStr">
        <is>
          <t>SPI</t>
        </is>
      </c>
      <c r="C31" s="7" t="inlineStr">
        <is>
          <t>نسبة الإنجاز الفعلية ÷ المخططة: أقل من 1 = تأخر، 1 أو أكثر = مطابق/متقدم.</t>
        </is>
      </c>
    </row>
    <row r="33" ht="22" customHeight="1">
      <c r="B33" s="13" t="inlineStr">
        <is>
          <t>ملاحظات</t>
        </is>
      </c>
      <c r="C33" s="13" t="n"/>
    </row>
    <row r="34" ht="24" customHeight="1">
      <c r="B34" s="14" t="inlineStr">
        <is>
          <t>•</t>
        </is>
      </c>
      <c r="C34" s="7" t="inlineStr">
        <is>
          <t>البيانات الحالية مثال توضيحي لمشروع (6 مستخلصات) — امسح الخلايا الصفراء وابدأ ببيانات مشروعك.</t>
        </is>
      </c>
    </row>
    <row r="35" ht="24" customHeight="1">
      <c r="B35" s="14" t="inlineStr">
        <is>
          <t>•</t>
        </is>
      </c>
      <c r="C35" s="7" t="inlineStr">
        <is>
          <t>السعة: 100 بند، 24 مستخلص، 50 أمر تغييري، 100 استقطاع فني. لا تحذف صفوفاً من داخل الجداول.</t>
        </is>
      </c>
    </row>
    <row r="36" ht="24" customHeight="1">
      <c r="B36" s="14" t="inlineStr">
        <is>
          <t>•</t>
        </is>
      </c>
      <c r="C36" s="7" t="inlineStr">
        <is>
          <t>رقم «آخر مستخلص فعال» يُحدد آلياً ويُميَّز في السجل وفي شيت الكميات المنفذة باللون الذهبي.</t>
        </is>
      </c>
    </row>
  </sheetData>
  <mergeCells count="6">
    <mergeCell ref="B21:C21"/>
    <mergeCell ref="B2:C2"/>
    <mergeCell ref="B33:C33"/>
    <mergeCell ref="B11:C11"/>
    <mergeCell ref="B5:C5"/>
    <mergeCell ref="B1:C1"/>
  </mergeCells>
  <hyperlinks>
    <hyperlink ref="B3" location="'لوحة التحكم'!A1" display="📊 الانتقال للوحة التحكم"/>
    <hyperlink ref="C3" location="'بيانات العقد'!A1" display="⚙ ابدأ ببيانات العقد"/>
    <hyperlink ref="B12" location="'بيانات العقد'!A1" display="بيانات العقد"/>
    <hyperlink ref="B13" location="'جدول الكميات'!A1" display="جدول الكميات"/>
    <hyperlink ref="B14" location="'الكميات المنفذة'!A1" display="الكميات المنفذة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  <hyperlink ref="B18" location="'نموذج المستخلص'!A1" display="نموذج المستخلص"/>
    <hyperlink ref="B19" location="'لوحة التحكم'!A1" display="لوحة التحكم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P30"/>
  <sheetViews>
    <sheetView showGridLines="0" rightToLeft="1" zoomScale="85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" customWidth="1" min="17" max="17"/>
  </cols>
  <sheetData>
    <row r="1" ht="38" customHeight="1">
      <c r="B1" s="1" t="inlineStr">
        <is>
          <t>📊 لوحة تحكم المستخلصات — Payment Certificates &amp; Billing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0" customHeight="1">
      <c r="B2" s="2">
        <f>'بيانات العقد'!$C$5&amp;"   |   عقد رقم: "&amp;'بيانات العقد'!$C$6&amp;"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6" customHeight="1">
      <c r="B3" s="4" t="inlineStr">
        <is>
          <t>⚙ بيانات العقد</t>
        </is>
      </c>
      <c r="C3" s="4" t="inlineStr">
        <is>
          <t>📋 الكميات</t>
        </is>
      </c>
      <c r="D3" s="4" t="inlineStr">
        <is>
          <t>📐 المنفذ</t>
        </is>
      </c>
      <c r="E3" s="4" t="inlineStr">
        <is>
          <t>🔁 التغييرية</t>
        </is>
      </c>
      <c r="F3" s="4" t="inlineStr">
        <is>
          <t>✂ الاستقطاعات</t>
        </is>
      </c>
      <c r="G3" s="4" t="inlineStr">
        <is>
          <t>🗂 السجل</t>
        </is>
      </c>
      <c r="H3" s="4" t="inlineStr">
        <is>
          <t>🧾 النموذج</t>
        </is>
      </c>
      <c r="J3" s="15" t="inlineStr">
        <is>
          <t>آخر مستخلص فعال:</t>
        </is>
      </c>
      <c r="K3" s="15" t="n"/>
      <c r="L3" s="16">
        <f>SUMPRODUCT(MAX(('سجل المستخلصات'!$C$6:$C$29&lt;&gt;"")*'سجل المستخلصات'!$A$6:$A$29))</f>
        <v/>
      </c>
      <c r="N3" s="17">
        <f>IF(L3=0,"",TEXT(INDEX('سجل المستخلصات'!$C$6:$C$29,L3),"yyyy/mm/dd"))</f>
        <v/>
      </c>
      <c r="O3" s="17" t="n"/>
      <c r="P3" s="17" t="n"/>
    </row>
    <row r="5" ht="22" customHeight="1">
      <c r="B5" s="5" t="inlineStr">
        <is>
          <t>المؤشرات التعاقدية والإنجاز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24" customHeight="1">
      <c r="B6" s="18" t="inlineStr">
        <is>
          <t>قيمة العقد الأصلية</t>
        </is>
      </c>
      <c r="C6" s="18" t="n"/>
      <c r="D6" s="18" t="n"/>
      <c r="E6" s="19" t="inlineStr">
        <is>
          <t>صافي الأوامر التغييرية</t>
        </is>
      </c>
      <c r="F6" s="19" t="n"/>
      <c r="G6" s="19" t="n"/>
      <c r="H6" s="18" t="inlineStr">
        <is>
          <t>قيمة العقد المعدلة</t>
        </is>
      </c>
      <c r="I6" s="18" t="n"/>
      <c r="J6" s="18" t="n"/>
      <c r="K6" s="20" t="inlineStr">
        <is>
          <t>إجمالي قيمة الأعمال التراكمية</t>
        </is>
      </c>
      <c r="L6" s="20" t="n"/>
      <c r="M6" s="20" t="n"/>
      <c r="N6" s="21" t="inlineStr">
        <is>
          <t>الأعمال المتبقية</t>
        </is>
      </c>
      <c r="O6" s="21" t="n"/>
      <c r="P6" s="21" t="n"/>
    </row>
    <row r="7" ht="32" customHeight="1">
      <c r="B7" s="22">
        <f>ContractValue</f>
        <v/>
      </c>
      <c r="C7" s="22" t="n"/>
      <c r="D7" s="22" t="n"/>
      <c r="E7" s="23">
        <f>VOApproved</f>
        <v/>
      </c>
      <c r="F7" s="23" t="n"/>
      <c r="G7" s="23" t="n"/>
      <c r="H7" s="22">
        <f>RevisedContract</f>
        <v/>
      </c>
      <c r="I7" s="22" t="n"/>
      <c r="J7" s="22" t="n"/>
      <c r="K7" s="24">
        <f>IF(LatestIPC=0,0,N(INDEX('سجل المستخلصات'!$K$6:$K$29,LatestIPC)))</f>
        <v/>
      </c>
      <c r="L7" s="24" t="n"/>
      <c r="M7" s="24" t="n"/>
      <c r="N7" s="25">
        <f>RevisedContract-IF(LatestIPC=0,0,N(INDEX('سجل المستخلصات'!$G$6:$G$29,LatestIPC)))-IF(LatestIPC=0,0,N(INDEX('سجل المستخلصات'!$I$6:$I$29,LatestIPC)))</f>
        <v/>
      </c>
      <c r="O7" s="25" t="n"/>
      <c r="P7" s="25" t="n"/>
    </row>
    <row r="9" ht="24" customHeight="1">
      <c r="B9" s="20" t="inlineStr">
        <is>
          <t>نسبة الإنجاز الفعلية</t>
        </is>
      </c>
      <c r="C9" s="20" t="n"/>
      <c r="D9" s="20" t="n"/>
      <c r="E9" s="18" t="inlineStr">
        <is>
          <t>نسبة الإنجاز المخططة</t>
        </is>
      </c>
      <c r="F9" s="18" t="n"/>
      <c r="G9" s="18" t="n"/>
      <c r="H9" s="26" t="inlineStr">
        <is>
          <t>الانحراف (فعلي - مخطط)</t>
        </is>
      </c>
      <c r="I9" s="26" t="n"/>
      <c r="J9" s="26" t="n"/>
      <c r="K9" s="21" t="inlineStr">
        <is>
          <t>نسبة المدة المنقضية</t>
        </is>
      </c>
      <c r="L9" s="21" t="n"/>
      <c r="M9" s="21" t="n"/>
      <c r="N9" s="18" t="inlineStr">
        <is>
          <t>مؤشر أداء الجدول (SPI)</t>
        </is>
      </c>
      <c r="O9" s="18" t="n"/>
      <c r="P9" s="18" t="n"/>
    </row>
    <row r="10" ht="32" customHeight="1">
      <c r="B10" s="27">
        <f>IF(LatestIPC=0,0,N(INDEX('سجل المستخلصات'!$L$6:$L$29,LatestIPC)))</f>
        <v/>
      </c>
      <c r="C10" s="27" t="n"/>
      <c r="D10" s="27" t="n"/>
      <c r="E10" s="28">
        <f>IF(LatestIPC=0,0,N(INDEX('سجل المستخلصات'!$M$6:$M$29,LatestIPC)))</f>
        <v/>
      </c>
      <c r="F10" s="28" t="n"/>
      <c r="G10" s="28" t="n"/>
      <c r="H10" s="29">
        <f>B10-E10</f>
        <v/>
      </c>
      <c r="I10" s="29" t="n"/>
      <c r="J10" s="29" t="n"/>
      <c r="K10" s="30">
        <f>IF(LatestIPC=0,0,MIN(1,MAX(0,(INDEX('سجل المستخلصات'!$C$6:$C$29,LatestIPC)-StartDate+1)/(EndDate-StartDate+1))))</f>
        <v/>
      </c>
      <c r="L10" s="30" t="n"/>
      <c r="M10" s="30" t="n"/>
      <c r="N10" s="31">
        <f>IF(E10&gt;0,B10/E10,0)</f>
        <v/>
      </c>
      <c r="O10" s="31" t="n"/>
      <c r="P10" s="31" t="n"/>
    </row>
    <row r="12" ht="22" customHeight="1">
      <c r="B12" s="5" t="inlineStr">
        <is>
          <t>الموقف المالي والتحصيل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4" customHeight="1">
      <c r="B13" s="18" t="inlineStr">
        <is>
          <t>صافي المستحق التراكمي</t>
        </is>
      </c>
      <c r="C13" s="18" t="n"/>
      <c r="D13" s="18" t="n"/>
      <c r="E13" s="32" t="inlineStr">
        <is>
          <t>إجمالي المحصل</t>
        </is>
      </c>
      <c r="F13" s="32" t="n"/>
      <c r="G13" s="32" t="n"/>
      <c r="H13" s="33" t="inlineStr">
        <is>
          <t>مستحقات غير محصلة</t>
        </is>
      </c>
      <c r="I13" s="33" t="n"/>
      <c r="J13" s="33" t="n"/>
      <c r="K13" s="32" t="inlineStr">
        <is>
          <t>نسبة التحصيل</t>
        </is>
      </c>
      <c r="L13" s="32" t="n"/>
      <c r="M13" s="32" t="n"/>
      <c r="N13" s="21" t="inlineStr">
        <is>
          <t>متوسط مدة التحصيل (يوم)</t>
        </is>
      </c>
      <c r="O13" s="21" t="n"/>
      <c r="P13" s="21" t="n"/>
    </row>
    <row r="14" ht="32" customHeight="1">
      <c r="B14" s="22">
        <f>IF(LatestIPC=0,0,N(INDEX('سجل المستخلصات'!$X$6:$X$29,LatestIPC)))</f>
        <v/>
      </c>
      <c r="C14" s="22" t="n"/>
      <c r="D14" s="22" t="n"/>
      <c r="E14" s="34">
        <f>SUM('سجل المستخلصات'!$AA$6:$AA$29)</f>
        <v/>
      </c>
      <c r="F14" s="34" t="n"/>
      <c r="G14" s="34" t="n"/>
      <c r="H14" s="35">
        <f>SUM('سجل المستخلصات'!$AC$6:$AC$29)</f>
        <v/>
      </c>
      <c r="I14" s="35" t="n"/>
      <c r="J14" s="35" t="n"/>
      <c r="K14" s="36">
        <f>IF(B14&gt;0,E14/B14,0)</f>
        <v/>
      </c>
      <c r="L14" s="36" t="n"/>
      <c r="M14" s="36" t="n"/>
      <c r="N14" s="37">
        <f>IFERROR(AVERAGE('سجل المستخلصات'!$AD$6:$AD$29),0)</f>
        <v/>
      </c>
      <c r="O14" s="37" t="n"/>
      <c r="P14" s="37" t="n"/>
    </row>
    <row r="16" ht="24" customHeight="1">
      <c r="B16" s="38" t="inlineStr">
        <is>
          <t>ضمان الأعمال المحتجز</t>
        </is>
      </c>
      <c r="C16" s="38" t="n"/>
      <c r="D16" s="38" t="n"/>
      <c r="E16" s="38" t="inlineStr">
        <is>
          <t>رصيد الدفعة المقدمة غير المسترد</t>
        </is>
      </c>
      <c r="F16" s="38" t="n"/>
      <c r="G16" s="38" t="n"/>
      <c r="H16" s="38" t="inlineStr">
        <is>
          <t>الاستقطاعات الفنية المحتجزة</t>
        </is>
      </c>
      <c r="I16" s="38" t="n"/>
      <c r="J16" s="38" t="n"/>
      <c r="K16" s="38" t="inlineStr">
        <is>
          <t>إجمالي الغرامات والخصومات</t>
        </is>
      </c>
      <c r="L16" s="38" t="n"/>
      <c r="M16" s="38" t="n"/>
      <c r="N16" s="20" t="inlineStr">
        <is>
          <t>صافي المستحق - آخر مستخلص</t>
        </is>
      </c>
      <c r="O16" s="20" t="n"/>
      <c r="P16" s="20" t="n"/>
    </row>
    <row r="17" ht="32" customHeight="1">
      <c r="B17" s="39">
        <f>IF(LatestIPC=0,0,N(INDEX('سجل المستخلصات'!$R$6:$R$29,LatestIPC)))</f>
        <v/>
      </c>
      <c r="C17" s="39" t="n"/>
      <c r="D17" s="39" t="n"/>
      <c r="E17" s="39">
        <f>AdvAmount-IF(LatestIPC=0,0,N(INDEX('سجل المستخلصات'!$O$6:$O$29,LatestIPC)))</f>
        <v/>
      </c>
      <c r="F17" s="39" t="n"/>
      <c r="G17" s="39" t="n"/>
      <c r="H17" s="39">
        <f>IF(LatestIPC=0,0,N(INDEX('سجل المستخلصات'!$S$6:$S$29,LatestIPC)))</f>
        <v/>
      </c>
      <c r="I17" s="39" t="n"/>
      <c r="J17" s="39" t="n"/>
      <c r="K17" s="39">
        <f>SUM('سجل المستخلصات'!$T$6:$T$29)</f>
        <v/>
      </c>
      <c r="L17" s="39" t="n"/>
      <c r="M17" s="39" t="n"/>
      <c r="N17" s="24">
        <f>IF(LatestIPC=0,0,N(INDEX('سجل المستخلصات'!$Z$6:$Z$29,LatestIPC)))</f>
        <v/>
      </c>
      <c r="O17" s="24" t="n"/>
      <c r="P17" s="24" t="n"/>
    </row>
    <row r="19" ht="22" customHeight="1">
      <c r="B19" s="40" t="inlineStr">
        <is>
          <t>الإنجاز حسب أقسام الأعمال</t>
        </is>
      </c>
      <c r="C19" s="40" t="n"/>
      <c r="D19" s="40" t="n"/>
      <c r="E19" s="40" t="n"/>
      <c r="F19" s="40" t="n"/>
      <c r="G19" s="40" t="n"/>
      <c r="H19" s="40" t="n"/>
      <c r="J19" s="40" t="inlineStr">
        <is>
          <t>توزيع قيمة العقد المعدلة</t>
        </is>
      </c>
      <c r="K19" s="40" t="n"/>
      <c r="L19" s="40" t="n"/>
      <c r="M19" s="40" t="n"/>
      <c r="N19" s="40" t="n"/>
      <c r="O19" s="40" t="n"/>
      <c r="P19" s="40" t="n"/>
    </row>
    <row r="20" ht="30" customHeight="1">
      <c r="B20" s="41" t="inlineStr">
        <is>
          <t>القسم</t>
        </is>
      </c>
      <c r="C20" s="41" t="n"/>
      <c r="D20" s="41" t="n"/>
      <c r="E20" s="41" t="inlineStr">
        <is>
          <t>القيمة التعاقدية</t>
        </is>
      </c>
      <c r="F20" s="41" t="inlineStr">
        <is>
          <t>القيمة المنفذة</t>
        </is>
      </c>
      <c r="G20" s="41" t="inlineStr">
        <is>
          <t>نسبة الإنجاز</t>
        </is>
      </c>
      <c r="H20" s="41" t="inlineStr">
        <is>
          <t>الوزن من العقد</t>
        </is>
      </c>
      <c r="J20" s="42" t="inlineStr">
        <is>
          <t>البند</t>
        </is>
      </c>
      <c r="K20" s="42" t="n"/>
      <c r="L20" s="42" t="n"/>
      <c r="M20" s="42" t="n"/>
      <c r="N20" s="42" t="inlineStr">
        <is>
          <t>القيمة</t>
        </is>
      </c>
      <c r="O20" s="42" t="n"/>
      <c r="P20" s="42" t="inlineStr">
        <is>
          <t>النسبة</t>
        </is>
      </c>
    </row>
    <row r="21">
      <c r="B21" s="43">
        <f>'بيانات العقد'!F6</f>
        <v/>
      </c>
      <c r="C21" s="43" t="n"/>
      <c r="D21" s="43" t="n"/>
      <c r="E21" s="44">
        <f>SUMIF('جدول الكميات'!$C$6:$C$105,B21,'جدول الكميات'!$H$6:$H$105)</f>
        <v/>
      </c>
      <c r="F21" s="44">
        <f>SUMIF('الكميات المنفذة'!$D$6:$D$105,B21,'الكميات المنفذة'!$AH$6:$AH$105)</f>
        <v/>
      </c>
      <c r="G21" s="45">
        <f>IF(E21&gt;0,F21/E21,0)</f>
        <v/>
      </c>
      <c r="H21" s="46">
        <f>IF(ContractValue&gt;0,E21/ContractValue,0)</f>
        <v/>
      </c>
      <c r="J21" s="43" t="inlineStr">
        <is>
          <t>صافي الأعمال المعتمدة قبل الضرائب</t>
        </is>
      </c>
      <c r="K21" s="43" t="n"/>
      <c r="L21" s="43" t="n"/>
      <c r="M21" s="43" t="n"/>
      <c r="N21" s="44">
        <f>IF(LatestIPC=0,0,N(INDEX('سجل المستخلصات'!$U$6:$U$29,LatestIPC)))</f>
        <v/>
      </c>
      <c r="O21" s="44" t="n"/>
      <c r="P21" s="46">
        <f>IF($N$27&gt;0,N21/$N$27,0)</f>
        <v/>
      </c>
    </row>
    <row r="22">
      <c r="B22" s="43">
        <f>'بيانات العقد'!F7</f>
        <v/>
      </c>
      <c r="C22" s="43" t="n"/>
      <c r="D22" s="43" t="n"/>
      <c r="E22" s="44">
        <f>SUMIF('جدول الكميات'!$C$6:$C$105,B22,'جدول الكميات'!$H$6:$H$105)</f>
        <v/>
      </c>
      <c r="F22" s="44">
        <f>SUMIF('الكميات المنفذة'!$D$6:$D$105,B22,'الكميات المنفذة'!$AH$6:$AH$105)</f>
        <v/>
      </c>
      <c r="G22" s="45">
        <f>IF(E22&gt;0,F22/E22,0)</f>
        <v/>
      </c>
      <c r="H22" s="46">
        <f>IF(ContractValue&gt;0,E22/ContractValue,0)</f>
        <v/>
      </c>
      <c r="J22" s="43" t="inlineStr">
        <is>
          <t>دفعة مقدمة مستردة</t>
        </is>
      </c>
      <c r="K22" s="43" t="n"/>
      <c r="L22" s="43" t="n"/>
      <c r="M22" s="43" t="n"/>
      <c r="N22" s="44">
        <f>IF(LatestIPC=0,0,N(INDEX('سجل المستخلصات'!$O$6:$O$29,LatestIPC)))</f>
        <v/>
      </c>
      <c r="O22" s="44" t="n"/>
      <c r="P22" s="46">
        <f>IF($N$27&gt;0,N22/$N$27,0)</f>
        <v/>
      </c>
    </row>
    <row r="23">
      <c r="B23" s="43">
        <f>'بيانات العقد'!F8</f>
        <v/>
      </c>
      <c r="C23" s="43" t="n"/>
      <c r="D23" s="43" t="n"/>
      <c r="E23" s="44">
        <f>SUMIF('جدول الكميات'!$C$6:$C$105,B23,'جدول الكميات'!$H$6:$H$105)</f>
        <v/>
      </c>
      <c r="F23" s="44">
        <f>SUMIF('الكميات المنفذة'!$D$6:$D$105,B23,'الكميات المنفذة'!$AH$6:$AH$105)</f>
        <v/>
      </c>
      <c r="G23" s="45">
        <f>IF(E23&gt;0,F23/E23,0)</f>
        <v/>
      </c>
      <c r="H23" s="46">
        <f>IF(ContractValue&gt;0,E23/ContractValue,0)</f>
        <v/>
      </c>
      <c r="J23" s="43" t="inlineStr">
        <is>
          <t>ضمان أعمال محتجز</t>
        </is>
      </c>
      <c r="K23" s="43" t="n"/>
      <c r="L23" s="43" t="n"/>
      <c r="M23" s="43" t="n"/>
      <c r="N23" s="44">
        <f>B17</f>
        <v/>
      </c>
      <c r="O23" s="44" t="n"/>
      <c r="P23" s="46">
        <f>IF($N$27&gt;0,N23/$N$27,0)</f>
        <v/>
      </c>
    </row>
    <row r="24">
      <c r="B24" s="43">
        <f>'بيانات العقد'!F9</f>
        <v/>
      </c>
      <c r="C24" s="43" t="n"/>
      <c r="D24" s="43" t="n"/>
      <c r="E24" s="44">
        <f>SUMIF('جدول الكميات'!$C$6:$C$105,B24,'جدول الكميات'!$H$6:$H$105)</f>
        <v/>
      </c>
      <c r="F24" s="44">
        <f>SUMIF('الكميات المنفذة'!$D$6:$D$105,B24,'الكميات المنفذة'!$AH$6:$AH$105)</f>
        <v/>
      </c>
      <c r="G24" s="45">
        <f>IF(E24&gt;0,F24/E24,0)</f>
        <v/>
      </c>
      <c r="H24" s="46">
        <f>IF(ContractValue&gt;0,E24/ContractValue,0)</f>
        <v/>
      </c>
      <c r="J24" s="43" t="inlineStr">
        <is>
          <t>استقطاعات فنية وغرامات</t>
        </is>
      </c>
      <c r="K24" s="43" t="n"/>
      <c r="L24" s="43" t="n"/>
      <c r="M24" s="43" t="n"/>
      <c r="N24" s="44">
        <f>H17+K17</f>
        <v/>
      </c>
      <c r="O24" s="44" t="n"/>
      <c r="P24" s="46">
        <f>IF($N$27&gt;0,N24/$N$27,0)</f>
        <v/>
      </c>
    </row>
    <row r="25">
      <c r="B25" s="43">
        <f>'بيانات العقد'!F10</f>
        <v/>
      </c>
      <c r="C25" s="43" t="n"/>
      <c r="D25" s="43" t="n"/>
      <c r="E25" s="44">
        <f>SUMIF('جدول الكميات'!$C$6:$C$105,B25,'جدول الكميات'!$H$6:$H$105)</f>
        <v/>
      </c>
      <c r="F25" s="44">
        <f>SUMIF('الكميات المنفذة'!$D$6:$D$105,B25,'الكميات المنفذة'!$AH$6:$AH$105)</f>
        <v/>
      </c>
      <c r="G25" s="45">
        <f>IF(E25&gt;0,F25/E25,0)</f>
        <v/>
      </c>
      <c r="H25" s="46">
        <f>IF(ContractValue&gt;0,E25/ContractValue,0)</f>
        <v/>
      </c>
      <c r="J25" s="43" t="inlineStr">
        <is>
          <t>أعمال متبقية</t>
        </is>
      </c>
      <c r="K25" s="43" t="n"/>
      <c r="L25" s="43" t="n"/>
      <c r="M25" s="43" t="n"/>
      <c r="N25" s="44">
        <f>MAX(0,N7)</f>
        <v/>
      </c>
      <c r="O25" s="44" t="n"/>
      <c r="P25" s="46">
        <f>IF($N$27&gt;0,N25/$N$27,0)</f>
        <v/>
      </c>
    </row>
    <row r="26">
      <c r="B26" s="43">
        <f>'بيانات العقد'!F11</f>
        <v/>
      </c>
      <c r="C26" s="43" t="n"/>
      <c r="D26" s="43" t="n"/>
      <c r="E26" s="44">
        <f>SUMIF('جدول الكميات'!$C$6:$C$105,B26,'جدول الكميات'!$H$6:$H$105)</f>
        <v/>
      </c>
      <c r="F26" s="44">
        <f>SUMIF('الكميات المنفذة'!$D$6:$D$105,B26,'الكميات المنفذة'!$AH$6:$AH$105)</f>
        <v/>
      </c>
      <c r="G26" s="45">
        <f>IF(E26&gt;0,F26/E26,0)</f>
        <v/>
      </c>
      <c r="H26" s="46">
        <f>IF(ContractValue&gt;0,E26/ContractValue,0)</f>
        <v/>
      </c>
      <c r="J26" s="43" t="inlineStr">
        <is>
          <t>مواد موردة بالموقع</t>
        </is>
      </c>
      <c r="K26" s="43" t="n"/>
      <c r="L26" s="43" t="n"/>
      <c r="M26" s="43" t="n"/>
      <c r="N26" s="44">
        <f>IF(LatestIPC=0,0,N(INDEX('سجل المستخلصات'!$J$6:$J$29,LatestIPC)))</f>
        <v/>
      </c>
      <c r="O26" s="44" t="n"/>
      <c r="P26" s="46">
        <f>IF($N$27&gt;0,N26/$N$27,0)</f>
        <v/>
      </c>
    </row>
    <row r="27">
      <c r="B27" s="43">
        <f>'بيانات العقد'!F12</f>
        <v/>
      </c>
      <c r="C27" s="43" t="n"/>
      <c r="D27" s="43" t="n"/>
      <c r="E27" s="44">
        <f>SUMIF('جدول الكميات'!$C$6:$C$105,B27,'جدول الكميات'!$H$6:$H$105)</f>
        <v/>
      </c>
      <c r="F27" s="44">
        <f>SUMIF('الكميات المنفذة'!$D$6:$D$105,B27,'الكميات المنفذة'!$AH$6:$AH$105)</f>
        <v/>
      </c>
      <c r="G27" s="45">
        <f>IF(E27&gt;0,F27/E27,0)</f>
        <v/>
      </c>
      <c r="H27" s="46">
        <f>IF(ContractValue&gt;0,E27/ContractValue,0)</f>
        <v/>
      </c>
      <c r="J27" s="42" t="inlineStr">
        <is>
          <t>الإجمالي</t>
        </is>
      </c>
      <c r="K27" s="42" t="n"/>
      <c r="L27" s="42" t="n"/>
      <c r="M27" s="42" t="n"/>
      <c r="N27" s="47">
        <f>SUM(N21:O26)</f>
        <v/>
      </c>
      <c r="O27" s="47" t="n"/>
      <c r="P27" s="48">
        <f>SUM(P21:P26)</f>
        <v/>
      </c>
    </row>
    <row r="28">
      <c r="B28" s="43">
        <f>'بيانات العقد'!F13</f>
        <v/>
      </c>
      <c r="C28" s="43" t="n"/>
      <c r="D28" s="43" t="n"/>
      <c r="E28" s="44">
        <f>SUMIF('جدول الكميات'!$C$6:$C$105,B28,'جدول الكميات'!$H$6:$H$105)</f>
        <v/>
      </c>
      <c r="F28" s="44">
        <f>SUMIF('الكميات المنفذة'!$D$6:$D$105,B28,'الكميات المنفذة'!$AH$6:$AH$105)</f>
        <v/>
      </c>
      <c r="G28" s="45">
        <f>IF(E28&gt;0,F28/E28,0)</f>
        <v/>
      </c>
      <c r="H28" s="46">
        <f>IF(ContractValue&gt;0,E28/ContractValue,0)</f>
        <v/>
      </c>
      <c r="J28" s="49" t="inlineStr">
        <is>
          <t>ملاحظة: الإجمالي = قيمة العقد المعدلة + رصيد المواد بالموقع (المبالغ قبل الضرائب).</t>
        </is>
      </c>
      <c r="K28" s="49" t="n"/>
      <c r="L28" s="49" t="n"/>
      <c r="M28" s="49" t="n"/>
      <c r="N28" s="49" t="n"/>
      <c r="O28" s="49" t="n"/>
      <c r="P28" s="49" t="n"/>
    </row>
    <row r="29">
      <c r="B29" s="43">
        <f>'بيانات العقد'!F14</f>
        <v/>
      </c>
      <c r="C29" s="43" t="n"/>
      <c r="D29" s="43" t="n"/>
      <c r="E29" s="44">
        <f>SUMIF('جدول الكميات'!$C$6:$C$105,B29,'جدول الكميات'!$H$6:$H$105)</f>
        <v/>
      </c>
      <c r="F29" s="44">
        <f>SUMIF('الكميات المنفذة'!$D$6:$D$105,B29,'الكميات المنفذة'!$AH$6:$AH$105)</f>
        <v/>
      </c>
      <c r="G29" s="45">
        <f>IF(E29&gt;0,F29/E29,0)</f>
        <v/>
      </c>
      <c r="H29" s="46">
        <f>IF(ContractValue&gt;0,E29/ContractValue,0)</f>
        <v/>
      </c>
      <c r="J29" s="49" t="n"/>
      <c r="K29" s="49" t="n"/>
      <c r="L29" s="49" t="n"/>
      <c r="M29" s="49" t="n"/>
      <c r="N29" s="49" t="n"/>
      <c r="O29" s="49" t="n"/>
      <c r="P29" s="49" t="n"/>
    </row>
    <row r="30">
      <c r="B30" s="42" t="inlineStr">
        <is>
          <t>الإجمالي</t>
        </is>
      </c>
      <c r="C30" s="42" t="n"/>
      <c r="D30" s="42" t="n"/>
      <c r="E30" s="47">
        <f>SUM(E21:E29)</f>
        <v/>
      </c>
      <c r="F30" s="47">
        <f>SUM(F21:F29)</f>
        <v/>
      </c>
      <c r="G30" s="48">
        <f>IF(E30&gt;0,F30/E30,0)</f>
        <v/>
      </c>
      <c r="H30" s="48">
        <f>SUM(H21:H29)</f>
        <v/>
      </c>
    </row>
  </sheetData>
  <mergeCells count="81">
    <mergeCell ref="E13:G13"/>
    <mergeCell ref="N20:O20"/>
    <mergeCell ref="N17:P17"/>
    <mergeCell ref="H17:J17"/>
    <mergeCell ref="N22:O22"/>
    <mergeCell ref="L3:M3"/>
    <mergeCell ref="B28:D28"/>
    <mergeCell ref="H20"/>
    <mergeCell ref="N9:P9"/>
    <mergeCell ref="B30:D30"/>
    <mergeCell ref="K17:M17"/>
    <mergeCell ref="E7:G7"/>
    <mergeCell ref="B6:D6"/>
    <mergeCell ref="B20:D20"/>
    <mergeCell ref="E16:G16"/>
    <mergeCell ref="K10:M10"/>
    <mergeCell ref="B5:P5"/>
    <mergeCell ref="K16:M16"/>
    <mergeCell ref="K9:M9"/>
    <mergeCell ref="N24:O24"/>
    <mergeCell ref="B12:P12"/>
    <mergeCell ref="N26:O26"/>
    <mergeCell ref="B17:D17"/>
    <mergeCell ref="N25:O25"/>
    <mergeCell ref="B1:P1"/>
    <mergeCell ref="J28:P29"/>
    <mergeCell ref="E6:G6"/>
    <mergeCell ref="H7:J7"/>
    <mergeCell ref="B10:D10"/>
    <mergeCell ref="H16:J16"/>
    <mergeCell ref="J23:M23"/>
    <mergeCell ref="N10:P10"/>
    <mergeCell ref="K14:M14"/>
    <mergeCell ref="B9:D9"/>
    <mergeCell ref="K7:M7"/>
    <mergeCell ref="J27:M27"/>
    <mergeCell ref="J3:K3"/>
    <mergeCell ref="J20:M20"/>
    <mergeCell ref="E17:G17"/>
    <mergeCell ref="B21:D21"/>
    <mergeCell ref="B19:H19"/>
    <mergeCell ref="H6:J6"/>
    <mergeCell ref="E10:G10"/>
    <mergeCell ref="J22:M22"/>
    <mergeCell ref="B14:D14"/>
    <mergeCell ref="B23:D23"/>
    <mergeCell ref="G20"/>
    <mergeCell ref="N14:P14"/>
    <mergeCell ref="B13:D13"/>
    <mergeCell ref="E9:G9"/>
    <mergeCell ref="J21:M21"/>
    <mergeCell ref="H13:J13"/>
    <mergeCell ref="K13:M13"/>
    <mergeCell ref="F20"/>
    <mergeCell ref="J24:M24"/>
    <mergeCell ref="B25:D25"/>
    <mergeCell ref="H10:J10"/>
    <mergeCell ref="E14:G14"/>
    <mergeCell ref="J26:M26"/>
    <mergeCell ref="B22:D22"/>
    <mergeCell ref="H9:J9"/>
    <mergeCell ref="J25:M25"/>
    <mergeCell ref="N3:P3"/>
    <mergeCell ref="B2:P2"/>
    <mergeCell ref="B29:D29"/>
    <mergeCell ref="N21:O21"/>
    <mergeCell ref="N13:P13"/>
    <mergeCell ref="N23:O23"/>
    <mergeCell ref="B24:D24"/>
    <mergeCell ref="N6:P6"/>
    <mergeCell ref="J19:P19"/>
    <mergeCell ref="H14:J14"/>
    <mergeCell ref="K6:M6"/>
    <mergeCell ref="E20"/>
    <mergeCell ref="B26:D26"/>
    <mergeCell ref="B7:D7"/>
    <mergeCell ref="B16:D16"/>
    <mergeCell ref="N7:P7"/>
    <mergeCell ref="N16:P16"/>
    <mergeCell ref="B27:D27"/>
    <mergeCell ref="N27:O27"/>
  </mergeCells>
  <conditionalFormatting sqref="G21:G29">
    <cfRule type="dataBar" priority="1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C3" location="'جدول الكميات'!A1" display="📋 الكميات"/>
    <hyperlink ref="D3" location="'الكميات المنفذة'!A1" display="📐 المنفذ"/>
    <hyperlink ref="E3" location="'الأوامر التغييرية'!A1" display="🔁 التغييرية"/>
    <hyperlink ref="F3" location="'الاستقطاعات الفنية'!A1" display="✂ الاستقطاعات"/>
    <hyperlink ref="G3" location="'سجل المستخلصات'!A1" display="🗂 السجل"/>
    <hyperlink ref="H3" location="'نموذج المستخلص'!A1" display="🧾 النموذج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J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  <col width="12" customWidth="1" min="10" max="10"/>
  </cols>
  <sheetData>
    <row r="1" ht="38" customHeight="1">
      <c r="B1" s="1" t="inlineStr">
        <is>
          <t>⚙ بيانات العقد والإعدادات التعاقدية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B2" s="2">
        <f>'بيانات العقد'!$C$5&amp;"   |   عقد رقم: "&amp;'بيانات العقد'!$C$6&amp;"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6" customHeight="1">
      <c r="B3" s="3" t="inlineStr">
        <is>
          <t>📊 لوحة التحكم</t>
        </is>
      </c>
      <c r="C3" s="4" t="inlineStr">
        <is>
          <t>📋 الكميات</t>
        </is>
      </c>
      <c r="D3" s="4" t="inlineStr">
        <is>
          <t>📐 المنفذ</t>
        </is>
      </c>
      <c r="F3" s="4" t="inlineStr">
        <is>
          <t>🔁 التغييرية</t>
        </is>
      </c>
      <c r="G3" s="4" t="inlineStr">
        <is>
          <t>✂ الاستقطاعات</t>
        </is>
      </c>
      <c r="H3" s="4" t="inlineStr">
        <is>
          <t>🗂 السجل</t>
        </is>
      </c>
      <c r="I3" s="4" t="inlineStr">
        <is>
          <t>🧾 النموذج</t>
        </is>
      </c>
    </row>
    <row r="4" ht="22" customHeight="1">
      <c r="B4" s="41" t="inlineStr">
        <is>
          <t>البيان</t>
        </is>
      </c>
      <c r="C4" s="41" t="inlineStr">
        <is>
          <t>القيمة</t>
        </is>
      </c>
      <c r="D4" s="41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43" t="inlineStr">
        <is>
          <t>اسم المشروع</t>
        </is>
      </c>
      <c r="C5" s="50" t="inlineStr">
        <is>
          <t>مشروع إنشاء المبنى الإداري - المرحلة الأولى</t>
        </is>
      </c>
      <c r="D5" s="51" t="inlineStr">
        <is>
          <t>يظهر في جميع الشيتات والنموذج</t>
        </is>
      </c>
      <c r="F5" s="52" t="inlineStr">
        <is>
          <t>أقسام الأعمال</t>
        </is>
      </c>
      <c r="G5" s="52" t="inlineStr">
        <is>
          <t>حالة المستخلص</t>
        </is>
      </c>
      <c r="H5" s="52" t="inlineStr">
        <is>
          <t>حالة الأمر التغييري</t>
        </is>
      </c>
      <c r="I5" s="52" t="inlineStr">
        <is>
          <t>نوع الاستقطاع الفني</t>
        </is>
      </c>
    </row>
    <row r="6">
      <c r="B6" s="43" t="inlineStr">
        <is>
          <t>رقم العقد</t>
        </is>
      </c>
      <c r="C6" s="50" t="inlineStr">
        <is>
          <t>CT-2026-014</t>
        </is>
      </c>
      <c r="D6" s="51" t="inlineStr"/>
      <c r="F6" s="53" t="inlineStr">
        <is>
          <t>أعمال الحفر والردم</t>
        </is>
      </c>
      <c r="G6" s="53" t="inlineStr">
        <is>
          <t>مسودة</t>
        </is>
      </c>
      <c r="H6" s="53" t="inlineStr">
        <is>
          <t>معتمد</t>
        </is>
      </c>
      <c r="I6" s="53" t="inlineStr">
        <is>
          <t>أعمال غير مطابقة</t>
        </is>
      </c>
    </row>
    <row r="7">
      <c r="B7" s="43" t="inlineStr">
        <is>
          <t>صاحب العمل (المالك)</t>
        </is>
      </c>
      <c r="C7" s="50" t="inlineStr">
        <is>
          <t>شركة النماء للتطوير العقاري</t>
        </is>
      </c>
      <c r="D7" s="51" t="inlineStr"/>
      <c r="F7" s="53" t="inlineStr">
        <is>
          <t>الخرسانة العادية والمسلحة</t>
        </is>
      </c>
      <c r="G7" s="53" t="inlineStr">
        <is>
          <t>مقدم للاستشاري</t>
        </is>
      </c>
      <c r="H7" s="53" t="inlineStr">
        <is>
          <t>قيد الدراسة</t>
        </is>
      </c>
      <c r="I7" s="53" t="inlineStr">
        <is>
          <t>أعمال ناقصة</t>
        </is>
      </c>
    </row>
    <row r="8">
      <c r="B8" s="43" t="inlineStr">
        <is>
          <t>الاستشاري / المهندس</t>
        </is>
      </c>
      <c r="C8" s="50" t="inlineStr">
        <is>
          <t>مكتب الهندسة المتحدة للاستشارات</t>
        </is>
      </c>
      <c r="D8" s="51" t="inlineStr"/>
      <c r="F8" s="53" t="inlineStr">
        <is>
          <t>أعمال المباني</t>
        </is>
      </c>
      <c r="G8" s="53" t="inlineStr">
        <is>
          <t>تحت المراجعة</t>
        </is>
      </c>
      <c r="H8" s="53" t="inlineStr">
        <is>
          <t>مرفوض</t>
        </is>
      </c>
      <c r="I8" s="53" t="inlineStr">
        <is>
          <t>ملاحظات فنية</t>
        </is>
      </c>
    </row>
    <row r="9">
      <c r="B9" s="43" t="inlineStr">
        <is>
          <t>المقاول</t>
        </is>
      </c>
      <c r="C9" s="50" t="inlineStr">
        <is>
          <t>شركة البناء الحديث للمقاولات</t>
        </is>
      </c>
      <c r="D9" s="51" t="inlineStr"/>
      <c r="F9" s="53" t="inlineStr">
        <is>
          <t>أعمال العزل</t>
        </is>
      </c>
      <c r="G9" s="53" t="inlineStr">
        <is>
          <t>معتمد</t>
        </is>
      </c>
      <c r="H9" s="53" t="n"/>
      <c r="I9" s="53" t="inlineStr">
        <is>
          <t>اختبارات غير مستكملة</t>
        </is>
      </c>
    </row>
    <row r="10">
      <c r="B10" s="43" t="inlineStr">
        <is>
          <t>تاريخ توقيع العقد</t>
        </is>
      </c>
      <c r="C10" s="54" t="n">
        <v>46068</v>
      </c>
      <c r="D10" s="51" t="inlineStr"/>
      <c r="F10" s="53" t="inlineStr">
        <is>
          <t>أعمال التشطيبات</t>
        </is>
      </c>
      <c r="G10" s="53" t="inlineStr">
        <is>
          <t>مرفوض</t>
        </is>
      </c>
      <c r="H10" s="53" t="n"/>
      <c r="I10" s="53" t="inlineStr">
        <is>
          <t>مستندات غير مستكملة</t>
        </is>
      </c>
    </row>
    <row r="11">
      <c r="B11" s="43" t="inlineStr">
        <is>
          <t>تاريخ بدء الأعمال (أمر المباشرة)</t>
        </is>
      </c>
      <c r="C11" s="54" t="n">
        <v>46082</v>
      </c>
      <c r="D11" s="51" t="inlineStr">
        <is>
          <t>بداية احتساب المدة الزمنية</t>
        </is>
      </c>
      <c r="F11" s="53" t="inlineStr">
        <is>
          <t>الأعمال الكهربائية</t>
        </is>
      </c>
      <c r="G11" s="53" t="n"/>
      <c r="H11" s="53" t="n"/>
      <c r="I11" s="53" t="inlineStr">
        <is>
          <t>أخرى</t>
        </is>
      </c>
    </row>
    <row r="12">
      <c r="B12" s="43" t="inlineStr">
        <is>
          <t>مدة العقد (بالشهور)</t>
        </is>
      </c>
      <c r="C12" s="55" t="n">
        <v>18</v>
      </c>
      <c r="D12" s="51" t="inlineStr"/>
      <c r="F12" s="53" t="inlineStr">
        <is>
          <t>الأعمال الصحية</t>
        </is>
      </c>
      <c r="G12" s="53" t="n"/>
      <c r="H12" s="53" t="n"/>
      <c r="I12" s="53" t="n"/>
    </row>
    <row r="13">
      <c r="B13" s="43" t="inlineStr">
        <is>
          <t>تاريخ الانتهاء التعاقدي</t>
        </is>
      </c>
      <c r="C13" s="56">
        <f>EDATE(C11,C12)-1</f>
        <v/>
      </c>
      <c r="D13" s="51" t="inlineStr">
        <is>
          <t>محسوب = البدء + المدة</t>
        </is>
      </c>
      <c r="F13" s="53" t="inlineStr">
        <is>
          <t>أعمال التكييف</t>
        </is>
      </c>
      <c r="G13" s="53" t="n"/>
      <c r="H13" s="53" t="n"/>
      <c r="I13" s="53" t="n"/>
    </row>
    <row r="14">
      <c r="B14" s="43" t="inlineStr">
        <is>
          <t>العملة</t>
        </is>
      </c>
      <c r="C14" s="50" t="inlineStr">
        <is>
          <t>جنيه مصري</t>
        </is>
      </c>
      <c r="D14" s="51" t="inlineStr">
        <is>
          <t>تظهر في عناوين الشيتات</t>
        </is>
      </c>
      <c r="F14" s="53" t="inlineStr">
        <is>
          <t>أعمال الموقع العام</t>
        </is>
      </c>
      <c r="G14" s="53" t="n"/>
      <c r="H14" s="53" t="n"/>
      <c r="I14" s="53" t="n"/>
    </row>
    <row r="15" ht="22" customHeight="1">
      <c r="B15" s="40" t="inlineStr">
        <is>
          <t>القيم التعاقدية</t>
        </is>
      </c>
      <c r="C15" s="40" t="n"/>
      <c r="D15" s="40" t="n"/>
      <c r="F15" s="53" t="n"/>
      <c r="G15" s="53" t="n"/>
      <c r="H15" s="53" t="n"/>
      <c r="I15" s="53" t="n"/>
    </row>
    <row r="16">
      <c r="B16" s="43" t="inlineStr">
        <is>
          <t>قيمة العقد الأصلية</t>
        </is>
      </c>
      <c r="C16" s="57">
        <f>'جدول الكميات'!H106</f>
        <v/>
      </c>
      <c r="D16" s="51" t="inlineStr">
        <is>
          <t>مرتبطة تلقائياً بإجمالي جدول الكميات</t>
        </is>
      </c>
      <c r="F16" s="53" t="n"/>
      <c r="G16" s="53" t="n"/>
      <c r="H16" s="53" t="n"/>
      <c r="I16" s="53" t="n"/>
    </row>
    <row r="17">
      <c r="B17" s="43" t="inlineStr">
        <is>
          <t>صافي الأوامر التغييرية المعتمدة</t>
        </is>
      </c>
      <c r="C17" s="57">
        <f>SUMIFS('الأوامر التغييرية'!$G$6:$G$55,'الأوامر التغييرية'!$H$6:$H$55,"معتمد")</f>
        <v/>
      </c>
      <c r="D17" s="51" t="inlineStr">
        <is>
          <t>مرتبطة بشيت الأوامر التغييرية (المعتمدة فقط)</t>
        </is>
      </c>
      <c r="F17" s="53" t="n"/>
      <c r="G17" s="53" t="n"/>
      <c r="H17" s="53" t="n"/>
      <c r="I17" s="53" t="n"/>
    </row>
    <row r="18">
      <c r="B18" s="43" t="inlineStr">
        <is>
          <t>قيمة العقد المعدلة</t>
        </is>
      </c>
      <c r="C18" s="58">
        <f>C16+C17</f>
        <v/>
      </c>
      <c r="D18" s="51" t="inlineStr">
        <is>
          <t>الأصلية + صافي التغييرية المعتمدة</t>
        </is>
      </c>
    </row>
    <row r="19" ht="22" customHeight="1">
      <c r="B19" s="40" t="inlineStr">
        <is>
          <t>الدفعة المقدمة واستردادها</t>
        </is>
      </c>
      <c r="C19" s="40" t="n"/>
      <c r="D19" s="40" t="n"/>
    </row>
    <row r="20">
      <c r="B20" s="43" t="inlineStr">
        <is>
          <t>نسبة الدفعة المقدمة</t>
        </is>
      </c>
      <c r="C20" s="59" t="n">
        <v>0.1</v>
      </c>
      <c r="D20" s="51" t="inlineStr">
        <is>
          <t>من قيمة العقد الأصلية</t>
        </is>
      </c>
    </row>
    <row r="21">
      <c r="B21" s="43" t="inlineStr">
        <is>
          <t>قيمة الدفعة المقدمة</t>
        </is>
      </c>
      <c r="C21" s="58">
        <f>C16*C20</f>
        <v/>
      </c>
      <c r="D21" s="51" t="inlineStr">
        <is>
          <t>محسوبة</t>
        </is>
      </c>
    </row>
    <row r="22">
      <c r="B22" s="43" t="inlineStr">
        <is>
          <t>تاريخ صرف الدفعة المقدمة</t>
        </is>
      </c>
      <c r="C22" s="54" t="n">
        <v>46091</v>
      </c>
      <c r="D22" s="51" t="inlineStr"/>
    </row>
    <row r="23">
      <c r="B23" s="43" t="inlineStr">
        <is>
          <t>نسبة الاسترداد من قيمة الأعمال</t>
        </is>
      </c>
      <c r="C23" s="59" t="n">
        <v>0.125</v>
      </c>
      <c r="D23" s="51" t="inlineStr">
        <is>
          <t>تُخصم من كل مستخلص كنسبة من (الأعمال المنفذة + التغييرية)</t>
        </is>
      </c>
    </row>
    <row r="24">
      <c r="B24" s="43" t="inlineStr">
        <is>
          <t>بدء الاسترداد عند نسبة إنجاز</t>
        </is>
      </c>
      <c r="C24" s="59" t="n">
        <v>0</v>
      </c>
      <c r="D24" s="51" t="inlineStr">
        <is>
          <t>مثال FIDIC: يبدأ الاسترداد بعد تجاوز 10% من قيمة العقد</t>
        </is>
      </c>
    </row>
    <row r="25">
      <c r="B25" s="43" t="inlineStr">
        <is>
          <t>استرداد كامل الرصيد عند نسبة إنجاز</t>
        </is>
      </c>
      <c r="C25" s="59" t="n">
        <v>0.8</v>
      </c>
      <c r="D25" s="51" t="inlineStr">
        <is>
          <t>عند بلوغ هذه النسبة يُسترد كامل الرصيد المتبقي</t>
        </is>
      </c>
    </row>
    <row r="26" ht="22" customHeight="1">
      <c r="B26" s="40" t="inlineStr">
        <is>
          <t>ضمان الأعمال</t>
        </is>
      </c>
      <c r="C26" s="40" t="n"/>
      <c r="D26" s="40" t="n"/>
    </row>
    <row r="27">
      <c r="B27" s="43" t="inlineStr">
        <is>
          <t>نسبة ضمان الأعمال (المحتجزات)</t>
        </is>
      </c>
      <c r="C27" s="59" t="n">
        <v>0.1</v>
      </c>
      <c r="D27" s="51" t="inlineStr">
        <is>
          <t>تُحتجز من إجمالي قيمة الأعمال التراكمية</t>
        </is>
      </c>
    </row>
    <row r="28">
      <c r="B28" s="43" t="inlineStr">
        <is>
          <t>الحد الأقصى للضمان (% من العقد المعدل)</t>
        </is>
      </c>
      <c r="C28" s="59" t="n">
        <v>0.05</v>
      </c>
      <c r="D28" s="51" t="inlineStr">
        <is>
          <t>يتوقف الاحتجاز عند بلوغ الحد</t>
        </is>
      </c>
    </row>
    <row r="29">
      <c r="B29" s="43" t="inlineStr">
        <is>
          <t>الحد الأقصى للضمان (قيمة)</t>
        </is>
      </c>
      <c r="C29" s="58">
        <f>C18*C28</f>
        <v/>
      </c>
      <c r="D29" s="51" t="inlineStr">
        <is>
          <t>محسوب</t>
        </is>
      </c>
    </row>
    <row r="30" ht="22" customHeight="1">
      <c r="B30" s="40" t="inlineStr">
        <is>
          <t>الضرائب</t>
        </is>
      </c>
      <c r="C30" s="40" t="n"/>
      <c r="D30" s="40" t="n"/>
    </row>
    <row r="31">
      <c r="B31" s="43" t="inlineStr">
        <is>
          <t>نسبة ضريبة القيمة المضافة</t>
        </is>
      </c>
      <c r="C31" s="59" t="n">
        <v>0.14</v>
      </c>
      <c r="D31" s="51" t="inlineStr">
        <is>
          <t>ضع 0% إن لم تكن مطبقة</t>
        </is>
      </c>
    </row>
    <row r="32">
      <c r="B32" s="43" t="inlineStr">
        <is>
          <t>احتساب الضريبة قبل خصم الضمان؟</t>
        </is>
      </c>
      <c r="C32" s="50" t="inlineStr">
        <is>
          <t>نعم</t>
        </is>
      </c>
      <c r="D32" s="51" t="inlineStr">
        <is>
          <t>نعم = وعاء الضريبة يشمل مبلغ الضمان المحتجز</t>
        </is>
      </c>
    </row>
    <row r="33">
      <c r="B33" s="43" t="inlineStr">
        <is>
          <t>نسبة ضريبة الخصم من المنبع</t>
        </is>
      </c>
      <c r="C33" s="59" t="n">
        <v>0.01</v>
      </c>
      <c r="D33" s="51" t="inlineStr">
        <is>
          <t>تُحسب على صافي القيمة قبل خصم الضمان - ضع 0% إن لم تطبق</t>
        </is>
      </c>
    </row>
  </sheetData>
  <mergeCells count="7">
    <mergeCell ref="B19:D19"/>
    <mergeCell ref="F4:I4"/>
    <mergeCell ref="B26:D26"/>
    <mergeCell ref="B1:J1"/>
    <mergeCell ref="B30:D30"/>
    <mergeCell ref="B15:D15"/>
    <mergeCell ref="B2:J2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لوحة التحكم'!A1" display="📊 لوحة التحكم"/>
    <hyperlink ref="C3" location="'جدول الكميات'!A1" display="📋 الكميات"/>
    <hyperlink ref="D3" location="'الكميات المنفذة'!A1" display="📐 المنفذ"/>
    <hyperlink ref="F3" location="'الأوامر التغييرية'!A1" display="🔁 التغييرية"/>
    <hyperlink ref="G3" location="'الاستقطاعات الفنية'!A1" display="✂ الاستقطاعات"/>
    <hyperlink ref="H3" location="'سجل المستخلصات'!A1" display="🗂 السجل"/>
    <hyperlink ref="I3" location="'نموذج المستخلص'!A1" display="🧾 النموذج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'بيانات العقد'!$C$5&amp;"   |   عقد رقم: "&amp;'بيانات العقد'!$C$6&amp;"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📊 لوحة التحكم</t>
        </is>
      </c>
      <c r="B3" s="4" t="inlineStr">
        <is>
          <t>⚙ بيانات العقد</t>
        </is>
      </c>
      <c r="C3" s="4" t="inlineStr">
        <is>
          <t>📐 المنفذ</t>
        </is>
      </c>
      <c r="D3" s="4" t="inlineStr">
        <is>
          <t>🔁 التغييرية</t>
        </is>
      </c>
      <c r="F3" s="4" t="inlineStr">
        <is>
          <t>✂ الاستقطاعات</t>
        </is>
      </c>
      <c r="G3" s="4" t="inlineStr">
        <is>
          <t>🗂 السجل</t>
        </is>
      </c>
      <c r="H3" s="4" t="inlineStr">
        <is>
          <t>🧾 النموذج</t>
        </is>
      </c>
    </row>
    <row r="4">
      <c r="A4" s="60" t="inlineStr">
        <is>
          <t>أدخل بنود العقد في الخلايا الصفراء فقط (حتى 100 بند) — الإجمالي يغذي قيمة العقد تلقائياً.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</row>
    <row r="5" ht="40" customHeight="1">
      <c r="A5" s="41" t="inlineStr">
        <is>
          <t>م</t>
        </is>
      </c>
      <c r="B5" s="41" t="inlineStr">
        <is>
          <t>كود البند</t>
        </is>
      </c>
      <c r="C5" s="41" t="inlineStr">
        <is>
          <t>القسم</t>
        </is>
      </c>
      <c r="D5" s="41" t="inlineStr">
        <is>
          <t>وصف البند</t>
        </is>
      </c>
      <c r="E5" s="41" t="inlineStr">
        <is>
          <t>الوحدة</t>
        </is>
      </c>
      <c r="F5" s="41" t="inlineStr">
        <is>
          <t>الكمية التعاقدية</t>
        </is>
      </c>
      <c r="G5" s="41" t="inlineStr">
        <is>
          <t>سعر الوحدة</t>
        </is>
      </c>
      <c r="H5" s="41" t="inlineStr">
        <is>
          <t>الإجمالي</t>
        </is>
      </c>
      <c r="I5" s="41" t="inlineStr">
        <is>
          <t>الوزن النسبي</t>
        </is>
      </c>
    </row>
    <row r="6">
      <c r="A6" s="61">
        <f>IF(B6="","",COUNTA($B$6:B6))</f>
        <v/>
      </c>
      <c r="B6" s="50" t="inlineStr">
        <is>
          <t>01-001</t>
        </is>
      </c>
      <c r="C6" s="53" t="inlineStr">
        <is>
          <t>أعمال الحفر والردم</t>
        </is>
      </c>
      <c r="D6" s="62" t="inlineStr">
        <is>
          <t>حفر عام للأساسات حتى المنسوب التصميمي مع نقل الناتج</t>
        </is>
      </c>
      <c r="E6" s="50" t="inlineStr">
        <is>
          <t>م3</t>
        </is>
      </c>
      <c r="F6" s="63" t="n">
        <v>4500</v>
      </c>
      <c r="G6" s="63" t="n">
        <v>120</v>
      </c>
      <c r="H6" s="64">
        <f>F6*G6</f>
        <v/>
      </c>
      <c r="I6" s="65">
        <f>IF($H$106&gt;0,H6/$H$106,0)</f>
        <v/>
      </c>
    </row>
    <row r="7">
      <c r="A7" s="61">
        <f>IF(B7="","",COUNTA($B$6:B7))</f>
        <v/>
      </c>
      <c r="B7" s="50" t="inlineStr">
        <is>
          <t>01-002</t>
        </is>
      </c>
      <c r="C7" s="53" t="inlineStr">
        <is>
          <t>أعمال الحفر والردم</t>
        </is>
      </c>
      <c r="D7" s="62" t="inlineStr">
        <is>
          <t>ردم بناتج الحفر على طبقات مع الدمك والرش</t>
        </is>
      </c>
      <c r="E7" s="50" t="inlineStr">
        <is>
          <t>م3</t>
        </is>
      </c>
      <c r="F7" s="63" t="n">
        <v>2200</v>
      </c>
      <c r="G7" s="63" t="n">
        <v>85</v>
      </c>
      <c r="H7" s="64">
        <f>F7*G7</f>
        <v/>
      </c>
      <c r="I7" s="65">
        <f>IF($H$106&gt;0,H7/$H$106,0)</f>
        <v/>
      </c>
    </row>
    <row r="8">
      <c r="A8" s="61">
        <f>IF(B8="","",COUNTA($B$6:B8))</f>
        <v/>
      </c>
      <c r="B8" s="50" t="inlineStr">
        <is>
          <t>01-003</t>
        </is>
      </c>
      <c r="C8" s="53" t="inlineStr">
        <is>
          <t>أعمال الحفر والردم</t>
        </is>
      </c>
      <c r="D8" s="62" t="inlineStr">
        <is>
          <t>إحلال تربة بخليط الزلط والرمل بنسبة 1:1 مع الدمك</t>
        </is>
      </c>
      <c r="E8" s="50" t="inlineStr">
        <is>
          <t>م3</t>
        </is>
      </c>
      <c r="F8" s="63" t="n">
        <v>1800</v>
      </c>
      <c r="G8" s="63" t="n">
        <v>450</v>
      </c>
      <c r="H8" s="64">
        <f>F8*G8</f>
        <v/>
      </c>
      <c r="I8" s="65">
        <f>IF($H$106&gt;0,H8/$H$106,0)</f>
        <v/>
      </c>
    </row>
    <row r="9">
      <c r="A9" s="61">
        <f>IF(B9="","",COUNTA($B$6:B9))</f>
        <v/>
      </c>
      <c r="B9" s="50" t="inlineStr">
        <is>
          <t>02-001</t>
        </is>
      </c>
      <c r="C9" s="53" t="inlineStr">
        <is>
          <t>الخرسانة العادية والمسلحة</t>
        </is>
      </c>
      <c r="D9" s="62" t="inlineStr">
        <is>
          <t>خرسانة عادية للأساسات عيار 250 كجم أسمنت</t>
        </is>
      </c>
      <c r="E9" s="50" t="inlineStr">
        <is>
          <t>م3</t>
        </is>
      </c>
      <c r="F9" s="63" t="n">
        <v>380</v>
      </c>
      <c r="G9" s="63" t="n">
        <v>2600</v>
      </c>
      <c r="H9" s="64">
        <f>F9*G9</f>
        <v/>
      </c>
      <c r="I9" s="65">
        <f>IF($H$106&gt;0,H9/$H$106,0)</f>
        <v/>
      </c>
    </row>
    <row r="10">
      <c r="A10" s="61">
        <f>IF(B10="","",COUNTA($B$6:B10))</f>
        <v/>
      </c>
      <c r="B10" s="50" t="inlineStr">
        <is>
          <t>02-002</t>
        </is>
      </c>
      <c r="C10" s="53" t="inlineStr">
        <is>
          <t>الخرسانة العادية والمسلحة</t>
        </is>
      </c>
      <c r="D10" s="62" t="inlineStr">
        <is>
          <t>خرسانة مسلحة للقواعد والسملات (بدون حديد)</t>
        </is>
      </c>
      <c r="E10" s="50" t="inlineStr">
        <is>
          <t>م3</t>
        </is>
      </c>
      <c r="F10" s="63" t="n">
        <v>950</v>
      </c>
      <c r="G10" s="63" t="n">
        <v>6800</v>
      </c>
      <c r="H10" s="64">
        <f>F10*G10</f>
        <v/>
      </c>
      <c r="I10" s="65">
        <f>IF($H$106&gt;0,H10/$H$106,0)</f>
        <v/>
      </c>
    </row>
    <row r="11">
      <c r="A11" s="61">
        <f>IF(B11="","",COUNTA($B$6:B11))</f>
        <v/>
      </c>
      <c r="B11" s="50" t="inlineStr">
        <is>
          <t>02-003</t>
        </is>
      </c>
      <c r="C11" s="53" t="inlineStr">
        <is>
          <t>الخرسانة العادية والمسلحة</t>
        </is>
      </c>
      <c r="D11" s="62" t="inlineStr">
        <is>
          <t>خرسانة مسلحة للأعمدة والحوائط الخرسانية</t>
        </is>
      </c>
      <c r="E11" s="50" t="inlineStr">
        <is>
          <t>م3</t>
        </is>
      </c>
      <c r="F11" s="63" t="n">
        <v>420</v>
      </c>
      <c r="G11" s="63" t="n">
        <v>7500</v>
      </c>
      <c r="H11" s="64">
        <f>F11*G11</f>
        <v/>
      </c>
      <c r="I11" s="65">
        <f>IF($H$106&gt;0,H11/$H$106,0)</f>
        <v/>
      </c>
    </row>
    <row r="12">
      <c r="A12" s="61">
        <f>IF(B12="","",COUNTA($B$6:B12))</f>
        <v/>
      </c>
      <c r="B12" s="50" t="inlineStr">
        <is>
          <t>02-004</t>
        </is>
      </c>
      <c r="C12" s="53" t="inlineStr">
        <is>
          <t>الخرسانة العادية والمسلحة</t>
        </is>
      </c>
      <c r="D12" s="62" t="inlineStr">
        <is>
          <t>خرسانة مسلحة للأسقف والكمرات والسلالم</t>
        </is>
      </c>
      <c r="E12" s="50" t="inlineStr">
        <is>
          <t>م3</t>
        </is>
      </c>
      <c r="F12" s="63" t="n">
        <v>1650</v>
      </c>
      <c r="G12" s="63" t="n">
        <v>7200</v>
      </c>
      <c r="H12" s="64">
        <f>F12*G12</f>
        <v/>
      </c>
      <c r="I12" s="65">
        <f>IF($H$106&gt;0,H12/$H$106,0)</f>
        <v/>
      </c>
    </row>
    <row r="13">
      <c r="A13" s="61">
        <f>IF(B13="","",COUNTA($B$6:B13))</f>
        <v/>
      </c>
      <c r="B13" s="50" t="inlineStr">
        <is>
          <t>02-005</t>
        </is>
      </c>
      <c r="C13" s="53" t="inlineStr">
        <is>
          <t>الخرسانة العادية والمسلحة</t>
        </is>
      </c>
      <c r="D13" s="62" t="inlineStr">
        <is>
          <t>توريد وتركيب حديد تسليح عالي المقاومة</t>
        </is>
      </c>
      <c r="E13" s="50" t="inlineStr">
        <is>
          <t>طن</t>
        </is>
      </c>
      <c r="F13" s="63" t="n">
        <v>480</v>
      </c>
      <c r="G13" s="63" t="n">
        <v>48000</v>
      </c>
      <c r="H13" s="64">
        <f>F13*G13</f>
        <v/>
      </c>
      <c r="I13" s="65">
        <f>IF($H$106&gt;0,H13/$H$106,0)</f>
        <v/>
      </c>
    </row>
    <row r="14">
      <c r="A14" s="61">
        <f>IF(B14="","",COUNTA($B$6:B14))</f>
        <v/>
      </c>
      <c r="B14" s="50" t="inlineStr">
        <is>
          <t>03-001</t>
        </is>
      </c>
      <c r="C14" s="53" t="inlineStr">
        <is>
          <t>أعمال المباني</t>
        </is>
      </c>
      <c r="D14" s="62" t="inlineStr">
        <is>
          <t>مباني طوب أسمنتي مصمت سمك 20 سم</t>
        </is>
      </c>
      <c r="E14" s="50" t="inlineStr">
        <is>
          <t>م2</t>
        </is>
      </c>
      <c r="F14" s="63" t="n">
        <v>7800</v>
      </c>
      <c r="G14" s="63" t="n">
        <v>380</v>
      </c>
      <c r="H14" s="64">
        <f>F14*G14</f>
        <v/>
      </c>
      <c r="I14" s="65">
        <f>IF($H$106&gt;0,H14/$H$106,0)</f>
        <v/>
      </c>
    </row>
    <row r="15">
      <c r="A15" s="61">
        <f>IF(B15="","",COUNTA($B$6:B15))</f>
        <v/>
      </c>
      <c r="B15" s="50" t="inlineStr">
        <is>
          <t>03-002</t>
        </is>
      </c>
      <c r="C15" s="53" t="inlineStr">
        <is>
          <t>أعمال المباني</t>
        </is>
      </c>
      <c r="D15" s="62" t="inlineStr">
        <is>
          <t>مباني طوب أسمنتي سمك 12 سم للقواطيع</t>
        </is>
      </c>
      <c r="E15" s="50" t="inlineStr">
        <is>
          <t>م2</t>
        </is>
      </c>
      <c r="F15" s="63" t="n">
        <v>3600</v>
      </c>
      <c r="G15" s="63" t="n">
        <v>290</v>
      </c>
      <c r="H15" s="64">
        <f>F15*G15</f>
        <v/>
      </c>
      <c r="I15" s="65">
        <f>IF($H$106&gt;0,H15/$H$106,0)</f>
        <v/>
      </c>
    </row>
    <row r="16">
      <c r="A16" s="61">
        <f>IF(B16="","",COUNTA($B$6:B16))</f>
        <v/>
      </c>
      <c r="B16" s="50" t="inlineStr">
        <is>
          <t>04-001</t>
        </is>
      </c>
      <c r="C16" s="53" t="inlineStr">
        <is>
          <t>أعمال العزل</t>
        </is>
      </c>
      <c r="D16" s="62" t="inlineStr">
        <is>
          <t>عزل رطوبة للأساسات بالبيتومين على وجهين</t>
        </is>
      </c>
      <c r="E16" s="50" t="inlineStr">
        <is>
          <t>م2</t>
        </is>
      </c>
      <c r="F16" s="63" t="n">
        <v>2400</v>
      </c>
      <c r="G16" s="63" t="n">
        <v>160</v>
      </c>
      <c r="H16" s="64">
        <f>F16*G16</f>
        <v/>
      </c>
      <c r="I16" s="65">
        <f>IF($H$106&gt;0,H16/$H$106,0)</f>
        <v/>
      </c>
    </row>
    <row r="17">
      <c r="A17" s="61">
        <f>IF(B17="","",COUNTA($B$6:B17))</f>
        <v/>
      </c>
      <c r="B17" s="50" t="inlineStr">
        <is>
          <t>04-002</t>
        </is>
      </c>
      <c r="C17" s="53" t="inlineStr">
        <is>
          <t>أعمال العزل</t>
        </is>
      </c>
      <c r="D17" s="62" t="inlineStr">
        <is>
          <t>عزل مائي وحراري للأسطح بالأغشية والفوم</t>
        </is>
      </c>
      <c r="E17" s="50" t="inlineStr">
        <is>
          <t>م2</t>
        </is>
      </c>
      <c r="F17" s="63" t="n">
        <v>1900</v>
      </c>
      <c r="G17" s="63" t="n">
        <v>650</v>
      </c>
      <c r="H17" s="64">
        <f>F17*G17</f>
        <v/>
      </c>
      <c r="I17" s="65">
        <f>IF($H$106&gt;0,H17/$H$106,0)</f>
        <v/>
      </c>
    </row>
    <row r="18">
      <c r="A18" s="61">
        <f>IF(B18="","",COUNTA($B$6:B18))</f>
        <v/>
      </c>
      <c r="B18" s="50" t="inlineStr">
        <is>
          <t>05-001</t>
        </is>
      </c>
      <c r="C18" s="53" t="inlineStr">
        <is>
          <t>أعمال التشطيبات</t>
        </is>
      </c>
      <c r="D18" s="62" t="inlineStr">
        <is>
          <t>بياض داخلي للحوائط والأسقف</t>
        </is>
      </c>
      <c r="E18" s="50" t="inlineStr">
        <is>
          <t>م2</t>
        </is>
      </c>
      <c r="F18" s="63" t="n">
        <v>21000</v>
      </c>
      <c r="G18" s="63" t="n">
        <v>145</v>
      </c>
      <c r="H18" s="64">
        <f>F18*G18</f>
        <v/>
      </c>
      <c r="I18" s="65">
        <f>IF($H$106&gt;0,H18/$H$106,0)</f>
        <v/>
      </c>
    </row>
    <row r="19">
      <c r="A19" s="61">
        <f>IF(B19="","",COUNTA($B$6:B19))</f>
        <v/>
      </c>
      <c r="B19" s="50" t="inlineStr">
        <is>
          <t>05-002</t>
        </is>
      </c>
      <c r="C19" s="53" t="inlineStr">
        <is>
          <t>أعمال التشطيبات</t>
        </is>
      </c>
      <c r="D19" s="62" t="inlineStr">
        <is>
          <t>بياض خارجي للواجهات بالطرطشة والبؤج</t>
        </is>
      </c>
      <c r="E19" s="50" t="inlineStr">
        <is>
          <t>م2</t>
        </is>
      </c>
      <c r="F19" s="63" t="n">
        <v>6500</v>
      </c>
      <c r="G19" s="63" t="n">
        <v>190</v>
      </c>
      <c r="H19" s="64">
        <f>F19*G19</f>
        <v/>
      </c>
      <c r="I19" s="65">
        <f>IF($H$106&gt;0,H19/$H$106,0)</f>
        <v/>
      </c>
    </row>
    <row r="20">
      <c r="A20" s="61">
        <f>IF(B20="","",COUNTA($B$6:B20))</f>
        <v/>
      </c>
      <c r="B20" s="50" t="inlineStr">
        <is>
          <t>05-003</t>
        </is>
      </c>
      <c r="C20" s="53" t="inlineStr">
        <is>
          <t>أعمال التشطيبات</t>
        </is>
      </c>
      <c r="D20" s="62" t="inlineStr">
        <is>
          <t>توريد وتركيب أرضيات بورسلين 60×60 فرز أول</t>
        </is>
      </c>
      <c r="E20" s="50" t="inlineStr">
        <is>
          <t>م2</t>
        </is>
      </c>
      <c r="F20" s="63" t="n">
        <v>7200</v>
      </c>
      <c r="G20" s="63" t="n">
        <v>780</v>
      </c>
      <c r="H20" s="64">
        <f>F20*G20</f>
        <v/>
      </c>
      <c r="I20" s="65">
        <f>IF($H$106&gt;0,H20/$H$106,0)</f>
        <v/>
      </c>
    </row>
    <row r="21">
      <c r="A21" s="61">
        <f>IF(B21="","",COUNTA($B$6:B21))</f>
        <v/>
      </c>
      <c r="B21" s="50" t="inlineStr">
        <is>
          <t>05-004</t>
        </is>
      </c>
      <c r="C21" s="53" t="inlineStr">
        <is>
          <t>أعمال التشطيبات</t>
        </is>
      </c>
      <c r="D21" s="62" t="inlineStr">
        <is>
          <t>دهانات بلاستيك داخلية 3 أوجه</t>
        </is>
      </c>
      <c r="E21" s="50" t="inlineStr">
        <is>
          <t>م2</t>
        </is>
      </c>
      <c r="F21" s="63" t="n">
        <v>21000</v>
      </c>
      <c r="G21" s="63" t="n">
        <v>95</v>
      </c>
      <c r="H21" s="64">
        <f>F21*G21</f>
        <v/>
      </c>
      <c r="I21" s="65">
        <f>IF($H$106&gt;0,H21/$H$106,0)</f>
        <v/>
      </c>
    </row>
    <row r="22">
      <c r="A22" s="61">
        <f>IF(B22="","",COUNTA($B$6:B22))</f>
        <v/>
      </c>
      <c r="B22" s="50" t="inlineStr">
        <is>
          <t>05-005</t>
        </is>
      </c>
      <c r="C22" s="53" t="inlineStr">
        <is>
          <t>أعمال التشطيبات</t>
        </is>
      </c>
      <c r="D22" s="62" t="inlineStr">
        <is>
          <t>تكسيات واجهات حجر هاشمي سمك 3 سم</t>
        </is>
      </c>
      <c r="E22" s="50" t="inlineStr">
        <is>
          <t>م2</t>
        </is>
      </c>
      <c r="F22" s="63" t="n">
        <v>2800</v>
      </c>
      <c r="G22" s="63" t="n">
        <v>1450</v>
      </c>
      <c r="H22" s="64">
        <f>F22*G22</f>
        <v/>
      </c>
      <c r="I22" s="65">
        <f>IF($H$106&gt;0,H22/$H$106,0)</f>
        <v/>
      </c>
    </row>
    <row r="23">
      <c r="A23" s="61">
        <f>IF(B23="","",COUNTA($B$6:B23))</f>
        <v/>
      </c>
      <c r="B23" s="50" t="inlineStr">
        <is>
          <t>05-006</t>
        </is>
      </c>
      <c r="C23" s="53" t="inlineStr">
        <is>
          <t>أعمال التشطيبات</t>
        </is>
      </c>
      <c r="D23" s="62" t="inlineStr">
        <is>
          <t>توريد وتركيب أبواب خشبية داخلية كاملة</t>
        </is>
      </c>
      <c r="E23" s="50" t="inlineStr">
        <is>
          <t>عدد</t>
        </is>
      </c>
      <c r="F23" s="63" t="n">
        <v>160</v>
      </c>
      <c r="G23" s="63" t="n">
        <v>9500</v>
      </c>
      <c r="H23" s="64">
        <f>F23*G23</f>
        <v/>
      </c>
      <c r="I23" s="65">
        <f>IF($H$106&gt;0,H23/$H$106,0)</f>
        <v/>
      </c>
    </row>
    <row r="24">
      <c r="A24" s="61">
        <f>IF(B24="","",COUNTA($B$6:B24))</f>
        <v/>
      </c>
      <c r="B24" s="50" t="inlineStr">
        <is>
          <t>05-007</t>
        </is>
      </c>
      <c r="C24" s="53" t="inlineStr">
        <is>
          <t>أعمال التشطيبات</t>
        </is>
      </c>
      <c r="D24" s="62" t="inlineStr">
        <is>
          <t>توريد وتركيب شبابيك ألومنيوم قطاع ثقيل</t>
        </is>
      </c>
      <c r="E24" s="50" t="inlineStr">
        <is>
          <t>م2</t>
        </is>
      </c>
      <c r="F24" s="63" t="n">
        <v>950</v>
      </c>
      <c r="G24" s="63" t="n">
        <v>3800</v>
      </c>
      <c r="H24" s="64">
        <f>F24*G24</f>
        <v/>
      </c>
      <c r="I24" s="65">
        <f>IF($H$106&gt;0,H24/$H$106,0)</f>
        <v/>
      </c>
    </row>
    <row r="25">
      <c r="A25" s="61">
        <f>IF(B25="","",COUNTA($B$6:B25))</f>
        <v/>
      </c>
      <c r="B25" s="50" t="inlineStr">
        <is>
          <t>06-001</t>
        </is>
      </c>
      <c r="C25" s="53" t="inlineStr">
        <is>
          <t>الأعمال الكهربائية</t>
        </is>
      </c>
      <c r="D25" s="62" t="inlineStr">
        <is>
          <t>تأسيس نقاط إنارة وقوى بالمواسير والأسلاك</t>
        </is>
      </c>
      <c r="E25" s="50" t="inlineStr">
        <is>
          <t>نقطة</t>
        </is>
      </c>
      <c r="F25" s="63" t="n">
        <v>3200</v>
      </c>
      <c r="G25" s="63" t="n">
        <v>650</v>
      </c>
      <c r="H25" s="64">
        <f>F25*G25</f>
        <v/>
      </c>
      <c r="I25" s="65">
        <f>IF($H$106&gt;0,H25/$H$106,0)</f>
        <v/>
      </c>
    </row>
    <row r="26">
      <c r="A26" s="61">
        <f>IF(B26="","",COUNTA($B$6:B26))</f>
        <v/>
      </c>
      <c r="B26" s="50" t="inlineStr">
        <is>
          <t>06-002</t>
        </is>
      </c>
      <c r="C26" s="53" t="inlineStr">
        <is>
          <t>الأعمال الكهربائية</t>
        </is>
      </c>
      <c r="D26" s="62" t="inlineStr">
        <is>
          <t>توريد وتركيب لوحات توزيع فرعية</t>
        </is>
      </c>
      <c r="E26" s="50" t="inlineStr">
        <is>
          <t>عدد</t>
        </is>
      </c>
      <c r="F26" s="63" t="n">
        <v>24</v>
      </c>
      <c r="G26" s="63" t="n">
        <v>38000</v>
      </c>
      <c r="H26" s="64">
        <f>F26*G26</f>
        <v/>
      </c>
      <c r="I26" s="65">
        <f>IF($H$106&gt;0,H26/$H$106,0)</f>
        <v/>
      </c>
    </row>
    <row r="27">
      <c r="A27" s="61">
        <f>IF(B27="","",COUNTA($B$6:B27))</f>
        <v/>
      </c>
      <c r="B27" s="50" t="inlineStr">
        <is>
          <t>06-003</t>
        </is>
      </c>
      <c r="C27" s="53" t="inlineStr">
        <is>
          <t>الأعمال الكهربائية</t>
        </is>
      </c>
      <c r="D27" s="62" t="inlineStr">
        <is>
          <t>كابلات تغذية رئيسية نحاس معزولة</t>
        </is>
      </c>
      <c r="E27" s="50" t="inlineStr">
        <is>
          <t>م.ط</t>
        </is>
      </c>
      <c r="F27" s="63" t="n">
        <v>1800</v>
      </c>
      <c r="G27" s="63" t="n">
        <v>950</v>
      </c>
      <c r="H27" s="64">
        <f>F27*G27</f>
        <v/>
      </c>
      <c r="I27" s="65">
        <f>IF($H$106&gt;0,H27/$H$106,0)</f>
        <v/>
      </c>
    </row>
    <row r="28">
      <c r="A28" s="61">
        <f>IF(B28="","",COUNTA($B$6:B28))</f>
        <v/>
      </c>
      <c r="B28" s="50" t="inlineStr">
        <is>
          <t>06-004</t>
        </is>
      </c>
      <c r="C28" s="53" t="inlineStr">
        <is>
          <t>الأعمال الكهربائية</t>
        </is>
      </c>
      <c r="D28" s="62" t="inlineStr">
        <is>
          <t>توريد وتركيب وحدات إنارة LED</t>
        </is>
      </c>
      <c r="E28" s="50" t="inlineStr">
        <is>
          <t>عدد</t>
        </is>
      </c>
      <c r="F28" s="63" t="n">
        <v>1400</v>
      </c>
      <c r="G28" s="63" t="n">
        <v>1250</v>
      </c>
      <c r="H28" s="64">
        <f>F28*G28</f>
        <v/>
      </c>
      <c r="I28" s="65">
        <f>IF($H$106&gt;0,H28/$H$106,0)</f>
        <v/>
      </c>
    </row>
    <row r="29">
      <c r="A29" s="61">
        <f>IF(B29="","",COUNTA($B$6:B29))</f>
        <v/>
      </c>
      <c r="B29" s="50" t="inlineStr">
        <is>
          <t>07-001</t>
        </is>
      </c>
      <c r="C29" s="53" t="inlineStr">
        <is>
          <t>الأعمال الصحية</t>
        </is>
      </c>
      <c r="D29" s="62" t="inlineStr">
        <is>
          <t>تغذية مياه بمواسير PPR</t>
        </is>
      </c>
      <c r="E29" s="50" t="inlineStr">
        <is>
          <t>نقطة</t>
        </is>
      </c>
      <c r="F29" s="63" t="n">
        <v>420</v>
      </c>
      <c r="G29" s="63" t="n">
        <v>1800</v>
      </c>
      <c r="H29" s="64">
        <f>F29*G29</f>
        <v/>
      </c>
      <c r="I29" s="65">
        <f>IF($H$106&gt;0,H29/$H$106,0)</f>
        <v/>
      </c>
    </row>
    <row r="30">
      <c r="A30" s="61">
        <f>IF(B30="","",COUNTA($B$6:B30))</f>
        <v/>
      </c>
      <c r="B30" s="50" t="inlineStr">
        <is>
          <t>07-002</t>
        </is>
      </c>
      <c r="C30" s="53" t="inlineStr">
        <is>
          <t>الأعمال الصحية</t>
        </is>
      </c>
      <c r="D30" s="62" t="inlineStr">
        <is>
          <t>صرف صحي بمواسير UPVC</t>
        </is>
      </c>
      <c r="E30" s="50" t="inlineStr">
        <is>
          <t>نقطة</t>
        </is>
      </c>
      <c r="F30" s="63" t="n">
        <v>380</v>
      </c>
      <c r="G30" s="63" t="n">
        <v>1500</v>
      </c>
      <c r="H30" s="64">
        <f>F30*G30</f>
        <v/>
      </c>
      <c r="I30" s="65">
        <f>IF($H$106&gt;0,H30/$H$106,0)</f>
        <v/>
      </c>
    </row>
    <row r="31">
      <c r="A31" s="61">
        <f>IF(B31="","",COUNTA($B$6:B31))</f>
        <v/>
      </c>
      <c r="B31" s="50" t="inlineStr">
        <is>
          <t>07-003</t>
        </is>
      </c>
      <c r="C31" s="53" t="inlineStr">
        <is>
          <t>الأعمال الصحية</t>
        </is>
      </c>
      <c r="D31" s="62" t="inlineStr">
        <is>
          <t>توريد وتركيب أجهزة صحية كاملة</t>
        </is>
      </c>
      <c r="E31" s="50" t="inlineStr">
        <is>
          <t>طقم</t>
        </is>
      </c>
      <c r="F31" s="63" t="n">
        <v>96</v>
      </c>
      <c r="G31" s="63" t="n">
        <v>14500</v>
      </c>
      <c r="H31" s="64">
        <f>F31*G31</f>
        <v/>
      </c>
      <c r="I31" s="65">
        <f>IF($H$106&gt;0,H31/$H$106,0)</f>
        <v/>
      </c>
    </row>
    <row r="32">
      <c r="A32" s="61">
        <f>IF(B32="","",COUNTA($B$6:B32))</f>
        <v/>
      </c>
      <c r="B32" s="50" t="inlineStr">
        <is>
          <t>08-001</t>
        </is>
      </c>
      <c r="C32" s="53" t="inlineStr">
        <is>
          <t>أعمال التكييف</t>
        </is>
      </c>
      <c r="D32" s="62" t="inlineStr">
        <is>
          <t>توريد وتركيب وحدات تكييف سبليت</t>
        </is>
      </c>
      <c r="E32" s="50" t="inlineStr">
        <is>
          <t>عدد</t>
        </is>
      </c>
      <c r="F32" s="63" t="n">
        <v>120</v>
      </c>
      <c r="G32" s="63" t="n">
        <v>42000</v>
      </c>
      <c r="H32" s="64">
        <f>F32*G32</f>
        <v/>
      </c>
      <c r="I32" s="65">
        <f>IF($H$106&gt;0,H32/$H$106,0)</f>
        <v/>
      </c>
    </row>
    <row r="33">
      <c r="A33" s="61">
        <f>IF(B33="","",COUNTA($B$6:B33))</f>
        <v/>
      </c>
      <c r="B33" s="50" t="inlineStr">
        <is>
          <t>08-002</t>
        </is>
      </c>
      <c r="C33" s="53" t="inlineStr">
        <is>
          <t>أعمال التكييف</t>
        </is>
      </c>
      <c r="D33" s="62" t="inlineStr">
        <is>
          <t>مجاري هواء صاج مجلفن معزولة</t>
        </is>
      </c>
      <c r="E33" s="50" t="inlineStr">
        <is>
          <t>م2</t>
        </is>
      </c>
      <c r="F33" s="63" t="n">
        <v>2600</v>
      </c>
      <c r="G33" s="63" t="n">
        <v>980</v>
      </c>
      <c r="H33" s="64">
        <f>F33*G33</f>
        <v/>
      </c>
      <c r="I33" s="65">
        <f>IF($H$106&gt;0,H33/$H$106,0)</f>
        <v/>
      </c>
    </row>
    <row r="34">
      <c r="A34" s="61">
        <f>IF(B34="","",COUNTA($B$6:B34))</f>
        <v/>
      </c>
      <c r="B34" s="50" t="inlineStr">
        <is>
          <t>09-001</t>
        </is>
      </c>
      <c r="C34" s="53" t="inlineStr">
        <is>
          <t>أعمال الموقع العام</t>
        </is>
      </c>
      <c r="D34" s="62" t="inlineStr">
        <is>
          <t>أرصفة وبردورات خرسانية</t>
        </is>
      </c>
      <c r="E34" s="50" t="inlineStr">
        <is>
          <t>م.ط</t>
        </is>
      </c>
      <c r="F34" s="63" t="n">
        <v>1200</v>
      </c>
      <c r="G34" s="63" t="n">
        <v>650</v>
      </c>
      <c r="H34" s="64">
        <f>F34*G34</f>
        <v/>
      </c>
      <c r="I34" s="65">
        <f>IF($H$106&gt;0,H34/$H$106,0)</f>
        <v/>
      </c>
    </row>
    <row r="35">
      <c r="A35" s="61">
        <f>IF(B35="","",COUNTA($B$6:B35))</f>
        <v/>
      </c>
      <c r="B35" s="50" t="inlineStr">
        <is>
          <t>09-002</t>
        </is>
      </c>
      <c r="C35" s="53" t="inlineStr">
        <is>
          <t>أعمال الموقع العام</t>
        </is>
      </c>
      <c r="D35" s="62" t="inlineStr">
        <is>
          <t>أعمال إنترلوك سمك 8 سم على طبقة رمل</t>
        </is>
      </c>
      <c r="E35" s="50" t="inlineStr">
        <is>
          <t>م2</t>
        </is>
      </c>
      <c r="F35" s="63" t="n">
        <v>3500</v>
      </c>
      <c r="G35" s="63" t="n">
        <v>420</v>
      </c>
      <c r="H35" s="64">
        <f>F35*G35</f>
        <v/>
      </c>
      <c r="I35" s="65">
        <f>IF($H$106&gt;0,H35/$H$106,0)</f>
        <v/>
      </c>
    </row>
    <row r="36">
      <c r="A36" s="61">
        <f>IF(B36="","",COUNTA($B$6:B36))</f>
        <v/>
      </c>
      <c r="B36" s="50" t="n"/>
      <c r="C36" s="53" t="n"/>
      <c r="D36" s="62" t="n"/>
      <c r="E36" s="50" t="n"/>
      <c r="F36" s="63" t="n"/>
      <c r="G36" s="63" t="n"/>
      <c r="H36" s="64">
        <f>F36*G36</f>
        <v/>
      </c>
      <c r="I36" s="65">
        <f>IF($H$106&gt;0,H36/$H$106,0)</f>
        <v/>
      </c>
    </row>
    <row r="37">
      <c r="A37" s="61">
        <f>IF(B37="","",COUNTA($B$6:B37))</f>
        <v/>
      </c>
      <c r="B37" s="50" t="n"/>
      <c r="C37" s="53" t="n"/>
      <c r="D37" s="62" t="n"/>
      <c r="E37" s="50" t="n"/>
      <c r="F37" s="63" t="n"/>
      <c r="G37" s="63" t="n"/>
      <c r="H37" s="64">
        <f>F37*G37</f>
        <v/>
      </c>
      <c r="I37" s="65">
        <f>IF($H$106&gt;0,H37/$H$106,0)</f>
        <v/>
      </c>
    </row>
    <row r="38">
      <c r="A38" s="61">
        <f>IF(B38="","",COUNTA($B$6:B38))</f>
        <v/>
      </c>
      <c r="B38" s="50" t="n"/>
      <c r="C38" s="53" t="n"/>
      <c r="D38" s="62" t="n"/>
      <c r="E38" s="50" t="n"/>
      <c r="F38" s="63" t="n"/>
      <c r="G38" s="63" t="n"/>
      <c r="H38" s="64">
        <f>F38*G38</f>
        <v/>
      </c>
      <c r="I38" s="65">
        <f>IF($H$106&gt;0,H38/$H$106,0)</f>
        <v/>
      </c>
    </row>
    <row r="39">
      <c r="A39" s="61">
        <f>IF(B39="","",COUNTA($B$6:B39))</f>
        <v/>
      </c>
      <c r="B39" s="50" t="n"/>
      <c r="C39" s="53" t="n"/>
      <c r="D39" s="62" t="n"/>
      <c r="E39" s="50" t="n"/>
      <c r="F39" s="63" t="n"/>
      <c r="G39" s="63" t="n"/>
      <c r="H39" s="64">
        <f>F39*G39</f>
        <v/>
      </c>
      <c r="I39" s="65">
        <f>IF($H$106&gt;0,H39/$H$106,0)</f>
        <v/>
      </c>
    </row>
    <row r="40">
      <c r="A40" s="61">
        <f>IF(B40="","",COUNTA($B$6:B40))</f>
        <v/>
      </c>
      <c r="B40" s="50" t="n"/>
      <c r="C40" s="53" t="n"/>
      <c r="D40" s="62" t="n"/>
      <c r="E40" s="50" t="n"/>
      <c r="F40" s="63" t="n"/>
      <c r="G40" s="63" t="n"/>
      <c r="H40" s="64">
        <f>F40*G40</f>
        <v/>
      </c>
      <c r="I40" s="65">
        <f>IF($H$106&gt;0,H40/$H$106,0)</f>
        <v/>
      </c>
    </row>
    <row r="41">
      <c r="A41" s="61">
        <f>IF(B41="","",COUNTA($B$6:B41))</f>
        <v/>
      </c>
      <c r="B41" s="50" t="n"/>
      <c r="C41" s="53" t="n"/>
      <c r="D41" s="62" t="n"/>
      <c r="E41" s="50" t="n"/>
      <c r="F41" s="63" t="n"/>
      <c r="G41" s="63" t="n"/>
      <c r="H41" s="64">
        <f>F41*G41</f>
        <v/>
      </c>
      <c r="I41" s="65">
        <f>IF($H$106&gt;0,H41/$H$106,0)</f>
        <v/>
      </c>
    </row>
    <row r="42">
      <c r="A42" s="61">
        <f>IF(B42="","",COUNTA($B$6:B42))</f>
        <v/>
      </c>
      <c r="B42" s="50" t="n"/>
      <c r="C42" s="53" t="n"/>
      <c r="D42" s="62" t="n"/>
      <c r="E42" s="50" t="n"/>
      <c r="F42" s="63" t="n"/>
      <c r="G42" s="63" t="n"/>
      <c r="H42" s="64">
        <f>F42*G42</f>
        <v/>
      </c>
      <c r="I42" s="65">
        <f>IF($H$106&gt;0,H42/$H$106,0)</f>
        <v/>
      </c>
    </row>
    <row r="43">
      <c r="A43" s="61">
        <f>IF(B43="","",COUNTA($B$6:B43))</f>
        <v/>
      </c>
      <c r="B43" s="50" t="n"/>
      <c r="C43" s="53" t="n"/>
      <c r="D43" s="62" t="n"/>
      <c r="E43" s="50" t="n"/>
      <c r="F43" s="63" t="n"/>
      <c r="G43" s="63" t="n"/>
      <c r="H43" s="64">
        <f>F43*G43</f>
        <v/>
      </c>
      <c r="I43" s="65">
        <f>IF($H$106&gt;0,H43/$H$106,0)</f>
        <v/>
      </c>
    </row>
    <row r="44">
      <c r="A44" s="61">
        <f>IF(B44="","",COUNTA($B$6:B44))</f>
        <v/>
      </c>
      <c r="B44" s="50" t="n"/>
      <c r="C44" s="53" t="n"/>
      <c r="D44" s="62" t="n"/>
      <c r="E44" s="50" t="n"/>
      <c r="F44" s="63" t="n"/>
      <c r="G44" s="63" t="n"/>
      <c r="H44" s="64">
        <f>F44*G44</f>
        <v/>
      </c>
      <c r="I44" s="65">
        <f>IF($H$106&gt;0,H44/$H$106,0)</f>
        <v/>
      </c>
    </row>
    <row r="45">
      <c r="A45" s="61">
        <f>IF(B45="","",COUNTA($B$6:B45))</f>
        <v/>
      </c>
      <c r="B45" s="50" t="n"/>
      <c r="C45" s="53" t="n"/>
      <c r="D45" s="62" t="n"/>
      <c r="E45" s="50" t="n"/>
      <c r="F45" s="63" t="n"/>
      <c r="G45" s="63" t="n"/>
      <c r="H45" s="64">
        <f>F45*G45</f>
        <v/>
      </c>
      <c r="I45" s="65">
        <f>IF($H$106&gt;0,H45/$H$106,0)</f>
        <v/>
      </c>
    </row>
    <row r="46">
      <c r="A46" s="61">
        <f>IF(B46="","",COUNTA($B$6:B46))</f>
        <v/>
      </c>
      <c r="B46" s="50" t="n"/>
      <c r="C46" s="53" t="n"/>
      <c r="D46" s="62" t="n"/>
      <c r="E46" s="50" t="n"/>
      <c r="F46" s="63" t="n"/>
      <c r="G46" s="63" t="n"/>
      <c r="H46" s="64">
        <f>F46*G46</f>
        <v/>
      </c>
      <c r="I46" s="65">
        <f>IF($H$106&gt;0,H46/$H$106,0)</f>
        <v/>
      </c>
    </row>
    <row r="47">
      <c r="A47" s="61">
        <f>IF(B47="","",COUNTA($B$6:B47))</f>
        <v/>
      </c>
      <c r="B47" s="50" t="n"/>
      <c r="C47" s="53" t="n"/>
      <c r="D47" s="62" t="n"/>
      <c r="E47" s="50" t="n"/>
      <c r="F47" s="63" t="n"/>
      <c r="G47" s="63" t="n"/>
      <c r="H47" s="64">
        <f>F47*G47</f>
        <v/>
      </c>
      <c r="I47" s="65">
        <f>IF($H$106&gt;0,H47/$H$106,0)</f>
        <v/>
      </c>
    </row>
    <row r="48">
      <c r="A48" s="61">
        <f>IF(B48="","",COUNTA($B$6:B48))</f>
        <v/>
      </c>
      <c r="B48" s="50" t="n"/>
      <c r="C48" s="53" t="n"/>
      <c r="D48" s="62" t="n"/>
      <c r="E48" s="50" t="n"/>
      <c r="F48" s="63" t="n"/>
      <c r="G48" s="63" t="n"/>
      <c r="H48" s="64">
        <f>F48*G48</f>
        <v/>
      </c>
      <c r="I48" s="65">
        <f>IF($H$106&gt;0,H48/$H$106,0)</f>
        <v/>
      </c>
    </row>
    <row r="49">
      <c r="A49" s="61">
        <f>IF(B49="","",COUNTA($B$6:B49))</f>
        <v/>
      </c>
      <c r="B49" s="50" t="n"/>
      <c r="C49" s="53" t="n"/>
      <c r="D49" s="62" t="n"/>
      <c r="E49" s="50" t="n"/>
      <c r="F49" s="63" t="n"/>
      <c r="G49" s="63" t="n"/>
      <c r="H49" s="64">
        <f>F49*G49</f>
        <v/>
      </c>
      <c r="I49" s="65">
        <f>IF($H$106&gt;0,H49/$H$106,0)</f>
        <v/>
      </c>
    </row>
    <row r="50">
      <c r="A50" s="61">
        <f>IF(B50="","",COUNTA($B$6:B50))</f>
        <v/>
      </c>
      <c r="B50" s="50" t="n"/>
      <c r="C50" s="53" t="n"/>
      <c r="D50" s="62" t="n"/>
      <c r="E50" s="50" t="n"/>
      <c r="F50" s="63" t="n"/>
      <c r="G50" s="63" t="n"/>
      <c r="H50" s="64">
        <f>F50*G50</f>
        <v/>
      </c>
      <c r="I50" s="65">
        <f>IF($H$106&gt;0,H50/$H$106,0)</f>
        <v/>
      </c>
    </row>
    <row r="51">
      <c r="A51" s="61">
        <f>IF(B51="","",COUNTA($B$6:B51))</f>
        <v/>
      </c>
      <c r="B51" s="50" t="n"/>
      <c r="C51" s="53" t="n"/>
      <c r="D51" s="62" t="n"/>
      <c r="E51" s="50" t="n"/>
      <c r="F51" s="63" t="n"/>
      <c r="G51" s="63" t="n"/>
      <c r="H51" s="64">
        <f>F51*G51</f>
        <v/>
      </c>
      <c r="I51" s="65">
        <f>IF($H$106&gt;0,H51/$H$106,0)</f>
        <v/>
      </c>
    </row>
    <row r="52">
      <c r="A52" s="61">
        <f>IF(B52="","",COUNTA($B$6:B52))</f>
        <v/>
      </c>
      <c r="B52" s="50" t="n"/>
      <c r="C52" s="53" t="n"/>
      <c r="D52" s="62" t="n"/>
      <c r="E52" s="50" t="n"/>
      <c r="F52" s="63" t="n"/>
      <c r="G52" s="63" t="n"/>
      <c r="H52" s="64">
        <f>F52*G52</f>
        <v/>
      </c>
      <c r="I52" s="65">
        <f>IF($H$106&gt;0,H52/$H$106,0)</f>
        <v/>
      </c>
    </row>
    <row r="53">
      <c r="A53" s="61">
        <f>IF(B53="","",COUNTA($B$6:B53))</f>
        <v/>
      </c>
      <c r="B53" s="50" t="n"/>
      <c r="C53" s="53" t="n"/>
      <c r="D53" s="62" t="n"/>
      <c r="E53" s="50" t="n"/>
      <c r="F53" s="63" t="n"/>
      <c r="G53" s="63" t="n"/>
      <c r="H53" s="64">
        <f>F53*G53</f>
        <v/>
      </c>
      <c r="I53" s="65">
        <f>IF($H$106&gt;0,H53/$H$106,0)</f>
        <v/>
      </c>
    </row>
    <row r="54">
      <c r="A54" s="61">
        <f>IF(B54="","",COUNTA($B$6:B54))</f>
        <v/>
      </c>
      <c r="B54" s="50" t="n"/>
      <c r="C54" s="53" t="n"/>
      <c r="D54" s="62" t="n"/>
      <c r="E54" s="50" t="n"/>
      <c r="F54" s="63" t="n"/>
      <c r="G54" s="63" t="n"/>
      <c r="H54" s="64">
        <f>F54*G54</f>
        <v/>
      </c>
      <c r="I54" s="65">
        <f>IF($H$106&gt;0,H54/$H$106,0)</f>
        <v/>
      </c>
    </row>
    <row r="55">
      <c r="A55" s="61">
        <f>IF(B55="","",COUNTA($B$6:B55))</f>
        <v/>
      </c>
      <c r="B55" s="50" t="n"/>
      <c r="C55" s="53" t="n"/>
      <c r="D55" s="62" t="n"/>
      <c r="E55" s="50" t="n"/>
      <c r="F55" s="63" t="n"/>
      <c r="G55" s="63" t="n"/>
      <c r="H55" s="64">
        <f>F55*G55</f>
        <v/>
      </c>
      <c r="I55" s="65">
        <f>IF($H$106&gt;0,H55/$H$106,0)</f>
        <v/>
      </c>
    </row>
    <row r="56">
      <c r="A56" s="61">
        <f>IF(B56="","",COUNTA($B$6:B56))</f>
        <v/>
      </c>
      <c r="B56" s="50" t="n"/>
      <c r="C56" s="53" t="n"/>
      <c r="D56" s="62" t="n"/>
      <c r="E56" s="50" t="n"/>
      <c r="F56" s="63" t="n"/>
      <c r="G56" s="63" t="n"/>
      <c r="H56" s="64">
        <f>F56*G56</f>
        <v/>
      </c>
      <c r="I56" s="65">
        <f>IF($H$106&gt;0,H56/$H$106,0)</f>
        <v/>
      </c>
    </row>
    <row r="57">
      <c r="A57" s="61">
        <f>IF(B57="","",COUNTA($B$6:B57))</f>
        <v/>
      </c>
      <c r="B57" s="50" t="n"/>
      <c r="C57" s="53" t="n"/>
      <c r="D57" s="62" t="n"/>
      <c r="E57" s="50" t="n"/>
      <c r="F57" s="63" t="n"/>
      <c r="G57" s="63" t="n"/>
      <c r="H57" s="64">
        <f>F57*G57</f>
        <v/>
      </c>
      <c r="I57" s="65">
        <f>IF($H$106&gt;0,H57/$H$106,0)</f>
        <v/>
      </c>
    </row>
    <row r="58">
      <c r="A58" s="61">
        <f>IF(B58="","",COUNTA($B$6:B58))</f>
        <v/>
      </c>
      <c r="B58" s="50" t="n"/>
      <c r="C58" s="53" t="n"/>
      <c r="D58" s="62" t="n"/>
      <c r="E58" s="50" t="n"/>
      <c r="F58" s="63" t="n"/>
      <c r="G58" s="63" t="n"/>
      <c r="H58" s="64">
        <f>F58*G58</f>
        <v/>
      </c>
      <c r="I58" s="65">
        <f>IF($H$106&gt;0,H58/$H$106,0)</f>
        <v/>
      </c>
    </row>
    <row r="59">
      <c r="A59" s="61">
        <f>IF(B59="","",COUNTA($B$6:B59))</f>
        <v/>
      </c>
      <c r="B59" s="50" t="n"/>
      <c r="C59" s="53" t="n"/>
      <c r="D59" s="62" t="n"/>
      <c r="E59" s="50" t="n"/>
      <c r="F59" s="63" t="n"/>
      <c r="G59" s="63" t="n"/>
      <c r="H59" s="64">
        <f>F59*G59</f>
        <v/>
      </c>
      <c r="I59" s="65">
        <f>IF($H$106&gt;0,H59/$H$106,0)</f>
        <v/>
      </c>
    </row>
    <row r="60">
      <c r="A60" s="61">
        <f>IF(B60="","",COUNTA($B$6:B60))</f>
        <v/>
      </c>
      <c r="B60" s="50" t="n"/>
      <c r="C60" s="53" t="n"/>
      <c r="D60" s="62" t="n"/>
      <c r="E60" s="50" t="n"/>
      <c r="F60" s="63" t="n"/>
      <c r="G60" s="63" t="n"/>
      <c r="H60" s="64">
        <f>F60*G60</f>
        <v/>
      </c>
      <c r="I60" s="65">
        <f>IF($H$106&gt;0,H60/$H$106,0)</f>
        <v/>
      </c>
    </row>
    <row r="61">
      <c r="A61" s="61">
        <f>IF(B61="","",COUNTA($B$6:B61))</f>
        <v/>
      </c>
      <c r="B61" s="50" t="n"/>
      <c r="C61" s="53" t="n"/>
      <c r="D61" s="62" t="n"/>
      <c r="E61" s="50" t="n"/>
      <c r="F61" s="63" t="n"/>
      <c r="G61" s="63" t="n"/>
      <c r="H61" s="64">
        <f>F61*G61</f>
        <v/>
      </c>
      <c r="I61" s="65">
        <f>IF($H$106&gt;0,H61/$H$106,0)</f>
        <v/>
      </c>
    </row>
    <row r="62">
      <c r="A62" s="61">
        <f>IF(B62="","",COUNTA($B$6:B62))</f>
        <v/>
      </c>
      <c r="B62" s="50" t="n"/>
      <c r="C62" s="53" t="n"/>
      <c r="D62" s="62" t="n"/>
      <c r="E62" s="50" t="n"/>
      <c r="F62" s="63" t="n"/>
      <c r="G62" s="63" t="n"/>
      <c r="H62" s="64">
        <f>F62*G62</f>
        <v/>
      </c>
      <c r="I62" s="65">
        <f>IF($H$106&gt;0,H62/$H$106,0)</f>
        <v/>
      </c>
    </row>
    <row r="63">
      <c r="A63" s="61">
        <f>IF(B63="","",COUNTA($B$6:B63))</f>
        <v/>
      </c>
      <c r="B63" s="50" t="n"/>
      <c r="C63" s="53" t="n"/>
      <c r="D63" s="62" t="n"/>
      <c r="E63" s="50" t="n"/>
      <c r="F63" s="63" t="n"/>
      <c r="G63" s="63" t="n"/>
      <c r="H63" s="64">
        <f>F63*G63</f>
        <v/>
      </c>
      <c r="I63" s="65">
        <f>IF($H$106&gt;0,H63/$H$106,0)</f>
        <v/>
      </c>
    </row>
    <row r="64">
      <c r="A64" s="61">
        <f>IF(B64="","",COUNTA($B$6:B64))</f>
        <v/>
      </c>
      <c r="B64" s="50" t="n"/>
      <c r="C64" s="53" t="n"/>
      <c r="D64" s="62" t="n"/>
      <c r="E64" s="50" t="n"/>
      <c r="F64" s="63" t="n"/>
      <c r="G64" s="63" t="n"/>
      <c r="H64" s="64">
        <f>F64*G64</f>
        <v/>
      </c>
      <c r="I64" s="65">
        <f>IF($H$106&gt;0,H64/$H$106,0)</f>
        <v/>
      </c>
    </row>
    <row r="65">
      <c r="A65" s="61">
        <f>IF(B65="","",COUNTA($B$6:B65))</f>
        <v/>
      </c>
      <c r="B65" s="50" t="n"/>
      <c r="C65" s="53" t="n"/>
      <c r="D65" s="62" t="n"/>
      <c r="E65" s="50" t="n"/>
      <c r="F65" s="63" t="n"/>
      <c r="G65" s="63" t="n"/>
      <c r="H65" s="64">
        <f>F65*G65</f>
        <v/>
      </c>
      <c r="I65" s="65">
        <f>IF($H$106&gt;0,H65/$H$106,0)</f>
        <v/>
      </c>
    </row>
    <row r="66">
      <c r="A66" s="61">
        <f>IF(B66="","",COUNTA($B$6:B66))</f>
        <v/>
      </c>
      <c r="B66" s="50" t="n"/>
      <c r="C66" s="53" t="n"/>
      <c r="D66" s="62" t="n"/>
      <c r="E66" s="50" t="n"/>
      <c r="F66" s="63" t="n"/>
      <c r="G66" s="63" t="n"/>
      <c r="H66" s="64">
        <f>F66*G66</f>
        <v/>
      </c>
      <c r="I66" s="65">
        <f>IF($H$106&gt;0,H66/$H$106,0)</f>
        <v/>
      </c>
    </row>
    <row r="67">
      <c r="A67" s="61">
        <f>IF(B67="","",COUNTA($B$6:B67))</f>
        <v/>
      </c>
      <c r="B67" s="50" t="n"/>
      <c r="C67" s="53" t="n"/>
      <c r="D67" s="62" t="n"/>
      <c r="E67" s="50" t="n"/>
      <c r="F67" s="63" t="n"/>
      <c r="G67" s="63" t="n"/>
      <c r="H67" s="64">
        <f>F67*G67</f>
        <v/>
      </c>
      <c r="I67" s="65">
        <f>IF($H$106&gt;0,H67/$H$106,0)</f>
        <v/>
      </c>
    </row>
    <row r="68">
      <c r="A68" s="61">
        <f>IF(B68="","",COUNTA($B$6:B68))</f>
        <v/>
      </c>
      <c r="B68" s="50" t="n"/>
      <c r="C68" s="53" t="n"/>
      <c r="D68" s="62" t="n"/>
      <c r="E68" s="50" t="n"/>
      <c r="F68" s="63" t="n"/>
      <c r="G68" s="63" t="n"/>
      <c r="H68" s="64">
        <f>F68*G68</f>
        <v/>
      </c>
      <c r="I68" s="65">
        <f>IF($H$106&gt;0,H68/$H$106,0)</f>
        <v/>
      </c>
    </row>
    <row r="69">
      <c r="A69" s="61">
        <f>IF(B69="","",COUNTA($B$6:B69))</f>
        <v/>
      </c>
      <c r="B69" s="50" t="n"/>
      <c r="C69" s="53" t="n"/>
      <c r="D69" s="62" t="n"/>
      <c r="E69" s="50" t="n"/>
      <c r="F69" s="63" t="n"/>
      <c r="G69" s="63" t="n"/>
      <c r="H69" s="64">
        <f>F69*G69</f>
        <v/>
      </c>
      <c r="I69" s="65">
        <f>IF($H$106&gt;0,H69/$H$106,0)</f>
        <v/>
      </c>
    </row>
    <row r="70">
      <c r="A70" s="61">
        <f>IF(B70="","",COUNTA($B$6:B70))</f>
        <v/>
      </c>
      <c r="B70" s="50" t="n"/>
      <c r="C70" s="53" t="n"/>
      <c r="D70" s="62" t="n"/>
      <c r="E70" s="50" t="n"/>
      <c r="F70" s="63" t="n"/>
      <c r="G70" s="63" t="n"/>
      <c r="H70" s="64">
        <f>F70*G70</f>
        <v/>
      </c>
      <c r="I70" s="65">
        <f>IF($H$106&gt;0,H70/$H$106,0)</f>
        <v/>
      </c>
    </row>
    <row r="71">
      <c r="A71" s="61">
        <f>IF(B71="","",COUNTA($B$6:B71))</f>
        <v/>
      </c>
      <c r="B71" s="50" t="n"/>
      <c r="C71" s="53" t="n"/>
      <c r="D71" s="62" t="n"/>
      <c r="E71" s="50" t="n"/>
      <c r="F71" s="63" t="n"/>
      <c r="G71" s="63" t="n"/>
      <c r="H71" s="64">
        <f>F71*G71</f>
        <v/>
      </c>
      <c r="I71" s="65">
        <f>IF($H$106&gt;0,H71/$H$106,0)</f>
        <v/>
      </c>
    </row>
    <row r="72">
      <c r="A72" s="61">
        <f>IF(B72="","",COUNTA($B$6:B72))</f>
        <v/>
      </c>
      <c r="B72" s="50" t="n"/>
      <c r="C72" s="53" t="n"/>
      <c r="D72" s="62" t="n"/>
      <c r="E72" s="50" t="n"/>
      <c r="F72" s="63" t="n"/>
      <c r="G72" s="63" t="n"/>
      <c r="H72" s="64">
        <f>F72*G72</f>
        <v/>
      </c>
      <c r="I72" s="65">
        <f>IF($H$106&gt;0,H72/$H$106,0)</f>
        <v/>
      </c>
    </row>
    <row r="73">
      <c r="A73" s="61">
        <f>IF(B73="","",COUNTA($B$6:B73))</f>
        <v/>
      </c>
      <c r="B73" s="50" t="n"/>
      <c r="C73" s="53" t="n"/>
      <c r="D73" s="62" t="n"/>
      <c r="E73" s="50" t="n"/>
      <c r="F73" s="63" t="n"/>
      <c r="G73" s="63" t="n"/>
      <c r="H73" s="64">
        <f>F73*G73</f>
        <v/>
      </c>
      <c r="I73" s="65">
        <f>IF($H$106&gt;0,H73/$H$106,0)</f>
        <v/>
      </c>
    </row>
    <row r="74">
      <c r="A74" s="61">
        <f>IF(B74="","",COUNTA($B$6:B74))</f>
        <v/>
      </c>
      <c r="B74" s="50" t="n"/>
      <c r="C74" s="53" t="n"/>
      <c r="D74" s="62" t="n"/>
      <c r="E74" s="50" t="n"/>
      <c r="F74" s="63" t="n"/>
      <c r="G74" s="63" t="n"/>
      <c r="H74" s="64">
        <f>F74*G74</f>
        <v/>
      </c>
      <c r="I74" s="65">
        <f>IF($H$106&gt;0,H74/$H$106,0)</f>
        <v/>
      </c>
    </row>
    <row r="75">
      <c r="A75" s="61">
        <f>IF(B75="","",COUNTA($B$6:B75))</f>
        <v/>
      </c>
      <c r="B75" s="50" t="n"/>
      <c r="C75" s="53" t="n"/>
      <c r="D75" s="62" t="n"/>
      <c r="E75" s="50" t="n"/>
      <c r="F75" s="63" t="n"/>
      <c r="G75" s="63" t="n"/>
      <c r="H75" s="64">
        <f>F75*G75</f>
        <v/>
      </c>
      <c r="I75" s="65">
        <f>IF($H$106&gt;0,H75/$H$106,0)</f>
        <v/>
      </c>
    </row>
    <row r="76">
      <c r="A76" s="61">
        <f>IF(B76="","",COUNTA($B$6:B76))</f>
        <v/>
      </c>
      <c r="B76" s="50" t="n"/>
      <c r="C76" s="53" t="n"/>
      <c r="D76" s="62" t="n"/>
      <c r="E76" s="50" t="n"/>
      <c r="F76" s="63" t="n"/>
      <c r="G76" s="63" t="n"/>
      <c r="H76" s="64">
        <f>F76*G76</f>
        <v/>
      </c>
      <c r="I76" s="65">
        <f>IF($H$106&gt;0,H76/$H$106,0)</f>
        <v/>
      </c>
    </row>
    <row r="77">
      <c r="A77" s="61">
        <f>IF(B77="","",COUNTA($B$6:B77))</f>
        <v/>
      </c>
      <c r="B77" s="50" t="n"/>
      <c r="C77" s="53" t="n"/>
      <c r="D77" s="62" t="n"/>
      <c r="E77" s="50" t="n"/>
      <c r="F77" s="63" t="n"/>
      <c r="G77" s="63" t="n"/>
      <c r="H77" s="64">
        <f>F77*G77</f>
        <v/>
      </c>
      <c r="I77" s="65">
        <f>IF($H$106&gt;0,H77/$H$106,0)</f>
        <v/>
      </c>
    </row>
    <row r="78">
      <c r="A78" s="61">
        <f>IF(B78="","",COUNTA($B$6:B78))</f>
        <v/>
      </c>
      <c r="B78" s="50" t="n"/>
      <c r="C78" s="53" t="n"/>
      <c r="D78" s="62" t="n"/>
      <c r="E78" s="50" t="n"/>
      <c r="F78" s="63" t="n"/>
      <c r="G78" s="63" t="n"/>
      <c r="H78" s="64">
        <f>F78*G78</f>
        <v/>
      </c>
      <c r="I78" s="65">
        <f>IF($H$106&gt;0,H78/$H$106,0)</f>
        <v/>
      </c>
    </row>
    <row r="79">
      <c r="A79" s="61">
        <f>IF(B79="","",COUNTA($B$6:B79))</f>
        <v/>
      </c>
      <c r="B79" s="50" t="n"/>
      <c r="C79" s="53" t="n"/>
      <c r="D79" s="62" t="n"/>
      <c r="E79" s="50" t="n"/>
      <c r="F79" s="63" t="n"/>
      <c r="G79" s="63" t="n"/>
      <c r="H79" s="64">
        <f>F79*G79</f>
        <v/>
      </c>
      <c r="I79" s="65">
        <f>IF($H$106&gt;0,H79/$H$106,0)</f>
        <v/>
      </c>
    </row>
    <row r="80">
      <c r="A80" s="61">
        <f>IF(B80="","",COUNTA($B$6:B80))</f>
        <v/>
      </c>
      <c r="B80" s="50" t="n"/>
      <c r="C80" s="53" t="n"/>
      <c r="D80" s="62" t="n"/>
      <c r="E80" s="50" t="n"/>
      <c r="F80" s="63" t="n"/>
      <c r="G80" s="63" t="n"/>
      <c r="H80" s="64">
        <f>F80*G80</f>
        <v/>
      </c>
      <c r="I80" s="65">
        <f>IF($H$106&gt;0,H80/$H$106,0)</f>
        <v/>
      </c>
    </row>
    <row r="81">
      <c r="A81" s="61">
        <f>IF(B81="","",COUNTA($B$6:B81))</f>
        <v/>
      </c>
      <c r="B81" s="50" t="n"/>
      <c r="C81" s="53" t="n"/>
      <c r="D81" s="62" t="n"/>
      <c r="E81" s="50" t="n"/>
      <c r="F81" s="63" t="n"/>
      <c r="G81" s="63" t="n"/>
      <c r="H81" s="64">
        <f>F81*G81</f>
        <v/>
      </c>
      <c r="I81" s="65">
        <f>IF($H$106&gt;0,H81/$H$106,0)</f>
        <v/>
      </c>
    </row>
    <row r="82">
      <c r="A82" s="61">
        <f>IF(B82="","",COUNTA($B$6:B82))</f>
        <v/>
      </c>
      <c r="B82" s="50" t="n"/>
      <c r="C82" s="53" t="n"/>
      <c r="D82" s="62" t="n"/>
      <c r="E82" s="50" t="n"/>
      <c r="F82" s="63" t="n"/>
      <c r="G82" s="63" t="n"/>
      <c r="H82" s="64">
        <f>F82*G82</f>
        <v/>
      </c>
      <c r="I82" s="65">
        <f>IF($H$106&gt;0,H82/$H$106,0)</f>
        <v/>
      </c>
    </row>
    <row r="83">
      <c r="A83" s="61">
        <f>IF(B83="","",COUNTA($B$6:B83))</f>
        <v/>
      </c>
      <c r="B83" s="50" t="n"/>
      <c r="C83" s="53" t="n"/>
      <c r="D83" s="62" t="n"/>
      <c r="E83" s="50" t="n"/>
      <c r="F83" s="63" t="n"/>
      <c r="G83" s="63" t="n"/>
      <c r="H83" s="64">
        <f>F83*G83</f>
        <v/>
      </c>
      <c r="I83" s="65">
        <f>IF($H$106&gt;0,H83/$H$106,0)</f>
        <v/>
      </c>
    </row>
    <row r="84">
      <c r="A84" s="61">
        <f>IF(B84="","",COUNTA($B$6:B84))</f>
        <v/>
      </c>
      <c r="B84" s="50" t="n"/>
      <c r="C84" s="53" t="n"/>
      <c r="D84" s="62" t="n"/>
      <c r="E84" s="50" t="n"/>
      <c r="F84" s="63" t="n"/>
      <c r="G84" s="63" t="n"/>
      <c r="H84" s="64">
        <f>F84*G84</f>
        <v/>
      </c>
      <c r="I84" s="65">
        <f>IF($H$106&gt;0,H84/$H$106,0)</f>
        <v/>
      </c>
    </row>
    <row r="85">
      <c r="A85" s="61">
        <f>IF(B85="","",COUNTA($B$6:B85))</f>
        <v/>
      </c>
      <c r="B85" s="50" t="n"/>
      <c r="C85" s="53" t="n"/>
      <c r="D85" s="62" t="n"/>
      <c r="E85" s="50" t="n"/>
      <c r="F85" s="63" t="n"/>
      <c r="G85" s="63" t="n"/>
      <c r="H85" s="64">
        <f>F85*G85</f>
        <v/>
      </c>
      <c r="I85" s="65">
        <f>IF($H$106&gt;0,H85/$H$106,0)</f>
        <v/>
      </c>
    </row>
    <row r="86">
      <c r="A86" s="61">
        <f>IF(B86="","",COUNTA($B$6:B86))</f>
        <v/>
      </c>
      <c r="B86" s="50" t="n"/>
      <c r="C86" s="53" t="n"/>
      <c r="D86" s="62" t="n"/>
      <c r="E86" s="50" t="n"/>
      <c r="F86" s="63" t="n"/>
      <c r="G86" s="63" t="n"/>
      <c r="H86" s="64">
        <f>F86*G86</f>
        <v/>
      </c>
      <c r="I86" s="65">
        <f>IF($H$106&gt;0,H86/$H$106,0)</f>
        <v/>
      </c>
    </row>
    <row r="87">
      <c r="A87" s="61">
        <f>IF(B87="","",COUNTA($B$6:B87))</f>
        <v/>
      </c>
      <c r="B87" s="50" t="n"/>
      <c r="C87" s="53" t="n"/>
      <c r="D87" s="62" t="n"/>
      <c r="E87" s="50" t="n"/>
      <c r="F87" s="63" t="n"/>
      <c r="G87" s="63" t="n"/>
      <c r="H87" s="64">
        <f>F87*G87</f>
        <v/>
      </c>
      <c r="I87" s="65">
        <f>IF($H$106&gt;0,H87/$H$106,0)</f>
        <v/>
      </c>
    </row>
    <row r="88">
      <c r="A88" s="61">
        <f>IF(B88="","",COUNTA($B$6:B88))</f>
        <v/>
      </c>
      <c r="B88" s="50" t="n"/>
      <c r="C88" s="53" t="n"/>
      <c r="D88" s="62" t="n"/>
      <c r="E88" s="50" t="n"/>
      <c r="F88" s="63" t="n"/>
      <c r="G88" s="63" t="n"/>
      <c r="H88" s="64">
        <f>F88*G88</f>
        <v/>
      </c>
      <c r="I88" s="65">
        <f>IF($H$106&gt;0,H88/$H$106,0)</f>
        <v/>
      </c>
    </row>
    <row r="89">
      <c r="A89" s="61">
        <f>IF(B89="","",COUNTA($B$6:B89))</f>
        <v/>
      </c>
      <c r="B89" s="50" t="n"/>
      <c r="C89" s="53" t="n"/>
      <c r="D89" s="62" t="n"/>
      <c r="E89" s="50" t="n"/>
      <c r="F89" s="63" t="n"/>
      <c r="G89" s="63" t="n"/>
      <c r="H89" s="64">
        <f>F89*G89</f>
        <v/>
      </c>
      <c r="I89" s="65">
        <f>IF($H$106&gt;0,H89/$H$106,0)</f>
        <v/>
      </c>
    </row>
    <row r="90">
      <c r="A90" s="61">
        <f>IF(B90="","",COUNTA($B$6:B90))</f>
        <v/>
      </c>
      <c r="B90" s="50" t="n"/>
      <c r="C90" s="53" t="n"/>
      <c r="D90" s="62" t="n"/>
      <c r="E90" s="50" t="n"/>
      <c r="F90" s="63" t="n"/>
      <c r="G90" s="63" t="n"/>
      <c r="H90" s="64">
        <f>F90*G90</f>
        <v/>
      </c>
      <c r="I90" s="65">
        <f>IF($H$106&gt;0,H90/$H$106,0)</f>
        <v/>
      </c>
    </row>
    <row r="91">
      <c r="A91" s="61">
        <f>IF(B91="","",COUNTA($B$6:B91))</f>
        <v/>
      </c>
      <c r="B91" s="50" t="n"/>
      <c r="C91" s="53" t="n"/>
      <c r="D91" s="62" t="n"/>
      <c r="E91" s="50" t="n"/>
      <c r="F91" s="63" t="n"/>
      <c r="G91" s="63" t="n"/>
      <c r="H91" s="64">
        <f>F91*G91</f>
        <v/>
      </c>
      <c r="I91" s="65">
        <f>IF($H$106&gt;0,H91/$H$106,0)</f>
        <v/>
      </c>
    </row>
    <row r="92">
      <c r="A92" s="61">
        <f>IF(B92="","",COUNTA($B$6:B92))</f>
        <v/>
      </c>
      <c r="B92" s="50" t="n"/>
      <c r="C92" s="53" t="n"/>
      <c r="D92" s="62" t="n"/>
      <c r="E92" s="50" t="n"/>
      <c r="F92" s="63" t="n"/>
      <c r="G92" s="63" t="n"/>
      <c r="H92" s="64">
        <f>F92*G92</f>
        <v/>
      </c>
      <c r="I92" s="65">
        <f>IF($H$106&gt;0,H92/$H$106,0)</f>
        <v/>
      </c>
    </row>
    <row r="93">
      <c r="A93" s="61">
        <f>IF(B93="","",COUNTA($B$6:B93))</f>
        <v/>
      </c>
      <c r="B93" s="50" t="n"/>
      <c r="C93" s="53" t="n"/>
      <c r="D93" s="62" t="n"/>
      <c r="E93" s="50" t="n"/>
      <c r="F93" s="63" t="n"/>
      <c r="G93" s="63" t="n"/>
      <c r="H93" s="64">
        <f>F93*G93</f>
        <v/>
      </c>
      <c r="I93" s="65">
        <f>IF($H$106&gt;0,H93/$H$106,0)</f>
        <v/>
      </c>
    </row>
    <row r="94">
      <c r="A94" s="61">
        <f>IF(B94="","",COUNTA($B$6:B94))</f>
        <v/>
      </c>
      <c r="B94" s="50" t="n"/>
      <c r="C94" s="53" t="n"/>
      <c r="D94" s="62" t="n"/>
      <c r="E94" s="50" t="n"/>
      <c r="F94" s="63" t="n"/>
      <c r="G94" s="63" t="n"/>
      <c r="H94" s="64">
        <f>F94*G94</f>
        <v/>
      </c>
      <c r="I94" s="65">
        <f>IF($H$106&gt;0,H94/$H$106,0)</f>
        <v/>
      </c>
    </row>
    <row r="95">
      <c r="A95" s="61">
        <f>IF(B95="","",COUNTA($B$6:B95))</f>
        <v/>
      </c>
      <c r="B95" s="50" t="n"/>
      <c r="C95" s="53" t="n"/>
      <c r="D95" s="62" t="n"/>
      <c r="E95" s="50" t="n"/>
      <c r="F95" s="63" t="n"/>
      <c r="G95" s="63" t="n"/>
      <c r="H95" s="64">
        <f>F95*G95</f>
        <v/>
      </c>
      <c r="I95" s="65">
        <f>IF($H$106&gt;0,H95/$H$106,0)</f>
        <v/>
      </c>
    </row>
    <row r="96">
      <c r="A96" s="61">
        <f>IF(B96="","",COUNTA($B$6:B96))</f>
        <v/>
      </c>
      <c r="B96" s="50" t="n"/>
      <c r="C96" s="53" t="n"/>
      <c r="D96" s="62" t="n"/>
      <c r="E96" s="50" t="n"/>
      <c r="F96" s="63" t="n"/>
      <c r="G96" s="63" t="n"/>
      <c r="H96" s="64">
        <f>F96*G96</f>
        <v/>
      </c>
      <c r="I96" s="65">
        <f>IF($H$106&gt;0,H96/$H$106,0)</f>
        <v/>
      </c>
    </row>
    <row r="97">
      <c r="A97" s="61">
        <f>IF(B97="","",COUNTA($B$6:B97))</f>
        <v/>
      </c>
      <c r="B97" s="50" t="n"/>
      <c r="C97" s="53" t="n"/>
      <c r="D97" s="62" t="n"/>
      <c r="E97" s="50" t="n"/>
      <c r="F97" s="63" t="n"/>
      <c r="G97" s="63" t="n"/>
      <c r="H97" s="64">
        <f>F97*G97</f>
        <v/>
      </c>
      <c r="I97" s="65">
        <f>IF($H$106&gt;0,H97/$H$106,0)</f>
        <v/>
      </c>
    </row>
    <row r="98">
      <c r="A98" s="61">
        <f>IF(B98="","",COUNTA($B$6:B98))</f>
        <v/>
      </c>
      <c r="B98" s="50" t="n"/>
      <c r="C98" s="53" t="n"/>
      <c r="D98" s="62" t="n"/>
      <c r="E98" s="50" t="n"/>
      <c r="F98" s="63" t="n"/>
      <c r="G98" s="63" t="n"/>
      <c r="H98" s="64">
        <f>F98*G98</f>
        <v/>
      </c>
      <c r="I98" s="65">
        <f>IF($H$106&gt;0,H98/$H$106,0)</f>
        <v/>
      </c>
    </row>
    <row r="99">
      <c r="A99" s="61">
        <f>IF(B99="","",COUNTA($B$6:B99))</f>
        <v/>
      </c>
      <c r="B99" s="50" t="n"/>
      <c r="C99" s="53" t="n"/>
      <c r="D99" s="62" t="n"/>
      <c r="E99" s="50" t="n"/>
      <c r="F99" s="63" t="n"/>
      <c r="G99" s="63" t="n"/>
      <c r="H99" s="64">
        <f>F99*G99</f>
        <v/>
      </c>
      <c r="I99" s="65">
        <f>IF($H$106&gt;0,H99/$H$106,0)</f>
        <v/>
      </c>
    </row>
    <row r="100">
      <c r="A100" s="61">
        <f>IF(B100="","",COUNTA($B$6:B100))</f>
        <v/>
      </c>
      <c r="B100" s="50" t="n"/>
      <c r="C100" s="53" t="n"/>
      <c r="D100" s="62" t="n"/>
      <c r="E100" s="50" t="n"/>
      <c r="F100" s="63" t="n"/>
      <c r="G100" s="63" t="n"/>
      <c r="H100" s="64">
        <f>F100*G100</f>
        <v/>
      </c>
      <c r="I100" s="65">
        <f>IF($H$106&gt;0,H100/$H$106,0)</f>
        <v/>
      </c>
    </row>
    <row r="101">
      <c r="A101" s="61">
        <f>IF(B101="","",COUNTA($B$6:B101))</f>
        <v/>
      </c>
      <c r="B101" s="50" t="n"/>
      <c r="C101" s="53" t="n"/>
      <c r="D101" s="62" t="n"/>
      <c r="E101" s="50" t="n"/>
      <c r="F101" s="63" t="n"/>
      <c r="G101" s="63" t="n"/>
      <c r="H101" s="64">
        <f>F101*G101</f>
        <v/>
      </c>
      <c r="I101" s="65">
        <f>IF($H$106&gt;0,H101/$H$106,0)</f>
        <v/>
      </c>
    </row>
    <row r="102">
      <c r="A102" s="61">
        <f>IF(B102="","",COUNTA($B$6:B102))</f>
        <v/>
      </c>
      <c r="B102" s="50" t="n"/>
      <c r="C102" s="53" t="n"/>
      <c r="D102" s="62" t="n"/>
      <c r="E102" s="50" t="n"/>
      <c r="F102" s="63" t="n"/>
      <c r="G102" s="63" t="n"/>
      <c r="H102" s="64">
        <f>F102*G102</f>
        <v/>
      </c>
      <c r="I102" s="65">
        <f>IF($H$106&gt;0,H102/$H$106,0)</f>
        <v/>
      </c>
    </row>
    <row r="103">
      <c r="A103" s="61">
        <f>IF(B103="","",COUNTA($B$6:B103))</f>
        <v/>
      </c>
      <c r="B103" s="50" t="n"/>
      <c r="C103" s="53" t="n"/>
      <c r="D103" s="62" t="n"/>
      <c r="E103" s="50" t="n"/>
      <c r="F103" s="63" t="n"/>
      <c r="G103" s="63" t="n"/>
      <c r="H103" s="64">
        <f>F103*G103</f>
        <v/>
      </c>
      <c r="I103" s="65">
        <f>IF($H$106&gt;0,H103/$H$106,0)</f>
        <v/>
      </c>
    </row>
    <row r="104">
      <c r="A104" s="61">
        <f>IF(B104="","",COUNTA($B$6:B104))</f>
        <v/>
      </c>
      <c r="B104" s="50" t="n"/>
      <c r="C104" s="53" t="n"/>
      <c r="D104" s="62" t="n"/>
      <c r="E104" s="50" t="n"/>
      <c r="F104" s="63" t="n"/>
      <c r="G104" s="63" t="n"/>
      <c r="H104" s="64">
        <f>F104*G104</f>
        <v/>
      </c>
      <c r="I104" s="65">
        <f>IF($H$106&gt;0,H104/$H$106,0)</f>
        <v/>
      </c>
    </row>
    <row r="105">
      <c r="A105" s="61">
        <f>IF(B105="","",COUNTA($B$6:B105))</f>
        <v/>
      </c>
      <c r="B105" s="50" t="n"/>
      <c r="C105" s="53" t="n"/>
      <c r="D105" s="62" t="n"/>
      <c r="E105" s="50" t="n"/>
      <c r="F105" s="63" t="n"/>
      <c r="G105" s="63" t="n"/>
      <c r="H105" s="64">
        <f>F105*G105</f>
        <v/>
      </c>
      <c r="I105" s="65">
        <f>IF($H$106&gt;0,H105/$H$106,0)</f>
        <v/>
      </c>
    </row>
    <row r="106" ht="26" customHeight="1">
      <c r="A106" s="66" t="inlineStr">
        <is>
          <t>إجمالي قيمة العقد الأصلية</t>
        </is>
      </c>
      <c r="B106" s="66" t="n"/>
      <c r="C106" s="66" t="n"/>
      <c r="D106" s="66" t="n"/>
      <c r="E106" s="66" t="n"/>
      <c r="F106" s="66" t="n"/>
      <c r="G106" s="66" t="n"/>
      <c r="H106" s="67">
        <f>SUM(H6:H105)</f>
        <v/>
      </c>
      <c r="I106" s="68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لوحة التحكم'!A1" display="📊 لوحة التحكم"/>
    <hyperlink ref="B3" location="'بيانات العقد'!A1" display="⚙ بيانات العقد"/>
    <hyperlink ref="C3" location="'الكميات المنفذة'!A1" display="📐 المنفذ"/>
    <hyperlink ref="D3" location="'الأوامر التغييرية'!A1" display="🔁 التغييرية"/>
    <hyperlink ref="F3" location="'الاستقطاعات الفنية'!A1" display="✂ الاستقطاعات"/>
    <hyperlink ref="G3" location="'سجل المستخلصات'!A1" display="🗂 السجل"/>
    <hyperlink ref="H3" location="'نموذج المستخلص'!A1" display="🧾 النموذج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AI107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7" customWidth="1" min="3" max="3"/>
    <col width="20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1" customWidth="1" min="33" max="33"/>
    <col width="17" customWidth="1" min="34" max="34"/>
    <col width="14" customWidth="1" min="35" max="35"/>
  </cols>
  <sheetData>
    <row r="1" ht="38" customHeight="1">
      <c r="A1" s="1" t="inlineStr">
        <is>
          <t>📐 الكميات المنفذة خلال كل مستخلص (حصر الأعمال)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0" customHeight="1">
      <c r="A2" s="2">
        <f>'بيانات العقد'!$C$5&amp;"   |   عقد رقم: "&amp;'بيانات العقد'!$C$6&amp;"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 ht="26" customHeight="1">
      <c r="A3" s="3" t="inlineStr">
        <is>
          <t>📊 لوحة التحكم</t>
        </is>
      </c>
      <c r="B3" s="4" t="inlineStr">
        <is>
          <t>⚙ بيانات العقد</t>
        </is>
      </c>
      <c r="D3" s="4" t="inlineStr">
        <is>
          <t>📋 الكميات</t>
        </is>
      </c>
      <c r="E3" s="4" t="inlineStr">
        <is>
          <t>🔁 التغييرية</t>
        </is>
      </c>
      <c r="F3" s="4" t="inlineStr">
        <is>
          <t>✂ الاستقطاعات</t>
        </is>
      </c>
      <c r="G3" s="4" t="inlineStr">
        <is>
          <t>🗂 السجل</t>
        </is>
      </c>
      <c r="H3" s="4" t="inlineStr">
        <is>
          <t>🧾 النموذج</t>
        </is>
      </c>
      <c r="J3" s="69" t="inlineStr">
        <is>
          <t>أدخل كمية الفترة فقط (غير تراكمية) أمام كل بند تحت رقم المستخلص — يتم حساب التراكمي آلياً.</t>
        </is>
      </c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  <c r="AH3" s="69" t="n"/>
      <c r="AI3" s="69" t="n"/>
    </row>
    <row r="4">
      <c r="G4" s="70" t="inlineStr">
        <is>
          <t>الكميات المنفذة خلال الفترة (إدخال)</t>
        </is>
      </c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1" t="inlineStr">
        <is>
          <t>التحليل التراكمي (محسوب)</t>
        </is>
      </c>
      <c r="AF4" s="71" t="n"/>
      <c r="AG4" s="71" t="n"/>
      <c r="AH4" s="71" t="n"/>
      <c r="AI4" s="71" t="n"/>
    </row>
    <row r="5" ht="40" customHeight="1">
      <c r="A5" s="41" t="inlineStr">
        <is>
          <t>كود البند</t>
        </is>
      </c>
      <c r="B5" s="41" t="inlineStr">
        <is>
          <t>وصف البند</t>
        </is>
      </c>
      <c r="C5" s="41" t="inlineStr">
        <is>
          <t>الوحدة</t>
        </is>
      </c>
      <c r="D5" s="41" t="inlineStr">
        <is>
          <t>القسم</t>
        </is>
      </c>
      <c r="E5" s="41" t="inlineStr">
        <is>
          <t>الكمية التعاقدية</t>
        </is>
      </c>
      <c r="F5" s="41" t="inlineStr">
        <is>
          <t>سعر الوحدة</t>
        </is>
      </c>
      <c r="G5" s="72" t="n">
        <v>1</v>
      </c>
      <c r="H5" s="72" t="n">
        <v>2</v>
      </c>
      <c r="I5" s="72" t="n">
        <v>3</v>
      </c>
      <c r="J5" s="72" t="n">
        <v>4</v>
      </c>
      <c r="K5" s="72" t="n">
        <v>5</v>
      </c>
      <c r="L5" s="72" t="n">
        <v>6</v>
      </c>
      <c r="M5" s="72" t="n">
        <v>7</v>
      </c>
      <c r="N5" s="72" t="n">
        <v>8</v>
      </c>
      <c r="O5" s="72" t="n">
        <v>9</v>
      </c>
      <c r="P5" s="72" t="n">
        <v>10</v>
      </c>
      <c r="Q5" s="72" t="n">
        <v>11</v>
      </c>
      <c r="R5" s="72" t="n">
        <v>12</v>
      </c>
      <c r="S5" s="72" t="n">
        <v>13</v>
      </c>
      <c r="T5" s="72" t="n">
        <v>14</v>
      </c>
      <c r="U5" s="72" t="n">
        <v>15</v>
      </c>
      <c r="V5" s="72" t="n">
        <v>16</v>
      </c>
      <c r="W5" s="72" t="n">
        <v>17</v>
      </c>
      <c r="X5" s="72" t="n">
        <v>18</v>
      </c>
      <c r="Y5" s="72" t="n">
        <v>19</v>
      </c>
      <c r="Z5" s="72" t="n">
        <v>20</v>
      </c>
      <c r="AA5" s="72" t="n">
        <v>21</v>
      </c>
      <c r="AB5" s="72" t="n">
        <v>22</v>
      </c>
      <c r="AC5" s="72" t="n">
        <v>23</v>
      </c>
      <c r="AD5" s="72" t="n">
        <v>24</v>
      </c>
      <c r="AE5" s="41" t="inlineStr">
        <is>
          <t>إجمالي الكمية المنفذة</t>
        </is>
      </c>
      <c r="AF5" s="41" t="inlineStr">
        <is>
          <t>الكمية المتبقية</t>
        </is>
      </c>
      <c r="AG5" s="41" t="inlineStr">
        <is>
          <t>نسبة إنجاز البند</t>
        </is>
      </c>
      <c r="AH5" s="41" t="inlineStr">
        <is>
          <t>القيمة المنفذة التراكمية</t>
        </is>
      </c>
      <c r="AI5" s="41" t="inlineStr">
        <is>
          <t>حالة البند</t>
        </is>
      </c>
    </row>
    <row r="6">
      <c r="A6" s="73">
        <f>IF('جدول الكميات'!B6="","",'جدول الكميات'!B6)</f>
        <v/>
      </c>
      <c r="B6" s="74">
        <f>IF('جدول الكميات'!D6="","",'جدول الكميات'!D6)</f>
        <v/>
      </c>
      <c r="C6" s="73">
        <f>IF('جدول الكميات'!E6="","",'جدول الكميات'!E6)</f>
        <v/>
      </c>
      <c r="D6" s="74">
        <f>IF('جدول الكميات'!C6="","",'جدول الكميات'!C6)</f>
        <v/>
      </c>
      <c r="E6" s="75">
        <f>N('جدول الكميات'!F6)</f>
        <v/>
      </c>
      <c r="F6" s="75">
        <f>N('جدول الكميات'!G6)</f>
        <v/>
      </c>
      <c r="G6" s="63" t="n">
        <v>1575</v>
      </c>
      <c r="H6" s="63" t="n">
        <v>1800</v>
      </c>
      <c r="I6" s="63" t="n">
        <v>900</v>
      </c>
      <c r="J6" s="63" t="n">
        <v>225</v>
      </c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4">
        <f>SUM(G6:AD6)</f>
        <v/>
      </c>
      <c r="AF6" s="64">
        <f>E6-AE6</f>
        <v/>
      </c>
      <c r="AG6" s="76">
        <f>IF(E6&gt;0,AE6/E6,0)</f>
        <v/>
      </c>
      <c r="AH6" s="77">
        <f>AE6*F6</f>
        <v/>
      </c>
      <c r="AI6" s="78">
        <f>IF(A6="","",IF(AE6&gt;E6+0.0001,"⚠ تجاوز الكمية",IF(AG6&gt;=1,"✔ مكتمل",IF(AE6&gt;0,"جاري التنفيذ","لم يبدأ"))))</f>
        <v/>
      </c>
    </row>
    <row r="7">
      <c r="A7" s="73">
        <f>IF('جدول الكميات'!B7="","",'جدول الكميات'!B7)</f>
        <v/>
      </c>
      <c r="B7" s="74">
        <f>IF('جدول الكميات'!D7="","",'جدول الكميات'!D7)</f>
        <v/>
      </c>
      <c r="C7" s="73">
        <f>IF('جدول الكميات'!E7="","",'جدول الكميات'!E7)</f>
        <v/>
      </c>
      <c r="D7" s="74">
        <f>IF('جدول الكميات'!C7="","",'جدول الكميات'!C7)</f>
        <v/>
      </c>
      <c r="E7" s="75">
        <f>N('جدول الكميات'!F7)</f>
        <v/>
      </c>
      <c r="F7" s="75">
        <f>N('جدول الكميات'!G7)</f>
        <v/>
      </c>
      <c r="G7" s="63" t="n"/>
      <c r="H7" s="63" t="n">
        <v>330</v>
      </c>
      <c r="I7" s="63" t="n">
        <v>770</v>
      </c>
      <c r="J7" s="63" t="n">
        <v>660</v>
      </c>
      <c r="K7" s="63" t="n">
        <v>220</v>
      </c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4">
        <f>SUM(G7:AD7)</f>
        <v/>
      </c>
      <c r="AF7" s="64">
        <f>E7-AE7</f>
        <v/>
      </c>
      <c r="AG7" s="76">
        <f>IF(E7&gt;0,AE7/E7,0)</f>
        <v/>
      </c>
      <c r="AH7" s="77">
        <f>AE7*F7</f>
        <v/>
      </c>
      <c r="AI7" s="78">
        <f>IF(A7="","",IF(AE7&gt;E7+0.0001,"⚠ تجاوز الكمية",IF(AG7&gt;=1,"✔ مكتمل",IF(AE7&gt;0,"جاري التنفيذ","لم يبدأ"))))</f>
        <v/>
      </c>
    </row>
    <row r="8">
      <c r="A8" s="73">
        <f>IF('جدول الكميات'!B8="","",'جدول الكميات'!B8)</f>
        <v/>
      </c>
      <c r="B8" s="74">
        <f>IF('جدول الكميات'!D8="","",'جدول الكميات'!D8)</f>
        <v/>
      </c>
      <c r="C8" s="73">
        <f>IF('جدول الكميات'!E8="","",'جدول الكميات'!E8)</f>
        <v/>
      </c>
      <c r="D8" s="74">
        <f>IF('جدول الكميات'!C8="","",'جدول الكميات'!C8)</f>
        <v/>
      </c>
      <c r="E8" s="75">
        <f>N('جدول الكميات'!F8)</f>
        <v/>
      </c>
      <c r="F8" s="75">
        <f>N('جدول الكميات'!G8)</f>
        <v/>
      </c>
      <c r="G8" s="63" t="n">
        <v>720</v>
      </c>
      <c r="H8" s="63" t="n">
        <v>810</v>
      </c>
      <c r="I8" s="63" t="n">
        <v>270</v>
      </c>
      <c r="J8" s="63" t="n"/>
      <c r="K8" s="63" t="n"/>
      <c r="L8" s="63" t="n"/>
      <c r="M8" s="63" t="n"/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  <c r="Z8" s="63" t="n"/>
      <c r="AA8" s="63" t="n"/>
      <c r="AB8" s="63" t="n"/>
      <c r="AC8" s="63" t="n"/>
      <c r="AD8" s="63" t="n"/>
      <c r="AE8" s="64">
        <f>SUM(G8:AD8)</f>
        <v/>
      </c>
      <c r="AF8" s="64">
        <f>E8-AE8</f>
        <v/>
      </c>
      <c r="AG8" s="76">
        <f>IF(E8&gt;0,AE8/E8,0)</f>
        <v/>
      </c>
      <c r="AH8" s="77">
        <f>AE8*F8</f>
        <v/>
      </c>
      <c r="AI8" s="78">
        <f>IF(A8="","",IF(AE8&gt;E8+0.0001,"⚠ تجاوز الكمية",IF(AG8&gt;=1,"✔ مكتمل",IF(AE8&gt;0,"جاري التنفيذ","لم يبدأ"))))</f>
        <v/>
      </c>
    </row>
    <row r="9">
      <c r="A9" s="73">
        <f>IF('جدول الكميات'!B9="","",'جدول الكميات'!B9)</f>
        <v/>
      </c>
      <c r="B9" s="74">
        <f>IF('جدول الكميات'!D9="","",'جدول الكميات'!D9)</f>
        <v/>
      </c>
      <c r="C9" s="73">
        <f>IF('جدول الكميات'!E9="","",'جدول الكميات'!E9)</f>
        <v/>
      </c>
      <c r="D9" s="74">
        <f>IF('جدول الكميات'!C9="","",'جدول الكميات'!C9)</f>
        <v/>
      </c>
      <c r="E9" s="75">
        <f>N('جدول الكميات'!F9)</f>
        <v/>
      </c>
      <c r="F9" s="75">
        <f>N('جدول الكميات'!G9)</f>
        <v/>
      </c>
      <c r="G9" s="63" t="n">
        <v>57</v>
      </c>
      <c r="H9" s="63" t="n">
        <v>171</v>
      </c>
      <c r="I9" s="63" t="n">
        <v>133</v>
      </c>
      <c r="J9" s="63" t="n">
        <v>19</v>
      </c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4">
        <f>SUM(G9:AD9)</f>
        <v/>
      </c>
      <c r="AF9" s="64">
        <f>E9-AE9</f>
        <v/>
      </c>
      <c r="AG9" s="76">
        <f>IF(E9&gt;0,AE9/E9,0)</f>
        <v/>
      </c>
      <c r="AH9" s="77">
        <f>AE9*F9</f>
        <v/>
      </c>
      <c r="AI9" s="78">
        <f>IF(A9="","",IF(AE9&gt;E9+0.0001,"⚠ تجاوز الكمية",IF(AG9&gt;=1,"✔ مكتمل",IF(AE9&gt;0,"جاري التنفيذ","لم يبدأ"))))</f>
        <v/>
      </c>
    </row>
    <row r="10">
      <c r="A10" s="73">
        <f>IF('جدول الكميات'!B10="","",'جدول الكميات'!B10)</f>
        <v/>
      </c>
      <c r="B10" s="74">
        <f>IF('جدول الكميات'!D10="","",'جدول الكميات'!D10)</f>
        <v/>
      </c>
      <c r="C10" s="73">
        <f>IF('جدول الكميات'!E10="","",'جدول الكميات'!E10)</f>
        <v/>
      </c>
      <c r="D10" s="74">
        <f>IF('جدول الكميات'!C10="","",'جدول الكميات'!C10)</f>
        <v/>
      </c>
      <c r="E10" s="75">
        <f>N('جدول الكميات'!F10)</f>
        <v/>
      </c>
      <c r="F10" s="75">
        <f>N('جدول الكميات'!G10)</f>
        <v/>
      </c>
      <c r="G10" s="63" t="n">
        <v>47.5</v>
      </c>
      <c r="H10" s="63" t="n">
        <v>332.5</v>
      </c>
      <c r="I10" s="63" t="n">
        <v>380</v>
      </c>
      <c r="J10" s="63" t="n">
        <v>142.5</v>
      </c>
      <c r="K10" s="63" t="n">
        <v>47.5</v>
      </c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4">
        <f>SUM(G10:AD10)</f>
        <v/>
      </c>
      <c r="AF10" s="64">
        <f>E10-AE10</f>
        <v/>
      </c>
      <c r="AG10" s="76">
        <f>IF(E10&gt;0,AE10/E10,0)</f>
        <v/>
      </c>
      <c r="AH10" s="77">
        <f>AE10*F10</f>
        <v/>
      </c>
      <c r="AI10" s="78">
        <f>IF(A10="","",IF(AE10&gt;E10+0.0001,"⚠ تجاوز الكمية",IF(AG10&gt;=1,"✔ مكتمل",IF(AE10&gt;0,"جاري التنفيذ","لم يبدأ"))))</f>
        <v/>
      </c>
    </row>
    <row r="11">
      <c r="A11" s="73">
        <f>IF('جدول الكميات'!B11="","",'جدول الكميات'!B11)</f>
        <v/>
      </c>
      <c r="B11" s="74">
        <f>IF('جدول الكميات'!D11="","",'جدول الكميات'!D11)</f>
        <v/>
      </c>
      <c r="C11" s="73">
        <f>IF('جدول الكميات'!E11="","",'جدول الكميات'!E11)</f>
        <v/>
      </c>
      <c r="D11" s="74">
        <f>IF('جدول الكميات'!C11="","",'جدول الكميات'!C11)</f>
        <v/>
      </c>
      <c r="E11" s="75">
        <f>N('جدول الكميات'!F11)</f>
        <v/>
      </c>
      <c r="F11" s="75">
        <f>N('جدول الكميات'!G11)</f>
        <v/>
      </c>
      <c r="G11" s="63" t="n"/>
      <c r="H11" s="63" t="n">
        <v>21</v>
      </c>
      <c r="I11" s="63" t="n">
        <v>50.4</v>
      </c>
      <c r="J11" s="63" t="n">
        <v>58.8</v>
      </c>
      <c r="K11" s="63" t="n">
        <v>58.8</v>
      </c>
      <c r="L11" s="63" t="n">
        <v>63</v>
      </c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4">
        <f>SUM(G11:AD11)</f>
        <v/>
      </c>
      <c r="AF11" s="64">
        <f>E11-AE11</f>
        <v/>
      </c>
      <c r="AG11" s="76">
        <f>IF(E11&gt;0,AE11/E11,0)</f>
        <v/>
      </c>
      <c r="AH11" s="77">
        <f>AE11*F11</f>
        <v/>
      </c>
      <c r="AI11" s="78">
        <f>IF(A11="","",IF(AE11&gt;E11+0.0001,"⚠ تجاوز الكمية",IF(AG11&gt;=1,"✔ مكتمل",IF(AE11&gt;0,"جاري التنفيذ","لم يبدأ"))))</f>
        <v/>
      </c>
    </row>
    <row r="12">
      <c r="A12" s="73">
        <f>IF('جدول الكميات'!B12="","",'جدول الكميات'!B12)</f>
        <v/>
      </c>
      <c r="B12" s="74">
        <f>IF('جدول الكميات'!D12="","",'جدول الكميات'!D12)</f>
        <v/>
      </c>
      <c r="C12" s="73">
        <f>IF('جدول الكميات'!E12="","",'جدول الكميات'!E12)</f>
        <v/>
      </c>
      <c r="D12" s="74">
        <f>IF('جدول الكميات'!C12="","",'جدول الكميات'!C12)</f>
        <v/>
      </c>
      <c r="E12" s="75">
        <f>N('جدول الكميات'!F12)</f>
        <v/>
      </c>
      <c r="F12" s="75">
        <f>N('جدول الكميات'!G12)</f>
        <v/>
      </c>
      <c r="G12" s="63" t="n"/>
      <c r="H12" s="63" t="n"/>
      <c r="I12" s="63" t="n">
        <v>99</v>
      </c>
      <c r="J12" s="63" t="n">
        <v>165</v>
      </c>
      <c r="K12" s="63" t="n">
        <v>181.5</v>
      </c>
      <c r="L12" s="63" t="n">
        <v>198</v>
      </c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63" t="n"/>
      <c r="AE12" s="64">
        <f>SUM(G12:AD12)</f>
        <v/>
      </c>
      <c r="AF12" s="64">
        <f>E12-AE12</f>
        <v/>
      </c>
      <c r="AG12" s="76">
        <f>IF(E12&gt;0,AE12/E12,0)</f>
        <v/>
      </c>
      <c r="AH12" s="77">
        <f>AE12*F12</f>
        <v/>
      </c>
      <c r="AI12" s="78">
        <f>IF(A12="","",IF(AE12&gt;E12+0.0001,"⚠ تجاوز الكمية",IF(AG12&gt;=1,"✔ مكتمل",IF(AE12&gt;0,"جاري التنفيذ","لم يبدأ"))))</f>
        <v/>
      </c>
    </row>
    <row r="13">
      <c r="A13" s="73">
        <f>IF('جدول الكميات'!B13="","",'جدول الكميات'!B13)</f>
        <v/>
      </c>
      <c r="B13" s="74">
        <f>IF('جدول الكميات'!D13="","",'جدول الكميات'!D13)</f>
        <v/>
      </c>
      <c r="C13" s="73">
        <f>IF('جدول الكميات'!E13="","",'جدول الكميات'!E13)</f>
        <v/>
      </c>
      <c r="D13" s="74">
        <f>IF('جدول الكميات'!C13="","",'جدول الكميات'!C13)</f>
        <v/>
      </c>
      <c r="E13" s="75">
        <f>N('جدول الكميات'!F13)</f>
        <v/>
      </c>
      <c r="F13" s="75">
        <f>N('جدول الكميات'!G13)</f>
        <v/>
      </c>
      <c r="G13" s="63" t="n">
        <v>19.2</v>
      </c>
      <c r="H13" s="63" t="n">
        <v>67.2</v>
      </c>
      <c r="I13" s="63" t="n">
        <v>57.6</v>
      </c>
      <c r="J13" s="63" t="n">
        <v>48</v>
      </c>
      <c r="K13" s="63" t="n">
        <v>43.2</v>
      </c>
      <c r="L13" s="63" t="n">
        <v>48</v>
      </c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4">
        <f>SUM(G13:AD13)</f>
        <v/>
      </c>
      <c r="AF13" s="64">
        <f>E13-AE13</f>
        <v/>
      </c>
      <c r="AG13" s="76">
        <f>IF(E13&gt;0,AE13/E13,0)</f>
        <v/>
      </c>
      <c r="AH13" s="77">
        <f>AE13*F13</f>
        <v/>
      </c>
      <c r="AI13" s="78">
        <f>IF(A13="","",IF(AE13&gt;E13+0.0001,"⚠ تجاوز الكمية",IF(AG13&gt;=1,"✔ مكتمل",IF(AE13&gt;0,"جاري التنفيذ","لم يبدأ"))))</f>
        <v/>
      </c>
    </row>
    <row r="14">
      <c r="A14" s="73">
        <f>IF('جدول الكميات'!B14="","",'جدول الكميات'!B14)</f>
        <v/>
      </c>
      <c r="B14" s="74">
        <f>IF('جدول الكميات'!D14="","",'جدول الكميات'!D14)</f>
        <v/>
      </c>
      <c r="C14" s="73">
        <f>IF('جدول الكميات'!E14="","",'جدول الكميات'!E14)</f>
        <v/>
      </c>
      <c r="D14" s="74">
        <f>IF('جدول الكميات'!C14="","",'جدول الكميات'!C14)</f>
        <v/>
      </c>
      <c r="E14" s="75">
        <f>N('جدول الكميات'!F14)</f>
        <v/>
      </c>
      <c r="F14" s="75">
        <f>N('جدول الكميات'!G14)</f>
        <v/>
      </c>
      <c r="G14" s="63" t="n"/>
      <c r="H14" s="63" t="n"/>
      <c r="I14" s="63" t="n"/>
      <c r="J14" s="63" t="n">
        <v>312</v>
      </c>
      <c r="K14" s="63" t="n">
        <v>546</v>
      </c>
      <c r="L14" s="63" t="n">
        <v>702</v>
      </c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4">
        <f>SUM(G14:AD14)</f>
        <v/>
      </c>
      <c r="AF14" s="64">
        <f>E14-AE14</f>
        <v/>
      </c>
      <c r="AG14" s="76">
        <f>IF(E14&gt;0,AE14/E14,0)</f>
        <v/>
      </c>
      <c r="AH14" s="77">
        <f>AE14*F14</f>
        <v/>
      </c>
      <c r="AI14" s="78">
        <f>IF(A14="","",IF(AE14&gt;E14+0.0001,"⚠ تجاوز الكمية",IF(AG14&gt;=1,"✔ مكتمل",IF(AE14&gt;0,"جاري التنفيذ","لم يبدأ"))))</f>
        <v/>
      </c>
    </row>
    <row r="15">
      <c r="A15" s="73">
        <f>IF('جدول الكميات'!B15="","",'جدول الكميات'!B15)</f>
        <v/>
      </c>
      <c r="B15" s="74">
        <f>IF('جدول الكميات'!D15="","",'جدول الكميات'!D15)</f>
        <v/>
      </c>
      <c r="C15" s="73">
        <f>IF('جدول الكميات'!E15="","",'جدول الكميات'!E15)</f>
        <v/>
      </c>
      <c r="D15" s="74">
        <f>IF('جدول الكميات'!C15="","",'جدول الكميات'!C15)</f>
        <v/>
      </c>
      <c r="E15" s="75">
        <f>N('جدول الكميات'!F15)</f>
        <v/>
      </c>
      <c r="F15" s="75">
        <f>N('جدول الكميات'!G15)</f>
        <v/>
      </c>
      <c r="G15" s="63" t="n"/>
      <c r="H15" s="63" t="n"/>
      <c r="I15" s="63" t="n"/>
      <c r="J15" s="63" t="n"/>
      <c r="K15" s="63" t="n">
        <v>108</v>
      </c>
      <c r="L15" s="63" t="n">
        <v>180</v>
      </c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3" t="n"/>
      <c r="AA15" s="63" t="n"/>
      <c r="AB15" s="63" t="n"/>
      <c r="AC15" s="63" t="n"/>
      <c r="AD15" s="63" t="n"/>
      <c r="AE15" s="64">
        <f>SUM(G15:AD15)</f>
        <v/>
      </c>
      <c r="AF15" s="64">
        <f>E15-AE15</f>
        <v/>
      </c>
      <c r="AG15" s="76">
        <f>IF(E15&gt;0,AE15/E15,0)</f>
        <v/>
      </c>
      <c r="AH15" s="77">
        <f>AE15*F15</f>
        <v/>
      </c>
      <c r="AI15" s="78">
        <f>IF(A15="","",IF(AE15&gt;E15+0.0001,"⚠ تجاوز الكمية",IF(AG15&gt;=1,"✔ مكتمل",IF(AE15&gt;0,"جاري التنفيذ","لم يبدأ"))))</f>
        <v/>
      </c>
    </row>
    <row r="16">
      <c r="A16" s="73">
        <f>IF('جدول الكميات'!B16="","",'جدول الكميات'!B16)</f>
        <v/>
      </c>
      <c r="B16" s="74">
        <f>IF('جدول الكميات'!D16="","",'جدول الكميات'!D16)</f>
        <v/>
      </c>
      <c r="C16" s="73">
        <f>IF('جدول الكميات'!E16="","",'جدول الكميات'!E16)</f>
        <v/>
      </c>
      <c r="D16" s="74">
        <f>IF('جدول الكميات'!C16="","",'جدول الكميات'!C16)</f>
        <v/>
      </c>
      <c r="E16" s="75">
        <f>N('جدول الكميات'!F16)</f>
        <v/>
      </c>
      <c r="F16" s="75">
        <f>N('جدول الكميات'!G16)</f>
        <v/>
      </c>
      <c r="G16" s="63" t="n"/>
      <c r="H16" s="63" t="n">
        <v>720</v>
      </c>
      <c r="I16" s="63" t="n">
        <v>1200</v>
      </c>
      <c r="J16" s="63" t="n">
        <v>480</v>
      </c>
      <c r="K16" s="63" t="n"/>
      <c r="L16" s="63" t="n"/>
      <c r="M16" s="63" t="n"/>
      <c r="N16" s="63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3" t="n"/>
      <c r="Z16" s="63" t="n"/>
      <c r="AA16" s="63" t="n"/>
      <c r="AB16" s="63" t="n"/>
      <c r="AC16" s="63" t="n"/>
      <c r="AD16" s="63" t="n"/>
      <c r="AE16" s="64">
        <f>SUM(G16:AD16)</f>
        <v/>
      </c>
      <c r="AF16" s="64">
        <f>E16-AE16</f>
        <v/>
      </c>
      <c r="AG16" s="76">
        <f>IF(E16&gt;0,AE16/E16,0)</f>
        <v/>
      </c>
      <c r="AH16" s="77">
        <f>AE16*F16</f>
        <v/>
      </c>
      <c r="AI16" s="78">
        <f>IF(A16="","",IF(AE16&gt;E16+0.0001,"⚠ تجاوز الكمية",IF(AG16&gt;=1,"✔ مكتمل",IF(AE16&gt;0,"جاري التنفيذ","لم يبدأ"))))</f>
        <v/>
      </c>
    </row>
    <row r="17">
      <c r="A17" s="73">
        <f>IF('جدول الكميات'!B17="","",'جدول الكميات'!B17)</f>
        <v/>
      </c>
      <c r="B17" s="74">
        <f>IF('جدول الكميات'!D17="","",'جدول الكميات'!D17)</f>
        <v/>
      </c>
      <c r="C17" s="73">
        <f>IF('جدول الكميات'!E17="","",'جدول الكميات'!E17)</f>
        <v/>
      </c>
      <c r="D17" s="74">
        <f>IF('جدول الكميات'!C17="","",'جدول الكميات'!C17)</f>
        <v/>
      </c>
      <c r="E17" s="75">
        <f>N('جدول الكميات'!F17)</f>
        <v/>
      </c>
      <c r="F17" s="75">
        <f>N('جدول الكميات'!G17)</f>
        <v/>
      </c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63" t="n"/>
      <c r="AE17" s="64">
        <f>SUM(G17:AD17)</f>
        <v/>
      </c>
      <c r="AF17" s="64">
        <f>E17-AE17</f>
        <v/>
      </c>
      <c r="AG17" s="76">
        <f>IF(E17&gt;0,AE17/E17,0)</f>
        <v/>
      </c>
      <c r="AH17" s="77">
        <f>AE17*F17</f>
        <v/>
      </c>
      <c r="AI17" s="78">
        <f>IF(A17="","",IF(AE17&gt;E17+0.0001,"⚠ تجاوز الكمية",IF(AG17&gt;=1,"✔ مكتمل",IF(AE17&gt;0,"جاري التنفيذ","لم يبدأ"))))</f>
        <v/>
      </c>
    </row>
    <row r="18">
      <c r="A18" s="73">
        <f>IF('جدول الكميات'!B18="","",'جدول الكميات'!B18)</f>
        <v/>
      </c>
      <c r="B18" s="74">
        <f>IF('جدول الكميات'!D18="","",'جدول الكميات'!D18)</f>
        <v/>
      </c>
      <c r="C18" s="73">
        <f>IF('جدول الكميات'!E18="","",'جدول الكميات'!E18)</f>
        <v/>
      </c>
      <c r="D18" s="74">
        <f>IF('جدول الكميات'!C18="","",'جدول الكميات'!C18)</f>
        <v/>
      </c>
      <c r="E18" s="75">
        <f>N('جدول الكميات'!F18)</f>
        <v/>
      </c>
      <c r="F18" s="75">
        <f>N('جدول الكميات'!G18)</f>
        <v/>
      </c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4">
        <f>SUM(G18:AD18)</f>
        <v/>
      </c>
      <c r="AF18" s="64">
        <f>E18-AE18</f>
        <v/>
      </c>
      <c r="AG18" s="76">
        <f>IF(E18&gt;0,AE18/E18,0)</f>
        <v/>
      </c>
      <c r="AH18" s="77">
        <f>AE18*F18</f>
        <v/>
      </c>
      <c r="AI18" s="78">
        <f>IF(A18="","",IF(AE18&gt;E18+0.0001,"⚠ تجاوز الكمية",IF(AG18&gt;=1,"✔ مكتمل",IF(AE18&gt;0,"جاري التنفيذ","لم يبدأ"))))</f>
        <v/>
      </c>
    </row>
    <row r="19">
      <c r="A19" s="73">
        <f>IF('جدول الكميات'!B19="","",'جدول الكميات'!B19)</f>
        <v/>
      </c>
      <c r="B19" s="74">
        <f>IF('جدول الكميات'!D19="","",'جدول الكميات'!D19)</f>
        <v/>
      </c>
      <c r="C19" s="73">
        <f>IF('جدول الكميات'!E19="","",'جدول الكميات'!E19)</f>
        <v/>
      </c>
      <c r="D19" s="74">
        <f>IF('جدول الكميات'!C19="","",'جدول الكميات'!C19)</f>
        <v/>
      </c>
      <c r="E19" s="75">
        <f>N('جدول الكميات'!F19)</f>
        <v/>
      </c>
      <c r="F19" s="75">
        <f>N('جدول الكميات'!G19)</f>
        <v/>
      </c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4">
        <f>SUM(G19:AD19)</f>
        <v/>
      </c>
      <c r="AF19" s="64">
        <f>E19-AE19</f>
        <v/>
      </c>
      <c r="AG19" s="76">
        <f>IF(E19&gt;0,AE19/E19,0)</f>
        <v/>
      </c>
      <c r="AH19" s="77">
        <f>AE19*F19</f>
        <v/>
      </c>
      <c r="AI19" s="78">
        <f>IF(A19="","",IF(AE19&gt;E19+0.0001,"⚠ تجاوز الكمية",IF(AG19&gt;=1,"✔ مكتمل",IF(AE19&gt;0,"جاري التنفيذ","لم يبدأ"))))</f>
        <v/>
      </c>
    </row>
    <row r="20">
      <c r="A20" s="73">
        <f>IF('جدول الكميات'!B20="","",'جدول الكميات'!B20)</f>
        <v/>
      </c>
      <c r="B20" s="74">
        <f>IF('جدول الكميات'!D20="","",'جدول الكميات'!D20)</f>
        <v/>
      </c>
      <c r="C20" s="73">
        <f>IF('جدول الكميات'!E20="","",'جدول الكميات'!E20)</f>
        <v/>
      </c>
      <c r="D20" s="74">
        <f>IF('جدول الكميات'!C20="","",'جدول الكميات'!C20)</f>
        <v/>
      </c>
      <c r="E20" s="75">
        <f>N('جدول الكميات'!F20)</f>
        <v/>
      </c>
      <c r="F20" s="75">
        <f>N('جدول الكميات'!G20)</f>
        <v/>
      </c>
      <c r="G20" s="63" t="n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3" t="n"/>
      <c r="AB20" s="63" t="n"/>
      <c r="AC20" s="63" t="n"/>
      <c r="AD20" s="63" t="n"/>
      <c r="AE20" s="64">
        <f>SUM(G20:AD20)</f>
        <v/>
      </c>
      <c r="AF20" s="64">
        <f>E20-AE20</f>
        <v/>
      </c>
      <c r="AG20" s="76">
        <f>IF(E20&gt;0,AE20/E20,0)</f>
        <v/>
      </c>
      <c r="AH20" s="77">
        <f>AE20*F20</f>
        <v/>
      </c>
      <c r="AI20" s="78">
        <f>IF(A20="","",IF(AE20&gt;E20+0.0001,"⚠ تجاوز الكمية",IF(AG20&gt;=1,"✔ مكتمل",IF(AE20&gt;0,"جاري التنفيذ","لم يبدأ"))))</f>
        <v/>
      </c>
    </row>
    <row r="21">
      <c r="A21" s="73">
        <f>IF('جدول الكميات'!B21="","",'جدول الكميات'!B21)</f>
        <v/>
      </c>
      <c r="B21" s="74">
        <f>IF('جدول الكميات'!D21="","",'جدول الكميات'!D21)</f>
        <v/>
      </c>
      <c r="C21" s="73">
        <f>IF('جدول الكميات'!E21="","",'جدول الكميات'!E21)</f>
        <v/>
      </c>
      <c r="D21" s="74">
        <f>IF('جدول الكميات'!C21="","",'جدول الكميات'!C21)</f>
        <v/>
      </c>
      <c r="E21" s="75">
        <f>N('جدول الكميات'!F21)</f>
        <v/>
      </c>
      <c r="F21" s="75">
        <f>N('جدول الكميات'!G21)</f>
        <v/>
      </c>
      <c r="G21" s="63" t="n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63" t="n"/>
      <c r="AE21" s="64">
        <f>SUM(G21:AD21)</f>
        <v/>
      </c>
      <c r="AF21" s="64">
        <f>E21-AE21</f>
        <v/>
      </c>
      <c r="AG21" s="76">
        <f>IF(E21&gt;0,AE21/E21,0)</f>
        <v/>
      </c>
      <c r="AH21" s="77">
        <f>AE21*F21</f>
        <v/>
      </c>
      <c r="AI21" s="78">
        <f>IF(A21="","",IF(AE21&gt;E21+0.0001,"⚠ تجاوز الكمية",IF(AG21&gt;=1,"✔ مكتمل",IF(AE21&gt;0,"جاري التنفيذ","لم يبدأ"))))</f>
        <v/>
      </c>
    </row>
    <row r="22">
      <c r="A22" s="73">
        <f>IF('جدول الكميات'!B22="","",'جدول الكميات'!B22)</f>
        <v/>
      </c>
      <c r="B22" s="74">
        <f>IF('جدول الكميات'!D22="","",'جدول الكميات'!D22)</f>
        <v/>
      </c>
      <c r="C22" s="73">
        <f>IF('جدول الكميات'!E22="","",'جدول الكميات'!E22)</f>
        <v/>
      </c>
      <c r="D22" s="74">
        <f>IF('جدول الكميات'!C22="","",'جدول الكميات'!C22)</f>
        <v/>
      </c>
      <c r="E22" s="75">
        <f>N('جدول الكميات'!F22)</f>
        <v/>
      </c>
      <c r="F22" s="75">
        <f>N('جدول الكميات'!G22)</f>
        <v/>
      </c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63" t="n"/>
      <c r="AE22" s="64">
        <f>SUM(G22:AD22)</f>
        <v/>
      </c>
      <c r="AF22" s="64">
        <f>E22-AE22</f>
        <v/>
      </c>
      <c r="AG22" s="76">
        <f>IF(E22&gt;0,AE22/E22,0)</f>
        <v/>
      </c>
      <c r="AH22" s="77">
        <f>AE22*F22</f>
        <v/>
      </c>
      <c r="AI22" s="78">
        <f>IF(A22="","",IF(AE22&gt;E22+0.0001,"⚠ تجاوز الكمية",IF(AG22&gt;=1,"✔ مكتمل",IF(AE22&gt;0,"جاري التنفيذ","لم يبدأ"))))</f>
        <v/>
      </c>
    </row>
    <row r="23">
      <c r="A23" s="73">
        <f>IF('جدول الكميات'!B23="","",'جدول الكميات'!B23)</f>
        <v/>
      </c>
      <c r="B23" s="74">
        <f>IF('جدول الكميات'!D23="","",'جدول الكميات'!D23)</f>
        <v/>
      </c>
      <c r="C23" s="73">
        <f>IF('جدول الكميات'!E23="","",'جدول الكميات'!E23)</f>
        <v/>
      </c>
      <c r="D23" s="74">
        <f>IF('جدول الكميات'!C23="","",'جدول الكميات'!C23)</f>
        <v/>
      </c>
      <c r="E23" s="75">
        <f>N('جدول الكميات'!F23)</f>
        <v/>
      </c>
      <c r="F23" s="75">
        <f>N('جدول الكميات'!G23)</f>
        <v/>
      </c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4">
        <f>SUM(G23:AD23)</f>
        <v/>
      </c>
      <c r="AF23" s="64">
        <f>E23-AE23</f>
        <v/>
      </c>
      <c r="AG23" s="76">
        <f>IF(E23&gt;0,AE23/E23,0)</f>
        <v/>
      </c>
      <c r="AH23" s="77">
        <f>AE23*F23</f>
        <v/>
      </c>
      <c r="AI23" s="78">
        <f>IF(A23="","",IF(AE23&gt;E23+0.0001,"⚠ تجاوز الكمية",IF(AG23&gt;=1,"✔ مكتمل",IF(AE23&gt;0,"جاري التنفيذ","لم يبدأ"))))</f>
        <v/>
      </c>
    </row>
    <row r="24">
      <c r="A24" s="73">
        <f>IF('جدول الكميات'!B24="","",'جدول الكميات'!B24)</f>
        <v/>
      </c>
      <c r="B24" s="74">
        <f>IF('جدول الكميات'!D24="","",'جدول الكميات'!D24)</f>
        <v/>
      </c>
      <c r="C24" s="73">
        <f>IF('جدول الكميات'!E24="","",'جدول الكميات'!E24)</f>
        <v/>
      </c>
      <c r="D24" s="74">
        <f>IF('جدول الكميات'!C24="","",'جدول الكميات'!C24)</f>
        <v/>
      </c>
      <c r="E24" s="75">
        <f>N('جدول الكميات'!F24)</f>
        <v/>
      </c>
      <c r="F24" s="75">
        <f>N('جدول الكميات'!G24)</f>
        <v/>
      </c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63" t="n"/>
      <c r="AE24" s="64">
        <f>SUM(G24:AD24)</f>
        <v/>
      </c>
      <c r="AF24" s="64">
        <f>E24-AE24</f>
        <v/>
      </c>
      <c r="AG24" s="76">
        <f>IF(E24&gt;0,AE24/E24,0)</f>
        <v/>
      </c>
      <c r="AH24" s="77">
        <f>AE24*F24</f>
        <v/>
      </c>
      <c r="AI24" s="78">
        <f>IF(A24="","",IF(AE24&gt;E24+0.0001,"⚠ تجاوز الكمية",IF(AG24&gt;=1,"✔ مكتمل",IF(AE24&gt;0,"جاري التنفيذ","لم يبدأ"))))</f>
        <v/>
      </c>
    </row>
    <row r="25">
      <c r="A25" s="73">
        <f>IF('جدول الكميات'!B25="","",'جدول الكميات'!B25)</f>
        <v/>
      </c>
      <c r="B25" s="74">
        <f>IF('جدول الكميات'!D25="","",'جدول الكميات'!D25)</f>
        <v/>
      </c>
      <c r="C25" s="73">
        <f>IF('جدول الكميات'!E25="","",'جدول الكميات'!E25)</f>
        <v/>
      </c>
      <c r="D25" s="74">
        <f>IF('جدول الكميات'!C25="","",'جدول الكميات'!C25)</f>
        <v/>
      </c>
      <c r="E25" s="75">
        <f>N('جدول الكميات'!F25)</f>
        <v/>
      </c>
      <c r="F25" s="75">
        <f>N('جدول الكميات'!G25)</f>
        <v/>
      </c>
      <c r="G25" s="63" t="n"/>
      <c r="H25" s="63" t="n"/>
      <c r="I25" s="63" t="n"/>
      <c r="J25" s="63" t="n">
        <v>64</v>
      </c>
      <c r="K25" s="63" t="n">
        <v>128</v>
      </c>
      <c r="L25" s="63" t="n">
        <v>192</v>
      </c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4">
        <f>SUM(G25:AD25)</f>
        <v/>
      </c>
      <c r="AF25" s="64">
        <f>E25-AE25</f>
        <v/>
      </c>
      <c r="AG25" s="76">
        <f>IF(E25&gt;0,AE25/E25,0)</f>
        <v/>
      </c>
      <c r="AH25" s="77">
        <f>AE25*F25</f>
        <v/>
      </c>
      <c r="AI25" s="78">
        <f>IF(A25="","",IF(AE25&gt;E25+0.0001,"⚠ تجاوز الكمية",IF(AG25&gt;=1,"✔ مكتمل",IF(AE25&gt;0,"جاري التنفيذ","لم يبدأ"))))</f>
        <v/>
      </c>
    </row>
    <row r="26">
      <c r="A26" s="73">
        <f>IF('جدول الكميات'!B26="","",'جدول الكميات'!B26)</f>
        <v/>
      </c>
      <c r="B26" s="74">
        <f>IF('جدول الكميات'!D26="","",'جدول الكميات'!D26)</f>
        <v/>
      </c>
      <c r="C26" s="73">
        <f>IF('جدول الكميات'!E26="","",'جدول الكميات'!E26)</f>
        <v/>
      </c>
      <c r="D26" s="74">
        <f>IF('جدول الكميات'!C26="","",'جدول الكميات'!C26)</f>
        <v/>
      </c>
      <c r="E26" s="75">
        <f>N('جدول الكميات'!F26)</f>
        <v/>
      </c>
      <c r="F26" s="75">
        <f>N('جدول الكميات'!G26)</f>
        <v/>
      </c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63" t="n"/>
      <c r="AE26" s="64">
        <f>SUM(G26:AD26)</f>
        <v/>
      </c>
      <c r="AF26" s="64">
        <f>E26-AE26</f>
        <v/>
      </c>
      <c r="AG26" s="76">
        <f>IF(E26&gt;0,AE26/E26,0)</f>
        <v/>
      </c>
      <c r="AH26" s="77">
        <f>AE26*F26</f>
        <v/>
      </c>
      <c r="AI26" s="78">
        <f>IF(A26="","",IF(AE26&gt;E26+0.0001,"⚠ تجاوز الكمية",IF(AG26&gt;=1,"✔ مكتمل",IF(AE26&gt;0,"جاري التنفيذ","لم يبدأ"))))</f>
        <v/>
      </c>
    </row>
    <row r="27">
      <c r="A27" s="73">
        <f>IF('جدول الكميات'!B27="","",'جدول الكميات'!B27)</f>
        <v/>
      </c>
      <c r="B27" s="74">
        <f>IF('جدول الكميات'!D27="","",'جدول الكميات'!D27)</f>
        <v/>
      </c>
      <c r="C27" s="73">
        <f>IF('جدول الكميات'!E27="","",'جدول الكميات'!E27)</f>
        <v/>
      </c>
      <c r="D27" s="74">
        <f>IF('جدول الكميات'!C27="","",'جدول الكميات'!C27)</f>
        <v/>
      </c>
      <c r="E27" s="75">
        <f>N('جدول الكميات'!F27)</f>
        <v/>
      </c>
      <c r="F27" s="75">
        <f>N('جدول الكميات'!G27)</f>
        <v/>
      </c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63" t="n"/>
      <c r="AE27" s="64">
        <f>SUM(G27:AD27)</f>
        <v/>
      </c>
      <c r="AF27" s="64">
        <f>E27-AE27</f>
        <v/>
      </c>
      <c r="AG27" s="76">
        <f>IF(E27&gt;0,AE27/E27,0)</f>
        <v/>
      </c>
      <c r="AH27" s="77">
        <f>AE27*F27</f>
        <v/>
      </c>
      <c r="AI27" s="78">
        <f>IF(A27="","",IF(AE27&gt;E27+0.0001,"⚠ تجاوز الكمية",IF(AG27&gt;=1,"✔ مكتمل",IF(AE27&gt;0,"جاري التنفيذ","لم يبدأ"))))</f>
        <v/>
      </c>
    </row>
    <row r="28">
      <c r="A28" s="73">
        <f>IF('جدول الكميات'!B28="","",'جدول الكميات'!B28)</f>
        <v/>
      </c>
      <c r="B28" s="74">
        <f>IF('جدول الكميات'!D28="","",'جدول الكميات'!D28)</f>
        <v/>
      </c>
      <c r="C28" s="73">
        <f>IF('جدول الكميات'!E28="","",'جدول الكميات'!E28)</f>
        <v/>
      </c>
      <c r="D28" s="74">
        <f>IF('جدول الكميات'!C28="","",'جدول الكميات'!C28)</f>
        <v/>
      </c>
      <c r="E28" s="75">
        <f>N('جدول الكميات'!F28)</f>
        <v/>
      </c>
      <c r="F28" s="75">
        <f>N('جدول الكميات'!G28)</f>
        <v/>
      </c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  <c r="AC28" s="63" t="n"/>
      <c r="AD28" s="63" t="n"/>
      <c r="AE28" s="64">
        <f>SUM(G28:AD28)</f>
        <v/>
      </c>
      <c r="AF28" s="64">
        <f>E28-AE28</f>
        <v/>
      </c>
      <c r="AG28" s="76">
        <f>IF(E28&gt;0,AE28/E28,0)</f>
        <v/>
      </c>
      <c r="AH28" s="77">
        <f>AE28*F28</f>
        <v/>
      </c>
      <c r="AI28" s="78">
        <f>IF(A28="","",IF(AE28&gt;E28+0.0001,"⚠ تجاوز الكمية",IF(AG28&gt;=1,"✔ مكتمل",IF(AE28&gt;0,"جاري التنفيذ","لم يبدأ"))))</f>
        <v/>
      </c>
    </row>
    <row r="29">
      <c r="A29" s="73">
        <f>IF('جدول الكميات'!B29="","",'جدول الكميات'!B29)</f>
        <v/>
      </c>
      <c r="B29" s="74">
        <f>IF('جدول الكميات'!D29="","",'جدول الكميات'!D29)</f>
        <v/>
      </c>
      <c r="C29" s="73">
        <f>IF('جدول الكميات'!E29="","",'جدول الكميات'!E29)</f>
        <v/>
      </c>
      <c r="D29" s="74">
        <f>IF('جدول الكميات'!C29="","",'جدول الكميات'!C29)</f>
        <v/>
      </c>
      <c r="E29" s="75">
        <f>N('جدول الكميات'!F29)</f>
        <v/>
      </c>
      <c r="F29" s="75">
        <f>N('جدول الكميات'!G29)</f>
        <v/>
      </c>
      <c r="G29" s="63" t="n"/>
      <c r="H29" s="63" t="n"/>
      <c r="I29" s="63" t="n">
        <v>16.8</v>
      </c>
      <c r="J29" s="63" t="n">
        <v>21</v>
      </c>
      <c r="K29" s="63" t="n">
        <v>21</v>
      </c>
      <c r="L29" s="63" t="n">
        <v>25.2</v>
      </c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4">
        <f>SUM(G29:AD29)</f>
        <v/>
      </c>
      <c r="AF29" s="64">
        <f>E29-AE29</f>
        <v/>
      </c>
      <c r="AG29" s="76">
        <f>IF(E29&gt;0,AE29/E29,0)</f>
        <v/>
      </c>
      <c r="AH29" s="77">
        <f>AE29*F29</f>
        <v/>
      </c>
      <c r="AI29" s="78">
        <f>IF(A29="","",IF(AE29&gt;E29+0.0001,"⚠ تجاوز الكمية",IF(AG29&gt;=1,"✔ مكتمل",IF(AE29&gt;0,"جاري التنفيذ","لم يبدأ"))))</f>
        <v/>
      </c>
    </row>
    <row r="30">
      <c r="A30" s="73">
        <f>IF('جدول الكميات'!B30="","",'جدول الكميات'!B30)</f>
        <v/>
      </c>
      <c r="B30" s="74">
        <f>IF('جدول الكميات'!D30="","",'جدول الكميات'!D30)</f>
        <v/>
      </c>
      <c r="C30" s="73">
        <f>IF('جدول الكميات'!E30="","",'جدول الكميات'!E30)</f>
        <v/>
      </c>
      <c r="D30" s="74">
        <f>IF('جدول الكميات'!C30="","",'جدول الكميات'!C30)</f>
        <v/>
      </c>
      <c r="E30" s="75">
        <f>N('جدول الكميات'!F30)</f>
        <v/>
      </c>
      <c r="F30" s="75">
        <f>N('جدول الكميات'!G30)</f>
        <v/>
      </c>
      <c r="G30" s="63" t="n"/>
      <c r="H30" s="63" t="n"/>
      <c r="I30" s="63" t="n">
        <v>22.8</v>
      </c>
      <c r="J30" s="63" t="n">
        <v>19</v>
      </c>
      <c r="K30" s="63" t="n">
        <v>19</v>
      </c>
      <c r="L30" s="63" t="n">
        <v>19</v>
      </c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63" t="n"/>
      <c r="AE30" s="64">
        <f>SUM(G30:AD30)</f>
        <v/>
      </c>
      <c r="AF30" s="64">
        <f>E30-AE30</f>
        <v/>
      </c>
      <c r="AG30" s="76">
        <f>IF(E30&gt;0,AE30/E30,0)</f>
        <v/>
      </c>
      <c r="AH30" s="77">
        <f>AE30*F30</f>
        <v/>
      </c>
      <c r="AI30" s="78">
        <f>IF(A30="","",IF(AE30&gt;E30+0.0001,"⚠ تجاوز الكمية",IF(AG30&gt;=1,"✔ مكتمل",IF(AE30&gt;0,"جاري التنفيذ","لم يبدأ"))))</f>
        <v/>
      </c>
    </row>
    <row r="31">
      <c r="A31" s="73">
        <f>IF('جدول الكميات'!B31="","",'جدول الكميات'!B31)</f>
        <v/>
      </c>
      <c r="B31" s="74">
        <f>IF('جدول الكميات'!D31="","",'جدول الكميات'!D31)</f>
        <v/>
      </c>
      <c r="C31" s="73">
        <f>IF('جدول الكميات'!E31="","",'جدول الكميات'!E31)</f>
        <v/>
      </c>
      <c r="D31" s="74">
        <f>IF('جدول الكميات'!C31="","",'جدول الكميات'!C31)</f>
        <v/>
      </c>
      <c r="E31" s="75">
        <f>N('جدول الكميات'!F31)</f>
        <v/>
      </c>
      <c r="F31" s="75">
        <f>N('جدول الكميات'!G31)</f>
        <v/>
      </c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4">
        <f>SUM(G31:AD31)</f>
        <v/>
      </c>
      <c r="AF31" s="64">
        <f>E31-AE31</f>
        <v/>
      </c>
      <c r="AG31" s="76">
        <f>IF(E31&gt;0,AE31/E31,0)</f>
        <v/>
      </c>
      <c r="AH31" s="77">
        <f>AE31*F31</f>
        <v/>
      </c>
      <c r="AI31" s="78">
        <f>IF(A31="","",IF(AE31&gt;E31+0.0001,"⚠ تجاوز الكمية",IF(AG31&gt;=1,"✔ مكتمل",IF(AE31&gt;0,"جاري التنفيذ","لم يبدأ"))))</f>
        <v/>
      </c>
    </row>
    <row r="32">
      <c r="A32" s="73">
        <f>IF('جدول الكميات'!B32="","",'جدول الكميات'!B32)</f>
        <v/>
      </c>
      <c r="B32" s="74">
        <f>IF('جدول الكميات'!D32="","",'جدول الكميات'!D32)</f>
        <v/>
      </c>
      <c r="C32" s="73">
        <f>IF('جدول الكميات'!E32="","",'جدول الكميات'!E32)</f>
        <v/>
      </c>
      <c r="D32" s="74">
        <f>IF('جدول الكميات'!C32="","",'جدول الكميات'!C32)</f>
        <v/>
      </c>
      <c r="E32" s="75">
        <f>N('جدول الكميات'!F32)</f>
        <v/>
      </c>
      <c r="F32" s="75">
        <f>N('جدول الكميات'!G32)</f>
        <v/>
      </c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63" t="n"/>
      <c r="AE32" s="64">
        <f>SUM(G32:AD32)</f>
        <v/>
      </c>
      <c r="AF32" s="64">
        <f>E32-AE32</f>
        <v/>
      </c>
      <c r="AG32" s="76">
        <f>IF(E32&gt;0,AE32/E32,0)</f>
        <v/>
      </c>
      <c r="AH32" s="77">
        <f>AE32*F32</f>
        <v/>
      </c>
      <c r="AI32" s="78">
        <f>IF(A32="","",IF(AE32&gt;E32+0.0001,"⚠ تجاوز الكمية",IF(AG32&gt;=1,"✔ مكتمل",IF(AE32&gt;0,"جاري التنفيذ","لم يبدأ"))))</f>
        <v/>
      </c>
    </row>
    <row r="33">
      <c r="A33" s="73">
        <f>IF('جدول الكميات'!B33="","",'جدول الكميات'!B33)</f>
        <v/>
      </c>
      <c r="B33" s="74">
        <f>IF('جدول الكميات'!D33="","",'جدول الكميات'!D33)</f>
        <v/>
      </c>
      <c r="C33" s="73">
        <f>IF('جدول الكميات'!E33="","",'جدول الكميات'!E33)</f>
        <v/>
      </c>
      <c r="D33" s="74">
        <f>IF('جدول الكميات'!C33="","",'جدول الكميات'!C33)</f>
        <v/>
      </c>
      <c r="E33" s="75">
        <f>N('جدول الكميات'!F33)</f>
        <v/>
      </c>
      <c r="F33" s="75">
        <f>N('جدول الكميات'!G33)</f>
        <v/>
      </c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4">
        <f>SUM(G33:AD33)</f>
        <v/>
      </c>
      <c r="AF33" s="64">
        <f>E33-AE33</f>
        <v/>
      </c>
      <c r="AG33" s="76">
        <f>IF(E33&gt;0,AE33/E33,0)</f>
        <v/>
      </c>
      <c r="AH33" s="77">
        <f>AE33*F33</f>
        <v/>
      </c>
      <c r="AI33" s="78">
        <f>IF(A33="","",IF(AE33&gt;E33+0.0001,"⚠ تجاوز الكمية",IF(AG33&gt;=1,"✔ مكتمل",IF(AE33&gt;0,"جاري التنفيذ","لم يبدأ"))))</f>
        <v/>
      </c>
    </row>
    <row r="34">
      <c r="A34" s="73">
        <f>IF('جدول الكميات'!B34="","",'جدول الكميات'!B34)</f>
        <v/>
      </c>
      <c r="B34" s="74">
        <f>IF('جدول الكميات'!D34="","",'جدول الكميات'!D34)</f>
        <v/>
      </c>
      <c r="C34" s="73">
        <f>IF('جدول الكميات'!E34="","",'جدول الكميات'!E34)</f>
        <v/>
      </c>
      <c r="D34" s="74">
        <f>IF('جدول الكميات'!C34="","",'جدول الكميات'!C34)</f>
        <v/>
      </c>
      <c r="E34" s="75">
        <f>N('جدول الكميات'!F34)</f>
        <v/>
      </c>
      <c r="F34" s="75">
        <f>N('جدول الكميات'!G34)</f>
        <v/>
      </c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4">
        <f>SUM(G34:AD34)</f>
        <v/>
      </c>
      <c r="AF34" s="64">
        <f>E34-AE34</f>
        <v/>
      </c>
      <c r="AG34" s="76">
        <f>IF(E34&gt;0,AE34/E34,0)</f>
        <v/>
      </c>
      <c r="AH34" s="77">
        <f>AE34*F34</f>
        <v/>
      </c>
      <c r="AI34" s="78">
        <f>IF(A34="","",IF(AE34&gt;E34+0.0001,"⚠ تجاوز الكمية",IF(AG34&gt;=1,"✔ مكتمل",IF(AE34&gt;0,"جاري التنفيذ","لم يبدأ"))))</f>
        <v/>
      </c>
    </row>
    <row r="35">
      <c r="A35" s="73">
        <f>IF('جدول الكميات'!B35="","",'جدول الكميات'!B35)</f>
        <v/>
      </c>
      <c r="B35" s="74">
        <f>IF('جدول الكميات'!D35="","",'جدول الكميات'!D35)</f>
        <v/>
      </c>
      <c r="C35" s="73">
        <f>IF('جدول الكميات'!E35="","",'جدول الكميات'!E35)</f>
        <v/>
      </c>
      <c r="D35" s="74">
        <f>IF('جدول الكميات'!C35="","",'جدول الكميات'!C35)</f>
        <v/>
      </c>
      <c r="E35" s="75">
        <f>N('جدول الكميات'!F35)</f>
        <v/>
      </c>
      <c r="F35" s="75">
        <f>N('جدول الكميات'!G35)</f>
        <v/>
      </c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4">
        <f>SUM(G35:AD35)</f>
        <v/>
      </c>
      <c r="AF35" s="64">
        <f>E35-AE35</f>
        <v/>
      </c>
      <c r="AG35" s="76">
        <f>IF(E35&gt;0,AE35/E35,0)</f>
        <v/>
      </c>
      <c r="AH35" s="77">
        <f>AE35*F35</f>
        <v/>
      </c>
      <c r="AI35" s="78">
        <f>IF(A35="","",IF(AE35&gt;E35+0.0001,"⚠ تجاوز الكمية",IF(AG35&gt;=1,"✔ مكتمل",IF(AE35&gt;0,"جاري التنفيذ","لم يبدأ"))))</f>
        <v/>
      </c>
    </row>
    <row r="36">
      <c r="A36" s="73">
        <f>IF('جدول الكميات'!B36="","",'جدول الكميات'!B36)</f>
        <v/>
      </c>
      <c r="B36" s="74">
        <f>IF('جدول الكميات'!D36="","",'جدول الكميات'!D36)</f>
        <v/>
      </c>
      <c r="C36" s="73">
        <f>IF('جدول الكميات'!E36="","",'جدول الكميات'!E36)</f>
        <v/>
      </c>
      <c r="D36" s="74">
        <f>IF('جدول الكميات'!C36="","",'جدول الكميات'!C36)</f>
        <v/>
      </c>
      <c r="E36" s="75">
        <f>N('جدول الكميات'!F36)</f>
        <v/>
      </c>
      <c r="F36" s="75">
        <f>N('جدول الكميات'!G36)</f>
        <v/>
      </c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  <c r="AC36" s="63" t="n"/>
      <c r="AD36" s="63" t="n"/>
      <c r="AE36" s="64">
        <f>SUM(G36:AD36)</f>
        <v/>
      </c>
      <c r="AF36" s="64">
        <f>E36-AE36</f>
        <v/>
      </c>
      <c r="AG36" s="76">
        <f>IF(E36&gt;0,AE36/E36,0)</f>
        <v/>
      </c>
      <c r="AH36" s="77">
        <f>AE36*F36</f>
        <v/>
      </c>
      <c r="AI36" s="78">
        <f>IF(A36="","",IF(AE36&gt;E36+0.0001,"⚠ تجاوز الكمية",IF(AG36&gt;=1,"✔ مكتمل",IF(AE36&gt;0,"جاري التنفيذ","لم يبدأ"))))</f>
        <v/>
      </c>
    </row>
    <row r="37">
      <c r="A37" s="73">
        <f>IF('جدول الكميات'!B37="","",'جدول الكميات'!B37)</f>
        <v/>
      </c>
      <c r="B37" s="74">
        <f>IF('جدول الكميات'!D37="","",'جدول الكميات'!D37)</f>
        <v/>
      </c>
      <c r="C37" s="73">
        <f>IF('جدول الكميات'!E37="","",'جدول الكميات'!E37)</f>
        <v/>
      </c>
      <c r="D37" s="74">
        <f>IF('جدول الكميات'!C37="","",'جدول الكميات'!C37)</f>
        <v/>
      </c>
      <c r="E37" s="75">
        <f>N('جدول الكميات'!F37)</f>
        <v/>
      </c>
      <c r="F37" s="75">
        <f>N('جدول الكميات'!G37)</f>
        <v/>
      </c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4">
        <f>SUM(G37:AD37)</f>
        <v/>
      </c>
      <c r="AF37" s="64">
        <f>E37-AE37</f>
        <v/>
      </c>
      <c r="AG37" s="76">
        <f>IF(E37&gt;0,AE37/E37,0)</f>
        <v/>
      </c>
      <c r="AH37" s="77">
        <f>AE37*F37</f>
        <v/>
      </c>
      <c r="AI37" s="78">
        <f>IF(A37="","",IF(AE37&gt;E37+0.0001,"⚠ تجاوز الكمية",IF(AG37&gt;=1,"✔ مكتمل",IF(AE37&gt;0,"جاري التنفيذ","لم يبدأ"))))</f>
        <v/>
      </c>
    </row>
    <row r="38">
      <c r="A38" s="73">
        <f>IF('جدول الكميات'!B38="","",'جدول الكميات'!B38)</f>
        <v/>
      </c>
      <c r="B38" s="74">
        <f>IF('جدول الكميات'!D38="","",'جدول الكميات'!D38)</f>
        <v/>
      </c>
      <c r="C38" s="73">
        <f>IF('جدول الكميات'!E38="","",'جدول الكميات'!E38)</f>
        <v/>
      </c>
      <c r="D38" s="74">
        <f>IF('جدول الكميات'!C38="","",'جدول الكميات'!C38)</f>
        <v/>
      </c>
      <c r="E38" s="75">
        <f>N('جدول الكميات'!F38)</f>
        <v/>
      </c>
      <c r="F38" s="75">
        <f>N('جدول الكميات'!G38)</f>
        <v/>
      </c>
      <c r="G38" s="63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  <c r="Z38" s="63" t="n"/>
      <c r="AA38" s="63" t="n"/>
      <c r="AB38" s="63" t="n"/>
      <c r="AC38" s="63" t="n"/>
      <c r="AD38" s="63" t="n"/>
      <c r="AE38" s="64">
        <f>SUM(G38:AD38)</f>
        <v/>
      </c>
      <c r="AF38" s="64">
        <f>E38-AE38</f>
        <v/>
      </c>
      <c r="AG38" s="76">
        <f>IF(E38&gt;0,AE38/E38,0)</f>
        <v/>
      </c>
      <c r="AH38" s="77">
        <f>AE38*F38</f>
        <v/>
      </c>
      <c r="AI38" s="78">
        <f>IF(A38="","",IF(AE38&gt;E38+0.0001,"⚠ تجاوز الكمية",IF(AG38&gt;=1,"✔ مكتمل",IF(AE38&gt;0,"جاري التنفيذ","لم يبدأ"))))</f>
        <v/>
      </c>
    </row>
    <row r="39">
      <c r="A39" s="73">
        <f>IF('جدول الكميات'!B39="","",'جدول الكميات'!B39)</f>
        <v/>
      </c>
      <c r="B39" s="74">
        <f>IF('جدول الكميات'!D39="","",'جدول الكميات'!D39)</f>
        <v/>
      </c>
      <c r="C39" s="73">
        <f>IF('جدول الكميات'!E39="","",'جدول الكميات'!E39)</f>
        <v/>
      </c>
      <c r="D39" s="74">
        <f>IF('جدول الكميات'!C39="","",'جدول الكميات'!C39)</f>
        <v/>
      </c>
      <c r="E39" s="75">
        <f>N('جدول الكميات'!F39)</f>
        <v/>
      </c>
      <c r="F39" s="75">
        <f>N('جدول الكميات'!G39)</f>
        <v/>
      </c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4">
        <f>SUM(G39:AD39)</f>
        <v/>
      </c>
      <c r="AF39" s="64">
        <f>E39-AE39</f>
        <v/>
      </c>
      <c r="AG39" s="76">
        <f>IF(E39&gt;0,AE39/E39,0)</f>
        <v/>
      </c>
      <c r="AH39" s="77">
        <f>AE39*F39</f>
        <v/>
      </c>
      <c r="AI39" s="78">
        <f>IF(A39="","",IF(AE39&gt;E39+0.0001,"⚠ تجاوز الكمية",IF(AG39&gt;=1,"✔ مكتمل",IF(AE39&gt;0,"جاري التنفيذ","لم يبدأ"))))</f>
        <v/>
      </c>
    </row>
    <row r="40">
      <c r="A40" s="73">
        <f>IF('جدول الكميات'!B40="","",'جدول الكميات'!B40)</f>
        <v/>
      </c>
      <c r="B40" s="74">
        <f>IF('جدول الكميات'!D40="","",'جدول الكميات'!D40)</f>
        <v/>
      </c>
      <c r="C40" s="73">
        <f>IF('جدول الكميات'!E40="","",'جدول الكميات'!E40)</f>
        <v/>
      </c>
      <c r="D40" s="74">
        <f>IF('جدول الكميات'!C40="","",'جدول الكميات'!C40)</f>
        <v/>
      </c>
      <c r="E40" s="75">
        <f>N('جدول الكميات'!F40)</f>
        <v/>
      </c>
      <c r="F40" s="75">
        <f>N('جدول الكميات'!G40)</f>
        <v/>
      </c>
      <c r="G40" s="63" t="n"/>
      <c r="H40" s="63" t="n"/>
      <c r="I40" s="63" t="n"/>
      <c r="J40" s="63" t="n"/>
      <c r="K40" s="63" t="n"/>
      <c r="L40" s="63" t="n"/>
      <c r="M40" s="63" t="n"/>
      <c r="N40" s="63" t="n"/>
      <c r="O40" s="63" t="n"/>
      <c r="P40" s="63" t="n"/>
      <c r="Q40" s="63" t="n"/>
      <c r="R40" s="63" t="n"/>
      <c r="S40" s="63" t="n"/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  <c r="AC40" s="63" t="n"/>
      <c r="AD40" s="63" t="n"/>
      <c r="AE40" s="64">
        <f>SUM(G40:AD40)</f>
        <v/>
      </c>
      <c r="AF40" s="64">
        <f>E40-AE40</f>
        <v/>
      </c>
      <c r="AG40" s="76">
        <f>IF(E40&gt;0,AE40/E40,0)</f>
        <v/>
      </c>
      <c r="AH40" s="77">
        <f>AE40*F40</f>
        <v/>
      </c>
      <c r="AI40" s="78">
        <f>IF(A40="","",IF(AE40&gt;E40+0.0001,"⚠ تجاوز الكمية",IF(AG40&gt;=1,"✔ مكتمل",IF(AE40&gt;0,"جاري التنفيذ","لم يبدأ"))))</f>
        <v/>
      </c>
    </row>
    <row r="41">
      <c r="A41" s="73">
        <f>IF('جدول الكميات'!B41="","",'جدول الكميات'!B41)</f>
        <v/>
      </c>
      <c r="B41" s="74">
        <f>IF('جدول الكميات'!D41="","",'جدول الكميات'!D41)</f>
        <v/>
      </c>
      <c r="C41" s="73">
        <f>IF('جدول الكميات'!E41="","",'جدول الكميات'!E41)</f>
        <v/>
      </c>
      <c r="D41" s="74">
        <f>IF('جدول الكميات'!C41="","",'جدول الكميات'!C41)</f>
        <v/>
      </c>
      <c r="E41" s="75">
        <f>N('جدول الكميات'!F41)</f>
        <v/>
      </c>
      <c r="F41" s="75">
        <f>N('جدول الكميات'!G41)</f>
        <v/>
      </c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63" t="n"/>
      <c r="AE41" s="64">
        <f>SUM(G41:AD41)</f>
        <v/>
      </c>
      <c r="AF41" s="64">
        <f>E41-AE41</f>
        <v/>
      </c>
      <c r="AG41" s="76">
        <f>IF(E41&gt;0,AE41/E41,0)</f>
        <v/>
      </c>
      <c r="AH41" s="77">
        <f>AE41*F41</f>
        <v/>
      </c>
      <c r="AI41" s="78">
        <f>IF(A41="","",IF(AE41&gt;E41+0.0001,"⚠ تجاوز الكمية",IF(AG41&gt;=1,"✔ مكتمل",IF(AE41&gt;0,"جاري التنفيذ","لم يبدأ"))))</f>
        <v/>
      </c>
    </row>
    <row r="42">
      <c r="A42" s="73">
        <f>IF('جدول الكميات'!B42="","",'جدول الكميات'!B42)</f>
        <v/>
      </c>
      <c r="B42" s="74">
        <f>IF('جدول الكميات'!D42="","",'جدول الكميات'!D42)</f>
        <v/>
      </c>
      <c r="C42" s="73">
        <f>IF('جدول الكميات'!E42="","",'جدول الكميات'!E42)</f>
        <v/>
      </c>
      <c r="D42" s="74">
        <f>IF('جدول الكميات'!C42="","",'جدول الكميات'!C42)</f>
        <v/>
      </c>
      <c r="E42" s="75">
        <f>N('جدول الكميات'!F42)</f>
        <v/>
      </c>
      <c r="F42" s="75">
        <f>N('جدول الكميات'!G42)</f>
        <v/>
      </c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3" t="n"/>
      <c r="AB42" s="63" t="n"/>
      <c r="AC42" s="63" t="n"/>
      <c r="AD42" s="63" t="n"/>
      <c r="AE42" s="64">
        <f>SUM(G42:AD42)</f>
        <v/>
      </c>
      <c r="AF42" s="64">
        <f>E42-AE42</f>
        <v/>
      </c>
      <c r="AG42" s="76">
        <f>IF(E42&gt;0,AE42/E42,0)</f>
        <v/>
      </c>
      <c r="AH42" s="77">
        <f>AE42*F42</f>
        <v/>
      </c>
      <c r="AI42" s="78">
        <f>IF(A42="","",IF(AE42&gt;E42+0.0001,"⚠ تجاوز الكمية",IF(AG42&gt;=1,"✔ مكتمل",IF(AE42&gt;0,"جاري التنفيذ","لم يبدأ"))))</f>
        <v/>
      </c>
    </row>
    <row r="43">
      <c r="A43" s="73">
        <f>IF('جدول الكميات'!B43="","",'جدول الكميات'!B43)</f>
        <v/>
      </c>
      <c r="B43" s="74">
        <f>IF('جدول الكميات'!D43="","",'جدول الكميات'!D43)</f>
        <v/>
      </c>
      <c r="C43" s="73">
        <f>IF('جدول الكميات'!E43="","",'جدول الكميات'!E43)</f>
        <v/>
      </c>
      <c r="D43" s="74">
        <f>IF('جدول الكميات'!C43="","",'جدول الكميات'!C43)</f>
        <v/>
      </c>
      <c r="E43" s="75">
        <f>N('جدول الكميات'!F43)</f>
        <v/>
      </c>
      <c r="F43" s="75">
        <f>N('جدول الكميات'!G43)</f>
        <v/>
      </c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63" t="n"/>
      <c r="AE43" s="64">
        <f>SUM(G43:AD43)</f>
        <v/>
      </c>
      <c r="AF43" s="64">
        <f>E43-AE43</f>
        <v/>
      </c>
      <c r="AG43" s="76">
        <f>IF(E43&gt;0,AE43/E43,0)</f>
        <v/>
      </c>
      <c r="AH43" s="77">
        <f>AE43*F43</f>
        <v/>
      </c>
      <c r="AI43" s="78">
        <f>IF(A43="","",IF(AE43&gt;E43+0.0001,"⚠ تجاوز الكمية",IF(AG43&gt;=1,"✔ مكتمل",IF(AE43&gt;0,"جاري التنفيذ","لم يبدأ"))))</f>
        <v/>
      </c>
    </row>
    <row r="44">
      <c r="A44" s="73">
        <f>IF('جدول الكميات'!B44="","",'جدول الكميات'!B44)</f>
        <v/>
      </c>
      <c r="B44" s="74">
        <f>IF('جدول الكميات'!D44="","",'جدول الكميات'!D44)</f>
        <v/>
      </c>
      <c r="C44" s="73">
        <f>IF('جدول الكميات'!E44="","",'جدول الكميات'!E44)</f>
        <v/>
      </c>
      <c r="D44" s="74">
        <f>IF('جدول الكميات'!C44="","",'جدول الكميات'!C44)</f>
        <v/>
      </c>
      <c r="E44" s="75">
        <f>N('جدول الكميات'!F44)</f>
        <v/>
      </c>
      <c r="F44" s="75">
        <f>N('جدول الكميات'!G44)</f>
        <v/>
      </c>
      <c r="G44" s="63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/>
      <c r="AA44" s="63" t="n"/>
      <c r="AB44" s="63" t="n"/>
      <c r="AC44" s="63" t="n"/>
      <c r="AD44" s="63" t="n"/>
      <c r="AE44" s="64">
        <f>SUM(G44:AD44)</f>
        <v/>
      </c>
      <c r="AF44" s="64">
        <f>E44-AE44</f>
        <v/>
      </c>
      <c r="AG44" s="76">
        <f>IF(E44&gt;0,AE44/E44,0)</f>
        <v/>
      </c>
      <c r="AH44" s="77">
        <f>AE44*F44</f>
        <v/>
      </c>
      <c r="AI44" s="78">
        <f>IF(A44="","",IF(AE44&gt;E44+0.0001,"⚠ تجاوز الكمية",IF(AG44&gt;=1,"✔ مكتمل",IF(AE44&gt;0,"جاري التنفيذ","لم يبدأ"))))</f>
        <v/>
      </c>
    </row>
    <row r="45">
      <c r="A45" s="73">
        <f>IF('جدول الكميات'!B45="","",'جدول الكميات'!B45)</f>
        <v/>
      </c>
      <c r="B45" s="74">
        <f>IF('جدول الكميات'!D45="","",'جدول الكميات'!D45)</f>
        <v/>
      </c>
      <c r="C45" s="73">
        <f>IF('جدول الكميات'!E45="","",'جدول الكميات'!E45)</f>
        <v/>
      </c>
      <c r="D45" s="74">
        <f>IF('جدول الكميات'!C45="","",'جدول الكميات'!C45)</f>
        <v/>
      </c>
      <c r="E45" s="75">
        <f>N('جدول الكميات'!F45)</f>
        <v/>
      </c>
      <c r="F45" s="75">
        <f>N('جدول الكميات'!G45)</f>
        <v/>
      </c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63" t="n"/>
      <c r="AE45" s="64">
        <f>SUM(G45:AD45)</f>
        <v/>
      </c>
      <c r="AF45" s="64">
        <f>E45-AE45</f>
        <v/>
      </c>
      <c r="AG45" s="76">
        <f>IF(E45&gt;0,AE45/E45,0)</f>
        <v/>
      </c>
      <c r="AH45" s="77">
        <f>AE45*F45</f>
        <v/>
      </c>
      <c r="AI45" s="78">
        <f>IF(A45="","",IF(AE45&gt;E45+0.0001,"⚠ تجاوز الكمية",IF(AG45&gt;=1,"✔ مكتمل",IF(AE45&gt;0,"جاري التنفيذ","لم يبدأ"))))</f>
        <v/>
      </c>
    </row>
    <row r="46">
      <c r="A46" s="73">
        <f>IF('جدول الكميات'!B46="","",'جدول الكميات'!B46)</f>
        <v/>
      </c>
      <c r="B46" s="74">
        <f>IF('جدول الكميات'!D46="","",'جدول الكميات'!D46)</f>
        <v/>
      </c>
      <c r="C46" s="73">
        <f>IF('جدول الكميات'!E46="","",'جدول الكميات'!E46)</f>
        <v/>
      </c>
      <c r="D46" s="74">
        <f>IF('جدول الكميات'!C46="","",'جدول الكميات'!C46)</f>
        <v/>
      </c>
      <c r="E46" s="75">
        <f>N('جدول الكميات'!F46)</f>
        <v/>
      </c>
      <c r="F46" s="75">
        <f>N('جدول الكميات'!G46)</f>
        <v/>
      </c>
      <c r="G46" s="63" t="n"/>
      <c r="H46" s="63" t="n"/>
      <c r="I46" s="63" t="n"/>
      <c r="J46" s="63" t="n"/>
      <c r="K46" s="63" t="n"/>
      <c r="L46" s="63" t="n"/>
      <c r="M46" s="63" t="n"/>
      <c r="N46" s="63" t="n"/>
      <c r="O46" s="63" t="n"/>
      <c r="P46" s="63" t="n"/>
      <c r="Q46" s="63" t="n"/>
      <c r="R46" s="63" t="n"/>
      <c r="S46" s="63" t="n"/>
      <c r="T46" s="63" t="n"/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63" t="n"/>
      <c r="AE46" s="64">
        <f>SUM(G46:AD46)</f>
        <v/>
      </c>
      <c r="AF46" s="64">
        <f>E46-AE46</f>
        <v/>
      </c>
      <c r="AG46" s="76">
        <f>IF(E46&gt;0,AE46/E46,0)</f>
        <v/>
      </c>
      <c r="AH46" s="77">
        <f>AE46*F46</f>
        <v/>
      </c>
      <c r="AI46" s="78">
        <f>IF(A46="","",IF(AE46&gt;E46+0.0001,"⚠ تجاوز الكمية",IF(AG46&gt;=1,"✔ مكتمل",IF(AE46&gt;0,"جاري التنفيذ","لم يبدأ"))))</f>
        <v/>
      </c>
    </row>
    <row r="47">
      <c r="A47" s="73">
        <f>IF('جدول الكميات'!B47="","",'جدول الكميات'!B47)</f>
        <v/>
      </c>
      <c r="B47" s="74">
        <f>IF('جدول الكميات'!D47="","",'جدول الكميات'!D47)</f>
        <v/>
      </c>
      <c r="C47" s="73">
        <f>IF('جدول الكميات'!E47="","",'جدول الكميات'!E47)</f>
        <v/>
      </c>
      <c r="D47" s="74">
        <f>IF('جدول الكميات'!C47="","",'جدول الكميات'!C47)</f>
        <v/>
      </c>
      <c r="E47" s="75">
        <f>N('جدول الكميات'!F47)</f>
        <v/>
      </c>
      <c r="F47" s="75">
        <f>N('جدول الكميات'!G47)</f>
        <v/>
      </c>
      <c r="G47" s="63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3" t="n"/>
      <c r="AD47" s="63" t="n"/>
      <c r="AE47" s="64">
        <f>SUM(G47:AD47)</f>
        <v/>
      </c>
      <c r="AF47" s="64">
        <f>E47-AE47</f>
        <v/>
      </c>
      <c r="AG47" s="76">
        <f>IF(E47&gt;0,AE47/E47,0)</f>
        <v/>
      </c>
      <c r="AH47" s="77">
        <f>AE47*F47</f>
        <v/>
      </c>
      <c r="AI47" s="78">
        <f>IF(A47="","",IF(AE47&gt;E47+0.0001,"⚠ تجاوز الكمية",IF(AG47&gt;=1,"✔ مكتمل",IF(AE47&gt;0,"جاري التنفيذ","لم يبدأ"))))</f>
        <v/>
      </c>
    </row>
    <row r="48">
      <c r="A48" s="73">
        <f>IF('جدول الكميات'!B48="","",'جدول الكميات'!B48)</f>
        <v/>
      </c>
      <c r="B48" s="74">
        <f>IF('جدول الكميات'!D48="","",'جدول الكميات'!D48)</f>
        <v/>
      </c>
      <c r="C48" s="73">
        <f>IF('جدول الكميات'!E48="","",'جدول الكميات'!E48)</f>
        <v/>
      </c>
      <c r="D48" s="74">
        <f>IF('جدول الكميات'!C48="","",'جدول الكميات'!C48)</f>
        <v/>
      </c>
      <c r="E48" s="75">
        <f>N('جدول الكميات'!F48)</f>
        <v/>
      </c>
      <c r="F48" s="75">
        <f>N('جدول الكميات'!G48)</f>
        <v/>
      </c>
      <c r="G48" s="63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63" t="n"/>
      <c r="AE48" s="64">
        <f>SUM(G48:AD48)</f>
        <v/>
      </c>
      <c r="AF48" s="64">
        <f>E48-AE48</f>
        <v/>
      </c>
      <c r="AG48" s="76">
        <f>IF(E48&gt;0,AE48/E48,0)</f>
        <v/>
      </c>
      <c r="AH48" s="77">
        <f>AE48*F48</f>
        <v/>
      </c>
      <c r="AI48" s="78">
        <f>IF(A48="","",IF(AE48&gt;E48+0.0001,"⚠ تجاوز الكمية",IF(AG48&gt;=1,"✔ مكتمل",IF(AE48&gt;0,"جاري التنفيذ","لم يبدأ"))))</f>
        <v/>
      </c>
    </row>
    <row r="49">
      <c r="A49" s="73">
        <f>IF('جدول الكميات'!B49="","",'جدول الكميات'!B49)</f>
        <v/>
      </c>
      <c r="B49" s="74">
        <f>IF('جدول الكميات'!D49="","",'جدول الكميات'!D49)</f>
        <v/>
      </c>
      <c r="C49" s="73">
        <f>IF('جدول الكميات'!E49="","",'جدول الكميات'!E49)</f>
        <v/>
      </c>
      <c r="D49" s="74">
        <f>IF('جدول الكميات'!C49="","",'جدول الكميات'!C49)</f>
        <v/>
      </c>
      <c r="E49" s="75">
        <f>N('جدول الكميات'!F49)</f>
        <v/>
      </c>
      <c r="F49" s="75">
        <f>N('جدول الكميات'!G49)</f>
        <v/>
      </c>
      <c r="G49" s="63" t="n"/>
      <c r="H49" s="63" t="n"/>
      <c r="I49" s="63" t="n"/>
      <c r="J49" s="63" t="n"/>
      <c r="K49" s="63" t="n"/>
      <c r="L49" s="63" t="n"/>
      <c r="M49" s="63" t="n"/>
      <c r="N49" s="63" t="n"/>
      <c r="O49" s="63" t="n"/>
      <c r="P49" s="63" t="n"/>
      <c r="Q49" s="63" t="n"/>
      <c r="R49" s="63" t="n"/>
      <c r="S49" s="63" t="n"/>
      <c r="T49" s="63" t="n"/>
      <c r="U49" s="63" t="n"/>
      <c r="V49" s="63" t="n"/>
      <c r="W49" s="63" t="n"/>
      <c r="X49" s="63" t="n"/>
      <c r="Y49" s="63" t="n"/>
      <c r="Z49" s="63" t="n"/>
      <c r="AA49" s="63" t="n"/>
      <c r="AB49" s="63" t="n"/>
      <c r="AC49" s="63" t="n"/>
      <c r="AD49" s="63" t="n"/>
      <c r="AE49" s="64">
        <f>SUM(G49:AD49)</f>
        <v/>
      </c>
      <c r="AF49" s="64">
        <f>E49-AE49</f>
        <v/>
      </c>
      <c r="AG49" s="76">
        <f>IF(E49&gt;0,AE49/E49,0)</f>
        <v/>
      </c>
      <c r="AH49" s="77">
        <f>AE49*F49</f>
        <v/>
      </c>
      <c r="AI49" s="78">
        <f>IF(A49="","",IF(AE49&gt;E49+0.0001,"⚠ تجاوز الكمية",IF(AG49&gt;=1,"✔ مكتمل",IF(AE49&gt;0,"جاري التنفيذ","لم يبدأ"))))</f>
        <v/>
      </c>
    </row>
    <row r="50">
      <c r="A50" s="73">
        <f>IF('جدول الكميات'!B50="","",'جدول الكميات'!B50)</f>
        <v/>
      </c>
      <c r="B50" s="74">
        <f>IF('جدول الكميات'!D50="","",'جدول الكميات'!D50)</f>
        <v/>
      </c>
      <c r="C50" s="73">
        <f>IF('جدول الكميات'!E50="","",'جدول الكميات'!E50)</f>
        <v/>
      </c>
      <c r="D50" s="74">
        <f>IF('جدول الكميات'!C50="","",'جدول الكميات'!C50)</f>
        <v/>
      </c>
      <c r="E50" s="75">
        <f>N('جدول الكميات'!F50)</f>
        <v/>
      </c>
      <c r="F50" s="75">
        <f>N('جدول الكميات'!G50)</f>
        <v/>
      </c>
      <c r="G50" s="63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  <c r="Z50" s="63" t="n"/>
      <c r="AA50" s="63" t="n"/>
      <c r="AB50" s="63" t="n"/>
      <c r="AC50" s="63" t="n"/>
      <c r="AD50" s="63" t="n"/>
      <c r="AE50" s="64">
        <f>SUM(G50:AD50)</f>
        <v/>
      </c>
      <c r="AF50" s="64">
        <f>E50-AE50</f>
        <v/>
      </c>
      <c r="AG50" s="76">
        <f>IF(E50&gt;0,AE50/E50,0)</f>
        <v/>
      </c>
      <c r="AH50" s="77">
        <f>AE50*F50</f>
        <v/>
      </c>
      <c r="AI50" s="78">
        <f>IF(A50="","",IF(AE50&gt;E50+0.0001,"⚠ تجاوز الكمية",IF(AG50&gt;=1,"✔ مكتمل",IF(AE50&gt;0,"جاري التنفيذ","لم يبدأ"))))</f>
        <v/>
      </c>
    </row>
    <row r="51">
      <c r="A51" s="73">
        <f>IF('جدول الكميات'!B51="","",'جدول الكميات'!B51)</f>
        <v/>
      </c>
      <c r="B51" s="74">
        <f>IF('جدول الكميات'!D51="","",'جدول الكميات'!D51)</f>
        <v/>
      </c>
      <c r="C51" s="73">
        <f>IF('جدول الكميات'!E51="","",'جدول الكميات'!E51)</f>
        <v/>
      </c>
      <c r="D51" s="74">
        <f>IF('جدول الكميات'!C51="","",'جدول الكميات'!C51)</f>
        <v/>
      </c>
      <c r="E51" s="75">
        <f>N('جدول الكميات'!F51)</f>
        <v/>
      </c>
      <c r="F51" s="75">
        <f>N('جدول الكميات'!G51)</f>
        <v/>
      </c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63" t="n"/>
      <c r="AE51" s="64">
        <f>SUM(G51:AD51)</f>
        <v/>
      </c>
      <c r="AF51" s="64">
        <f>E51-AE51</f>
        <v/>
      </c>
      <c r="AG51" s="76">
        <f>IF(E51&gt;0,AE51/E51,0)</f>
        <v/>
      </c>
      <c r="AH51" s="77">
        <f>AE51*F51</f>
        <v/>
      </c>
      <c r="AI51" s="78">
        <f>IF(A51="","",IF(AE51&gt;E51+0.0001,"⚠ تجاوز الكمية",IF(AG51&gt;=1,"✔ مكتمل",IF(AE51&gt;0,"جاري التنفيذ","لم يبدأ"))))</f>
        <v/>
      </c>
    </row>
    <row r="52">
      <c r="A52" s="73">
        <f>IF('جدول الكميات'!B52="","",'جدول الكميات'!B52)</f>
        <v/>
      </c>
      <c r="B52" s="74">
        <f>IF('جدول الكميات'!D52="","",'جدول الكميات'!D52)</f>
        <v/>
      </c>
      <c r="C52" s="73">
        <f>IF('جدول الكميات'!E52="","",'جدول الكميات'!E52)</f>
        <v/>
      </c>
      <c r="D52" s="74">
        <f>IF('جدول الكميات'!C52="","",'جدول الكميات'!C52)</f>
        <v/>
      </c>
      <c r="E52" s="75">
        <f>N('جدول الكميات'!F52)</f>
        <v/>
      </c>
      <c r="F52" s="75">
        <f>N('جدول الكميات'!G52)</f>
        <v/>
      </c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  <c r="Q52" s="63" t="n"/>
      <c r="R52" s="63" t="n"/>
      <c r="S52" s="63" t="n"/>
      <c r="T52" s="63" t="n"/>
      <c r="U52" s="63" t="n"/>
      <c r="V52" s="63" t="n"/>
      <c r="W52" s="63" t="n"/>
      <c r="X52" s="63" t="n"/>
      <c r="Y52" s="63" t="n"/>
      <c r="Z52" s="63" t="n"/>
      <c r="AA52" s="63" t="n"/>
      <c r="AB52" s="63" t="n"/>
      <c r="AC52" s="63" t="n"/>
      <c r="AD52" s="63" t="n"/>
      <c r="AE52" s="64">
        <f>SUM(G52:AD52)</f>
        <v/>
      </c>
      <c r="AF52" s="64">
        <f>E52-AE52</f>
        <v/>
      </c>
      <c r="AG52" s="76">
        <f>IF(E52&gt;0,AE52/E52,0)</f>
        <v/>
      </c>
      <c r="AH52" s="77">
        <f>AE52*F52</f>
        <v/>
      </c>
      <c r="AI52" s="78">
        <f>IF(A52="","",IF(AE52&gt;E52+0.0001,"⚠ تجاوز الكمية",IF(AG52&gt;=1,"✔ مكتمل",IF(AE52&gt;0,"جاري التنفيذ","لم يبدأ"))))</f>
        <v/>
      </c>
    </row>
    <row r="53">
      <c r="A53" s="73">
        <f>IF('جدول الكميات'!B53="","",'جدول الكميات'!B53)</f>
        <v/>
      </c>
      <c r="B53" s="74">
        <f>IF('جدول الكميات'!D53="","",'جدول الكميات'!D53)</f>
        <v/>
      </c>
      <c r="C53" s="73">
        <f>IF('جدول الكميات'!E53="","",'جدول الكميات'!E53)</f>
        <v/>
      </c>
      <c r="D53" s="74">
        <f>IF('جدول الكميات'!C53="","",'جدول الكميات'!C53)</f>
        <v/>
      </c>
      <c r="E53" s="75">
        <f>N('جدول الكميات'!F53)</f>
        <v/>
      </c>
      <c r="F53" s="75">
        <f>N('جدول الكميات'!G53)</f>
        <v/>
      </c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63" t="n"/>
      <c r="AE53" s="64">
        <f>SUM(G53:AD53)</f>
        <v/>
      </c>
      <c r="AF53" s="64">
        <f>E53-AE53</f>
        <v/>
      </c>
      <c r="AG53" s="76">
        <f>IF(E53&gt;0,AE53/E53,0)</f>
        <v/>
      </c>
      <c r="AH53" s="77">
        <f>AE53*F53</f>
        <v/>
      </c>
      <c r="AI53" s="78">
        <f>IF(A53="","",IF(AE53&gt;E53+0.0001,"⚠ تجاوز الكمية",IF(AG53&gt;=1,"✔ مكتمل",IF(AE53&gt;0,"جاري التنفيذ","لم يبدأ"))))</f>
        <v/>
      </c>
    </row>
    <row r="54">
      <c r="A54" s="73">
        <f>IF('جدول الكميات'!B54="","",'جدول الكميات'!B54)</f>
        <v/>
      </c>
      <c r="B54" s="74">
        <f>IF('جدول الكميات'!D54="","",'جدول الكميات'!D54)</f>
        <v/>
      </c>
      <c r="C54" s="73">
        <f>IF('جدول الكميات'!E54="","",'جدول الكميات'!E54)</f>
        <v/>
      </c>
      <c r="D54" s="74">
        <f>IF('جدول الكميات'!C54="","",'جدول الكميات'!C54)</f>
        <v/>
      </c>
      <c r="E54" s="75">
        <f>N('جدول الكميات'!F54)</f>
        <v/>
      </c>
      <c r="F54" s="75">
        <f>N('جدول الكميات'!G54)</f>
        <v/>
      </c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3" t="n"/>
      <c r="AB54" s="63" t="n"/>
      <c r="AC54" s="63" t="n"/>
      <c r="AD54" s="63" t="n"/>
      <c r="AE54" s="64">
        <f>SUM(G54:AD54)</f>
        <v/>
      </c>
      <c r="AF54" s="64">
        <f>E54-AE54</f>
        <v/>
      </c>
      <c r="AG54" s="76">
        <f>IF(E54&gt;0,AE54/E54,0)</f>
        <v/>
      </c>
      <c r="AH54" s="77">
        <f>AE54*F54</f>
        <v/>
      </c>
      <c r="AI54" s="78">
        <f>IF(A54="","",IF(AE54&gt;E54+0.0001,"⚠ تجاوز الكمية",IF(AG54&gt;=1,"✔ مكتمل",IF(AE54&gt;0,"جاري التنفيذ","لم يبدأ"))))</f>
        <v/>
      </c>
    </row>
    <row r="55">
      <c r="A55" s="73">
        <f>IF('جدول الكميات'!B55="","",'جدول الكميات'!B55)</f>
        <v/>
      </c>
      <c r="B55" s="74">
        <f>IF('جدول الكميات'!D55="","",'جدول الكميات'!D55)</f>
        <v/>
      </c>
      <c r="C55" s="73">
        <f>IF('جدول الكميات'!E55="","",'جدول الكميات'!E55)</f>
        <v/>
      </c>
      <c r="D55" s="74">
        <f>IF('جدول الكميات'!C55="","",'جدول الكميات'!C55)</f>
        <v/>
      </c>
      <c r="E55" s="75">
        <f>N('جدول الكميات'!F55)</f>
        <v/>
      </c>
      <c r="F55" s="75">
        <f>N('جدول الكميات'!G55)</f>
        <v/>
      </c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63" t="n"/>
      <c r="AE55" s="64">
        <f>SUM(G55:AD55)</f>
        <v/>
      </c>
      <c r="AF55" s="64">
        <f>E55-AE55</f>
        <v/>
      </c>
      <c r="AG55" s="76">
        <f>IF(E55&gt;0,AE55/E55,0)</f>
        <v/>
      </c>
      <c r="AH55" s="77">
        <f>AE55*F55</f>
        <v/>
      </c>
      <c r="AI55" s="78">
        <f>IF(A55="","",IF(AE55&gt;E55+0.0001,"⚠ تجاوز الكمية",IF(AG55&gt;=1,"✔ مكتمل",IF(AE55&gt;0,"جاري التنفيذ","لم يبدأ"))))</f>
        <v/>
      </c>
    </row>
    <row r="56">
      <c r="A56" s="73">
        <f>IF('جدول الكميات'!B56="","",'جدول الكميات'!B56)</f>
        <v/>
      </c>
      <c r="B56" s="74">
        <f>IF('جدول الكميات'!D56="","",'جدول الكميات'!D56)</f>
        <v/>
      </c>
      <c r="C56" s="73">
        <f>IF('جدول الكميات'!E56="","",'جدول الكميات'!E56)</f>
        <v/>
      </c>
      <c r="D56" s="74">
        <f>IF('جدول الكميات'!C56="","",'جدول الكميات'!C56)</f>
        <v/>
      </c>
      <c r="E56" s="75">
        <f>N('جدول الكميات'!F56)</f>
        <v/>
      </c>
      <c r="F56" s="75">
        <f>N('جدول الكميات'!G56)</f>
        <v/>
      </c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  <c r="Z56" s="63" t="n"/>
      <c r="AA56" s="63" t="n"/>
      <c r="AB56" s="63" t="n"/>
      <c r="AC56" s="63" t="n"/>
      <c r="AD56" s="63" t="n"/>
      <c r="AE56" s="64">
        <f>SUM(G56:AD56)</f>
        <v/>
      </c>
      <c r="AF56" s="64">
        <f>E56-AE56</f>
        <v/>
      </c>
      <c r="AG56" s="76">
        <f>IF(E56&gt;0,AE56/E56,0)</f>
        <v/>
      </c>
      <c r="AH56" s="77">
        <f>AE56*F56</f>
        <v/>
      </c>
      <c r="AI56" s="78">
        <f>IF(A56="","",IF(AE56&gt;E56+0.0001,"⚠ تجاوز الكمية",IF(AG56&gt;=1,"✔ مكتمل",IF(AE56&gt;0,"جاري التنفيذ","لم يبدأ"))))</f>
        <v/>
      </c>
    </row>
    <row r="57">
      <c r="A57" s="73">
        <f>IF('جدول الكميات'!B57="","",'جدول الكميات'!B57)</f>
        <v/>
      </c>
      <c r="B57" s="74">
        <f>IF('جدول الكميات'!D57="","",'جدول الكميات'!D57)</f>
        <v/>
      </c>
      <c r="C57" s="73">
        <f>IF('جدول الكميات'!E57="","",'جدول الكميات'!E57)</f>
        <v/>
      </c>
      <c r="D57" s="74">
        <f>IF('جدول الكميات'!C57="","",'جدول الكميات'!C57)</f>
        <v/>
      </c>
      <c r="E57" s="75">
        <f>N('جدول الكميات'!F57)</f>
        <v/>
      </c>
      <c r="F57" s="75">
        <f>N('جدول الكميات'!G57)</f>
        <v/>
      </c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63" t="n"/>
      <c r="AE57" s="64">
        <f>SUM(G57:AD57)</f>
        <v/>
      </c>
      <c r="AF57" s="64">
        <f>E57-AE57</f>
        <v/>
      </c>
      <c r="AG57" s="76">
        <f>IF(E57&gt;0,AE57/E57,0)</f>
        <v/>
      </c>
      <c r="AH57" s="77">
        <f>AE57*F57</f>
        <v/>
      </c>
      <c r="AI57" s="78">
        <f>IF(A57="","",IF(AE57&gt;E57+0.0001,"⚠ تجاوز الكمية",IF(AG57&gt;=1,"✔ مكتمل",IF(AE57&gt;0,"جاري التنفيذ","لم يبدأ"))))</f>
        <v/>
      </c>
    </row>
    <row r="58">
      <c r="A58" s="73">
        <f>IF('جدول الكميات'!B58="","",'جدول الكميات'!B58)</f>
        <v/>
      </c>
      <c r="B58" s="74">
        <f>IF('جدول الكميات'!D58="","",'جدول الكميات'!D58)</f>
        <v/>
      </c>
      <c r="C58" s="73">
        <f>IF('جدول الكميات'!E58="","",'جدول الكميات'!E58)</f>
        <v/>
      </c>
      <c r="D58" s="74">
        <f>IF('جدول الكميات'!C58="","",'جدول الكميات'!C58)</f>
        <v/>
      </c>
      <c r="E58" s="75">
        <f>N('جدول الكميات'!F58)</f>
        <v/>
      </c>
      <c r="F58" s="75">
        <f>N('جدول الكميات'!G58)</f>
        <v/>
      </c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  <c r="Q58" s="63" t="n"/>
      <c r="R58" s="63" t="n"/>
      <c r="S58" s="63" t="n"/>
      <c r="T58" s="63" t="n"/>
      <c r="U58" s="63" t="n"/>
      <c r="V58" s="63" t="n"/>
      <c r="W58" s="63" t="n"/>
      <c r="X58" s="63" t="n"/>
      <c r="Y58" s="63" t="n"/>
      <c r="Z58" s="63" t="n"/>
      <c r="AA58" s="63" t="n"/>
      <c r="AB58" s="63" t="n"/>
      <c r="AC58" s="63" t="n"/>
      <c r="AD58" s="63" t="n"/>
      <c r="AE58" s="64">
        <f>SUM(G58:AD58)</f>
        <v/>
      </c>
      <c r="AF58" s="64">
        <f>E58-AE58</f>
        <v/>
      </c>
      <c r="AG58" s="76">
        <f>IF(E58&gt;0,AE58/E58,0)</f>
        <v/>
      </c>
      <c r="AH58" s="77">
        <f>AE58*F58</f>
        <v/>
      </c>
      <c r="AI58" s="78">
        <f>IF(A58="","",IF(AE58&gt;E58+0.0001,"⚠ تجاوز الكمية",IF(AG58&gt;=1,"✔ مكتمل",IF(AE58&gt;0,"جاري التنفيذ","لم يبدأ"))))</f>
        <v/>
      </c>
    </row>
    <row r="59">
      <c r="A59" s="73">
        <f>IF('جدول الكميات'!B59="","",'جدول الكميات'!B59)</f>
        <v/>
      </c>
      <c r="B59" s="74">
        <f>IF('جدول الكميات'!D59="","",'جدول الكميات'!D59)</f>
        <v/>
      </c>
      <c r="C59" s="73">
        <f>IF('جدول الكميات'!E59="","",'جدول الكميات'!E59)</f>
        <v/>
      </c>
      <c r="D59" s="74">
        <f>IF('جدول الكميات'!C59="","",'جدول الكميات'!C59)</f>
        <v/>
      </c>
      <c r="E59" s="75">
        <f>N('جدول الكميات'!F59)</f>
        <v/>
      </c>
      <c r="F59" s="75">
        <f>N('جدول الكميات'!G59)</f>
        <v/>
      </c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63" t="n"/>
      <c r="AE59" s="64">
        <f>SUM(G59:AD59)</f>
        <v/>
      </c>
      <c r="AF59" s="64">
        <f>E59-AE59</f>
        <v/>
      </c>
      <c r="AG59" s="76">
        <f>IF(E59&gt;0,AE59/E59,0)</f>
        <v/>
      </c>
      <c r="AH59" s="77">
        <f>AE59*F59</f>
        <v/>
      </c>
      <c r="AI59" s="78">
        <f>IF(A59="","",IF(AE59&gt;E59+0.0001,"⚠ تجاوز الكمية",IF(AG59&gt;=1,"✔ مكتمل",IF(AE59&gt;0,"جاري التنفيذ","لم يبدأ"))))</f>
        <v/>
      </c>
    </row>
    <row r="60">
      <c r="A60" s="73">
        <f>IF('جدول الكميات'!B60="","",'جدول الكميات'!B60)</f>
        <v/>
      </c>
      <c r="B60" s="74">
        <f>IF('جدول الكميات'!D60="","",'جدول الكميات'!D60)</f>
        <v/>
      </c>
      <c r="C60" s="73">
        <f>IF('جدول الكميات'!E60="","",'جدول الكميات'!E60)</f>
        <v/>
      </c>
      <c r="D60" s="74">
        <f>IF('جدول الكميات'!C60="","",'جدول الكميات'!C60)</f>
        <v/>
      </c>
      <c r="E60" s="75">
        <f>N('جدول الكميات'!F60)</f>
        <v/>
      </c>
      <c r="F60" s="75">
        <f>N('جدول الكميات'!G60)</f>
        <v/>
      </c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3" t="n"/>
      <c r="AB60" s="63" t="n"/>
      <c r="AC60" s="63" t="n"/>
      <c r="AD60" s="63" t="n"/>
      <c r="AE60" s="64">
        <f>SUM(G60:AD60)</f>
        <v/>
      </c>
      <c r="AF60" s="64">
        <f>E60-AE60</f>
        <v/>
      </c>
      <c r="AG60" s="76">
        <f>IF(E60&gt;0,AE60/E60,0)</f>
        <v/>
      </c>
      <c r="AH60" s="77">
        <f>AE60*F60</f>
        <v/>
      </c>
      <c r="AI60" s="78">
        <f>IF(A60="","",IF(AE60&gt;E60+0.0001,"⚠ تجاوز الكمية",IF(AG60&gt;=1,"✔ مكتمل",IF(AE60&gt;0,"جاري التنفيذ","لم يبدأ"))))</f>
        <v/>
      </c>
    </row>
    <row r="61">
      <c r="A61" s="73">
        <f>IF('جدول الكميات'!B61="","",'جدول الكميات'!B61)</f>
        <v/>
      </c>
      <c r="B61" s="74">
        <f>IF('جدول الكميات'!D61="","",'جدول الكميات'!D61)</f>
        <v/>
      </c>
      <c r="C61" s="73">
        <f>IF('جدول الكميات'!E61="","",'جدول الكميات'!E61)</f>
        <v/>
      </c>
      <c r="D61" s="74">
        <f>IF('جدول الكميات'!C61="","",'جدول الكميات'!C61)</f>
        <v/>
      </c>
      <c r="E61" s="75">
        <f>N('جدول الكميات'!F61)</f>
        <v/>
      </c>
      <c r="F61" s="75">
        <f>N('جدول الكميات'!G61)</f>
        <v/>
      </c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63" t="n"/>
      <c r="AE61" s="64">
        <f>SUM(G61:AD61)</f>
        <v/>
      </c>
      <c r="AF61" s="64">
        <f>E61-AE61</f>
        <v/>
      </c>
      <c r="AG61" s="76">
        <f>IF(E61&gt;0,AE61/E61,0)</f>
        <v/>
      </c>
      <c r="AH61" s="77">
        <f>AE61*F61</f>
        <v/>
      </c>
      <c r="AI61" s="78">
        <f>IF(A61="","",IF(AE61&gt;E61+0.0001,"⚠ تجاوز الكمية",IF(AG61&gt;=1,"✔ مكتمل",IF(AE61&gt;0,"جاري التنفيذ","لم يبدأ"))))</f>
        <v/>
      </c>
    </row>
    <row r="62">
      <c r="A62" s="73">
        <f>IF('جدول الكميات'!B62="","",'جدول الكميات'!B62)</f>
        <v/>
      </c>
      <c r="B62" s="74">
        <f>IF('جدول الكميات'!D62="","",'جدول الكميات'!D62)</f>
        <v/>
      </c>
      <c r="C62" s="73">
        <f>IF('جدول الكميات'!E62="","",'جدول الكميات'!E62)</f>
        <v/>
      </c>
      <c r="D62" s="74">
        <f>IF('جدول الكميات'!C62="","",'جدول الكميات'!C62)</f>
        <v/>
      </c>
      <c r="E62" s="75">
        <f>N('جدول الكميات'!F62)</f>
        <v/>
      </c>
      <c r="F62" s="75">
        <f>N('جدول الكميات'!G62)</f>
        <v/>
      </c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  <c r="Q62" s="63" t="n"/>
      <c r="R62" s="63" t="n"/>
      <c r="S62" s="63" t="n"/>
      <c r="T62" s="63" t="n"/>
      <c r="U62" s="63" t="n"/>
      <c r="V62" s="63" t="n"/>
      <c r="W62" s="63" t="n"/>
      <c r="X62" s="63" t="n"/>
      <c r="Y62" s="63" t="n"/>
      <c r="Z62" s="63" t="n"/>
      <c r="AA62" s="63" t="n"/>
      <c r="AB62" s="63" t="n"/>
      <c r="AC62" s="63" t="n"/>
      <c r="AD62" s="63" t="n"/>
      <c r="AE62" s="64">
        <f>SUM(G62:AD62)</f>
        <v/>
      </c>
      <c r="AF62" s="64">
        <f>E62-AE62</f>
        <v/>
      </c>
      <c r="AG62" s="76">
        <f>IF(E62&gt;0,AE62/E62,0)</f>
        <v/>
      </c>
      <c r="AH62" s="77">
        <f>AE62*F62</f>
        <v/>
      </c>
      <c r="AI62" s="78">
        <f>IF(A62="","",IF(AE62&gt;E62+0.0001,"⚠ تجاوز الكمية",IF(AG62&gt;=1,"✔ مكتمل",IF(AE62&gt;0,"جاري التنفيذ","لم يبدأ"))))</f>
        <v/>
      </c>
    </row>
    <row r="63">
      <c r="A63" s="73">
        <f>IF('جدول الكميات'!B63="","",'جدول الكميات'!B63)</f>
        <v/>
      </c>
      <c r="B63" s="74">
        <f>IF('جدول الكميات'!D63="","",'جدول الكميات'!D63)</f>
        <v/>
      </c>
      <c r="C63" s="73">
        <f>IF('جدول الكميات'!E63="","",'جدول الكميات'!E63)</f>
        <v/>
      </c>
      <c r="D63" s="74">
        <f>IF('جدول الكميات'!C63="","",'جدول الكميات'!C63)</f>
        <v/>
      </c>
      <c r="E63" s="75">
        <f>N('جدول الكميات'!F63)</f>
        <v/>
      </c>
      <c r="F63" s="75">
        <f>N('جدول الكميات'!G63)</f>
        <v/>
      </c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63" t="n"/>
      <c r="AE63" s="64">
        <f>SUM(G63:AD63)</f>
        <v/>
      </c>
      <c r="AF63" s="64">
        <f>E63-AE63</f>
        <v/>
      </c>
      <c r="AG63" s="76">
        <f>IF(E63&gt;0,AE63/E63,0)</f>
        <v/>
      </c>
      <c r="AH63" s="77">
        <f>AE63*F63</f>
        <v/>
      </c>
      <c r="AI63" s="78">
        <f>IF(A63="","",IF(AE63&gt;E63+0.0001,"⚠ تجاوز الكمية",IF(AG63&gt;=1,"✔ مكتمل",IF(AE63&gt;0,"جاري التنفيذ","لم يبدأ"))))</f>
        <v/>
      </c>
    </row>
    <row r="64">
      <c r="A64" s="73">
        <f>IF('جدول الكميات'!B64="","",'جدول الكميات'!B64)</f>
        <v/>
      </c>
      <c r="B64" s="74">
        <f>IF('جدول الكميات'!D64="","",'جدول الكميات'!D64)</f>
        <v/>
      </c>
      <c r="C64" s="73">
        <f>IF('جدول الكميات'!E64="","",'جدول الكميات'!E64)</f>
        <v/>
      </c>
      <c r="D64" s="74">
        <f>IF('جدول الكميات'!C64="","",'جدول الكميات'!C64)</f>
        <v/>
      </c>
      <c r="E64" s="75">
        <f>N('جدول الكميات'!F64)</f>
        <v/>
      </c>
      <c r="F64" s="75">
        <f>N('جدول الكميات'!G64)</f>
        <v/>
      </c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  <c r="Q64" s="63" t="n"/>
      <c r="R64" s="63" t="n"/>
      <c r="S64" s="63" t="n"/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  <c r="AC64" s="63" t="n"/>
      <c r="AD64" s="63" t="n"/>
      <c r="AE64" s="64">
        <f>SUM(G64:AD64)</f>
        <v/>
      </c>
      <c r="AF64" s="64">
        <f>E64-AE64</f>
        <v/>
      </c>
      <c r="AG64" s="76">
        <f>IF(E64&gt;0,AE64/E64,0)</f>
        <v/>
      </c>
      <c r="AH64" s="77">
        <f>AE64*F64</f>
        <v/>
      </c>
      <c r="AI64" s="78">
        <f>IF(A64="","",IF(AE64&gt;E64+0.0001,"⚠ تجاوز الكمية",IF(AG64&gt;=1,"✔ مكتمل",IF(AE64&gt;0,"جاري التنفيذ","لم يبدأ"))))</f>
        <v/>
      </c>
    </row>
    <row r="65">
      <c r="A65" s="73">
        <f>IF('جدول الكميات'!B65="","",'جدول الكميات'!B65)</f>
        <v/>
      </c>
      <c r="B65" s="74">
        <f>IF('جدول الكميات'!D65="","",'جدول الكميات'!D65)</f>
        <v/>
      </c>
      <c r="C65" s="73">
        <f>IF('جدول الكميات'!E65="","",'جدول الكميات'!E65)</f>
        <v/>
      </c>
      <c r="D65" s="74">
        <f>IF('جدول الكميات'!C65="","",'جدول الكميات'!C65)</f>
        <v/>
      </c>
      <c r="E65" s="75">
        <f>N('جدول الكميات'!F65)</f>
        <v/>
      </c>
      <c r="F65" s="75">
        <f>N('جدول الكميات'!G65)</f>
        <v/>
      </c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63" t="n"/>
      <c r="AE65" s="64">
        <f>SUM(G65:AD65)</f>
        <v/>
      </c>
      <c r="AF65" s="64">
        <f>E65-AE65</f>
        <v/>
      </c>
      <c r="AG65" s="76">
        <f>IF(E65&gt;0,AE65/E65,0)</f>
        <v/>
      </c>
      <c r="AH65" s="77">
        <f>AE65*F65</f>
        <v/>
      </c>
      <c r="AI65" s="78">
        <f>IF(A65="","",IF(AE65&gt;E65+0.0001,"⚠ تجاوز الكمية",IF(AG65&gt;=1,"✔ مكتمل",IF(AE65&gt;0,"جاري التنفيذ","لم يبدأ"))))</f>
        <v/>
      </c>
    </row>
    <row r="66">
      <c r="A66" s="73">
        <f>IF('جدول الكميات'!B66="","",'جدول الكميات'!B66)</f>
        <v/>
      </c>
      <c r="B66" s="74">
        <f>IF('جدول الكميات'!D66="","",'جدول الكميات'!D66)</f>
        <v/>
      </c>
      <c r="C66" s="73">
        <f>IF('جدول الكميات'!E66="","",'جدول الكميات'!E66)</f>
        <v/>
      </c>
      <c r="D66" s="74">
        <f>IF('جدول الكميات'!C66="","",'جدول الكميات'!C66)</f>
        <v/>
      </c>
      <c r="E66" s="75">
        <f>N('جدول الكميات'!F66)</f>
        <v/>
      </c>
      <c r="F66" s="75">
        <f>N('جدول الكميات'!G66)</f>
        <v/>
      </c>
      <c r="G66" s="63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  <c r="AA66" s="63" t="n"/>
      <c r="AB66" s="63" t="n"/>
      <c r="AC66" s="63" t="n"/>
      <c r="AD66" s="63" t="n"/>
      <c r="AE66" s="64">
        <f>SUM(G66:AD66)</f>
        <v/>
      </c>
      <c r="AF66" s="64">
        <f>E66-AE66</f>
        <v/>
      </c>
      <c r="AG66" s="76">
        <f>IF(E66&gt;0,AE66/E66,0)</f>
        <v/>
      </c>
      <c r="AH66" s="77">
        <f>AE66*F66</f>
        <v/>
      </c>
      <c r="AI66" s="78">
        <f>IF(A66="","",IF(AE66&gt;E66+0.0001,"⚠ تجاوز الكمية",IF(AG66&gt;=1,"✔ مكتمل",IF(AE66&gt;0,"جاري التنفيذ","لم يبدأ"))))</f>
        <v/>
      </c>
    </row>
    <row r="67">
      <c r="A67" s="73">
        <f>IF('جدول الكميات'!B67="","",'جدول الكميات'!B67)</f>
        <v/>
      </c>
      <c r="B67" s="74">
        <f>IF('جدول الكميات'!D67="","",'جدول الكميات'!D67)</f>
        <v/>
      </c>
      <c r="C67" s="73">
        <f>IF('جدول الكميات'!E67="","",'جدول الكميات'!E67)</f>
        <v/>
      </c>
      <c r="D67" s="74">
        <f>IF('جدول الكميات'!C67="","",'جدول الكميات'!C67)</f>
        <v/>
      </c>
      <c r="E67" s="75">
        <f>N('جدول الكميات'!F67)</f>
        <v/>
      </c>
      <c r="F67" s="75">
        <f>N('جدول الكميات'!G67)</f>
        <v/>
      </c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63" t="n"/>
      <c r="AE67" s="64">
        <f>SUM(G67:AD67)</f>
        <v/>
      </c>
      <c r="AF67" s="64">
        <f>E67-AE67</f>
        <v/>
      </c>
      <c r="AG67" s="76">
        <f>IF(E67&gt;0,AE67/E67,0)</f>
        <v/>
      </c>
      <c r="AH67" s="77">
        <f>AE67*F67</f>
        <v/>
      </c>
      <c r="AI67" s="78">
        <f>IF(A67="","",IF(AE67&gt;E67+0.0001,"⚠ تجاوز الكمية",IF(AG67&gt;=1,"✔ مكتمل",IF(AE67&gt;0,"جاري التنفيذ","لم يبدأ"))))</f>
        <v/>
      </c>
    </row>
    <row r="68">
      <c r="A68" s="73">
        <f>IF('جدول الكميات'!B68="","",'جدول الكميات'!B68)</f>
        <v/>
      </c>
      <c r="B68" s="74">
        <f>IF('جدول الكميات'!D68="","",'جدول الكميات'!D68)</f>
        <v/>
      </c>
      <c r="C68" s="73">
        <f>IF('جدول الكميات'!E68="","",'جدول الكميات'!E68)</f>
        <v/>
      </c>
      <c r="D68" s="74">
        <f>IF('جدول الكميات'!C68="","",'جدول الكميات'!C68)</f>
        <v/>
      </c>
      <c r="E68" s="75">
        <f>N('جدول الكميات'!F68)</f>
        <v/>
      </c>
      <c r="F68" s="75">
        <f>N('جدول الكميات'!G68)</f>
        <v/>
      </c>
      <c r="G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3" t="n"/>
      <c r="AB68" s="63" t="n"/>
      <c r="AC68" s="63" t="n"/>
      <c r="AD68" s="63" t="n"/>
      <c r="AE68" s="64">
        <f>SUM(G68:AD68)</f>
        <v/>
      </c>
      <c r="AF68" s="64">
        <f>E68-AE68</f>
        <v/>
      </c>
      <c r="AG68" s="76">
        <f>IF(E68&gt;0,AE68/E68,0)</f>
        <v/>
      </c>
      <c r="AH68" s="77">
        <f>AE68*F68</f>
        <v/>
      </c>
      <c r="AI68" s="78">
        <f>IF(A68="","",IF(AE68&gt;E68+0.0001,"⚠ تجاوز الكمية",IF(AG68&gt;=1,"✔ مكتمل",IF(AE68&gt;0,"جاري التنفيذ","لم يبدأ"))))</f>
        <v/>
      </c>
    </row>
    <row r="69">
      <c r="A69" s="73">
        <f>IF('جدول الكميات'!B69="","",'جدول الكميات'!B69)</f>
        <v/>
      </c>
      <c r="B69" s="74">
        <f>IF('جدول الكميات'!D69="","",'جدول الكميات'!D69)</f>
        <v/>
      </c>
      <c r="C69" s="73">
        <f>IF('جدول الكميات'!E69="","",'جدول الكميات'!E69)</f>
        <v/>
      </c>
      <c r="D69" s="74">
        <f>IF('جدول الكميات'!C69="","",'جدول الكميات'!C69)</f>
        <v/>
      </c>
      <c r="E69" s="75">
        <f>N('جدول الكميات'!F69)</f>
        <v/>
      </c>
      <c r="F69" s="75">
        <f>N('جدول الكميات'!G69)</f>
        <v/>
      </c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63" t="n"/>
      <c r="AE69" s="64">
        <f>SUM(G69:AD69)</f>
        <v/>
      </c>
      <c r="AF69" s="64">
        <f>E69-AE69</f>
        <v/>
      </c>
      <c r="AG69" s="76">
        <f>IF(E69&gt;0,AE69/E69,0)</f>
        <v/>
      </c>
      <c r="AH69" s="77">
        <f>AE69*F69</f>
        <v/>
      </c>
      <c r="AI69" s="78">
        <f>IF(A69="","",IF(AE69&gt;E69+0.0001,"⚠ تجاوز الكمية",IF(AG69&gt;=1,"✔ مكتمل",IF(AE69&gt;0,"جاري التنفيذ","لم يبدأ"))))</f>
        <v/>
      </c>
    </row>
    <row r="70">
      <c r="A70" s="73">
        <f>IF('جدول الكميات'!B70="","",'جدول الكميات'!B70)</f>
        <v/>
      </c>
      <c r="B70" s="74">
        <f>IF('جدول الكميات'!D70="","",'جدول الكميات'!D70)</f>
        <v/>
      </c>
      <c r="C70" s="73">
        <f>IF('جدول الكميات'!E70="","",'جدول الكميات'!E70)</f>
        <v/>
      </c>
      <c r="D70" s="74">
        <f>IF('جدول الكميات'!C70="","",'جدول الكميات'!C70)</f>
        <v/>
      </c>
      <c r="E70" s="75">
        <f>N('جدول الكميات'!F70)</f>
        <v/>
      </c>
      <c r="F70" s="75">
        <f>N('جدول الكميات'!G70)</f>
        <v/>
      </c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  <c r="Q70" s="63" t="n"/>
      <c r="R70" s="63" t="n"/>
      <c r="S70" s="63" t="n"/>
      <c r="T70" s="63" t="n"/>
      <c r="U70" s="63" t="n"/>
      <c r="V70" s="63" t="n"/>
      <c r="W70" s="63" t="n"/>
      <c r="X70" s="63" t="n"/>
      <c r="Y70" s="63" t="n"/>
      <c r="Z70" s="63" t="n"/>
      <c r="AA70" s="63" t="n"/>
      <c r="AB70" s="63" t="n"/>
      <c r="AC70" s="63" t="n"/>
      <c r="AD70" s="63" t="n"/>
      <c r="AE70" s="64">
        <f>SUM(G70:AD70)</f>
        <v/>
      </c>
      <c r="AF70" s="64">
        <f>E70-AE70</f>
        <v/>
      </c>
      <c r="AG70" s="76">
        <f>IF(E70&gt;0,AE70/E70,0)</f>
        <v/>
      </c>
      <c r="AH70" s="77">
        <f>AE70*F70</f>
        <v/>
      </c>
      <c r="AI70" s="78">
        <f>IF(A70="","",IF(AE70&gt;E70+0.0001,"⚠ تجاوز الكمية",IF(AG70&gt;=1,"✔ مكتمل",IF(AE70&gt;0,"جاري التنفيذ","لم يبدأ"))))</f>
        <v/>
      </c>
    </row>
    <row r="71">
      <c r="A71" s="73">
        <f>IF('جدول الكميات'!B71="","",'جدول الكميات'!B71)</f>
        <v/>
      </c>
      <c r="B71" s="74">
        <f>IF('جدول الكميات'!D71="","",'جدول الكميات'!D71)</f>
        <v/>
      </c>
      <c r="C71" s="73">
        <f>IF('جدول الكميات'!E71="","",'جدول الكميات'!E71)</f>
        <v/>
      </c>
      <c r="D71" s="74">
        <f>IF('جدول الكميات'!C71="","",'جدول الكميات'!C71)</f>
        <v/>
      </c>
      <c r="E71" s="75">
        <f>N('جدول الكميات'!F71)</f>
        <v/>
      </c>
      <c r="F71" s="75">
        <f>N('جدول الكميات'!G71)</f>
        <v/>
      </c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63" t="n"/>
      <c r="AE71" s="64">
        <f>SUM(G71:AD71)</f>
        <v/>
      </c>
      <c r="AF71" s="64">
        <f>E71-AE71</f>
        <v/>
      </c>
      <c r="AG71" s="76">
        <f>IF(E71&gt;0,AE71/E71,0)</f>
        <v/>
      </c>
      <c r="AH71" s="77">
        <f>AE71*F71</f>
        <v/>
      </c>
      <c r="AI71" s="78">
        <f>IF(A71="","",IF(AE71&gt;E71+0.0001,"⚠ تجاوز الكمية",IF(AG71&gt;=1,"✔ مكتمل",IF(AE71&gt;0,"جاري التنفيذ","لم يبدأ"))))</f>
        <v/>
      </c>
    </row>
    <row r="72">
      <c r="A72" s="73">
        <f>IF('جدول الكميات'!B72="","",'جدول الكميات'!B72)</f>
        <v/>
      </c>
      <c r="B72" s="74">
        <f>IF('جدول الكميات'!D72="","",'جدول الكميات'!D72)</f>
        <v/>
      </c>
      <c r="C72" s="73">
        <f>IF('جدول الكميات'!E72="","",'جدول الكميات'!E72)</f>
        <v/>
      </c>
      <c r="D72" s="74">
        <f>IF('جدول الكميات'!C72="","",'جدول الكميات'!C72)</f>
        <v/>
      </c>
      <c r="E72" s="75">
        <f>N('جدول الكميات'!F72)</f>
        <v/>
      </c>
      <c r="F72" s="75">
        <f>N('جدول الكميات'!G72)</f>
        <v/>
      </c>
      <c r="G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  <c r="AA72" s="63" t="n"/>
      <c r="AB72" s="63" t="n"/>
      <c r="AC72" s="63" t="n"/>
      <c r="AD72" s="63" t="n"/>
      <c r="AE72" s="64">
        <f>SUM(G72:AD72)</f>
        <v/>
      </c>
      <c r="AF72" s="64">
        <f>E72-AE72</f>
        <v/>
      </c>
      <c r="AG72" s="76">
        <f>IF(E72&gt;0,AE72/E72,0)</f>
        <v/>
      </c>
      <c r="AH72" s="77">
        <f>AE72*F72</f>
        <v/>
      </c>
      <c r="AI72" s="78">
        <f>IF(A72="","",IF(AE72&gt;E72+0.0001,"⚠ تجاوز الكمية",IF(AG72&gt;=1,"✔ مكتمل",IF(AE72&gt;0,"جاري التنفيذ","لم يبدأ"))))</f>
        <v/>
      </c>
    </row>
    <row r="73">
      <c r="A73" s="73">
        <f>IF('جدول الكميات'!B73="","",'جدول الكميات'!B73)</f>
        <v/>
      </c>
      <c r="B73" s="74">
        <f>IF('جدول الكميات'!D73="","",'جدول الكميات'!D73)</f>
        <v/>
      </c>
      <c r="C73" s="73">
        <f>IF('جدول الكميات'!E73="","",'جدول الكميات'!E73)</f>
        <v/>
      </c>
      <c r="D73" s="74">
        <f>IF('جدول الكميات'!C73="","",'جدول الكميات'!C73)</f>
        <v/>
      </c>
      <c r="E73" s="75">
        <f>N('جدول الكميات'!F73)</f>
        <v/>
      </c>
      <c r="F73" s="75">
        <f>N('جدول الكميات'!G73)</f>
        <v/>
      </c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63" t="n"/>
      <c r="AE73" s="64">
        <f>SUM(G73:AD73)</f>
        <v/>
      </c>
      <c r="AF73" s="64">
        <f>E73-AE73</f>
        <v/>
      </c>
      <c r="AG73" s="76">
        <f>IF(E73&gt;0,AE73/E73,0)</f>
        <v/>
      </c>
      <c r="AH73" s="77">
        <f>AE73*F73</f>
        <v/>
      </c>
      <c r="AI73" s="78">
        <f>IF(A73="","",IF(AE73&gt;E73+0.0001,"⚠ تجاوز الكمية",IF(AG73&gt;=1,"✔ مكتمل",IF(AE73&gt;0,"جاري التنفيذ","لم يبدأ"))))</f>
        <v/>
      </c>
    </row>
    <row r="74">
      <c r="A74" s="73">
        <f>IF('جدول الكميات'!B74="","",'جدول الكميات'!B74)</f>
        <v/>
      </c>
      <c r="B74" s="74">
        <f>IF('جدول الكميات'!D74="","",'جدول الكميات'!D74)</f>
        <v/>
      </c>
      <c r="C74" s="73">
        <f>IF('جدول الكميات'!E74="","",'جدول الكميات'!E74)</f>
        <v/>
      </c>
      <c r="D74" s="74">
        <f>IF('جدول الكميات'!C74="","",'جدول الكميات'!C74)</f>
        <v/>
      </c>
      <c r="E74" s="75">
        <f>N('جدول الكميات'!F74)</f>
        <v/>
      </c>
      <c r="F74" s="75">
        <f>N('جدول الكميات'!G74)</f>
        <v/>
      </c>
      <c r="G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3" t="n"/>
      <c r="AB74" s="63" t="n"/>
      <c r="AC74" s="63" t="n"/>
      <c r="AD74" s="63" t="n"/>
      <c r="AE74" s="64">
        <f>SUM(G74:AD74)</f>
        <v/>
      </c>
      <c r="AF74" s="64">
        <f>E74-AE74</f>
        <v/>
      </c>
      <c r="AG74" s="76">
        <f>IF(E74&gt;0,AE74/E74,0)</f>
        <v/>
      </c>
      <c r="AH74" s="77">
        <f>AE74*F74</f>
        <v/>
      </c>
      <c r="AI74" s="78">
        <f>IF(A74="","",IF(AE74&gt;E74+0.0001,"⚠ تجاوز الكمية",IF(AG74&gt;=1,"✔ مكتمل",IF(AE74&gt;0,"جاري التنفيذ","لم يبدأ"))))</f>
        <v/>
      </c>
    </row>
    <row r="75">
      <c r="A75" s="73">
        <f>IF('جدول الكميات'!B75="","",'جدول الكميات'!B75)</f>
        <v/>
      </c>
      <c r="B75" s="74">
        <f>IF('جدول الكميات'!D75="","",'جدول الكميات'!D75)</f>
        <v/>
      </c>
      <c r="C75" s="73">
        <f>IF('جدول الكميات'!E75="","",'جدول الكميات'!E75)</f>
        <v/>
      </c>
      <c r="D75" s="74">
        <f>IF('جدول الكميات'!C75="","",'جدول الكميات'!C75)</f>
        <v/>
      </c>
      <c r="E75" s="75">
        <f>N('جدول الكميات'!F75)</f>
        <v/>
      </c>
      <c r="F75" s="75">
        <f>N('جدول الكميات'!G75)</f>
        <v/>
      </c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63" t="n"/>
      <c r="AE75" s="64">
        <f>SUM(G75:AD75)</f>
        <v/>
      </c>
      <c r="AF75" s="64">
        <f>E75-AE75</f>
        <v/>
      </c>
      <c r="AG75" s="76">
        <f>IF(E75&gt;0,AE75/E75,0)</f>
        <v/>
      </c>
      <c r="AH75" s="77">
        <f>AE75*F75</f>
        <v/>
      </c>
      <c r="AI75" s="78">
        <f>IF(A75="","",IF(AE75&gt;E75+0.0001,"⚠ تجاوز الكمية",IF(AG75&gt;=1,"✔ مكتمل",IF(AE75&gt;0,"جاري التنفيذ","لم يبدأ"))))</f>
        <v/>
      </c>
    </row>
    <row r="76">
      <c r="A76" s="73">
        <f>IF('جدول الكميات'!B76="","",'جدول الكميات'!B76)</f>
        <v/>
      </c>
      <c r="B76" s="74">
        <f>IF('جدول الكميات'!D76="","",'جدول الكميات'!D76)</f>
        <v/>
      </c>
      <c r="C76" s="73">
        <f>IF('جدول الكميات'!E76="","",'جدول الكميات'!E76)</f>
        <v/>
      </c>
      <c r="D76" s="74">
        <f>IF('جدول الكميات'!C76="","",'جدول الكميات'!C76)</f>
        <v/>
      </c>
      <c r="E76" s="75">
        <f>N('جدول الكميات'!F76)</f>
        <v/>
      </c>
      <c r="F76" s="75">
        <f>N('جدول الكميات'!G76)</f>
        <v/>
      </c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  <c r="Q76" s="63" t="n"/>
      <c r="R76" s="63" t="n"/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3" t="n"/>
      <c r="AB76" s="63" t="n"/>
      <c r="AC76" s="63" t="n"/>
      <c r="AD76" s="63" t="n"/>
      <c r="AE76" s="64">
        <f>SUM(G76:AD76)</f>
        <v/>
      </c>
      <c r="AF76" s="64">
        <f>E76-AE76</f>
        <v/>
      </c>
      <c r="AG76" s="76">
        <f>IF(E76&gt;0,AE76/E76,0)</f>
        <v/>
      </c>
      <c r="AH76" s="77">
        <f>AE76*F76</f>
        <v/>
      </c>
      <c r="AI76" s="78">
        <f>IF(A76="","",IF(AE76&gt;E76+0.0001,"⚠ تجاوز الكمية",IF(AG76&gt;=1,"✔ مكتمل",IF(AE76&gt;0,"جاري التنفيذ","لم يبدأ"))))</f>
        <v/>
      </c>
    </row>
    <row r="77">
      <c r="A77" s="73">
        <f>IF('جدول الكميات'!B77="","",'جدول الكميات'!B77)</f>
        <v/>
      </c>
      <c r="B77" s="74">
        <f>IF('جدول الكميات'!D77="","",'جدول الكميات'!D77)</f>
        <v/>
      </c>
      <c r="C77" s="73">
        <f>IF('جدول الكميات'!E77="","",'جدول الكميات'!E77)</f>
        <v/>
      </c>
      <c r="D77" s="74">
        <f>IF('جدول الكميات'!C77="","",'جدول الكميات'!C77)</f>
        <v/>
      </c>
      <c r="E77" s="75">
        <f>N('جدول الكميات'!F77)</f>
        <v/>
      </c>
      <c r="F77" s="75">
        <f>N('جدول الكميات'!G77)</f>
        <v/>
      </c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63" t="n"/>
      <c r="AE77" s="64">
        <f>SUM(G77:AD77)</f>
        <v/>
      </c>
      <c r="AF77" s="64">
        <f>E77-AE77</f>
        <v/>
      </c>
      <c r="AG77" s="76">
        <f>IF(E77&gt;0,AE77/E77,0)</f>
        <v/>
      </c>
      <c r="AH77" s="77">
        <f>AE77*F77</f>
        <v/>
      </c>
      <c r="AI77" s="78">
        <f>IF(A77="","",IF(AE77&gt;E77+0.0001,"⚠ تجاوز الكمية",IF(AG77&gt;=1,"✔ مكتمل",IF(AE77&gt;0,"جاري التنفيذ","لم يبدأ"))))</f>
        <v/>
      </c>
    </row>
    <row r="78">
      <c r="A78" s="73">
        <f>IF('جدول الكميات'!B78="","",'جدول الكميات'!B78)</f>
        <v/>
      </c>
      <c r="B78" s="74">
        <f>IF('جدول الكميات'!D78="","",'جدول الكميات'!D78)</f>
        <v/>
      </c>
      <c r="C78" s="73">
        <f>IF('جدول الكميات'!E78="","",'جدول الكميات'!E78)</f>
        <v/>
      </c>
      <c r="D78" s="74">
        <f>IF('جدول الكميات'!C78="","",'جدول الكميات'!C78)</f>
        <v/>
      </c>
      <c r="E78" s="75">
        <f>N('جدول الكميات'!F78)</f>
        <v/>
      </c>
      <c r="F78" s="75">
        <f>N('جدول الكميات'!G78)</f>
        <v/>
      </c>
      <c r="G78" s="63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3" t="n"/>
      <c r="AB78" s="63" t="n"/>
      <c r="AC78" s="63" t="n"/>
      <c r="AD78" s="63" t="n"/>
      <c r="AE78" s="64">
        <f>SUM(G78:AD78)</f>
        <v/>
      </c>
      <c r="AF78" s="64">
        <f>E78-AE78</f>
        <v/>
      </c>
      <c r="AG78" s="76">
        <f>IF(E78&gt;0,AE78/E78,0)</f>
        <v/>
      </c>
      <c r="AH78" s="77">
        <f>AE78*F78</f>
        <v/>
      </c>
      <c r="AI78" s="78">
        <f>IF(A78="","",IF(AE78&gt;E78+0.0001,"⚠ تجاوز الكمية",IF(AG78&gt;=1,"✔ مكتمل",IF(AE78&gt;0,"جاري التنفيذ","لم يبدأ"))))</f>
        <v/>
      </c>
    </row>
    <row r="79">
      <c r="A79" s="73">
        <f>IF('جدول الكميات'!B79="","",'جدول الكميات'!B79)</f>
        <v/>
      </c>
      <c r="B79" s="74">
        <f>IF('جدول الكميات'!D79="","",'جدول الكميات'!D79)</f>
        <v/>
      </c>
      <c r="C79" s="73">
        <f>IF('جدول الكميات'!E79="","",'جدول الكميات'!E79)</f>
        <v/>
      </c>
      <c r="D79" s="74">
        <f>IF('جدول الكميات'!C79="","",'جدول الكميات'!C79)</f>
        <v/>
      </c>
      <c r="E79" s="75">
        <f>N('جدول الكميات'!F79)</f>
        <v/>
      </c>
      <c r="F79" s="75">
        <f>N('جدول الكميات'!G79)</f>
        <v/>
      </c>
      <c r="G79" s="63" t="n"/>
      <c r="H79" s="63" t="n"/>
      <c r="I79" s="63" t="n"/>
      <c r="J79" s="63" t="n"/>
      <c r="K79" s="63" t="n"/>
      <c r="L79" s="63" t="n"/>
      <c r="M79" s="63" t="n"/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  <c r="AA79" s="63" t="n"/>
      <c r="AB79" s="63" t="n"/>
      <c r="AC79" s="63" t="n"/>
      <c r="AD79" s="63" t="n"/>
      <c r="AE79" s="64">
        <f>SUM(G79:AD79)</f>
        <v/>
      </c>
      <c r="AF79" s="64">
        <f>E79-AE79</f>
        <v/>
      </c>
      <c r="AG79" s="76">
        <f>IF(E79&gt;0,AE79/E79,0)</f>
        <v/>
      </c>
      <c r="AH79" s="77">
        <f>AE79*F79</f>
        <v/>
      </c>
      <c r="AI79" s="78">
        <f>IF(A79="","",IF(AE79&gt;E79+0.0001,"⚠ تجاوز الكمية",IF(AG79&gt;=1,"✔ مكتمل",IF(AE79&gt;0,"جاري التنفيذ","لم يبدأ"))))</f>
        <v/>
      </c>
    </row>
    <row r="80">
      <c r="A80" s="73">
        <f>IF('جدول الكميات'!B80="","",'جدول الكميات'!B80)</f>
        <v/>
      </c>
      <c r="B80" s="74">
        <f>IF('جدول الكميات'!D80="","",'جدول الكميات'!D80)</f>
        <v/>
      </c>
      <c r="C80" s="73">
        <f>IF('جدول الكميات'!E80="","",'جدول الكميات'!E80)</f>
        <v/>
      </c>
      <c r="D80" s="74">
        <f>IF('جدول الكميات'!C80="","",'جدول الكميات'!C80)</f>
        <v/>
      </c>
      <c r="E80" s="75">
        <f>N('جدول الكميات'!F80)</f>
        <v/>
      </c>
      <c r="F80" s="75">
        <f>N('جدول الكميات'!G80)</f>
        <v/>
      </c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  <c r="AC80" s="63" t="n"/>
      <c r="AD80" s="63" t="n"/>
      <c r="AE80" s="64">
        <f>SUM(G80:AD80)</f>
        <v/>
      </c>
      <c r="AF80" s="64">
        <f>E80-AE80</f>
        <v/>
      </c>
      <c r="AG80" s="76">
        <f>IF(E80&gt;0,AE80/E80,0)</f>
        <v/>
      </c>
      <c r="AH80" s="77">
        <f>AE80*F80</f>
        <v/>
      </c>
      <c r="AI80" s="78">
        <f>IF(A80="","",IF(AE80&gt;E80+0.0001,"⚠ تجاوز الكمية",IF(AG80&gt;=1,"✔ مكتمل",IF(AE80&gt;0,"جاري التنفيذ","لم يبدأ"))))</f>
        <v/>
      </c>
    </row>
    <row r="81">
      <c r="A81" s="73">
        <f>IF('جدول الكميات'!B81="","",'جدول الكميات'!B81)</f>
        <v/>
      </c>
      <c r="B81" s="74">
        <f>IF('جدول الكميات'!D81="","",'جدول الكميات'!D81)</f>
        <v/>
      </c>
      <c r="C81" s="73">
        <f>IF('جدول الكميات'!E81="","",'جدول الكميات'!E81)</f>
        <v/>
      </c>
      <c r="D81" s="74">
        <f>IF('جدول الكميات'!C81="","",'جدول الكميات'!C81)</f>
        <v/>
      </c>
      <c r="E81" s="75">
        <f>N('جدول الكميات'!F81)</f>
        <v/>
      </c>
      <c r="F81" s="75">
        <f>N('جدول الكميات'!G81)</f>
        <v/>
      </c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  <c r="AC81" s="63" t="n"/>
      <c r="AD81" s="63" t="n"/>
      <c r="AE81" s="64">
        <f>SUM(G81:AD81)</f>
        <v/>
      </c>
      <c r="AF81" s="64">
        <f>E81-AE81</f>
        <v/>
      </c>
      <c r="AG81" s="76">
        <f>IF(E81&gt;0,AE81/E81,0)</f>
        <v/>
      </c>
      <c r="AH81" s="77">
        <f>AE81*F81</f>
        <v/>
      </c>
      <c r="AI81" s="78">
        <f>IF(A81="","",IF(AE81&gt;E81+0.0001,"⚠ تجاوز الكمية",IF(AG81&gt;=1,"✔ مكتمل",IF(AE81&gt;0,"جاري التنفيذ","لم يبدأ"))))</f>
        <v/>
      </c>
    </row>
    <row r="82">
      <c r="A82" s="73">
        <f>IF('جدول الكميات'!B82="","",'جدول الكميات'!B82)</f>
        <v/>
      </c>
      <c r="B82" s="74">
        <f>IF('جدول الكميات'!D82="","",'جدول الكميات'!D82)</f>
        <v/>
      </c>
      <c r="C82" s="73">
        <f>IF('جدول الكميات'!E82="","",'جدول الكميات'!E82)</f>
        <v/>
      </c>
      <c r="D82" s="74">
        <f>IF('جدول الكميات'!C82="","",'جدول الكميات'!C82)</f>
        <v/>
      </c>
      <c r="E82" s="75">
        <f>N('جدول الكميات'!F82)</f>
        <v/>
      </c>
      <c r="F82" s="75">
        <f>N('جدول الكميات'!G82)</f>
        <v/>
      </c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  <c r="AC82" s="63" t="n"/>
      <c r="AD82" s="63" t="n"/>
      <c r="AE82" s="64">
        <f>SUM(G82:AD82)</f>
        <v/>
      </c>
      <c r="AF82" s="64">
        <f>E82-AE82</f>
        <v/>
      </c>
      <c r="AG82" s="76">
        <f>IF(E82&gt;0,AE82/E82,0)</f>
        <v/>
      </c>
      <c r="AH82" s="77">
        <f>AE82*F82</f>
        <v/>
      </c>
      <c r="AI82" s="78">
        <f>IF(A82="","",IF(AE82&gt;E82+0.0001,"⚠ تجاوز الكمية",IF(AG82&gt;=1,"✔ مكتمل",IF(AE82&gt;0,"جاري التنفيذ","لم يبدأ"))))</f>
        <v/>
      </c>
    </row>
    <row r="83">
      <c r="A83" s="73">
        <f>IF('جدول الكميات'!B83="","",'جدول الكميات'!B83)</f>
        <v/>
      </c>
      <c r="B83" s="74">
        <f>IF('جدول الكميات'!D83="","",'جدول الكميات'!D83)</f>
        <v/>
      </c>
      <c r="C83" s="73">
        <f>IF('جدول الكميات'!E83="","",'جدول الكميات'!E83)</f>
        <v/>
      </c>
      <c r="D83" s="74">
        <f>IF('جدول الكميات'!C83="","",'جدول الكميات'!C83)</f>
        <v/>
      </c>
      <c r="E83" s="75">
        <f>N('جدول الكميات'!F83)</f>
        <v/>
      </c>
      <c r="F83" s="75">
        <f>N('جدول الكميات'!G83)</f>
        <v/>
      </c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63" t="n"/>
      <c r="AE83" s="64">
        <f>SUM(G83:AD83)</f>
        <v/>
      </c>
      <c r="AF83" s="64">
        <f>E83-AE83</f>
        <v/>
      </c>
      <c r="AG83" s="76">
        <f>IF(E83&gt;0,AE83/E83,0)</f>
        <v/>
      </c>
      <c r="AH83" s="77">
        <f>AE83*F83</f>
        <v/>
      </c>
      <c r="AI83" s="78">
        <f>IF(A83="","",IF(AE83&gt;E83+0.0001,"⚠ تجاوز الكمية",IF(AG83&gt;=1,"✔ مكتمل",IF(AE83&gt;0,"جاري التنفيذ","لم يبدأ"))))</f>
        <v/>
      </c>
    </row>
    <row r="84">
      <c r="A84" s="73">
        <f>IF('جدول الكميات'!B84="","",'جدول الكميات'!B84)</f>
        <v/>
      </c>
      <c r="B84" s="74">
        <f>IF('جدول الكميات'!D84="","",'جدول الكميات'!D84)</f>
        <v/>
      </c>
      <c r="C84" s="73">
        <f>IF('جدول الكميات'!E84="","",'جدول الكميات'!E84)</f>
        <v/>
      </c>
      <c r="D84" s="74">
        <f>IF('جدول الكميات'!C84="","",'جدول الكميات'!C84)</f>
        <v/>
      </c>
      <c r="E84" s="75">
        <f>N('جدول الكميات'!F84)</f>
        <v/>
      </c>
      <c r="F84" s="75">
        <f>N('جدول الكميات'!G84)</f>
        <v/>
      </c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  <c r="AC84" s="63" t="n"/>
      <c r="AD84" s="63" t="n"/>
      <c r="AE84" s="64">
        <f>SUM(G84:AD84)</f>
        <v/>
      </c>
      <c r="AF84" s="64">
        <f>E84-AE84</f>
        <v/>
      </c>
      <c r="AG84" s="76">
        <f>IF(E84&gt;0,AE84/E84,0)</f>
        <v/>
      </c>
      <c r="AH84" s="77">
        <f>AE84*F84</f>
        <v/>
      </c>
      <c r="AI84" s="78">
        <f>IF(A84="","",IF(AE84&gt;E84+0.0001,"⚠ تجاوز الكمية",IF(AG84&gt;=1,"✔ مكتمل",IF(AE84&gt;0,"جاري التنفيذ","لم يبدأ"))))</f>
        <v/>
      </c>
    </row>
    <row r="85">
      <c r="A85" s="73">
        <f>IF('جدول الكميات'!B85="","",'جدول الكميات'!B85)</f>
        <v/>
      </c>
      <c r="B85" s="74">
        <f>IF('جدول الكميات'!D85="","",'جدول الكميات'!D85)</f>
        <v/>
      </c>
      <c r="C85" s="73">
        <f>IF('جدول الكميات'!E85="","",'جدول الكميات'!E85)</f>
        <v/>
      </c>
      <c r="D85" s="74">
        <f>IF('جدول الكميات'!C85="","",'جدول الكميات'!C85)</f>
        <v/>
      </c>
      <c r="E85" s="75">
        <f>N('جدول الكميات'!F85)</f>
        <v/>
      </c>
      <c r="F85" s="75">
        <f>N('جدول الكميات'!G85)</f>
        <v/>
      </c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  <c r="AC85" s="63" t="n"/>
      <c r="AD85" s="63" t="n"/>
      <c r="AE85" s="64">
        <f>SUM(G85:AD85)</f>
        <v/>
      </c>
      <c r="AF85" s="64">
        <f>E85-AE85</f>
        <v/>
      </c>
      <c r="AG85" s="76">
        <f>IF(E85&gt;0,AE85/E85,0)</f>
        <v/>
      </c>
      <c r="AH85" s="77">
        <f>AE85*F85</f>
        <v/>
      </c>
      <c r="AI85" s="78">
        <f>IF(A85="","",IF(AE85&gt;E85+0.0001,"⚠ تجاوز الكمية",IF(AG85&gt;=1,"✔ مكتمل",IF(AE85&gt;0,"جاري التنفيذ","لم يبدأ"))))</f>
        <v/>
      </c>
    </row>
    <row r="86">
      <c r="A86" s="73">
        <f>IF('جدول الكميات'!B86="","",'جدول الكميات'!B86)</f>
        <v/>
      </c>
      <c r="B86" s="74">
        <f>IF('جدول الكميات'!D86="","",'جدول الكميات'!D86)</f>
        <v/>
      </c>
      <c r="C86" s="73">
        <f>IF('جدول الكميات'!E86="","",'جدول الكميات'!E86)</f>
        <v/>
      </c>
      <c r="D86" s="74">
        <f>IF('جدول الكميات'!C86="","",'جدول الكميات'!C86)</f>
        <v/>
      </c>
      <c r="E86" s="75">
        <f>N('جدول الكميات'!F86)</f>
        <v/>
      </c>
      <c r="F86" s="75">
        <f>N('جدول الكميات'!G86)</f>
        <v/>
      </c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  <c r="AC86" s="63" t="n"/>
      <c r="AD86" s="63" t="n"/>
      <c r="AE86" s="64">
        <f>SUM(G86:AD86)</f>
        <v/>
      </c>
      <c r="AF86" s="64">
        <f>E86-AE86</f>
        <v/>
      </c>
      <c r="AG86" s="76">
        <f>IF(E86&gt;0,AE86/E86,0)</f>
        <v/>
      </c>
      <c r="AH86" s="77">
        <f>AE86*F86</f>
        <v/>
      </c>
      <c r="AI86" s="78">
        <f>IF(A86="","",IF(AE86&gt;E86+0.0001,"⚠ تجاوز الكمية",IF(AG86&gt;=1,"✔ مكتمل",IF(AE86&gt;0,"جاري التنفيذ","لم يبدأ"))))</f>
        <v/>
      </c>
    </row>
    <row r="87">
      <c r="A87" s="73">
        <f>IF('جدول الكميات'!B87="","",'جدول الكميات'!B87)</f>
        <v/>
      </c>
      <c r="B87" s="74">
        <f>IF('جدول الكميات'!D87="","",'جدول الكميات'!D87)</f>
        <v/>
      </c>
      <c r="C87" s="73">
        <f>IF('جدول الكميات'!E87="","",'جدول الكميات'!E87)</f>
        <v/>
      </c>
      <c r="D87" s="74">
        <f>IF('جدول الكميات'!C87="","",'جدول الكميات'!C87)</f>
        <v/>
      </c>
      <c r="E87" s="75">
        <f>N('جدول الكميات'!F87)</f>
        <v/>
      </c>
      <c r="F87" s="75">
        <f>N('جدول الكميات'!G87)</f>
        <v/>
      </c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  <c r="AA87" s="63" t="n"/>
      <c r="AB87" s="63" t="n"/>
      <c r="AC87" s="63" t="n"/>
      <c r="AD87" s="63" t="n"/>
      <c r="AE87" s="64">
        <f>SUM(G87:AD87)</f>
        <v/>
      </c>
      <c r="AF87" s="64">
        <f>E87-AE87</f>
        <v/>
      </c>
      <c r="AG87" s="76">
        <f>IF(E87&gt;0,AE87/E87,0)</f>
        <v/>
      </c>
      <c r="AH87" s="77">
        <f>AE87*F87</f>
        <v/>
      </c>
      <c r="AI87" s="78">
        <f>IF(A87="","",IF(AE87&gt;E87+0.0001,"⚠ تجاوز الكمية",IF(AG87&gt;=1,"✔ مكتمل",IF(AE87&gt;0,"جاري التنفيذ","لم يبدأ"))))</f>
        <v/>
      </c>
    </row>
    <row r="88">
      <c r="A88" s="73">
        <f>IF('جدول الكميات'!B88="","",'جدول الكميات'!B88)</f>
        <v/>
      </c>
      <c r="B88" s="74">
        <f>IF('جدول الكميات'!D88="","",'جدول الكميات'!D88)</f>
        <v/>
      </c>
      <c r="C88" s="73">
        <f>IF('جدول الكميات'!E88="","",'جدول الكميات'!E88)</f>
        <v/>
      </c>
      <c r="D88" s="74">
        <f>IF('جدول الكميات'!C88="","",'جدول الكميات'!C88)</f>
        <v/>
      </c>
      <c r="E88" s="75">
        <f>N('جدول الكميات'!F88)</f>
        <v/>
      </c>
      <c r="F88" s="75">
        <f>N('جدول الكميات'!G88)</f>
        <v/>
      </c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3" t="n"/>
      <c r="AB88" s="63" t="n"/>
      <c r="AC88" s="63" t="n"/>
      <c r="AD88" s="63" t="n"/>
      <c r="AE88" s="64">
        <f>SUM(G88:AD88)</f>
        <v/>
      </c>
      <c r="AF88" s="64">
        <f>E88-AE88</f>
        <v/>
      </c>
      <c r="AG88" s="76">
        <f>IF(E88&gt;0,AE88/E88,0)</f>
        <v/>
      </c>
      <c r="AH88" s="77">
        <f>AE88*F88</f>
        <v/>
      </c>
      <c r="AI88" s="78">
        <f>IF(A88="","",IF(AE88&gt;E88+0.0001,"⚠ تجاوز الكمية",IF(AG88&gt;=1,"✔ مكتمل",IF(AE88&gt;0,"جاري التنفيذ","لم يبدأ"))))</f>
        <v/>
      </c>
    </row>
    <row r="89">
      <c r="A89" s="73">
        <f>IF('جدول الكميات'!B89="","",'جدول الكميات'!B89)</f>
        <v/>
      </c>
      <c r="B89" s="74">
        <f>IF('جدول الكميات'!D89="","",'جدول الكميات'!D89)</f>
        <v/>
      </c>
      <c r="C89" s="73">
        <f>IF('جدول الكميات'!E89="","",'جدول الكميات'!E89)</f>
        <v/>
      </c>
      <c r="D89" s="74">
        <f>IF('جدول الكميات'!C89="","",'جدول الكميات'!C89)</f>
        <v/>
      </c>
      <c r="E89" s="75">
        <f>N('جدول الكميات'!F89)</f>
        <v/>
      </c>
      <c r="F89" s="75">
        <f>N('جدول الكميات'!G89)</f>
        <v/>
      </c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  <c r="AA89" s="63" t="n"/>
      <c r="AB89" s="63" t="n"/>
      <c r="AC89" s="63" t="n"/>
      <c r="AD89" s="63" t="n"/>
      <c r="AE89" s="64">
        <f>SUM(G89:AD89)</f>
        <v/>
      </c>
      <c r="AF89" s="64">
        <f>E89-AE89</f>
        <v/>
      </c>
      <c r="AG89" s="76">
        <f>IF(E89&gt;0,AE89/E89,0)</f>
        <v/>
      </c>
      <c r="AH89" s="77">
        <f>AE89*F89</f>
        <v/>
      </c>
      <c r="AI89" s="78">
        <f>IF(A89="","",IF(AE89&gt;E89+0.0001,"⚠ تجاوز الكمية",IF(AG89&gt;=1,"✔ مكتمل",IF(AE89&gt;0,"جاري التنفيذ","لم يبدأ"))))</f>
        <v/>
      </c>
    </row>
    <row r="90">
      <c r="A90" s="73">
        <f>IF('جدول الكميات'!B90="","",'جدول الكميات'!B90)</f>
        <v/>
      </c>
      <c r="B90" s="74">
        <f>IF('جدول الكميات'!D90="","",'جدول الكميات'!D90)</f>
        <v/>
      </c>
      <c r="C90" s="73">
        <f>IF('جدول الكميات'!E90="","",'جدول الكميات'!E90)</f>
        <v/>
      </c>
      <c r="D90" s="74">
        <f>IF('جدول الكميات'!C90="","",'جدول الكميات'!C90)</f>
        <v/>
      </c>
      <c r="E90" s="75">
        <f>N('جدول الكميات'!F90)</f>
        <v/>
      </c>
      <c r="F90" s="75">
        <f>N('جدول الكميات'!G90)</f>
        <v/>
      </c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  <c r="AA90" s="63" t="n"/>
      <c r="AB90" s="63" t="n"/>
      <c r="AC90" s="63" t="n"/>
      <c r="AD90" s="63" t="n"/>
      <c r="AE90" s="64">
        <f>SUM(G90:AD90)</f>
        <v/>
      </c>
      <c r="AF90" s="64">
        <f>E90-AE90</f>
        <v/>
      </c>
      <c r="AG90" s="76">
        <f>IF(E90&gt;0,AE90/E90,0)</f>
        <v/>
      </c>
      <c r="AH90" s="77">
        <f>AE90*F90</f>
        <v/>
      </c>
      <c r="AI90" s="78">
        <f>IF(A90="","",IF(AE90&gt;E90+0.0001,"⚠ تجاوز الكمية",IF(AG90&gt;=1,"✔ مكتمل",IF(AE90&gt;0,"جاري التنفيذ","لم يبدأ"))))</f>
        <v/>
      </c>
    </row>
    <row r="91">
      <c r="A91" s="73">
        <f>IF('جدول الكميات'!B91="","",'جدول الكميات'!B91)</f>
        <v/>
      </c>
      <c r="B91" s="74">
        <f>IF('جدول الكميات'!D91="","",'جدول الكميات'!D91)</f>
        <v/>
      </c>
      <c r="C91" s="73">
        <f>IF('جدول الكميات'!E91="","",'جدول الكميات'!E91)</f>
        <v/>
      </c>
      <c r="D91" s="74">
        <f>IF('جدول الكميات'!C91="","",'جدول الكميات'!C91)</f>
        <v/>
      </c>
      <c r="E91" s="75">
        <f>N('جدول الكميات'!F91)</f>
        <v/>
      </c>
      <c r="F91" s="75">
        <f>N('جدول الكميات'!G91)</f>
        <v/>
      </c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  <c r="AC91" s="63" t="n"/>
      <c r="AD91" s="63" t="n"/>
      <c r="AE91" s="64">
        <f>SUM(G91:AD91)</f>
        <v/>
      </c>
      <c r="AF91" s="64">
        <f>E91-AE91</f>
        <v/>
      </c>
      <c r="AG91" s="76">
        <f>IF(E91&gt;0,AE91/E91,0)</f>
        <v/>
      </c>
      <c r="AH91" s="77">
        <f>AE91*F91</f>
        <v/>
      </c>
      <c r="AI91" s="78">
        <f>IF(A91="","",IF(AE91&gt;E91+0.0001,"⚠ تجاوز الكمية",IF(AG91&gt;=1,"✔ مكتمل",IF(AE91&gt;0,"جاري التنفيذ","لم يبدأ"))))</f>
        <v/>
      </c>
    </row>
    <row r="92">
      <c r="A92" s="73">
        <f>IF('جدول الكميات'!B92="","",'جدول الكميات'!B92)</f>
        <v/>
      </c>
      <c r="B92" s="74">
        <f>IF('جدول الكميات'!D92="","",'جدول الكميات'!D92)</f>
        <v/>
      </c>
      <c r="C92" s="73">
        <f>IF('جدول الكميات'!E92="","",'جدول الكميات'!E92)</f>
        <v/>
      </c>
      <c r="D92" s="74">
        <f>IF('جدول الكميات'!C92="","",'جدول الكميات'!C92)</f>
        <v/>
      </c>
      <c r="E92" s="75">
        <f>N('جدول الكميات'!F92)</f>
        <v/>
      </c>
      <c r="F92" s="75">
        <f>N('جدول الكميات'!G92)</f>
        <v/>
      </c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  <c r="AA92" s="63" t="n"/>
      <c r="AB92" s="63" t="n"/>
      <c r="AC92" s="63" t="n"/>
      <c r="AD92" s="63" t="n"/>
      <c r="AE92" s="64">
        <f>SUM(G92:AD92)</f>
        <v/>
      </c>
      <c r="AF92" s="64">
        <f>E92-AE92</f>
        <v/>
      </c>
      <c r="AG92" s="76">
        <f>IF(E92&gt;0,AE92/E92,0)</f>
        <v/>
      </c>
      <c r="AH92" s="77">
        <f>AE92*F92</f>
        <v/>
      </c>
      <c r="AI92" s="78">
        <f>IF(A92="","",IF(AE92&gt;E92+0.0001,"⚠ تجاوز الكمية",IF(AG92&gt;=1,"✔ مكتمل",IF(AE92&gt;0,"جاري التنفيذ","لم يبدأ"))))</f>
        <v/>
      </c>
    </row>
    <row r="93">
      <c r="A93" s="73">
        <f>IF('جدول الكميات'!B93="","",'جدول الكميات'!B93)</f>
        <v/>
      </c>
      <c r="B93" s="74">
        <f>IF('جدول الكميات'!D93="","",'جدول الكميات'!D93)</f>
        <v/>
      </c>
      <c r="C93" s="73">
        <f>IF('جدول الكميات'!E93="","",'جدول الكميات'!E93)</f>
        <v/>
      </c>
      <c r="D93" s="74">
        <f>IF('جدول الكميات'!C93="","",'جدول الكميات'!C93)</f>
        <v/>
      </c>
      <c r="E93" s="75">
        <f>N('جدول الكميات'!F93)</f>
        <v/>
      </c>
      <c r="F93" s="75">
        <f>N('جدول الكميات'!G93)</f>
        <v/>
      </c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  <c r="AC93" s="63" t="n"/>
      <c r="AD93" s="63" t="n"/>
      <c r="AE93" s="64">
        <f>SUM(G93:AD93)</f>
        <v/>
      </c>
      <c r="AF93" s="64">
        <f>E93-AE93</f>
        <v/>
      </c>
      <c r="AG93" s="76">
        <f>IF(E93&gt;0,AE93/E93,0)</f>
        <v/>
      </c>
      <c r="AH93" s="77">
        <f>AE93*F93</f>
        <v/>
      </c>
      <c r="AI93" s="78">
        <f>IF(A93="","",IF(AE93&gt;E93+0.0001,"⚠ تجاوز الكمية",IF(AG93&gt;=1,"✔ مكتمل",IF(AE93&gt;0,"جاري التنفيذ","لم يبدأ"))))</f>
        <v/>
      </c>
    </row>
    <row r="94">
      <c r="A94" s="73">
        <f>IF('جدول الكميات'!B94="","",'جدول الكميات'!B94)</f>
        <v/>
      </c>
      <c r="B94" s="74">
        <f>IF('جدول الكميات'!D94="","",'جدول الكميات'!D94)</f>
        <v/>
      </c>
      <c r="C94" s="73">
        <f>IF('جدول الكميات'!E94="","",'جدول الكميات'!E94)</f>
        <v/>
      </c>
      <c r="D94" s="74">
        <f>IF('جدول الكميات'!C94="","",'جدول الكميات'!C94)</f>
        <v/>
      </c>
      <c r="E94" s="75">
        <f>N('جدول الكميات'!F94)</f>
        <v/>
      </c>
      <c r="F94" s="75">
        <f>N('جدول الكميات'!G94)</f>
        <v/>
      </c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  <c r="AA94" s="63" t="n"/>
      <c r="AB94" s="63" t="n"/>
      <c r="AC94" s="63" t="n"/>
      <c r="AD94" s="63" t="n"/>
      <c r="AE94" s="64">
        <f>SUM(G94:AD94)</f>
        <v/>
      </c>
      <c r="AF94" s="64">
        <f>E94-AE94</f>
        <v/>
      </c>
      <c r="AG94" s="76">
        <f>IF(E94&gt;0,AE94/E94,0)</f>
        <v/>
      </c>
      <c r="AH94" s="77">
        <f>AE94*F94</f>
        <v/>
      </c>
      <c r="AI94" s="78">
        <f>IF(A94="","",IF(AE94&gt;E94+0.0001,"⚠ تجاوز الكمية",IF(AG94&gt;=1,"✔ مكتمل",IF(AE94&gt;0,"جاري التنفيذ","لم يبدأ"))))</f>
        <v/>
      </c>
    </row>
    <row r="95">
      <c r="A95" s="73">
        <f>IF('جدول الكميات'!B95="","",'جدول الكميات'!B95)</f>
        <v/>
      </c>
      <c r="B95" s="74">
        <f>IF('جدول الكميات'!D95="","",'جدول الكميات'!D95)</f>
        <v/>
      </c>
      <c r="C95" s="73">
        <f>IF('جدول الكميات'!E95="","",'جدول الكميات'!E95)</f>
        <v/>
      </c>
      <c r="D95" s="74">
        <f>IF('جدول الكميات'!C95="","",'جدول الكميات'!C95)</f>
        <v/>
      </c>
      <c r="E95" s="75">
        <f>N('جدول الكميات'!F95)</f>
        <v/>
      </c>
      <c r="F95" s="75">
        <f>N('جدول الكميات'!G95)</f>
        <v/>
      </c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63" t="n"/>
      <c r="AE95" s="64">
        <f>SUM(G95:AD95)</f>
        <v/>
      </c>
      <c r="AF95" s="64">
        <f>E95-AE95</f>
        <v/>
      </c>
      <c r="AG95" s="76">
        <f>IF(E95&gt;0,AE95/E95,0)</f>
        <v/>
      </c>
      <c r="AH95" s="77">
        <f>AE95*F95</f>
        <v/>
      </c>
      <c r="AI95" s="78">
        <f>IF(A95="","",IF(AE95&gt;E95+0.0001,"⚠ تجاوز الكمية",IF(AG95&gt;=1,"✔ مكتمل",IF(AE95&gt;0,"جاري التنفيذ","لم يبدأ"))))</f>
        <v/>
      </c>
    </row>
    <row r="96">
      <c r="A96" s="73">
        <f>IF('جدول الكميات'!B96="","",'جدول الكميات'!B96)</f>
        <v/>
      </c>
      <c r="B96" s="74">
        <f>IF('جدول الكميات'!D96="","",'جدول الكميات'!D96)</f>
        <v/>
      </c>
      <c r="C96" s="73">
        <f>IF('جدول الكميات'!E96="","",'جدول الكميات'!E96)</f>
        <v/>
      </c>
      <c r="D96" s="74">
        <f>IF('جدول الكميات'!C96="","",'جدول الكميات'!C96)</f>
        <v/>
      </c>
      <c r="E96" s="75">
        <f>N('جدول الكميات'!F96)</f>
        <v/>
      </c>
      <c r="F96" s="75">
        <f>N('جدول الكميات'!G96)</f>
        <v/>
      </c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  <c r="AC96" s="63" t="n"/>
      <c r="AD96" s="63" t="n"/>
      <c r="AE96" s="64">
        <f>SUM(G96:AD96)</f>
        <v/>
      </c>
      <c r="AF96" s="64">
        <f>E96-AE96</f>
        <v/>
      </c>
      <c r="AG96" s="76">
        <f>IF(E96&gt;0,AE96/E96,0)</f>
        <v/>
      </c>
      <c r="AH96" s="77">
        <f>AE96*F96</f>
        <v/>
      </c>
      <c r="AI96" s="78">
        <f>IF(A96="","",IF(AE96&gt;E96+0.0001,"⚠ تجاوز الكمية",IF(AG96&gt;=1,"✔ مكتمل",IF(AE96&gt;0,"جاري التنفيذ","لم يبدأ"))))</f>
        <v/>
      </c>
    </row>
    <row r="97">
      <c r="A97" s="73">
        <f>IF('جدول الكميات'!B97="","",'جدول الكميات'!B97)</f>
        <v/>
      </c>
      <c r="B97" s="74">
        <f>IF('جدول الكميات'!D97="","",'جدول الكميات'!D97)</f>
        <v/>
      </c>
      <c r="C97" s="73">
        <f>IF('جدول الكميات'!E97="","",'جدول الكميات'!E97)</f>
        <v/>
      </c>
      <c r="D97" s="74">
        <f>IF('جدول الكميات'!C97="","",'جدول الكميات'!C97)</f>
        <v/>
      </c>
      <c r="E97" s="75">
        <f>N('جدول الكميات'!F97)</f>
        <v/>
      </c>
      <c r="F97" s="75">
        <f>N('جدول الكميات'!G97)</f>
        <v/>
      </c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  <c r="AA97" s="63" t="n"/>
      <c r="AB97" s="63" t="n"/>
      <c r="AC97" s="63" t="n"/>
      <c r="AD97" s="63" t="n"/>
      <c r="AE97" s="64">
        <f>SUM(G97:AD97)</f>
        <v/>
      </c>
      <c r="AF97" s="64">
        <f>E97-AE97</f>
        <v/>
      </c>
      <c r="AG97" s="76">
        <f>IF(E97&gt;0,AE97/E97,0)</f>
        <v/>
      </c>
      <c r="AH97" s="77">
        <f>AE97*F97</f>
        <v/>
      </c>
      <c r="AI97" s="78">
        <f>IF(A97="","",IF(AE97&gt;E97+0.0001,"⚠ تجاوز الكمية",IF(AG97&gt;=1,"✔ مكتمل",IF(AE97&gt;0,"جاري التنفيذ","لم يبدأ"))))</f>
        <v/>
      </c>
    </row>
    <row r="98">
      <c r="A98" s="73">
        <f>IF('جدول الكميات'!B98="","",'جدول الكميات'!B98)</f>
        <v/>
      </c>
      <c r="B98" s="74">
        <f>IF('جدول الكميات'!D98="","",'جدول الكميات'!D98)</f>
        <v/>
      </c>
      <c r="C98" s="73">
        <f>IF('جدول الكميات'!E98="","",'جدول الكميات'!E98)</f>
        <v/>
      </c>
      <c r="D98" s="74">
        <f>IF('جدول الكميات'!C98="","",'جدول الكميات'!C98)</f>
        <v/>
      </c>
      <c r="E98" s="75">
        <f>N('جدول الكميات'!F98)</f>
        <v/>
      </c>
      <c r="F98" s="75">
        <f>N('جدول الكميات'!G98)</f>
        <v/>
      </c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  <c r="AC98" s="63" t="n"/>
      <c r="AD98" s="63" t="n"/>
      <c r="AE98" s="64">
        <f>SUM(G98:AD98)</f>
        <v/>
      </c>
      <c r="AF98" s="64">
        <f>E98-AE98</f>
        <v/>
      </c>
      <c r="AG98" s="76">
        <f>IF(E98&gt;0,AE98/E98,0)</f>
        <v/>
      </c>
      <c r="AH98" s="77">
        <f>AE98*F98</f>
        <v/>
      </c>
      <c r="AI98" s="78">
        <f>IF(A98="","",IF(AE98&gt;E98+0.0001,"⚠ تجاوز الكمية",IF(AG98&gt;=1,"✔ مكتمل",IF(AE98&gt;0,"جاري التنفيذ","لم يبدأ"))))</f>
        <v/>
      </c>
    </row>
    <row r="99">
      <c r="A99" s="73">
        <f>IF('جدول الكميات'!B99="","",'جدول الكميات'!B99)</f>
        <v/>
      </c>
      <c r="B99" s="74">
        <f>IF('جدول الكميات'!D99="","",'جدول الكميات'!D99)</f>
        <v/>
      </c>
      <c r="C99" s="73">
        <f>IF('جدول الكميات'!E99="","",'جدول الكميات'!E99)</f>
        <v/>
      </c>
      <c r="D99" s="74">
        <f>IF('جدول الكميات'!C99="","",'جدول الكميات'!C99)</f>
        <v/>
      </c>
      <c r="E99" s="75">
        <f>N('جدول الكميات'!F99)</f>
        <v/>
      </c>
      <c r="F99" s="75">
        <f>N('جدول الكميات'!G99)</f>
        <v/>
      </c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  <c r="AA99" s="63" t="n"/>
      <c r="AB99" s="63" t="n"/>
      <c r="AC99" s="63" t="n"/>
      <c r="AD99" s="63" t="n"/>
      <c r="AE99" s="64">
        <f>SUM(G99:AD99)</f>
        <v/>
      </c>
      <c r="AF99" s="64">
        <f>E99-AE99</f>
        <v/>
      </c>
      <c r="AG99" s="76">
        <f>IF(E99&gt;0,AE99/E99,0)</f>
        <v/>
      </c>
      <c r="AH99" s="77">
        <f>AE99*F99</f>
        <v/>
      </c>
      <c r="AI99" s="78">
        <f>IF(A99="","",IF(AE99&gt;E99+0.0001,"⚠ تجاوز الكمية",IF(AG99&gt;=1,"✔ مكتمل",IF(AE99&gt;0,"جاري التنفيذ","لم يبدأ"))))</f>
        <v/>
      </c>
    </row>
    <row r="100">
      <c r="A100" s="73">
        <f>IF('جدول الكميات'!B100="","",'جدول الكميات'!B100)</f>
        <v/>
      </c>
      <c r="B100" s="74">
        <f>IF('جدول الكميات'!D100="","",'جدول الكميات'!D100)</f>
        <v/>
      </c>
      <c r="C100" s="73">
        <f>IF('جدول الكميات'!E100="","",'جدول الكميات'!E100)</f>
        <v/>
      </c>
      <c r="D100" s="74">
        <f>IF('جدول الكميات'!C100="","",'جدول الكميات'!C100)</f>
        <v/>
      </c>
      <c r="E100" s="75">
        <f>N('جدول الكميات'!F100)</f>
        <v/>
      </c>
      <c r="F100" s="75">
        <f>N('جدول الكميات'!G100)</f>
        <v/>
      </c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  <c r="AA100" s="63" t="n"/>
      <c r="AB100" s="63" t="n"/>
      <c r="AC100" s="63" t="n"/>
      <c r="AD100" s="63" t="n"/>
      <c r="AE100" s="64">
        <f>SUM(G100:AD100)</f>
        <v/>
      </c>
      <c r="AF100" s="64">
        <f>E100-AE100</f>
        <v/>
      </c>
      <c r="AG100" s="76">
        <f>IF(E100&gt;0,AE100/E100,0)</f>
        <v/>
      </c>
      <c r="AH100" s="77">
        <f>AE100*F100</f>
        <v/>
      </c>
      <c r="AI100" s="78">
        <f>IF(A100="","",IF(AE100&gt;E100+0.0001,"⚠ تجاوز الكمية",IF(AG100&gt;=1,"✔ مكتمل",IF(AE100&gt;0,"جاري التنفيذ","لم يبدأ"))))</f>
        <v/>
      </c>
    </row>
    <row r="101">
      <c r="A101" s="73">
        <f>IF('جدول الكميات'!B101="","",'جدول الكميات'!B101)</f>
        <v/>
      </c>
      <c r="B101" s="74">
        <f>IF('جدول الكميات'!D101="","",'جدول الكميات'!D101)</f>
        <v/>
      </c>
      <c r="C101" s="73">
        <f>IF('جدول الكميات'!E101="","",'جدول الكميات'!E101)</f>
        <v/>
      </c>
      <c r="D101" s="74">
        <f>IF('جدول الكميات'!C101="","",'جدول الكميات'!C101)</f>
        <v/>
      </c>
      <c r="E101" s="75">
        <f>N('جدول الكميات'!F101)</f>
        <v/>
      </c>
      <c r="F101" s="75">
        <f>N('جدول الكميات'!G101)</f>
        <v/>
      </c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4">
        <f>SUM(G101:AD101)</f>
        <v/>
      </c>
      <c r="AF101" s="64">
        <f>E101-AE101</f>
        <v/>
      </c>
      <c r="AG101" s="76">
        <f>IF(E101&gt;0,AE101/E101,0)</f>
        <v/>
      </c>
      <c r="AH101" s="77">
        <f>AE101*F101</f>
        <v/>
      </c>
      <c r="AI101" s="78">
        <f>IF(A101="","",IF(AE101&gt;E101+0.0001,"⚠ تجاوز الكمية",IF(AG101&gt;=1,"✔ مكتمل",IF(AE101&gt;0,"جاري التنفيذ","لم يبدأ"))))</f>
        <v/>
      </c>
    </row>
    <row r="102">
      <c r="A102" s="73">
        <f>IF('جدول الكميات'!B102="","",'جدول الكميات'!B102)</f>
        <v/>
      </c>
      <c r="B102" s="74">
        <f>IF('جدول الكميات'!D102="","",'جدول الكميات'!D102)</f>
        <v/>
      </c>
      <c r="C102" s="73">
        <f>IF('جدول الكميات'!E102="","",'جدول الكميات'!E102)</f>
        <v/>
      </c>
      <c r="D102" s="74">
        <f>IF('جدول الكميات'!C102="","",'جدول الكميات'!C102)</f>
        <v/>
      </c>
      <c r="E102" s="75">
        <f>N('جدول الكميات'!F102)</f>
        <v/>
      </c>
      <c r="F102" s="75">
        <f>N('جدول الكميات'!G102)</f>
        <v/>
      </c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3" t="n"/>
      <c r="AB102" s="63" t="n"/>
      <c r="AC102" s="63" t="n"/>
      <c r="AD102" s="63" t="n"/>
      <c r="AE102" s="64">
        <f>SUM(G102:AD102)</f>
        <v/>
      </c>
      <c r="AF102" s="64">
        <f>E102-AE102</f>
        <v/>
      </c>
      <c r="AG102" s="76">
        <f>IF(E102&gt;0,AE102/E102,0)</f>
        <v/>
      </c>
      <c r="AH102" s="77">
        <f>AE102*F102</f>
        <v/>
      </c>
      <c r="AI102" s="78">
        <f>IF(A102="","",IF(AE102&gt;E102+0.0001,"⚠ تجاوز الكمية",IF(AG102&gt;=1,"✔ مكتمل",IF(AE102&gt;0,"جاري التنفيذ","لم يبدأ"))))</f>
        <v/>
      </c>
    </row>
    <row r="103">
      <c r="A103" s="73">
        <f>IF('جدول الكميات'!B103="","",'جدول الكميات'!B103)</f>
        <v/>
      </c>
      <c r="B103" s="74">
        <f>IF('جدول الكميات'!D103="","",'جدول الكميات'!D103)</f>
        <v/>
      </c>
      <c r="C103" s="73">
        <f>IF('جدول الكميات'!E103="","",'جدول الكميات'!E103)</f>
        <v/>
      </c>
      <c r="D103" s="74">
        <f>IF('جدول الكميات'!C103="","",'جدول الكميات'!C103)</f>
        <v/>
      </c>
      <c r="E103" s="75">
        <f>N('جدول الكميات'!F103)</f>
        <v/>
      </c>
      <c r="F103" s="75">
        <f>N('جدول الكميات'!G103)</f>
        <v/>
      </c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  <c r="AC103" s="63" t="n"/>
      <c r="AD103" s="63" t="n"/>
      <c r="AE103" s="64">
        <f>SUM(G103:AD103)</f>
        <v/>
      </c>
      <c r="AF103" s="64">
        <f>E103-AE103</f>
        <v/>
      </c>
      <c r="AG103" s="76">
        <f>IF(E103&gt;0,AE103/E103,0)</f>
        <v/>
      </c>
      <c r="AH103" s="77">
        <f>AE103*F103</f>
        <v/>
      </c>
      <c r="AI103" s="78">
        <f>IF(A103="","",IF(AE103&gt;E103+0.0001,"⚠ تجاوز الكمية",IF(AG103&gt;=1,"✔ مكتمل",IF(AE103&gt;0,"جاري التنفيذ","لم يبدأ"))))</f>
        <v/>
      </c>
    </row>
    <row r="104">
      <c r="A104" s="73">
        <f>IF('جدول الكميات'!B104="","",'جدول الكميات'!B104)</f>
        <v/>
      </c>
      <c r="B104" s="74">
        <f>IF('جدول الكميات'!D104="","",'جدول الكميات'!D104)</f>
        <v/>
      </c>
      <c r="C104" s="73">
        <f>IF('جدول الكميات'!E104="","",'جدول الكميات'!E104)</f>
        <v/>
      </c>
      <c r="D104" s="74">
        <f>IF('جدول الكميات'!C104="","",'جدول الكميات'!C104)</f>
        <v/>
      </c>
      <c r="E104" s="75">
        <f>N('جدول الكميات'!F104)</f>
        <v/>
      </c>
      <c r="F104" s="75">
        <f>N('جدول الكميات'!G104)</f>
        <v/>
      </c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  <c r="AC104" s="63" t="n"/>
      <c r="AD104" s="63" t="n"/>
      <c r="AE104" s="64">
        <f>SUM(G104:AD104)</f>
        <v/>
      </c>
      <c r="AF104" s="64">
        <f>E104-AE104</f>
        <v/>
      </c>
      <c r="AG104" s="76">
        <f>IF(E104&gt;0,AE104/E104,0)</f>
        <v/>
      </c>
      <c r="AH104" s="77">
        <f>AE104*F104</f>
        <v/>
      </c>
      <c r="AI104" s="78">
        <f>IF(A104="","",IF(AE104&gt;E104+0.0001,"⚠ تجاوز الكمية",IF(AG104&gt;=1,"✔ مكتمل",IF(AE104&gt;0,"جاري التنفيذ","لم يبدأ"))))</f>
        <v/>
      </c>
    </row>
    <row r="105">
      <c r="A105" s="73">
        <f>IF('جدول الكميات'!B105="","",'جدول الكميات'!B105)</f>
        <v/>
      </c>
      <c r="B105" s="74">
        <f>IF('جدول الكميات'!D105="","",'جدول الكميات'!D105)</f>
        <v/>
      </c>
      <c r="C105" s="73">
        <f>IF('جدول الكميات'!E105="","",'جدول الكميات'!E105)</f>
        <v/>
      </c>
      <c r="D105" s="74">
        <f>IF('جدول الكميات'!C105="","",'جدول الكميات'!C105)</f>
        <v/>
      </c>
      <c r="E105" s="75">
        <f>N('جدول الكميات'!F105)</f>
        <v/>
      </c>
      <c r="F105" s="75">
        <f>N('جدول الكميات'!G105)</f>
        <v/>
      </c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63" t="n"/>
      <c r="AE105" s="64">
        <f>SUM(G105:AD105)</f>
        <v/>
      </c>
      <c r="AF105" s="64">
        <f>E105-AE105</f>
        <v/>
      </c>
      <c r="AG105" s="76">
        <f>IF(E105&gt;0,AE105/E105,0)</f>
        <v/>
      </c>
      <c r="AH105" s="77">
        <f>AE105*F105</f>
        <v/>
      </c>
      <c r="AI105" s="78">
        <f>IF(A105="","",IF(AE105&gt;E105+0.0001,"⚠ تجاوز الكمية",IF(AG105&gt;=1,"✔ مكتمل",IF(AE105&gt;0,"جاري التنفيذ","لم يبدأ"))))</f>
        <v/>
      </c>
    </row>
    <row r="106">
      <c r="A106" s="79" t="inlineStr">
        <is>
          <t>قيمة أعمال الفترة لكل مستخلص</t>
        </is>
      </c>
      <c r="B106" s="79" t="n"/>
      <c r="C106" s="79" t="n"/>
      <c r="D106" s="79" t="n"/>
      <c r="E106" s="79" t="n"/>
      <c r="F106" s="79" t="n"/>
      <c r="G106" s="80">
        <f>SUMPRODUCT($F$6:$F$105,G6:G105)</f>
        <v/>
      </c>
      <c r="H106" s="80">
        <f>SUMPRODUCT($F$6:$F$105,H6:H105)</f>
        <v/>
      </c>
      <c r="I106" s="80">
        <f>SUMPRODUCT($F$6:$F$105,I6:I105)</f>
        <v/>
      </c>
      <c r="J106" s="80">
        <f>SUMPRODUCT($F$6:$F$105,J6:J105)</f>
        <v/>
      </c>
      <c r="K106" s="80">
        <f>SUMPRODUCT($F$6:$F$105,K6:K105)</f>
        <v/>
      </c>
      <c r="L106" s="80">
        <f>SUMPRODUCT($F$6:$F$105,L6:L105)</f>
        <v/>
      </c>
      <c r="M106" s="80">
        <f>SUMPRODUCT($F$6:$F$105,M6:M105)</f>
        <v/>
      </c>
      <c r="N106" s="80">
        <f>SUMPRODUCT($F$6:$F$105,N6:N105)</f>
        <v/>
      </c>
      <c r="O106" s="80">
        <f>SUMPRODUCT($F$6:$F$105,O6:O105)</f>
        <v/>
      </c>
      <c r="P106" s="80">
        <f>SUMPRODUCT($F$6:$F$105,P6:P105)</f>
        <v/>
      </c>
      <c r="Q106" s="80">
        <f>SUMPRODUCT($F$6:$F$105,Q6:Q105)</f>
        <v/>
      </c>
      <c r="R106" s="80">
        <f>SUMPRODUCT($F$6:$F$105,R6:R105)</f>
        <v/>
      </c>
      <c r="S106" s="80">
        <f>SUMPRODUCT($F$6:$F$105,S6:S105)</f>
        <v/>
      </c>
      <c r="T106" s="80">
        <f>SUMPRODUCT($F$6:$F$105,T6:T105)</f>
        <v/>
      </c>
      <c r="U106" s="80">
        <f>SUMPRODUCT($F$6:$F$105,U6:U105)</f>
        <v/>
      </c>
      <c r="V106" s="80">
        <f>SUMPRODUCT($F$6:$F$105,V6:V105)</f>
        <v/>
      </c>
      <c r="W106" s="80">
        <f>SUMPRODUCT($F$6:$F$105,W6:W105)</f>
        <v/>
      </c>
      <c r="X106" s="80">
        <f>SUMPRODUCT($F$6:$F$105,X6:X105)</f>
        <v/>
      </c>
      <c r="Y106" s="80">
        <f>SUMPRODUCT($F$6:$F$105,Y6:Y105)</f>
        <v/>
      </c>
      <c r="Z106" s="80">
        <f>SUMPRODUCT($F$6:$F$105,Z6:Z105)</f>
        <v/>
      </c>
      <c r="AA106" s="80">
        <f>SUMPRODUCT($F$6:$F$105,AA6:AA105)</f>
        <v/>
      </c>
      <c r="AB106" s="80">
        <f>SUMPRODUCT($F$6:$F$105,AB6:AB105)</f>
        <v/>
      </c>
      <c r="AC106" s="80">
        <f>SUMPRODUCT($F$6:$F$105,AC6:AC105)</f>
        <v/>
      </c>
      <c r="AD106" s="80">
        <f>SUMPRODUCT($F$6:$F$105,AD6:AD105)</f>
        <v/>
      </c>
      <c r="AG106" s="48">
        <f>IF(ContractValue&gt;0,AH106/ContractValue,0)</f>
        <v/>
      </c>
      <c r="AH106" s="81">
        <f>SUM(AH6:AH105)</f>
        <v/>
      </c>
    </row>
    <row r="107">
      <c r="A107" s="71" t="inlineStr">
        <is>
          <t>القيمة التراكمية حتى المستخلص</t>
        </is>
      </c>
      <c r="B107" s="71" t="n"/>
      <c r="C107" s="71" t="n"/>
      <c r="D107" s="71" t="n"/>
      <c r="E107" s="71" t="n"/>
      <c r="F107" s="71" t="n"/>
      <c r="G107" s="80">
        <f>SUM($G106:G106)</f>
        <v/>
      </c>
      <c r="H107" s="80">
        <f>SUM($G106:H106)</f>
        <v/>
      </c>
      <c r="I107" s="80">
        <f>SUM($G106:I106)</f>
        <v/>
      </c>
      <c r="J107" s="80">
        <f>SUM($G106:J106)</f>
        <v/>
      </c>
      <c r="K107" s="80">
        <f>SUM($G106:K106)</f>
        <v/>
      </c>
      <c r="L107" s="80">
        <f>SUM($G106:L106)</f>
        <v/>
      </c>
      <c r="M107" s="80">
        <f>SUM($G106:M106)</f>
        <v/>
      </c>
      <c r="N107" s="80">
        <f>SUM($G106:N106)</f>
        <v/>
      </c>
      <c r="O107" s="80">
        <f>SUM($G106:O106)</f>
        <v/>
      </c>
      <c r="P107" s="80">
        <f>SUM($G106:P106)</f>
        <v/>
      </c>
      <c r="Q107" s="80">
        <f>SUM($G106:Q106)</f>
        <v/>
      </c>
      <c r="R107" s="80">
        <f>SUM($G106:R106)</f>
        <v/>
      </c>
      <c r="S107" s="80">
        <f>SUM($G106:S106)</f>
        <v/>
      </c>
      <c r="T107" s="80">
        <f>SUM($G106:T106)</f>
        <v/>
      </c>
      <c r="U107" s="80">
        <f>SUM($G106:U106)</f>
        <v/>
      </c>
      <c r="V107" s="80">
        <f>SUM($G106:V106)</f>
        <v/>
      </c>
      <c r="W107" s="80">
        <f>SUM($G106:W106)</f>
        <v/>
      </c>
      <c r="X107" s="80">
        <f>SUM($G106:X106)</f>
        <v/>
      </c>
      <c r="Y107" s="80">
        <f>SUM($G106:Y106)</f>
        <v/>
      </c>
      <c r="Z107" s="80">
        <f>SUM($G106:Z106)</f>
        <v/>
      </c>
      <c r="AA107" s="80">
        <f>SUM($G106:AA106)</f>
        <v/>
      </c>
      <c r="AB107" s="80">
        <f>SUM($G106:AB106)</f>
        <v/>
      </c>
      <c r="AC107" s="80">
        <f>SUM($G106:AC106)</f>
        <v/>
      </c>
      <c r="AD107" s="80">
        <f>SUM($G106:AD106)</f>
        <v/>
      </c>
    </row>
  </sheetData>
  <mergeCells count="7">
    <mergeCell ref="G4:AD4"/>
    <mergeCell ref="A2:AI2"/>
    <mergeCell ref="AE4:AI4"/>
    <mergeCell ref="A107:F107"/>
    <mergeCell ref="A1:AI1"/>
    <mergeCell ref="A106:F106"/>
    <mergeCell ref="J3:AI3"/>
  </mergeCells>
  <conditionalFormatting sqref="AG6:AG105">
    <cfRule type="dataBar" priority="1">
      <dataBar>
        <cfvo type="num" val="0"/>
        <cfvo type="num" val="1"/>
        <color rgb="0063BE7B"/>
      </dataBar>
    </cfRule>
  </conditionalFormatting>
  <conditionalFormatting sqref="AE6:AI105">
    <cfRule type="expression" priority="2" dxfId="0">
      <formula>$AE6&gt;$E6+0.0001</formula>
    </cfRule>
  </conditionalFormatting>
  <conditionalFormatting sqref="AI6:AI105">
    <cfRule type="expression" priority="3" dxfId="1">
      <formula>ISNUMBER(SEARCH("✔",AI6))</formula>
    </cfRule>
  </conditionalFormatting>
  <conditionalFormatting sqref="G5:AD5">
    <cfRule type="expression" priority="4" dxfId="2">
      <formula>G$5=LatestIPC</formula>
    </cfRule>
  </conditionalFormatting>
  <dataValidations count="1">
    <dataValidation sqref="G6:AD105" showDropDown="0" showInputMessage="1" showErrorMessage="1" allowBlank="1" errorTitle="قيمة غير صحيحة" error="أدخل رقماً صحيحاً ضمن الحدود المسموحة." promptTitle="إرشاد" prompt="كمية الفترة فقط (السالب للتصحيح)" type="decimal" operator="greaterThanOrEqual">
      <formula1>-1000000000000.0</formula1>
    </dataValidation>
  </dataValidations>
  <hyperlinks>
    <hyperlink ref="A3" location="'لوحة التحكم'!A1" display="📊 لوحة التحكم"/>
    <hyperlink ref="B3" location="'بيانات العقد'!A1" display="⚙ بيانات العقد"/>
    <hyperlink ref="D3" location="'جدول الكميات'!A1" display="📋 الكميات"/>
    <hyperlink ref="E3" location="'الأوامر التغييرية'!A1" display="🔁 التغييرية"/>
    <hyperlink ref="F3" location="'الاستقطاعات الفنية'!A1" display="✂ الاستقطاعات"/>
    <hyperlink ref="G3" location="'سجل المستخلصات'!A1" display="🗂 السجل"/>
    <hyperlink ref="H3" location="'نموذج المستخلص'!A1" display="🧾 النموذج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'بيانات العقد'!$C$5&amp;"   |   عقد رقم: "&amp;'بيانات العقد'!$C$6&amp;"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📊 لوحة التحكم</t>
        </is>
      </c>
      <c r="B3" s="4" t="inlineStr">
        <is>
          <t>⚙ بيانات العقد</t>
        </is>
      </c>
      <c r="C3" s="4" t="inlineStr">
        <is>
          <t>📋 الكميات</t>
        </is>
      </c>
      <c r="D3" s="4" t="inlineStr">
        <is>
          <t>📐 المنفذ</t>
        </is>
      </c>
      <c r="F3" s="4" t="inlineStr">
        <is>
          <t>✂ الاستقطاعات</t>
        </is>
      </c>
      <c r="G3" s="4" t="inlineStr">
        <is>
          <t>🗂 السجل</t>
        </is>
      </c>
      <c r="H3" s="4" t="inlineStr">
        <is>
          <t>🧾 النموذج</t>
        </is>
      </c>
    </row>
    <row r="4" ht="28" customHeight="1">
      <c r="A4" s="82" t="inlineStr">
        <is>
          <t>«قيمة الأمر» تعدّل قيمة العقد عند الاعتماد — «القيمة المدرجة» هي ما يُصرف في المستخلص المحدد (للصرف على دفعات: كرر الأمر في سطر جديد بقيمة أمر = 0 ومستخلص مختلف).</t>
        </is>
      </c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</row>
    <row r="5" ht="40" customHeight="1">
      <c r="A5" s="41" t="inlineStr">
        <is>
          <t>م</t>
        </is>
      </c>
      <c r="B5" s="41" t="inlineStr">
        <is>
          <t>رقم الأمر</t>
        </is>
      </c>
      <c r="C5" s="41" t="inlineStr">
        <is>
          <t>تاريخ الأمر</t>
        </is>
      </c>
      <c r="D5" s="41" t="inlineStr">
        <is>
          <t>وصف الأمر التغييري</t>
        </is>
      </c>
      <c r="E5" s="41" t="inlineStr">
        <is>
          <t>النوع</t>
        </is>
      </c>
      <c r="F5" s="41" t="inlineStr">
        <is>
          <t>قيمة الأمر</t>
        </is>
      </c>
      <c r="G5" s="41" t="inlineStr">
        <is>
          <t>الأثر على العقد (±)</t>
        </is>
      </c>
      <c r="H5" s="41" t="inlineStr">
        <is>
          <t>الحالة</t>
        </is>
      </c>
      <c r="I5" s="41" t="inlineStr">
        <is>
          <t>القيمة المدرجة بالمستخلص</t>
        </is>
      </c>
      <c r="J5" s="41" t="inlineStr">
        <is>
          <t>الأثر على المستخلص (±)</t>
        </is>
      </c>
      <c r="K5" s="41" t="inlineStr">
        <is>
          <t>رقم المستخلص المدرج به</t>
        </is>
      </c>
      <c r="L5" s="41" t="inlineStr">
        <is>
          <t>ملاحظات</t>
        </is>
      </c>
    </row>
    <row r="6">
      <c r="A6" s="61">
        <f>IF(B6="","",COUNTA($B$6:B6))</f>
        <v/>
      </c>
      <c r="B6" s="50" t="inlineStr">
        <is>
          <t>VO-01</t>
        </is>
      </c>
      <c r="C6" s="54" t="n">
        <v>46160</v>
      </c>
      <c r="D6" s="62" t="inlineStr">
        <is>
          <t>إضافة غرفة محولات ولوحة جهد متوسط خارجية</t>
        </is>
      </c>
      <c r="E6" s="50" t="inlineStr">
        <is>
          <t>إضافة</t>
        </is>
      </c>
      <c r="F6" s="83" t="n">
        <v>1250000</v>
      </c>
      <c r="G6" s="84">
        <f>IF(E6="خصم",-1,1)*N(F6)</f>
        <v/>
      </c>
      <c r="H6" s="50" t="inlineStr">
        <is>
          <t>معتمد</t>
        </is>
      </c>
      <c r="I6" s="83" t="n">
        <v>1250000</v>
      </c>
      <c r="J6" s="84">
        <f>IF(E6="خصم",-1,1)*N(I6)</f>
        <v/>
      </c>
      <c r="K6" s="55" t="n">
        <v>4</v>
      </c>
      <c r="L6" s="85" t="n"/>
    </row>
    <row r="7">
      <c r="A7" s="61">
        <f>IF(B7="","",COUNTA($B$6:B7))</f>
        <v/>
      </c>
      <c r="B7" s="50" t="inlineStr">
        <is>
          <t>VO-02</t>
        </is>
      </c>
      <c r="C7" s="54" t="n">
        <v>46205</v>
      </c>
      <c r="D7" s="62" t="inlineStr">
        <is>
          <t>تعديل مواصفة البورسلين إلى فرز تجاري بموافقة المالك</t>
        </is>
      </c>
      <c r="E7" s="50" t="inlineStr">
        <is>
          <t>خصم</t>
        </is>
      </c>
      <c r="F7" s="83" t="n">
        <v>320000</v>
      </c>
      <c r="G7" s="84">
        <f>IF(E7="خصم",-1,1)*N(F7)</f>
        <v/>
      </c>
      <c r="H7" s="50" t="inlineStr">
        <is>
          <t>معتمد</t>
        </is>
      </c>
      <c r="I7" s="83" t="n">
        <v>320000</v>
      </c>
      <c r="J7" s="84">
        <f>IF(E7="خصم",-1,1)*N(I7)</f>
        <v/>
      </c>
      <c r="K7" s="55" t="n">
        <v>5</v>
      </c>
      <c r="L7" s="85" t="n"/>
    </row>
    <row r="8">
      <c r="A8" s="61">
        <f>IF(B8="","",COUNTA($B$6:B8))</f>
        <v/>
      </c>
      <c r="B8" s="50" t="inlineStr">
        <is>
          <t>VO-03</t>
        </is>
      </c>
      <c r="C8" s="54" t="n">
        <v>46259</v>
      </c>
      <c r="D8" s="62" t="inlineStr">
        <is>
          <t>أعمال تنسيق موقع وزراعة إضافية</t>
        </is>
      </c>
      <c r="E8" s="50" t="inlineStr">
        <is>
          <t>إضافة</t>
        </is>
      </c>
      <c r="F8" s="83" t="n">
        <v>900000</v>
      </c>
      <c r="G8" s="84">
        <f>IF(E8="خصم",-1,1)*N(F8)</f>
        <v/>
      </c>
      <c r="H8" s="50" t="inlineStr">
        <is>
          <t>قيد الدراسة</t>
        </is>
      </c>
      <c r="I8" s="83" t="n"/>
      <c r="J8" s="84">
        <f>IF(E8="خصم",-1,1)*N(I8)</f>
        <v/>
      </c>
      <c r="K8" s="55" t="n"/>
      <c r="L8" s="85" t="n"/>
    </row>
    <row r="9">
      <c r="A9" s="61">
        <f>IF(B9="","",COUNTA($B$6:B9))</f>
        <v/>
      </c>
      <c r="B9" s="50" t="n"/>
      <c r="C9" s="54" t="n"/>
      <c r="D9" s="62" t="n"/>
      <c r="E9" s="50" t="n"/>
      <c r="F9" s="83" t="n"/>
      <c r="G9" s="84">
        <f>IF(E9="خصم",-1,1)*N(F9)</f>
        <v/>
      </c>
      <c r="H9" s="50" t="n"/>
      <c r="I9" s="83" t="n"/>
      <c r="J9" s="84">
        <f>IF(E9="خصم",-1,1)*N(I9)</f>
        <v/>
      </c>
      <c r="K9" s="55" t="n"/>
      <c r="L9" s="85" t="n"/>
    </row>
    <row r="10">
      <c r="A10" s="61">
        <f>IF(B10="","",COUNTA($B$6:B10))</f>
        <v/>
      </c>
      <c r="B10" s="50" t="n"/>
      <c r="C10" s="54" t="n"/>
      <c r="D10" s="62" t="n"/>
      <c r="E10" s="50" t="n"/>
      <c r="F10" s="83" t="n"/>
      <c r="G10" s="84">
        <f>IF(E10="خصم",-1,1)*N(F10)</f>
        <v/>
      </c>
      <c r="H10" s="50" t="n"/>
      <c r="I10" s="83" t="n"/>
      <c r="J10" s="84">
        <f>IF(E10="خصم",-1,1)*N(I10)</f>
        <v/>
      </c>
      <c r="K10" s="55" t="n"/>
      <c r="L10" s="85" t="n"/>
    </row>
    <row r="11">
      <c r="A11" s="61">
        <f>IF(B11="","",COUNTA($B$6:B11))</f>
        <v/>
      </c>
      <c r="B11" s="50" t="n"/>
      <c r="C11" s="54" t="n"/>
      <c r="D11" s="62" t="n"/>
      <c r="E11" s="50" t="n"/>
      <c r="F11" s="83" t="n"/>
      <c r="G11" s="84">
        <f>IF(E11="خصم",-1,1)*N(F11)</f>
        <v/>
      </c>
      <c r="H11" s="50" t="n"/>
      <c r="I11" s="83" t="n"/>
      <c r="J11" s="84">
        <f>IF(E11="خصم",-1,1)*N(I11)</f>
        <v/>
      </c>
      <c r="K11" s="55" t="n"/>
      <c r="L11" s="85" t="n"/>
    </row>
    <row r="12">
      <c r="A12" s="61">
        <f>IF(B12="","",COUNTA($B$6:B12))</f>
        <v/>
      </c>
      <c r="B12" s="50" t="n"/>
      <c r="C12" s="54" t="n"/>
      <c r="D12" s="62" t="n"/>
      <c r="E12" s="50" t="n"/>
      <c r="F12" s="83" t="n"/>
      <c r="G12" s="84">
        <f>IF(E12="خصم",-1,1)*N(F12)</f>
        <v/>
      </c>
      <c r="H12" s="50" t="n"/>
      <c r="I12" s="83" t="n"/>
      <c r="J12" s="84">
        <f>IF(E12="خصم",-1,1)*N(I12)</f>
        <v/>
      </c>
      <c r="K12" s="55" t="n"/>
      <c r="L12" s="85" t="n"/>
    </row>
    <row r="13">
      <c r="A13" s="61">
        <f>IF(B13="","",COUNTA($B$6:B13))</f>
        <v/>
      </c>
      <c r="B13" s="50" t="n"/>
      <c r="C13" s="54" t="n"/>
      <c r="D13" s="62" t="n"/>
      <c r="E13" s="50" t="n"/>
      <c r="F13" s="83" t="n"/>
      <c r="G13" s="84">
        <f>IF(E13="خصم",-1,1)*N(F13)</f>
        <v/>
      </c>
      <c r="H13" s="50" t="n"/>
      <c r="I13" s="83" t="n"/>
      <c r="J13" s="84">
        <f>IF(E13="خصم",-1,1)*N(I13)</f>
        <v/>
      </c>
      <c r="K13" s="55" t="n"/>
      <c r="L13" s="85" t="n"/>
    </row>
    <row r="14">
      <c r="A14" s="61">
        <f>IF(B14="","",COUNTA($B$6:B14))</f>
        <v/>
      </c>
      <c r="B14" s="50" t="n"/>
      <c r="C14" s="54" t="n"/>
      <c r="D14" s="62" t="n"/>
      <c r="E14" s="50" t="n"/>
      <c r="F14" s="83" t="n"/>
      <c r="G14" s="84">
        <f>IF(E14="خصم",-1,1)*N(F14)</f>
        <v/>
      </c>
      <c r="H14" s="50" t="n"/>
      <c r="I14" s="83" t="n"/>
      <c r="J14" s="84">
        <f>IF(E14="خصم",-1,1)*N(I14)</f>
        <v/>
      </c>
      <c r="K14" s="55" t="n"/>
      <c r="L14" s="85" t="n"/>
    </row>
    <row r="15">
      <c r="A15" s="61">
        <f>IF(B15="","",COUNTA($B$6:B15))</f>
        <v/>
      </c>
      <c r="B15" s="50" t="n"/>
      <c r="C15" s="54" t="n"/>
      <c r="D15" s="62" t="n"/>
      <c r="E15" s="50" t="n"/>
      <c r="F15" s="83" t="n"/>
      <c r="G15" s="84">
        <f>IF(E15="خصم",-1,1)*N(F15)</f>
        <v/>
      </c>
      <c r="H15" s="50" t="n"/>
      <c r="I15" s="83" t="n"/>
      <c r="J15" s="84">
        <f>IF(E15="خصم",-1,1)*N(I15)</f>
        <v/>
      </c>
      <c r="K15" s="55" t="n"/>
      <c r="L15" s="85" t="n"/>
    </row>
    <row r="16">
      <c r="A16" s="61">
        <f>IF(B16="","",COUNTA($B$6:B16))</f>
        <v/>
      </c>
      <c r="B16" s="50" t="n"/>
      <c r="C16" s="54" t="n"/>
      <c r="D16" s="62" t="n"/>
      <c r="E16" s="50" t="n"/>
      <c r="F16" s="83" t="n"/>
      <c r="G16" s="84">
        <f>IF(E16="خصم",-1,1)*N(F16)</f>
        <v/>
      </c>
      <c r="H16" s="50" t="n"/>
      <c r="I16" s="83" t="n"/>
      <c r="J16" s="84">
        <f>IF(E16="خصم",-1,1)*N(I16)</f>
        <v/>
      </c>
      <c r="K16" s="55" t="n"/>
      <c r="L16" s="85" t="n"/>
    </row>
    <row r="17">
      <c r="A17" s="61">
        <f>IF(B17="","",COUNTA($B$6:B17))</f>
        <v/>
      </c>
      <c r="B17" s="50" t="n"/>
      <c r="C17" s="54" t="n"/>
      <c r="D17" s="62" t="n"/>
      <c r="E17" s="50" t="n"/>
      <c r="F17" s="83" t="n"/>
      <c r="G17" s="84">
        <f>IF(E17="خصم",-1,1)*N(F17)</f>
        <v/>
      </c>
      <c r="H17" s="50" t="n"/>
      <c r="I17" s="83" t="n"/>
      <c r="J17" s="84">
        <f>IF(E17="خصم",-1,1)*N(I17)</f>
        <v/>
      </c>
      <c r="K17" s="55" t="n"/>
      <c r="L17" s="85" t="n"/>
    </row>
    <row r="18">
      <c r="A18" s="61">
        <f>IF(B18="","",COUNTA($B$6:B18))</f>
        <v/>
      </c>
      <c r="B18" s="50" t="n"/>
      <c r="C18" s="54" t="n"/>
      <c r="D18" s="62" t="n"/>
      <c r="E18" s="50" t="n"/>
      <c r="F18" s="83" t="n"/>
      <c r="G18" s="84">
        <f>IF(E18="خصم",-1,1)*N(F18)</f>
        <v/>
      </c>
      <c r="H18" s="50" t="n"/>
      <c r="I18" s="83" t="n"/>
      <c r="J18" s="84">
        <f>IF(E18="خصم",-1,1)*N(I18)</f>
        <v/>
      </c>
      <c r="K18" s="55" t="n"/>
      <c r="L18" s="85" t="n"/>
    </row>
    <row r="19">
      <c r="A19" s="61">
        <f>IF(B19="","",COUNTA($B$6:B19))</f>
        <v/>
      </c>
      <c r="B19" s="50" t="n"/>
      <c r="C19" s="54" t="n"/>
      <c r="D19" s="62" t="n"/>
      <c r="E19" s="50" t="n"/>
      <c r="F19" s="83" t="n"/>
      <c r="G19" s="84">
        <f>IF(E19="خصم",-1,1)*N(F19)</f>
        <v/>
      </c>
      <c r="H19" s="50" t="n"/>
      <c r="I19" s="83" t="n"/>
      <c r="J19" s="84">
        <f>IF(E19="خصم",-1,1)*N(I19)</f>
        <v/>
      </c>
      <c r="K19" s="55" t="n"/>
      <c r="L19" s="85" t="n"/>
    </row>
    <row r="20">
      <c r="A20" s="61">
        <f>IF(B20="","",COUNTA($B$6:B20))</f>
        <v/>
      </c>
      <c r="B20" s="50" t="n"/>
      <c r="C20" s="54" t="n"/>
      <c r="D20" s="62" t="n"/>
      <c r="E20" s="50" t="n"/>
      <c r="F20" s="83" t="n"/>
      <c r="G20" s="84">
        <f>IF(E20="خصم",-1,1)*N(F20)</f>
        <v/>
      </c>
      <c r="H20" s="50" t="n"/>
      <c r="I20" s="83" t="n"/>
      <c r="J20" s="84">
        <f>IF(E20="خصم",-1,1)*N(I20)</f>
        <v/>
      </c>
      <c r="K20" s="55" t="n"/>
      <c r="L20" s="85" t="n"/>
    </row>
    <row r="21">
      <c r="A21" s="61">
        <f>IF(B21="","",COUNTA($B$6:B21))</f>
        <v/>
      </c>
      <c r="B21" s="50" t="n"/>
      <c r="C21" s="54" t="n"/>
      <c r="D21" s="62" t="n"/>
      <c r="E21" s="50" t="n"/>
      <c r="F21" s="83" t="n"/>
      <c r="G21" s="84">
        <f>IF(E21="خصم",-1,1)*N(F21)</f>
        <v/>
      </c>
      <c r="H21" s="50" t="n"/>
      <c r="I21" s="83" t="n"/>
      <c r="J21" s="84">
        <f>IF(E21="خصم",-1,1)*N(I21)</f>
        <v/>
      </c>
      <c r="K21" s="55" t="n"/>
      <c r="L21" s="85" t="n"/>
    </row>
    <row r="22">
      <c r="A22" s="61">
        <f>IF(B22="","",COUNTA($B$6:B22))</f>
        <v/>
      </c>
      <c r="B22" s="50" t="n"/>
      <c r="C22" s="54" t="n"/>
      <c r="D22" s="62" t="n"/>
      <c r="E22" s="50" t="n"/>
      <c r="F22" s="83" t="n"/>
      <c r="G22" s="84">
        <f>IF(E22="خصم",-1,1)*N(F22)</f>
        <v/>
      </c>
      <c r="H22" s="50" t="n"/>
      <c r="I22" s="83" t="n"/>
      <c r="J22" s="84">
        <f>IF(E22="خصم",-1,1)*N(I22)</f>
        <v/>
      </c>
      <c r="K22" s="55" t="n"/>
      <c r="L22" s="85" t="n"/>
    </row>
    <row r="23">
      <c r="A23" s="61">
        <f>IF(B23="","",COUNTA($B$6:B23))</f>
        <v/>
      </c>
      <c r="B23" s="50" t="n"/>
      <c r="C23" s="54" t="n"/>
      <c r="D23" s="62" t="n"/>
      <c r="E23" s="50" t="n"/>
      <c r="F23" s="83" t="n"/>
      <c r="G23" s="84">
        <f>IF(E23="خصم",-1,1)*N(F23)</f>
        <v/>
      </c>
      <c r="H23" s="50" t="n"/>
      <c r="I23" s="83" t="n"/>
      <c r="J23" s="84">
        <f>IF(E23="خصم",-1,1)*N(I23)</f>
        <v/>
      </c>
      <c r="K23" s="55" t="n"/>
      <c r="L23" s="85" t="n"/>
    </row>
    <row r="24">
      <c r="A24" s="61">
        <f>IF(B24="","",COUNTA($B$6:B24))</f>
        <v/>
      </c>
      <c r="B24" s="50" t="n"/>
      <c r="C24" s="54" t="n"/>
      <c r="D24" s="62" t="n"/>
      <c r="E24" s="50" t="n"/>
      <c r="F24" s="83" t="n"/>
      <c r="G24" s="84">
        <f>IF(E24="خصم",-1,1)*N(F24)</f>
        <v/>
      </c>
      <c r="H24" s="50" t="n"/>
      <c r="I24" s="83" t="n"/>
      <c r="J24" s="84">
        <f>IF(E24="خصم",-1,1)*N(I24)</f>
        <v/>
      </c>
      <c r="K24" s="55" t="n"/>
      <c r="L24" s="85" t="n"/>
    </row>
    <row r="25">
      <c r="A25" s="61">
        <f>IF(B25="","",COUNTA($B$6:B25))</f>
        <v/>
      </c>
      <c r="B25" s="50" t="n"/>
      <c r="C25" s="54" t="n"/>
      <c r="D25" s="62" t="n"/>
      <c r="E25" s="50" t="n"/>
      <c r="F25" s="83" t="n"/>
      <c r="G25" s="84">
        <f>IF(E25="خصم",-1,1)*N(F25)</f>
        <v/>
      </c>
      <c r="H25" s="50" t="n"/>
      <c r="I25" s="83" t="n"/>
      <c r="J25" s="84">
        <f>IF(E25="خصم",-1,1)*N(I25)</f>
        <v/>
      </c>
      <c r="K25" s="55" t="n"/>
      <c r="L25" s="85" t="n"/>
    </row>
    <row r="26">
      <c r="A26" s="61">
        <f>IF(B26="","",COUNTA($B$6:B26))</f>
        <v/>
      </c>
      <c r="B26" s="50" t="n"/>
      <c r="C26" s="54" t="n"/>
      <c r="D26" s="62" t="n"/>
      <c r="E26" s="50" t="n"/>
      <c r="F26" s="83" t="n"/>
      <c r="G26" s="84">
        <f>IF(E26="خصم",-1,1)*N(F26)</f>
        <v/>
      </c>
      <c r="H26" s="50" t="n"/>
      <c r="I26" s="83" t="n"/>
      <c r="J26" s="84">
        <f>IF(E26="خصم",-1,1)*N(I26)</f>
        <v/>
      </c>
      <c r="K26" s="55" t="n"/>
      <c r="L26" s="85" t="n"/>
    </row>
    <row r="27">
      <c r="A27" s="61">
        <f>IF(B27="","",COUNTA($B$6:B27))</f>
        <v/>
      </c>
      <c r="B27" s="50" t="n"/>
      <c r="C27" s="54" t="n"/>
      <c r="D27" s="62" t="n"/>
      <c r="E27" s="50" t="n"/>
      <c r="F27" s="83" t="n"/>
      <c r="G27" s="84">
        <f>IF(E27="خصم",-1,1)*N(F27)</f>
        <v/>
      </c>
      <c r="H27" s="50" t="n"/>
      <c r="I27" s="83" t="n"/>
      <c r="J27" s="84">
        <f>IF(E27="خصم",-1,1)*N(I27)</f>
        <v/>
      </c>
      <c r="K27" s="55" t="n"/>
      <c r="L27" s="85" t="n"/>
    </row>
    <row r="28">
      <c r="A28" s="61">
        <f>IF(B28="","",COUNTA($B$6:B28))</f>
        <v/>
      </c>
      <c r="B28" s="50" t="n"/>
      <c r="C28" s="54" t="n"/>
      <c r="D28" s="62" t="n"/>
      <c r="E28" s="50" t="n"/>
      <c r="F28" s="83" t="n"/>
      <c r="G28" s="84">
        <f>IF(E28="خصم",-1,1)*N(F28)</f>
        <v/>
      </c>
      <c r="H28" s="50" t="n"/>
      <c r="I28" s="83" t="n"/>
      <c r="J28" s="84">
        <f>IF(E28="خصم",-1,1)*N(I28)</f>
        <v/>
      </c>
      <c r="K28" s="55" t="n"/>
      <c r="L28" s="85" t="n"/>
    </row>
    <row r="29">
      <c r="A29" s="61">
        <f>IF(B29="","",COUNTA($B$6:B29))</f>
        <v/>
      </c>
      <c r="B29" s="50" t="n"/>
      <c r="C29" s="54" t="n"/>
      <c r="D29" s="62" t="n"/>
      <c r="E29" s="50" t="n"/>
      <c r="F29" s="83" t="n"/>
      <c r="G29" s="84">
        <f>IF(E29="خصم",-1,1)*N(F29)</f>
        <v/>
      </c>
      <c r="H29" s="50" t="n"/>
      <c r="I29" s="83" t="n"/>
      <c r="J29" s="84">
        <f>IF(E29="خصم",-1,1)*N(I29)</f>
        <v/>
      </c>
      <c r="K29" s="55" t="n"/>
      <c r="L29" s="85" t="n"/>
    </row>
    <row r="30">
      <c r="A30" s="61">
        <f>IF(B30="","",COUNTA($B$6:B30))</f>
        <v/>
      </c>
      <c r="B30" s="50" t="n"/>
      <c r="C30" s="54" t="n"/>
      <c r="D30" s="62" t="n"/>
      <c r="E30" s="50" t="n"/>
      <c r="F30" s="83" t="n"/>
      <c r="G30" s="84">
        <f>IF(E30="خصم",-1,1)*N(F30)</f>
        <v/>
      </c>
      <c r="H30" s="50" t="n"/>
      <c r="I30" s="83" t="n"/>
      <c r="J30" s="84">
        <f>IF(E30="خصم",-1,1)*N(I30)</f>
        <v/>
      </c>
      <c r="K30" s="55" t="n"/>
      <c r="L30" s="85" t="n"/>
    </row>
    <row r="31">
      <c r="A31" s="61">
        <f>IF(B31="","",COUNTA($B$6:B31))</f>
        <v/>
      </c>
      <c r="B31" s="50" t="n"/>
      <c r="C31" s="54" t="n"/>
      <c r="D31" s="62" t="n"/>
      <c r="E31" s="50" t="n"/>
      <c r="F31" s="83" t="n"/>
      <c r="G31" s="84">
        <f>IF(E31="خصم",-1,1)*N(F31)</f>
        <v/>
      </c>
      <c r="H31" s="50" t="n"/>
      <c r="I31" s="83" t="n"/>
      <c r="J31" s="84">
        <f>IF(E31="خصم",-1,1)*N(I31)</f>
        <v/>
      </c>
      <c r="K31" s="55" t="n"/>
      <c r="L31" s="85" t="n"/>
    </row>
    <row r="32">
      <c r="A32" s="61">
        <f>IF(B32="","",COUNTA($B$6:B32))</f>
        <v/>
      </c>
      <c r="B32" s="50" t="n"/>
      <c r="C32" s="54" t="n"/>
      <c r="D32" s="62" t="n"/>
      <c r="E32" s="50" t="n"/>
      <c r="F32" s="83" t="n"/>
      <c r="G32" s="84">
        <f>IF(E32="خصم",-1,1)*N(F32)</f>
        <v/>
      </c>
      <c r="H32" s="50" t="n"/>
      <c r="I32" s="83" t="n"/>
      <c r="J32" s="84">
        <f>IF(E32="خصم",-1,1)*N(I32)</f>
        <v/>
      </c>
      <c r="K32" s="55" t="n"/>
      <c r="L32" s="85" t="n"/>
    </row>
    <row r="33">
      <c r="A33" s="61">
        <f>IF(B33="","",COUNTA($B$6:B33))</f>
        <v/>
      </c>
      <c r="B33" s="50" t="n"/>
      <c r="C33" s="54" t="n"/>
      <c r="D33" s="62" t="n"/>
      <c r="E33" s="50" t="n"/>
      <c r="F33" s="83" t="n"/>
      <c r="G33" s="84">
        <f>IF(E33="خصم",-1,1)*N(F33)</f>
        <v/>
      </c>
      <c r="H33" s="50" t="n"/>
      <c r="I33" s="83" t="n"/>
      <c r="J33" s="84">
        <f>IF(E33="خصم",-1,1)*N(I33)</f>
        <v/>
      </c>
      <c r="K33" s="55" t="n"/>
      <c r="L33" s="85" t="n"/>
    </row>
    <row r="34">
      <c r="A34" s="61">
        <f>IF(B34="","",COUNTA($B$6:B34))</f>
        <v/>
      </c>
      <c r="B34" s="50" t="n"/>
      <c r="C34" s="54" t="n"/>
      <c r="D34" s="62" t="n"/>
      <c r="E34" s="50" t="n"/>
      <c r="F34" s="83" t="n"/>
      <c r="G34" s="84">
        <f>IF(E34="خصم",-1,1)*N(F34)</f>
        <v/>
      </c>
      <c r="H34" s="50" t="n"/>
      <c r="I34" s="83" t="n"/>
      <c r="J34" s="84">
        <f>IF(E34="خصم",-1,1)*N(I34)</f>
        <v/>
      </c>
      <c r="K34" s="55" t="n"/>
      <c r="L34" s="85" t="n"/>
    </row>
    <row r="35">
      <c r="A35" s="61">
        <f>IF(B35="","",COUNTA($B$6:B35))</f>
        <v/>
      </c>
      <c r="B35" s="50" t="n"/>
      <c r="C35" s="54" t="n"/>
      <c r="D35" s="62" t="n"/>
      <c r="E35" s="50" t="n"/>
      <c r="F35" s="83" t="n"/>
      <c r="G35" s="84">
        <f>IF(E35="خصم",-1,1)*N(F35)</f>
        <v/>
      </c>
      <c r="H35" s="50" t="n"/>
      <c r="I35" s="83" t="n"/>
      <c r="J35" s="84">
        <f>IF(E35="خصم",-1,1)*N(I35)</f>
        <v/>
      </c>
      <c r="K35" s="55" t="n"/>
      <c r="L35" s="85" t="n"/>
    </row>
    <row r="36">
      <c r="A36" s="61">
        <f>IF(B36="","",COUNTA($B$6:B36))</f>
        <v/>
      </c>
      <c r="B36" s="50" t="n"/>
      <c r="C36" s="54" t="n"/>
      <c r="D36" s="62" t="n"/>
      <c r="E36" s="50" t="n"/>
      <c r="F36" s="83" t="n"/>
      <c r="G36" s="84">
        <f>IF(E36="خصم",-1,1)*N(F36)</f>
        <v/>
      </c>
      <c r="H36" s="50" t="n"/>
      <c r="I36" s="83" t="n"/>
      <c r="J36" s="84">
        <f>IF(E36="خصم",-1,1)*N(I36)</f>
        <v/>
      </c>
      <c r="K36" s="55" t="n"/>
      <c r="L36" s="85" t="n"/>
    </row>
    <row r="37">
      <c r="A37" s="61">
        <f>IF(B37="","",COUNTA($B$6:B37))</f>
        <v/>
      </c>
      <c r="B37" s="50" t="n"/>
      <c r="C37" s="54" t="n"/>
      <c r="D37" s="62" t="n"/>
      <c r="E37" s="50" t="n"/>
      <c r="F37" s="83" t="n"/>
      <c r="G37" s="84">
        <f>IF(E37="خصم",-1,1)*N(F37)</f>
        <v/>
      </c>
      <c r="H37" s="50" t="n"/>
      <c r="I37" s="83" t="n"/>
      <c r="J37" s="84">
        <f>IF(E37="خصم",-1,1)*N(I37)</f>
        <v/>
      </c>
      <c r="K37" s="55" t="n"/>
      <c r="L37" s="85" t="n"/>
    </row>
    <row r="38">
      <c r="A38" s="61">
        <f>IF(B38="","",COUNTA($B$6:B38))</f>
        <v/>
      </c>
      <c r="B38" s="50" t="n"/>
      <c r="C38" s="54" t="n"/>
      <c r="D38" s="62" t="n"/>
      <c r="E38" s="50" t="n"/>
      <c r="F38" s="83" t="n"/>
      <c r="G38" s="84">
        <f>IF(E38="خصم",-1,1)*N(F38)</f>
        <v/>
      </c>
      <c r="H38" s="50" t="n"/>
      <c r="I38" s="83" t="n"/>
      <c r="J38" s="84">
        <f>IF(E38="خصم",-1,1)*N(I38)</f>
        <v/>
      </c>
      <c r="K38" s="55" t="n"/>
      <c r="L38" s="85" t="n"/>
    </row>
    <row r="39">
      <c r="A39" s="61">
        <f>IF(B39="","",COUNTA($B$6:B39))</f>
        <v/>
      </c>
      <c r="B39" s="50" t="n"/>
      <c r="C39" s="54" t="n"/>
      <c r="D39" s="62" t="n"/>
      <c r="E39" s="50" t="n"/>
      <c r="F39" s="83" t="n"/>
      <c r="G39" s="84">
        <f>IF(E39="خصم",-1,1)*N(F39)</f>
        <v/>
      </c>
      <c r="H39" s="50" t="n"/>
      <c r="I39" s="83" t="n"/>
      <c r="J39" s="84">
        <f>IF(E39="خصم",-1,1)*N(I39)</f>
        <v/>
      </c>
      <c r="K39" s="55" t="n"/>
      <c r="L39" s="85" t="n"/>
    </row>
    <row r="40">
      <c r="A40" s="61">
        <f>IF(B40="","",COUNTA($B$6:B40))</f>
        <v/>
      </c>
      <c r="B40" s="50" t="n"/>
      <c r="C40" s="54" t="n"/>
      <c r="D40" s="62" t="n"/>
      <c r="E40" s="50" t="n"/>
      <c r="F40" s="83" t="n"/>
      <c r="G40" s="84">
        <f>IF(E40="خصم",-1,1)*N(F40)</f>
        <v/>
      </c>
      <c r="H40" s="50" t="n"/>
      <c r="I40" s="83" t="n"/>
      <c r="J40" s="84">
        <f>IF(E40="خصم",-1,1)*N(I40)</f>
        <v/>
      </c>
      <c r="K40" s="55" t="n"/>
      <c r="L40" s="85" t="n"/>
    </row>
    <row r="41">
      <c r="A41" s="61">
        <f>IF(B41="","",COUNTA($B$6:B41))</f>
        <v/>
      </c>
      <c r="B41" s="50" t="n"/>
      <c r="C41" s="54" t="n"/>
      <c r="D41" s="62" t="n"/>
      <c r="E41" s="50" t="n"/>
      <c r="F41" s="83" t="n"/>
      <c r="G41" s="84">
        <f>IF(E41="خصم",-1,1)*N(F41)</f>
        <v/>
      </c>
      <c r="H41" s="50" t="n"/>
      <c r="I41" s="83" t="n"/>
      <c r="J41" s="84">
        <f>IF(E41="خصم",-1,1)*N(I41)</f>
        <v/>
      </c>
      <c r="K41" s="55" t="n"/>
      <c r="L41" s="85" t="n"/>
    </row>
    <row r="42">
      <c r="A42" s="61">
        <f>IF(B42="","",COUNTA($B$6:B42))</f>
        <v/>
      </c>
      <c r="B42" s="50" t="n"/>
      <c r="C42" s="54" t="n"/>
      <c r="D42" s="62" t="n"/>
      <c r="E42" s="50" t="n"/>
      <c r="F42" s="83" t="n"/>
      <c r="G42" s="84">
        <f>IF(E42="خصم",-1,1)*N(F42)</f>
        <v/>
      </c>
      <c r="H42" s="50" t="n"/>
      <c r="I42" s="83" t="n"/>
      <c r="J42" s="84">
        <f>IF(E42="خصم",-1,1)*N(I42)</f>
        <v/>
      </c>
      <c r="K42" s="55" t="n"/>
      <c r="L42" s="85" t="n"/>
    </row>
    <row r="43">
      <c r="A43" s="61">
        <f>IF(B43="","",COUNTA($B$6:B43))</f>
        <v/>
      </c>
      <c r="B43" s="50" t="n"/>
      <c r="C43" s="54" t="n"/>
      <c r="D43" s="62" t="n"/>
      <c r="E43" s="50" t="n"/>
      <c r="F43" s="83" t="n"/>
      <c r="G43" s="84">
        <f>IF(E43="خصم",-1,1)*N(F43)</f>
        <v/>
      </c>
      <c r="H43" s="50" t="n"/>
      <c r="I43" s="83" t="n"/>
      <c r="J43" s="84">
        <f>IF(E43="خصم",-1,1)*N(I43)</f>
        <v/>
      </c>
      <c r="K43" s="55" t="n"/>
      <c r="L43" s="85" t="n"/>
    </row>
    <row r="44">
      <c r="A44" s="61">
        <f>IF(B44="","",COUNTA($B$6:B44))</f>
        <v/>
      </c>
      <c r="B44" s="50" t="n"/>
      <c r="C44" s="54" t="n"/>
      <c r="D44" s="62" t="n"/>
      <c r="E44" s="50" t="n"/>
      <c r="F44" s="83" t="n"/>
      <c r="G44" s="84">
        <f>IF(E44="خصم",-1,1)*N(F44)</f>
        <v/>
      </c>
      <c r="H44" s="50" t="n"/>
      <c r="I44" s="83" t="n"/>
      <c r="J44" s="84">
        <f>IF(E44="خصم",-1,1)*N(I44)</f>
        <v/>
      </c>
      <c r="K44" s="55" t="n"/>
      <c r="L44" s="85" t="n"/>
    </row>
    <row r="45">
      <c r="A45" s="61">
        <f>IF(B45="","",COUNTA($B$6:B45))</f>
        <v/>
      </c>
      <c r="B45" s="50" t="n"/>
      <c r="C45" s="54" t="n"/>
      <c r="D45" s="62" t="n"/>
      <c r="E45" s="50" t="n"/>
      <c r="F45" s="83" t="n"/>
      <c r="G45" s="84">
        <f>IF(E45="خصم",-1,1)*N(F45)</f>
        <v/>
      </c>
      <c r="H45" s="50" t="n"/>
      <c r="I45" s="83" t="n"/>
      <c r="J45" s="84">
        <f>IF(E45="خصم",-1,1)*N(I45)</f>
        <v/>
      </c>
      <c r="K45" s="55" t="n"/>
      <c r="L45" s="85" t="n"/>
    </row>
    <row r="46">
      <c r="A46" s="61">
        <f>IF(B46="","",COUNTA($B$6:B46))</f>
        <v/>
      </c>
      <c r="B46" s="50" t="n"/>
      <c r="C46" s="54" t="n"/>
      <c r="D46" s="62" t="n"/>
      <c r="E46" s="50" t="n"/>
      <c r="F46" s="83" t="n"/>
      <c r="G46" s="84">
        <f>IF(E46="خصم",-1,1)*N(F46)</f>
        <v/>
      </c>
      <c r="H46" s="50" t="n"/>
      <c r="I46" s="83" t="n"/>
      <c r="J46" s="84">
        <f>IF(E46="خصم",-1,1)*N(I46)</f>
        <v/>
      </c>
      <c r="K46" s="55" t="n"/>
      <c r="L46" s="85" t="n"/>
    </row>
    <row r="47">
      <c r="A47" s="61">
        <f>IF(B47="","",COUNTA($B$6:B47))</f>
        <v/>
      </c>
      <c r="B47" s="50" t="n"/>
      <c r="C47" s="54" t="n"/>
      <c r="D47" s="62" t="n"/>
      <c r="E47" s="50" t="n"/>
      <c r="F47" s="83" t="n"/>
      <c r="G47" s="84">
        <f>IF(E47="خصم",-1,1)*N(F47)</f>
        <v/>
      </c>
      <c r="H47" s="50" t="n"/>
      <c r="I47" s="83" t="n"/>
      <c r="J47" s="84">
        <f>IF(E47="خصم",-1,1)*N(I47)</f>
        <v/>
      </c>
      <c r="K47" s="55" t="n"/>
      <c r="L47" s="85" t="n"/>
    </row>
    <row r="48">
      <c r="A48" s="61">
        <f>IF(B48="","",COUNTA($B$6:B48))</f>
        <v/>
      </c>
      <c r="B48" s="50" t="n"/>
      <c r="C48" s="54" t="n"/>
      <c r="D48" s="62" t="n"/>
      <c r="E48" s="50" t="n"/>
      <c r="F48" s="83" t="n"/>
      <c r="G48" s="84">
        <f>IF(E48="خصم",-1,1)*N(F48)</f>
        <v/>
      </c>
      <c r="H48" s="50" t="n"/>
      <c r="I48" s="83" t="n"/>
      <c r="J48" s="84">
        <f>IF(E48="خصم",-1,1)*N(I48)</f>
        <v/>
      </c>
      <c r="K48" s="55" t="n"/>
      <c r="L48" s="85" t="n"/>
    </row>
    <row r="49">
      <c r="A49" s="61">
        <f>IF(B49="","",COUNTA($B$6:B49))</f>
        <v/>
      </c>
      <c r="B49" s="50" t="n"/>
      <c r="C49" s="54" t="n"/>
      <c r="D49" s="62" t="n"/>
      <c r="E49" s="50" t="n"/>
      <c r="F49" s="83" t="n"/>
      <c r="G49" s="84">
        <f>IF(E49="خصم",-1,1)*N(F49)</f>
        <v/>
      </c>
      <c r="H49" s="50" t="n"/>
      <c r="I49" s="83" t="n"/>
      <c r="J49" s="84">
        <f>IF(E49="خصم",-1,1)*N(I49)</f>
        <v/>
      </c>
      <c r="K49" s="55" t="n"/>
      <c r="L49" s="85" t="n"/>
    </row>
    <row r="50">
      <c r="A50" s="61">
        <f>IF(B50="","",COUNTA($B$6:B50))</f>
        <v/>
      </c>
      <c r="B50" s="50" t="n"/>
      <c r="C50" s="54" t="n"/>
      <c r="D50" s="62" t="n"/>
      <c r="E50" s="50" t="n"/>
      <c r="F50" s="83" t="n"/>
      <c r="G50" s="84">
        <f>IF(E50="خصم",-1,1)*N(F50)</f>
        <v/>
      </c>
      <c r="H50" s="50" t="n"/>
      <c r="I50" s="83" t="n"/>
      <c r="J50" s="84">
        <f>IF(E50="خصم",-1,1)*N(I50)</f>
        <v/>
      </c>
      <c r="K50" s="55" t="n"/>
      <c r="L50" s="85" t="n"/>
    </row>
    <row r="51">
      <c r="A51" s="61">
        <f>IF(B51="","",COUNTA($B$6:B51))</f>
        <v/>
      </c>
      <c r="B51" s="50" t="n"/>
      <c r="C51" s="54" t="n"/>
      <c r="D51" s="62" t="n"/>
      <c r="E51" s="50" t="n"/>
      <c r="F51" s="83" t="n"/>
      <c r="G51" s="84">
        <f>IF(E51="خصم",-1,1)*N(F51)</f>
        <v/>
      </c>
      <c r="H51" s="50" t="n"/>
      <c r="I51" s="83" t="n"/>
      <c r="J51" s="84">
        <f>IF(E51="خصم",-1,1)*N(I51)</f>
        <v/>
      </c>
      <c r="K51" s="55" t="n"/>
      <c r="L51" s="85" t="n"/>
    </row>
    <row r="52">
      <c r="A52" s="61">
        <f>IF(B52="","",COUNTA($B$6:B52))</f>
        <v/>
      </c>
      <c r="B52" s="50" t="n"/>
      <c r="C52" s="54" t="n"/>
      <c r="D52" s="62" t="n"/>
      <c r="E52" s="50" t="n"/>
      <c r="F52" s="83" t="n"/>
      <c r="G52" s="84">
        <f>IF(E52="خصم",-1,1)*N(F52)</f>
        <v/>
      </c>
      <c r="H52" s="50" t="n"/>
      <c r="I52" s="83" t="n"/>
      <c r="J52" s="84">
        <f>IF(E52="خصم",-1,1)*N(I52)</f>
        <v/>
      </c>
      <c r="K52" s="55" t="n"/>
      <c r="L52" s="85" t="n"/>
    </row>
    <row r="53">
      <c r="A53" s="61">
        <f>IF(B53="","",COUNTA($B$6:B53))</f>
        <v/>
      </c>
      <c r="B53" s="50" t="n"/>
      <c r="C53" s="54" t="n"/>
      <c r="D53" s="62" t="n"/>
      <c r="E53" s="50" t="n"/>
      <c r="F53" s="83" t="n"/>
      <c r="G53" s="84">
        <f>IF(E53="خصم",-1,1)*N(F53)</f>
        <v/>
      </c>
      <c r="H53" s="50" t="n"/>
      <c r="I53" s="83" t="n"/>
      <c r="J53" s="84">
        <f>IF(E53="خصم",-1,1)*N(I53)</f>
        <v/>
      </c>
      <c r="K53" s="55" t="n"/>
      <c r="L53" s="85" t="n"/>
    </row>
    <row r="54">
      <c r="A54" s="61">
        <f>IF(B54="","",COUNTA($B$6:B54))</f>
        <v/>
      </c>
      <c r="B54" s="50" t="n"/>
      <c r="C54" s="54" t="n"/>
      <c r="D54" s="62" t="n"/>
      <c r="E54" s="50" t="n"/>
      <c r="F54" s="83" t="n"/>
      <c r="G54" s="84">
        <f>IF(E54="خصم",-1,1)*N(F54)</f>
        <v/>
      </c>
      <c r="H54" s="50" t="n"/>
      <c r="I54" s="83" t="n"/>
      <c r="J54" s="84">
        <f>IF(E54="خصم",-1,1)*N(I54)</f>
        <v/>
      </c>
      <c r="K54" s="55" t="n"/>
      <c r="L54" s="85" t="n"/>
    </row>
    <row r="55">
      <c r="A55" s="61">
        <f>IF(B55="","",COUNTA($B$6:B55))</f>
        <v/>
      </c>
      <c r="B55" s="50" t="n"/>
      <c r="C55" s="54" t="n"/>
      <c r="D55" s="62" t="n"/>
      <c r="E55" s="50" t="n"/>
      <c r="F55" s="83" t="n"/>
      <c r="G55" s="84">
        <f>IF(E55="خصم",-1,1)*N(F55)</f>
        <v/>
      </c>
      <c r="H55" s="50" t="n"/>
      <c r="I55" s="83" t="n"/>
      <c r="J55" s="84">
        <f>IF(E55="خصم",-1,1)*N(I55)</f>
        <v/>
      </c>
      <c r="K55" s="55" t="n"/>
      <c r="L55" s="85" t="n"/>
    </row>
    <row r="56">
      <c r="A56" s="66" t="inlineStr">
        <is>
          <t>الإجمالي</t>
        </is>
      </c>
      <c r="B56" s="66" t="n"/>
      <c r="C56" s="66" t="n"/>
      <c r="D56" s="66" t="n"/>
      <c r="E56" s="66" t="n"/>
      <c r="F56" s="86">
        <f>SUM(F6:F55)</f>
        <v/>
      </c>
      <c r="G56" s="86">
        <f>SUM(G6:G55)</f>
        <v/>
      </c>
      <c r="H56" s="79">
        <f>"معتمد: "&amp;COUNTIF(H6:H55,"معتمد")</f>
        <v/>
      </c>
      <c r="I56" s="86">
        <f>SUM(I6:I55)</f>
        <v/>
      </c>
      <c r="J56" s="86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3">
      <formula>$H6="معتمد"</formula>
    </cfRule>
    <cfRule type="expression" priority="2" dxfId="4">
      <formula>$H6="قيد الدراسة"</formula>
    </cfRule>
    <cfRule type="expression" priority="3" dxfId="5">
      <formula>$H6="مرفوض"</formula>
    </cfRule>
  </conditionalFormatting>
  <conditionalFormatting sqref="I6:K55">
    <cfRule type="expression" priority="4" dxfId="6">
      <formula>AND($H6="معتمد",N($I6)&gt;0,$K6="")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4" type="whole" operator="between">
      <formula1>1</formula1>
      <formula2>24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لوحة التحكم'!A1" display="📊 لوحة التحكم"/>
    <hyperlink ref="B3" location="'بيانات العقد'!A1" display="⚙ بيانات العقد"/>
    <hyperlink ref="C3" location="'جدول الكميات'!A1" display="📋 الكميات"/>
    <hyperlink ref="D3" location="'الكميات المنفذة'!A1" display="📐 المنفذ"/>
    <hyperlink ref="F3" location="'الاستقطاعات الفنية'!A1" display="✂ الاستقطاعات"/>
    <hyperlink ref="G3" location="'سجل المستخلصات'!A1" display="🗂 السجل"/>
    <hyperlink ref="H3" location="'نموذج المستخلص'!A1" display="🧾 النموذج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'بيانات العقد'!$C$5&amp;"   |   عقد رقم: "&amp;'بيانات العقد'!$C$6&amp;"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📊 لوحة التحكم</t>
        </is>
      </c>
      <c r="B3" s="4" t="inlineStr">
        <is>
          <t>⚙ بيانات العقد</t>
        </is>
      </c>
      <c r="C3" s="4" t="inlineStr">
        <is>
          <t>📋 الكميات</t>
        </is>
      </c>
      <c r="D3" s="4" t="inlineStr">
        <is>
          <t>📐 المنفذ</t>
        </is>
      </c>
      <c r="F3" s="4" t="inlineStr">
        <is>
          <t>🔁 التغييرية</t>
        </is>
      </c>
      <c r="G3" s="4" t="inlineStr">
        <is>
          <t>🗂 السجل</t>
        </is>
      </c>
      <c r="H3" s="4" t="inlineStr">
        <is>
          <t>🧾 النموذج</t>
        </is>
      </c>
    </row>
    <row r="4">
      <c r="A4" s="60" t="inlineStr">
        <is>
          <t>يُخصم المبلغ من المستخلص المحدد ويستمر محتجزاً تراكمياً حتى يتم الإفراج عنه في «مستخلص الإفراج».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</row>
    <row r="5" ht="40" customHeight="1">
      <c r="A5" s="41" t="inlineStr">
        <is>
          <t>م</t>
        </is>
      </c>
      <c r="B5" s="41" t="inlineStr">
        <is>
          <t>رقم الاستقطاع</t>
        </is>
      </c>
      <c r="C5" s="41" t="inlineStr">
        <is>
          <t>التاريخ</t>
        </is>
      </c>
      <c r="D5" s="41" t="inlineStr">
        <is>
          <t>رقم المستخلص</t>
        </is>
      </c>
      <c r="E5" s="41" t="inlineStr">
        <is>
          <t>كود البند</t>
        </is>
      </c>
      <c r="F5" s="41" t="inlineStr">
        <is>
          <t>وصف البند (آلي)</t>
        </is>
      </c>
      <c r="G5" s="41" t="inlineStr">
        <is>
          <t>سبب الاستقطاع</t>
        </is>
      </c>
      <c r="H5" s="41" t="inlineStr">
        <is>
          <t>نوع الاستقطاع</t>
        </is>
      </c>
      <c r="I5" s="41" t="inlineStr">
        <is>
          <t>المبلغ المستقطع</t>
        </is>
      </c>
      <c r="J5" s="41" t="inlineStr">
        <is>
          <t>تم الإفراج؟</t>
        </is>
      </c>
      <c r="K5" s="41" t="inlineStr">
        <is>
          <t>مستخلص الإفراج</t>
        </is>
      </c>
      <c r="L5" s="41" t="inlineStr">
        <is>
          <t>الرصيد المحتجز</t>
        </is>
      </c>
      <c r="M5" s="41" t="inlineStr">
        <is>
          <t>ملاحظات</t>
        </is>
      </c>
    </row>
    <row r="6">
      <c r="A6" s="61">
        <f>IF(B6="","",COUNTA($B$6:B6))</f>
        <v/>
      </c>
      <c r="B6" s="50" t="inlineStr">
        <is>
          <t>TD-01</t>
        </is>
      </c>
      <c r="C6" s="54" t="n">
        <v>46145</v>
      </c>
      <c r="D6" s="55" t="n">
        <v>2</v>
      </c>
      <c r="E6" s="50" t="inlineStr">
        <is>
          <t>02-002</t>
        </is>
      </c>
      <c r="F6" s="87">
        <f>IF(E6="","",IFERROR(INDEX('جدول الكميات'!$D$6:$D$105,MATCH(E6,'جدول الكميات'!$B$6:$B$105,0)),"⚠ كود غير موجود"))</f>
        <v/>
      </c>
      <c r="G6" s="62" t="inlineStr">
        <is>
          <t>تعشيش في خرسانة بعض القواعد يلزم معالجته</t>
        </is>
      </c>
      <c r="H6" s="50" t="inlineStr">
        <is>
          <t>أعمال غير مطابقة</t>
        </is>
      </c>
      <c r="I6" s="83" t="n">
        <v>85000</v>
      </c>
      <c r="J6" s="50" t="inlineStr">
        <is>
          <t>نعم</t>
        </is>
      </c>
      <c r="K6" s="55" t="n">
        <v>4</v>
      </c>
      <c r="L6" s="88">
        <f>IF(J6="نعم",0,N(I6))</f>
        <v/>
      </c>
      <c r="M6" s="85" t="n"/>
    </row>
    <row r="7">
      <c r="A7" s="61">
        <f>IF(B7="","",COUNTA($B$6:B7))</f>
        <v/>
      </c>
      <c r="B7" s="50" t="inlineStr">
        <is>
          <t>TD-02</t>
        </is>
      </c>
      <c r="C7" s="54" t="n">
        <v>46177</v>
      </c>
      <c r="D7" s="55" t="n">
        <v>3</v>
      </c>
      <c r="E7" s="50" t="inlineStr">
        <is>
          <t>04-001</t>
        </is>
      </c>
      <c r="F7" s="87">
        <f>IF(E7="","",IFERROR(INDEX('جدول الكميات'!$D$6:$D$105,MATCH(E7,'جدول الكميات'!$B$6:$B$105,0)),"⚠ كود غير موجود"))</f>
        <v/>
      </c>
      <c r="G7" s="62" t="inlineStr">
        <is>
          <t>عدم تقديم نتائج اختبار التصاق العزل</t>
        </is>
      </c>
      <c r="H7" s="50" t="inlineStr">
        <is>
          <t>اختبارات غير مستكملة</t>
        </is>
      </c>
      <c r="I7" s="83" t="n">
        <v>40000</v>
      </c>
      <c r="J7" s="50" t="inlineStr">
        <is>
          <t>لا</t>
        </is>
      </c>
      <c r="K7" s="55" t="n"/>
      <c r="L7" s="88">
        <f>IF(J7="نعم",0,N(I7))</f>
        <v/>
      </c>
      <c r="M7" s="85" t="n"/>
    </row>
    <row r="8">
      <c r="A8" s="61">
        <f>IF(B8="","",COUNTA($B$6:B8))</f>
        <v/>
      </c>
      <c r="B8" s="50" t="inlineStr">
        <is>
          <t>TD-03</t>
        </is>
      </c>
      <c r="C8" s="54" t="n">
        <v>46238</v>
      </c>
      <c r="D8" s="55" t="n">
        <v>5</v>
      </c>
      <c r="E8" s="50" t="inlineStr">
        <is>
          <t>02-004</t>
        </is>
      </c>
      <c r="F8" s="87">
        <f>IF(E8="","",IFERROR(INDEX('جدول الكميات'!$D$6:$D$105,MATCH(E8,'جدول الكميات'!$B$6:$B$105,0)),"⚠ كود غير موجود"))</f>
        <v/>
      </c>
      <c r="G8" s="62" t="inlineStr">
        <is>
          <t>ملاحظات على استواء أسطح بلاطات الدور الأول</t>
        </is>
      </c>
      <c r="H8" s="50" t="inlineStr">
        <is>
          <t>ملاحظات فنية</t>
        </is>
      </c>
      <c r="I8" s="83" t="n">
        <v>120000</v>
      </c>
      <c r="J8" s="50" t="inlineStr">
        <is>
          <t>لا</t>
        </is>
      </c>
      <c r="K8" s="55" t="n"/>
      <c r="L8" s="88">
        <f>IF(J8="نعم",0,N(I8))</f>
        <v/>
      </c>
      <c r="M8" s="85" t="n"/>
    </row>
    <row r="9">
      <c r="A9" s="61">
        <f>IF(B9="","",COUNTA($B$6:B9))</f>
        <v/>
      </c>
      <c r="B9" s="50" t="inlineStr">
        <is>
          <t>TD-04</t>
        </is>
      </c>
      <c r="C9" s="54" t="n">
        <v>46268</v>
      </c>
      <c r="D9" s="55" t="n">
        <v>6</v>
      </c>
      <c r="E9" s="50" t="inlineStr">
        <is>
          <t>03-001</t>
        </is>
      </c>
      <c r="F9" s="87">
        <f>IF(E9="","",IFERROR(INDEX('جدول الكميات'!$D$6:$D$105,MATCH(E9,'جدول الكميات'!$B$6:$B$105,0)),"⚠ كود غير موجود"))</f>
        <v/>
      </c>
      <c r="G9" s="62" t="inlineStr">
        <is>
          <t>مباني غير مطابقة للمواصفات (عدم ضبط الرأسية)</t>
        </is>
      </c>
      <c r="H9" s="50" t="inlineStr">
        <is>
          <t>أعمال غير مطابقة</t>
        </is>
      </c>
      <c r="I9" s="83" t="n">
        <v>65000</v>
      </c>
      <c r="J9" s="50" t="inlineStr">
        <is>
          <t>لا</t>
        </is>
      </c>
      <c r="K9" s="55" t="n"/>
      <c r="L9" s="88">
        <f>IF(J9="نعم",0,N(I9))</f>
        <v/>
      </c>
      <c r="M9" s="85" t="n"/>
    </row>
    <row r="10">
      <c r="A10" s="61">
        <f>IF(B10="","",COUNTA($B$6:B10))</f>
        <v/>
      </c>
      <c r="B10" s="50" t="n"/>
      <c r="C10" s="54" t="n"/>
      <c r="D10" s="55" t="n"/>
      <c r="E10" s="50" t="n"/>
      <c r="F10" s="87">
        <f>IF(E10="","",IFERROR(INDEX('جدول الكميات'!$D$6:$D$105,MATCH(E10,'جدول الكميات'!$B$6:$B$105,0)),"⚠ كود غير موجود"))</f>
        <v/>
      </c>
      <c r="G10" s="62" t="n"/>
      <c r="H10" s="50" t="n"/>
      <c r="I10" s="83" t="n"/>
      <c r="J10" s="50" t="n"/>
      <c r="K10" s="55" t="n"/>
      <c r="L10" s="88">
        <f>IF(J10="نعم",0,N(I10))</f>
        <v/>
      </c>
      <c r="M10" s="85" t="n"/>
    </row>
    <row r="11">
      <c r="A11" s="61">
        <f>IF(B11="","",COUNTA($B$6:B11))</f>
        <v/>
      </c>
      <c r="B11" s="50" t="n"/>
      <c r="C11" s="54" t="n"/>
      <c r="D11" s="55" t="n"/>
      <c r="E11" s="50" t="n"/>
      <c r="F11" s="87">
        <f>IF(E11="","",IFERROR(INDEX('جدول الكميات'!$D$6:$D$105,MATCH(E11,'جدول الكميات'!$B$6:$B$105,0)),"⚠ كود غير موجود"))</f>
        <v/>
      </c>
      <c r="G11" s="62" t="n"/>
      <c r="H11" s="50" t="n"/>
      <c r="I11" s="83" t="n"/>
      <c r="J11" s="50" t="n"/>
      <c r="K11" s="55" t="n"/>
      <c r="L11" s="88">
        <f>IF(J11="نعم",0,N(I11))</f>
        <v/>
      </c>
      <c r="M11" s="85" t="n"/>
    </row>
    <row r="12">
      <c r="A12" s="61">
        <f>IF(B12="","",COUNTA($B$6:B12))</f>
        <v/>
      </c>
      <c r="B12" s="50" t="n"/>
      <c r="C12" s="54" t="n"/>
      <c r="D12" s="55" t="n"/>
      <c r="E12" s="50" t="n"/>
      <c r="F12" s="87">
        <f>IF(E12="","",IFERROR(INDEX('جدول الكميات'!$D$6:$D$105,MATCH(E12,'جدول الكميات'!$B$6:$B$105,0)),"⚠ كود غير موجود"))</f>
        <v/>
      </c>
      <c r="G12" s="62" t="n"/>
      <c r="H12" s="50" t="n"/>
      <c r="I12" s="83" t="n"/>
      <c r="J12" s="50" t="n"/>
      <c r="K12" s="55" t="n"/>
      <c r="L12" s="88">
        <f>IF(J12="نعم",0,N(I12))</f>
        <v/>
      </c>
      <c r="M12" s="85" t="n"/>
    </row>
    <row r="13">
      <c r="A13" s="61">
        <f>IF(B13="","",COUNTA($B$6:B13))</f>
        <v/>
      </c>
      <c r="B13" s="50" t="n"/>
      <c r="C13" s="54" t="n"/>
      <c r="D13" s="55" t="n"/>
      <c r="E13" s="50" t="n"/>
      <c r="F13" s="87">
        <f>IF(E13="","",IFERROR(INDEX('جدول الكميات'!$D$6:$D$105,MATCH(E13,'جدول الكميات'!$B$6:$B$105,0)),"⚠ كود غير موجود"))</f>
        <v/>
      </c>
      <c r="G13" s="62" t="n"/>
      <c r="H13" s="50" t="n"/>
      <c r="I13" s="83" t="n"/>
      <c r="J13" s="50" t="n"/>
      <c r="K13" s="55" t="n"/>
      <c r="L13" s="88">
        <f>IF(J13="نعم",0,N(I13))</f>
        <v/>
      </c>
      <c r="M13" s="85" t="n"/>
    </row>
    <row r="14">
      <c r="A14" s="61">
        <f>IF(B14="","",COUNTA($B$6:B14))</f>
        <v/>
      </c>
      <c r="B14" s="50" t="n"/>
      <c r="C14" s="54" t="n"/>
      <c r="D14" s="55" t="n"/>
      <c r="E14" s="50" t="n"/>
      <c r="F14" s="87">
        <f>IF(E14="","",IFERROR(INDEX('جدول الكميات'!$D$6:$D$105,MATCH(E14,'جدول الكميات'!$B$6:$B$105,0)),"⚠ كود غير موجود"))</f>
        <v/>
      </c>
      <c r="G14" s="62" t="n"/>
      <c r="H14" s="50" t="n"/>
      <c r="I14" s="83" t="n"/>
      <c r="J14" s="50" t="n"/>
      <c r="K14" s="55" t="n"/>
      <c r="L14" s="88">
        <f>IF(J14="نعم",0,N(I14))</f>
        <v/>
      </c>
      <c r="M14" s="85" t="n"/>
    </row>
    <row r="15">
      <c r="A15" s="61">
        <f>IF(B15="","",COUNTA($B$6:B15))</f>
        <v/>
      </c>
      <c r="B15" s="50" t="n"/>
      <c r="C15" s="54" t="n"/>
      <c r="D15" s="55" t="n"/>
      <c r="E15" s="50" t="n"/>
      <c r="F15" s="87">
        <f>IF(E15="","",IFERROR(INDEX('جدول الكميات'!$D$6:$D$105,MATCH(E15,'جدول الكميات'!$B$6:$B$105,0)),"⚠ كود غير موجود"))</f>
        <v/>
      </c>
      <c r="G15" s="62" t="n"/>
      <c r="H15" s="50" t="n"/>
      <c r="I15" s="83" t="n"/>
      <c r="J15" s="50" t="n"/>
      <c r="K15" s="55" t="n"/>
      <c r="L15" s="88">
        <f>IF(J15="نعم",0,N(I15))</f>
        <v/>
      </c>
      <c r="M15" s="85" t="n"/>
    </row>
    <row r="16">
      <c r="A16" s="61">
        <f>IF(B16="","",COUNTA($B$6:B16))</f>
        <v/>
      </c>
      <c r="B16" s="50" t="n"/>
      <c r="C16" s="54" t="n"/>
      <c r="D16" s="55" t="n"/>
      <c r="E16" s="50" t="n"/>
      <c r="F16" s="87">
        <f>IF(E16="","",IFERROR(INDEX('جدول الكميات'!$D$6:$D$105,MATCH(E16,'جدول الكميات'!$B$6:$B$105,0)),"⚠ كود غير موجود"))</f>
        <v/>
      </c>
      <c r="G16" s="62" t="n"/>
      <c r="H16" s="50" t="n"/>
      <c r="I16" s="83" t="n"/>
      <c r="J16" s="50" t="n"/>
      <c r="K16" s="55" t="n"/>
      <c r="L16" s="88">
        <f>IF(J16="نعم",0,N(I16))</f>
        <v/>
      </c>
      <c r="M16" s="85" t="n"/>
    </row>
    <row r="17">
      <c r="A17" s="61">
        <f>IF(B17="","",COUNTA($B$6:B17))</f>
        <v/>
      </c>
      <c r="B17" s="50" t="n"/>
      <c r="C17" s="54" t="n"/>
      <c r="D17" s="55" t="n"/>
      <c r="E17" s="50" t="n"/>
      <c r="F17" s="87">
        <f>IF(E17="","",IFERROR(INDEX('جدول الكميات'!$D$6:$D$105,MATCH(E17,'جدول الكميات'!$B$6:$B$105,0)),"⚠ كود غير موجود"))</f>
        <v/>
      </c>
      <c r="G17" s="62" t="n"/>
      <c r="H17" s="50" t="n"/>
      <c r="I17" s="83" t="n"/>
      <c r="J17" s="50" t="n"/>
      <c r="K17" s="55" t="n"/>
      <c r="L17" s="88">
        <f>IF(J17="نعم",0,N(I17))</f>
        <v/>
      </c>
      <c r="M17" s="85" t="n"/>
    </row>
    <row r="18">
      <c r="A18" s="61">
        <f>IF(B18="","",COUNTA($B$6:B18))</f>
        <v/>
      </c>
      <c r="B18" s="50" t="n"/>
      <c r="C18" s="54" t="n"/>
      <c r="D18" s="55" t="n"/>
      <c r="E18" s="50" t="n"/>
      <c r="F18" s="87">
        <f>IF(E18="","",IFERROR(INDEX('جدول الكميات'!$D$6:$D$105,MATCH(E18,'جدول الكميات'!$B$6:$B$105,0)),"⚠ كود غير موجود"))</f>
        <v/>
      </c>
      <c r="G18" s="62" t="n"/>
      <c r="H18" s="50" t="n"/>
      <c r="I18" s="83" t="n"/>
      <c r="J18" s="50" t="n"/>
      <c r="K18" s="55" t="n"/>
      <c r="L18" s="88">
        <f>IF(J18="نعم",0,N(I18))</f>
        <v/>
      </c>
      <c r="M18" s="85" t="n"/>
    </row>
    <row r="19">
      <c r="A19" s="61">
        <f>IF(B19="","",COUNTA($B$6:B19))</f>
        <v/>
      </c>
      <c r="B19" s="50" t="n"/>
      <c r="C19" s="54" t="n"/>
      <c r="D19" s="55" t="n"/>
      <c r="E19" s="50" t="n"/>
      <c r="F19" s="87">
        <f>IF(E19="","",IFERROR(INDEX('جدول الكميات'!$D$6:$D$105,MATCH(E19,'جدول الكميات'!$B$6:$B$105,0)),"⚠ كود غير موجود"))</f>
        <v/>
      </c>
      <c r="G19" s="62" t="n"/>
      <c r="H19" s="50" t="n"/>
      <c r="I19" s="83" t="n"/>
      <c r="J19" s="50" t="n"/>
      <c r="K19" s="55" t="n"/>
      <c r="L19" s="88">
        <f>IF(J19="نعم",0,N(I19))</f>
        <v/>
      </c>
      <c r="M19" s="85" t="n"/>
    </row>
    <row r="20">
      <c r="A20" s="61">
        <f>IF(B20="","",COUNTA($B$6:B20))</f>
        <v/>
      </c>
      <c r="B20" s="50" t="n"/>
      <c r="C20" s="54" t="n"/>
      <c r="D20" s="55" t="n"/>
      <c r="E20" s="50" t="n"/>
      <c r="F20" s="87">
        <f>IF(E20="","",IFERROR(INDEX('جدول الكميات'!$D$6:$D$105,MATCH(E20,'جدول الكميات'!$B$6:$B$105,0)),"⚠ كود غير موجود"))</f>
        <v/>
      </c>
      <c r="G20" s="62" t="n"/>
      <c r="H20" s="50" t="n"/>
      <c r="I20" s="83" t="n"/>
      <c r="J20" s="50" t="n"/>
      <c r="K20" s="55" t="n"/>
      <c r="L20" s="88">
        <f>IF(J20="نعم",0,N(I20))</f>
        <v/>
      </c>
      <c r="M20" s="85" t="n"/>
    </row>
    <row r="21">
      <c r="A21" s="61">
        <f>IF(B21="","",COUNTA($B$6:B21))</f>
        <v/>
      </c>
      <c r="B21" s="50" t="n"/>
      <c r="C21" s="54" t="n"/>
      <c r="D21" s="55" t="n"/>
      <c r="E21" s="50" t="n"/>
      <c r="F21" s="87">
        <f>IF(E21="","",IFERROR(INDEX('جدول الكميات'!$D$6:$D$105,MATCH(E21,'جدول الكميات'!$B$6:$B$105,0)),"⚠ كود غير موجود"))</f>
        <v/>
      </c>
      <c r="G21" s="62" t="n"/>
      <c r="H21" s="50" t="n"/>
      <c r="I21" s="83" t="n"/>
      <c r="J21" s="50" t="n"/>
      <c r="K21" s="55" t="n"/>
      <c r="L21" s="88">
        <f>IF(J21="نعم",0,N(I21))</f>
        <v/>
      </c>
      <c r="M21" s="85" t="n"/>
    </row>
    <row r="22">
      <c r="A22" s="61">
        <f>IF(B22="","",COUNTA($B$6:B22))</f>
        <v/>
      </c>
      <c r="B22" s="50" t="n"/>
      <c r="C22" s="54" t="n"/>
      <c r="D22" s="55" t="n"/>
      <c r="E22" s="50" t="n"/>
      <c r="F22" s="87">
        <f>IF(E22="","",IFERROR(INDEX('جدول الكميات'!$D$6:$D$105,MATCH(E22,'جدول الكميات'!$B$6:$B$105,0)),"⚠ كود غير موجود"))</f>
        <v/>
      </c>
      <c r="G22" s="62" t="n"/>
      <c r="H22" s="50" t="n"/>
      <c r="I22" s="83" t="n"/>
      <c r="J22" s="50" t="n"/>
      <c r="K22" s="55" t="n"/>
      <c r="L22" s="88">
        <f>IF(J22="نعم",0,N(I22))</f>
        <v/>
      </c>
      <c r="M22" s="85" t="n"/>
    </row>
    <row r="23">
      <c r="A23" s="61">
        <f>IF(B23="","",COUNTA($B$6:B23))</f>
        <v/>
      </c>
      <c r="B23" s="50" t="n"/>
      <c r="C23" s="54" t="n"/>
      <c r="D23" s="55" t="n"/>
      <c r="E23" s="50" t="n"/>
      <c r="F23" s="87">
        <f>IF(E23="","",IFERROR(INDEX('جدول الكميات'!$D$6:$D$105,MATCH(E23,'جدول الكميات'!$B$6:$B$105,0)),"⚠ كود غير موجود"))</f>
        <v/>
      </c>
      <c r="G23" s="62" t="n"/>
      <c r="H23" s="50" t="n"/>
      <c r="I23" s="83" t="n"/>
      <c r="J23" s="50" t="n"/>
      <c r="K23" s="55" t="n"/>
      <c r="L23" s="88">
        <f>IF(J23="نعم",0,N(I23))</f>
        <v/>
      </c>
      <c r="M23" s="85" t="n"/>
    </row>
    <row r="24">
      <c r="A24" s="61">
        <f>IF(B24="","",COUNTA($B$6:B24))</f>
        <v/>
      </c>
      <c r="B24" s="50" t="n"/>
      <c r="C24" s="54" t="n"/>
      <c r="D24" s="55" t="n"/>
      <c r="E24" s="50" t="n"/>
      <c r="F24" s="87">
        <f>IF(E24="","",IFERROR(INDEX('جدول الكميات'!$D$6:$D$105,MATCH(E24,'جدول الكميات'!$B$6:$B$105,0)),"⚠ كود غير موجود"))</f>
        <v/>
      </c>
      <c r="G24" s="62" t="n"/>
      <c r="H24" s="50" t="n"/>
      <c r="I24" s="83" t="n"/>
      <c r="J24" s="50" t="n"/>
      <c r="K24" s="55" t="n"/>
      <c r="L24" s="88">
        <f>IF(J24="نعم",0,N(I24))</f>
        <v/>
      </c>
      <c r="M24" s="85" t="n"/>
    </row>
    <row r="25">
      <c r="A25" s="61">
        <f>IF(B25="","",COUNTA($B$6:B25))</f>
        <v/>
      </c>
      <c r="B25" s="50" t="n"/>
      <c r="C25" s="54" t="n"/>
      <c r="D25" s="55" t="n"/>
      <c r="E25" s="50" t="n"/>
      <c r="F25" s="87">
        <f>IF(E25="","",IFERROR(INDEX('جدول الكميات'!$D$6:$D$105,MATCH(E25,'جدول الكميات'!$B$6:$B$105,0)),"⚠ كود غير موجود"))</f>
        <v/>
      </c>
      <c r="G25" s="62" t="n"/>
      <c r="H25" s="50" t="n"/>
      <c r="I25" s="83" t="n"/>
      <c r="J25" s="50" t="n"/>
      <c r="K25" s="55" t="n"/>
      <c r="L25" s="88">
        <f>IF(J25="نعم",0,N(I25))</f>
        <v/>
      </c>
      <c r="M25" s="85" t="n"/>
    </row>
    <row r="26">
      <c r="A26" s="61">
        <f>IF(B26="","",COUNTA($B$6:B26))</f>
        <v/>
      </c>
      <c r="B26" s="50" t="n"/>
      <c r="C26" s="54" t="n"/>
      <c r="D26" s="55" t="n"/>
      <c r="E26" s="50" t="n"/>
      <c r="F26" s="87">
        <f>IF(E26="","",IFERROR(INDEX('جدول الكميات'!$D$6:$D$105,MATCH(E26,'جدول الكميات'!$B$6:$B$105,0)),"⚠ كود غير موجود"))</f>
        <v/>
      </c>
      <c r="G26" s="62" t="n"/>
      <c r="H26" s="50" t="n"/>
      <c r="I26" s="83" t="n"/>
      <c r="J26" s="50" t="n"/>
      <c r="K26" s="55" t="n"/>
      <c r="L26" s="88">
        <f>IF(J26="نعم",0,N(I26))</f>
        <v/>
      </c>
      <c r="M26" s="85" t="n"/>
    </row>
    <row r="27">
      <c r="A27" s="61">
        <f>IF(B27="","",COUNTA($B$6:B27))</f>
        <v/>
      </c>
      <c r="B27" s="50" t="n"/>
      <c r="C27" s="54" t="n"/>
      <c r="D27" s="55" t="n"/>
      <c r="E27" s="50" t="n"/>
      <c r="F27" s="87">
        <f>IF(E27="","",IFERROR(INDEX('جدول الكميات'!$D$6:$D$105,MATCH(E27,'جدول الكميات'!$B$6:$B$105,0)),"⚠ كود غير موجود"))</f>
        <v/>
      </c>
      <c r="G27" s="62" t="n"/>
      <c r="H27" s="50" t="n"/>
      <c r="I27" s="83" t="n"/>
      <c r="J27" s="50" t="n"/>
      <c r="K27" s="55" t="n"/>
      <c r="L27" s="88">
        <f>IF(J27="نعم",0,N(I27))</f>
        <v/>
      </c>
      <c r="M27" s="85" t="n"/>
    </row>
    <row r="28">
      <c r="A28" s="61">
        <f>IF(B28="","",COUNTA($B$6:B28))</f>
        <v/>
      </c>
      <c r="B28" s="50" t="n"/>
      <c r="C28" s="54" t="n"/>
      <c r="D28" s="55" t="n"/>
      <c r="E28" s="50" t="n"/>
      <c r="F28" s="87">
        <f>IF(E28="","",IFERROR(INDEX('جدول الكميات'!$D$6:$D$105,MATCH(E28,'جدول الكميات'!$B$6:$B$105,0)),"⚠ كود غير موجود"))</f>
        <v/>
      </c>
      <c r="G28" s="62" t="n"/>
      <c r="H28" s="50" t="n"/>
      <c r="I28" s="83" t="n"/>
      <c r="J28" s="50" t="n"/>
      <c r="K28" s="55" t="n"/>
      <c r="L28" s="88">
        <f>IF(J28="نعم",0,N(I28))</f>
        <v/>
      </c>
      <c r="M28" s="85" t="n"/>
    </row>
    <row r="29">
      <c r="A29" s="61">
        <f>IF(B29="","",COUNTA($B$6:B29))</f>
        <v/>
      </c>
      <c r="B29" s="50" t="n"/>
      <c r="C29" s="54" t="n"/>
      <c r="D29" s="55" t="n"/>
      <c r="E29" s="50" t="n"/>
      <c r="F29" s="87">
        <f>IF(E29="","",IFERROR(INDEX('جدول الكميات'!$D$6:$D$105,MATCH(E29,'جدول الكميات'!$B$6:$B$105,0)),"⚠ كود غير موجود"))</f>
        <v/>
      </c>
      <c r="G29" s="62" t="n"/>
      <c r="H29" s="50" t="n"/>
      <c r="I29" s="83" t="n"/>
      <c r="J29" s="50" t="n"/>
      <c r="K29" s="55" t="n"/>
      <c r="L29" s="88">
        <f>IF(J29="نعم",0,N(I29))</f>
        <v/>
      </c>
      <c r="M29" s="85" t="n"/>
    </row>
    <row r="30">
      <c r="A30" s="61">
        <f>IF(B30="","",COUNTA($B$6:B30))</f>
        <v/>
      </c>
      <c r="B30" s="50" t="n"/>
      <c r="C30" s="54" t="n"/>
      <c r="D30" s="55" t="n"/>
      <c r="E30" s="50" t="n"/>
      <c r="F30" s="87">
        <f>IF(E30="","",IFERROR(INDEX('جدول الكميات'!$D$6:$D$105,MATCH(E30,'جدول الكميات'!$B$6:$B$105,0)),"⚠ كود غير موجود"))</f>
        <v/>
      </c>
      <c r="G30" s="62" t="n"/>
      <c r="H30" s="50" t="n"/>
      <c r="I30" s="83" t="n"/>
      <c r="J30" s="50" t="n"/>
      <c r="K30" s="55" t="n"/>
      <c r="L30" s="88">
        <f>IF(J30="نعم",0,N(I30))</f>
        <v/>
      </c>
      <c r="M30" s="85" t="n"/>
    </row>
    <row r="31">
      <c r="A31" s="61">
        <f>IF(B31="","",COUNTA($B$6:B31))</f>
        <v/>
      </c>
      <c r="B31" s="50" t="n"/>
      <c r="C31" s="54" t="n"/>
      <c r="D31" s="55" t="n"/>
      <c r="E31" s="50" t="n"/>
      <c r="F31" s="87">
        <f>IF(E31="","",IFERROR(INDEX('جدول الكميات'!$D$6:$D$105,MATCH(E31,'جدول الكميات'!$B$6:$B$105,0)),"⚠ كود غير موجود"))</f>
        <v/>
      </c>
      <c r="G31" s="62" t="n"/>
      <c r="H31" s="50" t="n"/>
      <c r="I31" s="83" t="n"/>
      <c r="J31" s="50" t="n"/>
      <c r="K31" s="55" t="n"/>
      <c r="L31" s="88">
        <f>IF(J31="نعم",0,N(I31))</f>
        <v/>
      </c>
      <c r="M31" s="85" t="n"/>
    </row>
    <row r="32">
      <c r="A32" s="61">
        <f>IF(B32="","",COUNTA($B$6:B32))</f>
        <v/>
      </c>
      <c r="B32" s="50" t="n"/>
      <c r="C32" s="54" t="n"/>
      <c r="D32" s="55" t="n"/>
      <c r="E32" s="50" t="n"/>
      <c r="F32" s="87">
        <f>IF(E32="","",IFERROR(INDEX('جدول الكميات'!$D$6:$D$105,MATCH(E32,'جدول الكميات'!$B$6:$B$105,0)),"⚠ كود غير موجود"))</f>
        <v/>
      </c>
      <c r="G32" s="62" t="n"/>
      <c r="H32" s="50" t="n"/>
      <c r="I32" s="83" t="n"/>
      <c r="J32" s="50" t="n"/>
      <c r="K32" s="55" t="n"/>
      <c r="L32" s="88">
        <f>IF(J32="نعم",0,N(I32))</f>
        <v/>
      </c>
      <c r="M32" s="85" t="n"/>
    </row>
    <row r="33">
      <c r="A33" s="61">
        <f>IF(B33="","",COUNTA($B$6:B33))</f>
        <v/>
      </c>
      <c r="B33" s="50" t="n"/>
      <c r="C33" s="54" t="n"/>
      <c r="D33" s="55" t="n"/>
      <c r="E33" s="50" t="n"/>
      <c r="F33" s="87">
        <f>IF(E33="","",IFERROR(INDEX('جدول الكميات'!$D$6:$D$105,MATCH(E33,'جدول الكميات'!$B$6:$B$105,0)),"⚠ كود غير موجود"))</f>
        <v/>
      </c>
      <c r="G33" s="62" t="n"/>
      <c r="H33" s="50" t="n"/>
      <c r="I33" s="83" t="n"/>
      <c r="J33" s="50" t="n"/>
      <c r="K33" s="55" t="n"/>
      <c r="L33" s="88">
        <f>IF(J33="نعم",0,N(I33))</f>
        <v/>
      </c>
      <c r="M33" s="85" t="n"/>
    </row>
    <row r="34">
      <c r="A34" s="61">
        <f>IF(B34="","",COUNTA($B$6:B34))</f>
        <v/>
      </c>
      <c r="B34" s="50" t="n"/>
      <c r="C34" s="54" t="n"/>
      <c r="D34" s="55" t="n"/>
      <c r="E34" s="50" t="n"/>
      <c r="F34" s="87">
        <f>IF(E34="","",IFERROR(INDEX('جدول الكميات'!$D$6:$D$105,MATCH(E34,'جدول الكميات'!$B$6:$B$105,0)),"⚠ كود غير موجود"))</f>
        <v/>
      </c>
      <c r="G34" s="62" t="n"/>
      <c r="H34" s="50" t="n"/>
      <c r="I34" s="83" t="n"/>
      <c r="J34" s="50" t="n"/>
      <c r="K34" s="55" t="n"/>
      <c r="L34" s="88">
        <f>IF(J34="نعم",0,N(I34))</f>
        <v/>
      </c>
      <c r="M34" s="85" t="n"/>
    </row>
    <row r="35">
      <c r="A35" s="61">
        <f>IF(B35="","",COUNTA($B$6:B35))</f>
        <v/>
      </c>
      <c r="B35" s="50" t="n"/>
      <c r="C35" s="54" t="n"/>
      <c r="D35" s="55" t="n"/>
      <c r="E35" s="50" t="n"/>
      <c r="F35" s="87">
        <f>IF(E35="","",IFERROR(INDEX('جدول الكميات'!$D$6:$D$105,MATCH(E35,'جدول الكميات'!$B$6:$B$105,0)),"⚠ كود غير موجود"))</f>
        <v/>
      </c>
      <c r="G35" s="62" t="n"/>
      <c r="H35" s="50" t="n"/>
      <c r="I35" s="83" t="n"/>
      <c r="J35" s="50" t="n"/>
      <c r="K35" s="55" t="n"/>
      <c r="L35" s="88">
        <f>IF(J35="نعم",0,N(I35))</f>
        <v/>
      </c>
      <c r="M35" s="85" t="n"/>
    </row>
    <row r="36">
      <c r="A36" s="61">
        <f>IF(B36="","",COUNTA($B$6:B36))</f>
        <v/>
      </c>
      <c r="B36" s="50" t="n"/>
      <c r="C36" s="54" t="n"/>
      <c r="D36" s="55" t="n"/>
      <c r="E36" s="50" t="n"/>
      <c r="F36" s="87">
        <f>IF(E36="","",IFERROR(INDEX('جدول الكميات'!$D$6:$D$105,MATCH(E36,'جدول الكميات'!$B$6:$B$105,0)),"⚠ كود غير موجود"))</f>
        <v/>
      </c>
      <c r="G36" s="62" t="n"/>
      <c r="H36" s="50" t="n"/>
      <c r="I36" s="83" t="n"/>
      <c r="J36" s="50" t="n"/>
      <c r="K36" s="55" t="n"/>
      <c r="L36" s="88">
        <f>IF(J36="نعم",0,N(I36))</f>
        <v/>
      </c>
      <c r="M36" s="85" t="n"/>
    </row>
    <row r="37">
      <c r="A37" s="61">
        <f>IF(B37="","",COUNTA($B$6:B37))</f>
        <v/>
      </c>
      <c r="B37" s="50" t="n"/>
      <c r="C37" s="54" t="n"/>
      <c r="D37" s="55" t="n"/>
      <c r="E37" s="50" t="n"/>
      <c r="F37" s="87">
        <f>IF(E37="","",IFERROR(INDEX('جدول الكميات'!$D$6:$D$105,MATCH(E37,'جدول الكميات'!$B$6:$B$105,0)),"⚠ كود غير موجود"))</f>
        <v/>
      </c>
      <c r="G37" s="62" t="n"/>
      <c r="H37" s="50" t="n"/>
      <c r="I37" s="83" t="n"/>
      <c r="J37" s="50" t="n"/>
      <c r="K37" s="55" t="n"/>
      <c r="L37" s="88">
        <f>IF(J37="نعم",0,N(I37))</f>
        <v/>
      </c>
      <c r="M37" s="85" t="n"/>
    </row>
    <row r="38">
      <c r="A38" s="61">
        <f>IF(B38="","",COUNTA($B$6:B38))</f>
        <v/>
      </c>
      <c r="B38" s="50" t="n"/>
      <c r="C38" s="54" t="n"/>
      <c r="D38" s="55" t="n"/>
      <c r="E38" s="50" t="n"/>
      <c r="F38" s="87">
        <f>IF(E38="","",IFERROR(INDEX('جدول الكميات'!$D$6:$D$105,MATCH(E38,'جدول الكميات'!$B$6:$B$105,0)),"⚠ كود غير موجود"))</f>
        <v/>
      </c>
      <c r="G38" s="62" t="n"/>
      <c r="H38" s="50" t="n"/>
      <c r="I38" s="83" t="n"/>
      <c r="J38" s="50" t="n"/>
      <c r="K38" s="55" t="n"/>
      <c r="L38" s="88">
        <f>IF(J38="نعم",0,N(I38))</f>
        <v/>
      </c>
      <c r="M38" s="85" t="n"/>
    </row>
    <row r="39">
      <c r="A39" s="61">
        <f>IF(B39="","",COUNTA($B$6:B39))</f>
        <v/>
      </c>
      <c r="B39" s="50" t="n"/>
      <c r="C39" s="54" t="n"/>
      <c r="D39" s="55" t="n"/>
      <c r="E39" s="50" t="n"/>
      <c r="F39" s="87">
        <f>IF(E39="","",IFERROR(INDEX('جدول الكميات'!$D$6:$D$105,MATCH(E39,'جدول الكميات'!$B$6:$B$105,0)),"⚠ كود غير موجود"))</f>
        <v/>
      </c>
      <c r="G39" s="62" t="n"/>
      <c r="H39" s="50" t="n"/>
      <c r="I39" s="83" t="n"/>
      <c r="J39" s="50" t="n"/>
      <c r="K39" s="55" t="n"/>
      <c r="L39" s="88">
        <f>IF(J39="نعم",0,N(I39))</f>
        <v/>
      </c>
      <c r="M39" s="85" t="n"/>
    </row>
    <row r="40">
      <c r="A40" s="61">
        <f>IF(B40="","",COUNTA($B$6:B40))</f>
        <v/>
      </c>
      <c r="B40" s="50" t="n"/>
      <c r="C40" s="54" t="n"/>
      <c r="D40" s="55" t="n"/>
      <c r="E40" s="50" t="n"/>
      <c r="F40" s="87">
        <f>IF(E40="","",IFERROR(INDEX('جدول الكميات'!$D$6:$D$105,MATCH(E40,'جدول الكميات'!$B$6:$B$105,0)),"⚠ كود غير موجود"))</f>
        <v/>
      </c>
      <c r="G40" s="62" t="n"/>
      <c r="H40" s="50" t="n"/>
      <c r="I40" s="83" t="n"/>
      <c r="J40" s="50" t="n"/>
      <c r="K40" s="55" t="n"/>
      <c r="L40" s="88">
        <f>IF(J40="نعم",0,N(I40))</f>
        <v/>
      </c>
      <c r="M40" s="85" t="n"/>
    </row>
    <row r="41">
      <c r="A41" s="61">
        <f>IF(B41="","",COUNTA($B$6:B41))</f>
        <v/>
      </c>
      <c r="B41" s="50" t="n"/>
      <c r="C41" s="54" t="n"/>
      <c r="D41" s="55" t="n"/>
      <c r="E41" s="50" t="n"/>
      <c r="F41" s="87">
        <f>IF(E41="","",IFERROR(INDEX('جدول الكميات'!$D$6:$D$105,MATCH(E41,'جدول الكميات'!$B$6:$B$105,0)),"⚠ كود غير موجود"))</f>
        <v/>
      </c>
      <c r="G41" s="62" t="n"/>
      <c r="H41" s="50" t="n"/>
      <c r="I41" s="83" t="n"/>
      <c r="J41" s="50" t="n"/>
      <c r="K41" s="55" t="n"/>
      <c r="L41" s="88">
        <f>IF(J41="نعم",0,N(I41))</f>
        <v/>
      </c>
      <c r="M41" s="85" t="n"/>
    </row>
    <row r="42">
      <c r="A42" s="61">
        <f>IF(B42="","",COUNTA($B$6:B42))</f>
        <v/>
      </c>
      <c r="B42" s="50" t="n"/>
      <c r="C42" s="54" t="n"/>
      <c r="D42" s="55" t="n"/>
      <c r="E42" s="50" t="n"/>
      <c r="F42" s="87">
        <f>IF(E42="","",IFERROR(INDEX('جدول الكميات'!$D$6:$D$105,MATCH(E42,'جدول الكميات'!$B$6:$B$105,0)),"⚠ كود غير موجود"))</f>
        <v/>
      </c>
      <c r="G42" s="62" t="n"/>
      <c r="H42" s="50" t="n"/>
      <c r="I42" s="83" t="n"/>
      <c r="J42" s="50" t="n"/>
      <c r="K42" s="55" t="n"/>
      <c r="L42" s="88">
        <f>IF(J42="نعم",0,N(I42))</f>
        <v/>
      </c>
      <c r="M42" s="85" t="n"/>
    </row>
    <row r="43">
      <c r="A43" s="61">
        <f>IF(B43="","",COUNTA($B$6:B43))</f>
        <v/>
      </c>
      <c r="B43" s="50" t="n"/>
      <c r="C43" s="54" t="n"/>
      <c r="D43" s="55" t="n"/>
      <c r="E43" s="50" t="n"/>
      <c r="F43" s="87">
        <f>IF(E43="","",IFERROR(INDEX('جدول الكميات'!$D$6:$D$105,MATCH(E43,'جدول الكميات'!$B$6:$B$105,0)),"⚠ كود غير موجود"))</f>
        <v/>
      </c>
      <c r="G43" s="62" t="n"/>
      <c r="H43" s="50" t="n"/>
      <c r="I43" s="83" t="n"/>
      <c r="J43" s="50" t="n"/>
      <c r="K43" s="55" t="n"/>
      <c r="L43" s="88">
        <f>IF(J43="نعم",0,N(I43))</f>
        <v/>
      </c>
      <c r="M43" s="85" t="n"/>
    </row>
    <row r="44">
      <c r="A44" s="61">
        <f>IF(B44="","",COUNTA($B$6:B44))</f>
        <v/>
      </c>
      <c r="B44" s="50" t="n"/>
      <c r="C44" s="54" t="n"/>
      <c r="D44" s="55" t="n"/>
      <c r="E44" s="50" t="n"/>
      <c r="F44" s="87">
        <f>IF(E44="","",IFERROR(INDEX('جدول الكميات'!$D$6:$D$105,MATCH(E44,'جدول الكميات'!$B$6:$B$105,0)),"⚠ كود غير موجود"))</f>
        <v/>
      </c>
      <c r="G44" s="62" t="n"/>
      <c r="H44" s="50" t="n"/>
      <c r="I44" s="83" t="n"/>
      <c r="J44" s="50" t="n"/>
      <c r="K44" s="55" t="n"/>
      <c r="L44" s="88">
        <f>IF(J44="نعم",0,N(I44))</f>
        <v/>
      </c>
      <c r="M44" s="85" t="n"/>
    </row>
    <row r="45">
      <c r="A45" s="61">
        <f>IF(B45="","",COUNTA($B$6:B45))</f>
        <v/>
      </c>
      <c r="B45" s="50" t="n"/>
      <c r="C45" s="54" t="n"/>
      <c r="D45" s="55" t="n"/>
      <c r="E45" s="50" t="n"/>
      <c r="F45" s="87">
        <f>IF(E45="","",IFERROR(INDEX('جدول الكميات'!$D$6:$D$105,MATCH(E45,'جدول الكميات'!$B$6:$B$105,0)),"⚠ كود غير موجود"))</f>
        <v/>
      </c>
      <c r="G45" s="62" t="n"/>
      <c r="H45" s="50" t="n"/>
      <c r="I45" s="83" t="n"/>
      <c r="J45" s="50" t="n"/>
      <c r="K45" s="55" t="n"/>
      <c r="L45" s="88">
        <f>IF(J45="نعم",0,N(I45))</f>
        <v/>
      </c>
      <c r="M45" s="85" t="n"/>
    </row>
    <row r="46">
      <c r="A46" s="61">
        <f>IF(B46="","",COUNTA($B$6:B46))</f>
        <v/>
      </c>
      <c r="B46" s="50" t="n"/>
      <c r="C46" s="54" t="n"/>
      <c r="D46" s="55" t="n"/>
      <c r="E46" s="50" t="n"/>
      <c r="F46" s="87">
        <f>IF(E46="","",IFERROR(INDEX('جدول الكميات'!$D$6:$D$105,MATCH(E46,'جدول الكميات'!$B$6:$B$105,0)),"⚠ كود غير موجود"))</f>
        <v/>
      </c>
      <c r="G46" s="62" t="n"/>
      <c r="H46" s="50" t="n"/>
      <c r="I46" s="83" t="n"/>
      <c r="J46" s="50" t="n"/>
      <c r="K46" s="55" t="n"/>
      <c r="L46" s="88">
        <f>IF(J46="نعم",0,N(I46))</f>
        <v/>
      </c>
      <c r="M46" s="85" t="n"/>
    </row>
    <row r="47">
      <c r="A47" s="61">
        <f>IF(B47="","",COUNTA($B$6:B47))</f>
        <v/>
      </c>
      <c r="B47" s="50" t="n"/>
      <c r="C47" s="54" t="n"/>
      <c r="D47" s="55" t="n"/>
      <c r="E47" s="50" t="n"/>
      <c r="F47" s="87">
        <f>IF(E47="","",IFERROR(INDEX('جدول الكميات'!$D$6:$D$105,MATCH(E47,'جدول الكميات'!$B$6:$B$105,0)),"⚠ كود غير موجود"))</f>
        <v/>
      </c>
      <c r="G47" s="62" t="n"/>
      <c r="H47" s="50" t="n"/>
      <c r="I47" s="83" t="n"/>
      <c r="J47" s="50" t="n"/>
      <c r="K47" s="55" t="n"/>
      <c r="L47" s="88">
        <f>IF(J47="نعم",0,N(I47))</f>
        <v/>
      </c>
      <c r="M47" s="85" t="n"/>
    </row>
    <row r="48">
      <c r="A48" s="61">
        <f>IF(B48="","",COUNTA($B$6:B48))</f>
        <v/>
      </c>
      <c r="B48" s="50" t="n"/>
      <c r="C48" s="54" t="n"/>
      <c r="D48" s="55" t="n"/>
      <c r="E48" s="50" t="n"/>
      <c r="F48" s="87">
        <f>IF(E48="","",IFERROR(INDEX('جدول الكميات'!$D$6:$D$105,MATCH(E48,'جدول الكميات'!$B$6:$B$105,0)),"⚠ كود غير موجود"))</f>
        <v/>
      </c>
      <c r="G48" s="62" t="n"/>
      <c r="H48" s="50" t="n"/>
      <c r="I48" s="83" t="n"/>
      <c r="J48" s="50" t="n"/>
      <c r="K48" s="55" t="n"/>
      <c r="L48" s="88">
        <f>IF(J48="نعم",0,N(I48))</f>
        <v/>
      </c>
      <c r="M48" s="85" t="n"/>
    </row>
    <row r="49">
      <c r="A49" s="61">
        <f>IF(B49="","",COUNTA($B$6:B49))</f>
        <v/>
      </c>
      <c r="B49" s="50" t="n"/>
      <c r="C49" s="54" t="n"/>
      <c r="D49" s="55" t="n"/>
      <c r="E49" s="50" t="n"/>
      <c r="F49" s="87">
        <f>IF(E49="","",IFERROR(INDEX('جدول الكميات'!$D$6:$D$105,MATCH(E49,'جدول الكميات'!$B$6:$B$105,0)),"⚠ كود غير موجود"))</f>
        <v/>
      </c>
      <c r="G49" s="62" t="n"/>
      <c r="H49" s="50" t="n"/>
      <c r="I49" s="83" t="n"/>
      <c r="J49" s="50" t="n"/>
      <c r="K49" s="55" t="n"/>
      <c r="L49" s="88">
        <f>IF(J49="نعم",0,N(I49))</f>
        <v/>
      </c>
      <c r="M49" s="85" t="n"/>
    </row>
    <row r="50">
      <c r="A50" s="61">
        <f>IF(B50="","",COUNTA($B$6:B50))</f>
        <v/>
      </c>
      <c r="B50" s="50" t="n"/>
      <c r="C50" s="54" t="n"/>
      <c r="D50" s="55" t="n"/>
      <c r="E50" s="50" t="n"/>
      <c r="F50" s="87">
        <f>IF(E50="","",IFERROR(INDEX('جدول الكميات'!$D$6:$D$105,MATCH(E50,'جدول الكميات'!$B$6:$B$105,0)),"⚠ كود غير موجود"))</f>
        <v/>
      </c>
      <c r="G50" s="62" t="n"/>
      <c r="H50" s="50" t="n"/>
      <c r="I50" s="83" t="n"/>
      <c r="J50" s="50" t="n"/>
      <c r="K50" s="55" t="n"/>
      <c r="L50" s="88">
        <f>IF(J50="نعم",0,N(I50))</f>
        <v/>
      </c>
      <c r="M50" s="85" t="n"/>
    </row>
    <row r="51">
      <c r="A51" s="61">
        <f>IF(B51="","",COUNTA($B$6:B51))</f>
        <v/>
      </c>
      <c r="B51" s="50" t="n"/>
      <c r="C51" s="54" t="n"/>
      <c r="D51" s="55" t="n"/>
      <c r="E51" s="50" t="n"/>
      <c r="F51" s="87">
        <f>IF(E51="","",IFERROR(INDEX('جدول الكميات'!$D$6:$D$105,MATCH(E51,'جدول الكميات'!$B$6:$B$105,0)),"⚠ كود غير موجود"))</f>
        <v/>
      </c>
      <c r="G51" s="62" t="n"/>
      <c r="H51" s="50" t="n"/>
      <c r="I51" s="83" t="n"/>
      <c r="J51" s="50" t="n"/>
      <c r="K51" s="55" t="n"/>
      <c r="L51" s="88">
        <f>IF(J51="نعم",0,N(I51))</f>
        <v/>
      </c>
      <c r="M51" s="85" t="n"/>
    </row>
    <row r="52">
      <c r="A52" s="61">
        <f>IF(B52="","",COUNTA($B$6:B52))</f>
        <v/>
      </c>
      <c r="B52" s="50" t="n"/>
      <c r="C52" s="54" t="n"/>
      <c r="D52" s="55" t="n"/>
      <c r="E52" s="50" t="n"/>
      <c r="F52" s="87">
        <f>IF(E52="","",IFERROR(INDEX('جدول الكميات'!$D$6:$D$105,MATCH(E52,'جدول الكميات'!$B$6:$B$105,0)),"⚠ كود غير موجود"))</f>
        <v/>
      </c>
      <c r="G52" s="62" t="n"/>
      <c r="H52" s="50" t="n"/>
      <c r="I52" s="83" t="n"/>
      <c r="J52" s="50" t="n"/>
      <c r="K52" s="55" t="n"/>
      <c r="L52" s="88">
        <f>IF(J52="نعم",0,N(I52))</f>
        <v/>
      </c>
      <c r="M52" s="85" t="n"/>
    </row>
    <row r="53">
      <c r="A53" s="61">
        <f>IF(B53="","",COUNTA($B$6:B53))</f>
        <v/>
      </c>
      <c r="B53" s="50" t="n"/>
      <c r="C53" s="54" t="n"/>
      <c r="D53" s="55" t="n"/>
      <c r="E53" s="50" t="n"/>
      <c r="F53" s="87">
        <f>IF(E53="","",IFERROR(INDEX('جدول الكميات'!$D$6:$D$105,MATCH(E53,'جدول الكميات'!$B$6:$B$105,0)),"⚠ كود غير موجود"))</f>
        <v/>
      </c>
      <c r="G53" s="62" t="n"/>
      <c r="H53" s="50" t="n"/>
      <c r="I53" s="83" t="n"/>
      <c r="J53" s="50" t="n"/>
      <c r="K53" s="55" t="n"/>
      <c r="L53" s="88">
        <f>IF(J53="نعم",0,N(I53))</f>
        <v/>
      </c>
      <c r="M53" s="85" t="n"/>
    </row>
    <row r="54">
      <c r="A54" s="61">
        <f>IF(B54="","",COUNTA($B$6:B54))</f>
        <v/>
      </c>
      <c r="B54" s="50" t="n"/>
      <c r="C54" s="54" t="n"/>
      <c r="D54" s="55" t="n"/>
      <c r="E54" s="50" t="n"/>
      <c r="F54" s="87">
        <f>IF(E54="","",IFERROR(INDEX('جدول الكميات'!$D$6:$D$105,MATCH(E54,'جدول الكميات'!$B$6:$B$105,0)),"⚠ كود غير موجود"))</f>
        <v/>
      </c>
      <c r="G54" s="62" t="n"/>
      <c r="H54" s="50" t="n"/>
      <c r="I54" s="83" t="n"/>
      <c r="J54" s="50" t="n"/>
      <c r="K54" s="55" t="n"/>
      <c r="L54" s="88">
        <f>IF(J54="نعم",0,N(I54))</f>
        <v/>
      </c>
      <c r="M54" s="85" t="n"/>
    </row>
    <row r="55">
      <c r="A55" s="61">
        <f>IF(B55="","",COUNTA($B$6:B55))</f>
        <v/>
      </c>
      <c r="B55" s="50" t="n"/>
      <c r="C55" s="54" t="n"/>
      <c r="D55" s="55" t="n"/>
      <c r="E55" s="50" t="n"/>
      <c r="F55" s="87">
        <f>IF(E55="","",IFERROR(INDEX('جدول الكميات'!$D$6:$D$105,MATCH(E55,'جدول الكميات'!$B$6:$B$105,0)),"⚠ كود غير موجود"))</f>
        <v/>
      </c>
      <c r="G55" s="62" t="n"/>
      <c r="H55" s="50" t="n"/>
      <c r="I55" s="83" t="n"/>
      <c r="J55" s="50" t="n"/>
      <c r="K55" s="55" t="n"/>
      <c r="L55" s="88">
        <f>IF(J55="نعم",0,N(I55))</f>
        <v/>
      </c>
      <c r="M55" s="85" t="n"/>
    </row>
    <row r="56">
      <c r="A56" s="61">
        <f>IF(B56="","",COUNTA($B$6:B56))</f>
        <v/>
      </c>
      <c r="B56" s="50" t="n"/>
      <c r="C56" s="54" t="n"/>
      <c r="D56" s="55" t="n"/>
      <c r="E56" s="50" t="n"/>
      <c r="F56" s="87">
        <f>IF(E56="","",IFERROR(INDEX('جدول الكميات'!$D$6:$D$105,MATCH(E56,'جدول الكميات'!$B$6:$B$105,0)),"⚠ كود غير موجود"))</f>
        <v/>
      </c>
      <c r="G56" s="62" t="n"/>
      <c r="H56" s="50" t="n"/>
      <c r="I56" s="83" t="n"/>
      <c r="J56" s="50" t="n"/>
      <c r="K56" s="55" t="n"/>
      <c r="L56" s="88">
        <f>IF(J56="نعم",0,N(I56))</f>
        <v/>
      </c>
      <c r="M56" s="85" t="n"/>
    </row>
    <row r="57">
      <c r="A57" s="61">
        <f>IF(B57="","",COUNTA($B$6:B57))</f>
        <v/>
      </c>
      <c r="B57" s="50" t="n"/>
      <c r="C57" s="54" t="n"/>
      <c r="D57" s="55" t="n"/>
      <c r="E57" s="50" t="n"/>
      <c r="F57" s="87">
        <f>IF(E57="","",IFERROR(INDEX('جدول الكميات'!$D$6:$D$105,MATCH(E57,'جدول الكميات'!$B$6:$B$105,0)),"⚠ كود غير موجود"))</f>
        <v/>
      </c>
      <c r="G57" s="62" t="n"/>
      <c r="H57" s="50" t="n"/>
      <c r="I57" s="83" t="n"/>
      <c r="J57" s="50" t="n"/>
      <c r="K57" s="55" t="n"/>
      <c r="L57" s="88">
        <f>IF(J57="نعم",0,N(I57))</f>
        <v/>
      </c>
      <c r="M57" s="85" t="n"/>
    </row>
    <row r="58">
      <c r="A58" s="61">
        <f>IF(B58="","",COUNTA($B$6:B58))</f>
        <v/>
      </c>
      <c r="B58" s="50" t="n"/>
      <c r="C58" s="54" t="n"/>
      <c r="D58" s="55" t="n"/>
      <c r="E58" s="50" t="n"/>
      <c r="F58" s="87">
        <f>IF(E58="","",IFERROR(INDEX('جدول الكميات'!$D$6:$D$105,MATCH(E58,'جدول الكميات'!$B$6:$B$105,0)),"⚠ كود غير موجود"))</f>
        <v/>
      </c>
      <c r="G58" s="62" t="n"/>
      <c r="H58" s="50" t="n"/>
      <c r="I58" s="83" t="n"/>
      <c r="J58" s="50" t="n"/>
      <c r="K58" s="55" t="n"/>
      <c r="L58" s="88">
        <f>IF(J58="نعم",0,N(I58))</f>
        <v/>
      </c>
      <c r="M58" s="85" t="n"/>
    </row>
    <row r="59">
      <c r="A59" s="61">
        <f>IF(B59="","",COUNTA($B$6:B59))</f>
        <v/>
      </c>
      <c r="B59" s="50" t="n"/>
      <c r="C59" s="54" t="n"/>
      <c r="D59" s="55" t="n"/>
      <c r="E59" s="50" t="n"/>
      <c r="F59" s="87">
        <f>IF(E59="","",IFERROR(INDEX('جدول الكميات'!$D$6:$D$105,MATCH(E59,'جدول الكميات'!$B$6:$B$105,0)),"⚠ كود غير موجود"))</f>
        <v/>
      </c>
      <c r="G59" s="62" t="n"/>
      <c r="H59" s="50" t="n"/>
      <c r="I59" s="83" t="n"/>
      <c r="J59" s="50" t="n"/>
      <c r="K59" s="55" t="n"/>
      <c r="L59" s="88">
        <f>IF(J59="نعم",0,N(I59))</f>
        <v/>
      </c>
      <c r="M59" s="85" t="n"/>
    </row>
    <row r="60">
      <c r="A60" s="61">
        <f>IF(B60="","",COUNTA($B$6:B60))</f>
        <v/>
      </c>
      <c r="B60" s="50" t="n"/>
      <c r="C60" s="54" t="n"/>
      <c r="D60" s="55" t="n"/>
      <c r="E60" s="50" t="n"/>
      <c r="F60" s="87">
        <f>IF(E60="","",IFERROR(INDEX('جدول الكميات'!$D$6:$D$105,MATCH(E60,'جدول الكميات'!$B$6:$B$105,0)),"⚠ كود غير موجود"))</f>
        <v/>
      </c>
      <c r="G60" s="62" t="n"/>
      <c r="H60" s="50" t="n"/>
      <c r="I60" s="83" t="n"/>
      <c r="J60" s="50" t="n"/>
      <c r="K60" s="55" t="n"/>
      <c r="L60" s="88">
        <f>IF(J60="نعم",0,N(I60))</f>
        <v/>
      </c>
      <c r="M60" s="85" t="n"/>
    </row>
    <row r="61">
      <c r="A61" s="61">
        <f>IF(B61="","",COUNTA($B$6:B61))</f>
        <v/>
      </c>
      <c r="B61" s="50" t="n"/>
      <c r="C61" s="54" t="n"/>
      <c r="D61" s="55" t="n"/>
      <c r="E61" s="50" t="n"/>
      <c r="F61" s="87">
        <f>IF(E61="","",IFERROR(INDEX('جدول الكميات'!$D$6:$D$105,MATCH(E61,'جدول الكميات'!$B$6:$B$105,0)),"⚠ كود غير موجود"))</f>
        <v/>
      </c>
      <c r="G61" s="62" t="n"/>
      <c r="H61" s="50" t="n"/>
      <c r="I61" s="83" t="n"/>
      <c r="J61" s="50" t="n"/>
      <c r="K61" s="55" t="n"/>
      <c r="L61" s="88">
        <f>IF(J61="نعم",0,N(I61))</f>
        <v/>
      </c>
      <c r="M61" s="85" t="n"/>
    </row>
    <row r="62">
      <c r="A62" s="61">
        <f>IF(B62="","",COUNTA($B$6:B62))</f>
        <v/>
      </c>
      <c r="B62" s="50" t="n"/>
      <c r="C62" s="54" t="n"/>
      <c r="D62" s="55" t="n"/>
      <c r="E62" s="50" t="n"/>
      <c r="F62" s="87">
        <f>IF(E62="","",IFERROR(INDEX('جدول الكميات'!$D$6:$D$105,MATCH(E62,'جدول الكميات'!$B$6:$B$105,0)),"⚠ كود غير موجود"))</f>
        <v/>
      </c>
      <c r="G62" s="62" t="n"/>
      <c r="H62" s="50" t="n"/>
      <c r="I62" s="83" t="n"/>
      <c r="J62" s="50" t="n"/>
      <c r="K62" s="55" t="n"/>
      <c r="L62" s="88">
        <f>IF(J62="نعم",0,N(I62))</f>
        <v/>
      </c>
      <c r="M62" s="85" t="n"/>
    </row>
    <row r="63">
      <c r="A63" s="61">
        <f>IF(B63="","",COUNTA($B$6:B63))</f>
        <v/>
      </c>
      <c r="B63" s="50" t="n"/>
      <c r="C63" s="54" t="n"/>
      <c r="D63" s="55" t="n"/>
      <c r="E63" s="50" t="n"/>
      <c r="F63" s="87">
        <f>IF(E63="","",IFERROR(INDEX('جدول الكميات'!$D$6:$D$105,MATCH(E63,'جدول الكميات'!$B$6:$B$105,0)),"⚠ كود غير موجود"))</f>
        <v/>
      </c>
      <c r="G63" s="62" t="n"/>
      <c r="H63" s="50" t="n"/>
      <c r="I63" s="83" t="n"/>
      <c r="J63" s="50" t="n"/>
      <c r="K63" s="55" t="n"/>
      <c r="L63" s="88">
        <f>IF(J63="نعم",0,N(I63))</f>
        <v/>
      </c>
      <c r="M63" s="85" t="n"/>
    </row>
    <row r="64">
      <c r="A64" s="61">
        <f>IF(B64="","",COUNTA($B$6:B64))</f>
        <v/>
      </c>
      <c r="B64" s="50" t="n"/>
      <c r="C64" s="54" t="n"/>
      <c r="D64" s="55" t="n"/>
      <c r="E64" s="50" t="n"/>
      <c r="F64" s="87">
        <f>IF(E64="","",IFERROR(INDEX('جدول الكميات'!$D$6:$D$105,MATCH(E64,'جدول الكميات'!$B$6:$B$105,0)),"⚠ كود غير موجود"))</f>
        <v/>
      </c>
      <c r="G64" s="62" t="n"/>
      <c r="H64" s="50" t="n"/>
      <c r="I64" s="83" t="n"/>
      <c r="J64" s="50" t="n"/>
      <c r="K64" s="55" t="n"/>
      <c r="L64" s="88">
        <f>IF(J64="نعم",0,N(I64))</f>
        <v/>
      </c>
      <c r="M64" s="85" t="n"/>
    </row>
    <row r="65">
      <c r="A65" s="61">
        <f>IF(B65="","",COUNTA($B$6:B65))</f>
        <v/>
      </c>
      <c r="B65" s="50" t="n"/>
      <c r="C65" s="54" t="n"/>
      <c r="D65" s="55" t="n"/>
      <c r="E65" s="50" t="n"/>
      <c r="F65" s="87">
        <f>IF(E65="","",IFERROR(INDEX('جدول الكميات'!$D$6:$D$105,MATCH(E65,'جدول الكميات'!$B$6:$B$105,0)),"⚠ كود غير موجود"))</f>
        <v/>
      </c>
      <c r="G65" s="62" t="n"/>
      <c r="H65" s="50" t="n"/>
      <c r="I65" s="83" t="n"/>
      <c r="J65" s="50" t="n"/>
      <c r="K65" s="55" t="n"/>
      <c r="L65" s="88">
        <f>IF(J65="نعم",0,N(I65))</f>
        <v/>
      </c>
      <c r="M65" s="85" t="n"/>
    </row>
    <row r="66">
      <c r="A66" s="61">
        <f>IF(B66="","",COUNTA($B$6:B66))</f>
        <v/>
      </c>
      <c r="B66" s="50" t="n"/>
      <c r="C66" s="54" t="n"/>
      <c r="D66" s="55" t="n"/>
      <c r="E66" s="50" t="n"/>
      <c r="F66" s="87">
        <f>IF(E66="","",IFERROR(INDEX('جدول الكميات'!$D$6:$D$105,MATCH(E66,'جدول الكميات'!$B$6:$B$105,0)),"⚠ كود غير موجود"))</f>
        <v/>
      </c>
      <c r="G66" s="62" t="n"/>
      <c r="H66" s="50" t="n"/>
      <c r="I66" s="83" t="n"/>
      <c r="J66" s="50" t="n"/>
      <c r="K66" s="55" t="n"/>
      <c r="L66" s="88">
        <f>IF(J66="نعم",0,N(I66))</f>
        <v/>
      </c>
      <c r="M66" s="85" t="n"/>
    </row>
    <row r="67">
      <c r="A67" s="61">
        <f>IF(B67="","",COUNTA($B$6:B67))</f>
        <v/>
      </c>
      <c r="B67" s="50" t="n"/>
      <c r="C67" s="54" t="n"/>
      <c r="D67" s="55" t="n"/>
      <c r="E67" s="50" t="n"/>
      <c r="F67" s="87">
        <f>IF(E67="","",IFERROR(INDEX('جدول الكميات'!$D$6:$D$105,MATCH(E67,'جدول الكميات'!$B$6:$B$105,0)),"⚠ كود غير موجود"))</f>
        <v/>
      </c>
      <c r="G67" s="62" t="n"/>
      <c r="H67" s="50" t="n"/>
      <c r="I67" s="83" t="n"/>
      <c r="J67" s="50" t="n"/>
      <c r="K67" s="55" t="n"/>
      <c r="L67" s="88">
        <f>IF(J67="نعم",0,N(I67))</f>
        <v/>
      </c>
      <c r="M67" s="85" t="n"/>
    </row>
    <row r="68">
      <c r="A68" s="61">
        <f>IF(B68="","",COUNTA($B$6:B68))</f>
        <v/>
      </c>
      <c r="B68" s="50" t="n"/>
      <c r="C68" s="54" t="n"/>
      <c r="D68" s="55" t="n"/>
      <c r="E68" s="50" t="n"/>
      <c r="F68" s="87">
        <f>IF(E68="","",IFERROR(INDEX('جدول الكميات'!$D$6:$D$105,MATCH(E68,'جدول الكميات'!$B$6:$B$105,0)),"⚠ كود غير موجود"))</f>
        <v/>
      </c>
      <c r="G68" s="62" t="n"/>
      <c r="H68" s="50" t="n"/>
      <c r="I68" s="83" t="n"/>
      <c r="J68" s="50" t="n"/>
      <c r="K68" s="55" t="n"/>
      <c r="L68" s="88">
        <f>IF(J68="نعم",0,N(I68))</f>
        <v/>
      </c>
      <c r="M68" s="85" t="n"/>
    </row>
    <row r="69">
      <c r="A69" s="61">
        <f>IF(B69="","",COUNTA($B$6:B69))</f>
        <v/>
      </c>
      <c r="B69" s="50" t="n"/>
      <c r="C69" s="54" t="n"/>
      <c r="D69" s="55" t="n"/>
      <c r="E69" s="50" t="n"/>
      <c r="F69" s="87">
        <f>IF(E69="","",IFERROR(INDEX('جدول الكميات'!$D$6:$D$105,MATCH(E69,'جدول الكميات'!$B$6:$B$105,0)),"⚠ كود غير موجود"))</f>
        <v/>
      </c>
      <c r="G69" s="62" t="n"/>
      <c r="H69" s="50" t="n"/>
      <c r="I69" s="83" t="n"/>
      <c r="J69" s="50" t="n"/>
      <c r="K69" s="55" t="n"/>
      <c r="L69" s="88">
        <f>IF(J69="نعم",0,N(I69))</f>
        <v/>
      </c>
      <c r="M69" s="85" t="n"/>
    </row>
    <row r="70">
      <c r="A70" s="61">
        <f>IF(B70="","",COUNTA($B$6:B70))</f>
        <v/>
      </c>
      <c r="B70" s="50" t="n"/>
      <c r="C70" s="54" t="n"/>
      <c r="D70" s="55" t="n"/>
      <c r="E70" s="50" t="n"/>
      <c r="F70" s="87">
        <f>IF(E70="","",IFERROR(INDEX('جدول الكميات'!$D$6:$D$105,MATCH(E70,'جدول الكميات'!$B$6:$B$105,0)),"⚠ كود غير موجود"))</f>
        <v/>
      </c>
      <c r="G70" s="62" t="n"/>
      <c r="H70" s="50" t="n"/>
      <c r="I70" s="83" t="n"/>
      <c r="J70" s="50" t="n"/>
      <c r="K70" s="55" t="n"/>
      <c r="L70" s="88">
        <f>IF(J70="نعم",0,N(I70))</f>
        <v/>
      </c>
      <c r="M70" s="85" t="n"/>
    </row>
    <row r="71">
      <c r="A71" s="61">
        <f>IF(B71="","",COUNTA($B$6:B71))</f>
        <v/>
      </c>
      <c r="B71" s="50" t="n"/>
      <c r="C71" s="54" t="n"/>
      <c r="D71" s="55" t="n"/>
      <c r="E71" s="50" t="n"/>
      <c r="F71" s="87">
        <f>IF(E71="","",IFERROR(INDEX('جدول الكميات'!$D$6:$D$105,MATCH(E71,'جدول الكميات'!$B$6:$B$105,0)),"⚠ كود غير موجود"))</f>
        <v/>
      </c>
      <c r="G71" s="62" t="n"/>
      <c r="H71" s="50" t="n"/>
      <c r="I71" s="83" t="n"/>
      <c r="J71" s="50" t="n"/>
      <c r="K71" s="55" t="n"/>
      <c r="L71" s="88">
        <f>IF(J71="نعم",0,N(I71))</f>
        <v/>
      </c>
      <c r="M71" s="85" t="n"/>
    </row>
    <row r="72">
      <c r="A72" s="61">
        <f>IF(B72="","",COUNTA($B$6:B72))</f>
        <v/>
      </c>
      <c r="B72" s="50" t="n"/>
      <c r="C72" s="54" t="n"/>
      <c r="D72" s="55" t="n"/>
      <c r="E72" s="50" t="n"/>
      <c r="F72" s="87">
        <f>IF(E72="","",IFERROR(INDEX('جدول الكميات'!$D$6:$D$105,MATCH(E72,'جدول الكميات'!$B$6:$B$105,0)),"⚠ كود غير موجود"))</f>
        <v/>
      </c>
      <c r="G72" s="62" t="n"/>
      <c r="H72" s="50" t="n"/>
      <c r="I72" s="83" t="n"/>
      <c r="J72" s="50" t="n"/>
      <c r="K72" s="55" t="n"/>
      <c r="L72" s="88">
        <f>IF(J72="نعم",0,N(I72))</f>
        <v/>
      </c>
      <c r="M72" s="85" t="n"/>
    </row>
    <row r="73">
      <c r="A73" s="61">
        <f>IF(B73="","",COUNTA($B$6:B73))</f>
        <v/>
      </c>
      <c r="B73" s="50" t="n"/>
      <c r="C73" s="54" t="n"/>
      <c r="D73" s="55" t="n"/>
      <c r="E73" s="50" t="n"/>
      <c r="F73" s="87">
        <f>IF(E73="","",IFERROR(INDEX('جدول الكميات'!$D$6:$D$105,MATCH(E73,'جدول الكميات'!$B$6:$B$105,0)),"⚠ كود غير موجود"))</f>
        <v/>
      </c>
      <c r="G73" s="62" t="n"/>
      <c r="H73" s="50" t="n"/>
      <c r="I73" s="83" t="n"/>
      <c r="J73" s="50" t="n"/>
      <c r="K73" s="55" t="n"/>
      <c r="L73" s="88">
        <f>IF(J73="نعم",0,N(I73))</f>
        <v/>
      </c>
      <c r="M73" s="85" t="n"/>
    </row>
    <row r="74">
      <c r="A74" s="61">
        <f>IF(B74="","",COUNTA($B$6:B74))</f>
        <v/>
      </c>
      <c r="B74" s="50" t="n"/>
      <c r="C74" s="54" t="n"/>
      <c r="D74" s="55" t="n"/>
      <c r="E74" s="50" t="n"/>
      <c r="F74" s="87">
        <f>IF(E74="","",IFERROR(INDEX('جدول الكميات'!$D$6:$D$105,MATCH(E74,'جدول الكميات'!$B$6:$B$105,0)),"⚠ كود غير موجود"))</f>
        <v/>
      </c>
      <c r="G74" s="62" t="n"/>
      <c r="H74" s="50" t="n"/>
      <c r="I74" s="83" t="n"/>
      <c r="J74" s="50" t="n"/>
      <c r="K74" s="55" t="n"/>
      <c r="L74" s="88">
        <f>IF(J74="نعم",0,N(I74))</f>
        <v/>
      </c>
      <c r="M74" s="85" t="n"/>
    </row>
    <row r="75">
      <c r="A75" s="61">
        <f>IF(B75="","",COUNTA($B$6:B75))</f>
        <v/>
      </c>
      <c r="B75" s="50" t="n"/>
      <c r="C75" s="54" t="n"/>
      <c r="D75" s="55" t="n"/>
      <c r="E75" s="50" t="n"/>
      <c r="F75" s="87">
        <f>IF(E75="","",IFERROR(INDEX('جدول الكميات'!$D$6:$D$105,MATCH(E75,'جدول الكميات'!$B$6:$B$105,0)),"⚠ كود غير موجود"))</f>
        <v/>
      </c>
      <c r="G75" s="62" t="n"/>
      <c r="H75" s="50" t="n"/>
      <c r="I75" s="83" t="n"/>
      <c r="J75" s="50" t="n"/>
      <c r="K75" s="55" t="n"/>
      <c r="L75" s="88">
        <f>IF(J75="نعم",0,N(I75))</f>
        <v/>
      </c>
      <c r="M75" s="85" t="n"/>
    </row>
    <row r="76">
      <c r="A76" s="61">
        <f>IF(B76="","",COUNTA($B$6:B76))</f>
        <v/>
      </c>
      <c r="B76" s="50" t="n"/>
      <c r="C76" s="54" t="n"/>
      <c r="D76" s="55" t="n"/>
      <c r="E76" s="50" t="n"/>
      <c r="F76" s="87">
        <f>IF(E76="","",IFERROR(INDEX('جدول الكميات'!$D$6:$D$105,MATCH(E76,'جدول الكميات'!$B$6:$B$105,0)),"⚠ كود غير موجود"))</f>
        <v/>
      </c>
      <c r="G76" s="62" t="n"/>
      <c r="H76" s="50" t="n"/>
      <c r="I76" s="83" t="n"/>
      <c r="J76" s="50" t="n"/>
      <c r="K76" s="55" t="n"/>
      <c r="L76" s="88">
        <f>IF(J76="نعم",0,N(I76))</f>
        <v/>
      </c>
      <c r="M76" s="85" t="n"/>
    </row>
    <row r="77">
      <c r="A77" s="61">
        <f>IF(B77="","",COUNTA($B$6:B77))</f>
        <v/>
      </c>
      <c r="B77" s="50" t="n"/>
      <c r="C77" s="54" t="n"/>
      <c r="D77" s="55" t="n"/>
      <c r="E77" s="50" t="n"/>
      <c r="F77" s="87">
        <f>IF(E77="","",IFERROR(INDEX('جدول الكميات'!$D$6:$D$105,MATCH(E77,'جدول الكميات'!$B$6:$B$105,0)),"⚠ كود غير موجود"))</f>
        <v/>
      </c>
      <c r="G77" s="62" t="n"/>
      <c r="H77" s="50" t="n"/>
      <c r="I77" s="83" t="n"/>
      <c r="J77" s="50" t="n"/>
      <c r="K77" s="55" t="n"/>
      <c r="L77" s="88">
        <f>IF(J77="نعم",0,N(I77))</f>
        <v/>
      </c>
      <c r="M77" s="85" t="n"/>
    </row>
    <row r="78">
      <c r="A78" s="61">
        <f>IF(B78="","",COUNTA($B$6:B78))</f>
        <v/>
      </c>
      <c r="B78" s="50" t="n"/>
      <c r="C78" s="54" t="n"/>
      <c r="D78" s="55" t="n"/>
      <c r="E78" s="50" t="n"/>
      <c r="F78" s="87">
        <f>IF(E78="","",IFERROR(INDEX('جدول الكميات'!$D$6:$D$105,MATCH(E78,'جدول الكميات'!$B$6:$B$105,0)),"⚠ كود غير موجود"))</f>
        <v/>
      </c>
      <c r="G78" s="62" t="n"/>
      <c r="H78" s="50" t="n"/>
      <c r="I78" s="83" t="n"/>
      <c r="J78" s="50" t="n"/>
      <c r="K78" s="55" t="n"/>
      <c r="L78" s="88">
        <f>IF(J78="نعم",0,N(I78))</f>
        <v/>
      </c>
      <c r="M78" s="85" t="n"/>
    </row>
    <row r="79">
      <c r="A79" s="61">
        <f>IF(B79="","",COUNTA($B$6:B79))</f>
        <v/>
      </c>
      <c r="B79" s="50" t="n"/>
      <c r="C79" s="54" t="n"/>
      <c r="D79" s="55" t="n"/>
      <c r="E79" s="50" t="n"/>
      <c r="F79" s="87">
        <f>IF(E79="","",IFERROR(INDEX('جدول الكميات'!$D$6:$D$105,MATCH(E79,'جدول الكميات'!$B$6:$B$105,0)),"⚠ كود غير موجود"))</f>
        <v/>
      </c>
      <c r="G79" s="62" t="n"/>
      <c r="H79" s="50" t="n"/>
      <c r="I79" s="83" t="n"/>
      <c r="J79" s="50" t="n"/>
      <c r="K79" s="55" t="n"/>
      <c r="L79" s="88">
        <f>IF(J79="نعم",0,N(I79))</f>
        <v/>
      </c>
      <c r="M79" s="85" t="n"/>
    </row>
    <row r="80">
      <c r="A80" s="61">
        <f>IF(B80="","",COUNTA($B$6:B80))</f>
        <v/>
      </c>
      <c r="B80" s="50" t="n"/>
      <c r="C80" s="54" t="n"/>
      <c r="D80" s="55" t="n"/>
      <c r="E80" s="50" t="n"/>
      <c r="F80" s="87">
        <f>IF(E80="","",IFERROR(INDEX('جدول الكميات'!$D$6:$D$105,MATCH(E80,'جدول الكميات'!$B$6:$B$105,0)),"⚠ كود غير موجود"))</f>
        <v/>
      </c>
      <c r="G80" s="62" t="n"/>
      <c r="H80" s="50" t="n"/>
      <c r="I80" s="83" t="n"/>
      <c r="J80" s="50" t="n"/>
      <c r="K80" s="55" t="n"/>
      <c r="L80" s="88">
        <f>IF(J80="نعم",0,N(I80))</f>
        <v/>
      </c>
      <c r="M80" s="85" t="n"/>
    </row>
    <row r="81">
      <c r="A81" s="61">
        <f>IF(B81="","",COUNTA($B$6:B81))</f>
        <v/>
      </c>
      <c r="B81" s="50" t="n"/>
      <c r="C81" s="54" t="n"/>
      <c r="D81" s="55" t="n"/>
      <c r="E81" s="50" t="n"/>
      <c r="F81" s="87">
        <f>IF(E81="","",IFERROR(INDEX('جدول الكميات'!$D$6:$D$105,MATCH(E81,'جدول الكميات'!$B$6:$B$105,0)),"⚠ كود غير موجود"))</f>
        <v/>
      </c>
      <c r="G81" s="62" t="n"/>
      <c r="H81" s="50" t="n"/>
      <c r="I81" s="83" t="n"/>
      <c r="J81" s="50" t="n"/>
      <c r="K81" s="55" t="n"/>
      <c r="L81" s="88">
        <f>IF(J81="نعم",0,N(I81))</f>
        <v/>
      </c>
      <c r="M81" s="85" t="n"/>
    </row>
    <row r="82">
      <c r="A82" s="61">
        <f>IF(B82="","",COUNTA($B$6:B82))</f>
        <v/>
      </c>
      <c r="B82" s="50" t="n"/>
      <c r="C82" s="54" t="n"/>
      <c r="D82" s="55" t="n"/>
      <c r="E82" s="50" t="n"/>
      <c r="F82" s="87">
        <f>IF(E82="","",IFERROR(INDEX('جدول الكميات'!$D$6:$D$105,MATCH(E82,'جدول الكميات'!$B$6:$B$105,0)),"⚠ كود غير موجود"))</f>
        <v/>
      </c>
      <c r="G82" s="62" t="n"/>
      <c r="H82" s="50" t="n"/>
      <c r="I82" s="83" t="n"/>
      <c r="J82" s="50" t="n"/>
      <c r="K82" s="55" t="n"/>
      <c r="L82" s="88">
        <f>IF(J82="نعم",0,N(I82))</f>
        <v/>
      </c>
      <c r="M82" s="85" t="n"/>
    </row>
    <row r="83">
      <c r="A83" s="61">
        <f>IF(B83="","",COUNTA($B$6:B83))</f>
        <v/>
      </c>
      <c r="B83" s="50" t="n"/>
      <c r="C83" s="54" t="n"/>
      <c r="D83" s="55" t="n"/>
      <c r="E83" s="50" t="n"/>
      <c r="F83" s="87">
        <f>IF(E83="","",IFERROR(INDEX('جدول الكميات'!$D$6:$D$105,MATCH(E83,'جدول الكميات'!$B$6:$B$105,0)),"⚠ كود غير موجود"))</f>
        <v/>
      </c>
      <c r="G83" s="62" t="n"/>
      <c r="H83" s="50" t="n"/>
      <c r="I83" s="83" t="n"/>
      <c r="J83" s="50" t="n"/>
      <c r="K83" s="55" t="n"/>
      <c r="L83" s="88">
        <f>IF(J83="نعم",0,N(I83))</f>
        <v/>
      </c>
      <c r="M83" s="85" t="n"/>
    </row>
    <row r="84">
      <c r="A84" s="61">
        <f>IF(B84="","",COUNTA($B$6:B84))</f>
        <v/>
      </c>
      <c r="B84" s="50" t="n"/>
      <c r="C84" s="54" t="n"/>
      <c r="D84" s="55" t="n"/>
      <c r="E84" s="50" t="n"/>
      <c r="F84" s="87">
        <f>IF(E84="","",IFERROR(INDEX('جدول الكميات'!$D$6:$D$105,MATCH(E84,'جدول الكميات'!$B$6:$B$105,0)),"⚠ كود غير موجود"))</f>
        <v/>
      </c>
      <c r="G84" s="62" t="n"/>
      <c r="H84" s="50" t="n"/>
      <c r="I84" s="83" t="n"/>
      <c r="J84" s="50" t="n"/>
      <c r="K84" s="55" t="n"/>
      <c r="L84" s="88">
        <f>IF(J84="نعم",0,N(I84))</f>
        <v/>
      </c>
      <c r="M84" s="85" t="n"/>
    </row>
    <row r="85">
      <c r="A85" s="61">
        <f>IF(B85="","",COUNTA($B$6:B85))</f>
        <v/>
      </c>
      <c r="B85" s="50" t="n"/>
      <c r="C85" s="54" t="n"/>
      <c r="D85" s="55" t="n"/>
      <c r="E85" s="50" t="n"/>
      <c r="F85" s="87">
        <f>IF(E85="","",IFERROR(INDEX('جدول الكميات'!$D$6:$D$105,MATCH(E85,'جدول الكميات'!$B$6:$B$105,0)),"⚠ كود غير موجود"))</f>
        <v/>
      </c>
      <c r="G85" s="62" t="n"/>
      <c r="H85" s="50" t="n"/>
      <c r="I85" s="83" t="n"/>
      <c r="J85" s="50" t="n"/>
      <c r="K85" s="55" t="n"/>
      <c r="L85" s="88">
        <f>IF(J85="نعم",0,N(I85))</f>
        <v/>
      </c>
      <c r="M85" s="85" t="n"/>
    </row>
    <row r="86">
      <c r="A86" s="61">
        <f>IF(B86="","",COUNTA($B$6:B86))</f>
        <v/>
      </c>
      <c r="B86" s="50" t="n"/>
      <c r="C86" s="54" t="n"/>
      <c r="D86" s="55" t="n"/>
      <c r="E86" s="50" t="n"/>
      <c r="F86" s="87">
        <f>IF(E86="","",IFERROR(INDEX('جدول الكميات'!$D$6:$D$105,MATCH(E86,'جدول الكميات'!$B$6:$B$105,0)),"⚠ كود غير موجود"))</f>
        <v/>
      </c>
      <c r="G86" s="62" t="n"/>
      <c r="H86" s="50" t="n"/>
      <c r="I86" s="83" t="n"/>
      <c r="J86" s="50" t="n"/>
      <c r="K86" s="55" t="n"/>
      <c r="L86" s="88">
        <f>IF(J86="نعم",0,N(I86))</f>
        <v/>
      </c>
      <c r="M86" s="85" t="n"/>
    </row>
    <row r="87">
      <c r="A87" s="61">
        <f>IF(B87="","",COUNTA($B$6:B87))</f>
        <v/>
      </c>
      <c r="B87" s="50" t="n"/>
      <c r="C87" s="54" t="n"/>
      <c r="D87" s="55" t="n"/>
      <c r="E87" s="50" t="n"/>
      <c r="F87" s="87">
        <f>IF(E87="","",IFERROR(INDEX('جدول الكميات'!$D$6:$D$105,MATCH(E87,'جدول الكميات'!$B$6:$B$105,0)),"⚠ كود غير موجود"))</f>
        <v/>
      </c>
      <c r="G87" s="62" t="n"/>
      <c r="H87" s="50" t="n"/>
      <c r="I87" s="83" t="n"/>
      <c r="J87" s="50" t="n"/>
      <c r="K87" s="55" t="n"/>
      <c r="L87" s="88">
        <f>IF(J87="نعم",0,N(I87))</f>
        <v/>
      </c>
      <c r="M87" s="85" t="n"/>
    </row>
    <row r="88">
      <c r="A88" s="61">
        <f>IF(B88="","",COUNTA($B$6:B88))</f>
        <v/>
      </c>
      <c r="B88" s="50" t="n"/>
      <c r="C88" s="54" t="n"/>
      <c r="D88" s="55" t="n"/>
      <c r="E88" s="50" t="n"/>
      <c r="F88" s="87">
        <f>IF(E88="","",IFERROR(INDEX('جدول الكميات'!$D$6:$D$105,MATCH(E88,'جدول الكميات'!$B$6:$B$105,0)),"⚠ كود غير موجود"))</f>
        <v/>
      </c>
      <c r="G88" s="62" t="n"/>
      <c r="H88" s="50" t="n"/>
      <c r="I88" s="83" t="n"/>
      <c r="J88" s="50" t="n"/>
      <c r="K88" s="55" t="n"/>
      <c r="L88" s="88">
        <f>IF(J88="نعم",0,N(I88))</f>
        <v/>
      </c>
      <c r="M88" s="85" t="n"/>
    </row>
    <row r="89">
      <c r="A89" s="61">
        <f>IF(B89="","",COUNTA($B$6:B89))</f>
        <v/>
      </c>
      <c r="B89" s="50" t="n"/>
      <c r="C89" s="54" t="n"/>
      <c r="D89" s="55" t="n"/>
      <c r="E89" s="50" t="n"/>
      <c r="F89" s="87">
        <f>IF(E89="","",IFERROR(INDEX('جدول الكميات'!$D$6:$D$105,MATCH(E89,'جدول الكميات'!$B$6:$B$105,0)),"⚠ كود غير موجود"))</f>
        <v/>
      </c>
      <c r="G89" s="62" t="n"/>
      <c r="H89" s="50" t="n"/>
      <c r="I89" s="83" t="n"/>
      <c r="J89" s="50" t="n"/>
      <c r="K89" s="55" t="n"/>
      <c r="L89" s="88">
        <f>IF(J89="نعم",0,N(I89))</f>
        <v/>
      </c>
      <c r="M89" s="85" t="n"/>
    </row>
    <row r="90">
      <c r="A90" s="61">
        <f>IF(B90="","",COUNTA($B$6:B90))</f>
        <v/>
      </c>
      <c r="B90" s="50" t="n"/>
      <c r="C90" s="54" t="n"/>
      <c r="D90" s="55" t="n"/>
      <c r="E90" s="50" t="n"/>
      <c r="F90" s="87">
        <f>IF(E90="","",IFERROR(INDEX('جدول الكميات'!$D$6:$D$105,MATCH(E90,'جدول الكميات'!$B$6:$B$105,0)),"⚠ كود غير موجود"))</f>
        <v/>
      </c>
      <c r="G90" s="62" t="n"/>
      <c r="H90" s="50" t="n"/>
      <c r="I90" s="83" t="n"/>
      <c r="J90" s="50" t="n"/>
      <c r="K90" s="55" t="n"/>
      <c r="L90" s="88">
        <f>IF(J90="نعم",0,N(I90))</f>
        <v/>
      </c>
      <c r="M90" s="85" t="n"/>
    </row>
    <row r="91">
      <c r="A91" s="61">
        <f>IF(B91="","",COUNTA($B$6:B91))</f>
        <v/>
      </c>
      <c r="B91" s="50" t="n"/>
      <c r="C91" s="54" t="n"/>
      <c r="D91" s="55" t="n"/>
      <c r="E91" s="50" t="n"/>
      <c r="F91" s="87">
        <f>IF(E91="","",IFERROR(INDEX('جدول الكميات'!$D$6:$D$105,MATCH(E91,'جدول الكميات'!$B$6:$B$105,0)),"⚠ كود غير موجود"))</f>
        <v/>
      </c>
      <c r="G91" s="62" t="n"/>
      <c r="H91" s="50" t="n"/>
      <c r="I91" s="83" t="n"/>
      <c r="J91" s="50" t="n"/>
      <c r="K91" s="55" t="n"/>
      <c r="L91" s="88">
        <f>IF(J91="نعم",0,N(I91))</f>
        <v/>
      </c>
      <c r="M91" s="85" t="n"/>
    </row>
    <row r="92">
      <c r="A92" s="61">
        <f>IF(B92="","",COUNTA($B$6:B92))</f>
        <v/>
      </c>
      <c r="B92" s="50" t="n"/>
      <c r="C92" s="54" t="n"/>
      <c r="D92" s="55" t="n"/>
      <c r="E92" s="50" t="n"/>
      <c r="F92" s="87">
        <f>IF(E92="","",IFERROR(INDEX('جدول الكميات'!$D$6:$D$105,MATCH(E92,'جدول الكميات'!$B$6:$B$105,0)),"⚠ كود غير موجود"))</f>
        <v/>
      </c>
      <c r="G92" s="62" t="n"/>
      <c r="H92" s="50" t="n"/>
      <c r="I92" s="83" t="n"/>
      <c r="J92" s="50" t="n"/>
      <c r="K92" s="55" t="n"/>
      <c r="L92" s="88">
        <f>IF(J92="نعم",0,N(I92))</f>
        <v/>
      </c>
      <c r="M92" s="85" t="n"/>
    </row>
    <row r="93">
      <c r="A93" s="61">
        <f>IF(B93="","",COUNTA($B$6:B93))</f>
        <v/>
      </c>
      <c r="B93" s="50" t="n"/>
      <c r="C93" s="54" t="n"/>
      <c r="D93" s="55" t="n"/>
      <c r="E93" s="50" t="n"/>
      <c r="F93" s="87">
        <f>IF(E93="","",IFERROR(INDEX('جدول الكميات'!$D$6:$D$105,MATCH(E93,'جدول الكميات'!$B$6:$B$105,0)),"⚠ كود غير موجود"))</f>
        <v/>
      </c>
      <c r="G93" s="62" t="n"/>
      <c r="H93" s="50" t="n"/>
      <c r="I93" s="83" t="n"/>
      <c r="J93" s="50" t="n"/>
      <c r="K93" s="55" t="n"/>
      <c r="L93" s="88">
        <f>IF(J93="نعم",0,N(I93))</f>
        <v/>
      </c>
      <c r="M93" s="85" t="n"/>
    </row>
    <row r="94">
      <c r="A94" s="61">
        <f>IF(B94="","",COUNTA($B$6:B94))</f>
        <v/>
      </c>
      <c r="B94" s="50" t="n"/>
      <c r="C94" s="54" t="n"/>
      <c r="D94" s="55" t="n"/>
      <c r="E94" s="50" t="n"/>
      <c r="F94" s="87">
        <f>IF(E94="","",IFERROR(INDEX('جدول الكميات'!$D$6:$D$105,MATCH(E94,'جدول الكميات'!$B$6:$B$105,0)),"⚠ كود غير موجود"))</f>
        <v/>
      </c>
      <c r="G94" s="62" t="n"/>
      <c r="H94" s="50" t="n"/>
      <c r="I94" s="83" t="n"/>
      <c r="J94" s="50" t="n"/>
      <c r="K94" s="55" t="n"/>
      <c r="L94" s="88">
        <f>IF(J94="نعم",0,N(I94))</f>
        <v/>
      </c>
      <c r="M94" s="85" t="n"/>
    </row>
    <row r="95">
      <c r="A95" s="61">
        <f>IF(B95="","",COUNTA($B$6:B95))</f>
        <v/>
      </c>
      <c r="B95" s="50" t="n"/>
      <c r="C95" s="54" t="n"/>
      <c r="D95" s="55" t="n"/>
      <c r="E95" s="50" t="n"/>
      <c r="F95" s="87">
        <f>IF(E95="","",IFERROR(INDEX('جدول الكميات'!$D$6:$D$105,MATCH(E95,'جدول الكميات'!$B$6:$B$105,0)),"⚠ كود غير موجود"))</f>
        <v/>
      </c>
      <c r="G95" s="62" t="n"/>
      <c r="H95" s="50" t="n"/>
      <c r="I95" s="83" t="n"/>
      <c r="J95" s="50" t="n"/>
      <c r="K95" s="55" t="n"/>
      <c r="L95" s="88">
        <f>IF(J95="نعم",0,N(I95))</f>
        <v/>
      </c>
      <c r="M95" s="85" t="n"/>
    </row>
    <row r="96">
      <c r="A96" s="61">
        <f>IF(B96="","",COUNTA($B$6:B96))</f>
        <v/>
      </c>
      <c r="B96" s="50" t="n"/>
      <c r="C96" s="54" t="n"/>
      <c r="D96" s="55" t="n"/>
      <c r="E96" s="50" t="n"/>
      <c r="F96" s="87">
        <f>IF(E96="","",IFERROR(INDEX('جدول الكميات'!$D$6:$D$105,MATCH(E96,'جدول الكميات'!$B$6:$B$105,0)),"⚠ كود غير موجود"))</f>
        <v/>
      </c>
      <c r="G96" s="62" t="n"/>
      <c r="H96" s="50" t="n"/>
      <c r="I96" s="83" t="n"/>
      <c r="J96" s="50" t="n"/>
      <c r="K96" s="55" t="n"/>
      <c r="L96" s="88">
        <f>IF(J96="نعم",0,N(I96))</f>
        <v/>
      </c>
      <c r="M96" s="85" t="n"/>
    </row>
    <row r="97">
      <c r="A97" s="61">
        <f>IF(B97="","",COUNTA($B$6:B97))</f>
        <v/>
      </c>
      <c r="B97" s="50" t="n"/>
      <c r="C97" s="54" t="n"/>
      <c r="D97" s="55" t="n"/>
      <c r="E97" s="50" t="n"/>
      <c r="F97" s="87">
        <f>IF(E97="","",IFERROR(INDEX('جدول الكميات'!$D$6:$D$105,MATCH(E97,'جدول الكميات'!$B$6:$B$105,0)),"⚠ كود غير موجود"))</f>
        <v/>
      </c>
      <c r="G97" s="62" t="n"/>
      <c r="H97" s="50" t="n"/>
      <c r="I97" s="83" t="n"/>
      <c r="J97" s="50" t="n"/>
      <c r="K97" s="55" t="n"/>
      <c r="L97" s="88">
        <f>IF(J97="نعم",0,N(I97))</f>
        <v/>
      </c>
      <c r="M97" s="85" t="n"/>
    </row>
    <row r="98">
      <c r="A98" s="61">
        <f>IF(B98="","",COUNTA($B$6:B98))</f>
        <v/>
      </c>
      <c r="B98" s="50" t="n"/>
      <c r="C98" s="54" t="n"/>
      <c r="D98" s="55" t="n"/>
      <c r="E98" s="50" t="n"/>
      <c r="F98" s="87">
        <f>IF(E98="","",IFERROR(INDEX('جدول الكميات'!$D$6:$D$105,MATCH(E98,'جدول الكميات'!$B$6:$B$105,0)),"⚠ كود غير موجود"))</f>
        <v/>
      </c>
      <c r="G98" s="62" t="n"/>
      <c r="H98" s="50" t="n"/>
      <c r="I98" s="83" t="n"/>
      <c r="J98" s="50" t="n"/>
      <c r="K98" s="55" t="n"/>
      <c r="L98" s="88">
        <f>IF(J98="نعم",0,N(I98))</f>
        <v/>
      </c>
      <c r="M98" s="85" t="n"/>
    </row>
    <row r="99">
      <c r="A99" s="61">
        <f>IF(B99="","",COUNTA($B$6:B99))</f>
        <v/>
      </c>
      <c r="B99" s="50" t="n"/>
      <c r="C99" s="54" t="n"/>
      <c r="D99" s="55" t="n"/>
      <c r="E99" s="50" t="n"/>
      <c r="F99" s="87">
        <f>IF(E99="","",IFERROR(INDEX('جدول الكميات'!$D$6:$D$105,MATCH(E99,'جدول الكميات'!$B$6:$B$105,0)),"⚠ كود غير موجود"))</f>
        <v/>
      </c>
      <c r="G99" s="62" t="n"/>
      <c r="H99" s="50" t="n"/>
      <c r="I99" s="83" t="n"/>
      <c r="J99" s="50" t="n"/>
      <c r="K99" s="55" t="n"/>
      <c r="L99" s="88">
        <f>IF(J99="نعم",0,N(I99))</f>
        <v/>
      </c>
      <c r="M99" s="85" t="n"/>
    </row>
    <row r="100">
      <c r="A100" s="61">
        <f>IF(B100="","",COUNTA($B$6:B100))</f>
        <v/>
      </c>
      <c r="B100" s="50" t="n"/>
      <c r="C100" s="54" t="n"/>
      <c r="D100" s="55" t="n"/>
      <c r="E100" s="50" t="n"/>
      <c r="F100" s="87">
        <f>IF(E100="","",IFERROR(INDEX('جدول الكميات'!$D$6:$D$105,MATCH(E100,'جدول الكميات'!$B$6:$B$105,0)),"⚠ كود غير موجود"))</f>
        <v/>
      </c>
      <c r="G100" s="62" t="n"/>
      <c r="H100" s="50" t="n"/>
      <c r="I100" s="83" t="n"/>
      <c r="J100" s="50" t="n"/>
      <c r="K100" s="55" t="n"/>
      <c r="L100" s="88">
        <f>IF(J100="نعم",0,N(I100))</f>
        <v/>
      </c>
      <c r="M100" s="85" t="n"/>
    </row>
    <row r="101">
      <c r="A101" s="61">
        <f>IF(B101="","",COUNTA($B$6:B101))</f>
        <v/>
      </c>
      <c r="B101" s="50" t="n"/>
      <c r="C101" s="54" t="n"/>
      <c r="D101" s="55" t="n"/>
      <c r="E101" s="50" t="n"/>
      <c r="F101" s="87">
        <f>IF(E101="","",IFERROR(INDEX('جدول الكميات'!$D$6:$D$105,MATCH(E101,'جدول الكميات'!$B$6:$B$105,0)),"⚠ كود غير موجود"))</f>
        <v/>
      </c>
      <c r="G101" s="62" t="n"/>
      <c r="H101" s="50" t="n"/>
      <c r="I101" s="83" t="n"/>
      <c r="J101" s="50" t="n"/>
      <c r="K101" s="55" t="n"/>
      <c r="L101" s="88">
        <f>IF(J101="نعم",0,N(I101))</f>
        <v/>
      </c>
      <c r="M101" s="85" t="n"/>
    </row>
    <row r="102">
      <c r="A102" s="61">
        <f>IF(B102="","",COUNTA($B$6:B102))</f>
        <v/>
      </c>
      <c r="B102" s="50" t="n"/>
      <c r="C102" s="54" t="n"/>
      <c r="D102" s="55" t="n"/>
      <c r="E102" s="50" t="n"/>
      <c r="F102" s="87">
        <f>IF(E102="","",IFERROR(INDEX('جدول الكميات'!$D$6:$D$105,MATCH(E102,'جدول الكميات'!$B$6:$B$105,0)),"⚠ كود غير موجود"))</f>
        <v/>
      </c>
      <c r="G102" s="62" t="n"/>
      <c r="H102" s="50" t="n"/>
      <c r="I102" s="83" t="n"/>
      <c r="J102" s="50" t="n"/>
      <c r="K102" s="55" t="n"/>
      <c r="L102" s="88">
        <f>IF(J102="نعم",0,N(I102))</f>
        <v/>
      </c>
      <c r="M102" s="85" t="n"/>
    </row>
    <row r="103">
      <c r="A103" s="61">
        <f>IF(B103="","",COUNTA($B$6:B103))</f>
        <v/>
      </c>
      <c r="B103" s="50" t="n"/>
      <c r="C103" s="54" t="n"/>
      <c r="D103" s="55" t="n"/>
      <c r="E103" s="50" t="n"/>
      <c r="F103" s="87">
        <f>IF(E103="","",IFERROR(INDEX('جدول الكميات'!$D$6:$D$105,MATCH(E103,'جدول الكميات'!$B$6:$B$105,0)),"⚠ كود غير موجود"))</f>
        <v/>
      </c>
      <c r="G103" s="62" t="n"/>
      <c r="H103" s="50" t="n"/>
      <c r="I103" s="83" t="n"/>
      <c r="J103" s="50" t="n"/>
      <c r="K103" s="55" t="n"/>
      <c r="L103" s="88">
        <f>IF(J103="نعم",0,N(I103))</f>
        <v/>
      </c>
      <c r="M103" s="85" t="n"/>
    </row>
    <row r="104">
      <c r="A104" s="61">
        <f>IF(B104="","",COUNTA($B$6:B104))</f>
        <v/>
      </c>
      <c r="B104" s="50" t="n"/>
      <c r="C104" s="54" t="n"/>
      <c r="D104" s="55" t="n"/>
      <c r="E104" s="50" t="n"/>
      <c r="F104" s="87">
        <f>IF(E104="","",IFERROR(INDEX('جدول الكميات'!$D$6:$D$105,MATCH(E104,'جدول الكميات'!$B$6:$B$105,0)),"⚠ كود غير موجود"))</f>
        <v/>
      </c>
      <c r="G104" s="62" t="n"/>
      <c r="H104" s="50" t="n"/>
      <c r="I104" s="83" t="n"/>
      <c r="J104" s="50" t="n"/>
      <c r="K104" s="55" t="n"/>
      <c r="L104" s="88">
        <f>IF(J104="نعم",0,N(I104))</f>
        <v/>
      </c>
      <c r="M104" s="85" t="n"/>
    </row>
    <row r="105">
      <c r="A105" s="61">
        <f>IF(B105="","",COUNTA($B$6:B105))</f>
        <v/>
      </c>
      <c r="B105" s="50" t="n"/>
      <c r="C105" s="54" t="n"/>
      <c r="D105" s="55" t="n"/>
      <c r="E105" s="50" t="n"/>
      <c r="F105" s="87">
        <f>IF(E105="","",IFERROR(INDEX('جدول الكميات'!$D$6:$D$105,MATCH(E105,'جدول الكميات'!$B$6:$B$105,0)),"⚠ كود غير موجود"))</f>
        <v/>
      </c>
      <c r="G105" s="62" t="n"/>
      <c r="H105" s="50" t="n"/>
      <c r="I105" s="83" t="n"/>
      <c r="J105" s="50" t="n"/>
      <c r="K105" s="55" t="n"/>
      <c r="L105" s="88">
        <f>IF(J105="نعم",0,N(I105))</f>
        <v/>
      </c>
      <c r="M105" s="85" t="n"/>
    </row>
    <row r="106">
      <c r="A106" s="66" t="inlineStr">
        <is>
          <t>الإجمالي</t>
        </is>
      </c>
      <c r="B106" s="66" t="n"/>
      <c r="C106" s="66" t="n"/>
      <c r="D106" s="66" t="n"/>
      <c r="E106" s="66" t="n"/>
      <c r="F106" s="66" t="n"/>
      <c r="G106" s="66" t="n"/>
      <c r="H106" s="66" t="n"/>
      <c r="I106" s="86">
        <f>SUM(I6:I105)</f>
        <v/>
      </c>
      <c r="J106" s="89">
        <f>I106-L106</f>
        <v/>
      </c>
      <c r="K106" s="89" t="n"/>
      <c r="L106" s="86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3">
      <formula>$J6="نعم"</formula>
    </cfRule>
    <cfRule type="expression" priority="2" dxfId="7">
      <formula>AND($J6&lt;&gt;"نعم",N($I6)&gt;0)</formula>
    </cfRule>
  </conditionalFormatting>
  <conditionalFormatting sqref="K6:K105">
    <cfRule type="expression" priority="3" dxfId="8">
      <formula>OR(AND($J6="نعم",$K6=""),AND($K6&lt;&gt;"",$K6&lt;$D6))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4" type="whole" operator="between">
      <formula1>1</formula1>
      <formula2>24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لوحة التحكم'!A1" display="📊 لوحة التحكم"/>
    <hyperlink ref="B3" location="'بيانات العقد'!A1" display="⚙ بيانات العقد"/>
    <hyperlink ref="C3" location="'جدول الكميات'!A1" display="📋 الكميات"/>
    <hyperlink ref="D3" location="'الكميات المنفذة'!A1" display="📐 المنفذ"/>
    <hyperlink ref="F3" location="'الأوامر التغييرية'!A1" display="🔁 التغييرية"/>
    <hyperlink ref="G3" location="'سجل المستخلصات'!A1" display="🗂 السجل"/>
    <hyperlink ref="H3" location="'نموذج المستخلص'!A1" display="🧾 النموذج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E32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</cols>
  <sheetData>
    <row r="1" ht="38" customHeight="1">
      <c r="A1" s="1" t="inlineStr">
        <is>
          <t>🗂 سجل المستخلصات والحسابات التراكمية (Payment Certificates Register)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'بيانات العقد'!$C$5&amp;"   |   عقد رقم: "&amp;'بيانات العقد'!$C$6&amp;"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3" t="inlineStr">
        <is>
          <t>📊 لوحة التحكم</t>
        </is>
      </c>
      <c r="D3" s="4" t="inlineStr">
        <is>
          <t>⚙ بيانات العقد</t>
        </is>
      </c>
      <c r="F3" s="4" t="inlineStr">
        <is>
          <t>📋 الكميات</t>
        </is>
      </c>
      <c r="H3" s="4" t="inlineStr">
        <is>
          <t>📐 المنفذ</t>
        </is>
      </c>
      <c r="J3" s="4" t="inlineStr">
        <is>
          <t>🔁 التغييرية</t>
        </is>
      </c>
      <c r="L3" s="4" t="inlineStr">
        <is>
          <t>✂ الاستقطاعات</t>
        </is>
      </c>
      <c r="N3" s="4" t="inlineStr">
        <is>
          <t>🧾 النموذج</t>
        </is>
      </c>
    </row>
    <row r="4">
      <c r="A4" s="90" t="inlineStr">
        <is>
          <t>بيانات المستخلص</t>
        </is>
      </c>
      <c r="B4" s="90" t="n"/>
      <c r="C4" s="90" t="n"/>
      <c r="D4" s="90" t="n"/>
      <c r="E4" s="90" t="n"/>
      <c r="F4" s="90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91" t="inlineStr">
        <is>
          <t>الاستقطاعات (تراكمي)</t>
        </is>
      </c>
      <c r="P4" s="91" t="n"/>
      <c r="Q4" s="91" t="n"/>
      <c r="R4" s="91" t="n"/>
      <c r="S4" s="91" t="n"/>
      <c r="T4" s="91" t="n"/>
      <c r="U4" s="42" t="inlineStr">
        <is>
          <t>صافي المستحق والضرائب</t>
        </is>
      </c>
      <c r="V4" s="42" t="n"/>
      <c r="W4" s="42" t="n"/>
      <c r="X4" s="42" t="n"/>
      <c r="Y4" s="42" t="n"/>
      <c r="Z4" s="42" t="n"/>
      <c r="AA4" s="92" t="inlineStr">
        <is>
          <t>التحصيل</t>
        </is>
      </c>
      <c r="AB4" s="92" t="n"/>
      <c r="AC4" s="92" t="n"/>
      <c r="AD4" s="92" t="n"/>
      <c r="AE4" s="92" t="n"/>
    </row>
    <row r="5" ht="58" customHeight="1">
      <c r="A5" s="41" t="inlineStr">
        <is>
          <t>رقم المستخلص</t>
        </is>
      </c>
      <c r="B5" s="93" t="inlineStr">
        <is>
          <t>الفترة من</t>
        </is>
      </c>
      <c r="C5" s="93" t="inlineStr">
        <is>
          <t>الفترة إلى</t>
        </is>
      </c>
      <c r="D5" s="93" t="inlineStr">
        <is>
          <t>تاريخ التقديم</t>
        </is>
      </c>
      <c r="E5" s="93" t="inlineStr">
        <is>
          <t>تاريخ الاعتماد</t>
        </is>
      </c>
      <c r="F5" s="93" t="inlineStr">
        <is>
          <t>حالة المستخلص</t>
        </is>
      </c>
      <c r="G5" s="41" t="inlineStr">
        <is>
          <t>قيمة الأعمال المنفذة التراكمية</t>
        </is>
      </c>
      <c r="H5" s="41" t="inlineStr">
        <is>
          <t>أعمال الفترة</t>
        </is>
      </c>
      <c r="I5" s="41" t="inlineStr">
        <is>
          <t>الأوامر التغييرية التراكمية</t>
        </is>
      </c>
      <c r="J5" s="93" t="inlineStr">
        <is>
          <t>رصيد المواد الموردة بالموقع</t>
        </is>
      </c>
      <c r="K5" s="41" t="inlineStr">
        <is>
          <t>إجمالي القيمة التراكمية</t>
        </is>
      </c>
      <c r="L5" s="41" t="inlineStr">
        <is>
          <t>نسبة الإنجاز الفعلية</t>
        </is>
      </c>
      <c r="M5" s="93" t="inlineStr">
        <is>
          <t>نسبة الإنجاز المخططة</t>
        </is>
      </c>
      <c r="N5" s="41" t="inlineStr">
        <is>
          <t>الانحراف عن المخطط</t>
        </is>
      </c>
      <c r="O5" s="41" t="inlineStr">
        <is>
          <t>استرداد الدفعة المقدمة التراكمي</t>
        </is>
      </c>
      <c r="P5" s="41" t="inlineStr">
        <is>
          <t>ضمان الأعمال المحتسب التراكمي</t>
        </is>
      </c>
      <c r="Q5" s="93" t="inlineStr">
        <is>
          <t>إفراج عن الضمان خلال الفترة</t>
        </is>
      </c>
      <c r="R5" s="41" t="inlineStr">
        <is>
          <t>صافي الضمان المحتجز</t>
        </is>
      </c>
      <c r="S5" s="41" t="inlineStr">
        <is>
          <t>الاستقطاعات الفنية المحتجزة</t>
        </is>
      </c>
      <c r="T5" s="93" t="inlineStr">
        <is>
          <t>غرامات وخصومات خلال الفترة</t>
        </is>
      </c>
      <c r="U5" s="41" t="inlineStr">
        <is>
          <t>الصافي التراكمي قبل الضرائب</t>
        </is>
      </c>
      <c r="V5" s="41" t="inlineStr">
        <is>
          <t>ضريبة القيمة المضافة</t>
        </is>
      </c>
      <c r="W5" s="41" t="inlineStr">
        <is>
          <t>ضريبة الخصم من المنبع</t>
        </is>
      </c>
      <c r="X5" s="41" t="inlineStr">
        <is>
          <t>صافي المستحق التراكمي</t>
        </is>
      </c>
      <c r="Y5" s="41" t="inlineStr">
        <is>
          <t>المعتمد في المستخلصات السابقة</t>
        </is>
      </c>
      <c r="Z5" s="41" t="inlineStr">
        <is>
          <t>صافي المستحق للمستخلص الحالي</t>
        </is>
      </c>
      <c r="AA5" s="93" t="inlineStr">
        <is>
          <t>المبلغ المحصل</t>
        </is>
      </c>
      <c r="AB5" s="93" t="inlineStr">
        <is>
          <t>تاريخ التحصيل</t>
        </is>
      </c>
      <c r="AC5" s="41" t="inlineStr">
        <is>
          <t>المتبقي غير المحصل</t>
        </is>
      </c>
      <c r="AD5" s="41" t="inlineStr">
        <is>
          <t>مدة التحصيل (يوم)</t>
        </is>
      </c>
      <c r="AE5" s="41" t="inlineStr">
        <is>
          <t>حالة التحصيل</t>
        </is>
      </c>
    </row>
    <row r="6">
      <c r="A6" s="94" t="n">
        <v>1</v>
      </c>
      <c r="B6" s="54" t="n">
        <v>46082</v>
      </c>
      <c r="C6" s="54" t="n">
        <v>46112</v>
      </c>
      <c r="D6" s="54" t="n">
        <v>46117</v>
      </c>
      <c r="E6" s="54" t="n">
        <v>46133</v>
      </c>
      <c r="F6" s="50" t="inlineStr">
        <is>
          <t>معتمد</t>
        </is>
      </c>
      <c r="G6" s="84">
        <f>IF($C6="","",SUMPRODUCT('الكميات المنفذة'!$F$6:$F$105*'الكميات المنفذة'!$G$6:$AD$105*('الكميات المنفذة'!$G$5:$AD$5&lt;=$A6)))</f>
        <v/>
      </c>
      <c r="H6" s="84">
        <f>IF($C6="","",G6-N(G5))</f>
        <v/>
      </c>
      <c r="I6" s="84">
        <f>IF($C6="","",SUMIFS('الأوامر التغييرية'!$J$6:$J$55,'الأوامر التغييرية'!$H$6:$H$55,"معتمد",'الأوامر التغييرية'!$K$6:$K$55,"&lt;="&amp;$A6))</f>
        <v/>
      </c>
      <c r="J6" s="83" t="n">
        <v>0</v>
      </c>
      <c r="K6" s="84">
        <f>IF($C6="","",G6+I6+N(J6))</f>
        <v/>
      </c>
      <c r="L6" s="46">
        <f>IF($C6="","",IF(ContractValue+I6&gt;0,(G6+I6)/(ContractValue+I6),0))</f>
        <v/>
      </c>
      <c r="M6" s="59" t="n">
        <v>0.02</v>
      </c>
      <c r="N6" s="46">
        <f>IF(OR($C6="",M6=""),"",L6-M6)</f>
        <v/>
      </c>
      <c r="O6" s="84">
        <f>IF($C6="","",ROUND(IF(L6&gt;=RecFull,AdvAmount,MIN(AdvAmount,MAX(0,G6+I6-RecStart*ContractValue)*RecRate)),2))</f>
        <v/>
      </c>
      <c r="P6" s="84">
        <f>IF($C6="","",ROUND(MIN(K6*RetPct,RetCap),2))</f>
        <v/>
      </c>
      <c r="Q6" s="83" t="n"/>
      <c r="R6" s="84">
        <f>IF($C6="","",P6-SUM($Q$6:Q6))</f>
        <v/>
      </c>
      <c r="S6" s="84">
        <f>IF($C6="","",SUMIFS('الاستقطاعات الفنية'!$I$6:$I$105,'الاستقطاعات الفنية'!$D$6:$D$105,"&lt;="&amp;$A6)-SUMIFS('الاستقطاعات الفنية'!$I$6:$I$105,'الاستقطاعات الفنية'!$J$6:$J$105,"نعم",'الاستقطاعات الفنية'!$K$6:$K$105,"&lt;="&amp;$A6))</f>
        <v/>
      </c>
      <c r="T6" s="83" t="n"/>
      <c r="U6" s="84">
        <f>IF($C6="","",K6-O6-R6-S6-SUM($T$6:T6))</f>
        <v/>
      </c>
      <c r="V6" s="84">
        <f>IF($C6="","",ROUND(VATPct*(U6+IF(VATBeforeRet="نعم",R6,0)),2))</f>
        <v/>
      </c>
      <c r="W6" s="84">
        <f>IF($C6="","",ROUND(WHTPct*(U6+R6),2))</f>
        <v/>
      </c>
      <c r="X6" s="95">
        <f>IF($C6="","",U6+V6-W6)</f>
        <v/>
      </c>
      <c r="Y6" s="84">
        <f>IF($C6="","",N(X5))</f>
        <v/>
      </c>
      <c r="Z6" s="95">
        <f>IF($C6="","",X6-Y6)</f>
        <v/>
      </c>
      <c r="AA6" s="83" t="n">
        <v>1693779.75</v>
      </c>
      <c r="AB6" s="54" t="n">
        <v>46161</v>
      </c>
      <c r="AC6" s="84">
        <f>IF($C6="","",Z6-N(AA6))</f>
        <v/>
      </c>
      <c r="AD6" s="96">
        <f>IF(OR(AB6="",E6=""),"",AB6-E6)</f>
        <v/>
      </c>
      <c r="AE6" s="78">
        <f>IF($C6="","",IF(N(AA6)=0,IF(E6="","⏳ بانتظار الاعتماد","✖ غير محصل"),IF(AC6&lt;=1,"✔ محصل بالكامل","⚠ محصل جزئياً")))</f>
        <v/>
      </c>
    </row>
    <row r="7">
      <c r="A7" s="94" t="n">
        <v>2</v>
      </c>
      <c r="B7" s="54" t="n">
        <v>46113</v>
      </c>
      <c r="C7" s="54" t="n">
        <v>46142</v>
      </c>
      <c r="D7" s="54" t="n">
        <v>46147</v>
      </c>
      <c r="E7" s="54" t="n">
        <v>46164</v>
      </c>
      <c r="F7" s="50" t="inlineStr">
        <is>
          <t>معتمد</t>
        </is>
      </c>
      <c r="G7" s="84">
        <f>IF($C7="","",SUMPRODUCT('الكميات المنفذة'!$F$6:$F$105*'الكميات المنفذة'!$G$6:$AD$105*('الكميات المنفذة'!$G$5:$AD$5&lt;=$A7)))</f>
        <v/>
      </c>
      <c r="H7" s="84">
        <f>IF($C7="","",G7-N(G6))</f>
        <v/>
      </c>
      <c r="I7" s="84">
        <f>IF($C7="","",SUMIFS('الأوامر التغييرية'!$J$6:$J$55,'الأوامر التغييرية'!$H$6:$H$55,"معتمد",'الأوامر التغييرية'!$K$6:$K$55,"&lt;="&amp;$A7))</f>
        <v/>
      </c>
      <c r="J7" s="83" t="n">
        <v>450000</v>
      </c>
      <c r="K7" s="84">
        <f>IF($C7="","",G7+I7+N(J7))</f>
        <v/>
      </c>
      <c r="L7" s="46">
        <f>IF($C7="","",IF(ContractValue+I7&gt;0,(G7+I7)/(ContractValue+I7),0))</f>
        <v/>
      </c>
      <c r="M7" s="59" t="n">
        <v>0.05</v>
      </c>
      <c r="N7" s="46">
        <f>IF(OR($C7="",M7=""),"",L7-M7)</f>
        <v/>
      </c>
      <c r="O7" s="84">
        <f>IF($C7="","",ROUND(IF(L7&gt;=RecFull,AdvAmount,MIN(AdvAmount,MAX(0,G7+I7-RecStart*ContractValue)*RecRate)),2))</f>
        <v/>
      </c>
      <c r="P7" s="84">
        <f>IF($C7="","",ROUND(MIN(K7*RetPct,RetCap),2))</f>
        <v/>
      </c>
      <c r="Q7" s="83" t="n"/>
      <c r="R7" s="84">
        <f>IF($C7="","",P7-SUM($Q$6:Q7))</f>
        <v/>
      </c>
      <c r="S7" s="84">
        <f>IF($C7="","",SUMIFS('الاستقطاعات الفنية'!$I$6:$I$105,'الاستقطاعات الفنية'!$D$6:$D$105,"&lt;="&amp;$A7)-SUMIFS('الاستقطاعات الفنية'!$I$6:$I$105,'الاستقطاعات الفنية'!$J$6:$J$105,"نعم",'الاستقطاعات الفنية'!$K$6:$K$105,"&lt;="&amp;$A7))</f>
        <v/>
      </c>
      <c r="T7" s="83" t="n"/>
      <c r="U7" s="84">
        <f>IF($C7="","",K7-O7-R7-S7-SUM($T$6:T7))</f>
        <v/>
      </c>
      <c r="V7" s="84">
        <f>IF($C7="","",ROUND(VATPct*(U7+IF(VATBeforeRet="نعم",R7,0)),2))</f>
        <v/>
      </c>
      <c r="W7" s="84">
        <f>IF($C7="","",ROUND(WHTPct*(U7+R7),2))</f>
        <v/>
      </c>
      <c r="X7" s="95">
        <f>IF($C7="","",U7+V7-W7)</f>
        <v/>
      </c>
      <c r="Y7" s="84">
        <f>IF($C7="","",N(X6))</f>
        <v/>
      </c>
      <c r="Z7" s="95">
        <f>IF($C7="","",X7-Y7)</f>
        <v/>
      </c>
      <c r="AA7" s="83" t="n">
        <v>6422014.94</v>
      </c>
      <c r="AB7" s="54" t="n">
        <v>46199</v>
      </c>
      <c r="AC7" s="84">
        <f>IF($C7="","",Z7-N(AA7))</f>
        <v/>
      </c>
      <c r="AD7" s="96">
        <f>IF(OR(AB7="",E7=""),"",AB7-E7)</f>
        <v/>
      </c>
      <c r="AE7" s="78">
        <f>IF($C7="","",IF(N(AA7)=0,IF(E7="","⏳ بانتظار الاعتماد","✖ غير محصل"),IF(AC7&lt;=1,"✔ محصل بالكامل","⚠ محصل جزئياً")))</f>
        <v/>
      </c>
    </row>
    <row r="8">
      <c r="A8" s="94" t="n">
        <v>3</v>
      </c>
      <c r="B8" s="54" t="n">
        <v>46143</v>
      </c>
      <c r="C8" s="54" t="n">
        <v>46173</v>
      </c>
      <c r="D8" s="54" t="n">
        <v>46178</v>
      </c>
      <c r="E8" s="54" t="n">
        <v>46193</v>
      </c>
      <c r="F8" s="50" t="inlineStr">
        <is>
          <t>معتمد</t>
        </is>
      </c>
      <c r="G8" s="84">
        <f>IF($C8="","",SUMPRODUCT('الكميات المنفذة'!$F$6:$F$105*'الكميات المنفذة'!$G$6:$AD$105*('الكميات المنفذة'!$G$5:$AD$5&lt;=$A8)))</f>
        <v/>
      </c>
      <c r="H8" s="84">
        <f>IF($C8="","",G8-N(G7))</f>
        <v/>
      </c>
      <c r="I8" s="84">
        <f>IF($C8="","",SUMIFS('الأوامر التغييرية'!$J$6:$J$55,'الأوامر التغييرية'!$H$6:$H$55,"معتمد",'الأوامر التغييرية'!$K$6:$K$55,"&lt;="&amp;$A8))</f>
        <v/>
      </c>
      <c r="J8" s="83" t="n">
        <v>900000</v>
      </c>
      <c r="K8" s="84">
        <f>IF($C8="","",G8+I8+N(J8))</f>
        <v/>
      </c>
      <c r="L8" s="46">
        <f>IF($C8="","",IF(ContractValue+I8&gt;0,(G8+I8)/(ContractValue+I8),0))</f>
        <v/>
      </c>
      <c r="M8" s="59" t="n">
        <v>0.1</v>
      </c>
      <c r="N8" s="46">
        <f>IF(OR($C8="",M8=""),"",L8-M8)</f>
        <v/>
      </c>
      <c r="O8" s="84">
        <f>IF($C8="","",ROUND(IF(L8&gt;=RecFull,AdvAmount,MIN(AdvAmount,MAX(0,G8+I8-RecStart*ContractValue)*RecRate)),2))</f>
        <v/>
      </c>
      <c r="P8" s="84">
        <f>IF($C8="","",ROUND(MIN(K8*RetPct,RetCap),2))</f>
        <v/>
      </c>
      <c r="Q8" s="83" t="n"/>
      <c r="R8" s="84">
        <f>IF($C8="","",P8-SUM($Q$6:Q8))</f>
        <v/>
      </c>
      <c r="S8" s="84">
        <f>IF($C8="","",SUMIFS('الاستقطاعات الفنية'!$I$6:$I$105,'الاستقطاعات الفنية'!$D$6:$D$105,"&lt;="&amp;$A8)-SUMIFS('الاستقطاعات الفنية'!$I$6:$I$105,'الاستقطاعات الفنية'!$J$6:$J$105,"نعم",'الاستقطاعات الفنية'!$K$6:$K$105,"&lt;="&amp;$A8))</f>
        <v/>
      </c>
      <c r="T8" s="83" t="n"/>
      <c r="U8" s="84">
        <f>IF($C8="","",K8-O8-R8-S8-SUM($T$6:T8))</f>
        <v/>
      </c>
      <c r="V8" s="84">
        <f>IF($C8="","",ROUND(VATPct*(U8+IF(VATBeforeRet="نعم",R8,0)),2))</f>
        <v/>
      </c>
      <c r="W8" s="84">
        <f>IF($C8="","",ROUND(WHTPct*(U8+R8),2))</f>
        <v/>
      </c>
      <c r="X8" s="95">
        <f>IF($C8="","",U8+V8-W8)</f>
        <v/>
      </c>
      <c r="Y8" s="84">
        <f>IF($C8="","",N(X7))</f>
        <v/>
      </c>
      <c r="Z8" s="95">
        <f>IF($C8="","",X8-Y8)</f>
        <v/>
      </c>
      <c r="AA8" s="83" t="n">
        <v>6938872.11</v>
      </c>
      <c r="AB8" s="54" t="n">
        <v>46224</v>
      </c>
      <c r="AC8" s="84">
        <f>IF($C8="","",Z8-N(AA8))</f>
        <v/>
      </c>
      <c r="AD8" s="96">
        <f>IF(OR(AB8="",E8=""),"",AB8-E8)</f>
        <v/>
      </c>
      <c r="AE8" s="78">
        <f>IF($C8="","",IF(N(AA8)=0,IF(E8="","⏳ بانتظار الاعتماد","✖ غير محصل"),IF(AC8&lt;=1,"✔ محصل بالكامل","⚠ محصل جزئياً")))</f>
        <v/>
      </c>
    </row>
    <row r="9">
      <c r="A9" s="94" t="n">
        <v>4</v>
      </c>
      <c r="B9" s="54" t="n">
        <v>46174</v>
      </c>
      <c r="C9" s="54" t="n">
        <v>46203</v>
      </c>
      <c r="D9" s="54" t="n">
        <v>46208</v>
      </c>
      <c r="E9" s="54" t="n">
        <v>46224</v>
      </c>
      <c r="F9" s="50" t="inlineStr">
        <is>
          <t>معتمد</t>
        </is>
      </c>
      <c r="G9" s="84">
        <f>IF($C9="","",SUMPRODUCT('الكميات المنفذة'!$F$6:$F$105*'الكميات المنفذة'!$G$6:$AD$105*('الكميات المنفذة'!$G$5:$AD$5&lt;=$A9)))</f>
        <v/>
      </c>
      <c r="H9" s="84">
        <f>IF($C9="","",G9-N(G8))</f>
        <v/>
      </c>
      <c r="I9" s="84">
        <f>IF($C9="","",SUMIFS('الأوامر التغييرية'!$J$6:$J$55,'الأوامر التغييرية'!$H$6:$H$55,"معتمد",'الأوامر التغييرية'!$K$6:$K$55,"&lt;="&amp;$A9))</f>
        <v/>
      </c>
      <c r="J9" s="83" t="n">
        <v>600000</v>
      </c>
      <c r="K9" s="84">
        <f>IF($C9="","",G9+I9+N(J9))</f>
        <v/>
      </c>
      <c r="L9" s="46">
        <f>IF($C9="","",IF(ContractValue+I9&gt;0,(G9+I9)/(ContractValue+I9),0))</f>
        <v/>
      </c>
      <c r="M9" s="59" t="n">
        <v>0.16</v>
      </c>
      <c r="N9" s="46">
        <f>IF(OR($C9="",M9=""),"",L9-M9)</f>
        <v/>
      </c>
      <c r="O9" s="84">
        <f>IF($C9="","",ROUND(IF(L9&gt;=RecFull,AdvAmount,MIN(AdvAmount,MAX(0,G9+I9-RecStart*ContractValue)*RecRate)),2))</f>
        <v/>
      </c>
      <c r="P9" s="84">
        <f>IF($C9="","",ROUND(MIN(K9*RetPct,RetCap),2))</f>
        <v/>
      </c>
      <c r="Q9" s="83" t="n"/>
      <c r="R9" s="84">
        <f>IF($C9="","",P9-SUM($Q$6:Q9))</f>
        <v/>
      </c>
      <c r="S9" s="84">
        <f>IF($C9="","",SUMIFS('الاستقطاعات الفنية'!$I$6:$I$105,'الاستقطاعات الفنية'!$D$6:$D$105,"&lt;="&amp;$A9)-SUMIFS('الاستقطاعات الفنية'!$I$6:$I$105,'الاستقطاعات الفنية'!$J$6:$J$105,"نعم",'الاستقطاعات الفنية'!$K$6:$K$105,"&lt;="&amp;$A9))</f>
        <v/>
      </c>
      <c r="T9" s="83" t="n"/>
      <c r="U9" s="84">
        <f>IF($C9="","",K9-O9-R9-S9-SUM($T$6:T9))</f>
        <v/>
      </c>
      <c r="V9" s="84">
        <f>IF($C9="","",ROUND(VATPct*(U9+IF(VATBeforeRet="نعم",R9,0)),2))</f>
        <v/>
      </c>
      <c r="W9" s="84">
        <f>IF($C9="","",ROUND(WHTPct*(U9+R9),2))</f>
        <v/>
      </c>
      <c r="X9" s="95">
        <f>IF($C9="","",U9+V9-W9)</f>
        <v/>
      </c>
      <c r="Y9" s="84">
        <f>IF($C9="","",N(X8))</f>
        <v/>
      </c>
      <c r="Z9" s="95">
        <f>IF($C9="","",X9-Y9)</f>
        <v/>
      </c>
      <c r="AA9" s="83" t="n">
        <v>5641921.7</v>
      </c>
      <c r="AB9" s="54" t="n">
        <v>46264</v>
      </c>
      <c r="AC9" s="84">
        <f>IF($C9="","",Z9-N(AA9))</f>
        <v/>
      </c>
      <c r="AD9" s="96">
        <f>IF(OR(AB9="",E9=""),"",AB9-E9)</f>
        <v/>
      </c>
      <c r="AE9" s="78">
        <f>IF($C9="","",IF(N(AA9)=0,IF(E9="","⏳ بانتظار الاعتماد","✖ غير محصل"),IF(AC9&lt;=1,"✔ محصل بالكامل","⚠ محصل جزئياً")))</f>
        <v/>
      </c>
    </row>
    <row r="10">
      <c r="A10" s="94" t="n">
        <v>5</v>
      </c>
      <c r="B10" s="54" t="n">
        <v>46204</v>
      </c>
      <c r="C10" s="54" t="n">
        <v>46234</v>
      </c>
      <c r="D10" s="54" t="n">
        <v>46239</v>
      </c>
      <c r="E10" s="54" t="n">
        <v>46256</v>
      </c>
      <c r="F10" s="50" t="inlineStr">
        <is>
          <t>معتمد</t>
        </is>
      </c>
      <c r="G10" s="84">
        <f>IF($C10="","",SUMPRODUCT('الكميات المنفذة'!$F$6:$F$105*'الكميات المنفذة'!$G$6:$AD$105*('الكميات المنفذة'!$G$5:$AD$5&lt;=$A10)))</f>
        <v/>
      </c>
      <c r="H10" s="84">
        <f>IF($C10="","",G10-N(G9))</f>
        <v/>
      </c>
      <c r="I10" s="84">
        <f>IF($C10="","",SUMIFS('الأوامر التغييرية'!$J$6:$J$55,'الأوامر التغييرية'!$H$6:$H$55,"معتمد",'الأوامر التغييرية'!$K$6:$K$55,"&lt;="&amp;$A10))</f>
        <v/>
      </c>
      <c r="J10" s="83" t="n">
        <v>1100000</v>
      </c>
      <c r="K10" s="84">
        <f>IF($C10="","",G10+I10+N(J10))</f>
        <v/>
      </c>
      <c r="L10" s="46">
        <f>IF($C10="","",IF(ContractValue+I10&gt;0,(G10+I10)/(ContractValue+I10),0))</f>
        <v/>
      </c>
      <c r="M10" s="59" t="n">
        <v>0.23</v>
      </c>
      <c r="N10" s="46">
        <f>IF(OR($C10="",M10=""),"",L10-M10)</f>
        <v/>
      </c>
      <c r="O10" s="84">
        <f>IF($C10="","",ROUND(IF(L10&gt;=RecFull,AdvAmount,MIN(AdvAmount,MAX(0,G10+I10-RecStart*ContractValue)*RecRate)),2))</f>
        <v/>
      </c>
      <c r="P10" s="84">
        <f>IF($C10="","",ROUND(MIN(K10*RetPct,RetCap),2))</f>
        <v/>
      </c>
      <c r="Q10" s="83" t="n"/>
      <c r="R10" s="84">
        <f>IF($C10="","",P10-SUM($Q$6:Q10))</f>
        <v/>
      </c>
      <c r="S10" s="84">
        <f>IF($C10="","",SUMIFS('الاستقطاعات الفنية'!$I$6:$I$105,'الاستقطاعات الفنية'!$D$6:$D$105,"&lt;="&amp;$A10)-SUMIFS('الاستقطاعات الفنية'!$I$6:$I$105,'الاستقطاعات الفنية'!$J$6:$J$105,"نعم",'الاستقطاعات الفنية'!$K$6:$K$105,"&lt;="&amp;$A10))</f>
        <v/>
      </c>
      <c r="T10" s="83" t="n">
        <v>25000</v>
      </c>
      <c r="U10" s="84">
        <f>IF($C10="","",K10-O10-R10-S10-SUM($T$6:T10))</f>
        <v/>
      </c>
      <c r="V10" s="84">
        <f>IF($C10="","",ROUND(VATPct*(U10+IF(VATBeforeRet="نعم",R10,0)),2))</f>
        <v/>
      </c>
      <c r="W10" s="84">
        <f>IF($C10="","",ROUND(WHTPct*(U10+R10),2))</f>
        <v/>
      </c>
      <c r="X10" s="95">
        <f>IF($C10="","",U10+V10-W10)</f>
        <v/>
      </c>
      <c r="Y10" s="84">
        <f>IF($C10="","",N(X9))</f>
        <v/>
      </c>
      <c r="Z10" s="95">
        <f>IF($C10="","",X10-Y10)</f>
        <v/>
      </c>
      <c r="AA10" s="83" t="n">
        <v>2400000</v>
      </c>
      <c r="AB10" s="54" t="n">
        <v>46285</v>
      </c>
      <c r="AC10" s="84">
        <f>IF($C10="","",Z10-N(AA10))</f>
        <v/>
      </c>
      <c r="AD10" s="96">
        <f>IF(OR(AB10="",E10=""),"",AB10-E10)</f>
        <v/>
      </c>
      <c r="AE10" s="78">
        <f>IF($C10="","",IF(N(AA10)=0,IF(E10="","⏳ بانتظار الاعتماد","✖ غير محصل"),IF(AC10&lt;=1,"✔ محصل بالكامل","⚠ محصل جزئياً")))</f>
        <v/>
      </c>
    </row>
    <row r="11">
      <c r="A11" s="94" t="n">
        <v>6</v>
      </c>
      <c r="B11" s="54" t="n">
        <v>46235</v>
      </c>
      <c r="C11" s="54" t="n">
        <v>46265</v>
      </c>
      <c r="D11" s="54" t="n">
        <v>46270</v>
      </c>
      <c r="E11" s="54" t="n">
        <v>46285</v>
      </c>
      <c r="F11" s="50" t="inlineStr">
        <is>
          <t>معتمد</t>
        </is>
      </c>
      <c r="G11" s="84">
        <f>IF($C11="","",SUMPRODUCT('الكميات المنفذة'!$F$6:$F$105*'الكميات المنفذة'!$G$6:$AD$105*('الكميات المنفذة'!$G$5:$AD$5&lt;=$A11)))</f>
        <v/>
      </c>
      <c r="H11" s="84">
        <f>IF($C11="","",G11-N(G10))</f>
        <v/>
      </c>
      <c r="I11" s="84">
        <f>IF($C11="","",SUMIFS('الأوامر التغييرية'!$J$6:$J$55,'الأوامر التغييرية'!$H$6:$H$55,"معتمد",'الأوامر التغييرية'!$K$6:$K$55,"&lt;="&amp;$A11))</f>
        <v/>
      </c>
      <c r="J11" s="83" t="n">
        <v>750000</v>
      </c>
      <c r="K11" s="84">
        <f>IF($C11="","",G11+I11+N(J11))</f>
        <v/>
      </c>
      <c r="L11" s="46">
        <f>IF($C11="","",IF(ContractValue+I11&gt;0,(G11+I11)/(ContractValue+I11),0))</f>
        <v/>
      </c>
      <c r="M11" s="59" t="n">
        <v>0.31</v>
      </c>
      <c r="N11" s="46">
        <f>IF(OR($C11="",M11=""),"",L11-M11)</f>
        <v/>
      </c>
      <c r="O11" s="84">
        <f>IF($C11="","",ROUND(IF(L11&gt;=RecFull,AdvAmount,MIN(AdvAmount,MAX(0,G11+I11-RecStart*ContractValue)*RecRate)),2))</f>
        <v/>
      </c>
      <c r="P11" s="84">
        <f>IF($C11="","",ROUND(MIN(K11*RetPct,RetCap),2))</f>
        <v/>
      </c>
      <c r="Q11" s="83" t="n"/>
      <c r="R11" s="84">
        <f>IF($C11="","",P11-SUM($Q$6:Q11))</f>
        <v/>
      </c>
      <c r="S11" s="84">
        <f>IF($C11="","",SUMIFS('الاستقطاعات الفنية'!$I$6:$I$105,'الاستقطاعات الفنية'!$D$6:$D$105,"&lt;="&amp;$A11)-SUMIFS('الاستقطاعات الفنية'!$I$6:$I$105,'الاستقطاعات الفنية'!$J$6:$J$105,"نعم",'الاستقطاعات الفنية'!$K$6:$K$105,"&lt;="&amp;$A11))</f>
        <v/>
      </c>
      <c r="T11" s="83" t="n"/>
      <c r="U11" s="84">
        <f>IF($C11="","",K11-O11-R11-S11-SUM($T$6:T11))</f>
        <v/>
      </c>
      <c r="V11" s="84">
        <f>IF($C11="","",ROUND(VATPct*(U11+IF(VATBeforeRet="نعم",R11,0)),2))</f>
        <v/>
      </c>
      <c r="W11" s="84">
        <f>IF($C11="","",ROUND(WHTPct*(U11+R11),2))</f>
        <v/>
      </c>
      <c r="X11" s="95">
        <f>IF($C11="","",U11+V11-W11)</f>
        <v/>
      </c>
      <c r="Y11" s="84">
        <f>IF($C11="","",N(X10))</f>
        <v/>
      </c>
      <c r="Z11" s="95">
        <f>IF($C11="","",X11-Y11)</f>
        <v/>
      </c>
      <c r="AA11" s="83" t="n"/>
      <c r="AB11" s="54" t="n"/>
      <c r="AC11" s="84">
        <f>IF($C11="","",Z11-N(AA11))</f>
        <v/>
      </c>
      <c r="AD11" s="96">
        <f>IF(OR(AB11="",E11=""),"",AB11-E11)</f>
        <v/>
      </c>
      <c r="AE11" s="78">
        <f>IF($C11="","",IF(N(AA11)=0,IF(E11="","⏳ بانتظار الاعتماد","✖ غير محصل"),IF(AC11&lt;=1,"✔ محصل بالكامل","⚠ محصل جزئياً")))</f>
        <v/>
      </c>
    </row>
    <row r="12">
      <c r="A12" s="94" t="n">
        <v>7</v>
      </c>
      <c r="B12" s="54" t="n"/>
      <c r="C12" s="54" t="n"/>
      <c r="D12" s="54" t="n"/>
      <c r="E12" s="54" t="n"/>
      <c r="F12" s="50" t="n"/>
      <c r="G12" s="84">
        <f>IF($C12="","",SUMPRODUCT('الكميات المنفذة'!$F$6:$F$105*'الكميات المنفذة'!$G$6:$AD$105*('الكميات المنفذة'!$G$5:$AD$5&lt;=$A12)))</f>
        <v/>
      </c>
      <c r="H12" s="84">
        <f>IF($C12="","",G12-N(G11))</f>
        <v/>
      </c>
      <c r="I12" s="84">
        <f>IF($C12="","",SUMIFS('الأوامر التغييرية'!$J$6:$J$55,'الأوامر التغييرية'!$H$6:$H$55,"معتمد",'الأوامر التغييرية'!$K$6:$K$55,"&lt;="&amp;$A12))</f>
        <v/>
      </c>
      <c r="J12" s="83" t="n"/>
      <c r="K12" s="84">
        <f>IF($C12="","",G12+I12+N(J12))</f>
        <v/>
      </c>
      <c r="L12" s="46">
        <f>IF($C12="","",IF(ContractValue+I12&gt;0,(G12+I12)/(ContractValue+I12),0))</f>
        <v/>
      </c>
      <c r="M12" s="59" t="n">
        <v>0.39</v>
      </c>
      <c r="N12" s="46">
        <f>IF(OR($C12="",M12=""),"",L12-M12)</f>
        <v/>
      </c>
      <c r="O12" s="84">
        <f>IF($C12="","",ROUND(IF(L12&gt;=RecFull,AdvAmount,MIN(AdvAmount,MAX(0,G12+I12-RecStart*ContractValue)*RecRate)),2))</f>
        <v/>
      </c>
      <c r="P12" s="84">
        <f>IF($C12="","",ROUND(MIN(K12*RetPct,RetCap),2))</f>
        <v/>
      </c>
      <c r="Q12" s="83" t="n"/>
      <c r="R12" s="84">
        <f>IF($C12="","",P12-SUM($Q$6:Q12))</f>
        <v/>
      </c>
      <c r="S12" s="84">
        <f>IF($C12="","",SUMIFS('الاستقطاعات الفنية'!$I$6:$I$105,'الاستقطاعات الفنية'!$D$6:$D$105,"&lt;="&amp;$A12)-SUMIFS('الاستقطاعات الفنية'!$I$6:$I$105,'الاستقطاعات الفنية'!$J$6:$J$105,"نعم",'الاستقطاعات الفنية'!$K$6:$K$105,"&lt;="&amp;$A12))</f>
        <v/>
      </c>
      <c r="T12" s="83" t="n"/>
      <c r="U12" s="84">
        <f>IF($C12="","",K12-O12-R12-S12-SUM($T$6:T12))</f>
        <v/>
      </c>
      <c r="V12" s="84">
        <f>IF($C12="","",ROUND(VATPct*(U12+IF(VATBeforeRet="نعم",R12,0)),2))</f>
        <v/>
      </c>
      <c r="W12" s="84">
        <f>IF($C12="","",ROUND(WHTPct*(U12+R12),2))</f>
        <v/>
      </c>
      <c r="X12" s="95">
        <f>IF($C12="","",U12+V12-W12)</f>
        <v/>
      </c>
      <c r="Y12" s="84">
        <f>IF($C12="","",N(X11))</f>
        <v/>
      </c>
      <c r="Z12" s="95">
        <f>IF($C12="","",X12-Y12)</f>
        <v/>
      </c>
      <c r="AA12" s="83" t="n"/>
      <c r="AB12" s="54" t="n"/>
      <c r="AC12" s="84">
        <f>IF($C12="","",Z12-N(AA12))</f>
        <v/>
      </c>
      <c r="AD12" s="96">
        <f>IF(OR(AB12="",E12=""),"",AB12-E12)</f>
        <v/>
      </c>
      <c r="AE12" s="78">
        <f>IF($C12="","",IF(N(AA12)=0,IF(E12="","⏳ بانتظار الاعتماد","✖ غير محصل"),IF(AC12&lt;=1,"✔ محصل بالكامل","⚠ محصل جزئياً")))</f>
        <v/>
      </c>
    </row>
    <row r="13">
      <c r="A13" s="94" t="n">
        <v>8</v>
      </c>
      <c r="B13" s="54" t="n"/>
      <c r="C13" s="54" t="n"/>
      <c r="D13" s="54" t="n"/>
      <c r="E13" s="54" t="n"/>
      <c r="F13" s="50" t="n"/>
      <c r="G13" s="84">
        <f>IF($C13="","",SUMPRODUCT('الكميات المنفذة'!$F$6:$F$105*'الكميات المنفذة'!$G$6:$AD$105*('الكميات المنفذة'!$G$5:$AD$5&lt;=$A13)))</f>
        <v/>
      </c>
      <c r="H13" s="84">
        <f>IF($C13="","",G13-N(G12))</f>
        <v/>
      </c>
      <c r="I13" s="84">
        <f>IF($C13="","",SUMIFS('الأوامر التغييرية'!$J$6:$J$55,'الأوامر التغييرية'!$H$6:$H$55,"معتمد",'الأوامر التغييرية'!$K$6:$K$55,"&lt;="&amp;$A13))</f>
        <v/>
      </c>
      <c r="J13" s="83" t="n"/>
      <c r="K13" s="84">
        <f>IF($C13="","",G13+I13+N(J13))</f>
        <v/>
      </c>
      <c r="L13" s="46">
        <f>IF($C13="","",IF(ContractValue+I13&gt;0,(G13+I13)/(ContractValue+I13),0))</f>
        <v/>
      </c>
      <c r="M13" s="59" t="n">
        <v>0.47</v>
      </c>
      <c r="N13" s="46">
        <f>IF(OR($C13="",M13=""),"",L13-M13)</f>
        <v/>
      </c>
      <c r="O13" s="84">
        <f>IF($C13="","",ROUND(IF(L13&gt;=RecFull,AdvAmount,MIN(AdvAmount,MAX(0,G13+I13-RecStart*ContractValue)*RecRate)),2))</f>
        <v/>
      </c>
      <c r="P13" s="84">
        <f>IF($C13="","",ROUND(MIN(K13*RetPct,RetCap),2))</f>
        <v/>
      </c>
      <c r="Q13" s="83" t="n"/>
      <c r="R13" s="84">
        <f>IF($C13="","",P13-SUM($Q$6:Q13))</f>
        <v/>
      </c>
      <c r="S13" s="84">
        <f>IF($C13="","",SUMIFS('الاستقطاعات الفنية'!$I$6:$I$105,'الاستقطاعات الفنية'!$D$6:$D$105,"&lt;="&amp;$A13)-SUMIFS('الاستقطاعات الفنية'!$I$6:$I$105,'الاستقطاعات الفنية'!$J$6:$J$105,"نعم",'الاستقطاعات الفنية'!$K$6:$K$105,"&lt;="&amp;$A13))</f>
        <v/>
      </c>
      <c r="T13" s="83" t="n"/>
      <c r="U13" s="84">
        <f>IF($C13="","",K13-O13-R13-S13-SUM($T$6:T13))</f>
        <v/>
      </c>
      <c r="V13" s="84">
        <f>IF($C13="","",ROUND(VATPct*(U13+IF(VATBeforeRet="نعم",R13,0)),2))</f>
        <v/>
      </c>
      <c r="W13" s="84">
        <f>IF($C13="","",ROUND(WHTPct*(U13+R13),2))</f>
        <v/>
      </c>
      <c r="X13" s="95">
        <f>IF($C13="","",U13+V13-W13)</f>
        <v/>
      </c>
      <c r="Y13" s="84">
        <f>IF($C13="","",N(X12))</f>
        <v/>
      </c>
      <c r="Z13" s="95">
        <f>IF($C13="","",X13-Y13)</f>
        <v/>
      </c>
      <c r="AA13" s="83" t="n"/>
      <c r="AB13" s="54" t="n"/>
      <c r="AC13" s="84">
        <f>IF($C13="","",Z13-N(AA13))</f>
        <v/>
      </c>
      <c r="AD13" s="96">
        <f>IF(OR(AB13="",E13=""),"",AB13-E13)</f>
        <v/>
      </c>
      <c r="AE13" s="78">
        <f>IF($C13="","",IF(N(AA13)=0,IF(E13="","⏳ بانتظار الاعتماد","✖ غير محصل"),IF(AC13&lt;=1,"✔ محصل بالكامل","⚠ محصل جزئياً")))</f>
        <v/>
      </c>
    </row>
    <row r="14">
      <c r="A14" s="94" t="n">
        <v>9</v>
      </c>
      <c r="B14" s="54" t="n"/>
      <c r="C14" s="54" t="n"/>
      <c r="D14" s="54" t="n"/>
      <c r="E14" s="54" t="n"/>
      <c r="F14" s="50" t="n"/>
      <c r="G14" s="84">
        <f>IF($C14="","",SUMPRODUCT('الكميات المنفذة'!$F$6:$F$105*'الكميات المنفذة'!$G$6:$AD$105*('الكميات المنفذة'!$G$5:$AD$5&lt;=$A14)))</f>
        <v/>
      </c>
      <c r="H14" s="84">
        <f>IF($C14="","",G14-N(G13))</f>
        <v/>
      </c>
      <c r="I14" s="84">
        <f>IF($C14="","",SUMIFS('الأوامر التغييرية'!$J$6:$J$55,'الأوامر التغييرية'!$H$6:$H$55,"معتمد",'الأوامر التغييرية'!$K$6:$K$55,"&lt;="&amp;$A14))</f>
        <v/>
      </c>
      <c r="J14" s="83" t="n"/>
      <c r="K14" s="84">
        <f>IF($C14="","",G14+I14+N(J14))</f>
        <v/>
      </c>
      <c r="L14" s="46">
        <f>IF($C14="","",IF(ContractValue+I14&gt;0,(G14+I14)/(ContractValue+I14),0))</f>
        <v/>
      </c>
      <c r="M14" s="59" t="n">
        <v>0.55</v>
      </c>
      <c r="N14" s="46">
        <f>IF(OR($C14="",M14=""),"",L14-M14)</f>
        <v/>
      </c>
      <c r="O14" s="84">
        <f>IF($C14="","",ROUND(IF(L14&gt;=RecFull,AdvAmount,MIN(AdvAmount,MAX(0,G14+I14-RecStart*ContractValue)*RecRate)),2))</f>
        <v/>
      </c>
      <c r="P14" s="84">
        <f>IF($C14="","",ROUND(MIN(K14*RetPct,RetCap),2))</f>
        <v/>
      </c>
      <c r="Q14" s="83" t="n"/>
      <c r="R14" s="84">
        <f>IF($C14="","",P14-SUM($Q$6:Q14))</f>
        <v/>
      </c>
      <c r="S14" s="84">
        <f>IF($C14="","",SUMIFS('الاستقطاعات الفنية'!$I$6:$I$105,'الاستقطاعات الفنية'!$D$6:$D$105,"&lt;="&amp;$A14)-SUMIFS('الاستقطاعات الفنية'!$I$6:$I$105,'الاستقطاعات الفنية'!$J$6:$J$105,"نعم",'الاستقطاعات الفنية'!$K$6:$K$105,"&lt;="&amp;$A14))</f>
        <v/>
      </c>
      <c r="T14" s="83" t="n"/>
      <c r="U14" s="84">
        <f>IF($C14="","",K14-O14-R14-S14-SUM($T$6:T14))</f>
        <v/>
      </c>
      <c r="V14" s="84">
        <f>IF($C14="","",ROUND(VATPct*(U14+IF(VATBeforeRet="نعم",R14,0)),2))</f>
        <v/>
      </c>
      <c r="W14" s="84">
        <f>IF($C14="","",ROUND(WHTPct*(U14+R14),2))</f>
        <v/>
      </c>
      <c r="X14" s="95">
        <f>IF($C14="","",U14+V14-W14)</f>
        <v/>
      </c>
      <c r="Y14" s="84">
        <f>IF($C14="","",N(X13))</f>
        <v/>
      </c>
      <c r="Z14" s="95">
        <f>IF($C14="","",X14-Y14)</f>
        <v/>
      </c>
      <c r="AA14" s="83" t="n"/>
      <c r="AB14" s="54" t="n"/>
      <c r="AC14" s="84">
        <f>IF($C14="","",Z14-N(AA14))</f>
        <v/>
      </c>
      <c r="AD14" s="96">
        <f>IF(OR(AB14="",E14=""),"",AB14-E14)</f>
        <v/>
      </c>
      <c r="AE14" s="78">
        <f>IF($C14="","",IF(N(AA14)=0,IF(E14="","⏳ بانتظار الاعتماد","✖ غير محصل"),IF(AC14&lt;=1,"✔ محصل بالكامل","⚠ محصل جزئياً")))</f>
        <v/>
      </c>
    </row>
    <row r="15">
      <c r="A15" s="94" t="n">
        <v>10</v>
      </c>
      <c r="B15" s="54" t="n"/>
      <c r="C15" s="54" t="n"/>
      <c r="D15" s="54" t="n"/>
      <c r="E15" s="54" t="n"/>
      <c r="F15" s="50" t="n"/>
      <c r="G15" s="84">
        <f>IF($C15="","",SUMPRODUCT('الكميات المنفذة'!$F$6:$F$105*'الكميات المنفذة'!$G$6:$AD$105*('الكميات المنفذة'!$G$5:$AD$5&lt;=$A15)))</f>
        <v/>
      </c>
      <c r="H15" s="84">
        <f>IF($C15="","",G15-N(G14))</f>
        <v/>
      </c>
      <c r="I15" s="84">
        <f>IF($C15="","",SUMIFS('الأوامر التغييرية'!$J$6:$J$55,'الأوامر التغييرية'!$H$6:$H$55,"معتمد",'الأوامر التغييرية'!$K$6:$K$55,"&lt;="&amp;$A15))</f>
        <v/>
      </c>
      <c r="J15" s="83" t="n"/>
      <c r="K15" s="84">
        <f>IF($C15="","",G15+I15+N(J15))</f>
        <v/>
      </c>
      <c r="L15" s="46">
        <f>IF($C15="","",IF(ContractValue+I15&gt;0,(G15+I15)/(ContractValue+I15),0))</f>
        <v/>
      </c>
      <c r="M15" s="59" t="n">
        <v>0.63</v>
      </c>
      <c r="N15" s="46">
        <f>IF(OR($C15="",M15=""),"",L15-M15)</f>
        <v/>
      </c>
      <c r="O15" s="84">
        <f>IF($C15="","",ROUND(IF(L15&gt;=RecFull,AdvAmount,MIN(AdvAmount,MAX(0,G15+I15-RecStart*ContractValue)*RecRate)),2))</f>
        <v/>
      </c>
      <c r="P15" s="84">
        <f>IF($C15="","",ROUND(MIN(K15*RetPct,RetCap),2))</f>
        <v/>
      </c>
      <c r="Q15" s="83" t="n"/>
      <c r="R15" s="84">
        <f>IF($C15="","",P15-SUM($Q$6:Q15))</f>
        <v/>
      </c>
      <c r="S15" s="84">
        <f>IF($C15="","",SUMIFS('الاستقطاعات الفنية'!$I$6:$I$105,'الاستقطاعات الفنية'!$D$6:$D$105,"&lt;="&amp;$A15)-SUMIFS('الاستقطاعات الفنية'!$I$6:$I$105,'الاستقطاعات الفنية'!$J$6:$J$105,"نعم",'الاستقطاعات الفنية'!$K$6:$K$105,"&lt;="&amp;$A15))</f>
        <v/>
      </c>
      <c r="T15" s="83" t="n"/>
      <c r="U15" s="84">
        <f>IF($C15="","",K15-O15-R15-S15-SUM($T$6:T15))</f>
        <v/>
      </c>
      <c r="V15" s="84">
        <f>IF($C15="","",ROUND(VATPct*(U15+IF(VATBeforeRet="نعم",R15,0)),2))</f>
        <v/>
      </c>
      <c r="W15" s="84">
        <f>IF($C15="","",ROUND(WHTPct*(U15+R15),2))</f>
        <v/>
      </c>
      <c r="X15" s="95">
        <f>IF($C15="","",U15+V15-W15)</f>
        <v/>
      </c>
      <c r="Y15" s="84">
        <f>IF($C15="","",N(X14))</f>
        <v/>
      </c>
      <c r="Z15" s="95">
        <f>IF($C15="","",X15-Y15)</f>
        <v/>
      </c>
      <c r="AA15" s="83" t="n"/>
      <c r="AB15" s="54" t="n"/>
      <c r="AC15" s="84">
        <f>IF($C15="","",Z15-N(AA15))</f>
        <v/>
      </c>
      <c r="AD15" s="96">
        <f>IF(OR(AB15="",E15=""),"",AB15-E15)</f>
        <v/>
      </c>
      <c r="AE15" s="78">
        <f>IF($C15="","",IF(N(AA15)=0,IF(E15="","⏳ بانتظار الاعتماد","✖ غير محصل"),IF(AC15&lt;=1,"✔ محصل بالكامل","⚠ محصل جزئياً")))</f>
        <v/>
      </c>
    </row>
    <row r="16">
      <c r="A16" s="94" t="n">
        <v>11</v>
      </c>
      <c r="B16" s="54" t="n"/>
      <c r="C16" s="54" t="n"/>
      <c r="D16" s="54" t="n"/>
      <c r="E16" s="54" t="n"/>
      <c r="F16" s="50" t="n"/>
      <c r="G16" s="84">
        <f>IF($C16="","",SUMPRODUCT('الكميات المنفذة'!$F$6:$F$105*'الكميات المنفذة'!$G$6:$AD$105*('الكميات المنفذة'!$G$5:$AD$5&lt;=$A16)))</f>
        <v/>
      </c>
      <c r="H16" s="84">
        <f>IF($C16="","",G16-N(G15))</f>
        <v/>
      </c>
      <c r="I16" s="84">
        <f>IF($C16="","",SUMIFS('الأوامر التغييرية'!$J$6:$J$55,'الأوامر التغييرية'!$H$6:$H$55,"معتمد",'الأوامر التغييرية'!$K$6:$K$55,"&lt;="&amp;$A16))</f>
        <v/>
      </c>
      <c r="J16" s="83" t="n"/>
      <c r="K16" s="84">
        <f>IF($C16="","",G16+I16+N(J16))</f>
        <v/>
      </c>
      <c r="L16" s="46">
        <f>IF($C16="","",IF(ContractValue+I16&gt;0,(G16+I16)/(ContractValue+I16),0))</f>
        <v/>
      </c>
      <c r="M16" s="59" t="n">
        <v>0.7</v>
      </c>
      <c r="N16" s="46">
        <f>IF(OR($C16="",M16=""),"",L16-M16)</f>
        <v/>
      </c>
      <c r="O16" s="84">
        <f>IF($C16="","",ROUND(IF(L16&gt;=RecFull,AdvAmount,MIN(AdvAmount,MAX(0,G16+I16-RecStart*ContractValue)*RecRate)),2))</f>
        <v/>
      </c>
      <c r="P16" s="84">
        <f>IF($C16="","",ROUND(MIN(K16*RetPct,RetCap),2))</f>
        <v/>
      </c>
      <c r="Q16" s="83" t="n"/>
      <c r="R16" s="84">
        <f>IF($C16="","",P16-SUM($Q$6:Q16))</f>
        <v/>
      </c>
      <c r="S16" s="84">
        <f>IF($C16="","",SUMIFS('الاستقطاعات الفنية'!$I$6:$I$105,'الاستقطاعات الفنية'!$D$6:$D$105,"&lt;="&amp;$A16)-SUMIFS('الاستقطاعات الفنية'!$I$6:$I$105,'الاستقطاعات الفنية'!$J$6:$J$105,"نعم",'الاستقطاعات الفنية'!$K$6:$K$105,"&lt;="&amp;$A16))</f>
        <v/>
      </c>
      <c r="T16" s="83" t="n"/>
      <c r="U16" s="84">
        <f>IF($C16="","",K16-O16-R16-S16-SUM($T$6:T16))</f>
        <v/>
      </c>
      <c r="V16" s="84">
        <f>IF($C16="","",ROUND(VATPct*(U16+IF(VATBeforeRet="نعم",R16,0)),2))</f>
        <v/>
      </c>
      <c r="W16" s="84">
        <f>IF($C16="","",ROUND(WHTPct*(U16+R16),2))</f>
        <v/>
      </c>
      <c r="X16" s="95">
        <f>IF($C16="","",U16+V16-W16)</f>
        <v/>
      </c>
      <c r="Y16" s="84">
        <f>IF($C16="","",N(X15))</f>
        <v/>
      </c>
      <c r="Z16" s="95">
        <f>IF($C16="","",X16-Y16)</f>
        <v/>
      </c>
      <c r="AA16" s="83" t="n"/>
      <c r="AB16" s="54" t="n"/>
      <c r="AC16" s="84">
        <f>IF($C16="","",Z16-N(AA16))</f>
        <v/>
      </c>
      <c r="AD16" s="96">
        <f>IF(OR(AB16="",E16=""),"",AB16-E16)</f>
        <v/>
      </c>
      <c r="AE16" s="78">
        <f>IF($C16="","",IF(N(AA16)=0,IF(E16="","⏳ بانتظار الاعتماد","✖ غير محصل"),IF(AC16&lt;=1,"✔ محصل بالكامل","⚠ محصل جزئياً")))</f>
        <v/>
      </c>
    </row>
    <row r="17">
      <c r="A17" s="94" t="n">
        <v>12</v>
      </c>
      <c r="B17" s="54" t="n"/>
      <c r="C17" s="54" t="n"/>
      <c r="D17" s="54" t="n"/>
      <c r="E17" s="54" t="n"/>
      <c r="F17" s="50" t="n"/>
      <c r="G17" s="84">
        <f>IF($C17="","",SUMPRODUCT('الكميات المنفذة'!$F$6:$F$105*'الكميات المنفذة'!$G$6:$AD$105*('الكميات المنفذة'!$G$5:$AD$5&lt;=$A17)))</f>
        <v/>
      </c>
      <c r="H17" s="84">
        <f>IF($C17="","",G17-N(G16))</f>
        <v/>
      </c>
      <c r="I17" s="84">
        <f>IF($C17="","",SUMIFS('الأوامر التغييرية'!$J$6:$J$55,'الأوامر التغييرية'!$H$6:$H$55,"معتمد",'الأوامر التغييرية'!$K$6:$K$55,"&lt;="&amp;$A17))</f>
        <v/>
      </c>
      <c r="J17" s="83" t="n"/>
      <c r="K17" s="84">
        <f>IF($C17="","",G17+I17+N(J17))</f>
        <v/>
      </c>
      <c r="L17" s="46">
        <f>IF($C17="","",IF(ContractValue+I17&gt;0,(G17+I17)/(ContractValue+I17),0))</f>
        <v/>
      </c>
      <c r="M17" s="59" t="n">
        <v>0.77</v>
      </c>
      <c r="N17" s="46">
        <f>IF(OR($C17="",M17=""),"",L17-M17)</f>
        <v/>
      </c>
      <c r="O17" s="84">
        <f>IF($C17="","",ROUND(IF(L17&gt;=RecFull,AdvAmount,MIN(AdvAmount,MAX(0,G17+I17-RecStart*ContractValue)*RecRate)),2))</f>
        <v/>
      </c>
      <c r="P17" s="84">
        <f>IF($C17="","",ROUND(MIN(K17*RetPct,RetCap),2))</f>
        <v/>
      </c>
      <c r="Q17" s="83" t="n"/>
      <c r="R17" s="84">
        <f>IF($C17="","",P17-SUM($Q$6:Q17))</f>
        <v/>
      </c>
      <c r="S17" s="84">
        <f>IF($C17="","",SUMIFS('الاستقطاعات الفنية'!$I$6:$I$105,'الاستقطاعات الفنية'!$D$6:$D$105,"&lt;="&amp;$A17)-SUMIFS('الاستقطاعات الفنية'!$I$6:$I$105,'الاستقطاعات الفنية'!$J$6:$J$105,"نعم",'الاستقطاعات الفنية'!$K$6:$K$105,"&lt;="&amp;$A17))</f>
        <v/>
      </c>
      <c r="T17" s="83" t="n"/>
      <c r="U17" s="84">
        <f>IF($C17="","",K17-O17-R17-S17-SUM($T$6:T17))</f>
        <v/>
      </c>
      <c r="V17" s="84">
        <f>IF($C17="","",ROUND(VATPct*(U17+IF(VATBeforeRet="نعم",R17,0)),2))</f>
        <v/>
      </c>
      <c r="W17" s="84">
        <f>IF($C17="","",ROUND(WHTPct*(U17+R17),2))</f>
        <v/>
      </c>
      <c r="X17" s="95">
        <f>IF($C17="","",U17+V17-W17)</f>
        <v/>
      </c>
      <c r="Y17" s="84">
        <f>IF($C17="","",N(X16))</f>
        <v/>
      </c>
      <c r="Z17" s="95">
        <f>IF($C17="","",X17-Y17)</f>
        <v/>
      </c>
      <c r="AA17" s="83" t="n"/>
      <c r="AB17" s="54" t="n"/>
      <c r="AC17" s="84">
        <f>IF($C17="","",Z17-N(AA17))</f>
        <v/>
      </c>
      <c r="AD17" s="96">
        <f>IF(OR(AB17="",E17=""),"",AB17-E17)</f>
        <v/>
      </c>
      <c r="AE17" s="78">
        <f>IF($C17="","",IF(N(AA17)=0,IF(E17="","⏳ بانتظار الاعتماد","✖ غير محصل"),IF(AC17&lt;=1,"✔ محصل بالكامل","⚠ محصل جزئياً")))</f>
        <v/>
      </c>
    </row>
    <row r="18">
      <c r="A18" s="94" t="n">
        <v>13</v>
      </c>
      <c r="B18" s="54" t="n"/>
      <c r="C18" s="54" t="n"/>
      <c r="D18" s="54" t="n"/>
      <c r="E18" s="54" t="n"/>
      <c r="F18" s="50" t="n"/>
      <c r="G18" s="84">
        <f>IF($C18="","",SUMPRODUCT('الكميات المنفذة'!$F$6:$F$105*'الكميات المنفذة'!$G$6:$AD$105*('الكميات المنفذة'!$G$5:$AD$5&lt;=$A18)))</f>
        <v/>
      </c>
      <c r="H18" s="84">
        <f>IF($C18="","",G18-N(G17))</f>
        <v/>
      </c>
      <c r="I18" s="84">
        <f>IF($C18="","",SUMIFS('الأوامر التغييرية'!$J$6:$J$55,'الأوامر التغييرية'!$H$6:$H$55,"معتمد",'الأوامر التغييرية'!$K$6:$K$55,"&lt;="&amp;$A18))</f>
        <v/>
      </c>
      <c r="J18" s="83" t="n"/>
      <c r="K18" s="84">
        <f>IF($C18="","",G18+I18+N(J18))</f>
        <v/>
      </c>
      <c r="L18" s="46">
        <f>IF($C18="","",IF(ContractValue+I18&gt;0,(G18+I18)/(ContractValue+I18),0))</f>
        <v/>
      </c>
      <c r="M18" s="59" t="n">
        <v>0.83</v>
      </c>
      <c r="N18" s="46">
        <f>IF(OR($C18="",M18=""),"",L18-M18)</f>
        <v/>
      </c>
      <c r="O18" s="84">
        <f>IF($C18="","",ROUND(IF(L18&gt;=RecFull,AdvAmount,MIN(AdvAmount,MAX(0,G18+I18-RecStart*ContractValue)*RecRate)),2))</f>
        <v/>
      </c>
      <c r="P18" s="84">
        <f>IF($C18="","",ROUND(MIN(K18*RetPct,RetCap),2))</f>
        <v/>
      </c>
      <c r="Q18" s="83" t="n"/>
      <c r="R18" s="84">
        <f>IF($C18="","",P18-SUM($Q$6:Q18))</f>
        <v/>
      </c>
      <c r="S18" s="84">
        <f>IF($C18="","",SUMIFS('الاستقطاعات الفنية'!$I$6:$I$105,'الاستقطاعات الفنية'!$D$6:$D$105,"&lt;="&amp;$A18)-SUMIFS('الاستقطاعات الفنية'!$I$6:$I$105,'الاستقطاعات الفنية'!$J$6:$J$105,"نعم",'الاستقطاعات الفنية'!$K$6:$K$105,"&lt;="&amp;$A18))</f>
        <v/>
      </c>
      <c r="T18" s="83" t="n"/>
      <c r="U18" s="84">
        <f>IF($C18="","",K18-O18-R18-S18-SUM($T$6:T18))</f>
        <v/>
      </c>
      <c r="V18" s="84">
        <f>IF($C18="","",ROUND(VATPct*(U18+IF(VATBeforeRet="نعم",R18,0)),2))</f>
        <v/>
      </c>
      <c r="W18" s="84">
        <f>IF($C18="","",ROUND(WHTPct*(U18+R18),2))</f>
        <v/>
      </c>
      <c r="X18" s="95">
        <f>IF($C18="","",U18+V18-W18)</f>
        <v/>
      </c>
      <c r="Y18" s="84">
        <f>IF($C18="","",N(X17))</f>
        <v/>
      </c>
      <c r="Z18" s="95">
        <f>IF($C18="","",X18-Y18)</f>
        <v/>
      </c>
      <c r="AA18" s="83" t="n"/>
      <c r="AB18" s="54" t="n"/>
      <c r="AC18" s="84">
        <f>IF($C18="","",Z18-N(AA18))</f>
        <v/>
      </c>
      <c r="AD18" s="96">
        <f>IF(OR(AB18="",E18=""),"",AB18-E18)</f>
        <v/>
      </c>
      <c r="AE18" s="78">
        <f>IF($C18="","",IF(N(AA18)=0,IF(E18="","⏳ بانتظار الاعتماد","✖ غير محصل"),IF(AC18&lt;=1,"✔ محصل بالكامل","⚠ محصل جزئياً")))</f>
        <v/>
      </c>
    </row>
    <row r="19">
      <c r="A19" s="94" t="n">
        <v>14</v>
      </c>
      <c r="B19" s="54" t="n"/>
      <c r="C19" s="54" t="n"/>
      <c r="D19" s="54" t="n"/>
      <c r="E19" s="54" t="n"/>
      <c r="F19" s="50" t="n"/>
      <c r="G19" s="84">
        <f>IF($C19="","",SUMPRODUCT('الكميات المنفذة'!$F$6:$F$105*'الكميات المنفذة'!$G$6:$AD$105*('الكميات المنفذة'!$G$5:$AD$5&lt;=$A19)))</f>
        <v/>
      </c>
      <c r="H19" s="84">
        <f>IF($C19="","",G19-N(G18))</f>
        <v/>
      </c>
      <c r="I19" s="84">
        <f>IF($C19="","",SUMIFS('الأوامر التغييرية'!$J$6:$J$55,'الأوامر التغييرية'!$H$6:$H$55,"معتمد",'الأوامر التغييرية'!$K$6:$K$55,"&lt;="&amp;$A19))</f>
        <v/>
      </c>
      <c r="J19" s="83" t="n"/>
      <c r="K19" s="84">
        <f>IF($C19="","",G19+I19+N(J19))</f>
        <v/>
      </c>
      <c r="L19" s="46">
        <f>IF($C19="","",IF(ContractValue+I19&gt;0,(G19+I19)/(ContractValue+I19),0))</f>
        <v/>
      </c>
      <c r="M19" s="59" t="n">
        <v>0.88</v>
      </c>
      <c r="N19" s="46">
        <f>IF(OR($C19="",M19=""),"",L19-M19)</f>
        <v/>
      </c>
      <c r="O19" s="84">
        <f>IF($C19="","",ROUND(IF(L19&gt;=RecFull,AdvAmount,MIN(AdvAmount,MAX(0,G19+I19-RecStart*ContractValue)*RecRate)),2))</f>
        <v/>
      </c>
      <c r="P19" s="84">
        <f>IF($C19="","",ROUND(MIN(K19*RetPct,RetCap),2))</f>
        <v/>
      </c>
      <c r="Q19" s="83" t="n"/>
      <c r="R19" s="84">
        <f>IF($C19="","",P19-SUM($Q$6:Q19))</f>
        <v/>
      </c>
      <c r="S19" s="84">
        <f>IF($C19="","",SUMIFS('الاستقطاعات الفنية'!$I$6:$I$105,'الاستقطاعات الفنية'!$D$6:$D$105,"&lt;="&amp;$A19)-SUMIFS('الاستقطاعات الفنية'!$I$6:$I$105,'الاستقطاعات الفنية'!$J$6:$J$105,"نعم",'الاستقطاعات الفنية'!$K$6:$K$105,"&lt;="&amp;$A19))</f>
        <v/>
      </c>
      <c r="T19" s="83" t="n"/>
      <c r="U19" s="84">
        <f>IF($C19="","",K19-O19-R19-S19-SUM($T$6:T19))</f>
        <v/>
      </c>
      <c r="V19" s="84">
        <f>IF($C19="","",ROUND(VATPct*(U19+IF(VATBeforeRet="نعم",R19,0)),2))</f>
        <v/>
      </c>
      <c r="W19" s="84">
        <f>IF($C19="","",ROUND(WHTPct*(U19+R19),2))</f>
        <v/>
      </c>
      <c r="X19" s="95">
        <f>IF($C19="","",U19+V19-W19)</f>
        <v/>
      </c>
      <c r="Y19" s="84">
        <f>IF($C19="","",N(X18))</f>
        <v/>
      </c>
      <c r="Z19" s="95">
        <f>IF($C19="","",X19-Y19)</f>
        <v/>
      </c>
      <c r="AA19" s="83" t="n"/>
      <c r="AB19" s="54" t="n"/>
      <c r="AC19" s="84">
        <f>IF($C19="","",Z19-N(AA19))</f>
        <v/>
      </c>
      <c r="AD19" s="96">
        <f>IF(OR(AB19="",E19=""),"",AB19-E19)</f>
        <v/>
      </c>
      <c r="AE19" s="78">
        <f>IF($C19="","",IF(N(AA19)=0,IF(E19="","⏳ بانتظار الاعتماد","✖ غير محصل"),IF(AC19&lt;=1,"✔ محصل بالكامل","⚠ محصل جزئياً")))</f>
        <v/>
      </c>
    </row>
    <row r="20">
      <c r="A20" s="94" t="n">
        <v>15</v>
      </c>
      <c r="B20" s="54" t="n"/>
      <c r="C20" s="54" t="n"/>
      <c r="D20" s="54" t="n"/>
      <c r="E20" s="54" t="n"/>
      <c r="F20" s="50" t="n"/>
      <c r="G20" s="84">
        <f>IF($C20="","",SUMPRODUCT('الكميات المنفذة'!$F$6:$F$105*'الكميات المنفذة'!$G$6:$AD$105*('الكميات المنفذة'!$G$5:$AD$5&lt;=$A20)))</f>
        <v/>
      </c>
      <c r="H20" s="84">
        <f>IF($C20="","",G20-N(G19))</f>
        <v/>
      </c>
      <c r="I20" s="84">
        <f>IF($C20="","",SUMIFS('الأوامر التغييرية'!$J$6:$J$55,'الأوامر التغييرية'!$H$6:$H$55,"معتمد",'الأوامر التغييرية'!$K$6:$K$55,"&lt;="&amp;$A20))</f>
        <v/>
      </c>
      <c r="J20" s="83" t="n"/>
      <c r="K20" s="84">
        <f>IF($C20="","",G20+I20+N(J20))</f>
        <v/>
      </c>
      <c r="L20" s="46">
        <f>IF($C20="","",IF(ContractValue+I20&gt;0,(G20+I20)/(ContractValue+I20),0))</f>
        <v/>
      </c>
      <c r="M20" s="59" t="n">
        <v>0.92</v>
      </c>
      <c r="N20" s="46">
        <f>IF(OR($C20="",M20=""),"",L20-M20)</f>
        <v/>
      </c>
      <c r="O20" s="84">
        <f>IF($C20="","",ROUND(IF(L20&gt;=RecFull,AdvAmount,MIN(AdvAmount,MAX(0,G20+I20-RecStart*ContractValue)*RecRate)),2))</f>
        <v/>
      </c>
      <c r="P20" s="84">
        <f>IF($C20="","",ROUND(MIN(K20*RetPct,RetCap),2))</f>
        <v/>
      </c>
      <c r="Q20" s="83" t="n"/>
      <c r="R20" s="84">
        <f>IF($C20="","",P20-SUM($Q$6:Q20))</f>
        <v/>
      </c>
      <c r="S20" s="84">
        <f>IF($C20="","",SUMIFS('الاستقطاعات الفنية'!$I$6:$I$105,'الاستقطاعات الفنية'!$D$6:$D$105,"&lt;="&amp;$A20)-SUMIFS('الاستقطاعات الفنية'!$I$6:$I$105,'الاستقطاعات الفنية'!$J$6:$J$105,"نعم",'الاستقطاعات الفنية'!$K$6:$K$105,"&lt;="&amp;$A20))</f>
        <v/>
      </c>
      <c r="T20" s="83" t="n"/>
      <c r="U20" s="84">
        <f>IF($C20="","",K20-O20-R20-S20-SUM($T$6:T20))</f>
        <v/>
      </c>
      <c r="V20" s="84">
        <f>IF($C20="","",ROUND(VATPct*(U20+IF(VATBeforeRet="نعم",R20,0)),2))</f>
        <v/>
      </c>
      <c r="W20" s="84">
        <f>IF($C20="","",ROUND(WHTPct*(U20+R20),2))</f>
        <v/>
      </c>
      <c r="X20" s="95">
        <f>IF($C20="","",U20+V20-W20)</f>
        <v/>
      </c>
      <c r="Y20" s="84">
        <f>IF($C20="","",N(X19))</f>
        <v/>
      </c>
      <c r="Z20" s="95">
        <f>IF($C20="","",X20-Y20)</f>
        <v/>
      </c>
      <c r="AA20" s="83" t="n"/>
      <c r="AB20" s="54" t="n"/>
      <c r="AC20" s="84">
        <f>IF($C20="","",Z20-N(AA20))</f>
        <v/>
      </c>
      <c r="AD20" s="96">
        <f>IF(OR(AB20="",E20=""),"",AB20-E20)</f>
        <v/>
      </c>
      <c r="AE20" s="78">
        <f>IF($C20="","",IF(N(AA20)=0,IF(E20="","⏳ بانتظار الاعتماد","✖ غير محصل"),IF(AC20&lt;=1,"✔ محصل بالكامل","⚠ محصل جزئياً")))</f>
        <v/>
      </c>
    </row>
    <row r="21">
      <c r="A21" s="94" t="n">
        <v>16</v>
      </c>
      <c r="B21" s="54" t="n"/>
      <c r="C21" s="54" t="n"/>
      <c r="D21" s="54" t="n"/>
      <c r="E21" s="54" t="n"/>
      <c r="F21" s="50" t="n"/>
      <c r="G21" s="84">
        <f>IF($C21="","",SUMPRODUCT('الكميات المنفذة'!$F$6:$F$105*'الكميات المنفذة'!$G$6:$AD$105*('الكميات المنفذة'!$G$5:$AD$5&lt;=$A21)))</f>
        <v/>
      </c>
      <c r="H21" s="84">
        <f>IF($C21="","",G21-N(G20))</f>
        <v/>
      </c>
      <c r="I21" s="84">
        <f>IF($C21="","",SUMIFS('الأوامر التغييرية'!$J$6:$J$55,'الأوامر التغييرية'!$H$6:$H$55,"معتمد",'الأوامر التغييرية'!$K$6:$K$55,"&lt;="&amp;$A21))</f>
        <v/>
      </c>
      <c r="J21" s="83" t="n"/>
      <c r="K21" s="84">
        <f>IF($C21="","",G21+I21+N(J21))</f>
        <v/>
      </c>
      <c r="L21" s="46">
        <f>IF($C21="","",IF(ContractValue+I21&gt;0,(G21+I21)/(ContractValue+I21),0))</f>
        <v/>
      </c>
      <c r="M21" s="59" t="n">
        <v>0.95</v>
      </c>
      <c r="N21" s="46">
        <f>IF(OR($C21="",M21=""),"",L21-M21)</f>
        <v/>
      </c>
      <c r="O21" s="84">
        <f>IF($C21="","",ROUND(IF(L21&gt;=RecFull,AdvAmount,MIN(AdvAmount,MAX(0,G21+I21-RecStart*ContractValue)*RecRate)),2))</f>
        <v/>
      </c>
      <c r="P21" s="84">
        <f>IF($C21="","",ROUND(MIN(K21*RetPct,RetCap),2))</f>
        <v/>
      </c>
      <c r="Q21" s="83" t="n"/>
      <c r="R21" s="84">
        <f>IF($C21="","",P21-SUM($Q$6:Q21))</f>
        <v/>
      </c>
      <c r="S21" s="84">
        <f>IF($C21="","",SUMIFS('الاستقطاعات الفنية'!$I$6:$I$105,'الاستقطاعات الفنية'!$D$6:$D$105,"&lt;="&amp;$A21)-SUMIFS('الاستقطاعات الفنية'!$I$6:$I$105,'الاستقطاعات الفنية'!$J$6:$J$105,"نعم",'الاستقطاعات الفنية'!$K$6:$K$105,"&lt;="&amp;$A21))</f>
        <v/>
      </c>
      <c r="T21" s="83" t="n"/>
      <c r="U21" s="84">
        <f>IF($C21="","",K21-O21-R21-S21-SUM($T$6:T21))</f>
        <v/>
      </c>
      <c r="V21" s="84">
        <f>IF($C21="","",ROUND(VATPct*(U21+IF(VATBeforeRet="نعم",R21,0)),2))</f>
        <v/>
      </c>
      <c r="W21" s="84">
        <f>IF($C21="","",ROUND(WHTPct*(U21+R21),2))</f>
        <v/>
      </c>
      <c r="X21" s="95">
        <f>IF($C21="","",U21+V21-W21)</f>
        <v/>
      </c>
      <c r="Y21" s="84">
        <f>IF($C21="","",N(X20))</f>
        <v/>
      </c>
      <c r="Z21" s="95">
        <f>IF($C21="","",X21-Y21)</f>
        <v/>
      </c>
      <c r="AA21" s="83" t="n"/>
      <c r="AB21" s="54" t="n"/>
      <c r="AC21" s="84">
        <f>IF($C21="","",Z21-N(AA21))</f>
        <v/>
      </c>
      <c r="AD21" s="96">
        <f>IF(OR(AB21="",E21=""),"",AB21-E21)</f>
        <v/>
      </c>
      <c r="AE21" s="78">
        <f>IF($C21="","",IF(N(AA21)=0,IF(E21="","⏳ بانتظار الاعتماد","✖ غير محصل"),IF(AC21&lt;=1,"✔ محصل بالكامل","⚠ محصل جزئياً")))</f>
        <v/>
      </c>
    </row>
    <row r="22">
      <c r="A22" s="94" t="n">
        <v>17</v>
      </c>
      <c r="B22" s="54" t="n"/>
      <c r="C22" s="54" t="n"/>
      <c r="D22" s="54" t="n"/>
      <c r="E22" s="54" t="n"/>
      <c r="F22" s="50" t="n"/>
      <c r="G22" s="84">
        <f>IF($C22="","",SUMPRODUCT('الكميات المنفذة'!$F$6:$F$105*'الكميات المنفذة'!$G$6:$AD$105*('الكميات المنفذة'!$G$5:$AD$5&lt;=$A22)))</f>
        <v/>
      </c>
      <c r="H22" s="84">
        <f>IF($C22="","",G22-N(G21))</f>
        <v/>
      </c>
      <c r="I22" s="84">
        <f>IF($C22="","",SUMIFS('الأوامر التغييرية'!$J$6:$J$55,'الأوامر التغييرية'!$H$6:$H$55,"معتمد",'الأوامر التغييرية'!$K$6:$K$55,"&lt;="&amp;$A22))</f>
        <v/>
      </c>
      <c r="J22" s="83" t="n"/>
      <c r="K22" s="84">
        <f>IF($C22="","",G22+I22+N(J22))</f>
        <v/>
      </c>
      <c r="L22" s="46">
        <f>IF($C22="","",IF(ContractValue+I22&gt;0,(G22+I22)/(ContractValue+I22),0))</f>
        <v/>
      </c>
      <c r="M22" s="59" t="n">
        <v>0.98</v>
      </c>
      <c r="N22" s="46">
        <f>IF(OR($C22="",M22=""),"",L22-M22)</f>
        <v/>
      </c>
      <c r="O22" s="84">
        <f>IF($C22="","",ROUND(IF(L22&gt;=RecFull,AdvAmount,MIN(AdvAmount,MAX(0,G22+I22-RecStart*ContractValue)*RecRate)),2))</f>
        <v/>
      </c>
      <c r="P22" s="84">
        <f>IF($C22="","",ROUND(MIN(K22*RetPct,RetCap),2))</f>
        <v/>
      </c>
      <c r="Q22" s="83" t="n"/>
      <c r="R22" s="84">
        <f>IF($C22="","",P22-SUM($Q$6:Q22))</f>
        <v/>
      </c>
      <c r="S22" s="84">
        <f>IF($C22="","",SUMIFS('الاستقطاعات الفنية'!$I$6:$I$105,'الاستقطاعات الفنية'!$D$6:$D$105,"&lt;="&amp;$A22)-SUMIFS('الاستقطاعات الفنية'!$I$6:$I$105,'الاستقطاعات الفنية'!$J$6:$J$105,"نعم",'الاستقطاعات الفنية'!$K$6:$K$105,"&lt;="&amp;$A22))</f>
        <v/>
      </c>
      <c r="T22" s="83" t="n"/>
      <c r="U22" s="84">
        <f>IF($C22="","",K22-O22-R22-S22-SUM($T$6:T22))</f>
        <v/>
      </c>
      <c r="V22" s="84">
        <f>IF($C22="","",ROUND(VATPct*(U22+IF(VATBeforeRet="نعم",R22,0)),2))</f>
        <v/>
      </c>
      <c r="W22" s="84">
        <f>IF($C22="","",ROUND(WHTPct*(U22+R22),2))</f>
        <v/>
      </c>
      <c r="X22" s="95">
        <f>IF($C22="","",U22+V22-W22)</f>
        <v/>
      </c>
      <c r="Y22" s="84">
        <f>IF($C22="","",N(X21))</f>
        <v/>
      </c>
      <c r="Z22" s="95">
        <f>IF($C22="","",X22-Y22)</f>
        <v/>
      </c>
      <c r="AA22" s="83" t="n"/>
      <c r="AB22" s="54" t="n"/>
      <c r="AC22" s="84">
        <f>IF($C22="","",Z22-N(AA22))</f>
        <v/>
      </c>
      <c r="AD22" s="96">
        <f>IF(OR(AB22="",E22=""),"",AB22-E22)</f>
        <v/>
      </c>
      <c r="AE22" s="78">
        <f>IF($C22="","",IF(N(AA22)=0,IF(E22="","⏳ بانتظار الاعتماد","✖ غير محصل"),IF(AC22&lt;=1,"✔ محصل بالكامل","⚠ محصل جزئياً")))</f>
        <v/>
      </c>
    </row>
    <row r="23">
      <c r="A23" s="94" t="n">
        <v>18</v>
      </c>
      <c r="B23" s="54" t="n"/>
      <c r="C23" s="54" t="n"/>
      <c r="D23" s="54" t="n"/>
      <c r="E23" s="54" t="n"/>
      <c r="F23" s="50" t="n"/>
      <c r="G23" s="84">
        <f>IF($C23="","",SUMPRODUCT('الكميات المنفذة'!$F$6:$F$105*'الكميات المنفذة'!$G$6:$AD$105*('الكميات المنفذة'!$G$5:$AD$5&lt;=$A23)))</f>
        <v/>
      </c>
      <c r="H23" s="84">
        <f>IF($C23="","",G23-N(G22))</f>
        <v/>
      </c>
      <c r="I23" s="84">
        <f>IF($C23="","",SUMIFS('الأوامر التغييرية'!$J$6:$J$55,'الأوامر التغييرية'!$H$6:$H$55,"معتمد",'الأوامر التغييرية'!$K$6:$K$55,"&lt;="&amp;$A23))</f>
        <v/>
      </c>
      <c r="J23" s="83" t="n"/>
      <c r="K23" s="84">
        <f>IF($C23="","",G23+I23+N(J23))</f>
        <v/>
      </c>
      <c r="L23" s="46">
        <f>IF($C23="","",IF(ContractValue+I23&gt;0,(G23+I23)/(ContractValue+I23),0))</f>
        <v/>
      </c>
      <c r="M23" s="59" t="n">
        <v>1</v>
      </c>
      <c r="N23" s="46">
        <f>IF(OR($C23="",M23=""),"",L23-M23)</f>
        <v/>
      </c>
      <c r="O23" s="84">
        <f>IF($C23="","",ROUND(IF(L23&gt;=RecFull,AdvAmount,MIN(AdvAmount,MAX(0,G23+I23-RecStart*ContractValue)*RecRate)),2))</f>
        <v/>
      </c>
      <c r="P23" s="84">
        <f>IF($C23="","",ROUND(MIN(K23*RetPct,RetCap),2))</f>
        <v/>
      </c>
      <c r="Q23" s="83" t="n"/>
      <c r="R23" s="84">
        <f>IF($C23="","",P23-SUM($Q$6:Q23))</f>
        <v/>
      </c>
      <c r="S23" s="84">
        <f>IF($C23="","",SUMIFS('الاستقطاعات الفنية'!$I$6:$I$105,'الاستقطاعات الفنية'!$D$6:$D$105,"&lt;="&amp;$A23)-SUMIFS('الاستقطاعات الفنية'!$I$6:$I$105,'الاستقطاعات الفنية'!$J$6:$J$105,"نعم",'الاستقطاعات الفنية'!$K$6:$K$105,"&lt;="&amp;$A23))</f>
        <v/>
      </c>
      <c r="T23" s="83" t="n"/>
      <c r="U23" s="84">
        <f>IF($C23="","",K23-O23-R23-S23-SUM($T$6:T23))</f>
        <v/>
      </c>
      <c r="V23" s="84">
        <f>IF($C23="","",ROUND(VATPct*(U23+IF(VATBeforeRet="نعم",R23,0)),2))</f>
        <v/>
      </c>
      <c r="W23" s="84">
        <f>IF($C23="","",ROUND(WHTPct*(U23+R23),2))</f>
        <v/>
      </c>
      <c r="X23" s="95">
        <f>IF($C23="","",U23+V23-W23)</f>
        <v/>
      </c>
      <c r="Y23" s="84">
        <f>IF($C23="","",N(X22))</f>
        <v/>
      </c>
      <c r="Z23" s="95">
        <f>IF($C23="","",X23-Y23)</f>
        <v/>
      </c>
      <c r="AA23" s="83" t="n"/>
      <c r="AB23" s="54" t="n"/>
      <c r="AC23" s="84">
        <f>IF($C23="","",Z23-N(AA23))</f>
        <v/>
      </c>
      <c r="AD23" s="96">
        <f>IF(OR(AB23="",E23=""),"",AB23-E23)</f>
        <v/>
      </c>
      <c r="AE23" s="78">
        <f>IF($C23="","",IF(N(AA23)=0,IF(E23="","⏳ بانتظار الاعتماد","✖ غير محصل"),IF(AC23&lt;=1,"✔ محصل بالكامل","⚠ محصل جزئياً")))</f>
        <v/>
      </c>
    </row>
    <row r="24">
      <c r="A24" s="94" t="n">
        <v>19</v>
      </c>
      <c r="B24" s="54" t="n"/>
      <c r="C24" s="54" t="n"/>
      <c r="D24" s="54" t="n"/>
      <c r="E24" s="54" t="n"/>
      <c r="F24" s="50" t="n"/>
      <c r="G24" s="84">
        <f>IF($C24="","",SUMPRODUCT('الكميات المنفذة'!$F$6:$F$105*'الكميات المنفذة'!$G$6:$AD$105*('الكميات المنفذة'!$G$5:$AD$5&lt;=$A24)))</f>
        <v/>
      </c>
      <c r="H24" s="84">
        <f>IF($C24="","",G24-N(G23))</f>
        <v/>
      </c>
      <c r="I24" s="84">
        <f>IF($C24="","",SUMIFS('الأوامر التغييرية'!$J$6:$J$55,'الأوامر التغييرية'!$H$6:$H$55,"معتمد",'الأوامر التغييرية'!$K$6:$K$55,"&lt;="&amp;$A24))</f>
        <v/>
      </c>
      <c r="J24" s="83" t="n"/>
      <c r="K24" s="84">
        <f>IF($C24="","",G24+I24+N(J24))</f>
        <v/>
      </c>
      <c r="L24" s="46">
        <f>IF($C24="","",IF(ContractValue+I24&gt;0,(G24+I24)/(ContractValue+I24),0))</f>
        <v/>
      </c>
      <c r="M24" s="59" t="n"/>
      <c r="N24" s="46">
        <f>IF(OR($C24="",M24=""),"",L24-M24)</f>
        <v/>
      </c>
      <c r="O24" s="84">
        <f>IF($C24="","",ROUND(IF(L24&gt;=RecFull,AdvAmount,MIN(AdvAmount,MAX(0,G24+I24-RecStart*ContractValue)*RecRate)),2))</f>
        <v/>
      </c>
      <c r="P24" s="84">
        <f>IF($C24="","",ROUND(MIN(K24*RetPct,RetCap),2))</f>
        <v/>
      </c>
      <c r="Q24" s="83" t="n"/>
      <c r="R24" s="84">
        <f>IF($C24="","",P24-SUM($Q$6:Q24))</f>
        <v/>
      </c>
      <c r="S24" s="84">
        <f>IF($C24="","",SUMIFS('الاستقطاعات الفنية'!$I$6:$I$105,'الاستقطاعات الفنية'!$D$6:$D$105,"&lt;="&amp;$A24)-SUMIFS('الاستقطاعات الفنية'!$I$6:$I$105,'الاستقطاعات الفنية'!$J$6:$J$105,"نعم",'الاستقطاعات الفنية'!$K$6:$K$105,"&lt;="&amp;$A24))</f>
        <v/>
      </c>
      <c r="T24" s="83" t="n"/>
      <c r="U24" s="84">
        <f>IF($C24="","",K24-O24-R24-S24-SUM($T$6:T24))</f>
        <v/>
      </c>
      <c r="V24" s="84">
        <f>IF($C24="","",ROUND(VATPct*(U24+IF(VATBeforeRet="نعم",R24,0)),2))</f>
        <v/>
      </c>
      <c r="W24" s="84">
        <f>IF($C24="","",ROUND(WHTPct*(U24+R24),2))</f>
        <v/>
      </c>
      <c r="X24" s="95">
        <f>IF($C24="","",U24+V24-W24)</f>
        <v/>
      </c>
      <c r="Y24" s="84">
        <f>IF($C24="","",N(X23))</f>
        <v/>
      </c>
      <c r="Z24" s="95">
        <f>IF($C24="","",X24-Y24)</f>
        <v/>
      </c>
      <c r="AA24" s="83" t="n"/>
      <c r="AB24" s="54" t="n"/>
      <c r="AC24" s="84">
        <f>IF($C24="","",Z24-N(AA24))</f>
        <v/>
      </c>
      <c r="AD24" s="96">
        <f>IF(OR(AB24="",E24=""),"",AB24-E24)</f>
        <v/>
      </c>
      <c r="AE24" s="78">
        <f>IF($C24="","",IF(N(AA24)=0,IF(E24="","⏳ بانتظار الاعتماد","✖ غير محصل"),IF(AC24&lt;=1,"✔ محصل بالكامل","⚠ محصل جزئياً")))</f>
        <v/>
      </c>
    </row>
    <row r="25">
      <c r="A25" s="94" t="n">
        <v>20</v>
      </c>
      <c r="B25" s="54" t="n"/>
      <c r="C25" s="54" t="n"/>
      <c r="D25" s="54" t="n"/>
      <c r="E25" s="54" t="n"/>
      <c r="F25" s="50" t="n"/>
      <c r="G25" s="84">
        <f>IF($C25="","",SUMPRODUCT('الكميات المنفذة'!$F$6:$F$105*'الكميات المنفذة'!$G$6:$AD$105*('الكميات المنفذة'!$G$5:$AD$5&lt;=$A25)))</f>
        <v/>
      </c>
      <c r="H25" s="84">
        <f>IF($C25="","",G25-N(G24))</f>
        <v/>
      </c>
      <c r="I25" s="84">
        <f>IF($C25="","",SUMIFS('الأوامر التغييرية'!$J$6:$J$55,'الأوامر التغييرية'!$H$6:$H$55,"معتمد",'الأوامر التغييرية'!$K$6:$K$55,"&lt;="&amp;$A25))</f>
        <v/>
      </c>
      <c r="J25" s="83" t="n"/>
      <c r="K25" s="84">
        <f>IF($C25="","",G25+I25+N(J25))</f>
        <v/>
      </c>
      <c r="L25" s="46">
        <f>IF($C25="","",IF(ContractValue+I25&gt;0,(G25+I25)/(ContractValue+I25),0))</f>
        <v/>
      </c>
      <c r="M25" s="59" t="n"/>
      <c r="N25" s="46">
        <f>IF(OR($C25="",M25=""),"",L25-M25)</f>
        <v/>
      </c>
      <c r="O25" s="84">
        <f>IF($C25="","",ROUND(IF(L25&gt;=RecFull,AdvAmount,MIN(AdvAmount,MAX(0,G25+I25-RecStart*ContractValue)*RecRate)),2))</f>
        <v/>
      </c>
      <c r="P25" s="84">
        <f>IF($C25="","",ROUND(MIN(K25*RetPct,RetCap),2))</f>
        <v/>
      </c>
      <c r="Q25" s="83" t="n"/>
      <c r="R25" s="84">
        <f>IF($C25="","",P25-SUM($Q$6:Q25))</f>
        <v/>
      </c>
      <c r="S25" s="84">
        <f>IF($C25="","",SUMIFS('الاستقطاعات الفنية'!$I$6:$I$105,'الاستقطاعات الفنية'!$D$6:$D$105,"&lt;="&amp;$A25)-SUMIFS('الاستقطاعات الفنية'!$I$6:$I$105,'الاستقطاعات الفنية'!$J$6:$J$105,"نعم",'الاستقطاعات الفنية'!$K$6:$K$105,"&lt;="&amp;$A25))</f>
        <v/>
      </c>
      <c r="T25" s="83" t="n"/>
      <c r="U25" s="84">
        <f>IF($C25="","",K25-O25-R25-S25-SUM($T$6:T25))</f>
        <v/>
      </c>
      <c r="V25" s="84">
        <f>IF($C25="","",ROUND(VATPct*(U25+IF(VATBeforeRet="نعم",R25,0)),2))</f>
        <v/>
      </c>
      <c r="W25" s="84">
        <f>IF($C25="","",ROUND(WHTPct*(U25+R25),2))</f>
        <v/>
      </c>
      <c r="X25" s="95">
        <f>IF($C25="","",U25+V25-W25)</f>
        <v/>
      </c>
      <c r="Y25" s="84">
        <f>IF($C25="","",N(X24))</f>
        <v/>
      </c>
      <c r="Z25" s="95">
        <f>IF($C25="","",X25-Y25)</f>
        <v/>
      </c>
      <c r="AA25" s="83" t="n"/>
      <c r="AB25" s="54" t="n"/>
      <c r="AC25" s="84">
        <f>IF($C25="","",Z25-N(AA25))</f>
        <v/>
      </c>
      <c r="AD25" s="96">
        <f>IF(OR(AB25="",E25=""),"",AB25-E25)</f>
        <v/>
      </c>
      <c r="AE25" s="78">
        <f>IF($C25="","",IF(N(AA25)=0,IF(E25="","⏳ بانتظار الاعتماد","✖ غير محصل"),IF(AC25&lt;=1,"✔ محصل بالكامل","⚠ محصل جزئياً")))</f>
        <v/>
      </c>
    </row>
    <row r="26">
      <c r="A26" s="94" t="n">
        <v>21</v>
      </c>
      <c r="B26" s="54" t="n"/>
      <c r="C26" s="54" t="n"/>
      <c r="D26" s="54" t="n"/>
      <c r="E26" s="54" t="n"/>
      <c r="F26" s="50" t="n"/>
      <c r="G26" s="84">
        <f>IF($C26="","",SUMPRODUCT('الكميات المنفذة'!$F$6:$F$105*'الكميات المنفذة'!$G$6:$AD$105*('الكميات المنفذة'!$G$5:$AD$5&lt;=$A26)))</f>
        <v/>
      </c>
      <c r="H26" s="84">
        <f>IF($C26="","",G26-N(G25))</f>
        <v/>
      </c>
      <c r="I26" s="84">
        <f>IF($C26="","",SUMIFS('الأوامر التغييرية'!$J$6:$J$55,'الأوامر التغييرية'!$H$6:$H$55,"معتمد",'الأوامر التغييرية'!$K$6:$K$55,"&lt;="&amp;$A26))</f>
        <v/>
      </c>
      <c r="J26" s="83" t="n"/>
      <c r="K26" s="84">
        <f>IF($C26="","",G26+I26+N(J26))</f>
        <v/>
      </c>
      <c r="L26" s="46">
        <f>IF($C26="","",IF(ContractValue+I26&gt;0,(G26+I26)/(ContractValue+I26),0))</f>
        <v/>
      </c>
      <c r="M26" s="59" t="n"/>
      <c r="N26" s="46">
        <f>IF(OR($C26="",M26=""),"",L26-M26)</f>
        <v/>
      </c>
      <c r="O26" s="84">
        <f>IF($C26="","",ROUND(IF(L26&gt;=RecFull,AdvAmount,MIN(AdvAmount,MAX(0,G26+I26-RecStart*ContractValue)*RecRate)),2))</f>
        <v/>
      </c>
      <c r="P26" s="84">
        <f>IF($C26="","",ROUND(MIN(K26*RetPct,RetCap),2))</f>
        <v/>
      </c>
      <c r="Q26" s="83" t="n"/>
      <c r="R26" s="84">
        <f>IF($C26="","",P26-SUM($Q$6:Q26))</f>
        <v/>
      </c>
      <c r="S26" s="84">
        <f>IF($C26="","",SUMIFS('الاستقطاعات الفنية'!$I$6:$I$105,'الاستقطاعات الفنية'!$D$6:$D$105,"&lt;="&amp;$A26)-SUMIFS('الاستقطاعات الفنية'!$I$6:$I$105,'الاستقطاعات الفنية'!$J$6:$J$105,"نعم",'الاستقطاعات الفنية'!$K$6:$K$105,"&lt;="&amp;$A26))</f>
        <v/>
      </c>
      <c r="T26" s="83" t="n"/>
      <c r="U26" s="84">
        <f>IF($C26="","",K26-O26-R26-S26-SUM($T$6:T26))</f>
        <v/>
      </c>
      <c r="V26" s="84">
        <f>IF($C26="","",ROUND(VATPct*(U26+IF(VATBeforeRet="نعم",R26,0)),2))</f>
        <v/>
      </c>
      <c r="W26" s="84">
        <f>IF($C26="","",ROUND(WHTPct*(U26+R26),2))</f>
        <v/>
      </c>
      <c r="X26" s="95">
        <f>IF($C26="","",U26+V26-W26)</f>
        <v/>
      </c>
      <c r="Y26" s="84">
        <f>IF($C26="","",N(X25))</f>
        <v/>
      </c>
      <c r="Z26" s="95">
        <f>IF($C26="","",X26-Y26)</f>
        <v/>
      </c>
      <c r="AA26" s="83" t="n"/>
      <c r="AB26" s="54" t="n"/>
      <c r="AC26" s="84">
        <f>IF($C26="","",Z26-N(AA26))</f>
        <v/>
      </c>
      <c r="AD26" s="96">
        <f>IF(OR(AB26="",E26=""),"",AB26-E26)</f>
        <v/>
      </c>
      <c r="AE26" s="78">
        <f>IF($C26="","",IF(N(AA26)=0,IF(E26="","⏳ بانتظار الاعتماد","✖ غير محصل"),IF(AC26&lt;=1,"✔ محصل بالكامل","⚠ محصل جزئياً")))</f>
        <v/>
      </c>
    </row>
    <row r="27">
      <c r="A27" s="94" t="n">
        <v>22</v>
      </c>
      <c r="B27" s="54" t="n"/>
      <c r="C27" s="54" t="n"/>
      <c r="D27" s="54" t="n"/>
      <c r="E27" s="54" t="n"/>
      <c r="F27" s="50" t="n"/>
      <c r="G27" s="84">
        <f>IF($C27="","",SUMPRODUCT('الكميات المنفذة'!$F$6:$F$105*'الكميات المنفذة'!$G$6:$AD$105*('الكميات المنفذة'!$G$5:$AD$5&lt;=$A27)))</f>
        <v/>
      </c>
      <c r="H27" s="84">
        <f>IF($C27="","",G27-N(G26))</f>
        <v/>
      </c>
      <c r="I27" s="84">
        <f>IF($C27="","",SUMIFS('الأوامر التغييرية'!$J$6:$J$55,'الأوامر التغييرية'!$H$6:$H$55,"معتمد",'الأوامر التغييرية'!$K$6:$K$55,"&lt;="&amp;$A27))</f>
        <v/>
      </c>
      <c r="J27" s="83" t="n"/>
      <c r="K27" s="84">
        <f>IF($C27="","",G27+I27+N(J27))</f>
        <v/>
      </c>
      <c r="L27" s="46">
        <f>IF($C27="","",IF(ContractValue+I27&gt;0,(G27+I27)/(ContractValue+I27),0))</f>
        <v/>
      </c>
      <c r="M27" s="59" t="n"/>
      <c r="N27" s="46">
        <f>IF(OR($C27="",M27=""),"",L27-M27)</f>
        <v/>
      </c>
      <c r="O27" s="84">
        <f>IF($C27="","",ROUND(IF(L27&gt;=RecFull,AdvAmount,MIN(AdvAmount,MAX(0,G27+I27-RecStart*ContractValue)*RecRate)),2))</f>
        <v/>
      </c>
      <c r="P27" s="84">
        <f>IF($C27="","",ROUND(MIN(K27*RetPct,RetCap),2))</f>
        <v/>
      </c>
      <c r="Q27" s="83" t="n"/>
      <c r="R27" s="84">
        <f>IF($C27="","",P27-SUM($Q$6:Q27))</f>
        <v/>
      </c>
      <c r="S27" s="84">
        <f>IF($C27="","",SUMIFS('الاستقطاعات الفنية'!$I$6:$I$105,'الاستقطاعات الفنية'!$D$6:$D$105,"&lt;="&amp;$A27)-SUMIFS('الاستقطاعات الفنية'!$I$6:$I$105,'الاستقطاعات الفنية'!$J$6:$J$105,"نعم",'الاستقطاعات الفنية'!$K$6:$K$105,"&lt;="&amp;$A27))</f>
        <v/>
      </c>
      <c r="T27" s="83" t="n"/>
      <c r="U27" s="84">
        <f>IF($C27="","",K27-O27-R27-S27-SUM($T$6:T27))</f>
        <v/>
      </c>
      <c r="V27" s="84">
        <f>IF($C27="","",ROUND(VATPct*(U27+IF(VATBeforeRet="نعم",R27,0)),2))</f>
        <v/>
      </c>
      <c r="W27" s="84">
        <f>IF($C27="","",ROUND(WHTPct*(U27+R27),2))</f>
        <v/>
      </c>
      <c r="X27" s="95">
        <f>IF($C27="","",U27+V27-W27)</f>
        <v/>
      </c>
      <c r="Y27" s="84">
        <f>IF($C27="","",N(X26))</f>
        <v/>
      </c>
      <c r="Z27" s="95">
        <f>IF($C27="","",X27-Y27)</f>
        <v/>
      </c>
      <c r="AA27" s="83" t="n"/>
      <c r="AB27" s="54" t="n"/>
      <c r="AC27" s="84">
        <f>IF($C27="","",Z27-N(AA27))</f>
        <v/>
      </c>
      <c r="AD27" s="96">
        <f>IF(OR(AB27="",E27=""),"",AB27-E27)</f>
        <v/>
      </c>
      <c r="AE27" s="78">
        <f>IF($C27="","",IF(N(AA27)=0,IF(E27="","⏳ بانتظار الاعتماد","✖ غير محصل"),IF(AC27&lt;=1,"✔ محصل بالكامل","⚠ محصل جزئياً")))</f>
        <v/>
      </c>
    </row>
    <row r="28">
      <c r="A28" s="94" t="n">
        <v>23</v>
      </c>
      <c r="B28" s="54" t="n"/>
      <c r="C28" s="54" t="n"/>
      <c r="D28" s="54" t="n"/>
      <c r="E28" s="54" t="n"/>
      <c r="F28" s="50" t="n"/>
      <c r="G28" s="84">
        <f>IF($C28="","",SUMPRODUCT('الكميات المنفذة'!$F$6:$F$105*'الكميات المنفذة'!$G$6:$AD$105*('الكميات المنفذة'!$G$5:$AD$5&lt;=$A28)))</f>
        <v/>
      </c>
      <c r="H28" s="84">
        <f>IF($C28="","",G28-N(G27))</f>
        <v/>
      </c>
      <c r="I28" s="84">
        <f>IF($C28="","",SUMIFS('الأوامر التغييرية'!$J$6:$J$55,'الأوامر التغييرية'!$H$6:$H$55,"معتمد",'الأوامر التغييرية'!$K$6:$K$55,"&lt;="&amp;$A28))</f>
        <v/>
      </c>
      <c r="J28" s="83" t="n"/>
      <c r="K28" s="84">
        <f>IF($C28="","",G28+I28+N(J28))</f>
        <v/>
      </c>
      <c r="L28" s="46">
        <f>IF($C28="","",IF(ContractValue+I28&gt;0,(G28+I28)/(ContractValue+I28),0))</f>
        <v/>
      </c>
      <c r="M28" s="59" t="n"/>
      <c r="N28" s="46">
        <f>IF(OR($C28="",M28=""),"",L28-M28)</f>
        <v/>
      </c>
      <c r="O28" s="84">
        <f>IF($C28="","",ROUND(IF(L28&gt;=RecFull,AdvAmount,MIN(AdvAmount,MAX(0,G28+I28-RecStart*ContractValue)*RecRate)),2))</f>
        <v/>
      </c>
      <c r="P28" s="84">
        <f>IF($C28="","",ROUND(MIN(K28*RetPct,RetCap),2))</f>
        <v/>
      </c>
      <c r="Q28" s="83" t="n"/>
      <c r="R28" s="84">
        <f>IF($C28="","",P28-SUM($Q$6:Q28))</f>
        <v/>
      </c>
      <c r="S28" s="84">
        <f>IF($C28="","",SUMIFS('الاستقطاعات الفنية'!$I$6:$I$105,'الاستقطاعات الفنية'!$D$6:$D$105,"&lt;="&amp;$A28)-SUMIFS('الاستقطاعات الفنية'!$I$6:$I$105,'الاستقطاعات الفنية'!$J$6:$J$105,"نعم",'الاستقطاعات الفنية'!$K$6:$K$105,"&lt;="&amp;$A28))</f>
        <v/>
      </c>
      <c r="T28" s="83" t="n"/>
      <c r="U28" s="84">
        <f>IF($C28="","",K28-O28-R28-S28-SUM($T$6:T28))</f>
        <v/>
      </c>
      <c r="V28" s="84">
        <f>IF($C28="","",ROUND(VATPct*(U28+IF(VATBeforeRet="نعم",R28,0)),2))</f>
        <v/>
      </c>
      <c r="W28" s="84">
        <f>IF($C28="","",ROUND(WHTPct*(U28+R28),2))</f>
        <v/>
      </c>
      <c r="X28" s="95">
        <f>IF($C28="","",U28+V28-W28)</f>
        <v/>
      </c>
      <c r="Y28" s="84">
        <f>IF($C28="","",N(X27))</f>
        <v/>
      </c>
      <c r="Z28" s="95">
        <f>IF($C28="","",X28-Y28)</f>
        <v/>
      </c>
      <c r="AA28" s="83" t="n"/>
      <c r="AB28" s="54" t="n"/>
      <c r="AC28" s="84">
        <f>IF($C28="","",Z28-N(AA28))</f>
        <v/>
      </c>
      <c r="AD28" s="96">
        <f>IF(OR(AB28="",E28=""),"",AB28-E28)</f>
        <v/>
      </c>
      <c r="AE28" s="78">
        <f>IF($C28="","",IF(N(AA28)=0,IF(E28="","⏳ بانتظار الاعتماد","✖ غير محصل"),IF(AC28&lt;=1,"✔ محصل بالكامل","⚠ محصل جزئياً")))</f>
        <v/>
      </c>
    </row>
    <row r="29">
      <c r="A29" s="94" t="n">
        <v>24</v>
      </c>
      <c r="B29" s="54" t="n"/>
      <c r="C29" s="54" t="n"/>
      <c r="D29" s="54" t="n"/>
      <c r="E29" s="54" t="n"/>
      <c r="F29" s="50" t="n"/>
      <c r="G29" s="84">
        <f>IF($C29="","",SUMPRODUCT('الكميات المنفذة'!$F$6:$F$105*'الكميات المنفذة'!$G$6:$AD$105*('الكميات المنفذة'!$G$5:$AD$5&lt;=$A29)))</f>
        <v/>
      </c>
      <c r="H29" s="84">
        <f>IF($C29="","",G29-N(G28))</f>
        <v/>
      </c>
      <c r="I29" s="84">
        <f>IF($C29="","",SUMIFS('الأوامر التغييرية'!$J$6:$J$55,'الأوامر التغييرية'!$H$6:$H$55,"معتمد",'الأوامر التغييرية'!$K$6:$K$55,"&lt;="&amp;$A29))</f>
        <v/>
      </c>
      <c r="J29" s="83" t="n"/>
      <c r="K29" s="84">
        <f>IF($C29="","",G29+I29+N(J29))</f>
        <v/>
      </c>
      <c r="L29" s="46">
        <f>IF($C29="","",IF(ContractValue+I29&gt;0,(G29+I29)/(ContractValue+I29),0))</f>
        <v/>
      </c>
      <c r="M29" s="59" t="n"/>
      <c r="N29" s="46">
        <f>IF(OR($C29="",M29=""),"",L29-M29)</f>
        <v/>
      </c>
      <c r="O29" s="84">
        <f>IF($C29="","",ROUND(IF(L29&gt;=RecFull,AdvAmount,MIN(AdvAmount,MAX(0,G29+I29-RecStart*ContractValue)*RecRate)),2))</f>
        <v/>
      </c>
      <c r="P29" s="84">
        <f>IF($C29="","",ROUND(MIN(K29*RetPct,RetCap),2))</f>
        <v/>
      </c>
      <c r="Q29" s="83" t="n"/>
      <c r="R29" s="84">
        <f>IF($C29="","",P29-SUM($Q$6:Q29))</f>
        <v/>
      </c>
      <c r="S29" s="84">
        <f>IF($C29="","",SUMIFS('الاستقطاعات الفنية'!$I$6:$I$105,'الاستقطاعات الفنية'!$D$6:$D$105,"&lt;="&amp;$A29)-SUMIFS('الاستقطاعات الفنية'!$I$6:$I$105,'الاستقطاعات الفنية'!$J$6:$J$105,"نعم",'الاستقطاعات الفنية'!$K$6:$K$105,"&lt;="&amp;$A29))</f>
        <v/>
      </c>
      <c r="T29" s="83" t="n"/>
      <c r="U29" s="84">
        <f>IF($C29="","",K29-O29-R29-S29-SUM($T$6:T29))</f>
        <v/>
      </c>
      <c r="V29" s="84">
        <f>IF($C29="","",ROUND(VATPct*(U29+IF(VATBeforeRet="نعم",R29,0)),2))</f>
        <v/>
      </c>
      <c r="W29" s="84">
        <f>IF($C29="","",ROUND(WHTPct*(U29+R29),2))</f>
        <v/>
      </c>
      <c r="X29" s="95">
        <f>IF($C29="","",U29+V29-W29)</f>
        <v/>
      </c>
      <c r="Y29" s="84">
        <f>IF($C29="","",N(X28))</f>
        <v/>
      </c>
      <c r="Z29" s="95">
        <f>IF($C29="","",X29-Y29)</f>
        <v/>
      </c>
      <c r="AA29" s="83" t="n"/>
      <c r="AB29" s="54" t="n"/>
      <c r="AC29" s="84">
        <f>IF($C29="","",Z29-N(AA29))</f>
        <v/>
      </c>
      <c r="AD29" s="96">
        <f>IF(OR(AB29="",E29=""),"",AB29-E29)</f>
        <v/>
      </c>
      <c r="AE29" s="78">
        <f>IF($C29="","",IF(N(AA29)=0,IF(E29="","⏳ بانتظار الاعتماد","✖ غير محصل"),IF(AC29&lt;=1,"✔ محصل بالكامل","⚠ محصل جزئياً")))</f>
        <v/>
      </c>
    </row>
    <row r="30" ht="26" customHeight="1">
      <c r="A30" s="79" t="inlineStr">
        <is>
          <t>الإجمالي / آخر رصيد</t>
        </is>
      </c>
      <c r="B30" s="79" t="n"/>
      <c r="C30" s="79" t="n"/>
      <c r="D30" s="79" t="n"/>
      <c r="E30" s="79" t="n"/>
      <c r="F30" s="79" t="n"/>
      <c r="G30" s="81">
        <f>IF(LatestIPC=0,0,INDEX(G6:G29,LatestIPC))</f>
        <v/>
      </c>
      <c r="H30" s="81">
        <f>SUM(H6:H29)</f>
        <v/>
      </c>
      <c r="I30" s="81">
        <f>IF(LatestIPC=0,0,INDEX(I6:I29,LatestIPC))</f>
        <v/>
      </c>
      <c r="J30" s="81">
        <f>IF(LatestIPC=0,0,INDEX(J6:J29,LatestIPC))</f>
        <v/>
      </c>
      <c r="K30" s="81">
        <f>IF(LatestIPC=0,0,INDEX(K6:K29,LatestIPC))</f>
        <v/>
      </c>
      <c r="L30" s="48">
        <f>IF(LatestIPC=0,0,INDEX(L6:L29,LatestIPC))</f>
        <v/>
      </c>
      <c r="M30" s="48" t="n"/>
      <c r="N30" s="48" t="n"/>
      <c r="O30" s="81">
        <f>IF(LatestIPC=0,0,INDEX(O6:O29,LatestIPC))</f>
        <v/>
      </c>
      <c r="P30" s="81">
        <f>IF(LatestIPC=0,0,INDEX(P6:P29,LatestIPC))</f>
        <v/>
      </c>
      <c r="Q30" s="81">
        <f>SUM(Q6:Q29)</f>
        <v/>
      </c>
      <c r="R30" s="81">
        <f>IF(LatestIPC=0,0,INDEX(R6:R29,LatestIPC))</f>
        <v/>
      </c>
      <c r="S30" s="81">
        <f>IF(LatestIPC=0,0,INDEX(S6:S29,LatestIPC))</f>
        <v/>
      </c>
      <c r="T30" s="81">
        <f>SUM(T6:T29)</f>
        <v/>
      </c>
      <c r="U30" s="81">
        <f>IF(LatestIPC=0,0,INDEX(U6:U29,LatestIPC))</f>
        <v/>
      </c>
      <c r="V30" s="81">
        <f>IF(LatestIPC=0,0,INDEX(V6:V29,LatestIPC))</f>
        <v/>
      </c>
      <c r="W30" s="81">
        <f>IF(LatestIPC=0,0,INDEX(W6:W29,LatestIPC))</f>
        <v/>
      </c>
      <c r="X30" s="81">
        <f>IF(LatestIPC=0,0,INDEX(X6:X29,LatestIPC))</f>
        <v/>
      </c>
      <c r="Y30" s="81">
        <f>IF(LatestIPC=0,0,INDEX(Y6:Y29,LatestIPC))</f>
        <v/>
      </c>
      <c r="Z30" s="81">
        <f>SUM(Z6:Z29)</f>
        <v/>
      </c>
      <c r="AA30" s="81">
        <f>SUM(AA6:AA29)</f>
        <v/>
      </c>
      <c r="AB30" s="97" t="n"/>
      <c r="AC30" s="81">
        <f>SUM(AC6:AC29)</f>
        <v/>
      </c>
      <c r="AD30" s="98">
        <f>IFERROR(AVERAGE(AD6:AD29),0)</f>
        <v/>
      </c>
      <c r="AE30" s="42" t="n"/>
    </row>
    <row r="32" ht="30" customHeight="1">
      <c r="A32" s="82" t="inlineStr">
        <is>
          <t>ملاحظات: الخلايا الصفراء إدخال يدوي — يصبح المستخلص فعالاً بمجرد إدخال «الفترة إلى». رصيد المواد = الرصيد القائم بالموقع في نهاية الفترة (وليس الإضافة). الإفراج عن الضمان والغرامات = مبالغ الفترة فقط ويتم تجميعها آلياً.</t>
        </is>
      </c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</row>
  </sheetData>
  <mergeCells count="9">
    <mergeCell ref="AA4:AE4"/>
    <mergeCell ref="G4:N4"/>
    <mergeCell ref="A2:AE2"/>
    <mergeCell ref="A1:AE1"/>
    <mergeCell ref="O4:T4"/>
    <mergeCell ref="A32:AE32"/>
    <mergeCell ref="U4:Z4"/>
    <mergeCell ref="A4:F4"/>
    <mergeCell ref="A30:F30"/>
  </mergeCells>
  <conditionalFormatting sqref="A6:AE29">
    <cfRule type="expression" priority="1" dxfId="9">
      <formula>$A6=LatestIPC</formula>
    </cfRule>
  </conditionalFormatting>
  <conditionalFormatting sqref="N6:N29">
    <cfRule type="cellIs" priority="2" operator="lessThan" dxfId="0">
      <formula>-0.0001</formula>
    </cfRule>
    <cfRule type="cellIs" priority="3" operator="greaterThanOrEqual" dxfId="1">
      <formula>0</formula>
    </cfRule>
  </conditionalFormatting>
  <conditionalFormatting sqref="AE6:AE29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10">
      <formula>ISNUMBER(SEARCH("⚠",AE6))</formula>
    </cfRule>
  </conditionalFormatting>
  <conditionalFormatting sqref="F6:F29">
    <cfRule type="expression" priority="7" dxfId="11">
      <formula>F6="معتمد"</formula>
    </cfRule>
    <cfRule type="expression" priority="8" dxfId="12">
      <formula>F6="مرفوض"</formula>
    </cfRule>
  </conditionalFormatting>
  <conditionalFormatting sqref="L6:L29">
    <cfRule type="dataBar" priority="9">
      <dataBar>
        <cfvo type="num" val="0"/>
        <cfvo type="num" val="1"/>
        <color rgb="0063BE7B"/>
      </dataBar>
    </cfRule>
  </conditionalFormatting>
  <dataValidations count="4">
    <dataValidation sqref="F6:F29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B6:E29 AB6:AB2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M6:M29" showDropDown="0" showInputMessage="1" showErrorMessage="1" allowBlank="1" errorTitle="قيمة غير صحيحة" error="أدخل رقماً صحيحاً ضمن الحدود المسموحة." promptTitle="إرشاد" prompt="النسبة التراكمية المخططة من البرنامج الزمني" type="decimal" operator="between">
      <formula1>0</formula1>
      <formula2>1</formula2>
    </dataValidation>
    <dataValidation sqref="J6:J29 Q6:Q29 T6:T29 AA6:AA29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B3" location="'لوحة التحكم'!A1" display="📊 لوحة التحكم"/>
    <hyperlink ref="D3" location="'بيانات العقد'!A1" display="⚙ بيانات العقد"/>
    <hyperlink ref="F3" location="'جدول الكميات'!A1" display="📋 الكميات"/>
    <hyperlink ref="H3" location="'الكميات المنفذة'!A1" display="📐 المنفذ"/>
    <hyperlink ref="J3" location="'الأوامر التغييرية'!A1" display="🔁 التغييرية"/>
    <hyperlink ref="L3" location="'الاستقطاعات الفنية'!A1" display="✂ الاستقطاعات"/>
    <hyperlink ref="N3" location="'نموذج المستخلص'!A1" display="🧾 النموذج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M137"/>
  <sheetViews>
    <sheetView showGridLines="0" rightToLeft="1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شهادة الدفع المؤقتة — مستخلص أعمال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'بيانات العقد'!$C$5&amp;"   |   عقد رقم: "&amp;'بيانات العقد'!$C$6&amp;"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📊 لوحة التحكم</t>
        </is>
      </c>
      <c r="C3" s="4" t="inlineStr">
        <is>
          <t>⚙ بيانات العقد</t>
        </is>
      </c>
      <c r="E3" s="4" t="inlineStr">
        <is>
          <t>📋 الكميات</t>
        </is>
      </c>
      <c r="G3" s="4" t="inlineStr">
        <is>
          <t>📐 المنفذ</t>
        </is>
      </c>
      <c r="I3" s="4" t="inlineStr">
        <is>
          <t>🔁 التغييرية</t>
        </is>
      </c>
      <c r="K3" s="4" t="inlineStr">
        <is>
          <t>✂ الاستقطاعات</t>
        </is>
      </c>
      <c r="L3" s="4" t="inlineStr">
        <is>
          <t>🗂 السجل</t>
        </is>
      </c>
    </row>
    <row r="5" ht="28" customHeight="1">
      <c r="B5" s="99" t="inlineStr">
        <is>
          <t>اختر رقم المستخلص ◄</t>
        </is>
      </c>
      <c r="C5" s="99" t="n"/>
      <c r="D5" s="100" t="n">
        <v>6</v>
      </c>
      <c r="E5" s="100" t="n"/>
      <c r="F5" s="101">
        <f>IF(INDEX('سجل المستخلصات'!$C$6:$C$29,SelIPC)="","⚠ هذا المستخلص غير مُدخل بعد في السجل","الحالة: "&amp;INDEX('سجل المستخلصات'!$F$6:$F$29,SelIPC))</f>
        <v/>
      </c>
      <c r="G5" s="101" t="n"/>
      <c r="H5" s="101" t="n"/>
      <c r="I5" s="101" t="n"/>
      <c r="J5" s="101" t="n"/>
    </row>
    <row r="7">
      <c r="B7" s="12" t="inlineStr">
        <is>
          <t>المشروع:</t>
        </is>
      </c>
      <c r="C7" s="102">
        <f>'بيانات العقد'!C5</f>
        <v/>
      </c>
      <c r="D7" s="102" t="n"/>
      <c r="E7" s="102" t="n"/>
      <c r="F7" s="102" t="n"/>
      <c r="G7" s="102" t="n"/>
      <c r="H7" s="12" t="inlineStr">
        <is>
          <t>رقم المستخلص:</t>
        </is>
      </c>
      <c r="I7" s="12" t="n"/>
      <c r="J7" s="103">
        <f>SelIPC</f>
        <v/>
      </c>
      <c r="K7" s="103" t="n"/>
      <c r="L7" s="104" t="inlineStr">
        <is>
          <t>نسبة الإنجاز الفعلية</t>
        </is>
      </c>
      <c r="M7" s="104" t="n"/>
    </row>
    <row r="8">
      <c r="B8" s="12" t="inlineStr">
        <is>
          <t>رقم العقد:</t>
        </is>
      </c>
      <c r="C8" s="102">
        <f>'بيانات العقد'!C6</f>
        <v/>
      </c>
      <c r="D8" s="102" t="n"/>
      <c r="E8" s="102" t="n"/>
      <c r="F8" s="102" t="n"/>
      <c r="G8" s="102" t="n"/>
      <c r="H8" s="12" t="inlineStr">
        <is>
          <t>الفترة من:</t>
        </is>
      </c>
      <c r="I8" s="12" t="n"/>
      <c r="J8" s="105">
        <f>INDEX('سجل المستخلصات'!$B$6:$B$29,SelIPC)</f>
        <v/>
      </c>
      <c r="K8" s="105" t="n"/>
      <c r="L8" s="106">
        <f>N(INDEX('سجل المستخلصات'!$L$6:$L$29,SelIPC))</f>
        <v/>
      </c>
      <c r="M8" s="106" t="n"/>
    </row>
    <row r="9">
      <c r="B9" s="12" t="inlineStr">
        <is>
          <t>صاحب العمل:</t>
        </is>
      </c>
      <c r="C9" s="102">
        <f>'بيانات العقد'!C7</f>
        <v/>
      </c>
      <c r="D9" s="102" t="n"/>
      <c r="E9" s="102" t="n"/>
      <c r="F9" s="102" t="n"/>
      <c r="G9" s="102" t="n"/>
      <c r="H9" s="12" t="inlineStr">
        <is>
          <t>الفترة إلى:</t>
        </is>
      </c>
      <c r="I9" s="12" t="n"/>
      <c r="J9" s="105">
        <f>INDEX('سجل المستخلصات'!$C$6:$C$29,SelIPC)</f>
        <v/>
      </c>
      <c r="K9" s="105" t="n"/>
      <c r="L9" s="104" t="inlineStr">
        <is>
          <t>نسبة الإنجاز المخططة</t>
        </is>
      </c>
      <c r="M9" s="104" t="n"/>
    </row>
    <row r="10">
      <c r="B10" s="12" t="inlineStr">
        <is>
          <t>الاستشاري:</t>
        </is>
      </c>
      <c r="C10" s="102">
        <f>'بيانات العقد'!C8</f>
        <v/>
      </c>
      <c r="D10" s="102" t="n"/>
      <c r="E10" s="102" t="n"/>
      <c r="F10" s="102" t="n"/>
      <c r="G10" s="102" t="n"/>
      <c r="H10" s="12" t="inlineStr">
        <is>
          <t>تاريخ التقديم:</t>
        </is>
      </c>
      <c r="I10" s="12" t="n"/>
      <c r="J10" s="105">
        <f>INDEX('سجل المستخلصات'!$D$6:$D$29,SelIPC)</f>
        <v/>
      </c>
      <c r="K10" s="105" t="n"/>
      <c r="L10" s="106">
        <f>N(INDEX('سجل المستخلصات'!$M$6:$M$29,SelIPC))</f>
        <v/>
      </c>
      <c r="M10" s="106" t="n"/>
    </row>
    <row r="11">
      <c r="B11" s="12" t="inlineStr">
        <is>
          <t>المقاول:</t>
        </is>
      </c>
      <c r="C11" s="102">
        <f>'بيانات العقد'!C9</f>
        <v/>
      </c>
      <c r="D11" s="102" t="n"/>
      <c r="E11" s="102" t="n"/>
      <c r="F11" s="102" t="n"/>
      <c r="G11" s="102" t="n"/>
      <c r="H11" s="12" t="inlineStr">
        <is>
          <t>قيمة العقد المعدلة:</t>
        </is>
      </c>
      <c r="I11" s="12" t="n"/>
      <c r="J11" s="88">
        <f>RevisedContract</f>
        <v/>
      </c>
      <c r="K11" s="88" t="n"/>
      <c r="L11" s="107">
        <f>IF(N(INDEX('سجل المستخلصات'!$C$6:$C$29,SelIPC))=0,"",IF(L8&gt;=L10,"✔ متقدم/مطابق للبرنامج","⚠ متأخر عن البرنامج"))</f>
        <v/>
      </c>
      <c r="M11" s="107" t="n"/>
    </row>
    <row r="13" ht="22" customHeight="1">
      <c r="B13" s="5" t="inlineStr">
        <is>
          <t>أولاً: الملخص المالي للمستخلص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26" customHeight="1">
      <c r="B14" s="42" t="inlineStr">
        <is>
          <t>م</t>
        </is>
      </c>
      <c r="C14" s="42" t="inlineStr">
        <is>
          <t>البيان</t>
        </is>
      </c>
      <c r="D14" s="42" t="n"/>
      <c r="E14" s="42" t="n"/>
      <c r="F14" s="42" t="n"/>
      <c r="G14" s="42" t="n"/>
      <c r="H14" s="42" t="inlineStr">
        <is>
          <t>السابق</t>
        </is>
      </c>
      <c r="I14" s="42" t="n"/>
      <c r="J14" s="42" t="inlineStr">
        <is>
          <t>الحالي</t>
        </is>
      </c>
      <c r="K14" s="42" t="n"/>
      <c r="L14" s="42" t="inlineStr">
        <is>
          <t>الإجمالي التراكمي</t>
        </is>
      </c>
      <c r="M14" s="42" t="n"/>
    </row>
    <row r="15" ht="20" customHeight="1">
      <c r="B15" s="78" t="n">
        <v>1</v>
      </c>
      <c r="C15" s="108" t="inlineStr">
        <is>
          <t>قيمة الأعمال المنفذة طبقاً لجدول الكميات</t>
        </is>
      </c>
      <c r="D15" s="108" t="n"/>
      <c r="E15" s="108" t="n"/>
      <c r="F15" s="108" t="n"/>
      <c r="G15" s="108" t="n"/>
      <c r="H15" s="84">
        <f>IF(SelIPC&gt;1,N(INDEX('سجل المستخلصات'!$G$6:$G$29,SelIPC-1)),0)</f>
        <v/>
      </c>
      <c r="I15" s="84" t="n"/>
      <c r="J15" s="95">
        <f>L15-H15</f>
        <v/>
      </c>
      <c r="K15" s="95" t="n"/>
      <c r="L15" s="84">
        <f>N(INDEX('سجل المستخلصات'!$G$6:$G$29,SelIPC))</f>
        <v/>
      </c>
      <c r="M15" s="84" t="n"/>
    </row>
    <row r="16" ht="20" customHeight="1">
      <c r="B16" s="78" t="n">
        <v>2</v>
      </c>
      <c r="C16" s="108" t="inlineStr">
        <is>
          <t>قيمة الأوامر التغييرية المعتمدة</t>
        </is>
      </c>
      <c r="D16" s="108" t="n"/>
      <c r="E16" s="108" t="n"/>
      <c r="F16" s="108" t="n"/>
      <c r="G16" s="108" t="n"/>
      <c r="H16" s="84">
        <f>IF(SelIPC&gt;1,N(INDEX('سجل المستخلصات'!$I$6:$I$29,SelIPC-1)),0)</f>
        <v/>
      </c>
      <c r="I16" s="84" t="n"/>
      <c r="J16" s="95">
        <f>L16-H16</f>
        <v/>
      </c>
      <c r="K16" s="95" t="n"/>
      <c r="L16" s="84">
        <f>N(INDEX('سجل المستخلصات'!$I$6:$I$29,SelIPC))</f>
        <v/>
      </c>
      <c r="M16" s="84" t="n"/>
    </row>
    <row r="17" ht="20" customHeight="1">
      <c r="B17" s="78" t="n">
        <v>3</v>
      </c>
      <c r="C17" s="108" t="inlineStr">
        <is>
          <t>المواد الموردة بالموقع (رصيد)</t>
        </is>
      </c>
      <c r="D17" s="108" t="n"/>
      <c r="E17" s="108" t="n"/>
      <c r="F17" s="108" t="n"/>
      <c r="G17" s="108" t="n"/>
      <c r="H17" s="84">
        <f>IF(SelIPC&gt;1,N(INDEX('سجل المستخلصات'!$J$6:$J$29,SelIPC-1)),0)</f>
        <v/>
      </c>
      <c r="I17" s="84" t="n"/>
      <c r="J17" s="95">
        <f>L17-H17</f>
        <v/>
      </c>
      <c r="K17" s="95" t="n"/>
      <c r="L17" s="84">
        <f>N(INDEX('سجل المستخلصات'!$J$6:$J$29,SelIPC))</f>
        <v/>
      </c>
      <c r="M17" s="84" t="n"/>
    </row>
    <row r="18" ht="20" customHeight="1">
      <c r="B18" s="109" t="n">
        <v>4</v>
      </c>
      <c r="C18" s="110" t="inlineStr">
        <is>
          <t>إجمالي قيمة الأعمال</t>
        </is>
      </c>
      <c r="D18" s="110" t="n"/>
      <c r="E18" s="110" t="n"/>
      <c r="F18" s="110" t="n"/>
      <c r="G18" s="110" t="n"/>
      <c r="H18" s="111">
        <f>IF(SelIPC&gt;1,N(INDEX('سجل المستخلصات'!$K$6:$K$29,SelIPC-1)),0)</f>
        <v/>
      </c>
      <c r="I18" s="111" t="n"/>
      <c r="J18" s="111">
        <f>L18-H18</f>
        <v/>
      </c>
      <c r="K18" s="111" t="n"/>
      <c r="L18" s="111">
        <f>N(INDEX('سجل المستخلصات'!$K$6:$K$29,SelIPC))</f>
        <v/>
      </c>
      <c r="M18" s="111" t="n"/>
    </row>
    <row r="19" ht="20" customHeight="1">
      <c r="B19" s="112" t="n">
        <v>5</v>
      </c>
      <c r="C19" s="113" t="inlineStr">
        <is>
          <t>يُخصم: استرداد الدفعة المقدمة</t>
        </is>
      </c>
      <c r="D19" s="113" t="n"/>
      <c r="E19" s="113" t="n"/>
      <c r="F19" s="113" t="n"/>
      <c r="G19" s="113" t="n"/>
      <c r="H19" s="114">
        <f>-IF(SelIPC&gt;1,N(INDEX('سجل المستخلصات'!$O$6:$O$29,SelIPC-1)),0)</f>
        <v/>
      </c>
      <c r="I19" s="114" t="n"/>
      <c r="J19" s="115">
        <f>L19-H19</f>
        <v/>
      </c>
      <c r="K19" s="115" t="n"/>
      <c r="L19" s="114">
        <f>-N(INDEX('سجل المستخلصات'!$O$6:$O$29,SelIPC))</f>
        <v/>
      </c>
      <c r="M19" s="114" t="n"/>
    </row>
    <row r="20" ht="20" customHeight="1">
      <c r="B20" s="112" t="n">
        <v>6</v>
      </c>
      <c r="C20" s="113" t="inlineStr">
        <is>
          <t>يُخصم: ضمان الأعمال المحتجز (صافي)</t>
        </is>
      </c>
      <c r="D20" s="113" t="n"/>
      <c r="E20" s="113" t="n"/>
      <c r="F20" s="113" t="n"/>
      <c r="G20" s="113" t="n"/>
      <c r="H20" s="114">
        <f>-IF(SelIPC&gt;1,N(INDEX('سجل المستخلصات'!$R$6:$R$29,SelIPC-1)),0)</f>
        <v/>
      </c>
      <c r="I20" s="114" t="n"/>
      <c r="J20" s="115">
        <f>L20-H20</f>
        <v/>
      </c>
      <c r="K20" s="115" t="n"/>
      <c r="L20" s="114">
        <f>-N(INDEX('سجل المستخلصات'!$R$6:$R$29,SelIPC))</f>
        <v/>
      </c>
      <c r="M20" s="114" t="n"/>
    </row>
    <row r="21" ht="20" customHeight="1">
      <c r="B21" s="112" t="n">
        <v>7</v>
      </c>
      <c r="C21" s="113" t="inlineStr">
        <is>
          <t>يُخصم: الاستقطاعات الفنية</t>
        </is>
      </c>
      <c r="D21" s="113" t="n"/>
      <c r="E21" s="113" t="n"/>
      <c r="F21" s="113" t="n"/>
      <c r="G21" s="113" t="n"/>
      <c r="H21" s="114">
        <f>-IF(SelIPC&gt;1,N(INDEX('سجل المستخلصات'!$S$6:$S$29,SelIPC-1)),0)</f>
        <v/>
      </c>
      <c r="I21" s="114" t="n"/>
      <c r="J21" s="115">
        <f>L21-H21</f>
        <v/>
      </c>
      <c r="K21" s="115" t="n"/>
      <c r="L21" s="114">
        <f>-N(INDEX('سجل المستخلصات'!$S$6:$S$29,SelIPC))</f>
        <v/>
      </c>
      <c r="M21" s="114" t="n"/>
    </row>
    <row r="22" ht="20" customHeight="1">
      <c r="B22" s="112" t="n">
        <v>8</v>
      </c>
      <c r="C22" s="113" t="inlineStr">
        <is>
          <t>يُخصم: الغرامات والخصومات الأخرى</t>
        </is>
      </c>
      <c r="D22" s="113" t="n"/>
      <c r="E22" s="113" t="n"/>
      <c r="F22" s="113" t="n"/>
      <c r="G22" s="113" t="n"/>
      <c r="H22" s="114">
        <f>-IF(SelIPC&gt;1,SUMIF('سجل المستخلصات'!$A$6:$A$29,"&lt;="&amp;SelIPC-1,'سجل المستخلصات'!$T$6:$T$29),0)</f>
        <v/>
      </c>
      <c r="I22" s="114" t="n"/>
      <c r="J22" s="115">
        <f>L22-H22</f>
        <v/>
      </c>
      <c r="K22" s="115" t="n"/>
      <c r="L22" s="114">
        <f>-SUMIF('سجل المستخلصات'!$A$6:$A$29,"&lt;="&amp;SelIPC,'سجل المستخلصات'!$T$6:$T$29)</f>
        <v/>
      </c>
      <c r="M22" s="114" t="n"/>
    </row>
    <row r="23" ht="20" customHeight="1">
      <c r="B23" s="109" t="n">
        <v>9</v>
      </c>
      <c r="C23" s="110" t="inlineStr">
        <is>
          <t>صافي القيمة قبل الضرائب</t>
        </is>
      </c>
      <c r="D23" s="110" t="n"/>
      <c r="E23" s="110" t="n"/>
      <c r="F23" s="110" t="n"/>
      <c r="G23" s="110" t="n"/>
      <c r="H23" s="111">
        <f>IF(SelIPC&gt;1,N(INDEX('سجل المستخلصات'!$U$6:$U$29,SelIPC-1)),0)</f>
        <v/>
      </c>
      <c r="I23" s="111" t="n"/>
      <c r="J23" s="111">
        <f>L23-H23</f>
        <v/>
      </c>
      <c r="K23" s="111" t="n"/>
      <c r="L23" s="111">
        <f>N(INDEX('سجل المستخلصات'!$U$6:$U$29,SelIPC))</f>
        <v/>
      </c>
      <c r="M23" s="111" t="n"/>
    </row>
    <row r="24" ht="20" customHeight="1">
      <c r="B24" s="78" t="n">
        <v>10</v>
      </c>
      <c r="C24" s="108" t="inlineStr">
        <is>
          <t>يُضاف: ضريبة القيمة المضافة</t>
        </is>
      </c>
      <c r="D24" s="108" t="n"/>
      <c r="E24" s="108" t="n"/>
      <c r="F24" s="108" t="n"/>
      <c r="G24" s="108" t="n"/>
      <c r="H24" s="84">
        <f>IF(SelIPC&gt;1,N(INDEX('سجل المستخلصات'!$V$6:$V$29,SelIPC-1)),0)</f>
        <v/>
      </c>
      <c r="I24" s="84" t="n"/>
      <c r="J24" s="95">
        <f>L24-H24</f>
        <v/>
      </c>
      <c r="K24" s="95" t="n"/>
      <c r="L24" s="84">
        <f>N(INDEX('سجل المستخلصات'!$V$6:$V$29,SelIPC))</f>
        <v/>
      </c>
      <c r="M24" s="84" t="n"/>
    </row>
    <row r="25" ht="20" customHeight="1">
      <c r="B25" s="112" t="n">
        <v>11</v>
      </c>
      <c r="C25" s="113" t="inlineStr">
        <is>
          <t>يُخصم: ضريبة الخصم من المنبع</t>
        </is>
      </c>
      <c r="D25" s="113" t="n"/>
      <c r="E25" s="113" t="n"/>
      <c r="F25" s="113" t="n"/>
      <c r="G25" s="113" t="n"/>
      <c r="H25" s="114">
        <f>-IF(SelIPC&gt;1,N(INDEX('سجل المستخلصات'!$W$6:$W$29,SelIPC-1)),0)</f>
        <v/>
      </c>
      <c r="I25" s="114" t="n"/>
      <c r="J25" s="115">
        <f>L25-H25</f>
        <v/>
      </c>
      <c r="K25" s="115" t="n"/>
      <c r="L25" s="114">
        <f>-N(INDEX('سجل المستخلصات'!$W$6:$W$29,SelIPC))</f>
        <v/>
      </c>
      <c r="M25" s="114" t="n"/>
    </row>
    <row r="26" ht="20" customHeight="1">
      <c r="B26" s="42" t="n">
        <v>12</v>
      </c>
      <c r="C26" s="116" t="inlineStr">
        <is>
          <t>صافي المستحق</t>
        </is>
      </c>
      <c r="D26" s="116" t="n"/>
      <c r="E26" s="116" t="n"/>
      <c r="F26" s="116" t="n"/>
      <c r="G26" s="116" t="n"/>
      <c r="H26" s="81">
        <f>IF(SelIPC&gt;1,N(INDEX('سجل المستخلصات'!$X$6:$X$29,SelIPC-1)),0)</f>
        <v/>
      </c>
      <c r="I26" s="81" t="n"/>
      <c r="J26" s="81">
        <f>L26-H26</f>
        <v/>
      </c>
      <c r="K26" s="81" t="n"/>
      <c r="L26" s="81">
        <f>N(INDEX('سجل المستخلصات'!$X$6:$X$29,SelIPC))</f>
        <v/>
      </c>
      <c r="M26" s="81" t="n"/>
    </row>
    <row r="28" ht="32" customHeight="1">
      <c r="B28" s="117" t="inlineStr">
        <is>
          <t>صافي المبلغ المستحق صرفه عن هذا المستخلص</t>
        </is>
      </c>
      <c r="C28" s="117" t="n"/>
      <c r="D28" s="117" t="n"/>
      <c r="E28" s="117" t="n"/>
      <c r="F28" s="117" t="n"/>
      <c r="G28" s="117" t="n"/>
      <c r="H28" s="117" t="n"/>
      <c r="I28" s="117" t="n"/>
      <c r="J28" s="118">
        <f>J26</f>
        <v/>
      </c>
      <c r="K28" s="118" t="n"/>
      <c r="L28" s="118" t="n"/>
      <c r="M28" s="118" t="n"/>
    </row>
    <row r="29">
      <c r="B29" s="119">
        <f>"التحقق مع السجل: "&amp;IF(ABS(J26-N(INDEX('سجل المستخلصات'!$Z$6:$Z$29,SelIPC)))&lt;0.01,"✔ مطابق","✖ غير مطابق")</f>
        <v/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</row>
    <row r="31" ht="22" customHeight="1">
      <c r="B31" s="5" t="inlineStr">
        <is>
          <t>ثانياً: الاعتمادات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B32" s="120" t="inlineStr">
        <is>
          <t>إعداد: مهندس المقاول</t>
        </is>
      </c>
      <c r="C32" s="120" t="n"/>
      <c r="D32" s="120" t="n"/>
      <c r="E32" s="120" t="n"/>
      <c r="F32" s="120" t="inlineStr">
        <is>
          <t>مراجعة: المهندس الاستشاري</t>
        </is>
      </c>
      <c r="G32" s="120" t="n"/>
      <c r="H32" s="120" t="n"/>
      <c r="I32" s="120" t="n"/>
      <c r="J32" s="120" t="inlineStr">
        <is>
          <t>اعتماد: صاحب العمل</t>
        </is>
      </c>
      <c r="K32" s="120" t="n"/>
      <c r="L32" s="120" t="n"/>
      <c r="M32" s="120" t="n"/>
    </row>
    <row r="33" ht="60" customHeight="1">
      <c r="B33" s="121" t="inlineStr">
        <is>
          <t>الاسم: ....................
التوقيع: ..................
التاريخ: ..................</t>
        </is>
      </c>
      <c r="C33" s="121" t="n"/>
      <c r="D33" s="121" t="n"/>
      <c r="E33" s="121" t="n"/>
      <c r="F33" s="121" t="inlineStr">
        <is>
          <t>الاسم: ....................
التوقيع: ..................
التاريخ: ..................</t>
        </is>
      </c>
      <c r="G33" s="121" t="n"/>
      <c r="H33" s="121" t="n"/>
      <c r="I33" s="121" t="n"/>
      <c r="J33" s="121" t="inlineStr">
        <is>
          <t>الاسم: ....................
التوقيع: ..................
التاريخ: ..................</t>
        </is>
      </c>
      <c r="K33" s="121" t="n"/>
      <c r="L33" s="121" t="n"/>
      <c r="M33" s="121" t="n"/>
    </row>
    <row r="35" ht="22" customHeight="1">
      <c r="B35" s="5" t="inlineStr">
        <is>
          <t>ثالثاً: تفاصيل الأعمال المنفذة حسب بنود جدول الكميات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 ht="40" customHeight="1">
      <c r="B36" s="41" t="inlineStr">
        <is>
          <t>كود البند</t>
        </is>
      </c>
      <c r="C36" s="41" t="inlineStr">
        <is>
          <t>الوصف</t>
        </is>
      </c>
      <c r="D36" s="41" t="inlineStr">
        <is>
          <t>الوحدة</t>
        </is>
      </c>
      <c r="E36" s="41" t="inlineStr">
        <is>
          <t>الكمية التعاقدية</t>
        </is>
      </c>
      <c r="F36" s="41" t="inlineStr">
        <is>
          <t>سعر الوحدة</t>
        </is>
      </c>
      <c r="G36" s="41" t="inlineStr">
        <is>
          <t>الكمية السابقة</t>
        </is>
      </c>
      <c r="H36" s="41" t="inlineStr">
        <is>
          <t>الكمية الحالية</t>
        </is>
      </c>
      <c r="I36" s="41" t="inlineStr">
        <is>
          <t>الكمية التراكمية</t>
        </is>
      </c>
      <c r="J36" s="41" t="inlineStr">
        <is>
          <t>نسبة الإنجاز</t>
        </is>
      </c>
      <c r="K36" s="41" t="inlineStr">
        <is>
          <t>القيمة السابقة</t>
        </is>
      </c>
      <c r="L36" s="41" t="inlineStr">
        <is>
          <t>القيمة الحالية</t>
        </is>
      </c>
      <c r="M36" s="41" t="inlineStr">
        <is>
          <t>القيمة التراكمية</t>
        </is>
      </c>
    </row>
    <row r="37">
      <c r="B37" s="122">
        <f>'الكميات المنفذة'!A6</f>
        <v/>
      </c>
      <c r="C37" s="123">
        <f>'الكميات المنفذة'!B6</f>
        <v/>
      </c>
      <c r="D37" s="122">
        <f>'الكميات المنفذة'!C6</f>
        <v/>
      </c>
      <c r="E37" s="124">
        <f>'الكميات المنفذة'!E6</f>
        <v/>
      </c>
      <c r="F37" s="124">
        <f>'الكميات المنفذة'!F6</f>
        <v/>
      </c>
      <c r="G37" s="124">
        <f>SUMIF('الكميات المنفذة'!$G$5:$AD$5,"&lt;"&amp;SelIPC,'الكميات المنفذة'!$G6:$AD6)</f>
        <v/>
      </c>
      <c r="H37" s="125">
        <f>SUMIF('الكميات المنفذة'!$G$5:$AD$5,SelIPC,'الكميات المنفذة'!$G6:$AD6)</f>
        <v/>
      </c>
      <c r="I37" s="124">
        <f>G37+H37</f>
        <v/>
      </c>
      <c r="J37" s="126">
        <f>IF(E37&gt;0,I37/E37,0)</f>
        <v/>
      </c>
      <c r="K37" s="124">
        <f>G37*F37</f>
        <v/>
      </c>
      <c r="L37" s="125">
        <f>H37*F37</f>
        <v/>
      </c>
      <c r="M37" s="124">
        <f>I37*F37</f>
        <v/>
      </c>
    </row>
    <row r="38">
      <c r="B38" s="122">
        <f>'الكميات المنفذة'!A7</f>
        <v/>
      </c>
      <c r="C38" s="123">
        <f>'الكميات المنفذة'!B7</f>
        <v/>
      </c>
      <c r="D38" s="122">
        <f>'الكميات المنفذة'!C7</f>
        <v/>
      </c>
      <c r="E38" s="124">
        <f>'الكميات المنفذة'!E7</f>
        <v/>
      </c>
      <c r="F38" s="124">
        <f>'الكميات المنفذة'!F7</f>
        <v/>
      </c>
      <c r="G38" s="124">
        <f>SUMIF('الكميات المنفذة'!$G$5:$AD$5,"&lt;"&amp;SelIPC,'الكميات المنفذة'!$G7:$AD7)</f>
        <v/>
      </c>
      <c r="H38" s="125">
        <f>SUMIF('الكميات المنفذة'!$G$5:$AD$5,SelIPC,'الكميات المنفذة'!$G7:$AD7)</f>
        <v/>
      </c>
      <c r="I38" s="124">
        <f>G38+H38</f>
        <v/>
      </c>
      <c r="J38" s="126">
        <f>IF(E38&gt;0,I38/E38,0)</f>
        <v/>
      </c>
      <c r="K38" s="124">
        <f>G38*F38</f>
        <v/>
      </c>
      <c r="L38" s="125">
        <f>H38*F38</f>
        <v/>
      </c>
      <c r="M38" s="124">
        <f>I38*F38</f>
        <v/>
      </c>
    </row>
    <row r="39">
      <c r="B39" s="122">
        <f>'الكميات المنفذة'!A8</f>
        <v/>
      </c>
      <c r="C39" s="123">
        <f>'الكميات المنفذة'!B8</f>
        <v/>
      </c>
      <c r="D39" s="122">
        <f>'الكميات المنفذة'!C8</f>
        <v/>
      </c>
      <c r="E39" s="124">
        <f>'الكميات المنفذة'!E8</f>
        <v/>
      </c>
      <c r="F39" s="124">
        <f>'الكميات المنفذة'!F8</f>
        <v/>
      </c>
      <c r="G39" s="124">
        <f>SUMIF('الكميات المنفذة'!$G$5:$AD$5,"&lt;"&amp;SelIPC,'الكميات المنفذة'!$G8:$AD8)</f>
        <v/>
      </c>
      <c r="H39" s="125">
        <f>SUMIF('الكميات المنفذة'!$G$5:$AD$5,SelIPC,'الكميات المنفذة'!$G8:$AD8)</f>
        <v/>
      </c>
      <c r="I39" s="124">
        <f>G39+H39</f>
        <v/>
      </c>
      <c r="J39" s="126">
        <f>IF(E39&gt;0,I39/E39,0)</f>
        <v/>
      </c>
      <c r="K39" s="124">
        <f>G39*F39</f>
        <v/>
      </c>
      <c r="L39" s="125">
        <f>H39*F39</f>
        <v/>
      </c>
      <c r="M39" s="124">
        <f>I39*F39</f>
        <v/>
      </c>
    </row>
    <row r="40">
      <c r="B40" s="122">
        <f>'الكميات المنفذة'!A9</f>
        <v/>
      </c>
      <c r="C40" s="123">
        <f>'الكميات المنفذة'!B9</f>
        <v/>
      </c>
      <c r="D40" s="122">
        <f>'الكميات المنفذة'!C9</f>
        <v/>
      </c>
      <c r="E40" s="124">
        <f>'الكميات المنفذة'!E9</f>
        <v/>
      </c>
      <c r="F40" s="124">
        <f>'الكميات المنفذة'!F9</f>
        <v/>
      </c>
      <c r="G40" s="124">
        <f>SUMIF('الكميات المنفذة'!$G$5:$AD$5,"&lt;"&amp;SelIPC,'الكميات المنفذة'!$G9:$AD9)</f>
        <v/>
      </c>
      <c r="H40" s="125">
        <f>SUMIF('الكميات المنفذة'!$G$5:$AD$5,SelIPC,'الكميات المنفذة'!$G9:$AD9)</f>
        <v/>
      </c>
      <c r="I40" s="124">
        <f>G40+H40</f>
        <v/>
      </c>
      <c r="J40" s="126">
        <f>IF(E40&gt;0,I40/E40,0)</f>
        <v/>
      </c>
      <c r="K40" s="124">
        <f>G40*F40</f>
        <v/>
      </c>
      <c r="L40" s="125">
        <f>H40*F40</f>
        <v/>
      </c>
      <c r="M40" s="124">
        <f>I40*F40</f>
        <v/>
      </c>
    </row>
    <row r="41">
      <c r="B41" s="122">
        <f>'الكميات المنفذة'!A10</f>
        <v/>
      </c>
      <c r="C41" s="123">
        <f>'الكميات المنفذة'!B10</f>
        <v/>
      </c>
      <c r="D41" s="122">
        <f>'الكميات المنفذة'!C10</f>
        <v/>
      </c>
      <c r="E41" s="124">
        <f>'الكميات المنفذة'!E10</f>
        <v/>
      </c>
      <c r="F41" s="124">
        <f>'الكميات المنفذة'!F10</f>
        <v/>
      </c>
      <c r="G41" s="124">
        <f>SUMIF('الكميات المنفذة'!$G$5:$AD$5,"&lt;"&amp;SelIPC,'الكميات المنفذة'!$G10:$AD10)</f>
        <v/>
      </c>
      <c r="H41" s="125">
        <f>SUMIF('الكميات المنفذة'!$G$5:$AD$5,SelIPC,'الكميات المنفذة'!$G10:$AD10)</f>
        <v/>
      </c>
      <c r="I41" s="124">
        <f>G41+H41</f>
        <v/>
      </c>
      <c r="J41" s="126">
        <f>IF(E41&gt;0,I41/E41,0)</f>
        <v/>
      </c>
      <c r="K41" s="124">
        <f>G41*F41</f>
        <v/>
      </c>
      <c r="L41" s="125">
        <f>H41*F41</f>
        <v/>
      </c>
      <c r="M41" s="124">
        <f>I41*F41</f>
        <v/>
      </c>
    </row>
    <row r="42">
      <c r="B42" s="122">
        <f>'الكميات المنفذة'!A11</f>
        <v/>
      </c>
      <c r="C42" s="123">
        <f>'الكميات المنفذة'!B11</f>
        <v/>
      </c>
      <c r="D42" s="122">
        <f>'الكميات المنفذة'!C11</f>
        <v/>
      </c>
      <c r="E42" s="124">
        <f>'الكميات المنفذة'!E11</f>
        <v/>
      </c>
      <c r="F42" s="124">
        <f>'الكميات المنفذة'!F11</f>
        <v/>
      </c>
      <c r="G42" s="124">
        <f>SUMIF('الكميات المنفذة'!$G$5:$AD$5,"&lt;"&amp;SelIPC,'الكميات المنفذة'!$G11:$AD11)</f>
        <v/>
      </c>
      <c r="H42" s="125">
        <f>SUMIF('الكميات المنفذة'!$G$5:$AD$5,SelIPC,'الكميات المنفذة'!$G11:$AD11)</f>
        <v/>
      </c>
      <c r="I42" s="124">
        <f>G42+H42</f>
        <v/>
      </c>
      <c r="J42" s="126">
        <f>IF(E42&gt;0,I42/E42,0)</f>
        <v/>
      </c>
      <c r="K42" s="124">
        <f>G42*F42</f>
        <v/>
      </c>
      <c r="L42" s="125">
        <f>H42*F42</f>
        <v/>
      </c>
      <c r="M42" s="124">
        <f>I42*F42</f>
        <v/>
      </c>
    </row>
    <row r="43">
      <c r="B43" s="122">
        <f>'الكميات المنفذة'!A12</f>
        <v/>
      </c>
      <c r="C43" s="123">
        <f>'الكميات المنفذة'!B12</f>
        <v/>
      </c>
      <c r="D43" s="122">
        <f>'الكميات المنفذة'!C12</f>
        <v/>
      </c>
      <c r="E43" s="124">
        <f>'الكميات المنفذة'!E12</f>
        <v/>
      </c>
      <c r="F43" s="124">
        <f>'الكميات المنفذة'!F12</f>
        <v/>
      </c>
      <c r="G43" s="124">
        <f>SUMIF('الكميات المنفذة'!$G$5:$AD$5,"&lt;"&amp;SelIPC,'الكميات المنفذة'!$G12:$AD12)</f>
        <v/>
      </c>
      <c r="H43" s="125">
        <f>SUMIF('الكميات المنفذة'!$G$5:$AD$5,SelIPC,'الكميات المنفذة'!$G12:$AD12)</f>
        <v/>
      </c>
      <c r="I43" s="124">
        <f>G43+H43</f>
        <v/>
      </c>
      <c r="J43" s="126">
        <f>IF(E43&gt;0,I43/E43,0)</f>
        <v/>
      </c>
      <c r="K43" s="124">
        <f>G43*F43</f>
        <v/>
      </c>
      <c r="L43" s="125">
        <f>H43*F43</f>
        <v/>
      </c>
      <c r="M43" s="124">
        <f>I43*F43</f>
        <v/>
      </c>
    </row>
    <row r="44">
      <c r="B44" s="122">
        <f>'الكميات المنفذة'!A13</f>
        <v/>
      </c>
      <c r="C44" s="123">
        <f>'الكميات المنفذة'!B13</f>
        <v/>
      </c>
      <c r="D44" s="122">
        <f>'الكميات المنفذة'!C13</f>
        <v/>
      </c>
      <c r="E44" s="124">
        <f>'الكميات المنفذة'!E13</f>
        <v/>
      </c>
      <c r="F44" s="124">
        <f>'الكميات المنفذة'!F13</f>
        <v/>
      </c>
      <c r="G44" s="124">
        <f>SUMIF('الكميات المنفذة'!$G$5:$AD$5,"&lt;"&amp;SelIPC,'الكميات المنفذة'!$G13:$AD13)</f>
        <v/>
      </c>
      <c r="H44" s="125">
        <f>SUMIF('الكميات المنفذة'!$G$5:$AD$5,SelIPC,'الكميات المنفذة'!$G13:$AD13)</f>
        <v/>
      </c>
      <c r="I44" s="124">
        <f>G44+H44</f>
        <v/>
      </c>
      <c r="J44" s="126">
        <f>IF(E44&gt;0,I44/E44,0)</f>
        <v/>
      </c>
      <c r="K44" s="124">
        <f>G44*F44</f>
        <v/>
      </c>
      <c r="L44" s="125">
        <f>H44*F44</f>
        <v/>
      </c>
      <c r="M44" s="124">
        <f>I44*F44</f>
        <v/>
      </c>
    </row>
    <row r="45">
      <c r="B45" s="122">
        <f>'الكميات المنفذة'!A14</f>
        <v/>
      </c>
      <c r="C45" s="123">
        <f>'الكميات المنفذة'!B14</f>
        <v/>
      </c>
      <c r="D45" s="122">
        <f>'الكميات المنفذة'!C14</f>
        <v/>
      </c>
      <c r="E45" s="124">
        <f>'الكميات المنفذة'!E14</f>
        <v/>
      </c>
      <c r="F45" s="124">
        <f>'الكميات المنفذة'!F14</f>
        <v/>
      </c>
      <c r="G45" s="124">
        <f>SUMIF('الكميات المنفذة'!$G$5:$AD$5,"&lt;"&amp;SelIPC,'الكميات المنفذة'!$G14:$AD14)</f>
        <v/>
      </c>
      <c r="H45" s="125">
        <f>SUMIF('الكميات المنفذة'!$G$5:$AD$5,SelIPC,'الكميات المنفذة'!$G14:$AD14)</f>
        <v/>
      </c>
      <c r="I45" s="124">
        <f>G45+H45</f>
        <v/>
      </c>
      <c r="J45" s="126">
        <f>IF(E45&gt;0,I45/E45,0)</f>
        <v/>
      </c>
      <c r="K45" s="124">
        <f>G45*F45</f>
        <v/>
      </c>
      <c r="L45" s="125">
        <f>H45*F45</f>
        <v/>
      </c>
      <c r="M45" s="124">
        <f>I45*F45</f>
        <v/>
      </c>
    </row>
    <row r="46">
      <c r="B46" s="122">
        <f>'الكميات المنفذة'!A15</f>
        <v/>
      </c>
      <c r="C46" s="123">
        <f>'الكميات المنفذة'!B15</f>
        <v/>
      </c>
      <c r="D46" s="122">
        <f>'الكميات المنفذة'!C15</f>
        <v/>
      </c>
      <c r="E46" s="124">
        <f>'الكميات المنفذة'!E15</f>
        <v/>
      </c>
      <c r="F46" s="124">
        <f>'الكميات المنفذة'!F15</f>
        <v/>
      </c>
      <c r="G46" s="124">
        <f>SUMIF('الكميات المنفذة'!$G$5:$AD$5,"&lt;"&amp;SelIPC,'الكميات المنفذة'!$G15:$AD15)</f>
        <v/>
      </c>
      <c r="H46" s="125">
        <f>SUMIF('الكميات المنفذة'!$G$5:$AD$5,SelIPC,'الكميات المنفذة'!$G15:$AD15)</f>
        <v/>
      </c>
      <c r="I46" s="124">
        <f>G46+H46</f>
        <v/>
      </c>
      <c r="J46" s="126">
        <f>IF(E46&gt;0,I46/E46,0)</f>
        <v/>
      </c>
      <c r="K46" s="124">
        <f>G46*F46</f>
        <v/>
      </c>
      <c r="L46" s="125">
        <f>H46*F46</f>
        <v/>
      </c>
      <c r="M46" s="124">
        <f>I46*F46</f>
        <v/>
      </c>
    </row>
    <row r="47">
      <c r="B47" s="122">
        <f>'الكميات المنفذة'!A16</f>
        <v/>
      </c>
      <c r="C47" s="123">
        <f>'الكميات المنفذة'!B16</f>
        <v/>
      </c>
      <c r="D47" s="122">
        <f>'الكميات المنفذة'!C16</f>
        <v/>
      </c>
      <c r="E47" s="124">
        <f>'الكميات المنفذة'!E16</f>
        <v/>
      </c>
      <c r="F47" s="124">
        <f>'الكميات المنفذة'!F16</f>
        <v/>
      </c>
      <c r="G47" s="124">
        <f>SUMIF('الكميات المنفذة'!$G$5:$AD$5,"&lt;"&amp;SelIPC,'الكميات المنفذة'!$G16:$AD16)</f>
        <v/>
      </c>
      <c r="H47" s="125">
        <f>SUMIF('الكميات المنفذة'!$G$5:$AD$5,SelIPC,'الكميات المنفذة'!$G16:$AD16)</f>
        <v/>
      </c>
      <c r="I47" s="124">
        <f>G47+H47</f>
        <v/>
      </c>
      <c r="J47" s="126">
        <f>IF(E47&gt;0,I47/E47,0)</f>
        <v/>
      </c>
      <c r="K47" s="124">
        <f>G47*F47</f>
        <v/>
      </c>
      <c r="L47" s="125">
        <f>H47*F47</f>
        <v/>
      </c>
      <c r="M47" s="124">
        <f>I47*F47</f>
        <v/>
      </c>
    </row>
    <row r="48">
      <c r="B48" s="122">
        <f>'الكميات المنفذة'!A17</f>
        <v/>
      </c>
      <c r="C48" s="123">
        <f>'الكميات المنفذة'!B17</f>
        <v/>
      </c>
      <c r="D48" s="122">
        <f>'الكميات المنفذة'!C17</f>
        <v/>
      </c>
      <c r="E48" s="124">
        <f>'الكميات المنفذة'!E17</f>
        <v/>
      </c>
      <c r="F48" s="124">
        <f>'الكميات المنفذة'!F17</f>
        <v/>
      </c>
      <c r="G48" s="124">
        <f>SUMIF('الكميات المنفذة'!$G$5:$AD$5,"&lt;"&amp;SelIPC,'الكميات المنفذة'!$G17:$AD17)</f>
        <v/>
      </c>
      <c r="H48" s="125">
        <f>SUMIF('الكميات المنفذة'!$G$5:$AD$5,SelIPC,'الكميات المنفذة'!$G17:$AD17)</f>
        <v/>
      </c>
      <c r="I48" s="124">
        <f>G48+H48</f>
        <v/>
      </c>
      <c r="J48" s="126">
        <f>IF(E48&gt;0,I48/E48,0)</f>
        <v/>
      </c>
      <c r="K48" s="124">
        <f>G48*F48</f>
        <v/>
      </c>
      <c r="L48" s="125">
        <f>H48*F48</f>
        <v/>
      </c>
      <c r="M48" s="124">
        <f>I48*F48</f>
        <v/>
      </c>
    </row>
    <row r="49">
      <c r="B49" s="122">
        <f>'الكميات المنفذة'!A18</f>
        <v/>
      </c>
      <c r="C49" s="123">
        <f>'الكميات المنفذة'!B18</f>
        <v/>
      </c>
      <c r="D49" s="122">
        <f>'الكميات المنفذة'!C18</f>
        <v/>
      </c>
      <c r="E49" s="124">
        <f>'الكميات المنفذة'!E18</f>
        <v/>
      </c>
      <c r="F49" s="124">
        <f>'الكميات المنفذة'!F18</f>
        <v/>
      </c>
      <c r="G49" s="124">
        <f>SUMIF('الكميات المنفذة'!$G$5:$AD$5,"&lt;"&amp;SelIPC,'الكميات المنفذة'!$G18:$AD18)</f>
        <v/>
      </c>
      <c r="H49" s="125">
        <f>SUMIF('الكميات المنفذة'!$G$5:$AD$5,SelIPC,'الكميات المنفذة'!$G18:$AD18)</f>
        <v/>
      </c>
      <c r="I49" s="124">
        <f>G49+H49</f>
        <v/>
      </c>
      <c r="J49" s="126">
        <f>IF(E49&gt;0,I49/E49,0)</f>
        <v/>
      </c>
      <c r="K49" s="124">
        <f>G49*F49</f>
        <v/>
      </c>
      <c r="L49" s="125">
        <f>H49*F49</f>
        <v/>
      </c>
      <c r="M49" s="124">
        <f>I49*F49</f>
        <v/>
      </c>
    </row>
    <row r="50">
      <c r="B50" s="122">
        <f>'الكميات المنفذة'!A19</f>
        <v/>
      </c>
      <c r="C50" s="123">
        <f>'الكميات المنفذة'!B19</f>
        <v/>
      </c>
      <c r="D50" s="122">
        <f>'الكميات المنفذة'!C19</f>
        <v/>
      </c>
      <c r="E50" s="124">
        <f>'الكميات المنفذة'!E19</f>
        <v/>
      </c>
      <c r="F50" s="124">
        <f>'الكميات المنفذة'!F19</f>
        <v/>
      </c>
      <c r="G50" s="124">
        <f>SUMIF('الكميات المنفذة'!$G$5:$AD$5,"&lt;"&amp;SelIPC,'الكميات المنفذة'!$G19:$AD19)</f>
        <v/>
      </c>
      <c r="H50" s="125">
        <f>SUMIF('الكميات المنفذة'!$G$5:$AD$5,SelIPC,'الكميات المنفذة'!$G19:$AD19)</f>
        <v/>
      </c>
      <c r="I50" s="124">
        <f>G50+H50</f>
        <v/>
      </c>
      <c r="J50" s="126">
        <f>IF(E50&gt;0,I50/E50,0)</f>
        <v/>
      </c>
      <c r="K50" s="124">
        <f>G50*F50</f>
        <v/>
      </c>
      <c r="L50" s="125">
        <f>H50*F50</f>
        <v/>
      </c>
      <c r="M50" s="124">
        <f>I50*F50</f>
        <v/>
      </c>
    </row>
    <row r="51">
      <c r="B51" s="122">
        <f>'الكميات المنفذة'!A20</f>
        <v/>
      </c>
      <c r="C51" s="123">
        <f>'الكميات المنفذة'!B20</f>
        <v/>
      </c>
      <c r="D51" s="122">
        <f>'الكميات المنفذة'!C20</f>
        <v/>
      </c>
      <c r="E51" s="124">
        <f>'الكميات المنفذة'!E20</f>
        <v/>
      </c>
      <c r="F51" s="124">
        <f>'الكميات المنفذة'!F20</f>
        <v/>
      </c>
      <c r="G51" s="124">
        <f>SUMIF('الكميات المنفذة'!$G$5:$AD$5,"&lt;"&amp;SelIPC,'الكميات المنفذة'!$G20:$AD20)</f>
        <v/>
      </c>
      <c r="H51" s="125">
        <f>SUMIF('الكميات المنفذة'!$G$5:$AD$5,SelIPC,'الكميات المنفذة'!$G20:$AD20)</f>
        <v/>
      </c>
      <c r="I51" s="124">
        <f>G51+H51</f>
        <v/>
      </c>
      <c r="J51" s="126">
        <f>IF(E51&gt;0,I51/E51,0)</f>
        <v/>
      </c>
      <c r="K51" s="124">
        <f>G51*F51</f>
        <v/>
      </c>
      <c r="L51" s="125">
        <f>H51*F51</f>
        <v/>
      </c>
      <c r="M51" s="124">
        <f>I51*F51</f>
        <v/>
      </c>
    </row>
    <row r="52">
      <c r="B52" s="122">
        <f>'الكميات المنفذة'!A21</f>
        <v/>
      </c>
      <c r="C52" s="123">
        <f>'الكميات المنفذة'!B21</f>
        <v/>
      </c>
      <c r="D52" s="122">
        <f>'الكميات المنفذة'!C21</f>
        <v/>
      </c>
      <c r="E52" s="124">
        <f>'الكميات المنفذة'!E21</f>
        <v/>
      </c>
      <c r="F52" s="124">
        <f>'الكميات المنفذة'!F21</f>
        <v/>
      </c>
      <c r="G52" s="124">
        <f>SUMIF('الكميات المنفذة'!$G$5:$AD$5,"&lt;"&amp;SelIPC,'الكميات المنفذة'!$G21:$AD21)</f>
        <v/>
      </c>
      <c r="H52" s="125">
        <f>SUMIF('الكميات المنفذة'!$G$5:$AD$5,SelIPC,'الكميات المنفذة'!$G21:$AD21)</f>
        <v/>
      </c>
      <c r="I52" s="124">
        <f>G52+H52</f>
        <v/>
      </c>
      <c r="J52" s="126">
        <f>IF(E52&gt;0,I52/E52,0)</f>
        <v/>
      </c>
      <c r="K52" s="124">
        <f>G52*F52</f>
        <v/>
      </c>
      <c r="L52" s="125">
        <f>H52*F52</f>
        <v/>
      </c>
      <c r="M52" s="124">
        <f>I52*F52</f>
        <v/>
      </c>
    </row>
    <row r="53">
      <c r="B53" s="122">
        <f>'الكميات المنفذة'!A22</f>
        <v/>
      </c>
      <c r="C53" s="123">
        <f>'الكميات المنفذة'!B22</f>
        <v/>
      </c>
      <c r="D53" s="122">
        <f>'الكميات المنفذة'!C22</f>
        <v/>
      </c>
      <c r="E53" s="124">
        <f>'الكميات المنفذة'!E22</f>
        <v/>
      </c>
      <c r="F53" s="124">
        <f>'الكميات المنفذة'!F22</f>
        <v/>
      </c>
      <c r="G53" s="124">
        <f>SUMIF('الكميات المنفذة'!$G$5:$AD$5,"&lt;"&amp;SelIPC,'الكميات المنفذة'!$G22:$AD22)</f>
        <v/>
      </c>
      <c r="H53" s="125">
        <f>SUMIF('الكميات المنفذة'!$G$5:$AD$5,SelIPC,'الكميات المنفذة'!$G22:$AD22)</f>
        <v/>
      </c>
      <c r="I53" s="124">
        <f>G53+H53</f>
        <v/>
      </c>
      <c r="J53" s="126">
        <f>IF(E53&gt;0,I53/E53,0)</f>
        <v/>
      </c>
      <c r="K53" s="124">
        <f>G53*F53</f>
        <v/>
      </c>
      <c r="L53" s="125">
        <f>H53*F53</f>
        <v/>
      </c>
      <c r="M53" s="124">
        <f>I53*F53</f>
        <v/>
      </c>
    </row>
    <row r="54">
      <c r="B54" s="122">
        <f>'الكميات المنفذة'!A23</f>
        <v/>
      </c>
      <c r="C54" s="123">
        <f>'الكميات المنفذة'!B23</f>
        <v/>
      </c>
      <c r="D54" s="122">
        <f>'الكميات المنفذة'!C23</f>
        <v/>
      </c>
      <c r="E54" s="124">
        <f>'الكميات المنفذة'!E23</f>
        <v/>
      </c>
      <c r="F54" s="124">
        <f>'الكميات المنفذة'!F23</f>
        <v/>
      </c>
      <c r="G54" s="124">
        <f>SUMIF('الكميات المنفذة'!$G$5:$AD$5,"&lt;"&amp;SelIPC,'الكميات المنفذة'!$G23:$AD23)</f>
        <v/>
      </c>
      <c r="H54" s="125">
        <f>SUMIF('الكميات المنفذة'!$G$5:$AD$5,SelIPC,'الكميات المنفذة'!$G23:$AD23)</f>
        <v/>
      </c>
      <c r="I54" s="124">
        <f>G54+H54</f>
        <v/>
      </c>
      <c r="J54" s="126">
        <f>IF(E54&gt;0,I54/E54,0)</f>
        <v/>
      </c>
      <c r="K54" s="124">
        <f>G54*F54</f>
        <v/>
      </c>
      <c r="L54" s="125">
        <f>H54*F54</f>
        <v/>
      </c>
      <c r="M54" s="124">
        <f>I54*F54</f>
        <v/>
      </c>
    </row>
    <row r="55">
      <c r="B55" s="122">
        <f>'الكميات المنفذة'!A24</f>
        <v/>
      </c>
      <c r="C55" s="123">
        <f>'الكميات المنفذة'!B24</f>
        <v/>
      </c>
      <c r="D55" s="122">
        <f>'الكميات المنفذة'!C24</f>
        <v/>
      </c>
      <c r="E55" s="124">
        <f>'الكميات المنفذة'!E24</f>
        <v/>
      </c>
      <c r="F55" s="124">
        <f>'الكميات المنفذة'!F24</f>
        <v/>
      </c>
      <c r="G55" s="124">
        <f>SUMIF('الكميات المنفذة'!$G$5:$AD$5,"&lt;"&amp;SelIPC,'الكميات المنفذة'!$G24:$AD24)</f>
        <v/>
      </c>
      <c r="H55" s="125">
        <f>SUMIF('الكميات المنفذة'!$G$5:$AD$5,SelIPC,'الكميات المنفذة'!$G24:$AD24)</f>
        <v/>
      </c>
      <c r="I55" s="124">
        <f>G55+H55</f>
        <v/>
      </c>
      <c r="J55" s="126">
        <f>IF(E55&gt;0,I55/E55,0)</f>
        <v/>
      </c>
      <c r="K55" s="124">
        <f>G55*F55</f>
        <v/>
      </c>
      <c r="L55" s="125">
        <f>H55*F55</f>
        <v/>
      </c>
      <c r="M55" s="124">
        <f>I55*F55</f>
        <v/>
      </c>
    </row>
    <row r="56">
      <c r="B56" s="122">
        <f>'الكميات المنفذة'!A25</f>
        <v/>
      </c>
      <c r="C56" s="123">
        <f>'الكميات المنفذة'!B25</f>
        <v/>
      </c>
      <c r="D56" s="122">
        <f>'الكميات المنفذة'!C25</f>
        <v/>
      </c>
      <c r="E56" s="124">
        <f>'الكميات المنفذة'!E25</f>
        <v/>
      </c>
      <c r="F56" s="124">
        <f>'الكميات المنفذة'!F25</f>
        <v/>
      </c>
      <c r="G56" s="124">
        <f>SUMIF('الكميات المنفذة'!$G$5:$AD$5,"&lt;"&amp;SelIPC,'الكميات المنفذة'!$G25:$AD25)</f>
        <v/>
      </c>
      <c r="H56" s="125">
        <f>SUMIF('الكميات المنفذة'!$G$5:$AD$5,SelIPC,'الكميات المنفذة'!$G25:$AD25)</f>
        <v/>
      </c>
      <c r="I56" s="124">
        <f>G56+H56</f>
        <v/>
      </c>
      <c r="J56" s="126">
        <f>IF(E56&gt;0,I56/E56,0)</f>
        <v/>
      </c>
      <c r="K56" s="124">
        <f>G56*F56</f>
        <v/>
      </c>
      <c r="L56" s="125">
        <f>H56*F56</f>
        <v/>
      </c>
      <c r="M56" s="124">
        <f>I56*F56</f>
        <v/>
      </c>
    </row>
    <row r="57">
      <c r="B57" s="122">
        <f>'الكميات المنفذة'!A26</f>
        <v/>
      </c>
      <c r="C57" s="123">
        <f>'الكميات المنفذة'!B26</f>
        <v/>
      </c>
      <c r="D57" s="122">
        <f>'الكميات المنفذة'!C26</f>
        <v/>
      </c>
      <c r="E57" s="124">
        <f>'الكميات المنفذة'!E26</f>
        <v/>
      </c>
      <c r="F57" s="124">
        <f>'الكميات المنفذة'!F26</f>
        <v/>
      </c>
      <c r="G57" s="124">
        <f>SUMIF('الكميات المنفذة'!$G$5:$AD$5,"&lt;"&amp;SelIPC,'الكميات المنفذة'!$G26:$AD26)</f>
        <v/>
      </c>
      <c r="H57" s="125">
        <f>SUMIF('الكميات المنفذة'!$G$5:$AD$5,SelIPC,'الكميات المنفذة'!$G26:$AD26)</f>
        <v/>
      </c>
      <c r="I57" s="124">
        <f>G57+H57</f>
        <v/>
      </c>
      <c r="J57" s="126">
        <f>IF(E57&gt;0,I57/E57,0)</f>
        <v/>
      </c>
      <c r="K57" s="124">
        <f>G57*F57</f>
        <v/>
      </c>
      <c r="L57" s="125">
        <f>H57*F57</f>
        <v/>
      </c>
      <c r="M57" s="124">
        <f>I57*F57</f>
        <v/>
      </c>
    </row>
    <row r="58">
      <c r="B58" s="122">
        <f>'الكميات المنفذة'!A27</f>
        <v/>
      </c>
      <c r="C58" s="123">
        <f>'الكميات المنفذة'!B27</f>
        <v/>
      </c>
      <c r="D58" s="122">
        <f>'الكميات المنفذة'!C27</f>
        <v/>
      </c>
      <c r="E58" s="124">
        <f>'الكميات المنفذة'!E27</f>
        <v/>
      </c>
      <c r="F58" s="124">
        <f>'الكميات المنفذة'!F27</f>
        <v/>
      </c>
      <c r="G58" s="124">
        <f>SUMIF('الكميات المنفذة'!$G$5:$AD$5,"&lt;"&amp;SelIPC,'الكميات المنفذة'!$G27:$AD27)</f>
        <v/>
      </c>
      <c r="H58" s="125">
        <f>SUMIF('الكميات المنفذة'!$G$5:$AD$5,SelIPC,'الكميات المنفذة'!$G27:$AD27)</f>
        <v/>
      </c>
      <c r="I58" s="124">
        <f>G58+H58</f>
        <v/>
      </c>
      <c r="J58" s="126">
        <f>IF(E58&gt;0,I58/E58,0)</f>
        <v/>
      </c>
      <c r="K58" s="124">
        <f>G58*F58</f>
        <v/>
      </c>
      <c r="L58" s="125">
        <f>H58*F58</f>
        <v/>
      </c>
      <c r="M58" s="124">
        <f>I58*F58</f>
        <v/>
      </c>
    </row>
    <row r="59">
      <c r="B59" s="122">
        <f>'الكميات المنفذة'!A28</f>
        <v/>
      </c>
      <c r="C59" s="123">
        <f>'الكميات المنفذة'!B28</f>
        <v/>
      </c>
      <c r="D59" s="122">
        <f>'الكميات المنفذة'!C28</f>
        <v/>
      </c>
      <c r="E59" s="124">
        <f>'الكميات المنفذة'!E28</f>
        <v/>
      </c>
      <c r="F59" s="124">
        <f>'الكميات المنفذة'!F28</f>
        <v/>
      </c>
      <c r="G59" s="124">
        <f>SUMIF('الكميات المنفذة'!$G$5:$AD$5,"&lt;"&amp;SelIPC,'الكميات المنفذة'!$G28:$AD28)</f>
        <v/>
      </c>
      <c r="H59" s="125">
        <f>SUMIF('الكميات المنفذة'!$G$5:$AD$5,SelIPC,'الكميات المنفذة'!$G28:$AD28)</f>
        <v/>
      </c>
      <c r="I59" s="124">
        <f>G59+H59</f>
        <v/>
      </c>
      <c r="J59" s="126">
        <f>IF(E59&gt;0,I59/E59,0)</f>
        <v/>
      </c>
      <c r="K59" s="124">
        <f>G59*F59</f>
        <v/>
      </c>
      <c r="L59" s="125">
        <f>H59*F59</f>
        <v/>
      </c>
      <c r="M59" s="124">
        <f>I59*F59</f>
        <v/>
      </c>
    </row>
    <row r="60">
      <c r="B60" s="122">
        <f>'الكميات المنفذة'!A29</f>
        <v/>
      </c>
      <c r="C60" s="123">
        <f>'الكميات المنفذة'!B29</f>
        <v/>
      </c>
      <c r="D60" s="122">
        <f>'الكميات المنفذة'!C29</f>
        <v/>
      </c>
      <c r="E60" s="124">
        <f>'الكميات المنفذة'!E29</f>
        <v/>
      </c>
      <c r="F60" s="124">
        <f>'الكميات المنفذة'!F29</f>
        <v/>
      </c>
      <c r="G60" s="124">
        <f>SUMIF('الكميات المنفذة'!$G$5:$AD$5,"&lt;"&amp;SelIPC,'الكميات المنفذة'!$G29:$AD29)</f>
        <v/>
      </c>
      <c r="H60" s="125">
        <f>SUMIF('الكميات المنفذة'!$G$5:$AD$5,SelIPC,'الكميات المنفذة'!$G29:$AD29)</f>
        <v/>
      </c>
      <c r="I60" s="124">
        <f>G60+H60</f>
        <v/>
      </c>
      <c r="J60" s="126">
        <f>IF(E60&gt;0,I60/E60,0)</f>
        <v/>
      </c>
      <c r="K60" s="124">
        <f>G60*F60</f>
        <v/>
      </c>
      <c r="L60" s="125">
        <f>H60*F60</f>
        <v/>
      </c>
      <c r="M60" s="124">
        <f>I60*F60</f>
        <v/>
      </c>
    </row>
    <row r="61">
      <c r="B61" s="122">
        <f>'الكميات المنفذة'!A30</f>
        <v/>
      </c>
      <c r="C61" s="123">
        <f>'الكميات المنفذة'!B30</f>
        <v/>
      </c>
      <c r="D61" s="122">
        <f>'الكميات المنفذة'!C30</f>
        <v/>
      </c>
      <c r="E61" s="124">
        <f>'الكميات المنفذة'!E30</f>
        <v/>
      </c>
      <c r="F61" s="124">
        <f>'الكميات المنفذة'!F30</f>
        <v/>
      </c>
      <c r="G61" s="124">
        <f>SUMIF('الكميات المنفذة'!$G$5:$AD$5,"&lt;"&amp;SelIPC,'الكميات المنفذة'!$G30:$AD30)</f>
        <v/>
      </c>
      <c r="H61" s="125">
        <f>SUMIF('الكميات المنفذة'!$G$5:$AD$5,SelIPC,'الكميات المنفذة'!$G30:$AD30)</f>
        <v/>
      </c>
      <c r="I61" s="124">
        <f>G61+H61</f>
        <v/>
      </c>
      <c r="J61" s="126">
        <f>IF(E61&gt;0,I61/E61,0)</f>
        <v/>
      </c>
      <c r="K61" s="124">
        <f>G61*F61</f>
        <v/>
      </c>
      <c r="L61" s="125">
        <f>H61*F61</f>
        <v/>
      </c>
      <c r="M61" s="124">
        <f>I61*F61</f>
        <v/>
      </c>
    </row>
    <row r="62">
      <c r="B62" s="122">
        <f>'الكميات المنفذة'!A31</f>
        <v/>
      </c>
      <c r="C62" s="123">
        <f>'الكميات المنفذة'!B31</f>
        <v/>
      </c>
      <c r="D62" s="122">
        <f>'الكميات المنفذة'!C31</f>
        <v/>
      </c>
      <c r="E62" s="124">
        <f>'الكميات المنفذة'!E31</f>
        <v/>
      </c>
      <c r="F62" s="124">
        <f>'الكميات المنفذة'!F31</f>
        <v/>
      </c>
      <c r="G62" s="124">
        <f>SUMIF('الكميات المنفذة'!$G$5:$AD$5,"&lt;"&amp;SelIPC,'الكميات المنفذة'!$G31:$AD31)</f>
        <v/>
      </c>
      <c r="H62" s="125">
        <f>SUMIF('الكميات المنفذة'!$G$5:$AD$5,SelIPC,'الكميات المنفذة'!$G31:$AD31)</f>
        <v/>
      </c>
      <c r="I62" s="124">
        <f>G62+H62</f>
        <v/>
      </c>
      <c r="J62" s="126">
        <f>IF(E62&gt;0,I62/E62,0)</f>
        <v/>
      </c>
      <c r="K62" s="124">
        <f>G62*F62</f>
        <v/>
      </c>
      <c r="L62" s="125">
        <f>H62*F62</f>
        <v/>
      </c>
      <c r="M62" s="124">
        <f>I62*F62</f>
        <v/>
      </c>
    </row>
    <row r="63">
      <c r="B63" s="122">
        <f>'الكميات المنفذة'!A32</f>
        <v/>
      </c>
      <c r="C63" s="123">
        <f>'الكميات المنفذة'!B32</f>
        <v/>
      </c>
      <c r="D63" s="122">
        <f>'الكميات المنفذة'!C32</f>
        <v/>
      </c>
      <c r="E63" s="124">
        <f>'الكميات المنفذة'!E32</f>
        <v/>
      </c>
      <c r="F63" s="124">
        <f>'الكميات المنفذة'!F32</f>
        <v/>
      </c>
      <c r="G63" s="124">
        <f>SUMIF('الكميات المنفذة'!$G$5:$AD$5,"&lt;"&amp;SelIPC,'الكميات المنفذة'!$G32:$AD32)</f>
        <v/>
      </c>
      <c r="H63" s="125">
        <f>SUMIF('الكميات المنفذة'!$G$5:$AD$5,SelIPC,'الكميات المنفذة'!$G32:$AD32)</f>
        <v/>
      </c>
      <c r="I63" s="124">
        <f>G63+H63</f>
        <v/>
      </c>
      <c r="J63" s="126">
        <f>IF(E63&gt;0,I63/E63,0)</f>
        <v/>
      </c>
      <c r="K63" s="124">
        <f>G63*F63</f>
        <v/>
      </c>
      <c r="L63" s="125">
        <f>H63*F63</f>
        <v/>
      </c>
      <c r="M63" s="124">
        <f>I63*F63</f>
        <v/>
      </c>
    </row>
    <row r="64">
      <c r="B64" s="122">
        <f>'الكميات المنفذة'!A33</f>
        <v/>
      </c>
      <c r="C64" s="123">
        <f>'الكميات المنفذة'!B33</f>
        <v/>
      </c>
      <c r="D64" s="122">
        <f>'الكميات المنفذة'!C33</f>
        <v/>
      </c>
      <c r="E64" s="124">
        <f>'الكميات المنفذة'!E33</f>
        <v/>
      </c>
      <c r="F64" s="124">
        <f>'الكميات المنفذة'!F33</f>
        <v/>
      </c>
      <c r="G64" s="124">
        <f>SUMIF('الكميات المنفذة'!$G$5:$AD$5,"&lt;"&amp;SelIPC,'الكميات المنفذة'!$G33:$AD33)</f>
        <v/>
      </c>
      <c r="H64" s="125">
        <f>SUMIF('الكميات المنفذة'!$G$5:$AD$5,SelIPC,'الكميات المنفذة'!$G33:$AD33)</f>
        <v/>
      </c>
      <c r="I64" s="124">
        <f>G64+H64</f>
        <v/>
      </c>
      <c r="J64" s="126">
        <f>IF(E64&gt;0,I64/E64,0)</f>
        <v/>
      </c>
      <c r="K64" s="124">
        <f>G64*F64</f>
        <v/>
      </c>
      <c r="L64" s="125">
        <f>H64*F64</f>
        <v/>
      </c>
      <c r="M64" s="124">
        <f>I64*F64</f>
        <v/>
      </c>
    </row>
    <row r="65">
      <c r="B65" s="122">
        <f>'الكميات المنفذة'!A34</f>
        <v/>
      </c>
      <c r="C65" s="123">
        <f>'الكميات المنفذة'!B34</f>
        <v/>
      </c>
      <c r="D65" s="122">
        <f>'الكميات المنفذة'!C34</f>
        <v/>
      </c>
      <c r="E65" s="124">
        <f>'الكميات المنفذة'!E34</f>
        <v/>
      </c>
      <c r="F65" s="124">
        <f>'الكميات المنفذة'!F34</f>
        <v/>
      </c>
      <c r="G65" s="124">
        <f>SUMIF('الكميات المنفذة'!$G$5:$AD$5,"&lt;"&amp;SelIPC,'الكميات المنفذة'!$G34:$AD34)</f>
        <v/>
      </c>
      <c r="H65" s="125">
        <f>SUMIF('الكميات المنفذة'!$G$5:$AD$5,SelIPC,'الكميات المنفذة'!$G34:$AD34)</f>
        <v/>
      </c>
      <c r="I65" s="124">
        <f>G65+H65</f>
        <v/>
      </c>
      <c r="J65" s="126">
        <f>IF(E65&gt;0,I65/E65,0)</f>
        <v/>
      </c>
      <c r="K65" s="124">
        <f>G65*F65</f>
        <v/>
      </c>
      <c r="L65" s="125">
        <f>H65*F65</f>
        <v/>
      </c>
      <c r="M65" s="124">
        <f>I65*F65</f>
        <v/>
      </c>
    </row>
    <row r="66">
      <c r="B66" s="122">
        <f>'الكميات المنفذة'!A35</f>
        <v/>
      </c>
      <c r="C66" s="123">
        <f>'الكميات المنفذة'!B35</f>
        <v/>
      </c>
      <c r="D66" s="122">
        <f>'الكميات المنفذة'!C35</f>
        <v/>
      </c>
      <c r="E66" s="124">
        <f>'الكميات المنفذة'!E35</f>
        <v/>
      </c>
      <c r="F66" s="124">
        <f>'الكميات المنفذة'!F35</f>
        <v/>
      </c>
      <c r="G66" s="124">
        <f>SUMIF('الكميات المنفذة'!$G$5:$AD$5,"&lt;"&amp;SelIPC,'الكميات المنفذة'!$G35:$AD35)</f>
        <v/>
      </c>
      <c r="H66" s="125">
        <f>SUMIF('الكميات المنفذة'!$G$5:$AD$5,SelIPC,'الكميات المنفذة'!$G35:$AD35)</f>
        <v/>
      </c>
      <c r="I66" s="124">
        <f>G66+H66</f>
        <v/>
      </c>
      <c r="J66" s="126">
        <f>IF(E66&gt;0,I66/E66,0)</f>
        <v/>
      </c>
      <c r="K66" s="124">
        <f>G66*F66</f>
        <v/>
      </c>
      <c r="L66" s="125">
        <f>H66*F66</f>
        <v/>
      </c>
      <c r="M66" s="124">
        <f>I66*F66</f>
        <v/>
      </c>
    </row>
    <row r="67">
      <c r="B67" s="122">
        <f>'الكميات المنفذة'!A36</f>
        <v/>
      </c>
      <c r="C67" s="123">
        <f>'الكميات المنفذة'!B36</f>
        <v/>
      </c>
      <c r="D67" s="122">
        <f>'الكميات المنفذة'!C36</f>
        <v/>
      </c>
      <c r="E67" s="124">
        <f>'الكميات المنفذة'!E36</f>
        <v/>
      </c>
      <c r="F67" s="124">
        <f>'الكميات المنفذة'!F36</f>
        <v/>
      </c>
      <c r="G67" s="124">
        <f>SUMIF('الكميات المنفذة'!$G$5:$AD$5,"&lt;"&amp;SelIPC,'الكميات المنفذة'!$G36:$AD36)</f>
        <v/>
      </c>
      <c r="H67" s="125">
        <f>SUMIF('الكميات المنفذة'!$G$5:$AD$5,SelIPC,'الكميات المنفذة'!$G36:$AD36)</f>
        <v/>
      </c>
      <c r="I67" s="124">
        <f>G67+H67</f>
        <v/>
      </c>
      <c r="J67" s="126">
        <f>IF(E67&gt;0,I67/E67,0)</f>
        <v/>
      </c>
      <c r="K67" s="124">
        <f>G67*F67</f>
        <v/>
      </c>
      <c r="L67" s="125">
        <f>H67*F67</f>
        <v/>
      </c>
      <c r="M67" s="124">
        <f>I67*F67</f>
        <v/>
      </c>
    </row>
    <row r="68">
      <c r="B68" s="122">
        <f>'الكميات المنفذة'!A37</f>
        <v/>
      </c>
      <c r="C68" s="123">
        <f>'الكميات المنفذة'!B37</f>
        <v/>
      </c>
      <c r="D68" s="122">
        <f>'الكميات المنفذة'!C37</f>
        <v/>
      </c>
      <c r="E68" s="124">
        <f>'الكميات المنفذة'!E37</f>
        <v/>
      </c>
      <c r="F68" s="124">
        <f>'الكميات المنفذة'!F37</f>
        <v/>
      </c>
      <c r="G68" s="124">
        <f>SUMIF('الكميات المنفذة'!$G$5:$AD$5,"&lt;"&amp;SelIPC,'الكميات المنفذة'!$G37:$AD37)</f>
        <v/>
      </c>
      <c r="H68" s="125">
        <f>SUMIF('الكميات المنفذة'!$G$5:$AD$5,SelIPC,'الكميات المنفذة'!$G37:$AD37)</f>
        <v/>
      </c>
      <c r="I68" s="124">
        <f>G68+H68</f>
        <v/>
      </c>
      <c r="J68" s="126">
        <f>IF(E68&gt;0,I68/E68,0)</f>
        <v/>
      </c>
      <c r="K68" s="124">
        <f>G68*F68</f>
        <v/>
      </c>
      <c r="L68" s="125">
        <f>H68*F68</f>
        <v/>
      </c>
      <c r="M68" s="124">
        <f>I68*F68</f>
        <v/>
      </c>
    </row>
    <row r="69">
      <c r="B69" s="122">
        <f>'الكميات المنفذة'!A38</f>
        <v/>
      </c>
      <c r="C69" s="123">
        <f>'الكميات المنفذة'!B38</f>
        <v/>
      </c>
      <c r="D69" s="122">
        <f>'الكميات المنفذة'!C38</f>
        <v/>
      </c>
      <c r="E69" s="124">
        <f>'الكميات المنفذة'!E38</f>
        <v/>
      </c>
      <c r="F69" s="124">
        <f>'الكميات المنفذة'!F38</f>
        <v/>
      </c>
      <c r="G69" s="124">
        <f>SUMIF('الكميات المنفذة'!$G$5:$AD$5,"&lt;"&amp;SelIPC,'الكميات المنفذة'!$G38:$AD38)</f>
        <v/>
      </c>
      <c r="H69" s="125">
        <f>SUMIF('الكميات المنفذة'!$G$5:$AD$5,SelIPC,'الكميات المنفذة'!$G38:$AD38)</f>
        <v/>
      </c>
      <c r="I69" s="124">
        <f>G69+H69</f>
        <v/>
      </c>
      <c r="J69" s="126">
        <f>IF(E69&gt;0,I69/E69,0)</f>
        <v/>
      </c>
      <c r="K69" s="124">
        <f>G69*F69</f>
        <v/>
      </c>
      <c r="L69" s="125">
        <f>H69*F69</f>
        <v/>
      </c>
      <c r="M69" s="124">
        <f>I69*F69</f>
        <v/>
      </c>
    </row>
    <row r="70">
      <c r="B70" s="122">
        <f>'الكميات المنفذة'!A39</f>
        <v/>
      </c>
      <c r="C70" s="123">
        <f>'الكميات المنفذة'!B39</f>
        <v/>
      </c>
      <c r="D70" s="122">
        <f>'الكميات المنفذة'!C39</f>
        <v/>
      </c>
      <c r="E70" s="124">
        <f>'الكميات المنفذة'!E39</f>
        <v/>
      </c>
      <c r="F70" s="124">
        <f>'الكميات المنفذة'!F39</f>
        <v/>
      </c>
      <c r="G70" s="124">
        <f>SUMIF('الكميات المنفذة'!$G$5:$AD$5,"&lt;"&amp;SelIPC,'الكميات المنفذة'!$G39:$AD39)</f>
        <v/>
      </c>
      <c r="H70" s="125">
        <f>SUMIF('الكميات المنفذة'!$G$5:$AD$5,SelIPC,'الكميات المنفذة'!$G39:$AD39)</f>
        <v/>
      </c>
      <c r="I70" s="124">
        <f>G70+H70</f>
        <v/>
      </c>
      <c r="J70" s="126">
        <f>IF(E70&gt;0,I70/E70,0)</f>
        <v/>
      </c>
      <c r="K70" s="124">
        <f>G70*F70</f>
        <v/>
      </c>
      <c r="L70" s="125">
        <f>H70*F70</f>
        <v/>
      </c>
      <c r="M70" s="124">
        <f>I70*F70</f>
        <v/>
      </c>
    </row>
    <row r="71">
      <c r="B71" s="122">
        <f>'الكميات المنفذة'!A40</f>
        <v/>
      </c>
      <c r="C71" s="123">
        <f>'الكميات المنفذة'!B40</f>
        <v/>
      </c>
      <c r="D71" s="122">
        <f>'الكميات المنفذة'!C40</f>
        <v/>
      </c>
      <c r="E71" s="124">
        <f>'الكميات المنفذة'!E40</f>
        <v/>
      </c>
      <c r="F71" s="124">
        <f>'الكميات المنفذة'!F40</f>
        <v/>
      </c>
      <c r="G71" s="124">
        <f>SUMIF('الكميات المنفذة'!$G$5:$AD$5,"&lt;"&amp;SelIPC,'الكميات المنفذة'!$G40:$AD40)</f>
        <v/>
      </c>
      <c r="H71" s="125">
        <f>SUMIF('الكميات المنفذة'!$G$5:$AD$5,SelIPC,'الكميات المنفذة'!$G40:$AD40)</f>
        <v/>
      </c>
      <c r="I71" s="124">
        <f>G71+H71</f>
        <v/>
      </c>
      <c r="J71" s="126">
        <f>IF(E71&gt;0,I71/E71,0)</f>
        <v/>
      </c>
      <c r="K71" s="124">
        <f>G71*F71</f>
        <v/>
      </c>
      <c r="L71" s="125">
        <f>H71*F71</f>
        <v/>
      </c>
      <c r="M71" s="124">
        <f>I71*F71</f>
        <v/>
      </c>
    </row>
    <row r="72">
      <c r="B72" s="122">
        <f>'الكميات المنفذة'!A41</f>
        <v/>
      </c>
      <c r="C72" s="123">
        <f>'الكميات المنفذة'!B41</f>
        <v/>
      </c>
      <c r="D72" s="122">
        <f>'الكميات المنفذة'!C41</f>
        <v/>
      </c>
      <c r="E72" s="124">
        <f>'الكميات المنفذة'!E41</f>
        <v/>
      </c>
      <c r="F72" s="124">
        <f>'الكميات المنفذة'!F41</f>
        <v/>
      </c>
      <c r="G72" s="124">
        <f>SUMIF('الكميات المنفذة'!$G$5:$AD$5,"&lt;"&amp;SelIPC,'الكميات المنفذة'!$G41:$AD41)</f>
        <v/>
      </c>
      <c r="H72" s="125">
        <f>SUMIF('الكميات المنفذة'!$G$5:$AD$5,SelIPC,'الكميات المنفذة'!$G41:$AD41)</f>
        <v/>
      </c>
      <c r="I72" s="124">
        <f>G72+H72</f>
        <v/>
      </c>
      <c r="J72" s="126">
        <f>IF(E72&gt;0,I72/E72,0)</f>
        <v/>
      </c>
      <c r="K72" s="124">
        <f>G72*F72</f>
        <v/>
      </c>
      <c r="L72" s="125">
        <f>H72*F72</f>
        <v/>
      </c>
      <c r="M72" s="124">
        <f>I72*F72</f>
        <v/>
      </c>
    </row>
    <row r="73">
      <c r="B73" s="122">
        <f>'الكميات المنفذة'!A42</f>
        <v/>
      </c>
      <c r="C73" s="123">
        <f>'الكميات المنفذة'!B42</f>
        <v/>
      </c>
      <c r="D73" s="122">
        <f>'الكميات المنفذة'!C42</f>
        <v/>
      </c>
      <c r="E73" s="124">
        <f>'الكميات المنفذة'!E42</f>
        <v/>
      </c>
      <c r="F73" s="124">
        <f>'الكميات المنفذة'!F42</f>
        <v/>
      </c>
      <c r="G73" s="124">
        <f>SUMIF('الكميات المنفذة'!$G$5:$AD$5,"&lt;"&amp;SelIPC,'الكميات المنفذة'!$G42:$AD42)</f>
        <v/>
      </c>
      <c r="H73" s="125">
        <f>SUMIF('الكميات المنفذة'!$G$5:$AD$5,SelIPC,'الكميات المنفذة'!$G42:$AD42)</f>
        <v/>
      </c>
      <c r="I73" s="124">
        <f>G73+H73</f>
        <v/>
      </c>
      <c r="J73" s="126">
        <f>IF(E73&gt;0,I73/E73,0)</f>
        <v/>
      </c>
      <c r="K73" s="124">
        <f>G73*F73</f>
        <v/>
      </c>
      <c r="L73" s="125">
        <f>H73*F73</f>
        <v/>
      </c>
      <c r="M73" s="124">
        <f>I73*F73</f>
        <v/>
      </c>
    </row>
    <row r="74">
      <c r="B74" s="122">
        <f>'الكميات المنفذة'!A43</f>
        <v/>
      </c>
      <c r="C74" s="123">
        <f>'الكميات المنفذة'!B43</f>
        <v/>
      </c>
      <c r="D74" s="122">
        <f>'الكميات المنفذة'!C43</f>
        <v/>
      </c>
      <c r="E74" s="124">
        <f>'الكميات المنفذة'!E43</f>
        <v/>
      </c>
      <c r="F74" s="124">
        <f>'الكميات المنفذة'!F43</f>
        <v/>
      </c>
      <c r="G74" s="124">
        <f>SUMIF('الكميات المنفذة'!$G$5:$AD$5,"&lt;"&amp;SelIPC,'الكميات المنفذة'!$G43:$AD43)</f>
        <v/>
      </c>
      <c r="H74" s="125">
        <f>SUMIF('الكميات المنفذة'!$G$5:$AD$5,SelIPC,'الكميات المنفذة'!$G43:$AD43)</f>
        <v/>
      </c>
      <c r="I74" s="124">
        <f>G74+H74</f>
        <v/>
      </c>
      <c r="J74" s="126">
        <f>IF(E74&gt;0,I74/E74,0)</f>
        <v/>
      </c>
      <c r="K74" s="124">
        <f>G74*F74</f>
        <v/>
      </c>
      <c r="L74" s="125">
        <f>H74*F74</f>
        <v/>
      </c>
      <c r="M74" s="124">
        <f>I74*F74</f>
        <v/>
      </c>
    </row>
    <row r="75">
      <c r="B75" s="122">
        <f>'الكميات المنفذة'!A44</f>
        <v/>
      </c>
      <c r="C75" s="123">
        <f>'الكميات المنفذة'!B44</f>
        <v/>
      </c>
      <c r="D75" s="122">
        <f>'الكميات المنفذة'!C44</f>
        <v/>
      </c>
      <c r="E75" s="124">
        <f>'الكميات المنفذة'!E44</f>
        <v/>
      </c>
      <c r="F75" s="124">
        <f>'الكميات المنفذة'!F44</f>
        <v/>
      </c>
      <c r="G75" s="124">
        <f>SUMIF('الكميات المنفذة'!$G$5:$AD$5,"&lt;"&amp;SelIPC,'الكميات المنفذة'!$G44:$AD44)</f>
        <v/>
      </c>
      <c r="H75" s="125">
        <f>SUMIF('الكميات المنفذة'!$G$5:$AD$5,SelIPC,'الكميات المنفذة'!$G44:$AD44)</f>
        <v/>
      </c>
      <c r="I75" s="124">
        <f>G75+H75</f>
        <v/>
      </c>
      <c r="J75" s="126">
        <f>IF(E75&gt;0,I75/E75,0)</f>
        <v/>
      </c>
      <c r="K75" s="124">
        <f>G75*F75</f>
        <v/>
      </c>
      <c r="L75" s="125">
        <f>H75*F75</f>
        <v/>
      </c>
      <c r="M75" s="124">
        <f>I75*F75</f>
        <v/>
      </c>
    </row>
    <row r="76">
      <c r="B76" s="122">
        <f>'الكميات المنفذة'!A45</f>
        <v/>
      </c>
      <c r="C76" s="123">
        <f>'الكميات المنفذة'!B45</f>
        <v/>
      </c>
      <c r="D76" s="122">
        <f>'الكميات المنفذة'!C45</f>
        <v/>
      </c>
      <c r="E76" s="124">
        <f>'الكميات المنفذة'!E45</f>
        <v/>
      </c>
      <c r="F76" s="124">
        <f>'الكميات المنفذة'!F45</f>
        <v/>
      </c>
      <c r="G76" s="124">
        <f>SUMIF('الكميات المنفذة'!$G$5:$AD$5,"&lt;"&amp;SelIPC,'الكميات المنفذة'!$G45:$AD45)</f>
        <v/>
      </c>
      <c r="H76" s="125">
        <f>SUMIF('الكميات المنفذة'!$G$5:$AD$5,SelIPC,'الكميات المنفذة'!$G45:$AD45)</f>
        <v/>
      </c>
      <c r="I76" s="124">
        <f>G76+H76</f>
        <v/>
      </c>
      <c r="J76" s="126">
        <f>IF(E76&gt;0,I76/E76,0)</f>
        <v/>
      </c>
      <c r="K76" s="124">
        <f>G76*F76</f>
        <v/>
      </c>
      <c r="L76" s="125">
        <f>H76*F76</f>
        <v/>
      </c>
      <c r="M76" s="124">
        <f>I76*F76</f>
        <v/>
      </c>
    </row>
    <row r="77">
      <c r="B77" s="122">
        <f>'الكميات المنفذة'!A46</f>
        <v/>
      </c>
      <c r="C77" s="123">
        <f>'الكميات المنفذة'!B46</f>
        <v/>
      </c>
      <c r="D77" s="122">
        <f>'الكميات المنفذة'!C46</f>
        <v/>
      </c>
      <c r="E77" s="124">
        <f>'الكميات المنفذة'!E46</f>
        <v/>
      </c>
      <c r="F77" s="124">
        <f>'الكميات المنفذة'!F46</f>
        <v/>
      </c>
      <c r="G77" s="124">
        <f>SUMIF('الكميات المنفذة'!$G$5:$AD$5,"&lt;"&amp;SelIPC,'الكميات المنفذة'!$G46:$AD46)</f>
        <v/>
      </c>
      <c r="H77" s="125">
        <f>SUMIF('الكميات المنفذة'!$G$5:$AD$5,SelIPC,'الكميات المنفذة'!$G46:$AD46)</f>
        <v/>
      </c>
      <c r="I77" s="124">
        <f>G77+H77</f>
        <v/>
      </c>
      <c r="J77" s="126">
        <f>IF(E77&gt;0,I77/E77,0)</f>
        <v/>
      </c>
      <c r="K77" s="124">
        <f>G77*F77</f>
        <v/>
      </c>
      <c r="L77" s="125">
        <f>H77*F77</f>
        <v/>
      </c>
      <c r="M77" s="124">
        <f>I77*F77</f>
        <v/>
      </c>
    </row>
    <row r="78">
      <c r="B78" s="122">
        <f>'الكميات المنفذة'!A47</f>
        <v/>
      </c>
      <c r="C78" s="123">
        <f>'الكميات المنفذة'!B47</f>
        <v/>
      </c>
      <c r="D78" s="122">
        <f>'الكميات المنفذة'!C47</f>
        <v/>
      </c>
      <c r="E78" s="124">
        <f>'الكميات المنفذة'!E47</f>
        <v/>
      </c>
      <c r="F78" s="124">
        <f>'الكميات المنفذة'!F47</f>
        <v/>
      </c>
      <c r="G78" s="124">
        <f>SUMIF('الكميات المنفذة'!$G$5:$AD$5,"&lt;"&amp;SelIPC,'الكميات المنفذة'!$G47:$AD47)</f>
        <v/>
      </c>
      <c r="H78" s="125">
        <f>SUMIF('الكميات المنفذة'!$G$5:$AD$5,SelIPC,'الكميات المنفذة'!$G47:$AD47)</f>
        <v/>
      </c>
      <c r="I78" s="124">
        <f>G78+H78</f>
        <v/>
      </c>
      <c r="J78" s="126">
        <f>IF(E78&gt;0,I78/E78,0)</f>
        <v/>
      </c>
      <c r="K78" s="124">
        <f>G78*F78</f>
        <v/>
      </c>
      <c r="L78" s="125">
        <f>H78*F78</f>
        <v/>
      </c>
      <c r="M78" s="124">
        <f>I78*F78</f>
        <v/>
      </c>
    </row>
    <row r="79">
      <c r="B79" s="122">
        <f>'الكميات المنفذة'!A48</f>
        <v/>
      </c>
      <c r="C79" s="123">
        <f>'الكميات المنفذة'!B48</f>
        <v/>
      </c>
      <c r="D79" s="122">
        <f>'الكميات المنفذة'!C48</f>
        <v/>
      </c>
      <c r="E79" s="124">
        <f>'الكميات المنفذة'!E48</f>
        <v/>
      </c>
      <c r="F79" s="124">
        <f>'الكميات المنفذة'!F48</f>
        <v/>
      </c>
      <c r="G79" s="124">
        <f>SUMIF('الكميات المنفذة'!$G$5:$AD$5,"&lt;"&amp;SelIPC,'الكميات المنفذة'!$G48:$AD48)</f>
        <v/>
      </c>
      <c r="H79" s="125">
        <f>SUMIF('الكميات المنفذة'!$G$5:$AD$5,SelIPC,'الكميات المنفذة'!$G48:$AD48)</f>
        <v/>
      </c>
      <c r="I79" s="124">
        <f>G79+H79</f>
        <v/>
      </c>
      <c r="J79" s="126">
        <f>IF(E79&gt;0,I79/E79,0)</f>
        <v/>
      </c>
      <c r="K79" s="124">
        <f>G79*F79</f>
        <v/>
      </c>
      <c r="L79" s="125">
        <f>H79*F79</f>
        <v/>
      </c>
      <c r="M79" s="124">
        <f>I79*F79</f>
        <v/>
      </c>
    </row>
    <row r="80">
      <c r="B80" s="122">
        <f>'الكميات المنفذة'!A49</f>
        <v/>
      </c>
      <c r="C80" s="123">
        <f>'الكميات المنفذة'!B49</f>
        <v/>
      </c>
      <c r="D80" s="122">
        <f>'الكميات المنفذة'!C49</f>
        <v/>
      </c>
      <c r="E80" s="124">
        <f>'الكميات المنفذة'!E49</f>
        <v/>
      </c>
      <c r="F80" s="124">
        <f>'الكميات المنفذة'!F49</f>
        <v/>
      </c>
      <c r="G80" s="124">
        <f>SUMIF('الكميات المنفذة'!$G$5:$AD$5,"&lt;"&amp;SelIPC,'الكميات المنفذة'!$G49:$AD49)</f>
        <v/>
      </c>
      <c r="H80" s="125">
        <f>SUMIF('الكميات المنفذة'!$G$5:$AD$5,SelIPC,'الكميات المنفذة'!$G49:$AD49)</f>
        <v/>
      </c>
      <c r="I80" s="124">
        <f>G80+H80</f>
        <v/>
      </c>
      <c r="J80" s="126">
        <f>IF(E80&gt;0,I80/E80,0)</f>
        <v/>
      </c>
      <c r="K80" s="124">
        <f>G80*F80</f>
        <v/>
      </c>
      <c r="L80" s="125">
        <f>H80*F80</f>
        <v/>
      </c>
      <c r="M80" s="124">
        <f>I80*F80</f>
        <v/>
      </c>
    </row>
    <row r="81">
      <c r="B81" s="122">
        <f>'الكميات المنفذة'!A50</f>
        <v/>
      </c>
      <c r="C81" s="123">
        <f>'الكميات المنفذة'!B50</f>
        <v/>
      </c>
      <c r="D81" s="122">
        <f>'الكميات المنفذة'!C50</f>
        <v/>
      </c>
      <c r="E81" s="124">
        <f>'الكميات المنفذة'!E50</f>
        <v/>
      </c>
      <c r="F81" s="124">
        <f>'الكميات المنفذة'!F50</f>
        <v/>
      </c>
      <c r="G81" s="124">
        <f>SUMIF('الكميات المنفذة'!$G$5:$AD$5,"&lt;"&amp;SelIPC,'الكميات المنفذة'!$G50:$AD50)</f>
        <v/>
      </c>
      <c r="H81" s="125">
        <f>SUMIF('الكميات المنفذة'!$G$5:$AD$5,SelIPC,'الكميات المنفذة'!$G50:$AD50)</f>
        <v/>
      </c>
      <c r="I81" s="124">
        <f>G81+H81</f>
        <v/>
      </c>
      <c r="J81" s="126">
        <f>IF(E81&gt;0,I81/E81,0)</f>
        <v/>
      </c>
      <c r="K81" s="124">
        <f>G81*F81</f>
        <v/>
      </c>
      <c r="L81" s="125">
        <f>H81*F81</f>
        <v/>
      </c>
      <c r="M81" s="124">
        <f>I81*F81</f>
        <v/>
      </c>
    </row>
    <row r="82">
      <c r="B82" s="122">
        <f>'الكميات المنفذة'!A51</f>
        <v/>
      </c>
      <c r="C82" s="123">
        <f>'الكميات المنفذة'!B51</f>
        <v/>
      </c>
      <c r="D82" s="122">
        <f>'الكميات المنفذة'!C51</f>
        <v/>
      </c>
      <c r="E82" s="124">
        <f>'الكميات المنفذة'!E51</f>
        <v/>
      </c>
      <c r="F82" s="124">
        <f>'الكميات المنفذة'!F51</f>
        <v/>
      </c>
      <c r="G82" s="124">
        <f>SUMIF('الكميات المنفذة'!$G$5:$AD$5,"&lt;"&amp;SelIPC,'الكميات المنفذة'!$G51:$AD51)</f>
        <v/>
      </c>
      <c r="H82" s="125">
        <f>SUMIF('الكميات المنفذة'!$G$5:$AD$5,SelIPC,'الكميات المنفذة'!$G51:$AD51)</f>
        <v/>
      </c>
      <c r="I82" s="124">
        <f>G82+H82</f>
        <v/>
      </c>
      <c r="J82" s="126">
        <f>IF(E82&gt;0,I82/E82,0)</f>
        <v/>
      </c>
      <c r="K82" s="124">
        <f>G82*F82</f>
        <v/>
      </c>
      <c r="L82" s="125">
        <f>H82*F82</f>
        <v/>
      </c>
      <c r="M82" s="124">
        <f>I82*F82</f>
        <v/>
      </c>
    </row>
    <row r="83">
      <c r="B83" s="122">
        <f>'الكميات المنفذة'!A52</f>
        <v/>
      </c>
      <c r="C83" s="123">
        <f>'الكميات المنفذة'!B52</f>
        <v/>
      </c>
      <c r="D83" s="122">
        <f>'الكميات المنفذة'!C52</f>
        <v/>
      </c>
      <c r="E83" s="124">
        <f>'الكميات المنفذة'!E52</f>
        <v/>
      </c>
      <c r="F83" s="124">
        <f>'الكميات المنفذة'!F52</f>
        <v/>
      </c>
      <c r="G83" s="124">
        <f>SUMIF('الكميات المنفذة'!$G$5:$AD$5,"&lt;"&amp;SelIPC,'الكميات المنفذة'!$G52:$AD52)</f>
        <v/>
      </c>
      <c r="H83" s="125">
        <f>SUMIF('الكميات المنفذة'!$G$5:$AD$5,SelIPC,'الكميات المنفذة'!$G52:$AD52)</f>
        <v/>
      </c>
      <c r="I83" s="124">
        <f>G83+H83</f>
        <v/>
      </c>
      <c r="J83" s="126">
        <f>IF(E83&gt;0,I83/E83,0)</f>
        <v/>
      </c>
      <c r="K83" s="124">
        <f>G83*F83</f>
        <v/>
      </c>
      <c r="L83" s="125">
        <f>H83*F83</f>
        <v/>
      </c>
      <c r="M83" s="124">
        <f>I83*F83</f>
        <v/>
      </c>
    </row>
    <row r="84">
      <c r="B84" s="122">
        <f>'الكميات المنفذة'!A53</f>
        <v/>
      </c>
      <c r="C84" s="123">
        <f>'الكميات المنفذة'!B53</f>
        <v/>
      </c>
      <c r="D84" s="122">
        <f>'الكميات المنفذة'!C53</f>
        <v/>
      </c>
      <c r="E84" s="124">
        <f>'الكميات المنفذة'!E53</f>
        <v/>
      </c>
      <c r="F84" s="124">
        <f>'الكميات المنفذة'!F53</f>
        <v/>
      </c>
      <c r="G84" s="124">
        <f>SUMIF('الكميات المنفذة'!$G$5:$AD$5,"&lt;"&amp;SelIPC,'الكميات المنفذة'!$G53:$AD53)</f>
        <v/>
      </c>
      <c r="H84" s="125">
        <f>SUMIF('الكميات المنفذة'!$G$5:$AD$5,SelIPC,'الكميات المنفذة'!$G53:$AD53)</f>
        <v/>
      </c>
      <c r="I84" s="124">
        <f>G84+H84</f>
        <v/>
      </c>
      <c r="J84" s="126">
        <f>IF(E84&gt;0,I84/E84,0)</f>
        <v/>
      </c>
      <c r="K84" s="124">
        <f>G84*F84</f>
        <v/>
      </c>
      <c r="L84" s="125">
        <f>H84*F84</f>
        <v/>
      </c>
      <c r="M84" s="124">
        <f>I84*F84</f>
        <v/>
      </c>
    </row>
    <row r="85">
      <c r="B85" s="122">
        <f>'الكميات المنفذة'!A54</f>
        <v/>
      </c>
      <c r="C85" s="123">
        <f>'الكميات المنفذة'!B54</f>
        <v/>
      </c>
      <c r="D85" s="122">
        <f>'الكميات المنفذة'!C54</f>
        <v/>
      </c>
      <c r="E85" s="124">
        <f>'الكميات المنفذة'!E54</f>
        <v/>
      </c>
      <c r="F85" s="124">
        <f>'الكميات المنفذة'!F54</f>
        <v/>
      </c>
      <c r="G85" s="124">
        <f>SUMIF('الكميات المنفذة'!$G$5:$AD$5,"&lt;"&amp;SelIPC,'الكميات المنفذة'!$G54:$AD54)</f>
        <v/>
      </c>
      <c r="H85" s="125">
        <f>SUMIF('الكميات المنفذة'!$G$5:$AD$5,SelIPC,'الكميات المنفذة'!$G54:$AD54)</f>
        <v/>
      </c>
      <c r="I85" s="124">
        <f>G85+H85</f>
        <v/>
      </c>
      <c r="J85" s="126">
        <f>IF(E85&gt;0,I85/E85,0)</f>
        <v/>
      </c>
      <c r="K85" s="124">
        <f>G85*F85</f>
        <v/>
      </c>
      <c r="L85" s="125">
        <f>H85*F85</f>
        <v/>
      </c>
      <c r="M85" s="124">
        <f>I85*F85</f>
        <v/>
      </c>
    </row>
    <row r="86">
      <c r="B86" s="122">
        <f>'الكميات المنفذة'!A55</f>
        <v/>
      </c>
      <c r="C86" s="123">
        <f>'الكميات المنفذة'!B55</f>
        <v/>
      </c>
      <c r="D86" s="122">
        <f>'الكميات المنفذة'!C55</f>
        <v/>
      </c>
      <c r="E86" s="124">
        <f>'الكميات المنفذة'!E55</f>
        <v/>
      </c>
      <c r="F86" s="124">
        <f>'الكميات المنفذة'!F55</f>
        <v/>
      </c>
      <c r="G86" s="124">
        <f>SUMIF('الكميات المنفذة'!$G$5:$AD$5,"&lt;"&amp;SelIPC,'الكميات المنفذة'!$G55:$AD55)</f>
        <v/>
      </c>
      <c r="H86" s="125">
        <f>SUMIF('الكميات المنفذة'!$G$5:$AD$5,SelIPC,'الكميات المنفذة'!$G55:$AD55)</f>
        <v/>
      </c>
      <c r="I86" s="124">
        <f>G86+H86</f>
        <v/>
      </c>
      <c r="J86" s="126">
        <f>IF(E86&gt;0,I86/E86,0)</f>
        <v/>
      </c>
      <c r="K86" s="124">
        <f>G86*F86</f>
        <v/>
      </c>
      <c r="L86" s="125">
        <f>H86*F86</f>
        <v/>
      </c>
      <c r="M86" s="124">
        <f>I86*F86</f>
        <v/>
      </c>
    </row>
    <row r="87">
      <c r="B87" s="122">
        <f>'الكميات المنفذة'!A56</f>
        <v/>
      </c>
      <c r="C87" s="123">
        <f>'الكميات المنفذة'!B56</f>
        <v/>
      </c>
      <c r="D87" s="122">
        <f>'الكميات المنفذة'!C56</f>
        <v/>
      </c>
      <c r="E87" s="124">
        <f>'الكميات المنفذة'!E56</f>
        <v/>
      </c>
      <c r="F87" s="124">
        <f>'الكميات المنفذة'!F56</f>
        <v/>
      </c>
      <c r="G87" s="124">
        <f>SUMIF('الكميات المنفذة'!$G$5:$AD$5,"&lt;"&amp;SelIPC,'الكميات المنفذة'!$G56:$AD56)</f>
        <v/>
      </c>
      <c r="H87" s="125">
        <f>SUMIF('الكميات المنفذة'!$G$5:$AD$5,SelIPC,'الكميات المنفذة'!$G56:$AD56)</f>
        <v/>
      </c>
      <c r="I87" s="124">
        <f>G87+H87</f>
        <v/>
      </c>
      <c r="J87" s="126">
        <f>IF(E87&gt;0,I87/E87,0)</f>
        <v/>
      </c>
      <c r="K87" s="124">
        <f>G87*F87</f>
        <v/>
      </c>
      <c r="L87" s="125">
        <f>H87*F87</f>
        <v/>
      </c>
      <c r="M87" s="124">
        <f>I87*F87</f>
        <v/>
      </c>
    </row>
    <row r="88">
      <c r="B88" s="122">
        <f>'الكميات المنفذة'!A57</f>
        <v/>
      </c>
      <c r="C88" s="123">
        <f>'الكميات المنفذة'!B57</f>
        <v/>
      </c>
      <c r="D88" s="122">
        <f>'الكميات المنفذة'!C57</f>
        <v/>
      </c>
      <c r="E88" s="124">
        <f>'الكميات المنفذة'!E57</f>
        <v/>
      </c>
      <c r="F88" s="124">
        <f>'الكميات المنفذة'!F57</f>
        <v/>
      </c>
      <c r="G88" s="124">
        <f>SUMIF('الكميات المنفذة'!$G$5:$AD$5,"&lt;"&amp;SelIPC,'الكميات المنفذة'!$G57:$AD57)</f>
        <v/>
      </c>
      <c r="H88" s="125">
        <f>SUMIF('الكميات المنفذة'!$G$5:$AD$5,SelIPC,'الكميات المنفذة'!$G57:$AD57)</f>
        <v/>
      </c>
      <c r="I88" s="124">
        <f>G88+H88</f>
        <v/>
      </c>
      <c r="J88" s="126">
        <f>IF(E88&gt;0,I88/E88,0)</f>
        <v/>
      </c>
      <c r="K88" s="124">
        <f>G88*F88</f>
        <v/>
      </c>
      <c r="L88" s="125">
        <f>H88*F88</f>
        <v/>
      </c>
      <c r="M88" s="124">
        <f>I88*F88</f>
        <v/>
      </c>
    </row>
    <row r="89">
      <c r="B89" s="122">
        <f>'الكميات المنفذة'!A58</f>
        <v/>
      </c>
      <c r="C89" s="123">
        <f>'الكميات المنفذة'!B58</f>
        <v/>
      </c>
      <c r="D89" s="122">
        <f>'الكميات المنفذة'!C58</f>
        <v/>
      </c>
      <c r="E89" s="124">
        <f>'الكميات المنفذة'!E58</f>
        <v/>
      </c>
      <c r="F89" s="124">
        <f>'الكميات المنفذة'!F58</f>
        <v/>
      </c>
      <c r="G89" s="124">
        <f>SUMIF('الكميات المنفذة'!$G$5:$AD$5,"&lt;"&amp;SelIPC,'الكميات المنفذة'!$G58:$AD58)</f>
        <v/>
      </c>
      <c r="H89" s="125">
        <f>SUMIF('الكميات المنفذة'!$G$5:$AD$5,SelIPC,'الكميات المنفذة'!$G58:$AD58)</f>
        <v/>
      </c>
      <c r="I89" s="124">
        <f>G89+H89</f>
        <v/>
      </c>
      <c r="J89" s="126">
        <f>IF(E89&gt;0,I89/E89,0)</f>
        <v/>
      </c>
      <c r="K89" s="124">
        <f>G89*F89</f>
        <v/>
      </c>
      <c r="L89" s="125">
        <f>H89*F89</f>
        <v/>
      </c>
      <c r="M89" s="124">
        <f>I89*F89</f>
        <v/>
      </c>
    </row>
    <row r="90">
      <c r="B90" s="122">
        <f>'الكميات المنفذة'!A59</f>
        <v/>
      </c>
      <c r="C90" s="123">
        <f>'الكميات المنفذة'!B59</f>
        <v/>
      </c>
      <c r="D90" s="122">
        <f>'الكميات المنفذة'!C59</f>
        <v/>
      </c>
      <c r="E90" s="124">
        <f>'الكميات المنفذة'!E59</f>
        <v/>
      </c>
      <c r="F90" s="124">
        <f>'الكميات المنفذة'!F59</f>
        <v/>
      </c>
      <c r="G90" s="124">
        <f>SUMIF('الكميات المنفذة'!$G$5:$AD$5,"&lt;"&amp;SelIPC,'الكميات المنفذة'!$G59:$AD59)</f>
        <v/>
      </c>
      <c r="H90" s="125">
        <f>SUMIF('الكميات المنفذة'!$G$5:$AD$5,SelIPC,'الكميات المنفذة'!$G59:$AD59)</f>
        <v/>
      </c>
      <c r="I90" s="124">
        <f>G90+H90</f>
        <v/>
      </c>
      <c r="J90" s="126">
        <f>IF(E90&gt;0,I90/E90,0)</f>
        <v/>
      </c>
      <c r="K90" s="124">
        <f>G90*F90</f>
        <v/>
      </c>
      <c r="L90" s="125">
        <f>H90*F90</f>
        <v/>
      </c>
      <c r="M90" s="124">
        <f>I90*F90</f>
        <v/>
      </c>
    </row>
    <row r="91">
      <c r="B91" s="122">
        <f>'الكميات المنفذة'!A60</f>
        <v/>
      </c>
      <c r="C91" s="123">
        <f>'الكميات المنفذة'!B60</f>
        <v/>
      </c>
      <c r="D91" s="122">
        <f>'الكميات المنفذة'!C60</f>
        <v/>
      </c>
      <c r="E91" s="124">
        <f>'الكميات المنفذة'!E60</f>
        <v/>
      </c>
      <c r="F91" s="124">
        <f>'الكميات المنفذة'!F60</f>
        <v/>
      </c>
      <c r="G91" s="124">
        <f>SUMIF('الكميات المنفذة'!$G$5:$AD$5,"&lt;"&amp;SelIPC,'الكميات المنفذة'!$G60:$AD60)</f>
        <v/>
      </c>
      <c r="H91" s="125">
        <f>SUMIF('الكميات المنفذة'!$G$5:$AD$5,SelIPC,'الكميات المنفذة'!$G60:$AD60)</f>
        <v/>
      </c>
      <c r="I91" s="124">
        <f>G91+H91</f>
        <v/>
      </c>
      <c r="J91" s="126">
        <f>IF(E91&gt;0,I91/E91,0)</f>
        <v/>
      </c>
      <c r="K91" s="124">
        <f>G91*F91</f>
        <v/>
      </c>
      <c r="L91" s="125">
        <f>H91*F91</f>
        <v/>
      </c>
      <c r="M91" s="124">
        <f>I91*F91</f>
        <v/>
      </c>
    </row>
    <row r="92">
      <c r="B92" s="122">
        <f>'الكميات المنفذة'!A61</f>
        <v/>
      </c>
      <c r="C92" s="123">
        <f>'الكميات المنفذة'!B61</f>
        <v/>
      </c>
      <c r="D92" s="122">
        <f>'الكميات المنفذة'!C61</f>
        <v/>
      </c>
      <c r="E92" s="124">
        <f>'الكميات المنفذة'!E61</f>
        <v/>
      </c>
      <c r="F92" s="124">
        <f>'الكميات المنفذة'!F61</f>
        <v/>
      </c>
      <c r="G92" s="124">
        <f>SUMIF('الكميات المنفذة'!$G$5:$AD$5,"&lt;"&amp;SelIPC,'الكميات المنفذة'!$G61:$AD61)</f>
        <v/>
      </c>
      <c r="H92" s="125">
        <f>SUMIF('الكميات المنفذة'!$G$5:$AD$5,SelIPC,'الكميات المنفذة'!$G61:$AD61)</f>
        <v/>
      </c>
      <c r="I92" s="124">
        <f>G92+H92</f>
        <v/>
      </c>
      <c r="J92" s="126">
        <f>IF(E92&gt;0,I92/E92,0)</f>
        <v/>
      </c>
      <c r="K92" s="124">
        <f>G92*F92</f>
        <v/>
      </c>
      <c r="L92" s="125">
        <f>H92*F92</f>
        <v/>
      </c>
      <c r="M92" s="124">
        <f>I92*F92</f>
        <v/>
      </c>
    </row>
    <row r="93">
      <c r="B93" s="122">
        <f>'الكميات المنفذة'!A62</f>
        <v/>
      </c>
      <c r="C93" s="123">
        <f>'الكميات المنفذة'!B62</f>
        <v/>
      </c>
      <c r="D93" s="122">
        <f>'الكميات المنفذة'!C62</f>
        <v/>
      </c>
      <c r="E93" s="124">
        <f>'الكميات المنفذة'!E62</f>
        <v/>
      </c>
      <c r="F93" s="124">
        <f>'الكميات المنفذة'!F62</f>
        <v/>
      </c>
      <c r="G93" s="124">
        <f>SUMIF('الكميات المنفذة'!$G$5:$AD$5,"&lt;"&amp;SelIPC,'الكميات المنفذة'!$G62:$AD62)</f>
        <v/>
      </c>
      <c r="H93" s="125">
        <f>SUMIF('الكميات المنفذة'!$G$5:$AD$5,SelIPC,'الكميات المنفذة'!$G62:$AD62)</f>
        <v/>
      </c>
      <c r="I93" s="124">
        <f>G93+H93</f>
        <v/>
      </c>
      <c r="J93" s="126">
        <f>IF(E93&gt;0,I93/E93,0)</f>
        <v/>
      </c>
      <c r="K93" s="124">
        <f>G93*F93</f>
        <v/>
      </c>
      <c r="L93" s="125">
        <f>H93*F93</f>
        <v/>
      </c>
      <c r="M93" s="124">
        <f>I93*F93</f>
        <v/>
      </c>
    </row>
    <row r="94">
      <c r="B94" s="122">
        <f>'الكميات المنفذة'!A63</f>
        <v/>
      </c>
      <c r="C94" s="123">
        <f>'الكميات المنفذة'!B63</f>
        <v/>
      </c>
      <c r="D94" s="122">
        <f>'الكميات المنفذة'!C63</f>
        <v/>
      </c>
      <c r="E94" s="124">
        <f>'الكميات المنفذة'!E63</f>
        <v/>
      </c>
      <c r="F94" s="124">
        <f>'الكميات المنفذة'!F63</f>
        <v/>
      </c>
      <c r="G94" s="124">
        <f>SUMIF('الكميات المنفذة'!$G$5:$AD$5,"&lt;"&amp;SelIPC,'الكميات المنفذة'!$G63:$AD63)</f>
        <v/>
      </c>
      <c r="H94" s="125">
        <f>SUMIF('الكميات المنفذة'!$G$5:$AD$5,SelIPC,'الكميات المنفذة'!$G63:$AD63)</f>
        <v/>
      </c>
      <c r="I94" s="124">
        <f>G94+H94</f>
        <v/>
      </c>
      <c r="J94" s="126">
        <f>IF(E94&gt;0,I94/E94,0)</f>
        <v/>
      </c>
      <c r="K94" s="124">
        <f>G94*F94</f>
        <v/>
      </c>
      <c r="L94" s="125">
        <f>H94*F94</f>
        <v/>
      </c>
      <c r="M94" s="124">
        <f>I94*F94</f>
        <v/>
      </c>
    </row>
    <row r="95">
      <c r="B95" s="122">
        <f>'الكميات المنفذة'!A64</f>
        <v/>
      </c>
      <c r="C95" s="123">
        <f>'الكميات المنفذة'!B64</f>
        <v/>
      </c>
      <c r="D95" s="122">
        <f>'الكميات المنفذة'!C64</f>
        <v/>
      </c>
      <c r="E95" s="124">
        <f>'الكميات المنفذة'!E64</f>
        <v/>
      </c>
      <c r="F95" s="124">
        <f>'الكميات المنفذة'!F64</f>
        <v/>
      </c>
      <c r="G95" s="124">
        <f>SUMIF('الكميات المنفذة'!$G$5:$AD$5,"&lt;"&amp;SelIPC,'الكميات المنفذة'!$G64:$AD64)</f>
        <v/>
      </c>
      <c r="H95" s="125">
        <f>SUMIF('الكميات المنفذة'!$G$5:$AD$5,SelIPC,'الكميات المنفذة'!$G64:$AD64)</f>
        <v/>
      </c>
      <c r="I95" s="124">
        <f>G95+H95</f>
        <v/>
      </c>
      <c r="J95" s="126">
        <f>IF(E95&gt;0,I95/E95,0)</f>
        <v/>
      </c>
      <c r="K95" s="124">
        <f>G95*F95</f>
        <v/>
      </c>
      <c r="L95" s="125">
        <f>H95*F95</f>
        <v/>
      </c>
      <c r="M95" s="124">
        <f>I95*F95</f>
        <v/>
      </c>
    </row>
    <row r="96">
      <c r="B96" s="122">
        <f>'الكميات المنفذة'!A65</f>
        <v/>
      </c>
      <c r="C96" s="123">
        <f>'الكميات المنفذة'!B65</f>
        <v/>
      </c>
      <c r="D96" s="122">
        <f>'الكميات المنفذة'!C65</f>
        <v/>
      </c>
      <c r="E96" s="124">
        <f>'الكميات المنفذة'!E65</f>
        <v/>
      </c>
      <c r="F96" s="124">
        <f>'الكميات المنفذة'!F65</f>
        <v/>
      </c>
      <c r="G96" s="124">
        <f>SUMIF('الكميات المنفذة'!$G$5:$AD$5,"&lt;"&amp;SelIPC,'الكميات المنفذة'!$G65:$AD65)</f>
        <v/>
      </c>
      <c r="H96" s="125">
        <f>SUMIF('الكميات المنفذة'!$G$5:$AD$5,SelIPC,'الكميات المنفذة'!$G65:$AD65)</f>
        <v/>
      </c>
      <c r="I96" s="124">
        <f>G96+H96</f>
        <v/>
      </c>
      <c r="J96" s="126">
        <f>IF(E96&gt;0,I96/E96,0)</f>
        <v/>
      </c>
      <c r="K96" s="124">
        <f>G96*F96</f>
        <v/>
      </c>
      <c r="L96" s="125">
        <f>H96*F96</f>
        <v/>
      </c>
      <c r="M96" s="124">
        <f>I96*F96</f>
        <v/>
      </c>
    </row>
    <row r="97">
      <c r="B97" s="122">
        <f>'الكميات المنفذة'!A66</f>
        <v/>
      </c>
      <c r="C97" s="123">
        <f>'الكميات المنفذة'!B66</f>
        <v/>
      </c>
      <c r="D97" s="122">
        <f>'الكميات المنفذة'!C66</f>
        <v/>
      </c>
      <c r="E97" s="124">
        <f>'الكميات المنفذة'!E66</f>
        <v/>
      </c>
      <c r="F97" s="124">
        <f>'الكميات المنفذة'!F66</f>
        <v/>
      </c>
      <c r="G97" s="124">
        <f>SUMIF('الكميات المنفذة'!$G$5:$AD$5,"&lt;"&amp;SelIPC,'الكميات المنفذة'!$G66:$AD66)</f>
        <v/>
      </c>
      <c r="H97" s="125">
        <f>SUMIF('الكميات المنفذة'!$G$5:$AD$5,SelIPC,'الكميات المنفذة'!$G66:$AD66)</f>
        <v/>
      </c>
      <c r="I97" s="124">
        <f>G97+H97</f>
        <v/>
      </c>
      <c r="J97" s="126">
        <f>IF(E97&gt;0,I97/E97,0)</f>
        <v/>
      </c>
      <c r="K97" s="124">
        <f>G97*F97</f>
        <v/>
      </c>
      <c r="L97" s="125">
        <f>H97*F97</f>
        <v/>
      </c>
      <c r="M97" s="124">
        <f>I97*F97</f>
        <v/>
      </c>
    </row>
    <row r="98">
      <c r="B98" s="122">
        <f>'الكميات المنفذة'!A67</f>
        <v/>
      </c>
      <c r="C98" s="123">
        <f>'الكميات المنفذة'!B67</f>
        <v/>
      </c>
      <c r="D98" s="122">
        <f>'الكميات المنفذة'!C67</f>
        <v/>
      </c>
      <c r="E98" s="124">
        <f>'الكميات المنفذة'!E67</f>
        <v/>
      </c>
      <c r="F98" s="124">
        <f>'الكميات المنفذة'!F67</f>
        <v/>
      </c>
      <c r="G98" s="124">
        <f>SUMIF('الكميات المنفذة'!$G$5:$AD$5,"&lt;"&amp;SelIPC,'الكميات المنفذة'!$G67:$AD67)</f>
        <v/>
      </c>
      <c r="H98" s="125">
        <f>SUMIF('الكميات المنفذة'!$G$5:$AD$5,SelIPC,'الكميات المنفذة'!$G67:$AD67)</f>
        <v/>
      </c>
      <c r="I98" s="124">
        <f>G98+H98</f>
        <v/>
      </c>
      <c r="J98" s="126">
        <f>IF(E98&gt;0,I98/E98,0)</f>
        <v/>
      </c>
      <c r="K98" s="124">
        <f>G98*F98</f>
        <v/>
      </c>
      <c r="L98" s="125">
        <f>H98*F98</f>
        <v/>
      </c>
      <c r="M98" s="124">
        <f>I98*F98</f>
        <v/>
      </c>
    </row>
    <row r="99">
      <c r="B99" s="122">
        <f>'الكميات المنفذة'!A68</f>
        <v/>
      </c>
      <c r="C99" s="123">
        <f>'الكميات المنفذة'!B68</f>
        <v/>
      </c>
      <c r="D99" s="122">
        <f>'الكميات المنفذة'!C68</f>
        <v/>
      </c>
      <c r="E99" s="124">
        <f>'الكميات المنفذة'!E68</f>
        <v/>
      </c>
      <c r="F99" s="124">
        <f>'الكميات المنفذة'!F68</f>
        <v/>
      </c>
      <c r="G99" s="124">
        <f>SUMIF('الكميات المنفذة'!$G$5:$AD$5,"&lt;"&amp;SelIPC,'الكميات المنفذة'!$G68:$AD68)</f>
        <v/>
      </c>
      <c r="H99" s="125">
        <f>SUMIF('الكميات المنفذة'!$G$5:$AD$5,SelIPC,'الكميات المنفذة'!$G68:$AD68)</f>
        <v/>
      </c>
      <c r="I99" s="124">
        <f>G99+H99</f>
        <v/>
      </c>
      <c r="J99" s="126">
        <f>IF(E99&gt;0,I99/E99,0)</f>
        <v/>
      </c>
      <c r="K99" s="124">
        <f>G99*F99</f>
        <v/>
      </c>
      <c r="L99" s="125">
        <f>H99*F99</f>
        <v/>
      </c>
      <c r="M99" s="124">
        <f>I99*F99</f>
        <v/>
      </c>
    </row>
    <row r="100">
      <c r="B100" s="122">
        <f>'الكميات المنفذة'!A69</f>
        <v/>
      </c>
      <c r="C100" s="123">
        <f>'الكميات المنفذة'!B69</f>
        <v/>
      </c>
      <c r="D100" s="122">
        <f>'الكميات المنفذة'!C69</f>
        <v/>
      </c>
      <c r="E100" s="124">
        <f>'الكميات المنفذة'!E69</f>
        <v/>
      </c>
      <c r="F100" s="124">
        <f>'الكميات المنفذة'!F69</f>
        <v/>
      </c>
      <c r="G100" s="124">
        <f>SUMIF('الكميات المنفذة'!$G$5:$AD$5,"&lt;"&amp;SelIPC,'الكميات المنفذة'!$G69:$AD69)</f>
        <v/>
      </c>
      <c r="H100" s="125">
        <f>SUMIF('الكميات المنفذة'!$G$5:$AD$5,SelIPC,'الكميات المنفذة'!$G69:$AD69)</f>
        <v/>
      </c>
      <c r="I100" s="124">
        <f>G100+H100</f>
        <v/>
      </c>
      <c r="J100" s="126">
        <f>IF(E100&gt;0,I100/E100,0)</f>
        <v/>
      </c>
      <c r="K100" s="124">
        <f>G100*F100</f>
        <v/>
      </c>
      <c r="L100" s="125">
        <f>H100*F100</f>
        <v/>
      </c>
      <c r="M100" s="124">
        <f>I100*F100</f>
        <v/>
      </c>
    </row>
    <row r="101">
      <c r="B101" s="122">
        <f>'الكميات المنفذة'!A70</f>
        <v/>
      </c>
      <c r="C101" s="123">
        <f>'الكميات المنفذة'!B70</f>
        <v/>
      </c>
      <c r="D101" s="122">
        <f>'الكميات المنفذة'!C70</f>
        <v/>
      </c>
      <c r="E101" s="124">
        <f>'الكميات المنفذة'!E70</f>
        <v/>
      </c>
      <c r="F101" s="124">
        <f>'الكميات المنفذة'!F70</f>
        <v/>
      </c>
      <c r="G101" s="124">
        <f>SUMIF('الكميات المنفذة'!$G$5:$AD$5,"&lt;"&amp;SelIPC,'الكميات المنفذة'!$G70:$AD70)</f>
        <v/>
      </c>
      <c r="H101" s="125">
        <f>SUMIF('الكميات المنفذة'!$G$5:$AD$5,SelIPC,'الكميات المنفذة'!$G70:$AD70)</f>
        <v/>
      </c>
      <c r="I101" s="124">
        <f>G101+H101</f>
        <v/>
      </c>
      <c r="J101" s="126">
        <f>IF(E101&gt;0,I101/E101,0)</f>
        <v/>
      </c>
      <c r="K101" s="124">
        <f>G101*F101</f>
        <v/>
      </c>
      <c r="L101" s="125">
        <f>H101*F101</f>
        <v/>
      </c>
      <c r="M101" s="124">
        <f>I101*F101</f>
        <v/>
      </c>
    </row>
    <row r="102">
      <c r="B102" s="122">
        <f>'الكميات المنفذة'!A71</f>
        <v/>
      </c>
      <c r="C102" s="123">
        <f>'الكميات المنفذة'!B71</f>
        <v/>
      </c>
      <c r="D102" s="122">
        <f>'الكميات المنفذة'!C71</f>
        <v/>
      </c>
      <c r="E102" s="124">
        <f>'الكميات المنفذة'!E71</f>
        <v/>
      </c>
      <c r="F102" s="124">
        <f>'الكميات المنفذة'!F71</f>
        <v/>
      </c>
      <c r="G102" s="124">
        <f>SUMIF('الكميات المنفذة'!$G$5:$AD$5,"&lt;"&amp;SelIPC,'الكميات المنفذة'!$G71:$AD71)</f>
        <v/>
      </c>
      <c r="H102" s="125">
        <f>SUMIF('الكميات المنفذة'!$G$5:$AD$5,SelIPC,'الكميات المنفذة'!$G71:$AD71)</f>
        <v/>
      </c>
      <c r="I102" s="124">
        <f>G102+H102</f>
        <v/>
      </c>
      <c r="J102" s="126">
        <f>IF(E102&gt;0,I102/E102,0)</f>
        <v/>
      </c>
      <c r="K102" s="124">
        <f>G102*F102</f>
        <v/>
      </c>
      <c r="L102" s="125">
        <f>H102*F102</f>
        <v/>
      </c>
      <c r="M102" s="124">
        <f>I102*F102</f>
        <v/>
      </c>
    </row>
    <row r="103">
      <c r="B103" s="122">
        <f>'الكميات المنفذة'!A72</f>
        <v/>
      </c>
      <c r="C103" s="123">
        <f>'الكميات المنفذة'!B72</f>
        <v/>
      </c>
      <c r="D103" s="122">
        <f>'الكميات المنفذة'!C72</f>
        <v/>
      </c>
      <c r="E103" s="124">
        <f>'الكميات المنفذة'!E72</f>
        <v/>
      </c>
      <c r="F103" s="124">
        <f>'الكميات المنفذة'!F72</f>
        <v/>
      </c>
      <c r="G103" s="124">
        <f>SUMIF('الكميات المنفذة'!$G$5:$AD$5,"&lt;"&amp;SelIPC,'الكميات المنفذة'!$G72:$AD72)</f>
        <v/>
      </c>
      <c r="H103" s="125">
        <f>SUMIF('الكميات المنفذة'!$G$5:$AD$5,SelIPC,'الكميات المنفذة'!$G72:$AD72)</f>
        <v/>
      </c>
      <c r="I103" s="124">
        <f>G103+H103</f>
        <v/>
      </c>
      <c r="J103" s="126">
        <f>IF(E103&gt;0,I103/E103,0)</f>
        <v/>
      </c>
      <c r="K103" s="124">
        <f>G103*F103</f>
        <v/>
      </c>
      <c r="L103" s="125">
        <f>H103*F103</f>
        <v/>
      </c>
      <c r="M103" s="124">
        <f>I103*F103</f>
        <v/>
      </c>
    </row>
    <row r="104">
      <c r="B104" s="122">
        <f>'الكميات المنفذة'!A73</f>
        <v/>
      </c>
      <c r="C104" s="123">
        <f>'الكميات المنفذة'!B73</f>
        <v/>
      </c>
      <c r="D104" s="122">
        <f>'الكميات المنفذة'!C73</f>
        <v/>
      </c>
      <c r="E104" s="124">
        <f>'الكميات المنفذة'!E73</f>
        <v/>
      </c>
      <c r="F104" s="124">
        <f>'الكميات المنفذة'!F73</f>
        <v/>
      </c>
      <c r="G104" s="124">
        <f>SUMIF('الكميات المنفذة'!$G$5:$AD$5,"&lt;"&amp;SelIPC,'الكميات المنفذة'!$G73:$AD73)</f>
        <v/>
      </c>
      <c r="H104" s="125">
        <f>SUMIF('الكميات المنفذة'!$G$5:$AD$5,SelIPC,'الكميات المنفذة'!$G73:$AD73)</f>
        <v/>
      </c>
      <c r="I104" s="124">
        <f>G104+H104</f>
        <v/>
      </c>
      <c r="J104" s="126">
        <f>IF(E104&gt;0,I104/E104,0)</f>
        <v/>
      </c>
      <c r="K104" s="124">
        <f>G104*F104</f>
        <v/>
      </c>
      <c r="L104" s="125">
        <f>H104*F104</f>
        <v/>
      </c>
      <c r="M104" s="124">
        <f>I104*F104</f>
        <v/>
      </c>
    </row>
    <row r="105">
      <c r="B105" s="122">
        <f>'الكميات المنفذة'!A74</f>
        <v/>
      </c>
      <c r="C105" s="123">
        <f>'الكميات المنفذة'!B74</f>
        <v/>
      </c>
      <c r="D105" s="122">
        <f>'الكميات المنفذة'!C74</f>
        <v/>
      </c>
      <c r="E105" s="124">
        <f>'الكميات المنفذة'!E74</f>
        <v/>
      </c>
      <c r="F105" s="124">
        <f>'الكميات المنفذة'!F74</f>
        <v/>
      </c>
      <c r="G105" s="124">
        <f>SUMIF('الكميات المنفذة'!$G$5:$AD$5,"&lt;"&amp;SelIPC,'الكميات المنفذة'!$G74:$AD74)</f>
        <v/>
      </c>
      <c r="H105" s="125">
        <f>SUMIF('الكميات المنفذة'!$G$5:$AD$5,SelIPC,'الكميات المنفذة'!$G74:$AD74)</f>
        <v/>
      </c>
      <c r="I105" s="124">
        <f>G105+H105</f>
        <v/>
      </c>
      <c r="J105" s="126">
        <f>IF(E105&gt;0,I105/E105,0)</f>
        <v/>
      </c>
      <c r="K105" s="124">
        <f>G105*F105</f>
        <v/>
      </c>
      <c r="L105" s="125">
        <f>H105*F105</f>
        <v/>
      </c>
      <c r="M105" s="124">
        <f>I105*F105</f>
        <v/>
      </c>
    </row>
    <row r="106">
      <c r="B106" s="122">
        <f>'الكميات المنفذة'!A75</f>
        <v/>
      </c>
      <c r="C106" s="123">
        <f>'الكميات المنفذة'!B75</f>
        <v/>
      </c>
      <c r="D106" s="122">
        <f>'الكميات المنفذة'!C75</f>
        <v/>
      </c>
      <c r="E106" s="124">
        <f>'الكميات المنفذة'!E75</f>
        <v/>
      </c>
      <c r="F106" s="124">
        <f>'الكميات المنفذة'!F75</f>
        <v/>
      </c>
      <c r="G106" s="124">
        <f>SUMIF('الكميات المنفذة'!$G$5:$AD$5,"&lt;"&amp;SelIPC,'الكميات المنفذة'!$G75:$AD75)</f>
        <v/>
      </c>
      <c r="H106" s="125">
        <f>SUMIF('الكميات المنفذة'!$G$5:$AD$5,SelIPC,'الكميات المنفذة'!$G75:$AD75)</f>
        <v/>
      </c>
      <c r="I106" s="124">
        <f>G106+H106</f>
        <v/>
      </c>
      <c r="J106" s="126">
        <f>IF(E106&gt;0,I106/E106,0)</f>
        <v/>
      </c>
      <c r="K106" s="124">
        <f>G106*F106</f>
        <v/>
      </c>
      <c r="L106" s="125">
        <f>H106*F106</f>
        <v/>
      </c>
      <c r="M106" s="124">
        <f>I106*F106</f>
        <v/>
      </c>
    </row>
    <row r="107">
      <c r="B107" s="122">
        <f>'الكميات المنفذة'!A76</f>
        <v/>
      </c>
      <c r="C107" s="123">
        <f>'الكميات المنفذة'!B76</f>
        <v/>
      </c>
      <c r="D107" s="122">
        <f>'الكميات المنفذة'!C76</f>
        <v/>
      </c>
      <c r="E107" s="124">
        <f>'الكميات المنفذة'!E76</f>
        <v/>
      </c>
      <c r="F107" s="124">
        <f>'الكميات المنفذة'!F76</f>
        <v/>
      </c>
      <c r="G107" s="124">
        <f>SUMIF('الكميات المنفذة'!$G$5:$AD$5,"&lt;"&amp;SelIPC,'الكميات المنفذة'!$G76:$AD76)</f>
        <v/>
      </c>
      <c r="H107" s="125">
        <f>SUMIF('الكميات المنفذة'!$G$5:$AD$5,SelIPC,'الكميات المنفذة'!$G76:$AD76)</f>
        <v/>
      </c>
      <c r="I107" s="124">
        <f>G107+H107</f>
        <v/>
      </c>
      <c r="J107" s="126">
        <f>IF(E107&gt;0,I107/E107,0)</f>
        <v/>
      </c>
      <c r="K107" s="124">
        <f>G107*F107</f>
        <v/>
      </c>
      <c r="L107" s="125">
        <f>H107*F107</f>
        <v/>
      </c>
      <c r="M107" s="124">
        <f>I107*F107</f>
        <v/>
      </c>
    </row>
    <row r="108">
      <c r="B108" s="122">
        <f>'الكميات المنفذة'!A77</f>
        <v/>
      </c>
      <c r="C108" s="123">
        <f>'الكميات المنفذة'!B77</f>
        <v/>
      </c>
      <c r="D108" s="122">
        <f>'الكميات المنفذة'!C77</f>
        <v/>
      </c>
      <c r="E108" s="124">
        <f>'الكميات المنفذة'!E77</f>
        <v/>
      </c>
      <c r="F108" s="124">
        <f>'الكميات المنفذة'!F77</f>
        <v/>
      </c>
      <c r="G108" s="124">
        <f>SUMIF('الكميات المنفذة'!$G$5:$AD$5,"&lt;"&amp;SelIPC,'الكميات المنفذة'!$G77:$AD77)</f>
        <v/>
      </c>
      <c r="H108" s="125">
        <f>SUMIF('الكميات المنفذة'!$G$5:$AD$5,SelIPC,'الكميات المنفذة'!$G77:$AD77)</f>
        <v/>
      </c>
      <c r="I108" s="124">
        <f>G108+H108</f>
        <v/>
      </c>
      <c r="J108" s="126">
        <f>IF(E108&gt;0,I108/E108,0)</f>
        <v/>
      </c>
      <c r="K108" s="124">
        <f>G108*F108</f>
        <v/>
      </c>
      <c r="L108" s="125">
        <f>H108*F108</f>
        <v/>
      </c>
      <c r="M108" s="124">
        <f>I108*F108</f>
        <v/>
      </c>
    </row>
    <row r="109">
      <c r="B109" s="122">
        <f>'الكميات المنفذة'!A78</f>
        <v/>
      </c>
      <c r="C109" s="123">
        <f>'الكميات المنفذة'!B78</f>
        <v/>
      </c>
      <c r="D109" s="122">
        <f>'الكميات المنفذة'!C78</f>
        <v/>
      </c>
      <c r="E109" s="124">
        <f>'الكميات المنفذة'!E78</f>
        <v/>
      </c>
      <c r="F109" s="124">
        <f>'الكميات المنفذة'!F78</f>
        <v/>
      </c>
      <c r="G109" s="124">
        <f>SUMIF('الكميات المنفذة'!$G$5:$AD$5,"&lt;"&amp;SelIPC,'الكميات المنفذة'!$G78:$AD78)</f>
        <v/>
      </c>
      <c r="H109" s="125">
        <f>SUMIF('الكميات المنفذة'!$G$5:$AD$5,SelIPC,'الكميات المنفذة'!$G78:$AD78)</f>
        <v/>
      </c>
      <c r="I109" s="124">
        <f>G109+H109</f>
        <v/>
      </c>
      <c r="J109" s="126">
        <f>IF(E109&gt;0,I109/E109,0)</f>
        <v/>
      </c>
      <c r="K109" s="124">
        <f>G109*F109</f>
        <v/>
      </c>
      <c r="L109" s="125">
        <f>H109*F109</f>
        <v/>
      </c>
      <c r="M109" s="124">
        <f>I109*F109</f>
        <v/>
      </c>
    </row>
    <row r="110">
      <c r="B110" s="122">
        <f>'الكميات المنفذة'!A79</f>
        <v/>
      </c>
      <c r="C110" s="123">
        <f>'الكميات المنفذة'!B79</f>
        <v/>
      </c>
      <c r="D110" s="122">
        <f>'الكميات المنفذة'!C79</f>
        <v/>
      </c>
      <c r="E110" s="124">
        <f>'الكميات المنفذة'!E79</f>
        <v/>
      </c>
      <c r="F110" s="124">
        <f>'الكميات المنفذة'!F79</f>
        <v/>
      </c>
      <c r="G110" s="124">
        <f>SUMIF('الكميات المنفذة'!$G$5:$AD$5,"&lt;"&amp;SelIPC,'الكميات المنفذة'!$G79:$AD79)</f>
        <v/>
      </c>
      <c r="H110" s="125">
        <f>SUMIF('الكميات المنفذة'!$G$5:$AD$5,SelIPC,'الكميات المنفذة'!$G79:$AD79)</f>
        <v/>
      </c>
      <c r="I110" s="124">
        <f>G110+H110</f>
        <v/>
      </c>
      <c r="J110" s="126">
        <f>IF(E110&gt;0,I110/E110,0)</f>
        <v/>
      </c>
      <c r="K110" s="124">
        <f>G110*F110</f>
        <v/>
      </c>
      <c r="L110" s="125">
        <f>H110*F110</f>
        <v/>
      </c>
      <c r="M110" s="124">
        <f>I110*F110</f>
        <v/>
      </c>
    </row>
    <row r="111">
      <c r="B111" s="122">
        <f>'الكميات المنفذة'!A80</f>
        <v/>
      </c>
      <c r="C111" s="123">
        <f>'الكميات المنفذة'!B80</f>
        <v/>
      </c>
      <c r="D111" s="122">
        <f>'الكميات المنفذة'!C80</f>
        <v/>
      </c>
      <c r="E111" s="124">
        <f>'الكميات المنفذة'!E80</f>
        <v/>
      </c>
      <c r="F111" s="124">
        <f>'الكميات المنفذة'!F80</f>
        <v/>
      </c>
      <c r="G111" s="124">
        <f>SUMIF('الكميات المنفذة'!$G$5:$AD$5,"&lt;"&amp;SelIPC,'الكميات المنفذة'!$G80:$AD80)</f>
        <v/>
      </c>
      <c r="H111" s="125">
        <f>SUMIF('الكميات المنفذة'!$G$5:$AD$5,SelIPC,'الكميات المنفذة'!$G80:$AD80)</f>
        <v/>
      </c>
      <c r="I111" s="124">
        <f>G111+H111</f>
        <v/>
      </c>
      <c r="J111" s="126">
        <f>IF(E111&gt;0,I111/E111,0)</f>
        <v/>
      </c>
      <c r="K111" s="124">
        <f>G111*F111</f>
        <v/>
      </c>
      <c r="L111" s="125">
        <f>H111*F111</f>
        <v/>
      </c>
      <c r="M111" s="124">
        <f>I111*F111</f>
        <v/>
      </c>
    </row>
    <row r="112">
      <c r="B112" s="122">
        <f>'الكميات المنفذة'!A81</f>
        <v/>
      </c>
      <c r="C112" s="123">
        <f>'الكميات المنفذة'!B81</f>
        <v/>
      </c>
      <c r="D112" s="122">
        <f>'الكميات المنفذة'!C81</f>
        <v/>
      </c>
      <c r="E112" s="124">
        <f>'الكميات المنفذة'!E81</f>
        <v/>
      </c>
      <c r="F112" s="124">
        <f>'الكميات المنفذة'!F81</f>
        <v/>
      </c>
      <c r="G112" s="124">
        <f>SUMIF('الكميات المنفذة'!$G$5:$AD$5,"&lt;"&amp;SelIPC,'الكميات المنفذة'!$G81:$AD81)</f>
        <v/>
      </c>
      <c r="H112" s="125">
        <f>SUMIF('الكميات المنفذة'!$G$5:$AD$5,SelIPC,'الكميات المنفذة'!$G81:$AD81)</f>
        <v/>
      </c>
      <c r="I112" s="124">
        <f>G112+H112</f>
        <v/>
      </c>
      <c r="J112" s="126">
        <f>IF(E112&gt;0,I112/E112,0)</f>
        <v/>
      </c>
      <c r="K112" s="124">
        <f>G112*F112</f>
        <v/>
      </c>
      <c r="L112" s="125">
        <f>H112*F112</f>
        <v/>
      </c>
      <c r="M112" s="124">
        <f>I112*F112</f>
        <v/>
      </c>
    </row>
    <row r="113">
      <c r="B113" s="122">
        <f>'الكميات المنفذة'!A82</f>
        <v/>
      </c>
      <c r="C113" s="123">
        <f>'الكميات المنفذة'!B82</f>
        <v/>
      </c>
      <c r="D113" s="122">
        <f>'الكميات المنفذة'!C82</f>
        <v/>
      </c>
      <c r="E113" s="124">
        <f>'الكميات المنفذة'!E82</f>
        <v/>
      </c>
      <c r="F113" s="124">
        <f>'الكميات المنفذة'!F82</f>
        <v/>
      </c>
      <c r="G113" s="124">
        <f>SUMIF('الكميات المنفذة'!$G$5:$AD$5,"&lt;"&amp;SelIPC,'الكميات المنفذة'!$G82:$AD82)</f>
        <v/>
      </c>
      <c r="H113" s="125">
        <f>SUMIF('الكميات المنفذة'!$G$5:$AD$5,SelIPC,'الكميات المنفذة'!$G82:$AD82)</f>
        <v/>
      </c>
      <c r="I113" s="124">
        <f>G113+H113</f>
        <v/>
      </c>
      <c r="J113" s="126">
        <f>IF(E113&gt;0,I113/E113,0)</f>
        <v/>
      </c>
      <c r="K113" s="124">
        <f>G113*F113</f>
        <v/>
      </c>
      <c r="L113" s="125">
        <f>H113*F113</f>
        <v/>
      </c>
      <c r="M113" s="124">
        <f>I113*F113</f>
        <v/>
      </c>
    </row>
    <row r="114">
      <c r="B114" s="122">
        <f>'الكميات المنفذة'!A83</f>
        <v/>
      </c>
      <c r="C114" s="123">
        <f>'الكميات المنفذة'!B83</f>
        <v/>
      </c>
      <c r="D114" s="122">
        <f>'الكميات المنفذة'!C83</f>
        <v/>
      </c>
      <c r="E114" s="124">
        <f>'الكميات المنفذة'!E83</f>
        <v/>
      </c>
      <c r="F114" s="124">
        <f>'الكميات المنفذة'!F83</f>
        <v/>
      </c>
      <c r="G114" s="124">
        <f>SUMIF('الكميات المنفذة'!$G$5:$AD$5,"&lt;"&amp;SelIPC,'الكميات المنفذة'!$G83:$AD83)</f>
        <v/>
      </c>
      <c r="H114" s="125">
        <f>SUMIF('الكميات المنفذة'!$G$5:$AD$5,SelIPC,'الكميات المنفذة'!$G83:$AD83)</f>
        <v/>
      </c>
      <c r="I114" s="124">
        <f>G114+H114</f>
        <v/>
      </c>
      <c r="J114" s="126">
        <f>IF(E114&gt;0,I114/E114,0)</f>
        <v/>
      </c>
      <c r="K114" s="124">
        <f>G114*F114</f>
        <v/>
      </c>
      <c r="L114" s="125">
        <f>H114*F114</f>
        <v/>
      </c>
      <c r="M114" s="124">
        <f>I114*F114</f>
        <v/>
      </c>
    </row>
    <row r="115">
      <c r="B115" s="122">
        <f>'الكميات المنفذة'!A84</f>
        <v/>
      </c>
      <c r="C115" s="123">
        <f>'الكميات المنفذة'!B84</f>
        <v/>
      </c>
      <c r="D115" s="122">
        <f>'الكميات المنفذة'!C84</f>
        <v/>
      </c>
      <c r="E115" s="124">
        <f>'الكميات المنفذة'!E84</f>
        <v/>
      </c>
      <c r="F115" s="124">
        <f>'الكميات المنفذة'!F84</f>
        <v/>
      </c>
      <c r="G115" s="124">
        <f>SUMIF('الكميات المنفذة'!$G$5:$AD$5,"&lt;"&amp;SelIPC,'الكميات المنفذة'!$G84:$AD84)</f>
        <v/>
      </c>
      <c r="H115" s="125">
        <f>SUMIF('الكميات المنفذة'!$G$5:$AD$5,SelIPC,'الكميات المنفذة'!$G84:$AD84)</f>
        <v/>
      </c>
      <c r="I115" s="124">
        <f>G115+H115</f>
        <v/>
      </c>
      <c r="J115" s="126">
        <f>IF(E115&gt;0,I115/E115,0)</f>
        <v/>
      </c>
      <c r="K115" s="124">
        <f>G115*F115</f>
        <v/>
      </c>
      <c r="L115" s="125">
        <f>H115*F115</f>
        <v/>
      </c>
      <c r="M115" s="124">
        <f>I115*F115</f>
        <v/>
      </c>
    </row>
    <row r="116">
      <c r="B116" s="122">
        <f>'الكميات المنفذة'!A85</f>
        <v/>
      </c>
      <c r="C116" s="123">
        <f>'الكميات المنفذة'!B85</f>
        <v/>
      </c>
      <c r="D116" s="122">
        <f>'الكميات المنفذة'!C85</f>
        <v/>
      </c>
      <c r="E116" s="124">
        <f>'الكميات المنفذة'!E85</f>
        <v/>
      </c>
      <c r="F116" s="124">
        <f>'الكميات المنفذة'!F85</f>
        <v/>
      </c>
      <c r="G116" s="124">
        <f>SUMIF('الكميات المنفذة'!$G$5:$AD$5,"&lt;"&amp;SelIPC,'الكميات المنفذة'!$G85:$AD85)</f>
        <v/>
      </c>
      <c r="H116" s="125">
        <f>SUMIF('الكميات المنفذة'!$G$5:$AD$5,SelIPC,'الكميات المنفذة'!$G85:$AD85)</f>
        <v/>
      </c>
      <c r="I116" s="124">
        <f>G116+H116</f>
        <v/>
      </c>
      <c r="J116" s="126">
        <f>IF(E116&gt;0,I116/E116,0)</f>
        <v/>
      </c>
      <c r="K116" s="124">
        <f>G116*F116</f>
        <v/>
      </c>
      <c r="L116" s="125">
        <f>H116*F116</f>
        <v/>
      </c>
      <c r="M116" s="124">
        <f>I116*F116</f>
        <v/>
      </c>
    </row>
    <row r="117">
      <c r="B117" s="122">
        <f>'الكميات المنفذة'!A86</f>
        <v/>
      </c>
      <c r="C117" s="123">
        <f>'الكميات المنفذة'!B86</f>
        <v/>
      </c>
      <c r="D117" s="122">
        <f>'الكميات المنفذة'!C86</f>
        <v/>
      </c>
      <c r="E117" s="124">
        <f>'الكميات المنفذة'!E86</f>
        <v/>
      </c>
      <c r="F117" s="124">
        <f>'الكميات المنفذة'!F86</f>
        <v/>
      </c>
      <c r="G117" s="124">
        <f>SUMIF('الكميات المنفذة'!$G$5:$AD$5,"&lt;"&amp;SelIPC,'الكميات المنفذة'!$G86:$AD86)</f>
        <v/>
      </c>
      <c r="H117" s="125">
        <f>SUMIF('الكميات المنفذة'!$G$5:$AD$5,SelIPC,'الكميات المنفذة'!$G86:$AD86)</f>
        <v/>
      </c>
      <c r="I117" s="124">
        <f>G117+H117</f>
        <v/>
      </c>
      <c r="J117" s="126">
        <f>IF(E117&gt;0,I117/E117,0)</f>
        <v/>
      </c>
      <c r="K117" s="124">
        <f>G117*F117</f>
        <v/>
      </c>
      <c r="L117" s="125">
        <f>H117*F117</f>
        <v/>
      </c>
      <c r="M117" s="124">
        <f>I117*F117</f>
        <v/>
      </c>
    </row>
    <row r="118">
      <c r="B118" s="122">
        <f>'الكميات المنفذة'!A87</f>
        <v/>
      </c>
      <c r="C118" s="123">
        <f>'الكميات المنفذة'!B87</f>
        <v/>
      </c>
      <c r="D118" s="122">
        <f>'الكميات المنفذة'!C87</f>
        <v/>
      </c>
      <c r="E118" s="124">
        <f>'الكميات المنفذة'!E87</f>
        <v/>
      </c>
      <c r="F118" s="124">
        <f>'الكميات المنفذة'!F87</f>
        <v/>
      </c>
      <c r="G118" s="124">
        <f>SUMIF('الكميات المنفذة'!$G$5:$AD$5,"&lt;"&amp;SelIPC,'الكميات المنفذة'!$G87:$AD87)</f>
        <v/>
      </c>
      <c r="H118" s="125">
        <f>SUMIF('الكميات المنفذة'!$G$5:$AD$5,SelIPC,'الكميات المنفذة'!$G87:$AD87)</f>
        <v/>
      </c>
      <c r="I118" s="124">
        <f>G118+H118</f>
        <v/>
      </c>
      <c r="J118" s="126">
        <f>IF(E118&gt;0,I118/E118,0)</f>
        <v/>
      </c>
      <c r="K118" s="124">
        <f>G118*F118</f>
        <v/>
      </c>
      <c r="L118" s="125">
        <f>H118*F118</f>
        <v/>
      </c>
      <c r="M118" s="124">
        <f>I118*F118</f>
        <v/>
      </c>
    </row>
    <row r="119">
      <c r="B119" s="122">
        <f>'الكميات المنفذة'!A88</f>
        <v/>
      </c>
      <c r="C119" s="123">
        <f>'الكميات المنفذة'!B88</f>
        <v/>
      </c>
      <c r="D119" s="122">
        <f>'الكميات المنفذة'!C88</f>
        <v/>
      </c>
      <c r="E119" s="124">
        <f>'الكميات المنفذة'!E88</f>
        <v/>
      </c>
      <c r="F119" s="124">
        <f>'الكميات المنفذة'!F88</f>
        <v/>
      </c>
      <c r="G119" s="124">
        <f>SUMIF('الكميات المنفذة'!$G$5:$AD$5,"&lt;"&amp;SelIPC,'الكميات المنفذة'!$G88:$AD88)</f>
        <v/>
      </c>
      <c r="H119" s="125">
        <f>SUMIF('الكميات المنفذة'!$G$5:$AD$5,SelIPC,'الكميات المنفذة'!$G88:$AD88)</f>
        <v/>
      </c>
      <c r="I119" s="124">
        <f>G119+H119</f>
        <v/>
      </c>
      <c r="J119" s="126">
        <f>IF(E119&gt;0,I119/E119,0)</f>
        <v/>
      </c>
      <c r="K119" s="124">
        <f>G119*F119</f>
        <v/>
      </c>
      <c r="L119" s="125">
        <f>H119*F119</f>
        <v/>
      </c>
      <c r="M119" s="124">
        <f>I119*F119</f>
        <v/>
      </c>
    </row>
    <row r="120">
      <c r="B120" s="122">
        <f>'الكميات المنفذة'!A89</f>
        <v/>
      </c>
      <c r="C120" s="123">
        <f>'الكميات المنفذة'!B89</f>
        <v/>
      </c>
      <c r="D120" s="122">
        <f>'الكميات المنفذة'!C89</f>
        <v/>
      </c>
      <c r="E120" s="124">
        <f>'الكميات المنفذة'!E89</f>
        <v/>
      </c>
      <c r="F120" s="124">
        <f>'الكميات المنفذة'!F89</f>
        <v/>
      </c>
      <c r="G120" s="124">
        <f>SUMIF('الكميات المنفذة'!$G$5:$AD$5,"&lt;"&amp;SelIPC,'الكميات المنفذة'!$G89:$AD89)</f>
        <v/>
      </c>
      <c r="H120" s="125">
        <f>SUMIF('الكميات المنفذة'!$G$5:$AD$5,SelIPC,'الكميات المنفذة'!$G89:$AD89)</f>
        <v/>
      </c>
      <c r="I120" s="124">
        <f>G120+H120</f>
        <v/>
      </c>
      <c r="J120" s="126">
        <f>IF(E120&gt;0,I120/E120,0)</f>
        <v/>
      </c>
      <c r="K120" s="124">
        <f>G120*F120</f>
        <v/>
      </c>
      <c r="L120" s="125">
        <f>H120*F120</f>
        <v/>
      </c>
      <c r="M120" s="124">
        <f>I120*F120</f>
        <v/>
      </c>
    </row>
    <row r="121">
      <c r="B121" s="122">
        <f>'الكميات المنفذة'!A90</f>
        <v/>
      </c>
      <c r="C121" s="123">
        <f>'الكميات المنفذة'!B90</f>
        <v/>
      </c>
      <c r="D121" s="122">
        <f>'الكميات المنفذة'!C90</f>
        <v/>
      </c>
      <c r="E121" s="124">
        <f>'الكميات المنفذة'!E90</f>
        <v/>
      </c>
      <c r="F121" s="124">
        <f>'الكميات المنفذة'!F90</f>
        <v/>
      </c>
      <c r="G121" s="124">
        <f>SUMIF('الكميات المنفذة'!$G$5:$AD$5,"&lt;"&amp;SelIPC,'الكميات المنفذة'!$G90:$AD90)</f>
        <v/>
      </c>
      <c r="H121" s="125">
        <f>SUMIF('الكميات المنفذة'!$G$5:$AD$5,SelIPC,'الكميات المنفذة'!$G90:$AD90)</f>
        <v/>
      </c>
      <c r="I121" s="124">
        <f>G121+H121</f>
        <v/>
      </c>
      <c r="J121" s="126">
        <f>IF(E121&gt;0,I121/E121,0)</f>
        <v/>
      </c>
      <c r="K121" s="124">
        <f>G121*F121</f>
        <v/>
      </c>
      <c r="L121" s="125">
        <f>H121*F121</f>
        <v/>
      </c>
      <c r="M121" s="124">
        <f>I121*F121</f>
        <v/>
      </c>
    </row>
    <row r="122">
      <c r="B122" s="122">
        <f>'الكميات المنفذة'!A91</f>
        <v/>
      </c>
      <c r="C122" s="123">
        <f>'الكميات المنفذة'!B91</f>
        <v/>
      </c>
      <c r="D122" s="122">
        <f>'الكميات المنفذة'!C91</f>
        <v/>
      </c>
      <c r="E122" s="124">
        <f>'الكميات المنفذة'!E91</f>
        <v/>
      </c>
      <c r="F122" s="124">
        <f>'الكميات المنفذة'!F91</f>
        <v/>
      </c>
      <c r="G122" s="124">
        <f>SUMIF('الكميات المنفذة'!$G$5:$AD$5,"&lt;"&amp;SelIPC,'الكميات المنفذة'!$G91:$AD91)</f>
        <v/>
      </c>
      <c r="H122" s="125">
        <f>SUMIF('الكميات المنفذة'!$G$5:$AD$5,SelIPC,'الكميات المنفذة'!$G91:$AD91)</f>
        <v/>
      </c>
      <c r="I122" s="124">
        <f>G122+H122</f>
        <v/>
      </c>
      <c r="J122" s="126">
        <f>IF(E122&gt;0,I122/E122,0)</f>
        <v/>
      </c>
      <c r="K122" s="124">
        <f>G122*F122</f>
        <v/>
      </c>
      <c r="L122" s="125">
        <f>H122*F122</f>
        <v/>
      </c>
      <c r="M122" s="124">
        <f>I122*F122</f>
        <v/>
      </c>
    </row>
    <row r="123">
      <c r="B123" s="122">
        <f>'الكميات المنفذة'!A92</f>
        <v/>
      </c>
      <c r="C123" s="123">
        <f>'الكميات المنفذة'!B92</f>
        <v/>
      </c>
      <c r="D123" s="122">
        <f>'الكميات المنفذة'!C92</f>
        <v/>
      </c>
      <c r="E123" s="124">
        <f>'الكميات المنفذة'!E92</f>
        <v/>
      </c>
      <c r="F123" s="124">
        <f>'الكميات المنفذة'!F92</f>
        <v/>
      </c>
      <c r="G123" s="124">
        <f>SUMIF('الكميات المنفذة'!$G$5:$AD$5,"&lt;"&amp;SelIPC,'الكميات المنفذة'!$G92:$AD92)</f>
        <v/>
      </c>
      <c r="H123" s="125">
        <f>SUMIF('الكميات المنفذة'!$G$5:$AD$5,SelIPC,'الكميات المنفذة'!$G92:$AD92)</f>
        <v/>
      </c>
      <c r="I123" s="124">
        <f>G123+H123</f>
        <v/>
      </c>
      <c r="J123" s="126">
        <f>IF(E123&gt;0,I123/E123,0)</f>
        <v/>
      </c>
      <c r="K123" s="124">
        <f>G123*F123</f>
        <v/>
      </c>
      <c r="L123" s="125">
        <f>H123*F123</f>
        <v/>
      </c>
      <c r="M123" s="124">
        <f>I123*F123</f>
        <v/>
      </c>
    </row>
    <row r="124">
      <c r="B124" s="122">
        <f>'الكميات المنفذة'!A93</f>
        <v/>
      </c>
      <c r="C124" s="123">
        <f>'الكميات المنفذة'!B93</f>
        <v/>
      </c>
      <c r="D124" s="122">
        <f>'الكميات المنفذة'!C93</f>
        <v/>
      </c>
      <c r="E124" s="124">
        <f>'الكميات المنفذة'!E93</f>
        <v/>
      </c>
      <c r="F124" s="124">
        <f>'الكميات المنفذة'!F93</f>
        <v/>
      </c>
      <c r="G124" s="124">
        <f>SUMIF('الكميات المنفذة'!$G$5:$AD$5,"&lt;"&amp;SelIPC,'الكميات المنفذة'!$G93:$AD93)</f>
        <v/>
      </c>
      <c r="H124" s="125">
        <f>SUMIF('الكميات المنفذة'!$G$5:$AD$5,SelIPC,'الكميات المنفذة'!$G93:$AD93)</f>
        <v/>
      </c>
      <c r="I124" s="124">
        <f>G124+H124</f>
        <v/>
      </c>
      <c r="J124" s="126">
        <f>IF(E124&gt;0,I124/E124,0)</f>
        <v/>
      </c>
      <c r="K124" s="124">
        <f>G124*F124</f>
        <v/>
      </c>
      <c r="L124" s="125">
        <f>H124*F124</f>
        <v/>
      </c>
      <c r="M124" s="124">
        <f>I124*F124</f>
        <v/>
      </c>
    </row>
    <row r="125">
      <c r="B125" s="122">
        <f>'الكميات المنفذة'!A94</f>
        <v/>
      </c>
      <c r="C125" s="123">
        <f>'الكميات المنفذة'!B94</f>
        <v/>
      </c>
      <c r="D125" s="122">
        <f>'الكميات المنفذة'!C94</f>
        <v/>
      </c>
      <c r="E125" s="124">
        <f>'الكميات المنفذة'!E94</f>
        <v/>
      </c>
      <c r="F125" s="124">
        <f>'الكميات المنفذة'!F94</f>
        <v/>
      </c>
      <c r="G125" s="124">
        <f>SUMIF('الكميات المنفذة'!$G$5:$AD$5,"&lt;"&amp;SelIPC,'الكميات المنفذة'!$G94:$AD94)</f>
        <v/>
      </c>
      <c r="H125" s="125">
        <f>SUMIF('الكميات المنفذة'!$G$5:$AD$5,SelIPC,'الكميات المنفذة'!$G94:$AD94)</f>
        <v/>
      </c>
      <c r="I125" s="124">
        <f>G125+H125</f>
        <v/>
      </c>
      <c r="J125" s="126">
        <f>IF(E125&gt;0,I125/E125,0)</f>
        <v/>
      </c>
      <c r="K125" s="124">
        <f>G125*F125</f>
        <v/>
      </c>
      <c r="L125" s="125">
        <f>H125*F125</f>
        <v/>
      </c>
      <c r="M125" s="124">
        <f>I125*F125</f>
        <v/>
      </c>
    </row>
    <row r="126">
      <c r="B126" s="122">
        <f>'الكميات المنفذة'!A95</f>
        <v/>
      </c>
      <c r="C126" s="123">
        <f>'الكميات المنفذة'!B95</f>
        <v/>
      </c>
      <c r="D126" s="122">
        <f>'الكميات المنفذة'!C95</f>
        <v/>
      </c>
      <c r="E126" s="124">
        <f>'الكميات المنفذة'!E95</f>
        <v/>
      </c>
      <c r="F126" s="124">
        <f>'الكميات المنفذة'!F95</f>
        <v/>
      </c>
      <c r="G126" s="124">
        <f>SUMIF('الكميات المنفذة'!$G$5:$AD$5,"&lt;"&amp;SelIPC,'الكميات المنفذة'!$G95:$AD95)</f>
        <v/>
      </c>
      <c r="H126" s="125">
        <f>SUMIF('الكميات المنفذة'!$G$5:$AD$5,SelIPC,'الكميات المنفذة'!$G95:$AD95)</f>
        <v/>
      </c>
      <c r="I126" s="124">
        <f>G126+H126</f>
        <v/>
      </c>
      <c r="J126" s="126">
        <f>IF(E126&gt;0,I126/E126,0)</f>
        <v/>
      </c>
      <c r="K126" s="124">
        <f>G126*F126</f>
        <v/>
      </c>
      <c r="L126" s="125">
        <f>H126*F126</f>
        <v/>
      </c>
      <c r="M126" s="124">
        <f>I126*F126</f>
        <v/>
      </c>
    </row>
    <row r="127">
      <c r="B127" s="122">
        <f>'الكميات المنفذة'!A96</f>
        <v/>
      </c>
      <c r="C127" s="123">
        <f>'الكميات المنفذة'!B96</f>
        <v/>
      </c>
      <c r="D127" s="122">
        <f>'الكميات المنفذة'!C96</f>
        <v/>
      </c>
      <c r="E127" s="124">
        <f>'الكميات المنفذة'!E96</f>
        <v/>
      </c>
      <c r="F127" s="124">
        <f>'الكميات المنفذة'!F96</f>
        <v/>
      </c>
      <c r="G127" s="124">
        <f>SUMIF('الكميات المنفذة'!$G$5:$AD$5,"&lt;"&amp;SelIPC,'الكميات المنفذة'!$G96:$AD96)</f>
        <v/>
      </c>
      <c r="H127" s="125">
        <f>SUMIF('الكميات المنفذة'!$G$5:$AD$5,SelIPC,'الكميات المنفذة'!$G96:$AD96)</f>
        <v/>
      </c>
      <c r="I127" s="124">
        <f>G127+H127</f>
        <v/>
      </c>
      <c r="J127" s="126">
        <f>IF(E127&gt;0,I127/E127,0)</f>
        <v/>
      </c>
      <c r="K127" s="124">
        <f>G127*F127</f>
        <v/>
      </c>
      <c r="L127" s="125">
        <f>H127*F127</f>
        <v/>
      </c>
      <c r="M127" s="124">
        <f>I127*F127</f>
        <v/>
      </c>
    </row>
    <row r="128">
      <c r="B128" s="122">
        <f>'الكميات المنفذة'!A97</f>
        <v/>
      </c>
      <c r="C128" s="123">
        <f>'الكميات المنفذة'!B97</f>
        <v/>
      </c>
      <c r="D128" s="122">
        <f>'الكميات المنفذة'!C97</f>
        <v/>
      </c>
      <c r="E128" s="124">
        <f>'الكميات المنفذة'!E97</f>
        <v/>
      </c>
      <c r="F128" s="124">
        <f>'الكميات المنفذة'!F97</f>
        <v/>
      </c>
      <c r="G128" s="124">
        <f>SUMIF('الكميات المنفذة'!$G$5:$AD$5,"&lt;"&amp;SelIPC,'الكميات المنفذة'!$G97:$AD97)</f>
        <v/>
      </c>
      <c r="H128" s="125">
        <f>SUMIF('الكميات المنفذة'!$G$5:$AD$5,SelIPC,'الكميات المنفذة'!$G97:$AD97)</f>
        <v/>
      </c>
      <c r="I128" s="124">
        <f>G128+H128</f>
        <v/>
      </c>
      <c r="J128" s="126">
        <f>IF(E128&gt;0,I128/E128,0)</f>
        <v/>
      </c>
      <c r="K128" s="124">
        <f>G128*F128</f>
        <v/>
      </c>
      <c r="L128" s="125">
        <f>H128*F128</f>
        <v/>
      </c>
      <c r="M128" s="124">
        <f>I128*F128</f>
        <v/>
      </c>
    </row>
    <row r="129">
      <c r="B129" s="122">
        <f>'الكميات المنفذة'!A98</f>
        <v/>
      </c>
      <c r="C129" s="123">
        <f>'الكميات المنفذة'!B98</f>
        <v/>
      </c>
      <c r="D129" s="122">
        <f>'الكميات المنفذة'!C98</f>
        <v/>
      </c>
      <c r="E129" s="124">
        <f>'الكميات المنفذة'!E98</f>
        <v/>
      </c>
      <c r="F129" s="124">
        <f>'الكميات المنفذة'!F98</f>
        <v/>
      </c>
      <c r="G129" s="124">
        <f>SUMIF('الكميات المنفذة'!$G$5:$AD$5,"&lt;"&amp;SelIPC,'الكميات المنفذة'!$G98:$AD98)</f>
        <v/>
      </c>
      <c r="H129" s="125">
        <f>SUMIF('الكميات المنفذة'!$G$5:$AD$5,SelIPC,'الكميات المنفذة'!$G98:$AD98)</f>
        <v/>
      </c>
      <c r="I129" s="124">
        <f>G129+H129</f>
        <v/>
      </c>
      <c r="J129" s="126">
        <f>IF(E129&gt;0,I129/E129,0)</f>
        <v/>
      </c>
      <c r="K129" s="124">
        <f>G129*F129</f>
        <v/>
      </c>
      <c r="L129" s="125">
        <f>H129*F129</f>
        <v/>
      </c>
      <c r="M129" s="124">
        <f>I129*F129</f>
        <v/>
      </c>
    </row>
    <row r="130">
      <c r="B130" s="122">
        <f>'الكميات المنفذة'!A99</f>
        <v/>
      </c>
      <c r="C130" s="123">
        <f>'الكميات المنفذة'!B99</f>
        <v/>
      </c>
      <c r="D130" s="122">
        <f>'الكميات المنفذة'!C99</f>
        <v/>
      </c>
      <c r="E130" s="124">
        <f>'الكميات المنفذة'!E99</f>
        <v/>
      </c>
      <c r="F130" s="124">
        <f>'الكميات المنفذة'!F99</f>
        <v/>
      </c>
      <c r="G130" s="124">
        <f>SUMIF('الكميات المنفذة'!$G$5:$AD$5,"&lt;"&amp;SelIPC,'الكميات المنفذة'!$G99:$AD99)</f>
        <v/>
      </c>
      <c r="H130" s="125">
        <f>SUMIF('الكميات المنفذة'!$G$5:$AD$5,SelIPC,'الكميات المنفذة'!$G99:$AD99)</f>
        <v/>
      </c>
      <c r="I130" s="124">
        <f>G130+H130</f>
        <v/>
      </c>
      <c r="J130" s="126">
        <f>IF(E130&gt;0,I130/E130,0)</f>
        <v/>
      </c>
      <c r="K130" s="124">
        <f>G130*F130</f>
        <v/>
      </c>
      <c r="L130" s="125">
        <f>H130*F130</f>
        <v/>
      </c>
      <c r="M130" s="124">
        <f>I130*F130</f>
        <v/>
      </c>
    </row>
    <row r="131">
      <c r="B131" s="122">
        <f>'الكميات المنفذة'!A100</f>
        <v/>
      </c>
      <c r="C131" s="123">
        <f>'الكميات المنفذة'!B100</f>
        <v/>
      </c>
      <c r="D131" s="122">
        <f>'الكميات المنفذة'!C100</f>
        <v/>
      </c>
      <c r="E131" s="124">
        <f>'الكميات المنفذة'!E100</f>
        <v/>
      </c>
      <c r="F131" s="124">
        <f>'الكميات المنفذة'!F100</f>
        <v/>
      </c>
      <c r="G131" s="124">
        <f>SUMIF('الكميات المنفذة'!$G$5:$AD$5,"&lt;"&amp;SelIPC,'الكميات المنفذة'!$G100:$AD100)</f>
        <v/>
      </c>
      <c r="H131" s="125">
        <f>SUMIF('الكميات المنفذة'!$G$5:$AD$5,SelIPC,'الكميات المنفذة'!$G100:$AD100)</f>
        <v/>
      </c>
      <c r="I131" s="124">
        <f>G131+H131</f>
        <v/>
      </c>
      <c r="J131" s="126">
        <f>IF(E131&gt;0,I131/E131,0)</f>
        <v/>
      </c>
      <c r="K131" s="124">
        <f>G131*F131</f>
        <v/>
      </c>
      <c r="L131" s="125">
        <f>H131*F131</f>
        <v/>
      </c>
      <c r="M131" s="124">
        <f>I131*F131</f>
        <v/>
      </c>
    </row>
    <row r="132">
      <c r="B132" s="122">
        <f>'الكميات المنفذة'!A101</f>
        <v/>
      </c>
      <c r="C132" s="123">
        <f>'الكميات المنفذة'!B101</f>
        <v/>
      </c>
      <c r="D132" s="122">
        <f>'الكميات المنفذة'!C101</f>
        <v/>
      </c>
      <c r="E132" s="124">
        <f>'الكميات المنفذة'!E101</f>
        <v/>
      </c>
      <c r="F132" s="124">
        <f>'الكميات المنفذة'!F101</f>
        <v/>
      </c>
      <c r="G132" s="124">
        <f>SUMIF('الكميات المنفذة'!$G$5:$AD$5,"&lt;"&amp;SelIPC,'الكميات المنفذة'!$G101:$AD101)</f>
        <v/>
      </c>
      <c r="H132" s="125">
        <f>SUMIF('الكميات المنفذة'!$G$5:$AD$5,SelIPC,'الكميات المنفذة'!$G101:$AD101)</f>
        <v/>
      </c>
      <c r="I132" s="124">
        <f>G132+H132</f>
        <v/>
      </c>
      <c r="J132" s="126">
        <f>IF(E132&gt;0,I132/E132,0)</f>
        <v/>
      </c>
      <c r="K132" s="124">
        <f>G132*F132</f>
        <v/>
      </c>
      <c r="L132" s="125">
        <f>H132*F132</f>
        <v/>
      </c>
      <c r="M132" s="124">
        <f>I132*F132</f>
        <v/>
      </c>
    </row>
    <row r="133">
      <c r="B133" s="122">
        <f>'الكميات المنفذة'!A102</f>
        <v/>
      </c>
      <c r="C133" s="123">
        <f>'الكميات المنفذة'!B102</f>
        <v/>
      </c>
      <c r="D133" s="122">
        <f>'الكميات المنفذة'!C102</f>
        <v/>
      </c>
      <c r="E133" s="124">
        <f>'الكميات المنفذة'!E102</f>
        <v/>
      </c>
      <c r="F133" s="124">
        <f>'الكميات المنفذة'!F102</f>
        <v/>
      </c>
      <c r="G133" s="124">
        <f>SUMIF('الكميات المنفذة'!$G$5:$AD$5,"&lt;"&amp;SelIPC,'الكميات المنفذة'!$G102:$AD102)</f>
        <v/>
      </c>
      <c r="H133" s="125">
        <f>SUMIF('الكميات المنفذة'!$G$5:$AD$5,SelIPC,'الكميات المنفذة'!$G102:$AD102)</f>
        <v/>
      </c>
      <c r="I133" s="124">
        <f>G133+H133</f>
        <v/>
      </c>
      <c r="J133" s="126">
        <f>IF(E133&gt;0,I133/E133,0)</f>
        <v/>
      </c>
      <c r="K133" s="124">
        <f>G133*F133</f>
        <v/>
      </c>
      <c r="L133" s="125">
        <f>H133*F133</f>
        <v/>
      </c>
      <c r="M133" s="124">
        <f>I133*F133</f>
        <v/>
      </c>
    </row>
    <row r="134">
      <c r="B134" s="122">
        <f>'الكميات المنفذة'!A103</f>
        <v/>
      </c>
      <c r="C134" s="123">
        <f>'الكميات المنفذة'!B103</f>
        <v/>
      </c>
      <c r="D134" s="122">
        <f>'الكميات المنفذة'!C103</f>
        <v/>
      </c>
      <c r="E134" s="124">
        <f>'الكميات المنفذة'!E103</f>
        <v/>
      </c>
      <c r="F134" s="124">
        <f>'الكميات المنفذة'!F103</f>
        <v/>
      </c>
      <c r="G134" s="124">
        <f>SUMIF('الكميات المنفذة'!$G$5:$AD$5,"&lt;"&amp;SelIPC,'الكميات المنفذة'!$G103:$AD103)</f>
        <v/>
      </c>
      <c r="H134" s="125">
        <f>SUMIF('الكميات المنفذة'!$G$5:$AD$5,SelIPC,'الكميات المنفذة'!$G103:$AD103)</f>
        <v/>
      </c>
      <c r="I134" s="124">
        <f>G134+H134</f>
        <v/>
      </c>
      <c r="J134" s="126">
        <f>IF(E134&gt;0,I134/E134,0)</f>
        <v/>
      </c>
      <c r="K134" s="124">
        <f>G134*F134</f>
        <v/>
      </c>
      <c r="L134" s="125">
        <f>H134*F134</f>
        <v/>
      </c>
      <c r="M134" s="124">
        <f>I134*F134</f>
        <v/>
      </c>
    </row>
    <row r="135">
      <c r="B135" s="122">
        <f>'الكميات المنفذة'!A104</f>
        <v/>
      </c>
      <c r="C135" s="123">
        <f>'الكميات المنفذة'!B104</f>
        <v/>
      </c>
      <c r="D135" s="122">
        <f>'الكميات المنفذة'!C104</f>
        <v/>
      </c>
      <c r="E135" s="124">
        <f>'الكميات المنفذة'!E104</f>
        <v/>
      </c>
      <c r="F135" s="124">
        <f>'الكميات المنفذة'!F104</f>
        <v/>
      </c>
      <c r="G135" s="124">
        <f>SUMIF('الكميات المنفذة'!$G$5:$AD$5,"&lt;"&amp;SelIPC,'الكميات المنفذة'!$G104:$AD104)</f>
        <v/>
      </c>
      <c r="H135" s="125">
        <f>SUMIF('الكميات المنفذة'!$G$5:$AD$5,SelIPC,'الكميات المنفذة'!$G104:$AD104)</f>
        <v/>
      </c>
      <c r="I135" s="124">
        <f>G135+H135</f>
        <v/>
      </c>
      <c r="J135" s="126">
        <f>IF(E135&gt;0,I135/E135,0)</f>
        <v/>
      </c>
      <c r="K135" s="124">
        <f>G135*F135</f>
        <v/>
      </c>
      <c r="L135" s="125">
        <f>H135*F135</f>
        <v/>
      </c>
      <c r="M135" s="124">
        <f>I135*F135</f>
        <v/>
      </c>
    </row>
    <row r="136">
      <c r="B136" s="122">
        <f>'الكميات المنفذة'!A105</f>
        <v/>
      </c>
      <c r="C136" s="123">
        <f>'الكميات المنفذة'!B105</f>
        <v/>
      </c>
      <c r="D136" s="122">
        <f>'الكميات المنفذة'!C105</f>
        <v/>
      </c>
      <c r="E136" s="124">
        <f>'الكميات المنفذة'!E105</f>
        <v/>
      </c>
      <c r="F136" s="124">
        <f>'الكميات المنفذة'!F105</f>
        <v/>
      </c>
      <c r="G136" s="124">
        <f>SUMIF('الكميات المنفذة'!$G$5:$AD$5,"&lt;"&amp;SelIPC,'الكميات المنفذة'!$G105:$AD105)</f>
        <v/>
      </c>
      <c r="H136" s="125">
        <f>SUMIF('الكميات المنفذة'!$G$5:$AD$5,SelIPC,'الكميات المنفذة'!$G105:$AD105)</f>
        <v/>
      </c>
      <c r="I136" s="124">
        <f>G136+H136</f>
        <v/>
      </c>
      <c r="J136" s="126">
        <f>IF(E136&gt;0,I136/E136,0)</f>
        <v/>
      </c>
      <c r="K136" s="124">
        <f>G136*F136</f>
        <v/>
      </c>
      <c r="L136" s="125">
        <f>H136*F136</f>
        <v/>
      </c>
      <c r="M136" s="124">
        <f>I136*F136</f>
        <v/>
      </c>
    </row>
    <row r="137">
      <c r="B137" s="42" t="inlineStr">
        <is>
          <t>الإجمالي</t>
        </is>
      </c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81">
        <f>SUM(K37:K136)</f>
        <v/>
      </c>
      <c r="L137" s="81">
        <f>SUM(L37:L136)</f>
        <v/>
      </c>
      <c r="M137" s="81">
        <f>SUM(M37:M136)</f>
        <v/>
      </c>
    </row>
  </sheetData>
  <mergeCells count="90">
    <mergeCell ref="L17:M17"/>
    <mergeCell ref="B2:M2"/>
    <mergeCell ref="H10:I10"/>
    <mergeCell ref="J10:K10"/>
    <mergeCell ref="J19:K19"/>
    <mergeCell ref="L19:M19"/>
    <mergeCell ref="C14:G14"/>
    <mergeCell ref="H9:I9"/>
    <mergeCell ref="J33:M33"/>
    <mergeCell ref="J9:K9"/>
    <mergeCell ref="F5:J5"/>
    <mergeCell ref="L14:M14"/>
    <mergeCell ref="J28:M28"/>
    <mergeCell ref="C21:G21"/>
    <mergeCell ref="C23:G23"/>
    <mergeCell ref="C7:G7"/>
    <mergeCell ref="J21:K21"/>
    <mergeCell ref="L21:M21"/>
    <mergeCell ref="H15:I15"/>
    <mergeCell ref="H23:I23"/>
    <mergeCell ref="J23:K23"/>
    <mergeCell ref="C18:G18"/>
    <mergeCell ref="L7:M7"/>
    <mergeCell ref="L16:M16"/>
    <mergeCell ref="B33:E33"/>
    <mergeCell ref="B32:E32"/>
    <mergeCell ref="H25:I25"/>
    <mergeCell ref="C20:G20"/>
    <mergeCell ref="C22:G22"/>
    <mergeCell ref="H17:I17"/>
    <mergeCell ref="H11:I11"/>
    <mergeCell ref="J11:K11"/>
    <mergeCell ref="J20:K20"/>
    <mergeCell ref="L20:M20"/>
    <mergeCell ref="H19:I19"/>
    <mergeCell ref="J22:K22"/>
    <mergeCell ref="F33:I33"/>
    <mergeCell ref="L22:M22"/>
    <mergeCell ref="B31:M31"/>
    <mergeCell ref="H14:I14"/>
    <mergeCell ref="C24:G24"/>
    <mergeCell ref="B13:M13"/>
    <mergeCell ref="C26:G26"/>
    <mergeCell ref="H21:I21"/>
    <mergeCell ref="C10:G10"/>
    <mergeCell ref="C16:G16"/>
    <mergeCell ref="J24:K24"/>
    <mergeCell ref="L24:M24"/>
    <mergeCell ref="C25:G25"/>
    <mergeCell ref="L18:M18"/>
    <mergeCell ref="L8:M8"/>
    <mergeCell ref="C9:G9"/>
    <mergeCell ref="J26:K26"/>
    <mergeCell ref="L26:M26"/>
    <mergeCell ref="H16:I16"/>
    <mergeCell ref="J16:K16"/>
    <mergeCell ref="L10:M10"/>
    <mergeCell ref="C11:G11"/>
    <mergeCell ref="J25:K25"/>
    <mergeCell ref="L25:M25"/>
    <mergeCell ref="H22:I22"/>
    <mergeCell ref="L9:M9"/>
    <mergeCell ref="B5:C5"/>
    <mergeCell ref="D5:E5"/>
    <mergeCell ref="L11:M11"/>
    <mergeCell ref="H20:I20"/>
    <mergeCell ref="J14:K14"/>
    <mergeCell ref="C15:G15"/>
    <mergeCell ref="B1:M1"/>
    <mergeCell ref="B29:M29"/>
    <mergeCell ref="B137:J137"/>
    <mergeCell ref="J15:K15"/>
    <mergeCell ref="L15:M15"/>
    <mergeCell ref="L23:M23"/>
    <mergeCell ref="H7:I7"/>
    <mergeCell ref="J7:K7"/>
    <mergeCell ref="B28:I28"/>
    <mergeCell ref="B35:M35"/>
    <mergeCell ref="C8:G8"/>
    <mergeCell ref="C17:G17"/>
    <mergeCell ref="F32:I32"/>
    <mergeCell ref="H24:I24"/>
    <mergeCell ref="H18:I18"/>
    <mergeCell ref="J18:K18"/>
    <mergeCell ref="C19:G19"/>
    <mergeCell ref="H8:I8"/>
    <mergeCell ref="J32:M32"/>
    <mergeCell ref="J8:K8"/>
    <mergeCell ref="J17:K17"/>
    <mergeCell ref="H26:I26"/>
  </mergeCells>
  <conditionalFormatting sqref="B37:M136">
    <cfRule type="expression" priority="1" dxfId="13">
      <formula>$H37&lt;&gt;0</formula>
    </cfRule>
  </conditionalFormatting>
  <conditionalFormatting sqref="I37:I136">
    <cfRule type="expression" priority="2" dxfId="0">
      <formula>$I37&gt;$E37+0.0001</formula>
    </cfRule>
  </conditionalFormatting>
  <dataValidations count="1">
    <dataValidation sqref="D5" showDropDown="0" showInputMessage="1" showErrorMessage="1" allowBlank="1" errorTitle="قيمة غير صحيحة" error="أدخل رقماً صحيحاً ضمن الحدود المسموحة." promptTitle="إرشاد" prompt="اختر رقم المستخلص المراد عرضه وطباعته (1 - 24)" type="whole" operator="between">
      <formula1>1</formula1>
      <formula2>24</formula2>
    </dataValidation>
  </dataValidations>
  <hyperlinks>
    <hyperlink ref="B3" location="'لوحة التحكم'!A1" display="📊 لوحة التحكم"/>
    <hyperlink ref="C3" location="'بيانات العقد'!A1" display="⚙ بيانات العقد"/>
    <hyperlink ref="E3" location="'جدول الكميات'!A1" display="📋 الكميات"/>
    <hyperlink ref="G3" location="'الكميات المنفذة'!A1" display="📐 المنفذ"/>
    <hyperlink ref="I3" location="'الأوامر التغييرية'!A1" display="🔁 التغييرية"/>
    <hyperlink ref="K3" location="'الاستقطاعات الفنية'!A1" display="✂ الاستقطاعات"/>
    <hyperlink ref="L3" location="'سجل المستخلصات'!A1" display="🗂 السجل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3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2026-10-01T19:52:08Z</dcterms:created>
  <dcterms:modified xsi:type="dcterms:W3CDTF">2026-10-01T19:52:09Z</dcterms:modified>
</cp:coreProperties>
</file>