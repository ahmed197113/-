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1" autoFilterDateGrouping="1"/>
  </bookViews>
  <sheets>
    <sheet name="التعليمات" sheetId="1" state="visible" r:id="rId1"/>
    <sheet name="مشروع 01" sheetId="2" state="visible" r:id="rId2"/>
    <sheet name="مشروع 02" sheetId="3" state="visible" r:id="rId3"/>
    <sheet name="مشروع 03" sheetId="4" state="visible" r:id="rId4"/>
    <sheet name="مشروع 04" sheetId="5" state="visible" r:id="rId5"/>
    <sheet name="مشروع 05" sheetId="6" state="visible" r:id="rId6"/>
    <sheet name="مشروع 06" sheetId="7" state="visible" r:id="rId7"/>
    <sheet name="مشروع 07" sheetId="8" state="visible" r:id="rId8"/>
    <sheet name="مشروع 08" sheetId="9" state="visible" r:id="rId9"/>
    <sheet name="مشروع 09" sheetId="10" state="visible" r:id="rId10"/>
    <sheet name="مشروع 10" sheetId="11" state="visible" r:id="rId11"/>
    <sheet name="الإجمالي العام" sheetId="12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[Red](#,##0.00);&quot;-&quot;"/>
    <numFmt numFmtId="165" formatCode="0.0%;[Red]-0.0%;&quot;-&quot;"/>
    <numFmt numFmtId="166" formatCode="yyyy/mm/dd"/>
    <numFmt numFmtId="167" formatCode="0;-0;&quot;-&quot;"/>
    <numFmt numFmtId="168" formatCode="&quot;مستخلص &quot;0"/>
    <numFmt numFmtId="169" formatCode="0&quot; يوم&quot;"/>
    <numFmt numFmtId="170" formatCode="#,##0;[Red](#,##0);&quot;-&quot;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i val="1"/>
      <color rgb="005A6772"/>
      <sz val="9"/>
    </font>
    <font>
      <name val="Arial"/>
      <b val="1"/>
      <color rgb="001F2933"/>
      <sz val="9"/>
    </font>
    <font>
      <name val="Arial"/>
      <color rgb="00008000"/>
      <sz val="9"/>
    </font>
    <font>
      <name val="Arial"/>
      <b val="1"/>
      <color rgb="001F3A5F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5A6772"/>
      <sz val="9"/>
    </font>
    <font>
      <name val="Arial"/>
      <b val="1"/>
      <color rgb="001F3A5F"/>
      <sz val="14"/>
    </font>
    <font>
      <name val="Arial"/>
      <b val="1"/>
      <color rgb="007B4F9D"/>
      <sz val="14"/>
    </font>
    <font>
      <name val="Arial"/>
      <b val="1"/>
      <color rgb="002E7D7A"/>
      <sz val="14"/>
    </font>
    <font>
      <name val="Arial"/>
      <b val="1"/>
      <color rgb="005A6772"/>
      <sz val="14"/>
    </font>
    <font>
      <name val="Arial"/>
      <b val="1"/>
      <color rgb="009A6B00"/>
      <sz val="14"/>
    </font>
    <font>
      <name val="Arial"/>
      <b val="1"/>
      <color rgb="001F3A5F"/>
      <sz val="12"/>
    </font>
    <font>
      <name val="Arial"/>
      <b val="1"/>
      <color rgb="002E7D32"/>
      <sz val="14"/>
    </font>
    <font>
      <name val="Arial"/>
      <b val="1"/>
      <color rgb="00C62828"/>
      <sz val="14"/>
    </font>
    <font>
      <name val="Arial"/>
      <b val="1"/>
      <color rgb="00C0504D"/>
      <sz val="14"/>
    </font>
    <font>
      <name val="Arial"/>
      <b val="1"/>
      <color rgb="001F2933"/>
      <sz val="10"/>
    </font>
    <font>
      <name val="Arial"/>
      <color rgb="001F2933"/>
      <sz val="10"/>
    </font>
    <font>
      <name val="Arial"/>
      <b val="1"/>
      <color rgb="002C5282"/>
      <sz val="10"/>
    </font>
  </fonts>
  <fills count="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9A6B00"/>
        <bgColor rgb="009A6B00"/>
      </patternFill>
    </fill>
    <fill>
      <patternFill patternType="solid">
        <fgColor rgb="002E7D7A"/>
        <bgColor rgb="002E7D7A"/>
      </patternFill>
    </fill>
    <fill>
      <patternFill patternType="solid">
        <fgColor rgb="00EEF4F8"/>
        <bgColor rgb="00EEF4F8"/>
      </patternFill>
    </fill>
    <fill>
      <patternFill patternType="solid">
        <fgColor rgb="00FFFFFF"/>
        <bgColor rgb="00FFFFFF"/>
      </patternFill>
    </fill>
  </fills>
  <borders count="1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  <border>
      <left style="thin">
        <color rgb="00C9D3DD"/>
      </left>
      <right style="thin">
        <color rgb="00C9D3DD"/>
      </right>
      <top style="thick">
        <color rgb="001F3A5F"/>
      </top>
    </border>
    <border>
      <left style="thin">
        <color rgb="00C9D3DD"/>
      </left>
      <right style="thin">
        <color rgb="00C9D3DD"/>
      </right>
      <bottom style="thin">
        <color rgb="00C9D3DD"/>
      </bottom>
    </border>
    <border>
      <left style="thin">
        <color rgb="00C9D3DD"/>
      </left>
      <right style="thin">
        <color rgb="00C9D3DD"/>
      </right>
      <top style="thick">
        <color rgb="007B4F9D"/>
      </top>
    </border>
    <border>
      <left style="thin">
        <color rgb="00C9D3DD"/>
      </left>
      <right style="thin">
        <color rgb="00C9D3DD"/>
      </right>
      <top style="thick">
        <color rgb="002E7D7A"/>
      </top>
    </border>
    <border>
      <left style="thin">
        <color rgb="00C9D3DD"/>
      </left>
      <right style="thin">
        <color rgb="00C9D3DD"/>
      </right>
      <top style="thick">
        <color rgb="005A6772"/>
      </top>
    </border>
    <border>
      <left style="thin">
        <color rgb="00C9D3DD"/>
      </left>
      <right style="thin">
        <color rgb="00C9D3DD"/>
      </right>
      <top style="thick">
        <color rgb="009A6B00"/>
      </top>
    </border>
    <border>
      <left style="thin">
        <color rgb="00C9D3DD"/>
      </left>
      <right style="thin">
        <color rgb="00C9D3DD"/>
      </right>
      <top style="thick">
        <color rgb="002E7D32"/>
      </top>
    </border>
    <border>
      <left style="thin">
        <color rgb="00C9D3DD"/>
      </left>
      <right style="thin">
        <color rgb="00C9D3DD"/>
      </right>
      <top style="thick">
        <color rgb="00C62828"/>
      </top>
    </border>
    <border>
      <left style="thin">
        <color rgb="00C9D3DD"/>
      </left>
      <right style="thin">
        <color rgb="00C9D3DD"/>
      </right>
      <top style="thick">
        <color rgb="00C0504D"/>
      </top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9" fillId="3" borderId="0" applyAlignment="1" pivotButton="0" quotePrefix="0" xfId="0">
      <alignment horizontal="right" vertical="center" indent="1" readingOrder="2"/>
    </xf>
    <xf numFmtId="0" fontId="7" fillId="6" borderId="2" applyAlignment="1" pivotButton="0" quotePrefix="0" xfId="0">
      <alignment horizontal="center" vertical="center" wrapText="1" readingOrder="2"/>
    </xf>
    <xf numFmtId="0" fontId="22" fillId="0" borderId="2" applyAlignment="1" pivotButton="0" quotePrefix="0" xfId="0">
      <alignment horizontal="right" vertical="center" wrapText="1" indent="1" readingOrder="2"/>
    </xf>
    <xf numFmtId="0" fontId="3" fillId="5" borderId="2" applyAlignment="1" pivotButton="0" quotePrefix="0" xfId="0">
      <alignment horizontal="center" vertical="center" wrapText="1" readingOrder="2"/>
    </xf>
    <xf numFmtId="0" fontId="7" fillId="6" borderId="2" applyAlignment="1" pivotButton="0" quotePrefix="0" xfId="0">
      <alignment horizontal="right" vertical="center" indent="1" readingOrder="2"/>
    </xf>
    <xf numFmtId="0" fontId="3" fillId="4" borderId="1" applyAlignment="1" pivotButton="0" quotePrefix="0" xfId="0">
      <alignment horizontal="center" vertical="center" readingOrder="2"/>
    </xf>
    <xf numFmtId="0" fontId="3" fillId="3" borderId="0" applyAlignment="1" pivotButton="0" quotePrefix="0" xfId="0">
      <alignment horizontal="center" vertical="center" readingOrder="2"/>
    </xf>
    <xf numFmtId="0" fontId="4" fillId="0" borderId="0" applyAlignment="1" pivotButton="0" quotePrefix="0" xfId="0">
      <alignment horizontal="right" vertical="center" readingOrder="2"/>
    </xf>
    <xf numFmtId="0" fontId="8" fillId="0" borderId="2" applyAlignment="1" pivotButton="0" quotePrefix="0" xfId="0">
      <alignment horizontal="right" vertical="center" indent="1" readingOrder="2"/>
    </xf>
    <xf numFmtId="0" fontId="5" fillId="6" borderId="2" applyAlignment="1" pivotButton="0" quotePrefix="0" xfId="0">
      <alignment horizontal="right" vertical="center" indent="1" readingOrder="2"/>
    </xf>
    <xf numFmtId="164" fontId="6" fillId="0" borderId="2" applyAlignment="1" pivotButton="0" quotePrefix="0" xfId="0">
      <alignment horizontal="center" vertical="center" readingOrder="2"/>
    </xf>
    <xf numFmtId="166" fontId="8" fillId="0" borderId="2" applyAlignment="1" pivotButton="0" quotePrefix="0" xfId="0">
      <alignment horizontal="right" vertical="center" indent="1" readingOrder="2"/>
    </xf>
    <xf numFmtId="0" fontId="11" fillId="7" borderId="3" applyAlignment="1" pivotButton="0" quotePrefix="0" xfId="0">
      <alignment horizontal="center" vertical="center" wrapText="1" readingOrder="2"/>
    </xf>
    <xf numFmtId="0" fontId="11" fillId="7" borderId="5" applyAlignment="1" pivotButton="0" quotePrefix="0" xfId="0">
      <alignment horizontal="center" vertical="center" wrapText="1" readingOrder="2"/>
    </xf>
    <xf numFmtId="0" fontId="11" fillId="7" borderId="6" applyAlignment="1" pivotButton="0" quotePrefix="0" xfId="0">
      <alignment horizontal="center" vertical="center" wrapText="1" readingOrder="2"/>
    </xf>
    <xf numFmtId="0" fontId="11" fillId="7" borderId="7" applyAlignment="1" pivotButton="0" quotePrefix="0" xfId="0">
      <alignment horizontal="center" vertical="center" wrapText="1" readingOrder="2"/>
    </xf>
    <xf numFmtId="0" fontId="11" fillId="7" borderId="8" applyAlignment="1" pivotButton="0" quotePrefix="0" xfId="0">
      <alignment horizontal="center" vertical="center" wrapText="1" readingOrder="2"/>
    </xf>
    <xf numFmtId="165" fontId="6" fillId="0" borderId="2" applyAlignment="1" pivotButton="0" quotePrefix="0" xfId="0">
      <alignment horizontal="center" vertical="center" readingOrder="2"/>
    </xf>
    <xf numFmtId="164" fontId="12" fillId="7" borderId="4" applyAlignment="1" pivotButton="0" quotePrefix="0" xfId="0">
      <alignment horizontal="center" vertical="center" readingOrder="2"/>
    </xf>
    <xf numFmtId="164" fontId="13" fillId="7" borderId="4" applyAlignment="1" pivotButton="0" quotePrefix="0" xfId="0">
      <alignment horizontal="center" vertical="center" readingOrder="2"/>
    </xf>
    <xf numFmtId="164" fontId="14" fillId="7" borderId="4" applyAlignment="1" pivotButton="0" quotePrefix="0" xfId="0">
      <alignment horizontal="center" vertical="center" readingOrder="2"/>
    </xf>
    <xf numFmtId="164" fontId="15" fillId="7" borderId="4" applyAlignment="1" pivotButton="0" quotePrefix="0" xfId="0">
      <alignment horizontal="center" vertical="center" readingOrder="2"/>
    </xf>
    <xf numFmtId="168" fontId="16" fillId="7" borderId="4" applyAlignment="1" pivotButton="0" quotePrefix="0" xfId="0">
      <alignment horizontal="center" vertical="center" readingOrder="2"/>
    </xf>
    <xf numFmtId="165" fontId="14" fillId="7" borderId="4" applyAlignment="1" pivotButton="0" quotePrefix="0" xfId="0">
      <alignment horizontal="center" vertical="center" readingOrder="2"/>
    </xf>
    <xf numFmtId="165" fontId="12" fillId="7" borderId="4" applyAlignment="1" pivotButton="0" quotePrefix="0" xfId="0">
      <alignment horizontal="center" vertical="center" readingOrder="2"/>
    </xf>
    <xf numFmtId="165" fontId="16" fillId="7" borderId="4" applyAlignment="1" pivotButton="0" quotePrefix="0" xfId="0">
      <alignment horizontal="center" vertical="center" readingOrder="2"/>
    </xf>
    <xf numFmtId="165" fontId="15" fillId="7" borderId="4" applyAlignment="1" pivotButton="0" quotePrefix="0" xfId="0">
      <alignment horizontal="center" vertical="center" readingOrder="2"/>
    </xf>
    <xf numFmtId="2" fontId="12" fillId="7" borderId="4" applyAlignment="1" pivotButton="0" quotePrefix="0" xfId="0">
      <alignment horizontal="center" vertical="center" readingOrder="2"/>
    </xf>
    <xf numFmtId="0" fontId="17" fillId="7" borderId="4" applyAlignment="1" pivotButton="0" quotePrefix="0" xfId="0">
      <alignment horizontal="center" vertical="center" readingOrder="2"/>
    </xf>
    <xf numFmtId="0" fontId="11" fillId="7" borderId="9" applyAlignment="1" pivotButton="0" quotePrefix="0" xfId="0">
      <alignment horizontal="center" vertical="center" wrapText="1" readingOrder="2"/>
    </xf>
    <xf numFmtId="0" fontId="11" fillId="7" borderId="10" applyAlignment="1" pivotButton="0" quotePrefix="0" xfId="0">
      <alignment horizontal="center" vertical="center" wrapText="1" readingOrder="2"/>
    </xf>
    <xf numFmtId="166" fontId="6" fillId="0" borderId="2" applyAlignment="1" pivotButton="0" quotePrefix="0" xfId="0">
      <alignment horizontal="center" vertical="center" readingOrder="2"/>
    </xf>
    <xf numFmtId="164" fontId="18" fillId="7" borderId="4" applyAlignment="1" pivotButton="0" quotePrefix="0" xfId="0">
      <alignment horizontal="center" vertical="center" readingOrder="2"/>
    </xf>
    <xf numFmtId="164" fontId="19" fillId="7" borderId="4" applyAlignment="1" pivotButton="0" quotePrefix="0" xfId="0">
      <alignment horizontal="center" vertical="center" readingOrder="2"/>
    </xf>
    <xf numFmtId="165" fontId="18" fillId="7" borderId="4" applyAlignment="1" pivotButton="0" quotePrefix="0" xfId="0">
      <alignment horizontal="center" vertical="center" readingOrder="2"/>
    </xf>
    <xf numFmtId="169" fontId="15" fillId="7" borderId="4" applyAlignment="1" pivotButton="0" quotePrefix="0" xfId="0">
      <alignment horizontal="center" vertical="center" readingOrder="2"/>
    </xf>
    <xf numFmtId="166" fontId="16" fillId="7" borderId="4" applyAlignment="1" pivotButton="0" quotePrefix="0" xfId="0">
      <alignment horizontal="center" vertical="center" readingOrder="2"/>
    </xf>
    <xf numFmtId="1" fontId="6" fillId="0" borderId="2" applyAlignment="1" pivotButton="0" quotePrefix="0" xfId="0">
      <alignment horizontal="center" vertical="center" readingOrder="2"/>
    </xf>
    <xf numFmtId="0" fontId="11" fillId="7" borderId="11" applyAlignment="1" pivotButton="0" quotePrefix="0" xfId="0">
      <alignment horizontal="center" vertical="center" wrapText="1" readingOrder="2"/>
    </xf>
    <xf numFmtId="164" fontId="20" fillId="7" borderId="4" applyAlignment="1" pivotButton="0" quotePrefix="0" xfId="0">
      <alignment horizontal="center" vertical="center" readingOrder="2"/>
    </xf>
    <xf numFmtId="1" fontId="12" fillId="7" borderId="4" applyAlignment="1" pivotButton="0" quotePrefix="0" xfId="0">
      <alignment horizontal="center" vertical="center" readingOrder="2"/>
    </xf>
    <xf numFmtId="0" fontId="9" fillId="5" borderId="0" applyAlignment="1" pivotButton="0" quotePrefix="0" xfId="0">
      <alignment horizontal="right" vertical="center" indent="1" readingOrder="2"/>
    </xf>
    <xf numFmtId="0" fontId="3" fillId="2" borderId="2" applyAlignment="1" pivotButton="0" quotePrefix="0" xfId="0">
      <alignment horizontal="center" vertical="center" wrapText="1" readingOrder="2"/>
    </xf>
    <xf numFmtId="1" fontId="7" fillId="6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164" fontId="8" fillId="0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7" fontId="3" fillId="2" borderId="2" applyAlignment="1" pivotButton="0" quotePrefix="0" xfId="0">
      <alignment horizontal="center" vertical="center" readingOrder="2"/>
    </xf>
    <xf numFmtId="0" fontId="8" fillId="6" borderId="2" applyAlignment="1" pivotButton="0" quotePrefix="0" xfId="0">
      <alignment horizontal="right" vertical="center" indent="1" readingOrder="2"/>
    </xf>
    <xf numFmtId="165" fontId="21" fillId="0" borderId="2" applyAlignment="1" pivotButton="0" quotePrefix="0" xfId="0">
      <alignment horizontal="center" vertical="center" readingOrder="2"/>
    </xf>
    <xf numFmtId="170" fontId="12" fillId="7" borderId="4" applyAlignment="1" pivotButton="0" quotePrefix="0" xfId="0">
      <alignment horizontal="center" vertical="center" readingOrder="2"/>
    </xf>
    <xf numFmtId="170" fontId="14" fillId="7" borderId="4" applyAlignment="1" pivotButton="0" quotePrefix="0" xfId="0">
      <alignment horizontal="center" vertical="center" readingOrder="2"/>
    </xf>
    <xf numFmtId="1" fontId="16" fillId="7" borderId="4" applyAlignment="1" pivotButton="0" quotePrefix="0" xfId="0">
      <alignment horizontal="center" vertical="center" readingOrder="2"/>
    </xf>
    <xf numFmtId="1" fontId="19" fillId="7" borderId="4" applyAlignment="1" pivotButton="0" quotePrefix="0" xfId="0">
      <alignment horizontal="center" vertical="center" readingOrder="2"/>
    </xf>
    <xf numFmtId="170" fontId="15" fillId="7" borderId="4" applyAlignment="1" pivotButton="0" quotePrefix="0" xfId="0">
      <alignment horizontal="center" vertical="center" readingOrder="2"/>
    </xf>
    <xf numFmtId="170" fontId="18" fillId="7" borderId="4" applyAlignment="1" pivotButton="0" quotePrefix="0" xfId="0">
      <alignment horizontal="center" vertical="center" readingOrder="2"/>
    </xf>
    <xf numFmtId="170" fontId="19" fillId="7" borderId="4" applyAlignment="1" pivotButton="0" quotePrefix="0" xfId="0">
      <alignment horizontal="center" vertical="center" readingOrder="2"/>
    </xf>
    <xf numFmtId="170" fontId="20" fillId="7" borderId="4" applyAlignment="1" pivotButton="0" quotePrefix="0" xfId="0">
      <alignment horizontal="center" vertical="center" readingOrder="2"/>
    </xf>
    <xf numFmtId="1" fontId="22" fillId="0" borderId="2" applyAlignment="1" pivotButton="0" quotePrefix="0" xfId="0">
      <alignment horizontal="center" vertical="center" readingOrder="2"/>
    </xf>
    <xf numFmtId="0" fontId="23" fillId="0" borderId="2" applyAlignment="1" pivotButton="0" quotePrefix="0" xfId="0">
      <alignment horizontal="right" vertical="center" wrapText="1" indent="1" readingOrder="2"/>
    </xf>
    <xf numFmtId="0" fontId="22" fillId="0" borderId="2" applyAlignment="1" pivotButton="0" quotePrefix="0" xfId="0">
      <alignment horizontal="center" vertical="center" readingOrder="2"/>
    </xf>
    <xf numFmtId="170" fontId="22" fillId="0" borderId="2" applyAlignment="1" pivotButton="0" quotePrefix="0" xfId="0">
      <alignment horizontal="center" vertical="center" readingOrder="2"/>
    </xf>
    <xf numFmtId="165" fontId="22" fillId="0" borderId="2" applyAlignment="1" pivotButton="0" quotePrefix="0" xfId="0">
      <alignment horizontal="center" vertical="center" readingOrder="2"/>
    </xf>
    <xf numFmtId="2" fontId="22" fillId="0" borderId="2" applyAlignment="1" pivotButton="0" quotePrefix="0" xfId="0">
      <alignment horizontal="center" vertical="center" readingOrder="2"/>
    </xf>
    <xf numFmtId="167" fontId="22" fillId="0" borderId="2" applyAlignment="1" pivotButton="0" quotePrefix="0" xfId="0">
      <alignment horizontal="center" vertical="center" readingOrder="2"/>
    </xf>
    <xf numFmtId="170" fontId="21" fillId="0" borderId="2" applyAlignment="1" pivotButton="0" quotePrefix="0" xfId="0">
      <alignment horizontal="center" vertical="center" readingOrder="2"/>
    </xf>
    <xf numFmtId="1" fontId="22" fillId="6" borderId="2" applyAlignment="1" pivotButton="0" quotePrefix="0" xfId="0">
      <alignment horizontal="center" vertical="center" readingOrder="2"/>
    </xf>
    <xf numFmtId="0" fontId="23" fillId="6" borderId="2" applyAlignment="1" pivotButton="0" quotePrefix="0" xfId="0">
      <alignment horizontal="right" vertical="center" wrapText="1" indent="1" readingOrder="2"/>
    </xf>
    <xf numFmtId="0" fontId="22" fillId="6" borderId="2" applyAlignment="1" pivotButton="0" quotePrefix="0" xfId="0">
      <alignment horizontal="center" vertical="center" readingOrder="2"/>
    </xf>
    <xf numFmtId="0" fontId="22" fillId="6" borderId="2" applyAlignment="1" pivotButton="0" quotePrefix="0" xfId="0">
      <alignment horizontal="right" vertical="center" wrapText="1" indent="1" readingOrder="2"/>
    </xf>
    <xf numFmtId="170" fontId="22" fillId="6" borderId="2" applyAlignment="1" pivotButton="0" quotePrefix="0" xfId="0">
      <alignment horizontal="center" vertical="center" readingOrder="2"/>
    </xf>
    <xf numFmtId="165" fontId="21" fillId="6" borderId="2" applyAlignment="1" pivotButton="0" quotePrefix="0" xfId="0">
      <alignment horizontal="center" vertical="center" readingOrder="2"/>
    </xf>
    <xf numFmtId="165" fontId="22" fillId="6" borderId="2" applyAlignment="1" pivotButton="0" quotePrefix="0" xfId="0">
      <alignment horizontal="center" vertical="center" readingOrder="2"/>
    </xf>
    <xf numFmtId="2" fontId="22" fillId="6" borderId="2" applyAlignment="1" pivotButton="0" quotePrefix="0" xfId="0">
      <alignment horizontal="center" vertical="center" readingOrder="2"/>
    </xf>
    <xf numFmtId="167" fontId="22" fillId="6" borderId="2" applyAlignment="1" pivotButton="0" quotePrefix="0" xfId="0">
      <alignment horizontal="center" vertical="center" readingOrder="2"/>
    </xf>
    <xf numFmtId="170" fontId="21" fillId="6" borderId="2" applyAlignment="1" pivotButton="0" quotePrefix="0" xfId="0">
      <alignment horizontal="center" vertical="center" readingOrder="2"/>
    </xf>
    <xf numFmtId="170" fontId="3" fillId="2" borderId="2" applyAlignment="1" pivotButton="0" quotePrefix="0" xfId="0">
      <alignment horizontal="center" vertical="center" readingOrder="2"/>
    </xf>
    <xf numFmtId="2" fontId="3" fillId="2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6">
    <dxf>
      <font>
        <b val="1"/>
        <color rgb="00C62828"/>
      </font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color rgb="00A0A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externalLink" Target="/xl/externalLinks/externalLink1.xml" Id="rId13" /><Relationship Type="http://schemas.openxmlformats.org/officeDocument/2006/relationships/externalLink" Target="/xl/externalLinks/externalLink2.xml" Id="rId14" /><Relationship Type="http://schemas.openxmlformats.org/officeDocument/2006/relationships/externalLink" Target="/xl/externalLinks/externalLink3.xml" Id="rId15" /><Relationship Type="http://schemas.openxmlformats.org/officeDocument/2006/relationships/externalLink" Target="/xl/externalLinks/externalLink4.xml" Id="rId16" /><Relationship Type="http://schemas.openxmlformats.org/officeDocument/2006/relationships/externalLink" Target="/xl/externalLinks/externalLink5.xml" Id="rId17" /><Relationship Type="http://schemas.openxmlformats.org/officeDocument/2006/relationships/externalLink" Target="/xl/externalLinks/externalLink6.xml" Id="rId18" /><Relationship Type="http://schemas.openxmlformats.org/officeDocument/2006/relationships/externalLink" Target="/xl/externalLinks/externalLink7.xml" Id="rId19" /><Relationship Type="http://schemas.openxmlformats.org/officeDocument/2006/relationships/externalLink" Target="/xl/externalLinks/externalLink8.xml" Id="rId20" /><Relationship Type="http://schemas.openxmlformats.org/officeDocument/2006/relationships/externalLink" Target="/xl/externalLinks/externalLink9.xml" Id="rId21" /><Relationship Type="http://schemas.openxmlformats.org/officeDocument/2006/relationships/externalLink" Target="/xl/externalLinks/externalLink10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01'!K21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01'!$B$22:$B$41</f>
            </numRef>
          </cat>
          <val>
            <numRef>
              <f>'مشروع 01'!$K$22:$K$41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01'!L21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01'!$L$22:$L$41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01'!U21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01'!$B$22:$B$41</f>
            </numRef>
          </cat>
          <val>
            <numRef>
              <f>'مشروع 01'!$U$22:$U$41</f>
            </numRef>
          </val>
        </ser>
        <ser>
          <idx val="1"/>
          <order val="1"/>
          <tx>
            <strRef>
              <f>'مشروع 01'!V21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01'!$B$22:$B$41</f>
            </numRef>
          </cat>
          <val>
            <numRef>
              <f>'مشروع 01'!$V$22:$V$41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02'!K21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02'!$B$22:$B$41</f>
            </numRef>
          </cat>
          <val>
            <numRef>
              <f>'مشروع 02'!$K$22:$K$41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02'!L21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02'!$L$22:$L$41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02'!U21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02'!$B$22:$B$41</f>
            </numRef>
          </cat>
          <val>
            <numRef>
              <f>'مشروع 02'!$U$22:$U$41</f>
            </numRef>
          </val>
        </ser>
        <ser>
          <idx val="1"/>
          <order val="1"/>
          <tx>
            <strRef>
              <f>'مشروع 02'!V21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02'!$B$22:$B$41</f>
            </numRef>
          </cat>
          <val>
            <numRef>
              <f>'مشروع 02'!$V$22:$V$41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03'!K21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03'!$B$22:$B$41</f>
            </numRef>
          </cat>
          <val>
            <numRef>
              <f>'مشروع 03'!$K$22:$K$41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03'!L21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03'!$L$22:$L$41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03'!U21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03'!$B$22:$B$41</f>
            </numRef>
          </cat>
          <val>
            <numRef>
              <f>'مشروع 03'!$U$22:$U$41</f>
            </numRef>
          </val>
        </ser>
        <ser>
          <idx val="1"/>
          <order val="1"/>
          <tx>
            <strRef>
              <f>'مشروع 03'!V21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03'!$B$22:$B$41</f>
            </numRef>
          </cat>
          <val>
            <numRef>
              <f>'مشروع 03'!$V$22:$V$41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04'!K21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04'!$B$22:$B$41</f>
            </numRef>
          </cat>
          <val>
            <numRef>
              <f>'مشروع 04'!$K$22:$K$41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04'!L21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04'!$L$22:$L$41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04'!U21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04'!$B$22:$B$41</f>
            </numRef>
          </cat>
          <val>
            <numRef>
              <f>'مشروع 04'!$U$22:$U$41</f>
            </numRef>
          </val>
        </ser>
        <ser>
          <idx val="1"/>
          <order val="1"/>
          <tx>
            <strRef>
              <f>'مشروع 04'!V21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04'!$B$22:$B$41</f>
            </numRef>
          </cat>
          <val>
            <numRef>
              <f>'مشروع 04'!$V$22:$V$41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05'!K21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05'!$B$22:$B$41</f>
            </numRef>
          </cat>
          <val>
            <numRef>
              <f>'مشروع 05'!$K$22:$K$41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05'!L21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05'!$L$22:$L$41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05'!U21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05'!$B$22:$B$41</f>
            </numRef>
          </cat>
          <val>
            <numRef>
              <f>'مشروع 05'!$U$22:$U$41</f>
            </numRef>
          </val>
        </ser>
        <ser>
          <idx val="1"/>
          <order val="1"/>
          <tx>
            <strRef>
              <f>'مشروع 05'!V21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05'!$B$22:$B$41</f>
            </numRef>
          </cat>
          <val>
            <numRef>
              <f>'مشروع 05'!$V$22:$V$41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06'!K21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06'!$B$22:$B$41</f>
            </numRef>
          </cat>
          <val>
            <numRef>
              <f>'مشروع 06'!$K$22:$K$41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06'!L21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06'!$L$22:$L$41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06'!U21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06'!$B$22:$B$41</f>
            </numRef>
          </cat>
          <val>
            <numRef>
              <f>'مشروع 06'!$U$22:$U$41</f>
            </numRef>
          </val>
        </ser>
        <ser>
          <idx val="1"/>
          <order val="1"/>
          <tx>
            <strRef>
              <f>'مشروع 06'!V21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06'!$B$22:$B$41</f>
            </numRef>
          </cat>
          <val>
            <numRef>
              <f>'مشروع 06'!$V$22:$V$41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07'!K21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07'!$B$22:$B$41</f>
            </numRef>
          </cat>
          <val>
            <numRef>
              <f>'مشروع 07'!$K$22:$K$41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07'!L21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07'!$L$22:$L$41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07'!U21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07'!$B$22:$B$41</f>
            </numRef>
          </cat>
          <val>
            <numRef>
              <f>'مشروع 07'!$U$22:$U$41</f>
            </numRef>
          </val>
        </ser>
        <ser>
          <idx val="1"/>
          <order val="1"/>
          <tx>
            <strRef>
              <f>'مشروع 07'!V21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07'!$B$22:$B$41</f>
            </numRef>
          </cat>
          <val>
            <numRef>
              <f>'مشروع 07'!$V$22:$V$41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08'!K21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08'!$B$22:$B$41</f>
            </numRef>
          </cat>
          <val>
            <numRef>
              <f>'مشروع 08'!$K$22:$K$41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08'!L21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08'!$L$22:$L$41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08'!U21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08'!$B$22:$B$41</f>
            </numRef>
          </cat>
          <val>
            <numRef>
              <f>'مشروع 08'!$U$22:$U$41</f>
            </numRef>
          </val>
        </ser>
        <ser>
          <idx val="1"/>
          <order val="1"/>
          <tx>
            <strRef>
              <f>'مشروع 08'!V21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08'!$B$22:$B$41</f>
            </numRef>
          </cat>
          <val>
            <numRef>
              <f>'مشروع 08'!$V$22:$V$41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09'!K21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09'!$B$22:$B$41</f>
            </numRef>
          </cat>
          <val>
            <numRef>
              <f>'مشروع 09'!$K$22:$K$41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09'!L21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09'!$L$22:$L$41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09'!U21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09'!$B$22:$B$41</f>
            </numRef>
          </cat>
          <val>
            <numRef>
              <f>'مشروع 09'!$U$22:$U$41</f>
            </numRef>
          </val>
        </ser>
        <ser>
          <idx val="1"/>
          <order val="1"/>
          <tx>
            <strRef>
              <f>'مشروع 09'!V21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09'!$B$22:$B$41</f>
            </numRef>
          </cat>
          <val>
            <numRef>
              <f>'مشروع 09'!$V$22:$V$41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10'!K21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10'!$B$22:$B$41</f>
            </numRef>
          </cat>
          <val>
            <numRef>
              <f>'مشروع 10'!$K$22:$K$41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10'!L21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10'!$L$22:$L$41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10'!U21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10'!$B$22:$B$41</f>
            </numRef>
          </cat>
          <val>
            <numRef>
              <f>'مشروع 10'!$U$22:$U$41</f>
            </numRef>
          </val>
        </ser>
        <ser>
          <idx val="1"/>
          <order val="1"/>
          <tx>
            <strRef>
              <f>'مشروع 10'!V21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10'!$B$22:$B$41</f>
            </numRef>
          </cat>
          <val>
            <numRef>
              <f>'مشروع 10'!$V$22:$V$41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نسبة الإنجاز الفعلية مقابل المخططة لكل مشروع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'الإجمالي العام'!J13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'الإجمالي العام'!$C$14:$C$23</f>
            </numRef>
          </cat>
          <val>
            <numRef>
              <f>'الإجمالي العام'!$J$14:$J$23</f>
            </numRef>
          </val>
        </ser>
        <ser>
          <idx val="1"/>
          <order val="1"/>
          <tx>
            <strRef>
              <f>'الإجمالي العام'!K13</f>
            </strRef>
          </tx>
          <spPr>
            <a:solidFill>
              <a:srgbClr val="C9D3DD"/>
            </a:solidFill>
            <a:ln>
              <a:prstDash val="solid"/>
            </a:ln>
          </spPr>
          <cat>
            <numRef>
              <f>'الإجمالي العام'!$C$14:$C$23</f>
            </numRef>
          </cat>
          <val>
            <numRef>
              <f>'الإجمالي العام'!$K$14:$K$23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صافي المستحق مقابل المحصل وغير المحصل لكل مشروع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'الإجمالي العام'!O13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'الإجمالي العام'!$C$14:$C$23</f>
            </numRef>
          </cat>
          <val>
            <numRef>
              <f>'الإجمالي العام'!$O$14:$O$23</f>
            </numRef>
          </val>
        </ser>
        <ser>
          <idx val="1"/>
          <order val="1"/>
          <tx>
            <strRef>
              <f>'الإجمالي العام'!P13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'الإجمالي العام'!$C$14:$C$23</f>
            </numRef>
          </cat>
          <val>
            <numRef>
              <f>'الإجمالي العام'!$P$14:$P$23</f>
            </numRef>
          </val>
        </ser>
        <ser>
          <idx val="2"/>
          <order val="2"/>
          <tx>
            <strRef>
              <f>'الإجمالي العام'!Q13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'الإجمالي العام'!$C$14:$C$23</f>
            </numRef>
          </cat>
          <val>
            <numRef>
              <f>'الإجمالي العام'!$Q$14:$Q$23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قيمة العقود المعدلة على المشاريع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'الإجمالي العام'!$C$14:$C$23</f>
            </numRef>
          </cat>
          <val>
            <numRef>
              <f>'الإجمالي العام'!$H$14:$H$23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26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26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IPC_Project_01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IPC_Project_02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IPC_Project_03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IPC_Project_04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IPC_Project_05.xlsx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IPC_Project_06.xlsx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IPC_Project_07.xlsx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IPC_Project_08.xlsx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IPC_Project_09.xlsx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IPC_Project_10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>مشروع إنشاء المبنى الإداري - المرحلة الأولى</v>
          </cell>
        </row>
        <row r="6">
          <cell r="C6" t="str">
            <v>CT-2026-014</v>
          </cell>
        </row>
        <row r="7">
          <cell r="C7" t="str">
            <v>شركة النماء للتطوير العقاري</v>
          </cell>
        </row>
        <row r="8">
          <cell r="C8" t="str">
            <v>مكتب الهندسة المتحدة للاستشارات</v>
          </cell>
        </row>
        <row r="9">
          <cell r="C9" t="str">
            <v>شركة البناء الحديث للمقاولات</v>
          </cell>
        </row>
        <row r="11">
          <cell r="C11">
            <v>46082.0</v>
          </cell>
        </row>
        <row r="12">
          <cell r="C12">
            <v>18</v>
          </cell>
        </row>
        <row r="13">
          <cell r="C13">
            <v>46630.0</v>
          </cell>
        </row>
        <row r="14">
          <cell r="C14" t="str">
            <v>جنيه مصري</v>
          </cell>
        </row>
        <row r="16">
          <cell r="C16">
            <v>92771000</v>
          </cell>
        </row>
        <row r="17">
          <cell r="C17">
            <v>930000</v>
          </cell>
        </row>
        <row r="18">
          <cell r="C18">
            <v>93701000</v>
          </cell>
        </row>
        <row r="20">
          <cell r="C20">
            <v>0.1</v>
          </cell>
        </row>
        <row r="21">
          <cell r="C21">
            <v>9277100</v>
          </cell>
        </row>
        <row r="27">
          <cell r="C27">
            <v>0.1</v>
          </cell>
        </row>
        <row r="29">
          <cell r="C29">
            <v>4685050</v>
          </cell>
        </row>
        <row r="31">
          <cell r="C31">
            <v>0.14</v>
          </cell>
        </row>
        <row r="33">
          <cell r="C33">
            <v>0.01</v>
          </cell>
        </row>
      </sheetData>
      <sheetData sheetId="5">
        <row r="6">
          <cell r="C6">
            <v>46112.0</v>
          </cell>
          <cell r="E6">
            <v>46133.0</v>
          </cell>
          <cell r="F6" t="str">
            <v>معتمد</v>
          </cell>
          <cell r="G6">
            <v>1119271.05</v>
          </cell>
          <cell r="H6">
            <v>1119271.05</v>
          </cell>
          <cell r="I6">
            <v>0</v>
          </cell>
          <cell r="J6">
            <v>0</v>
          </cell>
          <cell r="K6">
            <v>1119271.05</v>
          </cell>
          <cell r="L6">
            <v>0.0120648807278137</v>
          </cell>
          <cell r="M6">
            <v>0.0112</v>
          </cell>
          <cell r="N6">
            <v>0.00086488072781365</v>
          </cell>
          <cell r="O6">
            <v>139908.88</v>
          </cell>
          <cell r="R6">
            <v>111927.11</v>
          </cell>
          <cell r="S6">
            <v>0</v>
          </cell>
          <cell r="T6">
            <v>0</v>
          </cell>
          <cell r="V6">
            <v>137110.7</v>
          </cell>
          <cell r="W6">
            <v>9793.62</v>
          </cell>
          <cell r="X6">
            <v>994752.14</v>
          </cell>
          <cell r="Z6">
            <v>994752.14</v>
          </cell>
          <cell r="AA6">
            <v>994752.14</v>
          </cell>
          <cell r="AC6">
            <v>0</v>
          </cell>
          <cell r="AD6">
            <v>32</v>
          </cell>
          <cell r="AE6" t="str">
            <v>✔ محصل بالكامل</v>
          </cell>
        </row>
        <row r="7">
          <cell r="C7">
            <v>46142.0</v>
          </cell>
          <cell r="E7">
            <v>46164.0</v>
          </cell>
          <cell r="F7" t="str">
            <v>معتمد</v>
          </cell>
          <cell r="G7">
            <v>7700702.1</v>
          </cell>
          <cell r="H7">
            <v>6581431.05</v>
          </cell>
          <cell r="I7">
            <v>0</v>
          </cell>
          <cell r="J7">
            <v>450000</v>
          </cell>
          <cell r="K7">
            <v>8150702.1</v>
          </cell>
          <cell r="L7">
            <v>0.0830076435524032</v>
          </cell>
          <cell r="M7">
            <v>0.0769</v>
          </cell>
          <cell r="N7">
            <v>0.00610764355240323</v>
          </cell>
          <cell r="O7">
            <v>962587.76</v>
          </cell>
          <cell r="R7">
            <v>815070.21</v>
          </cell>
          <cell r="S7">
            <v>85000</v>
          </cell>
          <cell r="T7">
            <v>0</v>
          </cell>
          <cell r="V7">
            <v>994436.01</v>
          </cell>
          <cell r="W7">
            <v>71031.14</v>
          </cell>
          <cell r="X7">
            <v>7211449</v>
          </cell>
          <cell r="Z7">
            <v>6216696.86</v>
          </cell>
          <cell r="AA7">
            <v>6216696.86</v>
          </cell>
          <cell r="AC7">
            <v>0</v>
          </cell>
          <cell r="AD7">
            <v>39</v>
          </cell>
          <cell r="AE7" t="str">
            <v>✔ محصل بالكامل</v>
          </cell>
        </row>
        <row r="8">
          <cell r="C8">
            <v>46173.0</v>
          </cell>
          <cell r="E8">
            <v>46193.0</v>
          </cell>
          <cell r="F8" t="str">
            <v>معتمد</v>
          </cell>
          <cell r="G8">
            <v>14330703.15</v>
          </cell>
          <cell r="H8">
            <v>6630001.05</v>
          </cell>
          <cell r="I8">
            <v>0</v>
          </cell>
          <cell r="J8">
            <v>900000</v>
          </cell>
          <cell r="K8">
            <v>15230703.15</v>
          </cell>
          <cell r="L8">
            <v>0.154473953606192</v>
          </cell>
          <cell r="M8">
            <v>0.143</v>
          </cell>
          <cell r="N8">
            <v>0.0114739536061916</v>
          </cell>
          <cell r="O8">
            <v>1791337.89</v>
          </cell>
          <cell r="R8">
            <v>1523070.32</v>
          </cell>
          <cell r="S8">
            <v>125000</v>
          </cell>
          <cell r="T8">
            <v>0</v>
          </cell>
          <cell r="V8">
            <v>1864011.14</v>
          </cell>
          <cell r="W8">
            <v>133143.65</v>
          </cell>
          <cell r="X8">
            <v>13522162.43</v>
          </cell>
          <cell r="Z8">
            <v>6310713.43</v>
          </cell>
          <cell r="AA8">
            <v>6310713.43</v>
          </cell>
          <cell r="AC8">
            <v>0</v>
          </cell>
          <cell r="AD8">
            <v>30</v>
          </cell>
          <cell r="AE8" t="str">
            <v>✔ محصل بالكامل</v>
          </cell>
        </row>
        <row r="9">
          <cell r="C9">
            <v>46203.0</v>
          </cell>
          <cell r="E9">
            <v>46224.0</v>
          </cell>
          <cell r="F9" t="str">
            <v>معتمد</v>
          </cell>
          <cell r="G9">
            <v>20561702</v>
          </cell>
          <cell r="H9">
            <v>6230998.85</v>
          </cell>
          <cell r="I9">
            <v>1250000</v>
          </cell>
          <cell r="J9">
            <v>600000</v>
          </cell>
          <cell r="K9">
            <v>22411702</v>
          </cell>
          <cell r="L9">
            <v>0.231987555971538</v>
          </cell>
          <cell r="M9">
            <v>0.2064</v>
          </cell>
          <cell r="N9">
            <v>0.0255875559715383</v>
          </cell>
          <cell r="O9">
            <v>2726462.75</v>
          </cell>
          <cell r="R9">
            <v>2241170.2</v>
          </cell>
          <cell r="S9">
            <v>40000</v>
          </cell>
          <cell r="T9">
            <v>0</v>
          </cell>
          <cell r="V9">
            <v>2750333.5</v>
          </cell>
          <cell r="W9">
            <v>196452.39</v>
          </cell>
          <cell r="X9">
            <v>19957950.16</v>
          </cell>
          <cell r="Z9">
            <v>6435787.73</v>
          </cell>
          <cell r="AA9">
            <v>6435787.73</v>
          </cell>
          <cell r="AC9">
            <v>0</v>
          </cell>
          <cell r="AD9">
            <v>37</v>
          </cell>
          <cell r="AE9" t="str">
            <v>✔ محصل بالكامل</v>
          </cell>
        </row>
        <row r="10">
          <cell r="C10">
            <v>46234.0</v>
          </cell>
          <cell r="E10">
            <v>46256.0</v>
          </cell>
          <cell r="F10" t="str">
            <v>معتمد</v>
          </cell>
          <cell r="G10">
            <v>26792700</v>
          </cell>
          <cell r="H10">
            <v>6230998</v>
          </cell>
          <cell r="I10">
            <v>930000</v>
          </cell>
          <cell r="J10">
            <v>1100000</v>
          </cell>
          <cell r="K10">
            <v>28822700</v>
          </cell>
          <cell r="L10">
            <v>0.295863437956905</v>
          </cell>
          <cell r="M10">
            <v>0.2686</v>
          </cell>
          <cell r="N10">
            <v>0.0272634379569054</v>
          </cell>
          <cell r="O10">
            <v>3465337.5</v>
          </cell>
          <cell r="R10">
            <v>2882270</v>
          </cell>
          <cell r="S10">
            <v>160000</v>
          </cell>
          <cell r="T10">
            <v>25000</v>
          </cell>
          <cell r="V10">
            <v>3524130.75</v>
          </cell>
          <cell r="W10">
            <v>251723.63</v>
          </cell>
          <cell r="X10">
            <v>25562499.62</v>
          </cell>
          <cell r="Z10">
            <v>5604549.46</v>
          </cell>
          <cell r="AA10">
            <v>3363000</v>
          </cell>
          <cell r="AC10">
            <v>2241549.46</v>
          </cell>
          <cell r="AD10">
            <v>28</v>
          </cell>
          <cell r="AE10" t="str">
            <v>⚠ محصل جزئياً</v>
          </cell>
        </row>
        <row r="11">
          <cell r="C11">
            <v>46265.0</v>
          </cell>
          <cell r="E11">
            <v>46285.0</v>
          </cell>
          <cell r="F11" t="str">
            <v>معتمد</v>
          </cell>
          <cell r="G11">
            <v>33435952.3</v>
          </cell>
          <cell r="H11">
            <v>6643252.3</v>
          </cell>
          <cell r="I11">
            <v>930000</v>
          </cell>
          <cell r="J11">
            <v>750000</v>
          </cell>
          <cell r="K11">
            <v>35115952.3</v>
          </cell>
          <cell r="L11">
            <v>0.366761852061344</v>
          </cell>
          <cell r="M11">
            <v>0.3349</v>
          </cell>
          <cell r="N11">
            <v>0.0318618520613441</v>
          </cell>
          <cell r="O11">
            <v>4295744.04</v>
          </cell>
          <cell r="R11">
            <v>3511595.23</v>
          </cell>
          <cell r="S11">
            <v>225000</v>
          </cell>
          <cell r="T11">
            <v>25000</v>
          </cell>
          <cell r="V11">
            <v>4279829.16</v>
          </cell>
          <cell r="W11">
            <v>305702.08</v>
          </cell>
          <cell r="X11">
            <v>31032740.11</v>
          </cell>
          <cell r="Z11">
            <v>5470240.49</v>
          </cell>
          <cell r="AA11">
            <v>0</v>
          </cell>
          <cell r="AC11">
            <v>5470240.49</v>
          </cell>
          <cell r="AD11" t="str">
            <v/>
          </cell>
          <cell r="AE11" t="str">
            <v>✖ غير محصل</v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1537000</v>
          </cell>
          <cell r="F32">
            <v>1537000</v>
          </cell>
        </row>
        <row r="33">
          <cell r="B33" t="str">
            <v>الخرسانة العادية والمسلحة</v>
          </cell>
          <cell r="E33">
            <v>45518000</v>
          </cell>
          <cell r="F33">
            <v>30952428</v>
          </cell>
        </row>
        <row r="34">
          <cell r="B34" t="str">
            <v>أعمال المباني</v>
          </cell>
          <cell r="E34">
            <v>4008000</v>
          </cell>
          <cell r="F34">
            <v>412254.3</v>
          </cell>
        </row>
        <row r="35">
          <cell r="B35" t="str">
            <v>أعمال العزل</v>
          </cell>
          <cell r="E35">
            <v>1619000</v>
          </cell>
          <cell r="F35">
            <v>534270</v>
          </cell>
        </row>
        <row r="36">
          <cell r="B36" t="str">
            <v>أعمال التشطيبات</v>
          </cell>
          <cell r="E36">
            <v>21081000</v>
          </cell>
          <cell r="F36">
            <v>0</v>
          </cell>
        </row>
        <row r="37">
          <cell r="B37" t="str">
            <v>الأعمال الكهربائية</v>
          </cell>
          <cell r="E37">
            <v>6452000</v>
          </cell>
          <cell r="F37">
            <v>0</v>
          </cell>
        </row>
        <row r="38">
          <cell r="B38" t="str">
            <v>الأعمال الصحية</v>
          </cell>
          <cell r="E38">
            <v>2718000</v>
          </cell>
          <cell r="F38">
            <v>0</v>
          </cell>
        </row>
        <row r="39">
          <cell r="B39" t="str">
            <v>أعمال التكييف</v>
          </cell>
          <cell r="E39">
            <v>7588000</v>
          </cell>
          <cell r="F39">
            <v>0</v>
          </cell>
        </row>
        <row r="40">
          <cell r="B40" t="str">
            <v>أعمال الموقع العام</v>
          </cell>
          <cell r="E40">
            <v>2250000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>مشروع مدرسة لغات تجريبية - 24 فصل</v>
          </cell>
        </row>
        <row r="6">
          <cell r="C6" t="str">
            <v>CT-2025-087</v>
          </cell>
        </row>
        <row r="7">
          <cell r="C7" t="str">
            <v>مديرية التربية والتعليم</v>
          </cell>
        </row>
        <row r="8">
          <cell r="C8" t="str">
            <v>المركز الاستشاري للتصميمات</v>
          </cell>
        </row>
        <row r="9">
          <cell r="C9" t="str">
            <v>شركة البناء الحديث للمقاولات</v>
          </cell>
        </row>
        <row r="11">
          <cell r="C11">
            <v>45962.0</v>
          </cell>
        </row>
        <row r="12">
          <cell r="C12">
            <v>14</v>
          </cell>
        </row>
        <row r="13">
          <cell r="C13">
            <v>46387.0</v>
          </cell>
        </row>
        <row r="14">
          <cell r="C14" t="str">
            <v>جنيه مصري</v>
          </cell>
        </row>
        <row r="16">
          <cell r="C16">
            <v>51017650</v>
          </cell>
        </row>
        <row r="17">
          <cell r="C17">
            <v>430000</v>
          </cell>
        </row>
        <row r="18">
          <cell r="C18">
            <v>51447650</v>
          </cell>
        </row>
        <row r="20">
          <cell r="C20">
            <v>0.1</v>
          </cell>
        </row>
        <row r="21">
          <cell r="C21">
            <v>5101765</v>
          </cell>
        </row>
        <row r="27">
          <cell r="C27">
            <v>0.1</v>
          </cell>
        </row>
        <row r="29">
          <cell r="C29">
            <v>2572382.5</v>
          </cell>
        </row>
        <row r="31">
          <cell r="C31">
            <v>0.14</v>
          </cell>
        </row>
        <row r="33">
          <cell r="C33">
            <v>0.01</v>
          </cell>
        </row>
      </sheetData>
      <sheetData sheetId="5">
        <row r="6">
          <cell r="C6">
            <v>45991.0</v>
          </cell>
          <cell r="E6">
            <v>46012.0</v>
          </cell>
          <cell r="F6" t="str">
            <v>معتمد</v>
          </cell>
          <cell r="G6">
            <v>1344132.2</v>
          </cell>
          <cell r="H6">
            <v>1344132.2</v>
          </cell>
          <cell r="I6">
            <v>0</v>
          </cell>
          <cell r="J6">
            <v>0</v>
          </cell>
          <cell r="K6">
            <v>1344132.2</v>
          </cell>
          <cell r="L6">
            <v>0.0263464154072169</v>
          </cell>
          <cell r="M6">
            <v>0.0299</v>
          </cell>
          <cell r="N6">
            <v>-0.00355358459278309</v>
          </cell>
          <cell r="O6">
            <v>168016.53</v>
          </cell>
          <cell r="R6">
            <v>134413.22</v>
          </cell>
          <cell r="S6">
            <v>0</v>
          </cell>
          <cell r="T6">
            <v>0</v>
          </cell>
          <cell r="V6">
            <v>164656.19</v>
          </cell>
          <cell r="W6">
            <v>11761.16</v>
          </cell>
          <cell r="X6">
            <v>1194597.48</v>
          </cell>
          <cell r="Z6">
            <v>1194597.48</v>
          </cell>
          <cell r="AA6">
            <v>1194597.48</v>
          </cell>
          <cell r="AC6">
            <v>0</v>
          </cell>
          <cell r="AD6">
            <v>32</v>
          </cell>
          <cell r="AE6" t="str">
            <v>✔ محصل بالكامل</v>
          </cell>
        </row>
        <row r="7">
          <cell r="C7">
            <v>46022.0</v>
          </cell>
          <cell r="E7">
            <v>46044.0</v>
          </cell>
          <cell r="F7" t="str">
            <v>معتمد</v>
          </cell>
          <cell r="G7">
            <v>5136455.4</v>
          </cell>
          <cell r="H7">
            <v>3792323.2</v>
          </cell>
          <cell r="I7">
            <v>0</v>
          </cell>
          <cell r="J7">
            <v>150000</v>
          </cell>
          <cell r="K7">
            <v>5286455.4</v>
          </cell>
          <cell r="L7">
            <v>0.100679968599102</v>
          </cell>
          <cell r="M7">
            <v>0.1144</v>
          </cell>
          <cell r="N7">
            <v>-0.0137200314008975</v>
          </cell>
          <cell r="O7">
            <v>642056.93</v>
          </cell>
          <cell r="R7">
            <v>528645.54</v>
          </cell>
          <cell r="S7">
            <v>0</v>
          </cell>
          <cell r="T7">
            <v>0</v>
          </cell>
          <cell r="V7">
            <v>650215.79</v>
          </cell>
          <cell r="W7">
            <v>46443.98</v>
          </cell>
          <cell r="X7">
            <v>4719524.74</v>
          </cell>
          <cell r="Z7">
            <v>3524927.26</v>
          </cell>
          <cell r="AA7">
            <v>3524927.26</v>
          </cell>
          <cell r="AC7">
            <v>0</v>
          </cell>
          <cell r="AD7">
            <v>39</v>
          </cell>
          <cell r="AE7" t="str">
            <v>✔ محصل بالكامل</v>
          </cell>
        </row>
        <row r="8">
          <cell r="C8">
            <v>46053.0</v>
          </cell>
          <cell r="E8">
            <v>46073.0</v>
          </cell>
          <cell r="F8" t="str">
            <v>معتمد</v>
          </cell>
          <cell r="G8">
            <v>8871040.8</v>
          </cell>
          <cell r="H8">
            <v>3734585.4</v>
          </cell>
          <cell r="I8">
            <v>0</v>
          </cell>
          <cell r="J8">
            <v>300000</v>
          </cell>
          <cell r="K8">
            <v>9171040.8</v>
          </cell>
          <cell r="L8">
            <v>0.173881799730093</v>
          </cell>
          <cell r="M8">
            <v>0.1976</v>
          </cell>
          <cell r="N8">
            <v>-0.0237182002699066</v>
          </cell>
          <cell r="O8">
            <v>1108880.1</v>
          </cell>
          <cell r="R8">
            <v>917104.08</v>
          </cell>
          <cell r="S8">
            <v>0</v>
          </cell>
          <cell r="T8">
            <v>0</v>
          </cell>
          <cell r="V8">
            <v>1128702.5</v>
          </cell>
          <cell r="W8">
            <v>80621.61</v>
          </cell>
          <cell r="X8">
            <v>8193137.51</v>
          </cell>
          <cell r="Z8">
            <v>3473612.77</v>
          </cell>
          <cell r="AA8">
            <v>3473612.77</v>
          </cell>
          <cell r="AC8">
            <v>0</v>
          </cell>
          <cell r="AD8">
            <v>30</v>
          </cell>
          <cell r="AE8" t="str">
            <v>✔ محصل بالكامل</v>
          </cell>
        </row>
        <row r="9">
          <cell r="C9">
            <v>46081.0</v>
          </cell>
          <cell r="E9">
            <v>46102.0</v>
          </cell>
          <cell r="F9" t="str">
            <v>معتمد</v>
          </cell>
          <cell r="G9">
            <v>12461452.2</v>
          </cell>
          <cell r="H9">
            <v>3590411.4</v>
          </cell>
          <cell r="I9">
            <v>0</v>
          </cell>
          <cell r="J9">
            <v>420000</v>
          </cell>
          <cell r="K9">
            <v>12881452.2</v>
          </cell>
          <cell r="L9">
            <v>0.244257667689515</v>
          </cell>
          <cell r="M9">
            <v>0.2776</v>
          </cell>
          <cell r="N9">
            <v>-0.0333423323104847</v>
          </cell>
          <cell r="O9">
            <v>1557681.53</v>
          </cell>
          <cell r="R9">
            <v>1288145.22</v>
          </cell>
          <cell r="S9">
            <v>60000</v>
          </cell>
          <cell r="T9">
            <v>0</v>
          </cell>
          <cell r="V9">
            <v>1576927.89</v>
          </cell>
          <cell r="W9">
            <v>112637.71</v>
          </cell>
          <cell r="X9">
            <v>11439915.63</v>
          </cell>
          <cell r="Z9">
            <v>3246778.12</v>
          </cell>
          <cell r="AA9">
            <v>3246778.12</v>
          </cell>
          <cell r="AC9">
            <v>0</v>
          </cell>
          <cell r="AD9">
            <v>37</v>
          </cell>
          <cell r="AE9" t="str">
            <v>✔ محصل بالكامل</v>
          </cell>
        </row>
        <row r="10">
          <cell r="C10">
            <v>46112.0</v>
          </cell>
          <cell r="E10">
            <v>46134.0</v>
          </cell>
          <cell r="F10" t="str">
            <v>معتمد</v>
          </cell>
          <cell r="G10">
            <v>16421582.7</v>
          </cell>
          <cell r="H10">
            <v>3960130.5</v>
          </cell>
          <cell r="I10">
            <v>640000</v>
          </cell>
          <cell r="J10">
            <v>380000</v>
          </cell>
          <cell r="K10">
            <v>17441582.7</v>
          </cell>
          <cell r="L10">
            <v>0.330281820795178</v>
          </cell>
          <cell r="M10">
            <v>0.3658</v>
          </cell>
          <cell r="N10">
            <v>-0.0355181792048225</v>
          </cell>
          <cell r="O10">
            <v>2132697.84</v>
          </cell>
          <cell r="R10">
            <v>1744158.27</v>
          </cell>
          <cell r="S10">
            <v>60000</v>
          </cell>
          <cell r="T10">
            <v>0</v>
          </cell>
          <cell r="V10">
            <v>2134843.88</v>
          </cell>
          <cell r="W10">
            <v>152488.85</v>
          </cell>
          <cell r="X10">
            <v>15487081.62</v>
          </cell>
          <cell r="Z10">
            <v>4047165.99</v>
          </cell>
          <cell r="AA10">
            <v>4047165.99</v>
          </cell>
          <cell r="AC10">
            <v>0</v>
          </cell>
          <cell r="AD10">
            <v>28</v>
          </cell>
          <cell r="AE10" t="str">
            <v>✔ محصل بالكامل</v>
          </cell>
        </row>
        <row r="11">
          <cell r="C11">
            <v>46142.0</v>
          </cell>
          <cell r="E11">
            <v>46162.0</v>
          </cell>
          <cell r="F11" t="str">
            <v>معتمد</v>
          </cell>
          <cell r="G11">
            <v>20935660.2</v>
          </cell>
          <cell r="H11">
            <v>4514077.5</v>
          </cell>
          <cell r="I11">
            <v>640000</v>
          </cell>
          <cell r="J11">
            <v>260000</v>
          </cell>
          <cell r="K11">
            <v>21835660.2</v>
          </cell>
          <cell r="L11">
            <v>0.417666312733932</v>
          </cell>
          <cell r="M11">
            <v>0.4663</v>
          </cell>
          <cell r="N11">
            <v>-0.048633687266068</v>
          </cell>
          <cell r="O11">
            <v>2696957.53</v>
          </cell>
          <cell r="R11">
            <v>2183566.02</v>
          </cell>
          <cell r="S11">
            <v>0</v>
          </cell>
          <cell r="T11">
            <v>0</v>
          </cell>
          <cell r="V11">
            <v>2679418.37</v>
          </cell>
          <cell r="W11">
            <v>191387.03</v>
          </cell>
          <cell r="X11">
            <v>19443167.99</v>
          </cell>
          <cell r="Z11">
            <v>3956086.37</v>
          </cell>
          <cell r="AA11">
            <v>3956086.37</v>
          </cell>
          <cell r="AC11">
            <v>0</v>
          </cell>
          <cell r="AD11">
            <v>35</v>
          </cell>
          <cell r="AE11" t="str">
            <v>✔ محصل بالكامل</v>
          </cell>
        </row>
        <row r="12">
          <cell r="C12">
            <v>46173.0</v>
          </cell>
          <cell r="E12">
            <v>46194.0</v>
          </cell>
          <cell r="F12" t="str">
            <v>معتمد</v>
          </cell>
          <cell r="G12">
            <v>26469868.1</v>
          </cell>
          <cell r="H12">
            <v>5534207.9</v>
          </cell>
          <cell r="I12">
            <v>640000</v>
          </cell>
          <cell r="J12">
            <v>500000</v>
          </cell>
          <cell r="K12">
            <v>27609868.1</v>
          </cell>
          <cell r="L12">
            <v>0.524798710355582</v>
          </cell>
          <cell r="M12">
            <v>0.5896</v>
          </cell>
          <cell r="N12">
            <v>-0.0648012896444186</v>
          </cell>
          <cell r="O12">
            <v>3388733.51</v>
          </cell>
          <cell r="R12">
            <v>2572382.5</v>
          </cell>
          <cell r="S12">
            <v>0</v>
          </cell>
          <cell r="T12">
            <v>0</v>
          </cell>
          <cell r="V12">
            <v>3390958.84</v>
          </cell>
          <cell r="W12">
            <v>242211.35</v>
          </cell>
          <cell r="X12">
            <v>24797499.58</v>
          </cell>
          <cell r="Z12">
            <v>5354331.59</v>
          </cell>
          <cell r="AA12">
            <v>5354331.59</v>
          </cell>
          <cell r="AC12">
            <v>0</v>
          </cell>
          <cell r="AD12">
            <v>26</v>
          </cell>
          <cell r="AE12" t="str">
            <v>✔ محصل بالكامل</v>
          </cell>
        </row>
        <row r="13">
          <cell r="C13">
            <v>46203.0</v>
          </cell>
          <cell r="E13">
            <v>46225.0</v>
          </cell>
          <cell r="F13" t="str">
            <v>معتمد</v>
          </cell>
          <cell r="G13">
            <v>28944147.7</v>
          </cell>
          <cell r="H13">
            <v>2474279.6</v>
          </cell>
          <cell r="I13">
            <v>430000</v>
          </cell>
          <cell r="J13">
            <v>450000</v>
          </cell>
          <cell r="K13">
            <v>29824147.7</v>
          </cell>
          <cell r="L13">
            <v>0.570952175658169</v>
          </cell>
          <cell r="M13">
            <v>0.6447</v>
          </cell>
          <cell r="N13">
            <v>-0.073747824341831</v>
          </cell>
          <cell r="O13">
            <v>3671768.46</v>
          </cell>
          <cell r="R13">
            <v>2572382.5</v>
          </cell>
          <cell r="S13">
            <v>55000</v>
          </cell>
          <cell r="T13">
            <v>40000</v>
          </cell>
          <cell r="V13">
            <v>3648033.09</v>
          </cell>
          <cell r="W13">
            <v>260573.79</v>
          </cell>
          <cell r="X13">
            <v>26872456.04</v>
          </cell>
          <cell r="Z13">
            <v>2074956.46</v>
          </cell>
          <cell r="AA13">
            <v>2074956.46</v>
          </cell>
          <cell r="AC13">
            <v>0</v>
          </cell>
          <cell r="AD13">
            <v>33</v>
          </cell>
          <cell r="AE13" t="str">
            <v>✔ محصل بالكامل</v>
          </cell>
        </row>
        <row r="14">
          <cell r="C14">
            <v>46234.0</v>
          </cell>
          <cell r="E14">
            <v>46254.0</v>
          </cell>
          <cell r="F14" t="str">
            <v>معتمد</v>
          </cell>
          <cell r="G14">
            <v>31868055.5</v>
          </cell>
          <cell r="H14">
            <v>2923907.8</v>
          </cell>
          <cell r="I14">
            <v>430000</v>
          </cell>
          <cell r="J14">
            <v>300000</v>
          </cell>
          <cell r="K14">
            <v>32598055.5</v>
          </cell>
          <cell r="L14">
            <v>0.627784855090563</v>
          </cell>
          <cell r="M14">
            <v>0.7098</v>
          </cell>
          <cell r="N14">
            <v>-0.0820151449094371</v>
          </cell>
          <cell r="O14">
            <v>4037256.94</v>
          </cell>
          <cell r="R14">
            <v>2572382.5</v>
          </cell>
          <cell r="S14">
            <v>55000</v>
          </cell>
          <cell r="T14">
            <v>40000</v>
          </cell>
          <cell r="V14">
            <v>3985211.8</v>
          </cell>
          <cell r="W14">
            <v>284657.99</v>
          </cell>
          <cell r="X14">
            <v>29593969.87</v>
          </cell>
          <cell r="Z14">
            <v>2721513.83</v>
          </cell>
          <cell r="AA14">
            <v>1361000</v>
          </cell>
          <cell r="AC14">
            <v>1360513.83</v>
          </cell>
          <cell r="AD14">
            <v>40</v>
          </cell>
          <cell r="AE14" t="str">
            <v>⚠ محصل جزئياً</v>
          </cell>
        </row>
        <row r="15">
          <cell r="C15">
            <v>46265.0</v>
          </cell>
          <cell r="E15" t="str">
            <v/>
          </cell>
          <cell r="F15" t="str">
            <v>تحت المراجعة</v>
          </cell>
          <cell r="G15">
            <v>34735414.2</v>
          </cell>
          <cell r="H15">
            <v>2867358.7</v>
          </cell>
          <cell r="I15">
            <v>430000</v>
          </cell>
          <cell r="J15">
            <v>200000</v>
          </cell>
          <cell r="K15">
            <v>35365414.2</v>
          </cell>
          <cell r="L15">
            <v>0.683518376446738</v>
          </cell>
          <cell r="M15">
            <v>0.7737</v>
          </cell>
          <cell r="N15">
            <v>-0.0901816235532625</v>
          </cell>
          <cell r="O15">
            <v>4395676.78</v>
          </cell>
          <cell r="R15">
            <v>2572382.5</v>
          </cell>
          <cell r="S15">
            <v>55000</v>
          </cell>
          <cell r="T15">
            <v>40000</v>
          </cell>
          <cell r="V15">
            <v>4322463.24</v>
          </cell>
          <cell r="W15">
            <v>308747.37</v>
          </cell>
          <cell r="X15">
            <v>32316070.79</v>
          </cell>
          <cell r="Z15">
            <v>2722100.91999999</v>
          </cell>
          <cell r="AA15">
            <v>0</v>
          </cell>
          <cell r="AC15">
            <v>2722100.91999999</v>
          </cell>
          <cell r="AD15" t="str">
            <v/>
          </cell>
          <cell r="AE15" t="str">
            <v>⏳ بانتظار الاعتماد</v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845350</v>
          </cell>
          <cell r="F32">
            <v>743904.7</v>
          </cell>
        </row>
        <row r="33">
          <cell r="B33" t="str">
            <v>الخرسانة العادية والمسلحة</v>
          </cell>
          <cell r="E33">
            <v>25035100</v>
          </cell>
          <cell r="F33">
            <v>22031670</v>
          </cell>
        </row>
        <row r="34">
          <cell r="B34" t="str">
            <v>أعمال المباني</v>
          </cell>
          <cell r="E34">
            <v>2204400</v>
          </cell>
          <cell r="F34">
            <v>1939869.1</v>
          </cell>
        </row>
        <row r="35">
          <cell r="B35" t="str">
            <v>أعمال العزل</v>
          </cell>
          <cell r="E35">
            <v>890450</v>
          </cell>
          <cell r="F35">
            <v>736976.9</v>
          </cell>
        </row>
        <row r="36">
          <cell r="B36" t="str">
            <v>أعمال التشطيبات</v>
          </cell>
          <cell r="E36">
            <v>11592650</v>
          </cell>
          <cell r="F36">
            <v>5392105.7</v>
          </cell>
        </row>
        <row r="37">
          <cell r="B37" t="str">
            <v>الأعمال الكهربائية</v>
          </cell>
          <cell r="E37">
            <v>3541000</v>
          </cell>
          <cell r="F37">
            <v>1891690</v>
          </cell>
        </row>
        <row r="38">
          <cell r="B38" t="str">
            <v>الأعمال الصحية</v>
          </cell>
          <cell r="E38">
            <v>1497800</v>
          </cell>
          <cell r="F38">
            <v>800186</v>
          </cell>
        </row>
        <row r="39">
          <cell r="B39" t="str">
            <v>أعمال التكييف</v>
          </cell>
          <cell r="E39">
            <v>4173400</v>
          </cell>
          <cell r="F39">
            <v>1199011.8</v>
          </cell>
        </row>
        <row r="40">
          <cell r="B40" t="str">
            <v>أعمال الموقع العام</v>
          </cell>
          <cell r="E40">
            <v>1237500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>مشروع مجمع فيلات سكنية - 12 فيلا</v>
          </cell>
        </row>
        <row r="6">
          <cell r="C6" t="str">
            <v>CT-2026-033</v>
          </cell>
        </row>
        <row r="7">
          <cell r="C7" t="str">
            <v>شركة الواحة للاستثمار العقاري</v>
          </cell>
        </row>
        <row r="8">
          <cell r="C8" t="str">
            <v>دار الخبرة الهندسية</v>
          </cell>
        </row>
        <row r="9">
          <cell r="C9" t="str">
            <v>شركة البناء الحديث للمقاولات</v>
          </cell>
        </row>
        <row r="11">
          <cell r="C11">
            <v>46174.0</v>
          </cell>
        </row>
        <row r="12">
          <cell r="C12">
            <v>12</v>
          </cell>
        </row>
        <row r="13">
          <cell r="C13">
            <v>46538.0</v>
          </cell>
        </row>
        <row r="14">
          <cell r="C14" t="str">
            <v>جنيه مصري</v>
          </cell>
        </row>
        <row r="16">
          <cell r="C16">
            <v>32458750</v>
          </cell>
        </row>
        <row r="17">
          <cell r="C17">
            <v>0</v>
          </cell>
        </row>
        <row r="18">
          <cell r="C18">
            <v>32458750</v>
          </cell>
        </row>
        <row r="20">
          <cell r="C20">
            <v>0.1</v>
          </cell>
        </row>
        <row r="21">
          <cell r="C21">
            <v>3245875</v>
          </cell>
        </row>
        <row r="27">
          <cell r="C27">
            <v>0.1</v>
          </cell>
        </row>
        <row r="29">
          <cell r="C29">
            <v>1622937.5</v>
          </cell>
        </row>
        <row r="31">
          <cell r="C31">
            <v>0.14</v>
          </cell>
        </row>
        <row r="33">
          <cell r="C33">
            <v>0.01</v>
          </cell>
        </row>
      </sheetData>
      <sheetData sheetId="5">
        <row r="6">
          <cell r="C6">
            <v>46203.0</v>
          </cell>
          <cell r="E6">
            <v>46224.0</v>
          </cell>
          <cell r="F6" t="str">
            <v>معتمد</v>
          </cell>
          <cell r="G6">
            <v>1386192.95</v>
          </cell>
          <cell r="H6">
            <v>1386192.95</v>
          </cell>
          <cell r="I6">
            <v>0</v>
          </cell>
          <cell r="J6">
            <v>100000</v>
          </cell>
          <cell r="K6">
            <v>1486192.95</v>
          </cell>
          <cell r="L6">
            <v>0.0427062949127739</v>
          </cell>
          <cell r="M6">
            <v>0.044</v>
          </cell>
          <cell r="N6">
            <v>-0.00129370508722609</v>
          </cell>
          <cell r="O6">
            <v>173274.12</v>
          </cell>
          <cell r="R6">
            <v>148619.3</v>
          </cell>
          <cell r="S6">
            <v>0</v>
          </cell>
          <cell r="T6">
            <v>0</v>
          </cell>
          <cell r="V6">
            <v>183808.64</v>
          </cell>
          <cell r="W6">
            <v>13129.19</v>
          </cell>
          <cell r="X6">
            <v>1334978.98</v>
          </cell>
          <cell r="Z6">
            <v>1334978.98</v>
          </cell>
          <cell r="AA6">
            <v>1334978.98</v>
          </cell>
          <cell r="AC6">
            <v>0</v>
          </cell>
          <cell r="AD6">
            <v>32</v>
          </cell>
          <cell r="AE6" t="str">
            <v>✔ محصل بالكامل</v>
          </cell>
        </row>
        <row r="7">
          <cell r="C7">
            <v>46234.0</v>
          </cell>
          <cell r="E7">
            <v>46256.0</v>
          </cell>
          <cell r="F7" t="str">
            <v>معتمد</v>
          </cell>
          <cell r="G7">
            <v>4504999.7</v>
          </cell>
          <cell r="H7">
            <v>3118806.75</v>
          </cell>
          <cell r="I7">
            <v>0</v>
          </cell>
          <cell r="J7">
            <v>250000</v>
          </cell>
          <cell r="K7">
            <v>4754999.7</v>
          </cell>
          <cell r="L7">
            <v>0.138791533869912</v>
          </cell>
          <cell r="M7">
            <v>0.1431</v>
          </cell>
          <cell r="N7">
            <v>-0.0043084661300882</v>
          </cell>
          <cell r="O7">
            <v>563124.96</v>
          </cell>
          <cell r="R7">
            <v>475499.97</v>
          </cell>
          <cell r="S7">
            <v>0</v>
          </cell>
          <cell r="T7">
            <v>0</v>
          </cell>
          <cell r="V7">
            <v>586862.46</v>
          </cell>
          <cell r="W7">
            <v>41918.75</v>
          </cell>
          <cell r="X7">
            <v>4261318.48</v>
          </cell>
          <cell r="Z7">
            <v>2926339.5</v>
          </cell>
          <cell r="AA7">
            <v>2926339.5</v>
          </cell>
          <cell r="AC7">
            <v>0</v>
          </cell>
          <cell r="AD7">
            <v>39</v>
          </cell>
          <cell r="AE7" t="str">
            <v>✔ محصل بالكامل</v>
          </cell>
        </row>
        <row r="8">
          <cell r="C8">
            <v>46265.0</v>
          </cell>
          <cell r="E8" t="str">
            <v/>
          </cell>
          <cell r="F8" t="str">
            <v>تحت المراجعة</v>
          </cell>
          <cell r="G8">
            <v>7481952.35</v>
          </cell>
          <cell r="H8">
            <v>2976952.65</v>
          </cell>
          <cell r="I8">
            <v>0</v>
          </cell>
          <cell r="J8">
            <v>180000</v>
          </cell>
          <cell r="K8">
            <v>7661952.35</v>
          </cell>
          <cell r="L8">
            <v>0.230506484384026</v>
          </cell>
          <cell r="M8">
            <v>0.2376</v>
          </cell>
          <cell r="N8">
            <v>-0.0070935156159741</v>
          </cell>
          <cell r="O8">
            <v>935244.04</v>
          </cell>
          <cell r="R8">
            <v>766195.24</v>
          </cell>
          <cell r="S8">
            <v>30000</v>
          </cell>
          <cell r="T8">
            <v>0</v>
          </cell>
          <cell r="V8">
            <v>937539.16</v>
          </cell>
          <cell r="W8">
            <v>66967.08</v>
          </cell>
          <cell r="X8">
            <v>6801085.15</v>
          </cell>
          <cell r="Z8">
            <v>2539766.67</v>
          </cell>
          <cell r="AA8">
            <v>0</v>
          </cell>
          <cell r="AC8">
            <v>2539766.67</v>
          </cell>
          <cell r="AD8" t="str">
            <v/>
          </cell>
          <cell r="AE8" t="str">
            <v>⏳ بانتظار الاعتماد</v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537950</v>
          </cell>
          <cell r="F32">
            <v>521816.85</v>
          </cell>
        </row>
        <row r="33">
          <cell r="B33" t="str">
            <v>الخرسانة العادية والمسلحة</v>
          </cell>
          <cell r="E33">
            <v>15931500</v>
          </cell>
          <cell r="F33">
            <v>6868526</v>
          </cell>
        </row>
        <row r="34">
          <cell r="B34" t="str">
            <v>أعمال المباني</v>
          </cell>
          <cell r="E34">
            <v>1402800</v>
          </cell>
          <cell r="F34">
            <v>0</v>
          </cell>
        </row>
        <row r="35">
          <cell r="B35" t="str">
            <v>أعمال العزل</v>
          </cell>
          <cell r="E35">
            <v>566650</v>
          </cell>
          <cell r="F35">
            <v>91609.5</v>
          </cell>
        </row>
        <row r="36">
          <cell r="B36" t="str">
            <v>أعمال التشطيبات</v>
          </cell>
          <cell r="E36">
            <v>7376450</v>
          </cell>
          <cell r="F36">
            <v>0</v>
          </cell>
        </row>
        <row r="37">
          <cell r="B37" t="str">
            <v>الأعمال الكهربائية</v>
          </cell>
          <cell r="E37">
            <v>2243000</v>
          </cell>
          <cell r="F37">
            <v>0</v>
          </cell>
        </row>
        <row r="38">
          <cell r="B38" t="str">
            <v>الأعمال الصحية</v>
          </cell>
          <cell r="E38">
            <v>957100</v>
          </cell>
          <cell r="F38">
            <v>0</v>
          </cell>
        </row>
        <row r="39">
          <cell r="B39" t="str">
            <v>أعمال التكييف</v>
          </cell>
          <cell r="E39">
            <v>2655800</v>
          </cell>
          <cell r="F39">
            <v>0</v>
          </cell>
        </row>
        <row r="40">
          <cell r="B40" t="str">
            <v>أعمال الموقع العام</v>
          </cell>
          <cell r="E40">
            <v>787500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جنيه مصري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0.14</v>
          </cell>
        </row>
        <row r="33">
          <cell r="C33">
            <v>0.01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جنيه مصري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0.14</v>
          </cell>
        </row>
        <row r="33">
          <cell r="C33">
            <v>0.01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جنيه مصري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0.14</v>
          </cell>
        </row>
        <row r="33">
          <cell r="C33">
            <v>0.01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جنيه مصري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0.14</v>
          </cell>
        </row>
        <row r="33">
          <cell r="C33">
            <v>0.01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جنيه مصري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0.14</v>
          </cell>
        </row>
        <row r="33">
          <cell r="C33">
            <v>0.01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جنيه مصري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0.14</v>
          </cell>
        </row>
        <row r="33">
          <cell r="C33">
            <v>0.01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جنيه مصري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0.14</v>
          </cell>
        </row>
        <row r="33">
          <cell r="C33">
            <v>0.01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PC_Project_01.xlsx" TargetMode="External" Id="rId1" /><Relationship Type="http://schemas.openxmlformats.org/officeDocument/2006/relationships/drawing" Target="/xl/drawings/drawing1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IPC_Project_02.xlsx" TargetMode="External" Id="rId1" /><Relationship Type="http://schemas.openxmlformats.org/officeDocument/2006/relationships/drawing" Target="/xl/drawings/drawing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IPC_Project_03.xlsx" TargetMode="External" Id="rId1" /><Relationship Type="http://schemas.openxmlformats.org/officeDocument/2006/relationships/drawing" Target="/xl/drawings/drawing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IPC_Project_04.xlsx" TargetMode="External" Id="rId1" /><Relationship Type="http://schemas.openxmlformats.org/officeDocument/2006/relationships/drawing" Target="/xl/drawings/drawing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IPC_Project_05.xlsx" TargetMode="External" Id="rId1" /><Relationship Type="http://schemas.openxmlformats.org/officeDocument/2006/relationships/drawing" Target="/xl/drawings/drawing5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IPC_Project_06.xlsx" TargetMode="External" Id="rId1" /><Relationship Type="http://schemas.openxmlformats.org/officeDocument/2006/relationships/drawing" Target="/xl/drawings/drawing6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IPC_Project_07.xlsx" TargetMode="External" Id="rId1" /><Relationship Type="http://schemas.openxmlformats.org/officeDocument/2006/relationships/drawing" Target="/xl/drawings/drawing7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IPC_Project_08.xlsx" TargetMode="External" Id="rId1" /><Relationship Type="http://schemas.openxmlformats.org/officeDocument/2006/relationships/drawing" Target="/xl/drawings/drawing8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IPC_Project_09.xlsx" TargetMode="External" Id="rId1" /><Relationship Type="http://schemas.openxmlformats.org/officeDocument/2006/relationships/drawing" Target="/xl/drawings/drawing9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IPC_Project_10.xlsx" TargetMode="External" Id="rId1" /><Relationship Type="http://schemas.openxmlformats.org/officeDocument/2006/relationships/drawing" Target="/xl/drawings/drawing10.xml" Id="rId2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25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5" customWidth="1" min="3" max="3"/>
  </cols>
  <sheetData>
    <row r="1" ht="38" customHeight="1">
      <c r="B1" s="1" t="inlineStr">
        <is>
          <t>📘 نظام تتبع المستخلصات متعدد المشاريع — دليل الاستخدام والربط</t>
        </is>
      </c>
      <c r="C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</row>
    <row r="3" ht="26" customHeight="1">
      <c r="B3" s="3" t="inlineStr">
        <is>
          <t>🏠 الإجمالي العام</t>
        </is>
      </c>
      <c r="C3" s="4" t="inlineStr">
        <is>
          <t>📊 تقرير المشروع 01</t>
        </is>
      </c>
    </row>
    <row r="5" ht="22" customHeight="1">
      <c r="B5" s="5" t="inlineStr">
        <is>
          <t>مكونات النظام (يجب أن تكون كل الملفات في فولدر واحد)</t>
        </is>
      </c>
      <c r="C5" s="5" t="n"/>
    </row>
    <row r="6" ht="36" customHeight="1">
      <c r="B6" s="6" t="inlineStr">
        <is>
          <t>Projects_Billing_Reports.xlsx</t>
        </is>
      </c>
      <c r="C6" s="7" t="inlineStr">
        <is>
          <t>ملف التقارير (هذا الملف): 10 شيتات تقرير — شيت لكل مشروع — والشيت الأخير «الإجمالي العام» يجمع كل المشاريع.</t>
        </is>
      </c>
    </row>
    <row r="7" ht="36" customHeight="1">
      <c r="B7" s="6" t="inlineStr">
        <is>
          <t>IPC_Project_01.xlsx … IPC_Project_10.xlsx</t>
        </is>
      </c>
      <c r="C7" s="7" t="inlineStr">
        <is>
          <t>ملف مستخلصات لكل مشروع: بيانات العقد، جدول الكميات، التغييرية، الاستقطاعات، 20 شيت مستخلص مترابطة، وسجل المستخلصات.</t>
        </is>
      </c>
    </row>
    <row r="9" ht="22" customHeight="1">
      <c r="B9" s="5" t="inlineStr">
        <is>
          <t>طريقة العمل</t>
        </is>
      </c>
      <c r="C9" s="5" t="n"/>
    </row>
    <row r="10" ht="38" customHeight="1">
      <c r="B10" s="8" t="inlineStr">
        <is>
          <t>1. افتح ملف المشروع</t>
        </is>
      </c>
      <c r="C10" s="7" t="inlineStr">
        <is>
          <t>مثلاً IPC_Project_01.xlsx — أدخل بيانات العقد وجدول الكميات مرة واحدة.</t>
        </is>
      </c>
    </row>
    <row r="11" ht="38" customHeight="1">
      <c r="B11" s="8" t="inlineStr">
        <is>
          <t>2. اعمل المستخلص</t>
        </is>
      </c>
      <c r="C11" s="7" t="inlineStr">
        <is>
          <t>في شيت «مستخلص NN»: الفترة والتواريخ والكميات الحالية والمواد والغرامات والتحصيل. السابق يُسحب آلياً من المستخلص الذي قبله.</t>
        </is>
      </c>
    </row>
    <row r="12" ht="38" customHeight="1">
      <c r="B12" s="8" t="inlineStr">
        <is>
          <t>3. احفظ الملف</t>
        </is>
      </c>
      <c r="C12" s="7" t="inlineStr">
        <is>
          <t>كل الحسابات تتجمع في «سجل المستخلصات» داخل ملف المشروع.</t>
        </is>
      </c>
    </row>
    <row r="13" ht="38" customHeight="1">
      <c r="B13" s="8" t="inlineStr">
        <is>
          <t>4. افتح ملف التقارير</t>
        </is>
      </c>
      <c r="C13" s="7" t="inlineStr">
        <is>
          <t>اضغط «تمكين المحتوى» ثم «تحديث» عند ظهور رسالة الروابط — تنتقل الأرقام آلياً لتقرير المشروع وللإجمالي العام. (يمكن أيضاً: بيانات ← تحرير الارتباطات ← تحديث القيم).</t>
        </is>
      </c>
    </row>
    <row r="14" ht="38" customHeight="1">
      <c r="B14" s="8" t="inlineStr">
        <is>
          <t>مشروع جديد</t>
        </is>
      </c>
      <c r="C14" s="7" t="inlineStr">
        <is>
          <t>الملفات 4 إلى 10 قوالب فارغة جاهزة: افتح الملف المطلوب وابدأ بإدخال البيانات، وسيظهر المشروع آلياً في التقارير.</t>
        </is>
      </c>
    </row>
    <row r="15" ht="38" customHeight="1">
      <c r="B15" s="8" t="inlineStr">
        <is>
          <t>تغيير مكان الملفات</t>
        </is>
      </c>
      <c r="C15" s="7" t="inlineStr">
        <is>
          <t>انقل الفولدر كاملاً. لو تغير اسم ملف: بيانات ← تحرير الارتباطات ← تغيير المصدر.</t>
        </is>
      </c>
    </row>
    <row r="17" ht="22" customHeight="1">
      <c r="B17" s="5" t="inlineStr">
        <is>
          <t>منطق الاحتساب (كل القيم تراكمية — الحالي = التراكمي − السابق)</t>
        </is>
      </c>
      <c r="C17" s="5" t="n"/>
    </row>
    <row r="18" ht="30" customHeight="1">
      <c r="B18" s="9" t="inlineStr">
        <is>
          <t>قيمة الأعمال</t>
        </is>
      </c>
      <c r="C18" s="7" t="inlineStr">
        <is>
          <t>Σ (الكمية التراكمية لكل بند × سعر الوحدة)، والكمية التراكمية = السابقة + الحالية.</t>
        </is>
      </c>
    </row>
    <row r="19" ht="30" customHeight="1">
      <c r="B19" s="9" t="inlineStr">
        <is>
          <t>نسبة الإنجاز</t>
        </is>
      </c>
      <c r="C19" s="7" t="inlineStr">
        <is>
          <t>(الأعمال + التغييرية المدرجة) ÷ (قيمة العقد الأصلية + التغييرية المدرجة).</t>
        </is>
      </c>
    </row>
    <row r="20" ht="30" customHeight="1">
      <c r="B20" s="9" t="inlineStr">
        <is>
          <t>استرداد الدفعة المقدمة</t>
        </is>
      </c>
      <c r="C20" s="7" t="inlineStr">
        <is>
          <t>MIN(قيمة الدفعة ، MAX(0 ، الأعمال − نسبة البدء × العقد) × نسبة الاسترداد)، ويُسترد الرصيد كاملاً عند نسبة الاسترداد الكامل.</t>
        </is>
      </c>
    </row>
    <row r="21" ht="30" customHeight="1">
      <c r="B21" s="9" t="inlineStr">
        <is>
          <t>ضمان الأعمال</t>
        </is>
      </c>
      <c r="C21" s="7" t="inlineStr">
        <is>
          <t>MIN(إجمالي القيمة × نسبة الضمان ، الحد الأقصى) − المفرج عنه تراكمياً.</t>
        </is>
      </c>
    </row>
    <row r="22" ht="30" customHeight="1">
      <c r="B22" s="9" t="inlineStr">
        <is>
          <t>الاستقطاعات الفنية</t>
        </is>
      </c>
      <c r="C22" s="7" t="inlineStr">
        <is>
          <t>المستقطع حتى المستخلص − المفرج عنه حتى المستخلص.</t>
        </is>
      </c>
    </row>
    <row r="23" ht="30" customHeight="1">
      <c r="B23" s="9" t="inlineStr">
        <is>
          <t>الضرائب</t>
        </is>
      </c>
      <c r="C23" s="7" t="inlineStr">
        <is>
          <t>ض.ق.م على الصافي (+ الضمان إن كان الإعداد «نعم»)، والخصم من المنبع على الصافي قبل خصم الضمان.</t>
        </is>
      </c>
    </row>
    <row r="24" ht="30" customHeight="1">
      <c r="B24" s="9" t="inlineStr">
        <is>
          <t>SPI</t>
        </is>
      </c>
      <c r="C24" s="7" t="inlineStr">
        <is>
          <t>الإنجاز الفعلي ÷ المخطط — أقل من 1 = تأخر.</t>
        </is>
      </c>
    </row>
    <row r="25" ht="30" customHeight="1">
      <c r="B25" s="9" t="inlineStr">
        <is>
          <t>الإجمالي العام</t>
        </is>
      </c>
      <c r="C25" s="7" t="inlineStr">
        <is>
          <t>متوسطات الإنجاز مرجحة بقيمة العقد المعدلة لكل مشروع.</t>
        </is>
      </c>
    </row>
  </sheetData>
  <mergeCells count="5">
    <mergeCell ref="B2:C2"/>
    <mergeCell ref="B5:C5"/>
    <mergeCell ref="B17:C17"/>
    <mergeCell ref="B9:C9"/>
    <mergeCell ref="B1:C1"/>
  </mergeCells>
  <hyperlinks>
    <hyperlink ref="B3" location="'الإجمالي العام'!A1" display="🏠 الإجمالي العام"/>
    <hyperlink ref="C3" location="'مشروع 01'!A1" display="📊 تقرير المشروع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"&amp;IF('[1]بيانات العقد'!$C$5="","مشروع رقم 01 — غير مُفعّل",'[1]بيانات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10" t="inlineStr">
        <is>
          <t>مشروع 01</t>
        </is>
      </c>
      <c r="D3" s="4" t="inlineStr">
        <is>
          <t>مشروع 02</t>
        </is>
      </c>
      <c r="E3" s="4" t="inlineStr">
        <is>
          <t>مشروع 03</t>
        </is>
      </c>
      <c r="F3" s="4" t="inlineStr">
        <is>
          <t>مشروع 04</t>
        </is>
      </c>
      <c r="G3" s="4" t="inlineStr">
        <is>
          <t>مشروع 05</t>
        </is>
      </c>
      <c r="H3" s="4" t="inlineStr">
        <is>
          <t>مشروع 06</t>
        </is>
      </c>
      <c r="I3" s="4" t="inlineStr">
        <is>
          <t>مشروع 07</t>
        </is>
      </c>
      <c r="J3" s="4" t="inlineStr">
        <is>
          <t>مشروع 08</t>
        </is>
      </c>
      <c r="K3" s="4" t="inlineStr">
        <is>
          <t>مشروع 09</t>
        </is>
      </c>
      <c r="L3" s="4" t="inlineStr">
        <is>
          <t>مشروع 10</t>
        </is>
      </c>
      <c r="N3" s="11" t="inlineStr">
        <is>
          <t>📂 فتح ملف المستخلصات: IPC_Project_01.xlsx</t>
        </is>
      </c>
      <c r="O3" s="11" t="n"/>
      <c r="P3" s="11" t="n"/>
      <c r="Q3" s="11" t="n"/>
      <c r="R3" s="11" t="n"/>
      <c r="S3" s="12" t="inlineStr">
        <is>
          <t>يُحدَّث آلياً من ملف المستخلصات (تمكين المحتوى ← تحديث الروابط)</t>
        </is>
      </c>
      <c r="T3" s="12" t="n"/>
      <c r="U3" s="12" t="n"/>
      <c r="V3" s="12" t="n"/>
      <c r="W3" s="12" t="n"/>
      <c r="X3" s="12" t="n"/>
      <c r="Y3" s="12" t="n"/>
    </row>
    <row r="4">
      <c r="AA4" s="11" t="inlineStr">
        <is>
          <t>بيانات مرتبطة من ملف المستخلصات</t>
        </is>
      </c>
      <c r="AB4" s="11" t="n"/>
    </row>
    <row r="5" ht="22" customHeight="1">
      <c r="B5" s="9" t="inlineStr">
        <is>
          <t>المشروع</t>
        </is>
      </c>
      <c r="C5" s="13">
        <f>IF('[1]بيانات العقد'!$C$5="","",'[1]بيانات العقد'!$C$5)</f>
        <v/>
      </c>
      <c r="D5" s="13" t="n"/>
      <c r="E5" s="13" t="n"/>
      <c r="F5" s="13" t="n"/>
      <c r="G5" s="9" t="inlineStr">
        <is>
          <t>رقم العقد</t>
        </is>
      </c>
      <c r="H5" s="13">
        <f>IF('[1]بيانات العقد'!$C$6="","",'[1]بيانات العقد'!$C$6)</f>
        <v/>
      </c>
      <c r="I5" s="13" t="n"/>
      <c r="J5" s="13" t="n"/>
      <c r="K5" s="13" t="n"/>
      <c r="L5" s="9" t="inlineStr">
        <is>
          <t>صاحب العمل</t>
        </is>
      </c>
      <c r="M5" s="13">
        <f>IF('[1]بيانات العقد'!$C$7="","",'[1]بيانات العقد'!$C$7)</f>
        <v/>
      </c>
      <c r="N5" s="13" t="n"/>
      <c r="O5" s="13" t="n"/>
      <c r="P5" s="13" t="n"/>
      <c r="Q5" s="13" t="n"/>
      <c r="R5" s="9" t="inlineStr">
        <is>
          <t>الاستشاري</t>
        </is>
      </c>
      <c r="S5" s="13">
        <f>IF('[1]بيانات العقد'!$C$8="","",'[1]بيانات العقد'!$C$8)</f>
        <v/>
      </c>
      <c r="T5" s="13" t="n"/>
      <c r="U5" s="13" t="n"/>
      <c r="V5" s="13" t="n"/>
      <c r="W5" s="13" t="n"/>
      <c r="X5" s="13" t="n"/>
      <c r="Y5" s="13" t="n"/>
      <c r="AA5" s="14" t="inlineStr">
        <is>
          <t>قيمة العقد الأصلية</t>
        </is>
      </c>
      <c r="AB5" s="15">
        <f>N('[1]بيانات العقد'!$C$16)</f>
        <v/>
      </c>
    </row>
    <row r="6" ht="22" customHeight="1">
      <c r="B6" s="9" t="inlineStr">
        <is>
          <t>المقاول</t>
        </is>
      </c>
      <c r="C6" s="13">
        <f>IF('[1]بيانات العقد'!$C$9="","",'[1]بيانات العقد'!$C$9)</f>
        <v/>
      </c>
      <c r="D6" s="13" t="n"/>
      <c r="E6" s="13" t="n"/>
      <c r="F6" s="13" t="n"/>
      <c r="G6" s="9" t="inlineStr">
        <is>
          <t>تاريخ البدء</t>
        </is>
      </c>
      <c r="H6" s="16">
        <f>IF('[1]بيانات العقد'!$C$11="","",'[1]بيانات العقد'!$C$11)</f>
        <v/>
      </c>
      <c r="I6" s="16" t="n"/>
      <c r="J6" s="16" t="n"/>
      <c r="K6" s="16" t="n"/>
      <c r="L6" s="9" t="inlineStr">
        <is>
          <t>الانتهاء التعاقدي</t>
        </is>
      </c>
      <c r="M6" s="16">
        <f>IF('[1]بيانات العقد'!$C$13="","",'[1]بيانات العقد'!$C$13)</f>
        <v/>
      </c>
      <c r="N6" s="16" t="n"/>
      <c r="O6" s="16" t="n"/>
      <c r="P6" s="16" t="n"/>
      <c r="Q6" s="16" t="n"/>
      <c r="R6" s="9" t="inlineStr">
        <is>
          <t>العملة</t>
        </is>
      </c>
      <c r="S6" s="13">
        <f>IF('[1]بيانات العقد'!$C$14="","",'[1]بيانات العقد'!$C$14)</f>
        <v/>
      </c>
      <c r="T6" s="13" t="n"/>
      <c r="U6" s="13" t="n"/>
      <c r="V6" s="13" t="n"/>
      <c r="W6" s="13" t="n"/>
      <c r="X6" s="13" t="n"/>
      <c r="Y6" s="13" t="n"/>
      <c r="AA6" s="14" t="inlineStr">
        <is>
          <t>صافي التغييرية المعتمدة</t>
        </is>
      </c>
      <c r="AB6" s="15">
        <f>N('[1]بيانات العقد'!$C$17)</f>
        <v/>
      </c>
    </row>
    <row r="7">
      <c r="AA7" s="14" t="inlineStr">
        <is>
          <t>قيمة العقد المعدلة</t>
        </is>
      </c>
      <c r="AB7" s="15">
        <f>N('[1]بيانات العقد'!$C$18)</f>
        <v/>
      </c>
    </row>
    <row r="8" ht="24" customHeight="1">
      <c r="B8" s="17" t="inlineStr">
        <is>
          <t>قيمة العقد الأصلية</t>
        </is>
      </c>
      <c r="C8" s="17" t="n"/>
      <c r="D8" s="17" t="n"/>
      <c r="E8" s="17" t="n"/>
      <c r="F8" s="18" t="inlineStr">
        <is>
          <t>صافي الأوامر التغييرية</t>
        </is>
      </c>
      <c r="G8" s="18" t="n"/>
      <c r="H8" s="18" t="n"/>
      <c r="I8" s="18" t="n"/>
      <c r="J8" s="17" t="inlineStr">
        <is>
          <t>قيمة العقد المعدلة</t>
        </is>
      </c>
      <c r="K8" s="17" t="n"/>
      <c r="L8" s="17" t="n"/>
      <c r="M8" s="17" t="n"/>
      <c r="N8" s="19" t="inlineStr">
        <is>
          <t>إجمالي قيمة الأعمال التراكمية</t>
        </is>
      </c>
      <c r="O8" s="19" t="n"/>
      <c r="P8" s="19" t="n"/>
      <c r="Q8" s="19" t="n"/>
      <c r="R8" s="20" t="inlineStr">
        <is>
          <t>الأعمال المتبقية</t>
        </is>
      </c>
      <c r="S8" s="20" t="n"/>
      <c r="T8" s="20" t="n"/>
      <c r="U8" s="20" t="n"/>
      <c r="V8" s="21" t="inlineStr">
        <is>
          <t>آخر مستخلص فعال</t>
        </is>
      </c>
      <c r="W8" s="21" t="n"/>
      <c r="X8" s="21" t="n"/>
      <c r="Y8" s="21" t="n"/>
      <c r="AA8" s="14" t="inlineStr">
        <is>
          <t>نسبة الدفعة المقدمة</t>
        </is>
      </c>
      <c r="AB8" s="22">
        <f>N('[1]بيانات العقد'!$C$20)</f>
        <v/>
      </c>
    </row>
    <row r="9" ht="32" customHeight="1">
      <c r="B9" s="23">
        <f>$AB$5</f>
        <v/>
      </c>
      <c r="C9" s="23" t="n"/>
      <c r="D9" s="23" t="n"/>
      <c r="E9" s="23" t="n"/>
      <c r="F9" s="24">
        <f>$AB$6</f>
        <v/>
      </c>
      <c r="G9" s="24" t="n"/>
      <c r="H9" s="24" t="n"/>
      <c r="I9" s="24" t="n"/>
      <c r="J9" s="23">
        <f>$AB$7</f>
        <v/>
      </c>
      <c r="K9" s="23" t="n"/>
      <c r="L9" s="23" t="n"/>
      <c r="M9" s="23" t="n"/>
      <c r="N9" s="25">
        <f>IF($V$9=0,0,N(INDEX($J$22:$J$41,$V$9)))</f>
        <v/>
      </c>
      <c r="O9" s="25" t="n"/>
      <c r="P9" s="25" t="n"/>
      <c r="Q9" s="25" t="n"/>
      <c r="R9" s="26">
        <f>MAX(0,$AB$7-IF($V$9=0,0,N(INDEX($G$22:$G$41,$V$9)))-IF($V$9=0,0,N(INDEX($H$22:$H$41,$V$9))))</f>
        <v/>
      </c>
      <c r="S9" s="26" t="n"/>
      <c r="T9" s="26" t="n"/>
      <c r="U9" s="26" t="n"/>
      <c r="V9" s="27">
        <f>SUMPRODUCT(MAX((C22:C41&lt;&gt;"")*B22:B41))</f>
        <v/>
      </c>
      <c r="W9" s="27" t="n"/>
      <c r="X9" s="27" t="n"/>
      <c r="Y9" s="27" t="n"/>
      <c r="AA9" s="14" t="inlineStr">
        <is>
          <t>قيمة الدفعة المقدمة</t>
        </is>
      </c>
      <c r="AB9" s="15">
        <f>N('[1]بيانات العقد'!$C$21)</f>
        <v/>
      </c>
    </row>
    <row r="10">
      <c r="AA10" s="14" t="inlineStr">
        <is>
          <t>نسبة ضمان الأعمال</t>
        </is>
      </c>
      <c r="AB10" s="22">
        <f>N('[1]بيانات العقد'!$C$27)</f>
        <v/>
      </c>
    </row>
    <row r="11" ht="24" customHeight="1">
      <c r="B11" s="19" t="inlineStr">
        <is>
          <t>نسبة الإنجاز الفعلية</t>
        </is>
      </c>
      <c r="C11" s="19" t="n"/>
      <c r="D11" s="19" t="n"/>
      <c r="E11" s="19" t="n"/>
      <c r="F11" s="17" t="inlineStr">
        <is>
          <t>نسبة الإنجاز المخططة</t>
        </is>
      </c>
      <c r="G11" s="17" t="n"/>
      <c r="H11" s="17" t="n"/>
      <c r="I11" s="17" t="n"/>
      <c r="J11" s="21" t="inlineStr">
        <is>
          <t>الانحراف (فعلي - مخطط)</t>
        </is>
      </c>
      <c r="K11" s="21" t="n"/>
      <c r="L11" s="21" t="n"/>
      <c r="M11" s="21" t="n"/>
      <c r="N11" s="20" t="inlineStr">
        <is>
          <t>نسبة المدة المنقضية</t>
        </is>
      </c>
      <c r="O11" s="20" t="n"/>
      <c r="P11" s="20" t="n"/>
      <c r="Q11" s="20" t="n"/>
      <c r="R11" s="17" t="inlineStr">
        <is>
          <t>مؤشر أداء الجدول (SPI)</t>
        </is>
      </c>
      <c r="S11" s="17" t="n"/>
      <c r="T11" s="17" t="n"/>
      <c r="U11" s="17" t="n"/>
      <c r="V11" s="17" t="inlineStr">
        <is>
          <t>حالة المشروع</t>
        </is>
      </c>
      <c r="W11" s="17" t="n"/>
      <c r="X11" s="17" t="n"/>
      <c r="Y11" s="17" t="n"/>
      <c r="AA11" s="14" t="inlineStr">
        <is>
          <t>الحد الأقصى للضمان</t>
        </is>
      </c>
      <c r="AB11" s="15">
        <f>N('[1]بيانات العقد'!$C$29)</f>
        <v/>
      </c>
    </row>
    <row r="12" ht="32" customHeight="1">
      <c r="B12" s="28">
        <f>IF($V$9=0,0,N(INDEX($K$22:$K$41,$V$9)))</f>
        <v/>
      </c>
      <c r="C12" s="28" t="n"/>
      <c r="D12" s="28" t="n"/>
      <c r="E12" s="28" t="n"/>
      <c r="F12" s="29">
        <f>IF($V$9=0,0,N(INDEX($L$22:$L$41,$V$9)))</f>
        <v/>
      </c>
      <c r="G12" s="29" t="n"/>
      <c r="H12" s="29" t="n"/>
      <c r="I12" s="29" t="n"/>
      <c r="J12" s="30">
        <f>B12-F12</f>
        <v/>
      </c>
      <c r="K12" s="30" t="n"/>
      <c r="L12" s="30" t="n"/>
      <c r="M12" s="30" t="n"/>
      <c r="N12" s="31">
        <f>IF(OR($V$9=0,$AB$14="",$AB$15=""),0,MIN(1,MAX(0,(INDEX(C22:C41,$V$9)-$AB$14+1)/($AB$15-$AB$14+1))))</f>
        <v/>
      </c>
      <c r="O12" s="31" t="n"/>
      <c r="P12" s="31" t="n"/>
      <c r="Q12" s="31" t="n"/>
      <c r="R12" s="32">
        <f>IF(F12&gt;0,B12/F12,0)</f>
        <v/>
      </c>
      <c r="S12" s="32" t="n"/>
      <c r="T12" s="32" t="n"/>
      <c r="U12" s="32" t="n"/>
      <c r="V12" s="33">
        <f>IF($AB$7=0,"غير مُفعّل",IF($V$9=0,"لم يبدأ الصرف",IF(J12&lt;-0.05,"⚠ متأخر",IF(J12&lt;0,"متأخر قليلاً","✔ مطابق / متقدم"))))</f>
        <v/>
      </c>
      <c r="W12" s="33" t="n"/>
      <c r="X12" s="33" t="n"/>
      <c r="Y12" s="33" t="n"/>
      <c r="AA12" s="14" t="inlineStr">
        <is>
          <t>ضريبة القيمة المضافة</t>
        </is>
      </c>
      <c r="AB12" s="22">
        <f>N('[1]بيانات العقد'!$C$31)</f>
        <v/>
      </c>
    </row>
    <row r="13">
      <c r="AA13" s="14" t="inlineStr">
        <is>
          <t>ضريبة الخصم من المنبع</t>
        </is>
      </c>
      <c r="AB13" s="22">
        <f>N('[1]بيانات العقد'!$C$33)</f>
        <v/>
      </c>
    </row>
    <row r="14" ht="24" customHeight="1">
      <c r="B14" s="17" t="inlineStr">
        <is>
          <t>صافي المستحق التراكمي</t>
        </is>
      </c>
      <c r="C14" s="17" t="n"/>
      <c r="D14" s="17" t="n"/>
      <c r="E14" s="17" t="n"/>
      <c r="F14" s="34" t="inlineStr">
        <is>
          <t>إجمالي المحصل</t>
        </is>
      </c>
      <c r="G14" s="34" t="n"/>
      <c r="H14" s="34" t="n"/>
      <c r="I14" s="34" t="n"/>
      <c r="J14" s="35" t="inlineStr">
        <is>
          <t>مستحقات غير محصلة</t>
        </is>
      </c>
      <c r="K14" s="35" t="n"/>
      <c r="L14" s="35" t="n"/>
      <c r="M14" s="35" t="n"/>
      <c r="N14" s="34" t="inlineStr">
        <is>
          <t>نسبة التحصيل</t>
        </is>
      </c>
      <c r="O14" s="34" t="n"/>
      <c r="P14" s="34" t="n"/>
      <c r="Q14" s="34" t="n"/>
      <c r="R14" s="20" t="inlineStr">
        <is>
          <t>متوسط مدة التحصيل (يوم)</t>
        </is>
      </c>
      <c r="S14" s="20" t="n"/>
      <c r="T14" s="20" t="n"/>
      <c r="U14" s="20" t="n"/>
      <c r="V14" s="21" t="inlineStr">
        <is>
          <t>تاريخ آخر مستخلص</t>
        </is>
      </c>
      <c r="W14" s="21" t="n"/>
      <c r="X14" s="21" t="n"/>
      <c r="Y14" s="21" t="n"/>
      <c r="AA14" s="14" t="inlineStr">
        <is>
          <t>تاريخ البدء</t>
        </is>
      </c>
      <c r="AB14" s="36">
        <f>IF('[1]بيانات العقد'!$C$11="","",'[1]بيانات العقد'!$C$11)</f>
        <v/>
      </c>
    </row>
    <row r="15" ht="32" customHeight="1">
      <c r="B15" s="23">
        <f>IF($V$9=0,0,N(INDEX($T$22:$T$41,$V$9)))</f>
        <v/>
      </c>
      <c r="C15" s="23" t="n"/>
      <c r="D15" s="23" t="n"/>
      <c r="E15" s="23" t="n"/>
      <c r="F15" s="37">
        <f>V42</f>
        <v/>
      </c>
      <c r="G15" s="37" t="n"/>
      <c r="H15" s="37" t="n"/>
      <c r="I15" s="37" t="n"/>
      <c r="J15" s="38">
        <f>W42</f>
        <v/>
      </c>
      <c r="K15" s="38" t="n"/>
      <c r="L15" s="38" t="n"/>
      <c r="M15" s="38" t="n"/>
      <c r="N15" s="39">
        <f>IF(B15&gt;0,F15/B15,0)</f>
        <v/>
      </c>
      <c r="O15" s="39" t="n"/>
      <c r="P15" s="39" t="n"/>
      <c r="Q15" s="39" t="n"/>
      <c r="R15" s="40">
        <f>X42</f>
        <v/>
      </c>
      <c r="S15" s="40" t="n"/>
      <c r="T15" s="40" t="n"/>
      <c r="U15" s="40" t="n"/>
      <c r="V15" s="41">
        <f>IF($V$9=0,"",INDEX(C22:C41,$V$9))</f>
        <v/>
      </c>
      <c r="W15" s="41" t="n"/>
      <c r="X15" s="41" t="n"/>
      <c r="Y15" s="41" t="n"/>
      <c r="AA15" s="14" t="inlineStr">
        <is>
          <t>تاريخ الانتهاء التعاقدي</t>
        </is>
      </c>
      <c r="AB15" s="36">
        <f>IF('[1]بيانات العقد'!$C$13="","",'[1]بيانات العقد'!$C$13)</f>
        <v/>
      </c>
    </row>
    <row r="16">
      <c r="AA16" s="14" t="inlineStr">
        <is>
          <t>المدة (شهر)</t>
        </is>
      </c>
      <c r="AB16" s="42">
        <f>IF('[1]بيانات العقد'!$C$12="","",'[1]بيانات العقد'!$C$12)</f>
        <v/>
      </c>
    </row>
    <row r="17" ht="24" customHeight="1">
      <c r="B17" s="43" t="inlineStr">
        <is>
          <t>ضمان الأعمال المحتجز</t>
        </is>
      </c>
      <c r="C17" s="43" t="n"/>
      <c r="D17" s="43" t="n"/>
      <c r="E17" s="43" t="n"/>
      <c r="F17" s="43" t="inlineStr">
        <is>
          <t>رصيد الدفعة المقدمة غير المسترد</t>
        </is>
      </c>
      <c r="G17" s="43" t="n"/>
      <c r="H17" s="43" t="n"/>
      <c r="I17" s="43" t="n"/>
      <c r="J17" s="43" t="inlineStr">
        <is>
          <t>الاستقطاعات الفنية المحتجزة</t>
        </is>
      </c>
      <c r="K17" s="43" t="n"/>
      <c r="L17" s="43" t="n"/>
      <c r="M17" s="43" t="n"/>
      <c r="N17" s="43" t="inlineStr">
        <is>
          <t>الغرامات والخصومات</t>
        </is>
      </c>
      <c r="O17" s="43" t="n"/>
      <c r="P17" s="43" t="n"/>
      <c r="Q17" s="43" t="n"/>
      <c r="R17" s="19" t="inlineStr">
        <is>
          <t>مستحق آخر مستخلص</t>
        </is>
      </c>
      <c r="S17" s="19" t="n"/>
      <c r="T17" s="19" t="n"/>
      <c r="U17" s="19" t="n"/>
      <c r="V17" s="17" t="inlineStr">
        <is>
          <t>عدد المستخلصات المعتمدة</t>
        </is>
      </c>
      <c r="W17" s="17" t="n"/>
      <c r="X17" s="17" t="n"/>
      <c r="Y17" s="17" t="n"/>
    </row>
    <row r="18" ht="32" customHeight="1">
      <c r="B18" s="44">
        <f>IF($V$9=0,0,N(INDEX($O$22:$O$41,$V$9)))</f>
        <v/>
      </c>
      <c r="C18" s="44" t="n"/>
      <c r="D18" s="44" t="n"/>
      <c r="E18" s="44" t="n"/>
      <c r="F18" s="44">
        <f>MAX(0,$AB$9-IF($V$9=0,0,N(INDEX($N$22:$N$41,$V$9))))</f>
        <v/>
      </c>
      <c r="G18" s="44" t="n"/>
      <c r="H18" s="44" t="n"/>
      <c r="I18" s="44" t="n"/>
      <c r="J18" s="44">
        <f>IF($V$9=0,0,N(INDEX($P$22:$P$41,$V$9)))</f>
        <v/>
      </c>
      <c r="K18" s="44" t="n"/>
      <c r="L18" s="44" t="n"/>
      <c r="M18" s="44" t="n"/>
      <c r="N18" s="44">
        <f>IF($V$9=0,0,N(INDEX($Q$22:$Q$41,$V$9)))</f>
        <v/>
      </c>
      <c r="O18" s="44" t="n"/>
      <c r="P18" s="44" t="n"/>
      <c r="Q18" s="44" t="n"/>
      <c r="R18" s="25">
        <f>IF($V$9=0,0,N(INDEX($U$22:$U$41,$V$9)))</f>
        <v/>
      </c>
      <c r="S18" s="25" t="n"/>
      <c r="T18" s="25" t="n"/>
      <c r="U18" s="25" t="n"/>
      <c r="V18" s="45">
        <f>COUNTIF(E22:E41,"معتمد")</f>
        <v/>
      </c>
      <c r="W18" s="45" t="n"/>
      <c r="X18" s="45" t="n"/>
      <c r="Y18" s="45" t="n"/>
    </row>
    <row r="20">
      <c r="B20" s="46" t="inlineStr">
        <is>
          <t>سجل المستخلصات (مرتبط)</t>
        </is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</row>
    <row r="21" ht="48" customHeight="1">
      <c r="B21" s="47" t="inlineStr">
        <is>
          <t>رقم المستخلص</t>
        </is>
      </c>
      <c r="C21" s="47" t="inlineStr">
        <is>
          <t>الفترة إلى</t>
        </is>
      </c>
      <c r="D21" s="47" t="inlineStr">
        <is>
          <t>تاريخ الاعتماد</t>
        </is>
      </c>
      <c r="E21" s="47" t="inlineStr">
        <is>
          <t>حالة المستخلص</t>
        </is>
      </c>
      <c r="F21" s="47" t="inlineStr">
        <is>
          <t>أعمال الفترة</t>
        </is>
      </c>
      <c r="G21" s="47" t="inlineStr">
        <is>
          <t>الأعمال المنفذة التراكمية</t>
        </is>
      </c>
      <c r="H21" s="47" t="inlineStr">
        <is>
          <t>التغييرية التراكمية</t>
        </is>
      </c>
      <c r="I21" s="47" t="inlineStr">
        <is>
          <t>رصيد المواد بالموقع</t>
        </is>
      </c>
      <c r="J21" s="47" t="inlineStr">
        <is>
          <t>إجمالي القيمة التراكمية</t>
        </is>
      </c>
      <c r="K21" s="47" t="inlineStr">
        <is>
          <t>نسبة الإنجاز الفعلية</t>
        </is>
      </c>
      <c r="L21" s="47" t="inlineStr">
        <is>
          <t>نسبة الإنجاز المخططة</t>
        </is>
      </c>
      <c r="M21" s="47" t="inlineStr">
        <is>
          <t>الانحراف</t>
        </is>
      </c>
      <c r="N21" s="47" t="inlineStr">
        <is>
          <t>استرداد الدفعة المقدمة</t>
        </is>
      </c>
      <c r="O21" s="47" t="inlineStr">
        <is>
          <t>صافي الضمان المحتجز</t>
        </is>
      </c>
      <c r="P21" s="47" t="inlineStr">
        <is>
          <t>الاستقطاعات الفنية</t>
        </is>
      </c>
      <c r="Q21" s="47" t="inlineStr">
        <is>
          <t>الغرامات والخصومات</t>
        </is>
      </c>
      <c r="R21" s="47" t="inlineStr">
        <is>
          <t>ضريبة القيمة المضافة</t>
        </is>
      </c>
      <c r="S21" s="47" t="inlineStr">
        <is>
          <t>ضريبة الخصم من المنبع</t>
        </is>
      </c>
      <c r="T21" s="47" t="inlineStr">
        <is>
          <t>صافي المستحق التراكمي</t>
        </is>
      </c>
      <c r="U21" s="47" t="inlineStr">
        <is>
          <t>المستحق للمستخلص الحالي</t>
        </is>
      </c>
      <c r="V21" s="47" t="inlineStr">
        <is>
          <t>المحصل</t>
        </is>
      </c>
      <c r="W21" s="47" t="inlineStr">
        <is>
          <t>المتبقي</t>
        </is>
      </c>
      <c r="X21" s="47" t="inlineStr">
        <is>
          <t>مدة التحصيل (يوم)</t>
        </is>
      </c>
      <c r="Y21" s="47" t="inlineStr">
        <is>
          <t>حالة التحصيل</t>
        </is>
      </c>
    </row>
    <row r="22">
      <c r="B22" s="48" t="n">
        <v>1</v>
      </c>
      <c r="C22" s="49">
        <f>IF('[1]سجل المستخلصات'!$C$6="","",'[1]سجل المستخلصات'!$C$6)</f>
        <v/>
      </c>
      <c r="D22" s="49">
        <f>IF('[1]سجل المستخلصات'!$E$6="","",'[1]سجل المستخلصات'!$E$6)</f>
        <v/>
      </c>
      <c r="E22" s="50">
        <f>IF('[1]سجل المستخلصات'!$F$6="","",'[1]سجل المستخلصات'!$F$6)</f>
        <v/>
      </c>
      <c r="F22" s="51">
        <f>IF('[1]سجل المستخلصات'!$H$6="","",'[1]سجل المستخلصات'!$H$6)</f>
        <v/>
      </c>
      <c r="G22" s="51">
        <f>IF('[1]سجل المستخلصات'!$G$6="","",'[1]سجل المستخلصات'!$G$6)</f>
        <v/>
      </c>
      <c r="H22" s="51">
        <f>IF('[1]سجل المستخلصات'!$I$6="","",'[1]سجل المستخلصات'!$I$6)</f>
        <v/>
      </c>
      <c r="I22" s="51">
        <f>IF('[1]سجل المستخلصات'!$J$6="","",'[1]سجل المستخلصات'!$J$6)</f>
        <v/>
      </c>
      <c r="J22" s="51">
        <f>IF('[1]سجل المستخلصات'!$K$6="","",'[1]سجل المستخلصات'!$K$6)</f>
        <v/>
      </c>
      <c r="K22" s="52">
        <f>IF('[1]سجل المستخلصات'!$L$6="","",'[1]سجل المستخلصات'!$L$6)</f>
        <v/>
      </c>
      <c r="L22" s="52">
        <f>IF('[1]سجل المستخلصات'!$M$6="","",'[1]سجل المستخلصات'!$M$6)</f>
        <v/>
      </c>
      <c r="M22" s="52">
        <f>IF('[1]سجل المستخلصات'!$N$6="","",'[1]سجل المستخلصات'!$N$6)</f>
        <v/>
      </c>
      <c r="N22" s="51">
        <f>IF('[1]سجل المستخلصات'!$O$6="","",'[1]سجل المستخلصات'!$O$6)</f>
        <v/>
      </c>
      <c r="O22" s="51">
        <f>IF('[1]سجل المستخلصات'!$R$6="","",'[1]سجل المستخلصات'!$R$6)</f>
        <v/>
      </c>
      <c r="P22" s="51">
        <f>IF('[1]سجل المستخلصات'!$S$6="","",'[1]سجل المستخلصات'!$S$6)</f>
        <v/>
      </c>
      <c r="Q22" s="51">
        <f>IF('[1]سجل المستخلصات'!$T$6="","",'[1]سجل المستخلصات'!$T$6)</f>
        <v/>
      </c>
      <c r="R22" s="51">
        <f>IF('[1]سجل المستخلصات'!$V$6="","",'[1]سجل المستخلصات'!$V$6)</f>
        <v/>
      </c>
      <c r="S22" s="51">
        <f>IF('[1]سجل المستخلصات'!$W$6="","",'[1]سجل المستخلصات'!$W$6)</f>
        <v/>
      </c>
      <c r="T22" s="53">
        <f>IF('[1]سجل المستخلصات'!$X$6="","",'[1]سجل المستخلصات'!$X$6)</f>
        <v/>
      </c>
      <c r="U22" s="53">
        <f>IF('[1]سجل المستخلصات'!$Z$6="","",'[1]سجل المستخلصات'!$Z$6)</f>
        <v/>
      </c>
      <c r="V22" s="51">
        <f>IF('[1]سجل المستخلصات'!$AA$6="","",'[1]سجل المستخلصات'!$AA$6)</f>
        <v/>
      </c>
      <c r="W22" s="51">
        <f>IF('[1]سجل المستخلصات'!$AC$6="","",'[1]سجل المستخلصات'!$AC$6)</f>
        <v/>
      </c>
      <c r="X22" s="54">
        <f>IF('[1]سجل المستخلصات'!$AD$6="","",'[1]سجل المستخلصات'!$AD$6)</f>
        <v/>
      </c>
      <c r="Y22" s="50">
        <f>IF('[1]سجل المستخلصات'!$AE$6="","",'[1]سجل المستخلصات'!$AE$6)</f>
        <v/>
      </c>
    </row>
    <row r="23">
      <c r="B23" s="48" t="n">
        <v>2</v>
      </c>
      <c r="C23" s="49">
        <f>IF('[1]سجل المستخلصات'!$C$7="","",'[1]سجل المستخلصات'!$C$7)</f>
        <v/>
      </c>
      <c r="D23" s="49">
        <f>IF('[1]سجل المستخلصات'!$E$7="","",'[1]سجل المستخلصات'!$E$7)</f>
        <v/>
      </c>
      <c r="E23" s="50">
        <f>IF('[1]سجل المستخلصات'!$F$7="","",'[1]سجل المستخلصات'!$F$7)</f>
        <v/>
      </c>
      <c r="F23" s="51">
        <f>IF('[1]سجل المستخلصات'!$H$7="","",'[1]سجل المستخلصات'!$H$7)</f>
        <v/>
      </c>
      <c r="G23" s="51">
        <f>IF('[1]سجل المستخلصات'!$G$7="","",'[1]سجل المستخلصات'!$G$7)</f>
        <v/>
      </c>
      <c r="H23" s="51">
        <f>IF('[1]سجل المستخلصات'!$I$7="","",'[1]سجل المستخلصات'!$I$7)</f>
        <v/>
      </c>
      <c r="I23" s="51">
        <f>IF('[1]سجل المستخلصات'!$J$7="","",'[1]سجل المستخلصات'!$J$7)</f>
        <v/>
      </c>
      <c r="J23" s="51">
        <f>IF('[1]سجل المستخلصات'!$K$7="","",'[1]سجل المستخلصات'!$K$7)</f>
        <v/>
      </c>
      <c r="K23" s="52">
        <f>IF('[1]سجل المستخلصات'!$L$7="","",'[1]سجل المستخلصات'!$L$7)</f>
        <v/>
      </c>
      <c r="L23" s="52">
        <f>IF('[1]سجل المستخلصات'!$M$7="","",'[1]سجل المستخلصات'!$M$7)</f>
        <v/>
      </c>
      <c r="M23" s="52">
        <f>IF('[1]سجل المستخلصات'!$N$7="","",'[1]سجل المستخلصات'!$N$7)</f>
        <v/>
      </c>
      <c r="N23" s="51">
        <f>IF('[1]سجل المستخلصات'!$O$7="","",'[1]سجل المستخلصات'!$O$7)</f>
        <v/>
      </c>
      <c r="O23" s="51">
        <f>IF('[1]سجل المستخلصات'!$R$7="","",'[1]سجل المستخلصات'!$R$7)</f>
        <v/>
      </c>
      <c r="P23" s="51">
        <f>IF('[1]سجل المستخلصات'!$S$7="","",'[1]سجل المستخلصات'!$S$7)</f>
        <v/>
      </c>
      <c r="Q23" s="51">
        <f>IF('[1]سجل المستخلصات'!$T$7="","",'[1]سجل المستخلصات'!$T$7)</f>
        <v/>
      </c>
      <c r="R23" s="51">
        <f>IF('[1]سجل المستخلصات'!$V$7="","",'[1]سجل المستخلصات'!$V$7)</f>
        <v/>
      </c>
      <c r="S23" s="51">
        <f>IF('[1]سجل المستخلصات'!$W$7="","",'[1]سجل المستخلصات'!$W$7)</f>
        <v/>
      </c>
      <c r="T23" s="53">
        <f>IF('[1]سجل المستخلصات'!$X$7="","",'[1]سجل المستخلصات'!$X$7)</f>
        <v/>
      </c>
      <c r="U23" s="53">
        <f>IF('[1]سجل المستخلصات'!$Z$7="","",'[1]سجل المستخلصات'!$Z$7)</f>
        <v/>
      </c>
      <c r="V23" s="51">
        <f>IF('[1]سجل المستخلصات'!$AA$7="","",'[1]سجل المستخلصات'!$AA$7)</f>
        <v/>
      </c>
      <c r="W23" s="51">
        <f>IF('[1]سجل المستخلصات'!$AC$7="","",'[1]سجل المستخلصات'!$AC$7)</f>
        <v/>
      </c>
      <c r="X23" s="54">
        <f>IF('[1]سجل المستخلصات'!$AD$7="","",'[1]سجل المستخلصات'!$AD$7)</f>
        <v/>
      </c>
      <c r="Y23" s="50">
        <f>IF('[1]سجل المستخلصات'!$AE$7="","",'[1]سجل المستخلصات'!$AE$7)</f>
        <v/>
      </c>
    </row>
    <row r="24">
      <c r="B24" s="48" t="n">
        <v>3</v>
      </c>
      <c r="C24" s="49">
        <f>IF('[1]سجل المستخلصات'!$C$8="","",'[1]سجل المستخلصات'!$C$8)</f>
        <v/>
      </c>
      <c r="D24" s="49">
        <f>IF('[1]سجل المستخلصات'!$E$8="","",'[1]سجل المستخلصات'!$E$8)</f>
        <v/>
      </c>
      <c r="E24" s="50">
        <f>IF('[1]سجل المستخلصات'!$F$8="","",'[1]سجل المستخلصات'!$F$8)</f>
        <v/>
      </c>
      <c r="F24" s="51">
        <f>IF('[1]سجل المستخلصات'!$H$8="","",'[1]سجل المستخلصات'!$H$8)</f>
        <v/>
      </c>
      <c r="G24" s="51">
        <f>IF('[1]سجل المستخلصات'!$G$8="","",'[1]سجل المستخلصات'!$G$8)</f>
        <v/>
      </c>
      <c r="H24" s="51">
        <f>IF('[1]سجل المستخلصات'!$I$8="","",'[1]سجل المستخلصات'!$I$8)</f>
        <v/>
      </c>
      <c r="I24" s="51">
        <f>IF('[1]سجل المستخلصات'!$J$8="","",'[1]سجل المستخلصات'!$J$8)</f>
        <v/>
      </c>
      <c r="J24" s="51">
        <f>IF('[1]سجل المستخلصات'!$K$8="","",'[1]سجل المستخلصات'!$K$8)</f>
        <v/>
      </c>
      <c r="K24" s="52">
        <f>IF('[1]سجل المستخلصات'!$L$8="","",'[1]سجل المستخلصات'!$L$8)</f>
        <v/>
      </c>
      <c r="L24" s="52">
        <f>IF('[1]سجل المستخلصات'!$M$8="","",'[1]سجل المستخلصات'!$M$8)</f>
        <v/>
      </c>
      <c r="M24" s="52">
        <f>IF('[1]سجل المستخلصات'!$N$8="","",'[1]سجل المستخلصات'!$N$8)</f>
        <v/>
      </c>
      <c r="N24" s="51">
        <f>IF('[1]سجل المستخلصات'!$O$8="","",'[1]سجل المستخلصات'!$O$8)</f>
        <v/>
      </c>
      <c r="O24" s="51">
        <f>IF('[1]سجل المستخلصات'!$R$8="","",'[1]سجل المستخلصات'!$R$8)</f>
        <v/>
      </c>
      <c r="P24" s="51">
        <f>IF('[1]سجل المستخلصات'!$S$8="","",'[1]سجل المستخلصات'!$S$8)</f>
        <v/>
      </c>
      <c r="Q24" s="51">
        <f>IF('[1]سجل المستخلصات'!$T$8="","",'[1]سجل المستخلصات'!$T$8)</f>
        <v/>
      </c>
      <c r="R24" s="51">
        <f>IF('[1]سجل المستخلصات'!$V$8="","",'[1]سجل المستخلصات'!$V$8)</f>
        <v/>
      </c>
      <c r="S24" s="51">
        <f>IF('[1]سجل المستخلصات'!$W$8="","",'[1]سجل المستخلصات'!$W$8)</f>
        <v/>
      </c>
      <c r="T24" s="53">
        <f>IF('[1]سجل المستخلصات'!$X$8="","",'[1]سجل المستخلصات'!$X$8)</f>
        <v/>
      </c>
      <c r="U24" s="53">
        <f>IF('[1]سجل المستخلصات'!$Z$8="","",'[1]سجل المستخلصات'!$Z$8)</f>
        <v/>
      </c>
      <c r="V24" s="51">
        <f>IF('[1]سجل المستخلصات'!$AA$8="","",'[1]سجل المستخلصات'!$AA$8)</f>
        <v/>
      </c>
      <c r="W24" s="51">
        <f>IF('[1]سجل المستخلصات'!$AC$8="","",'[1]سجل المستخلصات'!$AC$8)</f>
        <v/>
      </c>
      <c r="X24" s="54">
        <f>IF('[1]سجل المستخلصات'!$AD$8="","",'[1]سجل المستخلصات'!$AD$8)</f>
        <v/>
      </c>
      <c r="Y24" s="50">
        <f>IF('[1]سجل المستخلصات'!$AE$8="","",'[1]سجل المستخلصات'!$AE$8)</f>
        <v/>
      </c>
    </row>
    <row r="25">
      <c r="B25" s="48" t="n">
        <v>4</v>
      </c>
      <c r="C25" s="49">
        <f>IF('[1]سجل المستخلصات'!$C$9="","",'[1]سجل المستخلصات'!$C$9)</f>
        <v/>
      </c>
      <c r="D25" s="49">
        <f>IF('[1]سجل المستخلصات'!$E$9="","",'[1]سجل المستخلصات'!$E$9)</f>
        <v/>
      </c>
      <c r="E25" s="50">
        <f>IF('[1]سجل المستخلصات'!$F$9="","",'[1]سجل المستخلصات'!$F$9)</f>
        <v/>
      </c>
      <c r="F25" s="51">
        <f>IF('[1]سجل المستخلصات'!$H$9="","",'[1]سجل المستخلصات'!$H$9)</f>
        <v/>
      </c>
      <c r="G25" s="51">
        <f>IF('[1]سجل المستخلصات'!$G$9="","",'[1]سجل المستخلصات'!$G$9)</f>
        <v/>
      </c>
      <c r="H25" s="51">
        <f>IF('[1]سجل المستخلصات'!$I$9="","",'[1]سجل المستخلصات'!$I$9)</f>
        <v/>
      </c>
      <c r="I25" s="51">
        <f>IF('[1]سجل المستخلصات'!$J$9="","",'[1]سجل المستخلصات'!$J$9)</f>
        <v/>
      </c>
      <c r="J25" s="51">
        <f>IF('[1]سجل المستخلصات'!$K$9="","",'[1]سجل المستخلصات'!$K$9)</f>
        <v/>
      </c>
      <c r="K25" s="52">
        <f>IF('[1]سجل المستخلصات'!$L$9="","",'[1]سجل المستخلصات'!$L$9)</f>
        <v/>
      </c>
      <c r="L25" s="52">
        <f>IF('[1]سجل المستخلصات'!$M$9="","",'[1]سجل المستخلصات'!$M$9)</f>
        <v/>
      </c>
      <c r="M25" s="52">
        <f>IF('[1]سجل المستخلصات'!$N$9="","",'[1]سجل المستخلصات'!$N$9)</f>
        <v/>
      </c>
      <c r="N25" s="51">
        <f>IF('[1]سجل المستخلصات'!$O$9="","",'[1]سجل المستخلصات'!$O$9)</f>
        <v/>
      </c>
      <c r="O25" s="51">
        <f>IF('[1]سجل المستخلصات'!$R$9="","",'[1]سجل المستخلصات'!$R$9)</f>
        <v/>
      </c>
      <c r="P25" s="51">
        <f>IF('[1]سجل المستخلصات'!$S$9="","",'[1]سجل المستخلصات'!$S$9)</f>
        <v/>
      </c>
      <c r="Q25" s="51">
        <f>IF('[1]سجل المستخلصات'!$T$9="","",'[1]سجل المستخلصات'!$T$9)</f>
        <v/>
      </c>
      <c r="R25" s="51">
        <f>IF('[1]سجل المستخلصات'!$V$9="","",'[1]سجل المستخلصات'!$V$9)</f>
        <v/>
      </c>
      <c r="S25" s="51">
        <f>IF('[1]سجل المستخلصات'!$W$9="","",'[1]سجل المستخلصات'!$W$9)</f>
        <v/>
      </c>
      <c r="T25" s="53">
        <f>IF('[1]سجل المستخلصات'!$X$9="","",'[1]سجل المستخلصات'!$X$9)</f>
        <v/>
      </c>
      <c r="U25" s="53">
        <f>IF('[1]سجل المستخلصات'!$Z$9="","",'[1]سجل المستخلصات'!$Z$9)</f>
        <v/>
      </c>
      <c r="V25" s="51">
        <f>IF('[1]سجل المستخلصات'!$AA$9="","",'[1]سجل المستخلصات'!$AA$9)</f>
        <v/>
      </c>
      <c r="W25" s="51">
        <f>IF('[1]سجل المستخلصات'!$AC$9="","",'[1]سجل المستخلصات'!$AC$9)</f>
        <v/>
      </c>
      <c r="X25" s="54">
        <f>IF('[1]سجل المستخلصات'!$AD$9="","",'[1]سجل المستخلصات'!$AD$9)</f>
        <v/>
      </c>
      <c r="Y25" s="50">
        <f>IF('[1]سجل المستخلصات'!$AE$9="","",'[1]سجل المستخلصات'!$AE$9)</f>
        <v/>
      </c>
    </row>
    <row r="26">
      <c r="B26" s="48" t="n">
        <v>5</v>
      </c>
      <c r="C26" s="49">
        <f>IF('[1]سجل المستخلصات'!$C$10="","",'[1]سجل المستخلصات'!$C$10)</f>
        <v/>
      </c>
      <c r="D26" s="49">
        <f>IF('[1]سجل المستخلصات'!$E$10="","",'[1]سجل المستخلصات'!$E$10)</f>
        <v/>
      </c>
      <c r="E26" s="50">
        <f>IF('[1]سجل المستخلصات'!$F$10="","",'[1]سجل المستخلصات'!$F$10)</f>
        <v/>
      </c>
      <c r="F26" s="51">
        <f>IF('[1]سجل المستخلصات'!$H$10="","",'[1]سجل المستخلصات'!$H$10)</f>
        <v/>
      </c>
      <c r="G26" s="51">
        <f>IF('[1]سجل المستخلصات'!$G$10="","",'[1]سجل المستخلصات'!$G$10)</f>
        <v/>
      </c>
      <c r="H26" s="51">
        <f>IF('[1]سجل المستخلصات'!$I$10="","",'[1]سجل المستخلصات'!$I$10)</f>
        <v/>
      </c>
      <c r="I26" s="51">
        <f>IF('[1]سجل المستخلصات'!$J$10="","",'[1]سجل المستخلصات'!$J$10)</f>
        <v/>
      </c>
      <c r="J26" s="51">
        <f>IF('[1]سجل المستخلصات'!$K$10="","",'[1]سجل المستخلصات'!$K$10)</f>
        <v/>
      </c>
      <c r="K26" s="52">
        <f>IF('[1]سجل المستخلصات'!$L$10="","",'[1]سجل المستخلصات'!$L$10)</f>
        <v/>
      </c>
      <c r="L26" s="52">
        <f>IF('[1]سجل المستخلصات'!$M$10="","",'[1]سجل المستخلصات'!$M$10)</f>
        <v/>
      </c>
      <c r="M26" s="52">
        <f>IF('[1]سجل المستخلصات'!$N$10="","",'[1]سجل المستخلصات'!$N$10)</f>
        <v/>
      </c>
      <c r="N26" s="51">
        <f>IF('[1]سجل المستخلصات'!$O$10="","",'[1]سجل المستخلصات'!$O$10)</f>
        <v/>
      </c>
      <c r="O26" s="51">
        <f>IF('[1]سجل المستخلصات'!$R$10="","",'[1]سجل المستخلصات'!$R$10)</f>
        <v/>
      </c>
      <c r="P26" s="51">
        <f>IF('[1]سجل المستخلصات'!$S$10="","",'[1]سجل المستخلصات'!$S$10)</f>
        <v/>
      </c>
      <c r="Q26" s="51">
        <f>IF('[1]سجل المستخلصات'!$T$10="","",'[1]سجل المستخلصات'!$T$10)</f>
        <v/>
      </c>
      <c r="R26" s="51">
        <f>IF('[1]سجل المستخلصات'!$V$10="","",'[1]سجل المستخلصات'!$V$10)</f>
        <v/>
      </c>
      <c r="S26" s="51">
        <f>IF('[1]سجل المستخلصات'!$W$10="","",'[1]سجل المستخلصات'!$W$10)</f>
        <v/>
      </c>
      <c r="T26" s="53">
        <f>IF('[1]سجل المستخلصات'!$X$10="","",'[1]سجل المستخلصات'!$X$10)</f>
        <v/>
      </c>
      <c r="U26" s="53">
        <f>IF('[1]سجل المستخلصات'!$Z$10="","",'[1]سجل المستخلصات'!$Z$10)</f>
        <v/>
      </c>
      <c r="V26" s="51">
        <f>IF('[1]سجل المستخلصات'!$AA$10="","",'[1]سجل المستخلصات'!$AA$10)</f>
        <v/>
      </c>
      <c r="W26" s="51">
        <f>IF('[1]سجل المستخلصات'!$AC$10="","",'[1]سجل المستخلصات'!$AC$10)</f>
        <v/>
      </c>
      <c r="X26" s="54">
        <f>IF('[1]سجل المستخلصات'!$AD$10="","",'[1]سجل المستخلصات'!$AD$10)</f>
        <v/>
      </c>
      <c r="Y26" s="50">
        <f>IF('[1]سجل المستخلصات'!$AE$10="","",'[1]سجل المستخلصات'!$AE$10)</f>
        <v/>
      </c>
    </row>
    <row r="27">
      <c r="B27" s="48" t="n">
        <v>6</v>
      </c>
      <c r="C27" s="49">
        <f>IF('[1]سجل المستخلصات'!$C$11="","",'[1]سجل المستخلصات'!$C$11)</f>
        <v/>
      </c>
      <c r="D27" s="49">
        <f>IF('[1]سجل المستخلصات'!$E$11="","",'[1]سجل المستخلصات'!$E$11)</f>
        <v/>
      </c>
      <c r="E27" s="50">
        <f>IF('[1]سجل المستخلصات'!$F$11="","",'[1]سجل المستخلصات'!$F$11)</f>
        <v/>
      </c>
      <c r="F27" s="51">
        <f>IF('[1]سجل المستخلصات'!$H$11="","",'[1]سجل المستخلصات'!$H$11)</f>
        <v/>
      </c>
      <c r="G27" s="51">
        <f>IF('[1]سجل المستخلصات'!$G$11="","",'[1]سجل المستخلصات'!$G$11)</f>
        <v/>
      </c>
      <c r="H27" s="51">
        <f>IF('[1]سجل المستخلصات'!$I$11="","",'[1]سجل المستخلصات'!$I$11)</f>
        <v/>
      </c>
      <c r="I27" s="51">
        <f>IF('[1]سجل المستخلصات'!$J$11="","",'[1]سجل المستخلصات'!$J$11)</f>
        <v/>
      </c>
      <c r="J27" s="51">
        <f>IF('[1]سجل المستخلصات'!$K$11="","",'[1]سجل المستخلصات'!$K$11)</f>
        <v/>
      </c>
      <c r="K27" s="52">
        <f>IF('[1]سجل المستخلصات'!$L$11="","",'[1]سجل المستخلصات'!$L$11)</f>
        <v/>
      </c>
      <c r="L27" s="52">
        <f>IF('[1]سجل المستخلصات'!$M$11="","",'[1]سجل المستخلصات'!$M$11)</f>
        <v/>
      </c>
      <c r="M27" s="52">
        <f>IF('[1]سجل المستخلصات'!$N$11="","",'[1]سجل المستخلصات'!$N$11)</f>
        <v/>
      </c>
      <c r="N27" s="51">
        <f>IF('[1]سجل المستخلصات'!$O$11="","",'[1]سجل المستخلصات'!$O$11)</f>
        <v/>
      </c>
      <c r="O27" s="51">
        <f>IF('[1]سجل المستخلصات'!$R$11="","",'[1]سجل المستخلصات'!$R$11)</f>
        <v/>
      </c>
      <c r="P27" s="51">
        <f>IF('[1]سجل المستخلصات'!$S$11="","",'[1]سجل المستخلصات'!$S$11)</f>
        <v/>
      </c>
      <c r="Q27" s="51">
        <f>IF('[1]سجل المستخلصات'!$T$11="","",'[1]سجل المستخلصات'!$T$11)</f>
        <v/>
      </c>
      <c r="R27" s="51">
        <f>IF('[1]سجل المستخلصات'!$V$11="","",'[1]سجل المستخلصات'!$V$11)</f>
        <v/>
      </c>
      <c r="S27" s="51">
        <f>IF('[1]سجل المستخلصات'!$W$11="","",'[1]سجل المستخلصات'!$W$11)</f>
        <v/>
      </c>
      <c r="T27" s="53">
        <f>IF('[1]سجل المستخلصات'!$X$11="","",'[1]سجل المستخلصات'!$X$11)</f>
        <v/>
      </c>
      <c r="U27" s="53">
        <f>IF('[1]سجل المستخلصات'!$Z$11="","",'[1]سجل المستخلصات'!$Z$11)</f>
        <v/>
      </c>
      <c r="V27" s="51">
        <f>IF('[1]سجل المستخلصات'!$AA$11="","",'[1]سجل المستخلصات'!$AA$11)</f>
        <v/>
      </c>
      <c r="W27" s="51">
        <f>IF('[1]سجل المستخلصات'!$AC$11="","",'[1]سجل المستخلصات'!$AC$11)</f>
        <v/>
      </c>
      <c r="X27" s="54">
        <f>IF('[1]سجل المستخلصات'!$AD$11="","",'[1]سجل المستخلصات'!$AD$11)</f>
        <v/>
      </c>
      <c r="Y27" s="50">
        <f>IF('[1]سجل المستخلصات'!$AE$11="","",'[1]سجل المستخلصات'!$AE$11)</f>
        <v/>
      </c>
    </row>
    <row r="28">
      <c r="B28" s="48" t="n">
        <v>7</v>
      </c>
      <c r="C28" s="49">
        <f>IF('[1]سجل المستخلصات'!$C$12="","",'[1]سجل المستخلصات'!$C$12)</f>
        <v/>
      </c>
      <c r="D28" s="49">
        <f>IF('[1]سجل المستخلصات'!$E$12="","",'[1]سجل المستخلصات'!$E$12)</f>
        <v/>
      </c>
      <c r="E28" s="50">
        <f>IF('[1]سجل المستخلصات'!$F$12="","",'[1]سجل المستخلصات'!$F$12)</f>
        <v/>
      </c>
      <c r="F28" s="51">
        <f>IF('[1]سجل المستخلصات'!$H$12="","",'[1]سجل المستخلصات'!$H$12)</f>
        <v/>
      </c>
      <c r="G28" s="51">
        <f>IF('[1]سجل المستخلصات'!$G$12="","",'[1]سجل المستخلصات'!$G$12)</f>
        <v/>
      </c>
      <c r="H28" s="51">
        <f>IF('[1]سجل المستخلصات'!$I$12="","",'[1]سجل المستخلصات'!$I$12)</f>
        <v/>
      </c>
      <c r="I28" s="51">
        <f>IF('[1]سجل المستخلصات'!$J$12="","",'[1]سجل المستخلصات'!$J$12)</f>
        <v/>
      </c>
      <c r="J28" s="51">
        <f>IF('[1]سجل المستخلصات'!$K$12="","",'[1]سجل المستخلصات'!$K$12)</f>
        <v/>
      </c>
      <c r="K28" s="52">
        <f>IF('[1]سجل المستخلصات'!$L$12="","",'[1]سجل المستخلصات'!$L$12)</f>
        <v/>
      </c>
      <c r="L28" s="52">
        <f>IF('[1]سجل المستخلصات'!$M$12="","",'[1]سجل المستخلصات'!$M$12)</f>
        <v/>
      </c>
      <c r="M28" s="52">
        <f>IF('[1]سجل المستخلصات'!$N$12="","",'[1]سجل المستخلصات'!$N$12)</f>
        <v/>
      </c>
      <c r="N28" s="51">
        <f>IF('[1]سجل المستخلصات'!$O$12="","",'[1]سجل المستخلصات'!$O$12)</f>
        <v/>
      </c>
      <c r="O28" s="51">
        <f>IF('[1]سجل المستخلصات'!$R$12="","",'[1]سجل المستخلصات'!$R$12)</f>
        <v/>
      </c>
      <c r="P28" s="51">
        <f>IF('[1]سجل المستخلصات'!$S$12="","",'[1]سجل المستخلصات'!$S$12)</f>
        <v/>
      </c>
      <c r="Q28" s="51">
        <f>IF('[1]سجل المستخلصات'!$T$12="","",'[1]سجل المستخلصات'!$T$12)</f>
        <v/>
      </c>
      <c r="R28" s="51">
        <f>IF('[1]سجل المستخلصات'!$V$12="","",'[1]سجل المستخلصات'!$V$12)</f>
        <v/>
      </c>
      <c r="S28" s="51">
        <f>IF('[1]سجل المستخلصات'!$W$12="","",'[1]سجل المستخلصات'!$W$12)</f>
        <v/>
      </c>
      <c r="T28" s="53">
        <f>IF('[1]سجل المستخلصات'!$X$12="","",'[1]سجل المستخلصات'!$X$12)</f>
        <v/>
      </c>
      <c r="U28" s="53">
        <f>IF('[1]سجل المستخلصات'!$Z$12="","",'[1]سجل المستخلصات'!$Z$12)</f>
        <v/>
      </c>
      <c r="V28" s="51">
        <f>IF('[1]سجل المستخلصات'!$AA$12="","",'[1]سجل المستخلصات'!$AA$12)</f>
        <v/>
      </c>
      <c r="W28" s="51">
        <f>IF('[1]سجل المستخلصات'!$AC$12="","",'[1]سجل المستخلصات'!$AC$12)</f>
        <v/>
      </c>
      <c r="X28" s="54">
        <f>IF('[1]سجل المستخلصات'!$AD$12="","",'[1]سجل المستخلصات'!$AD$12)</f>
        <v/>
      </c>
      <c r="Y28" s="50">
        <f>IF('[1]سجل المستخلصات'!$AE$12="","",'[1]سجل المستخلصات'!$AE$12)</f>
        <v/>
      </c>
    </row>
    <row r="29">
      <c r="B29" s="48" t="n">
        <v>8</v>
      </c>
      <c r="C29" s="49">
        <f>IF('[1]سجل المستخلصات'!$C$13="","",'[1]سجل المستخلصات'!$C$13)</f>
        <v/>
      </c>
      <c r="D29" s="49">
        <f>IF('[1]سجل المستخلصات'!$E$13="","",'[1]سجل المستخلصات'!$E$13)</f>
        <v/>
      </c>
      <c r="E29" s="50">
        <f>IF('[1]سجل المستخلصات'!$F$13="","",'[1]سجل المستخلصات'!$F$13)</f>
        <v/>
      </c>
      <c r="F29" s="51">
        <f>IF('[1]سجل المستخلصات'!$H$13="","",'[1]سجل المستخلصات'!$H$13)</f>
        <v/>
      </c>
      <c r="G29" s="51">
        <f>IF('[1]سجل المستخلصات'!$G$13="","",'[1]سجل المستخلصات'!$G$13)</f>
        <v/>
      </c>
      <c r="H29" s="51">
        <f>IF('[1]سجل المستخلصات'!$I$13="","",'[1]سجل المستخلصات'!$I$13)</f>
        <v/>
      </c>
      <c r="I29" s="51">
        <f>IF('[1]سجل المستخلصات'!$J$13="","",'[1]سجل المستخلصات'!$J$13)</f>
        <v/>
      </c>
      <c r="J29" s="51">
        <f>IF('[1]سجل المستخلصات'!$K$13="","",'[1]سجل المستخلصات'!$K$13)</f>
        <v/>
      </c>
      <c r="K29" s="52">
        <f>IF('[1]سجل المستخلصات'!$L$13="","",'[1]سجل المستخلصات'!$L$13)</f>
        <v/>
      </c>
      <c r="L29" s="52">
        <f>IF('[1]سجل المستخلصات'!$M$13="","",'[1]سجل المستخلصات'!$M$13)</f>
        <v/>
      </c>
      <c r="M29" s="52">
        <f>IF('[1]سجل المستخلصات'!$N$13="","",'[1]سجل المستخلصات'!$N$13)</f>
        <v/>
      </c>
      <c r="N29" s="51">
        <f>IF('[1]سجل المستخلصات'!$O$13="","",'[1]سجل المستخلصات'!$O$13)</f>
        <v/>
      </c>
      <c r="O29" s="51">
        <f>IF('[1]سجل المستخلصات'!$R$13="","",'[1]سجل المستخلصات'!$R$13)</f>
        <v/>
      </c>
      <c r="P29" s="51">
        <f>IF('[1]سجل المستخلصات'!$S$13="","",'[1]سجل المستخلصات'!$S$13)</f>
        <v/>
      </c>
      <c r="Q29" s="51">
        <f>IF('[1]سجل المستخلصات'!$T$13="","",'[1]سجل المستخلصات'!$T$13)</f>
        <v/>
      </c>
      <c r="R29" s="51">
        <f>IF('[1]سجل المستخلصات'!$V$13="","",'[1]سجل المستخلصات'!$V$13)</f>
        <v/>
      </c>
      <c r="S29" s="51">
        <f>IF('[1]سجل المستخلصات'!$W$13="","",'[1]سجل المستخلصات'!$W$13)</f>
        <v/>
      </c>
      <c r="T29" s="53">
        <f>IF('[1]سجل المستخلصات'!$X$13="","",'[1]سجل المستخلصات'!$X$13)</f>
        <v/>
      </c>
      <c r="U29" s="53">
        <f>IF('[1]سجل المستخلصات'!$Z$13="","",'[1]سجل المستخلصات'!$Z$13)</f>
        <v/>
      </c>
      <c r="V29" s="51">
        <f>IF('[1]سجل المستخلصات'!$AA$13="","",'[1]سجل المستخلصات'!$AA$13)</f>
        <v/>
      </c>
      <c r="W29" s="51">
        <f>IF('[1]سجل المستخلصات'!$AC$13="","",'[1]سجل المستخلصات'!$AC$13)</f>
        <v/>
      </c>
      <c r="X29" s="54">
        <f>IF('[1]سجل المستخلصات'!$AD$13="","",'[1]سجل المستخلصات'!$AD$13)</f>
        <v/>
      </c>
      <c r="Y29" s="50">
        <f>IF('[1]سجل المستخلصات'!$AE$13="","",'[1]سجل المستخلصات'!$AE$13)</f>
        <v/>
      </c>
    </row>
    <row r="30">
      <c r="B30" s="48" t="n">
        <v>9</v>
      </c>
      <c r="C30" s="49">
        <f>IF('[1]سجل المستخلصات'!$C$14="","",'[1]سجل المستخلصات'!$C$14)</f>
        <v/>
      </c>
      <c r="D30" s="49">
        <f>IF('[1]سجل المستخلصات'!$E$14="","",'[1]سجل المستخلصات'!$E$14)</f>
        <v/>
      </c>
      <c r="E30" s="50">
        <f>IF('[1]سجل المستخلصات'!$F$14="","",'[1]سجل المستخلصات'!$F$14)</f>
        <v/>
      </c>
      <c r="F30" s="51">
        <f>IF('[1]سجل المستخلصات'!$H$14="","",'[1]سجل المستخلصات'!$H$14)</f>
        <v/>
      </c>
      <c r="G30" s="51">
        <f>IF('[1]سجل المستخلصات'!$G$14="","",'[1]سجل المستخلصات'!$G$14)</f>
        <v/>
      </c>
      <c r="H30" s="51">
        <f>IF('[1]سجل المستخلصات'!$I$14="","",'[1]سجل المستخلصات'!$I$14)</f>
        <v/>
      </c>
      <c r="I30" s="51">
        <f>IF('[1]سجل المستخلصات'!$J$14="","",'[1]سجل المستخلصات'!$J$14)</f>
        <v/>
      </c>
      <c r="J30" s="51">
        <f>IF('[1]سجل المستخلصات'!$K$14="","",'[1]سجل المستخلصات'!$K$14)</f>
        <v/>
      </c>
      <c r="K30" s="52">
        <f>IF('[1]سجل المستخلصات'!$L$14="","",'[1]سجل المستخلصات'!$L$14)</f>
        <v/>
      </c>
      <c r="L30" s="52">
        <f>IF('[1]سجل المستخلصات'!$M$14="","",'[1]سجل المستخلصات'!$M$14)</f>
        <v/>
      </c>
      <c r="M30" s="52">
        <f>IF('[1]سجل المستخلصات'!$N$14="","",'[1]سجل المستخلصات'!$N$14)</f>
        <v/>
      </c>
      <c r="N30" s="51">
        <f>IF('[1]سجل المستخلصات'!$O$14="","",'[1]سجل المستخلصات'!$O$14)</f>
        <v/>
      </c>
      <c r="O30" s="51">
        <f>IF('[1]سجل المستخلصات'!$R$14="","",'[1]سجل المستخلصات'!$R$14)</f>
        <v/>
      </c>
      <c r="P30" s="51">
        <f>IF('[1]سجل المستخلصات'!$S$14="","",'[1]سجل المستخلصات'!$S$14)</f>
        <v/>
      </c>
      <c r="Q30" s="51">
        <f>IF('[1]سجل المستخلصات'!$T$14="","",'[1]سجل المستخلصات'!$T$14)</f>
        <v/>
      </c>
      <c r="R30" s="51">
        <f>IF('[1]سجل المستخلصات'!$V$14="","",'[1]سجل المستخلصات'!$V$14)</f>
        <v/>
      </c>
      <c r="S30" s="51">
        <f>IF('[1]سجل المستخلصات'!$W$14="","",'[1]سجل المستخلصات'!$W$14)</f>
        <v/>
      </c>
      <c r="T30" s="53">
        <f>IF('[1]سجل المستخلصات'!$X$14="","",'[1]سجل المستخلصات'!$X$14)</f>
        <v/>
      </c>
      <c r="U30" s="53">
        <f>IF('[1]سجل المستخلصات'!$Z$14="","",'[1]سجل المستخلصات'!$Z$14)</f>
        <v/>
      </c>
      <c r="V30" s="51">
        <f>IF('[1]سجل المستخلصات'!$AA$14="","",'[1]سجل المستخلصات'!$AA$14)</f>
        <v/>
      </c>
      <c r="W30" s="51">
        <f>IF('[1]سجل المستخلصات'!$AC$14="","",'[1]سجل المستخلصات'!$AC$14)</f>
        <v/>
      </c>
      <c r="X30" s="54">
        <f>IF('[1]سجل المستخلصات'!$AD$14="","",'[1]سجل المستخلصات'!$AD$14)</f>
        <v/>
      </c>
      <c r="Y30" s="50">
        <f>IF('[1]سجل المستخلصات'!$AE$14="","",'[1]سجل المستخلصات'!$AE$14)</f>
        <v/>
      </c>
    </row>
    <row r="31">
      <c r="B31" s="48" t="n">
        <v>10</v>
      </c>
      <c r="C31" s="49">
        <f>IF('[1]سجل المستخلصات'!$C$15="","",'[1]سجل المستخلصات'!$C$15)</f>
        <v/>
      </c>
      <c r="D31" s="49">
        <f>IF('[1]سجل المستخلصات'!$E$15="","",'[1]سجل المستخلصات'!$E$15)</f>
        <v/>
      </c>
      <c r="E31" s="50">
        <f>IF('[1]سجل المستخلصات'!$F$15="","",'[1]سجل المستخلصات'!$F$15)</f>
        <v/>
      </c>
      <c r="F31" s="51">
        <f>IF('[1]سجل المستخلصات'!$H$15="","",'[1]سجل المستخلصات'!$H$15)</f>
        <v/>
      </c>
      <c r="G31" s="51">
        <f>IF('[1]سجل المستخلصات'!$G$15="","",'[1]سجل المستخلصات'!$G$15)</f>
        <v/>
      </c>
      <c r="H31" s="51">
        <f>IF('[1]سجل المستخلصات'!$I$15="","",'[1]سجل المستخلصات'!$I$15)</f>
        <v/>
      </c>
      <c r="I31" s="51">
        <f>IF('[1]سجل المستخلصات'!$J$15="","",'[1]سجل المستخلصات'!$J$15)</f>
        <v/>
      </c>
      <c r="J31" s="51">
        <f>IF('[1]سجل المستخلصات'!$K$15="","",'[1]سجل المستخلصات'!$K$15)</f>
        <v/>
      </c>
      <c r="K31" s="52">
        <f>IF('[1]سجل المستخلصات'!$L$15="","",'[1]سجل المستخلصات'!$L$15)</f>
        <v/>
      </c>
      <c r="L31" s="52">
        <f>IF('[1]سجل المستخلصات'!$M$15="","",'[1]سجل المستخلصات'!$M$15)</f>
        <v/>
      </c>
      <c r="M31" s="52">
        <f>IF('[1]سجل المستخلصات'!$N$15="","",'[1]سجل المستخلصات'!$N$15)</f>
        <v/>
      </c>
      <c r="N31" s="51">
        <f>IF('[1]سجل المستخلصات'!$O$15="","",'[1]سجل المستخلصات'!$O$15)</f>
        <v/>
      </c>
      <c r="O31" s="51">
        <f>IF('[1]سجل المستخلصات'!$R$15="","",'[1]سجل المستخلصات'!$R$15)</f>
        <v/>
      </c>
      <c r="P31" s="51">
        <f>IF('[1]سجل المستخلصات'!$S$15="","",'[1]سجل المستخلصات'!$S$15)</f>
        <v/>
      </c>
      <c r="Q31" s="51">
        <f>IF('[1]سجل المستخلصات'!$T$15="","",'[1]سجل المستخلصات'!$T$15)</f>
        <v/>
      </c>
      <c r="R31" s="51">
        <f>IF('[1]سجل المستخلصات'!$V$15="","",'[1]سجل المستخلصات'!$V$15)</f>
        <v/>
      </c>
      <c r="S31" s="51">
        <f>IF('[1]سجل المستخلصات'!$W$15="","",'[1]سجل المستخلصات'!$W$15)</f>
        <v/>
      </c>
      <c r="T31" s="53">
        <f>IF('[1]سجل المستخلصات'!$X$15="","",'[1]سجل المستخلصات'!$X$15)</f>
        <v/>
      </c>
      <c r="U31" s="53">
        <f>IF('[1]سجل المستخلصات'!$Z$15="","",'[1]سجل المستخلصات'!$Z$15)</f>
        <v/>
      </c>
      <c r="V31" s="51">
        <f>IF('[1]سجل المستخلصات'!$AA$15="","",'[1]سجل المستخلصات'!$AA$15)</f>
        <v/>
      </c>
      <c r="W31" s="51">
        <f>IF('[1]سجل المستخلصات'!$AC$15="","",'[1]سجل المستخلصات'!$AC$15)</f>
        <v/>
      </c>
      <c r="X31" s="54">
        <f>IF('[1]سجل المستخلصات'!$AD$15="","",'[1]سجل المستخلصات'!$AD$15)</f>
        <v/>
      </c>
      <c r="Y31" s="50">
        <f>IF('[1]سجل المستخلصات'!$AE$15="","",'[1]سجل المستخلصات'!$AE$15)</f>
        <v/>
      </c>
    </row>
    <row r="32">
      <c r="B32" s="48" t="n">
        <v>11</v>
      </c>
      <c r="C32" s="49">
        <f>IF('[1]سجل المستخلصات'!$C$16="","",'[1]سجل المستخلصات'!$C$16)</f>
        <v/>
      </c>
      <c r="D32" s="49">
        <f>IF('[1]سجل المستخلصات'!$E$16="","",'[1]سجل المستخلصات'!$E$16)</f>
        <v/>
      </c>
      <c r="E32" s="50">
        <f>IF('[1]سجل المستخلصات'!$F$16="","",'[1]سجل المستخلصات'!$F$16)</f>
        <v/>
      </c>
      <c r="F32" s="51">
        <f>IF('[1]سجل المستخلصات'!$H$16="","",'[1]سجل المستخلصات'!$H$16)</f>
        <v/>
      </c>
      <c r="G32" s="51">
        <f>IF('[1]سجل المستخلصات'!$G$16="","",'[1]سجل المستخلصات'!$G$16)</f>
        <v/>
      </c>
      <c r="H32" s="51">
        <f>IF('[1]سجل المستخلصات'!$I$16="","",'[1]سجل المستخلصات'!$I$16)</f>
        <v/>
      </c>
      <c r="I32" s="51">
        <f>IF('[1]سجل المستخلصات'!$J$16="","",'[1]سجل المستخلصات'!$J$16)</f>
        <v/>
      </c>
      <c r="J32" s="51">
        <f>IF('[1]سجل المستخلصات'!$K$16="","",'[1]سجل المستخلصات'!$K$16)</f>
        <v/>
      </c>
      <c r="K32" s="52">
        <f>IF('[1]سجل المستخلصات'!$L$16="","",'[1]سجل المستخلصات'!$L$16)</f>
        <v/>
      </c>
      <c r="L32" s="52">
        <f>IF('[1]سجل المستخلصات'!$M$16="","",'[1]سجل المستخلصات'!$M$16)</f>
        <v/>
      </c>
      <c r="M32" s="52">
        <f>IF('[1]سجل المستخلصات'!$N$16="","",'[1]سجل المستخلصات'!$N$16)</f>
        <v/>
      </c>
      <c r="N32" s="51">
        <f>IF('[1]سجل المستخلصات'!$O$16="","",'[1]سجل المستخلصات'!$O$16)</f>
        <v/>
      </c>
      <c r="O32" s="51">
        <f>IF('[1]سجل المستخلصات'!$R$16="","",'[1]سجل المستخلصات'!$R$16)</f>
        <v/>
      </c>
      <c r="P32" s="51">
        <f>IF('[1]سجل المستخلصات'!$S$16="","",'[1]سجل المستخلصات'!$S$16)</f>
        <v/>
      </c>
      <c r="Q32" s="51">
        <f>IF('[1]سجل المستخلصات'!$T$16="","",'[1]سجل المستخلصات'!$T$16)</f>
        <v/>
      </c>
      <c r="R32" s="51">
        <f>IF('[1]سجل المستخلصات'!$V$16="","",'[1]سجل المستخلصات'!$V$16)</f>
        <v/>
      </c>
      <c r="S32" s="51">
        <f>IF('[1]سجل المستخلصات'!$W$16="","",'[1]سجل المستخلصات'!$W$16)</f>
        <v/>
      </c>
      <c r="T32" s="53">
        <f>IF('[1]سجل المستخلصات'!$X$16="","",'[1]سجل المستخلصات'!$X$16)</f>
        <v/>
      </c>
      <c r="U32" s="53">
        <f>IF('[1]سجل المستخلصات'!$Z$16="","",'[1]سجل المستخلصات'!$Z$16)</f>
        <v/>
      </c>
      <c r="V32" s="51">
        <f>IF('[1]سجل المستخلصات'!$AA$16="","",'[1]سجل المستخلصات'!$AA$16)</f>
        <v/>
      </c>
      <c r="W32" s="51">
        <f>IF('[1]سجل المستخلصات'!$AC$16="","",'[1]سجل المستخلصات'!$AC$16)</f>
        <v/>
      </c>
      <c r="X32" s="54">
        <f>IF('[1]سجل المستخلصات'!$AD$16="","",'[1]سجل المستخلصات'!$AD$16)</f>
        <v/>
      </c>
      <c r="Y32" s="50">
        <f>IF('[1]سجل المستخلصات'!$AE$16="","",'[1]سجل المستخلصات'!$AE$16)</f>
        <v/>
      </c>
    </row>
    <row r="33">
      <c r="B33" s="48" t="n">
        <v>12</v>
      </c>
      <c r="C33" s="49">
        <f>IF('[1]سجل المستخلصات'!$C$17="","",'[1]سجل المستخلصات'!$C$17)</f>
        <v/>
      </c>
      <c r="D33" s="49">
        <f>IF('[1]سجل المستخلصات'!$E$17="","",'[1]سجل المستخلصات'!$E$17)</f>
        <v/>
      </c>
      <c r="E33" s="50">
        <f>IF('[1]سجل المستخلصات'!$F$17="","",'[1]سجل المستخلصات'!$F$17)</f>
        <v/>
      </c>
      <c r="F33" s="51">
        <f>IF('[1]سجل المستخلصات'!$H$17="","",'[1]سجل المستخلصات'!$H$17)</f>
        <v/>
      </c>
      <c r="G33" s="51">
        <f>IF('[1]سجل المستخلصات'!$G$17="","",'[1]سجل المستخلصات'!$G$17)</f>
        <v/>
      </c>
      <c r="H33" s="51">
        <f>IF('[1]سجل المستخلصات'!$I$17="","",'[1]سجل المستخلصات'!$I$17)</f>
        <v/>
      </c>
      <c r="I33" s="51">
        <f>IF('[1]سجل المستخلصات'!$J$17="","",'[1]سجل المستخلصات'!$J$17)</f>
        <v/>
      </c>
      <c r="J33" s="51">
        <f>IF('[1]سجل المستخلصات'!$K$17="","",'[1]سجل المستخلصات'!$K$17)</f>
        <v/>
      </c>
      <c r="K33" s="52">
        <f>IF('[1]سجل المستخلصات'!$L$17="","",'[1]سجل المستخلصات'!$L$17)</f>
        <v/>
      </c>
      <c r="L33" s="52">
        <f>IF('[1]سجل المستخلصات'!$M$17="","",'[1]سجل المستخلصات'!$M$17)</f>
        <v/>
      </c>
      <c r="M33" s="52">
        <f>IF('[1]سجل المستخلصات'!$N$17="","",'[1]سجل المستخلصات'!$N$17)</f>
        <v/>
      </c>
      <c r="N33" s="51">
        <f>IF('[1]سجل المستخلصات'!$O$17="","",'[1]سجل المستخلصات'!$O$17)</f>
        <v/>
      </c>
      <c r="O33" s="51">
        <f>IF('[1]سجل المستخلصات'!$R$17="","",'[1]سجل المستخلصات'!$R$17)</f>
        <v/>
      </c>
      <c r="P33" s="51">
        <f>IF('[1]سجل المستخلصات'!$S$17="","",'[1]سجل المستخلصات'!$S$17)</f>
        <v/>
      </c>
      <c r="Q33" s="51">
        <f>IF('[1]سجل المستخلصات'!$T$17="","",'[1]سجل المستخلصات'!$T$17)</f>
        <v/>
      </c>
      <c r="R33" s="51">
        <f>IF('[1]سجل المستخلصات'!$V$17="","",'[1]سجل المستخلصات'!$V$17)</f>
        <v/>
      </c>
      <c r="S33" s="51">
        <f>IF('[1]سجل المستخلصات'!$W$17="","",'[1]سجل المستخلصات'!$W$17)</f>
        <v/>
      </c>
      <c r="T33" s="53">
        <f>IF('[1]سجل المستخلصات'!$X$17="","",'[1]سجل المستخلصات'!$X$17)</f>
        <v/>
      </c>
      <c r="U33" s="53">
        <f>IF('[1]سجل المستخلصات'!$Z$17="","",'[1]سجل المستخلصات'!$Z$17)</f>
        <v/>
      </c>
      <c r="V33" s="51">
        <f>IF('[1]سجل المستخلصات'!$AA$17="","",'[1]سجل المستخلصات'!$AA$17)</f>
        <v/>
      </c>
      <c r="W33" s="51">
        <f>IF('[1]سجل المستخلصات'!$AC$17="","",'[1]سجل المستخلصات'!$AC$17)</f>
        <v/>
      </c>
      <c r="X33" s="54">
        <f>IF('[1]سجل المستخلصات'!$AD$17="","",'[1]سجل المستخلصات'!$AD$17)</f>
        <v/>
      </c>
      <c r="Y33" s="50">
        <f>IF('[1]سجل المستخلصات'!$AE$17="","",'[1]سجل المستخلصات'!$AE$17)</f>
        <v/>
      </c>
    </row>
    <row r="34">
      <c r="B34" s="48" t="n">
        <v>13</v>
      </c>
      <c r="C34" s="49">
        <f>IF('[1]سجل المستخلصات'!$C$18="","",'[1]سجل المستخلصات'!$C$18)</f>
        <v/>
      </c>
      <c r="D34" s="49">
        <f>IF('[1]سجل المستخلصات'!$E$18="","",'[1]سجل المستخلصات'!$E$18)</f>
        <v/>
      </c>
      <c r="E34" s="50">
        <f>IF('[1]سجل المستخلصات'!$F$18="","",'[1]سجل المستخلصات'!$F$18)</f>
        <v/>
      </c>
      <c r="F34" s="51">
        <f>IF('[1]سجل المستخلصات'!$H$18="","",'[1]سجل المستخلصات'!$H$18)</f>
        <v/>
      </c>
      <c r="G34" s="51">
        <f>IF('[1]سجل المستخلصات'!$G$18="","",'[1]سجل المستخلصات'!$G$18)</f>
        <v/>
      </c>
      <c r="H34" s="51">
        <f>IF('[1]سجل المستخلصات'!$I$18="","",'[1]سجل المستخلصات'!$I$18)</f>
        <v/>
      </c>
      <c r="I34" s="51">
        <f>IF('[1]سجل المستخلصات'!$J$18="","",'[1]سجل المستخلصات'!$J$18)</f>
        <v/>
      </c>
      <c r="J34" s="51">
        <f>IF('[1]سجل المستخلصات'!$K$18="","",'[1]سجل المستخلصات'!$K$18)</f>
        <v/>
      </c>
      <c r="K34" s="52">
        <f>IF('[1]سجل المستخلصات'!$L$18="","",'[1]سجل المستخلصات'!$L$18)</f>
        <v/>
      </c>
      <c r="L34" s="52">
        <f>IF('[1]سجل المستخلصات'!$M$18="","",'[1]سجل المستخلصات'!$M$18)</f>
        <v/>
      </c>
      <c r="M34" s="52">
        <f>IF('[1]سجل المستخلصات'!$N$18="","",'[1]سجل المستخلصات'!$N$18)</f>
        <v/>
      </c>
      <c r="N34" s="51">
        <f>IF('[1]سجل المستخلصات'!$O$18="","",'[1]سجل المستخلصات'!$O$18)</f>
        <v/>
      </c>
      <c r="O34" s="51">
        <f>IF('[1]سجل المستخلصات'!$R$18="","",'[1]سجل المستخلصات'!$R$18)</f>
        <v/>
      </c>
      <c r="P34" s="51">
        <f>IF('[1]سجل المستخلصات'!$S$18="","",'[1]سجل المستخلصات'!$S$18)</f>
        <v/>
      </c>
      <c r="Q34" s="51">
        <f>IF('[1]سجل المستخلصات'!$T$18="","",'[1]سجل المستخلصات'!$T$18)</f>
        <v/>
      </c>
      <c r="R34" s="51">
        <f>IF('[1]سجل المستخلصات'!$V$18="","",'[1]سجل المستخلصات'!$V$18)</f>
        <v/>
      </c>
      <c r="S34" s="51">
        <f>IF('[1]سجل المستخلصات'!$W$18="","",'[1]سجل المستخلصات'!$W$18)</f>
        <v/>
      </c>
      <c r="T34" s="53">
        <f>IF('[1]سجل المستخلصات'!$X$18="","",'[1]سجل المستخلصات'!$X$18)</f>
        <v/>
      </c>
      <c r="U34" s="53">
        <f>IF('[1]سجل المستخلصات'!$Z$18="","",'[1]سجل المستخلصات'!$Z$18)</f>
        <v/>
      </c>
      <c r="V34" s="51">
        <f>IF('[1]سجل المستخلصات'!$AA$18="","",'[1]سجل المستخلصات'!$AA$18)</f>
        <v/>
      </c>
      <c r="W34" s="51">
        <f>IF('[1]سجل المستخلصات'!$AC$18="","",'[1]سجل المستخلصات'!$AC$18)</f>
        <v/>
      </c>
      <c r="X34" s="54">
        <f>IF('[1]سجل المستخلصات'!$AD$18="","",'[1]سجل المستخلصات'!$AD$18)</f>
        <v/>
      </c>
      <c r="Y34" s="50">
        <f>IF('[1]سجل المستخلصات'!$AE$18="","",'[1]سجل المستخلصات'!$AE$18)</f>
        <v/>
      </c>
    </row>
    <row r="35">
      <c r="B35" s="48" t="n">
        <v>14</v>
      </c>
      <c r="C35" s="49">
        <f>IF('[1]سجل المستخلصات'!$C$19="","",'[1]سجل المستخلصات'!$C$19)</f>
        <v/>
      </c>
      <c r="D35" s="49">
        <f>IF('[1]سجل المستخلصات'!$E$19="","",'[1]سجل المستخلصات'!$E$19)</f>
        <v/>
      </c>
      <c r="E35" s="50">
        <f>IF('[1]سجل المستخلصات'!$F$19="","",'[1]سجل المستخلصات'!$F$19)</f>
        <v/>
      </c>
      <c r="F35" s="51">
        <f>IF('[1]سجل المستخلصات'!$H$19="","",'[1]سجل المستخلصات'!$H$19)</f>
        <v/>
      </c>
      <c r="G35" s="51">
        <f>IF('[1]سجل المستخلصات'!$G$19="","",'[1]سجل المستخلصات'!$G$19)</f>
        <v/>
      </c>
      <c r="H35" s="51">
        <f>IF('[1]سجل المستخلصات'!$I$19="","",'[1]سجل المستخلصات'!$I$19)</f>
        <v/>
      </c>
      <c r="I35" s="51">
        <f>IF('[1]سجل المستخلصات'!$J$19="","",'[1]سجل المستخلصات'!$J$19)</f>
        <v/>
      </c>
      <c r="J35" s="51">
        <f>IF('[1]سجل المستخلصات'!$K$19="","",'[1]سجل المستخلصات'!$K$19)</f>
        <v/>
      </c>
      <c r="K35" s="52">
        <f>IF('[1]سجل المستخلصات'!$L$19="","",'[1]سجل المستخلصات'!$L$19)</f>
        <v/>
      </c>
      <c r="L35" s="52">
        <f>IF('[1]سجل المستخلصات'!$M$19="","",'[1]سجل المستخلصات'!$M$19)</f>
        <v/>
      </c>
      <c r="M35" s="52">
        <f>IF('[1]سجل المستخلصات'!$N$19="","",'[1]سجل المستخلصات'!$N$19)</f>
        <v/>
      </c>
      <c r="N35" s="51">
        <f>IF('[1]سجل المستخلصات'!$O$19="","",'[1]سجل المستخلصات'!$O$19)</f>
        <v/>
      </c>
      <c r="O35" s="51">
        <f>IF('[1]سجل المستخلصات'!$R$19="","",'[1]سجل المستخلصات'!$R$19)</f>
        <v/>
      </c>
      <c r="P35" s="51">
        <f>IF('[1]سجل المستخلصات'!$S$19="","",'[1]سجل المستخلصات'!$S$19)</f>
        <v/>
      </c>
      <c r="Q35" s="51">
        <f>IF('[1]سجل المستخلصات'!$T$19="","",'[1]سجل المستخلصات'!$T$19)</f>
        <v/>
      </c>
      <c r="R35" s="51">
        <f>IF('[1]سجل المستخلصات'!$V$19="","",'[1]سجل المستخلصات'!$V$19)</f>
        <v/>
      </c>
      <c r="S35" s="51">
        <f>IF('[1]سجل المستخلصات'!$W$19="","",'[1]سجل المستخلصات'!$W$19)</f>
        <v/>
      </c>
      <c r="T35" s="53">
        <f>IF('[1]سجل المستخلصات'!$X$19="","",'[1]سجل المستخلصات'!$X$19)</f>
        <v/>
      </c>
      <c r="U35" s="53">
        <f>IF('[1]سجل المستخلصات'!$Z$19="","",'[1]سجل المستخلصات'!$Z$19)</f>
        <v/>
      </c>
      <c r="V35" s="51">
        <f>IF('[1]سجل المستخلصات'!$AA$19="","",'[1]سجل المستخلصات'!$AA$19)</f>
        <v/>
      </c>
      <c r="W35" s="51">
        <f>IF('[1]سجل المستخلصات'!$AC$19="","",'[1]سجل المستخلصات'!$AC$19)</f>
        <v/>
      </c>
      <c r="X35" s="54">
        <f>IF('[1]سجل المستخلصات'!$AD$19="","",'[1]سجل المستخلصات'!$AD$19)</f>
        <v/>
      </c>
      <c r="Y35" s="50">
        <f>IF('[1]سجل المستخلصات'!$AE$19="","",'[1]سجل المستخلصات'!$AE$19)</f>
        <v/>
      </c>
    </row>
    <row r="36">
      <c r="B36" s="48" t="n">
        <v>15</v>
      </c>
      <c r="C36" s="49">
        <f>IF('[1]سجل المستخلصات'!$C$20="","",'[1]سجل المستخلصات'!$C$20)</f>
        <v/>
      </c>
      <c r="D36" s="49">
        <f>IF('[1]سجل المستخلصات'!$E$20="","",'[1]سجل المستخلصات'!$E$20)</f>
        <v/>
      </c>
      <c r="E36" s="50">
        <f>IF('[1]سجل المستخلصات'!$F$20="","",'[1]سجل المستخلصات'!$F$20)</f>
        <v/>
      </c>
      <c r="F36" s="51">
        <f>IF('[1]سجل المستخلصات'!$H$20="","",'[1]سجل المستخلصات'!$H$20)</f>
        <v/>
      </c>
      <c r="G36" s="51">
        <f>IF('[1]سجل المستخلصات'!$G$20="","",'[1]سجل المستخلصات'!$G$20)</f>
        <v/>
      </c>
      <c r="H36" s="51">
        <f>IF('[1]سجل المستخلصات'!$I$20="","",'[1]سجل المستخلصات'!$I$20)</f>
        <v/>
      </c>
      <c r="I36" s="51">
        <f>IF('[1]سجل المستخلصات'!$J$20="","",'[1]سجل المستخلصات'!$J$20)</f>
        <v/>
      </c>
      <c r="J36" s="51">
        <f>IF('[1]سجل المستخلصات'!$K$20="","",'[1]سجل المستخلصات'!$K$20)</f>
        <v/>
      </c>
      <c r="K36" s="52">
        <f>IF('[1]سجل المستخلصات'!$L$20="","",'[1]سجل المستخلصات'!$L$20)</f>
        <v/>
      </c>
      <c r="L36" s="52">
        <f>IF('[1]سجل المستخلصات'!$M$20="","",'[1]سجل المستخلصات'!$M$20)</f>
        <v/>
      </c>
      <c r="M36" s="52">
        <f>IF('[1]سجل المستخلصات'!$N$20="","",'[1]سجل المستخلصات'!$N$20)</f>
        <v/>
      </c>
      <c r="N36" s="51">
        <f>IF('[1]سجل المستخلصات'!$O$20="","",'[1]سجل المستخلصات'!$O$20)</f>
        <v/>
      </c>
      <c r="O36" s="51">
        <f>IF('[1]سجل المستخلصات'!$R$20="","",'[1]سجل المستخلصات'!$R$20)</f>
        <v/>
      </c>
      <c r="P36" s="51">
        <f>IF('[1]سجل المستخلصات'!$S$20="","",'[1]سجل المستخلصات'!$S$20)</f>
        <v/>
      </c>
      <c r="Q36" s="51">
        <f>IF('[1]سجل المستخلصات'!$T$20="","",'[1]سجل المستخلصات'!$T$20)</f>
        <v/>
      </c>
      <c r="R36" s="51">
        <f>IF('[1]سجل المستخلصات'!$V$20="","",'[1]سجل المستخلصات'!$V$20)</f>
        <v/>
      </c>
      <c r="S36" s="51">
        <f>IF('[1]سجل المستخلصات'!$W$20="","",'[1]سجل المستخلصات'!$W$20)</f>
        <v/>
      </c>
      <c r="T36" s="53">
        <f>IF('[1]سجل المستخلصات'!$X$20="","",'[1]سجل المستخلصات'!$X$20)</f>
        <v/>
      </c>
      <c r="U36" s="53">
        <f>IF('[1]سجل المستخلصات'!$Z$20="","",'[1]سجل المستخلصات'!$Z$20)</f>
        <v/>
      </c>
      <c r="V36" s="51">
        <f>IF('[1]سجل المستخلصات'!$AA$20="","",'[1]سجل المستخلصات'!$AA$20)</f>
        <v/>
      </c>
      <c r="W36" s="51">
        <f>IF('[1]سجل المستخلصات'!$AC$20="","",'[1]سجل المستخلصات'!$AC$20)</f>
        <v/>
      </c>
      <c r="X36" s="54">
        <f>IF('[1]سجل المستخلصات'!$AD$20="","",'[1]سجل المستخلصات'!$AD$20)</f>
        <v/>
      </c>
      <c r="Y36" s="50">
        <f>IF('[1]سجل المستخلصات'!$AE$20="","",'[1]سجل المستخلصات'!$AE$20)</f>
        <v/>
      </c>
    </row>
    <row r="37">
      <c r="B37" s="48" t="n">
        <v>16</v>
      </c>
      <c r="C37" s="49">
        <f>IF('[1]سجل المستخلصات'!$C$21="","",'[1]سجل المستخلصات'!$C$21)</f>
        <v/>
      </c>
      <c r="D37" s="49">
        <f>IF('[1]سجل المستخلصات'!$E$21="","",'[1]سجل المستخلصات'!$E$21)</f>
        <v/>
      </c>
      <c r="E37" s="50">
        <f>IF('[1]سجل المستخلصات'!$F$21="","",'[1]سجل المستخلصات'!$F$21)</f>
        <v/>
      </c>
      <c r="F37" s="51">
        <f>IF('[1]سجل المستخلصات'!$H$21="","",'[1]سجل المستخلصات'!$H$21)</f>
        <v/>
      </c>
      <c r="G37" s="51">
        <f>IF('[1]سجل المستخلصات'!$G$21="","",'[1]سجل المستخلصات'!$G$21)</f>
        <v/>
      </c>
      <c r="H37" s="51">
        <f>IF('[1]سجل المستخلصات'!$I$21="","",'[1]سجل المستخلصات'!$I$21)</f>
        <v/>
      </c>
      <c r="I37" s="51">
        <f>IF('[1]سجل المستخلصات'!$J$21="","",'[1]سجل المستخلصات'!$J$21)</f>
        <v/>
      </c>
      <c r="J37" s="51">
        <f>IF('[1]سجل المستخلصات'!$K$21="","",'[1]سجل المستخلصات'!$K$21)</f>
        <v/>
      </c>
      <c r="K37" s="52">
        <f>IF('[1]سجل المستخلصات'!$L$21="","",'[1]سجل المستخلصات'!$L$21)</f>
        <v/>
      </c>
      <c r="L37" s="52">
        <f>IF('[1]سجل المستخلصات'!$M$21="","",'[1]سجل المستخلصات'!$M$21)</f>
        <v/>
      </c>
      <c r="M37" s="52">
        <f>IF('[1]سجل المستخلصات'!$N$21="","",'[1]سجل المستخلصات'!$N$21)</f>
        <v/>
      </c>
      <c r="N37" s="51">
        <f>IF('[1]سجل المستخلصات'!$O$21="","",'[1]سجل المستخلصات'!$O$21)</f>
        <v/>
      </c>
      <c r="O37" s="51">
        <f>IF('[1]سجل المستخلصات'!$R$21="","",'[1]سجل المستخلصات'!$R$21)</f>
        <v/>
      </c>
      <c r="P37" s="51">
        <f>IF('[1]سجل المستخلصات'!$S$21="","",'[1]سجل المستخلصات'!$S$21)</f>
        <v/>
      </c>
      <c r="Q37" s="51">
        <f>IF('[1]سجل المستخلصات'!$T$21="","",'[1]سجل المستخلصات'!$T$21)</f>
        <v/>
      </c>
      <c r="R37" s="51">
        <f>IF('[1]سجل المستخلصات'!$V$21="","",'[1]سجل المستخلصات'!$V$21)</f>
        <v/>
      </c>
      <c r="S37" s="51">
        <f>IF('[1]سجل المستخلصات'!$W$21="","",'[1]سجل المستخلصات'!$W$21)</f>
        <v/>
      </c>
      <c r="T37" s="53">
        <f>IF('[1]سجل المستخلصات'!$X$21="","",'[1]سجل المستخلصات'!$X$21)</f>
        <v/>
      </c>
      <c r="U37" s="53">
        <f>IF('[1]سجل المستخلصات'!$Z$21="","",'[1]سجل المستخلصات'!$Z$21)</f>
        <v/>
      </c>
      <c r="V37" s="51">
        <f>IF('[1]سجل المستخلصات'!$AA$21="","",'[1]سجل المستخلصات'!$AA$21)</f>
        <v/>
      </c>
      <c r="W37" s="51">
        <f>IF('[1]سجل المستخلصات'!$AC$21="","",'[1]سجل المستخلصات'!$AC$21)</f>
        <v/>
      </c>
      <c r="X37" s="54">
        <f>IF('[1]سجل المستخلصات'!$AD$21="","",'[1]سجل المستخلصات'!$AD$21)</f>
        <v/>
      </c>
      <c r="Y37" s="50">
        <f>IF('[1]سجل المستخلصات'!$AE$21="","",'[1]سجل المستخلصات'!$AE$21)</f>
        <v/>
      </c>
    </row>
    <row r="38">
      <c r="B38" s="48" t="n">
        <v>17</v>
      </c>
      <c r="C38" s="49">
        <f>IF('[1]سجل المستخلصات'!$C$22="","",'[1]سجل المستخلصات'!$C$22)</f>
        <v/>
      </c>
      <c r="D38" s="49">
        <f>IF('[1]سجل المستخلصات'!$E$22="","",'[1]سجل المستخلصات'!$E$22)</f>
        <v/>
      </c>
      <c r="E38" s="50">
        <f>IF('[1]سجل المستخلصات'!$F$22="","",'[1]سجل المستخلصات'!$F$22)</f>
        <v/>
      </c>
      <c r="F38" s="51">
        <f>IF('[1]سجل المستخلصات'!$H$22="","",'[1]سجل المستخلصات'!$H$22)</f>
        <v/>
      </c>
      <c r="G38" s="51">
        <f>IF('[1]سجل المستخلصات'!$G$22="","",'[1]سجل المستخلصات'!$G$22)</f>
        <v/>
      </c>
      <c r="H38" s="51">
        <f>IF('[1]سجل المستخلصات'!$I$22="","",'[1]سجل المستخلصات'!$I$22)</f>
        <v/>
      </c>
      <c r="I38" s="51">
        <f>IF('[1]سجل المستخلصات'!$J$22="","",'[1]سجل المستخلصات'!$J$22)</f>
        <v/>
      </c>
      <c r="J38" s="51">
        <f>IF('[1]سجل المستخلصات'!$K$22="","",'[1]سجل المستخلصات'!$K$22)</f>
        <v/>
      </c>
      <c r="K38" s="52">
        <f>IF('[1]سجل المستخلصات'!$L$22="","",'[1]سجل المستخلصات'!$L$22)</f>
        <v/>
      </c>
      <c r="L38" s="52">
        <f>IF('[1]سجل المستخلصات'!$M$22="","",'[1]سجل المستخلصات'!$M$22)</f>
        <v/>
      </c>
      <c r="M38" s="52">
        <f>IF('[1]سجل المستخلصات'!$N$22="","",'[1]سجل المستخلصات'!$N$22)</f>
        <v/>
      </c>
      <c r="N38" s="51">
        <f>IF('[1]سجل المستخلصات'!$O$22="","",'[1]سجل المستخلصات'!$O$22)</f>
        <v/>
      </c>
      <c r="O38" s="51">
        <f>IF('[1]سجل المستخلصات'!$R$22="","",'[1]سجل المستخلصات'!$R$22)</f>
        <v/>
      </c>
      <c r="P38" s="51">
        <f>IF('[1]سجل المستخلصات'!$S$22="","",'[1]سجل المستخلصات'!$S$22)</f>
        <v/>
      </c>
      <c r="Q38" s="51">
        <f>IF('[1]سجل المستخلصات'!$T$22="","",'[1]سجل المستخلصات'!$T$22)</f>
        <v/>
      </c>
      <c r="R38" s="51">
        <f>IF('[1]سجل المستخلصات'!$V$22="","",'[1]سجل المستخلصات'!$V$22)</f>
        <v/>
      </c>
      <c r="S38" s="51">
        <f>IF('[1]سجل المستخلصات'!$W$22="","",'[1]سجل المستخلصات'!$W$22)</f>
        <v/>
      </c>
      <c r="T38" s="53">
        <f>IF('[1]سجل المستخلصات'!$X$22="","",'[1]سجل المستخلصات'!$X$22)</f>
        <v/>
      </c>
      <c r="U38" s="53">
        <f>IF('[1]سجل المستخلصات'!$Z$22="","",'[1]سجل المستخلصات'!$Z$22)</f>
        <v/>
      </c>
      <c r="V38" s="51">
        <f>IF('[1]سجل المستخلصات'!$AA$22="","",'[1]سجل المستخلصات'!$AA$22)</f>
        <v/>
      </c>
      <c r="W38" s="51">
        <f>IF('[1]سجل المستخلصات'!$AC$22="","",'[1]سجل المستخلصات'!$AC$22)</f>
        <v/>
      </c>
      <c r="X38" s="54">
        <f>IF('[1]سجل المستخلصات'!$AD$22="","",'[1]سجل المستخلصات'!$AD$22)</f>
        <v/>
      </c>
      <c r="Y38" s="50">
        <f>IF('[1]سجل المستخلصات'!$AE$22="","",'[1]سجل المستخلصات'!$AE$22)</f>
        <v/>
      </c>
    </row>
    <row r="39">
      <c r="B39" s="48" t="n">
        <v>18</v>
      </c>
      <c r="C39" s="49">
        <f>IF('[1]سجل المستخلصات'!$C$23="","",'[1]سجل المستخلصات'!$C$23)</f>
        <v/>
      </c>
      <c r="D39" s="49">
        <f>IF('[1]سجل المستخلصات'!$E$23="","",'[1]سجل المستخلصات'!$E$23)</f>
        <v/>
      </c>
      <c r="E39" s="50">
        <f>IF('[1]سجل المستخلصات'!$F$23="","",'[1]سجل المستخلصات'!$F$23)</f>
        <v/>
      </c>
      <c r="F39" s="51">
        <f>IF('[1]سجل المستخلصات'!$H$23="","",'[1]سجل المستخلصات'!$H$23)</f>
        <v/>
      </c>
      <c r="G39" s="51">
        <f>IF('[1]سجل المستخلصات'!$G$23="","",'[1]سجل المستخلصات'!$G$23)</f>
        <v/>
      </c>
      <c r="H39" s="51">
        <f>IF('[1]سجل المستخلصات'!$I$23="","",'[1]سجل المستخلصات'!$I$23)</f>
        <v/>
      </c>
      <c r="I39" s="51">
        <f>IF('[1]سجل المستخلصات'!$J$23="","",'[1]سجل المستخلصات'!$J$23)</f>
        <v/>
      </c>
      <c r="J39" s="51">
        <f>IF('[1]سجل المستخلصات'!$K$23="","",'[1]سجل المستخلصات'!$K$23)</f>
        <v/>
      </c>
      <c r="K39" s="52">
        <f>IF('[1]سجل المستخلصات'!$L$23="","",'[1]سجل المستخلصات'!$L$23)</f>
        <v/>
      </c>
      <c r="L39" s="52">
        <f>IF('[1]سجل المستخلصات'!$M$23="","",'[1]سجل المستخلصات'!$M$23)</f>
        <v/>
      </c>
      <c r="M39" s="52">
        <f>IF('[1]سجل المستخلصات'!$N$23="","",'[1]سجل المستخلصات'!$N$23)</f>
        <v/>
      </c>
      <c r="N39" s="51">
        <f>IF('[1]سجل المستخلصات'!$O$23="","",'[1]سجل المستخلصات'!$O$23)</f>
        <v/>
      </c>
      <c r="O39" s="51">
        <f>IF('[1]سجل المستخلصات'!$R$23="","",'[1]سجل المستخلصات'!$R$23)</f>
        <v/>
      </c>
      <c r="P39" s="51">
        <f>IF('[1]سجل المستخلصات'!$S$23="","",'[1]سجل المستخلصات'!$S$23)</f>
        <v/>
      </c>
      <c r="Q39" s="51">
        <f>IF('[1]سجل المستخلصات'!$T$23="","",'[1]سجل المستخلصات'!$T$23)</f>
        <v/>
      </c>
      <c r="R39" s="51">
        <f>IF('[1]سجل المستخلصات'!$V$23="","",'[1]سجل المستخلصات'!$V$23)</f>
        <v/>
      </c>
      <c r="S39" s="51">
        <f>IF('[1]سجل المستخلصات'!$W$23="","",'[1]سجل المستخلصات'!$W$23)</f>
        <v/>
      </c>
      <c r="T39" s="53">
        <f>IF('[1]سجل المستخلصات'!$X$23="","",'[1]سجل المستخلصات'!$X$23)</f>
        <v/>
      </c>
      <c r="U39" s="53">
        <f>IF('[1]سجل المستخلصات'!$Z$23="","",'[1]سجل المستخلصات'!$Z$23)</f>
        <v/>
      </c>
      <c r="V39" s="51">
        <f>IF('[1]سجل المستخلصات'!$AA$23="","",'[1]سجل المستخلصات'!$AA$23)</f>
        <v/>
      </c>
      <c r="W39" s="51">
        <f>IF('[1]سجل المستخلصات'!$AC$23="","",'[1]سجل المستخلصات'!$AC$23)</f>
        <v/>
      </c>
      <c r="X39" s="54">
        <f>IF('[1]سجل المستخلصات'!$AD$23="","",'[1]سجل المستخلصات'!$AD$23)</f>
        <v/>
      </c>
      <c r="Y39" s="50">
        <f>IF('[1]سجل المستخلصات'!$AE$23="","",'[1]سجل المستخلصات'!$AE$23)</f>
        <v/>
      </c>
    </row>
    <row r="40">
      <c r="B40" s="48" t="n">
        <v>19</v>
      </c>
      <c r="C40" s="49">
        <f>IF('[1]سجل المستخلصات'!$C$24="","",'[1]سجل المستخلصات'!$C$24)</f>
        <v/>
      </c>
      <c r="D40" s="49">
        <f>IF('[1]سجل المستخلصات'!$E$24="","",'[1]سجل المستخلصات'!$E$24)</f>
        <v/>
      </c>
      <c r="E40" s="50">
        <f>IF('[1]سجل المستخلصات'!$F$24="","",'[1]سجل المستخلصات'!$F$24)</f>
        <v/>
      </c>
      <c r="F40" s="51">
        <f>IF('[1]سجل المستخلصات'!$H$24="","",'[1]سجل المستخلصات'!$H$24)</f>
        <v/>
      </c>
      <c r="G40" s="51">
        <f>IF('[1]سجل المستخلصات'!$G$24="","",'[1]سجل المستخلصات'!$G$24)</f>
        <v/>
      </c>
      <c r="H40" s="51">
        <f>IF('[1]سجل المستخلصات'!$I$24="","",'[1]سجل المستخلصات'!$I$24)</f>
        <v/>
      </c>
      <c r="I40" s="51">
        <f>IF('[1]سجل المستخلصات'!$J$24="","",'[1]سجل المستخلصات'!$J$24)</f>
        <v/>
      </c>
      <c r="J40" s="51">
        <f>IF('[1]سجل المستخلصات'!$K$24="","",'[1]سجل المستخلصات'!$K$24)</f>
        <v/>
      </c>
      <c r="K40" s="52">
        <f>IF('[1]سجل المستخلصات'!$L$24="","",'[1]سجل المستخلصات'!$L$24)</f>
        <v/>
      </c>
      <c r="L40" s="52">
        <f>IF('[1]سجل المستخلصات'!$M$24="","",'[1]سجل المستخلصات'!$M$24)</f>
        <v/>
      </c>
      <c r="M40" s="52">
        <f>IF('[1]سجل المستخلصات'!$N$24="","",'[1]سجل المستخلصات'!$N$24)</f>
        <v/>
      </c>
      <c r="N40" s="51">
        <f>IF('[1]سجل المستخلصات'!$O$24="","",'[1]سجل المستخلصات'!$O$24)</f>
        <v/>
      </c>
      <c r="O40" s="51">
        <f>IF('[1]سجل المستخلصات'!$R$24="","",'[1]سجل المستخلصات'!$R$24)</f>
        <v/>
      </c>
      <c r="P40" s="51">
        <f>IF('[1]سجل المستخلصات'!$S$24="","",'[1]سجل المستخلصات'!$S$24)</f>
        <v/>
      </c>
      <c r="Q40" s="51">
        <f>IF('[1]سجل المستخلصات'!$T$24="","",'[1]سجل المستخلصات'!$T$24)</f>
        <v/>
      </c>
      <c r="R40" s="51">
        <f>IF('[1]سجل المستخلصات'!$V$24="","",'[1]سجل المستخلصات'!$V$24)</f>
        <v/>
      </c>
      <c r="S40" s="51">
        <f>IF('[1]سجل المستخلصات'!$W$24="","",'[1]سجل المستخلصات'!$W$24)</f>
        <v/>
      </c>
      <c r="T40" s="53">
        <f>IF('[1]سجل المستخلصات'!$X$24="","",'[1]سجل المستخلصات'!$X$24)</f>
        <v/>
      </c>
      <c r="U40" s="53">
        <f>IF('[1]سجل المستخلصات'!$Z$24="","",'[1]سجل المستخلصات'!$Z$24)</f>
        <v/>
      </c>
      <c r="V40" s="51">
        <f>IF('[1]سجل المستخلصات'!$AA$24="","",'[1]سجل المستخلصات'!$AA$24)</f>
        <v/>
      </c>
      <c r="W40" s="51">
        <f>IF('[1]سجل المستخلصات'!$AC$24="","",'[1]سجل المستخلصات'!$AC$24)</f>
        <v/>
      </c>
      <c r="X40" s="54">
        <f>IF('[1]سجل المستخلصات'!$AD$24="","",'[1]سجل المستخلصات'!$AD$24)</f>
        <v/>
      </c>
      <c r="Y40" s="50">
        <f>IF('[1]سجل المستخلصات'!$AE$24="","",'[1]سجل المستخلصات'!$AE$24)</f>
        <v/>
      </c>
    </row>
    <row r="41">
      <c r="B41" s="48" t="n">
        <v>20</v>
      </c>
      <c r="C41" s="49">
        <f>IF('[1]سجل المستخلصات'!$C$25="","",'[1]سجل المستخلصات'!$C$25)</f>
        <v/>
      </c>
      <c r="D41" s="49">
        <f>IF('[1]سجل المستخلصات'!$E$25="","",'[1]سجل المستخلصات'!$E$25)</f>
        <v/>
      </c>
      <c r="E41" s="50">
        <f>IF('[1]سجل المستخلصات'!$F$25="","",'[1]سجل المستخلصات'!$F$25)</f>
        <v/>
      </c>
      <c r="F41" s="51">
        <f>IF('[1]سجل المستخلصات'!$H$25="","",'[1]سجل المستخلصات'!$H$25)</f>
        <v/>
      </c>
      <c r="G41" s="51">
        <f>IF('[1]سجل المستخلصات'!$G$25="","",'[1]سجل المستخلصات'!$G$25)</f>
        <v/>
      </c>
      <c r="H41" s="51">
        <f>IF('[1]سجل المستخلصات'!$I$25="","",'[1]سجل المستخلصات'!$I$25)</f>
        <v/>
      </c>
      <c r="I41" s="51">
        <f>IF('[1]سجل المستخلصات'!$J$25="","",'[1]سجل المستخلصات'!$J$25)</f>
        <v/>
      </c>
      <c r="J41" s="51">
        <f>IF('[1]سجل المستخلصات'!$K$25="","",'[1]سجل المستخلصات'!$K$25)</f>
        <v/>
      </c>
      <c r="K41" s="52">
        <f>IF('[1]سجل المستخلصات'!$L$25="","",'[1]سجل المستخلصات'!$L$25)</f>
        <v/>
      </c>
      <c r="L41" s="52">
        <f>IF('[1]سجل المستخلصات'!$M$25="","",'[1]سجل المستخلصات'!$M$25)</f>
        <v/>
      </c>
      <c r="M41" s="52">
        <f>IF('[1]سجل المستخلصات'!$N$25="","",'[1]سجل المستخلصات'!$N$25)</f>
        <v/>
      </c>
      <c r="N41" s="51">
        <f>IF('[1]سجل المستخلصات'!$O$25="","",'[1]سجل المستخلصات'!$O$25)</f>
        <v/>
      </c>
      <c r="O41" s="51">
        <f>IF('[1]سجل المستخلصات'!$R$25="","",'[1]سجل المستخلصات'!$R$25)</f>
        <v/>
      </c>
      <c r="P41" s="51">
        <f>IF('[1]سجل المستخلصات'!$S$25="","",'[1]سجل المستخلصات'!$S$25)</f>
        <v/>
      </c>
      <c r="Q41" s="51">
        <f>IF('[1]سجل المستخلصات'!$T$25="","",'[1]سجل المستخلصات'!$T$25)</f>
        <v/>
      </c>
      <c r="R41" s="51">
        <f>IF('[1]سجل المستخلصات'!$V$25="","",'[1]سجل المستخلصات'!$V$25)</f>
        <v/>
      </c>
      <c r="S41" s="51">
        <f>IF('[1]سجل المستخلصات'!$W$25="","",'[1]سجل المستخلصات'!$W$25)</f>
        <v/>
      </c>
      <c r="T41" s="53">
        <f>IF('[1]سجل المستخلصات'!$X$25="","",'[1]سجل المستخلصات'!$X$25)</f>
        <v/>
      </c>
      <c r="U41" s="53">
        <f>IF('[1]سجل المستخلصات'!$Z$25="","",'[1]سجل المستخلصات'!$Z$25)</f>
        <v/>
      </c>
      <c r="V41" s="51">
        <f>IF('[1]سجل المستخلصات'!$AA$25="","",'[1]سجل المستخلصات'!$AA$25)</f>
        <v/>
      </c>
      <c r="W41" s="51">
        <f>IF('[1]سجل المستخلصات'!$AC$25="","",'[1]سجل المستخلصات'!$AC$25)</f>
        <v/>
      </c>
      <c r="X41" s="54">
        <f>IF('[1]سجل المستخلصات'!$AD$25="","",'[1]سجل المستخلصات'!$AD$25)</f>
        <v/>
      </c>
      <c r="Y41" s="50">
        <f>IF('[1]سجل المستخلصات'!$AE$25="","",'[1]سجل المستخلصات'!$AE$25)</f>
        <v/>
      </c>
    </row>
    <row r="42">
      <c r="B42" s="55" t="inlineStr">
        <is>
          <t>الإجمالي</t>
        </is>
      </c>
      <c r="C42" s="56" t="n"/>
      <c r="D42" s="56" t="n"/>
      <c r="E42" s="55" t="n"/>
      <c r="F42" s="57">
        <f>SUM(F22:F41)</f>
        <v/>
      </c>
      <c r="G42" s="57">
        <f>IF($V$9=0,0,N(INDEX($G$22:$G$41,$V$9)))</f>
        <v/>
      </c>
      <c r="H42" s="57">
        <f>IF($V$9=0,0,N(INDEX($H$22:$H$41,$V$9)))</f>
        <v/>
      </c>
      <c r="I42" s="57">
        <f>IF($V$9=0,0,N(INDEX($I$22:$I$41,$V$9)))</f>
        <v/>
      </c>
      <c r="J42" s="57">
        <f>IF($V$9=0,0,N(INDEX($J$22:$J$41,$V$9)))</f>
        <v/>
      </c>
      <c r="K42" s="58">
        <f>IF($V$9=0,0,N(INDEX($K$22:$K$41,$V$9)))</f>
        <v/>
      </c>
      <c r="L42" s="58" t="n"/>
      <c r="M42" s="58" t="n"/>
      <c r="N42" s="57">
        <f>IF($V$9=0,0,N(INDEX($N$22:$N$41,$V$9)))</f>
        <v/>
      </c>
      <c r="O42" s="57">
        <f>IF($V$9=0,0,N(INDEX($O$22:$O$41,$V$9)))</f>
        <v/>
      </c>
      <c r="P42" s="57">
        <f>IF($V$9=0,0,N(INDEX($P$22:$P$41,$V$9)))</f>
        <v/>
      </c>
      <c r="Q42" s="57">
        <f>IF($V$9=0,0,N(INDEX($Q$22:$Q$41,$V$9)))</f>
        <v/>
      </c>
      <c r="R42" s="57">
        <f>IF($V$9=0,0,N(INDEX($R$22:$R$41,$V$9)))</f>
        <v/>
      </c>
      <c r="S42" s="57">
        <f>IF($V$9=0,0,N(INDEX($S$22:$S$41,$V$9)))</f>
        <v/>
      </c>
      <c r="T42" s="57">
        <f>IF($V$9=0,0,N(INDEX($T$22:$T$41,$V$9)))</f>
        <v/>
      </c>
      <c r="U42" s="57">
        <f>SUM(U22:U41)</f>
        <v/>
      </c>
      <c r="V42" s="57">
        <f>SUM(V22:V41)</f>
        <v/>
      </c>
      <c r="W42" s="57">
        <f>SUM(W22:W41)</f>
        <v/>
      </c>
      <c r="X42" s="59">
        <f>IFERROR(AVERAGE(X22:X41),0)</f>
        <v/>
      </c>
      <c r="Y42" s="55" t="n"/>
    </row>
    <row r="45">
      <c r="B45" s="46" t="inlineStr">
        <is>
          <t>الإنجاز حسب أقسام الأعمال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القسم</t>
        </is>
      </c>
      <c r="C46" s="47" t="n"/>
      <c r="D46" s="47" t="n"/>
      <c r="E46" s="47" t="inlineStr">
        <is>
          <t>القيمة التعاقدية</t>
        </is>
      </c>
      <c r="F46" s="47" t="inlineStr">
        <is>
          <t>القيمة المنفذة</t>
        </is>
      </c>
      <c r="G46" s="47" t="inlineStr">
        <is>
          <t>نسبة الإنجاز</t>
        </is>
      </c>
    </row>
    <row r="47">
      <c r="B47" s="60">
        <f>IF('[1]سجل المستخلصات'!$B$32="","",'[1]سجل المستخلصات'!$B$32)</f>
        <v/>
      </c>
      <c r="C47" s="60" t="n"/>
      <c r="D47" s="60" t="n"/>
      <c r="E47" s="51">
        <f>N('[1]سجل المستخلصات'!$E$32)</f>
        <v/>
      </c>
      <c r="F47" s="51">
        <f>N('[1]سجل المستخلصات'!$F$32)</f>
        <v/>
      </c>
      <c r="G47" s="61">
        <f>IF(E47&gt;0,F47/E47,0)</f>
        <v/>
      </c>
    </row>
    <row r="48">
      <c r="B48" s="60">
        <f>IF('[1]سجل المستخلصات'!$B$33="","",'[1]سجل المستخلصات'!$B$33)</f>
        <v/>
      </c>
      <c r="C48" s="60" t="n"/>
      <c r="D48" s="60" t="n"/>
      <c r="E48" s="51">
        <f>N('[1]سجل المستخلصات'!$E$33)</f>
        <v/>
      </c>
      <c r="F48" s="51">
        <f>N('[1]سجل المستخلصات'!$F$33)</f>
        <v/>
      </c>
      <c r="G48" s="61">
        <f>IF(E48&gt;0,F48/E48,0)</f>
        <v/>
      </c>
    </row>
    <row r="49">
      <c r="B49" s="60">
        <f>IF('[1]سجل المستخلصات'!$B$34="","",'[1]سجل المستخلصات'!$B$34)</f>
        <v/>
      </c>
      <c r="C49" s="60" t="n"/>
      <c r="D49" s="60" t="n"/>
      <c r="E49" s="51">
        <f>N('[1]سجل المستخلصات'!$E$34)</f>
        <v/>
      </c>
      <c r="F49" s="51">
        <f>N('[1]سجل المستخلصات'!$F$34)</f>
        <v/>
      </c>
      <c r="G49" s="61">
        <f>IF(E49&gt;0,F49/E49,0)</f>
        <v/>
      </c>
    </row>
    <row r="50">
      <c r="B50" s="60">
        <f>IF('[1]سجل المستخلصات'!$B$35="","",'[1]سجل المستخلصات'!$B$35)</f>
        <v/>
      </c>
      <c r="C50" s="60" t="n"/>
      <c r="D50" s="60" t="n"/>
      <c r="E50" s="51">
        <f>N('[1]سجل المستخلصات'!$E$35)</f>
        <v/>
      </c>
      <c r="F50" s="51">
        <f>N('[1]سجل المستخلصات'!$F$35)</f>
        <v/>
      </c>
      <c r="G50" s="61">
        <f>IF(E50&gt;0,F50/E50,0)</f>
        <v/>
      </c>
    </row>
    <row r="51">
      <c r="B51" s="60">
        <f>IF('[1]سجل المستخلصات'!$B$36="","",'[1]سجل المستخلصات'!$B$36)</f>
        <v/>
      </c>
      <c r="C51" s="60" t="n"/>
      <c r="D51" s="60" t="n"/>
      <c r="E51" s="51">
        <f>N('[1]سجل المستخلصات'!$E$36)</f>
        <v/>
      </c>
      <c r="F51" s="51">
        <f>N('[1]سجل المستخلصات'!$F$36)</f>
        <v/>
      </c>
      <c r="G51" s="61">
        <f>IF(E51&gt;0,F51/E51,0)</f>
        <v/>
      </c>
    </row>
    <row r="52">
      <c r="B52" s="60">
        <f>IF('[1]سجل المستخلصات'!$B$37="","",'[1]سجل المستخلصات'!$B$37)</f>
        <v/>
      </c>
      <c r="C52" s="60" t="n"/>
      <c r="D52" s="60" t="n"/>
      <c r="E52" s="51">
        <f>N('[1]سجل المستخلصات'!$E$37)</f>
        <v/>
      </c>
      <c r="F52" s="51">
        <f>N('[1]سجل المستخلصات'!$F$37)</f>
        <v/>
      </c>
      <c r="G52" s="61">
        <f>IF(E52&gt;0,F52/E52,0)</f>
        <v/>
      </c>
    </row>
    <row r="53">
      <c r="B53" s="60">
        <f>IF('[1]سجل المستخلصات'!$B$38="","",'[1]سجل المستخلصات'!$B$38)</f>
        <v/>
      </c>
      <c r="C53" s="60" t="n"/>
      <c r="D53" s="60" t="n"/>
      <c r="E53" s="51">
        <f>N('[1]سجل المستخلصات'!$E$38)</f>
        <v/>
      </c>
      <c r="F53" s="51">
        <f>N('[1]سجل المستخلصات'!$F$38)</f>
        <v/>
      </c>
      <c r="G53" s="61">
        <f>IF(E53&gt;0,F53/E53,0)</f>
        <v/>
      </c>
    </row>
    <row r="54">
      <c r="B54" s="60">
        <f>IF('[1]سجل المستخلصات'!$B$39="","",'[1]سجل المستخلصات'!$B$39)</f>
        <v/>
      </c>
      <c r="C54" s="60" t="n"/>
      <c r="D54" s="60" t="n"/>
      <c r="E54" s="51">
        <f>N('[1]سجل المستخلصات'!$E$39)</f>
        <v/>
      </c>
      <c r="F54" s="51">
        <f>N('[1]سجل المستخلصات'!$F$39)</f>
        <v/>
      </c>
      <c r="G54" s="61">
        <f>IF(E54&gt;0,F54/E54,0)</f>
        <v/>
      </c>
    </row>
    <row r="55">
      <c r="B55" s="60">
        <f>IF('[1]سجل المستخلصات'!$B$40="","",'[1]سجل المستخلصات'!$B$40)</f>
        <v/>
      </c>
      <c r="C55" s="60" t="n"/>
      <c r="D55" s="60" t="n"/>
      <c r="E55" s="51">
        <f>N('[1]سجل المستخلصات'!$E$40)</f>
        <v/>
      </c>
      <c r="F55" s="51">
        <f>N('[1]سجل المستخلصات'!$F$40)</f>
        <v/>
      </c>
      <c r="G55" s="61">
        <f>IF(E55&gt;0,F55/E55,0)</f>
        <v/>
      </c>
    </row>
    <row r="56">
      <c r="B56" s="60">
        <f>IF('[1]سجل المستخلصات'!$B$41="","",'[1]سجل المستخلصات'!$B$41)</f>
        <v/>
      </c>
      <c r="C56" s="60" t="n"/>
      <c r="D56" s="60" t="n"/>
      <c r="E56" s="51">
        <f>N('[1]سجل المستخلصات'!$E$41)</f>
        <v/>
      </c>
      <c r="F56" s="51">
        <f>N('[1]سجل المستخلصات'!$F$41)</f>
        <v/>
      </c>
      <c r="G56" s="61">
        <f>IF(E56&gt;0,F56/E56,0)</f>
        <v/>
      </c>
    </row>
    <row r="57">
      <c r="B57" s="60">
        <f>IF('[1]سجل المستخلصات'!$B$42="","",'[1]سجل المستخلصات'!$B$42)</f>
        <v/>
      </c>
      <c r="C57" s="60" t="n"/>
      <c r="D57" s="60" t="n"/>
      <c r="E57" s="51">
        <f>N('[1]سجل المستخلصات'!$E$42)</f>
        <v/>
      </c>
      <c r="F57" s="51">
        <f>N('[1]سجل المستخلصات'!$F$42)</f>
        <v/>
      </c>
      <c r="G57" s="61">
        <f>IF(E57&gt;0,F57/E57,0)</f>
        <v/>
      </c>
    </row>
    <row r="58">
      <c r="B58" s="60">
        <f>IF('[1]سجل المستخلصات'!$B$43="","",'[1]سجل المستخلصات'!$B$43)</f>
        <v/>
      </c>
      <c r="C58" s="60" t="n"/>
      <c r="D58" s="60" t="n"/>
      <c r="E58" s="51">
        <f>N('[1]سجل المستخلصات'!$E$43)</f>
        <v/>
      </c>
      <c r="F58" s="51">
        <f>N('[1]سجل المستخلصات'!$F$43)</f>
        <v/>
      </c>
      <c r="G58" s="61">
        <f>IF(E58&gt;0,F58/E58,0)</f>
        <v/>
      </c>
    </row>
  </sheetData>
  <mergeCells count="76">
    <mergeCell ref="R17:U17"/>
    <mergeCell ref="B9:E9"/>
    <mergeCell ref="F9:I9"/>
    <mergeCell ref="B2:Y2"/>
    <mergeCell ref="N9:Q9"/>
    <mergeCell ref="B57:D57"/>
    <mergeCell ref="J12:M12"/>
    <mergeCell ref="B15:E15"/>
    <mergeCell ref="B53:D53"/>
    <mergeCell ref="M5:Q5"/>
    <mergeCell ref="B1:Y1"/>
    <mergeCell ref="S5:Y5"/>
    <mergeCell ref="N15:Q15"/>
    <mergeCell ref="J18:M18"/>
    <mergeCell ref="H5:K5"/>
    <mergeCell ref="F14:I14"/>
    <mergeCell ref="R18:U18"/>
    <mergeCell ref="R9:U9"/>
    <mergeCell ref="V18:Y18"/>
    <mergeCell ref="N3:R3"/>
    <mergeCell ref="R8:U8"/>
    <mergeCell ref="R14:U14"/>
    <mergeCell ref="J17:M17"/>
    <mergeCell ref="J8:M8"/>
    <mergeCell ref="V12:Y12"/>
    <mergeCell ref="F11:I11"/>
    <mergeCell ref="B49:D49"/>
    <mergeCell ref="C6:F6"/>
    <mergeCell ref="N11:Q11"/>
    <mergeCell ref="V17:Y17"/>
    <mergeCell ref="R11:U11"/>
    <mergeCell ref="J14:M14"/>
    <mergeCell ref="C5:F5"/>
    <mergeCell ref="B55:D55"/>
    <mergeCell ref="AA4:AB4"/>
    <mergeCell ref="B51:D51"/>
    <mergeCell ref="V14:Y14"/>
    <mergeCell ref="B18:E18"/>
    <mergeCell ref="V8:Y8"/>
    <mergeCell ref="S3:Y3"/>
    <mergeCell ref="J9:M9"/>
    <mergeCell ref="M6:Q6"/>
    <mergeCell ref="B20:Y20"/>
    <mergeCell ref="B12:E12"/>
    <mergeCell ref="F12:I12"/>
    <mergeCell ref="B45:G45"/>
    <mergeCell ref="H6:K6"/>
    <mergeCell ref="B50:D50"/>
    <mergeCell ref="B11:E11"/>
    <mergeCell ref="N12:Q12"/>
    <mergeCell ref="F15:I15"/>
    <mergeCell ref="R15:U15"/>
    <mergeCell ref="J15:M15"/>
    <mergeCell ref="B47:D47"/>
    <mergeCell ref="B54:D54"/>
    <mergeCell ref="B14:E14"/>
    <mergeCell ref="N18:Q18"/>
    <mergeCell ref="F18:I18"/>
    <mergeCell ref="B17:E17"/>
    <mergeCell ref="B8:E8"/>
    <mergeCell ref="V9:Y9"/>
    <mergeCell ref="N8:Q8"/>
    <mergeCell ref="N14:Q14"/>
    <mergeCell ref="F17:I17"/>
    <mergeCell ref="F8:I8"/>
    <mergeCell ref="R12:U12"/>
    <mergeCell ref="N17:Q17"/>
    <mergeCell ref="B46:D46"/>
    <mergeCell ref="J11:M11"/>
    <mergeCell ref="B56:D56"/>
    <mergeCell ref="B58:D58"/>
    <mergeCell ref="V15:Y15"/>
    <mergeCell ref="B52:D52"/>
    <mergeCell ref="V11:Y11"/>
    <mergeCell ref="B48:D48"/>
    <mergeCell ref="S6:Y6"/>
  </mergeCells>
  <conditionalFormatting sqref="M22:M41">
    <cfRule type="cellIs" priority="1" operator="lessThan" dxfId="0">
      <formula>-0.0001</formula>
    </cfRule>
  </conditionalFormatting>
  <conditionalFormatting sqref="Y22:Y41">
    <cfRule type="expression" priority="2" dxfId="1">
      <formula>ISNUMBER(SEARCH("✔",Y22))</formula>
    </cfRule>
    <cfRule type="expression" priority="3" dxfId="2">
      <formula>ISNUMBER(SEARCH("✖",Y22))</formula>
    </cfRule>
    <cfRule type="expression" priority="4" dxfId="3">
      <formula>ISNUMBER(SEARCH("⚠",Y22))</formula>
    </cfRule>
  </conditionalFormatting>
  <conditionalFormatting sqref="B22:Y41">
    <cfRule type="expression" priority="5" dxfId="4">
      <formula>$B22=$V$9</formula>
    </cfRule>
  </conditionalFormatting>
  <conditionalFormatting sqref="K22:K41">
    <cfRule type="dataBar" priority="6">
      <dataBar>
        <cfvo type="num" val="0"/>
        <cfvo type="num" val="1"/>
        <color rgb="0063BE7B"/>
      </dataBar>
    </cfRule>
  </conditionalFormatting>
  <conditionalFormatting sqref="V12">
    <cfRule type="expression" priority="7" dxfId="0">
      <formula>ISNUMBER(SEARCH("⚠",V12))</formula>
    </cfRule>
  </conditionalFormatting>
  <conditionalFormatting sqref="J12">
    <cfRule type="cellIs" priority="8" operator="lessThan" dxfId="0">
      <formula>0</formula>
    </cfRule>
  </conditionalFormatting>
  <conditionalFormatting sqref="G47:G58">
    <cfRule type="dataBar" priority="9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xmlns:r="http://schemas.openxmlformats.org/officeDocument/2006/relationships" ref="N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"&amp;IF('[2]بيانات العقد'!$C$5="","مشروع رقم 02 — غير مُفعّل",'[2]بيانات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مشروع 01</t>
        </is>
      </c>
      <c r="D3" s="10" t="inlineStr">
        <is>
          <t>مشروع 02</t>
        </is>
      </c>
      <c r="E3" s="4" t="inlineStr">
        <is>
          <t>مشروع 03</t>
        </is>
      </c>
      <c r="F3" s="4" t="inlineStr">
        <is>
          <t>مشروع 04</t>
        </is>
      </c>
      <c r="G3" s="4" t="inlineStr">
        <is>
          <t>مشروع 05</t>
        </is>
      </c>
      <c r="H3" s="4" t="inlineStr">
        <is>
          <t>مشروع 06</t>
        </is>
      </c>
      <c r="I3" s="4" t="inlineStr">
        <is>
          <t>مشروع 07</t>
        </is>
      </c>
      <c r="J3" s="4" t="inlineStr">
        <is>
          <t>مشروع 08</t>
        </is>
      </c>
      <c r="K3" s="4" t="inlineStr">
        <is>
          <t>مشروع 09</t>
        </is>
      </c>
      <c r="L3" s="4" t="inlineStr">
        <is>
          <t>مشروع 10</t>
        </is>
      </c>
      <c r="N3" s="11" t="inlineStr">
        <is>
          <t>📂 فتح ملف المستخلصات: IPC_Project_02.xlsx</t>
        </is>
      </c>
      <c r="O3" s="11" t="n"/>
      <c r="P3" s="11" t="n"/>
      <c r="Q3" s="11" t="n"/>
      <c r="R3" s="11" t="n"/>
      <c r="S3" s="12" t="inlineStr">
        <is>
          <t>يُحدَّث آلياً من ملف المستخلصات (تمكين المحتوى ← تحديث الروابط)</t>
        </is>
      </c>
      <c r="T3" s="12" t="n"/>
      <c r="U3" s="12" t="n"/>
      <c r="V3" s="12" t="n"/>
      <c r="W3" s="12" t="n"/>
      <c r="X3" s="12" t="n"/>
      <c r="Y3" s="12" t="n"/>
    </row>
    <row r="4">
      <c r="AA4" s="11" t="inlineStr">
        <is>
          <t>بيانات مرتبطة من ملف المستخلصات</t>
        </is>
      </c>
      <c r="AB4" s="11" t="n"/>
    </row>
    <row r="5" ht="22" customHeight="1">
      <c r="B5" s="9" t="inlineStr">
        <is>
          <t>المشروع</t>
        </is>
      </c>
      <c r="C5" s="13">
        <f>IF('[2]بيانات العقد'!$C$5="","",'[2]بيانات العقد'!$C$5)</f>
        <v/>
      </c>
      <c r="D5" s="13" t="n"/>
      <c r="E5" s="13" t="n"/>
      <c r="F5" s="13" t="n"/>
      <c r="G5" s="9" t="inlineStr">
        <is>
          <t>رقم العقد</t>
        </is>
      </c>
      <c r="H5" s="13">
        <f>IF('[2]بيانات العقد'!$C$6="","",'[2]بيانات العقد'!$C$6)</f>
        <v/>
      </c>
      <c r="I5" s="13" t="n"/>
      <c r="J5" s="13" t="n"/>
      <c r="K5" s="13" t="n"/>
      <c r="L5" s="9" t="inlineStr">
        <is>
          <t>صاحب العمل</t>
        </is>
      </c>
      <c r="M5" s="13">
        <f>IF('[2]بيانات العقد'!$C$7="","",'[2]بيانات العقد'!$C$7)</f>
        <v/>
      </c>
      <c r="N5" s="13" t="n"/>
      <c r="O5" s="13" t="n"/>
      <c r="P5" s="13" t="n"/>
      <c r="Q5" s="13" t="n"/>
      <c r="R5" s="9" t="inlineStr">
        <is>
          <t>الاستشاري</t>
        </is>
      </c>
      <c r="S5" s="13">
        <f>IF('[2]بيانات العقد'!$C$8="","",'[2]بيانات العقد'!$C$8)</f>
        <v/>
      </c>
      <c r="T5" s="13" t="n"/>
      <c r="U5" s="13" t="n"/>
      <c r="V5" s="13" t="n"/>
      <c r="W5" s="13" t="n"/>
      <c r="X5" s="13" t="n"/>
      <c r="Y5" s="13" t="n"/>
      <c r="AA5" s="14" t="inlineStr">
        <is>
          <t>قيمة العقد الأصلية</t>
        </is>
      </c>
      <c r="AB5" s="15">
        <f>N('[2]بيانات العقد'!$C$16)</f>
        <v/>
      </c>
    </row>
    <row r="6" ht="22" customHeight="1">
      <c r="B6" s="9" t="inlineStr">
        <is>
          <t>المقاول</t>
        </is>
      </c>
      <c r="C6" s="13">
        <f>IF('[2]بيانات العقد'!$C$9="","",'[2]بيانات العقد'!$C$9)</f>
        <v/>
      </c>
      <c r="D6" s="13" t="n"/>
      <c r="E6" s="13" t="n"/>
      <c r="F6" s="13" t="n"/>
      <c r="G6" s="9" t="inlineStr">
        <is>
          <t>تاريخ البدء</t>
        </is>
      </c>
      <c r="H6" s="16">
        <f>IF('[2]بيانات العقد'!$C$11="","",'[2]بيانات العقد'!$C$11)</f>
        <v/>
      </c>
      <c r="I6" s="16" t="n"/>
      <c r="J6" s="16" t="n"/>
      <c r="K6" s="16" t="n"/>
      <c r="L6" s="9" t="inlineStr">
        <is>
          <t>الانتهاء التعاقدي</t>
        </is>
      </c>
      <c r="M6" s="16">
        <f>IF('[2]بيانات العقد'!$C$13="","",'[2]بيانات العقد'!$C$13)</f>
        <v/>
      </c>
      <c r="N6" s="16" t="n"/>
      <c r="O6" s="16" t="n"/>
      <c r="P6" s="16" t="n"/>
      <c r="Q6" s="16" t="n"/>
      <c r="R6" s="9" t="inlineStr">
        <is>
          <t>العملة</t>
        </is>
      </c>
      <c r="S6" s="13">
        <f>IF('[2]بيانات العقد'!$C$14="","",'[2]بيانات العقد'!$C$14)</f>
        <v/>
      </c>
      <c r="T6" s="13" t="n"/>
      <c r="U6" s="13" t="n"/>
      <c r="V6" s="13" t="n"/>
      <c r="W6" s="13" t="n"/>
      <c r="X6" s="13" t="n"/>
      <c r="Y6" s="13" t="n"/>
      <c r="AA6" s="14" t="inlineStr">
        <is>
          <t>صافي التغييرية المعتمدة</t>
        </is>
      </c>
      <c r="AB6" s="15">
        <f>N('[2]بيانات العقد'!$C$17)</f>
        <v/>
      </c>
    </row>
    <row r="7">
      <c r="AA7" s="14" t="inlineStr">
        <is>
          <t>قيمة العقد المعدلة</t>
        </is>
      </c>
      <c r="AB7" s="15">
        <f>N('[2]بيانات العقد'!$C$18)</f>
        <v/>
      </c>
    </row>
    <row r="8" ht="24" customHeight="1">
      <c r="B8" s="17" t="inlineStr">
        <is>
          <t>قيمة العقد الأصلية</t>
        </is>
      </c>
      <c r="C8" s="17" t="n"/>
      <c r="D8" s="17" t="n"/>
      <c r="E8" s="17" t="n"/>
      <c r="F8" s="18" t="inlineStr">
        <is>
          <t>صافي الأوامر التغييرية</t>
        </is>
      </c>
      <c r="G8" s="18" t="n"/>
      <c r="H8" s="18" t="n"/>
      <c r="I8" s="18" t="n"/>
      <c r="J8" s="17" t="inlineStr">
        <is>
          <t>قيمة العقد المعدلة</t>
        </is>
      </c>
      <c r="K8" s="17" t="n"/>
      <c r="L8" s="17" t="n"/>
      <c r="M8" s="17" t="n"/>
      <c r="N8" s="19" t="inlineStr">
        <is>
          <t>إجمالي قيمة الأعمال التراكمية</t>
        </is>
      </c>
      <c r="O8" s="19" t="n"/>
      <c r="P8" s="19" t="n"/>
      <c r="Q8" s="19" t="n"/>
      <c r="R8" s="20" t="inlineStr">
        <is>
          <t>الأعمال المتبقية</t>
        </is>
      </c>
      <c r="S8" s="20" t="n"/>
      <c r="T8" s="20" t="n"/>
      <c r="U8" s="20" t="n"/>
      <c r="V8" s="21" t="inlineStr">
        <is>
          <t>آخر مستخلص فعال</t>
        </is>
      </c>
      <c r="W8" s="21" t="n"/>
      <c r="X8" s="21" t="n"/>
      <c r="Y8" s="21" t="n"/>
      <c r="AA8" s="14" t="inlineStr">
        <is>
          <t>نسبة الدفعة المقدمة</t>
        </is>
      </c>
      <c r="AB8" s="22">
        <f>N('[2]بيانات العقد'!$C$20)</f>
        <v/>
      </c>
    </row>
    <row r="9" ht="32" customHeight="1">
      <c r="B9" s="23">
        <f>$AB$5</f>
        <v/>
      </c>
      <c r="C9" s="23" t="n"/>
      <c r="D9" s="23" t="n"/>
      <c r="E9" s="23" t="n"/>
      <c r="F9" s="24">
        <f>$AB$6</f>
        <v/>
      </c>
      <c r="G9" s="24" t="n"/>
      <c r="H9" s="24" t="n"/>
      <c r="I9" s="24" t="n"/>
      <c r="J9" s="23">
        <f>$AB$7</f>
        <v/>
      </c>
      <c r="K9" s="23" t="n"/>
      <c r="L9" s="23" t="n"/>
      <c r="M9" s="23" t="n"/>
      <c r="N9" s="25">
        <f>IF($V$9=0,0,N(INDEX($J$22:$J$41,$V$9)))</f>
        <v/>
      </c>
      <c r="O9" s="25" t="n"/>
      <c r="P9" s="25" t="n"/>
      <c r="Q9" s="25" t="n"/>
      <c r="R9" s="26">
        <f>MAX(0,$AB$7-IF($V$9=0,0,N(INDEX($G$22:$G$41,$V$9)))-IF($V$9=0,0,N(INDEX($H$22:$H$41,$V$9))))</f>
        <v/>
      </c>
      <c r="S9" s="26" t="n"/>
      <c r="T9" s="26" t="n"/>
      <c r="U9" s="26" t="n"/>
      <c r="V9" s="27">
        <f>SUMPRODUCT(MAX((C22:C41&lt;&gt;"")*B22:B41))</f>
        <v/>
      </c>
      <c r="W9" s="27" t="n"/>
      <c r="X9" s="27" t="n"/>
      <c r="Y9" s="27" t="n"/>
      <c r="AA9" s="14" t="inlineStr">
        <is>
          <t>قيمة الدفعة المقدمة</t>
        </is>
      </c>
      <c r="AB9" s="15">
        <f>N('[2]بيانات العقد'!$C$21)</f>
        <v/>
      </c>
    </row>
    <row r="10">
      <c r="AA10" s="14" t="inlineStr">
        <is>
          <t>نسبة ضمان الأعمال</t>
        </is>
      </c>
      <c r="AB10" s="22">
        <f>N('[2]بيانات العقد'!$C$27)</f>
        <v/>
      </c>
    </row>
    <row r="11" ht="24" customHeight="1">
      <c r="B11" s="19" t="inlineStr">
        <is>
          <t>نسبة الإنجاز الفعلية</t>
        </is>
      </c>
      <c r="C11" s="19" t="n"/>
      <c r="D11" s="19" t="n"/>
      <c r="E11" s="19" t="n"/>
      <c r="F11" s="17" t="inlineStr">
        <is>
          <t>نسبة الإنجاز المخططة</t>
        </is>
      </c>
      <c r="G11" s="17" t="n"/>
      <c r="H11" s="17" t="n"/>
      <c r="I11" s="17" t="n"/>
      <c r="J11" s="21" t="inlineStr">
        <is>
          <t>الانحراف (فعلي - مخطط)</t>
        </is>
      </c>
      <c r="K11" s="21" t="n"/>
      <c r="L11" s="21" t="n"/>
      <c r="M11" s="21" t="n"/>
      <c r="N11" s="20" t="inlineStr">
        <is>
          <t>نسبة المدة المنقضية</t>
        </is>
      </c>
      <c r="O11" s="20" t="n"/>
      <c r="P11" s="20" t="n"/>
      <c r="Q11" s="20" t="n"/>
      <c r="R11" s="17" t="inlineStr">
        <is>
          <t>مؤشر أداء الجدول (SPI)</t>
        </is>
      </c>
      <c r="S11" s="17" t="n"/>
      <c r="T11" s="17" t="n"/>
      <c r="U11" s="17" t="n"/>
      <c r="V11" s="17" t="inlineStr">
        <is>
          <t>حالة المشروع</t>
        </is>
      </c>
      <c r="W11" s="17" t="n"/>
      <c r="X11" s="17" t="n"/>
      <c r="Y11" s="17" t="n"/>
      <c r="AA11" s="14" t="inlineStr">
        <is>
          <t>الحد الأقصى للضمان</t>
        </is>
      </c>
      <c r="AB11" s="15">
        <f>N('[2]بيانات العقد'!$C$29)</f>
        <v/>
      </c>
    </row>
    <row r="12" ht="32" customHeight="1">
      <c r="B12" s="28">
        <f>IF($V$9=0,0,N(INDEX($K$22:$K$41,$V$9)))</f>
        <v/>
      </c>
      <c r="C12" s="28" t="n"/>
      <c r="D12" s="28" t="n"/>
      <c r="E12" s="28" t="n"/>
      <c r="F12" s="29">
        <f>IF($V$9=0,0,N(INDEX($L$22:$L$41,$V$9)))</f>
        <v/>
      </c>
      <c r="G12" s="29" t="n"/>
      <c r="H12" s="29" t="n"/>
      <c r="I12" s="29" t="n"/>
      <c r="J12" s="30">
        <f>B12-F12</f>
        <v/>
      </c>
      <c r="K12" s="30" t="n"/>
      <c r="L12" s="30" t="n"/>
      <c r="M12" s="30" t="n"/>
      <c r="N12" s="31">
        <f>IF(OR($V$9=0,$AB$14="",$AB$15=""),0,MIN(1,MAX(0,(INDEX(C22:C41,$V$9)-$AB$14+1)/($AB$15-$AB$14+1))))</f>
        <v/>
      </c>
      <c r="O12" s="31" t="n"/>
      <c r="P12" s="31" t="n"/>
      <c r="Q12" s="31" t="n"/>
      <c r="R12" s="32">
        <f>IF(F12&gt;0,B12/F12,0)</f>
        <v/>
      </c>
      <c r="S12" s="32" t="n"/>
      <c r="T12" s="32" t="n"/>
      <c r="U12" s="32" t="n"/>
      <c r="V12" s="33">
        <f>IF($AB$7=0,"غير مُفعّل",IF($V$9=0,"لم يبدأ الصرف",IF(J12&lt;-0.05,"⚠ متأخر",IF(J12&lt;0,"متأخر قليلاً","✔ مطابق / متقدم"))))</f>
        <v/>
      </c>
      <c r="W12" s="33" t="n"/>
      <c r="X12" s="33" t="n"/>
      <c r="Y12" s="33" t="n"/>
      <c r="AA12" s="14" t="inlineStr">
        <is>
          <t>ضريبة القيمة المضافة</t>
        </is>
      </c>
      <c r="AB12" s="22">
        <f>N('[2]بيانات العقد'!$C$31)</f>
        <v/>
      </c>
    </row>
    <row r="13">
      <c r="AA13" s="14" t="inlineStr">
        <is>
          <t>ضريبة الخصم من المنبع</t>
        </is>
      </c>
      <c r="AB13" s="22">
        <f>N('[2]بيانات العقد'!$C$33)</f>
        <v/>
      </c>
    </row>
    <row r="14" ht="24" customHeight="1">
      <c r="B14" s="17" t="inlineStr">
        <is>
          <t>صافي المستحق التراكمي</t>
        </is>
      </c>
      <c r="C14" s="17" t="n"/>
      <c r="D14" s="17" t="n"/>
      <c r="E14" s="17" t="n"/>
      <c r="F14" s="34" t="inlineStr">
        <is>
          <t>إجمالي المحصل</t>
        </is>
      </c>
      <c r="G14" s="34" t="n"/>
      <c r="H14" s="34" t="n"/>
      <c r="I14" s="34" t="n"/>
      <c r="J14" s="35" t="inlineStr">
        <is>
          <t>مستحقات غير محصلة</t>
        </is>
      </c>
      <c r="K14" s="35" t="n"/>
      <c r="L14" s="35" t="n"/>
      <c r="M14" s="35" t="n"/>
      <c r="N14" s="34" t="inlineStr">
        <is>
          <t>نسبة التحصيل</t>
        </is>
      </c>
      <c r="O14" s="34" t="n"/>
      <c r="P14" s="34" t="n"/>
      <c r="Q14" s="34" t="n"/>
      <c r="R14" s="20" t="inlineStr">
        <is>
          <t>متوسط مدة التحصيل (يوم)</t>
        </is>
      </c>
      <c r="S14" s="20" t="n"/>
      <c r="T14" s="20" t="n"/>
      <c r="U14" s="20" t="n"/>
      <c r="V14" s="21" t="inlineStr">
        <is>
          <t>تاريخ آخر مستخلص</t>
        </is>
      </c>
      <c r="W14" s="21" t="n"/>
      <c r="X14" s="21" t="n"/>
      <c r="Y14" s="21" t="n"/>
      <c r="AA14" s="14" t="inlineStr">
        <is>
          <t>تاريخ البدء</t>
        </is>
      </c>
      <c r="AB14" s="36">
        <f>IF('[2]بيانات العقد'!$C$11="","",'[2]بيانات العقد'!$C$11)</f>
        <v/>
      </c>
    </row>
    <row r="15" ht="32" customHeight="1">
      <c r="B15" s="23">
        <f>IF($V$9=0,0,N(INDEX($T$22:$T$41,$V$9)))</f>
        <v/>
      </c>
      <c r="C15" s="23" t="n"/>
      <c r="D15" s="23" t="n"/>
      <c r="E15" s="23" t="n"/>
      <c r="F15" s="37">
        <f>V42</f>
        <v/>
      </c>
      <c r="G15" s="37" t="n"/>
      <c r="H15" s="37" t="n"/>
      <c r="I15" s="37" t="n"/>
      <c r="J15" s="38">
        <f>W42</f>
        <v/>
      </c>
      <c r="K15" s="38" t="n"/>
      <c r="L15" s="38" t="n"/>
      <c r="M15" s="38" t="n"/>
      <c r="N15" s="39">
        <f>IF(B15&gt;0,F15/B15,0)</f>
        <v/>
      </c>
      <c r="O15" s="39" t="n"/>
      <c r="P15" s="39" t="n"/>
      <c r="Q15" s="39" t="n"/>
      <c r="R15" s="40">
        <f>X42</f>
        <v/>
      </c>
      <c r="S15" s="40" t="n"/>
      <c r="T15" s="40" t="n"/>
      <c r="U15" s="40" t="n"/>
      <c r="V15" s="41">
        <f>IF($V$9=0,"",INDEX(C22:C41,$V$9))</f>
        <v/>
      </c>
      <c r="W15" s="41" t="n"/>
      <c r="X15" s="41" t="n"/>
      <c r="Y15" s="41" t="n"/>
      <c r="AA15" s="14" t="inlineStr">
        <is>
          <t>تاريخ الانتهاء التعاقدي</t>
        </is>
      </c>
      <c r="AB15" s="36">
        <f>IF('[2]بيانات العقد'!$C$13="","",'[2]بيانات العقد'!$C$13)</f>
        <v/>
      </c>
    </row>
    <row r="16">
      <c r="AA16" s="14" t="inlineStr">
        <is>
          <t>المدة (شهر)</t>
        </is>
      </c>
      <c r="AB16" s="42">
        <f>IF('[2]بيانات العقد'!$C$12="","",'[2]بيانات العقد'!$C$12)</f>
        <v/>
      </c>
    </row>
    <row r="17" ht="24" customHeight="1">
      <c r="B17" s="43" t="inlineStr">
        <is>
          <t>ضمان الأعمال المحتجز</t>
        </is>
      </c>
      <c r="C17" s="43" t="n"/>
      <c r="D17" s="43" t="n"/>
      <c r="E17" s="43" t="n"/>
      <c r="F17" s="43" t="inlineStr">
        <is>
          <t>رصيد الدفعة المقدمة غير المسترد</t>
        </is>
      </c>
      <c r="G17" s="43" t="n"/>
      <c r="H17" s="43" t="n"/>
      <c r="I17" s="43" t="n"/>
      <c r="J17" s="43" t="inlineStr">
        <is>
          <t>الاستقطاعات الفنية المحتجزة</t>
        </is>
      </c>
      <c r="K17" s="43" t="n"/>
      <c r="L17" s="43" t="n"/>
      <c r="M17" s="43" t="n"/>
      <c r="N17" s="43" t="inlineStr">
        <is>
          <t>الغرامات والخصومات</t>
        </is>
      </c>
      <c r="O17" s="43" t="n"/>
      <c r="P17" s="43" t="n"/>
      <c r="Q17" s="43" t="n"/>
      <c r="R17" s="19" t="inlineStr">
        <is>
          <t>مستحق آخر مستخلص</t>
        </is>
      </c>
      <c r="S17" s="19" t="n"/>
      <c r="T17" s="19" t="n"/>
      <c r="U17" s="19" t="n"/>
      <c r="V17" s="17" t="inlineStr">
        <is>
          <t>عدد المستخلصات المعتمدة</t>
        </is>
      </c>
      <c r="W17" s="17" t="n"/>
      <c r="X17" s="17" t="n"/>
      <c r="Y17" s="17" t="n"/>
    </row>
    <row r="18" ht="32" customHeight="1">
      <c r="B18" s="44">
        <f>IF($V$9=0,0,N(INDEX($O$22:$O$41,$V$9)))</f>
        <v/>
      </c>
      <c r="C18" s="44" t="n"/>
      <c r="D18" s="44" t="n"/>
      <c r="E18" s="44" t="n"/>
      <c r="F18" s="44">
        <f>MAX(0,$AB$9-IF($V$9=0,0,N(INDEX($N$22:$N$41,$V$9))))</f>
        <v/>
      </c>
      <c r="G18" s="44" t="n"/>
      <c r="H18" s="44" t="n"/>
      <c r="I18" s="44" t="n"/>
      <c r="J18" s="44">
        <f>IF($V$9=0,0,N(INDEX($P$22:$P$41,$V$9)))</f>
        <v/>
      </c>
      <c r="K18" s="44" t="n"/>
      <c r="L18" s="44" t="n"/>
      <c r="M18" s="44" t="n"/>
      <c r="N18" s="44">
        <f>IF($V$9=0,0,N(INDEX($Q$22:$Q$41,$V$9)))</f>
        <v/>
      </c>
      <c r="O18" s="44" t="n"/>
      <c r="P18" s="44" t="n"/>
      <c r="Q18" s="44" t="n"/>
      <c r="R18" s="25">
        <f>IF($V$9=0,0,N(INDEX($U$22:$U$41,$V$9)))</f>
        <v/>
      </c>
      <c r="S18" s="25" t="n"/>
      <c r="T18" s="25" t="n"/>
      <c r="U18" s="25" t="n"/>
      <c r="V18" s="45">
        <f>COUNTIF(E22:E41,"معتمد")</f>
        <v/>
      </c>
      <c r="W18" s="45" t="n"/>
      <c r="X18" s="45" t="n"/>
      <c r="Y18" s="45" t="n"/>
    </row>
    <row r="20">
      <c r="B20" s="46" t="inlineStr">
        <is>
          <t>سجل المستخلصات (مرتبط)</t>
        </is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</row>
    <row r="21" ht="48" customHeight="1">
      <c r="B21" s="47" t="inlineStr">
        <is>
          <t>رقم المستخلص</t>
        </is>
      </c>
      <c r="C21" s="47" t="inlineStr">
        <is>
          <t>الفترة إلى</t>
        </is>
      </c>
      <c r="D21" s="47" t="inlineStr">
        <is>
          <t>تاريخ الاعتماد</t>
        </is>
      </c>
      <c r="E21" s="47" t="inlineStr">
        <is>
          <t>حالة المستخلص</t>
        </is>
      </c>
      <c r="F21" s="47" t="inlineStr">
        <is>
          <t>أعمال الفترة</t>
        </is>
      </c>
      <c r="G21" s="47" t="inlineStr">
        <is>
          <t>الأعمال المنفذة التراكمية</t>
        </is>
      </c>
      <c r="H21" s="47" t="inlineStr">
        <is>
          <t>التغييرية التراكمية</t>
        </is>
      </c>
      <c r="I21" s="47" t="inlineStr">
        <is>
          <t>رصيد المواد بالموقع</t>
        </is>
      </c>
      <c r="J21" s="47" t="inlineStr">
        <is>
          <t>إجمالي القيمة التراكمية</t>
        </is>
      </c>
      <c r="K21" s="47" t="inlineStr">
        <is>
          <t>نسبة الإنجاز الفعلية</t>
        </is>
      </c>
      <c r="L21" s="47" t="inlineStr">
        <is>
          <t>نسبة الإنجاز المخططة</t>
        </is>
      </c>
      <c r="M21" s="47" t="inlineStr">
        <is>
          <t>الانحراف</t>
        </is>
      </c>
      <c r="N21" s="47" t="inlineStr">
        <is>
          <t>استرداد الدفعة المقدمة</t>
        </is>
      </c>
      <c r="O21" s="47" t="inlineStr">
        <is>
          <t>صافي الضمان المحتجز</t>
        </is>
      </c>
      <c r="P21" s="47" t="inlineStr">
        <is>
          <t>الاستقطاعات الفنية</t>
        </is>
      </c>
      <c r="Q21" s="47" t="inlineStr">
        <is>
          <t>الغرامات والخصومات</t>
        </is>
      </c>
      <c r="R21" s="47" t="inlineStr">
        <is>
          <t>ضريبة القيمة المضافة</t>
        </is>
      </c>
      <c r="S21" s="47" t="inlineStr">
        <is>
          <t>ضريبة الخصم من المنبع</t>
        </is>
      </c>
      <c r="T21" s="47" t="inlineStr">
        <is>
          <t>صافي المستحق التراكمي</t>
        </is>
      </c>
      <c r="U21" s="47" t="inlineStr">
        <is>
          <t>المستحق للمستخلص الحالي</t>
        </is>
      </c>
      <c r="V21" s="47" t="inlineStr">
        <is>
          <t>المحصل</t>
        </is>
      </c>
      <c r="W21" s="47" t="inlineStr">
        <is>
          <t>المتبقي</t>
        </is>
      </c>
      <c r="X21" s="47" t="inlineStr">
        <is>
          <t>مدة التحصيل (يوم)</t>
        </is>
      </c>
      <c r="Y21" s="47" t="inlineStr">
        <is>
          <t>حالة التحصيل</t>
        </is>
      </c>
    </row>
    <row r="22">
      <c r="B22" s="48" t="n">
        <v>1</v>
      </c>
      <c r="C22" s="49">
        <f>IF('[2]سجل المستخلصات'!$C$6="","",'[2]سجل المستخلصات'!$C$6)</f>
        <v/>
      </c>
      <c r="D22" s="49">
        <f>IF('[2]سجل المستخلصات'!$E$6="","",'[2]سجل المستخلصات'!$E$6)</f>
        <v/>
      </c>
      <c r="E22" s="50">
        <f>IF('[2]سجل المستخلصات'!$F$6="","",'[2]سجل المستخلصات'!$F$6)</f>
        <v/>
      </c>
      <c r="F22" s="51">
        <f>IF('[2]سجل المستخلصات'!$H$6="","",'[2]سجل المستخلصات'!$H$6)</f>
        <v/>
      </c>
      <c r="G22" s="51">
        <f>IF('[2]سجل المستخلصات'!$G$6="","",'[2]سجل المستخلصات'!$G$6)</f>
        <v/>
      </c>
      <c r="H22" s="51">
        <f>IF('[2]سجل المستخلصات'!$I$6="","",'[2]سجل المستخلصات'!$I$6)</f>
        <v/>
      </c>
      <c r="I22" s="51">
        <f>IF('[2]سجل المستخلصات'!$J$6="","",'[2]سجل المستخلصات'!$J$6)</f>
        <v/>
      </c>
      <c r="J22" s="51">
        <f>IF('[2]سجل المستخلصات'!$K$6="","",'[2]سجل المستخلصات'!$K$6)</f>
        <v/>
      </c>
      <c r="K22" s="52">
        <f>IF('[2]سجل المستخلصات'!$L$6="","",'[2]سجل المستخلصات'!$L$6)</f>
        <v/>
      </c>
      <c r="L22" s="52">
        <f>IF('[2]سجل المستخلصات'!$M$6="","",'[2]سجل المستخلصات'!$M$6)</f>
        <v/>
      </c>
      <c r="M22" s="52">
        <f>IF('[2]سجل المستخلصات'!$N$6="","",'[2]سجل المستخلصات'!$N$6)</f>
        <v/>
      </c>
      <c r="N22" s="51">
        <f>IF('[2]سجل المستخلصات'!$O$6="","",'[2]سجل المستخلصات'!$O$6)</f>
        <v/>
      </c>
      <c r="O22" s="51">
        <f>IF('[2]سجل المستخلصات'!$R$6="","",'[2]سجل المستخلصات'!$R$6)</f>
        <v/>
      </c>
      <c r="P22" s="51">
        <f>IF('[2]سجل المستخلصات'!$S$6="","",'[2]سجل المستخلصات'!$S$6)</f>
        <v/>
      </c>
      <c r="Q22" s="51">
        <f>IF('[2]سجل المستخلصات'!$T$6="","",'[2]سجل المستخلصات'!$T$6)</f>
        <v/>
      </c>
      <c r="R22" s="51">
        <f>IF('[2]سجل المستخلصات'!$V$6="","",'[2]سجل المستخلصات'!$V$6)</f>
        <v/>
      </c>
      <c r="S22" s="51">
        <f>IF('[2]سجل المستخلصات'!$W$6="","",'[2]سجل المستخلصات'!$W$6)</f>
        <v/>
      </c>
      <c r="T22" s="53">
        <f>IF('[2]سجل المستخلصات'!$X$6="","",'[2]سجل المستخلصات'!$X$6)</f>
        <v/>
      </c>
      <c r="U22" s="53">
        <f>IF('[2]سجل المستخلصات'!$Z$6="","",'[2]سجل المستخلصات'!$Z$6)</f>
        <v/>
      </c>
      <c r="V22" s="51">
        <f>IF('[2]سجل المستخلصات'!$AA$6="","",'[2]سجل المستخلصات'!$AA$6)</f>
        <v/>
      </c>
      <c r="W22" s="51">
        <f>IF('[2]سجل المستخلصات'!$AC$6="","",'[2]سجل المستخلصات'!$AC$6)</f>
        <v/>
      </c>
      <c r="X22" s="54">
        <f>IF('[2]سجل المستخلصات'!$AD$6="","",'[2]سجل المستخلصات'!$AD$6)</f>
        <v/>
      </c>
      <c r="Y22" s="50">
        <f>IF('[2]سجل المستخلصات'!$AE$6="","",'[2]سجل المستخلصات'!$AE$6)</f>
        <v/>
      </c>
    </row>
    <row r="23">
      <c r="B23" s="48" t="n">
        <v>2</v>
      </c>
      <c r="C23" s="49">
        <f>IF('[2]سجل المستخلصات'!$C$7="","",'[2]سجل المستخلصات'!$C$7)</f>
        <v/>
      </c>
      <c r="D23" s="49">
        <f>IF('[2]سجل المستخلصات'!$E$7="","",'[2]سجل المستخلصات'!$E$7)</f>
        <v/>
      </c>
      <c r="E23" s="50">
        <f>IF('[2]سجل المستخلصات'!$F$7="","",'[2]سجل المستخلصات'!$F$7)</f>
        <v/>
      </c>
      <c r="F23" s="51">
        <f>IF('[2]سجل المستخلصات'!$H$7="","",'[2]سجل المستخلصات'!$H$7)</f>
        <v/>
      </c>
      <c r="G23" s="51">
        <f>IF('[2]سجل المستخلصات'!$G$7="","",'[2]سجل المستخلصات'!$G$7)</f>
        <v/>
      </c>
      <c r="H23" s="51">
        <f>IF('[2]سجل المستخلصات'!$I$7="","",'[2]سجل المستخلصات'!$I$7)</f>
        <v/>
      </c>
      <c r="I23" s="51">
        <f>IF('[2]سجل المستخلصات'!$J$7="","",'[2]سجل المستخلصات'!$J$7)</f>
        <v/>
      </c>
      <c r="J23" s="51">
        <f>IF('[2]سجل المستخلصات'!$K$7="","",'[2]سجل المستخلصات'!$K$7)</f>
        <v/>
      </c>
      <c r="K23" s="52">
        <f>IF('[2]سجل المستخلصات'!$L$7="","",'[2]سجل المستخلصات'!$L$7)</f>
        <v/>
      </c>
      <c r="L23" s="52">
        <f>IF('[2]سجل المستخلصات'!$M$7="","",'[2]سجل المستخلصات'!$M$7)</f>
        <v/>
      </c>
      <c r="M23" s="52">
        <f>IF('[2]سجل المستخلصات'!$N$7="","",'[2]سجل المستخلصات'!$N$7)</f>
        <v/>
      </c>
      <c r="N23" s="51">
        <f>IF('[2]سجل المستخلصات'!$O$7="","",'[2]سجل المستخلصات'!$O$7)</f>
        <v/>
      </c>
      <c r="O23" s="51">
        <f>IF('[2]سجل المستخلصات'!$R$7="","",'[2]سجل المستخلصات'!$R$7)</f>
        <v/>
      </c>
      <c r="P23" s="51">
        <f>IF('[2]سجل المستخلصات'!$S$7="","",'[2]سجل المستخلصات'!$S$7)</f>
        <v/>
      </c>
      <c r="Q23" s="51">
        <f>IF('[2]سجل المستخلصات'!$T$7="","",'[2]سجل المستخلصات'!$T$7)</f>
        <v/>
      </c>
      <c r="R23" s="51">
        <f>IF('[2]سجل المستخلصات'!$V$7="","",'[2]سجل المستخلصات'!$V$7)</f>
        <v/>
      </c>
      <c r="S23" s="51">
        <f>IF('[2]سجل المستخلصات'!$W$7="","",'[2]سجل المستخلصات'!$W$7)</f>
        <v/>
      </c>
      <c r="T23" s="53">
        <f>IF('[2]سجل المستخلصات'!$X$7="","",'[2]سجل المستخلصات'!$X$7)</f>
        <v/>
      </c>
      <c r="U23" s="53">
        <f>IF('[2]سجل المستخلصات'!$Z$7="","",'[2]سجل المستخلصات'!$Z$7)</f>
        <v/>
      </c>
      <c r="V23" s="51">
        <f>IF('[2]سجل المستخلصات'!$AA$7="","",'[2]سجل المستخلصات'!$AA$7)</f>
        <v/>
      </c>
      <c r="W23" s="51">
        <f>IF('[2]سجل المستخلصات'!$AC$7="","",'[2]سجل المستخلصات'!$AC$7)</f>
        <v/>
      </c>
      <c r="X23" s="54">
        <f>IF('[2]سجل المستخلصات'!$AD$7="","",'[2]سجل المستخلصات'!$AD$7)</f>
        <v/>
      </c>
      <c r="Y23" s="50">
        <f>IF('[2]سجل المستخلصات'!$AE$7="","",'[2]سجل المستخلصات'!$AE$7)</f>
        <v/>
      </c>
    </row>
    <row r="24">
      <c r="B24" s="48" t="n">
        <v>3</v>
      </c>
      <c r="C24" s="49">
        <f>IF('[2]سجل المستخلصات'!$C$8="","",'[2]سجل المستخلصات'!$C$8)</f>
        <v/>
      </c>
      <c r="D24" s="49">
        <f>IF('[2]سجل المستخلصات'!$E$8="","",'[2]سجل المستخلصات'!$E$8)</f>
        <v/>
      </c>
      <c r="E24" s="50">
        <f>IF('[2]سجل المستخلصات'!$F$8="","",'[2]سجل المستخلصات'!$F$8)</f>
        <v/>
      </c>
      <c r="F24" s="51">
        <f>IF('[2]سجل المستخلصات'!$H$8="","",'[2]سجل المستخلصات'!$H$8)</f>
        <v/>
      </c>
      <c r="G24" s="51">
        <f>IF('[2]سجل المستخلصات'!$G$8="","",'[2]سجل المستخلصات'!$G$8)</f>
        <v/>
      </c>
      <c r="H24" s="51">
        <f>IF('[2]سجل المستخلصات'!$I$8="","",'[2]سجل المستخلصات'!$I$8)</f>
        <v/>
      </c>
      <c r="I24" s="51">
        <f>IF('[2]سجل المستخلصات'!$J$8="","",'[2]سجل المستخلصات'!$J$8)</f>
        <v/>
      </c>
      <c r="J24" s="51">
        <f>IF('[2]سجل المستخلصات'!$K$8="","",'[2]سجل المستخلصات'!$K$8)</f>
        <v/>
      </c>
      <c r="K24" s="52">
        <f>IF('[2]سجل المستخلصات'!$L$8="","",'[2]سجل المستخلصات'!$L$8)</f>
        <v/>
      </c>
      <c r="L24" s="52">
        <f>IF('[2]سجل المستخلصات'!$M$8="","",'[2]سجل المستخلصات'!$M$8)</f>
        <v/>
      </c>
      <c r="M24" s="52">
        <f>IF('[2]سجل المستخلصات'!$N$8="","",'[2]سجل المستخلصات'!$N$8)</f>
        <v/>
      </c>
      <c r="N24" s="51">
        <f>IF('[2]سجل المستخلصات'!$O$8="","",'[2]سجل المستخلصات'!$O$8)</f>
        <v/>
      </c>
      <c r="O24" s="51">
        <f>IF('[2]سجل المستخلصات'!$R$8="","",'[2]سجل المستخلصات'!$R$8)</f>
        <v/>
      </c>
      <c r="P24" s="51">
        <f>IF('[2]سجل المستخلصات'!$S$8="","",'[2]سجل المستخلصات'!$S$8)</f>
        <v/>
      </c>
      <c r="Q24" s="51">
        <f>IF('[2]سجل المستخلصات'!$T$8="","",'[2]سجل المستخلصات'!$T$8)</f>
        <v/>
      </c>
      <c r="R24" s="51">
        <f>IF('[2]سجل المستخلصات'!$V$8="","",'[2]سجل المستخلصات'!$V$8)</f>
        <v/>
      </c>
      <c r="S24" s="51">
        <f>IF('[2]سجل المستخلصات'!$W$8="","",'[2]سجل المستخلصات'!$W$8)</f>
        <v/>
      </c>
      <c r="T24" s="53">
        <f>IF('[2]سجل المستخلصات'!$X$8="","",'[2]سجل المستخلصات'!$X$8)</f>
        <v/>
      </c>
      <c r="U24" s="53">
        <f>IF('[2]سجل المستخلصات'!$Z$8="","",'[2]سجل المستخلصات'!$Z$8)</f>
        <v/>
      </c>
      <c r="V24" s="51">
        <f>IF('[2]سجل المستخلصات'!$AA$8="","",'[2]سجل المستخلصات'!$AA$8)</f>
        <v/>
      </c>
      <c r="W24" s="51">
        <f>IF('[2]سجل المستخلصات'!$AC$8="","",'[2]سجل المستخلصات'!$AC$8)</f>
        <v/>
      </c>
      <c r="X24" s="54">
        <f>IF('[2]سجل المستخلصات'!$AD$8="","",'[2]سجل المستخلصات'!$AD$8)</f>
        <v/>
      </c>
      <c r="Y24" s="50">
        <f>IF('[2]سجل المستخلصات'!$AE$8="","",'[2]سجل المستخلصات'!$AE$8)</f>
        <v/>
      </c>
    </row>
    <row r="25">
      <c r="B25" s="48" t="n">
        <v>4</v>
      </c>
      <c r="C25" s="49">
        <f>IF('[2]سجل المستخلصات'!$C$9="","",'[2]سجل المستخلصات'!$C$9)</f>
        <v/>
      </c>
      <c r="D25" s="49">
        <f>IF('[2]سجل المستخلصات'!$E$9="","",'[2]سجل المستخلصات'!$E$9)</f>
        <v/>
      </c>
      <c r="E25" s="50">
        <f>IF('[2]سجل المستخلصات'!$F$9="","",'[2]سجل المستخلصات'!$F$9)</f>
        <v/>
      </c>
      <c r="F25" s="51">
        <f>IF('[2]سجل المستخلصات'!$H$9="","",'[2]سجل المستخلصات'!$H$9)</f>
        <v/>
      </c>
      <c r="G25" s="51">
        <f>IF('[2]سجل المستخلصات'!$G$9="","",'[2]سجل المستخلصات'!$G$9)</f>
        <v/>
      </c>
      <c r="H25" s="51">
        <f>IF('[2]سجل المستخلصات'!$I$9="","",'[2]سجل المستخلصات'!$I$9)</f>
        <v/>
      </c>
      <c r="I25" s="51">
        <f>IF('[2]سجل المستخلصات'!$J$9="","",'[2]سجل المستخلصات'!$J$9)</f>
        <v/>
      </c>
      <c r="J25" s="51">
        <f>IF('[2]سجل المستخلصات'!$K$9="","",'[2]سجل المستخلصات'!$K$9)</f>
        <v/>
      </c>
      <c r="K25" s="52">
        <f>IF('[2]سجل المستخلصات'!$L$9="","",'[2]سجل المستخلصات'!$L$9)</f>
        <v/>
      </c>
      <c r="L25" s="52">
        <f>IF('[2]سجل المستخلصات'!$M$9="","",'[2]سجل المستخلصات'!$M$9)</f>
        <v/>
      </c>
      <c r="M25" s="52">
        <f>IF('[2]سجل المستخلصات'!$N$9="","",'[2]سجل المستخلصات'!$N$9)</f>
        <v/>
      </c>
      <c r="N25" s="51">
        <f>IF('[2]سجل المستخلصات'!$O$9="","",'[2]سجل المستخلصات'!$O$9)</f>
        <v/>
      </c>
      <c r="O25" s="51">
        <f>IF('[2]سجل المستخلصات'!$R$9="","",'[2]سجل المستخلصات'!$R$9)</f>
        <v/>
      </c>
      <c r="P25" s="51">
        <f>IF('[2]سجل المستخلصات'!$S$9="","",'[2]سجل المستخلصات'!$S$9)</f>
        <v/>
      </c>
      <c r="Q25" s="51">
        <f>IF('[2]سجل المستخلصات'!$T$9="","",'[2]سجل المستخلصات'!$T$9)</f>
        <v/>
      </c>
      <c r="R25" s="51">
        <f>IF('[2]سجل المستخلصات'!$V$9="","",'[2]سجل المستخلصات'!$V$9)</f>
        <v/>
      </c>
      <c r="S25" s="51">
        <f>IF('[2]سجل المستخلصات'!$W$9="","",'[2]سجل المستخلصات'!$W$9)</f>
        <v/>
      </c>
      <c r="T25" s="53">
        <f>IF('[2]سجل المستخلصات'!$X$9="","",'[2]سجل المستخلصات'!$X$9)</f>
        <v/>
      </c>
      <c r="U25" s="53">
        <f>IF('[2]سجل المستخلصات'!$Z$9="","",'[2]سجل المستخلصات'!$Z$9)</f>
        <v/>
      </c>
      <c r="V25" s="51">
        <f>IF('[2]سجل المستخلصات'!$AA$9="","",'[2]سجل المستخلصات'!$AA$9)</f>
        <v/>
      </c>
      <c r="W25" s="51">
        <f>IF('[2]سجل المستخلصات'!$AC$9="","",'[2]سجل المستخلصات'!$AC$9)</f>
        <v/>
      </c>
      <c r="X25" s="54">
        <f>IF('[2]سجل المستخلصات'!$AD$9="","",'[2]سجل المستخلصات'!$AD$9)</f>
        <v/>
      </c>
      <c r="Y25" s="50">
        <f>IF('[2]سجل المستخلصات'!$AE$9="","",'[2]سجل المستخلصات'!$AE$9)</f>
        <v/>
      </c>
    </row>
    <row r="26">
      <c r="B26" s="48" t="n">
        <v>5</v>
      </c>
      <c r="C26" s="49">
        <f>IF('[2]سجل المستخلصات'!$C$10="","",'[2]سجل المستخلصات'!$C$10)</f>
        <v/>
      </c>
      <c r="D26" s="49">
        <f>IF('[2]سجل المستخلصات'!$E$10="","",'[2]سجل المستخلصات'!$E$10)</f>
        <v/>
      </c>
      <c r="E26" s="50">
        <f>IF('[2]سجل المستخلصات'!$F$10="","",'[2]سجل المستخلصات'!$F$10)</f>
        <v/>
      </c>
      <c r="F26" s="51">
        <f>IF('[2]سجل المستخلصات'!$H$10="","",'[2]سجل المستخلصات'!$H$10)</f>
        <v/>
      </c>
      <c r="G26" s="51">
        <f>IF('[2]سجل المستخلصات'!$G$10="","",'[2]سجل المستخلصات'!$G$10)</f>
        <v/>
      </c>
      <c r="H26" s="51">
        <f>IF('[2]سجل المستخلصات'!$I$10="","",'[2]سجل المستخلصات'!$I$10)</f>
        <v/>
      </c>
      <c r="I26" s="51">
        <f>IF('[2]سجل المستخلصات'!$J$10="","",'[2]سجل المستخلصات'!$J$10)</f>
        <v/>
      </c>
      <c r="J26" s="51">
        <f>IF('[2]سجل المستخلصات'!$K$10="","",'[2]سجل المستخلصات'!$K$10)</f>
        <v/>
      </c>
      <c r="K26" s="52">
        <f>IF('[2]سجل المستخلصات'!$L$10="","",'[2]سجل المستخلصات'!$L$10)</f>
        <v/>
      </c>
      <c r="L26" s="52">
        <f>IF('[2]سجل المستخلصات'!$M$10="","",'[2]سجل المستخلصات'!$M$10)</f>
        <v/>
      </c>
      <c r="M26" s="52">
        <f>IF('[2]سجل المستخلصات'!$N$10="","",'[2]سجل المستخلصات'!$N$10)</f>
        <v/>
      </c>
      <c r="N26" s="51">
        <f>IF('[2]سجل المستخلصات'!$O$10="","",'[2]سجل المستخلصات'!$O$10)</f>
        <v/>
      </c>
      <c r="O26" s="51">
        <f>IF('[2]سجل المستخلصات'!$R$10="","",'[2]سجل المستخلصات'!$R$10)</f>
        <v/>
      </c>
      <c r="P26" s="51">
        <f>IF('[2]سجل المستخلصات'!$S$10="","",'[2]سجل المستخلصات'!$S$10)</f>
        <v/>
      </c>
      <c r="Q26" s="51">
        <f>IF('[2]سجل المستخلصات'!$T$10="","",'[2]سجل المستخلصات'!$T$10)</f>
        <v/>
      </c>
      <c r="R26" s="51">
        <f>IF('[2]سجل المستخلصات'!$V$10="","",'[2]سجل المستخلصات'!$V$10)</f>
        <v/>
      </c>
      <c r="S26" s="51">
        <f>IF('[2]سجل المستخلصات'!$W$10="","",'[2]سجل المستخلصات'!$W$10)</f>
        <v/>
      </c>
      <c r="T26" s="53">
        <f>IF('[2]سجل المستخلصات'!$X$10="","",'[2]سجل المستخلصات'!$X$10)</f>
        <v/>
      </c>
      <c r="U26" s="53">
        <f>IF('[2]سجل المستخلصات'!$Z$10="","",'[2]سجل المستخلصات'!$Z$10)</f>
        <v/>
      </c>
      <c r="V26" s="51">
        <f>IF('[2]سجل المستخلصات'!$AA$10="","",'[2]سجل المستخلصات'!$AA$10)</f>
        <v/>
      </c>
      <c r="W26" s="51">
        <f>IF('[2]سجل المستخلصات'!$AC$10="","",'[2]سجل المستخلصات'!$AC$10)</f>
        <v/>
      </c>
      <c r="X26" s="54">
        <f>IF('[2]سجل المستخلصات'!$AD$10="","",'[2]سجل المستخلصات'!$AD$10)</f>
        <v/>
      </c>
      <c r="Y26" s="50">
        <f>IF('[2]سجل المستخلصات'!$AE$10="","",'[2]سجل المستخلصات'!$AE$10)</f>
        <v/>
      </c>
    </row>
    <row r="27">
      <c r="B27" s="48" t="n">
        <v>6</v>
      </c>
      <c r="C27" s="49">
        <f>IF('[2]سجل المستخلصات'!$C$11="","",'[2]سجل المستخلصات'!$C$11)</f>
        <v/>
      </c>
      <c r="D27" s="49">
        <f>IF('[2]سجل المستخلصات'!$E$11="","",'[2]سجل المستخلصات'!$E$11)</f>
        <v/>
      </c>
      <c r="E27" s="50">
        <f>IF('[2]سجل المستخلصات'!$F$11="","",'[2]سجل المستخلصات'!$F$11)</f>
        <v/>
      </c>
      <c r="F27" s="51">
        <f>IF('[2]سجل المستخلصات'!$H$11="","",'[2]سجل المستخلصات'!$H$11)</f>
        <v/>
      </c>
      <c r="G27" s="51">
        <f>IF('[2]سجل المستخلصات'!$G$11="","",'[2]سجل المستخلصات'!$G$11)</f>
        <v/>
      </c>
      <c r="H27" s="51">
        <f>IF('[2]سجل المستخلصات'!$I$11="","",'[2]سجل المستخلصات'!$I$11)</f>
        <v/>
      </c>
      <c r="I27" s="51">
        <f>IF('[2]سجل المستخلصات'!$J$11="","",'[2]سجل المستخلصات'!$J$11)</f>
        <v/>
      </c>
      <c r="J27" s="51">
        <f>IF('[2]سجل المستخلصات'!$K$11="","",'[2]سجل المستخلصات'!$K$11)</f>
        <v/>
      </c>
      <c r="K27" s="52">
        <f>IF('[2]سجل المستخلصات'!$L$11="","",'[2]سجل المستخلصات'!$L$11)</f>
        <v/>
      </c>
      <c r="L27" s="52">
        <f>IF('[2]سجل المستخلصات'!$M$11="","",'[2]سجل المستخلصات'!$M$11)</f>
        <v/>
      </c>
      <c r="M27" s="52">
        <f>IF('[2]سجل المستخلصات'!$N$11="","",'[2]سجل المستخلصات'!$N$11)</f>
        <v/>
      </c>
      <c r="N27" s="51">
        <f>IF('[2]سجل المستخلصات'!$O$11="","",'[2]سجل المستخلصات'!$O$11)</f>
        <v/>
      </c>
      <c r="O27" s="51">
        <f>IF('[2]سجل المستخلصات'!$R$11="","",'[2]سجل المستخلصات'!$R$11)</f>
        <v/>
      </c>
      <c r="P27" s="51">
        <f>IF('[2]سجل المستخلصات'!$S$11="","",'[2]سجل المستخلصات'!$S$11)</f>
        <v/>
      </c>
      <c r="Q27" s="51">
        <f>IF('[2]سجل المستخلصات'!$T$11="","",'[2]سجل المستخلصات'!$T$11)</f>
        <v/>
      </c>
      <c r="R27" s="51">
        <f>IF('[2]سجل المستخلصات'!$V$11="","",'[2]سجل المستخلصات'!$V$11)</f>
        <v/>
      </c>
      <c r="S27" s="51">
        <f>IF('[2]سجل المستخلصات'!$W$11="","",'[2]سجل المستخلصات'!$W$11)</f>
        <v/>
      </c>
      <c r="T27" s="53">
        <f>IF('[2]سجل المستخلصات'!$X$11="","",'[2]سجل المستخلصات'!$X$11)</f>
        <v/>
      </c>
      <c r="U27" s="53">
        <f>IF('[2]سجل المستخلصات'!$Z$11="","",'[2]سجل المستخلصات'!$Z$11)</f>
        <v/>
      </c>
      <c r="V27" s="51">
        <f>IF('[2]سجل المستخلصات'!$AA$11="","",'[2]سجل المستخلصات'!$AA$11)</f>
        <v/>
      </c>
      <c r="W27" s="51">
        <f>IF('[2]سجل المستخلصات'!$AC$11="","",'[2]سجل المستخلصات'!$AC$11)</f>
        <v/>
      </c>
      <c r="X27" s="54">
        <f>IF('[2]سجل المستخلصات'!$AD$11="","",'[2]سجل المستخلصات'!$AD$11)</f>
        <v/>
      </c>
      <c r="Y27" s="50">
        <f>IF('[2]سجل المستخلصات'!$AE$11="","",'[2]سجل المستخلصات'!$AE$11)</f>
        <v/>
      </c>
    </row>
    <row r="28">
      <c r="B28" s="48" t="n">
        <v>7</v>
      </c>
      <c r="C28" s="49">
        <f>IF('[2]سجل المستخلصات'!$C$12="","",'[2]سجل المستخلصات'!$C$12)</f>
        <v/>
      </c>
      <c r="D28" s="49">
        <f>IF('[2]سجل المستخلصات'!$E$12="","",'[2]سجل المستخلصات'!$E$12)</f>
        <v/>
      </c>
      <c r="E28" s="50">
        <f>IF('[2]سجل المستخلصات'!$F$12="","",'[2]سجل المستخلصات'!$F$12)</f>
        <v/>
      </c>
      <c r="F28" s="51">
        <f>IF('[2]سجل المستخلصات'!$H$12="","",'[2]سجل المستخلصات'!$H$12)</f>
        <v/>
      </c>
      <c r="G28" s="51">
        <f>IF('[2]سجل المستخلصات'!$G$12="","",'[2]سجل المستخلصات'!$G$12)</f>
        <v/>
      </c>
      <c r="H28" s="51">
        <f>IF('[2]سجل المستخلصات'!$I$12="","",'[2]سجل المستخلصات'!$I$12)</f>
        <v/>
      </c>
      <c r="I28" s="51">
        <f>IF('[2]سجل المستخلصات'!$J$12="","",'[2]سجل المستخلصات'!$J$12)</f>
        <v/>
      </c>
      <c r="J28" s="51">
        <f>IF('[2]سجل المستخلصات'!$K$12="","",'[2]سجل المستخلصات'!$K$12)</f>
        <v/>
      </c>
      <c r="K28" s="52">
        <f>IF('[2]سجل المستخلصات'!$L$12="","",'[2]سجل المستخلصات'!$L$12)</f>
        <v/>
      </c>
      <c r="L28" s="52">
        <f>IF('[2]سجل المستخلصات'!$M$12="","",'[2]سجل المستخلصات'!$M$12)</f>
        <v/>
      </c>
      <c r="M28" s="52">
        <f>IF('[2]سجل المستخلصات'!$N$12="","",'[2]سجل المستخلصات'!$N$12)</f>
        <v/>
      </c>
      <c r="N28" s="51">
        <f>IF('[2]سجل المستخلصات'!$O$12="","",'[2]سجل المستخلصات'!$O$12)</f>
        <v/>
      </c>
      <c r="O28" s="51">
        <f>IF('[2]سجل المستخلصات'!$R$12="","",'[2]سجل المستخلصات'!$R$12)</f>
        <v/>
      </c>
      <c r="P28" s="51">
        <f>IF('[2]سجل المستخلصات'!$S$12="","",'[2]سجل المستخلصات'!$S$12)</f>
        <v/>
      </c>
      <c r="Q28" s="51">
        <f>IF('[2]سجل المستخلصات'!$T$12="","",'[2]سجل المستخلصات'!$T$12)</f>
        <v/>
      </c>
      <c r="R28" s="51">
        <f>IF('[2]سجل المستخلصات'!$V$12="","",'[2]سجل المستخلصات'!$V$12)</f>
        <v/>
      </c>
      <c r="S28" s="51">
        <f>IF('[2]سجل المستخلصات'!$W$12="","",'[2]سجل المستخلصات'!$W$12)</f>
        <v/>
      </c>
      <c r="T28" s="53">
        <f>IF('[2]سجل المستخلصات'!$X$12="","",'[2]سجل المستخلصات'!$X$12)</f>
        <v/>
      </c>
      <c r="U28" s="53">
        <f>IF('[2]سجل المستخلصات'!$Z$12="","",'[2]سجل المستخلصات'!$Z$12)</f>
        <v/>
      </c>
      <c r="V28" s="51">
        <f>IF('[2]سجل المستخلصات'!$AA$12="","",'[2]سجل المستخلصات'!$AA$12)</f>
        <v/>
      </c>
      <c r="W28" s="51">
        <f>IF('[2]سجل المستخلصات'!$AC$12="","",'[2]سجل المستخلصات'!$AC$12)</f>
        <v/>
      </c>
      <c r="X28" s="54">
        <f>IF('[2]سجل المستخلصات'!$AD$12="","",'[2]سجل المستخلصات'!$AD$12)</f>
        <v/>
      </c>
      <c r="Y28" s="50">
        <f>IF('[2]سجل المستخلصات'!$AE$12="","",'[2]سجل المستخلصات'!$AE$12)</f>
        <v/>
      </c>
    </row>
    <row r="29">
      <c r="B29" s="48" t="n">
        <v>8</v>
      </c>
      <c r="C29" s="49">
        <f>IF('[2]سجل المستخلصات'!$C$13="","",'[2]سجل المستخلصات'!$C$13)</f>
        <v/>
      </c>
      <c r="D29" s="49">
        <f>IF('[2]سجل المستخلصات'!$E$13="","",'[2]سجل المستخلصات'!$E$13)</f>
        <v/>
      </c>
      <c r="E29" s="50">
        <f>IF('[2]سجل المستخلصات'!$F$13="","",'[2]سجل المستخلصات'!$F$13)</f>
        <v/>
      </c>
      <c r="F29" s="51">
        <f>IF('[2]سجل المستخلصات'!$H$13="","",'[2]سجل المستخلصات'!$H$13)</f>
        <v/>
      </c>
      <c r="G29" s="51">
        <f>IF('[2]سجل المستخلصات'!$G$13="","",'[2]سجل المستخلصات'!$G$13)</f>
        <v/>
      </c>
      <c r="H29" s="51">
        <f>IF('[2]سجل المستخلصات'!$I$13="","",'[2]سجل المستخلصات'!$I$13)</f>
        <v/>
      </c>
      <c r="I29" s="51">
        <f>IF('[2]سجل المستخلصات'!$J$13="","",'[2]سجل المستخلصات'!$J$13)</f>
        <v/>
      </c>
      <c r="J29" s="51">
        <f>IF('[2]سجل المستخلصات'!$K$13="","",'[2]سجل المستخلصات'!$K$13)</f>
        <v/>
      </c>
      <c r="K29" s="52">
        <f>IF('[2]سجل المستخلصات'!$L$13="","",'[2]سجل المستخلصات'!$L$13)</f>
        <v/>
      </c>
      <c r="L29" s="52">
        <f>IF('[2]سجل المستخلصات'!$M$13="","",'[2]سجل المستخلصات'!$M$13)</f>
        <v/>
      </c>
      <c r="M29" s="52">
        <f>IF('[2]سجل المستخلصات'!$N$13="","",'[2]سجل المستخلصات'!$N$13)</f>
        <v/>
      </c>
      <c r="N29" s="51">
        <f>IF('[2]سجل المستخلصات'!$O$13="","",'[2]سجل المستخلصات'!$O$13)</f>
        <v/>
      </c>
      <c r="O29" s="51">
        <f>IF('[2]سجل المستخلصات'!$R$13="","",'[2]سجل المستخلصات'!$R$13)</f>
        <v/>
      </c>
      <c r="P29" s="51">
        <f>IF('[2]سجل المستخلصات'!$S$13="","",'[2]سجل المستخلصات'!$S$13)</f>
        <v/>
      </c>
      <c r="Q29" s="51">
        <f>IF('[2]سجل المستخلصات'!$T$13="","",'[2]سجل المستخلصات'!$T$13)</f>
        <v/>
      </c>
      <c r="R29" s="51">
        <f>IF('[2]سجل المستخلصات'!$V$13="","",'[2]سجل المستخلصات'!$V$13)</f>
        <v/>
      </c>
      <c r="S29" s="51">
        <f>IF('[2]سجل المستخلصات'!$W$13="","",'[2]سجل المستخلصات'!$W$13)</f>
        <v/>
      </c>
      <c r="T29" s="53">
        <f>IF('[2]سجل المستخلصات'!$X$13="","",'[2]سجل المستخلصات'!$X$13)</f>
        <v/>
      </c>
      <c r="U29" s="53">
        <f>IF('[2]سجل المستخلصات'!$Z$13="","",'[2]سجل المستخلصات'!$Z$13)</f>
        <v/>
      </c>
      <c r="V29" s="51">
        <f>IF('[2]سجل المستخلصات'!$AA$13="","",'[2]سجل المستخلصات'!$AA$13)</f>
        <v/>
      </c>
      <c r="W29" s="51">
        <f>IF('[2]سجل المستخلصات'!$AC$13="","",'[2]سجل المستخلصات'!$AC$13)</f>
        <v/>
      </c>
      <c r="X29" s="54">
        <f>IF('[2]سجل المستخلصات'!$AD$13="","",'[2]سجل المستخلصات'!$AD$13)</f>
        <v/>
      </c>
      <c r="Y29" s="50">
        <f>IF('[2]سجل المستخلصات'!$AE$13="","",'[2]سجل المستخلصات'!$AE$13)</f>
        <v/>
      </c>
    </row>
    <row r="30">
      <c r="B30" s="48" t="n">
        <v>9</v>
      </c>
      <c r="C30" s="49">
        <f>IF('[2]سجل المستخلصات'!$C$14="","",'[2]سجل المستخلصات'!$C$14)</f>
        <v/>
      </c>
      <c r="D30" s="49">
        <f>IF('[2]سجل المستخلصات'!$E$14="","",'[2]سجل المستخلصات'!$E$14)</f>
        <v/>
      </c>
      <c r="E30" s="50">
        <f>IF('[2]سجل المستخلصات'!$F$14="","",'[2]سجل المستخلصات'!$F$14)</f>
        <v/>
      </c>
      <c r="F30" s="51">
        <f>IF('[2]سجل المستخلصات'!$H$14="","",'[2]سجل المستخلصات'!$H$14)</f>
        <v/>
      </c>
      <c r="G30" s="51">
        <f>IF('[2]سجل المستخلصات'!$G$14="","",'[2]سجل المستخلصات'!$G$14)</f>
        <v/>
      </c>
      <c r="H30" s="51">
        <f>IF('[2]سجل المستخلصات'!$I$14="","",'[2]سجل المستخلصات'!$I$14)</f>
        <v/>
      </c>
      <c r="I30" s="51">
        <f>IF('[2]سجل المستخلصات'!$J$14="","",'[2]سجل المستخلصات'!$J$14)</f>
        <v/>
      </c>
      <c r="J30" s="51">
        <f>IF('[2]سجل المستخلصات'!$K$14="","",'[2]سجل المستخلصات'!$K$14)</f>
        <v/>
      </c>
      <c r="K30" s="52">
        <f>IF('[2]سجل المستخلصات'!$L$14="","",'[2]سجل المستخلصات'!$L$14)</f>
        <v/>
      </c>
      <c r="L30" s="52">
        <f>IF('[2]سجل المستخلصات'!$M$14="","",'[2]سجل المستخلصات'!$M$14)</f>
        <v/>
      </c>
      <c r="M30" s="52">
        <f>IF('[2]سجل المستخلصات'!$N$14="","",'[2]سجل المستخلصات'!$N$14)</f>
        <v/>
      </c>
      <c r="N30" s="51">
        <f>IF('[2]سجل المستخلصات'!$O$14="","",'[2]سجل المستخلصات'!$O$14)</f>
        <v/>
      </c>
      <c r="O30" s="51">
        <f>IF('[2]سجل المستخلصات'!$R$14="","",'[2]سجل المستخلصات'!$R$14)</f>
        <v/>
      </c>
      <c r="P30" s="51">
        <f>IF('[2]سجل المستخلصات'!$S$14="","",'[2]سجل المستخلصات'!$S$14)</f>
        <v/>
      </c>
      <c r="Q30" s="51">
        <f>IF('[2]سجل المستخلصات'!$T$14="","",'[2]سجل المستخلصات'!$T$14)</f>
        <v/>
      </c>
      <c r="R30" s="51">
        <f>IF('[2]سجل المستخلصات'!$V$14="","",'[2]سجل المستخلصات'!$V$14)</f>
        <v/>
      </c>
      <c r="S30" s="51">
        <f>IF('[2]سجل المستخلصات'!$W$14="","",'[2]سجل المستخلصات'!$W$14)</f>
        <v/>
      </c>
      <c r="T30" s="53">
        <f>IF('[2]سجل المستخلصات'!$X$14="","",'[2]سجل المستخلصات'!$X$14)</f>
        <v/>
      </c>
      <c r="U30" s="53">
        <f>IF('[2]سجل المستخلصات'!$Z$14="","",'[2]سجل المستخلصات'!$Z$14)</f>
        <v/>
      </c>
      <c r="V30" s="51">
        <f>IF('[2]سجل المستخلصات'!$AA$14="","",'[2]سجل المستخلصات'!$AA$14)</f>
        <v/>
      </c>
      <c r="W30" s="51">
        <f>IF('[2]سجل المستخلصات'!$AC$14="","",'[2]سجل المستخلصات'!$AC$14)</f>
        <v/>
      </c>
      <c r="X30" s="54">
        <f>IF('[2]سجل المستخلصات'!$AD$14="","",'[2]سجل المستخلصات'!$AD$14)</f>
        <v/>
      </c>
      <c r="Y30" s="50">
        <f>IF('[2]سجل المستخلصات'!$AE$14="","",'[2]سجل المستخلصات'!$AE$14)</f>
        <v/>
      </c>
    </row>
    <row r="31">
      <c r="B31" s="48" t="n">
        <v>10</v>
      </c>
      <c r="C31" s="49">
        <f>IF('[2]سجل المستخلصات'!$C$15="","",'[2]سجل المستخلصات'!$C$15)</f>
        <v/>
      </c>
      <c r="D31" s="49">
        <f>IF('[2]سجل المستخلصات'!$E$15="","",'[2]سجل المستخلصات'!$E$15)</f>
        <v/>
      </c>
      <c r="E31" s="50">
        <f>IF('[2]سجل المستخلصات'!$F$15="","",'[2]سجل المستخلصات'!$F$15)</f>
        <v/>
      </c>
      <c r="F31" s="51">
        <f>IF('[2]سجل المستخلصات'!$H$15="","",'[2]سجل المستخلصات'!$H$15)</f>
        <v/>
      </c>
      <c r="G31" s="51">
        <f>IF('[2]سجل المستخلصات'!$G$15="","",'[2]سجل المستخلصات'!$G$15)</f>
        <v/>
      </c>
      <c r="H31" s="51">
        <f>IF('[2]سجل المستخلصات'!$I$15="","",'[2]سجل المستخلصات'!$I$15)</f>
        <v/>
      </c>
      <c r="I31" s="51">
        <f>IF('[2]سجل المستخلصات'!$J$15="","",'[2]سجل المستخلصات'!$J$15)</f>
        <v/>
      </c>
      <c r="J31" s="51">
        <f>IF('[2]سجل المستخلصات'!$K$15="","",'[2]سجل المستخلصات'!$K$15)</f>
        <v/>
      </c>
      <c r="K31" s="52">
        <f>IF('[2]سجل المستخلصات'!$L$15="","",'[2]سجل المستخلصات'!$L$15)</f>
        <v/>
      </c>
      <c r="L31" s="52">
        <f>IF('[2]سجل المستخلصات'!$M$15="","",'[2]سجل المستخلصات'!$M$15)</f>
        <v/>
      </c>
      <c r="M31" s="52">
        <f>IF('[2]سجل المستخلصات'!$N$15="","",'[2]سجل المستخلصات'!$N$15)</f>
        <v/>
      </c>
      <c r="N31" s="51">
        <f>IF('[2]سجل المستخلصات'!$O$15="","",'[2]سجل المستخلصات'!$O$15)</f>
        <v/>
      </c>
      <c r="O31" s="51">
        <f>IF('[2]سجل المستخلصات'!$R$15="","",'[2]سجل المستخلصات'!$R$15)</f>
        <v/>
      </c>
      <c r="P31" s="51">
        <f>IF('[2]سجل المستخلصات'!$S$15="","",'[2]سجل المستخلصات'!$S$15)</f>
        <v/>
      </c>
      <c r="Q31" s="51">
        <f>IF('[2]سجل المستخلصات'!$T$15="","",'[2]سجل المستخلصات'!$T$15)</f>
        <v/>
      </c>
      <c r="R31" s="51">
        <f>IF('[2]سجل المستخلصات'!$V$15="","",'[2]سجل المستخلصات'!$V$15)</f>
        <v/>
      </c>
      <c r="S31" s="51">
        <f>IF('[2]سجل المستخلصات'!$W$15="","",'[2]سجل المستخلصات'!$W$15)</f>
        <v/>
      </c>
      <c r="T31" s="53">
        <f>IF('[2]سجل المستخلصات'!$X$15="","",'[2]سجل المستخلصات'!$X$15)</f>
        <v/>
      </c>
      <c r="U31" s="53">
        <f>IF('[2]سجل المستخلصات'!$Z$15="","",'[2]سجل المستخلصات'!$Z$15)</f>
        <v/>
      </c>
      <c r="V31" s="51">
        <f>IF('[2]سجل المستخلصات'!$AA$15="","",'[2]سجل المستخلصات'!$AA$15)</f>
        <v/>
      </c>
      <c r="W31" s="51">
        <f>IF('[2]سجل المستخلصات'!$AC$15="","",'[2]سجل المستخلصات'!$AC$15)</f>
        <v/>
      </c>
      <c r="X31" s="54">
        <f>IF('[2]سجل المستخلصات'!$AD$15="","",'[2]سجل المستخلصات'!$AD$15)</f>
        <v/>
      </c>
      <c r="Y31" s="50">
        <f>IF('[2]سجل المستخلصات'!$AE$15="","",'[2]سجل المستخلصات'!$AE$15)</f>
        <v/>
      </c>
    </row>
    <row r="32">
      <c r="B32" s="48" t="n">
        <v>11</v>
      </c>
      <c r="C32" s="49">
        <f>IF('[2]سجل المستخلصات'!$C$16="","",'[2]سجل المستخلصات'!$C$16)</f>
        <v/>
      </c>
      <c r="D32" s="49">
        <f>IF('[2]سجل المستخلصات'!$E$16="","",'[2]سجل المستخلصات'!$E$16)</f>
        <v/>
      </c>
      <c r="E32" s="50">
        <f>IF('[2]سجل المستخلصات'!$F$16="","",'[2]سجل المستخلصات'!$F$16)</f>
        <v/>
      </c>
      <c r="F32" s="51">
        <f>IF('[2]سجل المستخلصات'!$H$16="","",'[2]سجل المستخلصات'!$H$16)</f>
        <v/>
      </c>
      <c r="G32" s="51">
        <f>IF('[2]سجل المستخلصات'!$G$16="","",'[2]سجل المستخلصات'!$G$16)</f>
        <v/>
      </c>
      <c r="H32" s="51">
        <f>IF('[2]سجل المستخلصات'!$I$16="","",'[2]سجل المستخلصات'!$I$16)</f>
        <v/>
      </c>
      <c r="I32" s="51">
        <f>IF('[2]سجل المستخلصات'!$J$16="","",'[2]سجل المستخلصات'!$J$16)</f>
        <v/>
      </c>
      <c r="J32" s="51">
        <f>IF('[2]سجل المستخلصات'!$K$16="","",'[2]سجل المستخلصات'!$K$16)</f>
        <v/>
      </c>
      <c r="K32" s="52">
        <f>IF('[2]سجل المستخلصات'!$L$16="","",'[2]سجل المستخلصات'!$L$16)</f>
        <v/>
      </c>
      <c r="L32" s="52">
        <f>IF('[2]سجل المستخلصات'!$M$16="","",'[2]سجل المستخلصات'!$M$16)</f>
        <v/>
      </c>
      <c r="M32" s="52">
        <f>IF('[2]سجل المستخلصات'!$N$16="","",'[2]سجل المستخلصات'!$N$16)</f>
        <v/>
      </c>
      <c r="N32" s="51">
        <f>IF('[2]سجل المستخلصات'!$O$16="","",'[2]سجل المستخلصات'!$O$16)</f>
        <v/>
      </c>
      <c r="O32" s="51">
        <f>IF('[2]سجل المستخلصات'!$R$16="","",'[2]سجل المستخلصات'!$R$16)</f>
        <v/>
      </c>
      <c r="P32" s="51">
        <f>IF('[2]سجل المستخلصات'!$S$16="","",'[2]سجل المستخلصات'!$S$16)</f>
        <v/>
      </c>
      <c r="Q32" s="51">
        <f>IF('[2]سجل المستخلصات'!$T$16="","",'[2]سجل المستخلصات'!$T$16)</f>
        <v/>
      </c>
      <c r="R32" s="51">
        <f>IF('[2]سجل المستخلصات'!$V$16="","",'[2]سجل المستخلصات'!$V$16)</f>
        <v/>
      </c>
      <c r="S32" s="51">
        <f>IF('[2]سجل المستخلصات'!$W$16="","",'[2]سجل المستخلصات'!$W$16)</f>
        <v/>
      </c>
      <c r="T32" s="53">
        <f>IF('[2]سجل المستخلصات'!$X$16="","",'[2]سجل المستخلصات'!$X$16)</f>
        <v/>
      </c>
      <c r="U32" s="53">
        <f>IF('[2]سجل المستخلصات'!$Z$16="","",'[2]سجل المستخلصات'!$Z$16)</f>
        <v/>
      </c>
      <c r="V32" s="51">
        <f>IF('[2]سجل المستخلصات'!$AA$16="","",'[2]سجل المستخلصات'!$AA$16)</f>
        <v/>
      </c>
      <c r="W32" s="51">
        <f>IF('[2]سجل المستخلصات'!$AC$16="","",'[2]سجل المستخلصات'!$AC$16)</f>
        <v/>
      </c>
      <c r="X32" s="54">
        <f>IF('[2]سجل المستخلصات'!$AD$16="","",'[2]سجل المستخلصات'!$AD$16)</f>
        <v/>
      </c>
      <c r="Y32" s="50">
        <f>IF('[2]سجل المستخلصات'!$AE$16="","",'[2]سجل المستخلصات'!$AE$16)</f>
        <v/>
      </c>
    </row>
    <row r="33">
      <c r="B33" s="48" t="n">
        <v>12</v>
      </c>
      <c r="C33" s="49">
        <f>IF('[2]سجل المستخلصات'!$C$17="","",'[2]سجل المستخلصات'!$C$17)</f>
        <v/>
      </c>
      <c r="D33" s="49">
        <f>IF('[2]سجل المستخلصات'!$E$17="","",'[2]سجل المستخلصات'!$E$17)</f>
        <v/>
      </c>
      <c r="E33" s="50">
        <f>IF('[2]سجل المستخلصات'!$F$17="","",'[2]سجل المستخلصات'!$F$17)</f>
        <v/>
      </c>
      <c r="F33" s="51">
        <f>IF('[2]سجل المستخلصات'!$H$17="","",'[2]سجل المستخلصات'!$H$17)</f>
        <v/>
      </c>
      <c r="G33" s="51">
        <f>IF('[2]سجل المستخلصات'!$G$17="","",'[2]سجل المستخلصات'!$G$17)</f>
        <v/>
      </c>
      <c r="H33" s="51">
        <f>IF('[2]سجل المستخلصات'!$I$17="","",'[2]سجل المستخلصات'!$I$17)</f>
        <v/>
      </c>
      <c r="I33" s="51">
        <f>IF('[2]سجل المستخلصات'!$J$17="","",'[2]سجل المستخلصات'!$J$17)</f>
        <v/>
      </c>
      <c r="J33" s="51">
        <f>IF('[2]سجل المستخلصات'!$K$17="","",'[2]سجل المستخلصات'!$K$17)</f>
        <v/>
      </c>
      <c r="K33" s="52">
        <f>IF('[2]سجل المستخلصات'!$L$17="","",'[2]سجل المستخلصات'!$L$17)</f>
        <v/>
      </c>
      <c r="L33" s="52">
        <f>IF('[2]سجل المستخلصات'!$M$17="","",'[2]سجل المستخلصات'!$M$17)</f>
        <v/>
      </c>
      <c r="M33" s="52">
        <f>IF('[2]سجل المستخلصات'!$N$17="","",'[2]سجل المستخلصات'!$N$17)</f>
        <v/>
      </c>
      <c r="N33" s="51">
        <f>IF('[2]سجل المستخلصات'!$O$17="","",'[2]سجل المستخلصات'!$O$17)</f>
        <v/>
      </c>
      <c r="O33" s="51">
        <f>IF('[2]سجل المستخلصات'!$R$17="","",'[2]سجل المستخلصات'!$R$17)</f>
        <v/>
      </c>
      <c r="P33" s="51">
        <f>IF('[2]سجل المستخلصات'!$S$17="","",'[2]سجل المستخلصات'!$S$17)</f>
        <v/>
      </c>
      <c r="Q33" s="51">
        <f>IF('[2]سجل المستخلصات'!$T$17="","",'[2]سجل المستخلصات'!$T$17)</f>
        <v/>
      </c>
      <c r="R33" s="51">
        <f>IF('[2]سجل المستخلصات'!$V$17="","",'[2]سجل المستخلصات'!$V$17)</f>
        <v/>
      </c>
      <c r="S33" s="51">
        <f>IF('[2]سجل المستخلصات'!$W$17="","",'[2]سجل المستخلصات'!$W$17)</f>
        <v/>
      </c>
      <c r="T33" s="53">
        <f>IF('[2]سجل المستخلصات'!$X$17="","",'[2]سجل المستخلصات'!$X$17)</f>
        <v/>
      </c>
      <c r="U33" s="53">
        <f>IF('[2]سجل المستخلصات'!$Z$17="","",'[2]سجل المستخلصات'!$Z$17)</f>
        <v/>
      </c>
      <c r="V33" s="51">
        <f>IF('[2]سجل المستخلصات'!$AA$17="","",'[2]سجل المستخلصات'!$AA$17)</f>
        <v/>
      </c>
      <c r="W33" s="51">
        <f>IF('[2]سجل المستخلصات'!$AC$17="","",'[2]سجل المستخلصات'!$AC$17)</f>
        <v/>
      </c>
      <c r="X33" s="54">
        <f>IF('[2]سجل المستخلصات'!$AD$17="","",'[2]سجل المستخلصات'!$AD$17)</f>
        <v/>
      </c>
      <c r="Y33" s="50">
        <f>IF('[2]سجل المستخلصات'!$AE$17="","",'[2]سجل المستخلصات'!$AE$17)</f>
        <v/>
      </c>
    </row>
    <row r="34">
      <c r="B34" s="48" t="n">
        <v>13</v>
      </c>
      <c r="C34" s="49">
        <f>IF('[2]سجل المستخلصات'!$C$18="","",'[2]سجل المستخلصات'!$C$18)</f>
        <v/>
      </c>
      <c r="D34" s="49">
        <f>IF('[2]سجل المستخلصات'!$E$18="","",'[2]سجل المستخلصات'!$E$18)</f>
        <v/>
      </c>
      <c r="E34" s="50">
        <f>IF('[2]سجل المستخلصات'!$F$18="","",'[2]سجل المستخلصات'!$F$18)</f>
        <v/>
      </c>
      <c r="F34" s="51">
        <f>IF('[2]سجل المستخلصات'!$H$18="","",'[2]سجل المستخلصات'!$H$18)</f>
        <v/>
      </c>
      <c r="G34" s="51">
        <f>IF('[2]سجل المستخلصات'!$G$18="","",'[2]سجل المستخلصات'!$G$18)</f>
        <v/>
      </c>
      <c r="H34" s="51">
        <f>IF('[2]سجل المستخلصات'!$I$18="","",'[2]سجل المستخلصات'!$I$18)</f>
        <v/>
      </c>
      <c r="I34" s="51">
        <f>IF('[2]سجل المستخلصات'!$J$18="","",'[2]سجل المستخلصات'!$J$18)</f>
        <v/>
      </c>
      <c r="J34" s="51">
        <f>IF('[2]سجل المستخلصات'!$K$18="","",'[2]سجل المستخلصات'!$K$18)</f>
        <v/>
      </c>
      <c r="K34" s="52">
        <f>IF('[2]سجل المستخلصات'!$L$18="","",'[2]سجل المستخلصات'!$L$18)</f>
        <v/>
      </c>
      <c r="L34" s="52">
        <f>IF('[2]سجل المستخلصات'!$M$18="","",'[2]سجل المستخلصات'!$M$18)</f>
        <v/>
      </c>
      <c r="M34" s="52">
        <f>IF('[2]سجل المستخلصات'!$N$18="","",'[2]سجل المستخلصات'!$N$18)</f>
        <v/>
      </c>
      <c r="N34" s="51">
        <f>IF('[2]سجل المستخلصات'!$O$18="","",'[2]سجل المستخلصات'!$O$18)</f>
        <v/>
      </c>
      <c r="O34" s="51">
        <f>IF('[2]سجل المستخلصات'!$R$18="","",'[2]سجل المستخلصات'!$R$18)</f>
        <v/>
      </c>
      <c r="P34" s="51">
        <f>IF('[2]سجل المستخلصات'!$S$18="","",'[2]سجل المستخلصات'!$S$18)</f>
        <v/>
      </c>
      <c r="Q34" s="51">
        <f>IF('[2]سجل المستخلصات'!$T$18="","",'[2]سجل المستخلصات'!$T$18)</f>
        <v/>
      </c>
      <c r="R34" s="51">
        <f>IF('[2]سجل المستخلصات'!$V$18="","",'[2]سجل المستخلصات'!$V$18)</f>
        <v/>
      </c>
      <c r="S34" s="51">
        <f>IF('[2]سجل المستخلصات'!$W$18="","",'[2]سجل المستخلصات'!$W$18)</f>
        <v/>
      </c>
      <c r="T34" s="53">
        <f>IF('[2]سجل المستخلصات'!$X$18="","",'[2]سجل المستخلصات'!$X$18)</f>
        <v/>
      </c>
      <c r="U34" s="53">
        <f>IF('[2]سجل المستخلصات'!$Z$18="","",'[2]سجل المستخلصات'!$Z$18)</f>
        <v/>
      </c>
      <c r="V34" s="51">
        <f>IF('[2]سجل المستخلصات'!$AA$18="","",'[2]سجل المستخلصات'!$AA$18)</f>
        <v/>
      </c>
      <c r="W34" s="51">
        <f>IF('[2]سجل المستخلصات'!$AC$18="","",'[2]سجل المستخلصات'!$AC$18)</f>
        <v/>
      </c>
      <c r="X34" s="54">
        <f>IF('[2]سجل المستخلصات'!$AD$18="","",'[2]سجل المستخلصات'!$AD$18)</f>
        <v/>
      </c>
      <c r="Y34" s="50">
        <f>IF('[2]سجل المستخلصات'!$AE$18="","",'[2]سجل المستخلصات'!$AE$18)</f>
        <v/>
      </c>
    </row>
    <row r="35">
      <c r="B35" s="48" t="n">
        <v>14</v>
      </c>
      <c r="C35" s="49">
        <f>IF('[2]سجل المستخلصات'!$C$19="","",'[2]سجل المستخلصات'!$C$19)</f>
        <v/>
      </c>
      <c r="D35" s="49">
        <f>IF('[2]سجل المستخلصات'!$E$19="","",'[2]سجل المستخلصات'!$E$19)</f>
        <v/>
      </c>
      <c r="E35" s="50">
        <f>IF('[2]سجل المستخلصات'!$F$19="","",'[2]سجل المستخلصات'!$F$19)</f>
        <v/>
      </c>
      <c r="F35" s="51">
        <f>IF('[2]سجل المستخلصات'!$H$19="","",'[2]سجل المستخلصات'!$H$19)</f>
        <v/>
      </c>
      <c r="G35" s="51">
        <f>IF('[2]سجل المستخلصات'!$G$19="","",'[2]سجل المستخلصات'!$G$19)</f>
        <v/>
      </c>
      <c r="H35" s="51">
        <f>IF('[2]سجل المستخلصات'!$I$19="","",'[2]سجل المستخلصات'!$I$19)</f>
        <v/>
      </c>
      <c r="I35" s="51">
        <f>IF('[2]سجل المستخلصات'!$J$19="","",'[2]سجل المستخلصات'!$J$19)</f>
        <v/>
      </c>
      <c r="J35" s="51">
        <f>IF('[2]سجل المستخلصات'!$K$19="","",'[2]سجل المستخلصات'!$K$19)</f>
        <v/>
      </c>
      <c r="K35" s="52">
        <f>IF('[2]سجل المستخلصات'!$L$19="","",'[2]سجل المستخلصات'!$L$19)</f>
        <v/>
      </c>
      <c r="L35" s="52">
        <f>IF('[2]سجل المستخلصات'!$M$19="","",'[2]سجل المستخلصات'!$M$19)</f>
        <v/>
      </c>
      <c r="M35" s="52">
        <f>IF('[2]سجل المستخلصات'!$N$19="","",'[2]سجل المستخلصات'!$N$19)</f>
        <v/>
      </c>
      <c r="N35" s="51">
        <f>IF('[2]سجل المستخلصات'!$O$19="","",'[2]سجل المستخلصات'!$O$19)</f>
        <v/>
      </c>
      <c r="O35" s="51">
        <f>IF('[2]سجل المستخلصات'!$R$19="","",'[2]سجل المستخلصات'!$R$19)</f>
        <v/>
      </c>
      <c r="P35" s="51">
        <f>IF('[2]سجل المستخلصات'!$S$19="","",'[2]سجل المستخلصات'!$S$19)</f>
        <v/>
      </c>
      <c r="Q35" s="51">
        <f>IF('[2]سجل المستخلصات'!$T$19="","",'[2]سجل المستخلصات'!$T$19)</f>
        <v/>
      </c>
      <c r="R35" s="51">
        <f>IF('[2]سجل المستخلصات'!$V$19="","",'[2]سجل المستخلصات'!$V$19)</f>
        <v/>
      </c>
      <c r="S35" s="51">
        <f>IF('[2]سجل المستخلصات'!$W$19="","",'[2]سجل المستخلصات'!$W$19)</f>
        <v/>
      </c>
      <c r="T35" s="53">
        <f>IF('[2]سجل المستخلصات'!$X$19="","",'[2]سجل المستخلصات'!$X$19)</f>
        <v/>
      </c>
      <c r="U35" s="53">
        <f>IF('[2]سجل المستخلصات'!$Z$19="","",'[2]سجل المستخلصات'!$Z$19)</f>
        <v/>
      </c>
      <c r="V35" s="51">
        <f>IF('[2]سجل المستخلصات'!$AA$19="","",'[2]سجل المستخلصات'!$AA$19)</f>
        <v/>
      </c>
      <c r="W35" s="51">
        <f>IF('[2]سجل المستخلصات'!$AC$19="","",'[2]سجل المستخلصات'!$AC$19)</f>
        <v/>
      </c>
      <c r="X35" s="54">
        <f>IF('[2]سجل المستخلصات'!$AD$19="","",'[2]سجل المستخلصات'!$AD$19)</f>
        <v/>
      </c>
      <c r="Y35" s="50">
        <f>IF('[2]سجل المستخلصات'!$AE$19="","",'[2]سجل المستخلصات'!$AE$19)</f>
        <v/>
      </c>
    </row>
    <row r="36">
      <c r="B36" s="48" t="n">
        <v>15</v>
      </c>
      <c r="C36" s="49">
        <f>IF('[2]سجل المستخلصات'!$C$20="","",'[2]سجل المستخلصات'!$C$20)</f>
        <v/>
      </c>
      <c r="D36" s="49">
        <f>IF('[2]سجل المستخلصات'!$E$20="","",'[2]سجل المستخلصات'!$E$20)</f>
        <v/>
      </c>
      <c r="E36" s="50">
        <f>IF('[2]سجل المستخلصات'!$F$20="","",'[2]سجل المستخلصات'!$F$20)</f>
        <v/>
      </c>
      <c r="F36" s="51">
        <f>IF('[2]سجل المستخلصات'!$H$20="","",'[2]سجل المستخلصات'!$H$20)</f>
        <v/>
      </c>
      <c r="G36" s="51">
        <f>IF('[2]سجل المستخلصات'!$G$20="","",'[2]سجل المستخلصات'!$G$20)</f>
        <v/>
      </c>
      <c r="H36" s="51">
        <f>IF('[2]سجل المستخلصات'!$I$20="","",'[2]سجل المستخلصات'!$I$20)</f>
        <v/>
      </c>
      <c r="I36" s="51">
        <f>IF('[2]سجل المستخلصات'!$J$20="","",'[2]سجل المستخلصات'!$J$20)</f>
        <v/>
      </c>
      <c r="J36" s="51">
        <f>IF('[2]سجل المستخلصات'!$K$20="","",'[2]سجل المستخلصات'!$K$20)</f>
        <v/>
      </c>
      <c r="K36" s="52">
        <f>IF('[2]سجل المستخلصات'!$L$20="","",'[2]سجل المستخلصات'!$L$20)</f>
        <v/>
      </c>
      <c r="L36" s="52">
        <f>IF('[2]سجل المستخلصات'!$M$20="","",'[2]سجل المستخلصات'!$M$20)</f>
        <v/>
      </c>
      <c r="M36" s="52">
        <f>IF('[2]سجل المستخلصات'!$N$20="","",'[2]سجل المستخلصات'!$N$20)</f>
        <v/>
      </c>
      <c r="N36" s="51">
        <f>IF('[2]سجل المستخلصات'!$O$20="","",'[2]سجل المستخلصات'!$O$20)</f>
        <v/>
      </c>
      <c r="O36" s="51">
        <f>IF('[2]سجل المستخلصات'!$R$20="","",'[2]سجل المستخلصات'!$R$20)</f>
        <v/>
      </c>
      <c r="P36" s="51">
        <f>IF('[2]سجل المستخلصات'!$S$20="","",'[2]سجل المستخلصات'!$S$20)</f>
        <v/>
      </c>
      <c r="Q36" s="51">
        <f>IF('[2]سجل المستخلصات'!$T$20="","",'[2]سجل المستخلصات'!$T$20)</f>
        <v/>
      </c>
      <c r="R36" s="51">
        <f>IF('[2]سجل المستخلصات'!$V$20="","",'[2]سجل المستخلصات'!$V$20)</f>
        <v/>
      </c>
      <c r="S36" s="51">
        <f>IF('[2]سجل المستخلصات'!$W$20="","",'[2]سجل المستخلصات'!$W$20)</f>
        <v/>
      </c>
      <c r="T36" s="53">
        <f>IF('[2]سجل المستخلصات'!$X$20="","",'[2]سجل المستخلصات'!$X$20)</f>
        <v/>
      </c>
      <c r="U36" s="53">
        <f>IF('[2]سجل المستخلصات'!$Z$20="","",'[2]سجل المستخلصات'!$Z$20)</f>
        <v/>
      </c>
      <c r="V36" s="51">
        <f>IF('[2]سجل المستخلصات'!$AA$20="","",'[2]سجل المستخلصات'!$AA$20)</f>
        <v/>
      </c>
      <c r="W36" s="51">
        <f>IF('[2]سجل المستخلصات'!$AC$20="","",'[2]سجل المستخلصات'!$AC$20)</f>
        <v/>
      </c>
      <c r="X36" s="54">
        <f>IF('[2]سجل المستخلصات'!$AD$20="","",'[2]سجل المستخلصات'!$AD$20)</f>
        <v/>
      </c>
      <c r="Y36" s="50">
        <f>IF('[2]سجل المستخلصات'!$AE$20="","",'[2]سجل المستخلصات'!$AE$20)</f>
        <v/>
      </c>
    </row>
    <row r="37">
      <c r="B37" s="48" t="n">
        <v>16</v>
      </c>
      <c r="C37" s="49">
        <f>IF('[2]سجل المستخلصات'!$C$21="","",'[2]سجل المستخلصات'!$C$21)</f>
        <v/>
      </c>
      <c r="D37" s="49">
        <f>IF('[2]سجل المستخلصات'!$E$21="","",'[2]سجل المستخلصات'!$E$21)</f>
        <v/>
      </c>
      <c r="E37" s="50">
        <f>IF('[2]سجل المستخلصات'!$F$21="","",'[2]سجل المستخلصات'!$F$21)</f>
        <v/>
      </c>
      <c r="F37" s="51">
        <f>IF('[2]سجل المستخلصات'!$H$21="","",'[2]سجل المستخلصات'!$H$21)</f>
        <v/>
      </c>
      <c r="G37" s="51">
        <f>IF('[2]سجل المستخلصات'!$G$21="","",'[2]سجل المستخلصات'!$G$21)</f>
        <v/>
      </c>
      <c r="H37" s="51">
        <f>IF('[2]سجل المستخلصات'!$I$21="","",'[2]سجل المستخلصات'!$I$21)</f>
        <v/>
      </c>
      <c r="I37" s="51">
        <f>IF('[2]سجل المستخلصات'!$J$21="","",'[2]سجل المستخلصات'!$J$21)</f>
        <v/>
      </c>
      <c r="J37" s="51">
        <f>IF('[2]سجل المستخلصات'!$K$21="","",'[2]سجل المستخلصات'!$K$21)</f>
        <v/>
      </c>
      <c r="K37" s="52">
        <f>IF('[2]سجل المستخلصات'!$L$21="","",'[2]سجل المستخلصات'!$L$21)</f>
        <v/>
      </c>
      <c r="L37" s="52">
        <f>IF('[2]سجل المستخلصات'!$M$21="","",'[2]سجل المستخلصات'!$M$21)</f>
        <v/>
      </c>
      <c r="M37" s="52">
        <f>IF('[2]سجل المستخلصات'!$N$21="","",'[2]سجل المستخلصات'!$N$21)</f>
        <v/>
      </c>
      <c r="N37" s="51">
        <f>IF('[2]سجل المستخلصات'!$O$21="","",'[2]سجل المستخلصات'!$O$21)</f>
        <v/>
      </c>
      <c r="O37" s="51">
        <f>IF('[2]سجل المستخلصات'!$R$21="","",'[2]سجل المستخلصات'!$R$21)</f>
        <v/>
      </c>
      <c r="P37" s="51">
        <f>IF('[2]سجل المستخلصات'!$S$21="","",'[2]سجل المستخلصات'!$S$21)</f>
        <v/>
      </c>
      <c r="Q37" s="51">
        <f>IF('[2]سجل المستخلصات'!$T$21="","",'[2]سجل المستخلصات'!$T$21)</f>
        <v/>
      </c>
      <c r="R37" s="51">
        <f>IF('[2]سجل المستخلصات'!$V$21="","",'[2]سجل المستخلصات'!$V$21)</f>
        <v/>
      </c>
      <c r="S37" s="51">
        <f>IF('[2]سجل المستخلصات'!$W$21="","",'[2]سجل المستخلصات'!$W$21)</f>
        <v/>
      </c>
      <c r="T37" s="53">
        <f>IF('[2]سجل المستخلصات'!$X$21="","",'[2]سجل المستخلصات'!$X$21)</f>
        <v/>
      </c>
      <c r="U37" s="53">
        <f>IF('[2]سجل المستخلصات'!$Z$21="","",'[2]سجل المستخلصات'!$Z$21)</f>
        <v/>
      </c>
      <c r="V37" s="51">
        <f>IF('[2]سجل المستخلصات'!$AA$21="","",'[2]سجل المستخلصات'!$AA$21)</f>
        <v/>
      </c>
      <c r="W37" s="51">
        <f>IF('[2]سجل المستخلصات'!$AC$21="","",'[2]سجل المستخلصات'!$AC$21)</f>
        <v/>
      </c>
      <c r="X37" s="54">
        <f>IF('[2]سجل المستخلصات'!$AD$21="","",'[2]سجل المستخلصات'!$AD$21)</f>
        <v/>
      </c>
      <c r="Y37" s="50">
        <f>IF('[2]سجل المستخلصات'!$AE$21="","",'[2]سجل المستخلصات'!$AE$21)</f>
        <v/>
      </c>
    </row>
    <row r="38">
      <c r="B38" s="48" t="n">
        <v>17</v>
      </c>
      <c r="C38" s="49">
        <f>IF('[2]سجل المستخلصات'!$C$22="","",'[2]سجل المستخلصات'!$C$22)</f>
        <v/>
      </c>
      <c r="D38" s="49">
        <f>IF('[2]سجل المستخلصات'!$E$22="","",'[2]سجل المستخلصات'!$E$22)</f>
        <v/>
      </c>
      <c r="E38" s="50">
        <f>IF('[2]سجل المستخلصات'!$F$22="","",'[2]سجل المستخلصات'!$F$22)</f>
        <v/>
      </c>
      <c r="F38" s="51">
        <f>IF('[2]سجل المستخلصات'!$H$22="","",'[2]سجل المستخلصات'!$H$22)</f>
        <v/>
      </c>
      <c r="G38" s="51">
        <f>IF('[2]سجل المستخلصات'!$G$22="","",'[2]سجل المستخلصات'!$G$22)</f>
        <v/>
      </c>
      <c r="H38" s="51">
        <f>IF('[2]سجل المستخلصات'!$I$22="","",'[2]سجل المستخلصات'!$I$22)</f>
        <v/>
      </c>
      <c r="I38" s="51">
        <f>IF('[2]سجل المستخلصات'!$J$22="","",'[2]سجل المستخلصات'!$J$22)</f>
        <v/>
      </c>
      <c r="J38" s="51">
        <f>IF('[2]سجل المستخلصات'!$K$22="","",'[2]سجل المستخلصات'!$K$22)</f>
        <v/>
      </c>
      <c r="K38" s="52">
        <f>IF('[2]سجل المستخلصات'!$L$22="","",'[2]سجل المستخلصات'!$L$22)</f>
        <v/>
      </c>
      <c r="L38" s="52">
        <f>IF('[2]سجل المستخلصات'!$M$22="","",'[2]سجل المستخلصات'!$M$22)</f>
        <v/>
      </c>
      <c r="M38" s="52">
        <f>IF('[2]سجل المستخلصات'!$N$22="","",'[2]سجل المستخلصات'!$N$22)</f>
        <v/>
      </c>
      <c r="N38" s="51">
        <f>IF('[2]سجل المستخلصات'!$O$22="","",'[2]سجل المستخلصات'!$O$22)</f>
        <v/>
      </c>
      <c r="O38" s="51">
        <f>IF('[2]سجل المستخلصات'!$R$22="","",'[2]سجل المستخلصات'!$R$22)</f>
        <v/>
      </c>
      <c r="P38" s="51">
        <f>IF('[2]سجل المستخلصات'!$S$22="","",'[2]سجل المستخلصات'!$S$22)</f>
        <v/>
      </c>
      <c r="Q38" s="51">
        <f>IF('[2]سجل المستخلصات'!$T$22="","",'[2]سجل المستخلصات'!$T$22)</f>
        <v/>
      </c>
      <c r="R38" s="51">
        <f>IF('[2]سجل المستخلصات'!$V$22="","",'[2]سجل المستخلصات'!$V$22)</f>
        <v/>
      </c>
      <c r="S38" s="51">
        <f>IF('[2]سجل المستخلصات'!$W$22="","",'[2]سجل المستخلصات'!$W$22)</f>
        <v/>
      </c>
      <c r="T38" s="53">
        <f>IF('[2]سجل المستخلصات'!$X$22="","",'[2]سجل المستخلصات'!$X$22)</f>
        <v/>
      </c>
      <c r="U38" s="53">
        <f>IF('[2]سجل المستخلصات'!$Z$22="","",'[2]سجل المستخلصات'!$Z$22)</f>
        <v/>
      </c>
      <c r="V38" s="51">
        <f>IF('[2]سجل المستخلصات'!$AA$22="","",'[2]سجل المستخلصات'!$AA$22)</f>
        <v/>
      </c>
      <c r="W38" s="51">
        <f>IF('[2]سجل المستخلصات'!$AC$22="","",'[2]سجل المستخلصات'!$AC$22)</f>
        <v/>
      </c>
      <c r="X38" s="54">
        <f>IF('[2]سجل المستخلصات'!$AD$22="","",'[2]سجل المستخلصات'!$AD$22)</f>
        <v/>
      </c>
      <c r="Y38" s="50">
        <f>IF('[2]سجل المستخلصات'!$AE$22="","",'[2]سجل المستخلصات'!$AE$22)</f>
        <v/>
      </c>
    </row>
    <row r="39">
      <c r="B39" s="48" t="n">
        <v>18</v>
      </c>
      <c r="C39" s="49">
        <f>IF('[2]سجل المستخلصات'!$C$23="","",'[2]سجل المستخلصات'!$C$23)</f>
        <v/>
      </c>
      <c r="D39" s="49">
        <f>IF('[2]سجل المستخلصات'!$E$23="","",'[2]سجل المستخلصات'!$E$23)</f>
        <v/>
      </c>
      <c r="E39" s="50">
        <f>IF('[2]سجل المستخلصات'!$F$23="","",'[2]سجل المستخلصات'!$F$23)</f>
        <v/>
      </c>
      <c r="F39" s="51">
        <f>IF('[2]سجل المستخلصات'!$H$23="","",'[2]سجل المستخلصات'!$H$23)</f>
        <v/>
      </c>
      <c r="G39" s="51">
        <f>IF('[2]سجل المستخلصات'!$G$23="","",'[2]سجل المستخلصات'!$G$23)</f>
        <v/>
      </c>
      <c r="H39" s="51">
        <f>IF('[2]سجل المستخلصات'!$I$23="","",'[2]سجل المستخلصات'!$I$23)</f>
        <v/>
      </c>
      <c r="I39" s="51">
        <f>IF('[2]سجل المستخلصات'!$J$23="","",'[2]سجل المستخلصات'!$J$23)</f>
        <v/>
      </c>
      <c r="J39" s="51">
        <f>IF('[2]سجل المستخلصات'!$K$23="","",'[2]سجل المستخلصات'!$K$23)</f>
        <v/>
      </c>
      <c r="K39" s="52">
        <f>IF('[2]سجل المستخلصات'!$L$23="","",'[2]سجل المستخلصات'!$L$23)</f>
        <v/>
      </c>
      <c r="L39" s="52">
        <f>IF('[2]سجل المستخلصات'!$M$23="","",'[2]سجل المستخلصات'!$M$23)</f>
        <v/>
      </c>
      <c r="M39" s="52">
        <f>IF('[2]سجل المستخلصات'!$N$23="","",'[2]سجل المستخلصات'!$N$23)</f>
        <v/>
      </c>
      <c r="N39" s="51">
        <f>IF('[2]سجل المستخلصات'!$O$23="","",'[2]سجل المستخلصات'!$O$23)</f>
        <v/>
      </c>
      <c r="O39" s="51">
        <f>IF('[2]سجل المستخلصات'!$R$23="","",'[2]سجل المستخلصات'!$R$23)</f>
        <v/>
      </c>
      <c r="P39" s="51">
        <f>IF('[2]سجل المستخلصات'!$S$23="","",'[2]سجل المستخلصات'!$S$23)</f>
        <v/>
      </c>
      <c r="Q39" s="51">
        <f>IF('[2]سجل المستخلصات'!$T$23="","",'[2]سجل المستخلصات'!$T$23)</f>
        <v/>
      </c>
      <c r="R39" s="51">
        <f>IF('[2]سجل المستخلصات'!$V$23="","",'[2]سجل المستخلصات'!$V$23)</f>
        <v/>
      </c>
      <c r="S39" s="51">
        <f>IF('[2]سجل المستخلصات'!$W$23="","",'[2]سجل المستخلصات'!$W$23)</f>
        <v/>
      </c>
      <c r="T39" s="53">
        <f>IF('[2]سجل المستخلصات'!$X$23="","",'[2]سجل المستخلصات'!$X$23)</f>
        <v/>
      </c>
      <c r="U39" s="53">
        <f>IF('[2]سجل المستخلصات'!$Z$23="","",'[2]سجل المستخلصات'!$Z$23)</f>
        <v/>
      </c>
      <c r="V39" s="51">
        <f>IF('[2]سجل المستخلصات'!$AA$23="","",'[2]سجل المستخلصات'!$AA$23)</f>
        <v/>
      </c>
      <c r="W39" s="51">
        <f>IF('[2]سجل المستخلصات'!$AC$23="","",'[2]سجل المستخلصات'!$AC$23)</f>
        <v/>
      </c>
      <c r="X39" s="54">
        <f>IF('[2]سجل المستخلصات'!$AD$23="","",'[2]سجل المستخلصات'!$AD$23)</f>
        <v/>
      </c>
      <c r="Y39" s="50">
        <f>IF('[2]سجل المستخلصات'!$AE$23="","",'[2]سجل المستخلصات'!$AE$23)</f>
        <v/>
      </c>
    </row>
    <row r="40">
      <c r="B40" s="48" t="n">
        <v>19</v>
      </c>
      <c r="C40" s="49">
        <f>IF('[2]سجل المستخلصات'!$C$24="","",'[2]سجل المستخلصات'!$C$24)</f>
        <v/>
      </c>
      <c r="D40" s="49">
        <f>IF('[2]سجل المستخلصات'!$E$24="","",'[2]سجل المستخلصات'!$E$24)</f>
        <v/>
      </c>
      <c r="E40" s="50">
        <f>IF('[2]سجل المستخلصات'!$F$24="","",'[2]سجل المستخلصات'!$F$24)</f>
        <v/>
      </c>
      <c r="F40" s="51">
        <f>IF('[2]سجل المستخلصات'!$H$24="","",'[2]سجل المستخلصات'!$H$24)</f>
        <v/>
      </c>
      <c r="G40" s="51">
        <f>IF('[2]سجل المستخلصات'!$G$24="","",'[2]سجل المستخلصات'!$G$24)</f>
        <v/>
      </c>
      <c r="H40" s="51">
        <f>IF('[2]سجل المستخلصات'!$I$24="","",'[2]سجل المستخلصات'!$I$24)</f>
        <v/>
      </c>
      <c r="I40" s="51">
        <f>IF('[2]سجل المستخلصات'!$J$24="","",'[2]سجل المستخلصات'!$J$24)</f>
        <v/>
      </c>
      <c r="J40" s="51">
        <f>IF('[2]سجل المستخلصات'!$K$24="","",'[2]سجل المستخلصات'!$K$24)</f>
        <v/>
      </c>
      <c r="K40" s="52">
        <f>IF('[2]سجل المستخلصات'!$L$24="","",'[2]سجل المستخلصات'!$L$24)</f>
        <v/>
      </c>
      <c r="L40" s="52">
        <f>IF('[2]سجل المستخلصات'!$M$24="","",'[2]سجل المستخلصات'!$M$24)</f>
        <v/>
      </c>
      <c r="M40" s="52">
        <f>IF('[2]سجل المستخلصات'!$N$24="","",'[2]سجل المستخلصات'!$N$24)</f>
        <v/>
      </c>
      <c r="N40" s="51">
        <f>IF('[2]سجل المستخلصات'!$O$24="","",'[2]سجل المستخلصات'!$O$24)</f>
        <v/>
      </c>
      <c r="O40" s="51">
        <f>IF('[2]سجل المستخلصات'!$R$24="","",'[2]سجل المستخلصات'!$R$24)</f>
        <v/>
      </c>
      <c r="P40" s="51">
        <f>IF('[2]سجل المستخلصات'!$S$24="","",'[2]سجل المستخلصات'!$S$24)</f>
        <v/>
      </c>
      <c r="Q40" s="51">
        <f>IF('[2]سجل المستخلصات'!$T$24="","",'[2]سجل المستخلصات'!$T$24)</f>
        <v/>
      </c>
      <c r="R40" s="51">
        <f>IF('[2]سجل المستخلصات'!$V$24="","",'[2]سجل المستخلصات'!$V$24)</f>
        <v/>
      </c>
      <c r="S40" s="51">
        <f>IF('[2]سجل المستخلصات'!$W$24="","",'[2]سجل المستخلصات'!$W$24)</f>
        <v/>
      </c>
      <c r="T40" s="53">
        <f>IF('[2]سجل المستخلصات'!$X$24="","",'[2]سجل المستخلصات'!$X$24)</f>
        <v/>
      </c>
      <c r="U40" s="53">
        <f>IF('[2]سجل المستخلصات'!$Z$24="","",'[2]سجل المستخلصات'!$Z$24)</f>
        <v/>
      </c>
      <c r="V40" s="51">
        <f>IF('[2]سجل المستخلصات'!$AA$24="","",'[2]سجل المستخلصات'!$AA$24)</f>
        <v/>
      </c>
      <c r="W40" s="51">
        <f>IF('[2]سجل المستخلصات'!$AC$24="","",'[2]سجل المستخلصات'!$AC$24)</f>
        <v/>
      </c>
      <c r="X40" s="54">
        <f>IF('[2]سجل المستخلصات'!$AD$24="","",'[2]سجل المستخلصات'!$AD$24)</f>
        <v/>
      </c>
      <c r="Y40" s="50">
        <f>IF('[2]سجل المستخلصات'!$AE$24="","",'[2]سجل المستخلصات'!$AE$24)</f>
        <v/>
      </c>
    </row>
    <row r="41">
      <c r="B41" s="48" t="n">
        <v>20</v>
      </c>
      <c r="C41" s="49">
        <f>IF('[2]سجل المستخلصات'!$C$25="","",'[2]سجل المستخلصات'!$C$25)</f>
        <v/>
      </c>
      <c r="D41" s="49">
        <f>IF('[2]سجل المستخلصات'!$E$25="","",'[2]سجل المستخلصات'!$E$25)</f>
        <v/>
      </c>
      <c r="E41" s="50">
        <f>IF('[2]سجل المستخلصات'!$F$25="","",'[2]سجل المستخلصات'!$F$25)</f>
        <v/>
      </c>
      <c r="F41" s="51">
        <f>IF('[2]سجل المستخلصات'!$H$25="","",'[2]سجل المستخلصات'!$H$25)</f>
        <v/>
      </c>
      <c r="G41" s="51">
        <f>IF('[2]سجل المستخلصات'!$G$25="","",'[2]سجل المستخلصات'!$G$25)</f>
        <v/>
      </c>
      <c r="H41" s="51">
        <f>IF('[2]سجل المستخلصات'!$I$25="","",'[2]سجل المستخلصات'!$I$25)</f>
        <v/>
      </c>
      <c r="I41" s="51">
        <f>IF('[2]سجل المستخلصات'!$J$25="","",'[2]سجل المستخلصات'!$J$25)</f>
        <v/>
      </c>
      <c r="J41" s="51">
        <f>IF('[2]سجل المستخلصات'!$K$25="","",'[2]سجل المستخلصات'!$K$25)</f>
        <v/>
      </c>
      <c r="K41" s="52">
        <f>IF('[2]سجل المستخلصات'!$L$25="","",'[2]سجل المستخلصات'!$L$25)</f>
        <v/>
      </c>
      <c r="L41" s="52">
        <f>IF('[2]سجل المستخلصات'!$M$25="","",'[2]سجل المستخلصات'!$M$25)</f>
        <v/>
      </c>
      <c r="M41" s="52">
        <f>IF('[2]سجل المستخلصات'!$N$25="","",'[2]سجل المستخلصات'!$N$25)</f>
        <v/>
      </c>
      <c r="N41" s="51">
        <f>IF('[2]سجل المستخلصات'!$O$25="","",'[2]سجل المستخلصات'!$O$25)</f>
        <v/>
      </c>
      <c r="O41" s="51">
        <f>IF('[2]سجل المستخلصات'!$R$25="","",'[2]سجل المستخلصات'!$R$25)</f>
        <v/>
      </c>
      <c r="P41" s="51">
        <f>IF('[2]سجل المستخلصات'!$S$25="","",'[2]سجل المستخلصات'!$S$25)</f>
        <v/>
      </c>
      <c r="Q41" s="51">
        <f>IF('[2]سجل المستخلصات'!$T$25="","",'[2]سجل المستخلصات'!$T$25)</f>
        <v/>
      </c>
      <c r="R41" s="51">
        <f>IF('[2]سجل المستخلصات'!$V$25="","",'[2]سجل المستخلصات'!$V$25)</f>
        <v/>
      </c>
      <c r="S41" s="51">
        <f>IF('[2]سجل المستخلصات'!$W$25="","",'[2]سجل المستخلصات'!$W$25)</f>
        <v/>
      </c>
      <c r="T41" s="53">
        <f>IF('[2]سجل المستخلصات'!$X$25="","",'[2]سجل المستخلصات'!$X$25)</f>
        <v/>
      </c>
      <c r="U41" s="53">
        <f>IF('[2]سجل المستخلصات'!$Z$25="","",'[2]سجل المستخلصات'!$Z$25)</f>
        <v/>
      </c>
      <c r="V41" s="51">
        <f>IF('[2]سجل المستخلصات'!$AA$25="","",'[2]سجل المستخلصات'!$AA$25)</f>
        <v/>
      </c>
      <c r="W41" s="51">
        <f>IF('[2]سجل المستخلصات'!$AC$25="","",'[2]سجل المستخلصات'!$AC$25)</f>
        <v/>
      </c>
      <c r="X41" s="54">
        <f>IF('[2]سجل المستخلصات'!$AD$25="","",'[2]سجل المستخلصات'!$AD$25)</f>
        <v/>
      </c>
      <c r="Y41" s="50">
        <f>IF('[2]سجل المستخلصات'!$AE$25="","",'[2]سجل المستخلصات'!$AE$25)</f>
        <v/>
      </c>
    </row>
    <row r="42">
      <c r="B42" s="55" t="inlineStr">
        <is>
          <t>الإجمالي</t>
        </is>
      </c>
      <c r="C42" s="56" t="n"/>
      <c r="D42" s="56" t="n"/>
      <c r="E42" s="55" t="n"/>
      <c r="F42" s="57">
        <f>SUM(F22:F41)</f>
        <v/>
      </c>
      <c r="G42" s="57">
        <f>IF($V$9=0,0,N(INDEX($G$22:$G$41,$V$9)))</f>
        <v/>
      </c>
      <c r="H42" s="57">
        <f>IF($V$9=0,0,N(INDEX($H$22:$H$41,$V$9)))</f>
        <v/>
      </c>
      <c r="I42" s="57">
        <f>IF($V$9=0,0,N(INDEX($I$22:$I$41,$V$9)))</f>
        <v/>
      </c>
      <c r="J42" s="57">
        <f>IF($V$9=0,0,N(INDEX($J$22:$J$41,$V$9)))</f>
        <v/>
      </c>
      <c r="K42" s="58">
        <f>IF($V$9=0,0,N(INDEX($K$22:$K$41,$V$9)))</f>
        <v/>
      </c>
      <c r="L42" s="58" t="n"/>
      <c r="M42" s="58" t="n"/>
      <c r="N42" s="57">
        <f>IF($V$9=0,0,N(INDEX($N$22:$N$41,$V$9)))</f>
        <v/>
      </c>
      <c r="O42" s="57">
        <f>IF($V$9=0,0,N(INDEX($O$22:$O$41,$V$9)))</f>
        <v/>
      </c>
      <c r="P42" s="57">
        <f>IF($V$9=0,0,N(INDEX($P$22:$P$41,$V$9)))</f>
        <v/>
      </c>
      <c r="Q42" s="57">
        <f>IF($V$9=0,0,N(INDEX($Q$22:$Q$41,$V$9)))</f>
        <v/>
      </c>
      <c r="R42" s="57">
        <f>IF($V$9=0,0,N(INDEX($R$22:$R$41,$V$9)))</f>
        <v/>
      </c>
      <c r="S42" s="57">
        <f>IF($V$9=0,0,N(INDEX($S$22:$S$41,$V$9)))</f>
        <v/>
      </c>
      <c r="T42" s="57">
        <f>IF($V$9=0,0,N(INDEX($T$22:$T$41,$V$9)))</f>
        <v/>
      </c>
      <c r="U42" s="57">
        <f>SUM(U22:U41)</f>
        <v/>
      </c>
      <c r="V42" s="57">
        <f>SUM(V22:V41)</f>
        <v/>
      </c>
      <c r="W42" s="57">
        <f>SUM(W22:W41)</f>
        <v/>
      </c>
      <c r="X42" s="59">
        <f>IFERROR(AVERAGE(X22:X41),0)</f>
        <v/>
      </c>
      <c r="Y42" s="55" t="n"/>
    </row>
    <row r="45">
      <c r="B45" s="46" t="inlineStr">
        <is>
          <t>الإنجاز حسب أقسام الأعمال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القسم</t>
        </is>
      </c>
      <c r="C46" s="47" t="n"/>
      <c r="D46" s="47" t="n"/>
      <c r="E46" s="47" t="inlineStr">
        <is>
          <t>القيمة التعاقدية</t>
        </is>
      </c>
      <c r="F46" s="47" t="inlineStr">
        <is>
          <t>القيمة المنفذة</t>
        </is>
      </c>
      <c r="G46" s="47" t="inlineStr">
        <is>
          <t>نسبة الإنجاز</t>
        </is>
      </c>
    </row>
    <row r="47">
      <c r="B47" s="60">
        <f>IF('[2]سجل المستخلصات'!$B$32="","",'[2]سجل المستخلصات'!$B$32)</f>
        <v/>
      </c>
      <c r="C47" s="60" t="n"/>
      <c r="D47" s="60" t="n"/>
      <c r="E47" s="51">
        <f>N('[2]سجل المستخلصات'!$E$32)</f>
        <v/>
      </c>
      <c r="F47" s="51">
        <f>N('[2]سجل المستخلصات'!$F$32)</f>
        <v/>
      </c>
      <c r="G47" s="61">
        <f>IF(E47&gt;0,F47/E47,0)</f>
        <v/>
      </c>
    </row>
    <row r="48">
      <c r="B48" s="60">
        <f>IF('[2]سجل المستخلصات'!$B$33="","",'[2]سجل المستخلصات'!$B$33)</f>
        <v/>
      </c>
      <c r="C48" s="60" t="n"/>
      <c r="D48" s="60" t="n"/>
      <c r="E48" s="51">
        <f>N('[2]سجل المستخلصات'!$E$33)</f>
        <v/>
      </c>
      <c r="F48" s="51">
        <f>N('[2]سجل المستخلصات'!$F$33)</f>
        <v/>
      </c>
      <c r="G48" s="61">
        <f>IF(E48&gt;0,F48/E48,0)</f>
        <v/>
      </c>
    </row>
    <row r="49">
      <c r="B49" s="60">
        <f>IF('[2]سجل المستخلصات'!$B$34="","",'[2]سجل المستخلصات'!$B$34)</f>
        <v/>
      </c>
      <c r="C49" s="60" t="n"/>
      <c r="D49" s="60" t="n"/>
      <c r="E49" s="51">
        <f>N('[2]سجل المستخلصات'!$E$34)</f>
        <v/>
      </c>
      <c r="F49" s="51">
        <f>N('[2]سجل المستخلصات'!$F$34)</f>
        <v/>
      </c>
      <c r="G49" s="61">
        <f>IF(E49&gt;0,F49/E49,0)</f>
        <v/>
      </c>
    </row>
    <row r="50">
      <c r="B50" s="60">
        <f>IF('[2]سجل المستخلصات'!$B$35="","",'[2]سجل المستخلصات'!$B$35)</f>
        <v/>
      </c>
      <c r="C50" s="60" t="n"/>
      <c r="D50" s="60" t="n"/>
      <c r="E50" s="51">
        <f>N('[2]سجل المستخلصات'!$E$35)</f>
        <v/>
      </c>
      <c r="F50" s="51">
        <f>N('[2]سجل المستخلصات'!$F$35)</f>
        <v/>
      </c>
      <c r="G50" s="61">
        <f>IF(E50&gt;0,F50/E50,0)</f>
        <v/>
      </c>
    </row>
    <row r="51">
      <c r="B51" s="60">
        <f>IF('[2]سجل المستخلصات'!$B$36="","",'[2]سجل المستخلصات'!$B$36)</f>
        <v/>
      </c>
      <c r="C51" s="60" t="n"/>
      <c r="D51" s="60" t="n"/>
      <c r="E51" s="51">
        <f>N('[2]سجل المستخلصات'!$E$36)</f>
        <v/>
      </c>
      <c r="F51" s="51">
        <f>N('[2]سجل المستخلصات'!$F$36)</f>
        <v/>
      </c>
      <c r="G51" s="61">
        <f>IF(E51&gt;0,F51/E51,0)</f>
        <v/>
      </c>
    </row>
    <row r="52">
      <c r="B52" s="60">
        <f>IF('[2]سجل المستخلصات'!$B$37="","",'[2]سجل المستخلصات'!$B$37)</f>
        <v/>
      </c>
      <c r="C52" s="60" t="n"/>
      <c r="D52" s="60" t="n"/>
      <c r="E52" s="51">
        <f>N('[2]سجل المستخلصات'!$E$37)</f>
        <v/>
      </c>
      <c r="F52" s="51">
        <f>N('[2]سجل المستخلصات'!$F$37)</f>
        <v/>
      </c>
      <c r="G52" s="61">
        <f>IF(E52&gt;0,F52/E52,0)</f>
        <v/>
      </c>
    </row>
    <row r="53">
      <c r="B53" s="60">
        <f>IF('[2]سجل المستخلصات'!$B$38="","",'[2]سجل المستخلصات'!$B$38)</f>
        <v/>
      </c>
      <c r="C53" s="60" t="n"/>
      <c r="D53" s="60" t="n"/>
      <c r="E53" s="51">
        <f>N('[2]سجل المستخلصات'!$E$38)</f>
        <v/>
      </c>
      <c r="F53" s="51">
        <f>N('[2]سجل المستخلصات'!$F$38)</f>
        <v/>
      </c>
      <c r="G53" s="61">
        <f>IF(E53&gt;0,F53/E53,0)</f>
        <v/>
      </c>
    </row>
    <row r="54">
      <c r="B54" s="60">
        <f>IF('[2]سجل المستخلصات'!$B$39="","",'[2]سجل المستخلصات'!$B$39)</f>
        <v/>
      </c>
      <c r="C54" s="60" t="n"/>
      <c r="D54" s="60" t="n"/>
      <c r="E54" s="51">
        <f>N('[2]سجل المستخلصات'!$E$39)</f>
        <v/>
      </c>
      <c r="F54" s="51">
        <f>N('[2]سجل المستخلصات'!$F$39)</f>
        <v/>
      </c>
      <c r="G54" s="61">
        <f>IF(E54&gt;0,F54/E54,0)</f>
        <v/>
      </c>
    </row>
    <row r="55">
      <c r="B55" s="60">
        <f>IF('[2]سجل المستخلصات'!$B$40="","",'[2]سجل المستخلصات'!$B$40)</f>
        <v/>
      </c>
      <c r="C55" s="60" t="n"/>
      <c r="D55" s="60" t="n"/>
      <c r="E55" s="51">
        <f>N('[2]سجل المستخلصات'!$E$40)</f>
        <v/>
      </c>
      <c r="F55" s="51">
        <f>N('[2]سجل المستخلصات'!$F$40)</f>
        <v/>
      </c>
      <c r="G55" s="61">
        <f>IF(E55&gt;0,F55/E55,0)</f>
        <v/>
      </c>
    </row>
    <row r="56">
      <c r="B56" s="60">
        <f>IF('[2]سجل المستخلصات'!$B$41="","",'[2]سجل المستخلصات'!$B$41)</f>
        <v/>
      </c>
      <c r="C56" s="60" t="n"/>
      <c r="D56" s="60" t="n"/>
      <c r="E56" s="51">
        <f>N('[2]سجل المستخلصات'!$E$41)</f>
        <v/>
      </c>
      <c r="F56" s="51">
        <f>N('[2]سجل المستخلصات'!$F$41)</f>
        <v/>
      </c>
      <c r="G56" s="61">
        <f>IF(E56&gt;0,F56/E56,0)</f>
        <v/>
      </c>
    </row>
    <row r="57">
      <c r="B57" s="60">
        <f>IF('[2]سجل المستخلصات'!$B$42="","",'[2]سجل المستخلصات'!$B$42)</f>
        <v/>
      </c>
      <c r="C57" s="60" t="n"/>
      <c r="D57" s="60" t="n"/>
      <c r="E57" s="51">
        <f>N('[2]سجل المستخلصات'!$E$42)</f>
        <v/>
      </c>
      <c r="F57" s="51">
        <f>N('[2]سجل المستخلصات'!$F$42)</f>
        <v/>
      </c>
      <c r="G57" s="61">
        <f>IF(E57&gt;0,F57/E57,0)</f>
        <v/>
      </c>
    </row>
    <row r="58">
      <c r="B58" s="60">
        <f>IF('[2]سجل المستخلصات'!$B$43="","",'[2]سجل المستخلصات'!$B$43)</f>
        <v/>
      </c>
      <c r="C58" s="60" t="n"/>
      <c r="D58" s="60" t="n"/>
      <c r="E58" s="51">
        <f>N('[2]سجل المستخلصات'!$E$43)</f>
        <v/>
      </c>
      <c r="F58" s="51">
        <f>N('[2]سجل المستخلصات'!$F$43)</f>
        <v/>
      </c>
      <c r="G58" s="61">
        <f>IF(E58&gt;0,F58/E58,0)</f>
        <v/>
      </c>
    </row>
  </sheetData>
  <mergeCells count="76">
    <mergeCell ref="R17:U17"/>
    <mergeCell ref="B9:E9"/>
    <mergeCell ref="F9:I9"/>
    <mergeCell ref="B2:Y2"/>
    <mergeCell ref="N9:Q9"/>
    <mergeCell ref="B57:D57"/>
    <mergeCell ref="J12:M12"/>
    <mergeCell ref="B15:E15"/>
    <mergeCell ref="B53:D53"/>
    <mergeCell ref="M5:Q5"/>
    <mergeCell ref="B1:Y1"/>
    <mergeCell ref="S5:Y5"/>
    <mergeCell ref="N15:Q15"/>
    <mergeCell ref="J18:M18"/>
    <mergeCell ref="H5:K5"/>
    <mergeCell ref="F14:I14"/>
    <mergeCell ref="R18:U18"/>
    <mergeCell ref="R9:U9"/>
    <mergeCell ref="V18:Y18"/>
    <mergeCell ref="N3:R3"/>
    <mergeCell ref="R8:U8"/>
    <mergeCell ref="R14:U14"/>
    <mergeCell ref="J17:M17"/>
    <mergeCell ref="J8:M8"/>
    <mergeCell ref="V12:Y12"/>
    <mergeCell ref="F11:I11"/>
    <mergeCell ref="B49:D49"/>
    <mergeCell ref="C6:F6"/>
    <mergeCell ref="N11:Q11"/>
    <mergeCell ref="V17:Y17"/>
    <mergeCell ref="R11:U11"/>
    <mergeCell ref="J14:M14"/>
    <mergeCell ref="C5:F5"/>
    <mergeCell ref="B55:D55"/>
    <mergeCell ref="AA4:AB4"/>
    <mergeCell ref="B51:D51"/>
    <mergeCell ref="V14:Y14"/>
    <mergeCell ref="B18:E18"/>
    <mergeCell ref="V8:Y8"/>
    <mergeCell ref="S3:Y3"/>
    <mergeCell ref="J9:M9"/>
    <mergeCell ref="M6:Q6"/>
    <mergeCell ref="B20:Y20"/>
    <mergeCell ref="B12:E12"/>
    <mergeCell ref="F12:I12"/>
    <mergeCell ref="B45:G45"/>
    <mergeCell ref="H6:K6"/>
    <mergeCell ref="B50:D50"/>
    <mergeCell ref="B11:E11"/>
    <mergeCell ref="N12:Q12"/>
    <mergeCell ref="F15:I15"/>
    <mergeCell ref="R15:U15"/>
    <mergeCell ref="J15:M15"/>
    <mergeCell ref="B47:D47"/>
    <mergeCell ref="B54:D54"/>
    <mergeCell ref="B14:E14"/>
    <mergeCell ref="N18:Q18"/>
    <mergeCell ref="F18:I18"/>
    <mergeCell ref="B17:E17"/>
    <mergeCell ref="B8:E8"/>
    <mergeCell ref="V9:Y9"/>
    <mergeCell ref="N8:Q8"/>
    <mergeCell ref="N14:Q14"/>
    <mergeCell ref="F17:I17"/>
    <mergeCell ref="F8:I8"/>
    <mergeCell ref="R12:U12"/>
    <mergeCell ref="N17:Q17"/>
    <mergeCell ref="B46:D46"/>
    <mergeCell ref="J11:M11"/>
    <mergeCell ref="B56:D56"/>
    <mergeCell ref="B58:D58"/>
    <mergeCell ref="V15:Y15"/>
    <mergeCell ref="B52:D52"/>
    <mergeCell ref="V11:Y11"/>
    <mergeCell ref="B48:D48"/>
    <mergeCell ref="S6:Y6"/>
  </mergeCells>
  <conditionalFormatting sqref="M22:M41">
    <cfRule type="cellIs" priority="1" operator="lessThan" dxfId="0">
      <formula>-0.0001</formula>
    </cfRule>
  </conditionalFormatting>
  <conditionalFormatting sqref="Y22:Y41">
    <cfRule type="expression" priority="2" dxfId="1">
      <formula>ISNUMBER(SEARCH("✔",Y22))</formula>
    </cfRule>
    <cfRule type="expression" priority="3" dxfId="2">
      <formula>ISNUMBER(SEARCH("✖",Y22))</formula>
    </cfRule>
    <cfRule type="expression" priority="4" dxfId="3">
      <formula>ISNUMBER(SEARCH("⚠",Y22))</formula>
    </cfRule>
  </conditionalFormatting>
  <conditionalFormatting sqref="B22:Y41">
    <cfRule type="expression" priority="5" dxfId="4">
      <formula>$B22=$V$9</formula>
    </cfRule>
  </conditionalFormatting>
  <conditionalFormatting sqref="K22:K41">
    <cfRule type="dataBar" priority="6">
      <dataBar>
        <cfvo type="num" val="0"/>
        <cfvo type="num" val="1"/>
        <color rgb="0063BE7B"/>
      </dataBar>
    </cfRule>
  </conditionalFormatting>
  <conditionalFormatting sqref="V12">
    <cfRule type="expression" priority="7" dxfId="0">
      <formula>ISNUMBER(SEARCH("⚠",V12))</formula>
    </cfRule>
  </conditionalFormatting>
  <conditionalFormatting sqref="J12">
    <cfRule type="cellIs" priority="8" operator="lessThan" dxfId="0">
      <formula>0</formula>
    </cfRule>
  </conditionalFormatting>
  <conditionalFormatting sqref="G47:G58">
    <cfRule type="dataBar" priority="9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xmlns:r="http://schemas.openxmlformats.org/officeDocument/2006/relationships" ref="N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"&amp;IF('[3]بيانات العقد'!$C$5="","مشروع رقم 03 — غير مُفعّل",'[3]بيانات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مشروع 01</t>
        </is>
      </c>
      <c r="D3" s="4" t="inlineStr">
        <is>
          <t>مشروع 02</t>
        </is>
      </c>
      <c r="E3" s="10" t="inlineStr">
        <is>
          <t>مشروع 03</t>
        </is>
      </c>
      <c r="F3" s="4" t="inlineStr">
        <is>
          <t>مشروع 04</t>
        </is>
      </c>
      <c r="G3" s="4" t="inlineStr">
        <is>
          <t>مشروع 05</t>
        </is>
      </c>
      <c r="H3" s="4" t="inlineStr">
        <is>
          <t>مشروع 06</t>
        </is>
      </c>
      <c r="I3" s="4" t="inlineStr">
        <is>
          <t>مشروع 07</t>
        </is>
      </c>
      <c r="J3" s="4" t="inlineStr">
        <is>
          <t>مشروع 08</t>
        </is>
      </c>
      <c r="K3" s="4" t="inlineStr">
        <is>
          <t>مشروع 09</t>
        </is>
      </c>
      <c r="L3" s="4" t="inlineStr">
        <is>
          <t>مشروع 10</t>
        </is>
      </c>
      <c r="N3" s="11" t="inlineStr">
        <is>
          <t>📂 فتح ملف المستخلصات: IPC_Project_03.xlsx</t>
        </is>
      </c>
      <c r="O3" s="11" t="n"/>
      <c r="P3" s="11" t="n"/>
      <c r="Q3" s="11" t="n"/>
      <c r="R3" s="11" t="n"/>
      <c r="S3" s="12" t="inlineStr">
        <is>
          <t>يُحدَّث آلياً من ملف المستخلصات (تمكين المحتوى ← تحديث الروابط)</t>
        </is>
      </c>
      <c r="T3" s="12" t="n"/>
      <c r="U3" s="12" t="n"/>
      <c r="V3" s="12" t="n"/>
      <c r="W3" s="12" t="n"/>
      <c r="X3" s="12" t="n"/>
      <c r="Y3" s="12" t="n"/>
    </row>
    <row r="4">
      <c r="AA4" s="11" t="inlineStr">
        <is>
          <t>بيانات مرتبطة من ملف المستخلصات</t>
        </is>
      </c>
      <c r="AB4" s="11" t="n"/>
    </row>
    <row r="5" ht="22" customHeight="1">
      <c r="B5" s="9" t="inlineStr">
        <is>
          <t>المشروع</t>
        </is>
      </c>
      <c r="C5" s="13">
        <f>IF('[3]بيانات العقد'!$C$5="","",'[3]بيانات العقد'!$C$5)</f>
        <v/>
      </c>
      <c r="D5" s="13" t="n"/>
      <c r="E5" s="13" t="n"/>
      <c r="F5" s="13" t="n"/>
      <c r="G5" s="9" t="inlineStr">
        <is>
          <t>رقم العقد</t>
        </is>
      </c>
      <c r="H5" s="13">
        <f>IF('[3]بيانات العقد'!$C$6="","",'[3]بيانات العقد'!$C$6)</f>
        <v/>
      </c>
      <c r="I5" s="13" t="n"/>
      <c r="J5" s="13" t="n"/>
      <c r="K5" s="13" t="n"/>
      <c r="L5" s="9" t="inlineStr">
        <is>
          <t>صاحب العمل</t>
        </is>
      </c>
      <c r="M5" s="13">
        <f>IF('[3]بيانات العقد'!$C$7="","",'[3]بيانات العقد'!$C$7)</f>
        <v/>
      </c>
      <c r="N5" s="13" t="n"/>
      <c r="O5" s="13" t="n"/>
      <c r="P5" s="13" t="n"/>
      <c r="Q5" s="13" t="n"/>
      <c r="R5" s="9" t="inlineStr">
        <is>
          <t>الاستشاري</t>
        </is>
      </c>
      <c r="S5" s="13">
        <f>IF('[3]بيانات العقد'!$C$8="","",'[3]بيانات العقد'!$C$8)</f>
        <v/>
      </c>
      <c r="T5" s="13" t="n"/>
      <c r="U5" s="13" t="n"/>
      <c r="V5" s="13" t="n"/>
      <c r="W5" s="13" t="n"/>
      <c r="X5" s="13" t="n"/>
      <c r="Y5" s="13" t="n"/>
      <c r="AA5" s="14" t="inlineStr">
        <is>
          <t>قيمة العقد الأصلية</t>
        </is>
      </c>
      <c r="AB5" s="15">
        <f>N('[3]بيانات العقد'!$C$16)</f>
        <v/>
      </c>
    </row>
    <row r="6" ht="22" customHeight="1">
      <c r="B6" s="9" t="inlineStr">
        <is>
          <t>المقاول</t>
        </is>
      </c>
      <c r="C6" s="13">
        <f>IF('[3]بيانات العقد'!$C$9="","",'[3]بيانات العقد'!$C$9)</f>
        <v/>
      </c>
      <c r="D6" s="13" t="n"/>
      <c r="E6" s="13" t="n"/>
      <c r="F6" s="13" t="n"/>
      <c r="G6" s="9" t="inlineStr">
        <is>
          <t>تاريخ البدء</t>
        </is>
      </c>
      <c r="H6" s="16">
        <f>IF('[3]بيانات العقد'!$C$11="","",'[3]بيانات العقد'!$C$11)</f>
        <v/>
      </c>
      <c r="I6" s="16" t="n"/>
      <c r="J6" s="16" t="n"/>
      <c r="K6" s="16" t="n"/>
      <c r="L6" s="9" t="inlineStr">
        <is>
          <t>الانتهاء التعاقدي</t>
        </is>
      </c>
      <c r="M6" s="16">
        <f>IF('[3]بيانات العقد'!$C$13="","",'[3]بيانات العقد'!$C$13)</f>
        <v/>
      </c>
      <c r="N6" s="16" t="n"/>
      <c r="O6" s="16" t="n"/>
      <c r="P6" s="16" t="n"/>
      <c r="Q6" s="16" t="n"/>
      <c r="R6" s="9" t="inlineStr">
        <is>
          <t>العملة</t>
        </is>
      </c>
      <c r="S6" s="13">
        <f>IF('[3]بيانات العقد'!$C$14="","",'[3]بيانات العقد'!$C$14)</f>
        <v/>
      </c>
      <c r="T6" s="13" t="n"/>
      <c r="U6" s="13" t="n"/>
      <c r="V6" s="13" t="n"/>
      <c r="W6" s="13" t="n"/>
      <c r="X6" s="13" t="n"/>
      <c r="Y6" s="13" t="n"/>
      <c r="AA6" s="14" t="inlineStr">
        <is>
          <t>صافي التغييرية المعتمدة</t>
        </is>
      </c>
      <c r="AB6" s="15">
        <f>N('[3]بيانات العقد'!$C$17)</f>
        <v/>
      </c>
    </row>
    <row r="7">
      <c r="AA7" s="14" t="inlineStr">
        <is>
          <t>قيمة العقد المعدلة</t>
        </is>
      </c>
      <c r="AB7" s="15">
        <f>N('[3]بيانات العقد'!$C$18)</f>
        <v/>
      </c>
    </row>
    <row r="8" ht="24" customHeight="1">
      <c r="B8" s="17" t="inlineStr">
        <is>
          <t>قيمة العقد الأصلية</t>
        </is>
      </c>
      <c r="C8" s="17" t="n"/>
      <c r="D8" s="17" t="n"/>
      <c r="E8" s="17" t="n"/>
      <c r="F8" s="18" t="inlineStr">
        <is>
          <t>صافي الأوامر التغييرية</t>
        </is>
      </c>
      <c r="G8" s="18" t="n"/>
      <c r="H8" s="18" t="n"/>
      <c r="I8" s="18" t="n"/>
      <c r="J8" s="17" t="inlineStr">
        <is>
          <t>قيمة العقد المعدلة</t>
        </is>
      </c>
      <c r="K8" s="17" t="n"/>
      <c r="L8" s="17" t="n"/>
      <c r="M8" s="17" t="n"/>
      <c r="N8" s="19" t="inlineStr">
        <is>
          <t>إجمالي قيمة الأعمال التراكمية</t>
        </is>
      </c>
      <c r="O8" s="19" t="n"/>
      <c r="P8" s="19" t="n"/>
      <c r="Q8" s="19" t="n"/>
      <c r="R8" s="20" t="inlineStr">
        <is>
          <t>الأعمال المتبقية</t>
        </is>
      </c>
      <c r="S8" s="20" t="n"/>
      <c r="T8" s="20" t="n"/>
      <c r="U8" s="20" t="n"/>
      <c r="V8" s="21" t="inlineStr">
        <is>
          <t>آخر مستخلص فعال</t>
        </is>
      </c>
      <c r="W8" s="21" t="n"/>
      <c r="X8" s="21" t="n"/>
      <c r="Y8" s="21" t="n"/>
      <c r="AA8" s="14" t="inlineStr">
        <is>
          <t>نسبة الدفعة المقدمة</t>
        </is>
      </c>
      <c r="AB8" s="22">
        <f>N('[3]بيانات العقد'!$C$20)</f>
        <v/>
      </c>
    </row>
    <row r="9" ht="32" customHeight="1">
      <c r="B9" s="23">
        <f>$AB$5</f>
        <v/>
      </c>
      <c r="C9" s="23" t="n"/>
      <c r="D9" s="23" t="n"/>
      <c r="E9" s="23" t="n"/>
      <c r="F9" s="24">
        <f>$AB$6</f>
        <v/>
      </c>
      <c r="G9" s="24" t="n"/>
      <c r="H9" s="24" t="n"/>
      <c r="I9" s="24" t="n"/>
      <c r="J9" s="23">
        <f>$AB$7</f>
        <v/>
      </c>
      <c r="K9" s="23" t="n"/>
      <c r="L9" s="23" t="n"/>
      <c r="M9" s="23" t="n"/>
      <c r="N9" s="25">
        <f>IF($V$9=0,0,N(INDEX($J$22:$J$41,$V$9)))</f>
        <v/>
      </c>
      <c r="O9" s="25" t="n"/>
      <c r="P9" s="25" t="n"/>
      <c r="Q9" s="25" t="n"/>
      <c r="R9" s="26">
        <f>MAX(0,$AB$7-IF($V$9=0,0,N(INDEX($G$22:$G$41,$V$9)))-IF($V$9=0,0,N(INDEX($H$22:$H$41,$V$9))))</f>
        <v/>
      </c>
      <c r="S9" s="26" t="n"/>
      <c r="T9" s="26" t="n"/>
      <c r="U9" s="26" t="n"/>
      <c r="V9" s="27">
        <f>SUMPRODUCT(MAX((C22:C41&lt;&gt;"")*B22:B41))</f>
        <v/>
      </c>
      <c r="W9" s="27" t="n"/>
      <c r="X9" s="27" t="n"/>
      <c r="Y9" s="27" t="n"/>
      <c r="AA9" s="14" t="inlineStr">
        <is>
          <t>قيمة الدفعة المقدمة</t>
        </is>
      </c>
      <c r="AB9" s="15">
        <f>N('[3]بيانات العقد'!$C$21)</f>
        <v/>
      </c>
    </row>
    <row r="10">
      <c r="AA10" s="14" t="inlineStr">
        <is>
          <t>نسبة ضمان الأعمال</t>
        </is>
      </c>
      <c r="AB10" s="22">
        <f>N('[3]بيانات العقد'!$C$27)</f>
        <v/>
      </c>
    </row>
    <row r="11" ht="24" customHeight="1">
      <c r="B11" s="19" t="inlineStr">
        <is>
          <t>نسبة الإنجاز الفعلية</t>
        </is>
      </c>
      <c r="C11" s="19" t="n"/>
      <c r="D11" s="19" t="n"/>
      <c r="E11" s="19" t="n"/>
      <c r="F11" s="17" t="inlineStr">
        <is>
          <t>نسبة الإنجاز المخططة</t>
        </is>
      </c>
      <c r="G11" s="17" t="n"/>
      <c r="H11" s="17" t="n"/>
      <c r="I11" s="17" t="n"/>
      <c r="J11" s="21" t="inlineStr">
        <is>
          <t>الانحراف (فعلي - مخطط)</t>
        </is>
      </c>
      <c r="K11" s="21" t="n"/>
      <c r="L11" s="21" t="n"/>
      <c r="M11" s="21" t="n"/>
      <c r="N11" s="20" t="inlineStr">
        <is>
          <t>نسبة المدة المنقضية</t>
        </is>
      </c>
      <c r="O11" s="20" t="n"/>
      <c r="P11" s="20" t="n"/>
      <c r="Q11" s="20" t="n"/>
      <c r="R11" s="17" t="inlineStr">
        <is>
          <t>مؤشر أداء الجدول (SPI)</t>
        </is>
      </c>
      <c r="S11" s="17" t="n"/>
      <c r="T11" s="17" t="n"/>
      <c r="U11" s="17" t="n"/>
      <c r="V11" s="17" t="inlineStr">
        <is>
          <t>حالة المشروع</t>
        </is>
      </c>
      <c r="W11" s="17" t="n"/>
      <c r="X11" s="17" t="n"/>
      <c r="Y11" s="17" t="n"/>
      <c r="AA11" s="14" t="inlineStr">
        <is>
          <t>الحد الأقصى للضمان</t>
        </is>
      </c>
      <c r="AB11" s="15">
        <f>N('[3]بيانات العقد'!$C$29)</f>
        <v/>
      </c>
    </row>
    <row r="12" ht="32" customHeight="1">
      <c r="B12" s="28">
        <f>IF($V$9=0,0,N(INDEX($K$22:$K$41,$V$9)))</f>
        <v/>
      </c>
      <c r="C12" s="28" t="n"/>
      <c r="D12" s="28" t="n"/>
      <c r="E12" s="28" t="n"/>
      <c r="F12" s="29">
        <f>IF($V$9=0,0,N(INDEX($L$22:$L$41,$V$9)))</f>
        <v/>
      </c>
      <c r="G12" s="29" t="n"/>
      <c r="H12" s="29" t="n"/>
      <c r="I12" s="29" t="n"/>
      <c r="J12" s="30">
        <f>B12-F12</f>
        <v/>
      </c>
      <c r="K12" s="30" t="n"/>
      <c r="L12" s="30" t="n"/>
      <c r="M12" s="30" t="n"/>
      <c r="N12" s="31">
        <f>IF(OR($V$9=0,$AB$14="",$AB$15=""),0,MIN(1,MAX(0,(INDEX(C22:C41,$V$9)-$AB$14+1)/($AB$15-$AB$14+1))))</f>
        <v/>
      </c>
      <c r="O12" s="31" t="n"/>
      <c r="P12" s="31" t="n"/>
      <c r="Q12" s="31" t="n"/>
      <c r="R12" s="32">
        <f>IF(F12&gt;0,B12/F12,0)</f>
        <v/>
      </c>
      <c r="S12" s="32" t="n"/>
      <c r="T12" s="32" t="n"/>
      <c r="U12" s="32" t="n"/>
      <c r="V12" s="33">
        <f>IF($AB$7=0,"غير مُفعّل",IF($V$9=0,"لم يبدأ الصرف",IF(J12&lt;-0.05,"⚠ متأخر",IF(J12&lt;0,"متأخر قليلاً","✔ مطابق / متقدم"))))</f>
        <v/>
      </c>
      <c r="W12" s="33" t="n"/>
      <c r="X12" s="33" t="n"/>
      <c r="Y12" s="33" t="n"/>
      <c r="AA12" s="14" t="inlineStr">
        <is>
          <t>ضريبة القيمة المضافة</t>
        </is>
      </c>
      <c r="AB12" s="22">
        <f>N('[3]بيانات العقد'!$C$31)</f>
        <v/>
      </c>
    </row>
    <row r="13">
      <c r="AA13" s="14" t="inlineStr">
        <is>
          <t>ضريبة الخصم من المنبع</t>
        </is>
      </c>
      <c r="AB13" s="22">
        <f>N('[3]بيانات العقد'!$C$33)</f>
        <v/>
      </c>
    </row>
    <row r="14" ht="24" customHeight="1">
      <c r="B14" s="17" t="inlineStr">
        <is>
          <t>صافي المستحق التراكمي</t>
        </is>
      </c>
      <c r="C14" s="17" t="n"/>
      <c r="D14" s="17" t="n"/>
      <c r="E14" s="17" t="n"/>
      <c r="F14" s="34" t="inlineStr">
        <is>
          <t>إجمالي المحصل</t>
        </is>
      </c>
      <c r="G14" s="34" t="n"/>
      <c r="H14" s="34" t="n"/>
      <c r="I14" s="34" t="n"/>
      <c r="J14" s="35" t="inlineStr">
        <is>
          <t>مستحقات غير محصلة</t>
        </is>
      </c>
      <c r="K14" s="35" t="n"/>
      <c r="L14" s="35" t="n"/>
      <c r="M14" s="35" t="n"/>
      <c r="N14" s="34" t="inlineStr">
        <is>
          <t>نسبة التحصيل</t>
        </is>
      </c>
      <c r="O14" s="34" t="n"/>
      <c r="P14" s="34" t="n"/>
      <c r="Q14" s="34" t="n"/>
      <c r="R14" s="20" t="inlineStr">
        <is>
          <t>متوسط مدة التحصيل (يوم)</t>
        </is>
      </c>
      <c r="S14" s="20" t="n"/>
      <c r="T14" s="20" t="n"/>
      <c r="U14" s="20" t="n"/>
      <c r="V14" s="21" t="inlineStr">
        <is>
          <t>تاريخ آخر مستخلص</t>
        </is>
      </c>
      <c r="W14" s="21" t="n"/>
      <c r="X14" s="21" t="n"/>
      <c r="Y14" s="21" t="n"/>
      <c r="AA14" s="14" t="inlineStr">
        <is>
          <t>تاريخ البدء</t>
        </is>
      </c>
      <c r="AB14" s="36">
        <f>IF('[3]بيانات العقد'!$C$11="","",'[3]بيانات العقد'!$C$11)</f>
        <v/>
      </c>
    </row>
    <row r="15" ht="32" customHeight="1">
      <c r="B15" s="23">
        <f>IF($V$9=0,0,N(INDEX($T$22:$T$41,$V$9)))</f>
        <v/>
      </c>
      <c r="C15" s="23" t="n"/>
      <c r="D15" s="23" t="n"/>
      <c r="E15" s="23" t="n"/>
      <c r="F15" s="37">
        <f>V42</f>
        <v/>
      </c>
      <c r="G15" s="37" t="n"/>
      <c r="H15" s="37" t="n"/>
      <c r="I15" s="37" t="n"/>
      <c r="J15" s="38">
        <f>W42</f>
        <v/>
      </c>
      <c r="K15" s="38" t="n"/>
      <c r="L15" s="38" t="n"/>
      <c r="M15" s="38" t="n"/>
      <c r="N15" s="39">
        <f>IF(B15&gt;0,F15/B15,0)</f>
        <v/>
      </c>
      <c r="O15" s="39" t="n"/>
      <c r="P15" s="39" t="n"/>
      <c r="Q15" s="39" t="n"/>
      <c r="R15" s="40">
        <f>X42</f>
        <v/>
      </c>
      <c r="S15" s="40" t="n"/>
      <c r="T15" s="40" t="n"/>
      <c r="U15" s="40" t="n"/>
      <c r="V15" s="41">
        <f>IF($V$9=0,"",INDEX(C22:C41,$V$9))</f>
        <v/>
      </c>
      <c r="W15" s="41" t="n"/>
      <c r="X15" s="41" t="n"/>
      <c r="Y15" s="41" t="n"/>
      <c r="AA15" s="14" t="inlineStr">
        <is>
          <t>تاريخ الانتهاء التعاقدي</t>
        </is>
      </c>
      <c r="AB15" s="36">
        <f>IF('[3]بيانات العقد'!$C$13="","",'[3]بيانات العقد'!$C$13)</f>
        <v/>
      </c>
    </row>
    <row r="16">
      <c r="AA16" s="14" t="inlineStr">
        <is>
          <t>المدة (شهر)</t>
        </is>
      </c>
      <c r="AB16" s="42">
        <f>IF('[3]بيانات العقد'!$C$12="","",'[3]بيانات العقد'!$C$12)</f>
        <v/>
      </c>
    </row>
    <row r="17" ht="24" customHeight="1">
      <c r="B17" s="43" t="inlineStr">
        <is>
          <t>ضمان الأعمال المحتجز</t>
        </is>
      </c>
      <c r="C17" s="43" t="n"/>
      <c r="D17" s="43" t="n"/>
      <c r="E17" s="43" t="n"/>
      <c r="F17" s="43" t="inlineStr">
        <is>
          <t>رصيد الدفعة المقدمة غير المسترد</t>
        </is>
      </c>
      <c r="G17" s="43" t="n"/>
      <c r="H17" s="43" t="n"/>
      <c r="I17" s="43" t="n"/>
      <c r="J17" s="43" t="inlineStr">
        <is>
          <t>الاستقطاعات الفنية المحتجزة</t>
        </is>
      </c>
      <c r="K17" s="43" t="n"/>
      <c r="L17" s="43" t="n"/>
      <c r="M17" s="43" t="n"/>
      <c r="N17" s="43" t="inlineStr">
        <is>
          <t>الغرامات والخصومات</t>
        </is>
      </c>
      <c r="O17" s="43" t="n"/>
      <c r="P17" s="43" t="n"/>
      <c r="Q17" s="43" t="n"/>
      <c r="R17" s="19" t="inlineStr">
        <is>
          <t>مستحق آخر مستخلص</t>
        </is>
      </c>
      <c r="S17" s="19" t="n"/>
      <c r="T17" s="19" t="n"/>
      <c r="U17" s="19" t="n"/>
      <c r="V17" s="17" t="inlineStr">
        <is>
          <t>عدد المستخلصات المعتمدة</t>
        </is>
      </c>
      <c r="W17" s="17" t="n"/>
      <c r="X17" s="17" t="n"/>
      <c r="Y17" s="17" t="n"/>
    </row>
    <row r="18" ht="32" customHeight="1">
      <c r="B18" s="44">
        <f>IF($V$9=0,0,N(INDEX($O$22:$O$41,$V$9)))</f>
        <v/>
      </c>
      <c r="C18" s="44" t="n"/>
      <c r="D18" s="44" t="n"/>
      <c r="E18" s="44" t="n"/>
      <c r="F18" s="44">
        <f>MAX(0,$AB$9-IF($V$9=0,0,N(INDEX($N$22:$N$41,$V$9))))</f>
        <v/>
      </c>
      <c r="G18" s="44" t="n"/>
      <c r="H18" s="44" t="n"/>
      <c r="I18" s="44" t="n"/>
      <c r="J18" s="44">
        <f>IF($V$9=0,0,N(INDEX($P$22:$P$41,$V$9)))</f>
        <v/>
      </c>
      <c r="K18" s="44" t="n"/>
      <c r="L18" s="44" t="n"/>
      <c r="M18" s="44" t="n"/>
      <c r="N18" s="44">
        <f>IF($V$9=0,0,N(INDEX($Q$22:$Q$41,$V$9)))</f>
        <v/>
      </c>
      <c r="O18" s="44" t="n"/>
      <c r="P18" s="44" t="n"/>
      <c r="Q18" s="44" t="n"/>
      <c r="R18" s="25">
        <f>IF($V$9=0,0,N(INDEX($U$22:$U$41,$V$9)))</f>
        <v/>
      </c>
      <c r="S18" s="25" t="n"/>
      <c r="T18" s="25" t="n"/>
      <c r="U18" s="25" t="n"/>
      <c r="V18" s="45">
        <f>COUNTIF(E22:E41,"معتمد")</f>
        <v/>
      </c>
      <c r="W18" s="45" t="n"/>
      <c r="X18" s="45" t="n"/>
      <c r="Y18" s="45" t="n"/>
    </row>
    <row r="20">
      <c r="B20" s="46" t="inlineStr">
        <is>
          <t>سجل المستخلصات (مرتبط)</t>
        </is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</row>
    <row r="21" ht="48" customHeight="1">
      <c r="B21" s="47" t="inlineStr">
        <is>
          <t>رقم المستخلص</t>
        </is>
      </c>
      <c r="C21" s="47" t="inlineStr">
        <is>
          <t>الفترة إلى</t>
        </is>
      </c>
      <c r="D21" s="47" t="inlineStr">
        <is>
          <t>تاريخ الاعتماد</t>
        </is>
      </c>
      <c r="E21" s="47" t="inlineStr">
        <is>
          <t>حالة المستخلص</t>
        </is>
      </c>
      <c r="F21" s="47" t="inlineStr">
        <is>
          <t>أعمال الفترة</t>
        </is>
      </c>
      <c r="G21" s="47" t="inlineStr">
        <is>
          <t>الأعمال المنفذة التراكمية</t>
        </is>
      </c>
      <c r="H21" s="47" t="inlineStr">
        <is>
          <t>التغييرية التراكمية</t>
        </is>
      </c>
      <c r="I21" s="47" t="inlineStr">
        <is>
          <t>رصيد المواد بالموقع</t>
        </is>
      </c>
      <c r="J21" s="47" t="inlineStr">
        <is>
          <t>إجمالي القيمة التراكمية</t>
        </is>
      </c>
      <c r="K21" s="47" t="inlineStr">
        <is>
          <t>نسبة الإنجاز الفعلية</t>
        </is>
      </c>
      <c r="L21" s="47" t="inlineStr">
        <is>
          <t>نسبة الإنجاز المخططة</t>
        </is>
      </c>
      <c r="M21" s="47" t="inlineStr">
        <is>
          <t>الانحراف</t>
        </is>
      </c>
      <c r="N21" s="47" t="inlineStr">
        <is>
          <t>استرداد الدفعة المقدمة</t>
        </is>
      </c>
      <c r="O21" s="47" t="inlineStr">
        <is>
          <t>صافي الضمان المحتجز</t>
        </is>
      </c>
      <c r="P21" s="47" t="inlineStr">
        <is>
          <t>الاستقطاعات الفنية</t>
        </is>
      </c>
      <c r="Q21" s="47" t="inlineStr">
        <is>
          <t>الغرامات والخصومات</t>
        </is>
      </c>
      <c r="R21" s="47" t="inlineStr">
        <is>
          <t>ضريبة القيمة المضافة</t>
        </is>
      </c>
      <c r="S21" s="47" t="inlineStr">
        <is>
          <t>ضريبة الخصم من المنبع</t>
        </is>
      </c>
      <c r="T21" s="47" t="inlineStr">
        <is>
          <t>صافي المستحق التراكمي</t>
        </is>
      </c>
      <c r="U21" s="47" t="inlineStr">
        <is>
          <t>المستحق للمستخلص الحالي</t>
        </is>
      </c>
      <c r="V21" s="47" t="inlineStr">
        <is>
          <t>المحصل</t>
        </is>
      </c>
      <c r="W21" s="47" t="inlineStr">
        <is>
          <t>المتبقي</t>
        </is>
      </c>
      <c r="X21" s="47" t="inlineStr">
        <is>
          <t>مدة التحصيل (يوم)</t>
        </is>
      </c>
      <c r="Y21" s="47" t="inlineStr">
        <is>
          <t>حالة التحصيل</t>
        </is>
      </c>
    </row>
    <row r="22">
      <c r="B22" s="48" t="n">
        <v>1</v>
      </c>
      <c r="C22" s="49">
        <f>IF('[3]سجل المستخلصات'!$C$6="","",'[3]سجل المستخلصات'!$C$6)</f>
        <v/>
      </c>
      <c r="D22" s="49">
        <f>IF('[3]سجل المستخلصات'!$E$6="","",'[3]سجل المستخلصات'!$E$6)</f>
        <v/>
      </c>
      <c r="E22" s="50">
        <f>IF('[3]سجل المستخلصات'!$F$6="","",'[3]سجل المستخلصات'!$F$6)</f>
        <v/>
      </c>
      <c r="F22" s="51">
        <f>IF('[3]سجل المستخلصات'!$H$6="","",'[3]سجل المستخلصات'!$H$6)</f>
        <v/>
      </c>
      <c r="G22" s="51">
        <f>IF('[3]سجل المستخلصات'!$G$6="","",'[3]سجل المستخلصات'!$G$6)</f>
        <v/>
      </c>
      <c r="H22" s="51">
        <f>IF('[3]سجل المستخلصات'!$I$6="","",'[3]سجل المستخلصات'!$I$6)</f>
        <v/>
      </c>
      <c r="I22" s="51">
        <f>IF('[3]سجل المستخلصات'!$J$6="","",'[3]سجل المستخلصات'!$J$6)</f>
        <v/>
      </c>
      <c r="J22" s="51">
        <f>IF('[3]سجل المستخلصات'!$K$6="","",'[3]سجل المستخلصات'!$K$6)</f>
        <v/>
      </c>
      <c r="K22" s="52">
        <f>IF('[3]سجل المستخلصات'!$L$6="","",'[3]سجل المستخلصات'!$L$6)</f>
        <v/>
      </c>
      <c r="L22" s="52">
        <f>IF('[3]سجل المستخلصات'!$M$6="","",'[3]سجل المستخلصات'!$M$6)</f>
        <v/>
      </c>
      <c r="M22" s="52">
        <f>IF('[3]سجل المستخلصات'!$N$6="","",'[3]سجل المستخلصات'!$N$6)</f>
        <v/>
      </c>
      <c r="N22" s="51">
        <f>IF('[3]سجل المستخلصات'!$O$6="","",'[3]سجل المستخلصات'!$O$6)</f>
        <v/>
      </c>
      <c r="O22" s="51">
        <f>IF('[3]سجل المستخلصات'!$R$6="","",'[3]سجل المستخلصات'!$R$6)</f>
        <v/>
      </c>
      <c r="P22" s="51">
        <f>IF('[3]سجل المستخلصات'!$S$6="","",'[3]سجل المستخلصات'!$S$6)</f>
        <v/>
      </c>
      <c r="Q22" s="51">
        <f>IF('[3]سجل المستخلصات'!$T$6="","",'[3]سجل المستخلصات'!$T$6)</f>
        <v/>
      </c>
      <c r="R22" s="51">
        <f>IF('[3]سجل المستخلصات'!$V$6="","",'[3]سجل المستخلصات'!$V$6)</f>
        <v/>
      </c>
      <c r="S22" s="51">
        <f>IF('[3]سجل المستخلصات'!$W$6="","",'[3]سجل المستخلصات'!$W$6)</f>
        <v/>
      </c>
      <c r="T22" s="53">
        <f>IF('[3]سجل المستخلصات'!$X$6="","",'[3]سجل المستخلصات'!$X$6)</f>
        <v/>
      </c>
      <c r="U22" s="53">
        <f>IF('[3]سجل المستخلصات'!$Z$6="","",'[3]سجل المستخلصات'!$Z$6)</f>
        <v/>
      </c>
      <c r="V22" s="51">
        <f>IF('[3]سجل المستخلصات'!$AA$6="","",'[3]سجل المستخلصات'!$AA$6)</f>
        <v/>
      </c>
      <c r="W22" s="51">
        <f>IF('[3]سجل المستخلصات'!$AC$6="","",'[3]سجل المستخلصات'!$AC$6)</f>
        <v/>
      </c>
      <c r="X22" s="54">
        <f>IF('[3]سجل المستخلصات'!$AD$6="","",'[3]سجل المستخلصات'!$AD$6)</f>
        <v/>
      </c>
      <c r="Y22" s="50">
        <f>IF('[3]سجل المستخلصات'!$AE$6="","",'[3]سجل المستخلصات'!$AE$6)</f>
        <v/>
      </c>
    </row>
    <row r="23">
      <c r="B23" s="48" t="n">
        <v>2</v>
      </c>
      <c r="C23" s="49">
        <f>IF('[3]سجل المستخلصات'!$C$7="","",'[3]سجل المستخلصات'!$C$7)</f>
        <v/>
      </c>
      <c r="D23" s="49">
        <f>IF('[3]سجل المستخلصات'!$E$7="","",'[3]سجل المستخلصات'!$E$7)</f>
        <v/>
      </c>
      <c r="E23" s="50">
        <f>IF('[3]سجل المستخلصات'!$F$7="","",'[3]سجل المستخلصات'!$F$7)</f>
        <v/>
      </c>
      <c r="F23" s="51">
        <f>IF('[3]سجل المستخلصات'!$H$7="","",'[3]سجل المستخلصات'!$H$7)</f>
        <v/>
      </c>
      <c r="G23" s="51">
        <f>IF('[3]سجل المستخلصات'!$G$7="","",'[3]سجل المستخلصات'!$G$7)</f>
        <v/>
      </c>
      <c r="H23" s="51">
        <f>IF('[3]سجل المستخلصات'!$I$7="","",'[3]سجل المستخلصات'!$I$7)</f>
        <v/>
      </c>
      <c r="I23" s="51">
        <f>IF('[3]سجل المستخلصات'!$J$7="","",'[3]سجل المستخلصات'!$J$7)</f>
        <v/>
      </c>
      <c r="J23" s="51">
        <f>IF('[3]سجل المستخلصات'!$K$7="","",'[3]سجل المستخلصات'!$K$7)</f>
        <v/>
      </c>
      <c r="K23" s="52">
        <f>IF('[3]سجل المستخلصات'!$L$7="","",'[3]سجل المستخلصات'!$L$7)</f>
        <v/>
      </c>
      <c r="L23" s="52">
        <f>IF('[3]سجل المستخلصات'!$M$7="","",'[3]سجل المستخلصات'!$M$7)</f>
        <v/>
      </c>
      <c r="M23" s="52">
        <f>IF('[3]سجل المستخلصات'!$N$7="","",'[3]سجل المستخلصات'!$N$7)</f>
        <v/>
      </c>
      <c r="N23" s="51">
        <f>IF('[3]سجل المستخلصات'!$O$7="","",'[3]سجل المستخلصات'!$O$7)</f>
        <v/>
      </c>
      <c r="O23" s="51">
        <f>IF('[3]سجل المستخلصات'!$R$7="","",'[3]سجل المستخلصات'!$R$7)</f>
        <v/>
      </c>
      <c r="P23" s="51">
        <f>IF('[3]سجل المستخلصات'!$S$7="","",'[3]سجل المستخلصات'!$S$7)</f>
        <v/>
      </c>
      <c r="Q23" s="51">
        <f>IF('[3]سجل المستخلصات'!$T$7="","",'[3]سجل المستخلصات'!$T$7)</f>
        <v/>
      </c>
      <c r="R23" s="51">
        <f>IF('[3]سجل المستخلصات'!$V$7="","",'[3]سجل المستخلصات'!$V$7)</f>
        <v/>
      </c>
      <c r="S23" s="51">
        <f>IF('[3]سجل المستخلصات'!$W$7="","",'[3]سجل المستخلصات'!$W$7)</f>
        <v/>
      </c>
      <c r="T23" s="53">
        <f>IF('[3]سجل المستخلصات'!$X$7="","",'[3]سجل المستخلصات'!$X$7)</f>
        <v/>
      </c>
      <c r="U23" s="53">
        <f>IF('[3]سجل المستخلصات'!$Z$7="","",'[3]سجل المستخلصات'!$Z$7)</f>
        <v/>
      </c>
      <c r="V23" s="51">
        <f>IF('[3]سجل المستخلصات'!$AA$7="","",'[3]سجل المستخلصات'!$AA$7)</f>
        <v/>
      </c>
      <c r="W23" s="51">
        <f>IF('[3]سجل المستخلصات'!$AC$7="","",'[3]سجل المستخلصات'!$AC$7)</f>
        <v/>
      </c>
      <c r="X23" s="54">
        <f>IF('[3]سجل المستخلصات'!$AD$7="","",'[3]سجل المستخلصات'!$AD$7)</f>
        <v/>
      </c>
      <c r="Y23" s="50">
        <f>IF('[3]سجل المستخلصات'!$AE$7="","",'[3]سجل المستخلصات'!$AE$7)</f>
        <v/>
      </c>
    </row>
    <row r="24">
      <c r="B24" s="48" t="n">
        <v>3</v>
      </c>
      <c r="C24" s="49">
        <f>IF('[3]سجل المستخلصات'!$C$8="","",'[3]سجل المستخلصات'!$C$8)</f>
        <v/>
      </c>
      <c r="D24" s="49">
        <f>IF('[3]سجل المستخلصات'!$E$8="","",'[3]سجل المستخلصات'!$E$8)</f>
        <v/>
      </c>
      <c r="E24" s="50">
        <f>IF('[3]سجل المستخلصات'!$F$8="","",'[3]سجل المستخلصات'!$F$8)</f>
        <v/>
      </c>
      <c r="F24" s="51">
        <f>IF('[3]سجل المستخلصات'!$H$8="","",'[3]سجل المستخلصات'!$H$8)</f>
        <v/>
      </c>
      <c r="G24" s="51">
        <f>IF('[3]سجل المستخلصات'!$G$8="","",'[3]سجل المستخلصات'!$G$8)</f>
        <v/>
      </c>
      <c r="H24" s="51">
        <f>IF('[3]سجل المستخلصات'!$I$8="","",'[3]سجل المستخلصات'!$I$8)</f>
        <v/>
      </c>
      <c r="I24" s="51">
        <f>IF('[3]سجل المستخلصات'!$J$8="","",'[3]سجل المستخلصات'!$J$8)</f>
        <v/>
      </c>
      <c r="J24" s="51">
        <f>IF('[3]سجل المستخلصات'!$K$8="","",'[3]سجل المستخلصات'!$K$8)</f>
        <v/>
      </c>
      <c r="K24" s="52">
        <f>IF('[3]سجل المستخلصات'!$L$8="","",'[3]سجل المستخلصات'!$L$8)</f>
        <v/>
      </c>
      <c r="L24" s="52">
        <f>IF('[3]سجل المستخلصات'!$M$8="","",'[3]سجل المستخلصات'!$M$8)</f>
        <v/>
      </c>
      <c r="M24" s="52">
        <f>IF('[3]سجل المستخلصات'!$N$8="","",'[3]سجل المستخلصات'!$N$8)</f>
        <v/>
      </c>
      <c r="N24" s="51">
        <f>IF('[3]سجل المستخلصات'!$O$8="","",'[3]سجل المستخلصات'!$O$8)</f>
        <v/>
      </c>
      <c r="O24" s="51">
        <f>IF('[3]سجل المستخلصات'!$R$8="","",'[3]سجل المستخلصات'!$R$8)</f>
        <v/>
      </c>
      <c r="P24" s="51">
        <f>IF('[3]سجل المستخلصات'!$S$8="","",'[3]سجل المستخلصات'!$S$8)</f>
        <v/>
      </c>
      <c r="Q24" s="51">
        <f>IF('[3]سجل المستخلصات'!$T$8="","",'[3]سجل المستخلصات'!$T$8)</f>
        <v/>
      </c>
      <c r="R24" s="51">
        <f>IF('[3]سجل المستخلصات'!$V$8="","",'[3]سجل المستخلصات'!$V$8)</f>
        <v/>
      </c>
      <c r="S24" s="51">
        <f>IF('[3]سجل المستخلصات'!$W$8="","",'[3]سجل المستخلصات'!$W$8)</f>
        <v/>
      </c>
      <c r="T24" s="53">
        <f>IF('[3]سجل المستخلصات'!$X$8="","",'[3]سجل المستخلصات'!$X$8)</f>
        <v/>
      </c>
      <c r="U24" s="53">
        <f>IF('[3]سجل المستخلصات'!$Z$8="","",'[3]سجل المستخلصات'!$Z$8)</f>
        <v/>
      </c>
      <c r="V24" s="51">
        <f>IF('[3]سجل المستخلصات'!$AA$8="","",'[3]سجل المستخلصات'!$AA$8)</f>
        <v/>
      </c>
      <c r="W24" s="51">
        <f>IF('[3]سجل المستخلصات'!$AC$8="","",'[3]سجل المستخلصات'!$AC$8)</f>
        <v/>
      </c>
      <c r="X24" s="54">
        <f>IF('[3]سجل المستخلصات'!$AD$8="","",'[3]سجل المستخلصات'!$AD$8)</f>
        <v/>
      </c>
      <c r="Y24" s="50">
        <f>IF('[3]سجل المستخلصات'!$AE$8="","",'[3]سجل المستخلصات'!$AE$8)</f>
        <v/>
      </c>
    </row>
    <row r="25">
      <c r="B25" s="48" t="n">
        <v>4</v>
      </c>
      <c r="C25" s="49">
        <f>IF('[3]سجل المستخلصات'!$C$9="","",'[3]سجل المستخلصات'!$C$9)</f>
        <v/>
      </c>
      <c r="D25" s="49">
        <f>IF('[3]سجل المستخلصات'!$E$9="","",'[3]سجل المستخلصات'!$E$9)</f>
        <v/>
      </c>
      <c r="E25" s="50">
        <f>IF('[3]سجل المستخلصات'!$F$9="","",'[3]سجل المستخلصات'!$F$9)</f>
        <v/>
      </c>
      <c r="F25" s="51">
        <f>IF('[3]سجل المستخلصات'!$H$9="","",'[3]سجل المستخلصات'!$H$9)</f>
        <v/>
      </c>
      <c r="G25" s="51">
        <f>IF('[3]سجل المستخلصات'!$G$9="","",'[3]سجل المستخلصات'!$G$9)</f>
        <v/>
      </c>
      <c r="H25" s="51">
        <f>IF('[3]سجل المستخلصات'!$I$9="","",'[3]سجل المستخلصات'!$I$9)</f>
        <v/>
      </c>
      <c r="I25" s="51">
        <f>IF('[3]سجل المستخلصات'!$J$9="","",'[3]سجل المستخلصات'!$J$9)</f>
        <v/>
      </c>
      <c r="J25" s="51">
        <f>IF('[3]سجل المستخلصات'!$K$9="","",'[3]سجل المستخلصات'!$K$9)</f>
        <v/>
      </c>
      <c r="K25" s="52">
        <f>IF('[3]سجل المستخلصات'!$L$9="","",'[3]سجل المستخلصات'!$L$9)</f>
        <v/>
      </c>
      <c r="L25" s="52">
        <f>IF('[3]سجل المستخلصات'!$M$9="","",'[3]سجل المستخلصات'!$M$9)</f>
        <v/>
      </c>
      <c r="M25" s="52">
        <f>IF('[3]سجل المستخلصات'!$N$9="","",'[3]سجل المستخلصات'!$N$9)</f>
        <v/>
      </c>
      <c r="N25" s="51">
        <f>IF('[3]سجل المستخلصات'!$O$9="","",'[3]سجل المستخلصات'!$O$9)</f>
        <v/>
      </c>
      <c r="O25" s="51">
        <f>IF('[3]سجل المستخلصات'!$R$9="","",'[3]سجل المستخلصات'!$R$9)</f>
        <v/>
      </c>
      <c r="P25" s="51">
        <f>IF('[3]سجل المستخلصات'!$S$9="","",'[3]سجل المستخلصات'!$S$9)</f>
        <v/>
      </c>
      <c r="Q25" s="51">
        <f>IF('[3]سجل المستخلصات'!$T$9="","",'[3]سجل المستخلصات'!$T$9)</f>
        <v/>
      </c>
      <c r="R25" s="51">
        <f>IF('[3]سجل المستخلصات'!$V$9="","",'[3]سجل المستخلصات'!$V$9)</f>
        <v/>
      </c>
      <c r="S25" s="51">
        <f>IF('[3]سجل المستخلصات'!$W$9="","",'[3]سجل المستخلصات'!$W$9)</f>
        <v/>
      </c>
      <c r="T25" s="53">
        <f>IF('[3]سجل المستخلصات'!$X$9="","",'[3]سجل المستخلصات'!$X$9)</f>
        <v/>
      </c>
      <c r="U25" s="53">
        <f>IF('[3]سجل المستخلصات'!$Z$9="","",'[3]سجل المستخلصات'!$Z$9)</f>
        <v/>
      </c>
      <c r="V25" s="51">
        <f>IF('[3]سجل المستخلصات'!$AA$9="","",'[3]سجل المستخلصات'!$AA$9)</f>
        <v/>
      </c>
      <c r="W25" s="51">
        <f>IF('[3]سجل المستخلصات'!$AC$9="","",'[3]سجل المستخلصات'!$AC$9)</f>
        <v/>
      </c>
      <c r="X25" s="54">
        <f>IF('[3]سجل المستخلصات'!$AD$9="","",'[3]سجل المستخلصات'!$AD$9)</f>
        <v/>
      </c>
      <c r="Y25" s="50">
        <f>IF('[3]سجل المستخلصات'!$AE$9="","",'[3]سجل المستخلصات'!$AE$9)</f>
        <v/>
      </c>
    </row>
    <row r="26">
      <c r="B26" s="48" t="n">
        <v>5</v>
      </c>
      <c r="C26" s="49">
        <f>IF('[3]سجل المستخلصات'!$C$10="","",'[3]سجل المستخلصات'!$C$10)</f>
        <v/>
      </c>
      <c r="D26" s="49">
        <f>IF('[3]سجل المستخلصات'!$E$10="","",'[3]سجل المستخلصات'!$E$10)</f>
        <v/>
      </c>
      <c r="E26" s="50">
        <f>IF('[3]سجل المستخلصات'!$F$10="","",'[3]سجل المستخلصات'!$F$10)</f>
        <v/>
      </c>
      <c r="F26" s="51">
        <f>IF('[3]سجل المستخلصات'!$H$10="","",'[3]سجل المستخلصات'!$H$10)</f>
        <v/>
      </c>
      <c r="G26" s="51">
        <f>IF('[3]سجل المستخلصات'!$G$10="","",'[3]سجل المستخلصات'!$G$10)</f>
        <v/>
      </c>
      <c r="H26" s="51">
        <f>IF('[3]سجل المستخلصات'!$I$10="","",'[3]سجل المستخلصات'!$I$10)</f>
        <v/>
      </c>
      <c r="I26" s="51">
        <f>IF('[3]سجل المستخلصات'!$J$10="","",'[3]سجل المستخلصات'!$J$10)</f>
        <v/>
      </c>
      <c r="J26" s="51">
        <f>IF('[3]سجل المستخلصات'!$K$10="","",'[3]سجل المستخلصات'!$K$10)</f>
        <v/>
      </c>
      <c r="K26" s="52">
        <f>IF('[3]سجل المستخلصات'!$L$10="","",'[3]سجل المستخلصات'!$L$10)</f>
        <v/>
      </c>
      <c r="L26" s="52">
        <f>IF('[3]سجل المستخلصات'!$M$10="","",'[3]سجل المستخلصات'!$M$10)</f>
        <v/>
      </c>
      <c r="M26" s="52">
        <f>IF('[3]سجل المستخلصات'!$N$10="","",'[3]سجل المستخلصات'!$N$10)</f>
        <v/>
      </c>
      <c r="N26" s="51">
        <f>IF('[3]سجل المستخلصات'!$O$10="","",'[3]سجل المستخلصات'!$O$10)</f>
        <v/>
      </c>
      <c r="O26" s="51">
        <f>IF('[3]سجل المستخلصات'!$R$10="","",'[3]سجل المستخلصات'!$R$10)</f>
        <v/>
      </c>
      <c r="P26" s="51">
        <f>IF('[3]سجل المستخلصات'!$S$10="","",'[3]سجل المستخلصات'!$S$10)</f>
        <v/>
      </c>
      <c r="Q26" s="51">
        <f>IF('[3]سجل المستخلصات'!$T$10="","",'[3]سجل المستخلصات'!$T$10)</f>
        <v/>
      </c>
      <c r="R26" s="51">
        <f>IF('[3]سجل المستخلصات'!$V$10="","",'[3]سجل المستخلصات'!$V$10)</f>
        <v/>
      </c>
      <c r="S26" s="51">
        <f>IF('[3]سجل المستخلصات'!$W$10="","",'[3]سجل المستخلصات'!$W$10)</f>
        <v/>
      </c>
      <c r="T26" s="53">
        <f>IF('[3]سجل المستخلصات'!$X$10="","",'[3]سجل المستخلصات'!$X$10)</f>
        <v/>
      </c>
      <c r="U26" s="53">
        <f>IF('[3]سجل المستخلصات'!$Z$10="","",'[3]سجل المستخلصات'!$Z$10)</f>
        <v/>
      </c>
      <c r="V26" s="51">
        <f>IF('[3]سجل المستخلصات'!$AA$10="","",'[3]سجل المستخلصات'!$AA$10)</f>
        <v/>
      </c>
      <c r="W26" s="51">
        <f>IF('[3]سجل المستخلصات'!$AC$10="","",'[3]سجل المستخلصات'!$AC$10)</f>
        <v/>
      </c>
      <c r="X26" s="54">
        <f>IF('[3]سجل المستخلصات'!$AD$10="","",'[3]سجل المستخلصات'!$AD$10)</f>
        <v/>
      </c>
      <c r="Y26" s="50">
        <f>IF('[3]سجل المستخلصات'!$AE$10="","",'[3]سجل المستخلصات'!$AE$10)</f>
        <v/>
      </c>
    </row>
    <row r="27">
      <c r="B27" s="48" t="n">
        <v>6</v>
      </c>
      <c r="C27" s="49">
        <f>IF('[3]سجل المستخلصات'!$C$11="","",'[3]سجل المستخلصات'!$C$11)</f>
        <v/>
      </c>
      <c r="D27" s="49">
        <f>IF('[3]سجل المستخلصات'!$E$11="","",'[3]سجل المستخلصات'!$E$11)</f>
        <v/>
      </c>
      <c r="E27" s="50">
        <f>IF('[3]سجل المستخلصات'!$F$11="","",'[3]سجل المستخلصات'!$F$11)</f>
        <v/>
      </c>
      <c r="F27" s="51">
        <f>IF('[3]سجل المستخلصات'!$H$11="","",'[3]سجل المستخلصات'!$H$11)</f>
        <v/>
      </c>
      <c r="G27" s="51">
        <f>IF('[3]سجل المستخلصات'!$G$11="","",'[3]سجل المستخلصات'!$G$11)</f>
        <v/>
      </c>
      <c r="H27" s="51">
        <f>IF('[3]سجل المستخلصات'!$I$11="","",'[3]سجل المستخلصات'!$I$11)</f>
        <v/>
      </c>
      <c r="I27" s="51">
        <f>IF('[3]سجل المستخلصات'!$J$11="","",'[3]سجل المستخلصات'!$J$11)</f>
        <v/>
      </c>
      <c r="J27" s="51">
        <f>IF('[3]سجل المستخلصات'!$K$11="","",'[3]سجل المستخلصات'!$K$11)</f>
        <v/>
      </c>
      <c r="K27" s="52">
        <f>IF('[3]سجل المستخلصات'!$L$11="","",'[3]سجل المستخلصات'!$L$11)</f>
        <v/>
      </c>
      <c r="L27" s="52">
        <f>IF('[3]سجل المستخلصات'!$M$11="","",'[3]سجل المستخلصات'!$M$11)</f>
        <v/>
      </c>
      <c r="M27" s="52">
        <f>IF('[3]سجل المستخلصات'!$N$11="","",'[3]سجل المستخلصات'!$N$11)</f>
        <v/>
      </c>
      <c r="N27" s="51">
        <f>IF('[3]سجل المستخلصات'!$O$11="","",'[3]سجل المستخلصات'!$O$11)</f>
        <v/>
      </c>
      <c r="O27" s="51">
        <f>IF('[3]سجل المستخلصات'!$R$11="","",'[3]سجل المستخلصات'!$R$11)</f>
        <v/>
      </c>
      <c r="P27" s="51">
        <f>IF('[3]سجل المستخلصات'!$S$11="","",'[3]سجل المستخلصات'!$S$11)</f>
        <v/>
      </c>
      <c r="Q27" s="51">
        <f>IF('[3]سجل المستخلصات'!$T$11="","",'[3]سجل المستخلصات'!$T$11)</f>
        <v/>
      </c>
      <c r="R27" s="51">
        <f>IF('[3]سجل المستخلصات'!$V$11="","",'[3]سجل المستخلصات'!$V$11)</f>
        <v/>
      </c>
      <c r="S27" s="51">
        <f>IF('[3]سجل المستخلصات'!$W$11="","",'[3]سجل المستخلصات'!$W$11)</f>
        <v/>
      </c>
      <c r="T27" s="53">
        <f>IF('[3]سجل المستخلصات'!$X$11="","",'[3]سجل المستخلصات'!$X$11)</f>
        <v/>
      </c>
      <c r="U27" s="53">
        <f>IF('[3]سجل المستخلصات'!$Z$11="","",'[3]سجل المستخلصات'!$Z$11)</f>
        <v/>
      </c>
      <c r="V27" s="51">
        <f>IF('[3]سجل المستخلصات'!$AA$11="","",'[3]سجل المستخلصات'!$AA$11)</f>
        <v/>
      </c>
      <c r="W27" s="51">
        <f>IF('[3]سجل المستخلصات'!$AC$11="","",'[3]سجل المستخلصات'!$AC$11)</f>
        <v/>
      </c>
      <c r="X27" s="54">
        <f>IF('[3]سجل المستخلصات'!$AD$11="","",'[3]سجل المستخلصات'!$AD$11)</f>
        <v/>
      </c>
      <c r="Y27" s="50">
        <f>IF('[3]سجل المستخلصات'!$AE$11="","",'[3]سجل المستخلصات'!$AE$11)</f>
        <v/>
      </c>
    </row>
    <row r="28">
      <c r="B28" s="48" t="n">
        <v>7</v>
      </c>
      <c r="C28" s="49">
        <f>IF('[3]سجل المستخلصات'!$C$12="","",'[3]سجل المستخلصات'!$C$12)</f>
        <v/>
      </c>
      <c r="D28" s="49">
        <f>IF('[3]سجل المستخلصات'!$E$12="","",'[3]سجل المستخلصات'!$E$12)</f>
        <v/>
      </c>
      <c r="E28" s="50">
        <f>IF('[3]سجل المستخلصات'!$F$12="","",'[3]سجل المستخلصات'!$F$12)</f>
        <v/>
      </c>
      <c r="F28" s="51">
        <f>IF('[3]سجل المستخلصات'!$H$12="","",'[3]سجل المستخلصات'!$H$12)</f>
        <v/>
      </c>
      <c r="G28" s="51">
        <f>IF('[3]سجل المستخلصات'!$G$12="","",'[3]سجل المستخلصات'!$G$12)</f>
        <v/>
      </c>
      <c r="H28" s="51">
        <f>IF('[3]سجل المستخلصات'!$I$12="","",'[3]سجل المستخلصات'!$I$12)</f>
        <v/>
      </c>
      <c r="I28" s="51">
        <f>IF('[3]سجل المستخلصات'!$J$12="","",'[3]سجل المستخلصات'!$J$12)</f>
        <v/>
      </c>
      <c r="J28" s="51">
        <f>IF('[3]سجل المستخلصات'!$K$12="","",'[3]سجل المستخلصات'!$K$12)</f>
        <v/>
      </c>
      <c r="K28" s="52">
        <f>IF('[3]سجل المستخلصات'!$L$12="","",'[3]سجل المستخلصات'!$L$12)</f>
        <v/>
      </c>
      <c r="L28" s="52">
        <f>IF('[3]سجل المستخلصات'!$M$12="","",'[3]سجل المستخلصات'!$M$12)</f>
        <v/>
      </c>
      <c r="M28" s="52">
        <f>IF('[3]سجل المستخلصات'!$N$12="","",'[3]سجل المستخلصات'!$N$12)</f>
        <v/>
      </c>
      <c r="N28" s="51">
        <f>IF('[3]سجل المستخلصات'!$O$12="","",'[3]سجل المستخلصات'!$O$12)</f>
        <v/>
      </c>
      <c r="O28" s="51">
        <f>IF('[3]سجل المستخلصات'!$R$12="","",'[3]سجل المستخلصات'!$R$12)</f>
        <v/>
      </c>
      <c r="P28" s="51">
        <f>IF('[3]سجل المستخلصات'!$S$12="","",'[3]سجل المستخلصات'!$S$12)</f>
        <v/>
      </c>
      <c r="Q28" s="51">
        <f>IF('[3]سجل المستخلصات'!$T$12="","",'[3]سجل المستخلصات'!$T$12)</f>
        <v/>
      </c>
      <c r="R28" s="51">
        <f>IF('[3]سجل المستخلصات'!$V$12="","",'[3]سجل المستخلصات'!$V$12)</f>
        <v/>
      </c>
      <c r="S28" s="51">
        <f>IF('[3]سجل المستخلصات'!$W$12="","",'[3]سجل المستخلصات'!$W$12)</f>
        <v/>
      </c>
      <c r="T28" s="53">
        <f>IF('[3]سجل المستخلصات'!$X$12="","",'[3]سجل المستخلصات'!$X$12)</f>
        <v/>
      </c>
      <c r="U28" s="53">
        <f>IF('[3]سجل المستخلصات'!$Z$12="","",'[3]سجل المستخلصات'!$Z$12)</f>
        <v/>
      </c>
      <c r="V28" s="51">
        <f>IF('[3]سجل المستخلصات'!$AA$12="","",'[3]سجل المستخلصات'!$AA$12)</f>
        <v/>
      </c>
      <c r="W28" s="51">
        <f>IF('[3]سجل المستخلصات'!$AC$12="","",'[3]سجل المستخلصات'!$AC$12)</f>
        <v/>
      </c>
      <c r="X28" s="54">
        <f>IF('[3]سجل المستخلصات'!$AD$12="","",'[3]سجل المستخلصات'!$AD$12)</f>
        <v/>
      </c>
      <c r="Y28" s="50">
        <f>IF('[3]سجل المستخلصات'!$AE$12="","",'[3]سجل المستخلصات'!$AE$12)</f>
        <v/>
      </c>
    </row>
    <row r="29">
      <c r="B29" s="48" t="n">
        <v>8</v>
      </c>
      <c r="C29" s="49">
        <f>IF('[3]سجل المستخلصات'!$C$13="","",'[3]سجل المستخلصات'!$C$13)</f>
        <v/>
      </c>
      <c r="D29" s="49">
        <f>IF('[3]سجل المستخلصات'!$E$13="","",'[3]سجل المستخلصات'!$E$13)</f>
        <v/>
      </c>
      <c r="E29" s="50">
        <f>IF('[3]سجل المستخلصات'!$F$13="","",'[3]سجل المستخلصات'!$F$13)</f>
        <v/>
      </c>
      <c r="F29" s="51">
        <f>IF('[3]سجل المستخلصات'!$H$13="","",'[3]سجل المستخلصات'!$H$13)</f>
        <v/>
      </c>
      <c r="G29" s="51">
        <f>IF('[3]سجل المستخلصات'!$G$13="","",'[3]سجل المستخلصات'!$G$13)</f>
        <v/>
      </c>
      <c r="H29" s="51">
        <f>IF('[3]سجل المستخلصات'!$I$13="","",'[3]سجل المستخلصات'!$I$13)</f>
        <v/>
      </c>
      <c r="I29" s="51">
        <f>IF('[3]سجل المستخلصات'!$J$13="","",'[3]سجل المستخلصات'!$J$13)</f>
        <v/>
      </c>
      <c r="J29" s="51">
        <f>IF('[3]سجل المستخلصات'!$K$13="","",'[3]سجل المستخلصات'!$K$13)</f>
        <v/>
      </c>
      <c r="K29" s="52">
        <f>IF('[3]سجل المستخلصات'!$L$13="","",'[3]سجل المستخلصات'!$L$13)</f>
        <v/>
      </c>
      <c r="L29" s="52">
        <f>IF('[3]سجل المستخلصات'!$M$13="","",'[3]سجل المستخلصات'!$M$13)</f>
        <v/>
      </c>
      <c r="M29" s="52">
        <f>IF('[3]سجل المستخلصات'!$N$13="","",'[3]سجل المستخلصات'!$N$13)</f>
        <v/>
      </c>
      <c r="N29" s="51">
        <f>IF('[3]سجل المستخلصات'!$O$13="","",'[3]سجل المستخلصات'!$O$13)</f>
        <v/>
      </c>
      <c r="O29" s="51">
        <f>IF('[3]سجل المستخلصات'!$R$13="","",'[3]سجل المستخلصات'!$R$13)</f>
        <v/>
      </c>
      <c r="P29" s="51">
        <f>IF('[3]سجل المستخلصات'!$S$13="","",'[3]سجل المستخلصات'!$S$13)</f>
        <v/>
      </c>
      <c r="Q29" s="51">
        <f>IF('[3]سجل المستخلصات'!$T$13="","",'[3]سجل المستخلصات'!$T$13)</f>
        <v/>
      </c>
      <c r="R29" s="51">
        <f>IF('[3]سجل المستخلصات'!$V$13="","",'[3]سجل المستخلصات'!$V$13)</f>
        <v/>
      </c>
      <c r="S29" s="51">
        <f>IF('[3]سجل المستخلصات'!$W$13="","",'[3]سجل المستخلصات'!$W$13)</f>
        <v/>
      </c>
      <c r="T29" s="53">
        <f>IF('[3]سجل المستخلصات'!$X$13="","",'[3]سجل المستخلصات'!$X$13)</f>
        <v/>
      </c>
      <c r="U29" s="53">
        <f>IF('[3]سجل المستخلصات'!$Z$13="","",'[3]سجل المستخلصات'!$Z$13)</f>
        <v/>
      </c>
      <c r="V29" s="51">
        <f>IF('[3]سجل المستخلصات'!$AA$13="","",'[3]سجل المستخلصات'!$AA$13)</f>
        <v/>
      </c>
      <c r="W29" s="51">
        <f>IF('[3]سجل المستخلصات'!$AC$13="","",'[3]سجل المستخلصات'!$AC$13)</f>
        <v/>
      </c>
      <c r="X29" s="54">
        <f>IF('[3]سجل المستخلصات'!$AD$13="","",'[3]سجل المستخلصات'!$AD$13)</f>
        <v/>
      </c>
      <c r="Y29" s="50">
        <f>IF('[3]سجل المستخلصات'!$AE$13="","",'[3]سجل المستخلصات'!$AE$13)</f>
        <v/>
      </c>
    </row>
    <row r="30">
      <c r="B30" s="48" t="n">
        <v>9</v>
      </c>
      <c r="C30" s="49">
        <f>IF('[3]سجل المستخلصات'!$C$14="","",'[3]سجل المستخلصات'!$C$14)</f>
        <v/>
      </c>
      <c r="D30" s="49">
        <f>IF('[3]سجل المستخلصات'!$E$14="","",'[3]سجل المستخلصات'!$E$14)</f>
        <v/>
      </c>
      <c r="E30" s="50">
        <f>IF('[3]سجل المستخلصات'!$F$14="","",'[3]سجل المستخلصات'!$F$14)</f>
        <v/>
      </c>
      <c r="F30" s="51">
        <f>IF('[3]سجل المستخلصات'!$H$14="","",'[3]سجل المستخلصات'!$H$14)</f>
        <v/>
      </c>
      <c r="G30" s="51">
        <f>IF('[3]سجل المستخلصات'!$G$14="","",'[3]سجل المستخلصات'!$G$14)</f>
        <v/>
      </c>
      <c r="H30" s="51">
        <f>IF('[3]سجل المستخلصات'!$I$14="","",'[3]سجل المستخلصات'!$I$14)</f>
        <v/>
      </c>
      <c r="I30" s="51">
        <f>IF('[3]سجل المستخلصات'!$J$14="","",'[3]سجل المستخلصات'!$J$14)</f>
        <v/>
      </c>
      <c r="J30" s="51">
        <f>IF('[3]سجل المستخلصات'!$K$14="","",'[3]سجل المستخلصات'!$K$14)</f>
        <v/>
      </c>
      <c r="K30" s="52">
        <f>IF('[3]سجل المستخلصات'!$L$14="","",'[3]سجل المستخلصات'!$L$14)</f>
        <v/>
      </c>
      <c r="L30" s="52">
        <f>IF('[3]سجل المستخلصات'!$M$14="","",'[3]سجل المستخلصات'!$M$14)</f>
        <v/>
      </c>
      <c r="M30" s="52">
        <f>IF('[3]سجل المستخلصات'!$N$14="","",'[3]سجل المستخلصات'!$N$14)</f>
        <v/>
      </c>
      <c r="N30" s="51">
        <f>IF('[3]سجل المستخلصات'!$O$14="","",'[3]سجل المستخلصات'!$O$14)</f>
        <v/>
      </c>
      <c r="O30" s="51">
        <f>IF('[3]سجل المستخلصات'!$R$14="","",'[3]سجل المستخلصات'!$R$14)</f>
        <v/>
      </c>
      <c r="P30" s="51">
        <f>IF('[3]سجل المستخلصات'!$S$14="","",'[3]سجل المستخلصات'!$S$14)</f>
        <v/>
      </c>
      <c r="Q30" s="51">
        <f>IF('[3]سجل المستخلصات'!$T$14="","",'[3]سجل المستخلصات'!$T$14)</f>
        <v/>
      </c>
      <c r="R30" s="51">
        <f>IF('[3]سجل المستخلصات'!$V$14="","",'[3]سجل المستخلصات'!$V$14)</f>
        <v/>
      </c>
      <c r="S30" s="51">
        <f>IF('[3]سجل المستخلصات'!$W$14="","",'[3]سجل المستخلصات'!$W$14)</f>
        <v/>
      </c>
      <c r="T30" s="53">
        <f>IF('[3]سجل المستخلصات'!$X$14="","",'[3]سجل المستخلصات'!$X$14)</f>
        <v/>
      </c>
      <c r="U30" s="53">
        <f>IF('[3]سجل المستخلصات'!$Z$14="","",'[3]سجل المستخلصات'!$Z$14)</f>
        <v/>
      </c>
      <c r="V30" s="51">
        <f>IF('[3]سجل المستخلصات'!$AA$14="","",'[3]سجل المستخلصات'!$AA$14)</f>
        <v/>
      </c>
      <c r="W30" s="51">
        <f>IF('[3]سجل المستخلصات'!$AC$14="","",'[3]سجل المستخلصات'!$AC$14)</f>
        <v/>
      </c>
      <c r="X30" s="54">
        <f>IF('[3]سجل المستخلصات'!$AD$14="","",'[3]سجل المستخلصات'!$AD$14)</f>
        <v/>
      </c>
      <c r="Y30" s="50">
        <f>IF('[3]سجل المستخلصات'!$AE$14="","",'[3]سجل المستخلصات'!$AE$14)</f>
        <v/>
      </c>
    </row>
    <row r="31">
      <c r="B31" s="48" t="n">
        <v>10</v>
      </c>
      <c r="C31" s="49">
        <f>IF('[3]سجل المستخلصات'!$C$15="","",'[3]سجل المستخلصات'!$C$15)</f>
        <v/>
      </c>
      <c r="D31" s="49">
        <f>IF('[3]سجل المستخلصات'!$E$15="","",'[3]سجل المستخلصات'!$E$15)</f>
        <v/>
      </c>
      <c r="E31" s="50">
        <f>IF('[3]سجل المستخلصات'!$F$15="","",'[3]سجل المستخلصات'!$F$15)</f>
        <v/>
      </c>
      <c r="F31" s="51">
        <f>IF('[3]سجل المستخلصات'!$H$15="","",'[3]سجل المستخلصات'!$H$15)</f>
        <v/>
      </c>
      <c r="G31" s="51">
        <f>IF('[3]سجل المستخلصات'!$G$15="","",'[3]سجل المستخلصات'!$G$15)</f>
        <v/>
      </c>
      <c r="H31" s="51">
        <f>IF('[3]سجل المستخلصات'!$I$15="","",'[3]سجل المستخلصات'!$I$15)</f>
        <v/>
      </c>
      <c r="I31" s="51">
        <f>IF('[3]سجل المستخلصات'!$J$15="","",'[3]سجل المستخلصات'!$J$15)</f>
        <v/>
      </c>
      <c r="J31" s="51">
        <f>IF('[3]سجل المستخلصات'!$K$15="","",'[3]سجل المستخلصات'!$K$15)</f>
        <v/>
      </c>
      <c r="K31" s="52">
        <f>IF('[3]سجل المستخلصات'!$L$15="","",'[3]سجل المستخلصات'!$L$15)</f>
        <v/>
      </c>
      <c r="L31" s="52">
        <f>IF('[3]سجل المستخلصات'!$M$15="","",'[3]سجل المستخلصات'!$M$15)</f>
        <v/>
      </c>
      <c r="M31" s="52">
        <f>IF('[3]سجل المستخلصات'!$N$15="","",'[3]سجل المستخلصات'!$N$15)</f>
        <v/>
      </c>
      <c r="N31" s="51">
        <f>IF('[3]سجل المستخلصات'!$O$15="","",'[3]سجل المستخلصات'!$O$15)</f>
        <v/>
      </c>
      <c r="O31" s="51">
        <f>IF('[3]سجل المستخلصات'!$R$15="","",'[3]سجل المستخلصات'!$R$15)</f>
        <v/>
      </c>
      <c r="P31" s="51">
        <f>IF('[3]سجل المستخلصات'!$S$15="","",'[3]سجل المستخلصات'!$S$15)</f>
        <v/>
      </c>
      <c r="Q31" s="51">
        <f>IF('[3]سجل المستخلصات'!$T$15="","",'[3]سجل المستخلصات'!$T$15)</f>
        <v/>
      </c>
      <c r="R31" s="51">
        <f>IF('[3]سجل المستخلصات'!$V$15="","",'[3]سجل المستخلصات'!$V$15)</f>
        <v/>
      </c>
      <c r="S31" s="51">
        <f>IF('[3]سجل المستخلصات'!$W$15="","",'[3]سجل المستخلصات'!$W$15)</f>
        <v/>
      </c>
      <c r="T31" s="53">
        <f>IF('[3]سجل المستخلصات'!$X$15="","",'[3]سجل المستخلصات'!$X$15)</f>
        <v/>
      </c>
      <c r="U31" s="53">
        <f>IF('[3]سجل المستخلصات'!$Z$15="","",'[3]سجل المستخلصات'!$Z$15)</f>
        <v/>
      </c>
      <c r="V31" s="51">
        <f>IF('[3]سجل المستخلصات'!$AA$15="","",'[3]سجل المستخلصات'!$AA$15)</f>
        <v/>
      </c>
      <c r="W31" s="51">
        <f>IF('[3]سجل المستخلصات'!$AC$15="","",'[3]سجل المستخلصات'!$AC$15)</f>
        <v/>
      </c>
      <c r="X31" s="54">
        <f>IF('[3]سجل المستخلصات'!$AD$15="","",'[3]سجل المستخلصات'!$AD$15)</f>
        <v/>
      </c>
      <c r="Y31" s="50">
        <f>IF('[3]سجل المستخلصات'!$AE$15="","",'[3]سجل المستخلصات'!$AE$15)</f>
        <v/>
      </c>
    </row>
    <row r="32">
      <c r="B32" s="48" t="n">
        <v>11</v>
      </c>
      <c r="C32" s="49">
        <f>IF('[3]سجل المستخلصات'!$C$16="","",'[3]سجل المستخلصات'!$C$16)</f>
        <v/>
      </c>
      <c r="D32" s="49">
        <f>IF('[3]سجل المستخلصات'!$E$16="","",'[3]سجل المستخلصات'!$E$16)</f>
        <v/>
      </c>
      <c r="E32" s="50">
        <f>IF('[3]سجل المستخلصات'!$F$16="","",'[3]سجل المستخلصات'!$F$16)</f>
        <v/>
      </c>
      <c r="F32" s="51">
        <f>IF('[3]سجل المستخلصات'!$H$16="","",'[3]سجل المستخلصات'!$H$16)</f>
        <v/>
      </c>
      <c r="G32" s="51">
        <f>IF('[3]سجل المستخلصات'!$G$16="","",'[3]سجل المستخلصات'!$G$16)</f>
        <v/>
      </c>
      <c r="H32" s="51">
        <f>IF('[3]سجل المستخلصات'!$I$16="","",'[3]سجل المستخلصات'!$I$16)</f>
        <v/>
      </c>
      <c r="I32" s="51">
        <f>IF('[3]سجل المستخلصات'!$J$16="","",'[3]سجل المستخلصات'!$J$16)</f>
        <v/>
      </c>
      <c r="J32" s="51">
        <f>IF('[3]سجل المستخلصات'!$K$16="","",'[3]سجل المستخلصات'!$K$16)</f>
        <v/>
      </c>
      <c r="K32" s="52">
        <f>IF('[3]سجل المستخلصات'!$L$16="","",'[3]سجل المستخلصات'!$L$16)</f>
        <v/>
      </c>
      <c r="L32" s="52">
        <f>IF('[3]سجل المستخلصات'!$M$16="","",'[3]سجل المستخلصات'!$M$16)</f>
        <v/>
      </c>
      <c r="M32" s="52">
        <f>IF('[3]سجل المستخلصات'!$N$16="","",'[3]سجل المستخلصات'!$N$16)</f>
        <v/>
      </c>
      <c r="N32" s="51">
        <f>IF('[3]سجل المستخلصات'!$O$16="","",'[3]سجل المستخلصات'!$O$16)</f>
        <v/>
      </c>
      <c r="O32" s="51">
        <f>IF('[3]سجل المستخلصات'!$R$16="","",'[3]سجل المستخلصات'!$R$16)</f>
        <v/>
      </c>
      <c r="P32" s="51">
        <f>IF('[3]سجل المستخلصات'!$S$16="","",'[3]سجل المستخلصات'!$S$16)</f>
        <v/>
      </c>
      <c r="Q32" s="51">
        <f>IF('[3]سجل المستخلصات'!$T$16="","",'[3]سجل المستخلصات'!$T$16)</f>
        <v/>
      </c>
      <c r="R32" s="51">
        <f>IF('[3]سجل المستخلصات'!$V$16="","",'[3]سجل المستخلصات'!$V$16)</f>
        <v/>
      </c>
      <c r="S32" s="51">
        <f>IF('[3]سجل المستخلصات'!$W$16="","",'[3]سجل المستخلصات'!$W$16)</f>
        <v/>
      </c>
      <c r="T32" s="53">
        <f>IF('[3]سجل المستخلصات'!$X$16="","",'[3]سجل المستخلصات'!$X$16)</f>
        <v/>
      </c>
      <c r="U32" s="53">
        <f>IF('[3]سجل المستخلصات'!$Z$16="","",'[3]سجل المستخلصات'!$Z$16)</f>
        <v/>
      </c>
      <c r="V32" s="51">
        <f>IF('[3]سجل المستخلصات'!$AA$16="","",'[3]سجل المستخلصات'!$AA$16)</f>
        <v/>
      </c>
      <c r="W32" s="51">
        <f>IF('[3]سجل المستخلصات'!$AC$16="","",'[3]سجل المستخلصات'!$AC$16)</f>
        <v/>
      </c>
      <c r="X32" s="54">
        <f>IF('[3]سجل المستخلصات'!$AD$16="","",'[3]سجل المستخلصات'!$AD$16)</f>
        <v/>
      </c>
      <c r="Y32" s="50">
        <f>IF('[3]سجل المستخلصات'!$AE$16="","",'[3]سجل المستخلصات'!$AE$16)</f>
        <v/>
      </c>
    </row>
    <row r="33">
      <c r="B33" s="48" t="n">
        <v>12</v>
      </c>
      <c r="C33" s="49">
        <f>IF('[3]سجل المستخلصات'!$C$17="","",'[3]سجل المستخلصات'!$C$17)</f>
        <v/>
      </c>
      <c r="D33" s="49">
        <f>IF('[3]سجل المستخلصات'!$E$17="","",'[3]سجل المستخلصات'!$E$17)</f>
        <v/>
      </c>
      <c r="E33" s="50">
        <f>IF('[3]سجل المستخلصات'!$F$17="","",'[3]سجل المستخلصات'!$F$17)</f>
        <v/>
      </c>
      <c r="F33" s="51">
        <f>IF('[3]سجل المستخلصات'!$H$17="","",'[3]سجل المستخلصات'!$H$17)</f>
        <v/>
      </c>
      <c r="G33" s="51">
        <f>IF('[3]سجل المستخلصات'!$G$17="","",'[3]سجل المستخلصات'!$G$17)</f>
        <v/>
      </c>
      <c r="H33" s="51">
        <f>IF('[3]سجل المستخلصات'!$I$17="","",'[3]سجل المستخلصات'!$I$17)</f>
        <v/>
      </c>
      <c r="I33" s="51">
        <f>IF('[3]سجل المستخلصات'!$J$17="","",'[3]سجل المستخلصات'!$J$17)</f>
        <v/>
      </c>
      <c r="J33" s="51">
        <f>IF('[3]سجل المستخلصات'!$K$17="","",'[3]سجل المستخلصات'!$K$17)</f>
        <v/>
      </c>
      <c r="K33" s="52">
        <f>IF('[3]سجل المستخلصات'!$L$17="","",'[3]سجل المستخلصات'!$L$17)</f>
        <v/>
      </c>
      <c r="L33" s="52">
        <f>IF('[3]سجل المستخلصات'!$M$17="","",'[3]سجل المستخلصات'!$M$17)</f>
        <v/>
      </c>
      <c r="M33" s="52">
        <f>IF('[3]سجل المستخلصات'!$N$17="","",'[3]سجل المستخلصات'!$N$17)</f>
        <v/>
      </c>
      <c r="N33" s="51">
        <f>IF('[3]سجل المستخلصات'!$O$17="","",'[3]سجل المستخلصات'!$O$17)</f>
        <v/>
      </c>
      <c r="O33" s="51">
        <f>IF('[3]سجل المستخلصات'!$R$17="","",'[3]سجل المستخلصات'!$R$17)</f>
        <v/>
      </c>
      <c r="P33" s="51">
        <f>IF('[3]سجل المستخلصات'!$S$17="","",'[3]سجل المستخلصات'!$S$17)</f>
        <v/>
      </c>
      <c r="Q33" s="51">
        <f>IF('[3]سجل المستخلصات'!$T$17="","",'[3]سجل المستخلصات'!$T$17)</f>
        <v/>
      </c>
      <c r="R33" s="51">
        <f>IF('[3]سجل المستخلصات'!$V$17="","",'[3]سجل المستخلصات'!$V$17)</f>
        <v/>
      </c>
      <c r="S33" s="51">
        <f>IF('[3]سجل المستخلصات'!$W$17="","",'[3]سجل المستخلصات'!$W$17)</f>
        <v/>
      </c>
      <c r="T33" s="53">
        <f>IF('[3]سجل المستخلصات'!$X$17="","",'[3]سجل المستخلصات'!$X$17)</f>
        <v/>
      </c>
      <c r="U33" s="53">
        <f>IF('[3]سجل المستخلصات'!$Z$17="","",'[3]سجل المستخلصات'!$Z$17)</f>
        <v/>
      </c>
      <c r="V33" s="51">
        <f>IF('[3]سجل المستخلصات'!$AA$17="","",'[3]سجل المستخلصات'!$AA$17)</f>
        <v/>
      </c>
      <c r="W33" s="51">
        <f>IF('[3]سجل المستخلصات'!$AC$17="","",'[3]سجل المستخلصات'!$AC$17)</f>
        <v/>
      </c>
      <c r="X33" s="54">
        <f>IF('[3]سجل المستخلصات'!$AD$17="","",'[3]سجل المستخلصات'!$AD$17)</f>
        <v/>
      </c>
      <c r="Y33" s="50">
        <f>IF('[3]سجل المستخلصات'!$AE$17="","",'[3]سجل المستخلصات'!$AE$17)</f>
        <v/>
      </c>
    </row>
    <row r="34">
      <c r="B34" s="48" t="n">
        <v>13</v>
      </c>
      <c r="C34" s="49">
        <f>IF('[3]سجل المستخلصات'!$C$18="","",'[3]سجل المستخلصات'!$C$18)</f>
        <v/>
      </c>
      <c r="D34" s="49">
        <f>IF('[3]سجل المستخلصات'!$E$18="","",'[3]سجل المستخلصات'!$E$18)</f>
        <v/>
      </c>
      <c r="E34" s="50">
        <f>IF('[3]سجل المستخلصات'!$F$18="","",'[3]سجل المستخلصات'!$F$18)</f>
        <v/>
      </c>
      <c r="F34" s="51">
        <f>IF('[3]سجل المستخلصات'!$H$18="","",'[3]سجل المستخلصات'!$H$18)</f>
        <v/>
      </c>
      <c r="G34" s="51">
        <f>IF('[3]سجل المستخلصات'!$G$18="","",'[3]سجل المستخلصات'!$G$18)</f>
        <v/>
      </c>
      <c r="H34" s="51">
        <f>IF('[3]سجل المستخلصات'!$I$18="","",'[3]سجل المستخلصات'!$I$18)</f>
        <v/>
      </c>
      <c r="I34" s="51">
        <f>IF('[3]سجل المستخلصات'!$J$18="","",'[3]سجل المستخلصات'!$J$18)</f>
        <v/>
      </c>
      <c r="J34" s="51">
        <f>IF('[3]سجل المستخلصات'!$K$18="","",'[3]سجل المستخلصات'!$K$18)</f>
        <v/>
      </c>
      <c r="K34" s="52">
        <f>IF('[3]سجل المستخلصات'!$L$18="","",'[3]سجل المستخلصات'!$L$18)</f>
        <v/>
      </c>
      <c r="L34" s="52">
        <f>IF('[3]سجل المستخلصات'!$M$18="","",'[3]سجل المستخلصات'!$M$18)</f>
        <v/>
      </c>
      <c r="M34" s="52">
        <f>IF('[3]سجل المستخلصات'!$N$18="","",'[3]سجل المستخلصات'!$N$18)</f>
        <v/>
      </c>
      <c r="N34" s="51">
        <f>IF('[3]سجل المستخلصات'!$O$18="","",'[3]سجل المستخلصات'!$O$18)</f>
        <v/>
      </c>
      <c r="O34" s="51">
        <f>IF('[3]سجل المستخلصات'!$R$18="","",'[3]سجل المستخلصات'!$R$18)</f>
        <v/>
      </c>
      <c r="P34" s="51">
        <f>IF('[3]سجل المستخلصات'!$S$18="","",'[3]سجل المستخلصات'!$S$18)</f>
        <v/>
      </c>
      <c r="Q34" s="51">
        <f>IF('[3]سجل المستخلصات'!$T$18="","",'[3]سجل المستخلصات'!$T$18)</f>
        <v/>
      </c>
      <c r="R34" s="51">
        <f>IF('[3]سجل المستخلصات'!$V$18="","",'[3]سجل المستخلصات'!$V$18)</f>
        <v/>
      </c>
      <c r="S34" s="51">
        <f>IF('[3]سجل المستخلصات'!$W$18="","",'[3]سجل المستخلصات'!$W$18)</f>
        <v/>
      </c>
      <c r="T34" s="53">
        <f>IF('[3]سجل المستخلصات'!$X$18="","",'[3]سجل المستخلصات'!$X$18)</f>
        <v/>
      </c>
      <c r="U34" s="53">
        <f>IF('[3]سجل المستخلصات'!$Z$18="","",'[3]سجل المستخلصات'!$Z$18)</f>
        <v/>
      </c>
      <c r="V34" s="51">
        <f>IF('[3]سجل المستخلصات'!$AA$18="","",'[3]سجل المستخلصات'!$AA$18)</f>
        <v/>
      </c>
      <c r="W34" s="51">
        <f>IF('[3]سجل المستخلصات'!$AC$18="","",'[3]سجل المستخلصات'!$AC$18)</f>
        <v/>
      </c>
      <c r="X34" s="54">
        <f>IF('[3]سجل المستخلصات'!$AD$18="","",'[3]سجل المستخلصات'!$AD$18)</f>
        <v/>
      </c>
      <c r="Y34" s="50">
        <f>IF('[3]سجل المستخلصات'!$AE$18="","",'[3]سجل المستخلصات'!$AE$18)</f>
        <v/>
      </c>
    </row>
    <row r="35">
      <c r="B35" s="48" t="n">
        <v>14</v>
      </c>
      <c r="C35" s="49">
        <f>IF('[3]سجل المستخلصات'!$C$19="","",'[3]سجل المستخلصات'!$C$19)</f>
        <v/>
      </c>
      <c r="D35" s="49">
        <f>IF('[3]سجل المستخلصات'!$E$19="","",'[3]سجل المستخلصات'!$E$19)</f>
        <v/>
      </c>
      <c r="E35" s="50">
        <f>IF('[3]سجل المستخلصات'!$F$19="","",'[3]سجل المستخلصات'!$F$19)</f>
        <v/>
      </c>
      <c r="F35" s="51">
        <f>IF('[3]سجل المستخلصات'!$H$19="","",'[3]سجل المستخلصات'!$H$19)</f>
        <v/>
      </c>
      <c r="G35" s="51">
        <f>IF('[3]سجل المستخلصات'!$G$19="","",'[3]سجل المستخلصات'!$G$19)</f>
        <v/>
      </c>
      <c r="H35" s="51">
        <f>IF('[3]سجل المستخلصات'!$I$19="","",'[3]سجل المستخلصات'!$I$19)</f>
        <v/>
      </c>
      <c r="I35" s="51">
        <f>IF('[3]سجل المستخلصات'!$J$19="","",'[3]سجل المستخلصات'!$J$19)</f>
        <v/>
      </c>
      <c r="J35" s="51">
        <f>IF('[3]سجل المستخلصات'!$K$19="","",'[3]سجل المستخلصات'!$K$19)</f>
        <v/>
      </c>
      <c r="K35" s="52">
        <f>IF('[3]سجل المستخلصات'!$L$19="","",'[3]سجل المستخلصات'!$L$19)</f>
        <v/>
      </c>
      <c r="L35" s="52">
        <f>IF('[3]سجل المستخلصات'!$M$19="","",'[3]سجل المستخلصات'!$M$19)</f>
        <v/>
      </c>
      <c r="M35" s="52">
        <f>IF('[3]سجل المستخلصات'!$N$19="","",'[3]سجل المستخلصات'!$N$19)</f>
        <v/>
      </c>
      <c r="N35" s="51">
        <f>IF('[3]سجل المستخلصات'!$O$19="","",'[3]سجل المستخلصات'!$O$19)</f>
        <v/>
      </c>
      <c r="O35" s="51">
        <f>IF('[3]سجل المستخلصات'!$R$19="","",'[3]سجل المستخلصات'!$R$19)</f>
        <v/>
      </c>
      <c r="P35" s="51">
        <f>IF('[3]سجل المستخلصات'!$S$19="","",'[3]سجل المستخلصات'!$S$19)</f>
        <v/>
      </c>
      <c r="Q35" s="51">
        <f>IF('[3]سجل المستخلصات'!$T$19="","",'[3]سجل المستخلصات'!$T$19)</f>
        <v/>
      </c>
      <c r="R35" s="51">
        <f>IF('[3]سجل المستخلصات'!$V$19="","",'[3]سجل المستخلصات'!$V$19)</f>
        <v/>
      </c>
      <c r="S35" s="51">
        <f>IF('[3]سجل المستخلصات'!$W$19="","",'[3]سجل المستخلصات'!$W$19)</f>
        <v/>
      </c>
      <c r="T35" s="53">
        <f>IF('[3]سجل المستخلصات'!$X$19="","",'[3]سجل المستخلصات'!$X$19)</f>
        <v/>
      </c>
      <c r="U35" s="53">
        <f>IF('[3]سجل المستخلصات'!$Z$19="","",'[3]سجل المستخلصات'!$Z$19)</f>
        <v/>
      </c>
      <c r="V35" s="51">
        <f>IF('[3]سجل المستخلصات'!$AA$19="","",'[3]سجل المستخلصات'!$AA$19)</f>
        <v/>
      </c>
      <c r="W35" s="51">
        <f>IF('[3]سجل المستخلصات'!$AC$19="","",'[3]سجل المستخلصات'!$AC$19)</f>
        <v/>
      </c>
      <c r="X35" s="54">
        <f>IF('[3]سجل المستخلصات'!$AD$19="","",'[3]سجل المستخلصات'!$AD$19)</f>
        <v/>
      </c>
      <c r="Y35" s="50">
        <f>IF('[3]سجل المستخلصات'!$AE$19="","",'[3]سجل المستخلصات'!$AE$19)</f>
        <v/>
      </c>
    </row>
    <row r="36">
      <c r="B36" s="48" t="n">
        <v>15</v>
      </c>
      <c r="C36" s="49">
        <f>IF('[3]سجل المستخلصات'!$C$20="","",'[3]سجل المستخلصات'!$C$20)</f>
        <v/>
      </c>
      <c r="D36" s="49">
        <f>IF('[3]سجل المستخلصات'!$E$20="","",'[3]سجل المستخلصات'!$E$20)</f>
        <v/>
      </c>
      <c r="E36" s="50">
        <f>IF('[3]سجل المستخلصات'!$F$20="","",'[3]سجل المستخلصات'!$F$20)</f>
        <v/>
      </c>
      <c r="F36" s="51">
        <f>IF('[3]سجل المستخلصات'!$H$20="","",'[3]سجل المستخلصات'!$H$20)</f>
        <v/>
      </c>
      <c r="G36" s="51">
        <f>IF('[3]سجل المستخلصات'!$G$20="","",'[3]سجل المستخلصات'!$G$20)</f>
        <v/>
      </c>
      <c r="H36" s="51">
        <f>IF('[3]سجل المستخلصات'!$I$20="","",'[3]سجل المستخلصات'!$I$20)</f>
        <v/>
      </c>
      <c r="I36" s="51">
        <f>IF('[3]سجل المستخلصات'!$J$20="","",'[3]سجل المستخلصات'!$J$20)</f>
        <v/>
      </c>
      <c r="J36" s="51">
        <f>IF('[3]سجل المستخلصات'!$K$20="","",'[3]سجل المستخلصات'!$K$20)</f>
        <v/>
      </c>
      <c r="K36" s="52">
        <f>IF('[3]سجل المستخلصات'!$L$20="","",'[3]سجل المستخلصات'!$L$20)</f>
        <v/>
      </c>
      <c r="L36" s="52">
        <f>IF('[3]سجل المستخلصات'!$M$20="","",'[3]سجل المستخلصات'!$M$20)</f>
        <v/>
      </c>
      <c r="M36" s="52">
        <f>IF('[3]سجل المستخلصات'!$N$20="","",'[3]سجل المستخلصات'!$N$20)</f>
        <v/>
      </c>
      <c r="N36" s="51">
        <f>IF('[3]سجل المستخلصات'!$O$20="","",'[3]سجل المستخلصات'!$O$20)</f>
        <v/>
      </c>
      <c r="O36" s="51">
        <f>IF('[3]سجل المستخلصات'!$R$20="","",'[3]سجل المستخلصات'!$R$20)</f>
        <v/>
      </c>
      <c r="P36" s="51">
        <f>IF('[3]سجل المستخلصات'!$S$20="","",'[3]سجل المستخلصات'!$S$20)</f>
        <v/>
      </c>
      <c r="Q36" s="51">
        <f>IF('[3]سجل المستخلصات'!$T$20="","",'[3]سجل المستخلصات'!$T$20)</f>
        <v/>
      </c>
      <c r="R36" s="51">
        <f>IF('[3]سجل المستخلصات'!$V$20="","",'[3]سجل المستخلصات'!$V$20)</f>
        <v/>
      </c>
      <c r="S36" s="51">
        <f>IF('[3]سجل المستخلصات'!$W$20="","",'[3]سجل المستخلصات'!$W$20)</f>
        <v/>
      </c>
      <c r="T36" s="53">
        <f>IF('[3]سجل المستخلصات'!$X$20="","",'[3]سجل المستخلصات'!$X$20)</f>
        <v/>
      </c>
      <c r="U36" s="53">
        <f>IF('[3]سجل المستخلصات'!$Z$20="","",'[3]سجل المستخلصات'!$Z$20)</f>
        <v/>
      </c>
      <c r="V36" s="51">
        <f>IF('[3]سجل المستخلصات'!$AA$20="","",'[3]سجل المستخلصات'!$AA$20)</f>
        <v/>
      </c>
      <c r="W36" s="51">
        <f>IF('[3]سجل المستخلصات'!$AC$20="","",'[3]سجل المستخلصات'!$AC$20)</f>
        <v/>
      </c>
      <c r="X36" s="54">
        <f>IF('[3]سجل المستخلصات'!$AD$20="","",'[3]سجل المستخلصات'!$AD$20)</f>
        <v/>
      </c>
      <c r="Y36" s="50">
        <f>IF('[3]سجل المستخلصات'!$AE$20="","",'[3]سجل المستخلصات'!$AE$20)</f>
        <v/>
      </c>
    </row>
    <row r="37">
      <c r="B37" s="48" t="n">
        <v>16</v>
      </c>
      <c r="C37" s="49">
        <f>IF('[3]سجل المستخلصات'!$C$21="","",'[3]سجل المستخلصات'!$C$21)</f>
        <v/>
      </c>
      <c r="D37" s="49">
        <f>IF('[3]سجل المستخلصات'!$E$21="","",'[3]سجل المستخلصات'!$E$21)</f>
        <v/>
      </c>
      <c r="E37" s="50">
        <f>IF('[3]سجل المستخلصات'!$F$21="","",'[3]سجل المستخلصات'!$F$21)</f>
        <v/>
      </c>
      <c r="F37" s="51">
        <f>IF('[3]سجل المستخلصات'!$H$21="","",'[3]سجل المستخلصات'!$H$21)</f>
        <v/>
      </c>
      <c r="G37" s="51">
        <f>IF('[3]سجل المستخلصات'!$G$21="","",'[3]سجل المستخلصات'!$G$21)</f>
        <v/>
      </c>
      <c r="H37" s="51">
        <f>IF('[3]سجل المستخلصات'!$I$21="","",'[3]سجل المستخلصات'!$I$21)</f>
        <v/>
      </c>
      <c r="I37" s="51">
        <f>IF('[3]سجل المستخلصات'!$J$21="","",'[3]سجل المستخلصات'!$J$21)</f>
        <v/>
      </c>
      <c r="J37" s="51">
        <f>IF('[3]سجل المستخلصات'!$K$21="","",'[3]سجل المستخلصات'!$K$21)</f>
        <v/>
      </c>
      <c r="K37" s="52">
        <f>IF('[3]سجل المستخلصات'!$L$21="","",'[3]سجل المستخلصات'!$L$21)</f>
        <v/>
      </c>
      <c r="L37" s="52">
        <f>IF('[3]سجل المستخلصات'!$M$21="","",'[3]سجل المستخلصات'!$M$21)</f>
        <v/>
      </c>
      <c r="M37" s="52">
        <f>IF('[3]سجل المستخلصات'!$N$21="","",'[3]سجل المستخلصات'!$N$21)</f>
        <v/>
      </c>
      <c r="N37" s="51">
        <f>IF('[3]سجل المستخلصات'!$O$21="","",'[3]سجل المستخلصات'!$O$21)</f>
        <v/>
      </c>
      <c r="O37" s="51">
        <f>IF('[3]سجل المستخلصات'!$R$21="","",'[3]سجل المستخلصات'!$R$21)</f>
        <v/>
      </c>
      <c r="P37" s="51">
        <f>IF('[3]سجل المستخلصات'!$S$21="","",'[3]سجل المستخلصات'!$S$21)</f>
        <v/>
      </c>
      <c r="Q37" s="51">
        <f>IF('[3]سجل المستخلصات'!$T$21="","",'[3]سجل المستخلصات'!$T$21)</f>
        <v/>
      </c>
      <c r="R37" s="51">
        <f>IF('[3]سجل المستخلصات'!$V$21="","",'[3]سجل المستخلصات'!$V$21)</f>
        <v/>
      </c>
      <c r="S37" s="51">
        <f>IF('[3]سجل المستخلصات'!$W$21="","",'[3]سجل المستخلصات'!$W$21)</f>
        <v/>
      </c>
      <c r="T37" s="53">
        <f>IF('[3]سجل المستخلصات'!$X$21="","",'[3]سجل المستخلصات'!$X$21)</f>
        <v/>
      </c>
      <c r="U37" s="53">
        <f>IF('[3]سجل المستخلصات'!$Z$21="","",'[3]سجل المستخلصات'!$Z$21)</f>
        <v/>
      </c>
      <c r="V37" s="51">
        <f>IF('[3]سجل المستخلصات'!$AA$21="","",'[3]سجل المستخلصات'!$AA$21)</f>
        <v/>
      </c>
      <c r="W37" s="51">
        <f>IF('[3]سجل المستخلصات'!$AC$21="","",'[3]سجل المستخلصات'!$AC$21)</f>
        <v/>
      </c>
      <c r="X37" s="54">
        <f>IF('[3]سجل المستخلصات'!$AD$21="","",'[3]سجل المستخلصات'!$AD$21)</f>
        <v/>
      </c>
      <c r="Y37" s="50">
        <f>IF('[3]سجل المستخلصات'!$AE$21="","",'[3]سجل المستخلصات'!$AE$21)</f>
        <v/>
      </c>
    </row>
    <row r="38">
      <c r="B38" s="48" t="n">
        <v>17</v>
      </c>
      <c r="C38" s="49">
        <f>IF('[3]سجل المستخلصات'!$C$22="","",'[3]سجل المستخلصات'!$C$22)</f>
        <v/>
      </c>
      <c r="D38" s="49">
        <f>IF('[3]سجل المستخلصات'!$E$22="","",'[3]سجل المستخلصات'!$E$22)</f>
        <v/>
      </c>
      <c r="E38" s="50">
        <f>IF('[3]سجل المستخلصات'!$F$22="","",'[3]سجل المستخلصات'!$F$22)</f>
        <v/>
      </c>
      <c r="F38" s="51">
        <f>IF('[3]سجل المستخلصات'!$H$22="","",'[3]سجل المستخلصات'!$H$22)</f>
        <v/>
      </c>
      <c r="G38" s="51">
        <f>IF('[3]سجل المستخلصات'!$G$22="","",'[3]سجل المستخلصات'!$G$22)</f>
        <v/>
      </c>
      <c r="H38" s="51">
        <f>IF('[3]سجل المستخلصات'!$I$22="","",'[3]سجل المستخلصات'!$I$22)</f>
        <v/>
      </c>
      <c r="I38" s="51">
        <f>IF('[3]سجل المستخلصات'!$J$22="","",'[3]سجل المستخلصات'!$J$22)</f>
        <v/>
      </c>
      <c r="J38" s="51">
        <f>IF('[3]سجل المستخلصات'!$K$22="","",'[3]سجل المستخلصات'!$K$22)</f>
        <v/>
      </c>
      <c r="K38" s="52">
        <f>IF('[3]سجل المستخلصات'!$L$22="","",'[3]سجل المستخلصات'!$L$22)</f>
        <v/>
      </c>
      <c r="L38" s="52">
        <f>IF('[3]سجل المستخلصات'!$M$22="","",'[3]سجل المستخلصات'!$M$22)</f>
        <v/>
      </c>
      <c r="M38" s="52">
        <f>IF('[3]سجل المستخلصات'!$N$22="","",'[3]سجل المستخلصات'!$N$22)</f>
        <v/>
      </c>
      <c r="N38" s="51">
        <f>IF('[3]سجل المستخلصات'!$O$22="","",'[3]سجل المستخلصات'!$O$22)</f>
        <v/>
      </c>
      <c r="O38" s="51">
        <f>IF('[3]سجل المستخلصات'!$R$22="","",'[3]سجل المستخلصات'!$R$22)</f>
        <v/>
      </c>
      <c r="P38" s="51">
        <f>IF('[3]سجل المستخلصات'!$S$22="","",'[3]سجل المستخلصات'!$S$22)</f>
        <v/>
      </c>
      <c r="Q38" s="51">
        <f>IF('[3]سجل المستخلصات'!$T$22="","",'[3]سجل المستخلصات'!$T$22)</f>
        <v/>
      </c>
      <c r="R38" s="51">
        <f>IF('[3]سجل المستخلصات'!$V$22="","",'[3]سجل المستخلصات'!$V$22)</f>
        <v/>
      </c>
      <c r="S38" s="51">
        <f>IF('[3]سجل المستخلصات'!$W$22="","",'[3]سجل المستخلصات'!$W$22)</f>
        <v/>
      </c>
      <c r="T38" s="53">
        <f>IF('[3]سجل المستخلصات'!$X$22="","",'[3]سجل المستخلصات'!$X$22)</f>
        <v/>
      </c>
      <c r="U38" s="53">
        <f>IF('[3]سجل المستخلصات'!$Z$22="","",'[3]سجل المستخلصات'!$Z$22)</f>
        <v/>
      </c>
      <c r="V38" s="51">
        <f>IF('[3]سجل المستخلصات'!$AA$22="","",'[3]سجل المستخلصات'!$AA$22)</f>
        <v/>
      </c>
      <c r="W38" s="51">
        <f>IF('[3]سجل المستخلصات'!$AC$22="","",'[3]سجل المستخلصات'!$AC$22)</f>
        <v/>
      </c>
      <c r="X38" s="54">
        <f>IF('[3]سجل المستخلصات'!$AD$22="","",'[3]سجل المستخلصات'!$AD$22)</f>
        <v/>
      </c>
      <c r="Y38" s="50">
        <f>IF('[3]سجل المستخلصات'!$AE$22="","",'[3]سجل المستخلصات'!$AE$22)</f>
        <v/>
      </c>
    </row>
    <row r="39">
      <c r="B39" s="48" t="n">
        <v>18</v>
      </c>
      <c r="C39" s="49">
        <f>IF('[3]سجل المستخلصات'!$C$23="","",'[3]سجل المستخلصات'!$C$23)</f>
        <v/>
      </c>
      <c r="D39" s="49">
        <f>IF('[3]سجل المستخلصات'!$E$23="","",'[3]سجل المستخلصات'!$E$23)</f>
        <v/>
      </c>
      <c r="E39" s="50">
        <f>IF('[3]سجل المستخلصات'!$F$23="","",'[3]سجل المستخلصات'!$F$23)</f>
        <v/>
      </c>
      <c r="F39" s="51">
        <f>IF('[3]سجل المستخلصات'!$H$23="","",'[3]سجل المستخلصات'!$H$23)</f>
        <v/>
      </c>
      <c r="G39" s="51">
        <f>IF('[3]سجل المستخلصات'!$G$23="","",'[3]سجل المستخلصات'!$G$23)</f>
        <v/>
      </c>
      <c r="H39" s="51">
        <f>IF('[3]سجل المستخلصات'!$I$23="","",'[3]سجل المستخلصات'!$I$23)</f>
        <v/>
      </c>
      <c r="I39" s="51">
        <f>IF('[3]سجل المستخلصات'!$J$23="","",'[3]سجل المستخلصات'!$J$23)</f>
        <v/>
      </c>
      <c r="J39" s="51">
        <f>IF('[3]سجل المستخلصات'!$K$23="","",'[3]سجل المستخلصات'!$K$23)</f>
        <v/>
      </c>
      <c r="K39" s="52">
        <f>IF('[3]سجل المستخلصات'!$L$23="","",'[3]سجل المستخلصات'!$L$23)</f>
        <v/>
      </c>
      <c r="L39" s="52">
        <f>IF('[3]سجل المستخلصات'!$M$23="","",'[3]سجل المستخلصات'!$M$23)</f>
        <v/>
      </c>
      <c r="M39" s="52">
        <f>IF('[3]سجل المستخلصات'!$N$23="","",'[3]سجل المستخلصات'!$N$23)</f>
        <v/>
      </c>
      <c r="N39" s="51">
        <f>IF('[3]سجل المستخلصات'!$O$23="","",'[3]سجل المستخلصات'!$O$23)</f>
        <v/>
      </c>
      <c r="O39" s="51">
        <f>IF('[3]سجل المستخلصات'!$R$23="","",'[3]سجل المستخلصات'!$R$23)</f>
        <v/>
      </c>
      <c r="P39" s="51">
        <f>IF('[3]سجل المستخلصات'!$S$23="","",'[3]سجل المستخلصات'!$S$23)</f>
        <v/>
      </c>
      <c r="Q39" s="51">
        <f>IF('[3]سجل المستخلصات'!$T$23="","",'[3]سجل المستخلصات'!$T$23)</f>
        <v/>
      </c>
      <c r="R39" s="51">
        <f>IF('[3]سجل المستخلصات'!$V$23="","",'[3]سجل المستخلصات'!$V$23)</f>
        <v/>
      </c>
      <c r="S39" s="51">
        <f>IF('[3]سجل المستخلصات'!$W$23="","",'[3]سجل المستخلصات'!$W$23)</f>
        <v/>
      </c>
      <c r="T39" s="53">
        <f>IF('[3]سجل المستخلصات'!$X$23="","",'[3]سجل المستخلصات'!$X$23)</f>
        <v/>
      </c>
      <c r="U39" s="53">
        <f>IF('[3]سجل المستخلصات'!$Z$23="","",'[3]سجل المستخلصات'!$Z$23)</f>
        <v/>
      </c>
      <c r="V39" s="51">
        <f>IF('[3]سجل المستخلصات'!$AA$23="","",'[3]سجل المستخلصات'!$AA$23)</f>
        <v/>
      </c>
      <c r="W39" s="51">
        <f>IF('[3]سجل المستخلصات'!$AC$23="","",'[3]سجل المستخلصات'!$AC$23)</f>
        <v/>
      </c>
      <c r="X39" s="54">
        <f>IF('[3]سجل المستخلصات'!$AD$23="","",'[3]سجل المستخلصات'!$AD$23)</f>
        <v/>
      </c>
      <c r="Y39" s="50">
        <f>IF('[3]سجل المستخلصات'!$AE$23="","",'[3]سجل المستخلصات'!$AE$23)</f>
        <v/>
      </c>
    </row>
    <row r="40">
      <c r="B40" s="48" t="n">
        <v>19</v>
      </c>
      <c r="C40" s="49">
        <f>IF('[3]سجل المستخلصات'!$C$24="","",'[3]سجل المستخلصات'!$C$24)</f>
        <v/>
      </c>
      <c r="D40" s="49">
        <f>IF('[3]سجل المستخلصات'!$E$24="","",'[3]سجل المستخلصات'!$E$24)</f>
        <v/>
      </c>
      <c r="E40" s="50">
        <f>IF('[3]سجل المستخلصات'!$F$24="","",'[3]سجل المستخلصات'!$F$24)</f>
        <v/>
      </c>
      <c r="F40" s="51">
        <f>IF('[3]سجل المستخلصات'!$H$24="","",'[3]سجل المستخلصات'!$H$24)</f>
        <v/>
      </c>
      <c r="G40" s="51">
        <f>IF('[3]سجل المستخلصات'!$G$24="","",'[3]سجل المستخلصات'!$G$24)</f>
        <v/>
      </c>
      <c r="H40" s="51">
        <f>IF('[3]سجل المستخلصات'!$I$24="","",'[3]سجل المستخلصات'!$I$24)</f>
        <v/>
      </c>
      <c r="I40" s="51">
        <f>IF('[3]سجل المستخلصات'!$J$24="","",'[3]سجل المستخلصات'!$J$24)</f>
        <v/>
      </c>
      <c r="J40" s="51">
        <f>IF('[3]سجل المستخلصات'!$K$24="","",'[3]سجل المستخلصات'!$K$24)</f>
        <v/>
      </c>
      <c r="K40" s="52">
        <f>IF('[3]سجل المستخلصات'!$L$24="","",'[3]سجل المستخلصات'!$L$24)</f>
        <v/>
      </c>
      <c r="L40" s="52">
        <f>IF('[3]سجل المستخلصات'!$M$24="","",'[3]سجل المستخلصات'!$M$24)</f>
        <v/>
      </c>
      <c r="M40" s="52">
        <f>IF('[3]سجل المستخلصات'!$N$24="","",'[3]سجل المستخلصات'!$N$24)</f>
        <v/>
      </c>
      <c r="N40" s="51">
        <f>IF('[3]سجل المستخلصات'!$O$24="","",'[3]سجل المستخلصات'!$O$24)</f>
        <v/>
      </c>
      <c r="O40" s="51">
        <f>IF('[3]سجل المستخلصات'!$R$24="","",'[3]سجل المستخلصات'!$R$24)</f>
        <v/>
      </c>
      <c r="P40" s="51">
        <f>IF('[3]سجل المستخلصات'!$S$24="","",'[3]سجل المستخلصات'!$S$24)</f>
        <v/>
      </c>
      <c r="Q40" s="51">
        <f>IF('[3]سجل المستخلصات'!$T$24="","",'[3]سجل المستخلصات'!$T$24)</f>
        <v/>
      </c>
      <c r="R40" s="51">
        <f>IF('[3]سجل المستخلصات'!$V$24="","",'[3]سجل المستخلصات'!$V$24)</f>
        <v/>
      </c>
      <c r="S40" s="51">
        <f>IF('[3]سجل المستخلصات'!$W$24="","",'[3]سجل المستخلصات'!$W$24)</f>
        <v/>
      </c>
      <c r="T40" s="53">
        <f>IF('[3]سجل المستخلصات'!$X$24="","",'[3]سجل المستخلصات'!$X$24)</f>
        <v/>
      </c>
      <c r="U40" s="53">
        <f>IF('[3]سجل المستخلصات'!$Z$24="","",'[3]سجل المستخلصات'!$Z$24)</f>
        <v/>
      </c>
      <c r="V40" s="51">
        <f>IF('[3]سجل المستخلصات'!$AA$24="","",'[3]سجل المستخلصات'!$AA$24)</f>
        <v/>
      </c>
      <c r="W40" s="51">
        <f>IF('[3]سجل المستخلصات'!$AC$24="","",'[3]سجل المستخلصات'!$AC$24)</f>
        <v/>
      </c>
      <c r="X40" s="54">
        <f>IF('[3]سجل المستخلصات'!$AD$24="","",'[3]سجل المستخلصات'!$AD$24)</f>
        <v/>
      </c>
      <c r="Y40" s="50">
        <f>IF('[3]سجل المستخلصات'!$AE$24="","",'[3]سجل المستخلصات'!$AE$24)</f>
        <v/>
      </c>
    </row>
    <row r="41">
      <c r="B41" s="48" t="n">
        <v>20</v>
      </c>
      <c r="C41" s="49">
        <f>IF('[3]سجل المستخلصات'!$C$25="","",'[3]سجل المستخلصات'!$C$25)</f>
        <v/>
      </c>
      <c r="D41" s="49">
        <f>IF('[3]سجل المستخلصات'!$E$25="","",'[3]سجل المستخلصات'!$E$25)</f>
        <v/>
      </c>
      <c r="E41" s="50">
        <f>IF('[3]سجل المستخلصات'!$F$25="","",'[3]سجل المستخلصات'!$F$25)</f>
        <v/>
      </c>
      <c r="F41" s="51">
        <f>IF('[3]سجل المستخلصات'!$H$25="","",'[3]سجل المستخلصات'!$H$25)</f>
        <v/>
      </c>
      <c r="G41" s="51">
        <f>IF('[3]سجل المستخلصات'!$G$25="","",'[3]سجل المستخلصات'!$G$25)</f>
        <v/>
      </c>
      <c r="H41" s="51">
        <f>IF('[3]سجل المستخلصات'!$I$25="","",'[3]سجل المستخلصات'!$I$25)</f>
        <v/>
      </c>
      <c r="I41" s="51">
        <f>IF('[3]سجل المستخلصات'!$J$25="","",'[3]سجل المستخلصات'!$J$25)</f>
        <v/>
      </c>
      <c r="J41" s="51">
        <f>IF('[3]سجل المستخلصات'!$K$25="","",'[3]سجل المستخلصات'!$K$25)</f>
        <v/>
      </c>
      <c r="K41" s="52">
        <f>IF('[3]سجل المستخلصات'!$L$25="","",'[3]سجل المستخلصات'!$L$25)</f>
        <v/>
      </c>
      <c r="L41" s="52">
        <f>IF('[3]سجل المستخلصات'!$M$25="","",'[3]سجل المستخلصات'!$M$25)</f>
        <v/>
      </c>
      <c r="M41" s="52">
        <f>IF('[3]سجل المستخلصات'!$N$25="","",'[3]سجل المستخلصات'!$N$25)</f>
        <v/>
      </c>
      <c r="N41" s="51">
        <f>IF('[3]سجل المستخلصات'!$O$25="","",'[3]سجل المستخلصات'!$O$25)</f>
        <v/>
      </c>
      <c r="O41" s="51">
        <f>IF('[3]سجل المستخلصات'!$R$25="","",'[3]سجل المستخلصات'!$R$25)</f>
        <v/>
      </c>
      <c r="P41" s="51">
        <f>IF('[3]سجل المستخلصات'!$S$25="","",'[3]سجل المستخلصات'!$S$25)</f>
        <v/>
      </c>
      <c r="Q41" s="51">
        <f>IF('[3]سجل المستخلصات'!$T$25="","",'[3]سجل المستخلصات'!$T$25)</f>
        <v/>
      </c>
      <c r="R41" s="51">
        <f>IF('[3]سجل المستخلصات'!$V$25="","",'[3]سجل المستخلصات'!$V$25)</f>
        <v/>
      </c>
      <c r="S41" s="51">
        <f>IF('[3]سجل المستخلصات'!$W$25="","",'[3]سجل المستخلصات'!$W$25)</f>
        <v/>
      </c>
      <c r="T41" s="53">
        <f>IF('[3]سجل المستخلصات'!$X$25="","",'[3]سجل المستخلصات'!$X$25)</f>
        <v/>
      </c>
      <c r="U41" s="53">
        <f>IF('[3]سجل المستخلصات'!$Z$25="","",'[3]سجل المستخلصات'!$Z$25)</f>
        <v/>
      </c>
      <c r="V41" s="51">
        <f>IF('[3]سجل المستخلصات'!$AA$25="","",'[3]سجل المستخلصات'!$AA$25)</f>
        <v/>
      </c>
      <c r="W41" s="51">
        <f>IF('[3]سجل المستخلصات'!$AC$25="","",'[3]سجل المستخلصات'!$AC$25)</f>
        <v/>
      </c>
      <c r="X41" s="54">
        <f>IF('[3]سجل المستخلصات'!$AD$25="","",'[3]سجل المستخلصات'!$AD$25)</f>
        <v/>
      </c>
      <c r="Y41" s="50">
        <f>IF('[3]سجل المستخلصات'!$AE$25="","",'[3]سجل المستخلصات'!$AE$25)</f>
        <v/>
      </c>
    </row>
    <row r="42">
      <c r="B42" s="55" t="inlineStr">
        <is>
          <t>الإجمالي</t>
        </is>
      </c>
      <c r="C42" s="56" t="n"/>
      <c r="D42" s="56" t="n"/>
      <c r="E42" s="55" t="n"/>
      <c r="F42" s="57">
        <f>SUM(F22:F41)</f>
        <v/>
      </c>
      <c r="G42" s="57">
        <f>IF($V$9=0,0,N(INDEX($G$22:$G$41,$V$9)))</f>
        <v/>
      </c>
      <c r="H42" s="57">
        <f>IF($V$9=0,0,N(INDEX($H$22:$H$41,$V$9)))</f>
        <v/>
      </c>
      <c r="I42" s="57">
        <f>IF($V$9=0,0,N(INDEX($I$22:$I$41,$V$9)))</f>
        <v/>
      </c>
      <c r="J42" s="57">
        <f>IF($V$9=0,0,N(INDEX($J$22:$J$41,$V$9)))</f>
        <v/>
      </c>
      <c r="K42" s="58">
        <f>IF($V$9=0,0,N(INDEX($K$22:$K$41,$V$9)))</f>
        <v/>
      </c>
      <c r="L42" s="58" t="n"/>
      <c r="M42" s="58" t="n"/>
      <c r="N42" s="57">
        <f>IF($V$9=0,0,N(INDEX($N$22:$N$41,$V$9)))</f>
        <v/>
      </c>
      <c r="O42" s="57">
        <f>IF($V$9=0,0,N(INDEX($O$22:$O$41,$V$9)))</f>
        <v/>
      </c>
      <c r="P42" s="57">
        <f>IF($V$9=0,0,N(INDEX($P$22:$P$41,$V$9)))</f>
        <v/>
      </c>
      <c r="Q42" s="57">
        <f>IF($V$9=0,0,N(INDEX($Q$22:$Q$41,$V$9)))</f>
        <v/>
      </c>
      <c r="R42" s="57">
        <f>IF($V$9=0,0,N(INDEX($R$22:$R$41,$V$9)))</f>
        <v/>
      </c>
      <c r="S42" s="57">
        <f>IF($V$9=0,0,N(INDEX($S$22:$S$41,$V$9)))</f>
        <v/>
      </c>
      <c r="T42" s="57">
        <f>IF($V$9=0,0,N(INDEX($T$22:$T$41,$V$9)))</f>
        <v/>
      </c>
      <c r="U42" s="57">
        <f>SUM(U22:U41)</f>
        <v/>
      </c>
      <c r="V42" s="57">
        <f>SUM(V22:V41)</f>
        <v/>
      </c>
      <c r="W42" s="57">
        <f>SUM(W22:W41)</f>
        <v/>
      </c>
      <c r="X42" s="59">
        <f>IFERROR(AVERAGE(X22:X41),0)</f>
        <v/>
      </c>
      <c r="Y42" s="55" t="n"/>
    </row>
    <row r="45">
      <c r="B45" s="46" t="inlineStr">
        <is>
          <t>الإنجاز حسب أقسام الأعمال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القسم</t>
        </is>
      </c>
      <c r="C46" s="47" t="n"/>
      <c r="D46" s="47" t="n"/>
      <c r="E46" s="47" t="inlineStr">
        <is>
          <t>القيمة التعاقدية</t>
        </is>
      </c>
      <c r="F46" s="47" t="inlineStr">
        <is>
          <t>القيمة المنفذة</t>
        </is>
      </c>
      <c r="G46" s="47" t="inlineStr">
        <is>
          <t>نسبة الإنجاز</t>
        </is>
      </c>
    </row>
    <row r="47">
      <c r="B47" s="60">
        <f>IF('[3]سجل المستخلصات'!$B$32="","",'[3]سجل المستخلصات'!$B$32)</f>
        <v/>
      </c>
      <c r="C47" s="60" t="n"/>
      <c r="D47" s="60" t="n"/>
      <c r="E47" s="51">
        <f>N('[3]سجل المستخلصات'!$E$32)</f>
        <v/>
      </c>
      <c r="F47" s="51">
        <f>N('[3]سجل المستخلصات'!$F$32)</f>
        <v/>
      </c>
      <c r="G47" s="61">
        <f>IF(E47&gt;0,F47/E47,0)</f>
        <v/>
      </c>
    </row>
    <row r="48">
      <c r="B48" s="60">
        <f>IF('[3]سجل المستخلصات'!$B$33="","",'[3]سجل المستخلصات'!$B$33)</f>
        <v/>
      </c>
      <c r="C48" s="60" t="n"/>
      <c r="D48" s="60" t="n"/>
      <c r="E48" s="51">
        <f>N('[3]سجل المستخلصات'!$E$33)</f>
        <v/>
      </c>
      <c r="F48" s="51">
        <f>N('[3]سجل المستخلصات'!$F$33)</f>
        <v/>
      </c>
      <c r="G48" s="61">
        <f>IF(E48&gt;0,F48/E48,0)</f>
        <v/>
      </c>
    </row>
    <row r="49">
      <c r="B49" s="60">
        <f>IF('[3]سجل المستخلصات'!$B$34="","",'[3]سجل المستخلصات'!$B$34)</f>
        <v/>
      </c>
      <c r="C49" s="60" t="n"/>
      <c r="D49" s="60" t="n"/>
      <c r="E49" s="51">
        <f>N('[3]سجل المستخلصات'!$E$34)</f>
        <v/>
      </c>
      <c r="F49" s="51">
        <f>N('[3]سجل المستخلصات'!$F$34)</f>
        <v/>
      </c>
      <c r="G49" s="61">
        <f>IF(E49&gt;0,F49/E49,0)</f>
        <v/>
      </c>
    </row>
    <row r="50">
      <c r="B50" s="60">
        <f>IF('[3]سجل المستخلصات'!$B$35="","",'[3]سجل المستخلصات'!$B$35)</f>
        <v/>
      </c>
      <c r="C50" s="60" t="n"/>
      <c r="D50" s="60" t="n"/>
      <c r="E50" s="51">
        <f>N('[3]سجل المستخلصات'!$E$35)</f>
        <v/>
      </c>
      <c r="F50" s="51">
        <f>N('[3]سجل المستخلصات'!$F$35)</f>
        <v/>
      </c>
      <c r="G50" s="61">
        <f>IF(E50&gt;0,F50/E50,0)</f>
        <v/>
      </c>
    </row>
    <row r="51">
      <c r="B51" s="60">
        <f>IF('[3]سجل المستخلصات'!$B$36="","",'[3]سجل المستخلصات'!$B$36)</f>
        <v/>
      </c>
      <c r="C51" s="60" t="n"/>
      <c r="D51" s="60" t="n"/>
      <c r="E51" s="51">
        <f>N('[3]سجل المستخلصات'!$E$36)</f>
        <v/>
      </c>
      <c r="F51" s="51">
        <f>N('[3]سجل المستخلصات'!$F$36)</f>
        <v/>
      </c>
      <c r="G51" s="61">
        <f>IF(E51&gt;0,F51/E51,0)</f>
        <v/>
      </c>
    </row>
    <row r="52">
      <c r="B52" s="60">
        <f>IF('[3]سجل المستخلصات'!$B$37="","",'[3]سجل المستخلصات'!$B$37)</f>
        <v/>
      </c>
      <c r="C52" s="60" t="n"/>
      <c r="D52" s="60" t="n"/>
      <c r="E52" s="51">
        <f>N('[3]سجل المستخلصات'!$E$37)</f>
        <v/>
      </c>
      <c r="F52" s="51">
        <f>N('[3]سجل المستخلصات'!$F$37)</f>
        <v/>
      </c>
      <c r="G52" s="61">
        <f>IF(E52&gt;0,F52/E52,0)</f>
        <v/>
      </c>
    </row>
    <row r="53">
      <c r="B53" s="60">
        <f>IF('[3]سجل المستخلصات'!$B$38="","",'[3]سجل المستخلصات'!$B$38)</f>
        <v/>
      </c>
      <c r="C53" s="60" t="n"/>
      <c r="D53" s="60" t="n"/>
      <c r="E53" s="51">
        <f>N('[3]سجل المستخلصات'!$E$38)</f>
        <v/>
      </c>
      <c r="F53" s="51">
        <f>N('[3]سجل المستخلصات'!$F$38)</f>
        <v/>
      </c>
      <c r="G53" s="61">
        <f>IF(E53&gt;0,F53/E53,0)</f>
        <v/>
      </c>
    </row>
    <row r="54">
      <c r="B54" s="60">
        <f>IF('[3]سجل المستخلصات'!$B$39="","",'[3]سجل المستخلصات'!$B$39)</f>
        <v/>
      </c>
      <c r="C54" s="60" t="n"/>
      <c r="D54" s="60" t="n"/>
      <c r="E54" s="51">
        <f>N('[3]سجل المستخلصات'!$E$39)</f>
        <v/>
      </c>
      <c r="F54" s="51">
        <f>N('[3]سجل المستخلصات'!$F$39)</f>
        <v/>
      </c>
      <c r="G54" s="61">
        <f>IF(E54&gt;0,F54/E54,0)</f>
        <v/>
      </c>
    </row>
    <row r="55">
      <c r="B55" s="60">
        <f>IF('[3]سجل المستخلصات'!$B$40="","",'[3]سجل المستخلصات'!$B$40)</f>
        <v/>
      </c>
      <c r="C55" s="60" t="n"/>
      <c r="D55" s="60" t="n"/>
      <c r="E55" s="51">
        <f>N('[3]سجل المستخلصات'!$E$40)</f>
        <v/>
      </c>
      <c r="F55" s="51">
        <f>N('[3]سجل المستخلصات'!$F$40)</f>
        <v/>
      </c>
      <c r="G55" s="61">
        <f>IF(E55&gt;0,F55/E55,0)</f>
        <v/>
      </c>
    </row>
    <row r="56">
      <c r="B56" s="60">
        <f>IF('[3]سجل المستخلصات'!$B$41="","",'[3]سجل المستخلصات'!$B$41)</f>
        <v/>
      </c>
      <c r="C56" s="60" t="n"/>
      <c r="D56" s="60" t="n"/>
      <c r="E56" s="51">
        <f>N('[3]سجل المستخلصات'!$E$41)</f>
        <v/>
      </c>
      <c r="F56" s="51">
        <f>N('[3]سجل المستخلصات'!$F$41)</f>
        <v/>
      </c>
      <c r="G56" s="61">
        <f>IF(E56&gt;0,F56/E56,0)</f>
        <v/>
      </c>
    </row>
    <row r="57">
      <c r="B57" s="60">
        <f>IF('[3]سجل المستخلصات'!$B$42="","",'[3]سجل المستخلصات'!$B$42)</f>
        <v/>
      </c>
      <c r="C57" s="60" t="n"/>
      <c r="D57" s="60" t="n"/>
      <c r="E57" s="51">
        <f>N('[3]سجل المستخلصات'!$E$42)</f>
        <v/>
      </c>
      <c r="F57" s="51">
        <f>N('[3]سجل المستخلصات'!$F$42)</f>
        <v/>
      </c>
      <c r="G57" s="61">
        <f>IF(E57&gt;0,F57/E57,0)</f>
        <v/>
      </c>
    </row>
    <row r="58">
      <c r="B58" s="60">
        <f>IF('[3]سجل المستخلصات'!$B$43="","",'[3]سجل المستخلصات'!$B$43)</f>
        <v/>
      </c>
      <c r="C58" s="60" t="n"/>
      <c r="D58" s="60" t="n"/>
      <c r="E58" s="51">
        <f>N('[3]سجل المستخلصات'!$E$43)</f>
        <v/>
      </c>
      <c r="F58" s="51">
        <f>N('[3]سجل المستخلصات'!$F$43)</f>
        <v/>
      </c>
      <c r="G58" s="61">
        <f>IF(E58&gt;0,F58/E58,0)</f>
        <v/>
      </c>
    </row>
  </sheetData>
  <mergeCells count="76">
    <mergeCell ref="R17:U17"/>
    <mergeCell ref="B9:E9"/>
    <mergeCell ref="F9:I9"/>
    <mergeCell ref="B2:Y2"/>
    <mergeCell ref="N9:Q9"/>
    <mergeCell ref="B57:D57"/>
    <mergeCell ref="J12:M12"/>
    <mergeCell ref="B15:E15"/>
    <mergeCell ref="B53:D53"/>
    <mergeCell ref="M5:Q5"/>
    <mergeCell ref="B1:Y1"/>
    <mergeCell ref="S5:Y5"/>
    <mergeCell ref="N15:Q15"/>
    <mergeCell ref="J18:M18"/>
    <mergeCell ref="H5:K5"/>
    <mergeCell ref="F14:I14"/>
    <mergeCell ref="R18:U18"/>
    <mergeCell ref="R9:U9"/>
    <mergeCell ref="V18:Y18"/>
    <mergeCell ref="N3:R3"/>
    <mergeCell ref="R8:U8"/>
    <mergeCell ref="R14:U14"/>
    <mergeCell ref="J17:M17"/>
    <mergeCell ref="J8:M8"/>
    <mergeCell ref="V12:Y12"/>
    <mergeCell ref="F11:I11"/>
    <mergeCell ref="B49:D49"/>
    <mergeCell ref="C6:F6"/>
    <mergeCell ref="N11:Q11"/>
    <mergeCell ref="V17:Y17"/>
    <mergeCell ref="R11:U11"/>
    <mergeCell ref="J14:M14"/>
    <mergeCell ref="C5:F5"/>
    <mergeCell ref="B55:D55"/>
    <mergeCell ref="AA4:AB4"/>
    <mergeCell ref="B51:D51"/>
    <mergeCell ref="V14:Y14"/>
    <mergeCell ref="B18:E18"/>
    <mergeCell ref="V8:Y8"/>
    <mergeCell ref="S3:Y3"/>
    <mergeCell ref="J9:M9"/>
    <mergeCell ref="M6:Q6"/>
    <mergeCell ref="B20:Y20"/>
    <mergeCell ref="B12:E12"/>
    <mergeCell ref="F12:I12"/>
    <mergeCell ref="B45:G45"/>
    <mergeCell ref="H6:K6"/>
    <mergeCell ref="B50:D50"/>
    <mergeCell ref="B11:E11"/>
    <mergeCell ref="N12:Q12"/>
    <mergeCell ref="F15:I15"/>
    <mergeCell ref="R15:U15"/>
    <mergeCell ref="J15:M15"/>
    <mergeCell ref="B47:D47"/>
    <mergeCell ref="B54:D54"/>
    <mergeCell ref="B14:E14"/>
    <mergeCell ref="N18:Q18"/>
    <mergeCell ref="F18:I18"/>
    <mergeCell ref="B17:E17"/>
    <mergeCell ref="B8:E8"/>
    <mergeCell ref="V9:Y9"/>
    <mergeCell ref="N8:Q8"/>
    <mergeCell ref="N14:Q14"/>
    <mergeCell ref="F17:I17"/>
    <mergeCell ref="F8:I8"/>
    <mergeCell ref="R12:U12"/>
    <mergeCell ref="N17:Q17"/>
    <mergeCell ref="B46:D46"/>
    <mergeCell ref="J11:M11"/>
    <mergeCell ref="B56:D56"/>
    <mergeCell ref="B58:D58"/>
    <mergeCell ref="V15:Y15"/>
    <mergeCell ref="B52:D52"/>
    <mergeCell ref="V11:Y11"/>
    <mergeCell ref="B48:D48"/>
    <mergeCell ref="S6:Y6"/>
  </mergeCells>
  <conditionalFormatting sqref="M22:M41">
    <cfRule type="cellIs" priority="1" operator="lessThan" dxfId="0">
      <formula>-0.0001</formula>
    </cfRule>
  </conditionalFormatting>
  <conditionalFormatting sqref="Y22:Y41">
    <cfRule type="expression" priority="2" dxfId="1">
      <formula>ISNUMBER(SEARCH("✔",Y22))</formula>
    </cfRule>
    <cfRule type="expression" priority="3" dxfId="2">
      <formula>ISNUMBER(SEARCH("✖",Y22))</formula>
    </cfRule>
    <cfRule type="expression" priority="4" dxfId="3">
      <formula>ISNUMBER(SEARCH("⚠",Y22))</formula>
    </cfRule>
  </conditionalFormatting>
  <conditionalFormatting sqref="B22:Y41">
    <cfRule type="expression" priority="5" dxfId="4">
      <formula>$B22=$V$9</formula>
    </cfRule>
  </conditionalFormatting>
  <conditionalFormatting sqref="K22:K41">
    <cfRule type="dataBar" priority="6">
      <dataBar>
        <cfvo type="num" val="0"/>
        <cfvo type="num" val="1"/>
        <color rgb="0063BE7B"/>
      </dataBar>
    </cfRule>
  </conditionalFormatting>
  <conditionalFormatting sqref="V12">
    <cfRule type="expression" priority="7" dxfId="0">
      <formula>ISNUMBER(SEARCH("⚠",V12))</formula>
    </cfRule>
  </conditionalFormatting>
  <conditionalFormatting sqref="J12">
    <cfRule type="cellIs" priority="8" operator="lessThan" dxfId="0">
      <formula>0</formula>
    </cfRule>
  </conditionalFormatting>
  <conditionalFormatting sqref="G47:G58">
    <cfRule type="dataBar" priority="9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xmlns:r="http://schemas.openxmlformats.org/officeDocument/2006/relationships" ref="N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"&amp;IF('[4]بيانات العقد'!$C$5="","مشروع رقم 04 — غير مُفعّل",'[4]بيانات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مشروع 01</t>
        </is>
      </c>
      <c r="D3" s="4" t="inlineStr">
        <is>
          <t>مشروع 02</t>
        </is>
      </c>
      <c r="E3" s="4" t="inlineStr">
        <is>
          <t>مشروع 03</t>
        </is>
      </c>
      <c r="F3" s="10" t="inlineStr">
        <is>
          <t>مشروع 04</t>
        </is>
      </c>
      <c r="G3" s="4" t="inlineStr">
        <is>
          <t>مشروع 05</t>
        </is>
      </c>
      <c r="H3" s="4" t="inlineStr">
        <is>
          <t>مشروع 06</t>
        </is>
      </c>
      <c r="I3" s="4" t="inlineStr">
        <is>
          <t>مشروع 07</t>
        </is>
      </c>
      <c r="J3" s="4" t="inlineStr">
        <is>
          <t>مشروع 08</t>
        </is>
      </c>
      <c r="K3" s="4" t="inlineStr">
        <is>
          <t>مشروع 09</t>
        </is>
      </c>
      <c r="L3" s="4" t="inlineStr">
        <is>
          <t>مشروع 10</t>
        </is>
      </c>
      <c r="N3" s="11" t="inlineStr">
        <is>
          <t>📂 فتح ملف المستخلصات: IPC_Project_04.xlsx</t>
        </is>
      </c>
      <c r="O3" s="11" t="n"/>
      <c r="P3" s="11" t="n"/>
      <c r="Q3" s="11" t="n"/>
      <c r="R3" s="11" t="n"/>
      <c r="S3" s="12" t="inlineStr">
        <is>
          <t>يُحدَّث آلياً من ملف المستخلصات (تمكين المحتوى ← تحديث الروابط)</t>
        </is>
      </c>
      <c r="T3" s="12" t="n"/>
      <c r="U3" s="12" t="n"/>
      <c r="V3" s="12" t="n"/>
      <c r="W3" s="12" t="n"/>
      <c r="X3" s="12" t="n"/>
      <c r="Y3" s="12" t="n"/>
    </row>
    <row r="4">
      <c r="AA4" s="11" t="inlineStr">
        <is>
          <t>بيانات مرتبطة من ملف المستخلصات</t>
        </is>
      </c>
      <c r="AB4" s="11" t="n"/>
    </row>
    <row r="5" ht="22" customHeight="1">
      <c r="B5" s="9" t="inlineStr">
        <is>
          <t>المشروع</t>
        </is>
      </c>
      <c r="C5" s="13">
        <f>IF('[4]بيانات العقد'!$C$5="","",'[4]بيانات العقد'!$C$5)</f>
        <v/>
      </c>
      <c r="D5" s="13" t="n"/>
      <c r="E5" s="13" t="n"/>
      <c r="F5" s="13" t="n"/>
      <c r="G5" s="9" t="inlineStr">
        <is>
          <t>رقم العقد</t>
        </is>
      </c>
      <c r="H5" s="13">
        <f>IF('[4]بيانات العقد'!$C$6="","",'[4]بيانات العقد'!$C$6)</f>
        <v/>
      </c>
      <c r="I5" s="13" t="n"/>
      <c r="J5" s="13" t="n"/>
      <c r="K5" s="13" t="n"/>
      <c r="L5" s="9" t="inlineStr">
        <is>
          <t>صاحب العمل</t>
        </is>
      </c>
      <c r="M5" s="13">
        <f>IF('[4]بيانات العقد'!$C$7="","",'[4]بيانات العقد'!$C$7)</f>
        <v/>
      </c>
      <c r="N5" s="13" t="n"/>
      <c r="O5" s="13" t="n"/>
      <c r="P5" s="13" t="n"/>
      <c r="Q5" s="13" t="n"/>
      <c r="R5" s="9" t="inlineStr">
        <is>
          <t>الاستشاري</t>
        </is>
      </c>
      <c r="S5" s="13">
        <f>IF('[4]بيانات العقد'!$C$8="","",'[4]بيانات العقد'!$C$8)</f>
        <v/>
      </c>
      <c r="T5" s="13" t="n"/>
      <c r="U5" s="13" t="n"/>
      <c r="V5" s="13" t="n"/>
      <c r="W5" s="13" t="n"/>
      <c r="X5" s="13" t="n"/>
      <c r="Y5" s="13" t="n"/>
      <c r="AA5" s="14" t="inlineStr">
        <is>
          <t>قيمة العقد الأصلية</t>
        </is>
      </c>
      <c r="AB5" s="15">
        <f>N('[4]بيانات العقد'!$C$16)</f>
        <v/>
      </c>
    </row>
    <row r="6" ht="22" customHeight="1">
      <c r="B6" s="9" t="inlineStr">
        <is>
          <t>المقاول</t>
        </is>
      </c>
      <c r="C6" s="13">
        <f>IF('[4]بيانات العقد'!$C$9="","",'[4]بيانات العقد'!$C$9)</f>
        <v/>
      </c>
      <c r="D6" s="13" t="n"/>
      <c r="E6" s="13" t="n"/>
      <c r="F6" s="13" t="n"/>
      <c r="G6" s="9" t="inlineStr">
        <is>
          <t>تاريخ البدء</t>
        </is>
      </c>
      <c r="H6" s="16">
        <f>IF('[4]بيانات العقد'!$C$11="","",'[4]بيانات العقد'!$C$11)</f>
        <v/>
      </c>
      <c r="I6" s="16" t="n"/>
      <c r="J6" s="16" t="n"/>
      <c r="K6" s="16" t="n"/>
      <c r="L6" s="9" t="inlineStr">
        <is>
          <t>الانتهاء التعاقدي</t>
        </is>
      </c>
      <c r="M6" s="16">
        <f>IF('[4]بيانات العقد'!$C$13="","",'[4]بيانات العقد'!$C$13)</f>
        <v/>
      </c>
      <c r="N6" s="16" t="n"/>
      <c r="O6" s="16" t="n"/>
      <c r="P6" s="16" t="n"/>
      <c r="Q6" s="16" t="n"/>
      <c r="R6" s="9" t="inlineStr">
        <is>
          <t>العملة</t>
        </is>
      </c>
      <c r="S6" s="13">
        <f>IF('[4]بيانات العقد'!$C$14="","",'[4]بيانات العقد'!$C$14)</f>
        <v/>
      </c>
      <c r="T6" s="13" t="n"/>
      <c r="U6" s="13" t="n"/>
      <c r="V6" s="13" t="n"/>
      <c r="W6" s="13" t="n"/>
      <c r="X6" s="13" t="n"/>
      <c r="Y6" s="13" t="n"/>
      <c r="AA6" s="14" t="inlineStr">
        <is>
          <t>صافي التغييرية المعتمدة</t>
        </is>
      </c>
      <c r="AB6" s="15">
        <f>N('[4]بيانات العقد'!$C$17)</f>
        <v/>
      </c>
    </row>
    <row r="7">
      <c r="AA7" s="14" t="inlineStr">
        <is>
          <t>قيمة العقد المعدلة</t>
        </is>
      </c>
      <c r="AB7" s="15">
        <f>N('[4]بيانات العقد'!$C$18)</f>
        <v/>
      </c>
    </row>
    <row r="8" ht="24" customHeight="1">
      <c r="B8" s="17" t="inlineStr">
        <is>
          <t>قيمة العقد الأصلية</t>
        </is>
      </c>
      <c r="C8" s="17" t="n"/>
      <c r="D8" s="17" t="n"/>
      <c r="E8" s="17" t="n"/>
      <c r="F8" s="18" t="inlineStr">
        <is>
          <t>صافي الأوامر التغييرية</t>
        </is>
      </c>
      <c r="G8" s="18" t="n"/>
      <c r="H8" s="18" t="n"/>
      <c r="I8" s="18" t="n"/>
      <c r="J8" s="17" t="inlineStr">
        <is>
          <t>قيمة العقد المعدلة</t>
        </is>
      </c>
      <c r="K8" s="17" t="n"/>
      <c r="L8" s="17" t="n"/>
      <c r="M8" s="17" t="n"/>
      <c r="N8" s="19" t="inlineStr">
        <is>
          <t>إجمالي قيمة الأعمال التراكمية</t>
        </is>
      </c>
      <c r="O8" s="19" t="n"/>
      <c r="P8" s="19" t="n"/>
      <c r="Q8" s="19" t="n"/>
      <c r="R8" s="20" t="inlineStr">
        <is>
          <t>الأعمال المتبقية</t>
        </is>
      </c>
      <c r="S8" s="20" t="n"/>
      <c r="T8" s="20" t="n"/>
      <c r="U8" s="20" t="n"/>
      <c r="V8" s="21" t="inlineStr">
        <is>
          <t>آخر مستخلص فعال</t>
        </is>
      </c>
      <c r="W8" s="21" t="n"/>
      <c r="X8" s="21" t="n"/>
      <c r="Y8" s="21" t="n"/>
      <c r="AA8" s="14" t="inlineStr">
        <is>
          <t>نسبة الدفعة المقدمة</t>
        </is>
      </c>
      <c r="AB8" s="22">
        <f>N('[4]بيانات العقد'!$C$20)</f>
        <v/>
      </c>
    </row>
    <row r="9" ht="32" customHeight="1">
      <c r="B9" s="23">
        <f>$AB$5</f>
        <v/>
      </c>
      <c r="C9" s="23" t="n"/>
      <c r="D9" s="23" t="n"/>
      <c r="E9" s="23" t="n"/>
      <c r="F9" s="24">
        <f>$AB$6</f>
        <v/>
      </c>
      <c r="G9" s="24" t="n"/>
      <c r="H9" s="24" t="n"/>
      <c r="I9" s="24" t="n"/>
      <c r="J9" s="23">
        <f>$AB$7</f>
        <v/>
      </c>
      <c r="K9" s="23" t="n"/>
      <c r="L9" s="23" t="n"/>
      <c r="M9" s="23" t="n"/>
      <c r="N9" s="25">
        <f>IF($V$9=0,0,N(INDEX($J$22:$J$41,$V$9)))</f>
        <v/>
      </c>
      <c r="O9" s="25" t="n"/>
      <c r="P9" s="25" t="n"/>
      <c r="Q9" s="25" t="n"/>
      <c r="R9" s="26">
        <f>MAX(0,$AB$7-IF($V$9=0,0,N(INDEX($G$22:$G$41,$V$9)))-IF($V$9=0,0,N(INDEX($H$22:$H$41,$V$9))))</f>
        <v/>
      </c>
      <c r="S9" s="26" t="n"/>
      <c r="T9" s="26" t="n"/>
      <c r="U9" s="26" t="n"/>
      <c r="V9" s="27">
        <f>SUMPRODUCT(MAX((C22:C41&lt;&gt;"")*B22:B41))</f>
        <v/>
      </c>
      <c r="W9" s="27" t="n"/>
      <c r="X9" s="27" t="n"/>
      <c r="Y9" s="27" t="n"/>
      <c r="AA9" s="14" t="inlineStr">
        <is>
          <t>قيمة الدفعة المقدمة</t>
        </is>
      </c>
      <c r="AB9" s="15">
        <f>N('[4]بيانات العقد'!$C$21)</f>
        <v/>
      </c>
    </row>
    <row r="10">
      <c r="AA10" s="14" t="inlineStr">
        <is>
          <t>نسبة ضمان الأعمال</t>
        </is>
      </c>
      <c r="AB10" s="22">
        <f>N('[4]بيانات العقد'!$C$27)</f>
        <v/>
      </c>
    </row>
    <row r="11" ht="24" customHeight="1">
      <c r="B11" s="19" t="inlineStr">
        <is>
          <t>نسبة الإنجاز الفعلية</t>
        </is>
      </c>
      <c r="C11" s="19" t="n"/>
      <c r="D11" s="19" t="n"/>
      <c r="E11" s="19" t="n"/>
      <c r="F11" s="17" t="inlineStr">
        <is>
          <t>نسبة الإنجاز المخططة</t>
        </is>
      </c>
      <c r="G11" s="17" t="n"/>
      <c r="H11" s="17" t="n"/>
      <c r="I11" s="17" t="n"/>
      <c r="J11" s="21" t="inlineStr">
        <is>
          <t>الانحراف (فعلي - مخطط)</t>
        </is>
      </c>
      <c r="K11" s="21" t="n"/>
      <c r="L11" s="21" t="n"/>
      <c r="M11" s="21" t="n"/>
      <c r="N11" s="20" t="inlineStr">
        <is>
          <t>نسبة المدة المنقضية</t>
        </is>
      </c>
      <c r="O11" s="20" t="n"/>
      <c r="P11" s="20" t="n"/>
      <c r="Q11" s="20" t="n"/>
      <c r="R11" s="17" t="inlineStr">
        <is>
          <t>مؤشر أداء الجدول (SPI)</t>
        </is>
      </c>
      <c r="S11" s="17" t="n"/>
      <c r="T11" s="17" t="n"/>
      <c r="U11" s="17" t="n"/>
      <c r="V11" s="17" t="inlineStr">
        <is>
          <t>حالة المشروع</t>
        </is>
      </c>
      <c r="W11" s="17" t="n"/>
      <c r="X11" s="17" t="n"/>
      <c r="Y11" s="17" t="n"/>
      <c r="AA11" s="14" t="inlineStr">
        <is>
          <t>الحد الأقصى للضمان</t>
        </is>
      </c>
      <c r="AB11" s="15">
        <f>N('[4]بيانات العقد'!$C$29)</f>
        <v/>
      </c>
    </row>
    <row r="12" ht="32" customHeight="1">
      <c r="B12" s="28">
        <f>IF($V$9=0,0,N(INDEX($K$22:$K$41,$V$9)))</f>
        <v/>
      </c>
      <c r="C12" s="28" t="n"/>
      <c r="D12" s="28" t="n"/>
      <c r="E12" s="28" t="n"/>
      <c r="F12" s="29">
        <f>IF($V$9=0,0,N(INDEX($L$22:$L$41,$V$9)))</f>
        <v/>
      </c>
      <c r="G12" s="29" t="n"/>
      <c r="H12" s="29" t="n"/>
      <c r="I12" s="29" t="n"/>
      <c r="J12" s="30">
        <f>B12-F12</f>
        <v/>
      </c>
      <c r="K12" s="30" t="n"/>
      <c r="L12" s="30" t="n"/>
      <c r="M12" s="30" t="n"/>
      <c r="N12" s="31">
        <f>IF(OR($V$9=0,$AB$14="",$AB$15=""),0,MIN(1,MAX(0,(INDEX(C22:C41,$V$9)-$AB$14+1)/($AB$15-$AB$14+1))))</f>
        <v/>
      </c>
      <c r="O12" s="31" t="n"/>
      <c r="P12" s="31" t="n"/>
      <c r="Q12" s="31" t="n"/>
      <c r="R12" s="32">
        <f>IF(F12&gt;0,B12/F12,0)</f>
        <v/>
      </c>
      <c r="S12" s="32" t="n"/>
      <c r="T12" s="32" t="n"/>
      <c r="U12" s="32" t="n"/>
      <c r="V12" s="33">
        <f>IF($AB$7=0,"غير مُفعّل",IF($V$9=0,"لم يبدأ الصرف",IF(J12&lt;-0.05,"⚠ متأخر",IF(J12&lt;0,"متأخر قليلاً","✔ مطابق / متقدم"))))</f>
        <v/>
      </c>
      <c r="W12" s="33" t="n"/>
      <c r="X12" s="33" t="n"/>
      <c r="Y12" s="33" t="n"/>
      <c r="AA12" s="14" t="inlineStr">
        <is>
          <t>ضريبة القيمة المضافة</t>
        </is>
      </c>
      <c r="AB12" s="22">
        <f>N('[4]بيانات العقد'!$C$31)</f>
        <v/>
      </c>
    </row>
    <row r="13">
      <c r="AA13" s="14" t="inlineStr">
        <is>
          <t>ضريبة الخصم من المنبع</t>
        </is>
      </c>
      <c r="AB13" s="22">
        <f>N('[4]بيانات العقد'!$C$33)</f>
        <v/>
      </c>
    </row>
    <row r="14" ht="24" customHeight="1">
      <c r="B14" s="17" t="inlineStr">
        <is>
          <t>صافي المستحق التراكمي</t>
        </is>
      </c>
      <c r="C14" s="17" t="n"/>
      <c r="D14" s="17" t="n"/>
      <c r="E14" s="17" t="n"/>
      <c r="F14" s="34" t="inlineStr">
        <is>
          <t>إجمالي المحصل</t>
        </is>
      </c>
      <c r="G14" s="34" t="n"/>
      <c r="H14" s="34" t="n"/>
      <c r="I14" s="34" t="n"/>
      <c r="J14" s="35" t="inlineStr">
        <is>
          <t>مستحقات غير محصلة</t>
        </is>
      </c>
      <c r="K14" s="35" t="n"/>
      <c r="L14" s="35" t="n"/>
      <c r="M14" s="35" t="n"/>
      <c r="N14" s="34" t="inlineStr">
        <is>
          <t>نسبة التحصيل</t>
        </is>
      </c>
      <c r="O14" s="34" t="n"/>
      <c r="P14" s="34" t="n"/>
      <c r="Q14" s="34" t="n"/>
      <c r="R14" s="20" t="inlineStr">
        <is>
          <t>متوسط مدة التحصيل (يوم)</t>
        </is>
      </c>
      <c r="S14" s="20" t="n"/>
      <c r="T14" s="20" t="n"/>
      <c r="U14" s="20" t="n"/>
      <c r="V14" s="21" t="inlineStr">
        <is>
          <t>تاريخ آخر مستخلص</t>
        </is>
      </c>
      <c r="W14" s="21" t="n"/>
      <c r="X14" s="21" t="n"/>
      <c r="Y14" s="21" t="n"/>
      <c r="AA14" s="14" t="inlineStr">
        <is>
          <t>تاريخ البدء</t>
        </is>
      </c>
      <c r="AB14" s="36">
        <f>IF('[4]بيانات العقد'!$C$11="","",'[4]بيانات العقد'!$C$11)</f>
        <v/>
      </c>
    </row>
    <row r="15" ht="32" customHeight="1">
      <c r="B15" s="23">
        <f>IF($V$9=0,0,N(INDEX($T$22:$T$41,$V$9)))</f>
        <v/>
      </c>
      <c r="C15" s="23" t="n"/>
      <c r="D15" s="23" t="n"/>
      <c r="E15" s="23" t="n"/>
      <c r="F15" s="37">
        <f>V42</f>
        <v/>
      </c>
      <c r="G15" s="37" t="n"/>
      <c r="H15" s="37" t="n"/>
      <c r="I15" s="37" t="n"/>
      <c r="J15" s="38">
        <f>W42</f>
        <v/>
      </c>
      <c r="K15" s="38" t="n"/>
      <c r="L15" s="38" t="n"/>
      <c r="M15" s="38" t="n"/>
      <c r="N15" s="39">
        <f>IF(B15&gt;0,F15/B15,0)</f>
        <v/>
      </c>
      <c r="O15" s="39" t="n"/>
      <c r="P15" s="39" t="n"/>
      <c r="Q15" s="39" t="n"/>
      <c r="R15" s="40">
        <f>X42</f>
        <v/>
      </c>
      <c r="S15" s="40" t="n"/>
      <c r="T15" s="40" t="n"/>
      <c r="U15" s="40" t="n"/>
      <c r="V15" s="41">
        <f>IF($V$9=0,"",INDEX(C22:C41,$V$9))</f>
        <v/>
      </c>
      <c r="W15" s="41" t="n"/>
      <c r="X15" s="41" t="n"/>
      <c r="Y15" s="41" t="n"/>
      <c r="AA15" s="14" t="inlineStr">
        <is>
          <t>تاريخ الانتهاء التعاقدي</t>
        </is>
      </c>
      <c r="AB15" s="36">
        <f>IF('[4]بيانات العقد'!$C$13="","",'[4]بيانات العقد'!$C$13)</f>
        <v/>
      </c>
    </row>
    <row r="16">
      <c r="AA16" s="14" t="inlineStr">
        <is>
          <t>المدة (شهر)</t>
        </is>
      </c>
      <c r="AB16" s="42">
        <f>IF('[4]بيانات العقد'!$C$12="","",'[4]بيانات العقد'!$C$12)</f>
        <v/>
      </c>
    </row>
    <row r="17" ht="24" customHeight="1">
      <c r="B17" s="43" t="inlineStr">
        <is>
          <t>ضمان الأعمال المحتجز</t>
        </is>
      </c>
      <c r="C17" s="43" t="n"/>
      <c r="D17" s="43" t="n"/>
      <c r="E17" s="43" t="n"/>
      <c r="F17" s="43" t="inlineStr">
        <is>
          <t>رصيد الدفعة المقدمة غير المسترد</t>
        </is>
      </c>
      <c r="G17" s="43" t="n"/>
      <c r="H17" s="43" t="n"/>
      <c r="I17" s="43" t="n"/>
      <c r="J17" s="43" t="inlineStr">
        <is>
          <t>الاستقطاعات الفنية المحتجزة</t>
        </is>
      </c>
      <c r="K17" s="43" t="n"/>
      <c r="L17" s="43" t="n"/>
      <c r="M17" s="43" t="n"/>
      <c r="N17" s="43" t="inlineStr">
        <is>
          <t>الغرامات والخصومات</t>
        </is>
      </c>
      <c r="O17" s="43" t="n"/>
      <c r="P17" s="43" t="n"/>
      <c r="Q17" s="43" t="n"/>
      <c r="R17" s="19" t="inlineStr">
        <is>
          <t>مستحق آخر مستخلص</t>
        </is>
      </c>
      <c r="S17" s="19" t="n"/>
      <c r="T17" s="19" t="n"/>
      <c r="U17" s="19" t="n"/>
      <c r="V17" s="17" t="inlineStr">
        <is>
          <t>عدد المستخلصات المعتمدة</t>
        </is>
      </c>
      <c r="W17" s="17" t="n"/>
      <c r="X17" s="17" t="n"/>
      <c r="Y17" s="17" t="n"/>
    </row>
    <row r="18" ht="32" customHeight="1">
      <c r="B18" s="44">
        <f>IF($V$9=0,0,N(INDEX($O$22:$O$41,$V$9)))</f>
        <v/>
      </c>
      <c r="C18" s="44" t="n"/>
      <c r="D18" s="44" t="n"/>
      <c r="E18" s="44" t="n"/>
      <c r="F18" s="44">
        <f>MAX(0,$AB$9-IF($V$9=0,0,N(INDEX($N$22:$N$41,$V$9))))</f>
        <v/>
      </c>
      <c r="G18" s="44" t="n"/>
      <c r="H18" s="44" t="n"/>
      <c r="I18" s="44" t="n"/>
      <c r="J18" s="44">
        <f>IF($V$9=0,0,N(INDEX($P$22:$P$41,$V$9)))</f>
        <v/>
      </c>
      <c r="K18" s="44" t="n"/>
      <c r="L18" s="44" t="n"/>
      <c r="M18" s="44" t="n"/>
      <c r="N18" s="44">
        <f>IF($V$9=0,0,N(INDEX($Q$22:$Q$41,$V$9)))</f>
        <v/>
      </c>
      <c r="O18" s="44" t="n"/>
      <c r="P18" s="44" t="n"/>
      <c r="Q18" s="44" t="n"/>
      <c r="R18" s="25">
        <f>IF($V$9=0,0,N(INDEX($U$22:$U$41,$V$9)))</f>
        <v/>
      </c>
      <c r="S18" s="25" t="n"/>
      <c r="T18" s="25" t="n"/>
      <c r="U18" s="25" t="n"/>
      <c r="V18" s="45">
        <f>COUNTIF(E22:E41,"معتمد")</f>
        <v/>
      </c>
      <c r="W18" s="45" t="n"/>
      <c r="X18" s="45" t="n"/>
      <c r="Y18" s="45" t="n"/>
    </row>
    <row r="20">
      <c r="B20" s="46" t="inlineStr">
        <is>
          <t>سجل المستخلصات (مرتبط)</t>
        </is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</row>
    <row r="21" ht="48" customHeight="1">
      <c r="B21" s="47" t="inlineStr">
        <is>
          <t>رقم المستخلص</t>
        </is>
      </c>
      <c r="C21" s="47" t="inlineStr">
        <is>
          <t>الفترة إلى</t>
        </is>
      </c>
      <c r="D21" s="47" t="inlineStr">
        <is>
          <t>تاريخ الاعتماد</t>
        </is>
      </c>
      <c r="E21" s="47" t="inlineStr">
        <is>
          <t>حالة المستخلص</t>
        </is>
      </c>
      <c r="F21" s="47" t="inlineStr">
        <is>
          <t>أعمال الفترة</t>
        </is>
      </c>
      <c r="G21" s="47" t="inlineStr">
        <is>
          <t>الأعمال المنفذة التراكمية</t>
        </is>
      </c>
      <c r="H21" s="47" t="inlineStr">
        <is>
          <t>التغييرية التراكمية</t>
        </is>
      </c>
      <c r="I21" s="47" t="inlineStr">
        <is>
          <t>رصيد المواد بالموقع</t>
        </is>
      </c>
      <c r="J21" s="47" t="inlineStr">
        <is>
          <t>إجمالي القيمة التراكمية</t>
        </is>
      </c>
      <c r="K21" s="47" t="inlineStr">
        <is>
          <t>نسبة الإنجاز الفعلية</t>
        </is>
      </c>
      <c r="L21" s="47" t="inlineStr">
        <is>
          <t>نسبة الإنجاز المخططة</t>
        </is>
      </c>
      <c r="M21" s="47" t="inlineStr">
        <is>
          <t>الانحراف</t>
        </is>
      </c>
      <c r="N21" s="47" t="inlineStr">
        <is>
          <t>استرداد الدفعة المقدمة</t>
        </is>
      </c>
      <c r="O21" s="47" t="inlineStr">
        <is>
          <t>صافي الضمان المحتجز</t>
        </is>
      </c>
      <c r="P21" s="47" t="inlineStr">
        <is>
          <t>الاستقطاعات الفنية</t>
        </is>
      </c>
      <c r="Q21" s="47" t="inlineStr">
        <is>
          <t>الغرامات والخصومات</t>
        </is>
      </c>
      <c r="R21" s="47" t="inlineStr">
        <is>
          <t>ضريبة القيمة المضافة</t>
        </is>
      </c>
      <c r="S21" s="47" t="inlineStr">
        <is>
          <t>ضريبة الخصم من المنبع</t>
        </is>
      </c>
      <c r="T21" s="47" t="inlineStr">
        <is>
          <t>صافي المستحق التراكمي</t>
        </is>
      </c>
      <c r="U21" s="47" t="inlineStr">
        <is>
          <t>المستحق للمستخلص الحالي</t>
        </is>
      </c>
      <c r="V21" s="47" t="inlineStr">
        <is>
          <t>المحصل</t>
        </is>
      </c>
      <c r="W21" s="47" t="inlineStr">
        <is>
          <t>المتبقي</t>
        </is>
      </c>
      <c r="X21" s="47" t="inlineStr">
        <is>
          <t>مدة التحصيل (يوم)</t>
        </is>
      </c>
      <c r="Y21" s="47" t="inlineStr">
        <is>
          <t>حالة التحصيل</t>
        </is>
      </c>
    </row>
    <row r="22">
      <c r="B22" s="48" t="n">
        <v>1</v>
      </c>
      <c r="C22" s="49">
        <f>IF('[4]سجل المستخلصات'!$C$6="","",'[4]سجل المستخلصات'!$C$6)</f>
        <v/>
      </c>
      <c r="D22" s="49">
        <f>IF('[4]سجل المستخلصات'!$E$6="","",'[4]سجل المستخلصات'!$E$6)</f>
        <v/>
      </c>
      <c r="E22" s="50">
        <f>IF('[4]سجل المستخلصات'!$F$6="","",'[4]سجل المستخلصات'!$F$6)</f>
        <v/>
      </c>
      <c r="F22" s="51">
        <f>IF('[4]سجل المستخلصات'!$H$6="","",'[4]سجل المستخلصات'!$H$6)</f>
        <v/>
      </c>
      <c r="G22" s="51">
        <f>IF('[4]سجل المستخلصات'!$G$6="","",'[4]سجل المستخلصات'!$G$6)</f>
        <v/>
      </c>
      <c r="H22" s="51">
        <f>IF('[4]سجل المستخلصات'!$I$6="","",'[4]سجل المستخلصات'!$I$6)</f>
        <v/>
      </c>
      <c r="I22" s="51">
        <f>IF('[4]سجل المستخلصات'!$J$6="","",'[4]سجل المستخلصات'!$J$6)</f>
        <v/>
      </c>
      <c r="J22" s="51">
        <f>IF('[4]سجل المستخلصات'!$K$6="","",'[4]سجل المستخلصات'!$K$6)</f>
        <v/>
      </c>
      <c r="K22" s="52">
        <f>IF('[4]سجل المستخلصات'!$L$6="","",'[4]سجل المستخلصات'!$L$6)</f>
        <v/>
      </c>
      <c r="L22" s="52">
        <f>IF('[4]سجل المستخلصات'!$M$6="","",'[4]سجل المستخلصات'!$M$6)</f>
        <v/>
      </c>
      <c r="M22" s="52">
        <f>IF('[4]سجل المستخلصات'!$N$6="","",'[4]سجل المستخلصات'!$N$6)</f>
        <v/>
      </c>
      <c r="N22" s="51">
        <f>IF('[4]سجل المستخلصات'!$O$6="","",'[4]سجل المستخلصات'!$O$6)</f>
        <v/>
      </c>
      <c r="O22" s="51">
        <f>IF('[4]سجل المستخلصات'!$R$6="","",'[4]سجل المستخلصات'!$R$6)</f>
        <v/>
      </c>
      <c r="P22" s="51">
        <f>IF('[4]سجل المستخلصات'!$S$6="","",'[4]سجل المستخلصات'!$S$6)</f>
        <v/>
      </c>
      <c r="Q22" s="51">
        <f>IF('[4]سجل المستخلصات'!$T$6="","",'[4]سجل المستخلصات'!$T$6)</f>
        <v/>
      </c>
      <c r="R22" s="51">
        <f>IF('[4]سجل المستخلصات'!$V$6="","",'[4]سجل المستخلصات'!$V$6)</f>
        <v/>
      </c>
      <c r="S22" s="51">
        <f>IF('[4]سجل المستخلصات'!$W$6="","",'[4]سجل المستخلصات'!$W$6)</f>
        <v/>
      </c>
      <c r="T22" s="53">
        <f>IF('[4]سجل المستخلصات'!$X$6="","",'[4]سجل المستخلصات'!$X$6)</f>
        <v/>
      </c>
      <c r="U22" s="53">
        <f>IF('[4]سجل المستخلصات'!$Z$6="","",'[4]سجل المستخلصات'!$Z$6)</f>
        <v/>
      </c>
      <c r="V22" s="51">
        <f>IF('[4]سجل المستخلصات'!$AA$6="","",'[4]سجل المستخلصات'!$AA$6)</f>
        <v/>
      </c>
      <c r="W22" s="51">
        <f>IF('[4]سجل المستخلصات'!$AC$6="","",'[4]سجل المستخلصات'!$AC$6)</f>
        <v/>
      </c>
      <c r="X22" s="54">
        <f>IF('[4]سجل المستخلصات'!$AD$6="","",'[4]سجل المستخلصات'!$AD$6)</f>
        <v/>
      </c>
      <c r="Y22" s="50">
        <f>IF('[4]سجل المستخلصات'!$AE$6="","",'[4]سجل المستخلصات'!$AE$6)</f>
        <v/>
      </c>
    </row>
    <row r="23">
      <c r="B23" s="48" t="n">
        <v>2</v>
      </c>
      <c r="C23" s="49">
        <f>IF('[4]سجل المستخلصات'!$C$7="","",'[4]سجل المستخلصات'!$C$7)</f>
        <v/>
      </c>
      <c r="D23" s="49">
        <f>IF('[4]سجل المستخلصات'!$E$7="","",'[4]سجل المستخلصات'!$E$7)</f>
        <v/>
      </c>
      <c r="E23" s="50">
        <f>IF('[4]سجل المستخلصات'!$F$7="","",'[4]سجل المستخلصات'!$F$7)</f>
        <v/>
      </c>
      <c r="F23" s="51">
        <f>IF('[4]سجل المستخلصات'!$H$7="","",'[4]سجل المستخلصات'!$H$7)</f>
        <v/>
      </c>
      <c r="G23" s="51">
        <f>IF('[4]سجل المستخلصات'!$G$7="","",'[4]سجل المستخلصات'!$G$7)</f>
        <v/>
      </c>
      <c r="H23" s="51">
        <f>IF('[4]سجل المستخلصات'!$I$7="","",'[4]سجل المستخلصات'!$I$7)</f>
        <v/>
      </c>
      <c r="I23" s="51">
        <f>IF('[4]سجل المستخلصات'!$J$7="","",'[4]سجل المستخلصات'!$J$7)</f>
        <v/>
      </c>
      <c r="J23" s="51">
        <f>IF('[4]سجل المستخلصات'!$K$7="","",'[4]سجل المستخلصات'!$K$7)</f>
        <v/>
      </c>
      <c r="K23" s="52">
        <f>IF('[4]سجل المستخلصات'!$L$7="","",'[4]سجل المستخلصات'!$L$7)</f>
        <v/>
      </c>
      <c r="L23" s="52">
        <f>IF('[4]سجل المستخلصات'!$M$7="","",'[4]سجل المستخلصات'!$M$7)</f>
        <v/>
      </c>
      <c r="M23" s="52">
        <f>IF('[4]سجل المستخلصات'!$N$7="","",'[4]سجل المستخلصات'!$N$7)</f>
        <v/>
      </c>
      <c r="N23" s="51">
        <f>IF('[4]سجل المستخلصات'!$O$7="","",'[4]سجل المستخلصات'!$O$7)</f>
        <v/>
      </c>
      <c r="O23" s="51">
        <f>IF('[4]سجل المستخلصات'!$R$7="","",'[4]سجل المستخلصات'!$R$7)</f>
        <v/>
      </c>
      <c r="P23" s="51">
        <f>IF('[4]سجل المستخلصات'!$S$7="","",'[4]سجل المستخلصات'!$S$7)</f>
        <v/>
      </c>
      <c r="Q23" s="51">
        <f>IF('[4]سجل المستخلصات'!$T$7="","",'[4]سجل المستخلصات'!$T$7)</f>
        <v/>
      </c>
      <c r="R23" s="51">
        <f>IF('[4]سجل المستخلصات'!$V$7="","",'[4]سجل المستخلصات'!$V$7)</f>
        <v/>
      </c>
      <c r="S23" s="51">
        <f>IF('[4]سجل المستخلصات'!$W$7="","",'[4]سجل المستخلصات'!$W$7)</f>
        <v/>
      </c>
      <c r="T23" s="53">
        <f>IF('[4]سجل المستخلصات'!$X$7="","",'[4]سجل المستخلصات'!$X$7)</f>
        <v/>
      </c>
      <c r="U23" s="53">
        <f>IF('[4]سجل المستخلصات'!$Z$7="","",'[4]سجل المستخلصات'!$Z$7)</f>
        <v/>
      </c>
      <c r="V23" s="51">
        <f>IF('[4]سجل المستخلصات'!$AA$7="","",'[4]سجل المستخلصات'!$AA$7)</f>
        <v/>
      </c>
      <c r="W23" s="51">
        <f>IF('[4]سجل المستخلصات'!$AC$7="","",'[4]سجل المستخلصات'!$AC$7)</f>
        <v/>
      </c>
      <c r="X23" s="54">
        <f>IF('[4]سجل المستخلصات'!$AD$7="","",'[4]سجل المستخلصات'!$AD$7)</f>
        <v/>
      </c>
      <c r="Y23" s="50">
        <f>IF('[4]سجل المستخلصات'!$AE$7="","",'[4]سجل المستخلصات'!$AE$7)</f>
        <v/>
      </c>
    </row>
    <row r="24">
      <c r="B24" s="48" t="n">
        <v>3</v>
      </c>
      <c r="C24" s="49">
        <f>IF('[4]سجل المستخلصات'!$C$8="","",'[4]سجل المستخلصات'!$C$8)</f>
        <v/>
      </c>
      <c r="D24" s="49">
        <f>IF('[4]سجل المستخلصات'!$E$8="","",'[4]سجل المستخلصات'!$E$8)</f>
        <v/>
      </c>
      <c r="E24" s="50">
        <f>IF('[4]سجل المستخلصات'!$F$8="","",'[4]سجل المستخلصات'!$F$8)</f>
        <v/>
      </c>
      <c r="F24" s="51">
        <f>IF('[4]سجل المستخلصات'!$H$8="","",'[4]سجل المستخلصات'!$H$8)</f>
        <v/>
      </c>
      <c r="G24" s="51">
        <f>IF('[4]سجل المستخلصات'!$G$8="","",'[4]سجل المستخلصات'!$G$8)</f>
        <v/>
      </c>
      <c r="H24" s="51">
        <f>IF('[4]سجل المستخلصات'!$I$8="","",'[4]سجل المستخلصات'!$I$8)</f>
        <v/>
      </c>
      <c r="I24" s="51">
        <f>IF('[4]سجل المستخلصات'!$J$8="","",'[4]سجل المستخلصات'!$J$8)</f>
        <v/>
      </c>
      <c r="J24" s="51">
        <f>IF('[4]سجل المستخلصات'!$K$8="","",'[4]سجل المستخلصات'!$K$8)</f>
        <v/>
      </c>
      <c r="K24" s="52">
        <f>IF('[4]سجل المستخلصات'!$L$8="","",'[4]سجل المستخلصات'!$L$8)</f>
        <v/>
      </c>
      <c r="L24" s="52">
        <f>IF('[4]سجل المستخلصات'!$M$8="","",'[4]سجل المستخلصات'!$M$8)</f>
        <v/>
      </c>
      <c r="M24" s="52">
        <f>IF('[4]سجل المستخلصات'!$N$8="","",'[4]سجل المستخلصات'!$N$8)</f>
        <v/>
      </c>
      <c r="N24" s="51">
        <f>IF('[4]سجل المستخلصات'!$O$8="","",'[4]سجل المستخلصات'!$O$8)</f>
        <v/>
      </c>
      <c r="O24" s="51">
        <f>IF('[4]سجل المستخلصات'!$R$8="","",'[4]سجل المستخلصات'!$R$8)</f>
        <v/>
      </c>
      <c r="P24" s="51">
        <f>IF('[4]سجل المستخلصات'!$S$8="","",'[4]سجل المستخلصات'!$S$8)</f>
        <v/>
      </c>
      <c r="Q24" s="51">
        <f>IF('[4]سجل المستخلصات'!$T$8="","",'[4]سجل المستخلصات'!$T$8)</f>
        <v/>
      </c>
      <c r="R24" s="51">
        <f>IF('[4]سجل المستخلصات'!$V$8="","",'[4]سجل المستخلصات'!$V$8)</f>
        <v/>
      </c>
      <c r="S24" s="51">
        <f>IF('[4]سجل المستخلصات'!$W$8="","",'[4]سجل المستخلصات'!$W$8)</f>
        <v/>
      </c>
      <c r="T24" s="53">
        <f>IF('[4]سجل المستخلصات'!$X$8="","",'[4]سجل المستخلصات'!$X$8)</f>
        <v/>
      </c>
      <c r="U24" s="53">
        <f>IF('[4]سجل المستخلصات'!$Z$8="","",'[4]سجل المستخلصات'!$Z$8)</f>
        <v/>
      </c>
      <c r="V24" s="51">
        <f>IF('[4]سجل المستخلصات'!$AA$8="","",'[4]سجل المستخلصات'!$AA$8)</f>
        <v/>
      </c>
      <c r="W24" s="51">
        <f>IF('[4]سجل المستخلصات'!$AC$8="","",'[4]سجل المستخلصات'!$AC$8)</f>
        <v/>
      </c>
      <c r="X24" s="54">
        <f>IF('[4]سجل المستخلصات'!$AD$8="","",'[4]سجل المستخلصات'!$AD$8)</f>
        <v/>
      </c>
      <c r="Y24" s="50">
        <f>IF('[4]سجل المستخلصات'!$AE$8="","",'[4]سجل المستخلصات'!$AE$8)</f>
        <v/>
      </c>
    </row>
    <row r="25">
      <c r="B25" s="48" t="n">
        <v>4</v>
      </c>
      <c r="C25" s="49">
        <f>IF('[4]سجل المستخلصات'!$C$9="","",'[4]سجل المستخلصات'!$C$9)</f>
        <v/>
      </c>
      <c r="D25" s="49">
        <f>IF('[4]سجل المستخلصات'!$E$9="","",'[4]سجل المستخلصات'!$E$9)</f>
        <v/>
      </c>
      <c r="E25" s="50">
        <f>IF('[4]سجل المستخلصات'!$F$9="","",'[4]سجل المستخلصات'!$F$9)</f>
        <v/>
      </c>
      <c r="F25" s="51">
        <f>IF('[4]سجل المستخلصات'!$H$9="","",'[4]سجل المستخلصات'!$H$9)</f>
        <v/>
      </c>
      <c r="G25" s="51">
        <f>IF('[4]سجل المستخلصات'!$G$9="","",'[4]سجل المستخلصات'!$G$9)</f>
        <v/>
      </c>
      <c r="H25" s="51">
        <f>IF('[4]سجل المستخلصات'!$I$9="","",'[4]سجل المستخلصات'!$I$9)</f>
        <v/>
      </c>
      <c r="I25" s="51">
        <f>IF('[4]سجل المستخلصات'!$J$9="","",'[4]سجل المستخلصات'!$J$9)</f>
        <v/>
      </c>
      <c r="J25" s="51">
        <f>IF('[4]سجل المستخلصات'!$K$9="","",'[4]سجل المستخلصات'!$K$9)</f>
        <v/>
      </c>
      <c r="K25" s="52">
        <f>IF('[4]سجل المستخلصات'!$L$9="","",'[4]سجل المستخلصات'!$L$9)</f>
        <v/>
      </c>
      <c r="L25" s="52">
        <f>IF('[4]سجل المستخلصات'!$M$9="","",'[4]سجل المستخلصات'!$M$9)</f>
        <v/>
      </c>
      <c r="M25" s="52">
        <f>IF('[4]سجل المستخلصات'!$N$9="","",'[4]سجل المستخلصات'!$N$9)</f>
        <v/>
      </c>
      <c r="N25" s="51">
        <f>IF('[4]سجل المستخلصات'!$O$9="","",'[4]سجل المستخلصات'!$O$9)</f>
        <v/>
      </c>
      <c r="O25" s="51">
        <f>IF('[4]سجل المستخلصات'!$R$9="","",'[4]سجل المستخلصات'!$R$9)</f>
        <v/>
      </c>
      <c r="P25" s="51">
        <f>IF('[4]سجل المستخلصات'!$S$9="","",'[4]سجل المستخلصات'!$S$9)</f>
        <v/>
      </c>
      <c r="Q25" s="51">
        <f>IF('[4]سجل المستخلصات'!$T$9="","",'[4]سجل المستخلصات'!$T$9)</f>
        <v/>
      </c>
      <c r="R25" s="51">
        <f>IF('[4]سجل المستخلصات'!$V$9="","",'[4]سجل المستخلصات'!$V$9)</f>
        <v/>
      </c>
      <c r="S25" s="51">
        <f>IF('[4]سجل المستخلصات'!$W$9="","",'[4]سجل المستخلصات'!$W$9)</f>
        <v/>
      </c>
      <c r="T25" s="53">
        <f>IF('[4]سجل المستخلصات'!$X$9="","",'[4]سجل المستخلصات'!$X$9)</f>
        <v/>
      </c>
      <c r="U25" s="53">
        <f>IF('[4]سجل المستخلصات'!$Z$9="","",'[4]سجل المستخلصات'!$Z$9)</f>
        <v/>
      </c>
      <c r="V25" s="51">
        <f>IF('[4]سجل المستخلصات'!$AA$9="","",'[4]سجل المستخلصات'!$AA$9)</f>
        <v/>
      </c>
      <c r="W25" s="51">
        <f>IF('[4]سجل المستخلصات'!$AC$9="","",'[4]سجل المستخلصات'!$AC$9)</f>
        <v/>
      </c>
      <c r="X25" s="54">
        <f>IF('[4]سجل المستخلصات'!$AD$9="","",'[4]سجل المستخلصات'!$AD$9)</f>
        <v/>
      </c>
      <c r="Y25" s="50">
        <f>IF('[4]سجل المستخلصات'!$AE$9="","",'[4]سجل المستخلصات'!$AE$9)</f>
        <v/>
      </c>
    </row>
    <row r="26">
      <c r="B26" s="48" t="n">
        <v>5</v>
      </c>
      <c r="C26" s="49">
        <f>IF('[4]سجل المستخلصات'!$C$10="","",'[4]سجل المستخلصات'!$C$10)</f>
        <v/>
      </c>
      <c r="D26" s="49">
        <f>IF('[4]سجل المستخلصات'!$E$10="","",'[4]سجل المستخلصات'!$E$10)</f>
        <v/>
      </c>
      <c r="E26" s="50">
        <f>IF('[4]سجل المستخلصات'!$F$10="","",'[4]سجل المستخلصات'!$F$10)</f>
        <v/>
      </c>
      <c r="F26" s="51">
        <f>IF('[4]سجل المستخلصات'!$H$10="","",'[4]سجل المستخلصات'!$H$10)</f>
        <v/>
      </c>
      <c r="G26" s="51">
        <f>IF('[4]سجل المستخلصات'!$G$10="","",'[4]سجل المستخلصات'!$G$10)</f>
        <v/>
      </c>
      <c r="H26" s="51">
        <f>IF('[4]سجل المستخلصات'!$I$10="","",'[4]سجل المستخلصات'!$I$10)</f>
        <v/>
      </c>
      <c r="I26" s="51">
        <f>IF('[4]سجل المستخلصات'!$J$10="","",'[4]سجل المستخلصات'!$J$10)</f>
        <v/>
      </c>
      <c r="J26" s="51">
        <f>IF('[4]سجل المستخلصات'!$K$10="","",'[4]سجل المستخلصات'!$K$10)</f>
        <v/>
      </c>
      <c r="K26" s="52">
        <f>IF('[4]سجل المستخلصات'!$L$10="","",'[4]سجل المستخلصات'!$L$10)</f>
        <v/>
      </c>
      <c r="L26" s="52">
        <f>IF('[4]سجل المستخلصات'!$M$10="","",'[4]سجل المستخلصات'!$M$10)</f>
        <v/>
      </c>
      <c r="M26" s="52">
        <f>IF('[4]سجل المستخلصات'!$N$10="","",'[4]سجل المستخلصات'!$N$10)</f>
        <v/>
      </c>
      <c r="N26" s="51">
        <f>IF('[4]سجل المستخلصات'!$O$10="","",'[4]سجل المستخلصات'!$O$10)</f>
        <v/>
      </c>
      <c r="O26" s="51">
        <f>IF('[4]سجل المستخلصات'!$R$10="","",'[4]سجل المستخلصات'!$R$10)</f>
        <v/>
      </c>
      <c r="P26" s="51">
        <f>IF('[4]سجل المستخلصات'!$S$10="","",'[4]سجل المستخلصات'!$S$10)</f>
        <v/>
      </c>
      <c r="Q26" s="51">
        <f>IF('[4]سجل المستخلصات'!$T$10="","",'[4]سجل المستخلصات'!$T$10)</f>
        <v/>
      </c>
      <c r="R26" s="51">
        <f>IF('[4]سجل المستخلصات'!$V$10="","",'[4]سجل المستخلصات'!$V$10)</f>
        <v/>
      </c>
      <c r="S26" s="51">
        <f>IF('[4]سجل المستخلصات'!$W$10="","",'[4]سجل المستخلصات'!$W$10)</f>
        <v/>
      </c>
      <c r="T26" s="53">
        <f>IF('[4]سجل المستخلصات'!$X$10="","",'[4]سجل المستخلصات'!$X$10)</f>
        <v/>
      </c>
      <c r="U26" s="53">
        <f>IF('[4]سجل المستخلصات'!$Z$10="","",'[4]سجل المستخلصات'!$Z$10)</f>
        <v/>
      </c>
      <c r="V26" s="51">
        <f>IF('[4]سجل المستخلصات'!$AA$10="","",'[4]سجل المستخلصات'!$AA$10)</f>
        <v/>
      </c>
      <c r="W26" s="51">
        <f>IF('[4]سجل المستخلصات'!$AC$10="","",'[4]سجل المستخلصات'!$AC$10)</f>
        <v/>
      </c>
      <c r="X26" s="54">
        <f>IF('[4]سجل المستخلصات'!$AD$10="","",'[4]سجل المستخلصات'!$AD$10)</f>
        <v/>
      </c>
      <c r="Y26" s="50">
        <f>IF('[4]سجل المستخلصات'!$AE$10="","",'[4]سجل المستخلصات'!$AE$10)</f>
        <v/>
      </c>
    </row>
    <row r="27">
      <c r="B27" s="48" t="n">
        <v>6</v>
      </c>
      <c r="C27" s="49">
        <f>IF('[4]سجل المستخلصات'!$C$11="","",'[4]سجل المستخلصات'!$C$11)</f>
        <v/>
      </c>
      <c r="D27" s="49">
        <f>IF('[4]سجل المستخلصات'!$E$11="","",'[4]سجل المستخلصات'!$E$11)</f>
        <v/>
      </c>
      <c r="E27" s="50">
        <f>IF('[4]سجل المستخلصات'!$F$11="","",'[4]سجل المستخلصات'!$F$11)</f>
        <v/>
      </c>
      <c r="F27" s="51">
        <f>IF('[4]سجل المستخلصات'!$H$11="","",'[4]سجل المستخلصات'!$H$11)</f>
        <v/>
      </c>
      <c r="G27" s="51">
        <f>IF('[4]سجل المستخلصات'!$G$11="","",'[4]سجل المستخلصات'!$G$11)</f>
        <v/>
      </c>
      <c r="H27" s="51">
        <f>IF('[4]سجل المستخلصات'!$I$11="","",'[4]سجل المستخلصات'!$I$11)</f>
        <v/>
      </c>
      <c r="I27" s="51">
        <f>IF('[4]سجل المستخلصات'!$J$11="","",'[4]سجل المستخلصات'!$J$11)</f>
        <v/>
      </c>
      <c r="J27" s="51">
        <f>IF('[4]سجل المستخلصات'!$K$11="","",'[4]سجل المستخلصات'!$K$11)</f>
        <v/>
      </c>
      <c r="K27" s="52">
        <f>IF('[4]سجل المستخلصات'!$L$11="","",'[4]سجل المستخلصات'!$L$11)</f>
        <v/>
      </c>
      <c r="L27" s="52">
        <f>IF('[4]سجل المستخلصات'!$M$11="","",'[4]سجل المستخلصات'!$M$11)</f>
        <v/>
      </c>
      <c r="M27" s="52">
        <f>IF('[4]سجل المستخلصات'!$N$11="","",'[4]سجل المستخلصات'!$N$11)</f>
        <v/>
      </c>
      <c r="N27" s="51">
        <f>IF('[4]سجل المستخلصات'!$O$11="","",'[4]سجل المستخلصات'!$O$11)</f>
        <v/>
      </c>
      <c r="O27" s="51">
        <f>IF('[4]سجل المستخلصات'!$R$11="","",'[4]سجل المستخلصات'!$R$11)</f>
        <v/>
      </c>
      <c r="P27" s="51">
        <f>IF('[4]سجل المستخلصات'!$S$11="","",'[4]سجل المستخلصات'!$S$11)</f>
        <v/>
      </c>
      <c r="Q27" s="51">
        <f>IF('[4]سجل المستخلصات'!$T$11="","",'[4]سجل المستخلصات'!$T$11)</f>
        <v/>
      </c>
      <c r="R27" s="51">
        <f>IF('[4]سجل المستخلصات'!$V$11="","",'[4]سجل المستخلصات'!$V$11)</f>
        <v/>
      </c>
      <c r="S27" s="51">
        <f>IF('[4]سجل المستخلصات'!$W$11="","",'[4]سجل المستخلصات'!$W$11)</f>
        <v/>
      </c>
      <c r="T27" s="53">
        <f>IF('[4]سجل المستخلصات'!$X$11="","",'[4]سجل المستخلصات'!$X$11)</f>
        <v/>
      </c>
      <c r="U27" s="53">
        <f>IF('[4]سجل المستخلصات'!$Z$11="","",'[4]سجل المستخلصات'!$Z$11)</f>
        <v/>
      </c>
      <c r="V27" s="51">
        <f>IF('[4]سجل المستخلصات'!$AA$11="","",'[4]سجل المستخلصات'!$AA$11)</f>
        <v/>
      </c>
      <c r="W27" s="51">
        <f>IF('[4]سجل المستخلصات'!$AC$11="","",'[4]سجل المستخلصات'!$AC$11)</f>
        <v/>
      </c>
      <c r="X27" s="54">
        <f>IF('[4]سجل المستخلصات'!$AD$11="","",'[4]سجل المستخلصات'!$AD$11)</f>
        <v/>
      </c>
      <c r="Y27" s="50">
        <f>IF('[4]سجل المستخلصات'!$AE$11="","",'[4]سجل المستخلصات'!$AE$11)</f>
        <v/>
      </c>
    </row>
    <row r="28">
      <c r="B28" s="48" t="n">
        <v>7</v>
      </c>
      <c r="C28" s="49">
        <f>IF('[4]سجل المستخلصات'!$C$12="","",'[4]سجل المستخلصات'!$C$12)</f>
        <v/>
      </c>
      <c r="D28" s="49">
        <f>IF('[4]سجل المستخلصات'!$E$12="","",'[4]سجل المستخلصات'!$E$12)</f>
        <v/>
      </c>
      <c r="E28" s="50">
        <f>IF('[4]سجل المستخلصات'!$F$12="","",'[4]سجل المستخلصات'!$F$12)</f>
        <v/>
      </c>
      <c r="F28" s="51">
        <f>IF('[4]سجل المستخلصات'!$H$12="","",'[4]سجل المستخلصات'!$H$12)</f>
        <v/>
      </c>
      <c r="G28" s="51">
        <f>IF('[4]سجل المستخلصات'!$G$12="","",'[4]سجل المستخلصات'!$G$12)</f>
        <v/>
      </c>
      <c r="H28" s="51">
        <f>IF('[4]سجل المستخلصات'!$I$12="","",'[4]سجل المستخلصات'!$I$12)</f>
        <v/>
      </c>
      <c r="I28" s="51">
        <f>IF('[4]سجل المستخلصات'!$J$12="","",'[4]سجل المستخلصات'!$J$12)</f>
        <v/>
      </c>
      <c r="J28" s="51">
        <f>IF('[4]سجل المستخلصات'!$K$12="","",'[4]سجل المستخلصات'!$K$12)</f>
        <v/>
      </c>
      <c r="K28" s="52">
        <f>IF('[4]سجل المستخلصات'!$L$12="","",'[4]سجل المستخلصات'!$L$12)</f>
        <v/>
      </c>
      <c r="L28" s="52">
        <f>IF('[4]سجل المستخلصات'!$M$12="","",'[4]سجل المستخلصات'!$M$12)</f>
        <v/>
      </c>
      <c r="M28" s="52">
        <f>IF('[4]سجل المستخلصات'!$N$12="","",'[4]سجل المستخلصات'!$N$12)</f>
        <v/>
      </c>
      <c r="N28" s="51">
        <f>IF('[4]سجل المستخلصات'!$O$12="","",'[4]سجل المستخلصات'!$O$12)</f>
        <v/>
      </c>
      <c r="O28" s="51">
        <f>IF('[4]سجل المستخلصات'!$R$12="","",'[4]سجل المستخلصات'!$R$12)</f>
        <v/>
      </c>
      <c r="P28" s="51">
        <f>IF('[4]سجل المستخلصات'!$S$12="","",'[4]سجل المستخلصات'!$S$12)</f>
        <v/>
      </c>
      <c r="Q28" s="51">
        <f>IF('[4]سجل المستخلصات'!$T$12="","",'[4]سجل المستخلصات'!$T$12)</f>
        <v/>
      </c>
      <c r="R28" s="51">
        <f>IF('[4]سجل المستخلصات'!$V$12="","",'[4]سجل المستخلصات'!$V$12)</f>
        <v/>
      </c>
      <c r="S28" s="51">
        <f>IF('[4]سجل المستخلصات'!$W$12="","",'[4]سجل المستخلصات'!$W$12)</f>
        <v/>
      </c>
      <c r="T28" s="53">
        <f>IF('[4]سجل المستخلصات'!$X$12="","",'[4]سجل المستخلصات'!$X$12)</f>
        <v/>
      </c>
      <c r="U28" s="53">
        <f>IF('[4]سجل المستخلصات'!$Z$12="","",'[4]سجل المستخلصات'!$Z$12)</f>
        <v/>
      </c>
      <c r="V28" s="51">
        <f>IF('[4]سجل المستخلصات'!$AA$12="","",'[4]سجل المستخلصات'!$AA$12)</f>
        <v/>
      </c>
      <c r="W28" s="51">
        <f>IF('[4]سجل المستخلصات'!$AC$12="","",'[4]سجل المستخلصات'!$AC$12)</f>
        <v/>
      </c>
      <c r="X28" s="54">
        <f>IF('[4]سجل المستخلصات'!$AD$12="","",'[4]سجل المستخلصات'!$AD$12)</f>
        <v/>
      </c>
      <c r="Y28" s="50">
        <f>IF('[4]سجل المستخلصات'!$AE$12="","",'[4]سجل المستخلصات'!$AE$12)</f>
        <v/>
      </c>
    </row>
    <row r="29">
      <c r="B29" s="48" t="n">
        <v>8</v>
      </c>
      <c r="C29" s="49">
        <f>IF('[4]سجل المستخلصات'!$C$13="","",'[4]سجل المستخلصات'!$C$13)</f>
        <v/>
      </c>
      <c r="D29" s="49">
        <f>IF('[4]سجل المستخلصات'!$E$13="","",'[4]سجل المستخلصات'!$E$13)</f>
        <v/>
      </c>
      <c r="E29" s="50">
        <f>IF('[4]سجل المستخلصات'!$F$13="","",'[4]سجل المستخلصات'!$F$13)</f>
        <v/>
      </c>
      <c r="F29" s="51">
        <f>IF('[4]سجل المستخلصات'!$H$13="","",'[4]سجل المستخلصات'!$H$13)</f>
        <v/>
      </c>
      <c r="G29" s="51">
        <f>IF('[4]سجل المستخلصات'!$G$13="","",'[4]سجل المستخلصات'!$G$13)</f>
        <v/>
      </c>
      <c r="H29" s="51">
        <f>IF('[4]سجل المستخلصات'!$I$13="","",'[4]سجل المستخلصات'!$I$13)</f>
        <v/>
      </c>
      <c r="I29" s="51">
        <f>IF('[4]سجل المستخلصات'!$J$13="","",'[4]سجل المستخلصات'!$J$13)</f>
        <v/>
      </c>
      <c r="J29" s="51">
        <f>IF('[4]سجل المستخلصات'!$K$13="","",'[4]سجل المستخلصات'!$K$13)</f>
        <v/>
      </c>
      <c r="K29" s="52">
        <f>IF('[4]سجل المستخلصات'!$L$13="","",'[4]سجل المستخلصات'!$L$13)</f>
        <v/>
      </c>
      <c r="L29" s="52">
        <f>IF('[4]سجل المستخلصات'!$M$13="","",'[4]سجل المستخلصات'!$M$13)</f>
        <v/>
      </c>
      <c r="M29" s="52">
        <f>IF('[4]سجل المستخلصات'!$N$13="","",'[4]سجل المستخلصات'!$N$13)</f>
        <v/>
      </c>
      <c r="N29" s="51">
        <f>IF('[4]سجل المستخلصات'!$O$13="","",'[4]سجل المستخلصات'!$O$13)</f>
        <v/>
      </c>
      <c r="O29" s="51">
        <f>IF('[4]سجل المستخلصات'!$R$13="","",'[4]سجل المستخلصات'!$R$13)</f>
        <v/>
      </c>
      <c r="P29" s="51">
        <f>IF('[4]سجل المستخلصات'!$S$13="","",'[4]سجل المستخلصات'!$S$13)</f>
        <v/>
      </c>
      <c r="Q29" s="51">
        <f>IF('[4]سجل المستخلصات'!$T$13="","",'[4]سجل المستخلصات'!$T$13)</f>
        <v/>
      </c>
      <c r="R29" s="51">
        <f>IF('[4]سجل المستخلصات'!$V$13="","",'[4]سجل المستخلصات'!$V$13)</f>
        <v/>
      </c>
      <c r="S29" s="51">
        <f>IF('[4]سجل المستخلصات'!$W$13="","",'[4]سجل المستخلصات'!$W$13)</f>
        <v/>
      </c>
      <c r="T29" s="53">
        <f>IF('[4]سجل المستخلصات'!$X$13="","",'[4]سجل المستخلصات'!$X$13)</f>
        <v/>
      </c>
      <c r="U29" s="53">
        <f>IF('[4]سجل المستخلصات'!$Z$13="","",'[4]سجل المستخلصات'!$Z$13)</f>
        <v/>
      </c>
      <c r="V29" s="51">
        <f>IF('[4]سجل المستخلصات'!$AA$13="","",'[4]سجل المستخلصات'!$AA$13)</f>
        <v/>
      </c>
      <c r="W29" s="51">
        <f>IF('[4]سجل المستخلصات'!$AC$13="","",'[4]سجل المستخلصات'!$AC$13)</f>
        <v/>
      </c>
      <c r="X29" s="54">
        <f>IF('[4]سجل المستخلصات'!$AD$13="","",'[4]سجل المستخلصات'!$AD$13)</f>
        <v/>
      </c>
      <c r="Y29" s="50">
        <f>IF('[4]سجل المستخلصات'!$AE$13="","",'[4]سجل المستخلصات'!$AE$13)</f>
        <v/>
      </c>
    </row>
    <row r="30">
      <c r="B30" s="48" t="n">
        <v>9</v>
      </c>
      <c r="C30" s="49">
        <f>IF('[4]سجل المستخلصات'!$C$14="","",'[4]سجل المستخلصات'!$C$14)</f>
        <v/>
      </c>
      <c r="D30" s="49">
        <f>IF('[4]سجل المستخلصات'!$E$14="","",'[4]سجل المستخلصات'!$E$14)</f>
        <v/>
      </c>
      <c r="E30" s="50">
        <f>IF('[4]سجل المستخلصات'!$F$14="","",'[4]سجل المستخلصات'!$F$14)</f>
        <v/>
      </c>
      <c r="F30" s="51">
        <f>IF('[4]سجل المستخلصات'!$H$14="","",'[4]سجل المستخلصات'!$H$14)</f>
        <v/>
      </c>
      <c r="G30" s="51">
        <f>IF('[4]سجل المستخلصات'!$G$14="","",'[4]سجل المستخلصات'!$G$14)</f>
        <v/>
      </c>
      <c r="H30" s="51">
        <f>IF('[4]سجل المستخلصات'!$I$14="","",'[4]سجل المستخلصات'!$I$14)</f>
        <v/>
      </c>
      <c r="I30" s="51">
        <f>IF('[4]سجل المستخلصات'!$J$14="","",'[4]سجل المستخلصات'!$J$14)</f>
        <v/>
      </c>
      <c r="J30" s="51">
        <f>IF('[4]سجل المستخلصات'!$K$14="","",'[4]سجل المستخلصات'!$K$14)</f>
        <v/>
      </c>
      <c r="K30" s="52">
        <f>IF('[4]سجل المستخلصات'!$L$14="","",'[4]سجل المستخلصات'!$L$14)</f>
        <v/>
      </c>
      <c r="L30" s="52">
        <f>IF('[4]سجل المستخلصات'!$M$14="","",'[4]سجل المستخلصات'!$M$14)</f>
        <v/>
      </c>
      <c r="M30" s="52">
        <f>IF('[4]سجل المستخلصات'!$N$14="","",'[4]سجل المستخلصات'!$N$14)</f>
        <v/>
      </c>
      <c r="N30" s="51">
        <f>IF('[4]سجل المستخلصات'!$O$14="","",'[4]سجل المستخلصات'!$O$14)</f>
        <v/>
      </c>
      <c r="O30" s="51">
        <f>IF('[4]سجل المستخلصات'!$R$14="","",'[4]سجل المستخلصات'!$R$14)</f>
        <v/>
      </c>
      <c r="P30" s="51">
        <f>IF('[4]سجل المستخلصات'!$S$14="","",'[4]سجل المستخلصات'!$S$14)</f>
        <v/>
      </c>
      <c r="Q30" s="51">
        <f>IF('[4]سجل المستخلصات'!$T$14="","",'[4]سجل المستخلصات'!$T$14)</f>
        <v/>
      </c>
      <c r="R30" s="51">
        <f>IF('[4]سجل المستخلصات'!$V$14="","",'[4]سجل المستخلصات'!$V$14)</f>
        <v/>
      </c>
      <c r="S30" s="51">
        <f>IF('[4]سجل المستخلصات'!$W$14="","",'[4]سجل المستخلصات'!$W$14)</f>
        <v/>
      </c>
      <c r="T30" s="53">
        <f>IF('[4]سجل المستخلصات'!$X$14="","",'[4]سجل المستخلصات'!$X$14)</f>
        <v/>
      </c>
      <c r="U30" s="53">
        <f>IF('[4]سجل المستخلصات'!$Z$14="","",'[4]سجل المستخلصات'!$Z$14)</f>
        <v/>
      </c>
      <c r="V30" s="51">
        <f>IF('[4]سجل المستخلصات'!$AA$14="","",'[4]سجل المستخلصات'!$AA$14)</f>
        <v/>
      </c>
      <c r="W30" s="51">
        <f>IF('[4]سجل المستخلصات'!$AC$14="","",'[4]سجل المستخلصات'!$AC$14)</f>
        <v/>
      </c>
      <c r="X30" s="54">
        <f>IF('[4]سجل المستخلصات'!$AD$14="","",'[4]سجل المستخلصات'!$AD$14)</f>
        <v/>
      </c>
      <c r="Y30" s="50">
        <f>IF('[4]سجل المستخلصات'!$AE$14="","",'[4]سجل المستخلصات'!$AE$14)</f>
        <v/>
      </c>
    </row>
    <row r="31">
      <c r="B31" s="48" t="n">
        <v>10</v>
      </c>
      <c r="C31" s="49">
        <f>IF('[4]سجل المستخلصات'!$C$15="","",'[4]سجل المستخلصات'!$C$15)</f>
        <v/>
      </c>
      <c r="D31" s="49">
        <f>IF('[4]سجل المستخلصات'!$E$15="","",'[4]سجل المستخلصات'!$E$15)</f>
        <v/>
      </c>
      <c r="E31" s="50">
        <f>IF('[4]سجل المستخلصات'!$F$15="","",'[4]سجل المستخلصات'!$F$15)</f>
        <v/>
      </c>
      <c r="F31" s="51">
        <f>IF('[4]سجل المستخلصات'!$H$15="","",'[4]سجل المستخلصات'!$H$15)</f>
        <v/>
      </c>
      <c r="G31" s="51">
        <f>IF('[4]سجل المستخلصات'!$G$15="","",'[4]سجل المستخلصات'!$G$15)</f>
        <v/>
      </c>
      <c r="H31" s="51">
        <f>IF('[4]سجل المستخلصات'!$I$15="","",'[4]سجل المستخلصات'!$I$15)</f>
        <v/>
      </c>
      <c r="I31" s="51">
        <f>IF('[4]سجل المستخلصات'!$J$15="","",'[4]سجل المستخلصات'!$J$15)</f>
        <v/>
      </c>
      <c r="J31" s="51">
        <f>IF('[4]سجل المستخلصات'!$K$15="","",'[4]سجل المستخلصات'!$K$15)</f>
        <v/>
      </c>
      <c r="K31" s="52">
        <f>IF('[4]سجل المستخلصات'!$L$15="","",'[4]سجل المستخلصات'!$L$15)</f>
        <v/>
      </c>
      <c r="L31" s="52">
        <f>IF('[4]سجل المستخلصات'!$M$15="","",'[4]سجل المستخلصات'!$M$15)</f>
        <v/>
      </c>
      <c r="M31" s="52">
        <f>IF('[4]سجل المستخلصات'!$N$15="","",'[4]سجل المستخلصات'!$N$15)</f>
        <v/>
      </c>
      <c r="N31" s="51">
        <f>IF('[4]سجل المستخلصات'!$O$15="","",'[4]سجل المستخلصات'!$O$15)</f>
        <v/>
      </c>
      <c r="O31" s="51">
        <f>IF('[4]سجل المستخلصات'!$R$15="","",'[4]سجل المستخلصات'!$R$15)</f>
        <v/>
      </c>
      <c r="P31" s="51">
        <f>IF('[4]سجل المستخلصات'!$S$15="","",'[4]سجل المستخلصات'!$S$15)</f>
        <v/>
      </c>
      <c r="Q31" s="51">
        <f>IF('[4]سجل المستخلصات'!$T$15="","",'[4]سجل المستخلصات'!$T$15)</f>
        <v/>
      </c>
      <c r="R31" s="51">
        <f>IF('[4]سجل المستخلصات'!$V$15="","",'[4]سجل المستخلصات'!$V$15)</f>
        <v/>
      </c>
      <c r="S31" s="51">
        <f>IF('[4]سجل المستخلصات'!$W$15="","",'[4]سجل المستخلصات'!$W$15)</f>
        <v/>
      </c>
      <c r="T31" s="53">
        <f>IF('[4]سجل المستخلصات'!$X$15="","",'[4]سجل المستخلصات'!$X$15)</f>
        <v/>
      </c>
      <c r="U31" s="53">
        <f>IF('[4]سجل المستخلصات'!$Z$15="","",'[4]سجل المستخلصات'!$Z$15)</f>
        <v/>
      </c>
      <c r="V31" s="51">
        <f>IF('[4]سجل المستخلصات'!$AA$15="","",'[4]سجل المستخلصات'!$AA$15)</f>
        <v/>
      </c>
      <c r="W31" s="51">
        <f>IF('[4]سجل المستخلصات'!$AC$15="","",'[4]سجل المستخلصات'!$AC$15)</f>
        <v/>
      </c>
      <c r="X31" s="54">
        <f>IF('[4]سجل المستخلصات'!$AD$15="","",'[4]سجل المستخلصات'!$AD$15)</f>
        <v/>
      </c>
      <c r="Y31" s="50">
        <f>IF('[4]سجل المستخلصات'!$AE$15="","",'[4]سجل المستخلصات'!$AE$15)</f>
        <v/>
      </c>
    </row>
    <row r="32">
      <c r="B32" s="48" t="n">
        <v>11</v>
      </c>
      <c r="C32" s="49">
        <f>IF('[4]سجل المستخلصات'!$C$16="","",'[4]سجل المستخلصات'!$C$16)</f>
        <v/>
      </c>
      <c r="D32" s="49">
        <f>IF('[4]سجل المستخلصات'!$E$16="","",'[4]سجل المستخلصات'!$E$16)</f>
        <v/>
      </c>
      <c r="E32" s="50">
        <f>IF('[4]سجل المستخلصات'!$F$16="","",'[4]سجل المستخلصات'!$F$16)</f>
        <v/>
      </c>
      <c r="F32" s="51">
        <f>IF('[4]سجل المستخلصات'!$H$16="","",'[4]سجل المستخلصات'!$H$16)</f>
        <v/>
      </c>
      <c r="G32" s="51">
        <f>IF('[4]سجل المستخلصات'!$G$16="","",'[4]سجل المستخلصات'!$G$16)</f>
        <v/>
      </c>
      <c r="H32" s="51">
        <f>IF('[4]سجل المستخلصات'!$I$16="","",'[4]سجل المستخلصات'!$I$16)</f>
        <v/>
      </c>
      <c r="I32" s="51">
        <f>IF('[4]سجل المستخلصات'!$J$16="","",'[4]سجل المستخلصات'!$J$16)</f>
        <v/>
      </c>
      <c r="J32" s="51">
        <f>IF('[4]سجل المستخلصات'!$K$16="","",'[4]سجل المستخلصات'!$K$16)</f>
        <v/>
      </c>
      <c r="K32" s="52">
        <f>IF('[4]سجل المستخلصات'!$L$16="","",'[4]سجل المستخلصات'!$L$16)</f>
        <v/>
      </c>
      <c r="L32" s="52">
        <f>IF('[4]سجل المستخلصات'!$M$16="","",'[4]سجل المستخلصات'!$M$16)</f>
        <v/>
      </c>
      <c r="M32" s="52">
        <f>IF('[4]سجل المستخلصات'!$N$16="","",'[4]سجل المستخلصات'!$N$16)</f>
        <v/>
      </c>
      <c r="N32" s="51">
        <f>IF('[4]سجل المستخلصات'!$O$16="","",'[4]سجل المستخلصات'!$O$16)</f>
        <v/>
      </c>
      <c r="O32" s="51">
        <f>IF('[4]سجل المستخلصات'!$R$16="","",'[4]سجل المستخلصات'!$R$16)</f>
        <v/>
      </c>
      <c r="P32" s="51">
        <f>IF('[4]سجل المستخلصات'!$S$16="","",'[4]سجل المستخلصات'!$S$16)</f>
        <v/>
      </c>
      <c r="Q32" s="51">
        <f>IF('[4]سجل المستخلصات'!$T$16="","",'[4]سجل المستخلصات'!$T$16)</f>
        <v/>
      </c>
      <c r="R32" s="51">
        <f>IF('[4]سجل المستخلصات'!$V$16="","",'[4]سجل المستخلصات'!$V$16)</f>
        <v/>
      </c>
      <c r="S32" s="51">
        <f>IF('[4]سجل المستخلصات'!$W$16="","",'[4]سجل المستخلصات'!$W$16)</f>
        <v/>
      </c>
      <c r="T32" s="53">
        <f>IF('[4]سجل المستخلصات'!$X$16="","",'[4]سجل المستخلصات'!$X$16)</f>
        <v/>
      </c>
      <c r="U32" s="53">
        <f>IF('[4]سجل المستخلصات'!$Z$16="","",'[4]سجل المستخلصات'!$Z$16)</f>
        <v/>
      </c>
      <c r="V32" s="51">
        <f>IF('[4]سجل المستخلصات'!$AA$16="","",'[4]سجل المستخلصات'!$AA$16)</f>
        <v/>
      </c>
      <c r="W32" s="51">
        <f>IF('[4]سجل المستخلصات'!$AC$16="","",'[4]سجل المستخلصات'!$AC$16)</f>
        <v/>
      </c>
      <c r="X32" s="54">
        <f>IF('[4]سجل المستخلصات'!$AD$16="","",'[4]سجل المستخلصات'!$AD$16)</f>
        <v/>
      </c>
      <c r="Y32" s="50">
        <f>IF('[4]سجل المستخلصات'!$AE$16="","",'[4]سجل المستخلصات'!$AE$16)</f>
        <v/>
      </c>
    </row>
    <row r="33">
      <c r="B33" s="48" t="n">
        <v>12</v>
      </c>
      <c r="C33" s="49">
        <f>IF('[4]سجل المستخلصات'!$C$17="","",'[4]سجل المستخلصات'!$C$17)</f>
        <v/>
      </c>
      <c r="D33" s="49">
        <f>IF('[4]سجل المستخلصات'!$E$17="","",'[4]سجل المستخلصات'!$E$17)</f>
        <v/>
      </c>
      <c r="E33" s="50">
        <f>IF('[4]سجل المستخلصات'!$F$17="","",'[4]سجل المستخلصات'!$F$17)</f>
        <v/>
      </c>
      <c r="F33" s="51">
        <f>IF('[4]سجل المستخلصات'!$H$17="","",'[4]سجل المستخلصات'!$H$17)</f>
        <v/>
      </c>
      <c r="G33" s="51">
        <f>IF('[4]سجل المستخلصات'!$G$17="","",'[4]سجل المستخلصات'!$G$17)</f>
        <v/>
      </c>
      <c r="H33" s="51">
        <f>IF('[4]سجل المستخلصات'!$I$17="","",'[4]سجل المستخلصات'!$I$17)</f>
        <v/>
      </c>
      <c r="I33" s="51">
        <f>IF('[4]سجل المستخلصات'!$J$17="","",'[4]سجل المستخلصات'!$J$17)</f>
        <v/>
      </c>
      <c r="J33" s="51">
        <f>IF('[4]سجل المستخلصات'!$K$17="","",'[4]سجل المستخلصات'!$K$17)</f>
        <v/>
      </c>
      <c r="K33" s="52">
        <f>IF('[4]سجل المستخلصات'!$L$17="","",'[4]سجل المستخلصات'!$L$17)</f>
        <v/>
      </c>
      <c r="L33" s="52">
        <f>IF('[4]سجل المستخلصات'!$M$17="","",'[4]سجل المستخلصات'!$M$17)</f>
        <v/>
      </c>
      <c r="M33" s="52">
        <f>IF('[4]سجل المستخلصات'!$N$17="","",'[4]سجل المستخلصات'!$N$17)</f>
        <v/>
      </c>
      <c r="N33" s="51">
        <f>IF('[4]سجل المستخلصات'!$O$17="","",'[4]سجل المستخلصات'!$O$17)</f>
        <v/>
      </c>
      <c r="O33" s="51">
        <f>IF('[4]سجل المستخلصات'!$R$17="","",'[4]سجل المستخلصات'!$R$17)</f>
        <v/>
      </c>
      <c r="P33" s="51">
        <f>IF('[4]سجل المستخلصات'!$S$17="","",'[4]سجل المستخلصات'!$S$17)</f>
        <v/>
      </c>
      <c r="Q33" s="51">
        <f>IF('[4]سجل المستخلصات'!$T$17="","",'[4]سجل المستخلصات'!$T$17)</f>
        <v/>
      </c>
      <c r="R33" s="51">
        <f>IF('[4]سجل المستخلصات'!$V$17="","",'[4]سجل المستخلصات'!$V$17)</f>
        <v/>
      </c>
      <c r="S33" s="51">
        <f>IF('[4]سجل المستخلصات'!$W$17="","",'[4]سجل المستخلصات'!$W$17)</f>
        <v/>
      </c>
      <c r="T33" s="53">
        <f>IF('[4]سجل المستخلصات'!$X$17="","",'[4]سجل المستخلصات'!$X$17)</f>
        <v/>
      </c>
      <c r="U33" s="53">
        <f>IF('[4]سجل المستخلصات'!$Z$17="","",'[4]سجل المستخلصات'!$Z$17)</f>
        <v/>
      </c>
      <c r="V33" s="51">
        <f>IF('[4]سجل المستخلصات'!$AA$17="","",'[4]سجل المستخلصات'!$AA$17)</f>
        <v/>
      </c>
      <c r="W33" s="51">
        <f>IF('[4]سجل المستخلصات'!$AC$17="","",'[4]سجل المستخلصات'!$AC$17)</f>
        <v/>
      </c>
      <c r="X33" s="54">
        <f>IF('[4]سجل المستخلصات'!$AD$17="","",'[4]سجل المستخلصات'!$AD$17)</f>
        <v/>
      </c>
      <c r="Y33" s="50">
        <f>IF('[4]سجل المستخلصات'!$AE$17="","",'[4]سجل المستخلصات'!$AE$17)</f>
        <v/>
      </c>
    </row>
    <row r="34">
      <c r="B34" s="48" t="n">
        <v>13</v>
      </c>
      <c r="C34" s="49">
        <f>IF('[4]سجل المستخلصات'!$C$18="","",'[4]سجل المستخلصات'!$C$18)</f>
        <v/>
      </c>
      <c r="D34" s="49">
        <f>IF('[4]سجل المستخلصات'!$E$18="","",'[4]سجل المستخلصات'!$E$18)</f>
        <v/>
      </c>
      <c r="E34" s="50">
        <f>IF('[4]سجل المستخلصات'!$F$18="","",'[4]سجل المستخلصات'!$F$18)</f>
        <v/>
      </c>
      <c r="F34" s="51">
        <f>IF('[4]سجل المستخلصات'!$H$18="","",'[4]سجل المستخلصات'!$H$18)</f>
        <v/>
      </c>
      <c r="G34" s="51">
        <f>IF('[4]سجل المستخلصات'!$G$18="","",'[4]سجل المستخلصات'!$G$18)</f>
        <v/>
      </c>
      <c r="H34" s="51">
        <f>IF('[4]سجل المستخلصات'!$I$18="","",'[4]سجل المستخلصات'!$I$18)</f>
        <v/>
      </c>
      <c r="I34" s="51">
        <f>IF('[4]سجل المستخلصات'!$J$18="","",'[4]سجل المستخلصات'!$J$18)</f>
        <v/>
      </c>
      <c r="J34" s="51">
        <f>IF('[4]سجل المستخلصات'!$K$18="","",'[4]سجل المستخلصات'!$K$18)</f>
        <v/>
      </c>
      <c r="K34" s="52">
        <f>IF('[4]سجل المستخلصات'!$L$18="","",'[4]سجل المستخلصات'!$L$18)</f>
        <v/>
      </c>
      <c r="L34" s="52">
        <f>IF('[4]سجل المستخلصات'!$M$18="","",'[4]سجل المستخلصات'!$M$18)</f>
        <v/>
      </c>
      <c r="M34" s="52">
        <f>IF('[4]سجل المستخلصات'!$N$18="","",'[4]سجل المستخلصات'!$N$18)</f>
        <v/>
      </c>
      <c r="N34" s="51">
        <f>IF('[4]سجل المستخلصات'!$O$18="","",'[4]سجل المستخلصات'!$O$18)</f>
        <v/>
      </c>
      <c r="O34" s="51">
        <f>IF('[4]سجل المستخلصات'!$R$18="","",'[4]سجل المستخلصات'!$R$18)</f>
        <v/>
      </c>
      <c r="P34" s="51">
        <f>IF('[4]سجل المستخلصات'!$S$18="","",'[4]سجل المستخلصات'!$S$18)</f>
        <v/>
      </c>
      <c r="Q34" s="51">
        <f>IF('[4]سجل المستخلصات'!$T$18="","",'[4]سجل المستخلصات'!$T$18)</f>
        <v/>
      </c>
      <c r="R34" s="51">
        <f>IF('[4]سجل المستخلصات'!$V$18="","",'[4]سجل المستخلصات'!$V$18)</f>
        <v/>
      </c>
      <c r="S34" s="51">
        <f>IF('[4]سجل المستخلصات'!$W$18="","",'[4]سجل المستخلصات'!$W$18)</f>
        <v/>
      </c>
      <c r="T34" s="53">
        <f>IF('[4]سجل المستخلصات'!$X$18="","",'[4]سجل المستخلصات'!$X$18)</f>
        <v/>
      </c>
      <c r="U34" s="53">
        <f>IF('[4]سجل المستخلصات'!$Z$18="","",'[4]سجل المستخلصات'!$Z$18)</f>
        <v/>
      </c>
      <c r="V34" s="51">
        <f>IF('[4]سجل المستخلصات'!$AA$18="","",'[4]سجل المستخلصات'!$AA$18)</f>
        <v/>
      </c>
      <c r="W34" s="51">
        <f>IF('[4]سجل المستخلصات'!$AC$18="","",'[4]سجل المستخلصات'!$AC$18)</f>
        <v/>
      </c>
      <c r="X34" s="54">
        <f>IF('[4]سجل المستخلصات'!$AD$18="","",'[4]سجل المستخلصات'!$AD$18)</f>
        <v/>
      </c>
      <c r="Y34" s="50">
        <f>IF('[4]سجل المستخلصات'!$AE$18="","",'[4]سجل المستخلصات'!$AE$18)</f>
        <v/>
      </c>
    </row>
    <row r="35">
      <c r="B35" s="48" t="n">
        <v>14</v>
      </c>
      <c r="C35" s="49">
        <f>IF('[4]سجل المستخلصات'!$C$19="","",'[4]سجل المستخلصات'!$C$19)</f>
        <v/>
      </c>
      <c r="D35" s="49">
        <f>IF('[4]سجل المستخلصات'!$E$19="","",'[4]سجل المستخلصات'!$E$19)</f>
        <v/>
      </c>
      <c r="E35" s="50">
        <f>IF('[4]سجل المستخلصات'!$F$19="","",'[4]سجل المستخلصات'!$F$19)</f>
        <v/>
      </c>
      <c r="F35" s="51">
        <f>IF('[4]سجل المستخلصات'!$H$19="","",'[4]سجل المستخلصات'!$H$19)</f>
        <v/>
      </c>
      <c r="G35" s="51">
        <f>IF('[4]سجل المستخلصات'!$G$19="","",'[4]سجل المستخلصات'!$G$19)</f>
        <v/>
      </c>
      <c r="H35" s="51">
        <f>IF('[4]سجل المستخلصات'!$I$19="","",'[4]سجل المستخلصات'!$I$19)</f>
        <v/>
      </c>
      <c r="I35" s="51">
        <f>IF('[4]سجل المستخلصات'!$J$19="","",'[4]سجل المستخلصات'!$J$19)</f>
        <v/>
      </c>
      <c r="J35" s="51">
        <f>IF('[4]سجل المستخلصات'!$K$19="","",'[4]سجل المستخلصات'!$K$19)</f>
        <v/>
      </c>
      <c r="K35" s="52">
        <f>IF('[4]سجل المستخلصات'!$L$19="","",'[4]سجل المستخلصات'!$L$19)</f>
        <v/>
      </c>
      <c r="L35" s="52">
        <f>IF('[4]سجل المستخلصات'!$M$19="","",'[4]سجل المستخلصات'!$M$19)</f>
        <v/>
      </c>
      <c r="M35" s="52">
        <f>IF('[4]سجل المستخلصات'!$N$19="","",'[4]سجل المستخلصات'!$N$19)</f>
        <v/>
      </c>
      <c r="N35" s="51">
        <f>IF('[4]سجل المستخلصات'!$O$19="","",'[4]سجل المستخلصات'!$O$19)</f>
        <v/>
      </c>
      <c r="O35" s="51">
        <f>IF('[4]سجل المستخلصات'!$R$19="","",'[4]سجل المستخلصات'!$R$19)</f>
        <v/>
      </c>
      <c r="P35" s="51">
        <f>IF('[4]سجل المستخلصات'!$S$19="","",'[4]سجل المستخلصات'!$S$19)</f>
        <v/>
      </c>
      <c r="Q35" s="51">
        <f>IF('[4]سجل المستخلصات'!$T$19="","",'[4]سجل المستخلصات'!$T$19)</f>
        <v/>
      </c>
      <c r="R35" s="51">
        <f>IF('[4]سجل المستخلصات'!$V$19="","",'[4]سجل المستخلصات'!$V$19)</f>
        <v/>
      </c>
      <c r="S35" s="51">
        <f>IF('[4]سجل المستخلصات'!$W$19="","",'[4]سجل المستخلصات'!$W$19)</f>
        <v/>
      </c>
      <c r="T35" s="53">
        <f>IF('[4]سجل المستخلصات'!$X$19="","",'[4]سجل المستخلصات'!$X$19)</f>
        <v/>
      </c>
      <c r="U35" s="53">
        <f>IF('[4]سجل المستخلصات'!$Z$19="","",'[4]سجل المستخلصات'!$Z$19)</f>
        <v/>
      </c>
      <c r="V35" s="51">
        <f>IF('[4]سجل المستخلصات'!$AA$19="","",'[4]سجل المستخلصات'!$AA$19)</f>
        <v/>
      </c>
      <c r="W35" s="51">
        <f>IF('[4]سجل المستخلصات'!$AC$19="","",'[4]سجل المستخلصات'!$AC$19)</f>
        <v/>
      </c>
      <c r="X35" s="54">
        <f>IF('[4]سجل المستخلصات'!$AD$19="","",'[4]سجل المستخلصات'!$AD$19)</f>
        <v/>
      </c>
      <c r="Y35" s="50">
        <f>IF('[4]سجل المستخلصات'!$AE$19="","",'[4]سجل المستخلصات'!$AE$19)</f>
        <v/>
      </c>
    </row>
    <row r="36">
      <c r="B36" s="48" t="n">
        <v>15</v>
      </c>
      <c r="C36" s="49">
        <f>IF('[4]سجل المستخلصات'!$C$20="","",'[4]سجل المستخلصات'!$C$20)</f>
        <v/>
      </c>
      <c r="D36" s="49">
        <f>IF('[4]سجل المستخلصات'!$E$20="","",'[4]سجل المستخلصات'!$E$20)</f>
        <v/>
      </c>
      <c r="E36" s="50">
        <f>IF('[4]سجل المستخلصات'!$F$20="","",'[4]سجل المستخلصات'!$F$20)</f>
        <v/>
      </c>
      <c r="F36" s="51">
        <f>IF('[4]سجل المستخلصات'!$H$20="","",'[4]سجل المستخلصات'!$H$20)</f>
        <v/>
      </c>
      <c r="G36" s="51">
        <f>IF('[4]سجل المستخلصات'!$G$20="","",'[4]سجل المستخلصات'!$G$20)</f>
        <v/>
      </c>
      <c r="H36" s="51">
        <f>IF('[4]سجل المستخلصات'!$I$20="","",'[4]سجل المستخلصات'!$I$20)</f>
        <v/>
      </c>
      <c r="I36" s="51">
        <f>IF('[4]سجل المستخلصات'!$J$20="","",'[4]سجل المستخلصات'!$J$20)</f>
        <v/>
      </c>
      <c r="J36" s="51">
        <f>IF('[4]سجل المستخلصات'!$K$20="","",'[4]سجل المستخلصات'!$K$20)</f>
        <v/>
      </c>
      <c r="K36" s="52">
        <f>IF('[4]سجل المستخلصات'!$L$20="","",'[4]سجل المستخلصات'!$L$20)</f>
        <v/>
      </c>
      <c r="L36" s="52">
        <f>IF('[4]سجل المستخلصات'!$M$20="","",'[4]سجل المستخلصات'!$M$20)</f>
        <v/>
      </c>
      <c r="M36" s="52">
        <f>IF('[4]سجل المستخلصات'!$N$20="","",'[4]سجل المستخلصات'!$N$20)</f>
        <v/>
      </c>
      <c r="N36" s="51">
        <f>IF('[4]سجل المستخلصات'!$O$20="","",'[4]سجل المستخلصات'!$O$20)</f>
        <v/>
      </c>
      <c r="O36" s="51">
        <f>IF('[4]سجل المستخلصات'!$R$20="","",'[4]سجل المستخلصات'!$R$20)</f>
        <v/>
      </c>
      <c r="P36" s="51">
        <f>IF('[4]سجل المستخلصات'!$S$20="","",'[4]سجل المستخلصات'!$S$20)</f>
        <v/>
      </c>
      <c r="Q36" s="51">
        <f>IF('[4]سجل المستخلصات'!$T$20="","",'[4]سجل المستخلصات'!$T$20)</f>
        <v/>
      </c>
      <c r="R36" s="51">
        <f>IF('[4]سجل المستخلصات'!$V$20="","",'[4]سجل المستخلصات'!$V$20)</f>
        <v/>
      </c>
      <c r="S36" s="51">
        <f>IF('[4]سجل المستخلصات'!$W$20="","",'[4]سجل المستخلصات'!$W$20)</f>
        <v/>
      </c>
      <c r="T36" s="53">
        <f>IF('[4]سجل المستخلصات'!$X$20="","",'[4]سجل المستخلصات'!$X$20)</f>
        <v/>
      </c>
      <c r="U36" s="53">
        <f>IF('[4]سجل المستخلصات'!$Z$20="","",'[4]سجل المستخلصات'!$Z$20)</f>
        <v/>
      </c>
      <c r="V36" s="51">
        <f>IF('[4]سجل المستخلصات'!$AA$20="","",'[4]سجل المستخلصات'!$AA$20)</f>
        <v/>
      </c>
      <c r="W36" s="51">
        <f>IF('[4]سجل المستخلصات'!$AC$20="","",'[4]سجل المستخلصات'!$AC$20)</f>
        <v/>
      </c>
      <c r="X36" s="54">
        <f>IF('[4]سجل المستخلصات'!$AD$20="","",'[4]سجل المستخلصات'!$AD$20)</f>
        <v/>
      </c>
      <c r="Y36" s="50">
        <f>IF('[4]سجل المستخلصات'!$AE$20="","",'[4]سجل المستخلصات'!$AE$20)</f>
        <v/>
      </c>
    </row>
    <row r="37">
      <c r="B37" s="48" t="n">
        <v>16</v>
      </c>
      <c r="C37" s="49">
        <f>IF('[4]سجل المستخلصات'!$C$21="","",'[4]سجل المستخلصات'!$C$21)</f>
        <v/>
      </c>
      <c r="D37" s="49">
        <f>IF('[4]سجل المستخلصات'!$E$21="","",'[4]سجل المستخلصات'!$E$21)</f>
        <v/>
      </c>
      <c r="E37" s="50">
        <f>IF('[4]سجل المستخلصات'!$F$21="","",'[4]سجل المستخلصات'!$F$21)</f>
        <v/>
      </c>
      <c r="F37" s="51">
        <f>IF('[4]سجل المستخلصات'!$H$21="","",'[4]سجل المستخلصات'!$H$21)</f>
        <v/>
      </c>
      <c r="G37" s="51">
        <f>IF('[4]سجل المستخلصات'!$G$21="","",'[4]سجل المستخلصات'!$G$21)</f>
        <v/>
      </c>
      <c r="H37" s="51">
        <f>IF('[4]سجل المستخلصات'!$I$21="","",'[4]سجل المستخلصات'!$I$21)</f>
        <v/>
      </c>
      <c r="I37" s="51">
        <f>IF('[4]سجل المستخلصات'!$J$21="","",'[4]سجل المستخلصات'!$J$21)</f>
        <v/>
      </c>
      <c r="J37" s="51">
        <f>IF('[4]سجل المستخلصات'!$K$21="","",'[4]سجل المستخلصات'!$K$21)</f>
        <v/>
      </c>
      <c r="K37" s="52">
        <f>IF('[4]سجل المستخلصات'!$L$21="","",'[4]سجل المستخلصات'!$L$21)</f>
        <v/>
      </c>
      <c r="L37" s="52">
        <f>IF('[4]سجل المستخلصات'!$M$21="","",'[4]سجل المستخلصات'!$M$21)</f>
        <v/>
      </c>
      <c r="M37" s="52">
        <f>IF('[4]سجل المستخلصات'!$N$21="","",'[4]سجل المستخلصات'!$N$21)</f>
        <v/>
      </c>
      <c r="N37" s="51">
        <f>IF('[4]سجل المستخلصات'!$O$21="","",'[4]سجل المستخلصات'!$O$21)</f>
        <v/>
      </c>
      <c r="O37" s="51">
        <f>IF('[4]سجل المستخلصات'!$R$21="","",'[4]سجل المستخلصات'!$R$21)</f>
        <v/>
      </c>
      <c r="P37" s="51">
        <f>IF('[4]سجل المستخلصات'!$S$21="","",'[4]سجل المستخلصات'!$S$21)</f>
        <v/>
      </c>
      <c r="Q37" s="51">
        <f>IF('[4]سجل المستخلصات'!$T$21="","",'[4]سجل المستخلصات'!$T$21)</f>
        <v/>
      </c>
      <c r="R37" s="51">
        <f>IF('[4]سجل المستخلصات'!$V$21="","",'[4]سجل المستخلصات'!$V$21)</f>
        <v/>
      </c>
      <c r="S37" s="51">
        <f>IF('[4]سجل المستخلصات'!$W$21="","",'[4]سجل المستخلصات'!$W$21)</f>
        <v/>
      </c>
      <c r="T37" s="53">
        <f>IF('[4]سجل المستخلصات'!$X$21="","",'[4]سجل المستخلصات'!$X$21)</f>
        <v/>
      </c>
      <c r="U37" s="53">
        <f>IF('[4]سجل المستخلصات'!$Z$21="","",'[4]سجل المستخلصات'!$Z$21)</f>
        <v/>
      </c>
      <c r="V37" s="51">
        <f>IF('[4]سجل المستخلصات'!$AA$21="","",'[4]سجل المستخلصات'!$AA$21)</f>
        <v/>
      </c>
      <c r="W37" s="51">
        <f>IF('[4]سجل المستخلصات'!$AC$21="","",'[4]سجل المستخلصات'!$AC$21)</f>
        <v/>
      </c>
      <c r="X37" s="54">
        <f>IF('[4]سجل المستخلصات'!$AD$21="","",'[4]سجل المستخلصات'!$AD$21)</f>
        <v/>
      </c>
      <c r="Y37" s="50">
        <f>IF('[4]سجل المستخلصات'!$AE$21="","",'[4]سجل المستخلصات'!$AE$21)</f>
        <v/>
      </c>
    </row>
    <row r="38">
      <c r="B38" s="48" t="n">
        <v>17</v>
      </c>
      <c r="C38" s="49">
        <f>IF('[4]سجل المستخلصات'!$C$22="","",'[4]سجل المستخلصات'!$C$22)</f>
        <v/>
      </c>
      <c r="D38" s="49">
        <f>IF('[4]سجل المستخلصات'!$E$22="","",'[4]سجل المستخلصات'!$E$22)</f>
        <v/>
      </c>
      <c r="E38" s="50">
        <f>IF('[4]سجل المستخلصات'!$F$22="","",'[4]سجل المستخلصات'!$F$22)</f>
        <v/>
      </c>
      <c r="F38" s="51">
        <f>IF('[4]سجل المستخلصات'!$H$22="","",'[4]سجل المستخلصات'!$H$22)</f>
        <v/>
      </c>
      <c r="G38" s="51">
        <f>IF('[4]سجل المستخلصات'!$G$22="","",'[4]سجل المستخلصات'!$G$22)</f>
        <v/>
      </c>
      <c r="H38" s="51">
        <f>IF('[4]سجل المستخلصات'!$I$22="","",'[4]سجل المستخلصات'!$I$22)</f>
        <v/>
      </c>
      <c r="I38" s="51">
        <f>IF('[4]سجل المستخلصات'!$J$22="","",'[4]سجل المستخلصات'!$J$22)</f>
        <v/>
      </c>
      <c r="J38" s="51">
        <f>IF('[4]سجل المستخلصات'!$K$22="","",'[4]سجل المستخلصات'!$K$22)</f>
        <v/>
      </c>
      <c r="K38" s="52">
        <f>IF('[4]سجل المستخلصات'!$L$22="","",'[4]سجل المستخلصات'!$L$22)</f>
        <v/>
      </c>
      <c r="L38" s="52">
        <f>IF('[4]سجل المستخلصات'!$M$22="","",'[4]سجل المستخلصات'!$M$22)</f>
        <v/>
      </c>
      <c r="M38" s="52">
        <f>IF('[4]سجل المستخلصات'!$N$22="","",'[4]سجل المستخلصات'!$N$22)</f>
        <v/>
      </c>
      <c r="N38" s="51">
        <f>IF('[4]سجل المستخلصات'!$O$22="","",'[4]سجل المستخلصات'!$O$22)</f>
        <v/>
      </c>
      <c r="O38" s="51">
        <f>IF('[4]سجل المستخلصات'!$R$22="","",'[4]سجل المستخلصات'!$R$22)</f>
        <v/>
      </c>
      <c r="P38" s="51">
        <f>IF('[4]سجل المستخلصات'!$S$22="","",'[4]سجل المستخلصات'!$S$22)</f>
        <v/>
      </c>
      <c r="Q38" s="51">
        <f>IF('[4]سجل المستخلصات'!$T$22="","",'[4]سجل المستخلصات'!$T$22)</f>
        <v/>
      </c>
      <c r="R38" s="51">
        <f>IF('[4]سجل المستخلصات'!$V$22="","",'[4]سجل المستخلصات'!$V$22)</f>
        <v/>
      </c>
      <c r="S38" s="51">
        <f>IF('[4]سجل المستخلصات'!$W$22="","",'[4]سجل المستخلصات'!$W$22)</f>
        <v/>
      </c>
      <c r="T38" s="53">
        <f>IF('[4]سجل المستخلصات'!$X$22="","",'[4]سجل المستخلصات'!$X$22)</f>
        <v/>
      </c>
      <c r="U38" s="53">
        <f>IF('[4]سجل المستخلصات'!$Z$22="","",'[4]سجل المستخلصات'!$Z$22)</f>
        <v/>
      </c>
      <c r="V38" s="51">
        <f>IF('[4]سجل المستخلصات'!$AA$22="","",'[4]سجل المستخلصات'!$AA$22)</f>
        <v/>
      </c>
      <c r="W38" s="51">
        <f>IF('[4]سجل المستخلصات'!$AC$22="","",'[4]سجل المستخلصات'!$AC$22)</f>
        <v/>
      </c>
      <c r="X38" s="54">
        <f>IF('[4]سجل المستخلصات'!$AD$22="","",'[4]سجل المستخلصات'!$AD$22)</f>
        <v/>
      </c>
      <c r="Y38" s="50">
        <f>IF('[4]سجل المستخلصات'!$AE$22="","",'[4]سجل المستخلصات'!$AE$22)</f>
        <v/>
      </c>
    </row>
    <row r="39">
      <c r="B39" s="48" t="n">
        <v>18</v>
      </c>
      <c r="C39" s="49">
        <f>IF('[4]سجل المستخلصات'!$C$23="","",'[4]سجل المستخلصات'!$C$23)</f>
        <v/>
      </c>
      <c r="D39" s="49">
        <f>IF('[4]سجل المستخلصات'!$E$23="","",'[4]سجل المستخلصات'!$E$23)</f>
        <v/>
      </c>
      <c r="E39" s="50">
        <f>IF('[4]سجل المستخلصات'!$F$23="","",'[4]سجل المستخلصات'!$F$23)</f>
        <v/>
      </c>
      <c r="F39" s="51">
        <f>IF('[4]سجل المستخلصات'!$H$23="","",'[4]سجل المستخلصات'!$H$23)</f>
        <v/>
      </c>
      <c r="G39" s="51">
        <f>IF('[4]سجل المستخلصات'!$G$23="","",'[4]سجل المستخلصات'!$G$23)</f>
        <v/>
      </c>
      <c r="H39" s="51">
        <f>IF('[4]سجل المستخلصات'!$I$23="","",'[4]سجل المستخلصات'!$I$23)</f>
        <v/>
      </c>
      <c r="I39" s="51">
        <f>IF('[4]سجل المستخلصات'!$J$23="","",'[4]سجل المستخلصات'!$J$23)</f>
        <v/>
      </c>
      <c r="J39" s="51">
        <f>IF('[4]سجل المستخلصات'!$K$23="","",'[4]سجل المستخلصات'!$K$23)</f>
        <v/>
      </c>
      <c r="K39" s="52">
        <f>IF('[4]سجل المستخلصات'!$L$23="","",'[4]سجل المستخلصات'!$L$23)</f>
        <v/>
      </c>
      <c r="L39" s="52">
        <f>IF('[4]سجل المستخلصات'!$M$23="","",'[4]سجل المستخلصات'!$M$23)</f>
        <v/>
      </c>
      <c r="M39" s="52">
        <f>IF('[4]سجل المستخلصات'!$N$23="","",'[4]سجل المستخلصات'!$N$23)</f>
        <v/>
      </c>
      <c r="N39" s="51">
        <f>IF('[4]سجل المستخلصات'!$O$23="","",'[4]سجل المستخلصات'!$O$23)</f>
        <v/>
      </c>
      <c r="O39" s="51">
        <f>IF('[4]سجل المستخلصات'!$R$23="","",'[4]سجل المستخلصات'!$R$23)</f>
        <v/>
      </c>
      <c r="P39" s="51">
        <f>IF('[4]سجل المستخلصات'!$S$23="","",'[4]سجل المستخلصات'!$S$23)</f>
        <v/>
      </c>
      <c r="Q39" s="51">
        <f>IF('[4]سجل المستخلصات'!$T$23="","",'[4]سجل المستخلصات'!$T$23)</f>
        <v/>
      </c>
      <c r="R39" s="51">
        <f>IF('[4]سجل المستخلصات'!$V$23="","",'[4]سجل المستخلصات'!$V$23)</f>
        <v/>
      </c>
      <c r="S39" s="51">
        <f>IF('[4]سجل المستخلصات'!$W$23="","",'[4]سجل المستخلصات'!$W$23)</f>
        <v/>
      </c>
      <c r="T39" s="53">
        <f>IF('[4]سجل المستخلصات'!$X$23="","",'[4]سجل المستخلصات'!$X$23)</f>
        <v/>
      </c>
      <c r="U39" s="53">
        <f>IF('[4]سجل المستخلصات'!$Z$23="","",'[4]سجل المستخلصات'!$Z$23)</f>
        <v/>
      </c>
      <c r="V39" s="51">
        <f>IF('[4]سجل المستخلصات'!$AA$23="","",'[4]سجل المستخلصات'!$AA$23)</f>
        <v/>
      </c>
      <c r="W39" s="51">
        <f>IF('[4]سجل المستخلصات'!$AC$23="","",'[4]سجل المستخلصات'!$AC$23)</f>
        <v/>
      </c>
      <c r="X39" s="54">
        <f>IF('[4]سجل المستخلصات'!$AD$23="","",'[4]سجل المستخلصات'!$AD$23)</f>
        <v/>
      </c>
      <c r="Y39" s="50">
        <f>IF('[4]سجل المستخلصات'!$AE$23="","",'[4]سجل المستخلصات'!$AE$23)</f>
        <v/>
      </c>
    </row>
    <row r="40">
      <c r="B40" s="48" t="n">
        <v>19</v>
      </c>
      <c r="C40" s="49">
        <f>IF('[4]سجل المستخلصات'!$C$24="","",'[4]سجل المستخلصات'!$C$24)</f>
        <v/>
      </c>
      <c r="D40" s="49">
        <f>IF('[4]سجل المستخلصات'!$E$24="","",'[4]سجل المستخلصات'!$E$24)</f>
        <v/>
      </c>
      <c r="E40" s="50">
        <f>IF('[4]سجل المستخلصات'!$F$24="","",'[4]سجل المستخلصات'!$F$24)</f>
        <v/>
      </c>
      <c r="F40" s="51">
        <f>IF('[4]سجل المستخلصات'!$H$24="","",'[4]سجل المستخلصات'!$H$24)</f>
        <v/>
      </c>
      <c r="G40" s="51">
        <f>IF('[4]سجل المستخلصات'!$G$24="","",'[4]سجل المستخلصات'!$G$24)</f>
        <v/>
      </c>
      <c r="H40" s="51">
        <f>IF('[4]سجل المستخلصات'!$I$24="","",'[4]سجل المستخلصات'!$I$24)</f>
        <v/>
      </c>
      <c r="I40" s="51">
        <f>IF('[4]سجل المستخلصات'!$J$24="","",'[4]سجل المستخلصات'!$J$24)</f>
        <v/>
      </c>
      <c r="J40" s="51">
        <f>IF('[4]سجل المستخلصات'!$K$24="","",'[4]سجل المستخلصات'!$K$24)</f>
        <v/>
      </c>
      <c r="K40" s="52">
        <f>IF('[4]سجل المستخلصات'!$L$24="","",'[4]سجل المستخلصات'!$L$24)</f>
        <v/>
      </c>
      <c r="L40" s="52">
        <f>IF('[4]سجل المستخلصات'!$M$24="","",'[4]سجل المستخلصات'!$M$24)</f>
        <v/>
      </c>
      <c r="M40" s="52">
        <f>IF('[4]سجل المستخلصات'!$N$24="","",'[4]سجل المستخلصات'!$N$24)</f>
        <v/>
      </c>
      <c r="N40" s="51">
        <f>IF('[4]سجل المستخلصات'!$O$24="","",'[4]سجل المستخلصات'!$O$24)</f>
        <v/>
      </c>
      <c r="O40" s="51">
        <f>IF('[4]سجل المستخلصات'!$R$24="","",'[4]سجل المستخلصات'!$R$24)</f>
        <v/>
      </c>
      <c r="P40" s="51">
        <f>IF('[4]سجل المستخلصات'!$S$24="","",'[4]سجل المستخلصات'!$S$24)</f>
        <v/>
      </c>
      <c r="Q40" s="51">
        <f>IF('[4]سجل المستخلصات'!$T$24="","",'[4]سجل المستخلصات'!$T$24)</f>
        <v/>
      </c>
      <c r="R40" s="51">
        <f>IF('[4]سجل المستخلصات'!$V$24="","",'[4]سجل المستخلصات'!$V$24)</f>
        <v/>
      </c>
      <c r="S40" s="51">
        <f>IF('[4]سجل المستخلصات'!$W$24="","",'[4]سجل المستخلصات'!$W$24)</f>
        <v/>
      </c>
      <c r="T40" s="53">
        <f>IF('[4]سجل المستخلصات'!$X$24="","",'[4]سجل المستخلصات'!$X$24)</f>
        <v/>
      </c>
      <c r="U40" s="53">
        <f>IF('[4]سجل المستخلصات'!$Z$24="","",'[4]سجل المستخلصات'!$Z$24)</f>
        <v/>
      </c>
      <c r="V40" s="51">
        <f>IF('[4]سجل المستخلصات'!$AA$24="","",'[4]سجل المستخلصات'!$AA$24)</f>
        <v/>
      </c>
      <c r="W40" s="51">
        <f>IF('[4]سجل المستخلصات'!$AC$24="","",'[4]سجل المستخلصات'!$AC$24)</f>
        <v/>
      </c>
      <c r="X40" s="54">
        <f>IF('[4]سجل المستخلصات'!$AD$24="","",'[4]سجل المستخلصات'!$AD$24)</f>
        <v/>
      </c>
      <c r="Y40" s="50">
        <f>IF('[4]سجل المستخلصات'!$AE$24="","",'[4]سجل المستخلصات'!$AE$24)</f>
        <v/>
      </c>
    </row>
    <row r="41">
      <c r="B41" s="48" t="n">
        <v>20</v>
      </c>
      <c r="C41" s="49">
        <f>IF('[4]سجل المستخلصات'!$C$25="","",'[4]سجل المستخلصات'!$C$25)</f>
        <v/>
      </c>
      <c r="D41" s="49">
        <f>IF('[4]سجل المستخلصات'!$E$25="","",'[4]سجل المستخلصات'!$E$25)</f>
        <v/>
      </c>
      <c r="E41" s="50">
        <f>IF('[4]سجل المستخلصات'!$F$25="","",'[4]سجل المستخلصات'!$F$25)</f>
        <v/>
      </c>
      <c r="F41" s="51">
        <f>IF('[4]سجل المستخلصات'!$H$25="","",'[4]سجل المستخلصات'!$H$25)</f>
        <v/>
      </c>
      <c r="G41" s="51">
        <f>IF('[4]سجل المستخلصات'!$G$25="","",'[4]سجل المستخلصات'!$G$25)</f>
        <v/>
      </c>
      <c r="H41" s="51">
        <f>IF('[4]سجل المستخلصات'!$I$25="","",'[4]سجل المستخلصات'!$I$25)</f>
        <v/>
      </c>
      <c r="I41" s="51">
        <f>IF('[4]سجل المستخلصات'!$J$25="","",'[4]سجل المستخلصات'!$J$25)</f>
        <v/>
      </c>
      <c r="J41" s="51">
        <f>IF('[4]سجل المستخلصات'!$K$25="","",'[4]سجل المستخلصات'!$K$25)</f>
        <v/>
      </c>
      <c r="K41" s="52">
        <f>IF('[4]سجل المستخلصات'!$L$25="","",'[4]سجل المستخلصات'!$L$25)</f>
        <v/>
      </c>
      <c r="L41" s="52">
        <f>IF('[4]سجل المستخلصات'!$M$25="","",'[4]سجل المستخلصات'!$M$25)</f>
        <v/>
      </c>
      <c r="M41" s="52">
        <f>IF('[4]سجل المستخلصات'!$N$25="","",'[4]سجل المستخلصات'!$N$25)</f>
        <v/>
      </c>
      <c r="N41" s="51">
        <f>IF('[4]سجل المستخلصات'!$O$25="","",'[4]سجل المستخلصات'!$O$25)</f>
        <v/>
      </c>
      <c r="O41" s="51">
        <f>IF('[4]سجل المستخلصات'!$R$25="","",'[4]سجل المستخلصات'!$R$25)</f>
        <v/>
      </c>
      <c r="P41" s="51">
        <f>IF('[4]سجل المستخلصات'!$S$25="","",'[4]سجل المستخلصات'!$S$25)</f>
        <v/>
      </c>
      <c r="Q41" s="51">
        <f>IF('[4]سجل المستخلصات'!$T$25="","",'[4]سجل المستخلصات'!$T$25)</f>
        <v/>
      </c>
      <c r="R41" s="51">
        <f>IF('[4]سجل المستخلصات'!$V$25="","",'[4]سجل المستخلصات'!$V$25)</f>
        <v/>
      </c>
      <c r="S41" s="51">
        <f>IF('[4]سجل المستخلصات'!$W$25="","",'[4]سجل المستخلصات'!$W$25)</f>
        <v/>
      </c>
      <c r="T41" s="53">
        <f>IF('[4]سجل المستخلصات'!$X$25="","",'[4]سجل المستخلصات'!$X$25)</f>
        <v/>
      </c>
      <c r="U41" s="53">
        <f>IF('[4]سجل المستخلصات'!$Z$25="","",'[4]سجل المستخلصات'!$Z$25)</f>
        <v/>
      </c>
      <c r="V41" s="51">
        <f>IF('[4]سجل المستخلصات'!$AA$25="","",'[4]سجل المستخلصات'!$AA$25)</f>
        <v/>
      </c>
      <c r="W41" s="51">
        <f>IF('[4]سجل المستخلصات'!$AC$25="","",'[4]سجل المستخلصات'!$AC$25)</f>
        <v/>
      </c>
      <c r="X41" s="54">
        <f>IF('[4]سجل المستخلصات'!$AD$25="","",'[4]سجل المستخلصات'!$AD$25)</f>
        <v/>
      </c>
      <c r="Y41" s="50">
        <f>IF('[4]سجل المستخلصات'!$AE$25="","",'[4]سجل المستخلصات'!$AE$25)</f>
        <v/>
      </c>
    </row>
    <row r="42">
      <c r="B42" s="55" t="inlineStr">
        <is>
          <t>الإجمالي</t>
        </is>
      </c>
      <c r="C42" s="56" t="n"/>
      <c r="D42" s="56" t="n"/>
      <c r="E42" s="55" t="n"/>
      <c r="F42" s="57">
        <f>SUM(F22:F41)</f>
        <v/>
      </c>
      <c r="G42" s="57">
        <f>IF($V$9=0,0,N(INDEX($G$22:$G$41,$V$9)))</f>
        <v/>
      </c>
      <c r="H42" s="57">
        <f>IF($V$9=0,0,N(INDEX($H$22:$H$41,$V$9)))</f>
        <v/>
      </c>
      <c r="I42" s="57">
        <f>IF($V$9=0,0,N(INDEX($I$22:$I$41,$V$9)))</f>
        <v/>
      </c>
      <c r="J42" s="57">
        <f>IF($V$9=0,0,N(INDEX($J$22:$J$41,$V$9)))</f>
        <v/>
      </c>
      <c r="K42" s="58">
        <f>IF($V$9=0,0,N(INDEX($K$22:$K$41,$V$9)))</f>
        <v/>
      </c>
      <c r="L42" s="58" t="n"/>
      <c r="M42" s="58" t="n"/>
      <c r="N42" s="57">
        <f>IF($V$9=0,0,N(INDEX($N$22:$N$41,$V$9)))</f>
        <v/>
      </c>
      <c r="O42" s="57">
        <f>IF($V$9=0,0,N(INDEX($O$22:$O$41,$V$9)))</f>
        <v/>
      </c>
      <c r="P42" s="57">
        <f>IF($V$9=0,0,N(INDEX($P$22:$P$41,$V$9)))</f>
        <v/>
      </c>
      <c r="Q42" s="57">
        <f>IF($V$9=0,0,N(INDEX($Q$22:$Q$41,$V$9)))</f>
        <v/>
      </c>
      <c r="R42" s="57">
        <f>IF($V$9=0,0,N(INDEX($R$22:$R$41,$V$9)))</f>
        <v/>
      </c>
      <c r="S42" s="57">
        <f>IF($V$9=0,0,N(INDEX($S$22:$S$41,$V$9)))</f>
        <v/>
      </c>
      <c r="T42" s="57">
        <f>IF($V$9=0,0,N(INDEX($T$22:$T$41,$V$9)))</f>
        <v/>
      </c>
      <c r="U42" s="57">
        <f>SUM(U22:U41)</f>
        <v/>
      </c>
      <c r="V42" s="57">
        <f>SUM(V22:V41)</f>
        <v/>
      </c>
      <c r="W42" s="57">
        <f>SUM(W22:W41)</f>
        <v/>
      </c>
      <c r="X42" s="59">
        <f>IFERROR(AVERAGE(X22:X41),0)</f>
        <v/>
      </c>
      <c r="Y42" s="55" t="n"/>
    </row>
    <row r="45">
      <c r="B45" s="46" t="inlineStr">
        <is>
          <t>الإنجاز حسب أقسام الأعمال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القسم</t>
        </is>
      </c>
      <c r="C46" s="47" t="n"/>
      <c r="D46" s="47" t="n"/>
      <c r="E46" s="47" t="inlineStr">
        <is>
          <t>القيمة التعاقدية</t>
        </is>
      </c>
      <c r="F46" s="47" t="inlineStr">
        <is>
          <t>القيمة المنفذة</t>
        </is>
      </c>
      <c r="G46" s="47" t="inlineStr">
        <is>
          <t>نسبة الإنجاز</t>
        </is>
      </c>
    </row>
    <row r="47">
      <c r="B47" s="60">
        <f>IF('[4]سجل المستخلصات'!$B$32="","",'[4]سجل المستخلصات'!$B$32)</f>
        <v/>
      </c>
      <c r="C47" s="60" t="n"/>
      <c r="D47" s="60" t="n"/>
      <c r="E47" s="51">
        <f>N('[4]سجل المستخلصات'!$E$32)</f>
        <v/>
      </c>
      <c r="F47" s="51">
        <f>N('[4]سجل المستخلصات'!$F$32)</f>
        <v/>
      </c>
      <c r="G47" s="61">
        <f>IF(E47&gt;0,F47/E47,0)</f>
        <v/>
      </c>
    </row>
    <row r="48">
      <c r="B48" s="60">
        <f>IF('[4]سجل المستخلصات'!$B$33="","",'[4]سجل المستخلصات'!$B$33)</f>
        <v/>
      </c>
      <c r="C48" s="60" t="n"/>
      <c r="D48" s="60" t="n"/>
      <c r="E48" s="51">
        <f>N('[4]سجل المستخلصات'!$E$33)</f>
        <v/>
      </c>
      <c r="F48" s="51">
        <f>N('[4]سجل المستخلصات'!$F$33)</f>
        <v/>
      </c>
      <c r="G48" s="61">
        <f>IF(E48&gt;0,F48/E48,0)</f>
        <v/>
      </c>
    </row>
    <row r="49">
      <c r="B49" s="60">
        <f>IF('[4]سجل المستخلصات'!$B$34="","",'[4]سجل المستخلصات'!$B$34)</f>
        <v/>
      </c>
      <c r="C49" s="60" t="n"/>
      <c r="D49" s="60" t="n"/>
      <c r="E49" s="51">
        <f>N('[4]سجل المستخلصات'!$E$34)</f>
        <v/>
      </c>
      <c r="F49" s="51">
        <f>N('[4]سجل المستخلصات'!$F$34)</f>
        <v/>
      </c>
      <c r="G49" s="61">
        <f>IF(E49&gt;0,F49/E49,0)</f>
        <v/>
      </c>
    </row>
    <row r="50">
      <c r="B50" s="60">
        <f>IF('[4]سجل المستخلصات'!$B$35="","",'[4]سجل المستخلصات'!$B$35)</f>
        <v/>
      </c>
      <c r="C50" s="60" t="n"/>
      <c r="D50" s="60" t="n"/>
      <c r="E50" s="51">
        <f>N('[4]سجل المستخلصات'!$E$35)</f>
        <v/>
      </c>
      <c r="F50" s="51">
        <f>N('[4]سجل المستخلصات'!$F$35)</f>
        <v/>
      </c>
      <c r="G50" s="61">
        <f>IF(E50&gt;0,F50/E50,0)</f>
        <v/>
      </c>
    </row>
    <row r="51">
      <c r="B51" s="60">
        <f>IF('[4]سجل المستخلصات'!$B$36="","",'[4]سجل المستخلصات'!$B$36)</f>
        <v/>
      </c>
      <c r="C51" s="60" t="n"/>
      <c r="D51" s="60" t="n"/>
      <c r="E51" s="51">
        <f>N('[4]سجل المستخلصات'!$E$36)</f>
        <v/>
      </c>
      <c r="F51" s="51">
        <f>N('[4]سجل المستخلصات'!$F$36)</f>
        <v/>
      </c>
      <c r="G51" s="61">
        <f>IF(E51&gt;0,F51/E51,0)</f>
        <v/>
      </c>
    </row>
    <row r="52">
      <c r="B52" s="60">
        <f>IF('[4]سجل المستخلصات'!$B$37="","",'[4]سجل المستخلصات'!$B$37)</f>
        <v/>
      </c>
      <c r="C52" s="60" t="n"/>
      <c r="D52" s="60" t="n"/>
      <c r="E52" s="51">
        <f>N('[4]سجل المستخلصات'!$E$37)</f>
        <v/>
      </c>
      <c r="F52" s="51">
        <f>N('[4]سجل المستخلصات'!$F$37)</f>
        <v/>
      </c>
      <c r="G52" s="61">
        <f>IF(E52&gt;0,F52/E52,0)</f>
        <v/>
      </c>
    </row>
    <row r="53">
      <c r="B53" s="60">
        <f>IF('[4]سجل المستخلصات'!$B$38="","",'[4]سجل المستخلصات'!$B$38)</f>
        <v/>
      </c>
      <c r="C53" s="60" t="n"/>
      <c r="D53" s="60" t="n"/>
      <c r="E53" s="51">
        <f>N('[4]سجل المستخلصات'!$E$38)</f>
        <v/>
      </c>
      <c r="F53" s="51">
        <f>N('[4]سجل المستخلصات'!$F$38)</f>
        <v/>
      </c>
      <c r="G53" s="61">
        <f>IF(E53&gt;0,F53/E53,0)</f>
        <v/>
      </c>
    </row>
    <row r="54">
      <c r="B54" s="60">
        <f>IF('[4]سجل المستخلصات'!$B$39="","",'[4]سجل المستخلصات'!$B$39)</f>
        <v/>
      </c>
      <c r="C54" s="60" t="n"/>
      <c r="D54" s="60" t="n"/>
      <c r="E54" s="51">
        <f>N('[4]سجل المستخلصات'!$E$39)</f>
        <v/>
      </c>
      <c r="F54" s="51">
        <f>N('[4]سجل المستخلصات'!$F$39)</f>
        <v/>
      </c>
      <c r="G54" s="61">
        <f>IF(E54&gt;0,F54/E54,0)</f>
        <v/>
      </c>
    </row>
    <row r="55">
      <c r="B55" s="60">
        <f>IF('[4]سجل المستخلصات'!$B$40="","",'[4]سجل المستخلصات'!$B$40)</f>
        <v/>
      </c>
      <c r="C55" s="60" t="n"/>
      <c r="D55" s="60" t="n"/>
      <c r="E55" s="51">
        <f>N('[4]سجل المستخلصات'!$E$40)</f>
        <v/>
      </c>
      <c r="F55" s="51">
        <f>N('[4]سجل المستخلصات'!$F$40)</f>
        <v/>
      </c>
      <c r="G55" s="61">
        <f>IF(E55&gt;0,F55/E55,0)</f>
        <v/>
      </c>
    </row>
    <row r="56">
      <c r="B56" s="60">
        <f>IF('[4]سجل المستخلصات'!$B$41="","",'[4]سجل المستخلصات'!$B$41)</f>
        <v/>
      </c>
      <c r="C56" s="60" t="n"/>
      <c r="D56" s="60" t="n"/>
      <c r="E56" s="51">
        <f>N('[4]سجل المستخلصات'!$E$41)</f>
        <v/>
      </c>
      <c r="F56" s="51">
        <f>N('[4]سجل المستخلصات'!$F$41)</f>
        <v/>
      </c>
      <c r="G56" s="61">
        <f>IF(E56&gt;0,F56/E56,0)</f>
        <v/>
      </c>
    </row>
    <row r="57">
      <c r="B57" s="60">
        <f>IF('[4]سجل المستخلصات'!$B$42="","",'[4]سجل المستخلصات'!$B$42)</f>
        <v/>
      </c>
      <c r="C57" s="60" t="n"/>
      <c r="D57" s="60" t="n"/>
      <c r="E57" s="51">
        <f>N('[4]سجل المستخلصات'!$E$42)</f>
        <v/>
      </c>
      <c r="F57" s="51">
        <f>N('[4]سجل المستخلصات'!$F$42)</f>
        <v/>
      </c>
      <c r="G57" s="61">
        <f>IF(E57&gt;0,F57/E57,0)</f>
        <v/>
      </c>
    </row>
    <row r="58">
      <c r="B58" s="60">
        <f>IF('[4]سجل المستخلصات'!$B$43="","",'[4]سجل المستخلصات'!$B$43)</f>
        <v/>
      </c>
      <c r="C58" s="60" t="n"/>
      <c r="D58" s="60" t="n"/>
      <c r="E58" s="51">
        <f>N('[4]سجل المستخلصات'!$E$43)</f>
        <v/>
      </c>
      <c r="F58" s="51">
        <f>N('[4]سجل المستخلصات'!$F$43)</f>
        <v/>
      </c>
      <c r="G58" s="61">
        <f>IF(E58&gt;0,F58/E58,0)</f>
        <v/>
      </c>
    </row>
  </sheetData>
  <mergeCells count="76">
    <mergeCell ref="R17:U17"/>
    <mergeCell ref="B9:E9"/>
    <mergeCell ref="F9:I9"/>
    <mergeCell ref="B2:Y2"/>
    <mergeCell ref="N9:Q9"/>
    <mergeCell ref="B57:D57"/>
    <mergeCell ref="J12:M12"/>
    <mergeCell ref="B15:E15"/>
    <mergeCell ref="B53:D53"/>
    <mergeCell ref="M5:Q5"/>
    <mergeCell ref="B1:Y1"/>
    <mergeCell ref="S5:Y5"/>
    <mergeCell ref="N15:Q15"/>
    <mergeCell ref="J18:M18"/>
    <mergeCell ref="H5:K5"/>
    <mergeCell ref="F14:I14"/>
    <mergeCell ref="R18:U18"/>
    <mergeCell ref="R9:U9"/>
    <mergeCell ref="V18:Y18"/>
    <mergeCell ref="N3:R3"/>
    <mergeCell ref="R8:U8"/>
    <mergeCell ref="R14:U14"/>
    <mergeCell ref="J17:M17"/>
    <mergeCell ref="J8:M8"/>
    <mergeCell ref="V12:Y12"/>
    <mergeCell ref="F11:I11"/>
    <mergeCell ref="B49:D49"/>
    <mergeCell ref="C6:F6"/>
    <mergeCell ref="N11:Q11"/>
    <mergeCell ref="V17:Y17"/>
    <mergeCell ref="R11:U11"/>
    <mergeCell ref="J14:M14"/>
    <mergeCell ref="C5:F5"/>
    <mergeCell ref="B55:D55"/>
    <mergeCell ref="AA4:AB4"/>
    <mergeCell ref="B51:D51"/>
    <mergeCell ref="V14:Y14"/>
    <mergeCell ref="B18:E18"/>
    <mergeCell ref="V8:Y8"/>
    <mergeCell ref="S3:Y3"/>
    <mergeCell ref="J9:M9"/>
    <mergeCell ref="M6:Q6"/>
    <mergeCell ref="B20:Y20"/>
    <mergeCell ref="B12:E12"/>
    <mergeCell ref="F12:I12"/>
    <mergeCell ref="B45:G45"/>
    <mergeCell ref="H6:K6"/>
    <mergeCell ref="B50:D50"/>
    <mergeCell ref="B11:E11"/>
    <mergeCell ref="N12:Q12"/>
    <mergeCell ref="F15:I15"/>
    <mergeCell ref="R15:U15"/>
    <mergeCell ref="J15:M15"/>
    <mergeCell ref="B47:D47"/>
    <mergeCell ref="B54:D54"/>
    <mergeCell ref="B14:E14"/>
    <mergeCell ref="N18:Q18"/>
    <mergeCell ref="F18:I18"/>
    <mergeCell ref="B17:E17"/>
    <mergeCell ref="B8:E8"/>
    <mergeCell ref="V9:Y9"/>
    <mergeCell ref="N8:Q8"/>
    <mergeCell ref="N14:Q14"/>
    <mergeCell ref="F17:I17"/>
    <mergeCell ref="F8:I8"/>
    <mergeCell ref="R12:U12"/>
    <mergeCell ref="N17:Q17"/>
    <mergeCell ref="B46:D46"/>
    <mergeCell ref="J11:M11"/>
    <mergeCell ref="B56:D56"/>
    <mergeCell ref="B58:D58"/>
    <mergeCell ref="V15:Y15"/>
    <mergeCell ref="B52:D52"/>
    <mergeCell ref="V11:Y11"/>
    <mergeCell ref="B48:D48"/>
    <mergeCell ref="S6:Y6"/>
  </mergeCells>
  <conditionalFormatting sqref="M22:M41">
    <cfRule type="cellIs" priority="1" operator="lessThan" dxfId="0">
      <formula>-0.0001</formula>
    </cfRule>
  </conditionalFormatting>
  <conditionalFormatting sqref="Y22:Y41">
    <cfRule type="expression" priority="2" dxfId="1">
      <formula>ISNUMBER(SEARCH("✔",Y22))</formula>
    </cfRule>
    <cfRule type="expression" priority="3" dxfId="2">
      <formula>ISNUMBER(SEARCH("✖",Y22))</formula>
    </cfRule>
    <cfRule type="expression" priority="4" dxfId="3">
      <formula>ISNUMBER(SEARCH("⚠",Y22))</formula>
    </cfRule>
  </conditionalFormatting>
  <conditionalFormatting sqref="B22:Y41">
    <cfRule type="expression" priority="5" dxfId="4">
      <formula>$B22=$V$9</formula>
    </cfRule>
  </conditionalFormatting>
  <conditionalFormatting sqref="K22:K41">
    <cfRule type="dataBar" priority="6">
      <dataBar>
        <cfvo type="num" val="0"/>
        <cfvo type="num" val="1"/>
        <color rgb="0063BE7B"/>
      </dataBar>
    </cfRule>
  </conditionalFormatting>
  <conditionalFormatting sqref="V12">
    <cfRule type="expression" priority="7" dxfId="0">
      <formula>ISNUMBER(SEARCH("⚠",V12))</formula>
    </cfRule>
  </conditionalFormatting>
  <conditionalFormatting sqref="J12">
    <cfRule type="cellIs" priority="8" operator="lessThan" dxfId="0">
      <formula>0</formula>
    </cfRule>
  </conditionalFormatting>
  <conditionalFormatting sqref="G47:G58">
    <cfRule type="dataBar" priority="9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xmlns:r="http://schemas.openxmlformats.org/officeDocument/2006/relationships" ref="N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"&amp;IF('[5]بيانات العقد'!$C$5="","مشروع رقم 05 — غير مُفعّل",'[5]بيانات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مشروع 01</t>
        </is>
      </c>
      <c r="D3" s="4" t="inlineStr">
        <is>
          <t>مشروع 02</t>
        </is>
      </c>
      <c r="E3" s="4" t="inlineStr">
        <is>
          <t>مشروع 03</t>
        </is>
      </c>
      <c r="F3" s="4" t="inlineStr">
        <is>
          <t>مشروع 04</t>
        </is>
      </c>
      <c r="G3" s="10" t="inlineStr">
        <is>
          <t>مشروع 05</t>
        </is>
      </c>
      <c r="H3" s="4" t="inlineStr">
        <is>
          <t>مشروع 06</t>
        </is>
      </c>
      <c r="I3" s="4" t="inlineStr">
        <is>
          <t>مشروع 07</t>
        </is>
      </c>
      <c r="J3" s="4" t="inlineStr">
        <is>
          <t>مشروع 08</t>
        </is>
      </c>
      <c r="K3" s="4" t="inlineStr">
        <is>
          <t>مشروع 09</t>
        </is>
      </c>
      <c r="L3" s="4" t="inlineStr">
        <is>
          <t>مشروع 10</t>
        </is>
      </c>
      <c r="N3" s="11" t="inlineStr">
        <is>
          <t>📂 فتح ملف المستخلصات: IPC_Project_05.xlsx</t>
        </is>
      </c>
      <c r="O3" s="11" t="n"/>
      <c r="P3" s="11" t="n"/>
      <c r="Q3" s="11" t="n"/>
      <c r="R3" s="11" t="n"/>
      <c r="S3" s="12" t="inlineStr">
        <is>
          <t>يُحدَّث آلياً من ملف المستخلصات (تمكين المحتوى ← تحديث الروابط)</t>
        </is>
      </c>
      <c r="T3" s="12" t="n"/>
      <c r="U3" s="12" t="n"/>
      <c r="V3" s="12" t="n"/>
      <c r="W3" s="12" t="n"/>
      <c r="X3" s="12" t="n"/>
      <c r="Y3" s="12" t="n"/>
    </row>
    <row r="4">
      <c r="AA4" s="11" t="inlineStr">
        <is>
          <t>بيانات مرتبطة من ملف المستخلصات</t>
        </is>
      </c>
      <c r="AB4" s="11" t="n"/>
    </row>
    <row r="5" ht="22" customHeight="1">
      <c r="B5" s="9" t="inlineStr">
        <is>
          <t>المشروع</t>
        </is>
      </c>
      <c r="C5" s="13">
        <f>IF('[5]بيانات العقد'!$C$5="","",'[5]بيانات العقد'!$C$5)</f>
        <v/>
      </c>
      <c r="D5" s="13" t="n"/>
      <c r="E5" s="13" t="n"/>
      <c r="F5" s="13" t="n"/>
      <c r="G5" s="9" t="inlineStr">
        <is>
          <t>رقم العقد</t>
        </is>
      </c>
      <c r="H5" s="13">
        <f>IF('[5]بيانات العقد'!$C$6="","",'[5]بيانات العقد'!$C$6)</f>
        <v/>
      </c>
      <c r="I5" s="13" t="n"/>
      <c r="J5" s="13" t="n"/>
      <c r="K5" s="13" t="n"/>
      <c r="L5" s="9" t="inlineStr">
        <is>
          <t>صاحب العمل</t>
        </is>
      </c>
      <c r="M5" s="13">
        <f>IF('[5]بيانات العقد'!$C$7="","",'[5]بيانات العقد'!$C$7)</f>
        <v/>
      </c>
      <c r="N5" s="13" t="n"/>
      <c r="O5" s="13" t="n"/>
      <c r="P5" s="13" t="n"/>
      <c r="Q5" s="13" t="n"/>
      <c r="R5" s="9" t="inlineStr">
        <is>
          <t>الاستشاري</t>
        </is>
      </c>
      <c r="S5" s="13">
        <f>IF('[5]بيانات العقد'!$C$8="","",'[5]بيانات العقد'!$C$8)</f>
        <v/>
      </c>
      <c r="T5" s="13" t="n"/>
      <c r="U5" s="13" t="n"/>
      <c r="V5" s="13" t="n"/>
      <c r="W5" s="13" t="n"/>
      <c r="X5" s="13" t="n"/>
      <c r="Y5" s="13" t="n"/>
      <c r="AA5" s="14" t="inlineStr">
        <is>
          <t>قيمة العقد الأصلية</t>
        </is>
      </c>
      <c r="AB5" s="15">
        <f>N('[5]بيانات العقد'!$C$16)</f>
        <v/>
      </c>
    </row>
    <row r="6" ht="22" customHeight="1">
      <c r="B6" s="9" t="inlineStr">
        <is>
          <t>المقاول</t>
        </is>
      </c>
      <c r="C6" s="13">
        <f>IF('[5]بيانات العقد'!$C$9="","",'[5]بيانات العقد'!$C$9)</f>
        <v/>
      </c>
      <c r="D6" s="13" t="n"/>
      <c r="E6" s="13" t="n"/>
      <c r="F6" s="13" t="n"/>
      <c r="G6" s="9" t="inlineStr">
        <is>
          <t>تاريخ البدء</t>
        </is>
      </c>
      <c r="H6" s="16">
        <f>IF('[5]بيانات العقد'!$C$11="","",'[5]بيانات العقد'!$C$11)</f>
        <v/>
      </c>
      <c r="I6" s="16" t="n"/>
      <c r="J6" s="16" t="n"/>
      <c r="K6" s="16" t="n"/>
      <c r="L6" s="9" t="inlineStr">
        <is>
          <t>الانتهاء التعاقدي</t>
        </is>
      </c>
      <c r="M6" s="16">
        <f>IF('[5]بيانات العقد'!$C$13="","",'[5]بيانات العقد'!$C$13)</f>
        <v/>
      </c>
      <c r="N6" s="16" t="n"/>
      <c r="O6" s="16" t="n"/>
      <c r="P6" s="16" t="n"/>
      <c r="Q6" s="16" t="n"/>
      <c r="R6" s="9" t="inlineStr">
        <is>
          <t>العملة</t>
        </is>
      </c>
      <c r="S6" s="13">
        <f>IF('[5]بيانات العقد'!$C$14="","",'[5]بيانات العقد'!$C$14)</f>
        <v/>
      </c>
      <c r="T6" s="13" t="n"/>
      <c r="U6" s="13" t="n"/>
      <c r="V6" s="13" t="n"/>
      <c r="W6" s="13" t="n"/>
      <c r="X6" s="13" t="n"/>
      <c r="Y6" s="13" t="n"/>
      <c r="AA6" s="14" t="inlineStr">
        <is>
          <t>صافي التغييرية المعتمدة</t>
        </is>
      </c>
      <c r="AB6" s="15">
        <f>N('[5]بيانات العقد'!$C$17)</f>
        <v/>
      </c>
    </row>
    <row r="7">
      <c r="AA7" s="14" t="inlineStr">
        <is>
          <t>قيمة العقد المعدلة</t>
        </is>
      </c>
      <c r="AB7" s="15">
        <f>N('[5]بيانات العقد'!$C$18)</f>
        <v/>
      </c>
    </row>
    <row r="8" ht="24" customHeight="1">
      <c r="B8" s="17" t="inlineStr">
        <is>
          <t>قيمة العقد الأصلية</t>
        </is>
      </c>
      <c r="C8" s="17" t="n"/>
      <c r="D8" s="17" t="n"/>
      <c r="E8" s="17" t="n"/>
      <c r="F8" s="18" t="inlineStr">
        <is>
          <t>صافي الأوامر التغييرية</t>
        </is>
      </c>
      <c r="G8" s="18" t="n"/>
      <c r="H8" s="18" t="n"/>
      <c r="I8" s="18" t="n"/>
      <c r="J8" s="17" t="inlineStr">
        <is>
          <t>قيمة العقد المعدلة</t>
        </is>
      </c>
      <c r="K8" s="17" t="n"/>
      <c r="L8" s="17" t="n"/>
      <c r="M8" s="17" t="n"/>
      <c r="N8" s="19" t="inlineStr">
        <is>
          <t>إجمالي قيمة الأعمال التراكمية</t>
        </is>
      </c>
      <c r="O8" s="19" t="n"/>
      <c r="P8" s="19" t="n"/>
      <c r="Q8" s="19" t="n"/>
      <c r="R8" s="20" t="inlineStr">
        <is>
          <t>الأعمال المتبقية</t>
        </is>
      </c>
      <c r="S8" s="20" t="n"/>
      <c r="T8" s="20" t="n"/>
      <c r="U8" s="20" t="n"/>
      <c r="V8" s="21" t="inlineStr">
        <is>
          <t>آخر مستخلص فعال</t>
        </is>
      </c>
      <c r="W8" s="21" t="n"/>
      <c r="X8" s="21" t="n"/>
      <c r="Y8" s="21" t="n"/>
      <c r="AA8" s="14" t="inlineStr">
        <is>
          <t>نسبة الدفعة المقدمة</t>
        </is>
      </c>
      <c r="AB8" s="22">
        <f>N('[5]بيانات العقد'!$C$20)</f>
        <v/>
      </c>
    </row>
    <row r="9" ht="32" customHeight="1">
      <c r="B9" s="23">
        <f>$AB$5</f>
        <v/>
      </c>
      <c r="C9" s="23" t="n"/>
      <c r="D9" s="23" t="n"/>
      <c r="E9" s="23" t="n"/>
      <c r="F9" s="24">
        <f>$AB$6</f>
        <v/>
      </c>
      <c r="G9" s="24" t="n"/>
      <c r="H9" s="24" t="n"/>
      <c r="I9" s="24" t="n"/>
      <c r="J9" s="23">
        <f>$AB$7</f>
        <v/>
      </c>
      <c r="K9" s="23" t="n"/>
      <c r="L9" s="23" t="n"/>
      <c r="M9" s="23" t="n"/>
      <c r="N9" s="25">
        <f>IF($V$9=0,0,N(INDEX($J$22:$J$41,$V$9)))</f>
        <v/>
      </c>
      <c r="O9" s="25" t="n"/>
      <c r="P9" s="25" t="n"/>
      <c r="Q9" s="25" t="n"/>
      <c r="R9" s="26">
        <f>MAX(0,$AB$7-IF($V$9=0,0,N(INDEX($G$22:$G$41,$V$9)))-IF($V$9=0,0,N(INDEX($H$22:$H$41,$V$9))))</f>
        <v/>
      </c>
      <c r="S9" s="26" t="n"/>
      <c r="T9" s="26" t="n"/>
      <c r="U9" s="26" t="n"/>
      <c r="V9" s="27">
        <f>SUMPRODUCT(MAX((C22:C41&lt;&gt;"")*B22:B41))</f>
        <v/>
      </c>
      <c r="W9" s="27" t="n"/>
      <c r="X9" s="27" t="n"/>
      <c r="Y9" s="27" t="n"/>
      <c r="AA9" s="14" t="inlineStr">
        <is>
          <t>قيمة الدفعة المقدمة</t>
        </is>
      </c>
      <c r="AB9" s="15">
        <f>N('[5]بيانات العقد'!$C$21)</f>
        <v/>
      </c>
    </row>
    <row r="10">
      <c r="AA10" s="14" t="inlineStr">
        <is>
          <t>نسبة ضمان الأعمال</t>
        </is>
      </c>
      <c r="AB10" s="22">
        <f>N('[5]بيانات العقد'!$C$27)</f>
        <v/>
      </c>
    </row>
    <row r="11" ht="24" customHeight="1">
      <c r="B11" s="19" t="inlineStr">
        <is>
          <t>نسبة الإنجاز الفعلية</t>
        </is>
      </c>
      <c r="C11" s="19" t="n"/>
      <c r="D11" s="19" t="n"/>
      <c r="E11" s="19" t="n"/>
      <c r="F11" s="17" t="inlineStr">
        <is>
          <t>نسبة الإنجاز المخططة</t>
        </is>
      </c>
      <c r="G11" s="17" t="n"/>
      <c r="H11" s="17" t="n"/>
      <c r="I11" s="17" t="n"/>
      <c r="J11" s="21" t="inlineStr">
        <is>
          <t>الانحراف (فعلي - مخطط)</t>
        </is>
      </c>
      <c r="K11" s="21" t="n"/>
      <c r="L11" s="21" t="n"/>
      <c r="M11" s="21" t="n"/>
      <c r="N11" s="20" t="inlineStr">
        <is>
          <t>نسبة المدة المنقضية</t>
        </is>
      </c>
      <c r="O11" s="20" t="n"/>
      <c r="P11" s="20" t="n"/>
      <c r="Q11" s="20" t="n"/>
      <c r="R11" s="17" t="inlineStr">
        <is>
          <t>مؤشر أداء الجدول (SPI)</t>
        </is>
      </c>
      <c r="S11" s="17" t="n"/>
      <c r="T11" s="17" t="n"/>
      <c r="U11" s="17" t="n"/>
      <c r="V11" s="17" t="inlineStr">
        <is>
          <t>حالة المشروع</t>
        </is>
      </c>
      <c r="W11" s="17" t="n"/>
      <c r="X11" s="17" t="n"/>
      <c r="Y11" s="17" t="n"/>
      <c r="AA11" s="14" t="inlineStr">
        <is>
          <t>الحد الأقصى للضمان</t>
        </is>
      </c>
      <c r="AB11" s="15">
        <f>N('[5]بيانات العقد'!$C$29)</f>
        <v/>
      </c>
    </row>
    <row r="12" ht="32" customHeight="1">
      <c r="B12" s="28">
        <f>IF($V$9=0,0,N(INDEX($K$22:$K$41,$V$9)))</f>
        <v/>
      </c>
      <c r="C12" s="28" t="n"/>
      <c r="D12" s="28" t="n"/>
      <c r="E12" s="28" t="n"/>
      <c r="F12" s="29">
        <f>IF($V$9=0,0,N(INDEX($L$22:$L$41,$V$9)))</f>
        <v/>
      </c>
      <c r="G12" s="29" t="n"/>
      <c r="H12" s="29" t="n"/>
      <c r="I12" s="29" t="n"/>
      <c r="J12" s="30">
        <f>B12-F12</f>
        <v/>
      </c>
      <c r="K12" s="30" t="n"/>
      <c r="L12" s="30" t="n"/>
      <c r="M12" s="30" t="n"/>
      <c r="N12" s="31">
        <f>IF(OR($V$9=0,$AB$14="",$AB$15=""),0,MIN(1,MAX(0,(INDEX(C22:C41,$V$9)-$AB$14+1)/($AB$15-$AB$14+1))))</f>
        <v/>
      </c>
      <c r="O12" s="31" t="n"/>
      <c r="P12" s="31" t="n"/>
      <c r="Q12" s="31" t="n"/>
      <c r="R12" s="32">
        <f>IF(F12&gt;0,B12/F12,0)</f>
        <v/>
      </c>
      <c r="S12" s="32" t="n"/>
      <c r="T12" s="32" t="n"/>
      <c r="U12" s="32" t="n"/>
      <c r="V12" s="33">
        <f>IF($AB$7=0,"غير مُفعّل",IF($V$9=0,"لم يبدأ الصرف",IF(J12&lt;-0.05,"⚠ متأخر",IF(J12&lt;0,"متأخر قليلاً","✔ مطابق / متقدم"))))</f>
        <v/>
      </c>
      <c r="W12" s="33" t="n"/>
      <c r="X12" s="33" t="n"/>
      <c r="Y12" s="33" t="n"/>
      <c r="AA12" s="14" t="inlineStr">
        <is>
          <t>ضريبة القيمة المضافة</t>
        </is>
      </c>
      <c r="AB12" s="22">
        <f>N('[5]بيانات العقد'!$C$31)</f>
        <v/>
      </c>
    </row>
    <row r="13">
      <c r="AA13" s="14" t="inlineStr">
        <is>
          <t>ضريبة الخصم من المنبع</t>
        </is>
      </c>
      <c r="AB13" s="22">
        <f>N('[5]بيانات العقد'!$C$33)</f>
        <v/>
      </c>
    </row>
    <row r="14" ht="24" customHeight="1">
      <c r="B14" s="17" t="inlineStr">
        <is>
          <t>صافي المستحق التراكمي</t>
        </is>
      </c>
      <c r="C14" s="17" t="n"/>
      <c r="D14" s="17" t="n"/>
      <c r="E14" s="17" t="n"/>
      <c r="F14" s="34" t="inlineStr">
        <is>
          <t>إجمالي المحصل</t>
        </is>
      </c>
      <c r="G14" s="34" t="n"/>
      <c r="H14" s="34" t="n"/>
      <c r="I14" s="34" t="n"/>
      <c r="J14" s="35" t="inlineStr">
        <is>
          <t>مستحقات غير محصلة</t>
        </is>
      </c>
      <c r="K14" s="35" t="n"/>
      <c r="L14" s="35" t="n"/>
      <c r="M14" s="35" t="n"/>
      <c r="N14" s="34" t="inlineStr">
        <is>
          <t>نسبة التحصيل</t>
        </is>
      </c>
      <c r="O14" s="34" t="n"/>
      <c r="P14" s="34" t="n"/>
      <c r="Q14" s="34" t="n"/>
      <c r="R14" s="20" t="inlineStr">
        <is>
          <t>متوسط مدة التحصيل (يوم)</t>
        </is>
      </c>
      <c r="S14" s="20" t="n"/>
      <c r="T14" s="20" t="n"/>
      <c r="U14" s="20" t="n"/>
      <c r="V14" s="21" t="inlineStr">
        <is>
          <t>تاريخ آخر مستخلص</t>
        </is>
      </c>
      <c r="W14" s="21" t="n"/>
      <c r="X14" s="21" t="n"/>
      <c r="Y14" s="21" t="n"/>
      <c r="AA14" s="14" t="inlineStr">
        <is>
          <t>تاريخ البدء</t>
        </is>
      </c>
      <c r="AB14" s="36">
        <f>IF('[5]بيانات العقد'!$C$11="","",'[5]بيانات العقد'!$C$11)</f>
        <v/>
      </c>
    </row>
    <row r="15" ht="32" customHeight="1">
      <c r="B15" s="23">
        <f>IF($V$9=0,0,N(INDEX($T$22:$T$41,$V$9)))</f>
        <v/>
      </c>
      <c r="C15" s="23" t="n"/>
      <c r="D15" s="23" t="n"/>
      <c r="E15" s="23" t="n"/>
      <c r="F15" s="37">
        <f>V42</f>
        <v/>
      </c>
      <c r="G15" s="37" t="n"/>
      <c r="H15" s="37" t="n"/>
      <c r="I15" s="37" t="n"/>
      <c r="J15" s="38">
        <f>W42</f>
        <v/>
      </c>
      <c r="K15" s="38" t="n"/>
      <c r="L15" s="38" t="n"/>
      <c r="M15" s="38" t="n"/>
      <c r="N15" s="39">
        <f>IF(B15&gt;0,F15/B15,0)</f>
        <v/>
      </c>
      <c r="O15" s="39" t="n"/>
      <c r="P15" s="39" t="n"/>
      <c r="Q15" s="39" t="n"/>
      <c r="R15" s="40">
        <f>X42</f>
        <v/>
      </c>
      <c r="S15" s="40" t="n"/>
      <c r="T15" s="40" t="n"/>
      <c r="U15" s="40" t="n"/>
      <c r="V15" s="41">
        <f>IF($V$9=0,"",INDEX(C22:C41,$V$9))</f>
        <v/>
      </c>
      <c r="W15" s="41" t="n"/>
      <c r="X15" s="41" t="n"/>
      <c r="Y15" s="41" t="n"/>
      <c r="AA15" s="14" t="inlineStr">
        <is>
          <t>تاريخ الانتهاء التعاقدي</t>
        </is>
      </c>
      <c r="AB15" s="36">
        <f>IF('[5]بيانات العقد'!$C$13="","",'[5]بيانات العقد'!$C$13)</f>
        <v/>
      </c>
    </row>
    <row r="16">
      <c r="AA16" s="14" t="inlineStr">
        <is>
          <t>المدة (شهر)</t>
        </is>
      </c>
      <c r="AB16" s="42">
        <f>IF('[5]بيانات العقد'!$C$12="","",'[5]بيانات العقد'!$C$12)</f>
        <v/>
      </c>
    </row>
    <row r="17" ht="24" customHeight="1">
      <c r="B17" s="43" t="inlineStr">
        <is>
          <t>ضمان الأعمال المحتجز</t>
        </is>
      </c>
      <c r="C17" s="43" t="n"/>
      <c r="D17" s="43" t="n"/>
      <c r="E17" s="43" t="n"/>
      <c r="F17" s="43" t="inlineStr">
        <is>
          <t>رصيد الدفعة المقدمة غير المسترد</t>
        </is>
      </c>
      <c r="G17" s="43" t="n"/>
      <c r="H17" s="43" t="n"/>
      <c r="I17" s="43" t="n"/>
      <c r="J17" s="43" t="inlineStr">
        <is>
          <t>الاستقطاعات الفنية المحتجزة</t>
        </is>
      </c>
      <c r="K17" s="43" t="n"/>
      <c r="L17" s="43" t="n"/>
      <c r="M17" s="43" t="n"/>
      <c r="N17" s="43" t="inlineStr">
        <is>
          <t>الغرامات والخصومات</t>
        </is>
      </c>
      <c r="O17" s="43" t="n"/>
      <c r="P17" s="43" t="n"/>
      <c r="Q17" s="43" t="n"/>
      <c r="R17" s="19" t="inlineStr">
        <is>
          <t>مستحق آخر مستخلص</t>
        </is>
      </c>
      <c r="S17" s="19" t="n"/>
      <c r="T17" s="19" t="n"/>
      <c r="U17" s="19" t="n"/>
      <c r="V17" s="17" t="inlineStr">
        <is>
          <t>عدد المستخلصات المعتمدة</t>
        </is>
      </c>
      <c r="W17" s="17" t="n"/>
      <c r="X17" s="17" t="n"/>
      <c r="Y17" s="17" t="n"/>
    </row>
    <row r="18" ht="32" customHeight="1">
      <c r="B18" s="44">
        <f>IF($V$9=0,0,N(INDEX($O$22:$O$41,$V$9)))</f>
        <v/>
      </c>
      <c r="C18" s="44" t="n"/>
      <c r="D18" s="44" t="n"/>
      <c r="E18" s="44" t="n"/>
      <c r="F18" s="44">
        <f>MAX(0,$AB$9-IF($V$9=0,0,N(INDEX($N$22:$N$41,$V$9))))</f>
        <v/>
      </c>
      <c r="G18" s="44" t="n"/>
      <c r="H18" s="44" t="n"/>
      <c r="I18" s="44" t="n"/>
      <c r="J18" s="44">
        <f>IF($V$9=0,0,N(INDEX($P$22:$P$41,$V$9)))</f>
        <v/>
      </c>
      <c r="K18" s="44" t="n"/>
      <c r="L18" s="44" t="n"/>
      <c r="M18" s="44" t="n"/>
      <c r="N18" s="44">
        <f>IF($V$9=0,0,N(INDEX($Q$22:$Q$41,$V$9)))</f>
        <v/>
      </c>
      <c r="O18" s="44" t="n"/>
      <c r="P18" s="44" t="n"/>
      <c r="Q18" s="44" t="n"/>
      <c r="R18" s="25">
        <f>IF($V$9=0,0,N(INDEX($U$22:$U$41,$V$9)))</f>
        <v/>
      </c>
      <c r="S18" s="25" t="n"/>
      <c r="T18" s="25" t="n"/>
      <c r="U18" s="25" t="n"/>
      <c r="V18" s="45">
        <f>COUNTIF(E22:E41,"معتمد")</f>
        <v/>
      </c>
      <c r="W18" s="45" t="n"/>
      <c r="X18" s="45" t="n"/>
      <c r="Y18" s="45" t="n"/>
    </row>
    <row r="20">
      <c r="B20" s="46" t="inlineStr">
        <is>
          <t>سجل المستخلصات (مرتبط)</t>
        </is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</row>
    <row r="21" ht="48" customHeight="1">
      <c r="B21" s="47" t="inlineStr">
        <is>
          <t>رقم المستخلص</t>
        </is>
      </c>
      <c r="C21" s="47" t="inlineStr">
        <is>
          <t>الفترة إلى</t>
        </is>
      </c>
      <c r="D21" s="47" t="inlineStr">
        <is>
          <t>تاريخ الاعتماد</t>
        </is>
      </c>
      <c r="E21" s="47" t="inlineStr">
        <is>
          <t>حالة المستخلص</t>
        </is>
      </c>
      <c r="F21" s="47" t="inlineStr">
        <is>
          <t>أعمال الفترة</t>
        </is>
      </c>
      <c r="G21" s="47" t="inlineStr">
        <is>
          <t>الأعمال المنفذة التراكمية</t>
        </is>
      </c>
      <c r="H21" s="47" t="inlineStr">
        <is>
          <t>التغييرية التراكمية</t>
        </is>
      </c>
      <c r="I21" s="47" t="inlineStr">
        <is>
          <t>رصيد المواد بالموقع</t>
        </is>
      </c>
      <c r="J21" s="47" t="inlineStr">
        <is>
          <t>إجمالي القيمة التراكمية</t>
        </is>
      </c>
      <c r="K21" s="47" t="inlineStr">
        <is>
          <t>نسبة الإنجاز الفعلية</t>
        </is>
      </c>
      <c r="L21" s="47" t="inlineStr">
        <is>
          <t>نسبة الإنجاز المخططة</t>
        </is>
      </c>
      <c r="M21" s="47" t="inlineStr">
        <is>
          <t>الانحراف</t>
        </is>
      </c>
      <c r="N21" s="47" t="inlineStr">
        <is>
          <t>استرداد الدفعة المقدمة</t>
        </is>
      </c>
      <c r="O21" s="47" t="inlineStr">
        <is>
          <t>صافي الضمان المحتجز</t>
        </is>
      </c>
      <c r="P21" s="47" t="inlineStr">
        <is>
          <t>الاستقطاعات الفنية</t>
        </is>
      </c>
      <c r="Q21" s="47" t="inlineStr">
        <is>
          <t>الغرامات والخصومات</t>
        </is>
      </c>
      <c r="R21" s="47" t="inlineStr">
        <is>
          <t>ضريبة القيمة المضافة</t>
        </is>
      </c>
      <c r="S21" s="47" t="inlineStr">
        <is>
          <t>ضريبة الخصم من المنبع</t>
        </is>
      </c>
      <c r="T21" s="47" t="inlineStr">
        <is>
          <t>صافي المستحق التراكمي</t>
        </is>
      </c>
      <c r="U21" s="47" t="inlineStr">
        <is>
          <t>المستحق للمستخلص الحالي</t>
        </is>
      </c>
      <c r="V21" s="47" t="inlineStr">
        <is>
          <t>المحصل</t>
        </is>
      </c>
      <c r="W21" s="47" t="inlineStr">
        <is>
          <t>المتبقي</t>
        </is>
      </c>
      <c r="X21" s="47" t="inlineStr">
        <is>
          <t>مدة التحصيل (يوم)</t>
        </is>
      </c>
      <c r="Y21" s="47" t="inlineStr">
        <is>
          <t>حالة التحصيل</t>
        </is>
      </c>
    </row>
    <row r="22">
      <c r="B22" s="48" t="n">
        <v>1</v>
      </c>
      <c r="C22" s="49">
        <f>IF('[5]سجل المستخلصات'!$C$6="","",'[5]سجل المستخلصات'!$C$6)</f>
        <v/>
      </c>
      <c r="D22" s="49">
        <f>IF('[5]سجل المستخلصات'!$E$6="","",'[5]سجل المستخلصات'!$E$6)</f>
        <v/>
      </c>
      <c r="E22" s="50">
        <f>IF('[5]سجل المستخلصات'!$F$6="","",'[5]سجل المستخلصات'!$F$6)</f>
        <v/>
      </c>
      <c r="F22" s="51">
        <f>IF('[5]سجل المستخلصات'!$H$6="","",'[5]سجل المستخلصات'!$H$6)</f>
        <v/>
      </c>
      <c r="G22" s="51">
        <f>IF('[5]سجل المستخلصات'!$G$6="","",'[5]سجل المستخلصات'!$G$6)</f>
        <v/>
      </c>
      <c r="H22" s="51">
        <f>IF('[5]سجل المستخلصات'!$I$6="","",'[5]سجل المستخلصات'!$I$6)</f>
        <v/>
      </c>
      <c r="I22" s="51">
        <f>IF('[5]سجل المستخلصات'!$J$6="","",'[5]سجل المستخلصات'!$J$6)</f>
        <v/>
      </c>
      <c r="J22" s="51">
        <f>IF('[5]سجل المستخلصات'!$K$6="","",'[5]سجل المستخلصات'!$K$6)</f>
        <v/>
      </c>
      <c r="K22" s="52">
        <f>IF('[5]سجل المستخلصات'!$L$6="","",'[5]سجل المستخلصات'!$L$6)</f>
        <v/>
      </c>
      <c r="L22" s="52">
        <f>IF('[5]سجل المستخلصات'!$M$6="","",'[5]سجل المستخلصات'!$M$6)</f>
        <v/>
      </c>
      <c r="M22" s="52">
        <f>IF('[5]سجل المستخلصات'!$N$6="","",'[5]سجل المستخلصات'!$N$6)</f>
        <v/>
      </c>
      <c r="N22" s="51">
        <f>IF('[5]سجل المستخلصات'!$O$6="","",'[5]سجل المستخلصات'!$O$6)</f>
        <v/>
      </c>
      <c r="O22" s="51">
        <f>IF('[5]سجل المستخلصات'!$R$6="","",'[5]سجل المستخلصات'!$R$6)</f>
        <v/>
      </c>
      <c r="P22" s="51">
        <f>IF('[5]سجل المستخلصات'!$S$6="","",'[5]سجل المستخلصات'!$S$6)</f>
        <v/>
      </c>
      <c r="Q22" s="51">
        <f>IF('[5]سجل المستخلصات'!$T$6="","",'[5]سجل المستخلصات'!$T$6)</f>
        <v/>
      </c>
      <c r="R22" s="51">
        <f>IF('[5]سجل المستخلصات'!$V$6="","",'[5]سجل المستخلصات'!$V$6)</f>
        <v/>
      </c>
      <c r="S22" s="51">
        <f>IF('[5]سجل المستخلصات'!$W$6="","",'[5]سجل المستخلصات'!$W$6)</f>
        <v/>
      </c>
      <c r="T22" s="53">
        <f>IF('[5]سجل المستخلصات'!$X$6="","",'[5]سجل المستخلصات'!$X$6)</f>
        <v/>
      </c>
      <c r="U22" s="53">
        <f>IF('[5]سجل المستخلصات'!$Z$6="","",'[5]سجل المستخلصات'!$Z$6)</f>
        <v/>
      </c>
      <c r="V22" s="51">
        <f>IF('[5]سجل المستخلصات'!$AA$6="","",'[5]سجل المستخلصات'!$AA$6)</f>
        <v/>
      </c>
      <c r="W22" s="51">
        <f>IF('[5]سجل المستخلصات'!$AC$6="","",'[5]سجل المستخلصات'!$AC$6)</f>
        <v/>
      </c>
      <c r="X22" s="54">
        <f>IF('[5]سجل المستخلصات'!$AD$6="","",'[5]سجل المستخلصات'!$AD$6)</f>
        <v/>
      </c>
      <c r="Y22" s="50">
        <f>IF('[5]سجل المستخلصات'!$AE$6="","",'[5]سجل المستخلصات'!$AE$6)</f>
        <v/>
      </c>
    </row>
    <row r="23">
      <c r="B23" s="48" t="n">
        <v>2</v>
      </c>
      <c r="C23" s="49">
        <f>IF('[5]سجل المستخلصات'!$C$7="","",'[5]سجل المستخلصات'!$C$7)</f>
        <v/>
      </c>
      <c r="D23" s="49">
        <f>IF('[5]سجل المستخلصات'!$E$7="","",'[5]سجل المستخلصات'!$E$7)</f>
        <v/>
      </c>
      <c r="E23" s="50">
        <f>IF('[5]سجل المستخلصات'!$F$7="","",'[5]سجل المستخلصات'!$F$7)</f>
        <v/>
      </c>
      <c r="F23" s="51">
        <f>IF('[5]سجل المستخلصات'!$H$7="","",'[5]سجل المستخلصات'!$H$7)</f>
        <v/>
      </c>
      <c r="G23" s="51">
        <f>IF('[5]سجل المستخلصات'!$G$7="","",'[5]سجل المستخلصات'!$G$7)</f>
        <v/>
      </c>
      <c r="H23" s="51">
        <f>IF('[5]سجل المستخلصات'!$I$7="","",'[5]سجل المستخلصات'!$I$7)</f>
        <v/>
      </c>
      <c r="I23" s="51">
        <f>IF('[5]سجل المستخلصات'!$J$7="","",'[5]سجل المستخلصات'!$J$7)</f>
        <v/>
      </c>
      <c r="J23" s="51">
        <f>IF('[5]سجل المستخلصات'!$K$7="","",'[5]سجل المستخلصات'!$K$7)</f>
        <v/>
      </c>
      <c r="K23" s="52">
        <f>IF('[5]سجل المستخلصات'!$L$7="","",'[5]سجل المستخلصات'!$L$7)</f>
        <v/>
      </c>
      <c r="L23" s="52">
        <f>IF('[5]سجل المستخلصات'!$M$7="","",'[5]سجل المستخلصات'!$M$7)</f>
        <v/>
      </c>
      <c r="M23" s="52">
        <f>IF('[5]سجل المستخلصات'!$N$7="","",'[5]سجل المستخلصات'!$N$7)</f>
        <v/>
      </c>
      <c r="N23" s="51">
        <f>IF('[5]سجل المستخلصات'!$O$7="","",'[5]سجل المستخلصات'!$O$7)</f>
        <v/>
      </c>
      <c r="O23" s="51">
        <f>IF('[5]سجل المستخلصات'!$R$7="","",'[5]سجل المستخلصات'!$R$7)</f>
        <v/>
      </c>
      <c r="P23" s="51">
        <f>IF('[5]سجل المستخلصات'!$S$7="","",'[5]سجل المستخلصات'!$S$7)</f>
        <v/>
      </c>
      <c r="Q23" s="51">
        <f>IF('[5]سجل المستخلصات'!$T$7="","",'[5]سجل المستخلصات'!$T$7)</f>
        <v/>
      </c>
      <c r="R23" s="51">
        <f>IF('[5]سجل المستخلصات'!$V$7="","",'[5]سجل المستخلصات'!$V$7)</f>
        <v/>
      </c>
      <c r="S23" s="51">
        <f>IF('[5]سجل المستخلصات'!$W$7="","",'[5]سجل المستخلصات'!$W$7)</f>
        <v/>
      </c>
      <c r="T23" s="53">
        <f>IF('[5]سجل المستخلصات'!$X$7="","",'[5]سجل المستخلصات'!$X$7)</f>
        <v/>
      </c>
      <c r="U23" s="53">
        <f>IF('[5]سجل المستخلصات'!$Z$7="","",'[5]سجل المستخلصات'!$Z$7)</f>
        <v/>
      </c>
      <c r="V23" s="51">
        <f>IF('[5]سجل المستخلصات'!$AA$7="","",'[5]سجل المستخلصات'!$AA$7)</f>
        <v/>
      </c>
      <c r="W23" s="51">
        <f>IF('[5]سجل المستخلصات'!$AC$7="","",'[5]سجل المستخلصات'!$AC$7)</f>
        <v/>
      </c>
      <c r="X23" s="54">
        <f>IF('[5]سجل المستخلصات'!$AD$7="","",'[5]سجل المستخلصات'!$AD$7)</f>
        <v/>
      </c>
      <c r="Y23" s="50">
        <f>IF('[5]سجل المستخلصات'!$AE$7="","",'[5]سجل المستخلصات'!$AE$7)</f>
        <v/>
      </c>
    </row>
    <row r="24">
      <c r="B24" s="48" t="n">
        <v>3</v>
      </c>
      <c r="C24" s="49">
        <f>IF('[5]سجل المستخلصات'!$C$8="","",'[5]سجل المستخلصات'!$C$8)</f>
        <v/>
      </c>
      <c r="D24" s="49">
        <f>IF('[5]سجل المستخلصات'!$E$8="","",'[5]سجل المستخلصات'!$E$8)</f>
        <v/>
      </c>
      <c r="E24" s="50">
        <f>IF('[5]سجل المستخلصات'!$F$8="","",'[5]سجل المستخلصات'!$F$8)</f>
        <v/>
      </c>
      <c r="F24" s="51">
        <f>IF('[5]سجل المستخلصات'!$H$8="","",'[5]سجل المستخلصات'!$H$8)</f>
        <v/>
      </c>
      <c r="G24" s="51">
        <f>IF('[5]سجل المستخلصات'!$G$8="","",'[5]سجل المستخلصات'!$G$8)</f>
        <v/>
      </c>
      <c r="H24" s="51">
        <f>IF('[5]سجل المستخلصات'!$I$8="","",'[5]سجل المستخلصات'!$I$8)</f>
        <v/>
      </c>
      <c r="I24" s="51">
        <f>IF('[5]سجل المستخلصات'!$J$8="","",'[5]سجل المستخلصات'!$J$8)</f>
        <v/>
      </c>
      <c r="J24" s="51">
        <f>IF('[5]سجل المستخلصات'!$K$8="","",'[5]سجل المستخلصات'!$K$8)</f>
        <v/>
      </c>
      <c r="K24" s="52">
        <f>IF('[5]سجل المستخلصات'!$L$8="","",'[5]سجل المستخلصات'!$L$8)</f>
        <v/>
      </c>
      <c r="L24" s="52">
        <f>IF('[5]سجل المستخلصات'!$M$8="","",'[5]سجل المستخلصات'!$M$8)</f>
        <v/>
      </c>
      <c r="M24" s="52">
        <f>IF('[5]سجل المستخلصات'!$N$8="","",'[5]سجل المستخلصات'!$N$8)</f>
        <v/>
      </c>
      <c r="N24" s="51">
        <f>IF('[5]سجل المستخلصات'!$O$8="","",'[5]سجل المستخلصات'!$O$8)</f>
        <v/>
      </c>
      <c r="O24" s="51">
        <f>IF('[5]سجل المستخلصات'!$R$8="","",'[5]سجل المستخلصات'!$R$8)</f>
        <v/>
      </c>
      <c r="P24" s="51">
        <f>IF('[5]سجل المستخلصات'!$S$8="","",'[5]سجل المستخلصات'!$S$8)</f>
        <v/>
      </c>
      <c r="Q24" s="51">
        <f>IF('[5]سجل المستخلصات'!$T$8="","",'[5]سجل المستخلصات'!$T$8)</f>
        <v/>
      </c>
      <c r="R24" s="51">
        <f>IF('[5]سجل المستخلصات'!$V$8="","",'[5]سجل المستخلصات'!$V$8)</f>
        <v/>
      </c>
      <c r="S24" s="51">
        <f>IF('[5]سجل المستخلصات'!$W$8="","",'[5]سجل المستخلصات'!$W$8)</f>
        <v/>
      </c>
      <c r="T24" s="53">
        <f>IF('[5]سجل المستخلصات'!$X$8="","",'[5]سجل المستخلصات'!$X$8)</f>
        <v/>
      </c>
      <c r="U24" s="53">
        <f>IF('[5]سجل المستخلصات'!$Z$8="","",'[5]سجل المستخلصات'!$Z$8)</f>
        <v/>
      </c>
      <c r="V24" s="51">
        <f>IF('[5]سجل المستخلصات'!$AA$8="","",'[5]سجل المستخلصات'!$AA$8)</f>
        <v/>
      </c>
      <c r="W24" s="51">
        <f>IF('[5]سجل المستخلصات'!$AC$8="","",'[5]سجل المستخلصات'!$AC$8)</f>
        <v/>
      </c>
      <c r="X24" s="54">
        <f>IF('[5]سجل المستخلصات'!$AD$8="","",'[5]سجل المستخلصات'!$AD$8)</f>
        <v/>
      </c>
      <c r="Y24" s="50">
        <f>IF('[5]سجل المستخلصات'!$AE$8="","",'[5]سجل المستخلصات'!$AE$8)</f>
        <v/>
      </c>
    </row>
    <row r="25">
      <c r="B25" s="48" t="n">
        <v>4</v>
      </c>
      <c r="C25" s="49">
        <f>IF('[5]سجل المستخلصات'!$C$9="","",'[5]سجل المستخلصات'!$C$9)</f>
        <v/>
      </c>
      <c r="D25" s="49">
        <f>IF('[5]سجل المستخلصات'!$E$9="","",'[5]سجل المستخلصات'!$E$9)</f>
        <v/>
      </c>
      <c r="E25" s="50">
        <f>IF('[5]سجل المستخلصات'!$F$9="","",'[5]سجل المستخلصات'!$F$9)</f>
        <v/>
      </c>
      <c r="F25" s="51">
        <f>IF('[5]سجل المستخلصات'!$H$9="","",'[5]سجل المستخلصات'!$H$9)</f>
        <v/>
      </c>
      <c r="G25" s="51">
        <f>IF('[5]سجل المستخلصات'!$G$9="","",'[5]سجل المستخلصات'!$G$9)</f>
        <v/>
      </c>
      <c r="H25" s="51">
        <f>IF('[5]سجل المستخلصات'!$I$9="","",'[5]سجل المستخلصات'!$I$9)</f>
        <v/>
      </c>
      <c r="I25" s="51">
        <f>IF('[5]سجل المستخلصات'!$J$9="","",'[5]سجل المستخلصات'!$J$9)</f>
        <v/>
      </c>
      <c r="J25" s="51">
        <f>IF('[5]سجل المستخلصات'!$K$9="","",'[5]سجل المستخلصات'!$K$9)</f>
        <v/>
      </c>
      <c r="K25" s="52">
        <f>IF('[5]سجل المستخلصات'!$L$9="","",'[5]سجل المستخلصات'!$L$9)</f>
        <v/>
      </c>
      <c r="L25" s="52">
        <f>IF('[5]سجل المستخلصات'!$M$9="","",'[5]سجل المستخلصات'!$M$9)</f>
        <v/>
      </c>
      <c r="M25" s="52">
        <f>IF('[5]سجل المستخلصات'!$N$9="","",'[5]سجل المستخلصات'!$N$9)</f>
        <v/>
      </c>
      <c r="N25" s="51">
        <f>IF('[5]سجل المستخلصات'!$O$9="","",'[5]سجل المستخلصات'!$O$9)</f>
        <v/>
      </c>
      <c r="O25" s="51">
        <f>IF('[5]سجل المستخلصات'!$R$9="","",'[5]سجل المستخلصات'!$R$9)</f>
        <v/>
      </c>
      <c r="P25" s="51">
        <f>IF('[5]سجل المستخلصات'!$S$9="","",'[5]سجل المستخلصات'!$S$9)</f>
        <v/>
      </c>
      <c r="Q25" s="51">
        <f>IF('[5]سجل المستخلصات'!$T$9="","",'[5]سجل المستخلصات'!$T$9)</f>
        <v/>
      </c>
      <c r="R25" s="51">
        <f>IF('[5]سجل المستخلصات'!$V$9="","",'[5]سجل المستخلصات'!$V$9)</f>
        <v/>
      </c>
      <c r="S25" s="51">
        <f>IF('[5]سجل المستخلصات'!$W$9="","",'[5]سجل المستخلصات'!$W$9)</f>
        <v/>
      </c>
      <c r="T25" s="53">
        <f>IF('[5]سجل المستخلصات'!$X$9="","",'[5]سجل المستخلصات'!$X$9)</f>
        <v/>
      </c>
      <c r="U25" s="53">
        <f>IF('[5]سجل المستخلصات'!$Z$9="","",'[5]سجل المستخلصات'!$Z$9)</f>
        <v/>
      </c>
      <c r="V25" s="51">
        <f>IF('[5]سجل المستخلصات'!$AA$9="","",'[5]سجل المستخلصات'!$AA$9)</f>
        <v/>
      </c>
      <c r="W25" s="51">
        <f>IF('[5]سجل المستخلصات'!$AC$9="","",'[5]سجل المستخلصات'!$AC$9)</f>
        <v/>
      </c>
      <c r="X25" s="54">
        <f>IF('[5]سجل المستخلصات'!$AD$9="","",'[5]سجل المستخلصات'!$AD$9)</f>
        <v/>
      </c>
      <c r="Y25" s="50">
        <f>IF('[5]سجل المستخلصات'!$AE$9="","",'[5]سجل المستخلصات'!$AE$9)</f>
        <v/>
      </c>
    </row>
    <row r="26">
      <c r="B26" s="48" t="n">
        <v>5</v>
      </c>
      <c r="C26" s="49">
        <f>IF('[5]سجل المستخلصات'!$C$10="","",'[5]سجل المستخلصات'!$C$10)</f>
        <v/>
      </c>
      <c r="D26" s="49">
        <f>IF('[5]سجل المستخلصات'!$E$10="","",'[5]سجل المستخلصات'!$E$10)</f>
        <v/>
      </c>
      <c r="E26" s="50">
        <f>IF('[5]سجل المستخلصات'!$F$10="","",'[5]سجل المستخلصات'!$F$10)</f>
        <v/>
      </c>
      <c r="F26" s="51">
        <f>IF('[5]سجل المستخلصات'!$H$10="","",'[5]سجل المستخلصات'!$H$10)</f>
        <v/>
      </c>
      <c r="G26" s="51">
        <f>IF('[5]سجل المستخلصات'!$G$10="","",'[5]سجل المستخلصات'!$G$10)</f>
        <v/>
      </c>
      <c r="H26" s="51">
        <f>IF('[5]سجل المستخلصات'!$I$10="","",'[5]سجل المستخلصات'!$I$10)</f>
        <v/>
      </c>
      <c r="I26" s="51">
        <f>IF('[5]سجل المستخلصات'!$J$10="","",'[5]سجل المستخلصات'!$J$10)</f>
        <v/>
      </c>
      <c r="J26" s="51">
        <f>IF('[5]سجل المستخلصات'!$K$10="","",'[5]سجل المستخلصات'!$K$10)</f>
        <v/>
      </c>
      <c r="K26" s="52">
        <f>IF('[5]سجل المستخلصات'!$L$10="","",'[5]سجل المستخلصات'!$L$10)</f>
        <v/>
      </c>
      <c r="L26" s="52">
        <f>IF('[5]سجل المستخلصات'!$M$10="","",'[5]سجل المستخلصات'!$M$10)</f>
        <v/>
      </c>
      <c r="M26" s="52">
        <f>IF('[5]سجل المستخلصات'!$N$10="","",'[5]سجل المستخلصات'!$N$10)</f>
        <v/>
      </c>
      <c r="N26" s="51">
        <f>IF('[5]سجل المستخلصات'!$O$10="","",'[5]سجل المستخلصات'!$O$10)</f>
        <v/>
      </c>
      <c r="O26" s="51">
        <f>IF('[5]سجل المستخلصات'!$R$10="","",'[5]سجل المستخلصات'!$R$10)</f>
        <v/>
      </c>
      <c r="P26" s="51">
        <f>IF('[5]سجل المستخلصات'!$S$10="","",'[5]سجل المستخلصات'!$S$10)</f>
        <v/>
      </c>
      <c r="Q26" s="51">
        <f>IF('[5]سجل المستخلصات'!$T$10="","",'[5]سجل المستخلصات'!$T$10)</f>
        <v/>
      </c>
      <c r="R26" s="51">
        <f>IF('[5]سجل المستخلصات'!$V$10="","",'[5]سجل المستخلصات'!$V$10)</f>
        <v/>
      </c>
      <c r="S26" s="51">
        <f>IF('[5]سجل المستخلصات'!$W$10="","",'[5]سجل المستخلصات'!$W$10)</f>
        <v/>
      </c>
      <c r="T26" s="53">
        <f>IF('[5]سجل المستخلصات'!$X$10="","",'[5]سجل المستخلصات'!$X$10)</f>
        <v/>
      </c>
      <c r="U26" s="53">
        <f>IF('[5]سجل المستخلصات'!$Z$10="","",'[5]سجل المستخلصات'!$Z$10)</f>
        <v/>
      </c>
      <c r="V26" s="51">
        <f>IF('[5]سجل المستخلصات'!$AA$10="","",'[5]سجل المستخلصات'!$AA$10)</f>
        <v/>
      </c>
      <c r="W26" s="51">
        <f>IF('[5]سجل المستخلصات'!$AC$10="","",'[5]سجل المستخلصات'!$AC$10)</f>
        <v/>
      </c>
      <c r="X26" s="54">
        <f>IF('[5]سجل المستخلصات'!$AD$10="","",'[5]سجل المستخلصات'!$AD$10)</f>
        <v/>
      </c>
      <c r="Y26" s="50">
        <f>IF('[5]سجل المستخلصات'!$AE$10="","",'[5]سجل المستخلصات'!$AE$10)</f>
        <v/>
      </c>
    </row>
    <row r="27">
      <c r="B27" s="48" t="n">
        <v>6</v>
      </c>
      <c r="C27" s="49">
        <f>IF('[5]سجل المستخلصات'!$C$11="","",'[5]سجل المستخلصات'!$C$11)</f>
        <v/>
      </c>
      <c r="D27" s="49">
        <f>IF('[5]سجل المستخلصات'!$E$11="","",'[5]سجل المستخلصات'!$E$11)</f>
        <v/>
      </c>
      <c r="E27" s="50">
        <f>IF('[5]سجل المستخلصات'!$F$11="","",'[5]سجل المستخلصات'!$F$11)</f>
        <v/>
      </c>
      <c r="F27" s="51">
        <f>IF('[5]سجل المستخلصات'!$H$11="","",'[5]سجل المستخلصات'!$H$11)</f>
        <v/>
      </c>
      <c r="G27" s="51">
        <f>IF('[5]سجل المستخلصات'!$G$11="","",'[5]سجل المستخلصات'!$G$11)</f>
        <v/>
      </c>
      <c r="H27" s="51">
        <f>IF('[5]سجل المستخلصات'!$I$11="","",'[5]سجل المستخلصات'!$I$11)</f>
        <v/>
      </c>
      <c r="I27" s="51">
        <f>IF('[5]سجل المستخلصات'!$J$11="","",'[5]سجل المستخلصات'!$J$11)</f>
        <v/>
      </c>
      <c r="J27" s="51">
        <f>IF('[5]سجل المستخلصات'!$K$11="","",'[5]سجل المستخلصات'!$K$11)</f>
        <v/>
      </c>
      <c r="K27" s="52">
        <f>IF('[5]سجل المستخلصات'!$L$11="","",'[5]سجل المستخلصات'!$L$11)</f>
        <v/>
      </c>
      <c r="L27" s="52">
        <f>IF('[5]سجل المستخلصات'!$M$11="","",'[5]سجل المستخلصات'!$M$11)</f>
        <v/>
      </c>
      <c r="M27" s="52">
        <f>IF('[5]سجل المستخلصات'!$N$11="","",'[5]سجل المستخلصات'!$N$11)</f>
        <v/>
      </c>
      <c r="N27" s="51">
        <f>IF('[5]سجل المستخلصات'!$O$11="","",'[5]سجل المستخلصات'!$O$11)</f>
        <v/>
      </c>
      <c r="O27" s="51">
        <f>IF('[5]سجل المستخلصات'!$R$11="","",'[5]سجل المستخلصات'!$R$11)</f>
        <v/>
      </c>
      <c r="P27" s="51">
        <f>IF('[5]سجل المستخلصات'!$S$11="","",'[5]سجل المستخلصات'!$S$11)</f>
        <v/>
      </c>
      <c r="Q27" s="51">
        <f>IF('[5]سجل المستخلصات'!$T$11="","",'[5]سجل المستخلصات'!$T$11)</f>
        <v/>
      </c>
      <c r="R27" s="51">
        <f>IF('[5]سجل المستخلصات'!$V$11="","",'[5]سجل المستخلصات'!$V$11)</f>
        <v/>
      </c>
      <c r="S27" s="51">
        <f>IF('[5]سجل المستخلصات'!$W$11="","",'[5]سجل المستخلصات'!$W$11)</f>
        <v/>
      </c>
      <c r="T27" s="53">
        <f>IF('[5]سجل المستخلصات'!$X$11="","",'[5]سجل المستخلصات'!$X$11)</f>
        <v/>
      </c>
      <c r="U27" s="53">
        <f>IF('[5]سجل المستخلصات'!$Z$11="","",'[5]سجل المستخلصات'!$Z$11)</f>
        <v/>
      </c>
      <c r="V27" s="51">
        <f>IF('[5]سجل المستخلصات'!$AA$11="","",'[5]سجل المستخلصات'!$AA$11)</f>
        <v/>
      </c>
      <c r="W27" s="51">
        <f>IF('[5]سجل المستخلصات'!$AC$11="","",'[5]سجل المستخلصات'!$AC$11)</f>
        <v/>
      </c>
      <c r="X27" s="54">
        <f>IF('[5]سجل المستخلصات'!$AD$11="","",'[5]سجل المستخلصات'!$AD$11)</f>
        <v/>
      </c>
      <c r="Y27" s="50">
        <f>IF('[5]سجل المستخلصات'!$AE$11="","",'[5]سجل المستخلصات'!$AE$11)</f>
        <v/>
      </c>
    </row>
    <row r="28">
      <c r="B28" s="48" t="n">
        <v>7</v>
      </c>
      <c r="C28" s="49">
        <f>IF('[5]سجل المستخلصات'!$C$12="","",'[5]سجل المستخلصات'!$C$12)</f>
        <v/>
      </c>
      <c r="D28" s="49">
        <f>IF('[5]سجل المستخلصات'!$E$12="","",'[5]سجل المستخلصات'!$E$12)</f>
        <v/>
      </c>
      <c r="E28" s="50">
        <f>IF('[5]سجل المستخلصات'!$F$12="","",'[5]سجل المستخلصات'!$F$12)</f>
        <v/>
      </c>
      <c r="F28" s="51">
        <f>IF('[5]سجل المستخلصات'!$H$12="","",'[5]سجل المستخلصات'!$H$12)</f>
        <v/>
      </c>
      <c r="G28" s="51">
        <f>IF('[5]سجل المستخلصات'!$G$12="","",'[5]سجل المستخلصات'!$G$12)</f>
        <v/>
      </c>
      <c r="H28" s="51">
        <f>IF('[5]سجل المستخلصات'!$I$12="","",'[5]سجل المستخلصات'!$I$12)</f>
        <v/>
      </c>
      <c r="I28" s="51">
        <f>IF('[5]سجل المستخلصات'!$J$12="","",'[5]سجل المستخلصات'!$J$12)</f>
        <v/>
      </c>
      <c r="J28" s="51">
        <f>IF('[5]سجل المستخلصات'!$K$12="","",'[5]سجل المستخلصات'!$K$12)</f>
        <v/>
      </c>
      <c r="K28" s="52">
        <f>IF('[5]سجل المستخلصات'!$L$12="","",'[5]سجل المستخلصات'!$L$12)</f>
        <v/>
      </c>
      <c r="L28" s="52">
        <f>IF('[5]سجل المستخلصات'!$M$12="","",'[5]سجل المستخلصات'!$M$12)</f>
        <v/>
      </c>
      <c r="M28" s="52">
        <f>IF('[5]سجل المستخلصات'!$N$12="","",'[5]سجل المستخلصات'!$N$12)</f>
        <v/>
      </c>
      <c r="N28" s="51">
        <f>IF('[5]سجل المستخلصات'!$O$12="","",'[5]سجل المستخلصات'!$O$12)</f>
        <v/>
      </c>
      <c r="O28" s="51">
        <f>IF('[5]سجل المستخلصات'!$R$12="","",'[5]سجل المستخلصات'!$R$12)</f>
        <v/>
      </c>
      <c r="P28" s="51">
        <f>IF('[5]سجل المستخلصات'!$S$12="","",'[5]سجل المستخلصات'!$S$12)</f>
        <v/>
      </c>
      <c r="Q28" s="51">
        <f>IF('[5]سجل المستخلصات'!$T$12="","",'[5]سجل المستخلصات'!$T$12)</f>
        <v/>
      </c>
      <c r="R28" s="51">
        <f>IF('[5]سجل المستخلصات'!$V$12="","",'[5]سجل المستخلصات'!$V$12)</f>
        <v/>
      </c>
      <c r="S28" s="51">
        <f>IF('[5]سجل المستخلصات'!$W$12="","",'[5]سجل المستخلصات'!$W$12)</f>
        <v/>
      </c>
      <c r="T28" s="53">
        <f>IF('[5]سجل المستخلصات'!$X$12="","",'[5]سجل المستخلصات'!$X$12)</f>
        <v/>
      </c>
      <c r="U28" s="53">
        <f>IF('[5]سجل المستخلصات'!$Z$12="","",'[5]سجل المستخلصات'!$Z$12)</f>
        <v/>
      </c>
      <c r="V28" s="51">
        <f>IF('[5]سجل المستخلصات'!$AA$12="","",'[5]سجل المستخلصات'!$AA$12)</f>
        <v/>
      </c>
      <c r="W28" s="51">
        <f>IF('[5]سجل المستخلصات'!$AC$12="","",'[5]سجل المستخلصات'!$AC$12)</f>
        <v/>
      </c>
      <c r="X28" s="54">
        <f>IF('[5]سجل المستخلصات'!$AD$12="","",'[5]سجل المستخلصات'!$AD$12)</f>
        <v/>
      </c>
      <c r="Y28" s="50">
        <f>IF('[5]سجل المستخلصات'!$AE$12="","",'[5]سجل المستخلصات'!$AE$12)</f>
        <v/>
      </c>
    </row>
    <row r="29">
      <c r="B29" s="48" t="n">
        <v>8</v>
      </c>
      <c r="C29" s="49">
        <f>IF('[5]سجل المستخلصات'!$C$13="","",'[5]سجل المستخلصات'!$C$13)</f>
        <v/>
      </c>
      <c r="D29" s="49">
        <f>IF('[5]سجل المستخلصات'!$E$13="","",'[5]سجل المستخلصات'!$E$13)</f>
        <v/>
      </c>
      <c r="E29" s="50">
        <f>IF('[5]سجل المستخلصات'!$F$13="","",'[5]سجل المستخلصات'!$F$13)</f>
        <v/>
      </c>
      <c r="F29" s="51">
        <f>IF('[5]سجل المستخلصات'!$H$13="","",'[5]سجل المستخلصات'!$H$13)</f>
        <v/>
      </c>
      <c r="G29" s="51">
        <f>IF('[5]سجل المستخلصات'!$G$13="","",'[5]سجل المستخلصات'!$G$13)</f>
        <v/>
      </c>
      <c r="H29" s="51">
        <f>IF('[5]سجل المستخلصات'!$I$13="","",'[5]سجل المستخلصات'!$I$13)</f>
        <v/>
      </c>
      <c r="I29" s="51">
        <f>IF('[5]سجل المستخلصات'!$J$13="","",'[5]سجل المستخلصات'!$J$13)</f>
        <v/>
      </c>
      <c r="J29" s="51">
        <f>IF('[5]سجل المستخلصات'!$K$13="","",'[5]سجل المستخلصات'!$K$13)</f>
        <v/>
      </c>
      <c r="K29" s="52">
        <f>IF('[5]سجل المستخلصات'!$L$13="","",'[5]سجل المستخلصات'!$L$13)</f>
        <v/>
      </c>
      <c r="L29" s="52">
        <f>IF('[5]سجل المستخلصات'!$M$13="","",'[5]سجل المستخلصات'!$M$13)</f>
        <v/>
      </c>
      <c r="M29" s="52">
        <f>IF('[5]سجل المستخلصات'!$N$13="","",'[5]سجل المستخلصات'!$N$13)</f>
        <v/>
      </c>
      <c r="N29" s="51">
        <f>IF('[5]سجل المستخلصات'!$O$13="","",'[5]سجل المستخلصات'!$O$13)</f>
        <v/>
      </c>
      <c r="O29" s="51">
        <f>IF('[5]سجل المستخلصات'!$R$13="","",'[5]سجل المستخلصات'!$R$13)</f>
        <v/>
      </c>
      <c r="P29" s="51">
        <f>IF('[5]سجل المستخلصات'!$S$13="","",'[5]سجل المستخلصات'!$S$13)</f>
        <v/>
      </c>
      <c r="Q29" s="51">
        <f>IF('[5]سجل المستخلصات'!$T$13="","",'[5]سجل المستخلصات'!$T$13)</f>
        <v/>
      </c>
      <c r="R29" s="51">
        <f>IF('[5]سجل المستخلصات'!$V$13="","",'[5]سجل المستخلصات'!$V$13)</f>
        <v/>
      </c>
      <c r="S29" s="51">
        <f>IF('[5]سجل المستخلصات'!$W$13="","",'[5]سجل المستخلصات'!$W$13)</f>
        <v/>
      </c>
      <c r="T29" s="53">
        <f>IF('[5]سجل المستخلصات'!$X$13="","",'[5]سجل المستخلصات'!$X$13)</f>
        <v/>
      </c>
      <c r="U29" s="53">
        <f>IF('[5]سجل المستخلصات'!$Z$13="","",'[5]سجل المستخلصات'!$Z$13)</f>
        <v/>
      </c>
      <c r="V29" s="51">
        <f>IF('[5]سجل المستخلصات'!$AA$13="","",'[5]سجل المستخلصات'!$AA$13)</f>
        <v/>
      </c>
      <c r="W29" s="51">
        <f>IF('[5]سجل المستخلصات'!$AC$13="","",'[5]سجل المستخلصات'!$AC$13)</f>
        <v/>
      </c>
      <c r="X29" s="54">
        <f>IF('[5]سجل المستخلصات'!$AD$13="","",'[5]سجل المستخلصات'!$AD$13)</f>
        <v/>
      </c>
      <c r="Y29" s="50">
        <f>IF('[5]سجل المستخلصات'!$AE$13="","",'[5]سجل المستخلصات'!$AE$13)</f>
        <v/>
      </c>
    </row>
    <row r="30">
      <c r="B30" s="48" t="n">
        <v>9</v>
      </c>
      <c r="C30" s="49">
        <f>IF('[5]سجل المستخلصات'!$C$14="","",'[5]سجل المستخلصات'!$C$14)</f>
        <v/>
      </c>
      <c r="D30" s="49">
        <f>IF('[5]سجل المستخلصات'!$E$14="","",'[5]سجل المستخلصات'!$E$14)</f>
        <v/>
      </c>
      <c r="E30" s="50">
        <f>IF('[5]سجل المستخلصات'!$F$14="","",'[5]سجل المستخلصات'!$F$14)</f>
        <v/>
      </c>
      <c r="F30" s="51">
        <f>IF('[5]سجل المستخلصات'!$H$14="","",'[5]سجل المستخلصات'!$H$14)</f>
        <v/>
      </c>
      <c r="G30" s="51">
        <f>IF('[5]سجل المستخلصات'!$G$14="","",'[5]سجل المستخلصات'!$G$14)</f>
        <v/>
      </c>
      <c r="H30" s="51">
        <f>IF('[5]سجل المستخلصات'!$I$14="","",'[5]سجل المستخلصات'!$I$14)</f>
        <v/>
      </c>
      <c r="I30" s="51">
        <f>IF('[5]سجل المستخلصات'!$J$14="","",'[5]سجل المستخلصات'!$J$14)</f>
        <v/>
      </c>
      <c r="J30" s="51">
        <f>IF('[5]سجل المستخلصات'!$K$14="","",'[5]سجل المستخلصات'!$K$14)</f>
        <v/>
      </c>
      <c r="K30" s="52">
        <f>IF('[5]سجل المستخلصات'!$L$14="","",'[5]سجل المستخلصات'!$L$14)</f>
        <v/>
      </c>
      <c r="L30" s="52">
        <f>IF('[5]سجل المستخلصات'!$M$14="","",'[5]سجل المستخلصات'!$M$14)</f>
        <v/>
      </c>
      <c r="M30" s="52">
        <f>IF('[5]سجل المستخلصات'!$N$14="","",'[5]سجل المستخلصات'!$N$14)</f>
        <v/>
      </c>
      <c r="N30" s="51">
        <f>IF('[5]سجل المستخلصات'!$O$14="","",'[5]سجل المستخلصات'!$O$14)</f>
        <v/>
      </c>
      <c r="O30" s="51">
        <f>IF('[5]سجل المستخلصات'!$R$14="","",'[5]سجل المستخلصات'!$R$14)</f>
        <v/>
      </c>
      <c r="P30" s="51">
        <f>IF('[5]سجل المستخلصات'!$S$14="","",'[5]سجل المستخلصات'!$S$14)</f>
        <v/>
      </c>
      <c r="Q30" s="51">
        <f>IF('[5]سجل المستخلصات'!$T$14="","",'[5]سجل المستخلصات'!$T$14)</f>
        <v/>
      </c>
      <c r="R30" s="51">
        <f>IF('[5]سجل المستخلصات'!$V$14="","",'[5]سجل المستخلصات'!$V$14)</f>
        <v/>
      </c>
      <c r="S30" s="51">
        <f>IF('[5]سجل المستخلصات'!$W$14="","",'[5]سجل المستخلصات'!$W$14)</f>
        <v/>
      </c>
      <c r="T30" s="53">
        <f>IF('[5]سجل المستخلصات'!$X$14="","",'[5]سجل المستخلصات'!$X$14)</f>
        <v/>
      </c>
      <c r="U30" s="53">
        <f>IF('[5]سجل المستخلصات'!$Z$14="","",'[5]سجل المستخلصات'!$Z$14)</f>
        <v/>
      </c>
      <c r="V30" s="51">
        <f>IF('[5]سجل المستخلصات'!$AA$14="","",'[5]سجل المستخلصات'!$AA$14)</f>
        <v/>
      </c>
      <c r="W30" s="51">
        <f>IF('[5]سجل المستخلصات'!$AC$14="","",'[5]سجل المستخلصات'!$AC$14)</f>
        <v/>
      </c>
      <c r="X30" s="54">
        <f>IF('[5]سجل المستخلصات'!$AD$14="","",'[5]سجل المستخلصات'!$AD$14)</f>
        <v/>
      </c>
      <c r="Y30" s="50">
        <f>IF('[5]سجل المستخلصات'!$AE$14="","",'[5]سجل المستخلصات'!$AE$14)</f>
        <v/>
      </c>
    </row>
    <row r="31">
      <c r="B31" s="48" t="n">
        <v>10</v>
      </c>
      <c r="C31" s="49">
        <f>IF('[5]سجل المستخلصات'!$C$15="","",'[5]سجل المستخلصات'!$C$15)</f>
        <v/>
      </c>
      <c r="D31" s="49">
        <f>IF('[5]سجل المستخلصات'!$E$15="","",'[5]سجل المستخلصات'!$E$15)</f>
        <v/>
      </c>
      <c r="E31" s="50">
        <f>IF('[5]سجل المستخلصات'!$F$15="","",'[5]سجل المستخلصات'!$F$15)</f>
        <v/>
      </c>
      <c r="F31" s="51">
        <f>IF('[5]سجل المستخلصات'!$H$15="","",'[5]سجل المستخلصات'!$H$15)</f>
        <v/>
      </c>
      <c r="G31" s="51">
        <f>IF('[5]سجل المستخلصات'!$G$15="","",'[5]سجل المستخلصات'!$G$15)</f>
        <v/>
      </c>
      <c r="H31" s="51">
        <f>IF('[5]سجل المستخلصات'!$I$15="","",'[5]سجل المستخلصات'!$I$15)</f>
        <v/>
      </c>
      <c r="I31" s="51">
        <f>IF('[5]سجل المستخلصات'!$J$15="","",'[5]سجل المستخلصات'!$J$15)</f>
        <v/>
      </c>
      <c r="J31" s="51">
        <f>IF('[5]سجل المستخلصات'!$K$15="","",'[5]سجل المستخلصات'!$K$15)</f>
        <v/>
      </c>
      <c r="K31" s="52">
        <f>IF('[5]سجل المستخلصات'!$L$15="","",'[5]سجل المستخلصات'!$L$15)</f>
        <v/>
      </c>
      <c r="L31" s="52">
        <f>IF('[5]سجل المستخلصات'!$M$15="","",'[5]سجل المستخلصات'!$M$15)</f>
        <v/>
      </c>
      <c r="M31" s="52">
        <f>IF('[5]سجل المستخلصات'!$N$15="","",'[5]سجل المستخلصات'!$N$15)</f>
        <v/>
      </c>
      <c r="N31" s="51">
        <f>IF('[5]سجل المستخلصات'!$O$15="","",'[5]سجل المستخلصات'!$O$15)</f>
        <v/>
      </c>
      <c r="O31" s="51">
        <f>IF('[5]سجل المستخلصات'!$R$15="","",'[5]سجل المستخلصات'!$R$15)</f>
        <v/>
      </c>
      <c r="P31" s="51">
        <f>IF('[5]سجل المستخلصات'!$S$15="","",'[5]سجل المستخلصات'!$S$15)</f>
        <v/>
      </c>
      <c r="Q31" s="51">
        <f>IF('[5]سجل المستخلصات'!$T$15="","",'[5]سجل المستخلصات'!$T$15)</f>
        <v/>
      </c>
      <c r="R31" s="51">
        <f>IF('[5]سجل المستخلصات'!$V$15="","",'[5]سجل المستخلصات'!$V$15)</f>
        <v/>
      </c>
      <c r="S31" s="51">
        <f>IF('[5]سجل المستخلصات'!$W$15="","",'[5]سجل المستخلصات'!$W$15)</f>
        <v/>
      </c>
      <c r="T31" s="53">
        <f>IF('[5]سجل المستخلصات'!$X$15="","",'[5]سجل المستخلصات'!$X$15)</f>
        <v/>
      </c>
      <c r="U31" s="53">
        <f>IF('[5]سجل المستخلصات'!$Z$15="","",'[5]سجل المستخلصات'!$Z$15)</f>
        <v/>
      </c>
      <c r="V31" s="51">
        <f>IF('[5]سجل المستخلصات'!$AA$15="","",'[5]سجل المستخلصات'!$AA$15)</f>
        <v/>
      </c>
      <c r="W31" s="51">
        <f>IF('[5]سجل المستخلصات'!$AC$15="","",'[5]سجل المستخلصات'!$AC$15)</f>
        <v/>
      </c>
      <c r="X31" s="54">
        <f>IF('[5]سجل المستخلصات'!$AD$15="","",'[5]سجل المستخلصات'!$AD$15)</f>
        <v/>
      </c>
      <c r="Y31" s="50">
        <f>IF('[5]سجل المستخلصات'!$AE$15="","",'[5]سجل المستخلصات'!$AE$15)</f>
        <v/>
      </c>
    </row>
    <row r="32">
      <c r="B32" s="48" t="n">
        <v>11</v>
      </c>
      <c r="C32" s="49">
        <f>IF('[5]سجل المستخلصات'!$C$16="","",'[5]سجل المستخلصات'!$C$16)</f>
        <v/>
      </c>
      <c r="D32" s="49">
        <f>IF('[5]سجل المستخلصات'!$E$16="","",'[5]سجل المستخلصات'!$E$16)</f>
        <v/>
      </c>
      <c r="E32" s="50">
        <f>IF('[5]سجل المستخلصات'!$F$16="","",'[5]سجل المستخلصات'!$F$16)</f>
        <v/>
      </c>
      <c r="F32" s="51">
        <f>IF('[5]سجل المستخلصات'!$H$16="","",'[5]سجل المستخلصات'!$H$16)</f>
        <v/>
      </c>
      <c r="G32" s="51">
        <f>IF('[5]سجل المستخلصات'!$G$16="","",'[5]سجل المستخلصات'!$G$16)</f>
        <v/>
      </c>
      <c r="H32" s="51">
        <f>IF('[5]سجل المستخلصات'!$I$16="","",'[5]سجل المستخلصات'!$I$16)</f>
        <v/>
      </c>
      <c r="I32" s="51">
        <f>IF('[5]سجل المستخلصات'!$J$16="","",'[5]سجل المستخلصات'!$J$16)</f>
        <v/>
      </c>
      <c r="J32" s="51">
        <f>IF('[5]سجل المستخلصات'!$K$16="","",'[5]سجل المستخلصات'!$K$16)</f>
        <v/>
      </c>
      <c r="K32" s="52">
        <f>IF('[5]سجل المستخلصات'!$L$16="","",'[5]سجل المستخلصات'!$L$16)</f>
        <v/>
      </c>
      <c r="L32" s="52">
        <f>IF('[5]سجل المستخلصات'!$M$16="","",'[5]سجل المستخلصات'!$M$16)</f>
        <v/>
      </c>
      <c r="M32" s="52">
        <f>IF('[5]سجل المستخلصات'!$N$16="","",'[5]سجل المستخلصات'!$N$16)</f>
        <v/>
      </c>
      <c r="N32" s="51">
        <f>IF('[5]سجل المستخلصات'!$O$16="","",'[5]سجل المستخلصات'!$O$16)</f>
        <v/>
      </c>
      <c r="O32" s="51">
        <f>IF('[5]سجل المستخلصات'!$R$16="","",'[5]سجل المستخلصات'!$R$16)</f>
        <v/>
      </c>
      <c r="P32" s="51">
        <f>IF('[5]سجل المستخلصات'!$S$16="","",'[5]سجل المستخلصات'!$S$16)</f>
        <v/>
      </c>
      <c r="Q32" s="51">
        <f>IF('[5]سجل المستخلصات'!$T$16="","",'[5]سجل المستخلصات'!$T$16)</f>
        <v/>
      </c>
      <c r="R32" s="51">
        <f>IF('[5]سجل المستخلصات'!$V$16="","",'[5]سجل المستخلصات'!$V$16)</f>
        <v/>
      </c>
      <c r="S32" s="51">
        <f>IF('[5]سجل المستخلصات'!$W$16="","",'[5]سجل المستخلصات'!$W$16)</f>
        <v/>
      </c>
      <c r="T32" s="53">
        <f>IF('[5]سجل المستخلصات'!$X$16="","",'[5]سجل المستخلصات'!$X$16)</f>
        <v/>
      </c>
      <c r="U32" s="53">
        <f>IF('[5]سجل المستخلصات'!$Z$16="","",'[5]سجل المستخلصات'!$Z$16)</f>
        <v/>
      </c>
      <c r="V32" s="51">
        <f>IF('[5]سجل المستخلصات'!$AA$16="","",'[5]سجل المستخلصات'!$AA$16)</f>
        <v/>
      </c>
      <c r="W32" s="51">
        <f>IF('[5]سجل المستخلصات'!$AC$16="","",'[5]سجل المستخلصات'!$AC$16)</f>
        <v/>
      </c>
      <c r="X32" s="54">
        <f>IF('[5]سجل المستخلصات'!$AD$16="","",'[5]سجل المستخلصات'!$AD$16)</f>
        <v/>
      </c>
      <c r="Y32" s="50">
        <f>IF('[5]سجل المستخلصات'!$AE$16="","",'[5]سجل المستخلصات'!$AE$16)</f>
        <v/>
      </c>
    </row>
    <row r="33">
      <c r="B33" s="48" t="n">
        <v>12</v>
      </c>
      <c r="C33" s="49">
        <f>IF('[5]سجل المستخلصات'!$C$17="","",'[5]سجل المستخلصات'!$C$17)</f>
        <v/>
      </c>
      <c r="D33" s="49">
        <f>IF('[5]سجل المستخلصات'!$E$17="","",'[5]سجل المستخلصات'!$E$17)</f>
        <v/>
      </c>
      <c r="E33" s="50">
        <f>IF('[5]سجل المستخلصات'!$F$17="","",'[5]سجل المستخلصات'!$F$17)</f>
        <v/>
      </c>
      <c r="F33" s="51">
        <f>IF('[5]سجل المستخلصات'!$H$17="","",'[5]سجل المستخلصات'!$H$17)</f>
        <v/>
      </c>
      <c r="G33" s="51">
        <f>IF('[5]سجل المستخلصات'!$G$17="","",'[5]سجل المستخلصات'!$G$17)</f>
        <v/>
      </c>
      <c r="H33" s="51">
        <f>IF('[5]سجل المستخلصات'!$I$17="","",'[5]سجل المستخلصات'!$I$17)</f>
        <v/>
      </c>
      <c r="I33" s="51">
        <f>IF('[5]سجل المستخلصات'!$J$17="","",'[5]سجل المستخلصات'!$J$17)</f>
        <v/>
      </c>
      <c r="J33" s="51">
        <f>IF('[5]سجل المستخلصات'!$K$17="","",'[5]سجل المستخلصات'!$K$17)</f>
        <v/>
      </c>
      <c r="K33" s="52">
        <f>IF('[5]سجل المستخلصات'!$L$17="","",'[5]سجل المستخلصات'!$L$17)</f>
        <v/>
      </c>
      <c r="L33" s="52">
        <f>IF('[5]سجل المستخلصات'!$M$17="","",'[5]سجل المستخلصات'!$M$17)</f>
        <v/>
      </c>
      <c r="M33" s="52">
        <f>IF('[5]سجل المستخلصات'!$N$17="","",'[5]سجل المستخلصات'!$N$17)</f>
        <v/>
      </c>
      <c r="N33" s="51">
        <f>IF('[5]سجل المستخلصات'!$O$17="","",'[5]سجل المستخلصات'!$O$17)</f>
        <v/>
      </c>
      <c r="O33" s="51">
        <f>IF('[5]سجل المستخلصات'!$R$17="","",'[5]سجل المستخلصات'!$R$17)</f>
        <v/>
      </c>
      <c r="P33" s="51">
        <f>IF('[5]سجل المستخلصات'!$S$17="","",'[5]سجل المستخلصات'!$S$17)</f>
        <v/>
      </c>
      <c r="Q33" s="51">
        <f>IF('[5]سجل المستخلصات'!$T$17="","",'[5]سجل المستخلصات'!$T$17)</f>
        <v/>
      </c>
      <c r="R33" s="51">
        <f>IF('[5]سجل المستخلصات'!$V$17="","",'[5]سجل المستخلصات'!$V$17)</f>
        <v/>
      </c>
      <c r="S33" s="51">
        <f>IF('[5]سجل المستخلصات'!$W$17="","",'[5]سجل المستخلصات'!$W$17)</f>
        <v/>
      </c>
      <c r="T33" s="53">
        <f>IF('[5]سجل المستخلصات'!$X$17="","",'[5]سجل المستخلصات'!$X$17)</f>
        <v/>
      </c>
      <c r="U33" s="53">
        <f>IF('[5]سجل المستخلصات'!$Z$17="","",'[5]سجل المستخلصات'!$Z$17)</f>
        <v/>
      </c>
      <c r="V33" s="51">
        <f>IF('[5]سجل المستخلصات'!$AA$17="","",'[5]سجل المستخلصات'!$AA$17)</f>
        <v/>
      </c>
      <c r="W33" s="51">
        <f>IF('[5]سجل المستخلصات'!$AC$17="","",'[5]سجل المستخلصات'!$AC$17)</f>
        <v/>
      </c>
      <c r="X33" s="54">
        <f>IF('[5]سجل المستخلصات'!$AD$17="","",'[5]سجل المستخلصات'!$AD$17)</f>
        <v/>
      </c>
      <c r="Y33" s="50">
        <f>IF('[5]سجل المستخلصات'!$AE$17="","",'[5]سجل المستخلصات'!$AE$17)</f>
        <v/>
      </c>
    </row>
    <row r="34">
      <c r="B34" s="48" t="n">
        <v>13</v>
      </c>
      <c r="C34" s="49">
        <f>IF('[5]سجل المستخلصات'!$C$18="","",'[5]سجل المستخلصات'!$C$18)</f>
        <v/>
      </c>
      <c r="D34" s="49">
        <f>IF('[5]سجل المستخلصات'!$E$18="","",'[5]سجل المستخلصات'!$E$18)</f>
        <v/>
      </c>
      <c r="E34" s="50">
        <f>IF('[5]سجل المستخلصات'!$F$18="","",'[5]سجل المستخلصات'!$F$18)</f>
        <v/>
      </c>
      <c r="F34" s="51">
        <f>IF('[5]سجل المستخلصات'!$H$18="","",'[5]سجل المستخلصات'!$H$18)</f>
        <v/>
      </c>
      <c r="G34" s="51">
        <f>IF('[5]سجل المستخلصات'!$G$18="","",'[5]سجل المستخلصات'!$G$18)</f>
        <v/>
      </c>
      <c r="H34" s="51">
        <f>IF('[5]سجل المستخلصات'!$I$18="","",'[5]سجل المستخلصات'!$I$18)</f>
        <v/>
      </c>
      <c r="I34" s="51">
        <f>IF('[5]سجل المستخلصات'!$J$18="","",'[5]سجل المستخلصات'!$J$18)</f>
        <v/>
      </c>
      <c r="J34" s="51">
        <f>IF('[5]سجل المستخلصات'!$K$18="","",'[5]سجل المستخلصات'!$K$18)</f>
        <v/>
      </c>
      <c r="K34" s="52">
        <f>IF('[5]سجل المستخلصات'!$L$18="","",'[5]سجل المستخلصات'!$L$18)</f>
        <v/>
      </c>
      <c r="L34" s="52">
        <f>IF('[5]سجل المستخلصات'!$M$18="","",'[5]سجل المستخلصات'!$M$18)</f>
        <v/>
      </c>
      <c r="M34" s="52">
        <f>IF('[5]سجل المستخلصات'!$N$18="","",'[5]سجل المستخلصات'!$N$18)</f>
        <v/>
      </c>
      <c r="N34" s="51">
        <f>IF('[5]سجل المستخلصات'!$O$18="","",'[5]سجل المستخلصات'!$O$18)</f>
        <v/>
      </c>
      <c r="O34" s="51">
        <f>IF('[5]سجل المستخلصات'!$R$18="","",'[5]سجل المستخلصات'!$R$18)</f>
        <v/>
      </c>
      <c r="P34" s="51">
        <f>IF('[5]سجل المستخلصات'!$S$18="","",'[5]سجل المستخلصات'!$S$18)</f>
        <v/>
      </c>
      <c r="Q34" s="51">
        <f>IF('[5]سجل المستخلصات'!$T$18="","",'[5]سجل المستخلصات'!$T$18)</f>
        <v/>
      </c>
      <c r="R34" s="51">
        <f>IF('[5]سجل المستخلصات'!$V$18="","",'[5]سجل المستخلصات'!$V$18)</f>
        <v/>
      </c>
      <c r="S34" s="51">
        <f>IF('[5]سجل المستخلصات'!$W$18="","",'[5]سجل المستخلصات'!$W$18)</f>
        <v/>
      </c>
      <c r="T34" s="53">
        <f>IF('[5]سجل المستخلصات'!$X$18="","",'[5]سجل المستخلصات'!$X$18)</f>
        <v/>
      </c>
      <c r="U34" s="53">
        <f>IF('[5]سجل المستخلصات'!$Z$18="","",'[5]سجل المستخلصات'!$Z$18)</f>
        <v/>
      </c>
      <c r="V34" s="51">
        <f>IF('[5]سجل المستخلصات'!$AA$18="","",'[5]سجل المستخلصات'!$AA$18)</f>
        <v/>
      </c>
      <c r="W34" s="51">
        <f>IF('[5]سجل المستخلصات'!$AC$18="","",'[5]سجل المستخلصات'!$AC$18)</f>
        <v/>
      </c>
      <c r="X34" s="54">
        <f>IF('[5]سجل المستخلصات'!$AD$18="","",'[5]سجل المستخلصات'!$AD$18)</f>
        <v/>
      </c>
      <c r="Y34" s="50">
        <f>IF('[5]سجل المستخلصات'!$AE$18="","",'[5]سجل المستخلصات'!$AE$18)</f>
        <v/>
      </c>
    </row>
    <row r="35">
      <c r="B35" s="48" t="n">
        <v>14</v>
      </c>
      <c r="C35" s="49">
        <f>IF('[5]سجل المستخلصات'!$C$19="","",'[5]سجل المستخلصات'!$C$19)</f>
        <v/>
      </c>
      <c r="D35" s="49">
        <f>IF('[5]سجل المستخلصات'!$E$19="","",'[5]سجل المستخلصات'!$E$19)</f>
        <v/>
      </c>
      <c r="E35" s="50">
        <f>IF('[5]سجل المستخلصات'!$F$19="","",'[5]سجل المستخلصات'!$F$19)</f>
        <v/>
      </c>
      <c r="F35" s="51">
        <f>IF('[5]سجل المستخلصات'!$H$19="","",'[5]سجل المستخلصات'!$H$19)</f>
        <v/>
      </c>
      <c r="G35" s="51">
        <f>IF('[5]سجل المستخلصات'!$G$19="","",'[5]سجل المستخلصات'!$G$19)</f>
        <v/>
      </c>
      <c r="H35" s="51">
        <f>IF('[5]سجل المستخلصات'!$I$19="","",'[5]سجل المستخلصات'!$I$19)</f>
        <v/>
      </c>
      <c r="I35" s="51">
        <f>IF('[5]سجل المستخلصات'!$J$19="","",'[5]سجل المستخلصات'!$J$19)</f>
        <v/>
      </c>
      <c r="J35" s="51">
        <f>IF('[5]سجل المستخلصات'!$K$19="","",'[5]سجل المستخلصات'!$K$19)</f>
        <v/>
      </c>
      <c r="K35" s="52">
        <f>IF('[5]سجل المستخلصات'!$L$19="","",'[5]سجل المستخلصات'!$L$19)</f>
        <v/>
      </c>
      <c r="L35" s="52">
        <f>IF('[5]سجل المستخلصات'!$M$19="","",'[5]سجل المستخلصات'!$M$19)</f>
        <v/>
      </c>
      <c r="M35" s="52">
        <f>IF('[5]سجل المستخلصات'!$N$19="","",'[5]سجل المستخلصات'!$N$19)</f>
        <v/>
      </c>
      <c r="N35" s="51">
        <f>IF('[5]سجل المستخلصات'!$O$19="","",'[5]سجل المستخلصات'!$O$19)</f>
        <v/>
      </c>
      <c r="O35" s="51">
        <f>IF('[5]سجل المستخلصات'!$R$19="","",'[5]سجل المستخلصات'!$R$19)</f>
        <v/>
      </c>
      <c r="P35" s="51">
        <f>IF('[5]سجل المستخلصات'!$S$19="","",'[5]سجل المستخلصات'!$S$19)</f>
        <v/>
      </c>
      <c r="Q35" s="51">
        <f>IF('[5]سجل المستخلصات'!$T$19="","",'[5]سجل المستخلصات'!$T$19)</f>
        <v/>
      </c>
      <c r="R35" s="51">
        <f>IF('[5]سجل المستخلصات'!$V$19="","",'[5]سجل المستخلصات'!$V$19)</f>
        <v/>
      </c>
      <c r="S35" s="51">
        <f>IF('[5]سجل المستخلصات'!$W$19="","",'[5]سجل المستخلصات'!$W$19)</f>
        <v/>
      </c>
      <c r="T35" s="53">
        <f>IF('[5]سجل المستخلصات'!$X$19="","",'[5]سجل المستخلصات'!$X$19)</f>
        <v/>
      </c>
      <c r="U35" s="53">
        <f>IF('[5]سجل المستخلصات'!$Z$19="","",'[5]سجل المستخلصات'!$Z$19)</f>
        <v/>
      </c>
      <c r="V35" s="51">
        <f>IF('[5]سجل المستخلصات'!$AA$19="","",'[5]سجل المستخلصات'!$AA$19)</f>
        <v/>
      </c>
      <c r="W35" s="51">
        <f>IF('[5]سجل المستخلصات'!$AC$19="","",'[5]سجل المستخلصات'!$AC$19)</f>
        <v/>
      </c>
      <c r="X35" s="54">
        <f>IF('[5]سجل المستخلصات'!$AD$19="","",'[5]سجل المستخلصات'!$AD$19)</f>
        <v/>
      </c>
      <c r="Y35" s="50">
        <f>IF('[5]سجل المستخلصات'!$AE$19="","",'[5]سجل المستخلصات'!$AE$19)</f>
        <v/>
      </c>
    </row>
    <row r="36">
      <c r="B36" s="48" t="n">
        <v>15</v>
      </c>
      <c r="C36" s="49">
        <f>IF('[5]سجل المستخلصات'!$C$20="","",'[5]سجل المستخلصات'!$C$20)</f>
        <v/>
      </c>
      <c r="D36" s="49">
        <f>IF('[5]سجل المستخلصات'!$E$20="","",'[5]سجل المستخلصات'!$E$20)</f>
        <v/>
      </c>
      <c r="E36" s="50">
        <f>IF('[5]سجل المستخلصات'!$F$20="","",'[5]سجل المستخلصات'!$F$20)</f>
        <v/>
      </c>
      <c r="F36" s="51">
        <f>IF('[5]سجل المستخلصات'!$H$20="","",'[5]سجل المستخلصات'!$H$20)</f>
        <v/>
      </c>
      <c r="G36" s="51">
        <f>IF('[5]سجل المستخلصات'!$G$20="","",'[5]سجل المستخلصات'!$G$20)</f>
        <v/>
      </c>
      <c r="H36" s="51">
        <f>IF('[5]سجل المستخلصات'!$I$20="","",'[5]سجل المستخلصات'!$I$20)</f>
        <v/>
      </c>
      <c r="I36" s="51">
        <f>IF('[5]سجل المستخلصات'!$J$20="","",'[5]سجل المستخلصات'!$J$20)</f>
        <v/>
      </c>
      <c r="J36" s="51">
        <f>IF('[5]سجل المستخلصات'!$K$20="","",'[5]سجل المستخلصات'!$K$20)</f>
        <v/>
      </c>
      <c r="K36" s="52">
        <f>IF('[5]سجل المستخلصات'!$L$20="","",'[5]سجل المستخلصات'!$L$20)</f>
        <v/>
      </c>
      <c r="L36" s="52">
        <f>IF('[5]سجل المستخلصات'!$M$20="","",'[5]سجل المستخلصات'!$M$20)</f>
        <v/>
      </c>
      <c r="M36" s="52">
        <f>IF('[5]سجل المستخلصات'!$N$20="","",'[5]سجل المستخلصات'!$N$20)</f>
        <v/>
      </c>
      <c r="N36" s="51">
        <f>IF('[5]سجل المستخلصات'!$O$20="","",'[5]سجل المستخلصات'!$O$20)</f>
        <v/>
      </c>
      <c r="O36" s="51">
        <f>IF('[5]سجل المستخلصات'!$R$20="","",'[5]سجل المستخلصات'!$R$20)</f>
        <v/>
      </c>
      <c r="P36" s="51">
        <f>IF('[5]سجل المستخلصات'!$S$20="","",'[5]سجل المستخلصات'!$S$20)</f>
        <v/>
      </c>
      <c r="Q36" s="51">
        <f>IF('[5]سجل المستخلصات'!$T$20="","",'[5]سجل المستخلصات'!$T$20)</f>
        <v/>
      </c>
      <c r="R36" s="51">
        <f>IF('[5]سجل المستخلصات'!$V$20="","",'[5]سجل المستخلصات'!$V$20)</f>
        <v/>
      </c>
      <c r="S36" s="51">
        <f>IF('[5]سجل المستخلصات'!$W$20="","",'[5]سجل المستخلصات'!$W$20)</f>
        <v/>
      </c>
      <c r="T36" s="53">
        <f>IF('[5]سجل المستخلصات'!$X$20="","",'[5]سجل المستخلصات'!$X$20)</f>
        <v/>
      </c>
      <c r="U36" s="53">
        <f>IF('[5]سجل المستخلصات'!$Z$20="","",'[5]سجل المستخلصات'!$Z$20)</f>
        <v/>
      </c>
      <c r="V36" s="51">
        <f>IF('[5]سجل المستخلصات'!$AA$20="","",'[5]سجل المستخلصات'!$AA$20)</f>
        <v/>
      </c>
      <c r="W36" s="51">
        <f>IF('[5]سجل المستخلصات'!$AC$20="","",'[5]سجل المستخلصات'!$AC$20)</f>
        <v/>
      </c>
      <c r="X36" s="54">
        <f>IF('[5]سجل المستخلصات'!$AD$20="","",'[5]سجل المستخلصات'!$AD$20)</f>
        <v/>
      </c>
      <c r="Y36" s="50">
        <f>IF('[5]سجل المستخلصات'!$AE$20="","",'[5]سجل المستخلصات'!$AE$20)</f>
        <v/>
      </c>
    </row>
    <row r="37">
      <c r="B37" s="48" t="n">
        <v>16</v>
      </c>
      <c r="C37" s="49">
        <f>IF('[5]سجل المستخلصات'!$C$21="","",'[5]سجل المستخلصات'!$C$21)</f>
        <v/>
      </c>
      <c r="D37" s="49">
        <f>IF('[5]سجل المستخلصات'!$E$21="","",'[5]سجل المستخلصات'!$E$21)</f>
        <v/>
      </c>
      <c r="E37" s="50">
        <f>IF('[5]سجل المستخلصات'!$F$21="","",'[5]سجل المستخلصات'!$F$21)</f>
        <v/>
      </c>
      <c r="F37" s="51">
        <f>IF('[5]سجل المستخلصات'!$H$21="","",'[5]سجل المستخلصات'!$H$21)</f>
        <v/>
      </c>
      <c r="G37" s="51">
        <f>IF('[5]سجل المستخلصات'!$G$21="","",'[5]سجل المستخلصات'!$G$21)</f>
        <v/>
      </c>
      <c r="H37" s="51">
        <f>IF('[5]سجل المستخلصات'!$I$21="","",'[5]سجل المستخلصات'!$I$21)</f>
        <v/>
      </c>
      <c r="I37" s="51">
        <f>IF('[5]سجل المستخلصات'!$J$21="","",'[5]سجل المستخلصات'!$J$21)</f>
        <v/>
      </c>
      <c r="J37" s="51">
        <f>IF('[5]سجل المستخلصات'!$K$21="","",'[5]سجل المستخلصات'!$K$21)</f>
        <v/>
      </c>
      <c r="K37" s="52">
        <f>IF('[5]سجل المستخلصات'!$L$21="","",'[5]سجل المستخلصات'!$L$21)</f>
        <v/>
      </c>
      <c r="L37" s="52">
        <f>IF('[5]سجل المستخلصات'!$M$21="","",'[5]سجل المستخلصات'!$M$21)</f>
        <v/>
      </c>
      <c r="M37" s="52">
        <f>IF('[5]سجل المستخلصات'!$N$21="","",'[5]سجل المستخلصات'!$N$21)</f>
        <v/>
      </c>
      <c r="N37" s="51">
        <f>IF('[5]سجل المستخلصات'!$O$21="","",'[5]سجل المستخلصات'!$O$21)</f>
        <v/>
      </c>
      <c r="O37" s="51">
        <f>IF('[5]سجل المستخلصات'!$R$21="","",'[5]سجل المستخلصات'!$R$21)</f>
        <v/>
      </c>
      <c r="P37" s="51">
        <f>IF('[5]سجل المستخلصات'!$S$21="","",'[5]سجل المستخلصات'!$S$21)</f>
        <v/>
      </c>
      <c r="Q37" s="51">
        <f>IF('[5]سجل المستخلصات'!$T$21="","",'[5]سجل المستخلصات'!$T$21)</f>
        <v/>
      </c>
      <c r="R37" s="51">
        <f>IF('[5]سجل المستخلصات'!$V$21="","",'[5]سجل المستخلصات'!$V$21)</f>
        <v/>
      </c>
      <c r="S37" s="51">
        <f>IF('[5]سجل المستخلصات'!$W$21="","",'[5]سجل المستخلصات'!$W$21)</f>
        <v/>
      </c>
      <c r="T37" s="53">
        <f>IF('[5]سجل المستخلصات'!$X$21="","",'[5]سجل المستخلصات'!$X$21)</f>
        <v/>
      </c>
      <c r="U37" s="53">
        <f>IF('[5]سجل المستخلصات'!$Z$21="","",'[5]سجل المستخلصات'!$Z$21)</f>
        <v/>
      </c>
      <c r="V37" s="51">
        <f>IF('[5]سجل المستخلصات'!$AA$21="","",'[5]سجل المستخلصات'!$AA$21)</f>
        <v/>
      </c>
      <c r="W37" s="51">
        <f>IF('[5]سجل المستخلصات'!$AC$21="","",'[5]سجل المستخلصات'!$AC$21)</f>
        <v/>
      </c>
      <c r="X37" s="54">
        <f>IF('[5]سجل المستخلصات'!$AD$21="","",'[5]سجل المستخلصات'!$AD$21)</f>
        <v/>
      </c>
      <c r="Y37" s="50">
        <f>IF('[5]سجل المستخلصات'!$AE$21="","",'[5]سجل المستخلصات'!$AE$21)</f>
        <v/>
      </c>
    </row>
    <row r="38">
      <c r="B38" s="48" t="n">
        <v>17</v>
      </c>
      <c r="C38" s="49">
        <f>IF('[5]سجل المستخلصات'!$C$22="","",'[5]سجل المستخلصات'!$C$22)</f>
        <v/>
      </c>
      <c r="D38" s="49">
        <f>IF('[5]سجل المستخلصات'!$E$22="","",'[5]سجل المستخلصات'!$E$22)</f>
        <v/>
      </c>
      <c r="E38" s="50">
        <f>IF('[5]سجل المستخلصات'!$F$22="","",'[5]سجل المستخلصات'!$F$22)</f>
        <v/>
      </c>
      <c r="F38" s="51">
        <f>IF('[5]سجل المستخلصات'!$H$22="","",'[5]سجل المستخلصات'!$H$22)</f>
        <v/>
      </c>
      <c r="G38" s="51">
        <f>IF('[5]سجل المستخلصات'!$G$22="","",'[5]سجل المستخلصات'!$G$22)</f>
        <v/>
      </c>
      <c r="H38" s="51">
        <f>IF('[5]سجل المستخلصات'!$I$22="","",'[5]سجل المستخلصات'!$I$22)</f>
        <v/>
      </c>
      <c r="I38" s="51">
        <f>IF('[5]سجل المستخلصات'!$J$22="","",'[5]سجل المستخلصات'!$J$22)</f>
        <v/>
      </c>
      <c r="J38" s="51">
        <f>IF('[5]سجل المستخلصات'!$K$22="","",'[5]سجل المستخلصات'!$K$22)</f>
        <v/>
      </c>
      <c r="K38" s="52">
        <f>IF('[5]سجل المستخلصات'!$L$22="","",'[5]سجل المستخلصات'!$L$22)</f>
        <v/>
      </c>
      <c r="L38" s="52">
        <f>IF('[5]سجل المستخلصات'!$M$22="","",'[5]سجل المستخلصات'!$M$22)</f>
        <v/>
      </c>
      <c r="M38" s="52">
        <f>IF('[5]سجل المستخلصات'!$N$22="","",'[5]سجل المستخلصات'!$N$22)</f>
        <v/>
      </c>
      <c r="N38" s="51">
        <f>IF('[5]سجل المستخلصات'!$O$22="","",'[5]سجل المستخلصات'!$O$22)</f>
        <v/>
      </c>
      <c r="O38" s="51">
        <f>IF('[5]سجل المستخلصات'!$R$22="","",'[5]سجل المستخلصات'!$R$22)</f>
        <v/>
      </c>
      <c r="P38" s="51">
        <f>IF('[5]سجل المستخلصات'!$S$22="","",'[5]سجل المستخلصات'!$S$22)</f>
        <v/>
      </c>
      <c r="Q38" s="51">
        <f>IF('[5]سجل المستخلصات'!$T$22="","",'[5]سجل المستخلصات'!$T$22)</f>
        <v/>
      </c>
      <c r="R38" s="51">
        <f>IF('[5]سجل المستخلصات'!$V$22="","",'[5]سجل المستخلصات'!$V$22)</f>
        <v/>
      </c>
      <c r="S38" s="51">
        <f>IF('[5]سجل المستخلصات'!$W$22="","",'[5]سجل المستخلصات'!$W$22)</f>
        <v/>
      </c>
      <c r="T38" s="53">
        <f>IF('[5]سجل المستخلصات'!$X$22="","",'[5]سجل المستخلصات'!$X$22)</f>
        <v/>
      </c>
      <c r="U38" s="53">
        <f>IF('[5]سجل المستخلصات'!$Z$22="","",'[5]سجل المستخلصات'!$Z$22)</f>
        <v/>
      </c>
      <c r="V38" s="51">
        <f>IF('[5]سجل المستخلصات'!$AA$22="","",'[5]سجل المستخلصات'!$AA$22)</f>
        <v/>
      </c>
      <c r="W38" s="51">
        <f>IF('[5]سجل المستخلصات'!$AC$22="","",'[5]سجل المستخلصات'!$AC$22)</f>
        <v/>
      </c>
      <c r="X38" s="54">
        <f>IF('[5]سجل المستخلصات'!$AD$22="","",'[5]سجل المستخلصات'!$AD$22)</f>
        <v/>
      </c>
      <c r="Y38" s="50">
        <f>IF('[5]سجل المستخلصات'!$AE$22="","",'[5]سجل المستخلصات'!$AE$22)</f>
        <v/>
      </c>
    </row>
    <row r="39">
      <c r="B39" s="48" t="n">
        <v>18</v>
      </c>
      <c r="C39" s="49">
        <f>IF('[5]سجل المستخلصات'!$C$23="","",'[5]سجل المستخلصات'!$C$23)</f>
        <v/>
      </c>
      <c r="D39" s="49">
        <f>IF('[5]سجل المستخلصات'!$E$23="","",'[5]سجل المستخلصات'!$E$23)</f>
        <v/>
      </c>
      <c r="E39" s="50">
        <f>IF('[5]سجل المستخلصات'!$F$23="","",'[5]سجل المستخلصات'!$F$23)</f>
        <v/>
      </c>
      <c r="F39" s="51">
        <f>IF('[5]سجل المستخلصات'!$H$23="","",'[5]سجل المستخلصات'!$H$23)</f>
        <v/>
      </c>
      <c r="G39" s="51">
        <f>IF('[5]سجل المستخلصات'!$G$23="","",'[5]سجل المستخلصات'!$G$23)</f>
        <v/>
      </c>
      <c r="H39" s="51">
        <f>IF('[5]سجل المستخلصات'!$I$23="","",'[5]سجل المستخلصات'!$I$23)</f>
        <v/>
      </c>
      <c r="I39" s="51">
        <f>IF('[5]سجل المستخلصات'!$J$23="","",'[5]سجل المستخلصات'!$J$23)</f>
        <v/>
      </c>
      <c r="J39" s="51">
        <f>IF('[5]سجل المستخلصات'!$K$23="","",'[5]سجل المستخلصات'!$K$23)</f>
        <v/>
      </c>
      <c r="K39" s="52">
        <f>IF('[5]سجل المستخلصات'!$L$23="","",'[5]سجل المستخلصات'!$L$23)</f>
        <v/>
      </c>
      <c r="L39" s="52">
        <f>IF('[5]سجل المستخلصات'!$M$23="","",'[5]سجل المستخلصات'!$M$23)</f>
        <v/>
      </c>
      <c r="M39" s="52">
        <f>IF('[5]سجل المستخلصات'!$N$23="","",'[5]سجل المستخلصات'!$N$23)</f>
        <v/>
      </c>
      <c r="N39" s="51">
        <f>IF('[5]سجل المستخلصات'!$O$23="","",'[5]سجل المستخلصات'!$O$23)</f>
        <v/>
      </c>
      <c r="O39" s="51">
        <f>IF('[5]سجل المستخلصات'!$R$23="","",'[5]سجل المستخلصات'!$R$23)</f>
        <v/>
      </c>
      <c r="P39" s="51">
        <f>IF('[5]سجل المستخلصات'!$S$23="","",'[5]سجل المستخلصات'!$S$23)</f>
        <v/>
      </c>
      <c r="Q39" s="51">
        <f>IF('[5]سجل المستخلصات'!$T$23="","",'[5]سجل المستخلصات'!$T$23)</f>
        <v/>
      </c>
      <c r="R39" s="51">
        <f>IF('[5]سجل المستخلصات'!$V$23="","",'[5]سجل المستخلصات'!$V$23)</f>
        <v/>
      </c>
      <c r="S39" s="51">
        <f>IF('[5]سجل المستخلصات'!$W$23="","",'[5]سجل المستخلصات'!$W$23)</f>
        <v/>
      </c>
      <c r="T39" s="53">
        <f>IF('[5]سجل المستخلصات'!$X$23="","",'[5]سجل المستخلصات'!$X$23)</f>
        <v/>
      </c>
      <c r="U39" s="53">
        <f>IF('[5]سجل المستخلصات'!$Z$23="","",'[5]سجل المستخلصات'!$Z$23)</f>
        <v/>
      </c>
      <c r="V39" s="51">
        <f>IF('[5]سجل المستخلصات'!$AA$23="","",'[5]سجل المستخلصات'!$AA$23)</f>
        <v/>
      </c>
      <c r="W39" s="51">
        <f>IF('[5]سجل المستخلصات'!$AC$23="","",'[5]سجل المستخلصات'!$AC$23)</f>
        <v/>
      </c>
      <c r="X39" s="54">
        <f>IF('[5]سجل المستخلصات'!$AD$23="","",'[5]سجل المستخلصات'!$AD$23)</f>
        <v/>
      </c>
      <c r="Y39" s="50">
        <f>IF('[5]سجل المستخلصات'!$AE$23="","",'[5]سجل المستخلصات'!$AE$23)</f>
        <v/>
      </c>
    </row>
    <row r="40">
      <c r="B40" s="48" t="n">
        <v>19</v>
      </c>
      <c r="C40" s="49">
        <f>IF('[5]سجل المستخلصات'!$C$24="","",'[5]سجل المستخلصات'!$C$24)</f>
        <v/>
      </c>
      <c r="D40" s="49">
        <f>IF('[5]سجل المستخلصات'!$E$24="","",'[5]سجل المستخلصات'!$E$24)</f>
        <v/>
      </c>
      <c r="E40" s="50">
        <f>IF('[5]سجل المستخلصات'!$F$24="","",'[5]سجل المستخلصات'!$F$24)</f>
        <v/>
      </c>
      <c r="F40" s="51">
        <f>IF('[5]سجل المستخلصات'!$H$24="","",'[5]سجل المستخلصات'!$H$24)</f>
        <v/>
      </c>
      <c r="G40" s="51">
        <f>IF('[5]سجل المستخلصات'!$G$24="","",'[5]سجل المستخلصات'!$G$24)</f>
        <v/>
      </c>
      <c r="H40" s="51">
        <f>IF('[5]سجل المستخلصات'!$I$24="","",'[5]سجل المستخلصات'!$I$24)</f>
        <v/>
      </c>
      <c r="I40" s="51">
        <f>IF('[5]سجل المستخلصات'!$J$24="","",'[5]سجل المستخلصات'!$J$24)</f>
        <v/>
      </c>
      <c r="J40" s="51">
        <f>IF('[5]سجل المستخلصات'!$K$24="","",'[5]سجل المستخلصات'!$K$24)</f>
        <v/>
      </c>
      <c r="K40" s="52">
        <f>IF('[5]سجل المستخلصات'!$L$24="","",'[5]سجل المستخلصات'!$L$24)</f>
        <v/>
      </c>
      <c r="L40" s="52">
        <f>IF('[5]سجل المستخلصات'!$M$24="","",'[5]سجل المستخلصات'!$M$24)</f>
        <v/>
      </c>
      <c r="M40" s="52">
        <f>IF('[5]سجل المستخلصات'!$N$24="","",'[5]سجل المستخلصات'!$N$24)</f>
        <v/>
      </c>
      <c r="N40" s="51">
        <f>IF('[5]سجل المستخلصات'!$O$24="","",'[5]سجل المستخلصات'!$O$24)</f>
        <v/>
      </c>
      <c r="O40" s="51">
        <f>IF('[5]سجل المستخلصات'!$R$24="","",'[5]سجل المستخلصات'!$R$24)</f>
        <v/>
      </c>
      <c r="P40" s="51">
        <f>IF('[5]سجل المستخلصات'!$S$24="","",'[5]سجل المستخلصات'!$S$24)</f>
        <v/>
      </c>
      <c r="Q40" s="51">
        <f>IF('[5]سجل المستخلصات'!$T$24="","",'[5]سجل المستخلصات'!$T$24)</f>
        <v/>
      </c>
      <c r="R40" s="51">
        <f>IF('[5]سجل المستخلصات'!$V$24="","",'[5]سجل المستخلصات'!$V$24)</f>
        <v/>
      </c>
      <c r="S40" s="51">
        <f>IF('[5]سجل المستخلصات'!$W$24="","",'[5]سجل المستخلصات'!$W$24)</f>
        <v/>
      </c>
      <c r="T40" s="53">
        <f>IF('[5]سجل المستخلصات'!$X$24="","",'[5]سجل المستخلصات'!$X$24)</f>
        <v/>
      </c>
      <c r="U40" s="53">
        <f>IF('[5]سجل المستخلصات'!$Z$24="","",'[5]سجل المستخلصات'!$Z$24)</f>
        <v/>
      </c>
      <c r="V40" s="51">
        <f>IF('[5]سجل المستخلصات'!$AA$24="","",'[5]سجل المستخلصات'!$AA$24)</f>
        <v/>
      </c>
      <c r="W40" s="51">
        <f>IF('[5]سجل المستخلصات'!$AC$24="","",'[5]سجل المستخلصات'!$AC$24)</f>
        <v/>
      </c>
      <c r="X40" s="54">
        <f>IF('[5]سجل المستخلصات'!$AD$24="","",'[5]سجل المستخلصات'!$AD$24)</f>
        <v/>
      </c>
      <c r="Y40" s="50">
        <f>IF('[5]سجل المستخلصات'!$AE$24="","",'[5]سجل المستخلصات'!$AE$24)</f>
        <v/>
      </c>
    </row>
    <row r="41">
      <c r="B41" s="48" t="n">
        <v>20</v>
      </c>
      <c r="C41" s="49">
        <f>IF('[5]سجل المستخلصات'!$C$25="","",'[5]سجل المستخلصات'!$C$25)</f>
        <v/>
      </c>
      <c r="D41" s="49">
        <f>IF('[5]سجل المستخلصات'!$E$25="","",'[5]سجل المستخلصات'!$E$25)</f>
        <v/>
      </c>
      <c r="E41" s="50">
        <f>IF('[5]سجل المستخلصات'!$F$25="","",'[5]سجل المستخلصات'!$F$25)</f>
        <v/>
      </c>
      <c r="F41" s="51">
        <f>IF('[5]سجل المستخلصات'!$H$25="","",'[5]سجل المستخلصات'!$H$25)</f>
        <v/>
      </c>
      <c r="G41" s="51">
        <f>IF('[5]سجل المستخلصات'!$G$25="","",'[5]سجل المستخلصات'!$G$25)</f>
        <v/>
      </c>
      <c r="H41" s="51">
        <f>IF('[5]سجل المستخلصات'!$I$25="","",'[5]سجل المستخلصات'!$I$25)</f>
        <v/>
      </c>
      <c r="I41" s="51">
        <f>IF('[5]سجل المستخلصات'!$J$25="","",'[5]سجل المستخلصات'!$J$25)</f>
        <v/>
      </c>
      <c r="J41" s="51">
        <f>IF('[5]سجل المستخلصات'!$K$25="","",'[5]سجل المستخلصات'!$K$25)</f>
        <v/>
      </c>
      <c r="K41" s="52">
        <f>IF('[5]سجل المستخلصات'!$L$25="","",'[5]سجل المستخلصات'!$L$25)</f>
        <v/>
      </c>
      <c r="L41" s="52">
        <f>IF('[5]سجل المستخلصات'!$M$25="","",'[5]سجل المستخلصات'!$M$25)</f>
        <v/>
      </c>
      <c r="M41" s="52">
        <f>IF('[5]سجل المستخلصات'!$N$25="","",'[5]سجل المستخلصات'!$N$25)</f>
        <v/>
      </c>
      <c r="N41" s="51">
        <f>IF('[5]سجل المستخلصات'!$O$25="","",'[5]سجل المستخلصات'!$O$25)</f>
        <v/>
      </c>
      <c r="O41" s="51">
        <f>IF('[5]سجل المستخلصات'!$R$25="","",'[5]سجل المستخلصات'!$R$25)</f>
        <v/>
      </c>
      <c r="P41" s="51">
        <f>IF('[5]سجل المستخلصات'!$S$25="","",'[5]سجل المستخلصات'!$S$25)</f>
        <v/>
      </c>
      <c r="Q41" s="51">
        <f>IF('[5]سجل المستخلصات'!$T$25="","",'[5]سجل المستخلصات'!$T$25)</f>
        <v/>
      </c>
      <c r="R41" s="51">
        <f>IF('[5]سجل المستخلصات'!$V$25="","",'[5]سجل المستخلصات'!$V$25)</f>
        <v/>
      </c>
      <c r="S41" s="51">
        <f>IF('[5]سجل المستخلصات'!$W$25="","",'[5]سجل المستخلصات'!$W$25)</f>
        <v/>
      </c>
      <c r="T41" s="53">
        <f>IF('[5]سجل المستخلصات'!$X$25="","",'[5]سجل المستخلصات'!$X$25)</f>
        <v/>
      </c>
      <c r="U41" s="53">
        <f>IF('[5]سجل المستخلصات'!$Z$25="","",'[5]سجل المستخلصات'!$Z$25)</f>
        <v/>
      </c>
      <c r="V41" s="51">
        <f>IF('[5]سجل المستخلصات'!$AA$25="","",'[5]سجل المستخلصات'!$AA$25)</f>
        <v/>
      </c>
      <c r="W41" s="51">
        <f>IF('[5]سجل المستخلصات'!$AC$25="","",'[5]سجل المستخلصات'!$AC$25)</f>
        <v/>
      </c>
      <c r="X41" s="54">
        <f>IF('[5]سجل المستخلصات'!$AD$25="","",'[5]سجل المستخلصات'!$AD$25)</f>
        <v/>
      </c>
      <c r="Y41" s="50">
        <f>IF('[5]سجل المستخلصات'!$AE$25="","",'[5]سجل المستخلصات'!$AE$25)</f>
        <v/>
      </c>
    </row>
    <row r="42">
      <c r="B42" s="55" t="inlineStr">
        <is>
          <t>الإجمالي</t>
        </is>
      </c>
      <c r="C42" s="56" t="n"/>
      <c r="D42" s="56" t="n"/>
      <c r="E42" s="55" t="n"/>
      <c r="F42" s="57">
        <f>SUM(F22:F41)</f>
        <v/>
      </c>
      <c r="G42" s="57">
        <f>IF($V$9=0,0,N(INDEX($G$22:$G$41,$V$9)))</f>
        <v/>
      </c>
      <c r="H42" s="57">
        <f>IF($V$9=0,0,N(INDEX($H$22:$H$41,$V$9)))</f>
        <v/>
      </c>
      <c r="I42" s="57">
        <f>IF($V$9=0,0,N(INDEX($I$22:$I$41,$V$9)))</f>
        <v/>
      </c>
      <c r="J42" s="57">
        <f>IF($V$9=0,0,N(INDEX($J$22:$J$41,$V$9)))</f>
        <v/>
      </c>
      <c r="K42" s="58">
        <f>IF($V$9=0,0,N(INDEX($K$22:$K$41,$V$9)))</f>
        <v/>
      </c>
      <c r="L42" s="58" t="n"/>
      <c r="M42" s="58" t="n"/>
      <c r="N42" s="57">
        <f>IF($V$9=0,0,N(INDEX($N$22:$N$41,$V$9)))</f>
        <v/>
      </c>
      <c r="O42" s="57">
        <f>IF($V$9=0,0,N(INDEX($O$22:$O$41,$V$9)))</f>
        <v/>
      </c>
      <c r="P42" s="57">
        <f>IF($V$9=0,0,N(INDEX($P$22:$P$41,$V$9)))</f>
        <v/>
      </c>
      <c r="Q42" s="57">
        <f>IF($V$9=0,0,N(INDEX($Q$22:$Q$41,$V$9)))</f>
        <v/>
      </c>
      <c r="R42" s="57">
        <f>IF($V$9=0,0,N(INDEX($R$22:$R$41,$V$9)))</f>
        <v/>
      </c>
      <c r="S42" s="57">
        <f>IF($V$9=0,0,N(INDEX($S$22:$S$41,$V$9)))</f>
        <v/>
      </c>
      <c r="T42" s="57">
        <f>IF($V$9=0,0,N(INDEX($T$22:$T$41,$V$9)))</f>
        <v/>
      </c>
      <c r="U42" s="57">
        <f>SUM(U22:U41)</f>
        <v/>
      </c>
      <c r="V42" s="57">
        <f>SUM(V22:V41)</f>
        <v/>
      </c>
      <c r="W42" s="57">
        <f>SUM(W22:W41)</f>
        <v/>
      </c>
      <c r="X42" s="59">
        <f>IFERROR(AVERAGE(X22:X41),0)</f>
        <v/>
      </c>
      <c r="Y42" s="55" t="n"/>
    </row>
    <row r="45">
      <c r="B45" s="46" t="inlineStr">
        <is>
          <t>الإنجاز حسب أقسام الأعمال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القسم</t>
        </is>
      </c>
      <c r="C46" s="47" t="n"/>
      <c r="D46" s="47" t="n"/>
      <c r="E46" s="47" t="inlineStr">
        <is>
          <t>القيمة التعاقدية</t>
        </is>
      </c>
      <c r="F46" s="47" t="inlineStr">
        <is>
          <t>القيمة المنفذة</t>
        </is>
      </c>
      <c r="G46" s="47" t="inlineStr">
        <is>
          <t>نسبة الإنجاز</t>
        </is>
      </c>
    </row>
    <row r="47">
      <c r="B47" s="60">
        <f>IF('[5]سجل المستخلصات'!$B$32="","",'[5]سجل المستخلصات'!$B$32)</f>
        <v/>
      </c>
      <c r="C47" s="60" t="n"/>
      <c r="D47" s="60" t="n"/>
      <c r="E47" s="51">
        <f>N('[5]سجل المستخلصات'!$E$32)</f>
        <v/>
      </c>
      <c r="F47" s="51">
        <f>N('[5]سجل المستخلصات'!$F$32)</f>
        <v/>
      </c>
      <c r="G47" s="61">
        <f>IF(E47&gt;0,F47/E47,0)</f>
        <v/>
      </c>
    </row>
    <row r="48">
      <c r="B48" s="60">
        <f>IF('[5]سجل المستخلصات'!$B$33="","",'[5]سجل المستخلصات'!$B$33)</f>
        <v/>
      </c>
      <c r="C48" s="60" t="n"/>
      <c r="D48" s="60" t="n"/>
      <c r="E48" s="51">
        <f>N('[5]سجل المستخلصات'!$E$33)</f>
        <v/>
      </c>
      <c r="F48" s="51">
        <f>N('[5]سجل المستخلصات'!$F$33)</f>
        <v/>
      </c>
      <c r="G48" s="61">
        <f>IF(E48&gt;0,F48/E48,0)</f>
        <v/>
      </c>
    </row>
    <row r="49">
      <c r="B49" s="60">
        <f>IF('[5]سجل المستخلصات'!$B$34="","",'[5]سجل المستخلصات'!$B$34)</f>
        <v/>
      </c>
      <c r="C49" s="60" t="n"/>
      <c r="D49" s="60" t="n"/>
      <c r="E49" s="51">
        <f>N('[5]سجل المستخلصات'!$E$34)</f>
        <v/>
      </c>
      <c r="F49" s="51">
        <f>N('[5]سجل المستخلصات'!$F$34)</f>
        <v/>
      </c>
      <c r="G49" s="61">
        <f>IF(E49&gt;0,F49/E49,0)</f>
        <v/>
      </c>
    </row>
    <row r="50">
      <c r="B50" s="60">
        <f>IF('[5]سجل المستخلصات'!$B$35="","",'[5]سجل المستخلصات'!$B$35)</f>
        <v/>
      </c>
      <c r="C50" s="60" t="n"/>
      <c r="D50" s="60" t="n"/>
      <c r="E50" s="51">
        <f>N('[5]سجل المستخلصات'!$E$35)</f>
        <v/>
      </c>
      <c r="F50" s="51">
        <f>N('[5]سجل المستخلصات'!$F$35)</f>
        <v/>
      </c>
      <c r="G50" s="61">
        <f>IF(E50&gt;0,F50/E50,0)</f>
        <v/>
      </c>
    </row>
    <row r="51">
      <c r="B51" s="60">
        <f>IF('[5]سجل المستخلصات'!$B$36="","",'[5]سجل المستخلصات'!$B$36)</f>
        <v/>
      </c>
      <c r="C51" s="60" t="n"/>
      <c r="D51" s="60" t="n"/>
      <c r="E51" s="51">
        <f>N('[5]سجل المستخلصات'!$E$36)</f>
        <v/>
      </c>
      <c r="F51" s="51">
        <f>N('[5]سجل المستخلصات'!$F$36)</f>
        <v/>
      </c>
      <c r="G51" s="61">
        <f>IF(E51&gt;0,F51/E51,0)</f>
        <v/>
      </c>
    </row>
    <row r="52">
      <c r="B52" s="60">
        <f>IF('[5]سجل المستخلصات'!$B$37="","",'[5]سجل المستخلصات'!$B$37)</f>
        <v/>
      </c>
      <c r="C52" s="60" t="n"/>
      <c r="D52" s="60" t="n"/>
      <c r="E52" s="51">
        <f>N('[5]سجل المستخلصات'!$E$37)</f>
        <v/>
      </c>
      <c r="F52" s="51">
        <f>N('[5]سجل المستخلصات'!$F$37)</f>
        <v/>
      </c>
      <c r="G52" s="61">
        <f>IF(E52&gt;0,F52/E52,0)</f>
        <v/>
      </c>
    </row>
    <row r="53">
      <c r="B53" s="60">
        <f>IF('[5]سجل المستخلصات'!$B$38="","",'[5]سجل المستخلصات'!$B$38)</f>
        <v/>
      </c>
      <c r="C53" s="60" t="n"/>
      <c r="D53" s="60" t="n"/>
      <c r="E53" s="51">
        <f>N('[5]سجل المستخلصات'!$E$38)</f>
        <v/>
      </c>
      <c r="F53" s="51">
        <f>N('[5]سجل المستخلصات'!$F$38)</f>
        <v/>
      </c>
      <c r="G53" s="61">
        <f>IF(E53&gt;0,F53/E53,0)</f>
        <v/>
      </c>
    </row>
    <row r="54">
      <c r="B54" s="60">
        <f>IF('[5]سجل المستخلصات'!$B$39="","",'[5]سجل المستخلصات'!$B$39)</f>
        <v/>
      </c>
      <c r="C54" s="60" t="n"/>
      <c r="D54" s="60" t="n"/>
      <c r="E54" s="51">
        <f>N('[5]سجل المستخلصات'!$E$39)</f>
        <v/>
      </c>
      <c r="F54" s="51">
        <f>N('[5]سجل المستخلصات'!$F$39)</f>
        <v/>
      </c>
      <c r="G54" s="61">
        <f>IF(E54&gt;0,F54/E54,0)</f>
        <v/>
      </c>
    </row>
    <row r="55">
      <c r="B55" s="60">
        <f>IF('[5]سجل المستخلصات'!$B$40="","",'[5]سجل المستخلصات'!$B$40)</f>
        <v/>
      </c>
      <c r="C55" s="60" t="n"/>
      <c r="D55" s="60" t="n"/>
      <c r="E55" s="51">
        <f>N('[5]سجل المستخلصات'!$E$40)</f>
        <v/>
      </c>
      <c r="F55" s="51">
        <f>N('[5]سجل المستخلصات'!$F$40)</f>
        <v/>
      </c>
      <c r="G55" s="61">
        <f>IF(E55&gt;0,F55/E55,0)</f>
        <v/>
      </c>
    </row>
    <row r="56">
      <c r="B56" s="60">
        <f>IF('[5]سجل المستخلصات'!$B$41="","",'[5]سجل المستخلصات'!$B$41)</f>
        <v/>
      </c>
      <c r="C56" s="60" t="n"/>
      <c r="D56" s="60" t="n"/>
      <c r="E56" s="51">
        <f>N('[5]سجل المستخلصات'!$E$41)</f>
        <v/>
      </c>
      <c r="F56" s="51">
        <f>N('[5]سجل المستخلصات'!$F$41)</f>
        <v/>
      </c>
      <c r="G56" s="61">
        <f>IF(E56&gt;0,F56/E56,0)</f>
        <v/>
      </c>
    </row>
    <row r="57">
      <c r="B57" s="60">
        <f>IF('[5]سجل المستخلصات'!$B$42="","",'[5]سجل المستخلصات'!$B$42)</f>
        <v/>
      </c>
      <c r="C57" s="60" t="n"/>
      <c r="D57" s="60" t="n"/>
      <c r="E57" s="51">
        <f>N('[5]سجل المستخلصات'!$E$42)</f>
        <v/>
      </c>
      <c r="F57" s="51">
        <f>N('[5]سجل المستخلصات'!$F$42)</f>
        <v/>
      </c>
      <c r="G57" s="61">
        <f>IF(E57&gt;0,F57/E57,0)</f>
        <v/>
      </c>
    </row>
    <row r="58">
      <c r="B58" s="60">
        <f>IF('[5]سجل المستخلصات'!$B$43="","",'[5]سجل المستخلصات'!$B$43)</f>
        <v/>
      </c>
      <c r="C58" s="60" t="n"/>
      <c r="D58" s="60" t="n"/>
      <c r="E58" s="51">
        <f>N('[5]سجل المستخلصات'!$E$43)</f>
        <v/>
      </c>
      <c r="F58" s="51">
        <f>N('[5]سجل المستخلصات'!$F$43)</f>
        <v/>
      </c>
      <c r="G58" s="61">
        <f>IF(E58&gt;0,F58/E58,0)</f>
        <v/>
      </c>
    </row>
  </sheetData>
  <mergeCells count="76">
    <mergeCell ref="R17:U17"/>
    <mergeCell ref="B9:E9"/>
    <mergeCell ref="F9:I9"/>
    <mergeCell ref="B2:Y2"/>
    <mergeCell ref="N9:Q9"/>
    <mergeCell ref="B57:D57"/>
    <mergeCell ref="J12:M12"/>
    <mergeCell ref="B15:E15"/>
    <mergeCell ref="B53:D53"/>
    <mergeCell ref="M5:Q5"/>
    <mergeCell ref="B1:Y1"/>
    <mergeCell ref="S5:Y5"/>
    <mergeCell ref="N15:Q15"/>
    <mergeCell ref="J18:M18"/>
    <mergeCell ref="H5:K5"/>
    <mergeCell ref="F14:I14"/>
    <mergeCell ref="R18:U18"/>
    <mergeCell ref="R9:U9"/>
    <mergeCell ref="V18:Y18"/>
    <mergeCell ref="N3:R3"/>
    <mergeCell ref="R8:U8"/>
    <mergeCell ref="R14:U14"/>
    <mergeCell ref="J17:M17"/>
    <mergeCell ref="J8:M8"/>
    <mergeCell ref="V12:Y12"/>
    <mergeCell ref="F11:I11"/>
    <mergeCell ref="B49:D49"/>
    <mergeCell ref="C6:F6"/>
    <mergeCell ref="N11:Q11"/>
    <mergeCell ref="V17:Y17"/>
    <mergeCell ref="R11:U11"/>
    <mergeCell ref="J14:M14"/>
    <mergeCell ref="C5:F5"/>
    <mergeCell ref="B55:D55"/>
    <mergeCell ref="AA4:AB4"/>
    <mergeCell ref="B51:D51"/>
    <mergeCell ref="V14:Y14"/>
    <mergeCell ref="B18:E18"/>
    <mergeCell ref="V8:Y8"/>
    <mergeCell ref="S3:Y3"/>
    <mergeCell ref="J9:M9"/>
    <mergeCell ref="M6:Q6"/>
    <mergeCell ref="B20:Y20"/>
    <mergeCell ref="B12:E12"/>
    <mergeCell ref="F12:I12"/>
    <mergeCell ref="B45:G45"/>
    <mergeCell ref="H6:K6"/>
    <mergeCell ref="B50:D50"/>
    <mergeCell ref="B11:E11"/>
    <mergeCell ref="N12:Q12"/>
    <mergeCell ref="F15:I15"/>
    <mergeCell ref="R15:U15"/>
    <mergeCell ref="J15:M15"/>
    <mergeCell ref="B47:D47"/>
    <mergeCell ref="B54:D54"/>
    <mergeCell ref="B14:E14"/>
    <mergeCell ref="N18:Q18"/>
    <mergeCell ref="F18:I18"/>
    <mergeCell ref="B17:E17"/>
    <mergeCell ref="B8:E8"/>
    <mergeCell ref="V9:Y9"/>
    <mergeCell ref="N8:Q8"/>
    <mergeCell ref="N14:Q14"/>
    <mergeCell ref="F17:I17"/>
    <mergeCell ref="F8:I8"/>
    <mergeCell ref="R12:U12"/>
    <mergeCell ref="N17:Q17"/>
    <mergeCell ref="B46:D46"/>
    <mergeCell ref="J11:M11"/>
    <mergeCell ref="B56:D56"/>
    <mergeCell ref="B58:D58"/>
    <mergeCell ref="V15:Y15"/>
    <mergeCell ref="B52:D52"/>
    <mergeCell ref="V11:Y11"/>
    <mergeCell ref="B48:D48"/>
    <mergeCell ref="S6:Y6"/>
  </mergeCells>
  <conditionalFormatting sqref="M22:M41">
    <cfRule type="cellIs" priority="1" operator="lessThan" dxfId="0">
      <formula>-0.0001</formula>
    </cfRule>
  </conditionalFormatting>
  <conditionalFormatting sqref="Y22:Y41">
    <cfRule type="expression" priority="2" dxfId="1">
      <formula>ISNUMBER(SEARCH("✔",Y22))</formula>
    </cfRule>
    <cfRule type="expression" priority="3" dxfId="2">
      <formula>ISNUMBER(SEARCH("✖",Y22))</formula>
    </cfRule>
    <cfRule type="expression" priority="4" dxfId="3">
      <formula>ISNUMBER(SEARCH("⚠",Y22))</formula>
    </cfRule>
  </conditionalFormatting>
  <conditionalFormatting sqref="B22:Y41">
    <cfRule type="expression" priority="5" dxfId="4">
      <formula>$B22=$V$9</formula>
    </cfRule>
  </conditionalFormatting>
  <conditionalFormatting sqref="K22:K41">
    <cfRule type="dataBar" priority="6">
      <dataBar>
        <cfvo type="num" val="0"/>
        <cfvo type="num" val="1"/>
        <color rgb="0063BE7B"/>
      </dataBar>
    </cfRule>
  </conditionalFormatting>
  <conditionalFormatting sqref="V12">
    <cfRule type="expression" priority="7" dxfId="0">
      <formula>ISNUMBER(SEARCH("⚠",V12))</formula>
    </cfRule>
  </conditionalFormatting>
  <conditionalFormatting sqref="J12">
    <cfRule type="cellIs" priority="8" operator="lessThan" dxfId="0">
      <formula>0</formula>
    </cfRule>
  </conditionalFormatting>
  <conditionalFormatting sqref="G47:G58">
    <cfRule type="dataBar" priority="9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xmlns:r="http://schemas.openxmlformats.org/officeDocument/2006/relationships" ref="N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"&amp;IF('[6]بيانات العقد'!$C$5="","مشروع رقم 06 — غير مُفعّل",'[6]بيانات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مشروع 01</t>
        </is>
      </c>
      <c r="D3" s="4" t="inlineStr">
        <is>
          <t>مشروع 02</t>
        </is>
      </c>
      <c r="E3" s="4" t="inlineStr">
        <is>
          <t>مشروع 03</t>
        </is>
      </c>
      <c r="F3" s="4" t="inlineStr">
        <is>
          <t>مشروع 04</t>
        </is>
      </c>
      <c r="G3" s="4" t="inlineStr">
        <is>
          <t>مشروع 05</t>
        </is>
      </c>
      <c r="H3" s="10" t="inlineStr">
        <is>
          <t>مشروع 06</t>
        </is>
      </c>
      <c r="I3" s="4" t="inlineStr">
        <is>
          <t>مشروع 07</t>
        </is>
      </c>
      <c r="J3" s="4" t="inlineStr">
        <is>
          <t>مشروع 08</t>
        </is>
      </c>
      <c r="K3" s="4" t="inlineStr">
        <is>
          <t>مشروع 09</t>
        </is>
      </c>
      <c r="L3" s="4" t="inlineStr">
        <is>
          <t>مشروع 10</t>
        </is>
      </c>
      <c r="N3" s="11" t="inlineStr">
        <is>
          <t>📂 فتح ملف المستخلصات: IPC_Project_06.xlsx</t>
        </is>
      </c>
      <c r="O3" s="11" t="n"/>
      <c r="P3" s="11" t="n"/>
      <c r="Q3" s="11" t="n"/>
      <c r="R3" s="11" t="n"/>
      <c r="S3" s="12" t="inlineStr">
        <is>
          <t>يُحدَّث آلياً من ملف المستخلصات (تمكين المحتوى ← تحديث الروابط)</t>
        </is>
      </c>
      <c r="T3" s="12" t="n"/>
      <c r="U3" s="12" t="n"/>
      <c r="V3" s="12" t="n"/>
      <c r="W3" s="12" t="n"/>
      <c r="X3" s="12" t="n"/>
      <c r="Y3" s="12" t="n"/>
    </row>
    <row r="4">
      <c r="AA4" s="11" t="inlineStr">
        <is>
          <t>بيانات مرتبطة من ملف المستخلصات</t>
        </is>
      </c>
      <c r="AB4" s="11" t="n"/>
    </row>
    <row r="5" ht="22" customHeight="1">
      <c r="B5" s="9" t="inlineStr">
        <is>
          <t>المشروع</t>
        </is>
      </c>
      <c r="C5" s="13">
        <f>IF('[6]بيانات العقد'!$C$5="","",'[6]بيانات العقد'!$C$5)</f>
        <v/>
      </c>
      <c r="D5" s="13" t="n"/>
      <c r="E5" s="13" t="n"/>
      <c r="F5" s="13" t="n"/>
      <c r="G5" s="9" t="inlineStr">
        <is>
          <t>رقم العقد</t>
        </is>
      </c>
      <c r="H5" s="13">
        <f>IF('[6]بيانات العقد'!$C$6="","",'[6]بيانات العقد'!$C$6)</f>
        <v/>
      </c>
      <c r="I5" s="13" t="n"/>
      <c r="J5" s="13" t="n"/>
      <c r="K5" s="13" t="n"/>
      <c r="L5" s="9" t="inlineStr">
        <is>
          <t>صاحب العمل</t>
        </is>
      </c>
      <c r="M5" s="13">
        <f>IF('[6]بيانات العقد'!$C$7="","",'[6]بيانات العقد'!$C$7)</f>
        <v/>
      </c>
      <c r="N5" s="13" t="n"/>
      <c r="O5" s="13" t="n"/>
      <c r="P5" s="13" t="n"/>
      <c r="Q5" s="13" t="n"/>
      <c r="R5" s="9" t="inlineStr">
        <is>
          <t>الاستشاري</t>
        </is>
      </c>
      <c r="S5" s="13">
        <f>IF('[6]بيانات العقد'!$C$8="","",'[6]بيانات العقد'!$C$8)</f>
        <v/>
      </c>
      <c r="T5" s="13" t="n"/>
      <c r="U5" s="13" t="n"/>
      <c r="V5" s="13" t="n"/>
      <c r="W5" s="13" t="n"/>
      <c r="X5" s="13" t="n"/>
      <c r="Y5" s="13" t="n"/>
      <c r="AA5" s="14" t="inlineStr">
        <is>
          <t>قيمة العقد الأصلية</t>
        </is>
      </c>
      <c r="AB5" s="15">
        <f>N('[6]بيانات العقد'!$C$16)</f>
        <v/>
      </c>
    </row>
    <row r="6" ht="22" customHeight="1">
      <c r="B6" s="9" t="inlineStr">
        <is>
          <t>المقاول</t>
        </is>
      </c>
      <c r="C6" s="13">
        <f>IF('[6]بيانات العقد'!$C$9="","",'[6]بيانات العقد'!$C$9)</f>
        <v/>
      </c>
      <c r="D6" s="13" t="n"/>
      <c r="E6" s="13" t="n"/>
      <c r="F6" s="13" t="n"/>
      <c r="G6" s="9" t="inlineStr">
        <is>
          <t>تاريخ البدء</t>
        </is>
      </c>
      <c r="H6" s="16">
        <f>IF('[6]بيانات العقد'!$C$11="","",'[6]بيانات العقد'!$C$11)</f>
        <v/>
      </c>
      <c r="I6" s="16" t="n"/>
      <c r="J6" s="16" t="n"/>
      <c r="K6" s="16" t="n"/>
      <c r="L6" s="9" t="inlineStr">
        <is>
          <t>الانتهاء التعاقدي</t>
        </is>
      </c>
      <c r="M6" s="16">
        <f>IF('[6]بيانات العقد'!$C$13="","",'[6]بيانات العقد'!$C$13)</f>
        <v/>
      </c>
      <c r="N6" s="16" t="n"/>
      <c r="O6" s="16" t="n"/>
      <c r="P6" s="16" t="n"/>
      <c r="Q6" s="16" t="n"/>
      <c r="R6" s="9" t="inlineStr">
        <is>
          <t>العملة</t>
        </is>
      </c>
      <c r="S6" s="13">
        <f>IF('[6]بيانات العقد'!$C$14="","",'[6]بيانات العقد'!$C$14)</f>
        <v/>
      </c>
      <c r="T6" s="13" t="n"/>
      <c r="U6" s="13" t="n"/>
      <c r="V6" s="13" t="n"/>
      <c r="W6" s="13" t="n"/>
      <c r="X6" s="13" t="n"/>
      <c r="Y6" s="13" t="n"/>
      <c r="AA6" s="14" t="inlineStr">
        <is>
          <t>صافي التغييرية المعتمدة</t>
        </is>
      </c>
      <c r="AB6" s="15">
        <f>N('[6]بيانات العقد'!$C$17)</f>
        <v/>
      </c>
    </row>
    <row r="7">
      <c r="AA7" s="14" t="inlineStr">
        <is>
          <t>قيمة العقد المعدلة</t>
        </is>
      </c>
      <c r="AB7" s="15">
        <f>N('[6]بيانات العقد'!$C$18)</f>
        <v/>
      </c>
    </row>
    <row r="8" ht="24" customHeight="1">
      <c r="B8" s="17" t="inlineStr">
        <is>
          <t>قيمة العقد الأصلية</t>
        </is>
      </c>
      <c r="C8" s="17" t="n"/>
      <c r="D8" s="17" t="n"/>
      <c r="E8" s="17" t="n"/>
      <c r="F8" s="18" t="inlineStr">
        <is>
          <t>صافي الأوامر التغييرية</t>
        </is>
      </c>
      <c r="G8" s="18" t="n"/>
      <c r="H8" s="18" t="n"/>
      <c r="I8" s="18" t="n"/>
      <c r="J8" s="17" t="inlineStr">
        <is>
          <t>قيمة العقد المعدلة</t>
        </is>
      </c>
      <c r="K8" s="17" t="n"/>
      <c r="L8" s="17" t="n"/>
      <c r="M8" s="17" t="n"/>
      <c r="N8" s="19" t="inlineStr">
        <is>
          <t>إجمالي قيمة الأعمال التراكمية</t>
        </is>
      </c>
      <c r="O8" s="19" t="n"/>
      <c r="P8" s="19" t="n"/>
      <c r="Q8" s="19" t="n"/>
      <c r="R8" s="20" t="inlineStr">
        <is>
          <t>الأعمال المتبقية</t>
        </is>
      </c>
      <c r="S8" s="20" t="n"/>
      <c r="T8" s="20" t="n"/>
      <c r="U8" s="20" t="n"/>
      <c r="V8" s="21" t="inlineStr">
        <is>
          <t>آخر مستخلص فعال</t>
        </is>
      </c>
      <c r="W8" s="21" t="n"/>
      <c r="X8" s="21" t="n"/>
      <c r="Y8" s="21" t="n"/>
      <c r="AA8" s="14" t="inlineStr">
        <is>
          <t>نسبة الدفعة المقدمة</t>
        </is>
      </c>
      <c r="AB8" s="22">
        <f>N('[6]بيانات العقد'!$C$20)</f>
        <v/>
      </c>
    </row>
    <row r="9" ht="32" customHeight="1">
      <c r="B9" s="23">
        <f>$AB$5</f>
        <v/>
      </c>
      <c r="C9" s="23" t="n"/>
      <c r="D9" s="23" t="n"/>
      <c r="E9" s="23" t="n"/>
      <c r="F9" s="24">
        <f>$AB$6</f>
        <v/>
      </c>
      <c r="G9" s="24" t="n"/>
      <c r="H9" s="24" t="n"/>
      <c r="I9" s="24" t="n"/>
      <c r="J9" s="23">
        <f>$AB$7</f>
        <v/>
      </c>
      <c r="K9" s="23" t="n"/>
      <c r="L9" s="23" t="n"/>
      <c r="M9" s="23" t="n"/>
      <c r="N9" s="25">
        <f>IF($V$9=0,0,N(INDEX($J$22:$J$41,$V$9)))</f>
        <v/>
      </c>
      <c r="O9" s="25" t="n"/>
      <c r="P9" s="25" t="n"/>
      <c r="Q9" s="25" t="n"/>
      <c r="R9" s="26">
        <f>MAX(0,$AB$7-IF($V$9=0,0,N(INDEX($G$22:$G$41,$V$9)))-IF($V$9=0,0,N(INDEX($H$22:$H$41,$V$9))))</f>
        <v/>
      </c>
      <c r="S9" s="26" t="n"/>
      <c r="T9" s="26" t="n"/>
      <c r="U9" s="26" t="n"/>
      <c r="V9" s="27">
        <f>SUMPRODUCT(MAX((C22:C41&lt;&gt;"")*B22:B41))</f>
        <v/>
      </c>
      <c r="W9" s="27" t="n"/>
      <c r="X9" s="27" t="n"/>
      <c r="Y9" s="27" t="n"/>
      <c r="AA9" s="14" t="inlineStr">
        <is>
          <t>قيمة الدفعة المقدمة</t>
        </is>
      </c>
      <c r="AB9" s="15">
        <f>N('[6]بيانات العقد'!$C$21)</f>
        <v/>
      </c>
    </row>
    <row r="10">
      <c r="AA10" s="14" t="inlineStr">
        <is>
          <t>نسبة ضمان الأعمال</t>
        </is>
      </c>
      <c r="AB10" s="22">
        <f>N('[6]بيانات العقد'!$C$27)</f>
        <v/>
      </c>
    </row>
    <row r="11" ht="24" customHeight="1">
      <c r="B11" s="19" t="inlineStr">
        <is>
          <t>نسبة الإنجاز الفعلية</t>
        </is>
      </c>
      <c r="C11" s="19" t="n"/>
      <c r="D11" s="19" t="n"/>
      <c r="E11" s="19" t="n"/>
      <c r="F11" s="17" t="inlineStr">
        <is>
          <t>نسبة الإنجاز المخططة</t>
        </is>
      </c>
      <c r="G11" s="17" t="n"/>
      <c r="H11" s="17" t="n"/>
      <c r="I11" s="17" t="n"/>
      <c r="J11" s="21" t="inlineStr">
        <is>
          <t>الانحراف (فعلي - مخطط)</t>
        </is>
      </c>
      <c r="K11" s="21" t="n"/>
      <c r="L11" s="21" t="n"/>
      <c r="M11" s="21" t="n"/>
      <c r="N11" s="20" t="inlineStr">
        <is>
          <t>نسبة المدة المنقضية</t>
        </is>
      </c>
      <c r="O11" s="20" t="n"/>
      <c r="P11" s="20" t="n"/>
      <c r="Q11" s="20" t="n"/>
      <c r="R11" s="17" t="inlineStr">
        <is>
          <t>مؤشر أداء الجدول (SPI)</t>
        </is>
      </c>
      <c r="S11" s="17" t="n"/>
      <c r="T11" s="17" t="n"/>
      <c r="U11" s="17" t="n"/>
      <c r="V11" s="17" t="inlineStr">
        <is>
          <t>حالة المشروع</t>
        </is>
      </c>
      <c r="W11" s="17" t="n"/>
      <c r="X11" s="17" t="n"/>
      <c r="Y11" s="17" t="n"/>
      <c r="AA11" s="14" t="inlineStr">
        <is>
          <t>الحد الأقصى للضمان</t>
        </is>
      </c>
      <c r="AB11" s="15">
        <f>N('[6]بيانات العقد'!$C$29)</f>
        <v/>
      </c>
    </row>
    <row r="12" ht="32" customHeight="1">
      <c r="B12" s="28">
        <f>IF($V$9=0,0,N(INDEX($K$22:$K$41,$V$9)))</f>
        <v/>
      </c>
      <c r="C12" s="28" t="n"/>
      <c r="D12" s="28" t="n"/>
      <c r="E12" s="28" t="n"/>
      <c r="F12" s="29">
        <f>IF($V$9=0,0,N(INDEX($L$22:$L$41,$V$9)))</f>
        <v/>
      </c>
      <c r="G12" s="29" t="n"/>
      <c r="H12" s="29" t="n"/>
      <c r="I12" s="29" t="n"/>
      <c r="J12" s="30">
        <f>B12-F12</f>
        <v/>
      </c>
      <c r="K12" s="30" t="n"/>
      <c r="L12" s="30" t="n"/>
      <c r="M12" s="30" t="n"/>
      <c r="N12" s="31">
        <f>IF(OR($V$9=0,$AB$14="",$AB$15=""),0,MIN(1,MAX(0,(INDEX(C22:C41,$V$9)-$AB$14+1)/($AB$15-$AB$14+1))))</f>
        <v/>
      </c>
      <c r="O12" s="31" t="n"/>
      <c r="P12" s="31" t="n"/>
      <c r="Q12" s="31" t="n"/>
      <c r="R12" s="32">
        <f>IF(F12&gt;0,B12/F12,0)</f>
        <v/>
      </c>
      <c r="S12" s="32" t="n"/>
      <c r="T12" s="32" t="n"/>
      <c r="U12" s="32" t="n"/>
      <c r="V12" s="33">
        <f>IF($AB$7=0,"غير مُفعّل",IF($V$9=0,"لم يبدأ الصرف",IF(J12&lt;-0.05,"⚠ متأخر",IF(J12&lt;0,"متأخر قليلاً","✔ مطابق / متقدم"))))</f>
        <v/>
      </c>
      <c r="W12" s="33" t="n"/>
      <c r="X12" s="33" t="n"/>
      <c r="Y12" s="33" t="n"/>
      <c r="AA12" s="14" t="inlineStr">
        <is>
          <t>ضريبة القيمة المضافة</t>
        </is>
      </c>
      <c r="AB12" s="22">
        <f>N('[6]بيانات العقد'!$C$31)</f>
        <v/>
      </c>
    </row>
    <row r="13">
      <c r="AA13" s="14" t="inlineStr">
        <is>
          <t>ضريبة الخصم من المنبع</t>
        </is>
      </c>
      <c r="AB13" s="22">
        <f>N('[6]بيانات العقد'!$C$33)</f>
        <v/>
      </c>
    </row>
    <row r="14" ht="24" customHeight="1">
      <c r="B14" s="17" t="inlineStr">
        <is>
          <t>صافي المستحق التراكمي</t>
        </is>
      </c>
      <c r="C14" s="17" t="n"/>
      <c r="D14" s="17" t="n"/>
      <c r="E14" s="17" t="n"/>
      <c r="F14" s="34" t="inlineStr">
        <is>
          <t>إجمالي المحصل</t>
        </is>
      </c>
      <c r="G14" s="34" t="n"/>
      <c r="H14" s="34" t="n"/>
      <c r="I14" s="34" t="n"/>
      <c r="J14" s="35" t="inlineStr">
        <is>
          <t>مستحقات غير محصلة</t>
        </is>
      </c>
      <c r="K14" s="35" t="n"/>
      <c r="L14" s="35" t="n"/>
      <c r="M14" s="35" t="n"/>
      <c r="N14" s="34" t="inlineStr">
        <is>
          <t>نسبة التحصيل</t>
        </is>
      </c>
      <c r="O14" s="34" t="n"/>
      <c r="P14" s="34" t="n"/>
      <c r="Q14" s="34" t="n"/>
      <c r="R14" s="20" t="inlineStr">
        <is>
          <t>متوسط مدة التحصيل (يوم)</t>
        </is>
      </c>
      <c r="S14" s="20" t="n"/>
      <c r="T14" s="20" t="n"/>
      <c r="U14" s="20" t="n"/>
      <c r="V14" s="21" t="inlineStr">
        <is>
          <t>تاريخ آخر مستخلص</t>
        </is>
      </c>
      <c r="W14" s="21" t="n"/>
      <c r="X14" s="21" t="n"/>
      <c r="Y14" s="21" t="n"/>
      <c r="AA14" s="14" t="inlineStr">
        <is>
          <t>تاريخ البدء</t>
        </is>
      </c>
      <c r="AB14" s="36">
        <f>IF('[6]بيانات العقد'!$C$11="","",'[6]بيانات العقد'!$C$11)</f>
        <v/>
      </c>
    </row>
    <row r="15" ht="32" customHeight="1">
      <c r="B15" s="23">
        <f>IF($V$9=0,0,N(INDEX($T$22:$T$41,$V$9)))</f>
        <v/>
      </c>
      <c r="C15" s="23" t="n"/>
      <c r="D15" s="23" t="n"/>
      <c r="E15" s="23" t="n"/>
      <c r="F15" s="37">
        <f>V42</f>
        <v/>
      </c>
      <c r="G15" s="37" t="n"/>
      <c r="H15" s="37" t="n"/>
      <c r="I15" s="37" t="n"/>
      <c r="J15" s="38">
        <f>W42</f>
        <v/>
      </c>
      <c r="K15" s="38" t="n"/>
      <c r="L15" s="38" t="n"/>
      <c r="M15" s="38" t="n"/>
      <c r="N15" s="39">
        <f>IF(B15&gt;0,F15/B15,0)</f>
        <v/>
      </c>
      <c r="O15" s="39" t="n"/>
      <c r="P15" s="39" t="n"/>
      <c r="Q15" s="39" t="n"/>
      <c r="R15" s="40">
        <f>X42</f>
        <v/>
      </c>
      <c r="S15" s="40" t="n"/>
      <c r="T15" s="40" t="n"/>
      <c r="U15" s="40" t="n"/>
      <c r="V15" s="41">
        <f>IF($V$9=0,"",INDEX(C22:C41,$V$9))</f>
        <v/>
      </c>
      <c r="W15" s="41" t="n"/>
      <c r="X15" s="41" t="n"/>
      <c r="Y15" s="41" t="n"/>
      <c r="AA15" s="14" t="inlineStr">
        <is>
          <t>تاريخ الانتهاء التعاقدي</t>
        </is>
      </c>
      <c r="AB15" s="36">
        <f>IF('[6]بيانات العقد'!$C$13="","",'[6]بيانات العقد'!$C$13)</f>
        <v/>
      </c>
    </row>
    <row r="16">
      <c r="AA16" s="14" t="inlineStr">
        <is>
          <t>المدة (شهر)</t>
        </is>
      </c>
      <c r="AB16" s="42">
        <f>IF('[6]بيانات العقد'!$C$12="","",'[6]بيانات العقد'!$C$12)</f>
        <v/>
      </c>
    </row>
    <row r="17" ht="24" customHeight="1">
      <c r="B17" s="43" t="inlineStr">
        <is>
          <t>ضمان الأعمال المحتجز</t>
        </is>
      </c>
      <c r="C17" s="43" t="n"/>
      <c r="D17" s="43" t="n"/>
      <c r="E17" s="43" t="n"/>
      <c r="F17" s="43" t="inlineStr">
        <is>
          <t>رصيد الدفعة المقدمة غير المسترد</t>
        </is>
      </c>
      <c r="G17" s="43" t="n"/>
      <c r="H17" s="43" t="n"/>
      <c r="I17" s="43" t="n"/>
      <c r="J17" s="43" t="inlineStr">
        <is>
          <t>الاستقطاعات الفنية المحتجزة</t>
        </is>
      </c>
      <c r="K17" s="43" t="n"/>
      <c r="L17" s="43" t="n"/>
      <c r="M17" s="43" t="n"/>
      <c r="N17" s="43" t="inlineStr">
        <is>
          <t>الغرامات والخصومات</t>
        </is>
      </c>
      <c r="O17" s="43" t="n"/>
      <c r="P17" s="43" t="n"/>
      <c r="Q17" s="43" t="n"/>
      <c r="R17" s="19" t="inlineStr">
        <is>
          <t>مستحق آخر مستخلص</t>
        </is>
      </c>
      <c r="S17" s="19" t="n"/>
      <c r="T17" s="19" t="n"/>
      <c r="U17" s="19" t="n"/>
      <c r="V17" s="17" t="inlineStr">
        <is>
          <t>عدد المستخلصات المعتمدة</t>
        </is>
      </c>
      <c r="W17" s="17" t="n"/>
      <c r="X17" s="17" t="n"/>
      <c r="Y17" s="17" t="n"/>
    </row>
    <row r="18" ht="32" customHeight="1">
      <c r="B18" s="44">
        <f>IF($V$9=0,0,N(INDEX($O$22:$O$41,$V$9)))</f>
        <v/>
      </c>
      <c r="C18" s="44" t="n"/>
      <c r="D18" s="44" t="n"/>
      <c r="E18" s="44" t="n"/>
      <c r="F18" s="44">
        <f>MAX(0,$AB$9-IF($V$9=0,0,N(INDEX($N$22:$N$41,$V$9))))</f>
        <v/>
      </c>
      <c r="G18" s="44" t="n"/>
      <c r="H18" s="44" t="n"/>
      <c r="I18" s="44" t="n"/>
      <c r="J18" s="44">
        <f>IF($V$9=0,0,N(INDEX($P$22:$P$41,$V$9)))</f>
        <v/>
      </c>
      <c r="K18" s="44" t="n"/>
      <c r="L18" s="44" t="n"/>
      <c r="M18" s="44" t="n"/>
      <c r="N18" s="44">
        <f>IF($V$9=0,0,N(INDEX($Q$22:$Q$41,$V$9)))</f>
        <v/>
      </c>
      <c r="O18" s="44" t="n"/>
      <c r="P18" s="44" t="n"/>
      <c r="Q18" s="44" t="n"/>
      <c r="R18" s="25">
        <f>IF($V$9=0,0,N(INDEX($U$22:$U$41,$V$9)))</f>
        <v/>
      </c>
      <c r="S18" s="25" t="n"/>
      <c r="T18" s="25" t="n"/>
      <c r="U18" s="25" t="n"/>
      <c r="V18" s="45">
        <f>COUNTIF(E22:E41,"معتمد")</f>
        <v/>
      </c>
      <c r="W18" s="45" t="n"/>
      <c r="X18" s="45" t="n"/>
      <c r="Y18" s="45" t="n"/>
    </row>
    <row r="20">
      <c r="B20" s="46" t="inlineStr">
        <is>
          <t>سجل المستخلصات (مرتبط)</t>
        </is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</row>
    <row r="21" ht="48" customHeight="1">
      <c r="B21" s="47" t="inlineStr">
        <is>
          <t>رقم المستخلص</t>
        </is>
      </c>
      <c r="C21" s="47" t="inlineStr">
        <is>
          <t>الفترة إلى</t>
        </is>
      </c>
      <c r="D21" s="47" t="inlineStr">
        <is>
          <t>تاريخ الاعتماد</t>
        </is>
      </c>
      <c r="E21" s="47" t="inlineStr">
        <is>
          <t>حالة المستخلص</t>
        </is>
      </c>
      <c r="F21" s="47" t="inlineStr">
        <is>
          <t>أعمال الفترة</t>
        </is>
      </c>
      <c r="G21" s="47" t="inlineStr">
        <is>
          <t>الأعمال المنفذة التراكمية</t>
        </is>
      </c>
      <c r="H21" s="47" t="inlineStr">
        <is>
          <t>التغييرية التراكمية</t>
        </is>
      </c>
      <c r="I21" s="47" t="inlineStr">
        <is>
          <t>رصيد المواد بالموقع</t>
        </is>
      </c>
      <c r="J21" s="47" t="inlineStr">
        <is>
          <t>إجمالي القيمة التراكمية</t>
        </is>
      </c>
      <c r="K21" s="47" t="inlineStr">
        <is>
          <t>نسبة الإنجاز الفعلية</t>
        </is>
      </c>
      <c r="L21" s="47" t="inlineStr">
        <is>
          <t>نسبة الإنجاز المخططة</t>
        </is>
      </c>
      <c r="M21" s="47" t="inlineStr">
        <is>
          <t>الانحراف</t>
        </is>
      </c>
      <c r="N21" s="47" t="inlineStr">
        <is>
          <t>استرداد الدفعة المقدمة</t>
        </is>
      </c>
      <c r="O21" s="47" t="inlineStr">
        <is>
          <t>صافي الضمان المحتجز</t>
        </is>
      </c>
      <c r="P21" s="47" t="inlineStr">
        <is>
          <t>الاستقطاعات الفنية</t>
        </is>
      </c>
      <c r="Q21" s="47" t="inlineStr">
        <is>
          <t>الغرامات والخصومات</t>
        </is>
      </c>
      <c r="R21" s="47" t="inlineStr">
        <is>
          <t>ضريبة القيمة المضافة</t>
        </is>
      </c>
      <c r="S21" s="47" t="inlineStr">
        <is>
          <t>ضريبة الخصم من المنبع</t>
        </is>
      </c>
      <c r="T21" s="47" t="inlineStr">
        <is>
          <t>صافي المستحق التراكمي</t>
        </is>
      </c>
      <c r="U21" s="47" t="inlineStr">
        <is>
          <t>المستحق للمستخلص الحالي</t>
        </is>
      </c>
      <c r="V21" s="47" t="inlineStr">
        <is>
          <t>المحصل</t>
        </is>
      </c>
      <c r="W21" s="47" t="inlineStr">
        <is>
          <t>المتبقي</t>
        </is>
      </c>
      <c r="X21" s="47" t="inlineStr">
        <is>
          <t>مدة التحصيل (يوم)</t>
        </is>
      </c>
      <c r="Y21" s="47" t="inlineStr">
        <is>
          <t>حالة التحصيل</t>
        </is>
      </c>
    </row>
    <row r="22">
      <c r="B22" s="48" t="n">
        <v>1</v>
      </c>
      <c r="C22" s="49">
        <f>IF('[6]سجل المستخلصات'!$C$6="","",'[6]سجل المستخلصات'!$C$6)</f>
        <v/>
      </c>
      <c r="D22" s="49">
        <f>IF('[6]سجل المستخلصات'!$E$6="","",'[6]سجل المستخلصات'!$E$6)</f>
        <v/>
      </c>
      <c r="E22" s="50">
        <f>IF('[6]سجل المستخلصات'!$F$6="","",'[6]سجل المستخلصات'!$F$6)</f>
        <v/>
      </c>
      <c r="F22" s="51">
        <f>IF('[6]سجل المستخلصات'!$H$6="","",'[6]سجل المستخلصات'!$H$6)</f>
        <v/>
      </c>
      <c r="G22" s="51">
        <f>IF('[6]سجل المستخلصات'!$G$6="","",'[6]سجل المستخلصات'!$G$6)</f>
        <v/>
      </c>
      <c r="H22" s="51">
        <f>IF('[6]سجل المستخلصات'!$I$6="","",'[6]سجل المستخلصات'!$I$6)</f>
        <v/>
      </c>
      <c r="I22" s="51">
        <f>IF('[6]سجل المستخلصات'!$J$6="","",'[6]سجل المستخلصات'!$J$6)</f>
        <v/>
      </c>
      <c r="J22" s="51">
        <f>IF('[6]سجل المستخلصات'!$K$6="","",'[6]سجل المستخلصات'!$K$6)</f>
        <v/>
      </c>
      <c r="K22" s="52">
        <f>IF('[6]سجل المستخلصات'!$L$6="","",'[6]سجل المستخلصات'!$L$6)</f>
        <v/>
      </c>
      <c r="L22" s="52">
        <f>IF('[6]سجل المستخلصات'!$M$6="","",'[6]سجل المستخلصات'!$M$6)</f>
        <v/>
      </c>
      <c r="M22" s="52">
        <f>IF('[6]سجل المستخلصات'!$N$6="","",'[6]سجل المستخلصات'!$N$6)</f>
        <v/>
      </c>
      <c r="N22" s="51">
        <f>IF('[6]سجل المستخلصات'!$O$6="","",'[6]سجل المستخلصات'!$O$6)</f>
        <v/>
      </c>
      <c r="O22" s="51">
        <f>IF('[6]سجل المستخلصات'!$R$6="","",'[6]سجل المستخلصات'!$R$6)</f>
        <v/>
      </c>
      <c r="P22" s="51">
        <f>IF('[6]سجل المستخلصات'!$S$6="","",'[6]سجل المستخلصات'!$S$6)</f>
        <v/>
      </c>
      <c r="Q22" s="51">
        <f>IF('[6]سجل المستخلصات'!$T$6="","",'[6]سجل المستخلصات'!$T$6)</f>
        <v/>
      </c>
      <c r="R22" s="51">
        <f>IF('[6]سجل المستخلصات'!$V$6="","",'[6]سجل المستخلصات'!$V$6)</f>
        <v/>
      </c>
      <c r="S22" s="51">
        <f>IF('[6]سجل المستخلصات'!$W$6="","",'[6]سجل المستخلصات'!$W$6)</f>
        <v/>
      </c>
      <c r="T22" s="53">
        <f>IF('[6]سجل المستخلصات'!$X$6="","",'[6]سجل المستخلصات'!$X$6)</f>
        <v/>
      </c>
      <c r="U22" s="53">
        <f>IF('[6]سجل المستخلصات'!$Z$6="","",'[6]سجل المستخلصات'!$Z$6)</f>
        <v/>
      </c>
      <c r="V22" s="51">
        <f>IF('[6]سجل المستخلصات'!$AA$6="","",'[6]سجل المستخلصات'!$AA$6)</f>
        <v/>
      </c>
      <c r="W22" s="51">
        <f>IF('[6]سجل المستخلصات'!$AC$6="","",'[6]سجل المستخلصات'!$AC$6)</f>
        <v/>
      </c>
      <c r="X22" s="54">
        <f>IF('[6]سجل المستخلصات'!$AD$6="","",'[6]سجل المستخلصات'!$AD$6)</f>
        <v/>
      </c>
      <c r="Y22" s="50">
        <f>IF('[6]سجل المستخلصات'!$AE$6="","",'[6]سجل المستخلصات'!$AE$6)</f>
        <v/>
      </c>
    </row>
    <row r="23">
      <c r="B23" s="48" t="n">
        <v>2</v>
      </c>
      <c r="C23" s="49">
        <f>IF('[6]سجل المستخلصات'!$C$7="","",'[6]سجل المستخلصات'!$C$7)</f>
        <v/>
      </c>
      <c r="D23" s="49">
        <f>IF('[6]سجل المستخلصات'!$E$7="","",'[6]سجل المستخلصات'!$E$7)</f>
        <v/>
      </c>
      <c r="E23" s="50">
        <f>IF('[6]سجل المستخلصات'!$F$7="","",'[6]سجل المستخلصات'!$F$7)</f>
        <v/>
      </c>
      <c r="F23" s="51">
        <f>IF('[6]سجل المستخلصات'!$H$7="","",'[6]سجل المستخلصات'!$H$7)</f>
        <v/>
      </c>
      <c r="G23" s="51">
        <f>IF('[6]سجل المستخلصات'!$G$7="","",'[6]سجل المستخلصات'!$G$7)</f>
        <v/>
      </c>
      <c r="H23" s="51">
        <f>IF('[6]سجل المستخلصات'!$I$7="","",'[6]سجل المستخلصات'!$I$7)</f>
        <v/>
      </c>
      <c r="I23" s="51">
        <f>IF('[6]سجل المستخلصات'!$J$7="","",'[6]سجل المستخلصات'!$J$7)</f>
        <v/>
      </c>
      <c r="J23" s="51">
        <f>IF('[6]سجل المستخلصات'!$K$7="","",'[6]سجل المستخلصات'!$K$7)</f>
        <v/>
      </c>
      <c r="K23" s="52">
        <f>IF('[6]سجل المستخلصات'!$L$7="","",'[6]سجل المستخلصات'!$L$7)</f>
        <v/>
      </c>
      <c r="L23" s="52">
        <f>IF('[6]سجل المستخلصات'!$M$7="","",'[6]سجل المستخلصات'!$M$7)</f>
        <v/>
      </c>
      <c r="M23" s="52">
        <f>IF('[6]سجل المستخلصات'!$N$7="","",'[6]سجل المستخلصات'!$N$7)</f>
        <v/>
      </c>
      <c r="N23" s="51">
        <f>IF('[6]سجل المستخلصات'!$O$7="","",'[6]سجل المستخلصات'!$O$7)</f>
        <v/>
      </c>
      <c r="O23" s="51">
        <f>IF('[6]سجل المستخلصات'!$R$7="","",'[6]سجل المستخلصات'!$R$7)</f>
        <v/>
      </c>
      <c r="P23" s="51">
        <f>IF('[6]سجل المستخلصات'!$S$7="","",'[6]سجل المستخلصات'!$S$7)</f>
        <v/>
      </c>
      <c r="Q23" s="51">
        <f>IF('[6]سجل المستخلصات'!$T$7="","",'[6]سجل المستخلصات'!$T$7)</f>
        <v/>
      </c>
      <c r="R23" s="51">
        <f>IF('[6]سجل المستخلصات'!$V$7="","",'[6]سجل المستخلصات'!$V$7)</f>
        <v/>
      </c>
      <c r="S23" s="51">
        <f>IF('[6]سجل المستخلصات'!$W$7="","",'[6]سجل المستخلصات'!$W$7)</f>
        <v/>
      </c>
      <c r="T23" s="53">
        <f>IF('[6]سجل المستخلصات'!$X$7="","",'[6]سجل المستخلصات'!$X$7)</f>
        <v/>
      </c>
      <c r="U23" s="53">
        <f>IF('[6]سجل المستخلصات'!$Z$7="","",'[6]سجل المستخلصات'!$Z$7)</f>
        <v/>
      </c>
      <c r="V23" s="51">
        <f>IF('[6]سجل المستخلصات'!$AA$7="","",'[6]سجل المستخلصات'!$AA$7)</f>
        <v/>
      </c>
      <c r="W23" s="51">
        <f>IF('[6]سجل المستخلصات'!$AC$7="","",'[6]سجل المستخلصات'!$AC$7)</f>
        <v/>
      </c>
      <c r="X23" s="54">
        <f>IF('[6]سجل المستخلصات'!$AD$7="","",'[6]سجل المستخلصات'!$AD$7)</f>
        <v/>
      </c>
      <c r="Y23" s="50">
        <f>IF('[6]سجل المستخلصات'!$AE$7="","",'[6]سجل المستخلصات'!$AE$7)</f>
        <v/>
      </c>
    </row>
    <row r="24">
      <c r="B24" s="48" t="n">
        <v>3</v>
      </c>
      <c r="C24" s="49">
        <f>IF('[6]سجل المستخلصات'!$C$8="","",'[6]سجل المستخلصات'!$C$8)</f>
        <v/>
      </c>
      <c r="D24" s="49">
        <f>IF('[6]سجل المستخلصات'!$E$8="","",'[6]سجل المستخلصات'!$E$8)</f>
        <v/>
      </c>
      <c r="E24" s="50">
        <f>IF('[6]سجل المستخلصات'!$F$8="","",'[6]سجل المستخلصات'!$F$8)</f>
        <v/>
      </c>
      <c r="F24" s="51">
        <f>IF('[6]سجل المستخلصات'!$H$8="","",'[6]سجل المستخلصات'!$H$8)</f>
        <v/>
      </c>
      <c r="G24" s="51">
        <f>IF('[6]سجل المستخلصات'!$G$8="","",'[6]سجل المستخلصات'!$G$8)</f>
        <v/>
      </c>
      <c r="H24" s="51">
        <f>IF('[6]سجل المستخلصات'!$I$8="","",'[6]سجل المستخلصات'!$I$8)</f>
        <v/>
      </c>
      <c r="I24" s="51">
        <f>IF('[6]سجل المستخلصات'!$J$8="","",'[6]سجل المستخلصات'!$J$8)</f>
        <v/>
      </c>
      <c r="J24" s="51">
        <f>IF('[6]سجل المستخلصات'!$K$8="","",'[6]سجل المستخلصات'!$K$8)</f>
        <v/>
      </c>
      <c r="K24" s="52">
        <f>IF('[6]سجل المستخلصات'!$L$8="","",'[6]سجل المستخلصات'!$L$8)</f>
        <v/>
      </c>
      <c r="L24" s="52">
        <f>IF('[6]سجل المستخلصات'!$M$8="","",'[6]سجل المستخلصات'!$M$8)</f>
        <v/>
      </c>
      <c r="M24" s="52">
        <f>IF('[6]سجل المستخلصات'!$N$8="","",'[6]سجل المستخلصات'!$N$8)</f>
        <v/>
      </c>
      <c r="N24" s="51">
        <f>IF('[6]سجل المستخلصات'!$O$8="","",'[6]سجل المستخلصات'!$O$8)</f>
        <v/>
      </c>
      <c r="O24" s="51">
        <f>IF('[6]سجل المستخلصات'!$R$8="","",'[6]سجل المستخلصات'!$R$8)</f>
        <v/>
      </c>
      <c r="P24" s="51">
        <f>IF('[6]سجل المستخلصات'!$S$8="","",'[6]سجل المستخلصات'!$S$8)</f>
        <v/>
      </c>
      <c r="Q24" s="51">
        <f>IF('[6]سجل المستخلصات'!$T$8="","",'[6]سجل المستخلصات'!$T$8)</f>
        <v/>
      </c>
      <c r="R24" s="51">
        <f>IF('[6]سجل المستخلصات'!$V$8="","",'[6]سجل المستخلصات'!$V$8)</f>
        <v/>
      </c>
      <c r="S24" s="51">
        <f>IF('[6]سجل المستخلصات'!$W$8="","",'[6]سجل المستخلصات'!$W$8)</f>
        <v/>
      </c>
      <c r="T24" s="53">
        <f>IF('[6]سجل المستخلصات'!$X$8="","",'[6]سجل المستخلصات'!$X$8)</f>
        <v/>
      </c>
      <c r="U24" s="53">
        <f>IF('[6]سجل المستخلصات'!$Z$8="","",'[6]سجل المستخلصات'!$Z$8)</f>
        <v/>
      </c>
      <c r="V24" s="51">
        <f>IF('[6]سجل المستخلصات'!$AA$8="","",'[6]سجل المستخلصات'!$AA$8)</f>
        <v/>
      </c>
      <c r="W24" s="51">
        <f>IF('[6]سجل المستخلصات'!$AC$8="","",'[6]سجل المستخلصات'!$AC$8)</f>
        <v/>
      </c>
      <c r="X24" s="54">
        <f>IF('[6]سجل المستخلصات'!$AD$8="","",'[6]سجل المستخلصات'!$AD$8)</f>
        <v/>
      </c>
      <c r="Y24" s="50">
        <f>IF('[6]سجل المستخلصات'!$AE$8="","",'[6]سجل المستخلصات'!$AE$8)</f>
        <v/>
      </c>
    </row>
    <row r="25">
      <c r="B25" s="48" t="n">
        <v>4</v>
      </c>
      <c r="C25" s="49">
        <f>IF('[6]سجل المستخلصات'!$C$9="","",'[6]سجل المستخلصات'!$C$9)</f>
        <v/>
      </c>
      <c r="D25" s="49">
        <f>IF('[6]سجل المستخلصات'!$E$9="","",'[6]سجل المستخلصات'!$E$9)</f>
        <v/>
      </c>
      <c r="E25" s="50">
        <f>IF('[6]سجل المستخلصات'!$F$9="","",'[6]سجل المستخلصات'!$F$9)</f>
        <v/>
      </c>
      <c r="F25" s="51">
        <f>IF('[6]سجل المستخلصات'!$H$9="","",'[6]سجل المستخلصات'!$H$9)</f>
        <v/>
      </c>
      <c r="G25" s="51">
        <f>IF('[6]سجل المستخلصات'!$G$9="","",'[6]سجل المستخلصات'!$G$9)</f>
        <v/>
      </c>
      <c r="H25" s="51">
        <f>IF('[6]سجل المستخلصات'!$I$9="","",'[6]سجل المستخلصات'!$I$9)</f>
        <v/>
      </c>
      <c r="I25" s="51">
        <f>IF('[6]سجل المستخلصات'!$J$9="","",'[6]سجل المستخلصات'!$J$9)</f>
        <v/>
      </c>
      <c r="J25" s="51">
        <f>IF('[6]سجل المستخلصات'!$K$9="","",'[6]سجل المستخلصات'!$K$9)</f>
        <v/>
      </c>
      <c r="K25" s="52">
        <f>IF('[6]سجل المستخلصات'!$L$9="","",'[6]سجل المستخلصات'!$L$9)</f>
        <v/>
      </c>
      <c r="L25" s="52">
        <f>IF('[6]سجل المستخلصات'!$M$9="","",'[6]سجل المستخلصات'!$M$9)</f>
        <v/>
      </c>
      <c r="M25" s="52">
        <f>IF('[6]سجل المستخلصات'!$N$9="","",'[6]سجل المستخلصات'!$N$9)</f>
        <v/>
      </c>
      <c r="N25" s="51">
        <f>IF('[6]سجل المستخلصات'!$O$9="","",'[6]سجل المستخلصات'!$O$9)</f>
        <v/>
      </c>
      <c r="O25" s="51">
        <f>IF('[6]سجل المستخلصات'!$R$9="","",'[6]سجل المستخلصات'!$R$9)</f>
        <v/>
      </c>
      <c r="P25" s="51">
        <f>IF('[6]سجل المستخلصات'!$S$9="","",'[6]سجل المستخلصات'!$S$9)</f>
        <v/>
      </c>
      <c r="Q25" s="51">
        <f>IF('[6]سجل المستخلصات'!$T$9="","",'[6]سجل المستخلصات'!$T$9)</f>
        <v/>
      </c>
      <c r="R25" s="51">
        <f>IF('[6]سجل المستخلصات'!$V$9="","",'[6]سجل المستخلصات'!$V$9)</f>
        <v/>
      </c>
      <c r="S25" s="51">
        <f>IF('[6]سجل المستخلصات'!$W$9="","",'[6]سجل المستخلصات'!$W$9)</f>
        <v/>
      </c>
      <c r="T25" s="53">
        <f>IF('[6]سجل المستخلصات'!$X$9="","",'[6]سجل المستخلصات'!$X$9)</f>
        <v/>
      </c>
      <c r="U25" s="53">
        <f>IF('[6]سجل المستخلصات'!$Z$9="","",'[6]سجل المستخلصات'!$Z$9)</f>
        <v/>
      </c>
      <c r="V25" s="51">
        <f>IF('[6]سجل المستخلصات'!$AA$9="","",'[6]سجل المستخلصات'!$AA$9)</f>
        <v/>
      </c>
      <c r="W25" s="51">
        <f>IF('[6]سجل المستخلصات'!$AC$9="","",'[6]سجل المستخلصات'!$AC$9)</f>
        <v/>
      </c>
      <c r="X25" s="54">
        <f>IF('[6]سجل المستخلصات'!$AD$9="","",'[6]سجل المستخلصات'!$AD$9)</f>
        <v/>
      </c>
      <c r="Y25" s="50">
        <f>IF('[6]سجل المستخلصات'!$AE$9="","",'[6]سجل المستخلصات'!$AE$9)</f>
        <v/>
      </c>
    </row>
    <row r="26">
      <c r="B26" s="48" t="n">
        <v>5</v>
      </c>
      <c r="C26" s="49">
        <f>IF('[6]سجل المستخلصات'!$C$10="","",'[6]سجل المستخلصات'!$C$10)</f>
        <v/>
      </c>
      <c r="D26" s="49">
        <f>IF('[6]سجل المستخلصات'!$E$10="","",'[6]سجل المستخلصات'!$E$10)</f>
        <v/>
      </c>
      <c r="E26" s="50">
        <f>IF('[6]سجل المستخلصات'!$F$10="","",'[6]سجل المستخلصات'!$F$10)</f>
        <v/>
      </c>
      <c r="F26" s="51">
        <f>IF('[6]سجل المستخلصات'!$H$10="","",'[6]سجل المستخلصات'!$H$10)</f>
        <v/>
      </c>
      <c r="G26" s="51">
        <f>IF('[6]سجل المستخلصات'!$G$10="","",'[6]سجل المستخلصات'!$G$10)</f>
        <v/>
      </c>
      <c r="H26" s="51">
        <f>IF('[6]سجل المستخلصات'!$I$10="","",'[6]سجل المستخلصات'!$I$10)</f>
        <v/>
      </c>
      <c r="I26" s="51">
        <f>IF('[6]سجل المستخلصات'!$J$10="","",'[6]سجل المستخلصات'!$J$10)</f>
        <v/>
      </c>
      <c r="J26" s="51">
        <f>IF('[6]سجل المستخلصات'!$K$10="","",'[6]سجل المستخلصات'!$K$10)</f>
        <v/>
      </c>
      <c r="K26" s="52">
        <f>IF('[6]سجل المستخلصات'!$L$10="","",'[6]سجل المستخلصات'!$L$10)</f>
        <v/>
      </c>
      <c r="L26" s="52">
        <f>IF('[6]سجل المستخلصات'!$M$10="","",'[6]سجل المستخلصات'!$M$10)</f>
        <v/>
      </c>
      <c r="M26" s="52">
        <f>IF('[6]سجل المستخلصات'!$N$10="","",'[6]سجل المستخلصات'!$N$10)</f>
        <v/>
      </c>
      <c r="N26" s="51">
        <f>IF('[6]سجل المستخلصات'!$O$10="","",'[6]سجل المستخلصات'!$O$10)</f>
        <v/>
      </c>
      <c r="O26" s="51">
        <f>IF('[6]سجل المستخلصات'!$R$10="","",'[6]سجل المستخلصات'!$R$10)</f>
        <v/>
      </c>
      <c r="P26" s="51">
        <f>IF('[6]سجل المستخلصات'!$S$10="","",'[6]سجل المستخلصات'!$S$10)</f>
        <v/>
      </c>
      <c r="Q26" s="51">
        <f>IF('[6]سجل المستخلصات'!$T$10="","",'[6]سجل المستخلصات'!$T$10)</f>
        <v/>
      </c>
      <c r="R26" s="51">
        <f>IF('[6]سجل المستخلصات'!$V$10="","",'[6]سجل المستخلصات'!$V$10)</f>
        <v/>
      </c>
      <c r="S26" s="51">
        <f>IF('[6]سجل المستخلصات'!$W$10="","",'[6]سجل المستخلصات'!$W$10)</f>
        <v/>
      </c>
      <c r="T26" s="53">
        <f>IF('[6]سجل المستخلصات'!$X$10="","",'[6]سجل المستخلصات'!$X$10)</f>
        <v/>
      </c>
      <c r="U26" s="53">
        <f>IF('[6]سجل المستخلصات'!$Z$10="","",'[6]سجل المستخلصات'!$Z$10)</f>
        <v/>
      </c>
      <c r="V26" s="51">
        <f>IF('[6]سجل المستخلصات'!$AA$10="","",'[6]سجل المستخلصات'!$AA$10)</f>
        <v/>
      </c>
      <c r="W26" s="51">
        <f>IF('[6]سجل المستخلصات'!$AC$10="","",'[6]سجل المستخلصات'!$AC$10)</f>
        <v/>
      </c>
      <c r="X26" s="54">
        <f>IF('[6]سجل المستخلصات'!$AD$10="","",'[6]سجل المستخلصات'!$AD$10)</f>
        <v/>
      </c>
      <c r="Y26" s="50">
        <f>IF('[6]سجل المستخلصات'!$AE$10="","",'[6]سجل المستخلصات'!$AE$10)</f>
        <v/>
      </c>
    </row>
    <row r="27">
      <c r="B27" s="48" t="n">
        <v>6</v>
      </c>
      <c r="C27" s="49">
        <f>IF('[6]سجل المستخلصات'!$C$11="","",'[6]سجل المستخلصات'!$C$11)</f>
        <v/>
      </c>
      <c r="D27" s="49">
        <f>IF('[6]سجل المستخلصات'!$E$11="","",'[6]سجل المستخلصات'!$E$11)</f>
        <v/>
      </c>
      <c r="E27" s="50">
        <f>IF('[6]سجل المستخلصات'!$F$11="","",'[6]سجل المستخلصات'!$F$11)</f>
        <v/>
      </c>
      <c r="F27" s="51">
        <f>IF('[6]سجل المستخلصات'!$H$11="","",'[6]سجل المستخلصات'!$H$11)</f>
        <v/>
      </c>
      <c r="G27" s="51">
        <f>IF('[6]سجل المستخلصات'!$G$11="","",'[6]سجل المستخلصات'!$G$11)</f>
        <v/>
      </c>
      <c r="H27" s="51">
        <f>IF('[6]سجل المستخلصات'!$I$11="","",'[6]سجل المستخلصات'!$I$11)</f>
        <v/>
      </c>
      <c r="I27" s="51">
        <f>IF('[6]سجل المستخلصات'!$J$11="","",'[6]سجل المستخلصات'!$J$11)</f>
        <v/>
      </c>
      <c r="J27" s="51">
        <f>IF('[6]سجل المستخلصات'!$K$11="","",'[6]سجل المستخلصات'!$K$11)</f>
        <v/>
      </c>
      <c r="K27" s="52">
        <f>IF('[6]سجل المستخلصات'!$L$11="","",'[6]سجل المستخلصات'!$L$11)</f>
        <v/>
      </c>
      <c r="L27" s="52">
        <f>IF('[6]سجل المستخلصات'!$M$11="","",'[6]سجل المستخلصات'!$M$11)</f>
        <v/>
      </c>
      <c r="M27" s="52">
        <f>IF('[6]سجل المستخلصات'!$N$11="","",'[6]سجل المستخلصات'!$N$11)</f>
        <v/>
      </c>
      <c r="N27" s="51">
        <f>IF('[6]سجل المستخلصات'!$O$11="","",'[6]سجل المستخلصات'!$O$11)</f>
        <v/>
      </c>
      <c r="O27" s="51">
        <f>IF('[6]سجل المستخلصات'!$R$11="","",'[6]سجل المستخلصات'!$R$11)</f>
        <v/>
      </c>
      <c r="P27" s="51">
        <f>IF('[6]سجل المستخلصات'!$S$11="","",'[6]سجل المستخلصات'!$S$11)</f>
        <v/>
      </c>
      <c r="Q27" s="51">
        <f>IF('[6]سجل المستخلصات'!$T$11="","",'[6]سجل المستخلصات'!$T$11)</f>
        <v/>
      </c>
      <c r="R27" s="51">
        <f>IF('[6]سجل المستخلصات'!$V$11="","",'[6]سجل المستخلصات'!$V$11)</f>
        <v/>
      </c>
      <c r="S27" s="51">
        <f>IF('[6]سجل المستخلصات'!$W$11="","",'[6]سجل المستخلصات'!$W$11)</f>
        <v/>
      </c>
      <c r="T27" s="53">
        <f>IF('[6]سجل المستخلصات'!$X$11="","",'[6]سجل المستخلصات'!$X$11)</f>
        <v/>
      </c>
      <c r="U27" s="53">
        <f>IF('[6]سجل المستخلصات'!$Z$11="","",'[6]سجل المستخلصات'!$Z$11)</f>
        <v/>
      </c>
      <c r="V27" s="51">
        <f>IF('[6]سجل المستخلصات'!$AA$11="","",'[6]سجل المستخلصات'!$AA$11)</f>
        <v/>
      </c>
      <c r="W27" s="51">
        <f>IF('[6]سجل المستخلصات'!$AC$11="","",'[6]سجل المستخلصات'!$AC$11)</f>
        <v/>
      </c>
      <c r="X27" s="54">
        <f>IF('[6]سجل المستخلصات'!$AD$11="","",'[6]سجل المستخلصات'!$AD$11)</f>
        <v/>
      </c>
      <c r="Y27" s="50">
        <f>IF('[6]سجل المستخلصات'!$AE$11="","",'[6]سجل المستخلصات'!$AE$11)</f>
        <v/>
      </c>
    </row>
    <row r="28">
      <c r="B28" s="48" t="n">
        <v>7</v>
      </c>
      <c r="C28" s="49">
        <f>IF('[6]سجل المستخلصات'!$C$12="","",'[6]سجل المستخلصات'!$C$12)</f>
        <v/>
      </c>
      <c r="D28" s="49">
        <f>IF('[6]سجل المستخلصات'!$E$12="","",'[6]سجل المستخلصات'!$E$12)</f>
        <v/>
      </c>
      <c r="E28" s="50">
        <f>IF('[6]سجل المستخلصات'!$F$12="","",'[6]سجل المستخلصات'!$F$12)</f>
        <v/>
      </c>
      <c r="F28" s="51">
        <f>IF('[6]سجل المستخلصات'!$H$12="","",'[6]سجل المستخلصات'!$H$12)</f>
        <v/>
      </c>
      <c r="G28" s="51">
        <f>IF('[6]سجل المستخلصات'!$G$12="","",'[6]سجل المستخلصات'!$G$12)</f>
        <v/>
      </c>
      <c r="H28" s="51">
        <f>IF('[6]سجل المستخلصات'!$I$12="","",'[6]سجل المستخلصات'!$I$12)</f>
        <v/>
      </c>
      <c r="I28" s="51">
        <f>IF('[6]سجل المستخلصات'!$J$12="","",'[6]سجل المستخلصات'!$J$12)</f>
        <v/>
      </c>
      <c r="J28" s="51">
        <f>IF('[6]سجل المستخلصات'!$K$12="","",'[6]سجل المستخلصات'!$K$12)</f>
        <v/>
      </c>
      <c r="K28" s="52">
        <f>IF('[6]سجل المستخلصات'!$L$12="","",'[6]سجل المستخلصات'!$L$12)</f>
        <v/>
      </c>
      <c r="L28" s="52">
        <f>IF('[6]سجل المستخلصات'!$M$12="","",'[6]سجل المستخلصات'!$M$12)</f>
        <v/>
      </c>
      <c r="M28" s="52">
        <f>IF('[6]سجل المستخلصات'!$N$12="","",'[6]سجل المستخلصات'!$N$12)</f>
        <v/>
      </c>
      <c r="N28" s="51">
        <f>IF('[6]سجل المستخلصات'!$O$12="","",'[6]سجل المستخلصات'!$O$12)</f>
        <v/>
      </c>
      <c r="O28" s="51">
        <f>IF('[6]سجل المستخلصات'!$R$12="","",'[6]سجل المستخلصات'!$R$12)</f>
        <v/>
      </c>
      <c r="P28" s="51">
        <f>IF('[6]سجل المستخلصات'!$S$12="","",'[6]سجل المستخلصات'!$S$12)</f>
        <v/>
      </c>
      <c r="Q28" s="51">
        <f>IF('[6]سجل المستخلصات'!$T$12="","",'[6]سجل المستخلصات'!$T$12)</f>
        <v/>
      </c>
      <c r="R28" s="51">
        <f>IF('[6]سجل المستخلصات'!$V$12="","",'[6]سجل المستخلصات'!$V$12)</f>
        <v/>
      </c>
      <c r="S28" s="51">
        <f>IF('[6]سجل المستخلصات'!$W$12="","",'[6]سجل المستخلصات'!$W$12)</f>
        <v/>
      </c>
      <c r="T28" s="53">
        <f>IF('[6]سجل المستخلصات'!$X$12="","",'[6]سجل المستخلصات'!$X$12)</f>
        <v/>
      </c>
      <c r="U28" s="53">
        <f>IF('[6]سجل المستخلصات'!$Z$12="","",'[6]سجل المستخلصات'!$Z$12)</f>
        <v/>
      </c>
      <c r="V28" s="51">
        <f>IF('[6]سجل المستخلصات'!$AA$12="","",'[6]سجل المستخلصات'!$AA$12)</f>
        <v/>
      </c>
      <c r="W28" s="51">
        <f>IF('[6]سجل المستخلصات'!$AC$12="","",'[6]سجل المستخلصات'!$AC$12)</f>
        <v/>
      </c>
      <c r="X28" s="54">
        <f>IF('[6]سجل المستخلصات'!$AD$12="","",'[6]سجل المستخلصات'!$AD$12)</f>
        <v/>
      </c>
      <c r="Y28" s="50">
        <f>IF('[6]سجل المستخلصات'!$AE$12="","",'[6]سجل المستخلصات'!$AE$12)</f>
        <v/>
      </c>
    </row>
    <row r="29">
      <c r="B29" s="48" t="n">
        <v>8</v>
      </c>
      <c r="C29" s="49">
        <f>IF('[6]سجل المستخلصات'!$C$13="","",'[6]سجل المستخلصات'!$C$13)</f>
        <v/>
      </c>
      <c r="D29" s="49">
        <f>IF('[6]سجل المستخلصات'!$E$13="","",'[6]سجل المستخلصات'!$E$13)</f>
        <v/>
      </c>
      <c r="E29" s="50">
        <f>IF('[6]سجل المستخلصات'!$F$13="","",'[6]سجل المستخلصات'!$F$13)</f>
        <v/>
      </c>
      <c r="F29" s="51">
        <f>IF('[6]سجل المستخلصات'!$H$13="","",'[6]سجل المستخلصات'!$H$13)</f>
        <v/>
      </c>
      <c r="G29" s="51">
        <f>IF('[6]سجل المستخلصات'!$G$13="","",'[6]سجل المستخلصات'!$G$13)</f>
        <v/>
      </c>
      <c r="H29" s="51">
        <f>IF('[6]سجل المستخلصات'!$I$13="","",'[6]سجل المستخلصات'!$I$13)</f>
        <v/>
      </c>
      <c r="I29" s="51">
        <f>IF('[6]سجل المستخلصات'!$J$13="","",'[6]سجل المستخلصات'!$J$13)</f>
        <v/>
      </c>
      <c r="J29" s="51">
        <f>IF('[6]سجل المستخلصات'!$K$13="","",'[6]سجل المستخلصات'!$K$13)</f>
        <v/>
      </c>
      <c r="K29" s="52">
        <f>IF('[6]سجل المستخلصات'!$L$13="","",'[6]سجل المستخلصات'!$L$13)</f>
        <v/>
      </c>
      <c r="L29" s="52">
        <f>IF('[6]سجل المستخلصات'!$M$13="","",'[6]سجل المستخلصات'!$M$13)</f>
        <v/>
      </c>
      <c r="M29" s="52">
        <f>IF('[6]سجل المستخلصات'!$N$13="","",'[6]سجل المستخلصات'!$N$13)</f>
        <v/>
      </c>
      <c r="N29" s="51">
        <f>IF('[6]سجل المستخلصات'!$O$13="","",'[6]سجل المستخلصات'!$O$13)</f>
        <v/>
      </c>
      <c r="O29" s="51">
        <f>IF('[6]سجل المستخلصات'!$R$13="","",'[6]سجل المستخلصات'!$R$13)</f>
        <v/>
      </c>
      <c r="P29" s="51">
        <f>IF('[6]سجل المستخلصات'!$S$13="","",'[6]سجل المستخلصات'!$S$13)</f>
        <v/>
      </c>
      <c r="Q29" s="51">
        <f>IF('[6]سجل المستخلصات'!$T$13="","",'[6]سجل المستخلصات'!$T$13)</f>
        <v/>
      </c>
      <c r="R29" s="51">
        <f>IF('[6]سجل المستخلصات'!$V$13="","",'[6]سجل المستخلصات'!$V$13)</f>
        <v/>
      </c>
      <c r="S29" s="51">
        <f>IF('[6]سجل المستخلصات'!$W$13="","",'[6]سجل المستخلصات'!$W$13)</f>
        <v/>
      </c>
      <c r="T29" s="53">
        <f>IF('[6]سجل المستخلصات'!$X$13="","",'[6]سجل المستخلصات'!$X$13)</f>
        <v/>
      </c>
      <c r="U29" s="53">
        <f>IF('[6]سجل المستخلصات'!$Z$13="","",'[6]سجل المستخلصات'!$Z$13)</f>
        <v/>
      </c>
      <c r="V29" s="51">
        <f>IF('[6]سجل المستخلصات'!$AA$13="","",'[6]سجل المستخلصات'!$AA$13)</f>
        <v/>
      </c>
      <c r="W29" s="51">
        <f>IF('[6]سجل المستخلصات'!$AC$13="","",'[6]سجل المستخلصات'!$AC$13)</f>
        <v/>
      </c>
      <c r="X29" s="54">
        <f>IF('[6]سجل المستخلصات'!$AD$13="","",'[6]سجل المستخلصات'!$AD$13)</f>
        <v/>
      </c>
      <c r="Y29" s="50">
        <f>IF('[6]سجل المستخلصات'!$AE$13="","",'[6]سجل المستخلصات'!$AE$13)</f>
        <v/>
      </c>
    </row>
    <row r="30">
      <c r="B30" s="48" t="n">
        <v>9</v>
      </c>
      <c r="C30" s="49">
        <f>IF('[6]سجل المستخلصات'!$C$14="","",'[6]سجل المستخلصات'!$C$14)</f>
        <v/>
      </c>
      <c r="D30" s="49">
        <f>IF('[6]سجل المستخلصات'!$E$14="","",'[6]سجل المستخلصات'!$E$14)</f>
        <v/>
      </c>
      <c r="E30" s="50">
        <f>IF('[6]سجل المستخلصات'!$F$14="","",'[6]سجل المستخلصات'!$F$14)</f>
        <v/>
      </c>
      <c r="F30" s="51">
        <f>IF('[6]سجل المستخلصات'!$H$14="","",'[6]سجل المستخلصات'!$H$14)</f>
        <v/>
      </c>
      <c r="G30" s="51">
        <f>IF('[6]سجل المستخلصات'!$G$14="","",'[6]سجل المستخلصات'!$G$14)</f>
        <v/>
      </c>
      <c r="H30" s="51">
        <f>IF('[6]سجل المستخلصات'!$I$14="","",'[6]سجل المستخلصات'!$I$14)</f>
        <v/>
      </c>
      <c r="I30" s="51">
        <f>IF('[6]سجل المستخلصات'!$J$14="","",'[6]سجل المستخلصات'!$J$14)</f>
        <v/>
      </c>
      <c r="J30" s="51">
        <f>IF('[6]سجل المستخلصات'!$K$14="","",'[6]سجل المستخلصات'!$K$14)</f>
        <v/>
      </c>
      <c r="K30" s="52">
        <f>IF('[6]سجل المستخلصات'!$L$14="","",'[6]سجل المستخلصات'!$L$14)</f>
        <v/>
      </c>
      <c r="L30" s="52">
        <f>IF('[6]سجل المستخلصات'!$M$14="","",'[6]سجل المستخلصات'!$M$14)</f>
        <v/>
      </c>
      <c r="M30" s="52">
        <f>IF('[6]سجل المستخلصات'!$N$14="","",'[6]سجل المستخلصات'!$N$14)</f>
        <v/>
      </c>
      <c r="N30" s="51">
        <f>IF('[6]سجل المستخلصات'!$O$14="","",'[6]سجل المستخلصات'!$O$14)</f>
        <v/>
      </c>
      <c r="O30" s="51">
        <f>IF('[6]سجل المستخلصات'!$R$14="","",'[6]سجل المستخلصات'!$R$14)</f>
        <v/>
      </c>
      <c r="P30" s="51">
        <f>IF('[6]سجل المستخلصات'!$S$14="","",'[6]سجل المستخلصات'!$S$14)</f>
        <v/>
      </c>
      <c r="Q30" s="51">
        <f>IF('[6]سجل المستخلصات'!$T$14="","",'[6]سجل المستخلصات'!$T$14)</f>
        <v/>
      </c>
      <c r="R30" s="51">
        <f>IF('[6]سجل المستخلصات'!$V$14="","",'[6]سجل المستخلصات'!$V$14)</f>
        <v/>
      </c>
      <c r="S30" s="51">
        <f>IF('[6]سجل المستخلصات'!$W$14="","",'[6]سجل المستخلصات'!$W$14)</f>
        <v/>
      </c>
      <c r="T30" s="53">
        <f>IF('[6]سجل المستخلصات'!$X$14="","",'[6]سجل المستخلصات'!$X$14)</f>
        <v/>
      </c>
      <c r="U30" s="53">
        <f>IF('[6]سجل المستخلصات'!$Z$14="","",'[6]سجل المستخلصات'!$Z$14)</f>
        <v/>
      </c>
      <c r="V30" s="51">
        <f>IF('[6]سجل المستخلصات'!$AA$14="","",'[6]سجل المستخلصات'!$AA$14)</f>
        <v/>
      </c>
      <c r="W30" s="51">
        <f>IF('[6]سجل المستخلصات'!$AC$14="","",'[6]سجل المستخلصات'!$AC$14)</f>
        <v/>
      </c>
      <c r="X30" s="54">
        <f>IF('[6]سجل المستخلصات'!$AD$14="","",'[6]سجل المستخلصات'!$AD$14)</f>
        <v/>
      </c>
      <c r="Y30" s="50">
        <f>IF('[6]سجل المستخلصات'!$AE$14="","",'[6]سجل المستخلصات'!$AE$14)</f>
        <v/>
      </c>
    </row>
    <row r="31">
      <c r="B31" s="48" t="n">
        <v>10</v>
      </c>
      <c r="C31" s="49">
        <f>IF('[6]سجل المستخلصات'!$C$15="","",'[6]سجل المستخلصات'!$C$15)</f>
        <v/>
      </c>
      <c r="D31" s="49">
        <f>IF('[6]سجل المستخلصات'!$E$15="","",'[6]سجل المستخلصات'!$E$15)</f>
        <v/>
      </c>
      <c r="E31" s="50">
        <f>IF('[6]سجل المستخلصات'!$F$15="","",'[6]سجل المستخلصات'!$F$15)</f>
        <v/>
      </c>
      <c r="F31" s="51">
        <f>IF('[6]سجل المستخلصات'!$H$15="","",'[6]سجل المستخلصات'!$H$15)</f>
        <v/>
      </c>
      <c r="G31" s="51">
        <f>IF('[6]سجل المستخلصات'!$G$15="","",'[6]سجل المستخلصات'!$G$15)</f>
        <v/>
      </c>
      <c r="H31" s="51">
        <f>IF('[6]سجل المستخلصات'!$I$15="","",'[6]سجل المستخلصات'!$I$15)</f>
        <v/>
      </c>
      <c r="I31" s="51">
        <f>IF('[6]سجل المستخلصات'!$J$15="","",'[6]سجل المستخلصات'!$J$15)</f>
        <v/>
      </c>
      <c r="J31" s="51">
        <f>IF('[6]سجل المستخلصات'!$K$15="","",'[6]سجل المستخلصات'!$K$15)</f>
        <v/>
      </c>
      <c r="K31" s="52">
        <f>IF('[6]سجل المستخلصات'!$L$15="","",'[6]سجل المستخلصات'!$L$15)</f>
        <v/>
      </c>
      <c r="L31" s="52">
        <f>IF('[6]سجل المستخلصات'!$M$15="","",'[6]سجل المستخلصات'!$M$15)</f>
        <v/>
      </c>
      <c r="M31" s="52">
        <f>IF('[6]سجل المستخلصات'!$N$15="","",'[6]سجل المستخلصات'!$N$15)</f>
        <v/>
      </c>
      <c r="N31" s="51">
        <f>IF('[6]سجل المستخلصات'!$O$15="","",'[6]سجل المستخلصات'!$O$15)</f>
        <v/>
      </c>
      <c r="O31" s="51">
        <f>IF('[6]سجل المستخلصات'!$R$15="","",'[6]سجل المستخلصات'!$R$15)</f>
        <v/>
      </c>
      <c r="P31" s="51">
        <f>IF('[6]سجل المستخلصات'!$S$15="","",'[6]سجل المستخلصات'!$S$15)</f>
        <v/>
      </c>
      <c r="Q31" s="51">
        <f>IF('[6]سجل المستخلصات'!$T$15="","",'[6]سجل المستخلصات'!$T$15)</f>
        <v/>
      </c>
      <c r="R31" s="51">
        <f>IF('[6]سجل المستخلصات'!$V$15="","",'[6]سجل المستخلصات'!$V$15)</f>
        <v/>
      </c>
      <c r="S31" s="51">
        <f>IF('[6]سجل المستخلصات'!$W$15="","",'[6]سجل المستخلصات'!$W$15)</f>
        <v/>
      </c>
      <c r="T31" s="53">
        <f>IF('[6]سجل المستخلصات'!$X$15="","",'[6]سجل المستخلصات'!$X$15)</f>
        <v/>
      </c>
      <c r="U31" s="53">
        <f>IF('[6]سجل المستخلصات'!$Z$15="","",'[6]سجل المستخلصات'!$Z$15)</f>
        <v/>
      </c>
      <c r="V31" s="51">
        <f>IF('[6]سجل المستخلصات'!$AA$15="","",'[6]سجل المستخلصات'!$AA$15)</f>
        <v/>
      </c>
      <c r="W31" s="51">
        <f>IF('[6]سجل المستخلصات'!$AC$15="","",'[6]سجل المستخلصات'!$AC$15)</f>
        <v/>
      </c>
      <c r="X31" s="54">
        <f>IF('[6]سجل المستخلصات'!$AD$15="","",'[6]سجل المستخلصات'!$AD$15)</f>
        <v/>
      </c>
      <c r="Y31" s="50">
        <f>IF('[6]سجل المستخلصات'!$AE$15="","",'[6]سجل المستخلصات'!$AE$15)</f>
        <v/>
      </c>
    </row>
    <row r="32">
      <c r="B32" s="48" t="n">
        <v>11</v>
      </c>
      <c r="C32" s="49">
        <f>IF('[6]سجل المستخلصات'!$C$16="","",'[6]سجل المستخلصات'!$C$16)</f>
        <v/>
      </c>
      <c r="D32" s="49">
        <f>IF('[6]سجل المستخلصات'!$E$16="","",'[6]سجل المستخلصات'!$E$16)</f>
        <v/>
      </c>
      <c r="E32" s="50">
        <f>IF('[6]سجل المستخلصات'!$F$16="","",'[6]سجل المستخلصات'!$F$16)</f>
        <v/>
      </c>
      <c r="F32" s="51">
        <f>IF('[6]سجل المستخلصات'!$H$16="","",'[6]سجل المستخلصات'!$H$16)</f>
        <v/>
      </c>
      <c r="G32" s="51">
        <f>IF('[6]سجل المستخلصات'!$G$16="","",'[6]سجل المستخلصات'!$G$16)</f>
        <v/>
      </c>
      <c r="H32" s="51">
        <f>IF('[6]سجل المستخلصات'!$I$16="","",'[6]سجل المستخلصات'!$I$16)</f>
        <v/>
      </c>
      <c r="I32" s="51">
        <f>IF('[6]سجل المستخلصات'!$J$16="","",'[6]سجل المستخلصات'!$J$16)</f>
        <v/>
      </c>
      <c r="J32" s="51">
        <f>IF('[6]سجل المستخلصات'!$K$16="","",'[6]سجل المستخلصات'!$K$16)</f>
        <v/>
      </c>
      <c r="K32" s="52">
        <f>IF('[6]سجل المستخلصات'!$L$16="","",'[6]سجل المستخلصات'!$L$16)</f>
        <v/>
      </c>
      <c r="L32" s="52">
        <f>IF('[6]سجل المستخلصات'!$M$16="","",'[6]سجل المستخلصات'!$M$16)</f>
        <v/>
      </c>
      <c r="M32" s="52">
        <f>IF('[6]سجل المستخلصات'!$N$16="","",'[6]سجل المستخلصات'!$N$16)</f>
        <v/>
      </c>
      <c r="N32" s="51">
        <f>IF('[6]سجل المستخلصات'!$O$16="","",'[6]سجل المستخلصات'!$O$16)</f>
        <v/>
      </c>
      <c r="O32" s="51">
        <f>IF('[6]سجل المستخلصات'!$R$16="","",'[6]سجل المستخلصات'!$R$16)</f>
        <v/>
      </c>
      <c r="P32" s="51">
        <f>IF('[6]سجل المستخلصات'!$S$16="","",'[6]سجل المستخلصات'!$S$16)</f>
        <v/>
      </c>
      <c r="Q32" s="51">
        <f>IF('[6]سجل المستخلصات'!$T$16="","",'[6]سجل المستخلصات'!$T$16)</f>
        <v/>
      </c>
      <c r="R32" s="51">
        <f>IF('[6]سجل المستخلصات'!$V$16="","",'[6]سجل المستخلصات'!$V$16)</f>
        <v/>
      </c>
      <c r="S32" s="51">
        <f>IF('[6]سجل المستخلصات'!$W$16="","",'[6]سجل المستخلصات'!$W$16)</f>
        <v/>
      </c>
      <c r="T32" s="53">
        <f>IF('[6]سجل المستخلصات'!$X$16="","",'[6]سجل المستخلصات'!$X$16)</f>
        <v/>
      </c>
      <c r="U32" s="53">
        <f>IF('[6]سجل المستخلصات'!$Z$16="","",'[6]سجل المستخلصات'!$Z$16)</f>
        <v/>
      </c>
      <c r="V32" s="51">
        <f>IF('[6]سجل المستخلصات'!$AA$16="","",'[6]سجل المستخلصات'!$AA$16)</f>
        <v/>
      </c>
      <c r="W32" s="51">
        <f>IF('[6]سجل المستخلصات'!$AC$16="","",'[6]سجل المستخلصات'!$AC$16)</f>
        <v/>
      </c>
      <c r="X32" s="54">
        <f>IF('[6]سجل المستخلصات'!$AD$16="","",'[6]سجل المستخلصات'!$AD$16)</f>
        <v/>
      </c>
      <c r="Y32" s="50">
        <f>IF('[6]سجل المستخلصات'!$AE$16="","",'[6]سجل المستخلصات'!$AE$16)</f>
        <v/>
      </c>
    </row>
    <row r="33">
      <c r="B33" s="48" t="n">
        <v>12</v>
      </c>
      <c r="C33" s="49">
        <f>IF('[6]سجل المستخلصات'!$C$17="","",'[6]سجل المستخلصات'!$C$17)</f>
        <v/>
      </c>
      <c r="D33" s="49">
        <f>IF('[6]سجل المستخلصات'!$E$17="","",'[6]سجل المستخلصات'!$E$17)</f>
        <v/>
      </c>
      <c r="E33" s="50">
        <f>IF('[6]سجل المستخلصات'!$F$17="","",'[6]سجل المستخلصات'!$F$17)</f>
        <v/>
      </c>
      <c r="F33" s="51">
        <f>IF('[6]سجل المستخلصات'!$H$17="","",'[6]سجل المستخلصات'!$H$17)</f>
        <v/>
      </c>
      <c r="G33" s="51">
        <f>IF('[6]سجل المستخلصات'!$G$17="","",'[6]سجل المستخلصات'!$G$17)</f>
        <v/>
      </c>
      <c r="H33" s="51">
        <f>IF('[6]سجل المستخلصات'!$I$17="","",'[6]سجل المستخلصات'!$I$17)</f>
        <v/>
      </c>
      <c r="I33" s="51">
        <f>IF('[6]سجل المستخلصات'!$J$17="","",'[6]سجل المستخلصات'!$J$17)</f>
        <v/>
      </c>
      <c r="J33" s="51">
        <f>IF('[6]سجل المستخلصات'!$K$17="","",'[6]سجل المستخلصات'!$K$17)</f>
        <v/>
      </c>
      <c r="K33" s="52">
        <f>IF('[6]سجل المستخلصات'!$L$17="","",'[6]سجل المستخلصات'!$L$17)</f>
        <v/>
      </c>
      <c r="L33" s="52">
        <f>IF('[6]سجل المستخلصات'!$M$17="","",'[6]سجل المستخلصات'!$M$17)</f>
        <v/>
      </c>
      <c r="M33" s="52">
        <f>IF('[6]سجل المستخلصات'!$N$17="","",'[6]سجل المستخلصات'!$N$17)</f>
        <v/>
      </c>
      <c r="N33" s="51">
        <f>IF('[6]سجل المستخلصات'!$O$17="","",'[6]سجل المستخلصات'!$O$17)</f>
        <v/>
      </c>
      <c r="O33" s="51">
        <f>IF('[6]سجل المستخلصات'!$R$17="","",'[6]سجل المستخلصات'!$R$17)</f>
        <v/>
      </c>
      <c r="P33" s="51">
        <f>IF('[6]سجل المستخلصات'!$S$17="","",'[6]سجل المستخلصات'!$S$17)</f>
        <v/>
      </c>
      <c r="Q33" s="51">
        <f>IF('[6]سجل المستخلصات'!$T$17="","",'[6]سجل المستخلصات'!$T$17)</f>
        <v/>
      </c>
      <c r="R33" s="51">
        <f>IF('[6]سجل المستخلصات'!$V$17="","",'[6]سجل المستخلصات'!$V$17)</f>
        <v/>
      </c>
      <c r="S33" s="51">
        <f>IF('[6]سجل المستخلصات'!$W$17="","",'[6]سجل المستخلصات'!$W$17)</f>
        <v/>
      </c>
      <c r="T33" s="53">
        <f>IF('[6]سجل المستخلصات'!$X$17="","",'[6]سجل المستخلصات'!$X$17)</f>
        <v/>
      </c>
      <c r="U33" s="53">
        <f>IF('[6]سجل المستخلصات'!$Z$17="","",'[6]سجل المستخلصات'!$Z$17)</f>
        <v/>
      </c>
      <c r="V33" s="51">
        <f>IF('[6]سجل المستخلصات'!$AA$17="","",'[6]سجل المستخلصات'!$AA$17)</f>
        <v/>
      </c>
      <c r="W33" s="51">
        <f>IF('[6]سجل المستخلصات'!$AC$17="","",'[6]سجل المستخلصات'!$AC$17)</f>
        <v/>
      </c>
      <c r="X33" s="54">
        <f>IF('[6]سجل المستخلصات'!$AD$17="","",'[6]سجل المستخلصات'!$AD$17)</f>
        <v/>
      </c>
      <c r="Y33" s="50">
        <f>IF('[6]سجل المستخلصات'!$AE$17="","",'[6]سجل المستخلصات'!$AE$17)</f>
        <v/>
      </c>
    </row>
    <row r="34">
      <c r="B34" s="48" t="n">
        <v>13</v>
      </c>
      <c r="C34" s="49">
        <f>IF('[6]سجل المستخلصات'!$C$18="","",'[6]سجل المستخلصات'!$C$18)</f>
        <v/>
      </c>
      <c r="D34" s="49">
        <f>IF('[6]سجل المستخلصات'!$E$18="","",'[6]سجل المستخلصات'!$E$18)</f>
        <v/>
      </c>
      <c r="E34" s="50">
        <f>IF('[6]سجل المستخلصات'!$F$18="","",'[6]سجل المستخلصات'!$F$18)</f>
        <v/>
      </c>
      <c r="F34" s="51">
        <f>IF('[6]سجل المستخلصات'!$H$18="","",'[6]سجل المستخلصات'!$H$18)</f>
        <v/>
      </c>
      <c r="G34" s="51">
        <f>IF('[6]سجل المستخلصات'!$G$18="","",'[6]سجل المستخلصات'!$G$18)</f>
        <v/>
      </c>
      <c r="H34" s="51">
        <f>IF('[6]سجل المستخلصات'!$I$18="","",'[6]سجل المستخلصات'!$I$18)</f>
        <v/>
      </c>
      <c r="I34" s="51">
        <f>IF('[6]سجل المستخلصات'!$J$18="","",'[6]سجل المستخلصات'!$J$18)</f>
        <v/>
      </c>
      <c r="J34" s="51">
        <f>IF('[6]سجل المستخلصات'!$K$18="","",'[6]سجل المستخلصات'!$K$18)</f>
        <v/>
      </c>
      <c r="K34" s="52">
        <f>IF('[6]سجل المستخلصات'!$L$18="","",'[6]سجل المستخلصات'!$L$18)</f>
        <v/>
      </c>
      <c r="L34" s="52">
        <f>IF('[6]سجل المستخلصات'!$M$18="","",'[6]سجل المستخلصات'!$M$18)</f>
        <v/>
      </c>
      <c r="M34" s="52">
        <f>IF('[6]سجل المستخلصات'!$N$18="","",'[6]سجل المستخلصات'!$N$18)</f>
        <v/>
      </c>
      <c r="N34" s="51">
        <f>IF('[6]سجل المستخلصات'!$O$18="","",'[6]سجل المستخلصات'!$O$18)</f>
        <v/>
      </c>
      <c r="O34" s="51">
        <f>IF('[6]سجل المستخلصات'!$R$18="","",'[6]سجل المستخلصات'!$R$18)</f>
        <v/>
      </c>
      <c r="P34" s="51">
        <f>IF('[6]سجل المستخلصات'!$S$18="","",'[6]سجل المستخلصات'!$S$18)</f>
        <v/>
      </c>
      <c r="Q34" s="51">
        <f>IF('[6]سجل المستخلصات'!$T$18="","",'[6]سجل المستخلصات'!$T$18)</f>
        <v/>
      </c>
      <c r="R34" s="51">
        <f>IF('[6]سجل المستخلصات'!$V$18="","",'[6]سجل المستخلصات'!$V$18)</f>
        <v/>
      </c>
      <c r="S34" s="51">
        <f>IF('[6]سجل المستخلصات'!$W$18="","",'[6]سجل المستخلصات'!$W$18)</f>
        <v/>
      </c>
      <c r="T34" s="53">
        <f>IF('[6]سجل المستخلصات'!$X$18="","",'[6]سجل المستخلصات'!$X$18)</f>
        <v/>
      </c>
      <c r="U34" s="53">
        <f>IF('[6]سجل المستخلصات'!$Z$18="","",'[6]سجل المستخلصات'!$Z$18)</f>
        <v/>
      </c>
      <c r="V34" s="51">
        <f>IF('[6]سجل المستخلصات'!$AA$18="","",'[6]سجل المستخلصات'!$AA$18)</f>
        <v/>
      </c>
      <c r="W34" s="51">
        <f>IF('[6]سجل المستخلصات'!$AC$18="","",'[6]سجل المستخلصات'!$AC$18)</f>
        <v/>
      </c>
      <c r="X34" s="54">
        <f>IF('[6]سجل المستخلصات'!$AD$18="","",'[6]سجل المستخلصات'!$AD$18)</f>
        <v/>
      </c>
      <c r="Y34" s="50">
        <f>IF('[6]سجل المستخلصات'!$AE$18="","",'[6]سجل المستخلصات'!$AE$18)</f>
        <v/>
      </c>
    </row>
    <row r="35">
      <c r="B35" s="48" t="n">
        <v>14</v>
      </c>
      <c r="C35" s="49">
        <f>IF('[6]سجل المستخلصات'!$C$19="","",'[6]سجل المستخلصات'!$C$19)</f>
        <v/>
      </c>
      <c r="D35" s="49">
        <f>IF('[6]سجل المستخلصات'!$E$19="","",'[6]سجل المستخلصات'!$E$19)</f>
        <v/>
      </c>
      <c r="E35" s="50">
        <f>IF('[6]سجل المستخلصات'!$F$19="","",'[6]سجل المستخلصات'!$F$19)</f>
        <v/>
      </c>
      <c r="F35" s="51">
        <f>IF('[6]سجل المستخلصات'!$H$19="","",'[6]سجل المستخلصات'!$H$19)</f>
        <v/>
      </c>
      <c r="G35" s="51">
        <f>IF('[6]سجل المستخلصات'!$G$19="","",'[6]سجل المستخلصات'!$G$19)</f>
        <v/>
      </c>
      <c r="H35" s="51">
        <f>IF('[6]سجل المستخلصات'!$I$19="","",'[6]سجل المستخلصات'!$I$19)</f>
        <v/>
      </c>
      <c r="I35" s="51">
        <f>IF('[6]سجل المستخلصات'!$J$19="","",'[6]سجل المستخلصات'!$J$19)</f>
        <v/>
      </c>
      <c r="J35" s="51">
        <f>IF('[6]سجل المستخلصات'!$K$19="","",'[6]سجل المستخلصات'!$K$19)</f>
        <v/>
      </c>
      <c r="K35" s="52">
        <f>IF('[6]سجل المستخلصات'!$L$19="","",'[6]سجل المستخلصات'!$L$19)</f>
        <v/>
      </c>
      <c r="L35" s="52">
        <f>IF('[6]سجل المستخلصات'!$M$19="","",'[6]سجل المستخلصات'!$M$19)</f>
        <v/>
      </c>
      <c r="M35" s="52">
        <f>IF('[6]سجل المستخلصات'!$N$19="","",'[6]سجل المستخلصات'!$N$19)</f>
        <v/>
      </c>
      <c r="N35" s="51">
        <f>IF('[6]سجل المستخلصات'!$O$19="","",'[6]سجل المستخلصات'!$O$19)</f>
        <v/>
      </c>
      <c r="O35" s="51">
        <f>IF('[6]سجل المستخلصات'!$R$19="","",'[6]سجل المستخلصات'!$R$19)</f>
        <v/>
      </c>
      <c r="P35" s="51">
        <f>IF('[6]سجل المستخلصات'!$S$19="","",'[6]سجل المستخلصات'!$S$19)</f>
        <v/>
      </c>
      <c r="Q35" s="51">
        <f>IF('[6]سجل المستخلصات'!$T$19="","",'[6]سجل المستخلصات'!$T$19)</f>
        <v/>
      </c>
      <c r="R35" s="51">
        <f>IF('[6]سجل المستخلصات'!$V$19="","",'[6]سجل المستخلصات'!$V$19)</f>
        <v/>
      </c>
      <c r="S35" s="51">
        <f>IF('[6]سجل المستخلصات'!$W$19="","",'[6]سجل المستخلصات'!$W$19)</f>
        <v/>
      </c>
      <c r="T35" s="53">
        <f>IF('[6]سجل المستخلصات'!$X$19="","",'[6]سجل المستخلصات'!$X$19)</f>
        <v/>
      </c>
      <c r="U35" s="53">
        <f>IF('[6]سجل المستخلصات'!$Z$19="","",'[6]سجل المستخلصات'!$Z$19)</f>
        <v/>
      </c>
      <c r="V35" s="51">
        <f>IF('[6]سجل المستخلصات'!$AA$19="","",'[6]سجل المستخلصات'!$AA$19)</f>
        <v/>
      </c>
      <c r="W35" s="51">
        <f>IF('[6]سجل المستخلصات'!$AC$19="","",'[6]سجل المستخلصات'!$AC$19)</f>
        <v/>
      </c>
      <c r="X35" s="54">
        <f>IF('[6]سجل المستخلصات'!$AD$19="","",'[6]سجل المستخلصات'!$AD$19)</f>
        <v/>
      </c>
      <c r="Y35" s="50">
        <f>IF('[6]سجل المستخلصات'!$AE$19="","",'[6]سجل المستخلصات'!$AE$19)</f>
        <v/>
      </c>
    </row>
    <row r="36">
      <c r="B36" s="48" t="n">
        <v>15</v>
      </c>
      <c r="C36" s="49">
        <f>IF('[6]سجل المستخلصات'!$C$20="","",'[6]سجل المستخلصات'!$C$20)</f>
        <v/>
      </c>
      <c r="D36" s="49">
        <f>IF('[6]سجل المستخلصات'!$E$20="","",'[6]سجل المستخلصات'!$E$20)</f>
        <v/>
      </c>
      <c r="E36" s="50">
        <f>IF('[6]سجل المستخلصات'!$F$20="","",'[6]سجل المستخلصات'!$F$20)</f>
        <v/>
      </c>
      <c r="F36" s="51">
        <f>IF('[6]سجل المستخلصات'!$H$20="","",'[6]سجل المستخلصات'!$H$20)</f>
        <v/>
      </c>
      <c r="G36" s="51">
        <f>IF('[6]سجل المستخلصات'!$G$20="","",'[6]سجل المستخلصات'!$G$20)</f>
        <v/>
      </c>
      <c r="H36" s="51">
        <f>IF('[6]سجل المستخلصات'!$I$20="","",'[6]سجل المستخلصات'!$I$20)</f>
        <v/>
      </c>
      <c r="I36" s="51">
        <f>IF('[6]سجل المستخلصات'!$J$20="","",'[6]سجل المستخلصات'!$J$20)</f>
        <v/>
      </c>
      <c r="J36" s="51">
        <f>IF('[6]سجل المستخلصات'!$K$20="","",'[6]سجل المستخلصات'!$K$20)</f>
        <v/>
      </c>
      <c r="K36" s="52">
        <f>IF('[6]سجل المستخلصات'!$L$20="","",'[6]سجل المستخلصات'!$L$20)</f>
        <v/>
      </c>
      <c r="L36" s="52">
        <f>IF('[6]سجل المستخلصات'!$M$20="","",'[6]سجل المستخلصات'!$M$20)</f>
        <v/>
      </c>
      <c r="M36" s="52">
        <f>IF('[6]سجل المستخلصات'!$N$20="","",'[6]سجل المستخلصات'!$N$20)</f>
        <v/>
      </c>
      <c r="N36" s="51">
        <f>IF('[6]سجل المستخلصات'!$O$20="","",'[6]سجل المستخلصات'!$O$20)</f>
        <v/>
      </c>
      <c r="O36" s="51">
        <f>IF('[6]سجل المستخلصات'!$R$20="","",'[6]سجل المستخلصات'!$R$20)</f>
        <v/>
      </c>
      <c r="P36" s="51">
        <f>IF('[6]سجل المستخلصات'!$S$20="","",'[6]سجل المستخلصات'!$S$20)</f>
        <v/>
      </c>
      <c r="Q36" s="51">
        <f>IF('[6]سجل المستخلصات'!$T$20="","",'[6]سجل المستخلصات'!$T$20)</f>
        <v/>
      </c>
      <c r="R36" s="51">
        <f>IF('[6]سجل المستخلصات'!$V$20="","",'[6]سجل المستخلصات'!$V$20)</f>
        <v/>
      </c>
      <c r="S36" s="51">
        <f>IF('[6]سجل المستخلصات'!$W$20="","",'[6]سجل المستخلصات'!$W$20)</f>
        <v/>
      </c>
      <c r="T36" s="53">
        <f>IF('[6]سجل المستخلصات'!$X$20="","",'[6]سجل المستخلصات'!$X$20)</f>
        <v/>
      </c>
      <c r="U36" s="53">
        <f>IF('[6]سجل المستخلصات'!$Z$20="","",'[6]سجل المستخلصات'!$Z$20)</f>
        <v/>
      </c>
      <c r="V36" s="51">
        <f>IF('[6]سجل المستخلصات'!$AA$20="","",'[6]سجل المستخلصات'!$AA$20)</f>
        <v/>
      </c>
      <c r="W36" s="51">
        <f>IF('[6]سجل المستخلصات'!$AC$20="","",'[6]سجل المستخلصات'!$AC$20)</f>
        <v/>
      </c>
      <c r="X36" s="54">
        <f>IF('[6]سجل المستخلصات'!$AD$20="","",'[6]سجل المستخلصات'!$AD$20)</f>
        <v/>
      </c>
      <c r="Y36" s="50">
        <f>IF('[6]سجل المستخلصات'!$AE$20="","",'[6]سجل المستخلصات'!$AE$20)</f>
        <v/>
      </c>
    </row>
    <row r="37">
      <c r="B37" s="48" t="n">
        <v>16</v>
      </c>
      <c r="C37" s="49">
        <f>IF('[6]سجل المستخلصات'!$C$21="","",'[6]سجل المستخلصات'!$C$21)</f>
        <v/>
      </c>
      <c r="D37" s="49">
        <f>IF('[6]سجل المستخلصات'!$E$21="","",'[6]سجل المستخلصات'!$E$21)</f>
        <v/>
      </c>
      <c r="E37" s="50">
        <f>IF('[6]سجل المستخلصات'!$F$21="","",'[6]سجل المستخلصات'!$F$21)</f>
        <v/>
      </c>
      <c r="F37" s="51">
        <f>IF('[6]سجل المستخلصات'!$H$21="","",'[6]سجل المستخلصات'!$H$21)</f>
        <v/>
      </c>
      <c r="G37" s="51">
        <f>IF('[6]سجل المستخلصات'!$G$21="","",'[6]سجل المستخلصات'!$G$21)</f>
        <v/>
      </c>
      <c r="H37" s="51">
        <f>IF('[6]سجل المستخلصات'!$I$21="","",'[6]سجل المستخلصات'!$I$21)</f>
        <v/>
      </c>
      <c r="I37" s="51">
        <f>IF('[6]سجل المستخلصات'!$J$21="","",'[6]سجل المستخلصات'!$J$21)</f>
        <v/>
      </c>
      <c r="J37" s="51">
        <f>IF('[6]سجل المستخلصات'!$K$21="","",'[6]سجل المستخلصات'!$K$21)</f>
        <v/>
      </c>
      <c r="K37" s="52">
        <f>IF('[6]سجل المستخلصات'!$L$21="","",'[6]سجل المستخلصات'!$L$21)</f>
        <v/>
      </c>
      <c r="L37" s="52">
        <f>IF('[6]سجل المستخلصات'!$M$21="","",'[6]سجل المستخلصات'!$M$21)</f>
        <v/>
      </c>
      <c r="M37" s="52">
        <f>IF('[6]سجل المستخلصات'!$N$21="","",'[6]سجل المستخلصات'!$N$21)</f>
        <v/>
      </c>
      <c r="N37" s="51">
        <f>IF('[6]سجل المستخلصات'!$O$21="","",'[6]سجل المستخلصات'!$O$21)</f>
        <v/>
      </c>
      <c r="O37" s="51">
        <f>IF('[6]سجل المستخلصات'!$R$21="","",'[6]سجل المستخلصات'!$R$21)</f>
        <v/>
      </c>
      <c r="P37" s="51">
        <f>IF('[6]سجل المستخلصات'!$S$21="","",'[6]سجل المستخلصات'!$S$21)</f>
        <v/>
      </c>
      <c r="Q37" s="51">
        <f>IF('[6]سجل المستخلصات'!$T$21="","",'[6]سجل المستخلصات'!$T$21)</f>
        <v/>
      </c>
      <c r="R37" s="51">
        <f>IF('[6]سجل المستخلصات'!$V$21="","",'[6]سجل المستخلصات'!$V$21)</f>
        <v/>
      </c>
      <c r="S37" s="51">
        <f>IF('[6]سجل المستخلصات'!$W$21="","",'[6]سجل المستخلصات'!$W$21)</f>
        <v/>
      </c>
      <c r="T37" s="53">
        <f>IF('[6]سجل المستخلصات'!$X$21="","",'[6]سجل المستخلصات'!$X$21)</f>
        <v/>
      </c>
      <c r="U37" s="53">
        <f>IF('[6]سجل المستخلصات'!$Z$21="","",'[6]سجل المستخلصات'!$Z$21)</f>
        <v/>
      </c>
      <c r="V37" s="51">
        <f>IF('[6]سجل المستخلصات'!$AA$21="","",'[6]سجل المستخلصات'!$AA$21)</f>
        <v/>
      </c>
      <c r="W37" s="51">
        <f>IF('[6]سجل المستخلصات'!$AC$21="","",'[6]سجل المستخلصات'!$AC$21)</f>
        <v/>
      </c>
      <c r="X37" s="54">
        <f>IF('[6]سجل المستخلصات'!$AD$21="","",'[6]سجل المستخلصات'!$AD$21)</f>
        <v/>
      </c>
      <c r="Y37" s="50">
        <f>IF('[6]سجل المستخلصات'!$AE$21="","",'[6]سجل المستخلصات'!$AE$21)</f>
        <v/>
      </c>
    </row>
    <row r="38">
      <c r="B38" s="48" t="n">
        <v>17</v>
      </c>
      <c r="C38" s="49">
        <f>IF('[6]سجل المستخلصات'!$C$22="","",'[6]سجل المستخلصات'!$C$22)</f>
        <v/>
      </c>
      <c r="D38" s="49">
        <f>IF('[6]سجل المستخلصات'!$E$22="","",'[6]سجل المستخلصات'!$E$22)</f>
        <v/>
      </c>
      <c r="E38" s="50">
        <f>IF('[6]سجل المستخلصات'!$F$22="","",'[6]سجل المستخلصات'!$F$22)</f>
        <v/>
      </c>
      <c r="F38" s="51">
        <f>IF('[6]سجل المستخلصات'!$H$22="","",'[6]سجل المستخلصات'!$H$22)</f>
        <v/>
      </c>
      <c r="G38" s="51">
        <f>IF('[6]سجل المستخلصات'!$G$22="","",'[6]سجل المستخلصات'!$G$22)</f>
        <v/>
      </c>
      <c r="H38" s="51">
        <f>IF('[6]سجل المستخلصات'!$I$22="","",'[6]سجل المستخلصات'!$I$22)</f>
        <v/>
      </c>
      <c r="I38" s="51">
        <f>IF('[6]سجل المستخلصات'!$J$22="","",'[6]سجل المستخلصات'!$J$22)</f>
        <v/>
      </c>
      <c r="J38" s="51">
        <f>IF('[6]سجل المستخلصات'!$K$22="","",'[6]سجل المستخلصات'!$K$22)</f>
        <v/>
      </c>
      <c r="K38" s="52">
        <f>IF('[6]سجل المستخلصات'!$L$22="","",'[6]سجل المستخلصات'!$L$22)</f>
        <v/>
      </c>
      <c r="L38" s="52">
        <f>IF('[6]سجل المستخلصات'!$M$22="","",'[6]سجل المستخلصات'!$M$22)</f>
        <v/>
      </c>
      <c r="M38" s="52">
        <f>IF('[6]سجل المستخلصات'!$N$22="","",'[6]سجل المستخلصات'!$N$22)</f>
        <v/>
      </c>
      <c r="N38" s="51">
        <f>IF('[6]سجل المستخلصات'!$O$22="","",'[6]سجل المستخلصات'!$O$22)</f>
        <v/>
      </c>
      <c r="O38" s="51">
        <f>IF('[6]سجل المستخلصات'!$R$22="","",'[6]سجل المستخلصات'!$R$22)</f>
        <v/>
      </c>
      <c r="P38" s="51">
        <f>IF('[6]سجل المستخلصات'!$S$22="","",'[6]سجل المستخلصات'!$S$22)</f>
        <v/>
      </c>
      <c r="Q38" s="51">
        <f>IF('[6]سجل المستخلصات'!$T$22="","",'[6]سجل المستخلصات'!$T$22)</f>
        <v/>
      </c>
      <c r="R38" s="51">
        <f>IF('[6]سجل المستخلصات'!$V$22="","",'[6]سجل المستخلصات'!$V$22)</f>
        <v/>
      </c>
      <c r="S38" s="51">
        <f>IF('[6]سجل المستخلصات'!$W$22="","",'[6]سجل المستخلصات'!$W$22)</f>
        <v/>
      </c>
      <c r="T38" s="53">
        <f>IF('[6]سجل المستخلصات'!$X$22="","",'[6]سجل المستخلصات'!$X$22)</f>
        <v/>
      </c>
      <c r="U38" s="53">
        <f>IF('[6]سجل المستخلصات'!$Z$22="","",'[6]سجل المستخلصات'!$Z$22)</f>
        <v/>
      </c>
      <c r="V38" s="51">
        <f>IF('[6]سجل المستخلصات'!$AA$22="","",'[6]سجل المستخلصات'!$AA$22)</f>
        <v/>
      </c>
      <c r="W38" s="51">
        <f>IF('[6]سجل المستخلصات'!$AC$22="","",'[6]سجل المستخلصات'!$AC$22)</f>
        <v/>
      </c>
      <c r="X38" s="54">
        <f>IF('[6]سجل المستخلصات'!$AD$22="","",'[6]سجل المستخلصات'!$AD$22)</f>
        <v/>
      </c>
      <c r="Y38" s="50">
        <f>IF('[6]سجل المستخلصات'!$AE$22="","",'[6]سجل المستخلصات'!$AE$22)</f>
        <v/>
      </c>
    </row>
    <row r="39">
      <c r="B39" s="48" t="n">
        <v>18</v>
      </c>
      <c r="C39" s="49">
        <f>IF('[6]سجل المستخلصات'!$C$23="","",'[6]سجل المستخلصات'!$C$23)</f>
        <v/>
      </c>
      <c r="D39" s="49">
        <f>IF('[6]سجل المستخلصات'!$E$23="","",'[6]سجل المستخلصات'!$E$23)</f>
        <v/>
      </c>
      <c r="E39" s="50">
        <f>IF('[6]سجل المستخلصات'!$F$23="","",'[6]سجل المستخلصات'!$F$23)</f>
        <v/>
      </c>
      <c r="F39" s="51">
        <f>IF('[6]سجل المستخلصات'!$H$23="","",'[6]سجل المستخلصات'!$H$23)</f>
        <v/>
      </c>
      <c r="G39" s="51">
        <f>IF('[6]سجل المستخلصات'!$G$23="","",'[6]سجل المستخلصات'!$G$23)</f>
        <v/>
      </c>
      <c r="H39" s="51">
        <f>IF('[6]سجل المستخلصات'!$I$23="","",'[6]سجل المستخلصات'!$I$23)</f>
        <v/>
      </c>
      <c r="I39" s="51">
        <f>IF('[6]سجل المستخلصات'!$J$23="","",'[6]سجل المستخلصات'!$J$23)</f>
        <v/>
      </c>
      <c r="J39" s="51">
        <f>IF('[6]سجل المستخلصات'!$K$23="","",'[6]سجل المستخلصات'!$K$23)</f>
        <v/>
      </c>
      <c r="K39" s="52">
        <f>IF('[6]سجل المستخلصات'!$L$23="","",'[6]سجل المستخلصات'!$L$23)</f>
        <v/>
      </c>
      <c r="L39" s="52">
        <f>IF('[6]سجل المستخلصات'!$M$23="","",'[6]سجل المستخلصات'!$M$23)</f>
        <v/>
      </c>
      <c r="M39" s="52">
        <f>IF('[6]سجل المستخلصات'!$N$23="","",'[6]سجل المستخلصات'!$N$23)</f>
        <v/>
      </c>
      <c r="N39" s="51">
        <f>IF('[6]سجل المستخلصات'!$O$23="","",'[6]سجل المستخلصات'!$O$23)</f>
        <v/>
      </c>
      <c r="O39" s="51">
        <f>IF('[6]سجل المستخلصات'!$R$23="","",'[6]سجل المستخلصات'!$R$23)</f>
        <v/>
      </c>
      <c r="P39" s="51">
        <f>IF('[6]سجل المستخلصات'!$S$23="","",'[6]سجل المستخلصات'!$S$23)</f>
        <v/>
      </c>
      <c r="Q39" s="51">
        <f>IF('[6]سجل المستخلصات'!$T$23="","",'[6]سجل المستخلصات'!$T$23)</f>
        <v/>
      </c>
      <c r="R39" s="51">
        <f>IF('[6]سجل المستخلصات'!$V$23="","",'[6]سجل المستخلصات'!$V$23)</f>
        <v/>
      </c>
      <c r="S39" s="51">
        <f>IF('[6]سجل المستخلصات'!$W$23="","",'[6]سجل المستخلصات'!$W$23)</f>
        <v/>
      </c>
      <c r="T39" s="53">
        <f>IF('[6]سجل المستخلصات'!$X$23="","",'[6]سجل المستخلصات'!$X$23)</f>
        <v/>
      </c>
      <c r="U39" s="53">
        <f>IF('[6]سجل المستخلصات'!$Z$23="","",'[6]سجل المستخلصات'!$Z$23)</f>
        <v/>
      </c>
      <c r="V39" s="51">
        <f>IF('[6]سجل المستخلصات'!$AA$23="","",'[6]سجل المستخلصات'!$AA$23)</f>
        <v/>
      </c>
      <c r="W39" s="51">
        <f>IF('[6]سجل المستخلصات'!$AC$23="","",'[6]سجل المستخلصات'!$AC$23)</f>
        <v/>
      </c>
      <c r="X39" s="54">
        <f>IF('[6]سجل المستخلصات'!$AD$23="","",'[6]سجل المستخلصات'!$AD$23)</f>
        <v/>
      </c>
      <c r="Y39" s="50">
        <f>IF('[6]سجل المستخلصات'!$AE$23="","",'[6]سجل المستخلصات'!$AE$23)</f>
        <v/>
      </c>
    </row>
    <row r="40">
      <c r="B40" s="48" t="n">
        <v>19</v>
      </c>
      <c r="C40" s="49">
        <f>IF('[6]سجل المستخلصات'!$C$24="","",'[6]سجل المستخلصات'!$C$24)</f>
        <v/>
      </c>
      <c r="D40" s="49">
        <f>IF('[6]سجل المستخلصات'!$E$24="","",'[6]سجل المستخلصات'!$E$24)</f>
        <v/>
      </c>
      <c r="E40" s="50">
        <f>IF('[6]سجل المستخلصات'!$F$24="","",'[6]سجل المستخلصات'!$F$24)</f>
        <v/>
      </c>
      <c r="F40" s="51">
        <f>IF('[6]سجل المستخلصات'!$H$24="","",'[6]سجل المستخلصات'!$H$24)</f>
        <v/>
      </c>
      <c r="G40" s="51">
        <f>IF('[6]سجل المستخلصات'!$G$24="","",'[6]سجل المستخلصات'!$G$24)</f>
        <v/>
      </c>
      <c r="H40" s="51">
        <f>IF('[6]سجل المستخلصات'!$I$24="","",'[6]سجل المستخلصات'!$I$24)</f>
        <v/>
      </c>
      <c r="I40" s="51">
        <f>IF('[6]سجل المستخلصات'!$J$24="","",'[6]سجل المستخلصات'!$J$24)</f>
        <v/>
      </c>
      <c r="J40" s="51">
        <f>IF('[6]سجل المستخلصات'!$K$24="","",'[6]سجل المستخلصات'!$K$24)</f>
        <v/>
      </c>
      <c r="K40" s="52">
        <f>IF('[6]سجل المستخلصات'!$L$24="","",'[6]سجل المستخلصات'!$L$24)</f>
        <v/>
      </c>
      <c r="L40" s="52">
        <f>IF('[6]سجل المستخلصات'!$M$24="","",'[6]سجل المستخلصات'!$M$24)</f>
        <v/>
      </c>
      <c r="M40" s="52">
        <f>IF('[6]سجل المستخلصات'!$N$24="","",'[6]سجل المستخلصات'!$N$24)</f>
        <v/>
      </c>
      <c r="N40" s="51">
        <f>IF('[6]سجل المستخلصات'!$O$24="","",'[6]سجل المستخلصات'!$O$24)</f>
        <v/>
      </c>
      <c r="O40" s="51">
        <f>IF('[6]سجل المستخلصات'!$R$24="","",'[6]سجل المستخلصات'!$R$24)</f>
        <v/>
      </c>
      <c r="P40" s="51">
        <f>IF('[6]سجل المستخلصات'!$S$24="","",'[6]سجل المستخلصات'!$S$24)</f>
        <v/>
      </c>
      <c r="Q40" s="51">
        <f>IF('[6]سجل المستخلصات'!$T$24="","",'[6]سجل المستخلصات'!$T$24)</f>
        <v/>
      </c>
      <c r="R40" s="51">
        <f>IF('[6]سجل المستخلصات'!$V$24="","",'[6]سجل المستخلصات'!$V$24)</f>
        <v/>
      </c>
      <c r="S40" s="51">
        <f>IF('[6]سجل المستخلصات'!$W$24="","",'[6]سجل المستخلصات'!$W$24)</f>
        <v/>
      </c>
      <c r="T40" s="53">
        <f>IF('[6]سجل المستخلصات'!$X$24="","",'[6]سجل المستخلصات'!$X$24)</f>
        <v/>
      </c>
      <c r="U40" s="53">
        <f>IF('[6]سجل المستخلصات'!$Z$24="","",'[6]سجل المستخلصات'!$Z$24)</f>
        <v/>
      </c>
      <c r="V40" s="51">
        <f>IF('[6]سجل المستخلصات'!$AA$24="","",'[6]سجل المستخلصات'!$AA$24)</f>
        <v/>
      </c>
      <c r="W40" s="51">
        <f>IF('[6]سجل المستخلصات'!$AC$24="","",'[6]سجل المستخلصات'!$AC$24)</f>
        <v/>
      </c>
      <c r="X40" s="54">
        <f>IF('[6]سجل المستخلصات'!$AD$24="","",'[6]سجل المستخلصات'!$AD$24)</f>
        <v/>
      </c>
      <c r="Y40" s="50">
        <f>IF('[6]سجل المستخلصات'!$AE$24="","",'[6]سجل المستخلصات'!$AE$24)</f>
        <v/>
      </c>
    </row>
    <row r="41">
      <c r="B41" s="48" t="n">
        <v>20</v>
      </c>
      <c r="C41" s="49">
        <f>IF('[6]سجل المستخلصات'!$C$25="","",'[6]سجل المستخلصات'!$C$25)</f>
        <v/>
      </c>
      <c r="D41" s="49">
        <f>IF('[6]سجل المستخلصات'!$E$25="","",'[6]سجل المستخلصات'!$E$25)</f>
        <v/>
      </c>
      <c r="E41" s="50">
        <f>IF('[6]سجل المستخلصات'!$F$25="","",'[6]سجل المستخلصات'!$F$25)</f>
        <v/>
      </c>
      <c r="F41" s="51">
        <f>IF('[6]سجل المستخلصات'!$H$25="","",'[6]سجل المستخلصات'!$H$25)</f>
        <v/>
      </c>
      <c r="G41" s="51">
        <f>IF('[6]سجل المستخلصات'!$G$25="","",'[6]سجل المستخلصات'!$G$25)</f>
        <v/>
      </c>
      <c r="H41" s="51">
        <f>IF('[6]سجل المستخلصات'!$I$25="","",'[6]سجل المستخلصات'!$I$25)</f>
        <v/>
      </c>
      <c r="I41" s="51">
        <f>IF('[6]سجل المستخلصات'!$J$25="","",'[6]سجل المستخلصات'!$J$25)</f>
        <v/>
      </c>
      <c r="J41" s="51">
        <f>IF('[6]سجل المستخلصات'!$K$25="","",'[6]سجل المستخلصات'!$K$25)</f>
        <v/>
      </c>
      <c r="K41" s="52">
        <f>IF('[6]سجل المستخلصات'!$L$25="","",'[6]سجل المستخلصات'!$L$25)</f>
        <v/>
      </c>
      <c r="L41" s="52">
        <f>IF('[6]سجل المستخلصات'!$M$25="","",'[6]سجل المستخلصات'!$M$25)</f>
        <v/>
      </c>
      <c r="M41" s="52">
        <f>IF('[6]سجل المستخلصات'!$N$25="","",'[6]سجل المستخلصات'!$N$25)</f>
        <v/>
      </c>
      <c r="N41" s="51">
        <f>IF('[6]سجل المستخلصات'!$O$25="","",'[6]سجل المستخلصات'!$O$25)</f>
        <v/>
      </c>
      <c r="O41" s="51">
        <f>IF('[6]سجل المستخلصات'!$R$25="","",'[6]سجل المستخلصات'!$R$25)</f>
        <v/>
      </c>
      <c r="P41" s="51">
        <f>IF('[6]سجل المستخلصات'!$S$25="","",'[6]سجل المستخلصات'!$S$25)</f>
        <v/>
      </c>
      <c r="Q41" s="51">
        <f>IF('[6]سجل المستخلصات'!$T$25="","",'[6]سجل المستخلصات'!$T$25)</f>
        <v/>
      </c>
      <c r="R41" s="51">
        <f>IF('[6]سجل المستخلصات'!$V$25="","",'[6]سجل المستخلصات'!$V$25)</f>
        <v/>
      </c>
      <c r="S41" s="51">
        <f>IF('[6]سجل المستخلصات'!$W$25="","",'[6]سجل المستخلصات'!$W$25)</f>
        <v/>
      </c>
      <c r="T41" s="53">
        <f>IF('[6]سجل المستخلصات'!$X$25="","",'[6]سجل المستخلصات'!$X$25)</f>
        <v/>
      </c>
      <c r="U41" s="53">
        <f>IF('[6]سجل المستخلصات'!$Z$25="","",'[6]سجل المستخلصات'!$Z$25)</f>
        <v/>
      </c>
      <c r="V41" s="51">
        <f>IF('[6]سجل المستخلصات'!$AA$25="","",'[6]سجل المستخلصات'!$AA$25)</f>
        <v/>
      </c>
      <c r="W41" s="51">
        <f>IF('[6]سجل المستخلصات'!$AC$25="","",'[6]سجل المستخلصات'!$AC$25)</f>
        <v/>
      </c>
      <c r="X41" s="54">
        <f>IF('[6]سجل المستخلصات'!$AD$25="","",'[6]سجل المستخلصات'!$AD$25)</f>
        <v/>
      </c>
      <c r="Y41" s="50">
        <f>IF('[6]سجل المستخلصات'!$AE$25="","",'[6]سجل المستخلصات'!$AE$25)</f>
        <v/>
      </c>
    </row>
    <row r="42">
      <c r="B42" s="55" t="inlineStr">
        <is>
          <t>الإجمالي</t>
        </is>
      </c>
      <c r="C42" s="56" t="n"/>
      <c r="D42" s="56" t="n"/>
      <c r="E42" s="55" t="n"/>
      <c r="F42" s="57">
        <f>SUM(F22:F41)</f>
        <v/>
      </c>
      <c r="G42" s="57">
        <f>IF($V$9=0,0,N(INDEX($G$22:$G$41,$V$9)))</f>
        <v/>
      </c>
      <c r="H42" s="57">
        <f>IF($V$9=0,0,N(INDEX($H$22:$H$41,$V$9)))</f>
        <v/>
      </c>
      <c r="I42" s="57">
        <f>IF($V$9=0,0,N(INDEX($I$22:$I$41,$V$9)))</f>
        <v/>
      </c>
      <c r="J42" s="57">
        <f>IF($V$9=0,0,N(INDEX($J$22:$J$41,$V$9)))</f>
        <v/>
      </c>
      <c r="K42" s="58">
        <f>IF($V$9=0,0,N(INDEX($K$22:$K$41,$V$9)))</f>
        <v/>
      </c>
      <c r="L42" s="58" t="n"/>
      <c r="M42" s="58" t="n"/>
      <c r="N42" s="57">
        <f>IF($V$9=0,0,N(INDEX($N$22:$N$41,$V$9)))</f>
        <v/>
      </c>
      <c r="O42" s="57">
        <f>IF($V$9=0,0,N(INDEX($O$22:$O$41,$V$9)))</f>
        <v/>
      </c>
      <c r="P42" s="57">
        <f>IF($V$9=0,0,N(INDEX($P$22:$P$41,$V$9)))</f>
        <v/>
      </c>
      <c r="Q42" s="57">
        <f>IF($V$9=0,0,N(INDEX($Q$22:$Q$41,$V$9)))</f>
        <v/>
      </c>
      <c r="R42" s="57">
        <f>IF($V$9=0,0,N(INDEX($R$22:$R$41,$V$9)))</f>
        <v/>
      </c>
      <c r="S42" s="57">
        <f>IF($V$9=0,0,N(INDEX($S$22:$S$41,$V$9)))</f>
        <v/>
      </c>
      <c r="T42" s="57">
        <f>IF($V$9=0,0,N(INDEX($T$22:$T$41,$V$9)))</f>
        <v/>
      </c>
      <c r="U42" s="57">
        <f>SUM(U22:U41)</f>
        <v/>
      </c>
      <c r="V42" s="57">
        <f>SUM(V22:V41)</f>
        <v/>
      </c>
      <c r="W42" s="57">
        <f>SUM(W22:W41)</f>
        <v/>
      </c>
      <c r="X42" s="59">
        <f>IFERROR(AVERAGE(X22:X41),0)</f>
        <v/>
      </c>
      <c r="Y42" s="55" t="n"/>
    </row>
    <row r="45">
      <c r="B45" s="46" t="inlineStr">
        <is>
          <t>الإنجاز حسب أقسام الأعمال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القسم</t>
        </is>
      </c>
      <c r="C46" s="47" t="n"/>
      <c r="D46" s="47" t="n"/>
      <c r="E46" s="47" t="inlineStr">
        <is>
          <t>القيمة التعاقدية</t>
        </is>
      </c>
      <c r="F46" s="47" t="inlineStr">
        <is>
          <t>القيمة المنفذة</t>
        </is>
      </c>
      <c r="G46" s="47" t="inlineStr">
        <is>
          <t>نسبة الإنجاز</t>
        </is>
      </c>
    </row>
    <row r="47">
      <c r="B47" s="60">
        <f>IF('[6]سجل المستخلصات'!$B$32="","",'[6]سجل المستخلصات'!$B$32)</f>
        <v/>
      </c>
      <c r="C47" s="60" t="n"/>
      <c r="D47" s="60" t="n"/>
      <c r="E47" s="51">
        <f>N('[6]سجل المستخلصات'!$E$32)</f>
        <v/>
      </c>
      <c r="F47" s="51">
        <f>N('[6]سجل المستخلصات'!$F$32)</f>
        <v/>
      </c>
      <c r="G47" s="61">
        <f>IF(E47&gt;0,F47/E47,0)</f>
        <v/>
      </c>
    </row>
    <row r="48">
      <c r="B48" s="60">
        <f>IF('[6]سجل المستخلصات'!$B$33="","",'[6]سجل المستخلصات'!$B$33)</f>
        <v/>
      </c>
      <c r="C48" s="60" t="n"/>
      <c r="D48" s="60" t="n"/>
      <c r="E48" s="51">
        <f>N('[6]سجل المستخلصات'!$E$33)</f>
        <v/>
      </c>
      <c r="F48" s="51">
        <f>N('[6]سجل المستخلصات'!$F$33)</f>
        <v/>
      </c>
      <c r="G48" s="61">
        <f>IF(E48&gt;0,F48/E48,0)</f>
        <v/>
      </c>
    </row>
    <row r="49">
      <c r="B49" s="60">
        <f>IF('[6]سجل المستخلصات'!$B$34="","",'[6]سجل المستخلصات'!$B$34)</f>
        <v/>
      </c>
      <c r="C49" s="60" t="n"/>
      <c r="D49" s="60" t="n"/>
      <c r="E49" s="51">
        <f>N('[6]سجل المستخلصات'!$E$34)</f>
        <v/>
      </c>
      <c r="F49" s="51">
        <f>N('[6]سجل المستخلصات'!$F$34)</f>
        <v/>
      </c>
      <c r="G49" s="61">
        <f>IF(E49&gt;0,F49/E49,0)</f>
        <v/>
      </c>
    </row>
    <row r="50">
      <c r="B50" s="60">
        <f>IF('[6]سجل المستخلصات'!$B$35="","",'[6]سجل المستخلصات'!$B$35)</f>
        <v/>
      </c>
      <c r="C50" s="60" t="n"/>
      <c r="D50" s="60" t="n"/>
      <c r="E50" s="51">
        <f>N('[6]سجل المستخلصات'!$E$35)</f>
        <v/>
      </c>
      <c r="F50" s="51">
        <f>N('[6]سجل المستخلصات'!$F$35)</f>
        <v/>
      </c>
      <c r="G50" s="61">
        <f>IF(E50&gt;0,F50/E50,0)</f>
        <v/>
      </c>
    </row>
    <row r="51">
      <c r="B51" s="60">
        <f>IF('[6]سجل المستخلصات'!$B$36="","",'[6]سجل المستخلصات'!$B$36)</f>
        <v/>
      </c>
      <c r="C51" s="60" t="n"/>
      <c r="D51" s="60" t="n"/>
      <c r="E51" s="51">
        <f>N('[6]سجل المستخلصات'!$E$36)</f>
        <v/>
      </c>
      <c r="F51" s="51">
        <f>N('[6]سجل المستخلصات'!$F$36)</f>
        <v/>
      </c>
      <c r="G51" s="61">
        <f>IF(E51&gt;0,F51/E51,0)</f>
        <v/>
      </c>
    </row>
    <row r="52">
      <c r="B52" s="60">
        <f>IF('[6]سجل المستخلصات'!$B$37="","",'[6]سجل المستخلصات'!$B$37)</f>
        <v/>
      </c>
      <c r="C52" s="60" t="n"/>
      <c r="D52" s="60" t="n"/>
      <c r="E52" s="51">
        <f>N('[6]سجل المستخلصات'!$E$37)</f>
        <v/>
      </c>
      <c r="F52" s="51">
        <f>N('[6]سجل المستخلصات'!$F$37)</f>
        <v/>
      </c>
      <c r="G52" s="61">
        <f>IF(E52&gt;0,F52/E52,0)</f>
        <v/>
      </c>
    </row>
    <row r="53">
      <c r="B53" s="60">
        <f>IF('[6]سجل المستخلصات'!$B$38="","",'[6]سجل المستخلصات'!$B$38)</f>
        <v/>
      </c>
      <c r="C53" s="60" t="n"/>
      <c r="D53" s="60" t="n"/>
      <c r="E53" s="51">
        <f>N('[6]سجل المستخلصات'!$E$38)</f>
        <v/>
      </c>
      <c r="F53" s="51">
        <f>N('[6]سجل المستخلصات'!$F$38)</f>
        <v/>
      </c>
      <c r="G53" s="61">
        <f>IF(E53&gt;0,F53/E53,0)</f>
        <v/>
      </c>
    </row>
    <row r="54">
      <c r="B54" s="60">
        <f>IF('[6]سجل المستخلصات'!$B$39="","",'[6]سجل المستخلصات'!$B$39)</f>
        <v/>
      </c>
      <c r="C54" s="60" t="n"/>
      <c r="D54" s="60" t="n"/>
      <c r="E54" s="51">
        <f>N('[6]سجل المستخلصات'!$E$39)</f>
        <v/>
      </c>
      <c r="F54" s="51">
        <f>N('[6]سجل المستخلصات'!$F$39)</f>
        <v/>
      </c>
      <c r="G54" s="61">
        <f>IF(E54&gt;0,F54/E54,0)</f>
        <v/>
      </c>
    </row>
    <row r="55">
      <c r="B55" s="60">
        <f>IF('[6]سجل المستخلصات'!$B$40="","",'[6]سجل المستخلصات'!$B$40)</f>
        <v/>
      </c>
      <c r="C55" s="60" t="n"/>
      <c r="D55" s="60" t="n"/>
      <c r="E55" s="51">
        <f>N('[6]سجل المستخلصات'!$E$40)</f>
        <v/>
      </c>
      <c r="F55" s="51">
        <f>N('[6]سجل المستخلصات'!$F$40)</f>
        <v/>
      </c>
      <c r="G55" s="61">
        <f>IF(E55&gt;0,F55/E55,0)</f>
        <v/>
      </c>
    </row>
    <row r="56">
      <c r="B56" s="60">
        <f>IF('[6]سجل المستخلصات'!$B$41="","",'[6]سجل المستخلصات'!$B$41)</f>
        <v/>
      </c>
      <c r="C56" s="60" t="n"/>
      <c r="D56" s="60" t="n"/>
      <c r="E56" s="51">
        <f>N('[6]سجل المستخلصات'!$E$41)</f>
        <v/>
      </c>
      <c r="F56" s="51">
        <f>N('[6]سجل المستخلصات'!$F$41)</f>
        <v/>
      </c>
      <c r="G56" s="61">
        <f>IF(E56&gt;0,F56/E56,0)</f>
        <v/>
      </c>
    </row>
    <row r="57">
      <c r="B57" s="60">
        <f>IF('[6]سجل المستخلصات'!$B$42="","",'[6]سجل المستخلصات'!$B$42)</f>
        <v/>
      </c>
      <c r="C57" s="60" t="n"/>
      <c r="D57" s="60" t="n"/>
      <c r="E57" s="51">
        <f>N('[6]سجل المستخلصات'!$E$42)</f>
        <v/>
      </c>
      <c r="F57" s="51">
        <f>N('[6]سجل المستخلصات'!$F$42)</f>
        <v/>
      </c>
      <c r="G57" s="61">
        <f>IF(E57&gt;0,F57/E57,0)</f>
        <v/>
      </c>
    </row>
    <row r="58">
      <c r="B58" s="60">
        <f>IF('[6]سجل المستخلصات'!$B$43="","",'[6]سجل المستخلصات'!$B$43)</f>
        <v/>
      </c>
      <c r="C58" s="60" t="n"/>
      <c r="D58" s="60" t="n"/>
      <c r="E58" s="51">
        <f>N('[6]سجل المستخلصات'!$E$43)</f>
        <v/>
      </c>
      <c r="F58" s="51">
        <f>N('[6]سجل المستخلصات'!$F$43)</f>
        <v/>
      </c>
      <c r="G58" s="61">
        <f>IF(E58&gt;0,F58/E58,0)</f>
        <v/>
      </c>
    </row>
  </sheetData>
  <mergeCells count="76">
    <mergeCell ref="R17:U17"/>
    <mergeCell ref="B9:E9"/>
    <mergeCell ref="F9:I9"/>
    <mergeCell ref="B2:Y2"/>
    <mergeCell ref="N9:Q9"/>
    <mergeCell ref="B57:D57"/>
    <mergeCell ref="J12:M12"/>
    <mergeCell ref="B15:E15"/>
    <mergeCell ref="B53:D53"/>
    <mergeCell ref="M5:Q5"/>
    <mergeCell ref="B1:Y1"/>
    <mergeCell ref="S5:Y5"/>
    <mergeCell ref="N15:Q15"/>
    <mergeCell ref="J18:M18"/>
    <mergeCell ref="H5:K5"/>
    <mergeCell ref="F14:I14"/>
    <mergeCell ref="R18:U18"/>
    <mergeCell ref="R9:U9"/>
    <mergeCell ref="V18:Y18"/>
    <mergeCell ref="N3:R3"/>
    <mergeCell ref="R8:U8"/>
    <mergeCell ref="R14:U14"/>
    <mergeCell ref="J17:M17"/>
    <mergeCell ref="J8:M8"/>
    <mergeCell ref="V12:Y12"/>
    <mergeCell ref="F11:I11"/>
    <mergeCell ref="B49:D49"/>
    <mergeCell ref="C6:F6"/>
    <mergeCell ref="N11:Q11"/>
    <mergeCell ref="V17:Y17"/>
    <mergeCell ref="R11:U11"/>
    <mergeCell ref="J14:M14"/>
    <mergeCell ref="C5:F5"/>
    <mergeCell ref="B55:D55"/>
    <mergeCell ref="AA4:AB4"/>
    <mergeCell ref="B51:D51"/>
    <mergeCell ref="V14:Y14"/>
    <mergeCell ref="B18:E18"/>
    <mergeCell ref="V8:Y8"/>
    <mergeCell ref="S3:Y3"/>
    <mergeCell ref="J9:M9"/>
    <mergeCell ref="M6:Q6"/>
    <mergeCell ref="B20:Y20"/>
    <mergeCell ref="B12:E12"/>
    <mergeCell ref="F12:I12"/>
    <mergeCell ref="B45:G45"/>
    <mergeCell ref="H6:K6"/>
    <mergeCell ref="B50:D50"/>
    <mergeCell ref="B11:E11"/>
    <mergeCell ref="N12:Q12"/>
    <mergeCell ref="F15:I15"/>
    <mergeCell ref="R15:U15"/>
    <mergeCell ref="J15:M15"/>
    <mergeCell ref="B47:D47"/>
    <mergeCell ref="B54:D54"/>
    <mergeCell ref="B14:E14"/>
    <mergeCell ref="N18:Q18"/>
    <mergeCell ref="F18:I18"/>
    <mergeCell ref="B17:E17"/>
    <mergeCell ref="B8:E8"/>
    <mergeCell ref="V9:Y9"/>
    <mergeCell ref="N8:Q8"/>
    <mergeCell ref="N14:Q14"/>
    <mergeCell ref="F17:I17"/>
    <mergeCell ref="F8:I8"/>
    <mergeCell ref="R12:U12"/>
    <mergeCell ref="N17:Q17"/>
    <mergeCell ref="B46:D46"/>
    <mergeCell ref="J11:M11"/>
    <mergeCell ref="B56:D56"/>
    <mergeCell ref="B58:D58"/>
    <mergeCell ref="V15:Y15"/>
    <mergeCell ref="B52:D52"/>
    <mergeCell ref="V11:Y11"/>
    <mergeCell ref="B48:D48"/>
    <mergeCell ref="S6:Y6"/>
  </mergeCells>
  <conditionalFormatting sqref="M22:M41">
    <cfRule type="cellIs" priority="1" operator="lessThan" dxfId="0">
      <formula>-0.0001</formula>
    </cfRule>
  </conditionalFormatting>
  <conditionalFormatting sqref="Y22:Y41">
    <cfRule type="expression" priority="2" dxfId="1">
      <formula>ISNUMBER(SEARCH("✔",Y22))</formula>
    </cfRule>
    <cfRule type="expression" priority="3" dxfId="2">
      <formula>ISNUMBER(SEARCH("✖",Y22))</formula>
    </cfRule>
    <cfRule type="expression" priority="4" dxfId="3">
      <formula>ISNUMBER(SEARCH("⚠",Y22))</formula>
    </cfRule>
  </conditionalFormatting>
  <conditionalFormatting sqref="B22:Y41">
    <cfRule type="expression" priority="5" dxfId="4">
      <formula>$B22=$V$9</formula>
    </cfRule>
  </conditionalFormatting>
  <conditionalFormatting sqref="K22:K41">
    <cfRule type="dataBar" priority="6">
      <dataBar>
        <cfvo type="num" val="0"/>
        <cfvo type="num" val="1"/>
        <color rgb="0063BE7B"/>
      </dataBar>
    </cfRule>
  </conditionalFormatting>
  <conditionalFormatting sqref="V12">
    <cfRule type="expression" priority="7" dxfId="0">
      <formula>ISNUMBER(SEARCH("⚠",V12))</formula>
    </cfRule>
  </conditionalFormatting>
  <conditionalFormatting sqref="J12">
    <cfRule type="cellIs" priority="8" operator="lessThan" dxfId="0">
      <formula>0</formula>
    </cfRule>
  </conditionalFormatting>
  <conditionalFormatting sqref="G47:G58">
    <cfRule type="dataBar" priority="9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xmlns:r="http://schemas.openxmlformats.org/officeDocument/2006/relationships" ref="N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"&amp;IF('[7]بيانات العقد'!$C$5="","مشروع رقم 07 — غير مُفعّل",'[7]بيانات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مشروع 01</t>
        </is>
      </c>
      <c r="D3" s="4" t="inlineStr">
        <is>
          <t>مشروع 02</t>
        </is>
      </c>
      <c r="E3" s="4" t="inlineStr">
        <is>
          <t>مشروع 03</t>
        </is>
      </c>
      <c r="F3" s="4" t="inlineStr">
        <is>
          <t>مشروع 04</t>
        </is>
      </c>
      <c r="G3" s="4" t="inlineStr">
        <is>
          <t>مشروع 05</t>
        </is>
      </c>
      <c r="H3" s="4" t="inlineStr">
        <is>
          <t>مشروع 06</t>
        </is>
      </c>
      <c r="I3" s="10" t="inlineStr">
        <is>
          <t>مشروع 07</t>
        </is>
      </c>
      <c r="J3" s="4" t="inlineStr">
        <is>
          <t>مشروع 08</t>
        </is>
      </c>
      <c r="K3" s="4" t="inlineStr">
        <is>
          <t>مشروع 09</t>
        </is>
      </c>
      <c r="L3" s="4" t="inlineStr">
        <is>
          <t>مشروع 10</t>
        </is>
      </c>
      <c r="N3" s="11" t="inlineStr">
        <is>
          <t>📂 فتح ملف المستخلصات: IPC_Project_07.xlsx</t>
        </is>
      </c>
      <c r="O3" s="11" t="n"/>
      <c r="P3" s="11" t="n"/>
      <c r="Q3" s="11" t="n"/>
      <c r="R3" s="11" t="n"/>
      <c r="S3" s="12" t="inlineStr">
        <is>
          <t>يُحدَّث آلياً من ملف المستخلصات (تمكين المحتوى ← تحديث الروابط)</t>
        </is>
      </c>
      <c r="T3" s="12" t="n"/>
      <c r="U3" s="12" t="n"/>
      <c r="V3" s="12" t="n"/>
      <c r="W3" s="12" t="n"/>
      <c r="X3" s="12" t="n"/>
      <c r="Y3" s="12" t="n"/>
    </row>
    <row r="4">
      <c r="AA4" s="11" t="inlineStr">
        <is>
          <t>بيانات مرتبطة من ملف المستخلصات</t>
        </is>
      </c>
      <c r="AB4" s="11" t="n"/>
    </row>
    <row r="5" ht="22" customHeight="1">
      <c r="B5" s="9" t="inlineStr">
        <is>
          <t>المشروع</t>
        </is>
      </c>
      <c r="C5" s="13">
        <f>IF('[7]بيانات العقد'!$C$5="","",'[7]بيانات العقد'!$C$5)</f>
        <v/>
      </c>
      <c r="D5" s="13" t="n"/>
      <c r="E5" s="13" t="n"/>
      <c r="F5" s="13" t="n"/>
      <c r="G5" s="9" t="inlineStr">
        <is>
          <t>رقم العقد</t>
        </is>
      </c>
      <c r="H5" s="13">
        <f>IF('[7]بيانات العقد'!$C$6="","",'[7]بيانات العقد'!$C$6)</f>
        <v/>
      </c>
      <c r="I5" s="13" t="n"/>
      <c r="J5" s="13" t="n"/>
      <c r="K5" s="13" t="n"/>
      <c r="L5" s="9" t="inlineStr">
        <is>
          <t>صاحب العمل</t>
        </is>
      </c>
      <c r="M5" s="13">
        <f>IF('[7]بيانات العقد'!$C$7="","",'[7]بيانات العقد'!$C$7)</f>
        <v/>
      </c>
      <c r="N5" s="13" t="n"/>
      <c r="O5" s="13" t="n"/>
      <c r="P5" s="13" t="n"/>
      <c r="Q5" s="13" t="n"/>
      <c r="R5" s="9" t="inlineStr">
        <is>
          <t>الاستشاري</t>
        </is>
      </c>
      <c r="S5" s="13">
        <f>IF('[7]بيانات العقد'!$C$8="","",'[7]بيانات العقد'!$C$8)</f>
        <v/>
      </c>
      <c r="T5" s="13" t="n"/>
      <c r="U5" s="13" t="n"/>
      <c r="V5" s="13" t="n"/>
      <c r="W5" s="13" t="n"/>
      <c r="X5" s="13" t="n"/>
      <c r="Y5" s="13" t="n"/>
      <c r="AA5" s="14" t="inlineStr">
        <is>
          <t>قيمة العقد الأصلية</t>
        </is>
      </c>
      <c r="AB5" s="15">
        <f>N('[7]بيانات العقد'!$C$16)</f>
        <v/>
      </c>
    </row>
    <row r="6" ht="22" customHeight="1">
      <c r="B6" s="9" t="inlineStr">
        <is>
          <t>المقاول</t>
        </is>
      </c>
      <c r="C6" s="13">
        <f>IF('[7]بيانات العقد'!$C$9="","",'[7]بيانات العقد'!$C$9)</f>
        <v/>
      </c>
      <c r="D6" s="13" t="n"/>
      <c r="E6" s="13" t="n"/>
      <c r="F6" s="13" t="n"/>
      <c r="G6" s="9" t="inlineStr">
        <is>
          <t>تاريخ البدء</t>
        </is>
      </c>
      <c r="H6" s="16">
        <f>IF('[7]بيانات العقد'!$C$11="","",'[7]بيانات العقد'!$C$11)</f>
        <v/>
      </c>
      <c r="I6" s="16" t="n"/>
      <c r="J6" s="16" t="n"/>
      <c r="K6" s="16" t="n"/>
      <c r="L6" s="9" t="inlineStr">
        <is>
          <t>الانتهاء التعاقدي</t>
        </is>
      </c>
      <c r="M6" s="16">
        <f>IF('[7]بيانات العقد'!$C$13="","",'[7]بيانات العقد'!$C$13)</f>
        <v/>
      </c>
      <c r="N6" s="16" t="n"/>
      <c r="O6" s="16" t="n"/>
      <c r="P6" s="16" t="n"/>
      <c r="Q6" s="16" t="n"/>
      <c r="R6" s="9" t="inlineStr">
        <is>
          <t>العملة</t>
        </is>
      </c>
      <c r="S6" s="13">
        <f>IF('[7]بيانات العقد'!$C$14="","",'[7]بيانات العقد'!$C$14)</f>
        <v/>
      </c>
      <c r="T6" s="13" t="n"/>
      <c r="U6" s="13" t="n"/>
      <c r="V6" s="13" t="n"/>
      <c r="W6" s="13" t="n"/>
      <c r="X6" s="13" t="n"/>
      <c r="Y6" s="13" t="n"/>
      <c r="AA6" s="14" t="inlineStr">
        <is>
          <t>صافي التغييرية المعتمدة</t>
        </is>
      </c>
      <c r="AB6" s="15">
        <f>N('[7]بيانات العقد'!$C$17)</f>
        <v/>
      </c>
    </row>
    <row r="7">
      <c r="AA7" s="14" t="inlineStr">
        <is>
          <t>قيمة العقد المعدلة</t>
        </is>
      </c>
      <c r="AB7" s="15">
        <f>N('[7]بيانات العقد'!$C$18)</f>
        <v/>
      </c>
    </row>
    <row r="8" ht="24" customHeight="1">
      <c r="B8" s="17" t="inlineStr">
        <is>
          <t>قيمة العقد الأصلية</t>
        </is>
      </c>
      <c r="C8" s="17" t="n"/>
      <c r="D8" s="17" t="n"/>
      <c r="E8" s="17" t="n"/>
      <c r="F8" s="18" t="inlineStr">
        <is>
          <t>صافي الأوامر التغييرية</t>
        </is>
      </c>
      <c r="G8" s="18" t="n"/>
      <c r="H8" s="18" t="n"/>
      <c r="I8" s="18" t="n"/>
      <c r="J8" s="17" t="inlineStr">
        <is>
          <t>قيمة العقد المعدلة</t>
        </is>
      </c>
      <c r="K8" s="17" t="n"/>
      <c r="L8" s="17" t="n"/>
      <c r="M8" s="17" t="n"/>
      <c r="N8" s="19" t="inlineStr">
        <is>
          <t>إجمالي قيمة الأعمال التراكمية</t>
        </is>
      </c>
      <c r="O8" s="19" t="n"/>
      <c r="P8" s="19" t="n"/>
      <c r="Q8" s="19" t="n"/>
      <c r="R8" s="20" t="inlineStr">
        <is>
          <t>الأعمال المتبقية</t>
        </is>
      </c>
      <c r="S8" s="20" t="n"/>
      <c r="T8" s="20" t="n"/>
      <c r="U8" s="20" t="n"/>
      <c r="V8" s="21" t="inlineStr">
        <is>
          <t>آخر مستخلص فعال</t>
        </is>
      </c>
      <c r="W8" s="21" t="n"/>
      <c r="X8" s="21" t="n"/>
      <c r="Y8" s="21" t="n"/>
      <c r="AA8" s="14" t="inlineStr">
        <is>
          <t>نسبة الدفعة المقدمة</t>
        </is>
      </c>
      <c r="AB8" s="22">
        <f>N('[7]بيانات العقد'!$C$20)</f>
        <v/>
      </c>
    </row>
    <row r="9" ht="32" customHeight="1">
      <c r="B9" s="23">
        <f>$AB$5</f>
        <v/>
      </c>
      <c r="C9" s="23" t="n"/>
      <c r="D9" s="23" t="n"/>
      <c r="E9" s="23" t="n"/>
      <c r="F9" s="24">
        <f>$AB$6</f>
        <v/>
      </c>
      <c r="G9" s="24" t="n"/>
      <c r="H9" s="24" t="n"/>
      <c r="I9" s="24" t="n"/>
      <c r="J9" s="23">
        <f>$AB$7</f>
        <v/>
      </c>
      <c r="K9" s="23" t="n"/>
      <c r="L9" s="23" t="n"/>
      <c r="M9" s="23" t="n"/>
      <c r="N9" s="25">
        <f>IF($V$9=0,0,N(INDEX($J$22:$J$41,$V$9)))</f>
        <v/>
      </c>
      <c r="O9" s="25" t="n"/>
      <c r="P9" s="25" t="n"/>
      <c r="Q9" s="25" t="n"/>
      <c r="R9" s="26">
        <f>MAX(0,$AB$7-IF($V$9=0,0,N(INDEX($G$22:$G$41,$V$9)))-IF($V$9=0,0,N(INDEX($H$22:$H$41,$V$9))))</f>
        <v/>
      </c>
      <c r="S9" s="26" t="n"/>
      <c r="T9" s="26" t="n"/>
      <c r="U9" s="26" t="n"/>
      <c r="V9" s="27">
        <f>SUMPRODUCT(MAX((C22:C41&lt;&gt;"")*B22:B41))</f>
        <v/>
      </c>
      <c r="W9" s="27" t="n"/>
      <c r="X9" s="27" t="n"/>
      <c r="Y9" s="27" t="n"/>
      <c r="AA9" s="14" t="inlineStr">
        <is>
          <t>قيمة الدفعة المقدمة</t>
        </is>
      </c>
      <c r="AB9" s="15">
        <f>N('[7]بيانات العقد'!$C$21)</f>
        <v/>
      </c>
    </row>
    <row r="10">
      <c r="AA10" s="14" t="inlineStr">
        <is>
          <t>نسبة ضمان الأعمال</t>
        </is>
      </c>
      <c r="AB10" s="22">
        <f>N('[7]بيانات العقد'!$C$27)</f>
        <v/>
      </c>
    </row>
    <row r="11" ht="24" customHeight="1">
      <c r="B11" s="19" t="inlineStr">
        <is>
          <t>نسبة الإنجاز الفعلية</t>
        </is>
      </c>
      <c r="C11" s="19" t="n"/>
      <c r="D11" s="19" t="n"/>
      <c r="E11" s="19" t="n"/>
      <c r="F11" s="17" t="inlineStr">
        <is>
          <t>نسبة الإنجاز المخططة</t>
        </is>
      </c>
      <c r="G11" s="17" t="n"/>
      <c r="H11" s="17" t="n"/>
      <c r="I11" s="17" t="n"/>
      <c r="J11" s="21" t="inlineStr">
        <is>
          <t>الانحراف (فعلي - مخطط)</t>
        </is>
      </c>
      <c r="K11" s="21" t="n"/>
      <c r="L11" s="21" t="n"/>
      <c r="M11" s="21" t="n"/>
      <c r="N11" s="20" t="inlineStr">
        <is>
          <t>نسبة المدة المنقضية</t>
        </is>
      </c>
      <c r="O11" s="20" t="n"/>
      <c r="P11" s="20" t="n"/>
      <c r="Q11" s="20" t="n"/>
      <c r="R11" s="17" t="inlineStr">
        <is>
          <t>مؤشر أداء الجدول (SPI)</t>
        </is>
      </c>
      <c r="S11" s="17" t="n"/>
      <c r="T11" s="17" t="n"/>
      <c r="U11" s="17" t="n"/>
      <c r="V11" s="17" t="inlineStr">
        <is>
          <t>حالة المشروع</t>
        </is>
      </c>
      <c r="W11" s="17" t="n"/>
      <c r="X11" s="17" t="n"/>
      <c r="Y11" s="17" t="n"/>
      <c r="AA11" s="14" t="inlineStr">
        <is>
          <t>الحد الأقصى للضمان</t>
        </is>
      </c>
      <c r="AB11" s="15">
        <f>N('[7]بيانات العقد'!$C$29)</f>
        <v/>
      </c>
    </row>
    <row r="12" ht="32" customHeight="1">
      <c r="B12" s="28">
        <f>IF($V$9=0,0,N(INDEX($K$22:$K$41,$V$9)))</f>
        <v/>
      </c>
      <c r="C12" s="28" t="n"/>
      <c r="D12" s="28" t="n"/>
      <c r="E12" s="28" t="n"/>
      <c r="F12" s="29">
        <f>IF($V$9=0,0,N(INDEX($L$22:$L$41,$V$9)))</f>
        <v/>
      </c>
      <c r="G12" s="29" t="n"/>
      <c r="H12" s="29" t="n"/>
      <c r="I12" s="29" t="n"/>
      <c r="J12" s="30">
        <f>B12-F12</f>
        <v/>
      </c>
      <c r="K12" s="30" t="n"/>
      <c r="L12" s="30" t="n"/>
      <c r="M12" s="30" t="n"/>
      <c r="N12" s="31">
        <f>IF(OR($V$9=0,$AB$14="",$AB$15=""),0,MIN(1,MAX(0,(INDEX(C22:C41,$V$9)-$AB$14+1)/($AB$15-$AB$14+1))))</f>
        <v/>
      </c>
      <c r="O12" s="31" t="n"/>
      <c r="P12" s="31" t="n"/>
      <c r="Q12" s="31" t="n"/>
      <c r="R12" s="32">
        <f>IF(F12&gt;0,B12/F12,0)</f>
        <v/>
      </c>
      <c r="S12" s="32" t="n"/>
      <c r="T12" s="32" t="n"/>
      <c r="U12" s="32" t="n"/>
      <c r="V12" s="33">
        <f>IF($AB$7=0,"غير مُفعّل",IF($V$9=0,"لم يبدأ الصرف",IF(J12&lt;-0.05,"⚠ متأخر",IF(J12&lt;0,"متأخر قليلاً","✔ مطابق / متقدم"))))</f>
        <v/>
      </c>
      <c r="W12" s="33" t="n"/>
      <c r="X12" s="33" t="n"/>
      <c r="Y12" s="33" t="n"/>
      <c r="AA12" s="14" t="inlineStr">
        <is>
          <t>ضريبة القيمة المضافة</t>
        </is>
      </c>
      <c r="AB12" s="22">
        <f>N('[7]بيانات العقد'!$C$31)</f>
        <v/>
      </c>
    </row>
    <row r="13">
      <c r="AA13" s="14" t="inlineStr">
        <is>
          <t>ضريبة الخصم من المنبع</t>
        </is>
      </c>
      <c r="AB13" s="22">
        <f>N('[7]بيانات العقد'!$C$33)</f>
        <v/>
      </c>
    </row>
    <row r="14" ht="24" customHeight="1">
      <c r="B14" s="17" t="inlineStr">
        <is>
          <t>صافي المستحق التراكمي</t>
        </is>
      </c>
      <c r="C14" s="17" t="n"/>
      <c r="D14" s="17" t="n"/>
      <c r="E14" s="17" t="n"/>
      <c r="F14" s="34" t="inlineStr">
        <is>
          <t>إجمالي المحصل</t>
        </is>
      </c>
      <c r="G14" s="34" t="n"/>
      <c r="H14" s="34" t="n"/>
      <c r="I14" s="34" t="n"/>
      <c r="J14" s="35" t="inlineStr">
        <is>
          <t>مستحقات غير محصلة</t>
        </is>
      </c>
      <c r="K14" s="35" t="n"/>
      <c r="L14" s="35" t="n"/>
      <c r="M14" s="35" t="n"/>
      <c r="N14" s="34" t="inlineStr">
        <is>
          <t>نسبة التحصيل</t>
        </is>
      </c>
      <c r="O14" s="34" t="n"/>
      <c r="P14" s="34" t="n"/>
      <c r="Q14" s="34" t="n"/>
      <c r="R14" s="20" t="inlineStr">
        <is>
          <t>متوسط مدة التحصيل (يوم)</t>
        </is>
      </c>
      <c r="S14" s="20" t="n"/>
      <c r="T14" s="20" t="n"/>
      <c r="U14" s="20" t="n"/>
      <c r="V14" s="21" t="inlineStr">
        <is>
          <t>تاريخ آخر مستخلص</t>
        </is>
      </c>
      <c r="W14" s="21" t="n"/>
      <c r="X14" s="21" t="n"/>
      <c r="Y14" s="21" t="n"/>
      <c r="AA14" s="14" t="inlineStr">
        <is>
          <t>تاريخ البدء</t>
        </is>
      </c>
      <c r="AB14" s="36">
        <f>IF('[7]بيانات العقد'!$C$11="","",'[7]بيانات العقد'!$C$11)</f>
        <v/>
      </c>
    </row>
    <row r="15" ht="32" customHeight="1">
      <c r="B15" s="23">
        <f>IF($V$9=0,0,N(INDEX($T$22:$T$41,$V$9)))</f>
        <v/>
      </c>
      <c r="C15" s="23" t="n"/>
      <c r="D15" s="23" t="n"/>
      <c r="E15" s="23" t="n"/>
      <c r="F15" s="37">
        <f>V42</f>
        <v/>
      </c>
      <c r="G15" s="37" t="n"/>
      <c r="H15" s="37" t="n"/>
      <c r="I15" s="37" t="n"/>
      <c r="J15" s="38">
        <f>W42</f>
        <v/>
      </c>
      <c r="K15" s="38" t="n"/>
      <c r="L15" s="38" t="n"/>
      <c r="M15" s="38" t="n"/>
      <c r="N15" s="39">
        <f>IF(B15&gt;0,F15/B15,0)</f>
        <v/>
      </c>
      <c r="O15" s="39" t="n"/>
      <c r="P15" s="39" t="n"/>
      <c r="Q15" s="39" t="n"/>
      <c r="R15" s="40">
        <f>X42</f>
        <v/>
      </c>
      <c r="S15" s="40" t="n"/>
      <c r="T15" s="40" t="n"/>
      <c r="U15" s="40" t="n"/>
      <c r="V15" s="41">
        <f>IF($V$9=0,"",INDEX(C22:C41,$V$9))</f>
        <v/>
      </c>
      <c r="W15" s="41" t="n"/>
      <c r="X15" s="41" t="n"/>
      <c r="Y15" s="41" t="n"/>
      <c r="AA15" s="14" t="inlineStr">
        <is>
          <t>تاريخ الانتهاء التعاقدي</t>
        </is>
      </c>
      <c r="AB15" s="36">
        <f>IF('[7]بيانات العقد'!$C$13="","",'[7]بيانات العقد'!$C$13)</f>
        <v/>
      </c>
    </row>
    <row r="16">
      <c r="AA16" s="14" t="inlineStr">
        <is>
          <t>المدة (شهر)</t>
        </is>
      </c>
      <c r="AB16" s="42">
        <f>IF('[7]بيانات العقد'!$C$12="","",'[7]بيانات العقد'!$C$12)</f>
        <v/>
      </c>
    </row>
    <row r="17" ht="24" customHeight="1">
      <c r="B17" s="43" t="inlineStr">
        <is>
          <t>ضمان الأعمال المحتجز</t>
        </is>
      </c>
      <c r="C17" s="43" t="n"/>
      <c r="D17" s="43" t="n"/>
      <c r="E17" s="43" t="n"/>
      <c r="F17" s="43" t="inlineStr">
        <is>
          <t>رصيد الدفعة المقدمة غير المسترد</t>
        </is>
      </c>
      <c r="G17" s="43" t="n"/>
      <c r="H17" s="43" t="n"/>
      <c r="I17" s="43" t="n"/>
      <c r="J17" s="43" t="inlineStr">
        <is>
          <t>الاستقطاعات الفنية المحتجزة</t>
        </is>
      </c>
      <c r="K17" s="43" t="n"/>
      <c r="L17" s="43" t="n"/>
      <c r="M17" s="43" t="n"/>
      <c r="N17" s="43" t="inlineStr">
        <is>
          <t>الغرامات والخصومات</t>
        </is>
      </c>
      <c r="O17" s="43" t="n"/>
      <c r="P17" s="43" t="n"/>
      <c r="Q17" s="43" t="n"/>
      <c r="R17" s="19" t="inlineStr">
        <is>
          <t>مستحق آخر مستخلص</t>
        </is>
      </c>
      <c r="S17" s="19" t="n"/>
      <c r="T17" s="19" t="n"/>
      <c r="U17" s="19" t="n"/>
      <c r="V17" s="17" t="inlineStr">
        <is>
          <t>عدد المستخلصات المعتمدة</t>
        </is>
      </c>
      <c r="W17" s="17" t="n"/>
      <c r="X17" s="17" t="n"/>
      <c r="Y17" s="17" t="n"/>
    </row>
    <row r="18" ht="32" customHeight="1">
      <c r="B18" s="44">
        <f>IF($V$9=0,0,N(INDEX($O$22:$O$41,$V$9)))</f>
        <v/>
      </c>
      <c r="C18" s="44" t="n"/>
      <c r="D18" s="44" t="n"/>
      <c r="E18" s="44" t="n"/>
      <c r="F18" s="44">
        <f>MAX(0,$AB$9-IF($V$9=0,0,N(INDEX($N$22:$N$41,$V$9))))</f>
        <v/>
      </c>
      <c r="G18" s="44" t="n"/>
      <c r="H18" s="44" t="n"/>
      <c r="I18" s="44" t="n"/>
      <c r="J18" s="44">
        <f>IF($V$9=0,0,N(INDEX($P$22:$P$41,$V$9)))</f>
        <v/>
      </c>
      <c r="K18" s="44" t="n"/>
      <c r="L18" s="44" t="n"/>
      <c r="M18" s="44" t="n"/>
      <c r="N18" s="44">
        <f>IF($V$9=0,0,N(INDEX($Q$22:$Q$41,$V$9)))</f>
        <v/>
      </c>
      <c r="O18" s="44" t="n"/>
      <c r="P18" s="44" t="n"/>
      <c r="Q18" s="44" t="n"/>
      <c r="R18" s="25">
        <f>IF($V$9=0,0,N(INDEX($U$22:$U$41,$V$9)))</f>
        <v/>
      </c>
      <c r="S18" s="25" t="n"/>
      <c r="T18" s="25" t="n"/>
      <c r="U18" s="25" t="n"/>
      <c r="V18" s="45">
        <f>COUNTIF(E22:E41,"معتمد")</f>
        <v/>
      </c>
      <c r="W18" s="45" t="n"/>
      <c r="X18" s="45" t="n"/>
      <c r="Y18" s="45" t="n"/>
    </row>
    <row r="20">
      <c r="B20" s="46" t="inlineStr">
        <is>
          <t>سجل المستخلصات (مرتبط)</t>
        </is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</row>
    <row r="21" ht="48" customHeight="1">
      <c r="B21" s="47" t="inlineStr">
        <is>
          <t>رقم المستخلص</t>
        </is>
      </c>
      <c r="C21" s="47" t="inlineStr">
        <is>
          <t>الفترة إلى</t>
        </is>
      </c>
      <c r="D21" s="47" t="inlineStr">
        <is>
          <t>تاريخ الاعتماد</t>
        </is>
      </c>
      <c r="E21" s="47" t="inlineStr">
        <is>
          <t>حالة المستخلص</t>
        </is>
      </c>
      <c r="F21" s="47" t="inlineStr">
        <is>
          <t>أعمال الفترة</t>
        </is>
      </c>
      <c r="G21" s="47" t="inlineStr">
        <is>
          <t>الأعمال المنفذة التراكمية</t>
        </is>
      </c>
      <c r="H21" s="47" t="inlineStr">
        <is>
          <t>التغييرية التراكمية</t>
        </is>
      </c>
      <c r="I21" s="47" t="inlineStr">
        <is>
          <t>رصيد المواد بالموقع</t>
        </is>
      </c>
      <c r="J21" s="47" t="inlineStr">
        <is>
          <t>إجمالي القيمة التراكمية</t>
        </is>
      </c>
      <c r="K21" s="47" t="inlineStr">
        <is>
          <t>نسبة الإنجاز الفعلية</t>
        </is>
      </c>
      <c r="L21" s="47" t="inlineStr">
        <is>
          <t>نسبة الإنجاز المخططة</t>
        </is>
      </c>
      <c r="M21" s="47" t="inlineStr">
        <is>
          <t>الانحراف</t>
        </is>
      </c>
      <c r="N21" s="47" t="inlineStr">
        <is>
          <t>استرداد الدفعة المقدمة</t>
        </is>
      </c>
      <c r="O21" s="47" t="inlineStr">
        <is>
          <t>صافي الضمان المحتجز</t>
        </is>
      </c>
      <c r="P21" s="47" t="inlineStr">
        <is>
          <t>الاستقطاعات الفنية</t>
        </is>
      </c>
      <c r="Q21" s="47" t="inlineStr">
        <is>
          <t>الغرامات والخصومات</t>
        </is>
      </c>
      <c r="R21" s="47" t="inlineStr">
        <is>
          <t>ضريبة القيمة المضافة</t>
        </is>
      </c>
      <c r="S21" s="47" t="inlineStr">
        <is>
          <t>ضريبة الخصم من المنبع</t>
        </is>
      </c>
      <c r="T21" s="47" t="inlineStr">
        <is>
          <t>صافي المستحق التراكمي</t>
        </is>
      </c>
      <c r="U21" s="47" t="inlineStr">
        <is>
          <t>المستحق للمستخلص الحالي</t>
        </is>
      </c>
      <c r="V21" s="47" t="inlineStr">
        <is>
          <t>المحصل</t>
        </is>
      </c>
      <c r="W21" s="47" t="inlineStr">
        <is>
          <t>المتبقي</t>
        </is>
      </c>
      <c r="X21" s="47" t="inlineStr">
        <is>
          <t>مدة التحصيل (يوم)</t>
        </is>
      </c>
      <c r="Y21" s="47" t="inlineStr">
        <is>
          <t>حالة التحصيل</t>
        </is>
      </c>
    </row>
    <row r="22">
      <c r="B22" s="48" t="n">
        <v>1</v>
      </c>
      <c r="C22" s="49">
        <f>IF('[7]سجل المستخلصات'!$C$6="","",'[7]سجل المستخلصات'!$C$6)</f>
        <v/>
      </c>
      <c r="D22" s="49">
        <f>IF('[7]سجل المستخلصات'!$E$6="","",'[7]سجل المستخلصات'!$E$6)</f>
        <v/>
      </c>
      <c r="E22" s="50">
        <f>IF('[7]سجل المستخلصات'!$F$6="","",'[7]سجل المستخلصات'!$F$6)</f>
        <v/>
      </c>
      <c r="F22" s="51">
        <f>IF('[7]سجل المستخلصات'!$H$6="","",'[7]سجل المستخلصات'!$H$6)</f>
        <v/>
      </c>
      <c r="G22" s="51">
        <f>IF('[7]سجل المستخلصات'!$G$6="","",'[7]سجل المستخلصات'!$G$6)</f>
        <v/>
      </c>
      <c r="H22" s="51">
        <f>IF('[7]سجل المستخلصات'!$I$6="","",'[7]سجل المستخلصات'!$I$6)</f>
        <v/>
      </c>
      <c r="I22" s="51">
        <f>IF('[7]سجل المستخلصات'!$J$6="","",'[7]سجل المستخلصات'!$J$6)</f>
        <v/>
      </c>
      <c r="J22" s="51">
        <f>IF('[7]سجل المستخلصات'!$K$6="","",'[7]سجل المستخلصات'!$K$6)</f>
        <v/>
      </c>
      <c r="K22" s="52">
        <f>IF('[7]سجل المستخلصات'!$L$6="","",'[7]سجل المستخلصات'!$L$6)</f>
        <v/>
      </c>
      <c r="L22" s="52">
        <f>IF('[7]سجل المستخلصات'!$M$6="","",'[7]سجل المستخلصات'!$M$6)</f>
        <v/>
      </c>
      <c r="M22" s="52">
        <f>IF('[7]سجل المستخلصات'!$N$6="","",'[7]سجل المستخلصات'!$N$6)</f>
        <v/>
      </c>
      <c r="N22" s="51">
        <f>IF('[7]سجل المستخلصات'!$O$6="","",'[7]سجل المستخلصات'!$O$6)</f>
        <v/>
      </c>
      <c r="O22" s="51">
        <f>IF('[7]سجل المستخلصات'!$R$6="","",'[7]سجل المستخلصات'!$R$6)</f>
        <v/>
      </c>
      <c r="P22" s="51">
        <f>IF('[7]سجل المستخلصات'!$S$6="","",'[7]سجل المستخلصات'!$S$6)</f>
        <v/>
      </c>
      <c r="Q22" s="51">
        <f>IF('[7]سجل المستخلصات'!$T$6="","",'[7]سجل المستخلصات'!$T$6)</f>
        <v/>
      </c>
      <c r="R22" s="51">
        <f>IF('[7]سجل المستخلصات'!$V$6="","",'[7]سجل المستخلصات'!$V$6)</f>
        <v/>
      </c>
      <c r="S22" s="51">
        <f>IF('[7]سجل المستخلصات'!$W$6="","",'[7]سجل المستخلصات'!$W$6)</f>
        <v/>
      </c>
      <c r="T22" s="53">
        <f>IF('[7]سجل المستخلصات'!$X$6="","",'[7]سجل المستخلصات'!$X$6)</f>
        <v/>
      </c>
      <c r="U22" s="53">
        <f>IF('[7]سجل المستخلصات'!$Z$6="","",'[7]سجل المستخلصات'!$Z$6)</f>
        <v/>
      </c>
      <c r="V22" s="51">
        <f>IF('[7]سجل المستخلصات'!$AA$6="","",'[7]سجل المستخلصات'!$AA$6)</f>
        <v/>
      </c>
      <c r="W22" s="51">
        <f>IF('[7]سجل المستخلصات'!$AC$6="","",'[7]سجل المستخلصات'!$AC$6)</f>
        <v/>
      </c>
      <c r="X22" s="54">
        <f>IF('[7]سجل المستخلصات'!$AD$6="","",'[7]سجل المستخلصات'!$AD$6)</f>
        <v/>
      </c>
      <c r="Y22" s="50">
        <f>IF('[7]سجل المستخلصات'!$AE$6="","",'[7]سجل المستخلصات'!$AE$6)</f>
        <v/>
      </c>
    </row>
    <row r="23">
      <c r="B23" s="48" t="n">
        <v>2</v>
      </c>
      <c r="C23" s="49">
        <f>IF('[7]سجل المستخلصات'!$C$7="","",'[7]سجل المستخلصات'!$C$7)</f>
        <v/>
      </c>
      <c r="D23" s="49">
        <f>IF('[7]سجل المستخلصات'!$E$7="","",'[7]سجل المستخلصات'!$E$7)</f>
        <v/>
      </c>
      <c r="E23" s="50">
        <f>IF('[7]سجل المستخلصات'!$F$7="","",'[7]سجل المستخلصات'!$F$7)</f>
        <v/>
      </c>
      <c r="F23" s="51">
        <f>IF('[7]سجل المستخلصات'!$H$7="","",'[7]سجل المستخلصات'!$H$7)</f>
        <v/>
      </c>
      <c r="G23" s="51">
        <f>IF('[7]سجل المستخلصات'!$G$7="","",'[7]سجل المستخلصات'!$G$7)</f>
        <v/>
      </c>
      <c r="H23" s="51">
        <f>IF('[7]سجل المستخلصات'!$I$7="","",'[7]سجل المستخلصات'!$I$7)</f>
        <v/>
      </c>
      <c r="I23" s="51">
        <f>IF('[7]سجل المستخلصات'!$J$7="","",'[7]سجل المستخلصات'!$J$7)</f>
        <v/>
      </c>
      <c r="J23" s="51">
        <f>IF('[7]سجل المستخلصات'!$K$7="","",'[7]سجل المستخلصات'!$K$7)</f>
        <v/>
      </c>
      <c r="K23" s="52">
        <f>IF('[7]سجل المستخلصات'!$L$7="","",'[7]سجل المستخلصات'!$L$7)</f>
        <v/>
      </c>
      <c r="L23" s="52">
        <f>IF('[7]سجل المستخلصات'!$M$7="","",'[7]سجل المستخلصات'!$M$7)</f>
        <v/>
      </c>
      <c r="M23" s="52">
        <f>IF('[7]سجل المستخلصات'!$N$7="","",'[7]سجل المستخلصات'!$N$7)</f>
        <v/>
      </c>
      <c r="N23" s="51">
        <f>IF('[7]سجل المستخلصات'!$O$7="","",'[7]سجل المستخلصات'!$O$7)</f>
        <v/>
      </c>
      <c r="O23" s="51">
        <f>IF('[7]سجل المستخلصات'!$R$7="","",'[7]سجل المستخلصات'!$R$7)</f>
        <v/>
      </c>
      <c r="P23" s="51">
        <f>IF('[7]سجل المستخلصات'!$S$7="","",'[7]سجل المستخلصات'!$S$7)</f>
        <v/>
      </c>
      <c r="Q23" s="51">
        <f>IF('[7]سجل المستخلصات'!$T$7="","",'[7]سجل المستخلصات'!$T$7)</f>
        <v/>
      </c>
      <c r="R23" s="51">
        <f>IF('[7]سجل المستخلصات'!$V$7="","",'[7]سجل المستخلصات'!$V$7)</f>
        <v/>
      </c>
      <c r="S23" s="51">
        <f>IF('[7]سجل المستخلصات'!$W$7="","",'[7]سجل المستخلصات'!$W$7)</f>
        <v/>
      </c>
      <c r="T23" s="53">
        <f>IF('[7]سجل المستخلصات'!$X$7="","",'[7]سجل المستخلصات'!$X$7)</f>
        <v/>
      </c>
      <c r="U23" s="53">
        <f>IF('[7]سجل المستخلصات'!$Z$7="","",'[7]سجل المستخلصات'!$Z$7)</f>
        <v/>
      </c>
      <c r="V23" s="51">
        <f>IF('[7]سجل المستخلصات'!$AA$7="","",'[7]سجل المستخلصات'!$AA$7)</f>
        <v/>
      </c>
      <c r="W23" s="51">
        <f>IF('[7]سجل المستخلصات'!$AC$7="","",'[7]سجل المستخلصات'!$AC$7)</f>
        <v/>
      </c>
      <c r="X23" s="54">
        <f>IF('[7]سجل المستخلصات'!$AD$7="","",'[7]سجل المستخلصات'!$AD$7)</f>
        <v/>
      </c>
      <c r="Y23" s="50">
        <f>IF('[7]سجل المستخلصات'!$AE$7="","",'[7]سجل المستخلصات'!$AE$7)</f>
        <v/>
      </c>
    </row>
    <row r="24">
      <c r="B24" s="48" t="n">
        <v>3</v>
      </c>
      <c r="C24" s="49">
        <f>IF('[7]سجل المستخلصات'!$C$8="","",'[7]سجل المستخلصات'!$C$8)</f>
        <v/>
      </c>
      <c r="D24" s="49">
        <f>IF('[7]سجل المستخلصات'!$E$8="","",'[7]سجل المستخلصات'!$E$8)</f>
        <v/>
      </c>
      <c r="E24" s="50">
        <f>IF('[7]سجل المستخلصات'!$F$8="","",'[7]سجل المستخلصات'!$F$8)</f>
        <v/>
      </c>
      <c r="F24" s="51">
        <f>IF('[7]سجل المستخلصات'!$H$8="","",'[7]سجل المستخلصات'!$H$8)</f>
        <v/>
      </c>
      <c r="G24" s="51">
        <f>IF('[7]سجل المستخلصات'!$G$8="","",'[7]سجل المستخلصات'!$G$8)</f>
        <v/>
      </c>
      <c r="H24" s="51">
        <f>IF('[7]سجل المستخلصات'!$I$8="","",'[7]سجل المستخلصات'!$I$8)</f>
        <v/>
      </c>
      <c r="I24" s="51">
        <f>IF('[7]سجل المستخلصات'!$J$8="","",'[7]سجل المستخلصات'!$J$8)</f>
        <v/>
      </c>
      <c r="J24" s="51">
        <f>IF('[7]سجل المستخلصات'!$K$8="","",'[7]سجل المستخلصات'!$K$8)</f>
        <v/>
      </c>
      <c r="K24" s="52">
        <f>IF('[7]سجل المستخلصات'!$L$8="","",'[7]سجل المستخلصات'!$L$8)</f>
        <v/>
      </c>
      <c r="L24" s="52">
        <f>IF('[7]سجل المستخلصات'!$M$8="","",'[7]سجل المستخلصات'!$M$8)</f>
        <v/>
      </c>
      <c r="M24" s="52">
        <f>IF('[7]سجل المستخلصات'!$N$8="","",'[7]سجل المستخلصات'!$N$8)</f>
        <v/>
      </c>
      <c r="N24" s="51">
        <f>IF('[7]سجل المستخلصات'!$O$8="","",'[7]سجل المستخلصات'!$O$8)</f>
        <v/>
      </c>
      <c r="O24" s="51">
        <f>IF('[7]سجل المستخلصات'!$R$8="","",'[7]سجل المستخلصات'!$R$8)</f>
        <v/>
      </c>
      <c r="P24" s="51">
        <f>IF('[7]سجل المستخلصات'!$S$8="","",'[7]سجل المستخلصات'!$S$8)</f>
        <v/>
      </c>
      <c r="Q24" s="51">
        <f>IF('[7]سجل المستخلصات'!$T$8="","",'[7]سجل المستخلصات'!$T$8)</f>
        <v/>
      </c>
      <c r="R24" s="51">
        <f>IF('[7]سجل المستخلصات'!$V$8="","",'[7]سجل المستخلصات'!$V$8)</f>
        <v/>
      </c>
      <c r="S24" s="51">
        <f>IF('[7]سجل المستخلصات'!$W$8="","",'[7]سجل المستخلصات'!$W$8)</f>
        <v/>
      </c>
      <c r="T24" s="53">
        <f>IF('[7]سجل المستخلصات'!$X$8="","",'[7]سجل المستخلصات'!$X$8)</f>
        <v/>
      </c>
      <c r="U24" s="53">
        <f>IF('[7]سجل المستخلصات'!$Z$8="","",'[7]سجل المستخلصات'!$Z$8)</f>
        <v/>
      </c>
      <c r="V24" s="51">
        <f>IF('[7]سجل المستخلصات'!$AA$8="","",'[7]سجل المستخلصات'!$AA$8)</f>
        <v/>
      </c>
      <c r="W24" s="51">
        <f>IF('[7]سجل المستخلصات'!$AC$8="","",'[7]سجل المستخلصات'!$AC$8)</f>
        <v/>
      </c>
      <c r="X24" s="54">
        <f>IF('[7]سجل المستخلصات'!$AD$8="","",'[7]سجل المستخلصات'!$AD$8)</f>
        <v/>
      </c>
      <c r="Y24" s="50">
        <f>IF('[7]سجل المستخلصات'!$AE$8="","",'[7]سجل المستخلصات'!$AE$8)</f>
        <v/>
      </c>
    </row>
    <row r="25">
      <c r="B25" s="48" t="n">
        <v>4</v>
      </c>
      <c r="C25" s="49">
        <f>IF('[7]سجل المستخلصات'!$C$9="","",'[7]سجل المستخلصات'!$C$9)</f>
        <v/>
      </c>
      <c r="D25" s="49">
        <f>IF('[7]سجل المستخلصات'!$E$9="","",'[7]سجل المستخلصات'!$E$9)</f>
        <v/>
      </c>
      <c r="E25" s="50">
        <f>IF('[7]سجل المستخلصات'!$F$9="","",'[7]سجل المستخلصات'!$F$9)</f>
        <v/>
      </c>
      <c r="F25" s="51">
        <f>IF('[7]سجل المستخلصات'!$H$9="","",'[7]سجل المستخلصات'!$H$9)</f>
        <v/>
      </c>
      <c r="G25" s="51">
        <f>IF('[7]سجل المستخلصات'!$G$9="","",'[7]سجل المستخلصات'!$G$9)</f>
        <v/>
      </c>
      <c r="H25" s="51">
        <f>IF('[7]سجل المستخلصات'!$I$9="","",'[7]سجل المستخلصات'!$I$9)</f>
        <v/>
      </c>
      <c r="I25" s="51">
        <f>IF('[7]سجل المستخلصات'!$J$9="","",'[7]سجل المستخلصات'!$J$9)</f>
        <v/>
      </c>
      <c r="J25" s="51">
        <f>IF('[7]سجل المستخلصات'!$K$9="","",'[7]سجل المستخلصات'!$K$9)</f>
        <v/>
      </c>
      <c r="K25" s="52">
        <f>IF('[7]سجل المستخلصات'!$L$9="","",'[7]سجل المستخلصات'!$L$9)</f>
        <v/>
      </c>
      <c r="L25" s="52">
        <f>IF('[7]سجل المستخلصات'!$M$9="","",'[7]سجل المستخلصات'!$M$9)</f>
        <v/>
      </c>
      <c r="M25" s="52">
        <f>IF('[7]سجل المستخلصات'!$N$9="","",'[7]سجل المستخلصات'!$N$9)</f>
        <v/>
      </c>
      <c r="N25" s="51">
        <f>IF('[7]سجل المستخلصات'!$O$9="","",'[7]سجل المستخلصات'!$O$9)</f>
        <v/>
      </c>
      <c r="O25" s="51">
        <f>IF('[7]سجل المستخلصات'!$R$9="","",'[7]سجل المستخلصات'!$R$9)</f>
        <v/>
      </c>
      <c r="P25" s="51">
        <f>IF('[7]سجل المستخلصات'!$S$9="","",'[7]سجل المستخلصات'!$S$9)</f>
        <v/>
      </c>
      <c r="Q25" s="51">
        <f>IF('[7]سجل المستخلصات'!$T$9="","",'[7]سجل المستخلصات'!$T$9)</f>
        <v/>
      </c>
      <c r="R25" s="51">
        <f>IF('[7]سجل المستخلصات'!$V$9="","",'[7]سجل المستخلصات'!$V$9)</f>
        <v/>
      </c>
      <c r="S25" s="51">
        <f>IF('[7]سجل المستخلصات'!$W$9="","",'[7]سجل المستخلصات'!$W$9)</f>
        <v/>
      </c>
      <c r="T25" s="53">
        <f>IF('[7]سجل المستخلصات'!$X$9="","",'[7]سجل المستخلصات'!$X$9)</f>
        <v/>
      </c>
      <c r="U25" s="53">
        <f>IF('[7]سجل المستخلصات'!$Z$9="","",'[7]سجل المستخلصات'!$Z$9)</f>
        <v/>
      </c>
      <c r="V25" s="51">
        <f>IF('[7]سجل المستخلصات'!$AA$9="","",'[7]سجل المستخلصات'!$AA$9)</f>
        <v/>
      </c>
      <c r="W25" s="51">
        <f>IF('[7]سجل المستخلصات'!$AC$9="","",'[7]سجل المستخلصات'!$AC$9)</f>
        <v/>
      </c>
      <c r="X25" s="54">
        <f>IF('[7]سجل المستخلصات'!$AD$9="","",'[7]سجل المستخلصات'!$AD$9)</f>
        <v/>
      </c>
      <c r="Y25" s="50">
        <f>IF('[7]سجل المستخلصات'!$AE$9="","",'[7]سجل المستخلصات'!$AE$9)</f>
        <v/>
      </c>
    </row>
    <row r="26">
      <c r="B26" s="48" t="n">
        <v>5</v>
      </c>
      <c r="C26" s="49">
        <f>IF('[7]سجل المستخلصات'!$C$10="","",'[7]سجل المستخلصات'!$C$10)</f>
        <v/>
      </c>
      <c r="D26" s="49">
        <f>IF('[7]سجل المستخلصات'!$E$10="","",'[7]سجل المستخلصات'!$E$10)</f>
        <v/>
      </c>
      <c r="E26" s="50">
        <f>IF('[7]سجل المستخلصات'!$F$10="","",'[7]سجل المستخلصات'!$F$10)</f>
        <v/>
      </c>
      <c r="F26" s="51">
        <f>IF('[7]سجل المستخلصات'!$H$10="","",'[7]سجل المستخلصات'!$H$10)</f>
        <v/>
      </c>
      <c r="G26" s="51">
        <f>IF('[7]سجل المستخلصات'!$G$10="","",'[7]سجل المستخلصات'!$G$10)</f>
        <v/>
      </c>
      <c r="H26" s="51">
        <f>IF('[7]سجل المستخلصات'!$I$10="","",'[7]سجل المستخلصات'!$I$10)</f>
        <v/>
      </c>
      <c r="I26" s="51">
        <f>IF('[7]سجل المستخلصات'!$J$10="","",'[7]سجل المستخلصات'!$J$10)</f>
        <v/>
      </c>
      <c r="J26" s="51">
        <f>IF('[7]سجل المستخلصات'!$K$10="","",'[7]سجل المستخلصات'!$K$10)</f>
        <v/>
      </c>
      <c r="K26" s="52">
        <f>IF('[7]سجل المستخلصات'!$L$10="","",'[7]سجل المستخلصات'!$L$10)</f>
        <v/>
      </c>
      <c r="L26" s="52">
        <f>IF('[7]سجل المستخلصات'!$M$10="","",'[7]سجل المستخلصات'!$M$10)</f>
        <v/>
      </c>
      <c r="M26" s="52">
        <f>IF('[7]سجل المستخلصات'!$N$10="","",'[7]سجل المستخلصات'!$N$10)</f>
        <v/>
      </c>
      <c r="N26" s="51">
        <f>IF('[7]سجل المستخلصات'!$O$10="","",'[7]سجل المستخلصات'!$O$10)</f>
        <v/>
      </c>
      <c r="O26" s="51">
        <f>IF('[7]سجل المستخلصات'!$R$10="","",'[7]سجل المستخلصات'!$R$10)</f>
        <v/>
      </c>
      <c r="P26" s="51">
        <f>IF('[7]سجل المستخلصات'!$S$10="","",'[7]سجل المستخلصات'!$S$10)</f>
        <v/>
      </c>
      <c r="Q26" s="51">
        <f>IF('[7]سجل المستخلصات'!$T$10="","",'[7]سجل المستخلصات'!$T$10)</f>
        <v/>
      </c>
      <c r="R26" s="51">
        <f>IF('[7]سجل المستخلصات'!$V$10="","",'[7]سجل المستخلصات'!$V$10)</f>
        <v/>
      </c>
      <c r="S26" s="51">
        <f>IF('[7]سجل المستخلصات'!$W$10="","",'[7]سجل المستخلصات'!$W$10)</f>
        <v/>
      </c>
      <c r="T26" s="53">
        <f>IF('[7]سجل المستخلصات'!$X$10="","",'[7]سجل المستخلصات'!$X$10)</f>
        <v/>
      </c>
      <c r="U26" s="53">
        <f>IF('[7]سجل المستخلصات'!$Z$10="","",'[7]سجل المستخلصات'!$Z$10)</f>
        <v/>
      </c>
      <c r="V26" s="51">
        <f>IF('[7]سجل المستخلصات'!$AA$10="","",'[7]سجل المستخلصات'!$AA$10)</f>
        <v/>
      </c>
      <c r="W26" s="51">
        <f>IF('[7]سجل المستخلصات'!$AC$10="","",'[7]سجل المستخلصات'!$AC$10)</f>
        <v/>
      </c>
      <c r="X26" s="54">
        <f>IF('[7]سجل المستخلصات'!$AD$10="","",'[7]سجل المستخلصات'!$AD$10)</f>
        <v/>
      </c>
      <c r="Y26" s="50">
        <f>IF('[7]سجل المستخلصات'!$AE$10="","",'[7]سجل المستخلصات'!$AE$10)</f>
        <v/>
      </c>
    </row>
    <row r="27">
      <c r="B27" s="48" t="n">
        <v>6</v>
      </c>
      <c r="C27" s="49">
        <f>IF('[7]سجل المستخلصات'!$C$11="","",'[7]سجل المستخلصات'!$C$11)</f>
        <v/>
      </c>
      <c r="D27" s="49">
        <f>IF('[7]سجل المستخلصات'!$E$11="","",'[7]سجل المستخلصات'!$E$11)</f>
        <v/>
      </c>
      <c r="E27" s="50">
        <f>IF('[7]سجل المستخلصات'!$F$11="","",'[7]سجل المستخلصات'!$F$11)</f>
        <v/>
      </c>
      <c r="F27" s="51">
        <f>IF('[7]سجل المستخلصات'!$H$11="","",'[7]سجل المستخلصات'!$H$11)</f>
        <v/>
      </c>
      <c r="G27" s="51">
        <f>IF('[7]سجل المستخلصات'!$G$11="","",'[7]سجل المستخلصات'!$G$11)</f>
        <v/>
      </c>
      <c r="H27" s="51">
        <f>IF('[7]سجل المستخلصات'!$I$11="","",'[7]سجل المستخلصات'!$I$11)</f>
        <v/>
      </c>
      <c r="I27" s="51">
        <f>IF('[7]سجل المستخلصات'!$J$11="","",'[7]سجل المستخلصات'!$J$11)</f>
        <v/>
      </c>
      <c r="J27" s="51">
        <f>IF('[7]سجل المستخلصات'!$K$11="","",'[7]سجل المستخلصات'!$K$11)</f>
        <v/>
      </c>
      <c r="K27" s="52">
        <f>IF('[7]سجل المستخلصات'!$L$11="","",'[7]سجل المستخلصات'!$L$11)</f>
        <v/>
      </c>
      <c r="L27" s="52">
        <f>IF('[7]سجل المستخلصات'!$M$11="","",'[7]سجل المستخلصات'!$M$11)</f>
        <v/>
      </c>
      <c r="M27" s="52">
        <f>IF('[7]سجل المستخلصات'!$N$11="","",'[7]سجل المستخلصات'!$N$11)</f>
        <v/>
      </c>
      <c r="N27" s="51">
        <f>IF('[7]سجل المستخلصات'!$O$11="","",'[7]سجل المستخلصات'!$O$11)</f>
        <v/>
      </c>
      <c r="O27" s="51">
        <f>IF('[7]سجل المستخلصات'!$R$11="","",'[7]سجل المستخلصات'!$R$11)</f>
        <v/>
      </c>
      <c r="P27" s="51">
        <f>IF('[7]سجل المستخلصات'!$S$11="","",'[7]سجل المستخلصات'!$S$11)</f>
        <v/>
      </c>
      <c r="Q27" s="51">
        <f>IF('[7]سجل المستخلصات'!$T$11="","",'[7]سجل المستخلصات'!$T$11)</f>
        <v/>
      </c>
      <c r="R27" s="51">
        <f>IF('[7]سجل المستخلصات'!$V$11="","",'[7]سجل المستخلصات'!$V$11)</f>
        <v/>
      </c>
      <c r="S27" s="51">
        <f>IF('[7]سجل المستخلصات'!$W$11="","",'[7]سجل المستخلصات'!$W$11)</f>
        <v/>
      </c>
      <c r="T27" s="53">
        <f>IF('[7]سجل المستخلصات'!$X$11="","",'[7]سجل المستخلصات'!$X$11)</f>
        <v/>
      </c>
      <c r="U27" s="53">
        <f>IF('[7]سجل المستخلصات'!$Z$11="","",'[7]سجل المستخلصات'!$Z$11)</f>
        <v/>
      </c>
      <c r="V27" s="51">
        <f>IF('[7]سجل المستخلصات'!$AA$11="","",'[7]سجل المستخلصات'!$AA$11)</f>
        <v/>
      </c>
      <c r="W27" s="51">
        <f>IF('[7]سجل المستخلصات'!$AC$11="","",'[7]سجل المستخلصات'!$AC$11)</f>
        <v/>
      </c>
      <c r="X27" s="54">
        <f>IF('[7]سجل المستخلصات'!$AD$11="","",'[7]سجل المستخلصات'!$AD$11)</f>
        <v/>
      </c>
      <c r="Y27" s="50">
        <f>IF('[7]سجل المستخلصات'!$AE$11="","",'[7]سجل المستخلصات'!$AE$11)</f>
        <v/>
      </c>
    </row>
    <row r="28">
      <c r="B28" s="48" t="n">
        <v>7</v>
      </c>
      <c r="C28" s="49">
        <f>IF('[7]سجل المستخلصات'!$C$12="","",'[7]سجل المستخلصات'!$C$12)</f>
        <v/>
      </c>
      <c r="D28" s="49">
        <f>IF('[7]سجل المستخلصات'!$E$12="","",'[7]سجل المستخلصات'!$E$12)</f>
        <v/>
      </c>
      <c r="E28" s="50">
        <f>IF('[7]سجل المستخلصات'!$F$12="","",'[7]سجل المستخلصات'!$F$12)</f>
        <v/>
      </c>
      <c r="F28" s="51">
        <f>IF('[7]سجل المستخلصات'!$H$12="","",'[7]سجل المستخلصات'!$H$12)</f>
        <v/>
      </c>
      <c r="G28" s="51">
        <f>IF('[7]سجل المستخلصات'!$G$12="","",'[7]سجل المستخلصات'!$G$12)</f>
        <v/>
      </c>
      <c r="H28" s="51">
        <f>IF('[7]سجل المستخلصات'!$I$12="","",'[7]سجل المستخلصات'!$I$12)</f>
        <v/>
      </c>
      <c r="I28" s="51">
        <f>IF('[7]سجل المستخلصات'!$J$12="","",'[7]سجل المستخلصات'!$J$12)</f>
        <v/>
      </c>
      <c r="J28" s="51">
        <f>IF('[7]سجل المستخلصات'!$K$12="","",'[7]سجل المستخلصات'!$K$12)</f>
        <v/>
      </c>
      <c r="K28" s="52">
        <f>IF('[7]سجل المستخلصات'!$L$12="","",'[7]سجل المستخلصات'!$L$12)</f>
        <v/>
      </c>
      <c r="L28" s="52">
        <f>IF('[7]سجل المستخلصات'!$M$12="","",'[7]سجل المستخلصات'!$M$12)</f>
        <v/>
      </c>
      <c r="M28" s="52">
        <f>IF('[7]سجل المستخلصات'!$N$12="","",'[7]سجل المستخلصات'!$N$12)</f>
        <v/>
      </c>
      <c r="N28" s="51">
        <f>IF('[7]سجل المستخلصات'!$O$12="","",'[7]سجل المستخلصات'!$O$12)</f>
        <v/>
      </c>
      <c r="O28" s="51">
        <f>IF('[7]سجل المستخلصات'!$R$12="","",'[7]سجل المستخلصات'!$R$12)</f>
        <v/>
      </c>
      <c r="P28" s="51">
        <f>IF('[7]سجل المستخلصات'!$S$12="","",'[7]سجل المستخلصات'!$S$12)</f>
        <v/>
      </c>
      <c r="Q28" s="51">
        <f>IF('[7]سجل المستخلصات'!$T$12="","",'[7]سجل المستخلصات'!$T$12)</f>
        <v/>
      </c>
      <c r="R28" s="51">
        <f>IF('[7]سجل المستخلصات'!$V$12="","",'[7]سجل المستخلصات'!$V$12)</f>
        <v/>
      </c>
      <c r="S28" s="51">
        <f>IF('[7]سجل المستخلصات'!$W$12="","",'[7]سجل المستخلصات'!$W$12)</f>
        <v/>
      </c>
      <c r="T28" s="53">
        <f>IF('[7]سجل المستخلصات'!$X$12="","",'[7]سجل المستخلصات'!$X$12)</f>
        <v/>
      </c>
      <c r="U28" s="53">
        <f>IF('[7]سجل المستخلصات'!$Z$12="","",'[7]سجل المستخلصات'!$Z$12)</f>
        <v/>
      </c>
      <c r="V28" s="51">
        <f>IF('[7]سجل المستخلصات'!$AA$12="","",'[7]سجل المستخلصات'!$AA$12)</f>
        <v/>
      </c>
      <c r="W28" s="51">
        <f>IF('[7]سجل المستخلصات'!$AC$12="","",'[7]سجل المستخلصات'!$AC$12)</f>
        <v/>
      </c>
      <c r="X28" s="54">
        <f>IF('[7]سجل المستخلصات'!$AD$12="","",'[7]سجل المستخلصات'!$AD$12)</f>
        <v/>
      </c>
      <c r="Y28" s="50">
        <f>IF('[7]سجل المستخلصات'!$AE$12="","",'[7]سجل المستخلصات'!$AE$12)</f>
        <v/>
      </c>
    </row>
    <row r="29">
      <c r="B29" s="48" t="n">
        <v>8</v>
      </c>
      <c r="C29" s="49">
        <f>IF('[7]سجل المستخلصات'!$C$13="","",'[7]سجل المستخلصات'!$C$13)</f>
        <v/>
      </c>
      <c r="D29" s="49">
        <f>IF('[7]سجل المستخلصات'!$E$13="","",'[7]سجل المستخلصات'!$E$13)</f>
        <v/>
      </c>
      <c r="E29" s="50">
        <f>IF('[7]سجل المستخلصات'!$F$13="","",'[7]سجل المستخلصات'!$F$13)</f>
        <v/>
      </c>
      <c r="F29" s="51">
        <f>IF('[7]سجل المستخلصات'!$H$13="","",'[7]سجل المستخلصات'!$H$13)</f>
        <v/>
      </c>
      <c r="G29" s="51">
        <f>IF('[7]سجل المستخلصات'!$G$13="","",'[7]سجل المستخلصات'!$G$13)</f>
        <v/>
      </c>
      <c r="H29" s="51">
        <f>IF('[7]سجل المستخلصات'!$I$13="","",'[7]سجل المستخلصات'!$I$13)</f>
        <v/>
      </c>
      <c r="I29" s="51">
        <f>IF('[7]سجل المستخلصات'!$J$13="","",'[7]سجل المستخلصات'!$J$13)</f>
        <v/>
      </c>
      <c r="J29" s="51">
        <f>IF('[7]سجل المستخلصات'!$K$13="","",'[7]سجل المستخلصات'!$K$13)</f>
        <v/>
      </c>
      <c r="K29" s="52">
        <f>IF('[7]سجل المستخلصات'!$L$13="","",'[7]سجل المستخلصات'!$L$13)</f>
        <v/>
      </c>
      <c r="L29" s="52">
        <f>IF('[7]سجل المستخلصات'!$M$13="","",'[7]سجل المستخلصات'!$M$13)</f>
        <v/>
      </c>
      <c r="M29" s="52">
        <f>IF('[7]سجل المستخلصات'!$N$13="","",'[7]سجل المستخلصات'!$N$13)</f>
        <v/>
      </c>
      <c r="N29" s="51">
        <f>IF('[7]سجل المستخلصات'!$O$13="","",'[7]سجل المستخلصات'!$O$13)</f>
        <v/>
      </c>
      <c r="O29" s="51">
        <f>IF('[7]سجل المستخلصات'!$R$13="","",'[7]سجل المستخلصات'!$R$13)</f>
        <v/>
      </c>
      <c r="P29" s="51">
        <f>IF('[7]سجل المستخلصات'!$S$13="","",'[7]سجل المستخلصات'!$S$13)</f>
        <v/>
      </c>
      <c r="Q29" s="51">
        <f>IF('[7]سجل المستخلصات'!$T$13="","",'[7]سجل المستخلصات'!$T$13)</f>
        <v/>
      </c>
      <c r="R29" s="51">
        <f>IF('[7]سجل المستخلصات'!$V$13="","",'[7]سجل المستخلصات'!$V$13)</f>
        <v/>
      </c>
      <c r="S29" s="51">
        <f>IF('[7]سجل المستخلصات'!$W$13="","",'[7]سجل المستخلصات'!$W$13)</f>
        <v/>
      </c>
      <c r="T29" s="53">
        <f>IF('[7]سجل المستخلصات'!$X$13="","",'[7]سجل المستخلصات'!$X$13)</f>
        <v/>
      </c>
      <c r="U29" s="53">
        <f>IF('[7]سجل المستخلصات'!$Z$13="","",'[7]سجل المستخلصات'!$Z$13)</f>
        <v/>
      </c>
      <c r="V29" s="51">
        <f>IF('[7]سجل المستخلصات'!$AA$13="","",'[7]سجل المستخلصات'!$AA$13)</f>
        <v/>
      </c>
      <c r="W29" s="51">
        <f>IF('[7]سجل المستخلصات'!$AC$13="","",'[7]سجل المستخلصات'!$AC$13)</f>
        <v/>
      </c>
      <c r="X29" s="54">
        <f>IF('[7]سجل المستخلصات'!$AD$13="","",'[7]سجل المستخلصات'!$AD$13)</f>
        <v/>
      </c>
      <c r="Y29" s="50">
        <f>IF('[7]سجل المستخلصات'!$AE$13="","",'[7]سجل المستخلصات'!$AE$13)</f>
        <v/>
      </c>
    </row>
    <row r="30">
      <c r="B30" s="48" t="n">
        <v>9</v>
      </c>
      <c r="C30" s="49">
        <f>IF('[7]سجل المستخلصات'!$C$14="","",'[7]سجل المستخلصات'!$C$14)</f>
        <v/>
      </c>
      <c r="D30" s="49">
        <f>IF('[7]سجل المستخلصات'!$E$14="","",'[7]سجل المستخلصات'!$E$14)</f>
        <v/>
      </c>
      <c r="E30" s="50">
        <f>IF('[7]سجل المستخلصات'!$F$14="","",'[7]سجل المستخلصات'!$F$14)</f>
        <v/>
      </c>
      <c r="F30" s="51">
        <f>IF('[7]سجل المستخلصات'!$H$14="","",'[7]سجل المستخلصات'!$H$14)</f>
        <v/>
      </c>
      <c r="G30" s="51">
        <f>IF('[7]سجل المستخلصات'!$G$14="","",'[7]سجل المستخلصات'!$G$14)</f>
        <v/>
      </c>
      <c r="H30" s="51">
        <f>IF('[7]سجل المستخلصات'!$I$14="","",'[7]سجل المستخلصات'!$I$14)</f>
        <v/>
      </c>
      <c r="I30" s="51">
        <f>IF('[7]سجل المستخلصات'!$J$14="","",'[7]سجل المستخلصات'!$J$14)</f>
        <v/>
      </c>
      <c r="J30" s="51">
        <f>IF('[7]سجل المستخلصات'!$K$14="","",'[7]سجل المستخلصات'!$K$14)</f>
        <v/>
      </c>
      <c r="K30" s="52">
        <f>IF('[7]سجل المستخلصات'!$L$14="","",'[7]سجل المستخلصات'!$L$14)</f>
        <v/>
      </c>
      <c r="L30" s="52">
        <f>IF('[7]سجل المستخلصات'!$M$14="","",'[7]سجل المستخلصات'!$M$14)</f>
        <v/>
      </c>
      <c r="M30" s="52">
        <f>IF('[7]سجل المستخلصات'!$N$14="","",'[7]سجل المستخلصات'!$N$14)</f>
        <v/>
      </c>
      <c r="N30" s="51">
        <f>IF('[7]سجل المستخلصات'!$O$14="","",'[7]سجل المستخلصات'!$O$14)</f>
        <v/>
      </c>
      <c r="O30" s="51">
        <f>IF('[7]سجل المستخلصات'!$R$14="","",'[7]سجل المستخلصات'!$R$14)</f>
        <v/>
      </c>
      <c r="P30" s="51">
        <f>IF('[7]سجل المستخلصات'!$S$14="","",'[7]سجل المستخلصات'!$S$14)</f>
        <v/>
      </c>
      <c r="Q30" s="51">
        <f>IF('[7]سجل المستخلصات'!$T$14="","",'[7]سجل المستخلصات'!$T$14)</f>
        <v/>
      </c>
      <c r="R30" s="51">
        <f>IF('[7]سجل المستخلصات'!$V$14="","",'[7]سجل المستخلصات'!$V$14)</f>
        <v/>
      </c>
      <c r="S30" s="51">
        <f>IF('[7]سجل المستخلصات'!$W$14="","",'[7]سجل المستخلصات'!$W$14)</f>
        <v/>
      </c>
      <c r="T30" s="53">
        <f>IF('[7]سجل المستخلصات'!$X$14="","",'[7]سجل المستخلصات'!$X$14)</f>
        <v/>
      </c>
      <c r="U30" s="53">
        <f>IF('[7]سجل المستخلصات'!$Z$14="","",'[7]سجل المستخلصات'!$Z$14)</f>
        <v/>
      </c>
      <c r="V30" s="51">
        <f>IF('[7]سجل المستخلصات'!$AA$14="","",'[7]سجل المستخلصات'!$AA$14)</f>
        <v/>
      </c>
      <c r="W30" s="51">
        <f>IF('[7]سجل المستخلصات'!$AC$14="","",'[7]سجل المستخلصات'!$AC$14)</f>
        <v/>
      </c>
      <c r="X30" s="54">
        <f>IF('[7]سجل المستخلصات'!$AD$14="","",'[7]سجل المستخلصات'!$AD$14)</f>
        <v/>
      </c>
      <c r="Y30" s="50">
        <f>IF('[7]سجل المستخلصات'!$AE$14="","",'[7]سجل المستخلصات'!$AE$14)</f>
        <v/>
      </c>
    </row>
    <row r="31">
      <c r="B31" s="48" t="n">
        <v>10</v>
      </c>
      <c r="C31" s="49">
        <f>IF('[7]سجل المستخلصات'!$C$15="","",'[7]سجل المستخلصات'!$C$15)</f>
        <v/>
      </c>
      <c r="D31" s="49">
        <f>IF('[7]سجل المستخلصات'!$E$15="","",'[7]سجل المستخلصات'!$E$15)</f>
        <v/>
      </c>
      <c r="E31" s="50">
        <f>IF('[7]سجل المستخلصات'!$F$15="","",'[7]سجل المستخلصات'!$F$15)</f>
        <v/>
      </c>
      <c r="F31" s="51">
        <f>IF('[7]سجل المستخلصات'!$H$15="","",'[7]سجل المستخلصات'!$H$15)</f>
        <v/>
      </c>
      <c r="G31" s="51">
        <f>IF('[7]سجل المستخلصات'!$G$15="","",'[7]سجل المستخلصات'!$G$15)</f>
        <v/>
      </c>
      <c r="H31" s="51">
        <f>IF('[7]سجل المستخلصات'!$I$15="","",'[7]سجل المستخلصات'!$I$15)</f>
        <v/>
      </c>
      <c r="I31" s="51">
        <f>IF('[7]سجل المستخلصات'!$J$15="","",'[7]سجل المستخلصات'!$J$15)</f>
        <v/>
      </c>
      <c r="J31" s="51">
        <f>IF('[7]سجل المستخلصات'!$K$15="","",'[7]سجل المستخلصات'!$K$15)</f>
        <v/>
      </c>
      <c r="K31" s="52">
        <f>IF('[7]سجل المستخلصات'!$L$15="","",'[7]سجل المستخلصات'!$L$15)</f>
        <v/>
      </c>
      <c r="L31" s="52">
        <f>IF('[7]سجل المستخلصات'!$M$15="","",'[7]سجل المستخلصات'!$M$15)</f>
        <v/>
      </c>
      <c r="M31" s="52">
        <f>IF('[7]سجل المستخلصات'!$N$15="","",'[7]سجل المستخلصات'!$N$15)</f>
        <v/>
      </c>
      <c r="N31" s="51">
        <f>IF('[7]سجل المستخلصات'!$O$15="","",'[7]سجل المستخلصات'!$O$15)</f>
        <v/>
      </c>
      <c r="O31" s="51">
        <f>IF('[7]سجل المستخلصات'!$R$15="","",'[7]سجل المستخلصات'!$R$15)</f>
        <v/>
      </c>
      <c r="P31" s="51">
        <f>IF('[7]سجل المستخلصات'!$S$15="","",'[7]سجل المستخلصات'!$S$15)</f>
        <v/>
      </c>
      <c r="Q31" s="51">
        <f>IF('[7]سجل المستخلصات'!$T$15="","",'[7]سجل المستخلصات'!$T$15)</f>
        <v/>
      </c>
      <c r="R31" s="51">
        <f>IF('[7]سجل المستخلصات'!$V$15="","",'[7]سجل المستخلصات'!$V$15)</f>
        <v/>
      </c>
      <c r="S31" s="51">
        <f>IF('[7]سجل المستخلصات'!$W$15="","",'[7]سجل المستخلصات'!$W$15)</f>
        <v/>
      </c>
      <c r="T31" s="53">
        <f>IF('[7]سجل المستخلصات'!$X$15="","",'[7]سجل المستخلصات'!$X$15)</f>
        <v/>
      </c>
      <c r="U31" s="53">
        <f>IF('[7]سجل المستخلصات'!$Z$15="","",'[7]سجل المستخلصات'!$Z$15)</f>
        <v/>
      </c>
      <c r="V31" s="51">
        <f>IF('[7]سجل المستخلصات'!$AA$15="","",'[7]سجل المستخلصات'!$AA$15)</f>
        <v/>
      </c>
      <c r="W31" s="51">
        <f>IF('[7]سجل المستخلصات'!$AC$15="","",'[7]سجل المستخلصات'!$AC$15)</f>
        <v/>
      </c>
      <c r="X31" s="54">
        <f>IF('[7]سجل المستخلصات'!$AD$15="","",'[7]سجل المستخلصات'!$AD$15)</f>
        <v/>
      </c>
      <c r="Y31" s="50">
        <f>IF('[7]سجل المستخلصات'!$AE$15="","",'[7]سجل المستخلصات'!$AE$15)</f>
        <v/>
      </c>
    </row>
    <row r="32">
      <c r="B32" s="48" t="n">
        <v>11</v>
      </c>
      <c r="C32" s="49">
        <f>IF('[7]سجل المستخلصات'!$C$16="","",'[7]سجل المستخلصات'!$C$16)</f>
        <v/>
      </c>
      <c r="D32" s="49">
        <f>IF('[7]سجل المستخلصات'!$E$16="","",'[7]سجل المستخلصات'!$E$16)</f>
        <v/>
      </c>
      <c r="E32" s="50">
        <f>IF('[7]سجل المستخلصات'!$F$16="","",'[7]سجل المستخلصات'!$F$16)</f>
        <v/>
      </c>
      <c r="F32" s="51">
        <f>IF('[7]سجل المستخلصات'!$H$16="","",'[7]سجل المستخلصات'!$H$16)</f>
        <v/>
      </c>
      <c r="G32" s="51">
        <f>IF('[7]سجل المستخلصات'!$G$16="","",'[7]سجل المستخلصات'!$G$16)</f>
        <v/>
      </c>
      <c r="H32" s="51">
        <f>IF('[7]سجل المستخلصات'!$I$16="","",'[7]سجل المستخلصات'!$I$16)</f>
        <v/>
      </c>
      <c r="I32" s="51">
        <f>IF('[7]سجل المستخلصات'!$J$16="","",'[7]سجل المستخلصات'!$J$16)</f>
        <v/>
      </c>
      <c r="J32" s="51">
        <f>IF('[7]سجل المستخلصات'!$K$16="","",'[7]سجل المستخلصات'!$K$16)</f>
        <v/>
      </c>
      <c r="K32" s="52">
        <f>IF('[7]سجل المستخلصات'!$L$16="","",'[7]سجل المستخلصات'!$L$16)</f>
        <v/>
      </c>
      <c r="L32" s="52">
        <f>IF('[7]سجل المستخلصات'!$M$16="","",'[7]سجل المستخلصات'!$M$16)</f>
        <v/>
      </c>
      <c r="M32" s="52">
        <f>IF('[7]سجل المستخلصات'!$N$16="","",'[7]سجل المستخلصات'!$N$16)</f>
        <v/>
      </c>
      <c r="N32" s="51">
        <f>IF('[7]سجل المستخلصات'!$O$16="","",'[7]سجل المستخلصات'!$O$16)</f>
        <v/>
      </c>
      <c r="O32" s="51">
        <f>IF('[7]سجل المستخلصات'!$R$16="","",'[7]سجل المستخلصات'!$R$16)</f>
        <v/>
      </c>
      <c r="P32" s="51">
        <f>IF('[7]سجل المستخلصات'!$S$16="","",'[7]سجل المستخلصات'!$S$16)</f>
        <v/>
      </c>
      <c r="Q32" s="51">
        <f>IF('[7]سجل المستخلصات'!$T$16="","",'[7]سجل المستخلصات'!$T$16)</f>
        <v/>
      </c>
      <c r="R32" s="51">
        <f>IF('[7]سجل المستخلصات'!$V$16="","",'[7]سجل المستخلصات'!$V$16)</f>
        <v/>
      </c>
      <c r="S32" s="51">
        <f>IF('[7]سجل المستخلصات'!$W$16="","",'[7]سجل المستخلصات'!$W$16)</f>
        <v/>
      </c>
      <c r="T32" s="53">
        <f>IF('[7]سجل المستخلصات'!$X$16="","",'[7]سجل المستخلصات'!$X$16)</f>
        <v/>
      </c>
      <c r="U32" s="53">
        <f>IF('[7]سجل المستخلصات'!$Z$16="","",'[7]سجل المستخلصات'!$Z$16)</f>
        <v/>
      </c>
      <c r="V32" s="51">
        <f>IF('[7]سجل المستخلصات'!$AA$16="","",'[7]سجل المستخلصات'!$AA$16)</f>
        <v/>
      </c>
      <c r="W32" s="51">
        <f>IF('[7]سجل المستخلصات'!$AC$16="","",'[7]سجل المستخلصات'!$AC$16)</f>
        <v/>
      </c>
      <c r="X32" s="54">
        <f>IF('[7]سجل المستخلصات'!$AD$16="","",'[7]سجل المستخلصات'!$AD$16)</f>
        <v/>
      </c>
      <c r="Y32" s="50">
        <f>IF('[7]سجل المستخلصات'!$AE$16="","",'[7]سجل المستخلصات'!$AE$16)</f>
        <v/>
      </c>
    </row>
    <row r="33">
      <c r="B33" s="48" t="n">
        <v>12</v>
      </c>
      <c r="C33" s="49">
        <f>IF('[7]سجل المستخلصات'!$C$17="","",'[7]سجل المستخلصات'!$C$17)</f>
        <v/>
      </c>
      <c r="D33" s="49">
        <f>IF('[7]سجل المستخلصات'!$E$17="","",'[7]سجل المستخلصات'!$E$17)</f>
        <v/>
      </c>
      <c r="E33" s="50">
        <f>IF('[7]سجل المستخلصات'!$F$17="","",'[7]سجل المستخلصات'!$F$17)</f>
        <v/>
      </c>
      <c r="F33" s="51">
        <f>IF('[7]سجل المستخلصات'!$H$17="","",'[7]سجل المستخلصات'!$H$17)</f>
        <v/>
      </c>
      <c r="G33" s="51">
        <f>IF('[7]سجل المستخلصات'!$G$17="","",'[7]سجل المستخلصات'!$G$17)</f>
        <v/>
      </c>
      <c r="H33" s="51">
        <f>IF('[7]سجل المستخلصات'!$I$17="","",'[7]سجل المستخلصات'!$I$17)</f>
        <v/>
      </c>
      <c r="I33" s="51">
        <f>IF('[7]سجل المستخلصات'!$J$17="","",'[7]سجل المستخلصات'!$J$17)</f>
        <v/>
      </c>
      <c r="J33" s="51">
        <f>IF('[7]سجل المستخلصات'!$K$17="","",'[7]سجل المستخلصات'!$K$17)</f>
        <v/>
      </c>
      <c r="K33" s="52">
        <f>IF('[7]سجل المستخلصات'!$L$17="","",'[7]سجل المستخلصات'!$L$17)</f>
        <v/>
      </c>
      <c r="L33" s="52">
        <f>IF('[7]سجل المستخلصات'!$M$17="","",'[7]سجل المستخلصات'!$M$17)</f>
        <v/>
      </c>
      <c r="M33" s="52">
        <f>IF('[7]سجل المستخلصات'!$N$17="","",'[7]سجل المستخلصات'!$N$17)</f>
        <v/>
      </c>
      <c r="N33" s="51">
        <f>IF('[7]سجل المستخلصات'!$O$17="","",'[7]سجل المستخلصات'!$O$17)</f>
        <v/>
      </c>
      <c r="O33" s="51">
        <f>IF('[7]سجل المستخلصات'!$R$17="","",'[7]سجل المستخلصات'!$R$17)</f>
        <v/>
      </c>
      <c r="P33" s="51">
        <f>IF('[7]سجل المستخلصات'!$S$17="","",'[7]سجل المستخلصات'!$S$17)</f>
        <v/>
      </c>
      <c r="Q33" s="51">
        <f>IF('[7]سجل المستخلصات'!$T$17="","",'[7]سجل المستخلصات'!$T$17)</f>
        <v/>
      </c>
      <c r="R33" s="51">
        <f>IF('[7]سجل المستخلصات'!$V$17="","",'[7]سجل المستخلصات'!$V$17)</f>
        <v/>
      </c>
      <c r="S33" s="51">
        <f>IF('[7]سجل المستخلصات'!$W$17="","",'[7]سجل المستخلصات'!$W$17)</f>
        <v/>
      </c>
      <c r="T33" s="53">
        <f>IF('[7]سجل المستخلصات'!$X$17="","",'[7]سجل المستخلصات'!$X$17)</f>
        <v/>
      </c>
      <c r="U33" s="53">
        <f>IF('[7]سجل المستخلصات'!$Z$17="","",'[7]سجل المستخلصات'!$Z$17)</f>
        <v/>
      </c>
      <c r="V33" s="51">
        <f>IF('[7]سجل المستخلصات'!$AA$17="","",'[7]سجل المستخلصات'!$AA$17)</f>
        <v/>
      </c>
      <c r="W33" s="51">
        <f>IF('[7]سجل المستخلصات'!$AC$17="","",'[7]سجل المستخلصات'!$AC$17)</f>
        <v/>
      </c>
      <c r="X33" s="54">
        <f>IF('[7]سجل المستخلصات'!$AD$17="","",'[7]سجل المستخلصات'!$AD$17)</f>
        <v/>
      </c>
      <c r="Y33" s="50">
        <f>IF('[7]سجل المستخلصات'!$AE$17="","",'[7]سجل المستخلصات'!$AE$17)</f>
        <v/>
      </c>
    </row>
    <row r="34">
      <c r="B34" s="48" t="n">
        <v>13</v>
      </c>
      <c r="C34" s="49">
        <f>IF('[7]سجل المستخلصات'!$C$18="","",'[7]سجل المستخلصات'!$C$18)</f>
        <v/>
      </c>
      <c r="D34" s="49">
        <f>IF('[7]سجل المستخلصات'!$E$18="","",'[7]سجل المستخلصات'!$E$18)</f>
        <v/>
      </c>
      <c r="E34" s="50">
        <f>IF('[7]سجل المستخلصات'!$F$18="","",'[7]سجل المستخلصات'!$F$18)</f>
        <v/>
      </c>
      <c r="F34" s="51">
        <f>IF('[7]سجل المستخلصات'!$H$18="","",'[7]سجل المستخلصات'!$H$18)</f>
        <v/>
      </c>
      <c r="G34" s="51">
        <f>IF('[7]سجل المستخلصات'!$G$18="","",'[7]سجل المستخلصات'!$G$18)</f>
        <v/>
      </c>
      <c r="H34" s="51">
        <f>IF('[7]سجل المستخلصات'!$I$18="","",'[7]سجل المستخلصات'!$I$18)</f>
        <v/>
      </c>
      <c r="I34" s="51">
        <f>IF('[7]سجل المستخلصات'!$J$18="","",'[7]سجل المستخلصات'!$J$18)</f>
        <v/>
      </c>
      <c r="J34" s="51">
        <f>IF('[7]سجل المستخلصات'!$K$18="","",'[7]سجل المستخلصات'!$K$18)</f>
        <v/>
      </c>
      <c r="K34" s="52">
        <f>IF('[7]سجل المستخلصات'!$L$18="","",'[7]سجل المستخلصات'!$L$18)</f>
        <v/>
      </c>
      <c r="L34" s="52">
        <f>IF('[7]سجل المستخلصات'!$M$18="","",'[7]سجل المستخلصات'!$M$18)</f>
        <v/>
      </c>
      <c r="M34" s="52">
        <f>IF('[7]سجل المستخلصات'!$N$18="","",'[7]سجل المستخلصات'!$N$18)</f>
        <v/>
      </c>
      <c r="N34" s="51">
        <f>IF('[7]سجل المستخلصات'!$O$18="","",'[7]سجل المستخلصات'!$O$18)</f>
        <v/>
      </c>
      <c r="O34" s="51">
        <f>IF('[7]سجل المستخلصات'!$R$18="","",'[7]سجل المستخلصات'!$R$18)</f>
        <v/>
      </c>
      <c r="P34" s="51">
        <f>IF('[7]سجل المستخلصات'!$S$18="","",'[7]سجل المستخلصات'!$S$18)</f>
        <v/>
      </c>
      <c r="Q34" s="51">
        <f>IF('[7]سجل المستخلصات'!$T$18="","",'[7]سجل المستخلصات'!$T$18)</f>
        <v/>
      </c>
      <c r="R34" s="51">
        <f>IF('[7]سجل المستخلصات'!$V$18="","",'[7]سجل المستخلصات'!$V$18)</f>
        <v/>
      </c>
      <c r="S34" s="51">
        <f>IF('[7]سجل المستخلصات'!$W$18="","",'[7]سجل المستخلصات'!$W$18)</f>
        <v/>
      </c>
      <c r="T34" s="53">
        <f>IF('[7]سجل المستخلصات'!$X$18="","",'[7]سجل المستخلصات'!$X$18)</f>
        <v/>
      </c>
      <c r="U34" s="53">
        <f>IF('[7]سجل المستخلصات'!$Z$18="","",'[7]سجل المستخلصات'!$Z$18)</f>
        <v/>
      </c>
      <c r="V34" s="51">
        <f>IF('[7]سجل المستخلصات'!$AA$18="","",'[7]سجل المستخلصات'!$AA$18)</f>
        <v/>
      </c>
      <c r="W34" s="51">
        <f>IF('[7]سجل المستخلصات'!$AC$18="","",'[7]سجل المستخلصات'!$AC$18)</f>
        <v/>
      </c>
      <c r="X34" s="54">
        <f>IF('[7]سجل المستخلصات'!$AD$18="","",'[7]سجل المستخلصات'!$AD$18)</f>
        <v/>
      </c>
      <c r="Y34" s="50">
        <f>IF('[7]سجل المستخلصات'!$AE$18="","",'[7]سجل المستخلصات'!$AE$18)</f>
        <v/>
      </c>
    </row>
    <row r="35">
      <c r="B35" s="48" t="n">
        <v>14</v>
      </c>
      <c r="C35" s="49">
        <f>IF('[7]سجل المستخلصات'!$C$19="","",'[7]سجل المستخلصات'!$C$19)</f>
        <v/>
      </c>
      <c r="D35" s="49">
        <f>IF('[7]سجل المستخلصات'!$E$19="","",'[7]سجل المستخلصات'!$E$19)</f>
        <v/>
      </c>
      <c r="E35" s="50">
        <f>IF('[7]سجل المستخلصات'!$F$19="","",'[7]سجل المستخلصات'!$F$19)</f>
        <v/>
      </c>
      <c r="F35" s="51">
        <f>IF('[7]سجل المستخلصات'!$H$19="","",'[7]سجل المستخلصات'!$H$19)</f>
        <v/>
      </c>
      <c r="G35" s="51">
        <f>IF('[7]سجل المستخلصات'!$G$19="","",'[7]سجل المستخلصات'!$G$19)</f>
        <v/>
      </c>
      <c r="H35" s="51">
        <f>IF('[7]سجل المستخلصات'!$I$19="","",'[7]سجل المستخلصات'!$I$19)</f>
        <v/>
      </c>
      <c r="I35" s="51">
        <f>IF('[7]سجل المستخلصات'!$J$19="","",'[7]سجل المستخلصات'!$J$19)</f>
        <v/>
      </c>
      <c r="J35" s="51">
        <f>IF('[7]سجل المستخلصات'!$K$19="","",'[7]سجل المستخلصات'!$K$19)</f>
        <v/>
      </c>
      <c r="K35" s="52">
        <f>IF('[7]سجل المستخلصات'!$L$19="","",'[7]سجل المستخلصات'!$L$19)</f>
        <v/>
      </c>
      <c r="L35" s="52">
        <f>IF('[7]سجل المستخلصات'!$M$19="","",'[7]سجل المستخلصات'!$M$19)</f>
        <v/>
      </c>
      <c r="M35" s="52">
        <f>IF('[7]سجل المستخلصات'!$N$19="","",'[7]سجل المستخلصات'!$N$19)</f>
        <v/>
      </c>
      <c r="N35" s="51">
        <f>IF('[7]سجل المستخلصات'!$O$19="","",'[7]سجل المستخلصات'!$O$19)</f>
        <v/>
      </c>
      <c r="O35" s="51">
        <f>IF('[7]سجل المستخلصات'!$R$19="","",'[7]سجل المستخلصات'!$R$19)</f>
        <v/>
      </c>
      <c r="P35" s="51">
        <f>IF('[7]سجل المستخلصات'!$S$19="","",'[7]سجل المستخلصات'!$S$19)</f>
        <v/>
      </c>
      <c r="Q35" s="51">
        <f>IF('[7]سجل المستخلصات'!$T$19="","",'[7]سجل المستخلصات'!$T$19)</f>
        <v/>
      </c>
      <c r="R35" s="51">
        <f>IF('[7]سجل المستخلصات'!$V$19="","",'[7]سجل المستخلصات'!$V$19)</f>
        <v/>
      </c>
      <c r="S35" s="51">
        <f>IF('[7]سجل المستخلصات'!$W$19="","",'[7]سجل المستخلصات'!$W$19)</f>
        <v/>
      </c>
      <c r="T35" s="53">
        <f>IF('[7]سجل المستخلصات'!$X$19="","",'[7]سجل المستخلصات'!$X$19)</f>
        <v/>
      </c>
      <c r="U35" s="53">
        <f>IF('[7]سجل المستخلصات'!$Z$19="","",'[7]سجل المستخلصات'!$Z$19)</f>
        <v/>
      </c>
      <c r="V35" s="51">
        <f>IF('[7]سجل المستخلصات'!$AA$19="","",'[7]سجل المستخلصات'!$AA$19)</f>
        <v/>
      </c>
      <c r="W35" s="51">
        <f>IF('[7]سجل المستخلصات'!$AC$19="","",'[7]سجل المستخلصات'!$AC$19)</f>
        <v/>
      </c>
      <c r="X35" s="54">
        <f>IF('[7]سجل المستخلصات'!$AD$19="","",'[7]سجل المستخلصات'!$AD$19)</f>
        <v/>
      </c>
      <c r="Y35" s="50">
        <f>IF('[7]سجل المستخلصات'!$AE$19="","",'[7]سجل المستخلصات'!$AE$19)</f>
        <v/>
      </c>
    </row>
    <row r="36">
      <c r="B36" s="48" t="n">
        <v>15</v>
      </c>
      <c r="C36" s="49">
        <f>IF('[7]سجل المستخلصات'!$C$20="","",'[7]سجل المستخلصات'!$C$20)</f>
        <v/>
      </c>
      <c r="D36" s="49">
        <f>IF('[7]سجل المستخلصات'!$E$20="","",'[7]سجل المستخلصات'!$E$20)</f>
        <v/>
      </c>
      <c r="E36" s="50">
        <f>IF('[7]سجل المستخلصات'!$F$20="","",'[7]سجل المستخلصات'!$F$20)</f>
        <v/>
      </c>
      <c r="F36" s="51">
        <f>IF('[7]سجل المستخلصات'!$H$20="","",'[7]سجل المستخلصات'!$H$20)</f>
        <v/>
      </c>
      <c r="G36" s="51">
        <f>IF('[7]سجل المستخلصات'!$G$20="","",'[7]سجل المستخلصات'!$G$20)</f>
        <v/>
      </c>
      <c r="H36" s="51">
        <f>IF('[7]سجل المستخلصات'!$I$20="","",'[7]سجل المستخلصات'!$I$20)</f>
        <v/>
      </c>
      <c r="I36" s="51">
        <f>IF('[7]سجل المستخلصات'!$J$20="","",'[7]سجل المستخلصات'!$J$20)</f>
        <v/>
      </c>
      <c r="J36" s="51">
        <f>IF('[7]سجل المستخلصات'!$K$20="","",'[7]سجل المستخلصات'!$K$20)</f>
        <v/>
      </c>
      <c r="K36" s="52">
        <f>IF('[7]سجل المستخلصات'!$L$20="","",'[7]سجل المستخلصات'!$L$20)</f>
        <v/>
      </c>
      <c r="L36" s="52">
        <f>IF('[7]سجل المستخلصات'!$M$20="","",'[7]سجل المستخلصات'!$M$20)</f>
        <v/>
      </c>
      <c r="M36" s="52">
        <f>IF('[7]سجل المستخلصات'!$N$20="","",'[7]سجل المستخلصات'!$N$20)</f>
        <v/>
      </c>
      <c r="N36" s="51">
        <f>IF('[7]سجل المستخلصات'!$O$20="","",'[7]سجل المستخلصات'!$O$20)</f>
        <v/>
      </c>
      <c r="O36" s="51">
        <f>IF('[7]سجل المستخلصات'!$R$20="","",'[7]سجل المستخلصات'!$R$20)</f>
        <v/>
      </c>
      <c r="P36" s="51">
        <f>IF('[7]سجل المستخلصات'!$S$20="","",'[7]سجل المستخلصات'!$S$20)</f>
        <v/>
      </c>
      <c r="Q36" s="51">
        <f>IF('[7]سجل المستخلصات'!$T$20="","",'[7]سجل المستخلصات'!$T$20)</f>
        <v/>
      </c>
      <c r="R36" s="51">
        <f>IF('[7]سجل المستخلصات'!$V$20="","",'[7]سجل المستخلصات'!$V$20)</f>
        <v/>
      </c>
      <c r="S36" s="51">
        <f>IF('[7]سجل المستخلصات'!$W$20="","",'[7]سجل المستخلصات'!$W$20)</f>
        <v/>
      </c>
      <c r="T36" s="53">
        <f>IF('[7]سجل المستخلصات'!$X$20="","",'[7]سجل المستخلصات'!$X$20)</f>
        <v/>
      </c>
      <c r="U36" s="53">
        <f>IF('[7]سجل المستخلصات'!$Z$20="","",'[7]سجل المستخلصات'!$Z$20)</f>
        <v/>
      </c>
      <c r="V36" s="51">
        <f>IF('[7]سجل المستخلصات'!$AA$20="","",'[7]سجل المستخلصات'!$AA$20)</f>
        <v/>
      </c>
      <c r="W36" s="51">
        <f>IF('[7]سجل المستخلصات'!$AC$20="","",'[7]سجل المستخلصات'!$AC$20)</f>
        <v/>
      </c>
      <c r="X36" s="54">
        <f>IF('[7]سجل المستخلصات'!$AD$20="","",'[7]سجل المستخلصات'!$AD$20)</f>
        <v/>
      </c>
      <c r="Y36" s="50">
        <f>IF('[7]سجل المستخلصات'!$AE$20="","",'[7]سجل المستخلصات'!$AE$20)</f>
        <v/>
      </c>
    </row>
    <row r="37">
      <c r="B37" s="48" t="n">
        <v>16</v>
      </c>
      <c r="C37" s="49">
        <f>IF('[7]سجل المستخلصات'!$C$21="","",'[7]سجل المستخلصات'!$C$21)</f>
        <v/>
      </c>
      <c r="D37" s="49">
        <f>IF('[7]سجل المستخلصات'!$E$21="","",'[7]سجل المستخلصات'!$E$21)</f>
        <v/>
      </c>
      <c r="E37" s="50">
        <f>IF('[7]سجل المستخلصات'!$F$21="","",'[7]سجل المستخلصات'!$F$21)</f>
        <v/>
      </c>
      <c r="F37" s="51">
        <f>IF('[7]سجل المستخلصات'!$H$21="","",'[7]سجل المستخلصات'!$H$21)</f>
        <v/>
      </c>
      <c r="G37" s="51">
        <f>IF('[7]سجل المستخلصات'!$G$21="","",'[7]سجل المستخلصات'!$G$21)</f>
        <v/>
      </c>
      <c r="H37" s="51">
        <f>IF('[7]سجل المستخلصات'!$I$21="","",'[7]سجل المستخلصات'!$I$21)</f>
        <v/>
      </c>
      <c r="I37" s="51">
        <f>IF('[7]سجل المستخلصات'!$J$21="","",'[7]سجل المستخلصات'!$J$21)</f>
        <v/>
      </c>
      <c r="J37" s="51">
        <f>IF('[7]سجل المستخلصات'!$K$21="","",'[7]سجل المستخلصات'!$K$21)</f>
        <v/>
      </c>
      <c r="K37" s="52">
        <f>IF('[7]سجل المستخلصات'!$L$21="","",'[7]سجل المستخلصات'!$L$21)</f>
        <v/>
      </c>
      <c r="L37" s="52">
        <f>IF('[7]سجل المستخلصات'!$M$21="","",'[7]سجل المستخلصات'!$M$21)</f>
        <v/>
      </c>
      <c r="M37" s="52">
        <f>IF('[7]سجل المستخلصات'!$N$21="","",'[7]سجل المستخلصات'!$N$21)</f>
        <v/>
      </c>
      <c r="N37" s="51">
        <f>IF('[7]سجل المستخلصات'!$O$21="","",'[7]سجل المستخلصات'!$O$21)</f>
        <v/>
      </c>
      <c r="O37" s="51">
        <f>IF('[7]سجل المستخلصات'!$R$21="","",'[7]سجل المستخلصات'!$R$21)</f>
        <v/>
      </c>
      <c r="P37" s="51">
        <f>IF('[7]سجل المستخلصات'!$S$21="","",'[7]سجل المستخلصات'!$S$21)</f>
        <v/>
      </c>
      <c r="Q37" s="51">
        <f>IF('[7]سجل المستخلصات'!$T$21="","",'[7]سجل المستخلصات'!$T$21)</f>
        <v/>
      </c>
      <c r="R37" s="51">
        <f>IF('[7]سجل المستخلصات'!$V$21="","",'[7]سجل المستخلصات'!$V$21)</f>
        <v/>
      </c>
      <c r="S37" s="51">
        <f>IF('[7]سجل المستخلصات'!$W$21="","",'[7]سجل المستخلصات'!$W$21)</f>
        <v/>
      </c>
      <c r="T37" s="53">
        <f>IF('[7]سجل المستخلصات'!$X$21="","",'[7]سجل المستخلصات'!$X$21)</f>
        <v/>
      </c>
      <c r="U37" s="53">
        <f>IF('[7]سجل المستخلصات'!$Z$21="","",'[7]سجل المستخلصات'!$Z$21)</f>
        <v/>
      </c>
      <c r="V37" s="51">
        <f>IF('[7]سجل المستخلصات'!$AA$21="","",'[7]سجل المستخلصات'!$AA$21)</f>
        <v/>
      </c>
      <c r="W37" s="51">
        <f>IF('[7]سجل المستخلصات'!$AC$21="","",'[7]سجل المستخلصات'!$AC$21)</f>
        <v/>
      </c>
      <c r="X37" s="54">
        <f>IF('[7]سجل المستخلصات'!$AD$21="","",'[7]سجل المستخلصات'!$AD$21)</f>
        <v/>
      </c>
      <c r="Y37" s="50">
        <f>IF('[7]سجل المستخلصات'!$AE$21="","",'[7]سجل المستخلصات'!$AE$21)</f>
        <v/>
      </c>
    </row>
    <row r="38">
      <c r="B38" s="48" t="n">
        <v>17</v>
      </c>
      <c r="C38" s="49">
        <f>IF('[7]سجل المستخلصات'!$C$22="","",'[7]سجل المستخلصات'!$C$22)</f>
        <v/>
      </c>
      <c r="D38" s="49">
        <f>IF('[7]سجل المستخلصات'!$E$22="","",'[7]سجل المستخلصات'!$E$22)</f>
        <v/>
      </c>
      <c r="E38" s="50">
        <f>IF('[7]سجل المستخلصات'!$F$22="","",'[7]سجل المستخلصات'!$F$22)</f>
        <v/>
      </c>
      <c r="F38" s="51">
        <f>IF('[7]سجل المستخلصات'!$H$22="","",'[7]سجل المستخلصات'!$H$22)</f>
        <v/>
      </c>
      <c r="G38" s="51">
        <f>IF('[7]سجل المستخلصات'!$G$22="","",'[7]سجل المستخلصات'!$G$22)</f>
        <v/>
      </c>
      <c r="H38" s="51">
        <f>IF('[7]سجل المستخلصات'!$I$22="","",'[7]سجل المستخلصات'!$I$22)</f>
        <v/>
      </c>
      <c r="I38" s="51">
        <f>IF('[7]سجل المستخلصات'!$J$22="","",'[7]سجل المستخلصات'!$J$22)</f>
        <v/>
      </c>
      <c r="J38" s="51">
        <f>IF('[7]سجل المستخلصات'!$K$22="","",'[7]سجل المستخلصات'!$K$22)</f>
        <v/>
      </c>
      <c r="K38" s="52">
        <f>IF('[7]سجل المستخلصات'!$L$22="","",'[7]سجل المستخلصات'!$L$22)</f>
        <v/>
      </c>
      <c r="L38" s="52">
        <f>IF('[7]سجل المستخلصات'!$M$22="","",'[7]سجل المستخلصات'!$M$22)</f>
        <v/>
      </c>
      <c r="M38" s="52">
        <f>IF('[7]سجل المستخلصات'!$N$22="","",'[7]سجل المستخلصات'!$N$22)</f>
        <v/>
      </c>
      <c r="N38" s="51">
        <f>IF('[7]سجل المستخلصات'!$O$22="","",'[7]سجل المستخلصات'!$O$22)</f>
        <v/>
      </c>
      <c r="O38" s="51">
        <f>IF('[7]سجل المستخلصات'!$R$22="","",'[7]سجل المستخلصات'!$R$22)</f>
        <v/>
      </c>
      <c r="P38" s="51">
        <f>IF('[7]سجل المستخلصات'!$S$22="","",'[7]سجل المستخلصات'!$S$22)</f>
        <v/>
      </c>
      <c r="Q38" s="51">
        <f>IF('[7]سجل المستخلصات'!$T$22="","",'[7]سجل المستخلصات'!$T$22)</f>
        <v/>
      </c>
      <c r="R38" s="51">
        <f>IF('[7]سجل المستخلصات'!$V$22="","",'[7]سجل المستخلصات'!$V$22)</f>
        <v/>
      </c>
      <c r="S38" s="51">
        <f>IF('[7]سجل المستخلصات'!$W$22="","",'[7]سجل المستخلصات'!$W$22)</f>
        <v/>
      </c>
      <c r="T38" s="53">
        <f>IF('[7]سجل المستخلصات'!$X$22="","",'[7]سجل المستخلصات'!$X$22)</f>
        <v/>
      </c>
      <c r="U38" s="53">
        <f>IF('[7]سجل المستخلصات'!$Z$22="","",'[7]سجل المستخلصات'!$Z$22)</f>
        <v/>
      </c>
      <c r="V38" s="51">
        <f>IF('[7]سجل المستخلصات'!$AA$22="","",'[7]سجل المستخلصات'!$AA$22)</f>
        <v/>
      </c>
      <c r="W38" s="51">
        <f>IF('[7]سجل المستخلصات'!$AC$22="","",'[7]سجل المستخلصات'!$AC$22)</f>
        <v/>
      </c>
      <c r="X38" s="54">
        <f>IF('[7]سجل المستخلصات'!$AD$22="","",'[7]سجل المستخلصات'!$AD$22)</f>
        <v/>
      </c>
      <c r="Y38" s="50">
        <f>IF('[7]سجل المستخلصات'!$AE$22="","",'[7]سجل المستخلصات'!$AE$22)</f>
        <v/>
      </c>
    </row>
    <row r="39">
      <c r="B39" s="48" t="n">
        <v>18</v>
      </c>
      <c r="C39" s="49">
        <f>IF('[7]سجل المستخلصات'!$C$23="","",'[7]سجل المستخلصات'!$C$23)</f>
        <v/>
      </c>
      <c r="D39" s="49">
        <f>IF('[7]سجل المستخلصات'!$E$23="","",'[7]سجل المستخلصات'!$E$23)</f>
        <v/>
      </c>
      <c r="E39" s="50">
        <f>IF('[7]سجل المستخلصات'!$F$23="","",'[7]سجل المستخلصات'!$F$23)</f>
        <v/>
      </c>
      <c r="F39" s="51">
        <f>IF('[7]سجل المستخلصات'!$H$23="","",'[7]سجل المستخلصات'!$H$23)</f>
        <v/>
      </c>
      <c r="G39" s="51">
        <f>IF('[7]سجل المستخلصات'!$G$23="","",'[7]سجل المستخلصات'!$G$23)</f>
        <v/>
      </c>
      <c r="H39" s="51">
        <f>IF('[7]سجل المستخلصات'!$I$23="","",'[7]سجل المستخلصات'!$I$23)</f>
        <v/>
      </c>
      <c r="I39" s="51">
        <f>IF('[7]سجل المستخلصات'!$J$23="","",'[7]سجل المستخلصات'!$J$23)</f>
        <v/>
      </c>
      <c r="J39" s="51">
        <f>IF('[7]سجل المستخلصات'!$K$23="","",'[7]سجل المستخلصات'!$K$23)</f>
        <v/>
      </c>
      <c r="K39" s="52">
        <f>IF('[7]سجل المستخلصات'!$L$23="","",'[7]سجل المستخلصات'!$L$23)</f>
        <v/>
      </c>
      <c r="L39" s="52">
        <f>IF('[7]سجل المستخلصات'!$M$23="","",'[7]سجل المستخلصات'!$M$23)</f>
        <v/>
      </c>
      <c r="M39" s="52">
        <f>IF('[7]سجل المستخلصات'!$N$23="","",'[7]سجل المستخلصات'!$N$23)</f>
        <v/>
      </c>
      <c r="N39" s="51">
        <f>IF('[7]سجل المستخلصات'!$O$23="","",'[7]سجل المستخلصات'!$O$23)</f>
        <v/>
      </c>
      <c r="O39" s="51">
        <f>IF('[7]سجل المستخلصات'!$R$23="","",'[7]سجل المستخلصات'!$R$23)</f>
        <v/>
      </c>
      <c r="P39" s="51">
        <f>IF('[7]سجل المستخلصات'!$S$23="","",'[7]سجل المستخلصات'!$S$23)</f>
        <v/>
      </c>
      <c r="Q39" s="51">
        <f>IF('[7]سجل المستخلصات'!$T$23="","",'[7]سجل المستخلصات'!$T$23)</f>
        <v/>
      </c>
      <c r="R39" s="51">
        <f>IF('[7]سجل المستخلصات'!$V$23="","",'[7]سجل المستخلصات'!$V$23)</f>
        <v/>
      </c>
      <c r="S39" s="51">
        <f>IF('[7]سجل المستخلصات'!$W$23="","",'[7]سجل المستخلصات'!$W$23)</f>
        <v/>
      </c>
      <c r="T39" s="53">
        <f>IF('[7]سجل المستخلصات'!$X$23="","",'[7]سجل المستخلصات'!$X$23)</f>
        <v/>
      </c>
      <c r="U39" s="53">
        <f>IF('[7]سجل المستخلصات'!$Z$23="","",'[7]سجل المستخلصات'!$Z$23)</f>
        <v/>
      </c>
      <c r="V39" s="51">
        <f>IF('[7]سجل المستخلصات'!$AA$23="","",'[7]سجل المستخلصات'!$AA$23)</f>
        <v/>
      </c>
      <c r="W39" s="51">
        <f>IF('[7]سجل المستخلصات'!$AC$23="","",'[7]سجل المستخلصات'!$AC$23)</f>
        <v/>
      </c>
      <c r="X39" s="54">
        <f>IF('[7]سجل المستخلصات'!$AD$23="","",'[7]سجل المستخلصات'!$AD$23)</f>
        <v/>
      </c>
      <c r="Y39" s="50">
        <f>IF('[7]سجل المستخلصات'!$AE$23="","",'[7]سجل المستخلصات'!$AE$23)</f>
        <v/>
      </c>
    </row>
    <row r="40">
      <c r="B40" s="48" t="n">
        <v>19</v>
      </c>
      <c r="C40" s="49">
        <f>IF('[7]سجل المستخلصات'!$C$24="","",'[7]سجل المستخلصات'!$C$24)</f>
        <v/>
      </c>
      <c r="D40" s="49">
        <f>IF('[7]سجل المستخلصات'!$E$24="","",'[7]سجل المستخلصات'!$E$24)</f>
        <v/>
      </c>
      <c r="E40" s="50">
        <f>IF('[7]سجل المستخلصات'!$F$24="","",'[7]سجل المستخلصات'!$F$24)</f>
        <v/>
      </c>
      <c r="F40" s="51">
        <f>IF('[7]سجل المستخلصات'!$H$24="","",'[7]سجل المستخلصات'!$H$24)</f>
        <v/>
      </c>
      <c r="G40" s="51">
        <f>IF('[7]سجل المستخلصات'!$G$24="","",'[7]سجل المستخلصات'!$G$24)</f>
        <v/>
      </c>
      <c r="H40" s="51">
        <f>IF('[7]سجل المستخلصات'!$I$24="","",'[7]سجل المستخلصات'!$I$24)</f>
        <v/>
      </c>
      <c r="I40" s="51">
        <f>IF('[7]سجل المستخلصات'!$J$24="","",'[7]سجل المستخلصات'!$J$24)</f>
        <v/>
      </c>
      <c r="J40" s="51">
        <f>IF('[7]سجل المستخلصات'!$K$24="","",'[7]سجل المستخلصات'!$K$24)</f>
        <v/>
      </c>
      <c r="K40" s="52">
        <f>IF('[7]سجل المستخلصات'!$L$24="","",'[7]سجل المستخلصات'!$L$24)</f>
        <v/>
      </c>
      <c r="L40" s="52">
        <f>IF('[7]سجل المستخلصات'!$M$24="","",'[7]سجل المستخلصات'!$M$24)</f>
        <v/>
      </c>
      <c r="M40" s="52">
        <f>IF('[7]سجل المستخلصات'!$N$24="","",'[7]سجل المستخلصات'!$N$24)</f>
        <v/>
      </c>
      <c r="N40" s="51">
        <f>IF('[7]سجل المستخلصات'!$O$24="","",'[7]سجل المستخلصات'!$O$24)</f>
        <v/>
      </c>
      <c r="O40" s="51">
        <f>IF('[7]سجل المستخلصات'!$R$24="","",'[7]سجل المستخلصات'!$R$24)</f>
        <v/>
      </c>
      <c r="P40" s="51">
        <f>IF('[7]سجل المستخلصات'!$S$24="","",'[7]سجل المستخلصات'!$S$24)</f>
        <v/>
      </c>
      <c r="Q40" s="51">
        <f>IF('[7]سجل المستخلصات'!$T$24="","",'[7]سجل المستخلصات'!$T$24)</f>
        <v/>
      </c>
      <c r="R40" s="51">
        <f>IF('[7]سجل المستخلصات'!$V$24="","",'[7]سجل المستخلصات'!$V$24)</f>
        <v/>
      </c>
      <c r="S40" s="51">
        <f>IF('[7]سجل المستخلصات'!$W$24="","",'[7]سجل المستخلصات'!$W$24)</f>
        <v/>
      </c>
      <c r="T40" s="53">
        <f>IF('[7]سجل المستخلصات'!$X$24="","",'[7]سجل المستخلصات'!$X$24)</f>
        <v/>
      </c>
      <c r="U40" s="53">
        <f>IF('[7]سجل المستخلصات'!$Z$24="","",'[7]سجل المستخلصات'!$Z$24)</f>
        <v/>
      </c>
      <c r="V40" s="51">
        <f>IF('[7]سجل المستخلصات'!$AA$24="","",'[7]سجل المستخلصات'!$AA$24)</f>
        <v/>
      </c>
      <c r="W40" s="51">
        <f>IF('[7]سجل المستخلصات'!$AC$24="","",'[7]سجل المستخلصات'!$AC$24)</f>
        <v/>
      </c>
      <c r="X40" s="54">
        <f>IF('[7]سجل المستخلصات'!$AD$24="","",'[7]سجل المستخلصات'!$AD$24)</f>
        <v/>
      </c>
      <c r="Y40" s="50">
        <f>IF('[7]سجل المستخلصات'!$AE$24="","",'[7]سجل المستخلصات'!$AE$24)</f>
        <v/>
      </c>
    </row>
    <row r="41">
      <c r="B41" s="48" t="n">
        <v>20</v>
      </c>
      <c r="C41" s="49">
        <f>IF('[7]سجل المستخلصات'!$C$25="","",'[7]سجل المستخلصات'!$C$25)</f>
        <v/>
      </c>
      <c r="D41" s="49">
        <f>IF('[7]سجل المستخلصات'!$E$25="","",'[7]سجل المستخلصات'!$E$25)</f>
        <v/>
      </c>
      <c r="E41" s="50">
        <f>IF('[7]سجل المستخلصات'!$F$25="","",'[7]سجل المستخلصات'!$F$25)</f>
        <v/>
      </c>
      <c r="F41" s="51">
        <f>IF('[7]سجل المستخلصات'!$H$25="","",'[7]سجل المستخلصات'!$H$25)</f>
        <v/>
      </c>
      <c r="G41" s="51">
        <f>IF('[7]سجل المستخلصات'!$G$25="","",'[7]سجل المستخلصات'!$G$25)</f>
        <v/>
      </c>
      <c r="H41" s="51">
        <f>IF('[7]سجل المستخلصات'!$I$25="","",'[7]سجل المستخلصات'!$I$25)</f>
        <v/>
      </c>
      <c r="I41" s="51">
        <f>IF('[7]سجل المستخلصات'!$J$25="","",'[7]سجل المستخلصات'!$J$25)</f>
        <v/>
      </c>
      <c r="J41" s="51">
        <f>IF('[7]سجل المستخلصات'!$K$25="","",'[7]سجل المستخلصات'!$K$25)</f>
        <v/>
      </c>
      <c r="K41" s="52">
        <f>IF('[7]سجل المستخلصات'!$L$25="","",'[7]سجل المستخلصات'!$L$25)</f>
        <v/>
      </c>
      <c r="L41" s="52">
        <f>IF('[7]سجل المستخلصات'!$M$25="","",'[7]سجل المستخلصات'!$M$25)</f>
        <v/>
      </c>
      <c r="M41" s="52">
        <f>IF('[7]سجل المستخلصات'!$N$25="","",'[7]سجل المستخلصات'!$N$25)</f>
        <v/>
      </c>
      <c r="N41" s="51">
        <f>IF('[7]سجل المستخلصات'!$O$25="","",'[7]سجل المستخلصات'!$O$25)</f>
        <v/>
      </c>
      <c r="O41" s="51">
        <f>IF('[7]سجل المستخلصات'!$R$25="","",'[7]سجل المستخلصات'!$R$25)</f>
        <v/>
      </c>
      <c r="P41" s="51">
        <f>IF('[7]سجل المستخلصات'!$S$25="","",'[7]سجل المستخلصات'!$S$25)</f>
        <v/>
      </c>
      <c r="Q41" s="51">
        <f>IF('[7]سجل المستخلصات'!$T$25="","",'[7]سجل المستخلصات'!$T$25)</f>
        <v/>
      </c>
      <c r="R41" s="51">
        <f>IF('[7]سجل المستخلصات'!$V$25="","",'[7]سجل المستخلصات'!$V$25)</f>
        <v/>
      </c>
      <c r="S41" s="51">
        <f>IF('[7]سجل المستخلصات'!$W$25="","",'[7]سجل المستخلصات'!$W$25)</f>
        <v/>
      </c>
      <c r="T41" s="53">
        <f>IF('[7]سجل المستخلصات'!$X$25="","",'[7]سجل المستخلصات'!$X$25)</f>
        <v/>
      </c>
      <c r="U41" s="53">
        <f>IF('[7]سجل المستخلصات'!$Z$25="","",'[7]سجل المستخلصات'!$Z$25)</f>
        <v/>
      </c>
      <c r="V41" s="51">
        <f>IF('[7]سجل المستخلصات'!$AA$25="","",'[7]سجل المستخلصات'!$AA$25)</f>
        <v/>
      </c>
      <c r="W41" s="51">
        <f>IF('[7]سجل المستخلصات'!$AC$25="","",'[7]سجل المستخلصات'!$AC$25)</f>
        <v/>
      </c>
      <c r="X41" s="54">
        <f>IF('[7]سجل المستخلصات'!$AD$25="","",'[7]سجل المستخلصات'!$AD$25)</f>
        <v/>
      </c>
      <c r="Y41" s="50">
        <f>IF('[7]سجل المستخلصات'!$AE$25="","",'[7]سجل المستخلصات'!$AE$25)</f>
        <v/>
      </c>
    </row>
    <row r="42">
      <c r="B42" s="55" t="inlineStr">
        <is>
          <t>الإجمالي</t>
        </is>
      </c>
      <c r="C42" s="56" t="n"/>
      <c r="D42" s="56" t="n"/>
      <c r="E42" s="55" t="n"/>
      <c r="F42" s="57">
        <f>SUM(F22:F41)</f>
        <v/>
      </c>
      <c r="G42" s="57">
        <f>IF($V$9=0,0,N(INDEX($G$22:$G$41,$V$9)))</f>
        <v/>
      </c>
      <c r="H42" s="57">
        <f>IF($V$9=0,0,N(INDEX($H$22:$H$41,$V$9)))</f>
        <v/>
      </c>
      <c r="I42" s="57">
        <f>IF($V$9=0,0,N(INDEX($I$22:$I$41,$V$9)))</f>
        <v/>
      </c>
      <c r="J42" s="57">
        <f>IF($V$9=0,0,N(INDEX($J$22:$J$41,$V$9)))</f>
        <v/>
      </c>
      <c r="K42" s="58">
        <f>IF($V$9=0,0,N(INDEX($K$22:$K$41,$V$9)))</f>
        <v/>
      </c>
      <c r="L42" s="58" t="n"/>
      <c r="M42" s="58" t="n"/>
      <c r="N42" s="57">
        <f>IF($V$9=0,0,N(INDEX($N$22:$N$41,$V$9)))</f>
        <v/>
      </c>
      <c r="O42" s="57">
        <f>IF($V$9=0,0,N(INDEX($O$22:$O$41,$V$9)))</f>
        <v/>
      </c>
      <c r="P42" s="57">
        <f>IF($V$9=0,0,N(INDEX($P$22:$P$41,$V$9)))</f>
        <v/>
      </c>
      <c r="Q42" s="57">
        <f>IF($V$9=0,0,N(INDEX($Q$22:$Q$41,$V$9)))</f>
        <v/>
      </c>
      <c r="R42" s="57">
        <f>IF($V$9=0,0,N(INDEX($R$22:$R$41,$V$9)))</f>
        <v/>
      </c>
      <c r="S42" s="57">
        <f>IF($V$9=0,0,N(INDEX($S$22:$S$41,$V$9)))</f>
        <v/>
      </c>
      <c r="T42" s="57">
        <f>IF($V$9=0,0,N(INDEX($T$22:$T$41,$V$9)))</f>
        <v/>
      </c>
      <c r="U42" s="57">
        <f>SUM(U22:U41)</f>
        <v/>
      </c>
      <c r="V42" s="57">
        <f>SUM(V22:V41)</f>
        <v/>
      </c>
      <c r="W42" s="57">
        <f>SUM(W22:W41)</f>
        <v/>
      </c>
      <c r="X42" s="59">
        <f>IFERROR(AVERAGE(X22:X41),0)</f>
        <v/>
      </c>
      <c r="Y42" s="55" t="n"/>
    </row>
    <row r="45">
      <c r="B45" s="46" t="inlineStr">
        <is>
          <t>الإنجاز حسب أقسام الأعمال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القسم</t>
        </is>
      </c>
      <c r="C46" s="47" t="n"/>
      <c r="D46" s="47" t="n"/>
      <c r="E46" s="47" t="inlineStr">
        <is>
          <t>القيمة التعاقدية</t>
        </is>
      </c>
      <c r="F46" s="47" t="inlineStr">
        <is>
          <t>القيمة المنفذة</t>
        </is>
      </c>
      <c r="G46" s="47" t="inlineStr">
        <is>
          <t>نسبة الإنجاز</t>
        </is>
      </c>
    </row>
    <row r="47">
      <c r="B47" s="60">
        <f>IF('[7]سجل المستخلصات'!$B$32="","",'[7]سجل المستخلصات'!$B$32)</f>
        <v/>
      </c>
      <c r="C47" s="60" t="n"/>
      <c r="D47" s="60" t="n"/>
      <c r="E47" s="51">
        <f>N('[7]سجل المستخلصات'!$E$32)</f>
        <v/>
      </c>
      <c r="F47" s="51">
        <f>N('[7]سجل المستخلصات'!$F$32)</f>
        <v/>
      </c>
      <c r="G47" s="61">
        <f>IF(E47&gt;0,F47/E47,0)</f>
        <v/>
      </c>
    </row>
    <row r="48">
      <c r="B48" s="60">
        <f>IF('[7]سجل المستخلصات'!$B$33="","",'[7]سجل المستخلصات'!$B$33)</f>
        <v/>
      </c>
      <c r="C48" s="60" t="n"/>
      <c r="D48" s="60" t="n"/>
      <c r="E48" s="51">
        <f>N('[7]سجل المستخلصات'!$E$33)</f>
        <v/>
      </c>
      <c r="F48" s="51">
        <f>N('[7]سجل المستخلصات'!$F$33)</f>
        <v/>
      </c>
      <c r="G48" s="61">
        <f>IF(E48&gt;0,F48/E48,0)</f>
        <v/>
      </c>
    </row>
    <row r="49">
      <c r="B49" s="60">
        <f>IF('[7]سجل المستخلصات'!$B$34="","",'[7]سجل المستخلصات'!$B$34)</f>
        <v/>
      </c>
      <c r="C49" s="60" t="n"/>
      <c r="D49" s="60" t="n"/>
      <c r="E49" s="51">
        <f>N('[7]سجل المستخلصات'!$E$34)</f>
        <v/>
      </c>
      <c r="F49" s="51">
        <f>N('[7]سجل المستخلصات'!$F$34)</f>
        <v/>
      </c>
      <c r="G49" s="61">
        <f>IF(E49&gt;0,F49/E49,0)</f>
        <v/>
      </c>
    </row>
    <row r="50">
      <c r="B50" s="60">
        <f>IF('[7]سجل المستخلصات'!$B$35="","",'[7]سجل المستخلصات'!$B$35)</f>
        <v/>
      </c>
      <c r="C50" s="60" t="n"/>
      <c r="D50" s="60" t="n"/>
      <c r="E50" s="51">
        <f>N('[7]سجل المستخلصات'!$E$35)</f>
        <v/>
      </c>
      <c r="F50" s="51">
        <f>N('[7]سجل المستخلصات'!$F$35)</f>
        <v/>
      </c>
      <c r="G50" s="61">
        <f>IF(E50&gt;0,F50/E50,0)</f>
        <v/>
      </c>
    </row>
    <row r="51">
      <c r="B51" s="60">
        <f>IF('[7]سجل المستخلصات'!$B$36="","",'[7]سجل المستخلصات'!$B$36)</f>
        <v/>
      </c>
      <c r="C51" s="60" t="n"/>
      <c r="D51" s="60" t="n"/>
      <c r="E51" s="51">
        <f>N('[7]سجل المستخلصات'!$E$36)</f>
        <v/>
      </c>
      <c r="F51" s="51">
        <f>N('[7]سجل المستخلصات'!$F$36)</f>
        <v/>
      </c>
      <c r="G51" s="61">
        <f>IF(E51&gt;0,F51/E51,0)</f>
        <v/>
      </c>
    </row>
    <row r="52">
      <c r="B52" s="60">
        <f>IF('[7]سجل المستخلصات'!$B$37="","",'[7]سجل المستخلصات'!$B$37)</f>
        <v/>
      </c>
      <c r="C52" s="60" t="n"/>
      <c r="D52" s="60" t="n"/>
      <c r="E52" s="51">
        <f>N('[7]سجل المستخلصات'!$E$37)</f>
        <v/>
      </c>
      <c r="F52" s="51">
        <f>N('[7]سجل المستخلصات'!$F$37)</f>
        <v/>
      </c>
      <c r="G52" s="61">
        <f>IF(E52&gt;0,F52/E52,0)</f>
        <v/>
      </c>
    </row>
    <row r="53">
      <c r="B53" s="60">
        <f>IF('[7]سجل المستخلصات'!$B$38="","",'[7]سجل المستخلصات'!$B$38)</f>
        <v/>
      </c>
      <c r="C53" s="60" t="n"/>
      <c r="D53" s="60" t="n"/>
      <c r="E53" s="51">
        <f>N('[7]سجل المستخلصات'!$E$38)</f>
        <v/>
      </c>
      <c r="F53" s="51">
        <f>N('[7]سجل المستخلصات'!$F$38)</f>
        <v/>
      </c>
      <c r="G53" s="61">
        <f>IF(E53&gt;0,F53/E53,0)</f>
        <v/>
      </c>
    </row>
    <row r="54">
      <c r="B54" s="60">
        <f>IF('[7]سجل المستخلصات'!$B$39="","",'[7]سجل المستخلصات'!$B$39)</f>
        <v/>
      </c>
      <c r="C54" s="60" t="n"/>
      <c r="D54" s="60" t="n"/>
      <c r="E54" s="51">
        <f>N('[7]سجل المستخلصات'!$E$39)</f>
        <v/>
      </c>
      <c r="F54" s="51">
        <f>N('[7]سجل المستخلصات'!$F$39)</f>
        <v/>
      </c>
      <c r="G54" s="61">
        <f>IF(E54&gt;0,F54/E54,0)</f>
        <v/>
      </c>
    </row>
    <row r="55">
      <c r="B55" s="60">
        <f>IF('[7]سجل المستخلصات'!$B$40="","",'[7]سجل المستخلصات'!$B$40)</f>
        <v/>
      </c>
      <c r="C55" s="60" t="n"/>
      <c r="D55" s="60" t="n"/>
      <c r="E55" s="51">
        <f>N('[7]سجل المستخلصات'!$E$40)</f>
        <v/>
      </c>
      <c r="F55" s="51">
        <f>N('[7]سجل المستخلصات'!$F$40)</f>
        <v/>
      </c>
      <c r="G55" s="61">
        <f>IF(E55&gt;0,F55/E55,0)</f>
        <v/>
      </c>
    </row>
    <row r="56">
      <c r="B56" s="60">
        <f>IF('[7]سجل المستخلصات'!$B$41="","",'[7]سجل المستخلصات'!$B$41)</f>
        <v/>
      </c>
      <c r="C56" s="60" t="n"/>
      <c r="D56" s="60" t="n"/>
      <c r="E56" s="51">
        <f>N('[7]سجل المستخلصات'!$E$41)</f>
        <v/>
      </c>
      <c r="F56" s="51">
        <f>N('[7]سجل المستخلصات'!$F$41)</f>
        <v/>
      </c>
      <c r="G56" s="61">
        <f>IF(E56&gt;0,F56/E56,0)</f>
        <v/>
      </c>
    </row>
    <row r="57">
      <c r="B57" s="60">
        <f>IF('[7]سجل المستخلصات'!$B$42="","",'[7]سجل المستخلصات'!$B$42)</f>
        <v/>
      </c>
      <c r="C57" s="60" t="n"/>
      <c r="D57" s="60" t="n"/>
      <c r="E57" s="51">
        <f>N('[7]سجل المستخلصات'!$E$42)</f>
        <v/>
      </c>
      <c r="F57" s="51">
        <f>N('[7]سجل المستخلصات'!$F$42)</f>
        <v/>
      </c>
      <c r="G57" s="61">
        <f>IF(E57&gt;0,F57/E57,0)</f>
        <v/>
      </c>
    </row>
    <row r="58">
      <c r="B58" s="60">
        <f>IF('[7]سجل المستخلصات'!$B$43="","",'[7]سجل المستخلصات'!$B$43)</f>
        <v/>
      </c>
      <c r="C58" s="60" t="n"/>
      <c r="D58" s="60" t="n"/>
      <c r="E58" s="51">
        <f>N('[7]سجل المستخلصات'!$E$43)</f>
        <v/>
      </c>
      <c r="F58" s="51">
        <f>N('[7]سجل المستخلصات'!$F$43)</f>
        <v/>
      </c>
      <c r="G58" s="61">
        <f>IF(E58&gt;0,F58/E58,0)</f>
        <v/>
      </c>
    </row>
  </sheetData>
  <mergeCells count="76">
    <mergeCell ref="R17:U17"/>
    <mergeCell ref="B9:E9"/>
    <mergeCell ref="F9:I9"/>
    <mergeCell ref="B2:Y2"/>
    <mergeCell ref="N9:Q9"/>
    <mergeCell ref="B57:D57"/>
    <mergeCell ref="J12:M12"/>
    <mergeCell ref="B15:E15"/>
    <mergeCell ref="B53:D53"/>
    <mergeCell ref="M5:Q5"/>
    <mergeCell ref="B1:Y1"/>
    <mergeCell ref="S5:Y5"/>
    <mergeCell ref="N15:Q15"/>
    <mergeCell ref="J18:M18"/>
    <mergeCell ref="H5:K5"/>
    <mergeCell ref="F14:I14"/>
    <mergeCell ref="R18:U18"/>
    <mergeCell ref="R9:U9"/>
    <mergeCell ref="V18:Y18"/>
    <mergeCell ref="N3:R3"/>
    <mergeCell ref="R8:U8"/>
    <mergeCell ref="R14:U14"/>
    <mergeCell ref="J17:M17"/>
    <mergeCell ref="J8:M8"/>
    <mergeCell ref="V12:Y12"/>
    <mergeCell ref="F11:I11"/>
    <mergeCell ref="B49:D49"/>
    <mergeCell ref="C6:F6"/>
    <mergeCell ref="N11:Q11"/>
    <mergeCell ref="V17:Y17"/>
    <mergeCell ref="R11:U11"/>
    <mergeCell ref="J14:M14"/>
    <mergeCell ref="C5:F5"/>
    <mergeCell ref="B55:D55"/>
    <mergeCell ref="AA4:AB4"/>
    <mergeCell ref="B51:D51"/>
    <mergeCell ref="V14:Y14"/>
    <mergeCell ref="B18:E18"/>
    <mergeCell ref="V8:Y8"/>
    <mergeCell ref="S3:Y3"/>
    <mergeCell ref="J9:M9"/>
    <mergeCell ref="M6:Q6"/>
    <mergeCell ref="B20:Y20"/>
    <mergeCell ref="B12:E12"/>
    <mergeCell ref="F12:I12"/>
    <mergeCell ref="B45:G45"/>
    <mergeCell ref="H6:K6"/>
    <mergeCell ref="B50:D50"/>
    <mergeCell ref="B11:E11"/>
    <mergeCell ref="N12:Q12"/>
    <mergeCell ref="F15:I15"/>
    <mergeCell ref="R15:U15"/>
    <mergeCell ref="J15:M15"/>
    <mergeCell ref="B47:D47"/>
    <mergeCell ref="B54:D54"/>
    <mergeCell ref="B14:E14"/>
    <mergeCell ref="N18:Q18"/>
    <mergeCell ref="F18:I18"/>
    <mergeCell ref="B17:E17"/>
    <mergeCell ref="B8:E8"/>
    <mergeCell ref="V9:Y9"/>
    <mergeCell ref="N8:Q8"/>
    <mergeCell ref="N14:Q14"/>
    <mergeCell ref="F17:I17"/>
    <mergeCell ref="F8:I8"/>
    <mergeCell ref="R12:U12"/>
    <mergeCell ref="N17:Q17"/>
    <mergeCell ref="B46:D46"/>
    <mergeCell ref="J11:M11"/>
    <mergeCell ref="B56:D56"/>
    <mergeCell ref="B58:D58"/>
    <mergeCell ref="V15:Y15"/>
    <mergeCell ref="B52:D52"/>
    <mergeCell ref="V11:Y11"/>
    <mergeCell ref="B48:D48"/>
    <mergeCell ref="S6:Y6"/>
  </mergeCells>
  <conditionalFormatting sqref="M22:M41">
    <cfRule type="cellIs" priority="1" operator="lessThan" dxfId="0">
      <formula>-0.0001</formula>
    </cfRule>
  </conditionalFormatting>
  <conditionalFormatting sqref="Y22:Y41">
    <cfRule type="expression" priority="2" dxfId="1">
      <formula>ISNUMBER(SEARCH("✔",Y22))</formula>
    </cfRule>
    <cfRule type="expression" priority="3" dxfId="2">
      <formula>ISNUMBER(SEARCH("✖",Y22))</formula>
    </cfRule>
    <cfRule type="expression" priority="4" dxfId="3">
      <formula>ISNUMBER(SEARCH("⚠",Y22))</formula>
    </cfRule>
  </conditionalFormatting>
  <conditionalFormatting sqref="B22:Y41">
    <cfRule type="expression" priority="5" dxfId="4">
      <formula>$B22=$V$9</formula>
    </cfRule>
  </conditionalFormatting>
  <conditionalFormatting sqref="K22:K41">
    <cfRule type="dataBar" priority="6">
      <dataBar>
        <cfvo type="num" val="0"/>
        <cfvo type="num" val="1"/>
        <color rgb="0063BE7B"/>
      </dataBar>
    </cfRule>
  </conditionalFormatting>
  <conditionalFormatting sqref="V12">
    <cfRule type="expression" priority="7" dxfId="0">
      <formula>ISNUMBER(SEARCH("⚠",V12))</formula>
    </cfRule>
  </conditionalFormatting>
  <conditionalFormatting sqref="J12">
    <cfRule type="cellIs" priority="8" operator="lessThan" dxfId="0">
      <formula>0</formula>
    </cfRule>
  </conditionalFormatting>
  <conditionalFormatting sqref="G47:G58">
    <cfRule type="dataBar" priority="9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xmlns:r="http://schemas.openxmlformats.org/officeDocument/2006/relationships" ref="N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"&amp;IF('[8]بيانات العقد'!$C$5="","مشروع رقم 08 — غير مُفعّل",'[8]بيانات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مشروع 01</t>
        </is>
      </c>
      <c r="D3" s="4" t="inlineStr">
        <is>
          <t>مشروع 02</t>
        </is>
      </c>
      <c r="E3" s="4" t="inlineStr">
        <is>
          <t>مشروع 03</t>
        </is>
      </c>
      <c r="F3" s="4" t="inlineStr">
        <is>
          <t>مشروع 04</t>
        </is>
      </c>
      <c r="G3" s="4" t="inlineStr">
        <is>
          <t>مشروع 05</t>
        </is>
      </c>
      <c r="H3" s="4" t="inlineStr">
        <is>
          <t>مشروع 06</t>
        </is>
      </c>
      <c r="I3" s="4" t="inlineStr">
        <is>
          <t>مشروع 07</t>
        </is>
      </c>
      <c r="J3" s="10" t="inlineStr">
        <is>
          <t>مشروع 08</t>
        </is>
      </c>
      <c r="K3" s="4" t="inlineStr">
        <is>
          <t>مشروع 09</t>
        </is>
      </c>
      <c r="L3" s="4" t="inlineStr">
        <is>
          <t>مشروع 10</t>
        </is>
      </c>
      <c r="N3" s="11" t="inlineStr">
        <is>
          <t>📂 فتح ملف المستخلصات: IPC_Project_08.xlsx</t>
        </is>
      </c>
      <c r="O3" s="11" t="n"/>
      <c r="P3" s="11" t="n"/>
      <c r="Q3" s="11" t="n"/>
      <c r="R3" s="11" t="n"/>
      <c r="S3" s="12" t="inlineStr">
        <is>
          <t>يُحدَّث آلياً من ملف المستخلصات (تمكين المحتوى ← تحديث الروابط)</t>
        </is>
      </c>
      <c r="T3" s="12" t="n"/>
      <c r="U3" s="12" t="n"/>
      <c r="V3" s="12" t="n"/>
      <c r="W3" s="12" t="n"/>
      <c r="X3" s="12" t="n"/>
      <c r="Y3" s="12" t="n"/>
    </row>
    <row r="4">
      <c r="AA4" s="11" t="inlineStr">
        <is>
          <t>بيانات مرتبطة من ملف المستخلصات</t>
        </is>
      </c>
      <c r="AB4" s="11" t="n"/>
    </row>
    <row r="5" ht="22" customHeight="1">
      <c r="B5" s="9" t="inlineStr">
        <is>
          <t>المشروع</t>
        </is>
      </c>
      <c r="C5" s="13">
        <f>IF('[8]بيانات العقد'!$C$5="","",'[8]بيانات العقد'!$C$5)</f>
        <v/>
      </c>
      <c r="D5" s="13" t="n"/>
      <c r="E5" s="13" t="n"/>
      <c r="F5" s="13" t="n"/>
      <c r="G5" s="9" t="inlineStr">
        <is>
          <t>رقم العقد</t>
        </is>
      </c>
      <c r="H5" s="13">
        <f>IF('[8]بيانات العقد'!$C$6="","",'[8]بيانات العقد'!$C$6)</f>
        <v/>
      </c>
      <c r="I5" s="13" t="n"/>
      <c r="J5" s="13" t="n"/>
      <c r="K5" s="13" t="n"/>
      <c r="L5" s="9" t="inlineStr">
        <is>
          <t>صاحب العمل</t>
        </is>
      </c>
      <c r="M5" s="13">
        <f>IF('[8]بيانات العقد'!$C$7="","",'[8]بيانات العقد'!$C$7)</f>
        <v/>
      </c>
      <c r="N5" s="13" t="n"/>
      <c r="O5" s="13" t="n"/>
      <c r="P5" s="13" t="n"/>
      <c r="Q5" s="13" t="n"/>
      <c r="R5" s="9" t="inlineStr">
        <is>
          <t>الاستشاري</t>
        </is>
      </c>
      <c r="S5" s="13">
        <f>IF('[8]بيانات العقد'!$C$8="","",'[8]بيانات العقد'!$C$8)</f>
        <v/>
      </c>
      <c r="T5" s="13" t="n"/>
      <c r="U5" s="13" t="n"/>
      <c r="V5" s="13" t="n"/>
      <c r="W5" s="13" t="n"/>
      <c r="X5" s="13" t="n"/>
      <c r="Y5" s="13" t="n"/>
      <c r="AA5" s="14" t="inlineStr">
        <is>
          <t>قيمة العقد الأصلية</t>
        </is>
      </c>
      <c r="AB5" s="15">
        <f>N('[8]بيانات العقد'!$C$16)</f>
        <v/>
      </c>
    </row>
    <row r="6" ht="22" customHeight="1">
      <c r="B6" s="9" t="inlineStr">
        <is>
          <t>المقاول</t>
        </is>
      </c>
      <c r="C6" s="13">
        <f>IF('[8]بيانات العقد'!$C$9="","",'[8]بيانات العقد'!$C$9)</f>
        <v/>
      </c>
      <c r="D6" s="13" t="n"/>
      <c r="E6" s="13" t="n"/>
      <c r="F6" s="13" t="n"/>
      <c r="G6" s="9" t="inlineStr">
        <is>
          <t>تاريخ البدء</t>
        </is>
      </c>
      <c r="H6" s="16">
        <f>IF('[8]بيانات العقد'!$C$11="","",'[8]بيانات العقد'!$C$11)</f>
        <v/>
      </c>
      <c r="I6" s="16" t="n"/>
      <c r="J6" s="16" t="n"/>
      <c r="K6" s="16" t="n"/>
      <c r="L6" s="9" t="inlineStr">
        <is>
          <t>الانتهاء التعاقدي</t>
        </is>
      </c>
      <c r="M6" s="16">
        <f>IF('[8]بيانات العقد'!$C$13="","",'[8]بيانات العقد'!$C$13)</f>
        <v/>
      </c>
      <c r="N6" s="16" t="n"/>
      <c r="O6" s="16" t="n"/>
      <c r="P6" s="16" t="n"/>
      <c r="Q6" s="16" t="n"/>
      <c r="R6" s="9" t="inlineStr">
        <is>
          <t>العملة</t>
        </is>
      </c>
      <c r="S6" s="13">
        <f>IF('[8]بيانات العقد'!$C$14="","",'[8]بيانات العقد'!$C$14)</f>
        <v/>
      </c>
      <c r="T6" s="13" t="n"/>
      <c r="U6" s="13" t="n"/>
      <c r="V6" s="13" t="n"/>
      <c r="W6" s="13" t="n"/>
      <c r="X6" s="13" t="n"/>
      <c r="Y6" s="13" t="n"/>
      <c r="AA6" s="14" t="inlineStr">
        <is>
          <t>صافي التغييرية المعتمدة</t>
        </is>
      </c>
      <c r="AB6" s="15">
        <f>N('[8]بيانات العقد'!$C$17)</f>
        <v/>
      </c>
    </row>
    <row r="7">
      <c r="AA7" s="14" t="inlineStr">
        <is>
          <t>قيمة العقد المعدلة</t>
        </is>
      </c>
      <c r="AB7" s="15">
        <f>N('[8]بيانات العقد'!$C$18)</f>
        <v/>
      </c>
    </row>
    <row r="8" ht="24" customHeight="1">
      <c r="B8" s="17" t="inlineStr">
        <is>
          <t>قيمة العقد الأصلية</t>
        </is>
      </c>
      <c r="C8" s="17" t="n"/>
      <c r="D8" s="17" t="n"/>
      <c r="E8" s="17" t="n"/>
      <c r="F8" s="18" t="inlineStr">
        <is>
          <t>صافي الأوامر التغييرية</t>
        </is>
      </c>
      <c r="G8" s="18" t="n"/>
      <c r="H8" s="18" t="n"/>
      <c r="I8" s="18" t="n"/>
      <c r="J8" s="17" t="inlineStr">
        <is>
          <t>قيمة العقد المعدلة</t>
        </is>
      </c>
      <c r="K8" s="17" t="n"/>
      <c r="L8" s="17" t="n"/>
      <c r="M8" s="17" t="n"/>
      <c r="N8" s="19" t="inlineStr">
        <is>
          <t>إجمالي قيمة الأعمال التراكمية</t>
        </is>
      </c>
      <c r="O8" s="19" t="n"/>
      <c r="P8" s="19" t="n"/>
      <c r="Q8" s="19" t="n"/>
      <c r="R8" s="20" t="inlineStr">
        <is>
          <t>الأعمال المتبقية</t>
        </is>
      </c>
      <c r="S8" s="20" t="n"/>
      <c r="T8" s="20" t="n"/>
      <c r="U8" s="20" t="n"/>
      <c r="V8" s="21" t="inlineStr">
        <is>
          <t>آخر مستخلص فعال</t>
        </is>
      </c>
      <c r="W8" s="21" t="n"/>
      <c r="X8" s="21" t="n"/>
      <c r="Y8" s="21" t="n"/>
      <c r="AA8" s="14" t="inlineStr">
        <is>
          <t>نسبة الدفعة المقدمة</t>
        </is>
      </c>
      <c r="AB8" s="22">
        <f>N('[8]بيانات العقد'!$C$20)</f>
        <v/>
      </c>
    </row>
    <row r="9" ht="32" customHeight="1">
      <c r="B9" s="23">
        <f>$AB$5</f>
        <v/>
      </c>
      <c r="C9" s="23" t="n"/>
      <c r="D9" s="23" t="n"/>
      <c r="E9" s="23" t="n"/>
      <c r="F9" s="24">
        <f>$AB$6</f>
        <v/>
      </c>
      <c r="G9" s="24" t="n"/>
      <c r="H9" s="24" t="n"/>
      <c r="I9" s="24" t="n"/>
      <c r="J9" s="23">
        <f>$AB$7</f>
        <v/>
      </c>
      <c r="K9" s="23" t="n"/>
      <c r="L9" s="23" t="n"/>
      <c r="M9" s="23" t="n"/>
      <c r="N9" s="25">
        <f>IF($V$9=0,0,N(INDEX($J$22:$J$41,$V$9)))</f>
        <v/>
      </c>
      <c r="O9" s="25" t="n"/>
      <c r="P9" s="25" t="n"/>
      <c r="Q9" s="25" t="n"/>
      <c r="R9" s="26">
        <f>MAX(0,$AB$7-IF($V$9=0,0,N(INDEX($G$22:$G$41,$V$9)))-IF($V$9=0,0,N(INDEX($H$22:$H$41,$V$9))))</f>
        <v/>
      </c>
      <c r="S9" s="26" t="n"/>
      <c r="T9" s="26" t="n"/>
      <c r="U9" s="26" t="n"/>
      <c r="V9" s="27">
        <f>SUMPRODUCT(MAX((C22:C41&lt;&gt;"")*B22:B41))</f>
        <v/>
      </c>
      <c r="W9" s="27" t="n"/>
      <c r="X9" s="27" t="n"/>
      <c r="Y9" s="27" t="n"/>
      <c r="AA9" s="14" t="inlineStr">
        <is>
          <t>قيمة الدفعة المقدمة</t>
        </is>
      </c>
      <c r="AB9" s="15">
        <f>N('[8]بيانات العقد'!$C$21)</f>
        <v/>
      </c>
    </row>
    <row r="10">
      <c r="AA10" s="14" t="inlineStr">
        <is>
          <t>نسبة ضمان الأعمال</t>
        </is>
      </c>
      <c r="AB10" s="22">
        <f>N('[8]بيانات العقد'!$C$27)</f>
        <v/>
      </c>
    </row>
    <row r="11" ht="24" customHeight="1">
      <c r="B11" s="19" t="inlineStr">
        <is>
          <t>نسبة الإنجاز الفعلية</t>
        </is>
      </c>
      <c r="C11" s="19" t="n"/>
      <c r="D11" s="19" t="n"/>
      <c r="E11" s="19" t="n"/>
      <c r="F11" s="17" t="inlineStr">
        <is>
          <t>نسبة الإنجاز المخططة</t>
        </is>
      </c>
      <c r="G11" s="17" t="n"/>
      <c r="H11" s="17" t="n"/>
      <c r="I11" s="17" t="n"/>
      <c r="J11" s="21" t="inlineStr">
        <is>
          <t>الانحراف (فعلي - مخطط)</t>
        </is>
      </c>
      <c r="K11" s="21" t="n"/>
      <c r="L11" s="21" t="n"/>
      <c r="M11" s="21" t="n"/>
      <c r="N11" s="20" t="inlineStr">
        <is>
          <t>نسبة المدة المنقضية</t>
        </is>
      </c>
      <c r="O11" s="20" t="n"/>
      <c r="P11" s="20" t="n"/>
      <c r="Q11" s="20" t="n"/>
      <c r="R11" s="17" t="inlineStr">
        <is>
          <t>مؤشر أداء الجدول (SPI)</t>
        </is>
      </c>
      <c r="S11" s="17" t="n"/>
      <c r="T11" s="17" t="n"/>
      <c r="U11" s="17" t="n"/>
      <c r="V11" s="17" t="inlineStr">
        <is>
          <t>حالة المشروع</t>
        </is>
      </c>
      <c r="W11" s="17" t="n"/>
      <c r="X11" s="17" t="n"/>
      <c r="Y11" s="17" t="n"/>
      <c r="AA11" s="14" t="inlineStr">
        <is>
          <t>الحد الأقصى للضمان</t>
        </is>
      </c>
      <c r="AB11" s="15">
        <f>N('[8]بيانات العقد'!$C$29)</f>
        <v/>
      </c>
    </row>
    <row r="12" ht="32" customHeight="1">
      <c r="B12" s="28">
        <f>IF($V$9=0,0,N(INDEX($K$22:$K$41,$V$9)))</f>
        <v/>
      </c>
      <c r="C12" s="28" t="n"/>
      <c r="D12" s="28" t="n"/>
      <c r="E12" s="28" t="n"/>
      <c r="F12" s="29">
        <f>IF($V$9=0,0,N(INDEX($L$22:$L$41,$V$9)))</f>
        <v/>
      </c>
      <c r="G12" s="29" t="n"/>
      <c r="H12" s="29" t="n"/>
      <c r="I12" s="29" t="n"/>
      <c r="J12" s="30">
        <f>B12-F12</f>
        <v/>
      </c>
      <c r="K12" s="30" t="n"/>
      <c r="L12" s="30" t="n"/>
      <c r="M12" s="30" t="n"/>
      <c r="N12" s="31">
        <f>IF(OR($V$9=0,$AB$14="",$AB$15=""),0,MIN(1,MAX(0,(INDEX(C22:C41,$V$9)-$AB$14+1)/($AB$15-$AB$14+1))))</f>
        <v/>
      </c>
      <c r="O12" s="31" t="n"/>
      <c r="P12" s="31" t="n"/>
      <c r="Q12" s="31" t="n"/>
      <c r="R12" s="32">
        <f>IF(F12&gt;0,B12/F12,0)</f>
        <v/>
      </c>
      <c r="S12" s="32" t="n"/>
      <c r="T12" s="32" t="n"/>
      <c r="U12" s="32" t="n"/>
      <c r="V12" s="33">
        <f>IF($AB$7=0,"غير مُفعّل",IF($V$9=0,"لم يبدأ الصرف",IF(J12&lt;-0.05,"⚠ متأخر",IF(J12&lt;0,"متأخر قليلاً","✔ مطابق / متقدم"))))</f>
        <v/>
      </c>
      <c r="W12" s="33" t="n"/>
      <c r="X12" s="33" t="n"/>
      <c r="Y12" s="33" t="n"/>
      <c r="AA12" s="14" t="inlineStr">
        <is>
          <t>ضريبة القيمة المضافة</t>
        </is>
      </c>
      <c r="AB12" s="22">
        <f>N('[8]بيانات العقد'!$C$31)</f>
        <v/>
      </c>
    </row>
    <row r="13">
      <c r="AA13" s="14" t="inlineStr">
        <is>
          <t>ضريبة الخصم من المنبع</t>
        </is>
      </c>
      <c r="AB13" s="22">
        <f>N('[8]بيانات العقد'!$C$33)</f>
        <v/>
      </c>
    </row>
    <row r="14" ht="24" customHeight="1">
      <c r="B14" s="17" t="inlineStr">
        <is>
          <t>صافي المستحق التراكمي</t>
        </is>
      </c>
      <c r="C14" s="17" t="n"/>
      <c r="D14" s="17" t="n"/>
      <c r="E14" s="17" t="n"/>
      <c r="F14" s="34" t="inlineStr">
        <is>
          <t>إجمالي المحصل</t>
        </is>
      </c>
      <c r="G14" s="34" t="n"/>
      <c r="H14" s="34" t="n"/>
      <c r="I14" s="34" t="n"/>
      <c r="J14" s="35" t="inlineStr">
        <is>
          <t>مستحقات غير محصلة</t>
        </is>
      </c>
      <c r="K14" s="35" t="n"/>
      <c r="L14" s="35" t="n"/>
      <c r="M14" s="35" t="n"/>
      <c r="N14" s="34" t="inlineStr">
        <is>
          <t>نسبة التحصيل</t>
        </is>
      </c>
      <c r="O14" s="34" t="n"/>
      <c r="P14" s="34" t="n"/>
      <c r="Q14" s="34" t="n"/>
      <c r="R14" s="20" t="inlineStr">
        <is>
          <t>متوسط مدة التحصيل (يوم)</t>
        </is>
      </c>
      <c r="S14" s="20" t="n"/>
      <c r="T14" s="20" t="n"/>
      <c r="U14" s="20" t="n"/>
      <c r="V14" s="21" t="inlineStr">
        <is>
          <t>تاريخ آخر مستخلص</t>
        </is>
      </c>
      <c r="W14" s="21" t="n"/>
      <c r="X14" s="21" t="n"/>
      <c r="Y14" s="21" t="n"/>
      <c r="AA14" s="14" t="inlineStr">
        <is>
          <t>تاريخ البدء</t>
        </is>
      </c>
      <c r="AB14" s="36">
        <f>IF('[8]بيانات العقد'!$C$11="","",'[8]بيانات العقد'!$C$11)</f>
        <v/>
      </c>
    </row>
    <row r="15" ht="32" customHeight="1">
      <c r="B15" s="23">
        <f>IF($V$9=0,0,N(INDEX($T$22:$T$41,$V$9)))</f>
        <v/>
      </c>
      <c r="C15" s="23" t="n"/>
      <c r="D15" s="23" t="n"/>
      <c r="E15" s="23" t="n"/>
      <c r="F15" s="37">
        <f>V42</f>
        <v/>
      </c>
      <c r="G15" s="37" t="n"/>
      <c r="H15" s="37" t="n"/>
      <c r="I15" s="37" t="n"/>
      <c r="J15" s="38">
        <f>W42</f>
        <v/>
      </c>
      <c r="K15" s="38" t="n"/>
      <c r="L15" s="38" t="n"/>
      <c r="M15" s="38" t="n"/>
      <c r="N15" s="39">
        <f>IF(B15&gt;0,F15/B15,0)</f>
        <v/>
      </c>
      <c r="O15" s="39" t="n"/>
      <c r="P15" s="39" t="n"/>
      <c r="Q15" s="39" t="n"/>
      <c r="R15" s="40">
        <f>X42</f>
        <v/>
      </c>
      <c r="S15" s="40" t="n"/>
      <c r="T15" s="40" t="n"/>
      <c r="U15" s="40" t="n"/>
      <c r="V15" s="41">
        <f>IF($V$9=0,"",INDEX(C22:C41,$V$9))</f>
        <v/>
      </c>
      <c r="W15" s="41" t="n"/>
      <c r="X15" s="41" t="n"/>
      <c r="Y15" s="41" t="n"/>
      <c r="AA15" s="14" t="inlineStr">
        <is>
          <t>تاريخ الانتهاء التعاقدي</t>
        </is>
      </c>
      <c r="AB15" s="36">
        <f>IF('[8]بيانات العقد'!$C$13="","",'[8]بيانات العقد'!$C$13)</f>
        <v/>
      </c>
    </row>
    <row r="16">
      <c r="AA16" s="14" t="inlineStr">
        <is>
          <t>المدة (شهر)</t>
        </is>
      </c>
      <c r="AB16" s="42">
        <f>IF('[8]بيانات العقد'!$C$12="","",'[8]بيانات العقد'!$C$12)</f>
        <v/>
      </c>
    </row>
    <row r="17" ht="24" customHeight="1">
      <c r="B17" s="43" t="inlineStr">
        <is>
          <t>ضمان الأعمال المحتجز</t>
        </is>
      </c>
      <c r="C17" s="43" t="n"/>
      <c r="D17" s="43" t="n"/>
      <c r="E17" s="43" t="n"/>
      <c r="F17" s="43" t="inlineStr">
        <is>
          <t>رصيد الدفعة المقدمة غير المسترد</t>
        </is>
      </c>
      <c r="G17" s="43" t="n"/>
      <c r="H17" s="43" t="n"/>
      <c r="I17" s="43" t="n"/>
      <c r="J17" s="43" t="inlineStr">
        <is>
          <t>الاستقطاعات الفنية المحتجزة</t>
        </is>
      </c>
      <c r="K17" s="43" t="n"/>
      <c r="L17" s="43" t="n"/>
      <c r="M17" s="43" t="n"/>
      <c r="N17" s="43" t="inlineStr">
        <is>
          <t>الغرامات والخصومات</t>
        </is>
      </c>
      <c r="O17" s="43" t="n"/>
      <c r="P17" s="43" t="n"/>
      <c r="Q17" s="43" t="n"/>
      <c r="R17" s="19" t="inlineStr">
        <is>
          <t>مستحق آخر مستخلص</t>
        </is>
      </c>
      <c r="S17" s="19" t="n"/>
      <c r="T17" s="19" t="n"/>
      <c r="U17" s="19" t="n"/>
      <c r="V17" s="17" t="inlineStr">
        <is>
          <t>عدد المستخلصات المعتمدة</t>
        </is>
      </c>
      <c r="W17" s="17" t="n"/>
      <c r="X17" s="17" t="n"/>
      <c r="Y17" s="17" t="n"/>
    </row>
    <row r="18" ht="32" customHeight="1">
      <c r="B18" s="44">
        <f>IF($V$9=0,0,N(INDEX($O$22:$O$41,$V$9)))</f>
        <v/>
      </c>
      <c r="C18" s="44" t="n"/>
      <c r="D18" s="44" t="n"/>
      <c r="E18" s="44" t="n"/>
      <c r="F18" s="44">
        <f>MAX(0,$AB$9-IF($V$9=0,0,N(INDEX($N$22:$N$41,$V$9))))</f>
        <v/>
      </c>
      <c r="G18" s="44" t="n"/>
      <c r="H18" s="44" t="n"/>
      <c r="I18" s="44" t="n"/>
      <c r="J18" s="44">
        <f>IF($V$9=0,0,N(INDEX($P$22:$P$41,$V$9)))</f>
        <v/>
      </c>
      <c r="K18" s="44" t="n"/>
      <c r="L18" s="44" t="n"/>
      <c r="M18" s="44" t="n"/>
      <c r="N18" s="44">
        <f>IF($V$9=0,0,N(INDEX($Q$22:$Q$41,$V$9)))</f>
        <v/>
      </c>
      <c r="O18" s="44" t="n"/>
      <c r="P18" s="44" t="n"/>
      <c r="Q18" s="44" t="n"/>
      <c r="R18" s="25">
        <f>IF($V$9=0,0,N(INDEX($U$22:$U$41,$V$9)))</f>
        <v/>
      </c>
      <c r="S18" s="25" t="n"/>
      <c r="T18" s="25" t="n"/>
      <c r="U18" s="25" t="n"/>
      <c r="V18" s="45">
        <f>COUNTIF(E22:E41,"معتمد")</f>
        <v/>
      </c>
      <c r="W18" s="45" t="n"/>
      <c r="X18" s="45" t="n"/>
      <c r="Y18" s="45" t="n"/>
    </row>
    <row r="20">
      <c r="B20" s="46" t="inlineStr">
        <is>
          <t>سجل المستخلصات (مرتبط)</t>
        </is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</row>
    <row r="21" ht="48" customHeight="1">
      <c r="B21" s="47" t="inlineStr">
        <is>
          <t>رقم المستخلص</t>
        </is>
      </c>
      <c r="C21" s="47" t="inlineStr">
        <is>
          <t>الفترة إلى</t>
        </is>
      </c>
      <c r="D21" s="47" t="inlineStr">
        <is>
          <t>تاريخ الاعتماد</t>
        </is>
      </c>
      <c r="E21" s="47" t="inlineStr">
        <is>
          <t>حالة المستخلص</t>
        </is>
      </c>
      <c r="F21" s="47" t="inlineStr">
        <is>
          <t>أعمال الفترة</t>
        </is>
      </c>
      <c r="G21" s="47" t="inlineStr">
        <is>
          <t>الأعمال المنفذة التراكمية</t>
        </is>
      </c>
      <c r="H21" s="47" t="inlineStr">
        <is>
          <t>التغييرية التراكمية</t>
        </is>
      </c>
      <c r="I21" s="47" t="inlineStr">
        <is>
          <t>رصيد المواد بالموقع</t>
        </is>
      </c>
      <c r="J21" s="47" t="inlineStr">
        <is>
          <t>إجمالي القيمة التراكمية</t>
        </is>
      </c>
      <c r="K21" s="47" t="inlineStr">
        <is>
          <t>نسبة الإنجاز الفعلية</t>
        </is>
      </c>
      <c r="L21" s="47" t="inlineStr">
        <is>
          <t>نسبة الإنجاز المخططة</t>
        </is>
      </c>
      <c r="M21" s="47" t="inlineStr">
        <is>
          <t>الانحراف</t>
        </is>
      </c>
      <c r="N21" s="47" t="inlineStr">
        <is>
          <t>استرداد الدفعة المقدمة</t>
        </is>
      </c>
      <c r="O21" s="47" t="inlineStr">
        <is>
          <t>صافي الضمان المحتجز</t>
        </is>
      </c>
      <c r="P21" s="47" t="inlineStr">
        <is>
          <t>الاستقطاعات الفنية</t>
        </is>
      </c>
      <c r="Q21" s="47" t="inlineStr">
        <is>
          <t>الغرامات والخصومات</t>
        </is>
      </c>
      <c r="R21" s="47" t="inlineStr">
        <is>
          <t>ضريبة القيمة المضافة</t>
        </is>
      </c>
      <c r="S21" s="47" t="inlineStr">
        <is>
          <t>ضريبة الخصم من المنبع</t>
        </is>
      </c>
      <c r="T21" s="47" t="inlineStr">
        <is>
          <t>صافي المستحق التراكمي</t>
        </is>
      </c>
      <c r="U21" s="47" t="inlineStr">
        <is>
          <t>المستحق للمستخلص الحالي</t>
        </is>
      </c>
      <c r="V21" s="47" t="inlineStr">
        <is>
          <t>المحصل</t>
        </is>
      </c>
      <c r="W21" s="47" t="inlineStr">
        <is>
          <t>المتبقي</t>
        </is>
      </c>
      <c r="X21" s="47" t="inlineStr">
        <is>
          <t>مدة التحصيل (يوم)</t>
        </is>
      </c>
      <c r="Y21" s="47" t="inlineStr">
        <is>
          <t>حالة التحصيل</t>
        </is>
      </c>
    </row>
    <row r="22">
      <c r="B22" s="48" t="n">
        <v>1</v>
      </c>
      <c r="C22" s="49">
        <f>IF('[8]سجل المستخلصات'!$C$6="","",'[8]سجل المستخلصات'!$C$6)</f>
        <v/>
      </c>
      <c r="D22" s="49">
        <f>IF('[8]سجل المستخلصات'!$E$6="","",'[8]سجل المستخلصات'!$E$6)</f>
        <v/>
      </c>
      <c r="E22" s="50">
        <f>IF('[8]سجل المستخلصات'!$F$6="","",'[8]سجل المستخلصات'!$F$6)</f>
        <v/>
      </c>
      <c r="F22" s="51">
        <f>IF('[8]سجل المستخلصات'!$H$6="","",'[8]سجل المستخلصات'!$H$6)</f>
        <v/>
      </c>
      <c r="G22" s="51">
        <f>IF('[8]سجل المستخلصات'!$G$6="","",'[8]سجل المستخلصات'!$G$6)</f>
        <v/>
      </c>
      <c r="H22" s="51">
        <f>IF('[8]سجل المستخلصات'!$I$6="","",'[8]سجل المستخلصات'!$I$6)</f>
        <v/>
      </c>
      <c r="I22" s="51">
        <f>IF('[8]سجل المستخلصات'!$J$6="","",'[8]سجل المستخلصات'!$J$6)</f>
        <v/>
      </c>
      <c r="J22" s="51">
        <f>IF('[8]سجل المستخلصات'!$K$6="","",'[8]سجل المستخلصات'!$K$6)</f>
        <v/>
      </c>
      <c r="K22" s="52">
        <f>IF('[8]سجل المستخلصات'!$L$6="","",'[8]سجل المستخلصات'!$L$6)</f>
        <v/>
      </c>
      <c r="L22" s="52">
        <f>IF('[8]سجل المستخلصات'!$M$6="","",'[8]سجل المستخلصات'!$M$6)</f>
        <v/>
      </c>
      <c r="M22" s="52">
        <f>IF('[8]سجل المستخلصات'!$N$6="","",'[8]سجل المستخلصات'!$N$6)</f>
        <v/>
      </c>
      <c r="N22" s="51">
        <f>IF('[8]سجل المستخلصات'!$O$6="","",'[8]سجل المستخلصات'!$O$6)</f>
        <v/>
      </c>
      <c r="O22" s="51">
        <f>IF('[8]سجل المستخلصات'!$R$6="","",'[8]سجل المستخلصات'!$R$6)</f>
        <v/>
      </c>
      <c r="P22" s="51">
        <f>IF('[8]سجل المستخلصات'!$S$6="","",'[8]سجل المستخلصات'!$S$6)</f>
        <v/>
      </c>
      <c r="Q22" s="51">
        <f>IF('[8]سجل المستخلصات'!$T$6="","",'[8]سجل المستخلصات'!$T$6)</f>
        <v/>
      </c>
      <c r="R22" s="51">
        <f>IF('[8]سجل المستخلصات'!$V$6="","",'[8]سجل المستخلصات'!$V$6)</f>
        <v/>
      </c>
      <c r="S22" s="51">
        <f>IF('[8]سجل المستخلصات'!$W$6="","",'[8]سجل المستخلصات'!$W$6)</f>
        <v/>
      </c>
      <c r="T22" s="53">
        <f>IF('[8]سجل المستخلصات'!$X$6="","",'[8]سجل المستخلصات'!$X$6)</f>
        <v/>
      </c>
      <c r="U22" s="53">
        <f>IF('[8]سجل المستخلصات'!$Z$6="","",'[8]سجل المستخلصات'!$Z$6)</f>
        <v/>
      </c>
      <c r="V22" s="51">
        <f>IF('[8]سجل المستخلصات'!$AA$6="","",'[8]سجل المستخلصات'!$AA$6)</f>
        <v/>
      </c>
      <c r="W22" s="51">
        <f>IF('[8]سجل المستخلصات'!$AC$6="","",'[8]سجل المستخلصات'!$AC$6)</f>
        <v/>
      </c>
      <c r="X22" s="54">
        <f>IF('[8]سجل المستخلصات'!$AD$6="","",'[8]سجل المستخلصات'!$AD$6)</f>
        <v/>
      </c>
      <c r="Y22" s="50">
        <f>IF('[8]سجل المستخلصات'!$AE$6="","",'[8]سجل المستخلصات'!$AE$6)</f>
        <v/>
      </c>
    </row>
    <row r="23">
      <c r="B23" s="48" t="n">
        <v>2</v>
      </c>
      <c r="C23" s="49">
        <f>IF('[8]سجل المستخلصات'!$C$7="","",'[8]سجل المستخلصات'!$C$7)</f>
        <v/>
      </c>
      <c r="D23" s="49">
        <f>IF('[8]سجل المستخلصات'!$E$7="","",'[8]سجل المستخلصات'!$E$7)</f>
        <v/>
      </c>
      <c r="E23" s="50">
        <f>IF('[8]سجل المستخلصات'!$F$7="","",'[8]سجل المستخلصات'!$F$7)</f>
        <v/>
      </c>
      <c r="F23" s="51">
        <f>IF('[8]سجل المستخلصات'!$H$7="","",'[8]سجل المستخلصات'!$H$7)</f>
        <v/>
      </c>
      <c r="G23" s="51">
        <f>IF('[8]سجل المستخلصات'!$G$7="","",'[8]سجل المستخلصات'!$G$7)</f>
        <v/>
      </c>
      <c r="H23" s="51">
        <f>IF('[8]سجل المستخلصات'!$I$7="","",'[8]سجل المستخلصات'!$I$7)</f>
        <v/>
      </c>
      <c r="I23" s="51">
        <f>IF('[8]سجل المستخلصات'!$J$7="","",'[8]سجل المستخلصات'!$J$7)</f>
        <v/>
      </c>
      <c r="J23" s="51">
        <f>IF('[8]سجل المستخلصات'!$K$7="","",'[8]سجل المستخلصات'!$K$7)</f>
        <v/>
      </c>
      <c r="K23" s="52">
        <f>IF('[8]سجل المستخلصات'!$L$7="","",'[8]سجل المستخلصات'!$L$7)</f>
        <v/>
      </c>
      <c r="L23" s="52">
        <f>IF('[8]سجل المستخلصات'!$M$7="","",'[8]سجل المستخلصات'!$M$7)</f>
        <v/>
      </c>
      <c r="M23" s="52">
        <f>IF('[8]سجل المستخلصات'!$N$7="","",'[8]سجل المستخلصات'!$N$7)</f>
        <v/>
      </c>
      <c r="N23" s="51">
        <f>IF('[8]سجل المستخلصات'!$O$7="","",'[8]سجل المستخلصات'!$O$7)</f>
        <v/>
      </c>
      <c r="O23" s="51">
        <f>IF('[8]سجل المستخلصات'!$R$7="","",'[8]سجل المستخلصات'!$R$7)</f>
        <v/>
      </c>
      <c r="P23" s="51">
        <f>IF('[8]سجل المستخلصات'!$S$7="","",'[8]سجل المستخلصات'!$S$7)</f>
        <v/>
      </c>
      <c r="Q23" s="51">
        <f>IF('[8]سجل المستخلصات'!$T$7="","",'[8]سجل المستخلصات'!$T$7)</f>
        <v/>
      </c>
      <c r="R23" s="51">
        <f>IF('[8]سجل المستخلصات'!$V$7="","",'[8]سجل المستخلصات'!$V$7)</f>
        <v/>
      </c>
      <c r="S23" s="51">
        <f>IF('[8]سجل المستخلصات'!$W$7="","",'[8]سجل المستخلصات'!$W$7)</f>
        <v/>
      </c>
      <c r="T23" s="53">
        <f>IF('[8]سجل المستخلصات'!$X$7="","",'[8]سجل المستخلصات'!$X$7)</f>
        <v/>
      </c>
      <c r="U23" s="53">
        <f>IF('[8]سجل المستخلصات'!$Z$7="","",'[8]سجل المستخلصات'!$Z$7)</f>
        <v/>
      </c>
      <c r="V23" s="51">
        <f>IF('[8]سجل المستخلصات'!$AA$7="","",'[8]سجل المستخلصات'!$AA$7)</f>
        <v/>
      </c>
      <c r="W23" s="51">
        <f>IF('[8]سجل المستخلصات'!$AC$7="","",'[8]سجل المستخلصات'!$AC$7)</f>
        <v/>
      </c>
      <c r="X23" s="54">
        <f>IF('[8]سجل المستخلصات'!$AD$7="","",'[8]سجل المستخلصات'!$AD$7)</f>
        <v/>
      </c>
      <c r="Y23" s="50">
        <f>IF('[8]سجل المستخلصات'!$AE$7="","",'[8]سجل المستخلصات'!$AE$7)</f>
        <v/>
      </c>
    </row>
    <row r="24">
      <c r="B24" s="48" t="n">
        <v>3</v>
      </c>
      <c r="C24" s="49">
        <f>IF('[8]سجل المستخلصات'!$C$8="","",'[8]سجل المستخلصات'!$C$8)</f>
        <v/>
      </c>
      <c r="D24" s="49">
        <f>IF('[8]سجل المستخلصات'!$E$8="","",'[8]سجل المستخلصات'!$E$8)</f>
        <v/>
      </c>
      <c r="E24" s="50">
        <f>IF('[8]سجل المستخلصات'!$F$8="","",'[8]سجل المستخلصات'!$F$8)</f>
        <v/>
      </c>
      <c r="F24" s="51">
        <f>IF('[8]سجل المستخلصات'!$H$8="","",'[8]سجل المستخلصات'!$H$8)</f>
        <v/>
      </c>
      <c r="G24" s="51">
        <f>IF('[8]سجل المستخلصات'!$G$8="","",'[8]سجل المستخلصات'!$G$8)</f>
        <v/>
      </c>
      <c r="H24" s="51">
        <f>IF('[8]سجل المستخلصات'!$I$8="","",'[8]سجل المستخلصات'!$I$8)</f>
        <v/>
      </c>
      <c r="I24" s="51">
        <f>IF('[8]سجل المستخلصات'!$J$8="","",'[8]سجل المستخلصات'!$J$8)</f>
        <v/>
      </c>
      <c r="J24" s="51">
        <f>IF('[8]سجل المستخلصات'!$K$8="","",'[8]سجل المستخلصات'!$K$8)</f>
        <v/>
      </c>
      <c r="K24" s="52">
        <f>IF('[8]سجل المستخلصات'!$L$8="","",'[8]سجل المستخلصات'!$L$8)</f>
        <v/>
      </c>
      <c r="L24" s="52">
        <f>IF('[8]سجل المستخلصات'!$M$8="","",'[8]سجل المستخلصات'!$M$8)</f>
        <v/>
      </c>
      <c r="M24" s="52">
        <f>IF('[8]سجل المستخلصات'!$N$8="","",'[8]سجل المستخلصات'!$N$8)</f>
        <v/>
      </c>
      <c r="N24" s="51">
        <f>IF('[8]سجل المستخلصات'!$O$8="","",'[8]سجل المستخلصات'!$O$8)</f>
        <v/>
      </c>
      <c r="O24" s="51">
        <f>IF('[8]سجل المستخلصات'!$R$8="","",'[8]سجل المستخلصات'!$R$8)</f>
        <v/>
      </c>
      <c r="P24" s="51">
        <f>IF('[8]سجل المستخلصات'!$S$8="","",'[8]سجل المستخلصات'!$S$8)</f>
        <v/>
      </c>
      <c r="Q24" s="51">
        <f>IF('[8]سجل المستخلصات'!$T$8="","",'[8]سجل المستخلصات'!$T$8)</f>
        <v/>
      </c>
      <c r="R24" s="51">
        <f>IF('[8]سجل المستخلصات'!$V$8="","",'[8]سجل المستخلصات'!$V$8)</f>
        <v/>
      </c>
      <c r="S24" s="51">
        <f>IF('[8]سجل المستخلصات'!$W$8="","",'[8]سجل المستخلصات'!$W$8)</f>
        <v/>
      </c>
      <c r="T24" s="53">
        <f>IF('[8]سجل المستخلصات'!$X$8="","",'[8]سجل المستخلصات'!$X$8)</f>
        <v/>
      </c>
      <c r="U24" s="53">
        <f>IF('[8]سجل المستخلصات'!$Z$8="","",'[8]سجل المستخلصات'!$Z$8)</f>
        <v/>
      </c>
      <c r="V24" s="51">
        <f>IF('[8]سجل المستخلصات'!$AA$8="","",'[8]سجل المستخلصات'!$AA$8)</f>
        <v/>
      </c>
      <c r="W24" s="51">
        <f>IF('[8]سجل المستخلصات'!$AC$8="","",'[8]سجل المستخلصات'!$AC$8)</f>
        <v/>
      </c>
      <c r="X24" s="54">
        <f>IF('[8]سجل المستخلصات'!$AD$8="","",'[8]سجل المستخلصات'!$AD$8)</f>
        <v/>
      </c>
      <c r="Y24" s="50">
        <f>IF('[8]سجل المستخلصات'!$AE$8="","",'[8]سجل المستخلصات'!$AE$8)</f>
        <v/>
      </c>
    </row>
    <row r="25">
      <c r="B25" s="48" t="n">
        <v>4</v>
      </c>
      <c r="C25" s="49">
        <f>IF('[8]سجل المستخلصات'!$C$9="","",'[8]سجل المستخلصات'!$C$9)</f>
        <v/>
      </c>
      <c r="D25" s="49">
        <f>IF('[8]سجل المستخلصات'!$E$9="","",'[8]سجل المستخلصات'!$E$9)</f>
        <v/>
      </c>
      <c r="E25" s="50">
        <f>IF('[8]سجل المستخلصات'!$F$9="","",'[8]سجل المستخلصات'!$F$9)</f>
        <v/>
      </c>
      <c r="F25" s="51">
        <f>IF('[8]سجل المستخلصات'!$H$9="","",'[8]سجل المستخلصات'!$H$9)</f>
        <v/>
      </c>
      <c r="G25" s="51">
        <f>IF('[8]سجل المستخلصات'!$G$9="","",'[8]سجل المستخلصات'!$G$9)</f>
        <v/>
      </c>
      <c r="H25" s="51">
        <f>IF('[8]سجل المستخلصات'!$I$9="","",'[8]سجل المستخلصات'!$I$9)</f>
        <v/>
      </c>
      <c r="I25" s="51">
        <f>IF('[8]سجل المستخلصات'!$J$9="","",'[8]سجل المستخلصات'!$J$9)</f>
        <v/>
      </c>
      <c r="J25" s="51">
        <f>IF('[8]سجل المستخلصات'!$K$9="","",'[8]سجل المستخلصات'!$K$9)</f>
        <v/>
      </c>
      <c r="K25" s="52">
        <f>IF('[8]سجل المستخلصات'!$L$9="","",'[8]سجل المستخلصات'!$L$9)</f>
        <v/>
      </c>
      <c r="L25" s="52">
        <f>IF('[8]سجل المستخلصات'!$M$9="","",'[8]سجل المستخلصات'!$M$9)</f>
        <v/>
      </c>
      <c r="M25" s="52">
        <f>IF('[8]سجل المستخلصات'!$N$9="","",'[8]سجل المستخلصات'!$N$9)</f>
        <v/>
      </c>
      <c r="N25" s="51">
        <f>IF('[8]سجل المستخلصات'!$O$9="","",'[8]سجل المستخلصات'!$O$9)</f>
        <v/>
      </c>
      <c r="O25" s="51">
        <f>IF('[8]سجل المستخلصات'!$R$9="","",'[8]سجل المستخلصات'!$R$9)</f>
        <v/>
      </c>
      <c r="P25" s="51">
        <f>IF('[8]سجل المستخلصات'!$S$9="","",'[8]سجل المستخلصات'!$S$9)</f>
        <v/>
      </c>
      <c r="Q25" s="51">
        <f>IF('[8]سجل المستخلصات'!$T$9="","",'[8]سجل المستخلصات'!$T$9)</f>
        <v/>
      </c>
      <c r="R25" s="51">
        <f>IF('[8]سجل المستخلصات'!$V$9="","",'[8]سجل المستخلصات'!$V$9)</f>
        <v/>
      </c>
      <c r="S25" s="51">
        <f>IF('[8]سجل المستخلصات'!$W$9="","",'[8]سجل المستخلصات'!$W$9)</f>
        <v/>
      </c>
      <c r="T25" s="53">
        <f>IF('[8]سجل المستخلصات'!$X$9="","",'[8]سجل المستخلصات'!$X$9)</f>
        <v/>
      </c>
      <c r="U25" s="53">
        <f>IF('[8]سجل المستخلصات'!$Z$9="","",'[8]سجل المستخلصات'!$Z$9)</f>
        <v/>
      </c>
      <c r="V25" s="51">
        <f>IF('[8]سجل المستخلصات'!$AA$9="","",'[8]سجل المستخلصات'!$AA$9)</f>
        <v/>
      </c>
      <c r="W25" s="51">
        <f>IF('[8]سجل المستخلصات'!$AC$9="","",'[8]سجل المستخلصات'!$AC$9)</f>
        <v/>
      </c>
      <c r="X25" s="54">
        <f>IF('[8]سجل المستخلصات'!$AD$9="","",'[8]سجل المستخلصات'!$AD$9)</f>
        <v/>
      </c>
      <c r="Y25" s="50">
        <f>IF('[8]سجل المستخلصات'!$AE$9="","",'[8]سجل المستخلصات'!$AE$9)</f>
        <v/>
      </c>
    </row>
    <row r="26">
      <c r="B26" s="48" t="n">
        <v>5</v>
      </c>
      <c r="C26" s="49">
        <f>IF('[8]سجل المستخلصات'!$C$10="","",'[8]سجل المستخلصات'!$C$10)</f>
        <v/>
      </c>
      <c r="D26" s="49">
        <f>IF('[8]سجل المستخلصات'!$E$10="","",'[8]سجل المستخلصات'!$E$10)</f>
        <v/>
      </c>
      <c r="E26" s="50">
        <f>IF('[8]سجل المستخلصات'!$F$10="","",'[8]سجل المستخلصات'!$F$10)</f>
        <v/>
      </c>
      <c r="F26" s="51">
        <f>IF('[8]سجل المستخلصات'!$H$10="","",'[8]سجل المستخلصات'!$H$10)</f>
        <v/>
      </c>
      <c r="G26" s="51">
        <f>IF('[8]سجل المستخلصات'!$G$10="","",'[8]سجل المستخلصات'!$G$10)</f>
        <v/>
      </c>
      <c r="H26" s="51">
        <f>IF('[8]سجل المستخلصات'!$I$10="","",'[8]سجل المستخلصات'!$I$10)</f>
        <v/>
      </c>
      <c r="I26" s="51">
        <f>IF('[8]سجل المستخلصات'!$J$10="","",'[8]سجل المستخلصات'!$J$10)</f>
        <v/>
      </c>
      <c r="J26" s="51">
        <f>IF('[8]سجل المستخلصات'!$K$10="","",'[8]سجل المستخلصات'!$K$10)</f>
        <v/>
      </c>
      <c r="K26" s="52">
        <f>IF('[8]سجل المستخلصات'!$L$10="","",'[8]سجل المستخلصات'!$L$10)</f>
        <v/>
      </c>
      <c r="L26" s="52">
        <f>IF('[8]سجل المستخلصات'!$M$10="","",'[8]سجل المستخلصات'!$M$10)</f>
        <v/>
      </c>
      <c r="M26" s="52">
        <f>IF('[8]سجل المستخلصات'!$N$10="","",'[8]سجل المستخلصات'!$N$10)</f>
        <v/>
      </c>
      <c r="N26" s="51">
        <f>IF('[8]سجل المستخلصات'!$O$10="","",'[8]سجل المستخلصات'!$O$10)</f>
        <v/>
      </c>
      <c r="O26" s="51">
        <f>IF('[8]سجل المستخلصات'!$R$10="","",'[8]سجل المستخلصات'!$R$10)</f>
        <v/>
      </c>
      <c r="P26" s="51">
        <f>IF('[8]سجل المستخلصات'!$S$10="","",'[8]سجل المستخلصات'!$S$10)</f>
        <v/>
      </c>
      <c r="Q26" s="51">
        <f>IF('[8]سجل المستخلصات'!$T$10="","",'[8]سجل المستخلصات'!$T$10)</f>
        <v/>
      </c>
      <c r="R26" s="51">
        <f>IF('[8]سجل المستخلصات'!$V$10="","",'[8]سجل المستخلصات'!$V$10)</f>
        <v/>
      </c>
      <c r="S26" s="51">
        <f>IF('[8]سجل المستخلصات'!$W$10="","",'[8]سجل المستخلصات'!$W$10)</f>
        <v/>
      </c>
      <c r="T26" s="53">
        <f>IF('[8]سجل المستخلصات'!$X$10="","",'[8]سجل المستخلصات'!$X$10)</f>
        <v/>
      </c>
      <c r="U26" s="53">
        <f>IF('[8]سجل المستخلصات'!$Z$10="","",'[8]سجل المستخلصات'!$Z$10)</f>
        <v/>
      </c>
      <c r="V26" s="51">
        <f>IF('[8]سجل المستخلصات'!$AA$10="","",'[8]سجل المستخلصات'!$AA$10)</f>
        <v/>
      </c>
      <c r="W26" s="51">
        <f>IF('[8]سجل المستخلصات'!$AC$10="","",'[8]سجل المستخلصات'!$AC$10)</f>
        <v/>
      </c>
      <c r="X26" s="54">
        <f>IF('[8]سجل المستخلصات'!$AD$10="","",'[8]سجل المستخلصات'!$AD$10)</f>
        <v/>
      </c>
      <c r="Y26" s="50">
        <f>IF('[8]سجل المستخلصات'!$AE$10="","",'[8]سجل المستخلصات'!$AE$10)</f>
        <v/>
      </c>
    </row>
    <row r="27">
      <c r="B27" s="48" t="n">
        <v>6</v>
      </c>
      <c r="C27" s="49">
        <f>IF('[8]سجل المستخلصات'!$C$11="","",'[8]سجل المستخلصات'!$C$11)</f>
        <v/>
      </c>
      <c r="D27" s="49">
        <f>IF('[8]سجل المستخلصات'!$E$11="","",'[8]سجل المستخلصات'!$E$11)</f>
        <v/>
      </c>
      <c r="E27" s="50">
        <f>IF('[8]سجل المستخلصات'!$F$11="","",'[8]سجل المستخلصات'!$F$11)</f>
        <v/>
      </c>
      <c r="F27" s="51">
        <f>IF('[8]سجل المستخلصات'!$H$11="","",'[8]سجل المستخلصات'!$H$11)</f>
        <v/>
      </c>
      <c r="G27" s="51">
        <f>IF('[8]سجل المستخلصات'!$G$11="","",'[8]سجل المستخلصات'!$G$11)</f>
        <v/>
      </c>
      <c r="H27" s="51">
        <f>IF('[8]سجل المستخلصات'!$I$11="","",'[8]سجل المستخلصات'!$I$11)</f>
        <v/>
      </c>
      <c r="I27" s="51">
        <f>IF('[8]سجل المستخلصات'!$J$11="","",'[8]سجل المستخلصات'!$J$11)</f>
        <v/>
      </c>
      <c r="J27" s="51">
        <f>IF('[8]سجل المستخلصات'!$K$11="","",'[8]سجل المستخلصات'!$K$11)</f>
        <v/>
      </c>
      <c r="K27" s="52">
        <f>IF('[8]سجل المستخلصات'!$L$11="","",'[8]سجل المستخلصات'!$L$11)</f>
        <v/>
      </c>
      <c r="L27" s="52">
        <f>IF('[8]سجل المستخلصات'!$M$11="","",'[8]سجل المستخلصات'!$M$11)</f>
        <v/>
      </c>
      <c r="M27" s="52">
        <f>IF('[8]سجل المستخلصات'!$N$11="","",'[8]سجل المستخلصات'!$N$11)</f>
        <v/>
      </c>
      <c r="N27" s="51">
        <f>IF('[8]سجل المستخلصات'!$O$11="","",'[8]سجل المستخلصات'!$O$11)</f>
        <v/>
      </c>
      <c r="O27" s="51">
        <f>IF('[8]سجل المستخلصات'!$R$11="","",'[8]سجل المستخلصات'!$R$11)</f>
        <v/>
      </c>
      <c r="P27" s="51">
        <f>IF('[8]سجل المستخلصات'!$S$11="","",'[8]سجل المستخلصات'!$S$11)</f>
        <v/>
      </c>
      <c r="Q27" s="51">
        <f>IF('[8]سجل المستخلصات'!$T$11="","",'[8]سجل المستخلصات'!$T$11)</f>
        <v/>
      </c>
      <c r="R27" s="51">
        <f>IF('[8]سجل المستخلصات'!$V$11="","",'[8]سجل المستخلصات'!$V$11)</f>
        <v/>
      </c>
      <c r="S27" s="51">
        <f>IF('[8]سجل المستخلصات'!$W$11="","",'[8]سجل المستخلصات'!$W$11)</f>
        <v/>
      </c>
      <c r="T27" s="53">
        <f>IF('[8]سجل المستخلصات'!$X$11="","",'[8]سجل المستخلصات'!$X$11)</f>
        <v/>
      </c>
      <c r="U27" s="53">
        <f>IF('[8]سجل المستخلصات'!$Z$11="","",'[8]سجل المستخلصات'!$Z$11)</f>
        <v/>
      </c>
      <c r="V27" s="51">
        <f>IF('[8]سجل المستخلصات'!$AA$11="","",'[8]سجل المستخلصات'!$AA$11)</f>
        <v/>
      </c>
      <c r="W27" s="51">
        <f>IF('[8]سجل المستخلصات'!$AC$11="","",'[8]سجل المستخلصات'!$AC$11)</f>
        <v/>
      </c>
      <c r="X27" s="54">
        <f>IF('[8]سجل المستخلصات'!$AD$11="","",'[8]سجل المستخلصات'!$AD$11)</f>
        <v/>
      </c>
      <c r="Y27" s="50">
        <f>IF('[8]سجل المستخلصات'!$AE$11="","",'[8]سجل المستخلصات'!$AE$11)</f>
        <v/>
      </c>
    </row>
    <row r="28">
      <c r="B28" s="48" t="n">
        <v>7</v>
      </c>
      <c r="C28" s="49">
        <f>IF('[8]سجل المستخلصات'!$C$12="","",'[8]سجل المستخلصات'!$C$12)</f>
        <v/>
      </c>
      <c r="D28" s="49">
        <f>IF('[8]سجل المستخلصات'!$E$12="","",'[8]سجل المستخلصات'!$E$12)</f>
        <v/>
      </c>
      <c r="E28" s="50">
        <f>IF('[8]سجل المستخلصات'!$F$12="","",'[8]سجل المستخلصات'!$F$12)</f>
        <v/>
      </c>
      <c r="F28" s="51">
        <f>IF('[8]سجل المستخلصات'!$H$12="","",'[8]سجل المستخلصات'!$H$12)</f>
        <v/>
      </c>
      <c r="G28" s="51">
        <f>IF('[8]سجل المستخلصات'!$G$12="","",'[8]سجل المستخلصات'!$G$12)</f>
        <v/>
      </c>
      <c r="H28" s="51">
        <f>IF('[8]سجل المستخلصات'!$I$12="","",'[8]سجل المستخلصات'!$I$12)</f>
        <v/>
      </c>
      <c r="I28" s="51">
        <f>IF('[8]سجل المستخلصات'!$J$12="","",'[8]سجل المستخلصات'!$J$12)</f>
        <v/>
      </c>
      <c r="J28" s="51">
        <f>IF('[8]سجل المستخلصات'!$K$12="","",'[8]سجل المستخلصات'!$K$12)</f>
        <v/>
      </c>
      <c r="K28" s="52">
        <f>IF('[8]سجل المستخلصات'!$L$12="","",'[8]سجل المستخلصات'!$L$12)</f>
        <v/>
      </c>
      <c r="L28" s="52">
        <f>IF('[8]سجل المستخلصات'!$M$12="","",'[8]سجل المستخلصات'!$M$12)</f>
        <v/>
      </c>
      <c r="M28" s="52">
        <f>IF('[8]سجل المستخلصات'!$N$12="","",'[8]سجل المستخلصات'!$N$12)</f>
        <v/>
      </c>
      <c r="N28" s="51">
        <f>IF('[8]سجل المستخلصات'!$O$12="","",'[8]سجل المستخلصات'!$O$12)</f>
        <v/>
      </c>
      <c r="O28" s="51">
        <f>IF('[8]سجل المستخلصات'!$R$12="","",'[8]سجل المستخلصات'!$R$12)</f>
        <v/>
      </c>
      <c r="P28" s="51">
        <f>IF('[8]سجل المستخلصات'!$S$12="","",'[8]سجل المستخلصات'!$S$12)</f>
        <v/>
      </c>
      <c r="Q28" s="51">
        <f>IF('[8]سجل المستخلصات'!$T$12="","",'[8]سجل المستخلصات'!$T$12)</f>
        <v/>
      </c>
      <c r="R28" s="51">
        <f>IF('[8]سجل المستخلصات'!$V$12="","",'[8]سجل المستخلصات'!$V$12)</f>
        <v/>
      </c>
      <c r="S28" s="51">
        <f>IF('[8]سجل المستخلصات'!$W$12="","",'[8]سجل المستخلصات'!$W$12)</f>
        <v/>
      </c>
      <c r="T28" s="53">
        <f>IF('[8]سجل المستخلصات'!$X$12="","",'[8]سجل المستخلصات'!$X$12)</f>
        <v/>
      </c>
      <c r="U28" s="53">
        <f>IF('[8]سجل المستخلصات'!$Z$12="","",'[8]سجل المستخلصات'!$Z$12)</f>
        <v/>
      </c>
      <c r="V28" s="51">
        <f>IF('[8]سجل المستخلصات'!$AA$12="","",'[8]سجل المستخلصات'!$AA$12)</f>
        <v/>
      </c>
      <c r="W28" s="51">
        <f>IF('[8]سجل المستخلصات'!$AC$12="","",'[8]سجل المستخلصات'!$AC$12)</f>
        <v/>
      </c>
      <c r="X28" s="54">
        <f>IF('[8]سجل المستخلصات'!$AD$12="","",'[8]سجل المستخلصات'!$AD$12)</f>
        <v/>
      </c>
      <c r="Y28" s="50">
        <f>IF('[8]سجل المستخلصات'!$AE$12="","",'[8]سجل المستخلصات'!$AE$12)</f>
        <v/>
      </c>
    </row>
    <row r="29">
      <c r="B29" s="48" t="n">
        <v>8</v>
      </c>
      <c r="C29" s="49">
        <f>IF('[8]سجل المستخلصات'!$C$13="","",'[8]سجل المستخلصات'!$C$13)</f>
        <v/>
      </c>
      <c r="D29" s="49">
        <f>IF('[8]سجل المستخلصات'!$E$13="","",'[8]سجل المستخلصات'!$E$13)</f>
        <v/>
      </c>
      <c r="E29" s="50">
        <f>IF('[8]سجل المستخلصات'!$F$13="","",'[8]سجل المستخلصات'!$F$13)</f>
        <v/>
      </c>
      <c r="F29" s="51">
        <f>IF('[8]سجل المستخلصات'!$H$13="","",'[8]سجل المستخلصات'!$H$13)</f>
        <v/>
      </c>
      <c r="G29" s="51">
        <f>IF('[8]سجل المستخلصات'!$G$13="","",'[8]سجل المستخلصات'!$G$13)</f>
        <v/>
      </c>
      <c r="H29" s="51">
        <f>IF('[8]سجل المستخلصات'!$I$13="","",'[8]سجل المستخلصات'!$I$13)</f>
        <v/>
      </c>
      <c r="I29" s="51">
        <f>IF('[8]سجل المستخلصات'!$J$13="","",'[8]سجل المستخلصات'!$J$13)</f>
        <v/>
      </c>
      <c r="J29" s="51">
        <f>IF('[8]سجل المستخلصات'!$K$13="","",'[8]سجل المستخلصات'!$K$13)</f>
        <v/>
      </c>
      <c r="K29" s="52">
        <f>IF('[8]سجل المستخلصات'!$L$13="","",'[8]سجل المستخلصات'!$L$13)</f>
        <v/>
      </c>
      <c r="L29" s="52">
        <f>IF('[8]سجل المستخلصات'!$M$13="","",'[8]سجل المستخلصات'!$M$13)</f>
        <v/>
      </c>
      <c r="M29" s="52">
        <f>IF('[8]سجل المستخلصات'!$N$13="","",'[8]سجل المستخلصات'!$N$13)</f>
        <v/>
      </c>
      <c r="N29" s="51">
        <f>IF('[8]سجل المستخلصات'!$O$13="","",'[8]سجل المستخلصات'!$O$13)</f>
        <v/>
      </c>
      <c r="O29" s="51">
        <f>IF('[8]سجل المستخلصات'!$R$13="","",'[8]سجل المستخلصات'!$R$13)</f>
        <v/>
      </c>
      <c r="P29" s="51">
        <f>IF('[8]سجل المستخلصات'!$S$13="","",'[8]سجل المستخلصات'!$S$13)</f>
        <v/>
      </c>
      <c r="Q29" s="51">
        <f>IF('[8]سجل المستخلصات'!$T$13="","",'[8]سجل المستخلصات'!$T$13)</f>
        <v/>
      </c>
      <c r="R29" s="51">
        <f>IF('[8]سجل المستخلصات'!$V$13="","",'[8]سجل المستخلصات'!$V$13)</f>
        <v/>
      </c>
      <c r="S29" s="51">
        <f>IF('[8]سجل المستخلصات'!$W$13="","",'[8]سجل المستخلصات'!$W$13)</f>
        <v/>
      </c>
      <c r="T29" s="53">
        <f>IF('[8]سجل المستخلصات'!$X$13="","",'[8]سجل المستخلصات'!$X$13)</f>
        <v/>
      </c>
      <c r="U29" s="53">
        <f>IF('[8]سجل المستخلصات'!$Z$13="","",'[8]سجل المستخلصات'!$Z$13)</f>
        <v/>
      </c>
      <c r="V29" s="51">
        <f>IF('[8]سجل المستخلصات'!$AA$13="","",'[8]سجل المستخلصات'!$AA$13)</f>
        <v/>
      </c>
      <c r="W29" s="51">
        <f>IF('[8]سجل المستخلصات'!$AC$13="","",'[8]سجل المستخلصات'!$AC$13)</f>
        <v/>
      </c>
      <c r="X29" s="54">
        <f>IF('[8]سجل المستخلصات'!$AD$13="","",'[8]سجل المستخلصات'!$AD$13)</f>
        <v/>
      </c>
      <c r="Y29" s="50">
        <f>IF('[8]سجل المستخلصات'!$AE$13="","",'[8]سجل المستخلصات'!$AE$13)</f>
        <v/>
      </c>
    </row>
    <row r="30">
      <c r="B30" s="48" t="n">
        <v>9</v>
      </c>
      <c r="C30" s="49">
        <f>IF('[8]سجل المستخلصات'!$C$14="","",'[8]سجل المستخلصات'!$C$14)</f>
        <v/>
      </c>
      <c r="D30" s="49">
        <f>IF('[8]سجل المستخلصات'!$E$14="","",'[8]سجل المستخلصات'!$E$14)</f>
        <v/>
      </c>
      <c r="E30" s="50">
        <f>IF('[8]سجل المستخلصات'!$F$14="","",'[8]سجل المستخلصات'!$F$14)</f>
        <v/>
      </c>
      <c r="F30" s="51">
        <f>IF('[8]سجل المستخلصات'!$H$14="","",'[8]سجل المستخلصات'!$H$14)</f>
        <v/>
      </c>
      <c r="G30" s="51">
        <f>IF('[8]سجل المستخلصات'!$G$14="","",'[8]سجل المستخلصات'!$G$14)</f>
        <v/>
      </c>
      <c r="H30" s="51">
        <f>IF('[8]سجل المستخلصات'!$I$14="","",'[8]سجل المستخلصات'!$I$14)</f>
        <v/>
      </c>
      <c r="I30" s="51">
        <f>IF('[8]سجل المستخلصات'!$J$14="","",'[8]سجل المستخلصات'!$J$14)</f>
        <v/>
      </c>
      <c r="J30" s="51">
        <f>IF('[8]سجل المستخلصات'!$K$14="","",'[8]سجل المستخلصات'!$K$14)</f>
        <v/>
      </c>
      <c r="K30" s="52">
        <f>IF('[8]سجل المستخلصات'!$L$14="","",'[8]سجل المستخلصات'!$L$14)</f>
        <v/>
      </c>
      <c r="L30" s="52">
        <f>IF('[8]سجل المستخلصات'!$M$14="","",'[8]سجل المستخلصات'!$M$14)</f>
        <v/>
      </c>
      <c r="M30" s="52">
        <f>IF('[8]سجل المستخلصات'!$N$14="","",'[8]سجل المستخلصات'!$N$14)</f>
        <v/>
      </c>
      <c r="N30" s="51">
        <f>IF('[8]سجل المستخلصات'!$O$14="","",'[8]سجل المستخلصات'!$O$14)</f>
        <v/>
      </c>
      <c r="O30" s="51">
        <f>IF('[8]سجل المستخلصات'!$R$14="","",'[8]سجل المستخلصات'!$R$14)</f>
        <v/>
      </c>
      <c r="P30" s="51">
        <f>IF('[8]سجل المستخلصات'!$S$14="","",'[8]سجل المستخلصات'!$S$14)</f>
        <v/>
      </c>
      <c r="Q30" s="51">
        <f>IF('[8]سجل المستخلصات'!$T$14="","",'[8]سجل المستخلصات'!$T$14)</f>
        <v/>
      </c>
      <c r="R30" s="51">
        <f>IF('[8]سجل المستخلصات'!$V$14="","",'[8]سجل المستخلصات'!$V$14)</f>
        <v/>
      </c>
      <c r="S30" s="51">
        <f>IF('[8]سجل المستخلصات'!$W$14="","",'[8]سجل المستخلصات'!$W$14)</f>
        <v/>
      </c>
      <c r="T30" s="53">
        <f>IF('[8]سجل المستخلصات'!$X$14="","",'[8]سجل المستخلصات'!$X$14)</f>
        <v/>
      </c>
      <c r="U30" s="53">
        <f>IF('[8]سجل المستخلصات'!$Z$14="","",'[8]سجل المستخلصات'!$Z$14)</f>
        <v/>
      </c>
      <c r="V30" s="51">
        <f>IF('[8]سجل المستخلصات'!$AA$14="","",'[8]سجل المستخلصات'!$AA$14)</f>
        <v/>
      </c>
      <c r="W30" s="51">
        <f>IF('[8]سجل المستخلصات'!$AC$14="","",'[8]سجل المستخلصات'!$AC$14)</f>
        <v/>
      </c>
      <c r="X30" s="54">
        <f>IF('[8]سجل المستخلصات'!$AD$14="","",'[8]سجل المستخلصات'!$AD$14)</f>
        <v/>
      </c>
      <c r="Y30" s="50">
        <f>IF('[8]سجل المستخلصات'!$AE$14="","",'[8]سجل المستخلصات'!$AE$14)</f>
        <v/>
      </c>
    </row>
    <row r="31">
      <c r="B31" s="48" t="n">
        <v>10</v>
      </c>
      <c r="C31" s="49">
        <f>IF('[8]سجل المستخلصات'!$C$15="","",'[8]سجل المستخلصات'!$C$15)</f>
        <v/>
      </c>
      <c r="D31" s="49">
        <f>IF('[8]سجل المستخلصات'!$E$15="","",'[8]سجل المستخلصات'!$E$15)</f>
        <v/>
      </c>
      <c r="E31" s="50">
        <f>IF('[8]سجل المستخلصات'!$F$15="","",'[8]سجل المستخلصات'!$F$15)</f>
        <v/>
      </c>
      <c r="F31" s="51">
        <f>IF('[8]سجل المستخلصات'!$H$15="","",'[8]سجل المستخلصات'!$H$15)</f>
        <v/>
      </c>
      <c r="G31" s="51">
        <f>IF('[8]سجل المستخلصات'!$G$15="","",'[8]سجل المستخلصات'!$G$15)</f>
        <v/>
      </c>
      <c r="H31" s="51">
        <f>IF('[8]سجل المستخلصات'!$I$15="","",'[8]سجل المستخلصات'!$I$15)</f>
        <v/>
      </c>
      <c r="I31" s="51">
        <f>IF('[8]سجل المستخلصات'!$J$15="","",'[8]سجل المستخلصات'!$J$15)</f>
        <v/>
      </c>
      <c r="J31" s="51">
        <f>IF('[8]سجل المستخلصات'!$K$15="","",'[8]سجل المستخلصات'!$K$15)</f>
        <v/>
      </c>
      <c r="K31" s="52">
        <f>IF('[8]سجل المستخلصات'!$L$15="","",'[8]سجل المستخلصات'!$L$15)</f>
        <v/>
      </c>
      <c r="L31" s="52">
        <f>IF('[8]سجل المستخلصات'!$M$15="","",'[8]سجل المستخلصات'!$M$15)</f>
        <v/>
      </c>
      <c r="M31" s="52">
        <f>IF('[8]سجل المستخلصات'!$N$15="","",'[8]سجل المستخلصات'!$N$15)</f>
        <v/>
      </c>
      <c r="N31" s="51">
        <f>IF('[8]سجل المستخلصات'!$O$15="","",'[8]سجل المستخلصات'!$O$15)</f>
        <v/>
      </c>
      <c r="O31" s="51">
        <f>IF('[8]سجل المستخلصات'!$R$15="","",'[8]سجل المستخلصات'!$R$15)</f>
        <v/>
      </c>
      <c r="P31" s="51">
        <f>IF('[8]سجل المستخلصات'!$S$15="","",'[8]سجل المستخلصات'!$S$15)</f>
        <v/>
      </c>
      <c r="Q31" s="51">
        <f>IF('[8]سجل المستخلصات'!$T$15="","",'[8]سجل المستخلصات'!$T$15)</f>
        <v/>
      </c>
      <c r="R31" s="51">
        <f>IF('[8]سجل المستخلصات'!$V$15="","",'[8]سجل المستخلصات'!$V$15)</f>
        <v/>
      </c>
      <c r="S31" s="51">
        <f>IF('[8]سجل المستخلصات'!$W$15="","",'[8]سجل المستخلصات'!$W$15)</f>
        <v/>
      </c>
      <c r="T31" s="53">
        <f>IF('[8]سجل المستخلصات'!$X$15="","",'[8]سجل المستخلصات'!$X$15)</f>
        <v/>
      </c>
      <c r="U31" s="53">
        <f>IF('[8]سجل المستخلصات'!$Z$15="","",'[8]سجل المستخلصات'!$Z$15)</f>
        <v/>
      </c>
      <c r="V31" s="51">
        <f>IF('[8]سجل المستخلصات'!$AA$15="","",'[8]سجل المستخلصات'!$AA$15)</f>
        <v/>
      </c>
      <c r="W31" s="51">
        <f>IF('[8]سجل المستخلصات'!$AC$15="","",'[8]سجل المستخلصات'!$AC$15)</f>
        <v/>
      </c>
      <c r="X31" s="54">
        <f>IF('[8]سجل المستخلصات'!$AD$15="","",'[8]سجل المستخلصات'!$AD$15)</f>
        <v/>
      </c>
      <c r="Y31" s="50">
        <f>IF('[8]سجل المستخلصات'!$AE$15="","",'[8]سجل المستخلصات'!$AE$15)</f>
        <v/>
      </c>
    </row>
    <row r="32">
      <c r="B32" s="48" t="n">
        <v>11</v>
      </c>
      <c r="C32" s="49">
        <f>IF('[8]سجل المستخلصات'!$C$16="","",'[8]سجل المستخلصات'!$C$16)</f>
        <v/>
      </c>
      <c r="D32" s="49">
        <f>IF('[8]سجل المستخلصات'!$E$16="","",'[8]سجل المستخلصات'!$E$16)</f>
        <v/>
      </c>
      <c r="E32" s="50">
        <f>IF('[8]سجل المستخلصات'!$F$16="","",'[8]سجل المستخلصات'!$F$16)</f>
        <v/>
      </c>
      <c r="F32" s="51">
        <f>IF('[8]سجل المستخلصات'!$H$16="","",'[8]سجل المستخلصات'!$H$16)</f>
        <v/>
      </c>
      <c r="G32" s="51">
        <f>IF('[8]سجل المستخلصات'!$G$16="","",'[8]سجل المستخلصات'!$G$16)</f>
        <v/>
      </c>
      <c r="H32" s="51">
        <f>IF('[8]سجل المستخلصات'!$I$16="","",'[8]سجل المستخلصات'!$I$16)</f>
        <v/>
      </c>
      <c r="I32" s="51">
        <f>IF('[8]سجل المستخلصات'!$J$16="","",'[8]سجل المستخلصات'!$J$16)</f>
        <v/>
      </c>
      <c r="J32" s="51">
        <f>IF('[8]سجل المستخلصات'!$K$16="","",'[8]سجل المستخلصات'!$K$16)</f>
        <v/>
      </c>
      <c r="K32" s="52">
        <f>IF('[8]سجل المستخلصات'!$L$16="","",'[8]سجل المستخلصات'!$L$16)</f>
        <v/>
      </c>
      <c r="L32" s="52">
        <f>IF('[8]سجل المستخلصات'!$M$16="","",'[8]سجل المستخلصات'!$M$16)</f>
        <v/>
      </c>
      <c r="M32" s="52">
        <f>IF('[8]سجل المستخلصات'!$N$16="","",'[8]سجل المستخلصات'!$N$16)</f>
        <v/>
      </c>
      <c r="N32" s="51">
        <f>IF('[8]سجل المستخلصات'!$O$16="","",'[8]سجل المستخلصات'!$O$16)</f>
        <v/>
      </c>
      <c r="O32" s="51">
        <f>IF('[8]سجل المستخلصات'!$R$16="","",'[8]سجل المستخلصات'!$R$16)</f>
        <v/>
      </c>
      <c r="P32" s="51">
        <f>IF('[8]سجل المستخلصات'!$S$16="","",'[8]سجل المستخلصات'!$S$16)</f>
        <v/>
      </c>
      <c r="Q32" s="51">
        <f>IF('[8]سجل المستخلصات'!$T$16="","",'[8]سجل المستخلصات'!$T$16)</f>
        <v/>
      </c>
      <c r="R32" s="51">
        <f>IF('[8]سجل المستخلصات'!$V$16="","",'[8]سجل المستخلصات'!$V$16)</f>
        <v/>
      </c>
      <c r="S32" s="51">
        <f>IF('[8]سجل المستخلصات'!$W$16="","",'[8]سجل المستخلصات'!$W$16)</f>
        <v/>
      </c>
      <c r="T32" s="53">
        <f>IF('[8]سجل المستخلصات'!$X$16="","",'[8]سجل المستخلصات'!$X$16)</f>
        <v/>
      </c>
      <c r="U32" s="53">
        <f>IF('[8]سجل المستخلصات'!$Z$16="","",'[8]سجل المستخلصات'!$Z$16)</f>
        <v/>
      </c>
      <c r="V32" s="51">
        <f>IF('[8]سجل المستخلصات'!$AA$16="","",'[8]سجل المستخلصات'!$AA$16)</f>
        <v/>
      </c>
      <c r="W32" s="51">
        <f>IF('[8]سجل المستخلصات'!$AC$16="","",'[8]سجل المستخلصات'!$AC$16)</f>
        <v/>
      </c>
      <c r="X32" s="54">
        <f>IF('[8]سجل المستخلصات'!$AD$16="","",'[8]سجل المستخلصات'!$AD$16)</f>
        <v/>
      </c>
      <c r="Y32" s="50">
        <f>IF('[8]سجل المستخلصات'!$AE$16="","",'[8]سجل المستخلصات'!$AE$16)</f>
        <v/>
      </c>
    </row>
    <row r="33">
      <c r="B33" s="48" t="n">
        <v>12</v>
      </c>
      <c r="C33" s="49">
        <f>IF('[8]سجل المستخلصات'!$C$17="","",'[8]سجل المستخلصات'!$C$17)</f>
        <v/>
      </c>
      <c r="D33" s="49">
        <f>IF('[8]سجل المستخلصات'!$E$17="","",'[8]سجل المستخلصات'!$E$17)</f>
        <v/>
      </c>
      <c r="E33" s="50">
        <f>IF('[8]سجل المستخلصات'!$F$17="","",'[8]سجل المستخلصات'!$F$17)</f>
        <v/>
      </c>
      <c r="F33" s="51">
        <f>IF('[8]سجل المستخلصات'!$H$17="","",'[8]سجل المستخلصات'!$H$17)</f>
        <v/>
      </c>
      <c r="G33" s="51">
        <f>IF('[8]سجل المستخلصات'!$G$17="","",'[8]سجل المستخلصات'!$G$17)</f>
        <v/>
      </c>
      <c r="H33" s="51">
        <f>IF('[8]سجل المستخلصات'!$I$17="","",'[8]سجل المستخلصات'!$I$17)</f>
        <v/>
      </c>
      <c r="I33" s="51">
        <f>IF('[8]سجل المستخلصات'!$J$17="","",'[8]سجل المستخلصات'!$J$17)</f>
        <v/>
      </c>
      <c r="J33" s="51">
        <f>IF('[8]سجل المستخلصات'!$K$17="","",'[8]سجل المستخلصات'!$K$17)</f>
        <v/>
      </c>
      <c r="K33" s="52">
        <f>IF('[8]سجل المستخلصات'!$L$17="","",'[8]سجل المستخلصات'!$L$17)</f>
        <v/>
      </c>
      <c r="L33" s="52">
        <f>IF('[8]سجل المستخلصات'!$M$17="","",'[8]سجل المستخلصات'!$M$17)</f>
        <v/>
      </c>
      <c r="M33" s="52">
        <f>IF('[8]سجل المستخلصات'!$N$17="","",'[8]سجل المستخلصات'!$N$17)</f>
        <v/>
      </c>
      <c r="N33" s="51">
        <f>IF('[8]سجل المستخلصات'!$O$17="","",'[8]سجل المستخلصات'!$O$17)</f>
        <v/>
      </c>
      <c r="O33" s="51">
        <f>IF('[8]سجل المستخلصات'!$R$17="","",'[8]سجل المستخلصات'!$R$17)</f>
        <v/>
      </c>
      <c r="P33" s="51">
        <f>IF('[8]سجل المستخلصات'!$S$17="","",'[8]سجل المستخلصات'!$S$17)</f>
        <v/>
      </c>
      <c r="Q33" s="51">
        <f>IF('[8]سجل المستخلصات'!$T$17="","",'[8]سجل المستخلصات'!$T$17)</f>
        <v/>
      </c>
      <c r="R33" s="51">
        <f>IF('[8]سجل المستخلصات'!$V$17="","",'[8]سجل المستخلصات'!$V$17)</f>
        <v/>
      </c>
      <c r="S33" s="51">
        <f>IF('[8]سجل المستخلصات'!$W$17="","",'[8]سجل المستخلصات'!$W$17)</f>
        <v/>
      </c>
      <c r="T33" s="53">
        <f>IF('[8]سجل المستخلصات'!$X$17="","",'[8]سجل المستخلصات'!$X$17)</f>
        <v/>
      </c>
      <c r="U33" s="53">
        <f>IF('[8]سجل المستخلصات'!$Z$17="","",'[8]سجل المستخلصات'!$Z$17)</f>
        <v/>
      </c>
      <c r="V33" s="51">
        <f>IF('[8]سجل المستخلصات'!$AA$17="","",'[8]سجل المستخلصات'!$AA$17)</f>
        <v/>
      </c>
      <c r="W33" s="51">
        <f>IF('[8]سجل المستخلصات'!$AC$17="","",'[8]سجل المستخلصات'!$AC$17)</f>
        <v/>
      </c>
      <c r="X33" s="54">
        <f>IF('[8]سجل المستخلصات'!$AD$17="","",'[8]سجل المستخلصات'!$AD$17)</f>
        <v/>
      </c>
      <c r="Y33" s="50">
        <f>IF('[8]سجل المستخلصات'!$AE$17="","",'[8]سجل المستخلصات'!$AE$17)</f>
        <v/>
      </c>
    </row>
    <row r="34">
      <c r="B34" s="48" t="n">
        <v>13</v>
      </c>
      <c r="C34" s="49">
        <f>IF('[8]سجل المستخلصات'!$C$18="","",'[8]سجل المستخلصات'!$C$18)</f>
        <v/>
      </c>
      <c r="D34" s="49">
        <f>IF('[8]سجل المستخلصات'!$E$18="","",'[8]سجل المستخلصات'!$E$18)</f>
        <v/>
      </c>
      <c r="E34" s="50">
        <f>IF('[8]سجل المستخلصات'!$F$18="","",'[8]سجل المستخلصات'!$F$18)</f>
        <v/>
      </c>
      <c r="F34" s="51">
        <f>IF('[8]سجل المستخلصات'!$H$18="","",'[8]سجل المستخلصات'!$H$18)</f>
        <v/>
      </c>
      <c r="G34" s="51">
        <f>IF('[8]سجل المستخلصات'!$G$18="","",'[8]سجل المستخلصات'!$G$18)</f>
        <v/>
      </c>
      <c r="H34" s="51">
        <f>IF('[8]سجل المستخلصات'!$I$18="","",'[8]سجل المستخلصات'!$I$18)</f>
        <v/>
      </c>
      <c r="I34" s="51">
        <f>IF('[8]سجل المستخلصات'!$J$18="","",'[8]سجل المستخلصات'!$J$18)</f>
        <v/>
      </c>
      <c r="J34" s="51">
        <f>IF('[8]سجل المستخلصات'!$K$18="","",'[8]سجل المستخلصات'!$K$18)</f>
        <v/>
      </c>
      <c r="K34" s="52">
        <f>IF('[8]سجل المستخلصات'!$L$18="","",'[8]سجل المستخلصات'!$L$18)</f>
        <v/>
      </c>
      <c r="L34" s="52">
        <f>IF('[8]سجل المستخلصات'!$M$18="","",'[8]سجل المستخلصات'!$M$18)</f>
        <v/>
      </c>
      <c r="M34" s="52">
        <f>IF('[8]سجل المستخلصات'!$N$18="","",'[8]سجل المستخلصات'!$N$18)</f>
        <v/>
      </c>
      <c r="N34" s="51">
        <f>IF('[8]سجل المستخلصات'!$O$18="","",'[8]سجل المستخلصات'!$O$18)</f>
        <v/>
      </c>
      <c r="O34" s="51">
        <f>IF('[8]سجل المستخلصات'!$R$18="","",'[8]سجل المستخلصات'!$R$18)</f>
        <v/>
      </c>
      <c r="P34" s="51">
        <f>IF('[8]سجل المستخلصات'!$S$18="","",'[8]سجل المستخلصات'!$S$18)</f>
        <v/>
      </c>
      <c r="Q34" s="51">
        <f>IF('[8]سجل المستخلصات'!$T$18="","",'[8]سجل المستخلصات'!$T$18)</f>
        <v/>
      </c>
      <c r="R34" s="51">
        <f>IF('[8]سجل المستخلصات'!$V$18="","",'[8]سجل المستخلصات'!$V$18)</f>
        <v/>
      </c>
      <c r="S34" s="51">
        <f>IF('[8]سجل المستخلصات'!$W$18="","",'[8]سجل المستخلصات'!$W$18)</f>
        <v/>
      </c>
      <c r="T34" s="53">
        <f>IF('[8]سجل المستخلصات'!$X$18="","",'[8]سجل المستخلصات'!$X$18)</f>
        <v/>
      </c>
      <c r="U34" s="53">
        <f>IF('[8]سجل المستخلصات'!$Z$18="","",'[8]سجل المستخلصات'!$Z$18)</f>
        <v/>
      </c>
      <c r="V34" s="51">
        <f>IF('[8]سجل المستخلصات'!$AA$18="","",'[8]سجل المستخلصات'!$AA$18)</f>
        <v/>
      </c>
      <c r="W34" s="51">
        <f>IF('[8]سجل المستخلصات'!$AC$18="","",'[8]سجل المستخلصات'!$AC$18)</f>
        <v/>
      </c>
      <c r="X34" s="54">
        <f>IF('[8]سجل المستخلصات'!$AD$18="","",'[8]سجل المستخلصات'!$AD$18)</f>
        <v/>
      </c>
      <c r="Y34" s="50">
        <f>IF('[8]سجل المستخلصات'!$AE$18="","",'[8]سجل المستخلصات'!$AE$18)</f>
        <v/>
      </c>
    </row>
    <row r="35">
      <c r="B35" s="48" t="n">
        <v>14</v>
      </c>
      <c r="C35" s="49">
        <f>IF('[8]سجل المستخلصات'!$C$19="","",'[8]سجل المستخلصات'!$C$19)</f>
        <v/>
      </c>
      <c r="D35" s="49">
        <f>IF('[8]سجل المستخلصات'!$E$19="","",'[8]سجل المستخلصات'!$E$19)</f>
        <v/>
      </c>
      <c r="E35" s="50">
        <f>IF('[8]سجل المستخلصات'!$F$19="","",'[8]سجل المستخلصات'!$F$19)</f>
        <v/>
      </c>
      <c r="F35" s="51">
        <f>IF('[8]سجل المستخلصات'!$H$19="","",'[8]سجل المستخلصات'!$H$19)</f>
        <v/>
      </c>
      <c r="G35" s="51">
        <f>IF('[8]سجل المستخلصات'!$G$19="","",'[8]سجل المستخلصات'!$G$19)</f>
        <v/>
      </c>
      <c r="H35" s="51">
        <f>IF('[8]سجل المستخلصات'!$I$19="","",'[8]سجل المستخلصات'!$I$19)</f>
        <v/>
      </c>
      <c r="I35" s="51">
        <f>IF('[8]سجل المستخلصات'!$J$19="","",'[8]سجل المستخلصات'!$J$19)</f>
        <v/>
      </c>
      <c r="J35" s="51">
        <f>IF('[8]سجل المستخلصات'!$K$19="","",'[8]سجل المستخلصات'!$K$19)</f>
        <v/>
      </c>
      <c r="K35" s="52">
        <f>IF('[8]سجل المستخلصات'!$L$19="","",'[8]سجل المستخلصات'!$L$19)</f>
        <v/>
      </c>
      <c r="L35" s="52">
        <f>IF('[8]سجل المستخلصات'!$M$19="","",'[8]سجل المستخلصات'!$M$19)</f>
        <v/>
      </c>
      <c r="M35" s="52">
        <f>IF('[8]سجل المستخلصات'!$N$19="","",'[8]سجل المستخلصات'!$N$19)</f>
        <v/>
      </c>
      <c r="N35" s="51">
        <f>IF('[8]سجل المستخلصات'!$O$19="","",'[8]سجل المستخلصات'!$O$19)</f>
        <v/>
      </c>
      <c r="O35" s="51">
        <f>IF('[8]سجل المستخلصات'!$R$19="","",'[8]سجل المستخلصات'!$R$19)</f>
        <v/>
      </c>
      <c r="P35" s="51">
        <f>IF('[8]سجل المستخلصات'!$S$19="","",'[8]سجل المستخلصات'!$S$19)</f>
        <v/>
      </c>
      <c r="Q35" s="51">
        <f>IF('[8]سجل المستخلصات'!$T$19="","",'[8]سجل المستخلصات'!$T$19)</f>
        <v/>
      </c>
      <c r="R35" s="51">
        <f>IF('[8]سجل المستخلصات'!$V$19="","",'[8]سجل المستخلصات'!$V$19)</f>
        <v/>
      </c>
      <c r="S35" s="51">
        <f>IF('[8]سجل المستخلصات'!$W$19="","",'[8]سجل المستخلصات'!$W$19)</f>
        <v/>
      </c>
      <c r="T35" s="53">
        <f>IF('[8]سجل المستخلصات'!$X$19="","",'[8]سجل المستخلصات'!$X$19)</f>
        <v/>
      </c>
      <c r="U35" s="53">
        <f>IF('[8]سجل المستخلصات'!$Z$19="","",'[8]سجل المستخلصات'!$Z$19)</f>
        <v/>
      </c>
      <c r="V35" s="51">
        <f>IF('[8]سجل المستخلصات'!$AA$19="","",'[8]سجل المستخلصات'!$AA$19)</f>
        <v/>
      </c>
      <c r="W35" s="51">
        <f>IF('[8]سجل المستخلصات'!$AC$19="","",'[8]سجل المستخلصات'!$AC$19)</f>
        <v/>
      </c>
      <c r="X35" s="54">
        <f>IF('[8]سجل المستخلصات'!$AD$19="","",'[8]سجل المستخلصات'!$AD$19)</f>
        <v/>
      </c>
      <c r="Y35" s="50">
        <f>IF('[8]سجل المستخلصات'!$AE$19="","",'[8]سجل المستخلصات'!$AE$19)</f>
        <v/>
      </c>
    </row>
    <row r="36">
      <c r="B36" s="48" t="n">
        <v>15</v>
      </c>
      <c r="C36" s="49">
        <f>IF('[8]سجل المستخلصات'!$C$20="","",'[8]سجل المستخلصات'!$C$20)</f>
        <v/>
      </c>
      <c r="D36" s="49">
        <f>IF('[8]سجل المستخلصات'!$E$20="","",'[8]سجل المستخلصات'!$E$20)</f>
        <v/>
      </c>
      <c r="E36" s="50">
        <f>IF('[8]سجل المستخلصات'!$F$20="","",'[8]سجل المستخلصات'!$F$20)</f>
        <v/>
      </c>
      <c r="F36" s="51">
        <f>IF('[8]سجل المستخلصات'!$H$20="","",'[8]سجل المستخلصات'!$H$20)</f>
        <v/>
      </c>
      <c r="G36" s="51">
        <f>IF('[8]سجل المستخلصات'!$G$20="","",'[8]سجل المستخلصات'!$G$20)</f>
        <v/>
      </c>
      <c r="H36" s="51">
        <f>IF('[8]سجل المستخلصات'!$I$20="","",'[8]سجل المستخلصات'!$I$20)</f>
        <v/>
      </c>
      <c r="I36" s="51">
        <f>IF('[8]سجل المستخلصات'!$J$20="","",'[8]سجل المستخلصات'!$J$20)</f>
        <v/>
      </c>
      <c r="J36" s="51">
        <f>IF('[8]سجل المستخلصات'!$K$20="","",'[8]سجل المستخلصات'!$K$20)</f>
        <v/>
      </c>
      <c r="K36" s="52">
        <f>IF('[8]سجل المستخلصات'!$L$20="","",'[8]سجل المستخلصات'!$L$20)</f>
        <v/>
      </c>
      <c r="L36" s="52">
        <f>IF('[8]سجل المستخلصات'!$M$20="","",'[8]سجل المستخلصات'!$M$20)</f>
        <v/>
      </c>
      <c r="M36" s="52">
        <f>IF('[8]سجل المستخلصات'!$N$20="","",'[8]سجل المستخلصات'!$N$20)</f>
        <v/>
      </c>
      <c r="N36" s="51">
        <f>IF('[8]سجل المستخلصات'!$O$20="","",'[8]سجل المستخلصات'!$O$20)</f>
        <v/>
      </c>
      <c r="O36" s="51">
        <f>IF('[8]سجل المستخلصات'!$R$20="","",'[8]سجل المستخلصات'!$R$20)</f>
        <v/>
      </c>
      <c r="P36" s="51">
        <f>IF('[8]سجل المستخلصات'!$S$20="","",'[8]سجل المستخلصات'!$S$20)</f>
        <v/>
      </c>
      <c r="Q36" s="51">
        <f>IF('[8]سجل المستخلصات'!$T$20="","",'[8]سجل المستخلصات'!$T$20)</f>
        <v/>
      </c>
      <c r="R36" s="51">
        <f>IF('[8]سجل المستخلصات'!$V$20="","",'[8]سجل المستخلصات'!$V$20)</f>
        <v/>
      </c>
      <c r="S36" s="51">
        <f>IF('[8]سجل المستخلصات'!$W$20="","",'[8]سجل المستخلصات'!$W$20)</f>
        <v/>
      </c>
      <c r="T36" s="53">
        <f>IF('[8]سجل المستخلصات'!$X$20="","",'[8]سجل المستخلصات'!$X$20)</f>
        <v/>
      </c>
      <c r="U36" s="53">
        <f>IF('[8]سجل المستخلصات'!$Z$20="","",'[8]سجل المستخلصات'!$Z$20)</f>
        <v/>
      </c>
      <c r="V36" s="51">
        <f>IF('[8]سجل المستخلصات'!$AA$20="","",'[8]سجل المستخلصات'!$AA$20)</f>
        <v/>
      </c>
      <c r="W36" s="51">
        <f>IF('[8]سجل المستخلصات'!$AC$20="","",'[8]سجل المستخلصات'!$AC$20)</f>
        <v/>
      </c>
      <c r="X36" s="54">
        <f>IF('[8]سجل المستخلصات'!$AD$20="","",'[8]سجل المستخلصات'!$AD$20)</f>
        <v/>
      </c>
      <c r="Y36" s="50">
        <f>IF('[8]سجل المستخلصات'!$AE$20="","",'[8]سجل المستخلصات'!$AE$20)</f>
        <v/>
      </c>
    </row>
    <row r="37">
      <c r="B37" s="48" t="n">
        <v>16</v>
      </c>
      <c r="C37" s="49">
        <f>IF('[8]سجل المستخلصات'!$C$21="","",'[8]سجل المستخلصات'!$C$21)</f>
        <v/>
      </c>
      <c r="D37" s="49">
        <f>IF('[8]سجل المستخلصات'!$E$21="","",'[8]سجل المستخلصات'!$E$21)</f>
        <v/>
      </c>
      <c r="E37" s="50">
        <f>IF('[8]سجل المستخلصات'!$F$21="","",'[8]سجل المستخلصات'!$F$21)</f>
        <v/>
      </c>
      <c r="F37" s="51">
        <f>IF('[8]سجل المستخلصات'!$H$21="","",'[8]سجل المستخلصات'!$H$21)</f>
        <v/>
      </c>
      <c r="G37" s="51">
        <f>IF('[8]سجل المستخلصات'!$G$21="","",'[8]سجل المستخلصات'!$G$21)</f>
        <v/>
      </c>
      <c r="H37" s="51">
        <f>IF('[8]سجل المستخلصات'!$I$21="","",'[8]سجل المستخلصات'!$I$21)</f>
        <v/>
      </c>
      <c r="I37" s="51">
        <f>IF('[8]سجل المستخلصات'!$J$21="","",'[8]سجل المستخلصات'!$J$21)</f>
        <v/>
      </c>
      <c r="J37" s="51">
        <f>IF('[8]سجل المستخلصات'!$K$21="","",'[8]سجل المستخلصات'!$K$21)</f>
        <v/>
      </c>
      <c r="K37" s="52">
        <f>IF('[8]سجل المستخلصات'!$L$21="","",'[8]سجل المستخلصات'!$L$21)</f>
        <v/>
      </c>
      <c r="L37" s="52">
        <f>IF('[8]سجل المستخلصات'!$M$21="","",'[8]سجل المستخلصات'!$M$21)</f>
        <v/>
      </c>
      <c r="M37" s="52">
        <f>IF('[8]سجل المستخلصات'!$N$21="","",'[8]سجل المستخلصات'!$N$21)</f>
        <v/>
      </c>
      <c r="N37" s="51">
        <f>IF('[8]سجل المستخلصات'!$O$21="","",'[8]سجل المستخلصات'!$O$21)</f>
        <v/>
      </c>
      <c r="O37" s="51">
        <f>IF('[8]سجل المستخلصات'!$R$21="","",'[8]سجل المستخلصات'!$R$21)</f>
        <v/>
      </c>
      <c r="P37" s="51">
        <f>IF('[8]سجل المستخلصات'!$S$21="","",'[8]سجل المستخلصات'!$S$21)</f>
        <v/>
      </c>
      <c r="Q37" s="51">
        <f>IF('[8]سجل المستخلصات'!$T$21="","",'[8]سجل المستخلصات'!$T$21)</f>
        <v/>
      </c>
      <c r="R37" s="51">
        <f>IF('[8]سجل المستخلصات'!$V$21="","",'[8]سجل المستخلصات'!$V$21)</f>
        <v/>
      </c>
      <c r="S37" s="51">
        <f>IF('[8]سجل المستخلصات'!$W$21="","",'[8]سجل المستخلصات'!$W$21)</f>
        <v/>
      </c>
      <c r="T37" s="53">
        <f>IF('[8]سجل المستخلصات'!$X$21="","",'[8]سجل المستخلصات'!$X$21)</f>
        <v/>
      </c>
      <c r="U37" s="53">
        <f>IF('[8]سجل المستخلصات'!$Z$21="","",'[8]سجل المستخلصات'!$Z$21)</f>
        <v/>
      </c>
      <c r="V37" s="51">
        <f>IF('[8]سجل المستخلصات'!$AA$21="","",'[8]سجل المستخلصات'!$AA$21)</f>
        <v/>
      </c>
      <c r="W37" s="51">
        <f>IF('[8]سجل المستخلصات'!$AC$21="","",'[8]سجل المستخلصات'!$AC$21)</f>
        <v/>
      </c>
      <c r="X37" s="54">
        <f>IF('[8]سجل المستخلصات'!$AD$21="","",'[8]سجل المستخلصات'!$AD$21)</f>
        <v/>
      </c>
      <c r="Y37" s="50">
        <f>IF('[8]سجل المستخلصات'!$AE$21="","",'[8]سجل المستخلصات'!$AE$21)</f>
        <v/>
      </c>
    </row>
    <row r="38">
      <c r="B38" s="48" t="n">
        <v>17</v>
      </c>
      <c r="C38" s="49">
        <f>IF('[8]سجل المستخلصات'!$C$22="","",'[8]سجل المستخلصات'!$C$22)</f>
        <v/>
      </c>
      <c r="D38" s="49">
        <f>IF('[8]سجل المستخلصات'!$E$22="","",'[8]سجل المستخلصات'!$E$22)</f>
        <v/>
      </c>
      <c r="E38" s="50">
        <f>IF('[8]سجل المستخلصات'!$F$22="","",'[8]سجل المستخلصات'!$F$22)</f>
        <v/>
      </c>
      <c r="F38" s="51">
        <f>IF('[8]سجل المستخلصات'!$H$22="","",'[8]سجل المستخلصات'!$H$22)</f>
        <v/>
      </c>
      <c r="G38" s="51">
        <f>IF('[8]سجل المستخلصات'!$G$22="","",'[8]سجل المستخلصات'!$G$22)</f>
        <v/>
      </c>
      <c r="H38" s="51">
        <f>IF('[8]سجل المستخلصات'!$I$22="","",'[8]سجل المستخلصات'!$I$22)</f>
        <v/>
      </c>
      <c r="I38" s="51">
        <f>IF('[8]سجل المستخلصات'!$J$22="","",'[8]سجل المستخلصات'!$J$22)</f>
        <v/>
      </c>
      <c r="J38" s="51">
        <f>IF('[8]سجل المستخلصات'!$K$22="","",'[8]سجل المستخلصات'!$K$22)</f>
        <v/>
      </c>
      <c r="K38" s="52">
        <f>IF('[8]سجل المستخلصات'!$L$22="","",'[8]سجل المستخلصات'!$L$22)</f>
        <v/>
      </c>
      <c r="L38" s="52">
        <f>IF('[8]سجل المستخلصات'!$M$22="","",'[8]سجل المستخلصات'!$M$22)</f>
        <v/>
      </c>
      <c r="M38" s="52">
        <f>IF('[8]سجل المستخلصات'!$N$22="","",'[8]سجل المستخلصات'!$N$22)</f>
        <v/>
      </c>
      <c r="N38" s="51">
        <f>IF('[8]سجل المستخلصات'!$O$22="","",'[8]سجل المستخلصات'!$O$22)</f>
        <v/>
      </c>
      <c r="O38" s="51">
        <f>IF('[8]سجل المستخلصات'!$R$22="","",'[8]سجل المستخلصات'!$R$22)</f>
        <v/>
      </c>
      <c r="P38" s="51">
        <f>IF('[8]سجل المستخلصات'!$S$22="","",'[8]سجل المستخلصات'!$S$22)</f>
        <v/>
      </c>
      <c r="Q38" s="51">
        <f>IF('[8]سجل المستخلصات'!$T$22="","",'[8]سجل المستخلصات'!$T$22)</f>
        <v/>
      </c>
      <c r="R38" s="51">
        <f>IF('[8]سجل المستخلصات'!$V$22="","",'[8]سجل المستخلصات'!$V$22)</f>
        <v/>
      </c>
      <c r="S38" s="51">
        <f>IF('[8]سجل المستخلصات'!$W$22="","",'[8]سجل المستخلصات'!$W$22)</f>
        <v/>
      </c>
      <c r="T38" s="53">
        <f>IF('[8]سجل المستخلصات'!$X$22="","",'[8]سجل المستخلصات'!$X$22)</f>
        <v/>
      </c>
      <c r="U38" s="53">
        <f>IF('[8]سجل المستخلصات'!$Z$22="","",'[8]سجل المستخلصات'!$Z$22)</f>
        <v/>
      </c>
      <c r="V38" s="51">
        <f>IF('[8]سجل المستخلصات'!$AA$22="","",'[8]سجل المستخلصات'!$AA$22)</f>
        <v/>
      </c>
      <c r="W38" s="51">
        <f>IF('[8]سجل المستخلصات'!$AC$22="","",'[8]سجل المستخلصات'!$AC$22)</f>
        <v/>
      </c>
      <c r="X38" s="54">
        <f>IF('[8]سجل المستخلصات'!$AD$22="","",'[8]سجل المستخلصات'!$AD$22)</f>
        <v/>
      </c>
      <c r="Y38" s="50">
        <f>IF('[8]سجل المستخلصات'!$AE$22="","",'[8]سجل المستخلصات'!$AE$22)</f>
        <v/>
      </c>
    </row>
    <row r="39">
      <c r="B39" s="48" t="n">
        <v>18</v>
      </c>
      <c r="C39" s="49">
        <f>IF('[8]سجل المستخلصات'!$C$23="","",'[8]سجل المستخلصات'!$C$23)</f>
        <v/>
      </c>
      <c r="D39" s="49">
        <f>IF('[8]سجل المستخلصات'!$E$23="","",'[8]سجل المستخلصات'!$E$23)</f>
        <v/>
      </c>
      <c r="E39" s="50">
        <f>IF('[8]سجل المستخلصات'!$F$23="","",'[8]سجل المستخلصات'!$F$23)</f>
        <v/>
      </c>
      <c r="F39" s="51">
        <f>IF('[8]سجل المستخلصات'!$H$23="","",'[8]سجل المستخلصات'!$H$23)</f>
        <v/>
      </c>
      <c r="G39" s="51">
        <f>IF('[8]سجل المستخلصات'!$G$23="","",'[8]سجل المستخلصات'!$G$23)</f>
        <v/>
      </c>
      <c r="H39" s="51">
        <f>IF('[8]سجل المستخلصات'!$I$23="","",'[8]سجل المستخلصات'!$I$23)</f>
        <v/>
      </c>
      <c r="I39" s="51">
        <f>IF('[8]سجل المستخلصات'!$J$23="","",'[8]سجل المستخلصات'!$J$23)</f>
        <v/>
      </c>
      <c r="J39" s="51">
        <f>IF('[8]سجل المستخلصات'!$K$23="","",'[8]سجل المستخلصات'!$K$23)</f>
        <v/>
      </c>
      <c r="K39" s="52">
        <f>IF('[8]سجل المستخلصات'!$L$23="","",'[8]سجل المستخلصات'!$L$23)</f>
        <v/>
      </c>
      <c r="L39" s="52">
        <f>IF('[8]سجل المستخلصات'!$M$23="","",'[8]سجل المستخلصات'!$M$23)</f>
        <v/>
      </c>
      <c r="M39" s="52">
        <f>IF('[8]سجل المستخلصات'!$N$23="","",'[8]سجل المستخلصات'!$N$23)</f>
        <v/>
      </c>
      <c r="N39" s="51">
        <f>IF('[8]سجل المستخلصات'!$O$23="","",'[8]سجل المستخلصات'!$O$23)</f>
        <v/>
      </c>
      <c r="O39" s="51">
        <f>IF('[8]سجل المستخلصات'!$R$23="","",'[8]سجل المستخلصات'!$R$23)</f>
        <v/>
      </c>
      <c r="P39" s="51">
        <f>IF('[8]سجل المستخلصات'!$S$23="","",'[8]سجل المستخلصات'!$S$23)</f>
        <v/>
      </c>
      <c r="Q39" s="51">
        <f>IF('[8]سجل المستخلصات'!$T$23="","",'[8]سجل المستخلصات'!$T$23)</f>
        <v/>
      </c>
      <c r="R39" s="51">
        <f>IF('[8]سجل المستخلصات'!$V$23="","",'[8]سجل المستخلصات'!$V$23)</f>
        <v/>
      </c>
      <c r="S39" s="51">
        <f>IF('[8]سجل المستخلصات'!$W$23="","",'[8]سجل المستخلصات'!$W$23)</f>
        <v/>
      </c>
      <c r="T39" s="53">
        <f>IF('[8]سجل المستخلصات'!$X$23="","",'[8]سجل المستخلصات'!$X$23)</f>
        <v/>
      </c>
      <c r="U39" s="53">
        <f>IF('[8]سجل المستخلصات'!$Z$23="","",'[8]سجل المستخلصات'!$Z$23)</f>
        <v/>
      </c>
      <c r="V39" s="51">
        <f>IF('[8]سجل المستخلصات'!$AA$23="","",'[8]سجل المستخلصات'!$AA$23)</f>
        <v/>
      </c>
      <c r="W39" s="51">
        <f>IF('[8]سجل المستخلصات'!$AC$23="","",'[8]سجل المستخلصات'!$AC$23)</f>
        <v/>
      </c>
      <c r="X39" s="54">
        <f>IF('[8]سجل المستخلصات'!$AD$23="","",'[8]سجل المستخلصات'!$AD$23)</f>
        <v/>
      </c>
      <c r="Y39" s="50">
        <f>IF('[8]سجل المستخلصات'!$AE$23="","",'[8]سجل المستخلصات'!$AE$23)</f>
        <v/>
      </c>
    </row>
    <row r="40">
      <c r="B40" s="48" t="n">
        <v>19</v>
      </c>
      <c r="C40" s="49">
        <f>IF('[8]سجل المستخلصات'!$C$24="","",'[8]سجل المستخلصات'!$C$24)</f>
        <v/>
      </c>
      <c r="D40" s="49">
        <f>IF('[8]سجل المستخلصات'!$E$24="","",'[8]سجل المستخلصات'!$E$24)</f>
        <v/>
      </c>
      <c r="E40" s="50">
        <f>IF('[8]سجل المستخلصات'!$F$24="","",'[8]سجل المستخلصات'!$F$24)</f>
        <v/>
      </c>
      <c r="F40" s="51">
        <f>IF('[8]سجل المستخلصات'!$H$24="","",'[8]سجل المستخلصات'!$H$24)</f>
        <v/>
      </c>
      <c r="G40" s="51">
        <f>IF('[8]سجل المستخلصات'!$G$24="","",'[8]سجل المستخلصات'!$G$24)</f>
        <v/>
      </c>
      <c r="H40" s="51">
        <f>IF('[8]سجل المستخلصات'!$I$24="","",'[8]سجل المستخلصات'!$I$24)</f>
        <v/>
      </c>
      <c r="I40" s="51">
        <f>IF('[8]سجل المستخلصات'!$J$24="","",'[8]سجل المستخلصات'!$J$24)</f>
        <v/>
      </c>
      <c r="J40" s="51">
        <f>IF('[8]سجل المستخلصات'!$K$24="","",'[8]سجل المستخلصات'!$K$24)</f>
        <v/>
      </c>
      <c r="K40" s="52">
        <f>IF('[8]سجل المستخلصات'!$L$24="","",'[8]سجل المستخلصات'!$L$24)</f>
        <v/>
      </c>
      <c r="L40" s="52">
        <f>IF('[8]سجل المستخلصات'!$M$24="","",'[8]سجل المستخلصات'!$M$24)</f>
        <v/>
      </c>
      <c r="M40" s="52">
        <f>IF('[8]سجل المستخلصات'!$N$24="","",'[8]سجل المستخلصات'!$N$24)</f>
        <v/>
      </c>
      <c r="N40" s="51">
        <f>IF('[8]سجل المستخلصات'!$O$24="","",'[8]سجل المستخلصات'!$O$24)</f>
        <v/>
      </c>
      <c r="O40" s="51">
        <f>IF('[8]سجل المستخلصات'!$R$24="","",'[8]سجل المستخلصات'!$R$24)</f>
        <v/>
      </c>
      <c r="P40" s="51">
        <f>IF('[8]سجل المستخلصات'!$S$24="","",'[8]سجل المستخلصات'!$S$24)</f>
        <v/>
      </c>
      <c r="Q40" s="51">
        <f>IF('[8]سجل المستخلصات'!$T$24="","",'[8]سجل المستخلصات'!$T$24)</f>
        <v/>
      </c>
      <c r="R40" s="51">
        <f>IF('[8]سجل المستخلصات'!$V$24="","",'[8]سجل المستخلصات'!$V$24)</f>
        <v/>
      </c>
      <c r="S40" s="51">
        <f>IF('[8]سجل المستخلصات'!$W$24="","",'[8]سجل المستخلصات'!$W$24)</f>
        <v/>
      </c>
      <c r="T40" s="53">
        <f>IF('[8]سجل المستخلصات'!$X$24="","",'[8]سجل المستخلصات'!$X$24)</f>
        <v/>
      </c>
      <c r="U40" s="53">
        <f>IF('[8]سجل المستخلصات'!$Z$24="","",'[8]سجل المستخلصات'!$Z$24)</f>
        <v/>
      </c>
      <c r="V40" s="51">
        <f>IF('[8]سجل المستخلصات'!$AA$24="","",'[8]سجل المستخلصات'!$AA$24)</f>
        <v/>
      </c>
      <c r="W40" s="51">
        <f>IF('[8]سجل المستخلصات'!$AC$24="","",'[8]سجل المستخلصات'!$AC$24)</f>
        <v/>
      </c>
      <c r="X40" s="54">
        <f>IF('[8]سجل المستخلصات'!$AD$24="","",'[8]سجل المستخلصات'!$AD$24)</f>
        <v/>
      </c>
      <c r="Y40" s="50">
        <f>IF('[8]سجل المستخلصات'!$AE$24="","",'[8]سجل المستخلصات'!$AE$24)</f>
        <v/>
      </c>
    </row>
    <row r="41">
      <c r="B41" s="48" t="n">
        <v>20</v>
      </c>
      <c r="C41" s="49">
        <f>IF('[8]سجل المستخلصات'!$C$25="","",'[8]سجل المستخلصات'!$C$25)</f>
        <v/>
      </c>
      <c r="D41" s="49">
        <f>IF('[8]سجل المستخلصات'!$E$25="","",'[8]سجل المستخلصات'!$E$25)</f>
        <v/>
      </c>
      <c r="E41" s="50">
        <f>IF('[8]سجل المستخلصات'!$F$25="","",'[8]سجل المستخلصات'!$F$25)</f>
        <v/>
      </c>
      <c r="F41" s="51">
        <f>IF('[8]سجل المستخلصات'!$H$25="","",'[8]سجل المستخلصات'!$H$25)</f>
        <v/>
      </c>
      <c r="G41" s="51">
        <f>IF('[8]سجل المستخلصات'!$G$25="","",'[8]سجل المستخلصات'!$G$25)</f>
        <v/>
      </c>
      <c r="H41" s="51">
        <f>IF('[8]سجل المستخلصات'!$I$25="","",'[8]سجل المستخلصات'!$I$25)</f>
        <v/>
      </c>
      <c r="I41" s="51">
        <f>IF('[8]سجل المستخلصات'!$J$25="","",'[8]سجل المستخلصات'!$J$25)</f>
        <v/>
      </c>
      <c r="J41" s="51">
        <f>IF('[8]سجل المستخلصات'!$K$25="","",'[8]سجل المستخلصات'!$K$25)</f>
        <v/>
      </c>
      <c r="K41" s="52">
        <f>IF('[8]سجل المستخلصات'!$L$25="","",'[8]سجل المستخلصات'!$L$25)</f>
        <v/>
      </c>
      <c r="L41" s="52">
        <f>IF('[8]سجل المستخلصات'!$M$25="","",'[8]سجل المستخلصات'!$M$25)</f>
        <v/>
      </c>
      <c r="M41" s="52">
        <f>IF('[8]سجل المستخلصات'!$N$25="","",'[8]سجل المستخلصات'!$N$25)</f>
        <v/>
      </c>
      <c r="N41" s="51">
        <f>IF('[8]سجل المستخلصات'!$O$25="","",'[8]سجل المستخلصات'!$O$25)</f>
        <v/>
      </c>
      <c r="O41" s="51">
        <f>IF('[8]سجل المستخلصات'!$R$25="","",'[8]سجل المستخلصات'!$R$25)</f>
        <v/>
      </c>
      <c r="P41" s="51">
        <f>IF('[8]سجل المستخلصات'!$S$25="","",'[8]سجل المستخلصات'!$S$25)</f>
        <v/>
      </c>
      <c r="Q41" s="51">
        <f>IF('[8]سجل المستخلصات'!$T$25="","",'[8]سجل المستخلصات'!$T$25)</f>
        <v/>
      </c>
      <c r="R41" s="51">
        <f>IF('[8]سجل المستخلصات'!$V$25="","",'[8]سجل المستخلصات'!$V$25)</f>
        <v/>
      </c>
      <c r="S41" s="51">
        <f>IF('[8]سجل المستخلصات'!$W$25="","",'[8]سجل المستخلصات'!$W$25)</f>
        <v/>
      </c>
      <c r="T41" s="53">
        <f>IF('[8]سجل المستخلصات'!$X$25="","",'[8]سجل المستخلصات'!$X$25)</f>
        <v/>
      </c>
      <c r="U41" s="53">
        <f>IF('[8]سجل المستخلصات'!$Z$25="","",'[8]سجل المستخلصات'!$Z$25)</f>
        <v/>
      </c>
      <c r="V41" s="51">
        <f>IF('[8]سجل المستخلصات'!$AA$25="","",'[8]سجل المستخلصات'!$AA$25)</f>
        <v/>
      </c>
      <c r="W41" s="51">
        <f>IF('[8]سجل المستخلصات'!$AC$25="","",'[8]سجل المستخلصات'!$AC$25)</f>
        <v/>
      </c>
      <c r="X41" s="54">
        <f>IF('[8]سجل المستخلصات'!$AD$25="","",'[8]سجل المستخلصات'!$AD$25)</f>
        <v/>
      </c>
      <c r="Y41" s="50">
        <f>IF('[8]سجل المستخلصات'!$AE$25="","",'[8]سجل المستخلصات'!$AE$25)</f>
        <v/>
      </c>
    </row>
    <row r="42">
      <c r="B42" s="55" t="inlineStr">
        <is>
          <t>الإجمالي</t>
        </is>
      </c>
      <c r="C42" s="56" t="n"/>
      <c r="D42" s="56" t="n"/>
      <c r="E42" s="55" t="n"/>
      <c r="F42" s="57">
        <f>SUM(F22:F41)</f>
        <v/>
      </c>
      <c r="G42" s="57">
        <f>IF($V$9=0,0,N(INDEX($G$22:$G$41,$V$9)))</f>
        <v/>
      </c>
      <c r="H42" s="57">
        <f>IF($V$9=0,0,N(INDEX($H$22:$H$41,$V$9)))</f>
        <v/>
      </c>
      <c r="I42" s="57">
        <f>IF($V$9=0,0,N(INDEX($I$22:$I$41,$V$9)))</f>
        <v/>
      </c>
      <c r="J42" s="57">
        <f>IF($V$9=0,0,N(INDEX($J$22:$J$41,$V$9)))</f>
        <v/>
      </c>
      <c r="K42" s="58">
        <f>IF($V$9=0,0,N(INDEX($K$22:$K$41,$V$9)))</f>
        <v/>
      </c>
      <c r="L42" s="58" t="n"/>
      <c r="M42" s="58" t="n"/>
      <c r="N42" s="57">
        <f>IF($V$9=0,0,N(INDEX($N$22:$N$41,$V$9)))</f>
        <v/>
      </c>
      <c r="O42" s="57">
        <f>IF($V$9=0,0,N(INDEX($O$22:$O$41,$V$9)))</f>
        <v/>
      </c>
      <c r="P42" s="57">
        <f>IF($V$9=0,0,N(INDEX($P$22:$P$41,$V$9)))</f>
        <v/>
      </c>
      <c r="Q42" s="57">
        <f>IF($V$9=0,0,N(INDEX($Q$22:$Q$41,$V$9)))</f>
        <v/>
      </c>
      <c r="R42" s="57">
        <f>IF($V$9=0,0,N(INDEX($R$22:$R$41,$V$9)))</f>
        <v/>
      </c>
      <c r="S42" s="57">
        <f>IF($V$9=0,0,N(INDEX($S$22:$S$41,$V$9)))</f>
        <v/>
      </c>
      <c r="T42" s="57">
        <f>IF($V$9=0,0,N(INDEX($T$22:$T$41,$V$9)))</f>
        <v/>
      </c>
      <c r="U42" s="57">
        <f>SUM(U22:U41)</f>
        <v/>
      </c>
      <c r="V42" s="57">
        <f>SUM(V22:V41)</f>
        <v/>
      </c>
      <c r="W42" s="57">
        <f>SUM(W22:W41)</f>
        <v/>
      </c>
      <c r="X42" s="59">
        <f>IFERROR(AVERAGE(X22:X41),0)</f>
        <v/>
      </c>
      <c r="Y42" s="55" t="n"/>
    </row>
    <row r="45">
      <c r="B45" s="46" t="inlineStr">
        <is>
          <t>الإنجاز حسب أقسام الأعمال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القسم</t>
        </is>
      </c>
      <c r="C46" s="47" t="n"/>
      <c r="D46" s="47" t="n"/>
      <c r="E46" s="47" t="inlineStr">
        <is>
          <t>القيمة التعاقدية</t>
        </is>
      </c>
      <c r="F46" s="47" t="inlineStr">
        <is>
          <t>القيمة المنفذة</t>
        </is>
      </c>
      <c r="G46" s="47" t="inlineStr">
        <is>
          <t>نسبة الإنجاز</t>
        </is>
      </c>
    </row>
    <row r="47">
      <c r="B47" s="60">
        <f>IF('[8]سجل المستخلصات'!$B$32="","",'[8]سجل المستخلصات'!$B$32)</f>
        <v/>
      </c>
      <c r="C47" s="60" t="n"/>
      <c r="D47" s="60" t="n"/>
      <c r="E47" s="51">
        <f>N('[8]سجل المستخلصات'!$E$32)</f>
        <v/>
      </c>
      <c r="F47" s="51">
        <f>N('[8]سجل المستخلصات'!$F$32)</f>
        <v/>
      </c>
      <c r="G47" s="61">
        <f>IF(E47&gt;0,F47/E47,0)</f>
        <v/>
      </c>
    </row>
    <row r="48">
      <c r="B48" s="60">
        <f>IF('[8]سجل المستخلصات'!$B$33="","",'[8]سجل المستخلصات'!$B$33)</f>
        <v/>
      </c>
      <c r="C48" s="60" t="n"/>
      <c r="D48" s="60" t="n"/>
      <c r="E48" s="51">
        <f>N('[8]سجل المستخلصات'!$E$33)</f>
        <v/>
      </c>
      <c r="F48" s="51">
        <f>N('[8]سجل المستخلصات'!$F$33)</f>
        <v/>
      </c>
      <c r="G48" s="61">
        <f>IF(E48&gt;0,F48/E48,0)</f>
        <v/>
      </c>
    </row>
    <row r="49">
      <c r="B49" s="60">
        <f>IF('[8]سجل المستخلصات'!$B$34="","",'[8]سجل المستخلصات'!$B$34)</f>
        <v/>
      </c>
      <c r="C49" s="60" t="n"/>
      <c r="D49" s="60" t="n"/>
      <c r="E49" s="51">
        <f>N('[8]سجل المستخلصات'!$E$34)</f>
        <v/>
      </c>
      <c r="F49" s="51">
        <f>N('[8]سجل المستخلصات'!$F$34)</f>
        <v/>
      </c>
      <c r="G49" s="61">
        <f>IF(E49&gt;0,F49/E49,0)</f>
        <v/>
      </c>
    </row>
    <row r="50">
      <c r="B50" s="60">
        <f>IF('[8]سجل المستخلصات'!$B$35="","",'[8]سجل المستخلصات'!$B$35)</f>
        <v/>
      </c>
      <c r="C50" s="60" t="n"/>
      <c r="D50" s="60" t="n"/>
      <c r="E50" s="51">
        <f>N('[8]سجل المستخلصات'!$E$35)</f>
        <v/>
      </c>
      <c r="F50" s="51">
        <f>N('[8]سجل المستخلصات'!$F$35)</f>
        <v/>
      </c>
      <c r="G50" s="61">
        <f>IF(E50&gt;0,F50/E50,0)</f>
        <v/>
      </c>
    </row>
    <row r="51">
      <c r="B51" s="60">
        <f>IF('[8]سجل المستخلصات'!$B$36="","",'[8]سجل المستخلصات'!$B$36)</f>
        <v/>
      </c>
      <c r="C51" s="60" t="n"/>
      <c r="D51" s="60" t="n"/>
      <c r="E51" s="51">
        <f>N('[8]سجل المستخلصات'!$E$36)</f>
        <v/>
      </c>
      <c r="F51" s="51">
        <f>N('[8]سجل المستخلصات'!$F$36)</f>
        <v/>
      </c>
      <c r="G51" s="61">
        <f>IF(E51&gt;0,F51/E51,0)</f>
        <v/>
      </c>
    </row>
    <row r="52">
      <c r="B52" s="60">
        <f>IF('[8]سجل المستخلصات'!$B$37="","",'[8]سجل المستخلصات'!$B$37)</f>
        <v/>
      </c>
      <c r="C52" s="60" t="n"/>
      <c r="D52" s="60" t="n"/>
      <c r="E52" s="51">
        <f>N('[8]سجل المستخلصات'!$E$37)</f>
        <v/>
      </c>
      <c r="F52" s="51">
        <f>N('[8]سجل المستخلصات'!$F$37)</f>
        <v/>
      </c>
      <c r="G52" s="61">
        <f>IF(E52&gt;0,F52/E52,0)</f>
        <v/>
      </c>
    </row>
    <row r="53">
      <c r="B53" s="60">
        <f>IF('[8]سجل المستخلصات'!$B$38="","",'[8]سجل المستخلصات'!$B$38)</f>
        <v/>
      </c>
      <c r="C53" s="60" t="n"/>
      <c r="D53" s="60" t="n"/>
      <c r="E53" s="51">
        <f>N('[8]سجل المستخلصات'!$E$38)</f>
        <v/>
      </c>
      <c r="F53" s="51">
        <f>N('[8]سجل المستخلصات'!$F$38)</f>
        <v/>
      </c>
      <c r="G53" s="61">
        <f>IF(E53&gt;0,F53/E53,0)</f>
        <v/>
      </c>
    </row>
    <row r="54">
      <c r="B54" s="60">
        <f>IF('[8]سجل المستخلصات'!$B$39="","",'[8]سجل المستخلصات'!$B$39)</f>
        <v/>
      </c>
      <c r="C54" s="60" t="n"/>
      <c r="D54" s="60" t="n"/>
      <c r="E54" s="51">
        <f>N('[8]سجل المستخلصات'!$E$39)</f>
        <v/>
      </c>
      <c r="F54" s="51">
        <f>N('[8]سجل المستخلصات'!$F$39)</f>
        <v/>
      </c>
      <c r="G54" s="61">
        <f>IF(E54&gt;0,F54/E54,0)</f>
        <v/>
      </c>
    </row>
    <row r="55">
      <c r="B55" s="60">
        <f>IF('[8]سجل المستخلصات'!$B$40="","",'[8]سجل المستخلصات'!$B$40)</f>
        <v/>
      </c>
      <c r="C55" s="60" t="n"/>
      <c r="D55" s="60" t="n"/>
      <c r="E55" s="51">
        <f>N('[8]سجل المستخلصات'!$E$40)</f>
        <v/>
      </c>
      <c r="F55" s="51">
        <f>N('[8]سجل المستخلصات'!$F$40)</f>
        <v/>
      </c>
      <c r="G55" s="61">
        <f>IF(E55&gt;0,F55/E55,0)</f>
        <v/>
      </c>
    </row>
    <row r="56">
      <c r="B56" s="60">
        <f>IF('[8]سجل المستخلصات'!$B$41="","",'[8]سجل المستخلصات'!$B$41)</f>
        <v/>
      </c>
      <c r="C56" s="60" t="n"/>
      <c r="D56" s="60" t="n"/>
      <c r="E56" s="51">
        <f>N('[8]سجل المستخلصات'!$E$41)</f>
        <v/>
      </c>
      <c r="F56" s="51">
        <f>N('[8]سجل المستخلصات'!$F$41)</f>
        <v/>
      </c>
      <c r="G56" s="61">
        <f>IF(E56&gt;0,F56/E56,0)</f>
        <v/>
      </c>
    </row>
    <row r="57">
      <c r="B57" s="60">
        <f>IF('[8]سجل المستخلصات'!$B$42="","",'[8]سجل المستخلصات'!$B$42)</f>
        <v/>
      </c>
      <c r="C57" s="60" t="n"/>
      <c r="D57" s="60" t="n"/>
      <c r="E57" s="51">
        <f>N('[8]سجل المستخلصات'!$E$42)</f>
        <v/>
      </c>
      <c r="F57" s="51">
        <f>N('[8]سجل المستخلصات'!$F$42)</f>
        <v/>
      </c>
      <c r="G57" s="61">
        <f>IF(E57&gt;0,F57/E57,0)</f>
        <v/>
      </c>
    </row>
    <row r="58">
      <c r="B58" s="60">
        <f>IF('[8]سجل المستخلصات'!$B$43="","",'[8]سجل المستخلصات'!$B$43)</f>
        <v/>
      </c>
      <c r="C58" s="60" t="n"/>
      <c r="D58" s="60" t="n"/>
      <c r="E58" s="51">
        <f>N('[8]سجل المستخلصات'!$E$43)</f>
        <v/>
      </c>
      <c r="F58" s="51">
        <f>N('[8]سجل المستخلصات'!$F$43)</f>
        <v/>
      </c>
      <c r="G58" s="61">
        <f>IF(E58&gt;0,F58/E58,0)</f>
        <v/>
      </c>
    </row>
  </sheetData>
  <mergeCells count="76">
    <mergeCell ref="R17:U17"/>
    <mergeCell ref="B9:E9"/>
    <mergeCell ref="F9:I9"/>
    <mergeCell ref="B2:Y2"/>
    <mergeCell ref="N9:Q9"/>
    <mergeCell ref="B57:D57"/>
    <mergeCell ref="J12:M12"/>
    <mergeCell ref="B15:E15"/>
    <mergeCell ref="B53:D53"/>
    <mergeCell ref="M5:Q5"/>
    <mergeCell ref="B1:Y1"/>
    <mergeCell ref="S5:Y5"/>
    <mergeCell ref="N15:Q15"/>
    <mergeCell ref="J18:M18"/>
    <mergeCell ref="H5:K5"/>
    <mergeCell ref="F14:I14"/>
    <mergeCell ref="R18:U18"/>
    <mergeCell ref="R9:U9"/>
    <mergeCell ref="V18:Y18"/>
    <mergeCell ref="N3:R3"/>
    <mergeCell ref="R8:U8"/>
    <mergeCell ref="R14:U14"/>
    <mergeCell ref="J17:M17"/>
    <mergeCell ref="J8:M8"/>
    <mergeCell ref="V12:Y12"/>
    <mergeCell ref="F11:I11"/>
    <mergeCell ref="B49:D49"/>
    <mergeCell ref="C6:F6"/>
    <mergeCell ref="N11:Q11"/>
    <mergeCell ref="V17:Y17"/>
    <mergeCell ref="R11:U11"/>
    <mergeCell ref="J14:M14"/>
    <mergeCell ref="C5:F5"/>
    <mergeCell ref="B55:D55"/>
    <mergeCell ref="AA4:AB4"/>
    <mergeCell ref="B51:D51"/>
    <mergeCell ref="V14:Y14"/>
    <mergeCell ref="B18:E18"/>
    <mergeCell ref="V8:Y8"/>
    <mergeCell ref="S3:Y3"/>
    <mergeCell ref="J9:M9"/>
    <mergeCell ref="M6:Q6"/>
    <mergeCell ref="B20:Y20"/>
    <mergeCell ref="B12:E12"/>
    <mergeCell ref="F12:I12"/>
    <mergeCell ref="B45:G45"/>
    <mergeCell ref="H6:K6"/>
    <mergeCell ref="B50:D50"/>
    <mergeCell ref="B11:E11"/>
    <mergeCell ref="N12:Q12"/>
    <mergeCell ref="F15:I15"/>
    <mergeCell ref="R15:U15"/>
    <mergeCell ref="J15:M15"/>
    <mergeCell ref="B47:D47"/>
    <mergeCell ref="B54:D54"/>
    <mergeCell ref="B14:E14"/>
    <mergeCell ref="N18:Q18"/>
    <mergeCell ref="F18:I18"/>
    <mergeCell ref="B17:E17"/>
    <mergeCell ref="B8:E8"/>
    <mergeCell ref="V9:Y9"/>
    <mergeCell ref="N8:Q8"/>
    <mergeCell ref="N14:Q14"/>
    <mergeCell ref="F17:I17"/>
    <mergeCell ref="F8:I8"/>
    <mergeCell ref="R12:U12"/>
    <mergeCell ref="N17:Q17"/>
    <mergeCell ref="B46:D46"/>
    <mergeCell ref="J11:M11"/>
    <mergeCell ref="B56:D56"/>
    <mergeCell ref="B58:D58"/>
    <mergeCell ref="V15:Y15"/>
    <mergeCell ref="B52:D52"/>
    <mergeCell ref="V11:Y11"/>
    <mergeCell ref="B48:D48"/>
    <mergeCell ref="S6:Y6"/>
  </mergeCells>
  <conditionalFormatting sqref="M22:M41">
    <cfRule type="cellIs" priority="1" operator="lessThan" dxfId="0">
      <formula>-0.0001</formula>
    </cfRule>
  </conditionalFormatting>
  <conditionalFormatting sqref="Y22:Y41">
    <cfRule type="expression" priority="2" dxfId="1">
      <formula>ISNUMBER(SEARCH("✔",Y22))</formula>
    </cfRule>
    <cfRule type="expression" priority="3" dxfId="2">
      <formula>ISNUMBER(SEARCH("✖",Y22))</formula>
    </cfRule>
    <cfRule type="expression" priority="4" dxfId="3">
      <formula>ISNUMBER(SEARCH("⚠",Y22))</formula>
    </cfRule>
  </conditionalFormatting>
  <conditionalFormatting sqref="B22:Y41">
    <cfRule type="expression" priority="5" dxfId="4">
      <formula>$B22=$V$9</formula>
    </cfRule>
  </conditionalFormatting>
  <conditionalFormatting sqref="K22:K41">
    <cfRule type="dataBar" priority="6">
      <dataBar>
        <cfvo type="num" val="0"/>
        <cfvo type="num" val="1"/>
        <color rgb="0063BE7B"/>
      </dataBar>
    </cfRule>
  </conditionalFormatting>
  <conditionalFormatting sqref="V12">
    <cfRule type="expression" priority="7" dxfId="0">
      <formula>ISNUMBER(SEARCH("⚠",V12))</formula>
    </cfRule>
  </conditionalFormatting>
  <conditionalFormatting sqref="J12">
    <cfRule type="cellIs" priority="8" operator="lessThan" dxfId="0">
      <formula>0</formula>
    </cfRule>
  </conditionalFormatting>
  <conditionalFormatting sqref="G47:G58">
    <cfRule type="dataBar" priority="9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xmlns:r="http://schemas.openxmlformats.org/officeDocument/2006/relationships" ref="N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"&amp;IF('[9]بيانات العقد'!$C$5="","مشروع رقم 09 — غير مُفعّل",'[9]بيانات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مشروع 01</t>
        </is>
      </c>
      <c r="D3" s="4" t="inlineStr">
        <is>
          <t>مشروع 02</t>
        </is>
      </c>
      <c r="E3" s="4" t="inlineStr">
        <is>
          <t>مشروع 03</t>
        </is>
      </c>
      <c r="F3" s="4" t="inlineStr">
        <is>
          <t>مشروع 04</t>
        </is>
      </c>
      <c r="G3" s="4" t="inlineStr">
        <is>
          <t>مشروع 05</t>
        </is>
      </c>
      <c r="H3" s="4" t="inlineStr">
        <is>
          <t>مشروع 06</t>
        </is>
      </c>
      <c r="I3" s="4" t="inlineStr">
        <is>
          <t>مشروع 07</t>
        </is>
      </c>
      <c r="J3" s="4" t="inlineStr">
        <is>
          <t>مشروع 08</t>
        </is>
      </c>
      <c r="K3" s="10" t="inlineStr">
        <is>
          <t>مشروع 09</t>
        </is>
      </c>
      <c r="L3" s="4" t="inlineStr">
        <is>
          <t>مشروع 10</t>
        </is>
      </c>
      <c r="N3" s="11" t="inlineStr">
        <is>
          <t>📂 فتح ملف المستخلصات: IPC_Project_09.xlsx</t>
        </is>
      </c>
      <c r="O3" s="11" t="n"/>
      <c r="P3" s="11" t="n"/>
      <c r="Q3" s="11" t="n"/>
      <c r="R3" s="11" t="n"/>
      <c r="S3" s="12" t="inlineStr">
        <is>
          <t>يُحدَّث آلياً من ملف المستخلصات (تمكين المحتوى ← تحديث الروابط)</t>
        </is>
      </c>
      <c r="T3" s="12" t="n"/>
      <c r="U3" s="12" t="n"/>
      <c r="V3" s="12" t="n"/>
      <c r="W3" s="12" t="n"/>
      <c r="X3" s="12" t="n"/>
      <c r="Y3" s="12" t="n"/>
    </row>
    <row r="4">
      <c r="AA4" s="11" t="inlineStr">
        <is>
          <t>بيانات مرتبطة من ملف المستخلصات</t>
        </is>
      </c>
      <c r="AB4" s="11" t="n"/>
    </row>
    <row r="5" ht="22" customHeight="1">
      <c r="B5" s="9" t="inlineStr">
        <is>
          <t>المشروع</t>
        </is>
      </c>
      <c r="C5" s="13">
        <f>IF('[9]بيانات العقد'!$C$5="","",'[9]بيانات العقد'!$C$5)</f>
        <v/>
      </c>
      <c r="D5" s="13" t="n"/>
      <c r="E5" s="13" t="n"/>
      <c r="F5" s="13" t="n"/>
      <c r="G5" s="9" t="inlineStr">
        <is>
          <t>رقم العقد</t>
        </is>
      </c>
      <c r="H5" s="13">
        <f>IF('[9]بيانات العقد'!$C$6="","",'[9]بيانات العقد'!$C$6)</f>
        <v/>
      </c>
      <c r="I5" s="13" t="n"/>
      <c r="J5" s="13" t="n"/>
      <c r="K5" s="13" t="n"/>
      <c r="L5" s="9" t="inlineStr">
        <is>
          <t>صاحب العمل</t>
        </is>
      </c>
      <c r="M5" s="13">
        <f>IF('[9]بيانات العقد'!$C$7="","",'[9]بيانات العقد'!$C$7)</f>
        <v/>
      </c>
      <c r="N5" s="13" t="n"/>
      <c r="O5" s="13" t="n"/>
      <c r="P5" s="13" t="n"/>
      <c r="Q5" s="13" t="n"/>
      <c r="R5" s="9" t="inlineStr">
        <is>
          <t>الاستشاري</t>
        </is>
      </c>
      <c r="S5" s="13">
        <f>IF('[9]بيانات العقد'!$C$8="","",'[9]بيانات العقد'!$C$8)</f>
        <v/>
      </c>
      <c r="T5" s="13" t="n"/>
      <c r="U5" s="13" t="n"/>
      <c r="V5" s="13" t="n"/>
      <c r="W5" s="13" t="n"/>
      <c r="X5" s="13" t="n"/>
      <c r="Y5" s="13" t="n"/>
      <c r="AA5" s="14" t="inlineStr">
        <is>
          <t>قيمة العقد الأصلية</t>
        </is>
      </c>
      <c r="AB5" s="15">
        <f>N('[9]بيانات العقد'!$C$16)</f>
        <v/>
      </c>
    </row>
    <row r="6" ht="22" customHeight="1">
      <c r="B6" s="9" t="inlineStr">
        <is>
          <t>المقاول</t>
        </is>
      </c>
      <c r="C6" s="13">
        <f>IF('[9]بيانات العقد'!$C$9="","",'[9]بيانات العقد'!$C$9)</f>
        <v/>
      </c>
      <c r="D6" s="13" t="n"/>
      <c r="E6" s="13" t="n"/>
      <c r="F6" s="13" t="n"/>
      <c r="G6" s="9" t="inlineStr">
        <is>
          <t>تاريخ البدء</t>
        </is>
      </c>
      <c r="H6" s="16">
        <f>IF('[9]بيانات العقد'!$C$11="","",'[9]بيانات العقد'!$C$11)</f>
        <v/>
      </c>
      <c r="I6" s="16" t="n"/>
      <c r="J6" s="16" t="n"/>
      <c r="K6" s="16" t="n"/>
      <c r="L6" s="9" t="inlineStr">
        <is>
          <t>الانتهاء التعاقدي</t>
        </is>
      </c>
      <c r="M6" s="16">
        <f>IF('[9]بيانات العقد'!$C$13="","",'[9]بيانات العقد'!$C$13)</f>
        <v/>
      </c>
      <c r="N6" s="16" t="n"/>
      <c r="O6" s="16" t="n"/>
      <c r="P6" s="16" t="n"/>
      <c r="Q6" s="16" t="n"/>
      <c r="R6" s="9" t="inlineStr">
        <is>
          <t>العملة</t>
        </is>
      </c>
      <c r="S6" s="13">
        <f>IF('[9]بيانات العقد'!$C$14="","",'[9]بيانات العقد'!$C$14)</f>
        <v/>
      </c>
      <c r="T6" s="13" t="n"/>
      <c r="U6" s="13" t="n"/>
      <c r="V6" s="13" t="n"/>
      <c r="W6" s="13" t="n"/>
      <c r="X6" s="13" t="n"/>
      <c r="Y6" s="13" t="n"/>
      <c r="AA6" s="14" t="inlineStr">
        <is>
          <t>صافي التغييرية المعتمدة</t>
        </is>
      </c>
      <c r="AB6" s="15">
        <f>N('[9]بيانات العقد'!$C$17)</f>
        <v/>
      </c>
    </row>
    <row r="7">
      <c r="AA7" s="14" t="inlineStr">
        <is>
          <t>قيمة العقد المعدلة</t>
        </is>
      </c>
      <c r="AB7" s="15">
        <f>N('[9]بيانات العقد'!$C$18)</f>
        <v/>
      </c>
    </row>
    <row r="8" ht="24" customHeight="1">
      <c r="B8" s="17" t="inlineStr">
        <is>
          <t>قيمة العقد الأصلية</t>
        </is>
      </c>
      <c r="C8" s="17" t="n"/>
      <c r="D8" s="17" t="n"/>
      <c r="E8" s="17" t="n"/>
      <c r="F8" s="18" t="inlineStr">
        <is>
          <t>صافي الأوامر التغييرية</t>
        </is>
      </c>
      <c r="G8" s="18" t="n"/>
      <c r="H8" s="18" t="n"/>
      <c r="I8" s="18" t="n"/>
      <c r="J8" s="17" t="inlineStr">
        <is>
          <t>قيمة العقد المعدلة</t>
        </is>
      </c>
      <c r="K8" s="17" t="n"/>
      <c r="L8" s="17" t="n"/>
      <c r="M8" s="17" t="n"/>
      <c r="N8" s="19" t="inlineStr">
        <is>
          <t>إجمالي قيمة الأعمال التراكمية</t>
        </is>
      </c>
      <c r="O8" s="19" t="n"/>
      <c r="P8" s="19" t="n"/>
      <c r="Q8" s="19" t="n"/>
      <c r="R8" s="20" t="inlineStr">
        <is>
          <t>الأعمال المتبقية</t>
        </is>
      </c>
      <c r="S8" s="20" t="n"/>
      <c r="T8" s="20" t="n"/>
      <c r="U8" s="20" t="n"/>
      <c r="V8" s="21" t="inlineStr">
        <is>
          <t>آخر مستخلص فعال</t>
        </is>
      </c>
      <c r="W8" s="21" t="n"/>
      <c r="X8" s="21" t="n"/>
      <c r="Y8" s="21" t="n"/>
      <c r="AA8" s="14" t="inlineStr">
        <is>
          <t>نسبة الدفعة المقدمة</t>
        </is>
      </c>
      <c r="AB8" s="22">
        <f>N('[9]بيانات العقد'!$C$20)</f>
        <v/>
      </c>
    </row>
    <row r="9" ht="32" customHeight="1">
      <c r="B9" s="23">
        <f>$AB$5</f>
        <v/>
      </c>
      <c r="C9" s="23" t="n"/>
      <c r="D9" s="23" t="n"/>
      <c r="E9" s="23" t="n"/>
      <c r="F9" s="24">
        <f>$AB$6</f>
        <v/>
      </c>
      <c r="G9" s="24" t="n"/>
      <c r="H9" s="24" t="n"/>
      <c r="I9" s="24" t="n"/>
      <c r="J9" s="23">
        <f>$AB$7</f>
        <v/>
      </c>
      <c r="K9" s="23" t="n"/>
      <c r="L9" s="23" t="n"/>
      <c r="M9" s="23" t="n"/>
      <c r="N9" s="25">
        <f>IF($V$9=0,0,N(INDEX($J$22:$J$41,$V$9)))</f>
        <v/>
      </c>
      <c r="O9" s="25" t="n"/>
      <c r="P9" s="25" t="n"/>
      <c r="Q9" s="25" t="n"/>
      <c r="R9" s="26">
        <f>MAX(0,$AB$7-IF($V$9=0,0,N(INDEX($G$22:$G$41,$V$9)))-IF($V$9=0,0,N(INDEX($H$22:$H$41,$V$9))))</f>
        <v/>
      </c>
      <c r="S9" s="26" t="n"/>
      <c r="T9" s="26" t="n"/>
      <c r="U9" s="26" t="n"/>
      <c r="V9" s="27">
        <f>SUMPRODUCT(MAX((C22:C41&lt;&gt;"")*B22:B41))</f>
        <v/>
      </c>
      <c r="W9" s="27" t="n"/>
      <c r="X9" s="27" t="n"/>
      <c r="Y9" s="27" t="n"/>
      <c r="AA9" s="14" t="inlineStr">
        <is>
          <t>قيمة الدفعة المقدمة</t>
        </is>
      </c>
      <c r="AB9" s="15">
        <f>N('[9]بيانات العقد'!$C$21)</f>
        <v/>
      </c>
    </row>
    <row r="10">
      <c r="AA10" s="14" t="inlineStr">
        <is>
          <t>نسبة ضمان الأعمال</t>
        </is>
      </c>
      <c r="AB10" s="22">
        <f>N('[9]بيانات العقد'!$C$27)</f>
        <v/>
      </c>
    </row>
    <row r="11" ht="24" customHeight="1">
      <c r="B11" s="19" t="inlineStr">
        <is>
          <t>نسبة الإنجاز الفعلية</t>
        </is>
      </c>
      <c r="C11" s="19" t="n"/>
      <c r="D11" s="19" t="n"/>
      <c r="E11" s="19" t="n"/>
      <c r="F11" s="17" t="inlineStr">
        <is>
          <t>نسبة الإنجاز المخططة</t>
        </is>
      </c>
      <c r="G11" s="17" t="n"/>
      <c r="H11" s="17" t="n"/>
      <c r="I11" s="17" t="n"/>
      <c r="J11" s="21" t="inlineStr">
        <is>
          <t>الانحراف (فعلي - مخطط)</t>
        </is>
      </c>
      <c r="K11" s="21" t="n"/>
      <c r="L11" s="21" t="n"/>
      <c r="M11" s="21" t="n"/>
      <c r="N11" s="20" t="inlineStr">
        <is>
          <t>نسبة المدة المنقضية</t>
        </is>
      </c>
      <c r="O11" s="20" t="n"/>
      <c r="P11" s="20" t="n"/>
      <c r="Q11" s="20" t="n"/>
      <c r="R11" s="17" t="inlineStr">
        <is>
          <t>مؤشر أداء الجدول (SPI)</t>
        </is>
      </c>
      <c r="S11" s="17" t="n"/>
      <c r="T11" s="17" t="n"/>
      <c r="U11" s="17" t="n"/>
      <c r="V11" s="17" t="inlineStr">
        <is>
          <t>حالة المشروع</t>
        </is>
      </c>
      <c r="W11" s="17" t="n"/>
      <c r="X11" s="17" t="n"/>
      <c r="Y11" s="17" t="n"/>
      <c r="AA11" s="14" t="inlineStr">
        <is>
          <t>الحد الأقصى للضمان</t>
        </is>
      </c>
      <c r="AB11" s="15">
        <f>N('[9]بيانات العقد'!$C$29)</f>
        <v/>
      </c>
    </row>
    <row r="12" ht="32" customHeight="1">
      <c r="B12" s="28">
        <f>IF($V$9=0,0,N(INDEX($K$22:$K$41,$V$9)))</f>
        <v/>
      </c>
      <c r="C12" s="28" t="n"/>
      <c r="D12" s="28" t="n"/>
      <c r="E12" s="28" t="n"/>
      <c r="F12" s="29">
        <f>IF($V$9=0,0,N(INDEX($L$22:$L$41,$V$9)))</f>
        <v/>
      </c>
      <c r="G12" s="29" t="n"/>
      <c r="H12" s="29" t="n"/>
      <c r="I12" s="29" t="n"/>
      <c r="J12" s="30">
        <f>B12-F12</f>
        <v/>
      </c>
      <c r="K12" s="30" t="n"/>
      <c r="L12" s="30" t="n"/>
      <c r="M12" s="30" t="n"/>
      <c r="N12" s="31">
        <f>IF(OR($V$9=0,$AB$14="",$AB$15=""),0,MIN(1,MAX(0,(INDEX(C22:C41,$V$9)-$AB$14+1)/($AB$15-$AB$14+1))))</f>
        <v/>
      </c>
      <c r="O12" s="31" t="n"/>
      <c r="P12" s="31" t="n"/>
      <c r="Q12" s="31" t="n"/>
      <c r="R12" s="32">
        <f>IF(F12&gt;0,B12/F12,0)</f>
        <v/>
      </c>
      <c r="S12" s="32" t="n"/>
      <c r="T12" s="32" t="n"/>
      <c r="U12" s="32" t="n"/>
      <c r="V12" s="33">
        <f>IF($AB$7=0,"غير مُفعّل",IF($V$9=0,"لم يبدأ الصرف",IF(J12&lt;-0.05,"⚠ متأخر",IF(J12&lt;0,"متأخر قليلاً","✔ مطابق / متقدم"))))</f>
        <v/>
      </c>
      <c r="W12" s="33" t="n"/>
      <c r="X12" s="33" t="n"/>
      <c r="Y12" s="33" t="n"/>
      <c r="AA12" s="14" t="inlineStr">
        <is>
          <t>ضريبة القيمة المضافة</t>
        </is>
      </c>
      <c r="AB12" s="22">
        <f>N('[9]بيانات العقد'!$C$31)</f>
        <v/>
      </c>
    </row>
    <row r="13">
      <c r="AA13" s="14" t="inlineStr">
        <is>
          <t>ضريبة الخصم من المنبع</t>
        </is>
      </c>
      <c r="AB13" s="22">
        <f>N('[9]بيانات العقد'!$C$33)</f>
        <v/>
      </c>
    </row>
    <row r="14" ht="24" customHeight="1">
      <c r="B14" s="17" t="inlineStr">
        <is>
          <t>صافي المستحق التراكمي</t>
        </is>
      </c>
      <c r="C14" s="17" t="n"/>
      <c r="D14" s="17" t="n"/>
      <c r="E14" s="17" t="n"/>
      <c r="F14" s="34" t="inlineStr">
        <is>
          <t>إجمالي المحصل</t>
        </is>
      </c>
      <c r="G14" s="34" t="n"/>
      <c r="H14" s="34" t="n"/>
      <c r="I14" s="34" t="n"/>
      <c r="J14" s="35" t="inlineStr">
        <is>
          <t>مستحقات غير محصلة</t>
        </is>
      </c>
      <c r="K14" s="35" t="n"/>
      <c r="L14" s="35" t="n"/>
      <c r="M14" s="35" t="n"/>
      <c r="N14" s="34" t="inlineStr">
        <is>
          <t>نسبة التحصيل</t>
        </is>
      </c>
      <c r="O14" s="34" t="n"/>
      <c r="P14" s="34" t="n"/>
      <c r="Q14" s="34" t="n"/>
      <c r="R14" s="20" t="inlineStr">
        <is>
          <t>متوسط مدة التحصيل (يوم)</t>
        </is>
      </c>
      <c r="S14" s="20" t="n"/>
      <c r="T14" s="20" t="n"/>
      <c r="U14" s="20" t="n"/>
      <c r="V14" s="21" t="inlineStr">
        <is>
          <t>تاريخ آخر مستخلص</t>
        </is>
      </c>
      <c r="W14" s="21" t="n"/>
      <c r="X14" s="21" t="n"/>
      <c r="Y14" s="21" t="n"/>
      <c r="AA14" s="14" t="inlineStr">
        <is>
          <t>تاريخ البدء</t>
        </is>
      </c>
      <c r="AB14" s="36">
        <f>IF('[9]بيانات العقد'!$C$11="","",'[9]بيانات العقد'!$C$11)</f>
        <v/>
      </c>
    </row>
    <row r="15" ht="32" customHeight="1">
      <c r="B15" s="23">
        <f>IF($V$9=0,0,N(INDEX($T$22:$T$41,$V$9)))</f>
        <v/>
      </c>
      <c r="C15" s="23" t="n"/>
      <c r="D15" s="23" t="n"/>
      <c r="E15" s="23" t="n"/>
      <c r="F15" s="37">
        <f>V42</f>
        <v/>
      </c>
      <c r="G15" s="37" t="n"/>
      <c r="H15" s="37" t="n"/>
      <c r="I15" s="37" t="n"/>
      <c r="J15" s="38">
        <f>W42</f>
        <v/>
      </c>
      <c r="K15" s="38" t="n"/>
      <c r="L15" s="38" t="n"/>
      <c r="M15" s="38" t="n"/>
      <c r="N15" s="39">
        <f>IF(B15&gt;0,F15/B15,0)</f>
        <v/>
      </c>
      <c r="O15" s="39" t="n"/>
      <c r="P15" s="39" t="n"/>
      <c r="Q15" s="39" t="n"/>
      <c r="R15" s="40">
        <f>X42</f>
        <v/>
      </c>
      <c r="S15" s="40" t="n"/>
      <c r="T15" s="40" t="n"/>
      <c r="U15" s="40" t="n"/>
      <c r="V15" s="41">
        <f>IF($V$9=0,"",INDEX(C22:C41,$V$9))</f>
        <v/>
      </c>
      <c r="W15" s="41" t="n"/>
      <c r="X15" s="41" t="n"/>
      <c r="Y15" s="41" t="n"/>
      <c r="AA15" s="14" t="inlineStr">
        <is>
          <t>تاريخ الانتهاء التعاقدي</t>
        </is>
      </c>
      <c r="AB15" s="36">
        <f>IF('[9]بيانات العقد'!$C$13="","",'[9]بيانات العقد'!$C$13)</f>
        <v/>
      </c>
    </row>
    <row r="16">
      <c r="AA16" s="14" t="inlineStr">
        <is>
          <t>المدة (شهر)</t>
        </is>
      </c>
      <c r="AB16" s="42">
        <f>IF('[9]بيانات العقد'!$C$12="","",'[9]بيانات العقد'!$C$12)</f>
        <v/>
      </c>
    </row>
    <row r="17" ht="24" customHeight="1">
      <c r="B17" s="43" t="inlineStr">
        <is>
          <t>ضمان الأعمال المحتجز</t>
        </is>
      </c>
      <c r="C17" s="43" t="n"/>
      <c r="D17" s="43" t="n"/>
      <c r="E17" s="43" t="n"/>
      <c r="F17" s="43" t="inlineStr">
        <is>
          <t>رصيد الدفعة المقدمة غير المسترد</t>
        </is>
      </c>
      <c r="G17" s="43" t="n"/>
      <c r="H17" s="43" t="n"/>
      <c r="I17" s="43" t="n"/>
      <c r="J17" s="43" t="inlineStr">
        <is>
          <t>الاستقطاعات الفنية المحتجزة</t>
        </is>
      </c>
      <c r="K17" s="43" t="n"/>
      <c r="L17" s="43" t="n"/>
      <c r="M17" s="43" t="n"/>
      <c r="N17" s="43" t="inlineStr">
        <is>
          <t>الغرامات والخصومات</t>
        </is>
      </c>
      <c r="O17" s="43" t="n"/>
      <c r="P17" s="43" t="n"/>
      <c r="Q17" s="43" t="n"/>
      <c r="R17" s="19" t="inlineStr">
        <is>
          <t>مستحق آخر مستخلص</t>
        </is>
      </c>
      <c r="S17" s="19" t="n"/>
      <c r="T17" s="19" t="n"/>
      <c r="U17" s="19" t="n"/>
      <c r="V17" s="17" t="inlineStr">
        <is>
          <t>عدد المستخلصات المعتمدة</t>
        </is>
      </c>
      <c r="W17" s="17" t="n"/>
      <c r="X17" s="17" t="n"/>
      <c r="Y17" s="17" t="n"/>
    </row>
    <row r="18" ht="32" customHeight="1">
      <c r="B18" s="44">
        <f>IF($V$9=0,0,N(INDEX($O$22:$O$41,$V$9)))</f>
        <v/>
      </c>
      <c r="C18" s="44" t="n"/>
      <c r="D18" s="44" t="n"/>
      <c r="E18" s="44" t="n"/>
      <c r="F18" s="44">
        <f>MAX(0,$AB$9-IF($V$9=0,0,N(INDEX($N$22:$N$41,$V$9))))</f>
        <v/>
      </c>
      <c r="G18" s="44" t="n"/>
      <c r="H18" s="44" t="n"/>
      <c r="I18" s="44" t="n"/>
      <c r="J18" s="44">
        <f>IF($V$9=0,0,N(INDEX($P$22:$P$41,$V$9)))</f>
        <v/>
      </c>
      <c r="K18" s="44" t="n"/>
      <c r="L18" s="44" t="n"/>
      <c r="M18" s="44" t="n"/>
      <c r="N18" s="44">
        <f>IF($V$9=0,0,N(INDEX($Q$22:$Q$41,$V$9)))</f>
        <v/>
      </c>
      <c r="O18" s="44" t="n"/>
      <c r="P18" s="44" t="n"/>
      <c r="Q18" s="44" t="n"/>
      <c r="R18" s="25">
        <f>IF($V$9=0,0,N(INDEX($U$22:$U$41,$V$9)))</f>
        <v/>
      </c>
      <c r="S18" s="25" t="n"/>
      <c r="T18" s="25" t="n"/>
      <c r="U18" s="25" t="n"/>
      <c r="V18" s="45">
        <f>COUNTIF(E22:E41,"معتمد")</f>
        <v/>
      </c>
      <c r="W18" s="45" t="n"/>
      <c r="X18" s="45" t="n"/>
      <c r="Y18" s="45" t="n"/>
    </row>
    <row r="20">
      <c r="B20" s="46" t="inlineStr">
        <is>
          <t>سجل المستخلصات (مرتبط)</t>
        </is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</row>
    <row r="21" ht="48" customHeight="1">
      <c r="B21" s="47" t="inlineStr">
        <is>
          <t>رقم المستخلص</t>
        </is>
      </c>
      <c r="C21" s="47" t="inlineStr">
        <is>
          <t>الفترة إلى</t>
        </is>
      </c>
      <c r="D21" s="47" t="inlineStr">
        <is>
          <t>تاريخ الاعتماد</t>
        </is>
      </c>
      <c r="E21" s="47" t="inlineStr">
        <is>
          <t>حالة المستخلص</t>
        </is>
      </c>
      <c r="F21" s="47" t="inlineStr">
        <is>
          <t>أعمال الفترة</t>
        </is>
      </c>
      <c r="G21" s="47" t="inlineStr">
        <is>
          <t>الأعمال المنفذة التراكمية</t>
        </is>
      </c>
      <c r="H21" s="47" t="inlineStr">
        <is>
          <t>التغييرية التراكمية</t>
        </is>
      </c>
      <c r="I21" s="47" t="inlineStr">
        <is>
          <t>رصيد المواد بالموقع</t>
        </is>
      </c>
      <c r="J21" s="47" t="inlineStr">
        <is>
          <t>إجمالي القيمة التراكمية</t>
        </is>
      </c>
      <c r="K21" s="47" t="inlineStr">
        <is>
          <t>نسبة الإنجاز الفعلية</t>
        </is>
      </c>
      <c r="L21" s="47" t="inlineStr">
        <is>
          <t>نسبة الإنجاز المخططة</t>
        </is>
      </c>
      <c r="M21" s="47" t="inlineStr">
        <is>
          <t>الانحراف</t>
        </is>
      </c>
      <c r="N21" s="47" t="inlineStr">
        <is>
          <t>استرداد الدفعة المقدمة</t>
        </is>
      </c>
      <c r="O21" s="47" t="inlineStr">
        <is>
          <t>صافي الضمان المحتجز</t>
        </is>
      </c>
      <c r="P21" s="47" t="inlineStr">
        <is>
          <t>الاستقطاعات الفنية</t>
        </is>
      </c>
      <c r="Q21" s="47" t="inlineStr">
        <is>
          <t>الغرامات والخصومات</t>
        </is>
      </c>
      <c r="R21" s="47" t="inlineStr">
        <is>
          <t>ضريبة القيمة المضافة</t>
        </is>
      </c>
      <c r="S21" s="47" t="inlineStr">
        <is>
          <t>ضريبة الخصم من المنبع</t>
        </is>
      </c>
      <c r="T21" s="47" t="inlineStr">
        <is>
          <t>صافي المستحق التراكمي</t>
        </is>
      </c>
      <c r="U21" s="47" t="inlineStr">
        <is>
          <t>المستحق للمستخلص الحالي</t>
        </is>
      </c>
      <c r="V21" s="47" t="inlineStr">
        <is>
          <t>المحصل</t>
        </is>
      </c>
      <c r="W21" s="47" t="inlineStr">
        <is>
          <t>المتبقي</t>
        </is>
      </c>
      <c r="X21" s="47" t="inlineStr">
        <is>
          <t>مدة التحصيل (يوم)</t>
        </is>
      </c>
      <c r="Y21" s="47" t="inlineStr">
        <is>
          <t>حالة التحصيل</t>
        </is>
      </c>
    </row>
    <row r="22">
      <c r="B22" s="48" t="n">
        <v>1</v>
      </c>
      <c r="C22" s="49">
        <f>IF('[9]سجل المستخلصات'!$C$6="","",'[9]سجل المستخلصات'!$C$6)</f>
        <v/>
      </c>
      <c r="D22" s="49">
        <f>IF('[9]سجل المستخلصات'!$E$6="","",'[9]سجل المستخلصات'!$E$6)</f>
        <v/>
      </c>
      <c r="E22" s="50">
        <f>IF('[9]سجل المستخلصات'!$F$6="","",'[9]سجل المستخلصات'!$F$6)</f>
        <v/>
      </c>
      <c r="F22" s="51">
        <f>IF('[9]سجل المستخلصات'!$H$6="","",'[9]سجل المستخلصات'!$H$6)</f>
        <v/>
      </c>
      <c r="G22" s="51">
        <f>IF('[9]سجل المستخلصات'!$G$6="","",'[9]سجل المستخلصات'!$G$6)</f>
        <v/>
      </c>
      <c r="H22" s="51">
        <f>IF('[9]سجل المستخلصات'!$I$6="","",'[9]سجل المستخلصات'!$I$6)</f>
        <v/>
      </c>
      <c r="I22" s="51">
        <f>IF('[9]سجل المستخلصات'!$J$6="","",'[9]سجل المستخلصات'!$J$6)</f>
        <v/>
      </c>
      <c r="J22" s="51">
        <f>IF('[9]سجل المستخلصات'!$K$6="","",'[9]سجل المستخلصات'!$K$6)</f>
        <v/>
      </c>
      <c r="K22" s="52">
        <f>IF('[9]سجل المستخلصات'!$L$6="","",'[9]سجل المستخلصات'!$L$6)</f>
        <v/>
      </c>
      <c r="L22" s="52">
        <f>IF('[9]سجل المستخلصات'!$M$6="","",'[9]سجل المستخلصات'!$M$6)</f>
        <v/>
      </c>
      <c r="M22" s="52">
        <f>IF('[9]سجل المستخلصات'!$N$6="","",'[9]سجل المستخلصات'!$N$6)</f>
        <v/>
      </c>
      <c r="N22" s="51">
        <f>IF('[9]سجل المستخلصات'!$O$6="","",'[9]سجل المستخلصات'!$O$6)</f>
        <v/>
      </c>
      <c r="O22" s="51">
        <f>IF('[9]سجل المستخلصات'!$R$6="","",'[9]سجل المستخلصات'!$R$6)</f>
        <v/>
      </c>
      <c r="P22" s="51">
        <f>IF('[9]سجل المستخلصات'!$S$6="","",'[9]سجل المستخلصات'!$S$6)</f>
        <v/>
      </c>
      <c r="Q22" s="51">
        <f>IF('[9]سجل المستخلصات'!$T$6="","",'[9]سجل المستخلصات'!$T$6)</f>
        <v/>
      </c>
      <c r="R22" s="51">
        <f>IF('[9]سجل المستخلصات'!$V$6="","",'[9]سجل المستخلصات'!$V$6)</f>
        <v/>
      </c>
      <c r="S22" s="51">
        <f>IF('[9]سجل المستخلصات'!$W$6="","",'[9]سجل المستخلصات'!$W$6)</f>
        <v/>
      </c>
      <c r="T22" s="53">
        <f>IF('[9]سجل المستخلصات'!$X$6="","",'[9]سجل المستخلصات'!$X$6)</f>
        <v/>
      </c>
      <c r="U22" s="53">
        <f>IF('[9]سجل المستخلصات'!$Z$6="","",'[9]سجل المستخلصات'!$Z$6)</f>
        <v/>
      </c>
      <c r="V22" s="51">
        <f>IF('[9]سجل المستخلصات'!$AA$6="","",'[9]سجل المستخلصات'!$AA$6)</f>
        <v/>
      </c>
      <c r="W22" s="51">
        <f>IF('[9]سجل المستخلصات'!$AC$6="","",'[9]سجل المستخلصات'!$AC$6)</f>
        <v/>
      </c>
      <c r="X22" s="54">
        <f>IF('[9]سجل المستخلصات'!$AD$6="","",'[9]سجل المستخلصات'!$AD$6)</f>
        <v/>
      </c>
      <c r="Y22" s="50">
        <f>IF('[9]سجل المستخلصات'!$AE$6="","",'[9]سجل المستخلصات'!$AE$6)</f>
        <v/>
      </c>
    </row>
    <row r="23">
      <c r="B23" s="48" t="n">
        <v>2</v>
      </c>
      <c r="C23" s="49">
        <f>IF('[9]سجل المستخلصات'!$C$7="","",'[9]سجل المستخلصات'!$C$7)</f>
        <v/>
      </c>
      <c r="D23" s="49">
        <f>IF('[9]سجل المستخلصات'!$E$7="","",'[9]سجل المستخلصات'!$E$7)</f>
        <v/>
      </c>
      <c r="E23" s="50">
        <f>IF('[9]سجل المستخلصات'!$F$7="","",'[9]سجل المستخلصات'!$F$7)</f>
        <v/>
      </c>
      <c r="F23" s="51">
        <f>IF('[9]سجل المستخلصات'!$H$7="","",'[9]سجل المستخلصات'!$H$7)</f>
        <v/>
      </c>
      <c r="G23" s="51">
        <f>IF('[9]سجل المستخلصات'!$G$7="","",'[9]سجل المستخلصات'!$G$7)</f>
        <v/>
      </c>
      <c r="H23" s="51">
        <f>IF('[9]سجل المستخلصات'!$I$7="","",'[9]سجل المستخلصات'!$I$7)</f>
        <v/>
      </c>
      <c r="I23" s="51">
        <f>IF('[9]سجل المستخلصات'!$J$7="","",'[9]سجل المستخلصات'!$J$7)</f>
        <v/>
      </c>
      <c r="J23" s="51">
        <f>IF('[9]سجل المستخلصات'!$K$7="","",'[9]سجل المستخلصات'!$K$7)</f>
        <v/>
      </c>
      <c r="K23" s="52">
        <f>IF('[9]سجل المستخلصات'!$L$7="","",'[9]سجل المستخلصات'!$L$7)</f>
        <v/>
      </c>
      <c r="L23" s="52">
        <f>IF('[9]سجل المستخلصات'!$M$7="","",'[9]سجل المستخلصات'!$M$7)</f>
        <v/>
      </c>
      <c r="M23" s="52">
        <f>IF('[9]سجل المستخلصات'!$N$7="","",'[9]سجل المستخلصات'!$N$7)</f>
        <v/>
      </c>
      <c r="N23" s="51">
        <f>IF('[9]سجل المستخلصات'!$O$7="","",'[9]سجل المستخلصات'!$O$7)</f>
        <v/>
      </c>
      <c r="O23" s="51">
        <f>IF('[9]سجل المستخلصات'!$R$7="","",'[9]سجل المستخلصات'!$R$7)</f>
        <v/>
      </c>
      <c r="P23" s="51">
        <f>IF('[9]سجل المستخلصات'!$S$7="","",'[9]سجل المستخلصات'!$S$7)</f>
        <v/>
      </c>
      <c r="Q23" s="51">
        <f>IF('[9]سجل المستخلصات'!$T$7="","",'[9]سجل المستخلصات'!$T$7)</f>
        <v/>
      </c>
      <c r="R23" s="51">
        <f>IF('[9]سجل المستخلصات'!$V$7="","",'[9]سجل المستخلصات'!$V$7)</f>
        <v/>
      </c>
      <c r="S23" s="51">
        <f>IF('[9]سجل المستخلصات'!$W$7="","",'[9]سجل المستخلصات'!$W$7)</f>
        <v/>
      </c>
      <c r="T23" s="53">
        <f>IF('[9]سجل المستخلصات'!$X$7="","",'[9]سجل المستخلصات'!$X$7)</f>
        <v/>
      </c>
      <c r="U23" s="53">
        <f>IF('[9]سجل المستخلصات'!$Z$7="","",'[9]سجل المستخلصات'!$Z$7)</f>
        <v/>
      </c>
      <c r="V23" s="51">
        <f>IF('[9]سجل المستخلصات'!$AA$7="","",'[9]سجل المستخلصات'!$AA$7)</f>
        <v/>
      </c>
      <c r="W23" s="51">
        <f>IF('[9]سجل المستخلصات'!$AC$7="","",'[9]سجل المستخلصات'!$AC$7)</f>
        <v/>
      </c>
      <c r="X23" s="54">
        <f>IF('[9]سجل المستخلصات'!$AD$7="","",'[9]سجل المستخلصات'!$AD$7)</f>
        <v/>
      </c>
      <c r="Y23" s="50">
        <f>IF('[9]سجل المستخلصات'!$AE$7="","",'[9]سجل المستخلصات'!$AE$7)</f>
        <v/>
      </c>
    </row>
    <row r="24">
      <c r="B24" s="48" t="n">
        <v>3</v>
      </c>
      <c r="C24" s="49">
        <f>IF('[9]سجل المستخلصات'!$C$8="","",'[9]سجل المستخلصات'!$C$8)</f>
        <v/>
      </c>
      <c r="D24" s="49">
        <f>IF('[9]سجل المستخلصات'!$E$8="","",'[9]سجل المستخلصات'!$E$8)</f>
        <v/>
      </c>
      <c r="E24" s="50">
        <f>IF('[9]سجل المستخلصات'!$F$8="","",'[9]سجل المستخلصات'!$F$8)</f>
        <v/>
      </c>
      <c r="F24" s="51">
        <f>IF('[9]سجل المستخلصات'!$H$8="","",'[9]سجل المستخلصات'!$H$8)</f>
        <v/>
      </c>
      <c r="G24" s="51">
        <f>IF('[9]سجل المستخلصات'!$G$8="","",'[9]سجل المستخلصات'!$G$8)</f>
        <v/>
      </c>
      <c r="H24" s="51">
        <f>IF('[9]سجل المستخلصات'!$I$8="","",'[9]سجل المستخلصات'!$I$8)</f>
        <v/>
      </c>
      <c r="I24" s="51">
        <f>IF('[9]سجل المستخلصات'!$J$8="","",'[9]سجل المستخلصات'!$J$8)</f>
        <v/>
      </c>
      <c r="J24" s="51">
        <f>IF('[9]سجل المستخلصات'!$K$8="","",'[9]سجل المستخلصات'!$K$8)</f>
        <v/>
      </c>
      <c r="K24" s="52">
        <f>IF('[9]سجل المستخلصات'!$L$8="","",'[9]سجل المستخلصات'!$L$8)</f>
        <v/>
      </c>
      <c r="L24" s="52">
        <f>IF('[9]سجل المستخلصات'!$M$8="","",'[9]سجل المستخلصات'!$M$8)</f>
        <v/>
      </c>
      <c r="M24" s="52">
        <f>IF('[9]سجل المستخلصات'!$N$8="","",'[9]سجل المستخلصات'!$N$8)</f>
        <v/>
      </c>
      <c r="N24" s="51">
        <f>IF('[9]سجل المستخلصات'!$O$8="","",'[9]سجل المستخلصات'!$O$8)</f>
        <v/>
      </c>
      <c r="O24" s="51">
        <f>IF('[9]سجل المستخلصات'!$R$8="","",'[9]سجل المستخلصات'!$R$8)</f>
        <v/>
      </c>
      <c r="P24" s="51">
        <f>IF('[9]سجل المستخلصات'!$S$8="","",'[9]سجل المستخلصات'!$S$8)</f>
        <v/>
      </c>
      <c r="Q24" s="51">
        <f>IF('[9]سجل المستخلصات'!$T$8="","",'[9]سجل المستخلصات'!$T$8)</f>
        <v/>
      </c>
      <c r="R24" s="51">
        <f>IF('[9]سجل المستخلصات'!$V$8="","",'[9]سجل المستخلصات'!$V$8)</f>
        <v/>
      </c>
      <c r="S24" s="51">
        <f>IF('[9]سجل المستخلصات'!$W$8="","",'[9]سجل المستخلصات'!$W$8)</f>
        <v/>
      </c>
      <c r="T24" s="53">
        <f>IF('[9]سجل المستخلصات'!$X$8="","",'[9]سجل المستخلصات'!$X$8)</f>
        <v/>
      </c>
      <c r="U24" s="53">
        <f>IF('[9]سجل المستخلصات'!$Z$8="","",'[9]سجل المستخلصات'!$Z$8)</f>
        <v/>
      </c>
      <c r="V24" s="51">
        <f>IF('[9]سجل المستخلصات'!$AA$8="","",'[9]سجل المستخلصات'!$AA$8)</f>
        <v/>
      </c>
      <c r="W24" s="51">
        <f>IF('[9]سجل المستخلصات'!$AC$8="","",'[9]سجل المستخلصات'!$AC$8)</f>
        <v/>
      </c>
      <c r="X24" s="54">
        <f>IF('[9]سجل المستخلصات'!$AD$8="","",'[9]سجل المستخلصات'!$AD$8)</f>
        <v/>
      </c>
      <c r="Y24" s="50">
        <f>IF('[9]سجل المستخلصات'!$AE$8="","",'[9]سجل المستخلصات'!$AE$8)</f>
        <v/>
      </c>
    </row>
    <row r="25">
      <c r="B25" s="48" t="n">
        <v>4</v>
      </c>
      <c r="C25" s="49">
        <f>IF('[9]سجل المستخلصات'!$C$9="","",'[9]سجل المستخلصات'!$C$9)</f>
        <v/>
      </c>
      <c r="D25" s="49">
        <f>IF('[9]سجل المستخلصات'!$E$9="","",'[9]سجل المستخلصات'!$E$9)</f>
        <v/>
      </c>
      <c r="E25" s="50">
        <f>IF('[9]سجل المستخلصات'!$F$9="","",'[9]سجل المستخلصات'!$F$9)</f>
        <v/>
      </c>
      <c r="F25" s="51">
        <f>IF('[9]سجل المستخلصات'!$H$9="","",'[9]سجل المستخلصات'!$H$9)</f>
        <v/>
      </c>
      <c r="G25" s="51">
        <f>IF('[9]سجل المستخلصات'!$G$9="","",'[9]سجل المستخلصات'!$G$9)</f>
        <v/>
      </c>
      <c r="H25" s="51">
        <f>IF('[9]سجل المستخلصات'!$I$9="","",'[9]سجل المستخلصات'!$I$9)</f>
        <v/>
      </c>
      <c r="I25" s="51">
        <f>IF('[9]سجل المستخلصات'!$J$9="","",'[9]سجل المستخلصات'!$J$9)</f>
        <v/>
      </c>
      <c r="J25" s="51">
        <f>IF('[9]سجل المستخلصات'!$K$9="","",'[9]سجل المستخلصات'!$K$9)</f>
        <v/>
      </c>
      <c r="K25" s="52">
        <f>IF('[9]سجل المستخلصات'!$L$9="","",'[9]سجل المستخلصات'!$L$9)</f>
        <v/>
      </c>
      <c r="L25" s="52">
        <f>IF('[9]سجل المستخلصات'!$M$9="","",'[9]سجل المستخلصات'!$M$9)</f>
        <v/>
      </c>
      <c r="M25" s="52">
        <f>IF('[9]سجل المستخلصات'!$N$9="","",'[9]سجل المستخلصات'!$N$9)</f>
        <v/>
      </c>
      <c r="N25" s="51">
        <f>IF('[9]سجل المستخلصات'!$O$9="","",'[9]سجل المستخلصات'!$O$9)</f>
        <v/>
      </c>
      <c r="O25" s="51">
        <f>IF('[9]سجل المستخلصات'!$R$9="","",'[9]سجل المستخلصات'!$R$9)</f>
        <v/>
      </c>
      <c r="P25" s="51">
        <f>IF('[9]سجل المستخلصات'!$S$9="","",'[9]سجل المستخلصات'!$S$9)</f>
        <v/>
      </c>
      <c r="Q25" s="51">
        <f>IF('[9]سجل المستخلصات'!$T$9="","",'[9]سجل المستخلصات'!$T$9)</f>
        <v/>
      </c>
      <c r="R25" s="51">
        <f>IF('[9]سجل المستخلصات'!$V$9="","",'[9]سجل المستخلصات'!$V$9)</f>
        <v/>
      </c>
      <c r="S25" s="51">
        <f>IF('[9]سجل المستخلصات'!$W$9="","",'[9]سجل المستخلصات'!$W$9)</f>
        <v/>
      </c>
      <c r="T25" s="53">
        <f>IF('[9]سجل المستخلصات'!$X$9="","",'[9]سجل المستخلصات'!$X$9)</f>
        <v/>
      </c>
      <c r="U25" s="53">
        <f>IF('[9]سجل المستخلصات'!$Z$9="","",'[9]سجل المستخلصات'!$Z$9)</f>
        <v/>
      </c>
      <c r="V25" s="51">
        <f>IF('[9]سجل المستخلصات'!$AA$9="","",'[9]سجل المستخلصات'!$AA$9)</f>
        <v/>
      </c>
      <c r="W25" s="51">
        <f>IF('[9]سجل المستخلصات'!$AC$9="","",'[9]سجل المستخلصات'!$AC$9)</f>
        <v/>
      </c>
      <c r="X25" s="54">
        <f>IF('[9]سجل المستخلصات'!$AD$9="","",'[9]سجل المستخلصات'!$AD$9)</f>
        <v/>
      </c>
      <c r="Y25" s="50">
        <f>IF('[9]سجل المستخلصات'!$AE$9="","",'[9]سجل المستخلصات'!$AE$9)</f>
        <v/>
      </c>
    </row>
    <row r="26">
      <c r="B26" s="48" t="n">
        <v>5</v>
      </c>
      <c r="C26" s="49">
        <f>IF('[9]سجل المستخلصات'!$C$10="","",'[9]سجل المستخلصات'!$C$10)</f>
        <v/>
      </c>
      <c r="D26" s="49">
        <f>IF('[9]سجل المستخلصات'!$E$10="","",'[9]سجل المستخلصات'!$E$10)</f>
        <v/>
      </c>
      <c r="E26" s="50">
        <f>IF('[9]سجل المستخلصات'!$F$10="","",'[9]سجل المستخلصات'!$F$10)</f>
        <v/>
      </c>
      <c r="F26" s="51">
        <f>IF('[9]سجل المستخلصات'!$H$10="","",'[9]سجل المستخلصات'!$H$10)</f>
        <v/>
      </c>
      <c r="G26" s="51">
        <f>IF('[9]سجل المستخلصات'!$G$10="","",'[9]سجل المستخلصات'!$G$10)</f>
        <v/>
      </c>
      <c r="H26" s="51">
        <f>IF('[9]سجل المستخلصات'!$I$10="","",'[9]سجل المستخلصات'!$I$10)</f>
        <v/>
      </c>
      <c r="I26" s="51">
        <f>IF('[9]سجل المستخلصات'!$J$10="","",'[9]سجل المستخلصات'!$J$10)</f>
        <v/>
      </c>
      <c r="J26" s="51">
        <f>IF('[9]سجل المستخلصات'!$K$10="","",'[9]سجل المستخلصات'!$K$10)</f>
        <v/>
      </c>
      <c r="K26" s="52">
        <f>IF('[9]سجل المستخلصات'!$L$10="","",'[9]سجل المستخلصات'!$L$10)</f>
        <v/>
      </c>
      <c r="L26" s="52">
        <f>IF('[9]سجل المستخلصات'!$M$10="","",'[9]سجل المستخلصات'!$M$10)</f>
        <v/>
      </c>
      <c r="M26" s="52">
        <f>IF('[9]سجل المستخلصات'!$N$10="","",'[9]سجل المستخلصات'!$N$10)</f>
        <v/>
      </c>
      <c r="N26" s="51">
        <f>IF('[9]سجل المستخلصات'!$O$10="","",'[9]سجل المستخلصات'!$O$10)</f>
        <v/>
      </c>
      <c r="O26" s="51">
        <f>IF('[9]سجل المستخلصات'!$R$10="","",'[9]سجل المستخلصات'!$R$10)</f>
        <v/>
      </c>
      <c r="P26" s="51">
        <f>IF('[9]سجل المستخلصات'!$S$10="","",'[9]سجل المستخلصات'!$S$10)</f>
        <v/>
      </c>
      <c r="Q26" s="51">
        <f>IF('[9]سجل المستخلصات'!$T$10="","",'[9]سجل المستخلصات'!$T$10)</f>
        <v/>
      </c>
      <c r="R26" s="51">
        <f>IF('[9]سجل المستخلصات'!$V$10="","",'[9]سجل المستخلصات'!$V$10)</f>
        <v/>
      </c>
      <c r="S26" s="51">
        <f>IF('[9]سجل المستخلصات'!$W$10="","",'[9]سجل المستخلصات'!$W$10)</f>
        <v/>
      </c>
      <c r="T26" s="53">
        <f>IF('[9]سجل المستخلصات'!$X$10="","",'[9]سجل المستخلصات'!$X$10)</f>
        <v/>
      </c>
      <c r="U26" s="53">
        <f>IF('[9]سجل المستخلصات'!$Z$10="","",'[9]سجل المستخلصات'!$Z$10)</f>
        <v/>
      </c>
      <c r="V26" s="51">
        <f>IF('[9]سجل المستخلصات'!$AA$10="","",'[9]سجل المستخلصات'!$AA$10)</f>
        <v/>
      </c>
      <c r="W26" s="51">
        <f>IF('[9]سجل المستخلصات'!$AC$10="","",'[9]سجل المستخلصات'!$AC$10)</f>
        <v/>
      </c>
      <c r="X26" s="54">
        <f>IF('[9]سجل المستخلصات'!$AD$10="","",'[9]سجل المستخلصات'!$AD$10)</f>
        <v/>
      </c>
      <c r="Y26" s="50">
        <f>IF('[9]سجل المستخلصات'!$AE$10="","",'[9]سجل المستخلصات'!$AE$10)</f>
        <v/>
      </c>
    </row>
    <row r="27">
      <c r="B27" s="48" t="n">
        <v>6</v>
      </c>
      <c r="C27" s="49">
        <f>IF('[9]سجل المستخلصات'!$C$11="","",'[9]سجل المستخلصات'!$C$11)</f>
        <v/>
      </c>
      <c r="D27" s="49">
        <f>IF('[9]سجل المستخلصات'!$E$11="","",'[9]سجل المستخلصات'!$E$11)</f>
        <v/>
      </c>
      <c r="E27" s="50">
        <f>IF('[9]سجل المستخلصات'!$F$11="","",'[9]سجل المستخلصات'!$F$11)</f>
        <v/>
      </c>
      <c r="F27" s="51">
        <f>IF('[9]سجل المستخلصات'!$H$11="","",'[9]سجل المستخلصات'!$H$11)</f>
        <v/>
      </c>
      <c r="G27" s="51">
        <f>IF('[9]سجل المستخلصات'!$G$11="","",'[9]سجل المستخلصات'!$G$11)</f>
        <v/>
      </c>
      <c r="H27" s="51">
        <f>IF('[9]سجل المستخلصات'!$I$11="","",'[9]سجل المستخلصات'!$I$11)</f>
        <v/>
      </c>
      <c r="I27" s="51">
        <f>IF('[9]سجل المستخلصات'!$J$11="","",'[9]سجل المستخلصات'!$J$11)</f>
        <v/>
      </c>
      <c r="J27" s="51">
        <f>IF('[9]سجل المستخلصات'!$K$11="","",'[9]سجل المستخلصات'!$K$11)</f>
        <v/>
      </c>
      <c r="K27" s="52">
        <f>IF('[9]سجل المستخلصات'!$L$11="","",'[9]سجل المستخلصات'!$L$11)</f>
        <v/>
      </c>
      <c r="L27" s="52">
        <f>IF('[9]سجل المستخلصات'!$M$11="","",'[9]سجل المستخلصات'!$M$11)</f>
        <v/>
      </c>
      <c r="M27" s="52">
        <f>IF('[9]سجل المستخلصات'!$N$11="","",'[9]سجل المستخلصات'!$N$11)</f>
        <v/>
      </c>
      <c r="N27" s="51">
        <f>IF('[9]سجل المستخلصات'!$O$11="","",'[9]سجل المستخلصات'!$O$11)</f>
        <v/>
      </c>
      <c r="O27" s="51">
        <f>IF('[9]سجل المستخلصات'!$R$11="","",'[9]سجل المستخلصات'!$R$11)</f>
        <v/>
      </c>
      <c r="P27" s="51">
        <f>IF('[9]سجل المستخلصات'!$S$11="","",'[9]سجل المستخلصات'!$S$11)</f>
        <v/>
      </c>
      <c r="Q27" s="51">
        <f>IF('[9]سجل المستخلصات'!$T$11="","",'[9]سجل المستخلصات'!$T$11)</f>
        <v/>
      </c>
      <c r="R27" s="51">
        <f>IF('[9]سجل المستخلصات'!$V$11="","",'[9]سجل المستخلصات'!$V$11)</f>
        <v/>
      </c>
      <c r="S27" s="51">
        <f>IF('[9]سجل المستخلصات'!$W$11="","",'[9]سجل المستخلصات'!$W$11)</f>
        <v/>
      </c>
      <c r="T27" s="53">
        <f>IF('[9]سجل المستخلصات'!$X$11="","",'[9]سجل المستخلصات'!$X$11)</f>
        <v/>
      </c>
      <c r="U27" s="53">
        <f>IF('[9]سجل المستخلصات'!$Z$11="","",'[9]سجل المستخلصات'!$Z$11)</f>
        <v/>
      </c>
      <c r="V27" s="51">
        <f>IF('[9]سجل المستخلصات'!$AA$11="","",'[9]سجل المستخلصات'!$AA$11)</f>
        <v/>
      </c>
      <c r="W27" s="51">
        <f>IF('[9]سجل المستخلصات'!$AC$11="","",'[9]سجل المستخلصات'!$AC$11)</f>
        <v/>
      </c>
      <c r="X27" s="54">
        <f>IF('[9]سجل المستخلصات'!$AD$11="","",'[9]سجل المستخلصات'!$AD$11)</f>
        <v/>
      </c>
      <c r="Y27" s="50">
        <f>IF('[9]سجل المستخلصات'!$AE$11="","",'[9]سجل المستخلصات'!$AE$11)</f>
        <v/>
      </c>
    </row>
    <row r="28">
      <c r="B28" s="48" t="n">
        <v>7</v>
      </c>
      <c r="C28" s="49">
        <f>IF('[9]سجل المستخلصات'!$C$12="","",'[9]سجل المستخلصات'!$C$12)</f>
        <v/>
      </c>
      <c r="D28" s="49">
        <f>IF('[9]سجل المستخلصات'!$E$12="","",'[9]سجل المستخلصات'!$E$12)</f>
        <v/>
      </c>
      <c r="E28" s="50">
        <f>IF('[9]سجل المستخلصات'!$F$12="","",'[9]سجل المستخلصات'!$F$12)</f>
        <v/>
      </c>
      <c r="F28" s="51">
        <f>IF('[9]سجل المستخلصات'!$H$12="","",'[9]سجل المستخلصات'!$H$12)</f>
        <v/>
      </c>
      <c r="G28" s="51">
        <f>IF('[9]سجل المستخلصات'!$G$12="","",'[9]سجل المستخلصات'!$G$12)</f>
        <v/>
      </c>
      <c r="H28" s="51">
        <f>IF('[9]سجل المستخلصات'!$I$12="","",'[9]سجل المستخلصات'!$I$12)</f>
        <v/>
      </c>
      <c r="I28" s="51">
        <f>IF('[9]سجل المستخلصات'!$J$12="","",'[9]سجل المستخلصات'!$J$12)</f>
        <v/>
      </c>
      <c r="J28" s="51">
        <f>IF('[9]سجل المستخلصات'!$K$12="","",'[9]سجل المستخلصات'!$K$12)</f>
        <v/>
      </c>
      <c r="K28" s="52">
        <f>IF('[9]سجل المستخلصات'!$L$12="","",'[9]سجل المستخلصات'!$L$12)</f>
        <v/>
      </c>
      <c r="L28" s="52">
        <f>IF('[9]سجل المستخلصات'!$M$12="","",'[9]سجل المستخلصات'!$M$12)</f>
        <v/>
      </c>
      <c r="M28" s="52">
        <f>IF('[9]سجل المستخلصات'!$N$12="","",'[9]سجل المستخلصات'!$N$12)</f>
        <v/>
      </c>
      <c r="N28" s="51">
        <f>IF('[9]سجل المستخلصات'!$O$12="","",'[9]سجل المستخلصات'!$O$12)</f>
        <v/>
      </c>
      <c r="O28" s="51">
        <f>IF('[9]سجل المستخلصات'!$R$12="","",'[9]سجل المستخلصات'!$R$12)</f>
        <v/>
      </c>
      <c r="P28" s="51">
        <f>IF('[9]سجل المستخلصات'!$S$12="","",'[9]سجل المستخلصات'!$S$12)</f>
        <v/>
      </c>
      <c r="Q28" s="51">
        <f>IF('[9]سجل المستخلصات'!$T$12="","",'[9]سجل المستخلصات'!$T$12)</f>
        <v/>
      </c>
      <c r="R28" s="51">
        <f>IF('[9]سجل المستخلصات'!$V$12="","",'[9]سجل المستخلصات'!$V$12)</f>
        <v/>
      </c>
      <c r="S28" s="51">
        <f>IF('[9]سجل المستخلصات'!$W$12="","",'[9]سجل المستخلصات'!$W$12)</f>
        <v/>
      </c>
      <c r="T28" s="53">
        <f>IF('[9]سجل المستخلصات'!$X$12="","",'[9]سجل المستخلصات'!$X$12)</f>
        <v/>
      </c>
      <c r="U28" s="53">
        <f>IF('[9]سجل المستخلصات'!$Z$12="","",'[9]سجل المستخلصات'!$Z$12)</f>
        <v/>
      </c>
      <c r="V28" s="51">
        <f>IF('[9]سجل المستخلصات'!$AA$12="","",'[9]سجل المستخلصات'!$AA$12)</f>
        <v/>
      </c>
      <c r="W28" s="51">
        <f>IF('[9]سجل المستخلصات'!$AC$12="","",'[9]سجل المستخلصات'!$AC$12)</f>
        <v/>
      </c>
      <c r="X28" s="54">
        <f>IF('[9]سجل المستخلصات'!$AD$12="","",'[9]سجل المستخلصات'!$AD$12)</f>
        <v/>
      </c>
      <c r="Y28" s="50">
        <f>IF('[9]سجل المستخلصات'!$AE$12="","",'[9]سجل المستخلصات'!$AE$12)</f>
        <v/>
      </c>
    </row>
    <row r="29">
      <c r="B29" s="48" t="n">
        <v>8</v>
      </c>
      <c r="C29" s="49">
        <f>IF('[9]سجل المستخلصات'!$C$13="","",'[9]سجل المستخلصات'!$C$13)</f>
        <v/>
      </c>
      <c r="D29" s="49">
        <f>IF('[9]سجل المستخلصات'!$E$13="","",'[9]سجل المستخلصات'!$E$13)</f>
        <v/>
      </c>
      <c r="E29" s="50">
        <f>IF('[9]سجل المستخلصات'!$F$13="","",'[9]سجل المستخلصات'!$F$13)</f>
        <v/>
      </c>
      <c r="F29" s="51">
        <f>IF('[9]سجل المستخلصات'!$H$13="","",'[9]سجل المستخلصات'!$H$13)</f>
        <v/>
      </c>
      <c r="G29" s="51">
        <f>IF('[9]سجل المستخلصات'!$G$13="","",'[9]سجل المستخلصات'!$G$13)</f>
        <v/>
      </c>
      <c r="H29" s="51">
        <f>IF('[9]سجل المستخلصات'!$I$13="","",'[9]سجل المستخلصات'!$I$13)</f>
        <v/>
      </c>
      <c r="I29" s="51">
        <f>IF('[9]سجل المستخلصات'!$J$13="","",'[9]سجل المستخلصات'!$J$13)</f>
        <v/>
      </c>
      <c r="J29" s="51">
        <f>IF('[9]سجل المستخلصات'!$K$13="","",'[9]سجل المستخلصات'!$K$13)</f>
        <v/>
      </c>
      <c r="K29" s="52">
        <f>IF('[9]سجل المستخلصات'!$L$13="","",'[9]سجل المستخلصات'!$L$13)</f>
        <v/>
      </c>
      <c r="L29" s="52">
        <f>IF('[9]سجل المستخلصات'!$M$13="","",'[9]سجل المستخلصات'!$M$13)</f>
        <v/>
      </c>
      <c r="M29" s="52">
        <f>IF('[9]سجل المستخلصات'!$N$13="","",'[9]سجل المستخلصات'!$N$13)</f>
        <v/>
      </c>
      <c r="N29" s="51">
        <f>IF('[9]سجل المستخلصات'!$O$13="","",'[9]سجل المستخلصات'!$O$13)</f>
        <v/>
      </c>
      <c r="O29" s="51">
        <f>IF('[9]سجل المستخلصات'!$R$13="","",'[9]سجل المستخلصات'!$R$13)</f>
        <v/>
      </c>
      <c r="P29" s="51">
        <f>IF('[9]سجل المستخلصات'!$S$13="","",'[9]سجل المستخلصات'!$S$13)</f>
        <v/>
      </c>
      <c r="Q29" s="51">
        <f>IF('[9]سجل المستخلصات'!$T$13="","",'[9]سجل المستخلصات'!$T$13)</f>
        <v/>
      </c>
      <c r="R29" s="51">
        <f>IF('[9]سجل المستخلصات'!$V$13="","",'[9]سجل المستخلصات'!$V$13)</f>
        <v/>
      </c>
      <c r="S29" s="51">
        <f>IF('[9]سجل المستخلصات'!$W$13="","",'[9]سجل المستخلصات'!$W$13)</f>
        <v/>
      </c>
      <c r="T29" s="53">
        <f>IF('[9]سجل المستخلصات'!$X$13="","",'[9]سجل المستخلصات'!$X$13)</f>
        <v/>
      </c>
      <c r="U29" s="53">
        <f>IF('[9]سجل المستخلصات'!$Z$13="","",'[9]سجل المستخلصات'!$Z$13)</f>
        <v/>
      </c>
      <c r="V29" s="51">
        <f>IF('[9]سجل المستخلصات'!$AA$13="","",'[9]سجل المستخلصات'!$AA$13)</f>
        <v/>
      </c>
      <c r="W29" s="51">
        <f>IF('[9]سجل المستخلصات'!$AC$13="","",'[9]سجل المستخلصات'!$AC$13)</f>
        <v/>
      </c>
      <c r="X29" s="54">
        <f>IF('[9]سجل المستخلصات'!$AD$13="","",'[9]سجل المستخلصات'!$AD$13)</f>
        <v/>
      </c>
      <c r="Y29" s="50">
        <f>IF('[9]سجل المستخلصات'!$AE$13="","",'[9]سجل المستخلصات'!$AE$13)</f>
        <v/>
      </c>
    </row>
    <row r="30">
      <c r="B30" s="48" t="n">
        <v>9</v>
      </c>
      <c r="C30" s="49">
        <f>IF('[9]سجل المستخلصات'!$C$14="","",'[9]سجل المستخلصات'!$C$14)</f>
        <v/>
      </c>
      <c r="D30" s="49">
        <f>IF('[9]سجل المستخلصات'!$E$14="","",'[9]سجل المستخلصات'!$E$14)</f>
        <v/>
      </c>
      <c r="E30" s="50">
        <f>IF('[9]سجل المستخلصات'!$F$14="","",'[9]سجل المستخلصات'!$F$14)</f>
        <v/>
      </c>
      <c r="F30" s="51">
        <f>IF('[9]سجل المستخلصات'!$H$14="","",'[9]سجل المستخلصات'!$H$14)</f>
        <v/>
      </c>
      <c r="G30" s="51">
        <f>IF('[9]سجل المستخلصات'!$G$14="","",'[9]سجل المستخلصات'!$G$14)</f>
        <v/>
      </c>
      <c r="H30" s="51">
        <f>IF('[9]سجل المستخلصات'!$I$14="","",'[9]سجل المستخلصات'!$I$14)</f>
        <v/>
      </c>
      <c r="I30" s="51">
        <f>IF('[9]سجل المستخلصات'!$J$14="","",'[9]سجل المستخلصات'!$J$14)</f>
        <v/>
      </c>
      <c r="J30" s="51">
        <f>IF('[9]سجل المستخلصات'!$K$14="","",'[9]سجل المستخلصات'!$K$14)</f>
        <v/>
      </c>
      <c r="K30" s="52">
        <f>IF('[9]سجل المستخلصات'!$L$14="","",'[9]سجل المستخلصات'!$L$14)</f>
        <v/>
      </c>
      <c r="L30" s="52">
        <f>IF('[9]سجل المستخلصات'!$M$14="","",'[9]سجل المستخلصات'!$M$14)</f>
        <v/>
      </c>
      <c r="M30" s="52">
        <f>IF('[9]سجل المستخلصات'!$N$14="","",'[9]سجل المستخلصات'!$N$14)</f>
        <v/>
      </c>
      <c r="N30" s="51">
        <f>IF('[9]سجل المستخلصات'!$O$14="","",'[9]سجل المستخلصات'!$O$14)</f>
        <v/>
      </c>
      <c r="O30" s="51">
        <f>IF('[9]سجل المستخلصات'!$R$14="","",'[9]سجل المستخلصات'!$R$14)</f>
        <v/>
      </c>
      <c r="P30" s="51">
        <f>IF('[9]سجل المستخلصات'!$S$14="","",'[9]سجل المستخلصات'!$S$14)</f>
        <v/>
      </c>
      <c r="Q30" s="51">
        <f>IF('[9]سجل المستخلصات'!$T$14="","",'[9]سجل المستخلصات'!$T$14)</f>
        <v/>
      </c>
      <c r="R30" s="51">
        <f>IF('[9]سجل المستخلصات'!$V$14="","",'[9]سجل المستخلصات'!$V$14)</f>
        <v/>
      </c>
      <c r="S30" s="51">
        <f>IF('[9]سجل المستخلصات'!$W$14="","",'[9]سجل المستخلصات'!$W$14)</f>
        <v/>
      </c>
      <c r="T30" s="53">
        <f>IF('[9]سجل المستخلصات'!$X$14="","",'[9]سجل المستخلصات'!$X$14)</f>
        <v/>
      </c>
      <c r="U30" s="53">
        <f>IF('[9]سجل المستخلصات'!$Z$14="","",'[9]سجل المستخلصات'!$Z$14)</f>
        <v/>
      </c>
      <c r="V30" s="51">
        <f>IF('[9]سجل المستخلصات'!$AA$14="","",'[9]سجل المستخلصات'!$AA$14)</f>
        <v/>
      </c>
      <c r="W30" s="51">
        <f>IF('[9]سجل المستخلصات'!$AC$14="","",'[9]سجل المستخلصات'!$AC$14)</f>
        <v/>
      </c>
      <c r="X30" s="54">
        <f>IF('[9]سجل المستخلصات'!$AD$14="","",'[9]سجل المستخلصات'!$AD$14)</f>
        <v/>
      </c>
      <c r="Y30" s="50">
        <f>IF('[9]سجل المستخلصات'!$AE$14="","",'[9]سجل المستخلصات'!$AE$14)</f>
        <v/>
      </c>
    </row>
    <row r="31">
      <c r="B31" s="48" t="n">
        <v>10</v>
      </c>
      <c r="C31" s="49">
        <f>IF('[9]سجل المستخلصات'!$C$15="","",'[9]سجل المستخلصات'!$C$15)</f>
        <v/>
      </c>
      <c r="D31" s="49">
        <f>IF('[9]سجل المستخلصات'!$E$15="","",'[9]سجل المستخلصات'!$E$15)</f>
        <v/>
      </c>
      <c r="E31" s="50">
        <f>IF('[9]سجل المستخلصات'!$F$15="","",'[9]سجل المستخلصات'!$F$15)</f>
        <v/>
      </c>
      <c r="F31" s="51">
        <f>IF('[9]سجل المستخلصات'!$H$15="","",'[9]سجل المستخلصات'!$H$15)</f>
        <v/>
      </c>
      <c r="G31" s="51">
        <f>IF('[9]سجل المستخلصات'!$G$15="","",'[9]سجل المستخلصات'!$G$15)</f>
        <v/>
      </c>
      <c r="H31" s="51">
        <f>IF('[9]سجل المستخلصات'!$I$15="","",'[9]سجل المستخلصات'!$I$15)</f>
        <v/>
      </c>
      <c r="I31" s="51">
        <f>IF('[9]سجل المستخلصات'!$J$15="","",'[9]سجل المستخلصات'!$J$15)</f>
        <v/>
      </c>
      <c r="J31" s="51">
        <f>IF('[9]سجل المستخلصات'!$K$15="","",'[9]سجل المستخلصات'!$K$15)</f>
        <v/>
      </c>
      <c r="K31" s="52">
        <f>IF('[9]سجل المستخلصات'!$L$15="","",'[9]سجل المستخلصات'!$L$15)</f>
        <v/>
      </c>
      <c r="L31" s="52">
        <f>IF('[9]سجل المستخلصات'!$M$15="","",'[9]سجل المستخلصات'!$M$15)</f>
        <v/>
      </c>
      <c r="M31" s="52">
        <f>IF('[9]سجل المستخلصات'!$N$15="","",'[9]سجل المستخلصات'!$N$15)</f>
        <v/>
      </c>
      <c r="N31" s="51">
        <f>IF('[9]سجل المستخلصات'!$O$15="","",'[9]سجل المستخلصات'!$O$15)</f>
        <v/>
      </c>
      <c r="O31" s="51">
        <f>IF('[9]سجل المستخلصات'!$R$15="","",'[9]سجل المستخلصات'!$R$15)</f>
        <v/>
      </c>
      <c r="P31" s="51">
        <f>IF('[9]سجل المستخلصات'!$S$15="","",'[9]سجل المستخلصات'!$S$15)</f>
        <v/>
      </c>
      <c r="Q31" s="51">
        <f>IF('[9]سجل المستخلصات'!$T$15="","",'[9]سجل المستخلصات'!$T$15)</f>
        <v/>
      </c>
      <c r="R31" s="51">
        <f>IF('[9]سجل المستخلصات'!$V$15="","",'[9]سجل المستخلصات'!$V$15)</f>
        <v/>
      </c>
      <c r="S31" s="51">
        <f>IF('[9]سجل المستخلصات'!$W$15="","",'[9]سجل المستخلصات'!$W$15)</f>
        <v/>
      </c>
      <c r="T31" s="53">
        <f>IF('[9]سجل المستخلصات'!$X$15="","",'[9]سجل المستخلصات'!$X$15)</f>
        <v/>
      </c>
      <c r="U31" s="53">
        <f>IF('[9]سجل المستخلصات'!$Z$15="","",'[9]سجل المستخلصات'!$Z$15)</f>
        <v/>
      </c>
      <c r="V31" s="51">
        <f>IF('[9]سجل المستخلصات'!$AA$15="","",'[9]سجل المستخلصات'!$AA$15)</f>
        <v/>
      </c>
      <c r="W31" s="51">
        <f>IF('[9]سجل المستخلصات'!$AC$15="","",'[9]سجل المستخلصات'!$AC$15)</f>
        <v/>
      </c>
      <c r="X31" s="54">
        <f>IF('[9]سجل المستخلصات'!$AD$15="","",'[9]سجل المستخلصات'!$AD$15)</f>
        <v/>
      </c>
      <c r="Y31" s="50">
        <f>IF('[9]سجل المستخلصات'!$AE$15="","",'[9]سجل المستخلصات'!$AE$15)</f>
        <v/>
      </c>
    </row>
    <row r="32">
      <c r="B32" s="48" t="n">
        <v>11</v>
      </c>
      <c r="C32" s="49">
        <f>IF('[9]سجل المستخلصات'!$C$16="","",'[9]سجل المستخلصات'!$C$16)</f>
        <v/>
      </c>
      <c r="D32" s="49">
        <f>IF('[9]سجل المستخلصات'!$E$16="","",'[9]سجل المستخلصات'!$E$16)</f>
        <v/>
      </c>
      <c r="E32" s="50">
        <f>IF('[9]سجل المستخلصات'!$F$16="","",'[9]سجل المستخلصات'!$F$16)</f>
        <v/>
      </c>
      <c r="F32" s="51">
        <f>IF('[9]سجل المستخلصات'!$H$16="","",'[9]سجل المستخلصات'!$H$16)</f>
        <v/>
      </c>
      <c r="G32" s="51">
        <f>IF('[9]سجل المستخلصات'!$G$16="","",'[9]سجل المستخلصات'!$G$16)</f>
        <v/>
      </c>
      <c r="H32" s="51">
        <f>IF('[9]سجل المستخلصات'!$I$16="","",'[9]سجل المستخلصات'!$I$16)</f>
        <v/>
      </c>
      <c r="I32" s="51">
        <f>IF('[9]سجل المستخلصات'!$J$16="","",'[9]سجل المستخلصات'!$J$16)</f>
        <v/>
      </c>
      <c r="J32" s="51">
        <f>IF('[9]سجل المستخلصات'!$K$16="","",'[9]سجل المستخلصات'!$K$16)</f>
        <v/>
      </c>
      <c r="K32" s="52">
        <f>IF('[9]سجل المستخلصات'!$L$16="","",'[9]سجل المستخلصات'!$L$16)</f>
        <v/>
      </c>
      <c r="L32" s="52">
        <f>IF('[9]سجل المستخلصات'!$M$16="","",'[9]سجل المستخلصات'!$M$16)</f>
        <v/>
      </c>
      <c r="M32" s="52">
        <f>IF('[9]سجل المستخلصات'!$N$16="","",'[9]سجل المستخلصات'!$N$16)</f>
        <v/>
      </c>
      <c r="N32" s="51">
        <f>IF('[9]سجل المستخلصات'!$O$16="","",'[9]سجل المستخلصات'!$O$16)</f>
        <v/>
      </c>
      <c r="O32" s="51">
        <f>IF('[9]سجل المستخلصات'!$R$16="","",'[9]سجل المستخلصات'!$R$16)</f>
        <v/>
      </c>
      <c r="P32" s="51">
        <f>IF('[9]سجل المستخلصات'!$S$16="","",'[9]سجل المستخلصات'!$S$16)</f>
        <v/>
      </c>
      <c r="Q32" s="51">
        <f>IF('[9]سجل المستخلصات'!$T$16="","",'[9]سجل المستخلصات'!$T$16)</f>
        <v/>
      </c>
      <c r="R32" s="51">
        <f>IF('[9]سجل المستخلصات'!$V$16="","",'[9]سجل المستخلصات'!$V$16)</f>
        <v/>
      </c>
      <c r="S32" s="51">
        <f>IF('[9]سجل المستخلصات'!$W$16="","",'[9]سجل المستخلصات'!$W$16)</f>
        <v/>
      </c>
      <c r="T32" s="53">
        <f>IF('[9]سجل المستخلصات'!$X$16="","",'[9]سجل المستخلصات'!$X$16)</f>
        <v/>
      </c>
      <c r="U32" s="53">
        <f>IF('[9]سجل المستخلصات'!$Z$16="","",'[9]سجل المستخلصات'!$Z$16)</f>
        <v/>
      </c>
      <c r="V32" s="51">
        <f>IF('[9]سجل المستخلصات'!$AA$16="","",'[9]سجل المستخلصات'!$AA$16)</f>
        <v/>
      </c>
      <c r="W32" s="51">
        <f>IF('[9]سجل المستخلصات'!$AC$16="","",'[9]سجل المستخلصات'!$AC$16)</f>
        <v/>
      </c>
      <c r="X32" s="54">
        <f>IF('[9]سجل المستخلصات'!$AD$16="","",'[9]سجل المستخلصات'!$AD$16)</f>
        <v/>
      </c>
      <c r="Y32" s="50">
        <f>IF('[9]سجل المستخلصات'!$AE$16="","",'[9]سجل المستخلصات'!$AE$16)</f>
        <v/>
      </c>
    </row>
    <row r="33">
      <c r="B33" s="48" t="n">
        <v>12</v>
      </c>
      <c r="C33" s="49">
        <f>IF('[9]سجل المستخلصات'!$C$17="","",'[9]سجل المستخلصات'!$C$17)</f>
        <v/>
      </c>
      <c r="D33" s="49">
        <f>IF('[9]سجل المستخلصات'!$E$17="","",'[9]سجل المستخلصات'!$E$17)</f>
        <v/>
      </c>
      <c r="E33" s="50">
        <f>IF('[9]سجل المستخلصات'!$F$17="","",'[9]سجل المستخلصات'!$F$17)</f>
        <v/>
      </c>
      <c r="F33" s="51">
        <f>IF('[9]سجل المستخلصات'!$H$17="","",'[9]سجل المستخلصات'!$H$17)</f>
        <v/>
      </c>
      <c r="G33" s="51">
        <f>IF('[9]سجل المستخلصات'!$G$17="","",'[9]سجل المستخلصات'!$G$17)</f>
        <v/>
      </c>
      <c r="H33" s="51">
        <f>IF('[9]سجل المستخلصات'!$I$17="","",'[9]سجل المستخلصات'!$I$17)</f>
        <v/>
      </c>
      <c r="I33" s="51">
        <f>IF('[9]سجل المستخلصات'!$J$17="","",'[9]سجل المستخلصات'!$J$17)</f>
        <v/>
      </c>
      <c r="J33" s="51">
        <f>IF('[9]سجل المستخلصات'!$K$17="","",'[9]سجل المستخلصات'!$K$17)</f>
        <v/>
      </c>
      <c r="K33" s="52">
        <f>IF('[9]سجل المستخلصات'!$L$17="","",'[9]سجل المستخلصات'!$L$17)</f>
        <v/>
      </c>
      <c r="L33" s="52">
        <f>IF('[9]سجل المستخلصات'!$M$17="","",'[9]سجل المستخلصات'!$M$17)</f>
        <v/>
      </c>
      <c r="M33" s="52">
        <f>IF('[9]سجل المستخلصات'!$N$17="","",'[9]سجل المستخلصات'!$N$17)</f>
        <v/>
      </c>
      <c r="N33" s="51">
        <f>IF('[9]سجل المستخلصات'!$O$17="","",'[9]سجل المستخلصات'!$O$17)</f>
        <v/>
      </c>
      <c r="O33" s="51">
        <f>IF('[9]سجل المستخلصات'!$R$17="","",'[9]سجل المستخلصات'!$R$17)</f>
        <v/>
      </c>
      <c r="P33" s="51">
        <f>IF('[9]سجل المستخلصات'!$S$17="","",'[9]سجل المستخلصات'!$S$17)</f>
        <v/>
      </c>
      <c r="Q33" s="51">
        <f>IF('[9]سجل المستخلصات'!$T$17="","",'[9]سجل المستخلصات'!$T$17)</f>
        <v/>
      </c>
      <c r="R33" s="51">
        <f>IF('[9]سجل المستخلصات'!$V$17="","",'[9]سجل المستخلصات'!$V$17)</f>
        <v/>
      </c>
      <c r="S33" s="51">
        <f>IF('[9]سجل المستخلصات'!$W$17="","",'[9]سجل المستخلصات'!$W$17)</f>
        <v/>
      </c>
      <c r="T33" s="53">
        <f>IF('[9]سجل المستخلصات'!$X$17="","",'[9]سجل المستخلصات'!$X$17)</f>
        <v/>
      </c>
      <c r="U33" s="53">
        <f>IF('[9]سجل المستخلصات'!$Z$17="","",'[9]سجل المستخلصات'!$Z$17)</f>
        <v/>
      </c>
      <c r="V33" s="51">
        <f>IF('[9]سجل المستخلصات'!$AA$17="","",'[9]سجل المستخلصات'!$AA$17)</f>
        <v/>
      </c>
      <c r="W33" s="51">
        <f>IF('[9]سجل المستخلصات'!$AC$17="","",'[9]سجل المستخلصات'!$AC$17)</f>
        <v/>
      </c>
      <c r="X33" s="54">
        <f>IF('[9]سجل المستخلصات'!$AD$17="","",'[9]سجل المستخلصات'!$AD$17)</f>
        <v/>
      </c>
      <c r="Y33" s="50">
        <f>IF('[9]سجل المستخلصات'!$AE$17="","",'[9]سجل المستخلصات'!$AE$17)</f>
        <v/>
      </c>
    </row>
    <row r="34">
      <c r="B34" s="48" t="n">
        <v>13</v>
      </c>
      <c r="C34" s="49">
        <f>IF('[9]سجل المستخلصات'!$C$18="","",'[9]سجل المستخلصات'!$C$18)</f>
        <v/>
      </c>
      <c r="D34" s="49">
        <f>IF('[9]سجل المستخلصات'!$E$18="","",'[9]سجل المستخلصات'!$E$18)</f>
        <v/>
      </c>
      <c r="E34" s="50">
        <f>IF('[9]سجل المستخلصات'!$F$18="","",'[9]سجل المستخلصات'!$F$18)</f>
        <v/>
      </c>
      <c r="F34" s="51">
        <f>IF('[9]سجل المستخلصات'!$H$18="","",'[9]سجل المستخلصات'!$H$18)</f>
        <v/>
      </c>
      <c r="G34" s="51">
        <f>IF('[9]سجل المستخلصات'!$G$18="","",'[9]سجل المستخلصات'!$G$18)</f>
        <v/>
      </c>
      <c r="H34" s="51">
        <f>IF('[9]سجل المستخلصات'!$I$18="","",'[9]سجل المستخلصات'!$I$18)</f>
        <v/>
      </c>
      <c r="I34" s="51">
        <f>IF('[9]سجل المستخلصات'!$J$18="","",'[9]سجل المستخلصات'!$J$18)</f>
        <v/>
      </c>
      <c r="J34" s="51">
        <f>IF('[9]سجل المستخلصات'!$K$18="","",'[9]سجل المستخلصات'!$K$18)</f>
        <v/>
      </c>
      <c r="K34" s="52">
        <f>IF('[9]سجل المستخلصات'!$L$18="","",'[9]سجل المستخلصات'!$L$18)</f>
        <v/>
      </c>
      <c r="L34" s="52">
        <f>IF('[9]سجل المستخلصات'!$M$18="","",'[9]سجل المستخلصات'!$M$18)</f>
        <v/>
      </c>
      <c r="M34" s="52">
        <f>IF('[9]سجل المستخلصات'!$N$18="","",'[9]سجل المستخلصات'!$N$18)</f>
        <v/>
      </c>
      <c r="N34" s="51">
        <f>IF('[9]سجل المستخلصات'!$O$18="","",'[9]سجل المستخلصات'!$O$18)</f>
        <v/>
      </c>
      <c r="O34" s="51">
        <f>IF('[9]سجل المستخلصات'!$R$18="","",'[9]سجل المستخلصات'!$R$18)</f>
        <v/>
      </c>
      <c r="P34" s="51">
        <f>IF('[9]سجل المستخلصات'!$S$18="","",'[9]سجل المستخلصات'!$S$18)</f>
        <v/>
      </c>
      <c r="Q34" s="51">
        <f>IF('[9]سجل المستخلصات'!$T$18="","",'[9]سجل المستخلصات'!$T$18)</f>
        <v/>
      </c>
      <c r="R34" s="51">
        <f>IF('[9]سجل المستخلصات'!$V$18="","",'[9]سجل المستخلصات'!$V$18)</f>
        <v/>
      </c>
      <c r="S34" s="51">
        <f>IF('[9]سجل المستخلصات'!$W$18="","",'[9]سجل المستخلصات'!$W$18)</f>
        <v/>
      </c>
      <c r="T34" s="53">
        <f>IF('[9]سجل المستخلصات'!$X$18="","",'[9]سجل المستخلصات'!$X$18)</f>
        <v/>
      </c>
      <c r="U34" s="53">
        <f>IF('[9]سجل المستخلصات'!$Z$18="","",'[9]سجل المستخلصات'!$Z$18)</f>
        <v/>
      </c>
      <c r="V34" s="51">
        <f>IF('[9]سجل المستخلصات'!$AA$18="","",'[9]سجل المستخلصات'!$AA$18)</f>
        <v/>
      </c>
      <c r="W34" s="51">
        <f>IF('[9]سجل المستخلصات'!$AC$18="","",'[9]سجل المستخلصات'!$AC$18)</f>
        <v/>
      </c>
      <c r="X34" s="54">
        <f>IF('[9]سجل المستخلصات'!$AD$18="","",'[9]سجل المستخلصات'!$AD$18)</f>
        <v/>
      </c>
      <c r="Y34" s="50">
        <f>IF('[9]سجل المستخلصات'!$AE$18="","",'[9]سجل المستخلصات'!$AE$18)</f>
        <v/>
      </c>
    </row>
    <row r="35">
      <c r="B35" s="48" t="n">
        <v>14</v>
      </c>
      <c r="C35" s="49">
        <f>IF('[9]سجل المستخلصات'!$C$19="","",'[9]سجل المستخلصات'!$C$19)</f>
        <v/>
      </c>
      <c r="D35" s="49">
        <f>IF('[9]سجل المستخلصات'!$E$19="","",'[9]سجل المستخلصات'!$E$19)</f>
        <v/>
      </c>
      <c r="E35" s="50">
        <f>IF('[9]سجل المستخلصات'!$F$19="","",'[9]سجل المستخلصات'!$F$19)</f>
        <v/>
      </c>
      <c r="F35" s="51">
        <f>IF('[9]سجل المستخلصات'!$H$19="","",'[9]سجل المستخلصات'!$H$19)</f>
        <v/>
      </c>
      <c r="G35" s="51">
        <f>IF('[9]سجل المستخلصات'!$G$19="","",'[9]سجل المستخلصات'!$G$19)</f>
        <v/>
      </c>
      <c r="H35" s="51">
        <f>IF('[9]سجل المستخلصات'!$I$19="","",'[9]سجل المستخلصات'!$I$19)</f>
        <v/>
      </c>
      <c r="I35" s="51">
        <f>IF('[9]سجل المستخلصات'!$J$19="","",'[9]سجل المستخلصات'!$J$19)</f>
        <v/>
      </c>
      <c r="J35" s="51">
        <f>IF('[9]سجل المستخلصات'!$K$19="","",'[9]سجل المستخلصات'!$K$19)</f>
        <v/>
      </c>
      <c r="K35" s="52">
        <f>IF('[9]سجل المستخلصات'!$L$19="","",'[9]سجل المستخلصات'!$L$19)</f>
        <v/>
      </c>
      <c r="L35" s="52">
        <f>IF('[9]سجل المستخلصات'!$M$19="","",'[9]سجل المستخلصات'!$M$19)</f>
        <v/>
      </c>
      <c r="M35" s="52">
        <f>IF('[9]سجل المستخلصات'!$N$19="","",'[9]سجل المستخلصات'!$N$19)</f>
        <v/>
      </c>
      <c r="N35" s="51">
        <f>IF('[9]سجل المستخلصات'!$O$19="","",'[9]سجل المستخلصات'!$O$19)</f>
        <v/>
      </c>
      <c r="O35" s="51">
        <f>IF('[9]سجل المستخلصات'!$R$19="","",'[9]سجل المستخلصات'!$R$19)</f>
        <v/>
      </c>
      <c r="P35" s="51">
        <f>IF('[9]سجل المستخلصات'!$S$19="","",'[9]سجل المستخلصات'!$S$19)</f>
        <v/>
      </c>
      <c r="Q35" s="51">
        <f>IF('[9]سجل المستخلصات'!$T$19="","",'[9]سجل المستخلصات'!$T$19)</f>
        <v/>
      </c>
      <c r="R35" s="51">
        <f>IF('[9]سجل المستخلصات'!$V$19="","",'[9]سجل المستخلصات'!$V$19)</f>
        <v/>
      </c>
      <c r="S35" s="51">
        <f>IF('[9]سجل المستخلصات'!$W$19="","",'[9]سجل المستخلصات'!$W$19)</f>
        <v/>
      </c>
      <c r="T35" s="53">
        <f>IF('[9]سجل المستخلصات'!$X$19="","",'[9]سجل المستخلصات'!$X$19)</f>
        <v/>
      </c>
      <c r="U35" s="53">
        <f>IF('[9]سجل المستخلصات'!$Z$19="","",'[9]سجل المستخلصات'!$Z$19)</f>
        <v/>
      </c>
      <c r="V35" s="51">
        <f>IF('[9]سجل المستخلصات'!$AA$19="","",'[9]سجل المستخلصات'!$AA$19)</f>
        <v/>
      </c>
      <c r="W35" s="51">
        <f>IF('[9]سجل المستخلصات'!$AC$19="","",'[9]سجل المستخلصات'!$AC$19)</f>
        <v/>
      </c>
      <c r="X35" s="54">
        <f>IF('[9]سجل المستخلصات'!$AD$19="","",'[9]سجل المستخلصات'!$AD$19)</f>
        <v/>
      </c>
      <c r="Y35" s="50">
        <f>IF('[9]سجل المستخلصات'!$AE$19="","",'[9]سجل المستخلصات'!$AE$19)</f>
        <v/>
      </c>
    </row>
    <row r="36">
      <c r="B36" s="48" t="n">
        <v>15</v>
      </c>
      <c r="C36" s="49">
        <f>IF('[9]سجل المستخلصات'!$C$20="","",'[9]سجل المستخلصات'!$C$20)</f>
        <v/>
      </c>
      <c r="D36" s="49">
        <f>IF('[9]سجل المستخلصات'!$E$20="","",'[9]سجل المستخلصات'!$E$20)</f>
        <v/>
      </c>
      <c r="E36" s="50">
        <f>IF('[9]سجل المستخلصات'!$F$20="","",'[9]سجل المستخلصات'!$F$20)</f>
        <v/>
      </c>
      <c r="F36" s="51">
        <f>IF('[9]سجل المستخلصات'!$H$20="","",'[9]سجل المستخلصات'!$H$20)</f>
        <v/>
      </c>
      <c r="G36" s="51">
        <f>IF('[9]سجل المستخلصات'!$G$20="","",'[9]سجل المستخلصات'!$G$20)</f>
        <v/>
      </c>
      <c r="H36" s="51">
        <f>IF('[9]سجل المستخلصات'!$I$20="","",'[9]سجل المستخلصات'!$I$20)</f>
        <v/>
      </c>
      <c r="I36" s="51">
        <f>IF('[9]سجل المستخلصات'!$J$20="","",'[9]سجل المستخلصات'!$J$20)</f>
        <v/>
      </c>
      <c r="J36" s="51">
        <f>IF('[9]سجل المستخلصات'!$K$20="","",'[9]سجل المستخلصات'!$K$20)</f>
        <v/>
      </c>
      <c r="K36" s="52">
        <f>IF('[9]سجل المستخلصات'!$L$20="","",'[9]سجل المستخلصات'!$L$20)</f>
        <v/>
      </c>
      <c r="L36" s="52">
        <f>IF('[9]سجل المستخلصات'!$M$20="","",'[9]سجل المستخلصات'!$M$20)</f>
        <v/>
      </c>
      <c r="M36" s="52">
        <f>IF('[9]سجل المستخلصات'!$N$20="","",'[9]سجل المستخلصات'!$N$20)</f>
        <v/>
      </c>
      <c r="N36" s="51">
        <f>IF('[9]سجل المستخلصات'!$O$20="","",'[9]سجل المستخلصات'!$O$20)</f>
        <v/>
      </c>
      <c r="O36" s="51">
        <f>IF('[9]سجل المستخلصات'!$R$20="","",'[9]سجل المستخلصات'!$R$20)</f>
        <v/>
      </c>
      <c r="P36" s="51">
        <f>IF('[9]سجل المستخلصات'!$S$20="","",'[9]سجل المستخلصات'!$S$20)</f>
        <v/>
      </c>
      <c r="Q36" s="51">
        <f>IF('[9]سجل المستخلصات'!$T$20="","",'[9]سجل المستخلصات'!$T$20)</f>
        <v/>
      </c>
      <c r="R36" s="51">
        <f>IF('[9]سجل المستخلصات'!$V$20="","",'[9]سجل المستخلصات'!$V$20)</f>
        <v/>
      </c>
      <c r="S36" s="51">
        <f>IF('[9]سجل المستخلصات'!$W$20="","",'[9]سجل المستخلصات'!$W$20)</f>
        <v/>
      </c>
      <c r="T36" s="53">
        <f>IF('[9]سجل المستخلصات'!$X$20="","",'[9]سجل المستخلصات'!$X$20)</f>
        <v/>
      </c>
      <c r="U36" s="53">
        <f>IF('[9]سجل المستخلصات'!$Z$20="","",'[9]سجل المستخلصات'!$Z$20)</f>
        <v/>
      </c>
      <c r="V36" s="51">
        <f>IF('[9]سجل المستخلصات'!$AA$20="","",'[9]سجل المستخلصات'!$AA$20)</f>
        <v/>
      </c>
      <c r="W36" s="51">
        <f>IF('[9]سجل المستخلصات'!$AC$20="","",'[9]سجل المستخلصات'!$AC$20)</f>
        <v/>
      </c>
      <c r="X36" s="54">
        <f>IF('[9]سجل المستخلصات'!$AD$20="","",'[9]سجل المستخلصات'!$AD$20)</f>
        <v/>
      </c>
      <c r="Y36" s="50">
        <f>IF('[9]سجل المستخلصات'!$AE$20="","",'[9]سجل المستخلصات'!$AE$20)</f>
        <v/>
      </c>
    </row>
    <row r="37">
      <c r="B37" s="48" t="n">
        <v>16</v>
      </c>
      <c r="C37" s="49">
        <f>IF('[9]سجل المستخلصات'!$C$21="","",'[9]سجل المستخلصات'!$C$21)</f>
        <v/>
      </c>
      <c r="D37" s="49">
        <f>IF('[9]سجل المستخلصات'!$E$21="","",'[9]سجل المستخلصات'!$E$21)</f>
        <v/>
      </c>
      <c r="E37" s="50">
        <f>IF('[9]سجل المستخلصات'!$F$21="","",'[9]سجل المستخلصات'!$F$21)</f>
        <v/>
      </c>
      <c r="F37" s="51">
        <f>IF('[9]سجل المستخلصات'!$H$21="","",'[9]سجل المستخلصات'!$H$21)</f>
        <v/>
      </c>
      <c r="G37" s="51">
        <f>IF('[9]سجل المستخلصات'!$G$21="","",'[9]سجل المستخلصات'!$G$21)</f>
        <v/>
      </c>
      <c r="H37" s="51">
        <f>IF('[9]سجل المستخلصات'!$I$21="","",'[9]سجل المستخلصات'!$I$21)</f>
        <v/>
      </c>
      <c r="I37" s="51">
        <f>IF('[9]سجل المستخلصات'!$J$21="","",'[9]سجل المستخلصات'!$J$21)</f>
        <v/>
      </c>
      <c r="J37" s="51">
        <f>IF('[9]سجل المستخلصات'!$K$21="","",'[9]سجل المستخلصات'!$K$21)</f>
        <v/>
      </c>
      <c r="K37" s="52">
        <f>IF('[9]سجل المستخلصات'!$L$21="","",'[9]سجل المستخلصات'!$L$21)</f>
        <v/>
      </c>
      <c r="L37" s="52">
        <f>IF('[9]سجل المستخلصات'!$M$21="","",'[9]سجل المستخلصات'!$M$21)</f>
        <v/>
      </c>
      <c r="M37" s="52">
        <f>IF('[9]سجل المستخلصات'!$N$21="","",'[9]سجل المستخلصات'!$N$21)</f>
        <v/>
      </c>
      <c r="N37" s="51">
        <f>IF('[9]سجل المستخلصات'!$O$21="","",'[9]سجل المستخلصات'!$O$21)</f>
        <v/>
      </c>
      <c r="O37" s="51">
        <f>IF('[9]سجل المستخلصات'!$R$21="","",'[9]سجل المستخلصات'!$R$21)</f>
        <v/>
      </c>
      <c r="P37" s="51">
        <f>IF('[9]سجل المستخلصات'!$S$21="","",'[9]سجل المستخلصات'!$S$21)</f>
        <v/>
      </c>
      <c r="Q37" s="51">
        <f>IF('[9]سجل المستخلصات'!$T$21="","",'[9]سجل المستخلصات'!$T$21)</f>
        <v/>
      </c>
      <c r="R37" s="51">
        <f>IF('[9]سجل المستخلصات'!$V$21="","",'[9]سجل المستخلصات'!$V$21)</f>
        <v/>
      </c>
      <c r="S37" s="51">
        <f>IF('[9]سجل المستخلصات'!$W$21="","",'[9]سجل المستخلصات'!$W$21)</f>
        <v/>
      </c>
      <c r="T37" s="53">
        <f>IF('[9]سجل المستخلصات'!$X$21="","",'[9]سجل المستخلصات'!$X$21)</f>
        <v/>
      </c>
      <c r="U37" s="53">
        <f>IF('[9]سجل المستخلصات'!$Z$21="","",'[9]سجل المستخلصات'!$Z$21)</f>
        <v/>
      </c>
      <c r="V37" s="51">
        <f>IF('[9]سجل المستخلصات'!$AA$21="","",'[9]سجل المستخلصات'!$AA$21)</f>
        <v/>
      </c>
      <c r="W37" s="51">
        <f>IF('[9]سجل المستخلصات'!$AC$21="","",'[9]سجل المستخلصات'!$AC$21)</f>
        <v/>
      </c>
      <c r="X37" s="54">
        <f>IF('[9]سجل المستخلصات'!$AD$21="","",'[9]سجل المستخلصات'!$AD$21)</f>
        <v/>
      </c>
      <c r="Y37" s="50">
        <f>IF('[9]سجل المستخلصات'!$AE$21="","",'[9]سجل المستخلصات'!$AE$21)</f>
        <v/>
      </c>
    </row>
    <row r="38">
      <c r="B38" s="48" t="n">
        <v>17</v>
      </c>
      <c r="C38" s="49">
        <f>IF('[9]سجل المستخلصات'!$C$22="","",'[9]سجل المستخلصات'!$C$22)</f>
        <v/>
      </c>
      <c r="D38" s="49">
        <f>IF('[9]سجل المستخلصات'!$E$22="","",'[9]سجل المستخلصات'!$E$22)</f>
        <v/>
      </c>
      <c r="E38" s="50">
        <f>IF('[9]سجل المستخلصات'!$F$22="","",'[9]سجل المستخلصات'!$F$22)</f>
        <v/>
      </c>
      <c r="F38" s="51">
        <f>IF('[9]سجل المستخلصات'!$H$22="","",'[9]سجل المستخلصات'!$H$22)</f>
        <v/>
      </c>
      <c r="G38" s="51">
        <f>IF('[9]سجل المستخلصات'!$G$22="","",'[9]سجل المستخلصات'!$G$22)</f>
        <v/>
      </c>
      <c r="H38" s="51">
        <f>IF('[9]سجل المستخلصات'!$I$22="","",'[9]سجل المستخلصات'!$I$22)</f>
        <v/>
      </c>
      <c r="I38" s="51">
        <f>IF('[9]سجل المستخلصات'!$J$22="","",'[9]سجل المستخلصات'!$J$22)</f>
        <v/>
      </c>
      <c r="J38" s="51">
        <f>IF('[9]سجل المستخلصات'!$K$22="","",'[9]سجل المستخلصات'!$K$22)</f>
        <v/>
      </c>
      <c r="K38" s="52">
        <f>IF('[9]سجل المستخلصات'!$L$22="","",'[9]سجل المستخلصات'!$L$22)</f>
        <v/>
      </c>
      <c r="L38" s="52">
        <f>IF('[9]سجل المستخلصات'!$M$22="","",'[9]سجل المستخلصات'!$M$22)</f>
        <v/>
      </c>
      <c r="M38" s="52">
        <f>IF('[9]سجل المستخلصات'!$N$22="","",'[9]سجل المستخلصات'!$N$22)</f>
        <v/>
      </c>
      <c r="N38" s="51">
        <f>IF('[9]سجل المستخلصات'!$O$22="","",'[9]سجل المستخلصات'!$O$22)</f>
        <v/>
      </c>
      <c r="O38" s="51">
        <f>IF('[9]سجل المستخلصات'!$R$22="","",'[9]سجل المستخلصات'!$R$22)</f>
        <v/>
      </c>
      <c r="P38" s="51">
        <f>IF('[9]سجل المستخلصات'!$S$22="","",'[9]سجل المستخلصات'!$S$22)</f>
        <v/>
      </c>
      <c r="Q38" s="51">
        <f>IF('[9]سجل المستخلصات'!$T$22="","",'[9]سجل المستخلصات'!$T$22)</f>
        <v/>
      </c>
      <c r="R38" s="51">
        <f>IF('[9]سجل المستخلصات'!$V$22="","",'[9]سجل المستخلصات'!$V$22)</f>
        <v/>
      </c>
      <c r="S38" s="51">
        <f>IF('[9]سجل المستخلصات'!$W$22="","",'[9]سجل المستخلصات'!$W$22)</f>
        <v/>
      </c>
      <c r="T38" s="53">
        <f>IF('[9]سجل المستخلصات'!$X$22="","",'[9]سجل المستخلصات'!$X$22)</f>
        <v/>
      </c>
      <c r="U38" s="53">
        <f>IF('[9]سجل المستخلصات'!$Z$22="","",'[9]سجل المستخلصات'!$Z$22)</f>
        <v/>
      </c>
      <c r="V38" s="51">
        <f>IF('[9]سجل المستخلصات'!$AA$22="","",'[9]سجل المستخلصات'!$AA$22)</f>
        <v/>
      </c>
      <c r="W38" s="51">
        <f>IF('[9]سجل المستخلصات'!$AC$22="","",'[9]سجل المستخلصات'!$AC$22)</f>
        <v/>
      </c>
      <c r="X38" s="54">
        <f>IF('[9]سجل المستخلصات'!$AD$22="","",'[9]سجل المستخلصات'!$AD$22)</f>
        <v/>
      </c>
      <c r="Y38" s="50">
        <f>IF('[9]سجل المستخلصات'!$AE$22="","",'[9]سجل المستخلصات'!$AE$22)</f>
        <v/>
      </c>
    </row>
    <row r="39">
      <c r="B39" s="48" t="n">
        <v>18</v>
      </c>
      <c r="C39" s="49">
        <f>IF('[9]سجل المستخلصات'!$C$23="","",'[9]سجل المستخلصات'!$C$23)</f>
        <v/>
      </c>
      <c r="D39" s="49">
        <f>IF('[9]سجل المستخلصات'!$E$23="","",'[9]سجل المستخلصات'!$E$23)</f>
        <v/>
      </c>
      <c r="E39" s="50">
        <f>IF('[9]سجل المستخلصات'!$F$23="","",'[9]سجل المستخلصات'!$F$23)</f>
        <v/>
      </c>
      <c r="F39" s="51">
        <f>IF('[9]سجل المستخلصات'!$H$23="","",'[9]سجل المستخلصات'!$H$23)</f>
        <v/>
      </c>
      <c r="G39" s="51">
        <f>IF('[9]سجل المستخلصات'!$G$23="","",'[9]سجل المستخلصات'!$G$23)</f>
        <v/>
      </c>
      <c r="H39" s="51">
        <f>IF('[9]سجل المستخلصات'!$I$23="","",'[9]سجل المستخلصات'!$I$23)</f>
        <v/>
      </c>
      <c r="I39" s="51">
        <f>IF('[9]سجل المستخلصات'!$J$23="","",'[9]سجل المستخلصات'!$J$23)</f>
        <v/>
      </c>
      <c r="J39" s="51">
        <f>IF('[9]سجل المستخلصات'!$K$23="","",'[9]سجل المستخلصات'!$K$23)</f>
        <v/>
      </c>
      <c r="K39" s="52">
        <f>IF('[9]سجل المستخلصات'!$L$23="","",'[9]سجل المستخلصات'!$L$23)</f>
        <v/>
      </c>
      <c r="L39" s="52">
        <f>IF('[9]سجل المستخلصات'!$M$23="","",'[9]سجل المستخلصات'!$M$23)</f>
        <v/>
      </c>
      <c r="M39" s="52">
        <f>IF('[9]سجل المستخلصات'!$N$23="","",'[9]سجل المستخلصات'!$N$23)</f>
        <v/>
      </c>
      <c r="N39" s="51">
        <f>IF('[9]سجل المستخلصات'!$O$23="","",'[9]سجل المستخلصات'!$O$23)</f>
        <v/>
      </c>
      <c r="O39" s="51">
        <f>IF('[9]سجل المستخلصات'!$R$23="","",'[9]سجل المستخلصات'!$R$23)</f>
        <v/>
      </c>
      <c r="P39" s="51">
        <f>IF('[9]سجل المستخلصات'!$S$23="","",'[9]سجل المستخلصات'!$S$23)</f>
        <v/>
      </c>
      <c r="Q39" s="51">
        <f>IF('[9]سجل المستخلصات'!$T$23="","",'[9]سجل المستخلصات'!$T$23)</f>
        <v/>
      </c>
      <c r="R39" s="51">
        <f>IF('[9]سجل المستخلصات'!$V$23="","",'[9]سجل المستخلصات'!$V$23)</f>
        <v/>
      </c>
      <c r="S39" s="51">
        <f>IF('[9]سجل المستخلصات'!$W$23="","",'[9]سجل المستخلصات'!$W$23)</f>
        <v/>
      </c>
      <c r="T39" s="53">
        <f>IF('[9]سجل المستخلصات'!$X$23="","",'[9]سجل المستخلصات'!$X$23)</f>
        <v/>
      </c>
      <c r="U39" s="53">
        <f>IF('[9]سجل المستخلصات'!$Z$23="","",'[9]سجل المستخلصات'!$Z$23)</f>
        <v/>
      </c>
      <c r="V39" s="51">
        <f>IF('[9]سجل المستخلصات'!$AA$23="","",'[9]سجل المستخلصات'!$AA$23)</f>
        <v/>
      </c>
      <c r="W39" s="51">
        <f>IF('[9]سجل المستخلصات'!$AC$23="","",'[9]سجل المستخلصات'!$AC$23)</f>
        <v/>
      </c>
      <c r="X39" s="54">
        <f>IF('[9]سجل المستخلصات'!$AD$23="","",'[9]سجل المستخلصات'!$AD$23)</f>
        <v/>
      </c>
      <c r="Y39" s="50">
        <f>IF('[9]سجل المستخلصات'!$AE$23="","",'[9]سجل المستخلصات'!$AE$23)</f>
        <v/>
      </c>
    </row>
    <row r="40">
      <c r="B40" s="48" t="n">
        <v>19</v>
      </c>
      <c r="C40" s="49">
        <f>IF('[9]سجل المستخلصات'!$C$24="","",'[9]سجل المستخلصات'!$C$24)</f>
        <v/>
      </c>
      <c r="D40" s="49">
        <f>IF('[9]سجل المستخلصات'!$E$24="","",'[9]سجل المستخلصات'!$E$24)</f>
        <v/>
      </c>
      <c r="E40" s="50">
        <f>IF('[9]سجل المستخلصات'!$F$24="","",'[9]سجل المستخلصات'!$F$24)</f>
        <v/>
      </c>
      <c r="F40" s="51">
        <f>IF('[9]سجل المستخلصات'!$H$24="","",'[9]سجل المستخلصات'!$H$24)</f>
        <v/>
      </c>
      <c r="G40" s="51">
        <f>IF('[9]سجل المستخلصات'!$G$24="","",'[9]سجل المستخلصات'!$G$24)</f>
        <v/>
      </c>
      <c r="H40" s="51">
        <f>IF('[9]سجل المستخلصات'!$I$24="","",'[9]سجل المستخلصات'!$I$24)</f>
        <v/>
      </c>
      <c r="I40" s="51">
        <f>IF('[9]سجل المستخلصات'!$J$24="","",'[9]سجل المستخلصات'!$J$24)</f>
        <v/>
      </c>
      <c r="J40" s="51">
        <f>IF('[9]سجل المستخلصات'!$K$24="","",'[9]سجل المستخلصات'!$K$24)</f>
        <v/>
      </c>
      <c r="K40" s="52">
        <f>IF('[9]سجل المستخلصات'!$L$24="","",'[9]سجل المستخلصات'!$L$24)</f>
        <v/>
      </c>
      <c r="L40" s="52">
        <f>IF('[9]سجل المستخلصات'!$M$24="","",'[9]سجل المستخلصات'!$M$24)</f>
        <v/>
      </c>
      <c r="M40" s="52">
        <f>IF('[9]سجل المستخلصات'!$N$24="","",'[9]سجل المستخلصات'!$N$24)</f>
        <v/>
      </c>
      <c r="N40" s="51">
        <f>IF('[9]سجل المستخلصات'!$O$24="","",'[9]سجل المستخلصات'!$O$24)</f>
        <v/>
      </c>
      <c r="O40" s="51">
        <f>IF('[9]سجل المستخلصات'!$R$24="","",'[9]سجل المستخلصات'!$R$24)</f>
        <v/>
      </c>
      <c r="P40" s="51">
        <f>IF('[9]سجل المستخلصات'!$S$24="","",'[9]سجل المستخلصات'!$S$24)</f>
        <v/>
      </c>
      <c r="Q40" s="51">
        <f>IF('[9]سجل المستخلصات'!$T$24="","",'[9]سجل المستخلصات'!$T$24)</f>
        <v/>
      </c>
      <c r="R40" s="51">
        <f>IF('[9]سجل المستخلصات'!$V$24="","",'[9]سجل المستخلصات'!$V$24)</f>
        <v/>
      </c>
      <c r="S40" s="51">
        <f>IF('[9]سجل المستخلصات'!$W$24="","",'[9]سجل المستخلصات'!$W$24)</f>
        <v/>
      </c>
      <c r="T40" s="53">
        <f>IF('[9]سجل المستخلصات'!$X$24="","",'[9]سجل المستخلصات'!$X$24)</f>
        <v/>
      </c>
      <c r="U40" s="53">
        <f>IF('[9]سجل المستخلصات'!$Z$24="","",'[9]سجل المستخلصات'!$Z$24)</f>
        <v/>
      </c>
      <c r="V40" s="51">
        <f>IF('[9]سجل المستخلصات'!$AA$24="","",'[9]سجل المستخلصات'!$AA$24)</f>
        <v/>
      </c>
      <c r="W40" s="51">
        <f>IF('[9]سجل المستخلصات'!$AC$24="","",'[9]سجل المستخلصات'!$AC$24)</f>
        <v/>
      </c>
      <c r="X40" s="54">
        <f>IF('[9]سجل المستخلصات'!$AD$24="","",'[9]سجل المستخلصات'!$AD$24)</f>
        <v/>
      </c>
      <c r="Y40" s="50">
        <f>IF('[9]سجل المستخلصات'!$AE$24="","",'[9]سجل المستخلصات'!$AE$24)</f>
        <v/>
      </c>
    </row>
    <row r="41">
      <c r="B41" s="48" t="n">
        <v>20</v>
      </c>
      <c r="C41" s="49">
        <f>IF('[9]سجل المستخلصات'!$C$25="","",'[9]سجل المستخلصات'!$C$25)</f>
        <v/>
      </c>
      <c r="D41" s="49">
        <f>IF('[9]سجل المستخلصات'!$E$25="","",'[9]سجل المستخلصات'!$E$25)</f>
        <v/>
      </c>
      <c r="E41" s="50">
        <f>IF('[9]سجل المستخلصات'!$F$25="","",'[9]سجل المستخلصات'!$F$25)</f>
        <v/>
      </c>
      <c r="F41" s="51">
        <f>IF('[9]سجل المستخلصات'!$H$25="","",'[9]سجل المستخلصات'!$H$25)</f>
        <v/>
      </c>
      <c r="G41" s="51">
        <f>IF('[9]سجل المستخلصات'!$G$25="","",'[9]سجل المستخلصات'!$G$25)</f>
        <v/>
      </c>
      <c r="H41" s="51">
        <f>IF('[9]سجل المستخلصات'!$I$25="","",'[9]سجل المستخلصات'!$I$25)</f>
        <v/>
      </c>
      <c r="I41" s="51">
        <f>IF('[9]سجل المستخلصات'!$J$25="","",'[9]سجل المستخلصات'!$J$25)</f>
        <v/>
      </c>
      <c r="J41" s="51">
        <f>IF('[9]سجل المستخلصات'!$K$25="","",'[9]سجل المستخلصات'!$K$25)</f>
        <v/>
      </c>
      <c r="K41" s="52">
        <f>IF('[9]سجل المستخلصات'!$L$25="","",'[9]سجل المستخلصات'!$L$25)</f>
        <v/>
      </c>
      <c r="L41" s="52">
        <f>IF('[9]سجل المستخلصات'!$M$25="","",'[9]سجل المستخلصات'!$M$25)</f>
        <v/>
      </c>
      <c r="M41" s="52">
        <f>IF('[9]سجل المستخلصات'!$N$25="","",'[9]سجل المستخلصات'!$N$25)</f>
        <v/>
      </c>
      <c r="N41" s="51">
        <f>IF('[9]سجل المستخلصات'!$O$25="","",'[9]سجل المستخلصات'!$O$25)</f>
        <v/>
      </c>
      <c r="O41" s="51">
        <f>IF('[9]سجل المستخلصات'!$R$25="","",'[9]سجل المستخلصات'!$R$25)</f>
        <v/>
      </c>
      <c r="P41" s="51">
        <f>IF('[9]سجل المستخلصات'!$S$25="","",'[9]سجل المستخلصات'!$S$25)</f>
        <v/>
      </c>
      <c r="Q41" s="51">
        <f>IF('[9]سجل المستخلصات'!$T$25="","",'[9]سجل المستخلصات'!$T$25)</f>
        <v/>
      </c>
      <c r="R41" s="51">
        <f>IF('[9]سجل المستخلصات'!$V$25="","",'[9]سجل المستخلصات'!$V$25)</f>
        <v/>
      </c>
      <c r="S41" s="51">
        <f>IF('[9]سجل المستخلصات'!$W$25="","",'[9]سجل المستخلصات'!$W$25)</f>
        <v/>
      </c>
      <c r="T41" s="53">
        <f>IF('[9]سجل المستخلصات'!$X$25="","",'[9]سجل المستخلصات'!$X$25)</f>
        <v/>
      </c>
      <c r="U41" s="53">
        <f>IF('[9]سجل المستخلصات'!$Z$25="","",'[9]سجل المستخلصات'!$Z$25)</f>
        <v/>
      </c>
      <c r="V41" s="51">
        <f>IF('[9]سجل المستخلصات'!$AA$25="","",'[9]سجل المستخلصات'!$AA$25)</f>
        <v/>
      </c>
      <c r="W41" s="51">
        <f>IF('[9]سجل المستخلصات'!$AC$25="","",'[9]سجل المستخلصات'!$AC$25)</f>
        <v/>
      </c>
      <c r="X41" s="54">
        <f>IF('[9]سجل المستخلصات'!$AD$25="","",'[9]سجل المستخلصات'!$AD$25)</f>
        <v/>
      </c>
      <c r="Y41" s="50">
        <f>IF('[9]سجل المستخلصات'!$AE$25="","",'[9]سجل المستخلصات'!$AE$25)</f>
        <v/>
      </c>
    </row>
    <row r="42">
      <c r="B42" s="55" t="inlineStr">
        <is>
          <t>الإجمالي</t>
        </is>
      </c>
      <c r="C42" s="56" t="n"/>
      <c r="D42" s="56" t="n"/>
      <c r="E42" s="55" t="n"/>
      <c r="F42" s="57">
        <f>SUM(F22:F41)</f>
        <v/>
      </c>
      <c r="G42" s="57">
        <f>IF($V$9=0,0,N(INDEX($G$22:$G$41,$V$9)))</f>
        <v/>
      </c>
      <c r="H42" s="57">
        <f>IF($V$9=0,0,N(INDEX($H$22:$H$41,$V$9)))</f>
        <v/>
      </c>
      <c r="I42" s="57">
        <f>IF($V$9=0,0,N(INDEX($I$22:$I$41,$V$9)))</f>
        <v/>
      </c>
      <c r="J42" s="57">
        <f>IF($V$9=0,0,N(INDEX($J$22:$J$41,$V$9)))</f>
        <v/>
      </c>
      <c r="K42" s="58">
        <f>IF($V$9=0,0,N(INDEX($K$22:$K$41,$V$9)))</f>
        <v/>
      </c>
      <c r="L42" s="58" t="n"/>
      <c r="M42" s="58" t="n"/>
      <c r="N42" s="57">
        <f>IF($V$9=0,0,N(INDEX($N$22:$N$41,$V$9)))</f>
        <v/>
      </c>
      <c r="O42" s="57">
        <f>IF($V$9=0,0,N(INDEX($O$22:$O$41,$V$9)))</f>
        <v/>
      </c>
      <c r="P42" s="57">
        <f>IF($V$9=0,0,N(INDEX($P$22:$P$41,$V$9)))</f>
        <v/>
      </c>
      <c r="Q42" s="57">
        <f>IF($V$9=0,0,N(INDEX($Q$22:$Q$41,$V$9)))</f>
        <v/>
      </c>
      <c r="R42" s="57">
        <f>IF($V$9=0,0,N(INDEX($R$22:$R$41,$V$9)))</f>
        <v/>
      </c>
      <c r="S42" s="57">
        <f>IF($V$9=0,0,N(INDEX($S$22:$S$41,$V$9)))</f>
        <v/>
      </c>
      <c r="T42" s="57">
        <f>IF($V$9=0,0,N(INDEX($T$22:$T$41,$V$9)))</f>
        <v/>
      </c>
      <c r="U42" s="57">
        <f>SUM(U22:U41)</f>
        <v/>
      </c>
      <c r="V42" s="57">
        <f>SUM(V22:V41)</f>
        <v/>
      </c>
      <c r="W42" s="57">
        <f>SUM(W22:W41)</f>
        <v/>
      </c>
      <c r="X42" s="59">
        <f>IFERROR(AVERAGE(X22:X41),0)</f>
        <v/>
      </c>
      <c r="Y42" s="55" t="n"/>
    </row>
    <row r="45">
      <c r="B45" s="46" t="inlineStr">
        <is>
          <t>الإنجاز حسب أقسام الأعمال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القسم</t>
        </is>
      </c>
      <c r="C46" s="47" t="n"/>
      <c r="D46" s="47" t="n"/>
      <c r="E46" s="47" t="inlineStr">
        <is>
          <t>القيمة التعاقدية</t>
        </is>
      </c>
      <c r="F46" s="47" t="inlineStr">
        <is>
          <t>القيمة المنفذة</t>
        </is>
      </c>
      <c r="G46" s="47" t="inlineStr">
        <is>
          <t>نسبة الإنجاز</t>
        </is>
      </c>
    </row>
    <row r="47">
      <c r="B47" s="60">
        <f>IF('[9]سجل المستخلصات'!$B$32="","",'[9]سجل المستخلصات'!$B$32)</f>
        <v/>
      </c>
      <c r="C47" s="60" t="n"/>
      <c r="D47" s="60" t="n"/>
      <c r="E47" s="51">
        <f>N('[9]سجل المستخلصات'!$E$32)</f>
        <v/>
      </c>
      <c r="F47" s="51">
        <f>N('[9]سجل المستخلصات'!$F$32)</f>
        <v/>
      </c>
      <c r="G47" s="61">
        <f>IF(E47&gt;0,F47/E47,0)</f>
        <v/>
      </c>
    </row>
    <row r="48">
      <c r="B48" s="60">
        <f>IF('[9]سجل المستخلصات'!$B$33="","",'[9]سجل المستخلصات'!$B$33)</f>
        <v/>
      </c>
      <c r="C48" s="60" t="n"/>
      <c r="D48" s="60" t="n"/>
      <c r="E48" s="51">
        <f>N('[9]سجل المستخلصات'!$E$33)</f>
        <v/>
      </c>
      <c r="F48" s="51">
        <f>N('[9]سجل المستخلصات'!$F$33)</f>
        <v/>
      </c>
      <c r="G48" s="61">
        <f>IF(E48&gt;0,F48/E48,0)</f>
        <v/>
      </c>
    </row>
    <row r="49">
      <c r="B49" s="60">
        <f>IF('[9]سجل المستخلصات'!$B$34="","",'[9]سجل المستخلصات'!$B$34)</f>
        <v/>
      </c>
      <c r="C49" s="60" t="n"/>
      <c r="D49" s="60" t="n"/>
      <c r="E49" s="51">
        <f>N('[9]سجل المستخلصات'!$E$34)</f>
        <v/>
      </c>
      <c r="F49" s="51">
        <f>N('[9]سجل المستخلصات'!$F$34)</f>
        <v/>
      </c>
      <c r="G49" s="61">
        <f>IF(E49&gt;0,F49/E49,0)</f>
        <v/>
      </c>
    </row>
    <row r="50">
      <c r="B50" s="60">
        <f>IF('[9]سجل المستخلصات'!$B$35="","",'[9]سجل المستخلصات'!$B$35)</f>
        <v/>
      </c>
      <c r="C50" s="60" t="n"/>
      <c r="D50" s="60" t="n"/>
      <c r="E50" s="51">
        <f>N('[9]سجل المستخلصات'!$E$35)</f>
        <v/>
      </c>
      <c r="F50" s="51">
        <f>N('[9]سجل المستخلصات'!$F$35)</f>
        <v/>
      </c>
      <c r="G50" s="61">
        <f>IF(E50&gt;0,F50/E50,0)</f>
        <v/>
      </c>
    </row>
    <row r="51">
      <c r="B51" s="60">
        <f>IF('[9]سجل المستخلصات'!$B$36="","",'[9]سجل المستخلصات'!$B$36)</f>
        <v/>
      </c>
      <c r="C51" s="60" t="n"/>
      <c r="D51" s="60" t="n"/>
      <c r="E51" s="51">
        <f>N('[9]سجل المستخلصات'!$E$36)</f>
        <v/>
      </c>
      <c r="F51" s="51">
        <f>N('[9]سجل المستخلصات'!$F$36)</f>
        <v/>
      </c>
      <c r="G51" s="61">
        <f>IF(E51&gt;0,F51/E51,0)</f>
        <v/>
      </c>
    </row>
    <row r="52">
      <c r="B52" s="60">
        <f>IF('[9]سجل المستخلصات'!$B$37="","",'[9]سجل المستخلصات'!$B$37)</f>
        <v/>
      </c>
      <c r="C52" s="60" t="n"/>
      <c r="D52" s="60" t="n"/>
      <c r="E52" s="51">
        <f>N('[9]سجل المستخلصات'!$E$37)</f>
        <v/>
      </c>
      <c r="F52" s="51">
        <f>N('[9]سجل المستخلصات'!$F$37)</f>
        <v/>
      </c>
      <c r="G52" s="61">
        <f>IF(E52&gt;0,F52/E52,0)</f>
        <v/>
      </c>
    </row>
    <row r="53">
      <c r="B53" s="60">
        <f>IF('[9]سجل المستخلصات'!$B$38="","",'[9]سجل المستخلصات'!$B$38)</f>
        <v/>
      </c>
      <c r="C53" s="60" t="n"/>
      <c r="D53" s="60" t="n"/>
      <c r="E53" s="51">
        <f>N('[9]سجل المستخلصات'!$E$38)</f>
        <v/>
      </c>
      <c r="F53" s="51">
        <f>N('[9]سجل المستخلصات'!$F$38)</f>
        <v/>
      </c>
      <c r="G53" s="61">
        <f>IF(E53&gt;0,F53/E53,0)</f>
        <v/>
      </c>
    </row>
    <row r="54">
      <c r="B54" s="60">
        <f>IF('[9]سجل المستخلصات'!$B$39="","",'[9]سجل المستخلصات'!$B$39)</f>
        <v/>
      </c>
      <c r="C54" s="60" t="n"/>
      <c r="D54" s="60" t="n"/>
      <c r="E54" s="51">
        <f>N('[9]سجل المستخلصات'!$E$39)</f>
        <v/>
      </c>
      <c r="F54" s="51">
        <f>N('[9]سجل المستخلصات'!$F$39)</f>
        <v/>
      </c>
      <c r="G54" s="61">
        <f>IF(E54&gt;0,F54/E54,0)</f>
        <v/>
      </c>
    </row>
    <row r="55">
      <c r="B55" s="60">
        <f>IF('[9]سجل المستخلصات'!$B$40="","",'[9]سجل المستخلصات'!$B$40)</f>
        <v/>
      </c>
      <c r="C55" s="60" t="n"/>
      <c r="D55" s="60" t="n"/>
      <c r="E55" s="51">
        <f>N('[9]سجل المستخلصات'!$E$40)</f>
        <v/>
      </c>
      <c r="F55" s="51">
        <f>N('[9]سجل المستخلصات'!$F$40)</f>
        <v/>
      </c>
      <c r="G55" s="61">
        <f>IF(E55&gt;0,F55/E55,0)</f>
        <v/>
      </c>
    </row>
    <row r="56">
      <c r="B56" s="60">
        <f>IF('[9]سجل المستخلصات'!$B$41="","",'[9]سجل المستخلصات'!$B$41)</f>
        <v/>
      </c>
      <c r="C56" s="60" t="n"/>
      <c r="D56" s="60" t="n"/>
      <c r="E56" s="51">
        <f>N('[9]سجل المستخلصات'!$E$41)</f>
        <v/>
      </c>
      <c r="F56" s="51">
        <f>N('[9]سجل المستخلصات'!$F$41)</f>
        <v/>
      </c>
      <c r="G56" s="61">
        <f>IF(E56&gt;0,F56/E56,0)</f>
        <v/>
      </c>
    </row>
    <row r="57">
      <c r="B57" s="60">
        <f>IF('[9]سجل المستخلصات'!$B$42="","",'[9]سجل المستخلصات'!$B$42)</f>
        <v/>
      </c>
      <c r="C57" s="60" t="n"/>
      <c r="D57" s="60" t="n"/>
      <c r="E57" s="51">
        <f>N('[9]سجل المستخلصات'!$E$42)</f>
        <v/>
      </c>
      <c r="F57" s="51">
        <f>N('[9]سجل المستخلصات'!$F$42)</f>
        <v/>
      </c>
      <c r="G57" s="61">
        <f>IF(E57&gt;0,F57/E57,0)</f>
        <v/>
      </c>
    </row>
    <row r="58">
      <c r="B58" s="60">
        <f>IF('[9]سجل المستخلصات'!$B$43="","",'[9]سجل المستخلصات'!$B$43)</f>
        <v/>
      </c>
      <c r="C58" s="60" t="n"/>
      <c r="D58" s="60" t="n"/>
      <c r="E58" s="51">
        <f>N('[9]سجل المستخلصات'!$E$43)</f>
        <v/>
      </c>
      <c r="F58" s="51">
        <f>N('[9]سجل المستخلصات'!$F$43)</f>
        <v/>
      </c>
      <c r="G58" s="61">
        <f>IF(E58&gt;0,F58/E58,0)</f>
        <v/>
      </c>
    </row>
  </sheetData>
  <mergeCells count="76">
    <mergeCell ref="R17:U17"/>
    <mergeCell ref="B9:E9"/>
    <mergeCell ref="F9:I9"/>
    <mergeCell ref="B2:Y2"/>
    <mergeCell ref="N9:Q9"/>
    <mergeCell ref="B57:D57"/>
    <mergeCell ref="J12:M12"/>
    <mergeCell ref="B15:E15"/>
    <mergeCell ref="B53:D53"/>
    <mergeCell ref="M5:Q5"/>
    <mergeCell ref="B1:Y1"/>
    <mergeCell ref="S5:Y5"/>
    <mergeCell ref="N15:Q15"/>
    <mergeCell ref="J18:M18"/>
    <mergeCell ref="H5:K5"/>
    <mergeCell ref="F14:I14"/>
    <mergeCell ref="R18:U18"/>
    <mergeCell ref="R9:U9"/>
    <mergeCell ref="V18:Y18"/>
    <mergeCell ref="N3:R3"/>
    <mergeCell ref="R8:U8"/>
    <mergeCell ref="R14:U14"/>
    <mergeCell ref="J17:M17"/>
    <mergeCell ref="J8:M8"/>
    <mergeCell ref="V12:Y12"/>
    <mergeCell ref="F11:I11"/>
    <mergeCell ref="B49:D49"/>
    <mergeCell ref="C6:F6"/>
    <mergeCell ref="N11:Q11"/>
    <mergeCell ref="V17:Y17"/>
    <mergeCell ref="R11:U11"/>
    <mergeCell ref="J14:M14"/>
    <mergeCell ref="C5:F5"/>
    <mergeCell ref="B55:D55"/>
    <mergeCell ref="AA4:AB4"/>
    <mergeCell ref="B51:D51"/>
    <mergeCell ref="V14:Y14"/>
    <mergeCell ref="B18:E18"/>
    <mergeCell ref="V8:Y8"/>
    <mergeCell ref="S3:Y3"/>
    <mergeCell ref="J9:M9"/>
    <mergeCell ref="M6:Q6"/>
    <mergeCell ref="B20:Y20"/>
    <mergeCell ref="B12:E12"/>
    <mergeCell ref="F12:I12"/>
    <mergeCell ref="B45:G45"/>
    <mergeCell ref="H6:K6"/>
    <mergeCell ref="B50:D50"/>
    <mergeCell ref="B11:E11"/>
    <mergeCell ref="N12:Q12"/>
    <mergeCell ref="F15:I15"/>
    <mergeCell ref="R15:U15"/>
    <mergeCell ref="J15:M15"/>
    <mergeCell ref="B47:D47"/>
    <mergeCell ref="B54:D54"/>
    <mergeCell ref="B14:E14"/>
    <mergeCell ref="N18:Q18"/>
    <mergeCell ref="F18:I18"/>
    <mergeCell ref="B17:E17"/>
    <mergeCell ref="B8:E8"/>
    <mergeCell ref="V9:Y9"/>
    <mergeCell ref="N8:Q8"/>
    <mergeCell ref="N14:Q14"/>
    <mergeCell ref="F17:I17"/>
    <mergeCell ref="F8:I8"/>
    <mergeCell ref="R12:U12"/>
    <mergeCell ref="N17:Q17"/>
    <mergeCell ref="B46:D46"/>
    <mergeCell ref="J11:M11"/>
    <mergeCell ref="B56:D56"/>
    <mergeCell ref="B58:D58"/>
    <mergeCell ref="V15:Y15"/>
    <mergeCell ref="B52:D52"/>
    <mergeCell ref="V11:Y11"/>
    <mergeCell ref="B48:D48"/>
    <mergeCell ref="S6:Y6"/>
  </mergeCells>
  <conditionalFormatting sqref="M22:M41">
    <cfRule type="cellIs" priority="1" operator="lessThan" dxfId="0">
      <formula>-0.0001</formula>
    </cfRule>
  </conditionalFormatting>
  <conditionalFormatting sqref="Y22:Y41">
    <cfRule type="expression" priority="2" dxfId="1">
      <formula>ISNUMBER(SEARCH("✔",Y22))</formula>
    </cfRule>
    <cfRule type="expression" priority="3" dxfId="2">
      <formula>ISNUMBER(SEARCH("✖",Y22))</formula>
    </cfRule>
    <cfRule type="expression" priority="4" dxfId="3">
      <formula>ISNUMBER(SEARCH("⚠",Y22))</formula>
    </cfRule>
  </conditionalFormatting>
  <conditionalFormatting sqref="B22:Y41">
    <cfRule type="expression" priority="5" dxfId="4">
      <formula>$B22=$V$9</formula>
    </cfRule>
  </conditionalFormatting>
  <conditionalFormatting sqref="K22:K41">
    <cfRule type="dataBar" priority="6">
      <dataBar>
        <cfvo type="num" val="0"/>
        <cfvo type="num" val="1"/>
        <color rgb="0063BE7B"/>
      </dataBar>
    </cfRule>
  </conditionalFormatting>
  <conditionalFormatting sqref="V12">
    <cfRule type="expression" priority="7" dxfId="0">
      <formula>ISNUMBER(SEARCH("⚠",V12))</formula>
    </cfRule>
  </conditionalFormatting>
  <conditionalFormatting sqref="J12">
    <cfRule type="cellIs" priority="8" operator="lessThan" dxfId="0">
      <formula>0</formula>
    </cfRule>
  </conditionalFormatting>
  <conditionalFormatting sqref="G47:G58">
    <cfRule type="dataBar" priority="9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xmlns:r="http://schemas.openxmlformats.org/officeDocument/2006/relationships" ref="N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"&amp;IF('[10]بيانات العقد'!$C$5="","مشروع رقم 10 — غير مُفعّل",'[10]بيانات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مشروع 01</t>
        </is>
      </c>
      <c r="D3" s="4" t="inlineStr">
        <is>
          <t>مشروع 02</t>
        </is>
      </c>
      <c r="E3" s="4" t="inlineStr">
        <is>
          <t>مشروع 03</t>
        </is>
      </c>
      <c r="F3" s="4" t="inlineStr">
        <is>
          <t>مشروع 04</t>
        </is>
      </c>
      <c r="G3" s="4" t="inlineStr">
        <is>
          <t>مشروع 05</t>
        </is>
      </c>
      <c r="H3" s="4" t="inlineStr">
        <is>
          <t>مشروع 06</t>
        </is>
      </c>
      <c r="I3" s="4" t="inlineStr">
        <is>
          <t>مشروع 07</t>
        </is>
      </c>
      <c r="J3" s="4" t="inlineStr">
        <is>
          <t>مشروع 08</t>
        </is>
      </c>
      <c r="K3" s="4" t="inlineStr">
        <is>
          <t>مشروع 09</t>
        </is>
      </c>
      <c r="L3" s="10" t="inlineStr">
        <is>
          <t>مشروع 10</t>
        </is>
      </c>
      <c r="N3" s="11" t="inlineStr">
        <is>
          <t>📂 فتح ملف المستخلصات: IPC_Project_10.xlsx</t>
        </is>
      </c>
      <c r="O3" s="11" t="n"/>
      <c r="P3" s="11" t="n"/>
      <c r="Q3" s="11" t="n"/>
      <c r="R3" s="11" t="n"/>
      <c r="S3" s="12" t="inlineStr">
        <is>
          <t>يُحدَّث آلياً من ملف المستخلصات (تمكين المحتوى ← تحديث الروابط)</t>
        </is>
      </c>
      <c r="T3" s="12" t="n"/>
      <c r="U3" s="12" t="n"/>
      <c r="V3" s="12" t="n"/>
      <c r="W3" s="12" t="n"/>
      <c r="X3" s="12" t="n"/>
      <c r="Y3" s="12" t="n"/>
    </row>
    <row r="4">
      <c r="AA4" s="11" t="inlineStr">
        <is>
          <t>بيانات مرتبطة من ملف المستخلصات</t>
        </is>
      </c>
      <c r="AB4" s="11" t="n"/>
    </row>
    <row r="5" ht="22" customHeight="1">
      <c r="B5" s="9" t="inlineStr">
        <is>
          <t>المشروع</t>
        </is>
      </c>
      <c r="C5" s="13">
        <f>IF('[10]بيانات العقد'!$C$5="","",'[10]بيانات العقد'!$C$5)</f>
        <v/>
      </c>
      <c r="D5" s="13" t="n"/>
      <c r="E5" s="13" t="n"/>
      <c r="F5" s="13" t="n"/>
      <c r="G5" s="9" t="inlineStr">
        <is>
          <t>رقم العقد</t>
        </is>
      </c>
      <c r="H5" s="13">
        <f>IF('[10]بيانات العقد'!$C$6="","",'[10]بيانات العقد'!$C$6)</f>
        <v/>
      </c>
      <c r="I5" s="13" t="n"/>
      <c r="J5" s="13" t="n"/>
      <c r="K5" s="13" t="n"/>
      <c r="L5" s="9" t="inlineStr">
        <is>
          <t>صاحب العمل</t>
        </is>
      </c>
      <c r="M5" s="13">
        <f>IF('[10]بيانات العقد'!$C$7="","",'[10]بيانات العقد'!$C$7)</f>
        <v/>
      </c>
      <c r="N5" s="13" t="n"/>
      <c r="O5" s="13" t="n"/>
      <c r="P5" s="13" t="n"/>
      <c r="Q5" s="13" t="n"/>
      <c r="R5" s="9" t="inlineStr">
        <is>
          <t>الاستشاري</t>
        </is>
      </c>
      <c r="S5" s="13">
        <f>IF('[10]بيانات العقد'!$C$8="","",'[10]بيانات العقد'!$C$8)</f>
        <v/>
      </c>
      <c r="T5" s="13" t="n"/>
      <c r="U5" s="13" t="n"/>
      <c r="V5" s="13" t="n"/>
      <c r="W5" s="13" t="n"/>
      <c r="X5" s="13" t="n"/>
      <c r="Y5" s="13" t="n"/>
      <c r="AA5" s="14" t="inlineStr">
        <is>
          <t>قيمة العقد الأصلية</t>
        </is>
      </c>
      <c r="AB5" s="15">
        <f>N('[10]بيانات العقد'!$C$16)</f>
        <v/>
      </c>
    </row>
    <row r="6" ht="22" customHeight="1">
      <c r="B6" s="9" t="inlineStr">
        <is>
          <t>المقاول</t>
        </is>
      </c>
      <c r="C6" s="13">
        <f>IF('[10]بيانات العقد'!$C$9="","",'[10]بيانات العقد'!$C$9)</f>
        <v/>
      </c>
      <c r="D6" s="13" t="n"/>
      <c r="E6" s="13" t="n"/>
      <c r="F6" s="13" t="n"/>
      <c r="G6" s="9" t="inlineStr">
        <is>
          <t>تاريخ البدء</t>
        </is>
      </c>
      <c r="H6" s="16">
        <f>IF('[10]بيانات العقد'!$C$11="","",'[10]بيانات العقد'!$C$11)</f>
        <v/>
      </c>
      <c r="I6" s="16" t="n"/>
      <c r="J6" s="16" t="n"/>
      <c r="K6" s="16" t="n"/>
      <c r="L6" s="9" t="inlineStr">
        <is>
          <t>الانتهاء التعاقدي</t>
        </is>
      </c>
      <c r="M6" s="16">
        <f>IF('[10]بيانات العقد'!$C$13="","",'[10]بيانات العقد'!$C$13)</f>
        <v/>
      </c>
      <c r="N6" s="16" t="n"/>
      <c r="O6" s="16" t="n"/>
      <c r="P6" s="16" t="n"/>
      <c r="Q6" s="16" t="n"/>
      <c r="R6" s="9" t="inlineStr">
        <is>
          <t>العملة</t>
        </is>
      </c>
      <c r="S6" s="13">
        <f>IF('[10]بيانات العقد'!$C$14="","",'[10]بيانات العقد'!$C$14)</f>
        <v/>
      </c>
      <c r="T6" s="13" t="n"/>
      <c r="U6" s="13" t="n"/>
      <c r="V6" s="13" t="n"/>
      <c r="W6" s="13" t="n"/>
      <c r="X6" s="13" t="n"/>
      <c r="Y6" s="13" t="n"/>
      <c r="AA6" s="14" t="inlineStr">
        <is>
          <t>صافي التغييرية المعتمدة</t>
        </is>
      </c>
      <c r="AB6" s="15">
        <f>N('[10]بيانات العقد'!$C$17)</f>
        <v/>
      </c>
    </row>
    <row r="7">
      <c r="AA7" s="14" t="inlineStr">
        <is>
          <t>قيمة العقد المعدلة</t>
        </is>
      </c>
      <c r="AB7" s="15">
        <f>N('[10]بيانات العقد'!$C$18)</f>
        <v/>
      </c>
    </row>
    <row r="8" ht="24" customHeight="1">
      <c r="B8" s="17" t="inlineStr">
        <is>
          <t>قيمة العقد الأصلية</t>
        </is>
      </c>
      <c r="C8" s="17" t="n"/>
      <c r="D8" s="17" t="n"/>
      <c r="E8" s="17" t="n"/>
      <c r="F8" s="18" t="inlineStr">
        <is>
          <t>صافي الأوامر التغييرية</t>
        </is>
      </c>
      <c r="G8" s="18" t="n"/>
      <c r="H8" s="18" t="n"/>
      <c r="I8" s="18" t="n"/>
      <c r="J8" s="17" t="inlineStr">
        <is>
          <t>قيمة العقد المعدلة</t>
        </is>
      </c>
      <c r="K8" s="17" t="n"/>
      <c r="L8" s="17" t="n"/>
      <c r="M8" s="17" t="n"/>
      <c r="N8" s="19" t="inlineStr">
        <is>
          <t>إجمالي قيمة الأعمال التراكمية</t>
        </is>
      </c>
      <c r="O8" s="19" t="n"/>
      <c r="P8" s="19" t="n"/>
      <c r="Q8" s="19" t="n"/>
      <c r="R8" s="20" t="inlineStr">
        <is>
          <t>الأعمال المتبقية</t>
        </is>
      </c>
      <c r="S8" s="20" t="n"/>
      <c r="T8" s="20" t="n"/>
      <c r="U8" s="20" t="n"/>
      <c r="V8" s="21" t="inlineStr">
        <is>
          <t>آخر مستخلص فعال</t>
        </is>
      </c>
      <c r="W8" s="21" t="n"/>
      <c r="X8" s="21" t="n"/>
      <c r="Y8" s="21" t="n"/>
      <c r="AA8" s="14" t="inlineStr">
        <is>
          <t>نسبة الدفعة المقدمة</t>
        </is>
      </c>
      <c r="AB8" s="22">
        <f>N('[10]بيانات العقد'!$C$20)</f>
        <v/>
      </c>
    </row>
    <row r="9" ht="32" customHeight="1">
      <c r="B9" s="23">
        <f>$AB$5</f>
        <v/>
      </c>
      <c r="C9" s="23" t="n"/>
      <c r="D9" s="23" t="n"/>
      <c r="E9" s="23" t="n"/>
      <c r="F9" s="24">
        <f>$AB$6</f>
        <v/>
      </c>
      <c r="G9" s="24" t="n"/>
      <c r="H9" s="24" t="n"/>
      <c r="I9" s="24" t="n"/>
      <c r="J9" s="23">
        <f>$AB$7</f>
        <v/>
      </c>
      <c r="K9" s="23" t="n"/>
      <c r="L9" s="23" t="n"/>
      <c r="M9" s="23" t="n"/>
      <c r="N9" s="25">
        <f>IF($V$9=0,0,N(INDEX($J$22:$J$41,$V$9)))</f>
        <v/>
      </c>
      <c r="O9" s="25" t="n"/>
      <c r="P9" s="25" t="n"/>
      <c r="Q9" s="25" t="n"/>
      <c r="R9" s="26">
        <f>MAX(0,$AB$7-IF($V$9=0,0,N(INDEX($G$22:$G$41,$V$9)))-IF($V$9=0,0,N(INDEX($H$22:$H$41,$V$9))))</f>
        <v/>
      </c>
      <c r="S9" s="26" t="n"/>
      <c r="T9" s="26" t="n"/>
      <c r="U9" s="26" t="n"/>
      <c r="V9" s="27">
        <f>SUMPRODUCT(MAX((C22:C41&lt;&gt;"")*B22:B41))</f>
        <v/>
      </c>
      <c r="W9" s="27" t="n"/>
      <c r="X9" s="27" t="n"/>
      <c r="Y9" s="27" t="n"/>
      <c r="AA9" s="14" t="inlineStr">
        <is>
          <t>قيمة الدفعة المقدمة</t>
        </is>
      </c>
      <c r="AB9" s="15">
        <f>N('[10]بيانات العقد'!$C$21)</f>
        <v/>
      </c>
    </row>
    <row r="10">
      <c r="AA10" s="14" t="inlineStr">
        <is>
          <t>نسبة ضمان الأعمال</t>
        </is>
      </c>
      <c r="AB10" s="22">
        <f>N('[10]بيانات العقد'!$C$27)</f>
        <v/>
      </c>
    </row>
    <row r="11" ht="24" customHeight="1">
      <c r="B11" s="19" t="inlineStr">
        <is>
          <t>نسبة الإنجاز الفعلية</t>
        </is>
      </c>
      <c r="C11" s="19" t="n"/>
      <c r="D11" s="19" t="n"/>
      <c r="E11" s="19" t="n"/>
      <c r="F11" s="17" t="inlineStr">
        <is>
          <t>نسبة الإنجاز المخططة</t>
        </is>
      </c>
      <c r="G11" s="17" t="n"/>
      <c r="H11" s="17" t="n"/>
      <c r="I11" s="17" t="n"/>
      <c r="J11" s="21" t="inlineStr">
        <is>
          <t>الانحراف (فعلي - مخطط)</t>
        </is>
      </c>
      <c r="K11" s="21" t="n"/>
      <c r="L11" s="21" t="n"/>
      <c r="M11" s="21" t="n"/>
      <c r="N11" s="20" t="inlineStr">
        <is>
          <t>نسبة المدة المنقضية</t>
        </is>
      </c>
      <c r="O11" s="20" t="n"/>
      <c r="P11" s="20" t="n"/>
      <c r="Q11" s="20" t="n"/>
      <c r="R11" s="17" t="inlineStr">
        <is>
          <t>مؤشر أداء الجدول (SPI)</t>
        </is>
      </c>
      <c r="S11" s="17" t="n"/>
      <c r="T11" s="17" t="n"/>
      <c r="U11" s="17" t="n"/>
      <c r="V11" s="17" t="inlineStr">
        <is>
          <t>حالة المشروع</t>
        </is>
      </c>
      <c r="W11" s="17" t="n"/>
      <c r="X11" s="17" t="n"/>
      <c r="Y11" s="17" t="n"/>
      <c r="AA11" s="14" t="inlineStr">
        <is>
          <t>الحد الأقصى للضمان</t>
        </is>
      </c>
      <c r="AB11" s="15">
        <f>N('[10]بيانات العقد'!$C$29)</f>
        <v/>
      </c>
    </row>
    <row r="12" ht="32" customHeight="1">
      <c r="B12" s="28">
        <f>IF($V$9=0,0,N(INDEX($K$22:$K$41,$V$9)))</f>
        <v/>
      </c>
      <c r="C12" s="28" t="n"/>
      <c r="D12" s="28" t="n"/>
      <c r="E12" s="28" t="n"/>
      <c r="F12" s="29">
        <f>IF($V$9=0,0,N(INDEX($L$22:$L$41,$V$9)))</f>
        <v/>
      </c>
      <c r="G12" s="29" t="n"/>
      <c r="H12" s="29" t="n"/>
      <c r="I12" s="29" t="n"/>
      <c r="J12" s="30">
        <f>B12-F12</f>
        <v/>
      </c>
      <c r="K12" s="30" t="n"/>
      <c r="L12" s="30" t="n"/>
      <c r="M12" s="30" t="n"/>
      <c r="N12" s="31">
        <f>IF(OR($V$9=0,$AB$14="",$AB$15=""),0,MIN(1,MAX(0,(INDEX(C22:C41,$V$9)-$AB$14+1)/($AB$15-$AB$14+1))))</f>
        <v/>
      </c>
      <c r="O12" s="31" t="n"/>
      <c r="P12" s="31" t="n"/>
      <c r="Q12" s="31" t="n"/>
      <c r="R12" s="32">
        <f>IF(F12&gt;0,B12/F12,0)</f>
        <v/>
      </c>
      <c r="S12" s="32" t="n"/>
      <c r="T12" s="32" t="n"/>
      <c r="U12" s="32" t="n"/>
      <c r="V12" s="33">
        <f>IF($AB$7=0,"غير مُفعّل",IF($V$9=0,"لم يبدأ الصرف",IF(J12&lt;-0.05,"⚠ متأخر",IF(J12&lt;0,"متأخر قليلاً","✔ مطابق / متقدم"))))</f>
        <v/>
      </c>
      <c r="W12" s="33" t="n"/>
      <c r="X12" s="33" t="n"/>
      <c r="Y12" s="33" t="n"/>
      <c r="AA12" s="14" t="inlineStr">
        <is>
          <t>ضريبة القيمة المضافة</t>
        </is>
      </c>
      <c r="AB12" s="22">
        <f>N('[10]بيانات العقد'!$C$31)</f>
        <v/>
      </c>
    </row>
    <row r="13">
      <c r="AA13" s="14" t="inlineStr">
        <is>
          <t>ضريبة الخصم من المنبع</t>
        </is>
      </c>
      <c r="AB13" s="22">
        <f>N('[10]بيانات العقد'!$C$33)</f>
        <v/>
      </c>
    </row>
    <row r="14" ht="24" customHeight="1">
      <c r="B14" s="17" t="inlineStr">
        <is>
          <t>صافي المستحق التراكمي</t>
        </is>
      </c>
      <c r="C14" s="17" t="n"/>
      <c r="D14" s="17" t="n"/>
      <c r="E14" s="17" t="n"/>
      <c r="F14" s="34" t="inlineStr">
        <is>
          <t>إجمالي المحصل</t>
        </is>
      </c>
      <c r="G14" s="34" t="n"/>
      <c r="H14" s="34" t="n"/>
      <c r="I14" s="34" t="n"/>
      <c r="J14" s="35" t="inlineStr">
        <is>
          <t>مستحقات غير محصلة</t>
        </is>
      </c>
      <c r="K14" s="35" t="n"/>
      <c r="L14" s="35" t="n"/>
      <c r="M14" s="35" t="n"/>
      <c r="N14" s="34" t="inlineStr">
        <is>
          <t>نسبة التحصيل</t>
        </is>
      </c>
      <c r="O14" s="34" t="n"/>
      <c r="P14" s="34" t="n"/>
      <c r="Q14" s="34" t="n"/>
      <c r="R14" s="20" t="inlineStr">
        <is>
          <t>متوسط مدة التحصيل (يوم)</t>
        </is>
      </c>
      <c r="S14" s="20" t="n"/>
      <c r="T14" s="20" t="n"/>
      <c r="U14" s="20" t="n"/>
      <c r="V14" s="21" t="inlineStr">
        <is>
          <t>تاريخ آخر مستخلص</t>
        </is>
      </c>
      <c r="W14" s="21" t="n"/>
      <c r="X14" s="21" t="n"/>
      <c r="Y14" s="21" t="n"/>
      <c r="AA14" s="14" t="inlineStr">
        <is>
          <t>تاريخ البدء</t>
        </is>
      </c>
      <c r="AB14" s="36">
        <f>IF('[10]بيانات العقد'!$C$11="","",'[10]بيانات العقد'!$C$11)</f>
        <v/>
      </c>
    </row>
    <row r="15" ht="32" customHeight="1">
      <c r="B15" s="23">
        <f>IF($V$9=0,0,N(INDEX($T$22:$T$41,$V$9)))</f>
        <v/>
      </c>
      <c r="C15" s="23" t="n"/>
      <c r="D15" s="23" t="n"/>
      <c r="E15" s="23" t="n"/>
      <c r="F15" s="37">
        <f>V42</f>
        <v/>
      </c>
      <c r="G15" s="37" t="n"/>
      <c r="H15" s="37" t="n"/>
      <c r="I15" s="37" t="n"/>
      <c r="J15" s="38">
        <f>W42</f>
        <v/>
      </c>
      <c r="K15" s="38" t="n"/>
      <c r="L15" s="38" t="n"/>
      <c r="M15" s="38" t="n"/>
      <c r="N15" s="39">
        <f>IF(B15&gt;0,F15/B15,0)</f>
        <v/>
      </c>
      <c r="O15" s="39" t="n"/>
      <c r="P15" s="39" t="n"/>
      <c r="Q15" s="39" t="n"/>
      <c r="R15" s="40">
        <f>X42</f>
        <v/>
      </c>
      <c r="S15" s="40" t="n"/>
      <c r="T15" s="40" t="n"/>
      <c r="U15" s="40" t="n"/>
      <c r="V15" s="41">
        <f>IF($V$9=0,"",INDEX(C22:C41,$V$9))</f>
        <v/>
      </c>
      <c r="W15" s="41" t="n"/>
      <c r="X15" s="41" t="n"/>
      <c r="Y15" s="41" t="n"/>
      <c r="AA15" s="14" t="inlineStr">
        <is>
          <t>تاريخ الانتهاء التعاقدي</t>
        </is>
      </c>
      <c r="AB15" s="36">
        <f>IF('[10]بيانات العقد'!$C$13="","",'[10]بيانات العقد'!$C$13)</f>
        <v/>
      </c>
    </row>
    <row r="16">
      <c r="AA16" s="14" t="inlineStr">
        <is>
          <t>المدة (شهر)</t>
        </is>
      </c>
      <c r="AB16" s="42">
        <f>IF('[10]بيانات العقد'!$C$12="","",'[10]بيانات العقد'!$C$12)</f>
        <v/>
      </c>
    </row>
    <row r="17" ht="24" customHeight="1">
      <c r="B17" s="43" t="inlineStr">
        <is>
          <t>ضمان الأعمال المحتجز</t>
        </is>
      </c>
      <c r="C17" s="43" t="n"/>
      <c r="D17" s="43" t="n"/>
      <c r="E17" s="43" t="n"/>
      <c r="F17" s="43" t="inlineStr">
        <is>
          <t>رصيد الدفعة المقدمة غير المسترد</t>
        </is>
      </c>
      <c r="G17" s="43" t="n"/>
      <c r="H17" s="43" t="n"/>
      <c r="I17" s="43" t="n"/>
      <c r="J17" s="43" t="inlineStr">
        <is>
          <t>الاستقطاعات الفنية المحتجزة</t>
        </is>
      </c>
      <c r="K17" s="43" t="n"/>
      <c r="L17" s="43" t="n"/>
      <c r="M17" s="43" t="n"/>
      <c r="N17" s="43" t="inlineStr">
        <is>
          <t>الغرامات والخصومات</t>
        </is>
      </c>
      <c r="O17" s="43" t="n"/>
      <c r="P17" s="43" t="n"/>
      <c r="Q17" s="43" t="n"/>
      <c r="R17" s="19" t="inlineStr">
        <is>
          <t>مستحق آخر مستخلص</t>
        </is>
      </c>
      <c r="S17" s="19" t="n"/>
      <c r="T17" s="19" t="n"/>
      <c r="U17" s="19" t="n"/>
      <c r="V17" s="17" t="inlineStr">
        <is>
          <t>عدد المستخلصات المعتمدة</t>
        </is>
      </c>
      <c r="W17" s="17" t="n"/>
      <c r="X17" s="17" t="n"/>
      <c r="Y17" s="17" t="n"/>
    </row>
    <row r="18" ht="32" customHeight="1">
      <c r="B18" s="44">
        <f>IF($V$9=0,0,N(INDEX($O$22:$O$41,$V$9)))</f>
        <v/>
      </c>
      <c r="C18" s="44" t="n"/>
      <c r="D18" s="44" t="n"/>
      <c r="E18" s="44" t="n"/>
      <c r="F18" s="44">
        <f>MAX(0,$AB$9-IF($V$9=0,0,N(INDEX($N$22:$N$41,$V$9))))</f>
        <v/>
      </c>
      <c r="G18" s="44" t="n"/>
      <c r="H18" s="44" t="n"/>
      <c r="I18" s="44" t="n"/>
      <c r="J18" s="44">
        <f>IF($V$9=0,0,N(INDEX($P$22:$P$41,$V$9)))</f>
        <v/>
      </c>
      <c r="K18" s="44" t="n"/>
      <c r="L18" s="44" t="n"/>
      <c r="M18" s="44" t="n"/>
      <c r="N18" s="44">
        <f>IF($V$9=0,0,N(INDEX($Q$22:$Q$41,$V$9)))</f>
        <v/>
      </c>
      <c r="O18" s="44" t="n"/>
      <c r="P18" s="44" t="n"/>
      <c r="Q18" s="44" t="n"/>
      <c r="R18" s="25">
        <f>IF($V$9=0,0,N(INDEX($U$22:$U$41,$V$9)))</f>
        <v/>
      </c>
      <c r="S18" s="25" t="n"/>
      <c r="T18" s="25" t="n"/>
      <c r="U18" s="25" t="n"/>
      <c r="V18" s="45">
        <f>COUNTIF(E22:E41,"معتمد")</f>
        <v/>
      </c>
      <c r="W18" s="45" t="n"/>
      <c r="X18" s="45" t="n"/>
      <c r="Y18" s="45" t="n"/>
    </row>
    <row r="20">
      <c r="B20" s="46" t="inlineStr">
        <is>
          <t>سجل المستخلصات (مرتبط)</t>
        </is>
      </c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</row>
    <row r="21" ht="48" customHeight="1">
      <c r="B21" s="47" t="inlineStr">
        <is>
          <t>رقم المستخلص</t>
        </is>
      </c>
      <c r="C21" s="47" t="inlineStr">
        <is>
          <t>الفترة إلى</t>
        </is>
      </c>
      <c r="D21" s="47" t="inlineStr">
        <is>
          <t>تاريخ الاعتماد</t>
        </is>
      </c>
      <c r="E21" s="47" t="inlineStr">
        <is>
          <t>حالة المستخلص</t>
        </is>
      </c>
      <c r="F21" s="47" t="inlineStr">
        <is>
          <t>أعمال الفترة</t>
        </is>
      </c>
      <c r="G21" s="47" t="inlineStr">
        <is>
          <t>الأعمال المنفذة التراكمية</t>
        </is>
      </c>
      <c r="H21" s="47" t="inlineStr">
        <is>
          <t>التغييرية التراكمية</t>
        </is>
      </c>
      <c r="I21" s="47" t="inlineStr">
        <is>
          <t>رصيد المواد بالموقع</t>
        </is>
      </c>
      <c r="J21" s="47" t="inlineStr">
        <is>
          <t>إجمالي القيمة التراكمية</t>
        </is>
      </c>
      <c r="K21" s="47" t="inlineStr">
        <is>
          <t>نسبة الإنجاز الفعلية</t>
        </is>
      </c>
      <c r="L21" s="47" t="inlineStr">
        <is>
          <t>نسبة الإنجاز المخططة</t>
        </is>
      </c>
      <c r="M21" s="47" t="inlineStr">
        <is>
          <t>الانحراف</t>
        </is>
      </c>
      <c r="N21" s="47" t="inlineStr">
        <is>
          <t>استرداد الدفعة المقدمة</t>
        </is>
      </c>
      <c r="O21" s="47" t="inlineStr">
        <is>
          <t>صافي الضمان المحتجز</t>
        </is>
      </c>
      <c r="P21" s="47" t="inlineStr">
        <is>
          <t>الاستقطاعات الفنية</t>
        </is>
      </c>
      <c r="Q21" s="47" t="inlineStr">
        <is>
          <t>الغرامات والخصومات</t>
        </is>
      </c>
      <c r="R21" s="47" t="inlineStr">
        <is>
          <t>ضريبة القيمة المضافة</t>
        </is>
      </c>
      <c r="S21" s="47" t="inlineStr">
        <is>
          <t>ضريبة الخصم من المنبع</t>
        </is>
      </c>
      <c r="T21" s="47" t="inlineStr">
        <is>
          <t>صافي المستحق التراكمي</t>
        </is>
      </c>
      <c r="U21" s="47" t="inlineStr">
        <is>
          <t>المستحق للمستخلص الحالي</t>
        </is>
      </c>
      <c r="V21" s="47" t="inlineStr">
        <is>
          <t>المحصل</t>
        </is>
      </c>
      <c r="W21" s="47" t="inlineStr">
        <is>
          <t>المتبقي</t>
        </is>
      </c>
      <c r="X21" s="47" t="inlineStr">
        <is>
          <t>مدة التحصيل (يوم)</t>
        </is>
      </c>
      <c r="Y21" s="47" t="inlineStr">
        <is>
          <t>حالة التحصيل</t>
        </is>
      </c>
    </row>
    <row r="22">
      <c r="B22" s="48" t="n">
        <v>1</v>
      </c>
      <c r="C22" s="49">
        <f>IF('[10]سجل المستخلصات'!$C$6="","",'[10]سجل المستخلصات'!$C$6)</f>
        <v/>
      </c>
      <c r="D22" s="49">
        <f>IF('[10]سجل المستخلصات'!$E$6="","",'[10]سجل المستخلصات'!$E$6)</f>
        <v/>
      </c>
      <c r="E22" s="50">
        <f>IF('[10]سجل المستخلصات'!$F$6="","",'[10]سجل المستخلصات'!$F$6)</f>
        <v/>
      </c>
      <c r="F22" s="51">
        <f>IF('[10]سجل المستخلصات'!$H$6="","",'[10]سجل المستخلصات'!$H$6)</f>
        <v/>
      </c>
      <c r="G22" s="51">
        <f>IF('[10]سجل المستخلصات'!$G$6="","",'[10]سجل المستخلصات'!$G$6)</f>
        <v/>
      </c>
      <c r="H22" s="51">
        <f>IF('[10]سجل المستخلصات'!$I$6="","",'[10]سجل المستخلصات'!$I$6)</f>
        <v/>
      </c>
      <c r="I22" s="51">
        <f>IF('[10]سجل المستخلصات'!$J$6="","",'[10]سجل المستخلصات'!$J$6)</f>
        <v/>
      </c>
      <c r="J22" s="51">
        <f>IF('[10]سجل المستخلصات'!$K$6="","",'[10]سجل المستخلصات'!$K$6)</f>
        <v/>
      </c>
      <c r="K22" s="52">
        <f>IF('[10]سجل المستخلصات'!$L$6="","",'[10]سجل المستخلصات'!$L$6)</f>
        <v/>
      </c>
      <c r="L22" s="52">
        <f>IF('[10]سجل المستخلصات'!$M$6="","",'[10]سجل المستخلصات'!$M$6)</f>
        <v/>
      </c>
      <c r="M22" s="52">
        <f>IF('[10]سجل المستخلصات'!$N$6="","",'[10]سجل المستخلصات'!$N$6)</f>
        <v/>
      </c>
      <c r="N22" s="51">
        <f>IF('[10]سجل المستخلصات'!$O$6="","",'[10]سجل المستخلصات'!$O$6)</f>
        <v/>
      </c>
      <c r="O22" s="51">
        <f>IF('[10]سجل المستخلصات'!$R$6="","",'[10]سجل المستخلصات'!$R$6)</f>
        <v/>
      </c>
      <c r="P22" s="51">
        <f>IF('[10]سجل المستخلصات'!$S$6="","",'[10]سجل المستخلصات'!$S$6)</f>
        <v/>
      </c>
      <c r="Q22" s="51">
        <f>IF('[10]سجل المستخلصات'!$T$6="","",'[10]سجل المستخلصات'!$T$6)</f>
        <v/>
      </c>
      <c r="R22" s="51">
        <f>IF('[10]سجل المستخلصات'!$V$6="","",'[10]سجل المستخلصات'!$V$6)</f>
        <v/>
      </c>
      <c r="S22" s="51">
        <f>IF('[10]سجل المستخلصات'!$W$6="","",'[10]سجل المستخلصات'!$W$6)</f>
        <v/>
      </c>
      <c r="T22" s="53">
        <f>IF('[10]سجل المستخلصات'!$X$6="","",'[10]سجل المستخلصات'!$X$6)</f>
        <v/>
      </c>
      <c r="U22" s="53">
        <f>IF('[10]سجل المستخلصات'!$Z$6="","",'[10]سجل المستخلصات'!$Z$6)</f>
        <v/>
      </c>
      <c r="V22" s="51">
        <f>IF('[10]سجل المستخلصات'!$AA$6="","",'[10]سجل المستخلصات'!$AA$6)</f>
        <v/>
      </c>
      <c r="W22" s="51">
        <f>IF('[10]سجل المستخلصات'!$AC$6="","",'[10]سجل المستخلصات'!$AC$6)</f>
        <v/>
      </c>
      <c r="X22" s="54">
        <f>IF('[10]سجل المستخلصات'!$AD$6="","",'[10]سجل المستخلصات'!$AD$6)</f>
        <v/>
      </c>
      <c r="Y22" s="50">
        <f>IF('[10]سجل المستخلصات'!$AE$6="","",'[10]سجل المستخلصات'!$AE$6)</f>
        <v/>
      </c>
    </row>
    <row r="23">
      <c r="B23" s="48" t="n">
        <v>2</v>
      </c>
      <c r="C23" s="49">
        <f>IF('[10]سجل المستخلصات'!$C$7="","",'[10]سجل المستخلصات'!$C$7)</f>
        <v/>
      </c>
      <c r="D23" s="49">
        <f>IF('[10]سجل المستخلصات'!$E$7="","",'[10]سجل المستخلصات'!$E$7)</f>
        <v/>
      </c>
      <c r="E23" s="50">
        <f>IF('[10]سجل المستخلصات'!$F$7="","",'[10]سجل المستخلصات'!$F$7)</f>
        <v/>
      </c>
      <c r="F23" s="51">
        <f>IF('[10]سجل المستخلصات'!$H$7="","",'[10]سجل المستخلصات'!$H$7)</f>
        <v/>
      </c>
      <c r="G23" s="51">
        <f>IF('[10]سجل المستخلصات'!$G$7="","",'[10]سجل المستخلصات'!$G$7)</f>
        <v/>
      </c>
      <c r="H23" s="51">
        <f>IF('[10]سجل المستخلصات'!$I$7="","",'[10]سجل المستخلصات'!$I$7)</f>
        <v/>
      </c>
      <c r="I23" s="51">
        <f>IF('[10]سجل المستخلصات'!$J$7="","",'[10]سجل المستخلصات'!$J$7)</f>
        <v/>
      </c>
      <c r="J23" s="51">
        <f>IF('[10]سجل المستخلصات'!$K$7="","",'[10]سجل المستخلصات'!$K$7)</f>
        <v/>
      </c>
      <c r="K23" s="52">
        <f>IF('[10]سجل المستخلصات'!$L$7="","",'[10]سجل المستخلصات'!$L$7)</f>
        <v/>
      </c>
      <c r="L23" s="52">
        <f>IF('[10]سجل المستخلصات'!$M$7="","",'[10]سجل المستخلصات'!$M$7)</f>
        <v/>
      </c>
      <c r="M23" s="52">
        <f>IF('[10]سجل المستخلصات'!$N$7="","",'[10]سجل المستخلصات'!$N$7)</f>
        <v/>
      </c>
      <c r="N23" s="51">
        <f>IF('[10]سجل المستخلصات'!$O$7="","",'[10]سجل المستخلصات'!$O$7)</f>
        <v/>
      </c>
      <c r="O23" s="51">
        <f>IF('[10]سجل المستخلصات'!$R$7="","",'[10]سجل المستخلصات'!$R$7)</f>
        <v/>
      </c>
      <c r="P23" s="51">
        <f>IF('[10]سجل المستخلصات'!$S$7="","",'[10]سجل المستخلصات'!$S$7)</f>
        <v/>
      </c>
      <c r="Q23" s="51">
        <f>IF('[10]سجل المستخلصات'!$T$7="","",'[10]سجل المستخلصات'!$T$7)</f>
        <v/>
      </c>
      <c r="R23" s="51">
        <f>IF('[10]سجل المستخلصات'!$V$7="","",'[10]سجل المستخلصات'!$V$7)</f>
        <v/>
      </c>
      <c r="S23" s="51">
        <f>IF('[10]سجل المستخلصات'!$W$7="","",'[10]سجل المستخلصات'!$W$7)</f>
        <v/>
      </c>
      <c r="T23" s="53">
        <f>IF('[10]سجل المستخلصات'!$X$7="","",'[10]سجل المستخلصات'!$X$7)</f>
        <v/>
      </c>
      <c r="U23" s="53">
        <f>IF('[10]سجل المستخلصات'!$Z$7="","",'[10]سجل المستخلصات'!$Z$7)</f>
        <v/>
      </c>
      <c r="V23" s="51">
        <f>IF('[10]سجل المستخلصات'!$AA$7="","",'[10]سجل المستخلصات'!$AA$7)</f>
        <v/>
      </c>
      <c r="W23" s="51">
        <f>IF('[10]سجل المستخلصات'!$AC$7="","",'[10]سجل المستخلصات'!$AC$7)</f>
        <v/>
      </c>
      <c r="X23" s="54">
        <f>IF('[10]سجل المستخلصات'!$AD$7="","",'[10]سجل المستخلصات'!$AD$7)</f>
        <v/>
      </c>
      <c r="Y23" s="50">
        <f>IF('[10]سجل المستخلصات'!$AE$7="","",'[10]سجل المستخلصات'!$AE$7)</f>
        <v/>
      </c>
    </row>
    <row r="24">
      <c r="B24" s="48" t="n">
        <v>3</v>
      </c>
      <c r="C24" s="49">
        <f>IF('[10]سجل المستخلصات'!$C$8="","",'[10]سجل المستخلصات'!$C$8)</f>
        <v/>
      </c>
      <c r="D24" s="49">
        <f>IF('[10]سجل المستخلصات'!$E$8="","",'[10]سجل المستخلصات'!$E$8)</f>
        <v/>
      </c>
      <c r="E24" s="50">
        <f>IF('[10]سجل المستخلصات'!$F$8="","",'[10]سجل المستخلصات'!$F$8)</f>
        <v/>
      </c>
      <c r="F24" s="51">
        <f>IF('[10]سجل المستخلصات'!$H$8="","",'[10]سجل المستخلصات'!$H$8)</f>
        <v/>
      </c>
      <c r="G24" s="51">
        <f>IF('[10]سجل المستخلصات'!$G$8="","",'[10]سجل المستخلصات'!$G$8)</f>
        <v/>
      </c>
      <c r="H24" s="51">
        <f>IF('[10]سجل المستخلصات'!$I$8="","",'[10]سجل المستخلصات'!$I$8)</f>
        <v/>
      </c>
      <c r="I24" s="51">
        <f>IF('[10]سجل المستخلصات'!$J$8="","",'[10]سجل المستخلصات'!$J$8)</f>
        <v/>
      </c>
      <c r="J24" s="51">
        <f>IF('[10]سجل المستخلصات'!$K$8="","",'[10]سجل المستخلصات'!$K$8)</f>
        <v/>
      </c>
      <c r="K24" s="52">
        <f>IF('[10]سجل المستخلصات'!$L$8="","",'[10]سجل المستخلصات'!$L$8)</f>
        <v/>
      </c>
      <c r="L24" s="52">
        <f>IF('[10]سجل المستخلصات'!$M$8="","",'[10]سجل المستخلصات'!$M$8)</f>
        <v/>
      </c>
      <c r="M24" s="52">
        <f>IF('[10]سجل المستخلصات'!$N$8="","",'[10]سجل المستخلصات'!$N$8)</f>
        <v/>
      </c>
      <c r="N24" s="51">
        <f>IF('[10]سجل المستخلصات'!$O$8="","",'[10]سجل المستخلصات'!$O$8)</f>
        <v/>
      </c>
      <c r="O24" s="51">
        <f>IF('[10]سجل المستخلصات'!$R$8="","",'[10]سجل المستخلصات'!$R$8)</f>
        <v/>
      </c>
      <c r="P24" s="51">
        <f>IF('[10]سجل المستخلصات'!$S$8="","",'[10]سجل المستخلصات'!$S$8)</f>
        <v/>
      </c>
      <c r="Q24" s="51">
        <f>IF('[10]سجل المستخلصات'!$T$8="","",'[10]سجل المستخلصات'!$T$8)</f>
        <v/>
      </c>
      <c r="R24" s="51">
        <f>IF('[10]سجل المستخلصات'!$V$8="","",'[10]سجل المستخلصات'!$V$8)</f>
        <v/>
      </c>
      <c r="S24" s="51">
        <f>IF('[10]سجل المستخلصات'!$W$8="","",'[10]سجل المستخلصات'!$W$8)</f>
        <v/>
      </c>
      <c r="T24" s="53">
        <f>IF('[10]سجل المستخلصات'!$X$8="","",'[10]سجل المستخلصات'!$X$8)</f>
        <v/>
      </c>
      <c r="U24" s="53">
        <f>IF('[10]سجل المستخلصات'!$Z$8="","",'[10]سجل المستخلصات'!$Z$8)</f>
        <v/>
      </c>
      <c r="V24" s="51">
        <f>IF('[10]سجل المستخلصات'!$AA$8="","",'[10]سجل المستخلصات'!$AA$8)</f>
        <v/>
      </c>
      <c r="W24" s="51">
        <f>IF('[10]سجل المستخلصات'!$AC$8="","",'[10]سجل المستخلصات'!$AC$8)</f>
        <v/>
      </c>
      <c r="X24" s="54">
        <f>IF('[10]سجل المستخلصات'!$AD$8="","",'[10]سجل المستخلصات'!$AD$8)</f>
        <v/>
      </c>
      <c r="Y24" s="50">
        <f>IF('[10]سجل المستخلصات'!$AE$8="","",'[10]سجل المستخلصات'!$AE$8)</f>
        <v/>
      </c>
    </row>
    <row r="25">
      <c r="B25" s="48" t="n">
        <v>4</v>
      </c>
      <c r="C25" s="49">
        <f>IF('[10]سجل المستخلصات'!$C$9="","",'[10]سجل المستخلصات'!$C$9)</f>
        <v/>
      </c>
      <c r="D25" s="49">
        <f>IF('[10]سجل المستخلصات'!$E$9="","",'[10]سجل المستخلصات'!$E$9)</f>
        <v/>
      </c>
      <c r="E25" s="50">
        <f>IF('[10]سجل المستخلصات'!$F$9="","",'[10]سجل المستخلصات'!$F$9)</f>
        <v/>
      </c>
      <c r="F25" s="51">
        <f>IF('[10]سجل المستخلصات'!$H$9="","",'[10]سجل المستخلصات'!$H$9)</f>
        <v/>
      </c>
      <c r="G25" s="51">
        <f>IF('[10]سجل المستخلصات'!$G$9="","",'[10]سجل المستخلصات'!$G$9)</f>
        <v/>
      </c>
      <c r="H25" s="51">
        <f>IF('[10]سجل المستخلصات'!$I$9="","",'[10]سجل المستخلصات'!$I$9)</f>
        <v/>
      </c>
      <c r="I25" s="51">
        <f>IF('[10]سجل المستخلصات'!$J$9="","",'[10]سجل المستخلصات'!$J$9)</f>
        <v/>
      </c>
      <c r="J25" s="51">
        <f>IF('[10]سجل المستخلصات'!$K$9="","",'[10]سجل المستخلصات'!$K$9)</f>
        <v/>
      </c>
      <c r="K25" s="52">
        <f>IF('[10]سجل المستخلصات'!$L$9="","",'[10]سجل المستخلصات'!$L$9)</f>
        <v/>
      </c>
      <c r="L25" s="52">
        <f>IF('[10]سجل المستخلصات'!$M$9="","",'[10]سجل المستخلصات'!$M$9)</f>
        <v/>
      </c>
      <c r="M25" s="52">
        <f>IF('[10]سجل المستخلصات'!$N$9="","",'[10]سجل المستخلصات'!$N$9)</f>
        <v/>
      </c>
      <c r="N25" s="51">
        <f>IF('[10]سجل المستخلصات'!$O$9="","",'[10]سجل المستخلصات'!$O$9)</f>
        <v/>
      </c>
      <c r="O25" s="51">
        <f>IF('[10]سجل المستخلصات'!$R$9="","",'[10]سجل المستخلصات'!$R$9)</f>
        <v/>
      </c>
      <c r="P25" s="51">
        <f>IF('[10]سجل المستخلصات'!$S$9="","",'[10]سجل المستخلصات'!$S$9)</f>
        <v/>
      </c>
      <c r="Q25" s="51">
        <f>IF('[10]سجل المستخلصات'!$T$9="","",'[10]سجل المستخلصات'!$T$9)</f>
        <v/>
      </c>
      <c r="R25" s="51">
        <f>IF('[10]سجل المستخلصات'!$V$9="","",'[10]سجل المستخلصات'!$V$9)</f>
        <v/>
      </c>
      <c r="S25" s="51">
        <f>IF('[10]سجل المستخلصات'!$W$9="","",'[10]سجل المستخلصات'!$W$9)</f>
        <v/>
      </c>
      <c r="T25" s="53">
        <f>IF('[10]سجل المستخلصات'!$X$9="","",'[10]سجل المستخلصات'!$X$9)</f>
        <v/>
      </c>
      <c r="U25" s="53">
        <f>IF('[10]سجل المستخلصات'!$Z$9="","",'[10]سجل المستخلصات'!$Z$9)</f>
        <v/>
      </c>
      <c r="V25" s="51">
        <f>IF('[10]سجل المستخلصات'!$AA$9="","",'[10]سجل المستخلصات'!$AA$9)</f>
        <v/>
      </c>
      <c r="W25" s="51">
        <f>IF('[10]سجل المستخلصات'!$AC$9="","",'[10]سجل المستخلصات'!$AC$9)</f>
        <v/>
      </c>
      <c r="X25" s="54">
        <f>IF('[10]سجل المستخلصات'!$AD$9="","",'[10]سجل المستخلصات'!$AD$9)</f>
        <v/>
      </c>
      <c r="Y25" s="50">
        <f>IF('[10]سجل المستخلصات'!$AE$9="","",'[10]سجل المستخلصات'!$AE$9)</f>
        <v/>
      </c>
    </row>
    <row r="26">
      <c r="B26" s="48" t="n">
        <v>5</v>
      </c>
      <c r="C26" s="49">
        <f>IF('[10]سجل المستخلصات'!$C$10="","",'[10]سجل المستخلصات'!$C$10)</f>
        <v/>
      </c>
      <c r="D26" s="49">
        <f>IF('[10]سجل المستخلصات'!$E$10="","",'[10]سجل المستخلصات'!$E$10)</f>
        <v/>
      </c>
      <c r="E26" s="50">
        <f>IF('[10]سجل المستخلصات'!$F$10="","",'[10]سجل المستخلصات'!$F$10)</f>
        <v/>
      </c>
      <c r="F26" s="51">
        <f>IF('[10]سجل المستخلصات'!$H$10="","",'[10]سجل المستخلصات'!$H$10)</f>
        <v/>
      </c>
      <c r="G26" s="51">
        <f>IF('[10]سجل المستخلصات'!$G$10="","",'[10]سجل المستخلصات'!$G$10)</f>
        <v/>
      </c>
      <c r="H26" s="51">
        <f>IF('[10]سجل المستخلصات'!$I$10="","",'[10]سجل المستخلصات'!$I$10)</f>
        <v/>
      </c>
      <c r="I26" s="51">
        <f>IF('[10]سجل المستخلصات'!$J$10="","",'[10]سجل المستخلصات'!$J$10)</f>
        <v/>
      </c>
      <c r="J26" s="51">
        <f>IF('[10]سجل المستخلصات'!$K$10="","",'[10]سجل المستخلصات'!$K$10)</f>
        <v/>
      </c>
      <c r="K26" s="52">
        <f>IF('[10]سجل المستخلصات'!$L$10="","",'[10]سجل المستخلصات'!$L$10)</f>
        <v/>
      </c>
      <c r="L26" s="52">
        <f>IF('[10]سجل المستخلصات'!$M$10="","",'[10]سجل المستخلصات'!$M$10)</f>
        <v/>
      </c>
      <c r="M26" s="52">
        <f>IF('[10]سجل المستخلصات'!$N$10="","",'[10]سجل المستخلصات'!$N$10)</f>
        <v/>
      </c>
      <c r="N26" s="51">
        <f>IF('[10]سجل المستخلصات'!$O$10="","",'[10]سجل المستخلصات'!$O$10)</f>
        <v/>
      </c>
      <c r="O26" s="51">
        <f>IF('[10]سجل المستخلصات'!$R$10="","",'[10]سجل المستخلصات'!$R$10)</f>
        <v/>
      </c>
      <c r="P26" s="51">
        <f>IF('[10]سجل المستخلصات'!$S$10="","",'[10]سجل المستخلصات'!$S$10)</f>
        <v/>
      </c>
      <c r="Q26" s="51">
        <f>IF('[10]سجل المستخلصات'!$T$10="","",'[10]سجل المستخلصات'!$T$10)</f>
        <v/>
      </c>
      <c r="R26" s="51">
        <f>IF('[10]سجل المستخلصات'!$V$10="","",'[10]سجل المستخلصات'!$V$10)</f>
        <v/>
      </c>
      <c r="S26" s="51">
        <f>IF('[10]سجل المستخلصات'!$W$10="","",'[10]سجل المستخلصات'!$W$10)</f>
        <v/>
      </c>
      <c r="T26" s="53">
        <f>IF('[10]سجل المستخلصات'!$X$10="","",'[10]سجل المستخلصات'!$X$10)</f>
        <v/>
      </c>
      <c r="U26" s="53">
        <f>IF('[10]سجل المستخلصات'!$Z$10="","",'[10]سجل المستخلصات'!$Z$10)</f>
        <v/>
      </c>
      <c r="V26" s="51">
        <f>IF('[10]سجل المستخلصات'!$AA$10="","",'[10]سجل المستخلصات'!$AA$10)</f>
        <v/>
      </c>
      <c r="W26" s="51">
        <f>IF('[10]سجل المستخلصات'!$AC$10="","",'[10]سجل المستخلصات'!$AC$10)</f>
        <v/>
      </c>
      <c r="X26" s="54">
        <f>IF('[10]سجل المستخلصات'!$AD$10="","",'[10]سجل المستخلصات'!$AD$10)</f>
        <v/>
      </c>
      <c r="Y26" s="50">
        <f>IF('[10]سجل المستخلصات'!$AE$10="","",'[10]سجل المستخلصات'!$AE$10)</f>
        <v/>
      </c>
    </row>
    <row r="27">
      <c r="B27" s="48" t="n">
        <v>6</v>
      </c>
      <c r="C27" s="49">
        <f>IF('[10]سجل المستخلصات'!$C$11="","",'[10]سجل المستخلصات'!$C$11)</f>
        <v/>
      </c>
      <c r="D27" s="49">
        <f>IF('[10]سجل المستخلصات'!$E$11="","",'[10]سجل المستخلصات'!$E$11)</f>
        <v/>
      </c>
      <c r="E27" s="50">
        <f>IF('[10]سجل المستخلصات'!$F$11="","",'[10]سجل المستخلصات'!$F$11)</f>
        <v/>
      </c>
      <c r="F27" s="51">
        <f>IF('[10]سجل المستخلصات'!$H$11="","",'[10]سجل المستخلصات'!$H$11)</f>
        <v/>
      </c>
      <c r="G27" s="51">
        <f>IF('[10]سجل المستخلصات'!$G$11="","",'[10]سجل المستخلصات'!$G$11)</f>
        <v/>
      </c>
      <c r="H27" s="51">
        <f>IF('[10]سجل المستخلصات'!$I$11="","",'[10]سجل المستخلصات'!$I$11)</f>
        <v/>
      </c>
      <c r="I27" s="51">
        <f>IF('[10]سجل المستخلصات'!$J$11="","",'[10]سجل المستخلصات'!$J$11)</f>
        <v/>
      </c>
      <c r="J27" s="51">
        <f>IF('[10]سجل المستخلصات'!$K$11="","",'[10]سجل المستخلصات'!$K$11)</f>
        <v/>
      </c>
      <c r="K27" s="52">
        <f>IF('[10]سجل المستخلصات'!$L$11="","",'[10]سجل المستخلصات'!$L$11)</f>
        <v/>
      </c>
      <c r="L27" s="52">
        <f>IF('[10]سجل المستخلصات'!$M$11="","",'[10]سجل المستخلصات'!$M$11)</f>
        <v/>
      </c>
      <c r="M27" s="52">
        <f>IF('[10]سجل المستخلصات'!$N$11="","",'[10]سجل المستخلصات'!$N$11)</f>
        <v/>
      </c>
      <c r="N27" s="51">
        <f>IF('[10]سجل المستخلصات'!$O$11="","",'[10]سجل المستخلصات'!$O$11)</f>
        <v/>
      </c>
      <c r="O27" s="51">
        <f>IF('[10]سجل المستخلصات'!$R$11="","",'[10]سجل المستخلصات'!$R$11)</f>
        <v/>
      </c>
      <c r="P27" s="51">
        <f>IF('[10]سجل المستخلصات'!$S$11="","",'[10]سجل المستخلصات'!$S$11)</f>
        <v/>
      </c>
      <c r="Q27" s="51">
        <f>IF('[10]سجل المستخلصات'!$T$11="","",'[10]سجل المستخلصات'!$T$11)</f>
        <v/>
      </c>
      <c r="R27" s="51">
        <f>IF('[10]سجل المستخلصات'!$V$11="","",'[10]سجل المستخلصات'!$V$11)</f>
        <v/>
      </c>
      <c r="S27" s="51">
        <f>IF('[10]سجل المستخلصات'!$W$11="","",'[10]سجل المستخلصات'!$W$11)</f>
        <v/>
      </c>
      <c r="T27" s="53">
        <f>IF('[10]سجل المستخلصات'!$X$11="","",'[10]سجل المستخلصات'!$X$11)</f>
        <v/>
      </c>
      <c r="U27" s="53">
        <f>IF('[10]سجل المستخلصات'!$Z$11="","",'[10]سجل المستخلصات'!$Z$11)</f>
        <v/>
      </c>
      <c r="V27" s="51">
        <f>IF('[10]سجل المستخلصات'!$AA$11="","",'[10]سجل المستخلصات'!$AA$11)</f>
        <v/>
      </c>
      <c r="W27" s="51">
        <f>IF('[10]سجل المستخلصات'!$AC$11="","",'[10]سجل المستخلصات'!$AC$11)</f>
        <v/>
      </c>
      <c r="X27" s="54">
        <f>IF('[10]سجل المستخلصات'!$AD$11="","",'[10]سجل المستخلصات'!$AD$11)</f>
        <v/>
      </c>
      <c r="Y27" s="50">
        <f>IF('[10]سجل المستخلصات'!$AE$11="","",'[10]سجل المستخلصات'!$AE$11)</f>
        <v/>
      </c>
    </row>
    <row r="28">
      <c r="B28" s="48" t="n">
        <v>7</v>
      </c>
      <c r="C28" s="49">
        <f>IF('[10]سجل المستخلصات'!$C$12="","",'[10]سجل المستخلصات'!$C$12)</f>
        <v/>
      </c>
      <c r="D28" s="49">
        <f>IF('[10]سجل المستخلصات'!$E$12="","",'[10]سجل المستخلصات'!$E$12)</f>
        <v/>
      </c>
      <c r="E28" s="50">
        <f>IF('[10]سجل المستخلصات'!$F$12="","",'[10]سجل المستخلصات'!$F$12)</f>
        <v/>
      </c>
      <c r="F28" s="51">
        <f>IF('[10]سجل المستخلصات'!$H$12="","",'[10]سجل المستخلصات'!$H$12)</f>
        <v/>
      </c>
      <c r="G28" s="51">
        <f>IF('[10]سجل المستخلصات'!$G$12="","",'[10]سجل المستخلصات'!$G$12)</f>
        <v/>
      </c>
      <c r="H28" s="51">
        <f>IF('[10]سجل المستخلصات'!$I$12="","",'[10]سجل المستخلصات'!$I$12)</f>
        <v/>
      </c>
      <c r="I28" s="51">
        <f>IF('[10]سجل المستخلصات'!$J$12="","",'[10]سجل المستخلصات'!$J$12)</f>
        <v/>
      </c>
      <c r="J28" s="51">
        <f>IF('[10]سجل المستخلصات'!$K$12="","",'[10]سجل المستخلصات'!$K$12)</f>
        <v/>
      </c>
      <c r="K28" s="52">
        <f>IF('[10]سجل المستخلصات'!$L$12="","",'[10]سجل المستخلصات'!$L$12)</f>
        <v/>
      </c>
      <c r="L28" s="52">
        <f>IF('[10]سجل المستخلصات'!$M$12="","",'[10]سجل المستخلصات'!$M$12)</f>
        <v/>
      </c>
      <c r="M28" s="52">
        <f>IF('[10]سجل المستخلصات'!$N$12="","",'[10]سجل المستخلصات'!$N$12)</f>
        <v/>
      </c>
      <c r="N28" s="51">
        <f>IF('[10]سجل المستخلصات'!$O$12="","",'[10]سجل المستخلصات'!$O$12)</f>
        <v/>
      </c>
      <c r="O28" s="51">
        <f>IF('[10]سجل المستخلصات'!$R$12="","",'[10]سجل المستخلصات'!$R$12)</f>
        <v/>
      </c>
      <c r="P28" s="51">
        <f>IF('[10]سجل المستخلصات'!$S$12="","",'[10]سجل المستخلصات'!$S$12)</f>
        <v/>
      </c>
      <c r="Q28" s="51">
        <f>IF('[10]سجل المستخلصات'!$T$12="","",'[10]سجل المستخلصات'!$T$12)</f>
        <v/>
      </c>
      <c r="R28" s="51">
        <f>IF('[10]سجل المستخلصات'!$V$12="","",'[10]سجل المستخلصات'!$V$12)</f>
        <v/>
      </c>
      <c r="S28" s="51">
        <f>IF('[10]سجل المستخلصات'!$W$12="","",'[10]سجل المستخلصات'!$W$12)</f>
        <v/>
      </c>
      <c r="T28" s="53">
        <f>IF('[10]سجل المستخلصات'!$X$12="","",'[10]سجل المستخلصات'!$X$12)</f>
        <v/>
      </c>
      <c r="U28" s="53">
        <f>IF('[10]سجل المستخلصات'!$Z$12="","",'[10]سجل المستخلصات'!$Z$12)</f>
        <v/>
      </c>
      <c r="V28" s="51">
        <f>IF('[10]سجل المستخلصات'!$AA$12="","",'[10]سجل المستخلصات'!$AA$12)</f>
        <v/>
      </c>
      <c r="W28" s="51">
        <f>IF('[10]سجل المستخلصات'!$AC$12="","",'[10]سجل المستخلصات'!$AC$12)</f>
        <v/>
      </c>
      <c r="X28" s="54">
        <f>IF('[10]سجل المستخلصات'!$AD$12="","",'[10]سجل المستخلصات'!$AD$12)</f>
        <v/>
      </c>
      <c r="Y28" s="50">
        <f>IF('[10]سجل المستخلصات'!$AE$12="","",'[10]سجل المستخلصات'!$AE$12)</f>
        <v/>
      </c>
    </row>
    <row r="29">
      <c r="B29" s="48" t="n">
        <v>8</v>
      </c>
      <c r="C29" s="49">
        <f>IF('[10]سجل المستخلصات'!$C$13="","",'[10]سجل المستخلصات'!$C$13)</f>
        <v/>
      </c>
      <c r="D29" s="49">
        <f>IF('[10]سجل المستخلصات'!$E$13="","",'[10]سجل المستخلصات'!$E$13)</f>
        <v/>
      </c>
      <c r="E29" s="50">
        <f>IF('[10]سجل المستخلصات'!$F$13="","",'[10]سجل المستخلصات'!$F$13)</f>
        <v/>
      </c>
      <c r="F29" s="51">
        <f>IF('[10]سجل المستخلصات'!$H$13="","",'[10]سجل المستخلصات'!$H$13)</f>
        <v/>
      </c>
      <c r="G29" s="51">
        <f>IF('[10]سجل المستخلصات'!$G$13="","",'[10]سجل المستخلصات'!$G$13)</f>
        <v/>
      </c>
      <c r="H29" s="51">
        <f>IF('[10]سجل المستخلصات'!$I$13="","",'[10]سجل المستخلصات'!$I$13)</f>
        <v/>
      </c>
      <c r="I29" s="51">
        <f>IF('[10]سجل المستخلصات'!$J$13="","",'[10]سجل المستخلصات'!$J$13)</f>
        <v/>
      </c>
      <c r="J29" s="51">
        <f>IF('[10]سجل المستخلصات'!$K$13="","",'[10]سجل المستخلصات'!$K$13)</f>
        <v/>
      </c>
      <c r="K29" s="52">
        <f>IF('[10]سجل المستخلصات'!$L$13="","",'[10]سجل المستخلصات'!$L$13)</f>
        <v/>
      </c>
      <c r="L29" s="52">
        <f>IF('[10]سجل المستخلصات'!$M$13="","",'[10]سجل المستخلصات'!$M$13)</f>
        <v/>
      </c>
      <c r="M29" s="52">
        <f>IF('[10]سجل المستخلصات'!$N$13="","",'[10]سجل المستخلصات'!$N$13)</f>
        <v/>
      </c>
      <c r="N29" s="51">
        <f>IF('[10]سجل المستخلصات'!$O$13="","",'[10]سجل المستخلصات'!$O$13)</f>
        <v/>
      </c>
      <c r="O29" s="51">
        <f>IF('[10]سجل المستخلصات'!$R$13="","",'[10]سجل المستخلصات'!$R$13)</f>
        <v/>
      </c>
      <c r="P29" s="51">
        <f>IF('[10]سجل المستخلصات'!$S$13="","",'[10]سجل المستخلصات'!$S$13)</f>
        <v/>
      </c>
      <c r="Q29" s="51">
        <f>IF('[10]سجل المستخلصات'!$T$13="","",'[10]سجل المستخلصات'!$T$13)</f>
        <v/>
      </c>
      <c r="R29" s="51">
        <f>IF('[10]سجل المستخلصات'!$V$13="","",'[10]سجل المستخلصات'!$V$13)</f>
        <v/>
      </c>
      <c r="S29" s="51">
        <f>IF('[10]سجل المستخلصات'!$W$13="","",'[10]سجل المستخلصات'!$W$13)</f>
        <v/>
      </c>
      <c r="T29" s="53">
        <f>IF('[10]سجل المستخلصات'!$X$13="","",'[10]سجل المستخلصات'!$X$13)</f>
        <v/>
      </c>
      <c r="U29" s="53">
        <f>IF('[10]سجل المستخلصات'!$Z$13="","",'[10]سجل المستخلصات'!$Z$13)</f>
        <v/>
      </c>
      <c r="V29" s="51">
        <f>IF('[10]سجل المستخلصات'!$AA$13="","",'[10]سجل المستخلصات'!$AA$13)</f>
        <v/>
      </c>
      <c r="W29" s="51">
        <f>IF('[10]سجل المستخلصات'!$AC$13="","",'[10]سجل المستخلصات'!$AC$13)</f>
        <v/>
      </c>
      <c r="X29" s="54">
        <f>IF('[10]سجل المستخلصات'!$AD$13="","",'[10]سجل المستخلصات'!$AD$13)</f>
        <v/>
      </c>
      <c r="Y29" s="50">
        <f>IF('[10]سجل المستخلصات'!$AE$13="","",'[10]سجل المستخلصات'!$AE$13)</f>
        <v/>
      </c>
    </row>
    <row r="30">
      <c r="B30" s="48" t="n">
        <v>9</v>
      </c>
      <c r="C30" s="49">
        <f>IF('[10]سجل المستخلصات'!$C$14="","",'[10]سجل المستخلصات'!$C$14)</f>
        <v/>
      </c>
      <c r="D30" s="49">
        <f>IF('[10]سجل المستخلصات'!$E$14="","",'[10]سجل المستخلصات'!$E$14)</f>
        <v/>
      </c>
      <c r="E30" s="50">
        <f>IF('[10]سجل المستخلصات'!$F$14="","",'[10]سجل المستخلصات'!$F$14)</f>
        <v/>
      </c>
      <c r="F30" s="51">
        <f>IF('[10]سجل المستخلصات'!$H$14="","",'[10]سجل المستخلصات'!$H$14)</f>
        <v/>
      </c>
      <c r="G30" s="51">
        <f>IF('[10]سجل المستخلصات'!$G$14="","",'[10]سجل المستخلصات'!$G$14)</f>
        <v/>
      </c>
      <c r="H30" s="51">
        <f>IF('[10]سجل المستخلصات'!$I$14="","",'[10]سجل المستخلصات'!$I$14)</f>
        <v/>
      </c>
      <c r="I30" s="51">
        <f>IF('[10]سجل المستخلصات'!$J$14="","",'[10]سجل المستخلصات'!$J$14)</f>
        <v/>
      </c>
      <c r="J30" s="51">
        <f>IF('[10]سجل المستخلصات'!$K$14="","",'[10]سجل المستخلصات'!$K$14)</f>
        <v/>
      </c>
      <c r="K30" s="52">
        <f>IF('[10]سجل المستخلصات'!$L$14="","",'[10]سجل المستخلصات'!$L$14)</f>
        <v/>
      </c>
      <c r="L30" s="52">
        <f>IF('[10]سجل المستخلصات'!$M$14="","",'[10]سجل المستخلصات'!$M$14)</f>
        <v/>
      </c>
      <c r="M30" s="52">
        <f>IF('[10]سجل المستخلصات'!$N$14="","",'[10]سجل المستخلصات'!$N$14)</f>
        <v/>
      </c>
      <c r="N30" s="51">
        <f>IF('[10]سجل المستخلصات'!$O$14="","",'[10]سجل المستخلصات'!$O$14)</f>
        <v/>
      </c>
      <c r="O30" s="51">
        <f>IF('[10]سجل المستخلصات'!$R$14="","",'[10]سجل المستخلصات'!$R$14)</f>
        <v/>
      </c>
      <c r="P30" s="51">
        <f>IF('[10]سجل المستخلصات'!$S$14="","",'[10]سجل المستخلصات'!$S$14)</f>
        <v/>
      </c>
      <c r="Q30" s="51">
        <f>IF('[10]سجل المستخلصات'!$T$14="","",'[10]سجل المستخلصات'!$T$14)</f>
        <v/>
      </c>
      <c r="R30" s="51">
        <f>IF('[10]سجل المستخلصات'!$V$14="","",'[10]سجل المستخلصات'!$V$14)</f>
        <v/>
      </c>
      <c r="S30" s="51">
        <f>IF('[10]سجل المستخلصات'!$W$14="","",'[10]سجل المستخلصات'!$W$14)</f>
        <v/>
      </c>
      <c r="T30" s="53">
        <f>IF('[10]سجل المستخلصات'!$X$14="","",'[10]سجل المستخلصات'!$X$14)</f>
        <v/>
      </c>
      <c r="U30" s="53">
        <f>IF('[10]سجل المستخلصات'!$Z$14="","",'[10]سجل المستخلصات'!$Z$14)</f>
        <v/>
      </c>
      <c r="V30" s="51">
        <f>IF('[10]سجل المستخلصات'!$AA$14="","",'[10]سجل المستخلصات'!$AA$14)</f>
        <v/>
      </c>
      <c r="W30" s="51">
        <f>IF('[10]سجل المستخلصات'!$AC$14="","",'[10]سجل المستخلصات'!$AC$14)</f>
        <v/>
      </c>
      <c r="X30" s="54">
        <f>IF('[10]سجل المستخلصات'!$AD$14="","",'[10]سجل المستخلصات'!$AD$14)</f>
        <v/>
      </c>
      <c r="Y30" s="50">
        <f>IF('[10]سجل المستخلصات'!$AE$14="","",'[10]سجل المستخلصات'!$AE$14)</f>
        <v/>
      </c>
    </row>
    <row r="31">
      <c r="B31" s="48" t="n">
        <v>10</v>
      </c>
      <c r="C31" s="49">
        <f>IF('[10]سجل المستخلصات'!$C$15="","",'[10]سجل المستخلصات'!$C$15)</f>
        <v/>
      </c>
      <c r="D31" s="49">
        <f>IF('[10]سجل المستخلصات'!$E$15="","",'[10]سجل المستخلصات'!$E$15)</f>
        <v/>
      </c>
      <c r="E31" s="50">
        <f>IF('[10]سجل المستخلصات'!$F$15="","",'[10]سجل المستخلصات'!$F$15)</f>
        <v/>
      </c>
      <c r="F31" s="51">
        <f>IF('[10]سجل المستخلصات'!$H$15="","",'[10]سجل المستخلصات'!$H$15)</f>
        <v/>
      </c>
      <c r="G31" s="51">
        <f>IF('[10]سجل المستخلصات'!$G$15="","",'[10]سجل المستخلصات'!$G$15)</f>
        <v/>
      </c>
      <c r="H31" s="51">
        <f>IF('[10]سجل المستخلصات'!$I$15="","",'[10]سجل المستخلصات'!$I$15)</f>
        <v/>
      </c>
      <c r="I31" s="51">
        <f>IF('[10]سجل المستخلصات'!$J$15="","",'[10]سجل المستخلصات'!$J$15)</f>
        <v/>
      </c>
      <c r="J31" s="51">
        <f>IF('[10]سجل المستخلصات'!$K$15="","",'[10]سجل المستخلصات'!$K$15)</f>
        <v/>
      </c>
      <c r="K31" s="52">
        <f>IF('[10]سجل المستخلصات'!$L$15="","",'[10]سجل المستخلصات'!$L$15)</f>
        <v/>
      </c>
      <c r="L31" s="52">
        <f>IF('[10]سجل المستخلصات'!$M$15="","",'[10]سجل المستخلصات'!$M$15)</f>
        <v/>
      </c>
      <c r="M31" s="52">
        <f>IF('[10]سجل المستخلصات'!$N$15="","",'[10]سجل المستخلصات'!$N$15)</f>
        <v/>
      </c>
      <c r="N31" s="51">
        <f>IF('[10]سجل المستخلصات'!$O$15="","",'[10]سجل المستخلصات'!$O$15)</f>
        <v/>
      </c>
      <c r="O31" s="51">
        <f>IF('[10]سجل المستخلصات'!$R$15="","",'[10]سجل المستخلصات'!$R$15)</f>
        <v/>
      </c>
      <c r="P31" s="51">
        <f>IF('[10]سجل المستخلصات'!$S$15="","",'[10]سجل المستخلصات'!$S$15)</f>
        <v/>
      </c>
      <c r="Q31" s="51">
        <f>IF('[10]سجل المستخلصات'!$T$15="","",'[10]سجل المستخلصات'!$T$15)</f>
        <v/>
      </c>
      <c r="R31" s="51">
        <f>IF('[10]سجل المستخلصات'!$V$15="","",'[10]سجل المستخلصات'!$V$15)</f>
        <v/>
      </c>
      <c r="S31" s="51">
        <f>IF('[10]سجل المستخلصات'!$W$15="","",'[10]سجل المستخلصات'!$W$15)</f>
        <v/>
      </c>
      <c r="T31" s="53">
        <f>IF('[10]سجل المستخلصات'!$X$15="","",'[10]سجل المستخلصات'!$X$15)</f>
        <v/>
      </c>
      <c r="U31" s="53">
        <f>IF('[10]سجل المستخلصات'!$Z$15="","",'[10]سجل المستخلصات'!$Z$15)</f>
        <v/>
      </c>
      <c r="V31" s="51">
        <f>IF('[10]سجل المستخلصات'!$AA$15="","",'[10]سجل المستخلصات'!$AA$15)</f>
        <v/>
      </c>
      <c r="W31" s="51">
        <f>IF('[10]سجل المستخلصات'!$AC$15="","",'[10]سجل المستخلصات'!$AC$15)</f>
        <v/>
      </c>
      <c r="X31" s="54">
        <f>IF('[10]سجل المستخلصات'!$AD$15="","",'[10]سجل المستخلصات'!$AD$15)</f>
        <v/>
      </c>
      <c r="Y31" s="50">
        <f>IF('[10]سجل المستخلصات'!$AE$15="","",'[10]سجل المستخلصات'!$AE$15)</f>
        <v/>
      </c>
    </row>
    <row r="32">
      <c r="B32" s="48" t="n">
        <v>11</v>
      </c>
      <c r="C32" s="49">
        <f>IF('[10]سجل المستخلصات'!$C$16="","",'[10]سجل المستخلصات'!$C$16)</f>
        <v/>
      </c>
      <c r="D32" s="49">
        <f>IF('[10]سجل المستخلصات'!$E$16="","",'[10]سجل المستخلصات'!$E$16)</f>
        <v/>
      </c>
      <c r="E32" s="50">
        <f>IF('[10]سجل المستخلصات'!$F$16="","",'[10]سجل المستخلصات'!$F$16)</f>
        <v/>
      </c>
      <c r="F32" s="51">
        <f>IF('[10]سجل المستخلصات'!$H$16="","",'[10]سجل المستخلصات'!$H$16)</f>
        <v/>
      </c>
      <c r="G32" s="51">
        <f>IF('[10]سجل المستخلصات'!$G$16="","",'[10]سجل المستخلصات'!$G$16)</f>
        <v/>
      </c>
      <c r="H32" s="51">
        <f>IF('[10]سجل المستخلصات'!$I$16="","",'[10]سجل المستخلصات'!$I$16)</f>
        <v/>
      </c>
      <c r="I32" s="51">
        <f>IF('[10]سجل المستخلصات'!$J$16="","",'[10]سجل المستخلصات'!$J$16)</f>
        <v/>
      </c>
      <c r="J32" s="51">
        <f>IF('[10]سجل المستخلصات'!$K$16="","",'[10]سجل المستخلصات'!$K$16)</f>
        <v/>
      </c>
      <c r="K32" s="52">
        <f>IF('[10]سجل المستخلصات'!$L$16="","",'[10]سجل المستخلصات'!$L$16)</f>
        <v/>
      </c>
      <c r="L32" s="52">
        <f>IF('[10]سجل المستخلصات'!$M$16="","",'[10]سجل المستخلصات'!$M$16)</f>
        <v/>
      </c>
      <c r="M32" s="52">
        <f>IF('[10]سجل المستخلصات'!$N$16="","",'[10]سجل المستخلصات'!$N$16)</f>
        <v/>
      </c>
      <c r="N32" s="51">
        <f>IF('[10]سجل المستخلصات'!$O$16="","",'[10]سجل المستخلصات'!$O$16)</f>
        <v/>
      </c>
      <c r="O32" s="51">
        <f>IF('[10]سجل المستخلصات'!$R$16="","",'[10]سجل المستخلصات'!$R$16)</f>
        <v/>
      </c>
      <c r="P32" s="51">
        <f>IF('[10]سجل المستخلصات'!$S$16="","",'[10]سجل المستخلصات'!$S$16)</f>
        <v/>
      </c>
      <c r="Q32" s="51">
        <f>IF('[10]سجل المستخلصات'!$T$16="","",'[10]سجل المستخلصات'!$T$16)</f>
        <v/>
      </c>
      <c r="R32" s="51">
        <f>IF('[10]سجل المستخلصات'!$V$16="","",'[10]سجل المستخلصات'!$V$16)</f>
        <v/>
      </c>
      <c r="S32" s="51">
        <f>IF('[10]سجل المستخلصات'!$W$16="","",'[10]سجل المستخلصات'!$W$16)</f>
        <v/>
      </c>
      <c r="T32" s="53">
        <f>IF('[10]سجل المستخلصات'!$X$16="","",'[10]سجل المستخلصات'!$X$16)</f>
        <v/>
      </c>
      <c r="U32" s="53">
        <f>IF('[10]سجل المستخلصات'!$Z$16="","",'[10]سجل المستخلصات'!$Z$16)</f>
        <v/>
      </c>
      <c r="V32" s="51">
        <f>IF('[10]سجل المستخلصات'!$AA$16="","",'[10]سجل المستخلصات'!$AA$16)</f>
        <v/>
      </c>
      <c r="W32" s="51">
        <f>IF('[10]سجل المستخلصات'!$AC$16="","",'[10]سجل المستخلصات'!$AC$16)</f>
        <v/>
      </c>
      <c r="X32" s="54">
        <f>IF('[10]سجل المستخلصات'!$AD$16="","",'[10]سجل المستخلصات'!$AD$16)</f>
        <v/>
      </c>
      <c r="Y32" s="50">
        <f>IF('[10]سجل المستخلصات'!$AE$16="","",'[10]سجل المستخلصات'!$AE$16)</f>
        <v/>
      </c>
    </row>
    <row r="33">
      <c r="B33" s="48" t="n">
        <v>12</v>
      </c>
      <c r="C33" s="49">
        <f>IF('[10]سجل المستخلصات'!$C$17="","",'[10]سجل المستخلصات'!$C$17)</f>
        <v/>
      </c>
      <c r="D33" s="49">
        <f>IF('[10]سجل المستخلصات'!$E$17="","",'[10]سجل المستخلصات'!$E$17)</f>
        <v/>
      </c>
      <c r="E33" s="50">
        <f>IF('[10]سجل المستخلصات'!$F$17="","",'[10]سجل المستخلصات'!$F$17)</f>
        <v/>
      </c>
      <c r="F33" s="51">
        <f>IF('[10]سجل المستخلصات'!$H$17="","",'[10]سجل المستخلصات'!$H$17)</f>
        <v/>
      </c>
      <c r="G33" s="51">
        <f>IF('[10]سجل المستخلصات'!$G$17="","",'[10]سجل المستخلصات'!$G$17)</f>
        <v/>
      </c>
      <c r="H33" s="51">
        <f>IF('[10]سجل المستخلصات'!$I$17="","",'[10]سجل المستخلصات'!$I$17)</f>
        <v/>
      </c>
      <c r="I33" s="51">
        <f>IF('[10]سجل المستخلصات'!$J$17="","",'[10]سجل المستخلصات'!$J$17)</f>
        <v/>
      </c>
      <c r="J33" s="51">
        <f>IF('[10]سجل المستخلصات'!$K$17="","",'[10]سجل المستخلصات'!$K$17)</f>
        <v/>
      </c>
      <c r="K33" s="52">
        <f>IF('[10]سجل المستخلصات'!$L$17="","",'[10]سجل المستخلصات'!$L$17)</f>
        <v/>
      </c>
      <c r="L33" s="52">
        <f>IF('[10]سجل المستخلصات'!$M$17="","",'[10]سجل المستخلصات'!$M$17)</f>
        <v/>
      </c>
      <c r="M33" s="52">
        <f>IF('[10]سجل المستخلصات'!$N$17="","",'[10]سجل المستخلصات'!$N$17)</f>
        <v/>
      </c>
      <c r="N33" s="51">
        <f>IF('[10]سجل المستخلصات'!$O$17="","",'[10]سجل المستخلصات'!$O$17)</f>
        <v/>
      </c>
      <c r="O33" s="51">
        <f>IF('[10]سجل المستخلصات'!$R$17="","",'[10]سجل المستخلصات'!$R$17)</f>
        <v/>
      </c>
      <c r="P33" s="51">
        <f>IF('[10]سجل المستخلصات'!$S$17="","",'[10]سجل المستخلصات'!$S$17)</f>
        <v/>
      </c>
      <c r="Q33" s="51">
        <f>IF('[10]سجل المستخلصات'!$T$17="","",'[10]سجل المستخلصات'!$T$17)</f>
        <v/>
      </c>
      <c r="R33" s="51">
        <f>IF('[10]سجل المستخلصات'!$V$17="","",'[10]سجل المستخلصات'!$V$17)</f>
        <v/>
      </c>
      <c r="S33" s="51">
        <f>IF('[10]سجل المستخلصات'!$W$17="","",'[10]سجل المستخلصات'!$W$17)</f>
        <v/>
      </c>
      <c r="T33" s="53">
        <f>IF('[10]سجل المستخلصات'!$X$17="","",'[10]سجل المستخلصات'!$X$17)</f>
        <v/>
      </c>
      <c r="U33" s="53">
        <f>IF('[10]سجل المستخلصات'!$Z$17="","",'[10]سجل المستخلصات'!$Z$17)</f>
        <v/>
      </c>
      <c r="V33" s="51">
        <f>IF('[10]سجل المستخلصات'!$AA$17="","",'[10]سجل المستخلصات'!$AA$17)</f>
        <v/>
      </c>
      <c r="W33" s="51">
        <f>IF('[10]سجل المستخلصات'!$AC$17="","",'[10]سجل المستخلصات'!$AC$17)</f>
        <v/>
      </c>
      <c r="X33" s="54">
        <f>IF('[10]سجل المستخلصات'!$AD$17="","",'[10]سجل المستخلصات'!$AD$17)</f>
        <v/>
      </c>
      <c r="Y33" s="50">
        <f>IF('[10]سجل المستخلصات'!$AE$17="","",'[10]سجل المستخلصات'!$AE$17)</f>
        <v/>
      </c>
    </row>
    <row r="34">
      <c r="B34" s="48" t="n">
        <v>13</v>
      </c>
      <c r="C34" s="49">
        <f>IF('[10]سجل المستخلصات'!$C$18="","",'[10]سجل المستخلصات'!$C$18)</f>
        <v/>
      </c>
      <c r="D34" s="49">
        <f>IF('[10]سجل المستخلصات'!$E$18="","",'[10]سجل المستخلصات'!$E$18)</f>
        <v/>
      </c>
      <c r="E34" s="50">
        <f>IF('[10]سجل المستخلصات'!$F$18="","",'[10]سجل المستخلصات'!$F$18)</f>
        <v/>
      </c>
      <c r="F34" s="51">
        <f>IF('[10]سجل المستخلصات'!$H$18="","",'[10]سجل المستخلصات'!$H$18)</f>
        <v/>
      </c>
      <c r="G34" s="51">
        <f>IF('[10]سجل المستخلصات'!$G$18="","",'[10]سجل المستخلصات'!$G$18)</f>
        <v/>
      </c>
      <c r="H34" s="51">
        <f>IF('[10]سجل المستخلصات'!$I$18="","",'[10]سجل المستخلصات'!$I$18)</f>
        <v/>
      </c>
      <c r="I34" s="51">
        <f>IF('[10]سجل المستخلصات'!$J$18="","",'[10]سجل المستخلصات'!$J$18)</f>
        <v/>
      </c>
      <c r="J34" s="51">
        <f>IF('[10]سجل المستخلصات'!$K$18="","",'[10]سجل المستخلصات'!$K$18)</f>
        <v/>
      </c>
      <c r="K34" s="52">
        <f>IF('[10]سجل المستخلصات'!$L$18="","",'[10]سجل المستخلصات'!$L$18)</f>
        <v/>
      </c>
      <c r="L34" s="52">
        <f>IF('[10]سجل المستخلصات'!$M$18="","",'[10]سجل المستخلصات'!$M$18)</f>
        <v/>
      </c>
      <c r="M34" s="52">
        <f>IF('[10]سجل المستخلصات'!$N$18="","",'[10]سجل المستخلصات'!$N$18)</f>
        <v/>
      </c>
      <c r="N34" s="51">
        <f>IF('[10]سجل المستخلصات'!$O$18="","",'[10]سجل المستخلصات'!$O$18)</f>
        <v/>
      </c>
      <c r="O34" s="51">
        <f>IF('[10]سجل المستخلصات'!$R$18="","",'[10]سجل المستخلصات'!$R$18)</f>
        <v/>
      </c>
      <c r="P34" s="51">
        <f>IF('[10]سجل المستخلصات'!$S$18="","",'[10]سجل المستخلصات'!$S$18)</f>
        <v/>
      </c>
      <c r="Q34" s="51">
        <f>IF('[10]سجل المستخلصات'!$T$18="","",'[10]سجل المستخلصات'!$T$18)</f>
        <v/>
      </c>
      <c r="R34" s="51">
        <f>IF('[10]سجل المستخلصات'!$V$18="","",'[10]سجل المستخلصات'!$V$18)</f>
        <v/>
      </c>
      <c r="S34" s="51">
        <f>IF('[10]سجل المستخلصات'!$W$18="","",'[10]سجل المستخلصات'!$W$18)</f>
        <v/>
      </c>
      <c r="T34" s="53">
        <f>IF('[10]سجل المستخلصات'!$X$18="","",'[10]سجل المستخلصات'!$X$18)</f>
        <v/>
      </c>
      <c r="U34" s="53">
        <f>IF('[10]سجل المستخلصات'!$Z$18="","",'[10]سجل المستخلصات'!$Z$18)</f>
        <v/>
      </c>
      <c r="V34" s="51">
        <f>IF('[10]سجل المستخلصات'!$AA$18="","",'[10]سجل المستخلصات'!$AA$18)</f>
        <v/>
      </c>
      <c r="W34" s="51">
        <f>IF('[10]سجل المستخلصات'!$AC$18="","",'[10]سجل المستخلصات'!$AC$18)</f>
        <v/>
      </c>
      <c r="X34" s="54">
        <f>IF('[10]سجل المستخلصات'!$AD$18="","",'[10]سجل المستخلصات'!$AD$18)</f>
        <v/>
      </c>
      <c r="Y34" s="50">
        <f>IF('[10]سجل المستخلصات'!$AE$18="","",'[10]سجل المستخلصات'!$AE$18)</f>
        <v/>
      </c>
    </row>
    <row r="35">
      <c r="B35" s="48" t="n">
        <v>14</v>
      </c>
      <c r="C35" s="49">
        <f>IF('[10]سجل المستخلصات'!$C$19="","",'[10]سجل المستخلصات'!$C$19)</f>
        <v/>
      </c>
      <c r="D35" s="49">
        <f>IF('[10]سجل المستخلصات'!$E$19="","",'[10]سجل المستخلصات'!$E$19)</f>
        <v/>
      </c>
      <c r="E35" s="50">
        <f>IF('[10]سجل المستخلصات'!$F$19="","",'[10]سجل المستخلصات'!$F$19)</f>
        <v/>
      </c>
      <c r="F35" s="51">
        <f>IF('[10]سجل المستخلصات'!$H$19="","",'[10]سجل المستخلصات'!$H$19)</f>
        <v/>
      </c>
      <c r="G35" s="51">
        <f>IF('[10]سجل المستخلصات'!$G$19="","",'[10]سجل المستخلصات'!$G$19)</f>
        <v/>
      </c>
      <c r="H35" s="51">
        <f>IF('[10]سجل المستخلصات'!$I$19="","",'[10]سجل المستخلصات'!$I$19)</f>
        <v/>
      </c>
      <c r="I35" s="51">
        <f>IF('[10]سجل المستخلصات'!$J$19="","",'[10]سجل المستخلصات'!$J$19)</f>
        <v/>
      </c>
      <c r="J35" s="51">
        <f>IF('[10]سجل المستخلصات'!$K$19="","",'[10]سجل المستخلصات'!$K$19)</f>
        <v/>
      </c>
      <c r="K35" s="52">
        <f>IF('[10]سجل المستخلصات'!$L$19="","",'[10]سجل المستخلصات'!$L$19)</f>
        <v/>
      </c>
      <c r="L35" s="52">
        <f>IF('[10]سجل المستخلصات'!$M$19="","",'[10]سجل المستخلصات'!$M$19)</f>
        <v/>
      </c>
      <c r="M35" s="52">
        <f>IF('[10]سجل المستخلصات'!$N$19="","",'[10]سجل المستخلصات'!$N$19)</f>
        <v/>
      </c>
      <c r="N35" s="51">
        <f>IF('[10]سجل المستخلصات'!$O$19="","",'[10]سجل المستخلصات'!$O$19)</f>
        <v/>
      </c>
      <c r="O35" s="51">
        <f>IF('[10]سجل المستخلصات'!$R$19="","",'[10]سجل المستخلصات'!$R$19)</f>
        <v/>
      </c>
      <c r="P35" s="51">
        <f>IF('[10]سجل المستخلصات'!$S$19="","",'[10]سجل المستخلصات'!$S$19)</f>
        <v/>
      </c>
      <c r="Q35" s="51">
        <f>IF('[10]سجل المستخلصات'!$T$19="","",'[10]سجل المستخلصات'!$T$19)</f>
        <v/>
      </c>
      <c r="R35" s="51">
        <f>IF('[10]سجل المستخلصات'!$V$19="","",'[10]سجل المستخلصات'!$V$19)</f>
        <v/>
      </c>
      <c r="S35" s="51">
        <f>IF('[10]سجل المستخلصات'!$W$19="","",'[10]سجل المستخلصات'!$W$19)</f>
        <v/>
      </c>
      <c r="T35" s="53">
        <f>IF('[10]سجل المستخلصات'!$X$19="","",'[10]سجل المستخلصات'!$X$19)</f>
        <v/>
      </c>
      <c r="U35" s="53">
        <f>IF('[10]سجل المستخلصات'!$Z$19="","",'[10]سجل المستخلصات'!$Z$19)</f>
        <v/>
      </c>
      <c r="V35" s="51">
        <f>IF('[10]سجل المستخلصات'!$AA$19="","",'[10]سجل المستخلصات'!$AA$19)</f>
        <v/>
      </c>
      <c r="W35" s="51">
        <f>IF('[10]سجل المستخلصات'!$AC$19="","",'[10]سجل المستخلصات'!$AC$19)</f>
        <v/>
      </c>
      <c r="X35" s="54">
        <f>IF('[10]سجل المستخلصات'!$AD$19="","",'[10]سجل المستخلصات'!$AD$19)</f>
        <v/>
      </c>
      <c r="Y35" s="50">
        <f>IF('[10]سجل المستخلصات'!$AE$19="","",'[10]سجل المستخلصات'!$AE$19)</f>
        <v/>
      </c>
    </row>
    <row r="36">
      <c r="B36" s="48" t="n">
        <v>15</v>
      </c>
      <c r="C36" s="49">
        <f>IF('[10]سجل المستخلصات'!$C$20="","",'[10]سجل المستخلصات'!$C$20)</f>
        <v/>
      </c>
      <c r="D36" s="49">
        <f>IF('[10]سجل المستخلصات'!$E$20="","",'[10]سجل المستخلصات'!$E$20)</f>
        <v/>
      </c>
      <c r="E36" s="50">
        <f>IF('[10]سجل المستخلصات'!$F$20="","",'[10]سجل المستخلصات'!$F$20)</f>
        <v/>
      </c>
      <c r="F36" s="51">
        <f>IF('[10]سجل المستخلصات'!$H$20="","",'[10]سجل المستخلصات'!$H$20)</f>
        <v/>
      </c>
      <c r="G36" s="51">
        <f>IF('[10]سجل المستخلصات'!$G$20="","",'[10]سجل المستخلصات'!$G$20)</f>
        <v/>
      </c>
      <c r="H36" s="51">
        <f>IF('[10]سجل المستخلصات'!$I$20="","",'[10]سجل المستخلصات'!$I$20)</f>
        <v/>
      </c>
      <c r="I36" s="51">
        <f>IF('[10]سجل المستخلصات'!$J$20="","",'[10]سجل المستخلصات'!$J$20)</f>
        <v/>
      </c>
      <c r="J36" s="51">
        <f>IF('[10]سجل المستخلصات'!$K$20="","",'[10]سجل المستخلصات'!$K$20)</f>
        <v/>
      </c>
      <c r="K36" s="52">
        <f>IF('[10]سجل المستخلصات'!$L$20="","",'[10]سجل المستخلصات'!$L$20)</f>
        <v/>
      </c>
      <c r="L36" s="52">
        <f>IF('[10]سجل المستخلصات'!$M$20="","",'[10]سجل المستخلصات'!$M$20)</f>
        <v/>
      </c>
      <c r="M36" s="52">
        <f>IF('[10]سجل المستخلصات'!$N$20="","",'[10]سجل المستخلصات'!$N$20)</f>
        <v/>
      </c>
      <c r="N36" s="51">
        <f>IF('[10]سجل المستخلصات'!$O$20="","",'[10]سجل المستخلصات'!$O$20)</f>
        <v/>
      </c>
      <c r="O36" s="51">
        <f>IF('[10]سجل المستخلصات'!$R$20="","",'[10]سجل المستخلصات'!$R$20)</f>
        <v/>
      </c>
      <c r="P36" s="51">
        <f>IF('[10]سجل المستخلصات'!$S$20="","",'[10]سجل المستخلصات'!$S$20)</f>
        <v/>
      </c>
      <c r="Q36" s="51">
        <f>IF('[10]سجل المستخلصات'!$T$20="","",'[10]سجل المستخلصات'!$T$20)</f>
        <v/>
      </c>
      <c r="R36" s="51">
        <f>IF('[10]سجل المستخلصات'!$V$20="","",'[10]سجل المستخلصات'!$V$20)</f>
        <v/>
      </c>
      <c r="S36" s="51">
        <f>IF('[10]سجل المستخلصات'!$W$20="","",'[10]سجل المستخلصات'!$W$20)</f>
        <v/>
      </c>
      <c r="T36" s="53">
        <f>IF('[10]سجل المستخلصات'!$X$20="","",'[10]سجل المستخلصات'!$X$20)</f>
        <v/>
      </c>
      <c r="U36" s="53">
        <f>IF('[10]سجل المستخلصات'!$Z$20="","",'[10]سجل المستخلصات'!$Z$20)</f>
        <v/>
      </c>
      <c r="V36" s="51">
        <f>IF('[10]سجل المستخلصات'!$AA$20="","",'[10]سجل المستخلصات'!$AA$20)</f>
        <v/>
      </c>
      <c r="W36" s="51">
        <f>IF('[10]سجل المستخلصات'!$AC$20="","",'[10]سجل المستخلصات'!$AC$20)</f>
        <v/>
      </c>
      <c r="X36" s="54">
        <f>IF('[10]سجل المستخلصات'!$AD$20="","",'[10]سجل المستخلصات'!$AD$20)</f>
        <v/>
      </c>
      <c r="Y36" s="50">
        <f>IF('[10]سجل المستخلصات'!$AE$20="","",'[10]سجل المستخلصات'!$AE$20)</f>
        <v/>
      </c>
    </row>
    <row r="37">
      <c r="B37" s="48" t="n">
        <v>16</v>
      </c>
      <c r="C37" s="49">
        <f>IF('[10]سجل المستخلصات'!$C$21="","",'[10]سجل المستخلصات'!$C$21)</f>
        <v/>
      </c>
      <c r="D37" s="49">
        <f>IF('[10]سجل المستخلصات'!$E$21="","",'[10]سجل المستخلصات'!$E$21)</f>
        <v/>
      </c>
      <c r="E37" s="50">
        <f>IF('[10]سجل المستخلصات'!$F$21="","",'[10]سجل المستخلصات'!$F$21)</f>
        <v/>
      </c>
      <c r="F37" s="51">
        <f>IF('[10]سجل المستخلصات'!$H$21="","",'[10]سجل المستخلصات'!$H$21)</f>
        <v/>
      </c>
      <c r="G37" s="51">
        <f>IF('[10]سجل المستخلصات'!$G$21="","",'[10]سجل المستخلصات'!$G$21)</f>
        <v/>
      </c>
      <c r="H37" s="51">
        <f>IF('[10]سجل المستخلصات'!$I$21="","",'[10]سجل المستخلصات'!$I$21)</f>
        <v/>
      </c>
      <c r="I37" s="51">
        <f>IF('[10]سجل المستخلصات'!$J$21="","",'[10]سجل المستخلصات'!$J$21)</f>
        <v/>
      </c>
      <c r="J37" s="51">
        <f>IF('[10]سجل المستخلصات'!$K$21="","",'[10]سجل المستخلصات'!$K$21)</f>
        <v/>
      </c>
      <c r="K37" s="52">
        <f>IF('[10]سجل المستخلصات'!$L$21="","",'[10]سجل المستخلصات'!$L$21)</f>
        <v/>
      </c>
      <c r="L37" s="52">
        <f>IF('[10]سجل المستخلصات'!$M$21="","",'[10]سجل المستخلصات'!$M$21)</f>
        <v/>
      </c>
      <c r="M37" s="52">
        <f>IF('[10]سجل المستخلصات'!$N$21="","",'[10]سجل المستخلصات'!$N$21)</f>
        <v/>
      </c>
      <c r="N37" s="51">
        <f>IF('[10]سجل المستخلصات'!$O$21="","",'[10]سجل المستخلصات'!$O$21)</f>
        <v/>
      </c>
      <c r="O37" s="51">
        <f>IF('[10]سجل المستخلصات'!$R$21="","",'[10]سجل المستخلصات'!$R$21)</f>
        <v/>
      </c>
      <c r="P37" s="51">
        <f>IF('[10]سجل المستخلصات'!$S$21="","",'[10]سجل المستخلصات'!$S$21)</f>
        <v/>
      </c>
      <c r="Q37" s="51">
        <f>IF('[10]سجل المستخلصات'!$T$21="","",'[10]سجل المستخلصات'!$T$21)</f>
        <v/>
      </c>
      <c r="R37" s="51">
        <f>IF('[10]سجل المستخلصات'!$V$21="","",'[10]سجل المستخلصات'!$V$21)</f>
        <v/>
      </c>
      <c r="S37" s="51">
        <f>IF('[10]سجل المستخلصات'!$W$21="","",'[10]سجل المستخلصات'!$W$21)</f>
        <v/>
      </c>
      <c r="T37" s="53">
        <f>IF('[10]سجل المستخلصات'!$X$21="","",'[10]سجل المستخلصات'!$X$21)</f>
        <v/>
      </c>
      <c r="U37" s="53">
        <f>IF('[10]سجل المستخلصات'!$Z$21="","",'[10]سجل المستخلصات'!$Z$21)</f>
        <v/>
      </c>
      <c r="V37" s="51">
        <f>IF('[10]سجل المستخلصات'!$AA$21="","",'[10]سجل المستخلصات'!$AA$21)</f>
        <v/>
      </c>
      <c r="W37" s="51">
        <f>IF('[10]سجل المستخلصات'!$AC$21="","",'[10]سجل المستخلصات'!$AC$21)</f>
        <v/>
      </c>
      <c r="X37" s="54">
        <f>IF('[10]سجل المستخلصات'!$AD$21="","",'[10]سجل المستخلصات'!$AD$21)</f>
        <v/>
      </c>
      <c r="Y37" s="50">
        <f>IF('[10]سجل المستخلصات'!$AE$21="","",'[10]سجل المستخلصات'!$AE$21)</f>
        <v/>
      </c>
    </row>
    <row r="38">
      <c r="B38" s="48" t="n">
        <v>17</v>
      </c>
      <c r="C38" s="49">
        <f>IF('[10]سجل المستخلصات'!$C$22="","",'[10]سجل المستخلصات'!$C$22)</f>
        <v/>
      </c>
      <c r="D38" s="49">
        <f>IF('[10]سجل المستخلصات'!$E$22="","",'[10]سجل المستخلصات'!$E$22)</f>
        <v/>
      </c>
      <c r="E38" s="50">
        <f>IF('[10]سجل المستخلصات'!$F$22="","",'[10]سجل المستخلصات'!$F$22)</f>
        <v/>
      </c>
      <c r="F38" s="51">
        <f>IF('[10]سجل المستخلصات'!$H$22="","",'[10]سجل المستخلصات'!$H$22)</f>
        <v/>
      </c>
      <c r="G38" s="51">
        <f>IF('[10]سجل المستخلصات'!$G$22="","",'[10]سجل المستخلصات'!$G$22)</f>
        <v/>
      </c>
      <c r="H38" s="51">
        <f>IF('[10]سجل المستخلصات'!$I$22="","",'[10]سجل المستخلصات'!$I$22)</f>
        <v/>
      </c>
      <c r="I38" s="51">
        <f>IF('[10]سجل المستخلصات'!$J$22="","",'[10]سجل المستخلصات'!$J$22)</f>
        <v/>
      </c>
      <c r="J38" s="51">
        <f>IF('[10]سجل المستخلصات'!$K$22="","",'[10]سجل المستخلصات'!$K$22)</f>
        <v/>
      </c>
      <c r="K38" s="52">
        <f>IF('[10]سجل المستخلصات'!$L$22="","",'[10]سجل المستخلصات'!$L$22)</f>
        <v/>
      </c>
      <c r="L38" s="52">
        <f>IF('[10]سجل المستخلصات'!$M$22="","",'[10]سجل المستخلصات'!$M$22)</f>
        <v/>
      </c>
      <c r="M38" s="52">
        <f>IF('[10]سجل المستخلصات'!$N$22="","",'[10]سجل المستخلصات'!$N$22)</f>
        <v/>
      </c>
      <c r="N38" s="51">
        <f>IF('[10]سجل المستخلصات'!$O$22="","",'[10]سجل المستخلصات'!$O$22)</f>
        <v/>
      </c>
      <c r="O38" s="51">
        <f>IF('[10]سجل المستخلصات'!$R$22="","",'[10]سجل المستخلصات'!$R$22)</f>
        <v/>
      </c>
      <c r="P38" s="51">
        <f>IF('[10]سجل المستخلصات'!$S$22="","",'[10]سجل المستخلصات'!$S$22)</f>
        <v/>
      </c>
      <c r="Q38" s="51">
        <f>IF('[10]سجل المستخلصات'!$T$22="","",'[10]سجل المستخلصات'!$T$22)</f>
        <v/>
      </c>
      <c r="R38" s="51">
        <f>IF('[10]سجل المستخلصات'!$V$22="","",'[10]سجل المستخلصات'!$V$22)</f>
        <v/>
      </c>
      <c r="S38" s="51">
        <f>IF('[10]سجل المستخلصات'!$W$22="","",'[10]سجل المستخلصات'!$W$22)</f>
        <v/>
      </c>
      <c r="T38" s="53">
        <f>IF('[10]سجل المستخلصات'!$X$22="","",'[10]سجل المستخلصات'!$X$22)</f>
        <v/>
      </c>
      <c r="U38" s="53">
        <f>IF('[10]سجل المستخلصات'!$Z$22="","",'[10]سجل المستخلصات'!$Z$22)</f>
        <v/>
      </c>
      <c r="V38" s="51">
        <f>IF('[10]سجل المستخلصات'!$AA$22="","",'[10]سجل المستخلصات'!$AA$22)</f>
        <v/>
      </c>
      <c r="W38" s="51">
        <f>IF('[10]سجل المستخلصات'!$AC$22="","",'[10]سجل المستخلصات'!$AC$22)</f>
        <v/>
      </c>
      <c r="X38" s="54">
        <f>IF('[10]سجل المستخلصات'!$AD$22="","",'[10]سجل المستخلصات'!$AD$22)</f>
        <v/>
      </c>
      <c r="Y38" s="50">
        <f>IF('[10]سجل المستخلصات'!$AE$22="","",'[10]سجل المستخلصات'!$AE$22)</f>
        <v/>
      </c>
    </row>
    <row r="39">
      <c r="B39" s="48" t="n">
        <v>18</v>
      </c>
      <c r="C39" s="49">
        <f>IF('[10]سجل المستخلصات'!$C$23="","",'[10]سجل المستخلصات'!$C$23)</f>
        <v/>
      </c>
      <c r="D39" s="49">
        <f>IF('[10]سجل المستخلصات'!$E$23="","",'[10]سجل المستخلصات'!$E$23)</f>
        <v/>
      </c>
      <c r="E39" s="50">
        <f>IF('[10]سجل المستخلصات'!$F$23="","",'[10]سجل المستخلصات'!$F$23)</f>
        <v/>
      </c>
      <c r="F39" s="51">
        <f>IF('[10]سجل المستخلصات'!$H$23="","",'[10]سجل المستخلصات'!$H$23)</f>
        <v/>
      </c>
      <c r="G39" s="51">
        <f>IF('[10]سجل المستخلصات'!$G$23="","",'[10]سجل المستخلصات'!$G$23)</f>
        <v/>
      </c>
      <c r="H39" s="51">
        <f>IF('[10]سجل المستخلصات'!$I$23="","",'[10]سجل المستخلصات'!$I$23)</f>
        <v/>
      </c>
      <c r="I39" s="51">
        <f>IF('[10]سجل المستخلصات'!$J$23="","",'[10]سجل المستخلصات'!$J$23)</f>
        <v/>
      </c>
      <c r="J39" s="51">
        <f>IF('[10]سجل المستخلصات'!$K$23="","",'[10]سجل المستخلصات'!$K$23)</f>
        <v/>
      </c>
      <c r="K39" s="52">
        <f>IF('[10]سجل المستخلصات'!$L$23="","",'[10]سجل المستخلصات'!$L$23)</f>
        <v/>
      </c>
      <c r="L39" s="52">
        <f>IF('[10]سجل المستخلصات'!$M$23="","",'[10]سجل المستخلصات'!$M$23)</f>
        <v/>
      </c>
      <c r="M39" s="52">
        <f>IF('[10]سجل المستخلصات'!$N$23="","",'[10]سجل المستخلصات'!$N$23)</f>
        <v/>
      </c>
      <c r="N39" s="51">
        <f>IF('[10]سجل المستخلصات'!$O$23="","",'[10]سجل المستخلصات'!$O$23)</f>
        <v/>
      </c>
      <c r="O39" s="51">
        <f>IF('[10]سجل المستخلصات'!$R$23="","",'[10]سجل المستخلصات'!$R$23)</f>
        <v/>
      </c>
      <c r="P39" s="51">
        <f>IF('[10]سجل المستخلصات'!$S$23="","",'[10]سجل المستخلصات'!$S$23)</f>
        <v/>
      </c>
      <c r="Q39" s="51">
        <f>IF('[10]سجل المستخلصات'!$T$23="","",'[10]سجل المستخلصات'!$T$23)</f>
        <v/>
      </c>
      <c r="R39" s="51">
        <f>IF('[10]سجل المستخلصات'!$V$23="","",'[10]سجل المستخلصات'!$V$23)</f>
        <v/>
      </c>
      <c r="S39" s="51">
        <f>IF('[10]سجل المستخلصات'!$W$23="","",'[10]سجل المستخلصات'!$W$23)</f>
        <v/>
      </c>
      <c r="T39" s="53">
        <f>IF('[10]سجل المستخلصات'!$X$23="","",'[10]سجل المستخلصات'!$X$23)</f>
        <v/>
      </c>
      <c r="U39" s="53">
        <f>IF('[10]سجل المستخلصات'!$Z$23="","",'[10]سجل المستخلصات'!$Z$23)</f>
        <v/>
      </c>
      <c r="V39" s="51">
        <f>IF('[10]سجل المستخلصات'!$AA$23="","",'[10]سجل المستخلصات'!$AA$23)</f>
        <v/>
      </c>
      <c r="W39" s="51">
        <f>IF('[10]سجل المستخلصات'!$AC$23="","",'[10]سجل المستخلصات'!$AC$23)</f>
        <v/>
      </c>
      <c r="X39" s="54">
        <f>IF('[10]سجل المستخلصات'!$AD$23="","",'[10]سجل المستخلصات'!$AD$23)</f>
        <v/>
      </c>
      <c r="Y39" s="50">
        <f>IF('[10]سجل المستخلصات'!$AE$23="","",'[10]سجل المستخلصات'!$AE$23)</f>
        <v/>
      </c>
    </row>
    <row r="40">
      <c r="B40" s="48" t="n">
        <v>19</v>
      </c>
      <c r="C40" s="49">
        <f>IF('[10]سجل المستخلصات'!$C$24="","",'[10]سجل المستخلصات'!$C$24)</f>
        <v/>
      </c>
      <c r="D40" s="49">
        <f>IF('[10]سجل المستخلصات'!$E$24="","",'[10]سجل المستخلصات'!$E$24)</f>
        <v/>
      </c>
      <c r="E40" s="50">
        <f>IF('[10]سجل المستخلصات'!$F$24="","",'[10]سجل المستخلصات'!$F$24)</f>
        <v/>
      </c>
      <c r="F40" s="51">
        <f>IF('[10]سجل المستخلصات'!$H$24="","",'[10]سجل المستخلصات'!$H$24)</f>
        <v/>
      </c>
      <c r="G40" s="51">
        <f>IF('[10]سجل المستخلصات'!$G$24="","",'[10]سجل المستخلصات'!$G$24)</f>
        <v/>
      </c>
      <c r="H40" s="51">
        <f>IF('[10]سجل المستخلصات'!$I$24="","",'[10]سجل المستخلصات'!$I$24)</f>
        <v/>
      </c>
      <c r="I40" s="51">
        <f>IF('[10]سجل المستخلصات'!$J$24="","",'[10]سجل المستخلصات'!$J$24)</f>
        <v/>
      </c>
      <c r="J40" s="51">
        <f>IF('[10]سجل المستخلصات'!$K$24="","",'[10]سجل المستخلصات'!$K$24)</f>
        <v/>
      </c>
      <c r="K40" s="52">
        <f>IF('[10]سجل المستخلصات'!$L$24="","",'[10]سجل المستخلصات'!$L$24)</f>
        <v/>
      </c>
      <c r="L40" s="52">
        <f>IF('[10]سجل المستخلصات'!$M$24="","",'[10]سجل المستخلصات'!$M$24)</f>
        <v/>
      </c>
      <c r="M40" s="52">
        <f>IF('[10]سجل المستخلصات'!$N$24="","",'[10]سجل المستخلصات'!$N$24)</f>
        <v/>
      </c>
      <c r="N40" s="51">
        <f>IF('[10]سجل المستخلصات'!$O$24="","",'[10]سجل المستخلصات'!$O$24)</f>
        <v/>
      </c>
      <c r="O40" s="51">
        <f>IF('[10]سجل المستخلصات'!$R$24="","",'[10]سجل المستخلصات'!$R$24)</f>
        <v/>
      </c>
      <c r="P40" s="51">
        <f>IF('[10]سجل المستخلصات'!$S$24="","",'[10]سجل المستخلصات'!$S$24)</f>
        <v/>
      </c>
      <c r="Q40" s="51">
        <f>IF('[10]سجل المستخلصات'!$T$24="","",'[10]سجل المستخلصات'!$T$24)</f>
        <v/>
      </c>
      <c r="R40" s="51">
        <f>IF('[10]سجل المستخلصات'!$V$24="","",'[10]سجل المستخلصات'!$V$24)</f>
        <v/>
      </c>
      <c r="S40" s="51">
        <f>IF('[10]سجل المستخلصات'!$W$24="","",'[10]سجل المستخلصات'!$W$24)</f>
        <v/>
      </c>
      <c r="T40" s="53">
        <f>IF('[10]سجل المستخلصات'!$X$24="","",'[10]سجل المستخلصات'!$X$24)</f>
        <v/>
      </c>
      <c r="U40" s="53">
        <f>IF('[10]سجل المستخلصات'!$Z$24="","",'[10]سجل المستخلصات'!$Z$24)</f>
        <v/>
      </c>
      <c r="V40" s="51">
        <f>IF('[10]سجل المستخلصات'!$AA$24="","",'[10]سجل المستخلصات'!$AA$24)</f>
        <v/>
      </c>
      <c r="W40" s="51">
        <f>IF('[10]سجل المستخلصات'!$AC$24="","",'[10]سجل المستخلصات'!$AC$24)</f>
        <v/>
      </c>
      <c r="X40" s="54">
        <f>IF('[10]سجل المستخلصات'!$AD$24="","",'[10]سجل المستخلصات'!$AD$24)</f>
        <v/>
      </c>
      <c r="Y40" s="50">
        <f>IF('[10]سجل المستخلصات'!$AE$24="","",'[10]سجل المستخلصات'!$AE$24)</f>
        <v/>
      </c>
    </row>
    <row r="41">
      <c r="B41" s="48" t="n">
        <v>20</v>
      </c>
      <c r="C41" s="49">
        <f>IF('[10]سجل المستخلصات'!$C$25="","",'[10]سجل المستخلصات'!$C$25)</f>
        <v/>
      </c>
      <c r="D41" s="49">
        <f>IF('[10]سجل المستخلصات'!$E$25="","",'[10]سجل المستخلصات'!$E$25)</f>
        <v/>
      </c>
      <c r="E41" s="50">
        <f>IF('[10]سجل المستخلصات'!$F$25="","",'[10]سجل المستخلصات'!$F$25)</f>
        <v/>
      </c>
      <c r="F41" s="51">
        <f>IF('[10]سجل المستخلصات'!$H$25="","",'[10]سجل المستخلصات'!$H$25)</f>
        <v/>
      </c>
      <c r="G41" s="51">
        <f>IF('[10]سجل المستخلصات'!$G$25="","",'[10]سجل المستخلصات'!$G$25)</f>
        <v/>
      </c>
      <c r="H41" s="51">
        <f>IF('[10]سجل المستخلصات'!$I$25="","",'[10]سجل المستخلصات'!$I$25)</f>
        <v/>
      </c>
      <c r="I41" s="51">
        <f>IF('[10]سجل المستخلصات'!$J$25="","",'[10]سجل المستخلصات'!$J$25)</f>
        <v/>
      </c>
      <c r="J41" s="51">
        <f>IF('[10]سجل المستخلصات'!$K$25="","",'[10]سجل المستخلصات'!$K$25)</f>
        <v/>
      </c>
      <c r="K41" s="52">
        <f>IF('[10]سجل المستخلصات'!$L$25="","",'[10]سجل المستخلصات'!$L$25)</f>
        <v/>
      </c>
      <c r="L41" s="52">
        <f>IF('[10]سجل المستخلصات'!$M$25="","",'[10]سجل المستخلصات'!$M$25)</f>
        <v/>
      </c>
      <c r="M41" s="52">
        <f>IF('[10]سجل المستخلصات'!$N$25="","",'[10]سجل المستخلصات'!$N$25)</f>
        <v/>
      </c>
      <c r="N41" s="51">
        <f>IF('[10]سجل المستخلصات'!$O$25="","",'[10]سجل المستخلصات'!$O$25)</f>
        <v/>
      </c>
      <c r="O41" s="51">
        <f>IF('[10]سجل المستخلصات'!$R$25="","",'[10]سجل المستخلصات'!$R$25)</f>
        <v/>
      </c>
      <c r="P41" s="51">
        <f>IF('[10]سجل المستخلصات'!$S$25="","",'[10]سجل المستخلصات'!$S$25)</f>
        <v/>
      </c>
      <c r="Q41" s="51">
        <f>IF('[10]سجل المستخلصات'!$T$25="","",'[10]سجل المستخلصات'!$T$25)</f>
        <v/>
      </c>
      <c r="R41" s="51">
        <f>IF('[10]سجل المستخلصات'!$V$25="","",'[10]سجل المستخلصات'!$V$25)</f>
        <v/>
      </c>
      <c r="S41" s="51">
        <f>IF('[10]سجل المستخلصات'!$W$25="","",'[10]سجل المستخلصات'!$W$25)</f>
        <v/>
      </c>
      <c r="T41" s="53">
        <f>IF('[10]سجل المستخلصات'!$X$25="","",'[10]سجل المستخلصات'!$X$25)</f>
        <v/>
      </c>
      <c r="U41" s="53">
        <f>IF('[10]سجل المستخلصات'!$Z$25="","",'[10]سجل المستخلصات'!$Z$25)</f>
        <v/>
      </c>
      <c r="V41" s="51">
        <f>IF('[10]سجل المستخلصات'!$AA$25="","",'[10]سجل المستخلصات'!$AA$25)</f>
        <v/>
      </c>
      <c r="W41" s="51">
        <f>IF('[10]سجل المستخلصات'!$AC$25="","",'[10]سجل المستخلصات'!$AC$25)</f>
        <v/>
      </c>
      <c r="X41" s="54">
        <f>IF('[10]سجل المستخلصات'!$AD$25="","",'[10]سجل المستخلصات'!$AD$25)</f>
        <v/>
      </c>
      <c r="Y41" s="50">
        <f>IF('[10]سجل المستخلصات'!$AE$25="","",'[10]سجل المستخلصات'!$AE$25)</f>
        <v/>
      </c>
    </row>
    <row r="42">
      <c r="B42" s="55" t="inlineStr">
        <is>
          <t>الإجمالي</t>
        </is>
      </c>
      <c r="C42" s="56" t="n"/>
      <c r="D42" s="56" t="n"/>
      <c r="E42" s="55" t="n"/>
      <c r="F42" s="57">
        <f>SUM(F22:F41)</f>
        <v/>
      </c>
      <c r="G42" s="57">
        <f>IF($V$9=0,0,N(INDEX($G$22:$G$41,$V$9)))</f>
        <v/>
      </c>
      <c r="H42" s="57">
        <f>IF($V$9=0,0,N(INDEX($H$22:$H$41,$V$9)))</f>
        <v/>
      </c>
      <c r="I42" s="57">
        <f>IF($V$9=0,0,N(INDEX($I$22:$I$41,$V$9)))</f>
        <v/>
      </c>
      <c r="J42" s="57">
        <f>IF($V$9=0,0,N(INDEX($J$22:$J$41,$V$9)))</f>
        <v/>
      </c>
      <c r="K42" s="58">
        <f>IF($V$9=0,0,N(INDEX($K$22:$K$41,$V$9)))</f>
        <v/>
      </c>
      <c r="L42" s="58" t="n"/>
      <c r="M42" s="58" t="n"/>
      <c r="N42" s="57">
        <f>IF($V$9=0,0,N(INDEX($N$22:$N$41,$V$9)))</f>
        <v/>
      </c>
      <c r="O42" s="57">
        <f>IF($V$9=0,0,N(INDEX($O$22:$O$41,$V$9)))</f>
        <v/>
      </c>
      <c r="P42" s="57">
        <f>IF($V$9=0,0,N(INDEX($P$22:$P$41,$V$9)))</f>
        <v/>
      </c>
      <c r="Q42" s="57">
        <f>IF($V$9=0,0,N(INDEX($Q$22:$Q$41,$V$9)))</f>
        <v/>
      </c>
      <c r="R42" s="57">
        <f>IF($V$9=0,0,N(INDEX($R$22:$R$41,$V$9)))</f>
        <v/>
      </c>
      <c r="S42" s="57">
        <f>IF($V$9=0,0,N(INDEX($S$22:$S$41,$V$9)))</f>
        <v/>
      </c>
      <c r="T42" s="57">
        <f>IF($V$9=0,0,N(INDEX($T$22:$T$41,$V$9)))</f>
        <v/>
      </c>
      <c r="U42" s="57">
        <f>SUM(U22:U41)</f>
        <v/>
      </c>
      <c r="V42" s="57">
        <f>SUM(V22:V41)</f>
        <v/>
      </c>
      <c r="W42" s="57">
        <f>SUM(W22:W41)</f>
        <v/>
      </c>
      <c r="X42" s="59">
        <f>IFERROR(AVERAGE(X22:X41),0)</f>
        <v/>
      </c>
      <c r="Y42" s="55" t="n"/>
    </row>
    <row r="45">
      <c r="B45" s="46" t="inlineStr">
        <is>
          <t>الإنجاز حسب أقسام الأعمال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القسم</t>
        </is>
      </c>
      <c r="C46" s="47" t="n"/>
      <c r="D46" s="47" t="n"/>
      <c r="E46" s="47" t="inlineStr">
        <is>
          <t>القيمة التعاقدية</t>
        </is>
      </c>
      <c r="F46" s="47" t="inlineStr">
        <is>
          <t>القيمة المنفذة</t>
        </is>
      </c>
      <c r="G46" s="47" t="inlineStr">
        <is>
          <t>نسبة الإنجاز</t>
        </is>
      </c>
    </row>
    <row r="47">
      <c r="B47" s="60">
        <f>IF('[10]سجل المستخلصات'!$B$32="","",'[10]سجل المستخلصات'!$B$32)</f>
        <v/>
      </c>
      <c r="C47" s="60" t="n"/>
      <c r="D47" s="60" t="n"/>
      <c r="E47" s="51">
        <f>N('[10]سجل المستخلصات'!$E$32)</f>
        <v/>
      </c>
      <c r="F47" s="51">
        <f>N('[10]سجل المستخلصات'!$F$32)</f>
        <v/>
      </c>
      <c r="G47" s="61">
        <f>IF(E47&gt;0,F47/E47,0)</f>
        <v/>
      </c>
    </row>
    <row r="48">
      <c r="B48" s="60">
        <f>IF('[10]سجل المستخلصات'!$B$33="","",'[10]سجل المستخلصات'!$B$33)</f>
        <v/>
      </c>
      <c r="C48" s="60" t="n"/>
      <c r="D48" s="60" t="n"/>
      <c r="E48" s="51">
        <f>N('[10]سجل المستخلصات'!$E$33)</f>
        <v/>
      </c>
      <c r="F48" s="51">
        <f>N('[10]سجل المستخلصات'!$F$33)</f>
        <v/>
      </c>
      <c r="G48" s="61">
        <f>IF(E48&gt;0,F48/E48,0)</f>
        <v/>
      </c>
    </row>
    <row r="49">
      <c r="B49" s="60">
        <f>IF('[10]سجل المستخلصات'!$B$34="","",'[10]سجل المستخلصات'!$B$34)</f>
        <v/>
      </c>
      <c r="C49" s="60" t="n"/>
      <c r="D49" s="60" t="n"/>
      <c r="E49" s="51">
        <f>N('[10]سجل المستخلصات'!$E$34)</f>
        <v/>
      </c>
      <c r="F49" s="51">
        <f>N('[10]سجل المستخلصات'!$F$34)</f>
        <v/>
      </c>
      <c r="G49" s="61">
        <f>IF(E49&gt;0,F49/E49,0)</f>
        <v/>
      </c>
    </row>
    <row r="50">
      <c r="B50" s="60">
        <f>IF('[10]سجل المستخلصات'!$B$35="","",'[10]سجل المستخلصات'!$B$35)</f>
        <v/>
      </c>
      <c r="C50" s="60" t="n"/>
      <c r="D50" s="60" t="n"/>
      <c r="E50" s="51">
        <f>N('[10]سجل المستخلصات'!$E$35)</f>
        <v/>
      </c>
      <c r="F50" s="51">
        <f>N('[10]سجل المستخلصات'!$F$35)</f>
        <v/>
      </c>
      <c r="G50" s="61">
        <f>IF(E50&gt;0,F50/E50,0)</f>
        <v/>
      </c>
    </row>
    <row r="51">
      <c r="B51" s="60">
        <f>IF('[10]سجل المستخلصات'!$B$36="","",'[10]سجل المستخلصات'!$B$36)</f>
        <v/>
      </c>
      <c r="C51" s="60" t="n"/>
      <c r="D51" s="60" t="n"/>
      <c r="E51" s="51">
        <f>N('[10]سجل المستخلصات'!$E$36)</f>
        <v/>
      </c>
      <c r="F51" s="51">
        <f>N('[10]سجل المستخلصات'!$F$36)</f>
        <v/>
      </c>
      <c r="G51" s="61">
        <f>IF(E51&gt;0,F51/E51,0)</f>
        <v/>
      </c>
    </row>
    <row r="52">
      <c r="B52" s="60">
        <f>IF('[10]سجل المستخلصات'!$B$37="","",'[10]سجل المستخلصات'!$B$37)</f>
        <v/>
      </c>
      <c r="C52" s="60" t="n"/>
      <c r="D52" s="60" t="n"/>
      <c r="E52" s="51">
        <f>N('[10]سجل المستخلصات'!$E$37)</f>
        <v/>
      </c>
      <c r="F52" s="51">
        <f>N('[10]سجل المستخلصات'!$F$37)</f>
        <v/>
      </c>
      <c r="G52" s="61">
        <f>IF(E52&gt;0,F52/E52,0)</f>
        <v/>
      </c>
    </row>
    <row r="53">
      <c r="B53" s="60">
        <f>IF('[10]سجل المستخلصات'!$B$38="","",'[10]سجل المستخلصات'!$B$38)</f>
        <v/>
      </c>
      <c r="C53" s="60" t="n"/>
      <c r="D53" s="60" t="n"/>
      <c r="E53" s="51">
        <f>N('[10]سجل المستخلصات'!$E$38)</f>
        <v/>
      </c>
      <c r="F53" s="51">
        <f>N('[10]سجل المستخلصات'!$F$38)</f>
        <v/>
      </c>
      <c r="G53" s="61">
        <f>IF(E53&gt;0,F53/E53,0)</f>
        <v/>
      </c>
    </row>
    <row r="54">
      <c r="B54" s="60">
        <f>IF('[10]سجل المستخلصات'!$B$39="","",'[10]سجل المستخلصات'!$B$39)</f>
        <v/>
      </c>
      <c r="C54" s="60" t="n"/>
      <c r="D54" s="60" t="n"/>
      <c r="E54" s="51">
        <f>N('[10]سجل المستخلصات'!$E$39)</f>
        <v/>
      </c>
      <c r="F54" s="51">
        <f>N('[10]سجل المستخلصات'!$F$39)</f>
        <v/>
      </c>
      <c r="G54" s="61">
        <f>IF(E54&gt;0,F54/E54,0)</f>
        <v/>
      </c>
    </row>
    <row r="55">
      <c r="B55" s="60">
        <f>IF('[10]سجل المستخلصات'!$B$40="","",'[10]سجل المستخلصات'!$B$40)</f>
        <v/>
      </c>
      <c r="C55" s="60" t="n"/>
      <c r="D55" s="60" t="n"/>
      <c r="E55" s="51">
        <f>N('[10]سجل المستخلصات'!$E$40)</f>
        <v/>
      </c>
      <c r="F55" s="51">
        <f>N('[10]سجل المستخلصات'!$F$40)</f>
        <v/>
      </c>
      <c r="G55" s="61">
        <f>IF(E55&gt;0,F55/E55,0)</f>
        <v/>
      </c>
    </row>
    <row r="56">
      <c r="B56" s="60">
        <f>IF('[10]سجل المستخلصات'!$B$41="","",'[10]سجل المستخلصات'!$B$41)</f>
        <v/>
      </c>
      <c r="C56" s="60" t="n"/>
      <c r="D56" s="60" t="n"/>
      <c r="E56" s="51">
        <f>N('[10]سجل المستخلصات'!$E$41)</f>
        <v/>
      </c>
      <c r="F56" s="51">
        <f>N('[10]سجل المستخلصات'!$F$41)</f>
        <v/>
      </c>
      <c r="G56" s="61">
        <f>IF(E56&gt;0,F56/E56,0)</f>
        <v/>
      </c>
    </row>
    <row r="57">
      <c r="B57" s="60">
        <f>IF('[10]سجل المستخلصات'!$B$42="","",'[10]سجل المستخلصات'!$B$42)</f>
        <v/>
      </c>
      <c r="C57" s="60" t="n"/>
      <c r="D57" s="60" t="n"/>
      <c r="E57" s="51">
        <f>N('[10]سجل المستخلصات'!$E$42)</f>
        <v/>
      </c>
      <c r="F57" s="51">
        <f>N('[10]سجل المستخلصات'!$F$42)</f>
        <v/>
      </c>
      <c r="G57" s="61">
        <f>IF(E57&gt;0,F57/E57,0)</f>
        <v/>
      </c>
    </row>
    <row r="58">
      <c r="B58" s="60">
        <f>IF('[10]سجل المستخلصات'!$B$43="","",'[10]سجل المستخلصات'!$B$43)</f>
        <v/>
      </c>
      <c r="C58" s="60" t="n"/>
      <c r="D58" s="60" t="n"/>
      <c r="E58" s="51">
        <f>N('[10]سجل المستخلصات'!$E$43)</f>
        <v/>
      </c>
      <c r="F58" s="51">
        <f>N('[10]سجل المستخلصات'!$F$43)</f>
        <v/>
      </c>
      <c r="G58" s="61">
        <f>IF(E58&gt;0,F58/E58,0)</f>
        <v/>
      </c>
    </row>
  </sheetData>
  <mergeCells count="76">
    <mergeCell ref="R17:U17"/>
    <mergeCell ref="B9:E9"/>
    <mergeCell ref="F9:I9"/>
    <mergeCell ref="B2:Y2"/>
    <mergeCell ref="N9:Q9"/>
    <mergeCell ref="B57:D57"/>
    <mergeCell ref="J12:M12"/>
    <mergeCell ref="B15:E15"/>
    <mergeCell ref="B53:D53"/>
    <mergeCell ref="M5:Q5"/>
    <mergeCell ref="B1:Y1"/>
    <mergeCell ref="S5:Y5"/>
    <mergeCell ref="N15:Q15"/>
    <mergeCell ref="J18:M18"/>
    <mergeCell ref="H5:K5"/>
    <mergeCell ref="F14:I14"/>
    <mergeCell ref="R18:U18"/>
    <mergeCell ref="R9:U9"/>
    <mergeCell ref="V18:Y18"/>
    <mergeCell ref="N3:R3"/>
    <mergeCell ref="R8:U8"/>
    <mergeCell ref="R14:U14"/>
    <mergeCell ref="J17:M17"/>
    <mergeCell ref="J8:M8"/>
    <mergeCell ref="V12:Y12"/>
    <mergeCell ref="F11:I11"/>
    <mergeCell ref="B49:D49"/>
    <mergeCell ref="C6:F6"/>
    <mergeCell ref="N11:Q11"/>
    <mergeCell ref="V17:Y17"/>
    <mergeCell ref="R11:U11"/>
    <mergeCell ref="J14:M14"/>
    <mergeCell ref="C5:F5"/>
    <mergeCell ref="B55:D55"/>
    <mergeCell ref="AA4:AB4"/>
    <mergeCell ref="B51:D51"/>
    <mergeCell ref="V14:Y14"/>
    <mergeCell ref="B18:E18"/>
    <mergeCell ref="V8:Y8"/>
    <mergeCell ref="S3:Y3"/>
    <mergeCell ref="J9:M9"/>
    <mergeCell ref="M6:Q6"/>
    <mergeCell ref="B20:Y20"/>
    <mergeCell ref="B12:E12"/>
    <mergeCell ref="F12:I12"/>
    <mergeCell ref="B45:G45"/>
    <mergeCell ref="H6:K6"/>
    <mergeCell ref="B50:D50"/>
    <mergeCell ref="B11:E11"/>
    <mergeCell ref="N12:Q12"/>
    <mergeCell ref="F15:I15"/>
    <mergeCell ref="R15:U15"/>
    <mergeCell ref="J15:M15"/>
    <mergeCell ref="B47:D47"/>
    <mergeCell ref="B54:D54"/>
    <mergeCell ref="B14:E14"/>
    <mergeCell ref="N18:Q18"/>
    <mergeCell ref="F18:I18"/>
    <mergeCell ref="B17:E17"/>
    <mergeCell ref="B8:E8"/>
    <mergeCell ref="V9:Y9"/>
    <mergeCell ref="N8:Q8"/>
    <mergeCell ref="N14:Q14"/>
    <mergeCell ref="F17:I17"/>
    <mergeCell ref="F8:I8"/>
    <mergeCell ref="R12:U12"/>
    <mergeCell ref="N17:Q17"/>
    <mergeCell ref="B46:D46"/>
    <mergeCell ref="J11:M11"/>
    <mergeCell ref="B56:D56"/>
    <mergeCell ref="B58:D58"/>
    <mergeCell ref="V15:Y15"/>
    <mergeCell ref="B52:D52"/>
    <mergeCell ref="V11:Y11"/>
    <mergeCell ref="B48:D48"/>
    <mergeCell ref="S6:Y6"/>
  </mergeCells>
  <conditionalFormatting sqref="M22:M41">
    <cfRule type="cellIs" priority="1" operator="lessThan" dxfId="0">
      <formula>-0.0001</formula>
    </cfRule>
  </conditionalFormatting>
  <conditionalFormatting sqref="Y22:Y41">
    <cfRule type="expression" priority="2" dxfId="1">
      <formula>ISNUMBER(SEARCH("✔",Y22))</formula>
    </cfRule>
    <cfRule type="expression" priority="3" dxfId="2">
      <formula>ISNUMBER(SEARCH("✖",Y22))</formula>
    </cfRule>
    <cfRule type="expression" priority="4" dxfId="3">
      <formula>ISNUMBER(SEARCH("⚠",Y22))</formula>
    </cfRule>
  </conditionalFormatting>
  <conditionalFormatting sqref="B22:Y41">
    <cfRule type="expression" priority="5" dxfId="4">
      <formula>$B22=$V$9</formula>
    </cfRule>
  </conditionalFormatting>
  <conditionalFormatting sqref="K22:K41">
    <cfRule type="dataBar" priority="6">
      <dataBar>
        <cfvo type="num" val="0"/>
        <cfvo type="num" val="1"/>
        <color rgb="0063BE7B"/>
      </dataBar>
    </cfRule>
  </conditionalFormatting>
  <conditionalFormatting sqref="V12">
    <cfRule type="expression" priority="7" dxfId="0">
      <formula>ISNUMBER(SEARCH("⚠",V12))</formula>
    </cfRule>
  </conditionalFormatting>
  <conditionalFormatting sqref="J12">
    <cfRule type="cellIs" priority="8" operator="lessThan" dxfId="0">
      <formula>0</formula>
    </cfRule>
  </conditionalFormatting>
  <conditionalFormatting sqref="G47:G58">
    <cfRule type="dataBar" priority="9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xmlns:r="http://schemas.openxmlformats.org/officeDocument/2006/relationships" ref="N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2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W24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34" customWidth="1" min="3" max="3"/>
    <col width="13" customWidth="1" min="4" max="4"/>
    <col width="24" customWidth="1" min="5" max="5"/>
    <col width="15" customWidth="1" min="6" max="6"/>
    <col width="13" customWidth="1" min="7" max="7"/>
    <col width="15" customWidth="1" min="8" max="8"/>
    <col width="15" customWidth="1" min="9" max="9"/>
    <col width="9" customWidth="1" min="10" max="10"/>
    <col width="9" customWidth="1" min="11" max="11"/>
    <col width="9" customWidth="1" min="12" max="12"/>
    <col width="7" customWidth="1" min="13" max="13"/>
    <col width="8" customWidth="1" min="14" max="14"/>
    <col width="15" customWidth="1" min="15" max="15"/>
    <col width="15" customWidth="1" min="16" max="16"/>
    <col width="14" customWidth="1" min="17" max="17"/>
    <col width="9" customWidth="1" min="18" max="18"/>
    <col width="13" customWidth="1" min="19" max="19"/>
    <col width="13" customWidth="1" min="20" max="20"/>
    <col width="12" customWidth="1" min="21" max="21"/>
    <col width="11" customWidth="1" min="22" max="22"/>
    <col width="15" customWidth="1" min="23" max="23"/>
    <col width="2" customWidth="1" min="24" max="24"/>
  </cols>
  <sheetData>
    <row r="1" ht="38" customHeight="1">
      <c r="B1" s="1" t="inlineStr">
        <is>
          <t>🏢 الإجمالي العام — ملخص المستخلصات لكل المشاريع (Portfolio Billing Summary)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 ht="26" customHeight="1">
      <c r="B3" s="3" t="inlineStr">
        <is>
          <t>🏠 الإجمالي العام</t>
        </is>
      </c>
      <c r="C3" s="4" t="inlineStr">
        <is>
          <t>مشروع 01</t>
        </is>
      </c>
      <c r="D3" s="4" t="inlineStr">
        <is>
          <t>مشروع 02</t>
        </is>
      </c>
      <c r="E3" s="4" t="inlineStr">
        <is>
          <t>مشروع 03</t>
        </is>
      </c>
      <c r="F3" s="4" t="inlineStr">
        <is>
          <t>مشروع 04</t>
        </is>
      </c>
      <c r="G3" s="4" t="inlineStr">
        <is>
          <t>مشروع 05</t>
        </is>
      </c>
      <c r="H3" s="4" t="inlineStr">
        <is>
          <t>مشروع 06</t>
        </is>
      </c>
      <c r="I3" s="4" t="inlineStr">
        <is>
          <t>مشروع 07</t>
        </is>
      </c>
      <c r="J3" s="4" t="inlineStr">
        <is>
          <t>مشروع 08</t>
        </is>
      </c>
      <c r="K3" s="4" t="inlineStr">
        <is>
          <t>مشروع 09</t>
        </is>
      </c>
      <c r="L3" s="4" t="inlineStr">
        <is>
          <t>مشروع 10</t>
        </is>
      </c>
    </row>
    <row r="5" ht="24" customHeight="1">
      <c r="B5" s="17" t="inlineStr">
        <is>
          <t>إجمالي قيمة العقود المعدلة</t>
        </is>
      </c>
      <c r="C5" s="17" t="n"/>
      <c r="D5" s="17" t="n"/>
      <c r="E5" s="19" t="inlineStr">
        <is>
          <t>إجمالي قيمة الأعمال المنفذة</t>
        </is>
      </c>
      <c r="F5" s="19" t="n"/>
      <c r="G5" s="19" t="n"/>
      <c r="H5" s="19" t="inlineStr">
        <is>
          <t>متوسط الإنجاز المرجح</t>
        </is>
      </c>
      <c r="I5" s="19" t="n"/>
      <c r="J5" s="19" t="n"/>
      <c r="K5" s="17" t="inlineStr">
        <is>
          <t>متوسط المخطط المرجح</t>
        </is>
      </c>
      <c r="L5" s="17" t="n"/>
      <c r="M5" s="17" t="n"/>
      <c r="N5" s="21" t="inlineStr">
        <is>
          <t>عدد المشاريع المفعّلة</t>
        </is>
      </c>
      <c r="O5" s="21" t="n"/>
      <c r="P5" s="21" t="n"/>
      <c r="Q5" s="35" t="inlineStr">
        <is>
          <t>مشاريع متأخرة</t>
        </is>
      </c>
      <c r="R5" s="35" t="n"/>
      <c r="S5" s="35" t="n"/>
      <c r="T5" s="20" t="inlineStr">
        <is>
          <t>الأعمال المتبقية</t>
        </is>
      </c>
      <c r="U5" s="20" t="n"/>
      <c r="V5" s="20" t="n"/>
      <c r="W5" s="20" t="n"/>
    </row>
    <row r="6" ht="32" customHeight="1">
      <c r="B6" s="62">
        <f>H24</f>
        <v/>
      </c>
      <c r="C6" s="62" t="n"/>
      <c r="D6" s="62" t="n"/>
      <c r="E6" s="63">
        <f>I24</f>
        <v/>
      </c>
      <c r="F6" s="63" t="n"/>
      <c r="G6" s="63" t="n"/>
      <c r="H6" s="28">
        <f>J24</f>
        <v/>
      </c>
      <c r="I6" s="28" t="n"/>
      <c r="J6" s="28" t="n"/>
      <c r="K6" s="29">
        <f>K24</f>
        <v/>
      </c>
      <c r="L6" s="29" t="n"/>
      <c r="M6" s="29" t="n"/>
      <c r="N6" s="64">
        <f>COUNTIF(W14:W23,"&lt;&gt;غير مُفعّل")</f>
        <v/>
      </c>
      <c r="O6" s="64" t="n"/>
      <c r="P6" s="64" t="n"/>
      <c r="Q6" s="65">
        <f>COUNTIF(W14:W23,"*متأخر*")</f>
        <v/>
      </c>
      <c r="R6" s="65" t="n"/>
      <c r="S6" s="65" t="n"/>
      <c r="T6" s="66">
        <f>MAX(0,H24-SUMPRODUCT(H14:H23,J14:J23))</f>
        <v/>
      </c>
      <c r="U6" s="66" t="n"/>
      <c r="V6" s="66" t="n"/>
      <c r="W6" s="66" t="n"/>
    </row>
    <row r="8" ht="24" customHeight="1">
      <c r="B8" s="17" t="inlineStr">
        <is>
          <t>صافي المستحق التراكمي</t>
        </is>
      </c>
      <c r="C8" s="17" t="n"/>
      <c r="D8" s="17" t="n"/>
      <c r="E8" s="34" t="inlineStr">
        <is>
          <t>إجمالي المحصل</t>
        </is>
      </c>
      <c r="F8" s="34" t="n"/>
      <c r="G8" s="34" t="n"/>
      <c r="H8" s="35" t="inlineStr">
        <is>
          <t>إجمالي غير المحصل</t>
        </is>
      </c>
      <c r="I8" s="35" t="n"/>
      <c r="J8" s="35" t="n"/>
      <c r="K8" s="34" t="inlineStr">
        <is>
          <t>نسبة التحصيل</t>
        </is>
      </c>
      <c r="L8" s="34" t="n"/>
      <c r="M8" s="34" t="n"/>
      <c r="N8" s="43" t="inlineStr">
        <is>
          <t>ضمان الأعمال المحتجز</t>
        </is>
      </c>
      <c r="O8" s="43" t="n"/>
      <c r="P8" s="43" t="n"/>
      <c r="Q8" s="43" t="inlineStr">
        <is>
          <t>أرصدة الدفعات المقدمة</t>
        </is>
      </c>
      <c r="R8" s="43" t="n"/>
      <c r="S8" s="43" t="n"/>
      <c r="T8" s="43" t="inlineStr">
        <is>
          <t>الاستقطاعات الفنية + الغرامات</t>
        </is>
      </c>
      <c r="U8" s="43" t="n"/>
      <c r="V8" s="43" t="n"/>
      <c r="W8" s="43" t="n"/>
    </row>
    <row r="9" ht="32" customHeight="1">
      <c r="B9" s="62">
        <f>O24</f>
        <v/>
      </c>
      <c r="C9" s="62" t="n"/>
      <c r="D9" s="62" t="n"/>
      <c r="E9" s="67">
        <f>P24</f>
        <v/>
      </c>
      <c r="F9" s="67" t="n"/>
      <c r="G9" s="67" t="n"/>
      <c r="H9" s="68">
        <f>Q24</f>
        <v/>
      </c>
      <c r="I9" s="68" t="n"/>
      <c r="J9" s="68" t="n"/>
      <c r="K9" s="39">
        <f>R24</f>
        <v/>
      </c>
      <c r="L9" s="39" t="n"/>
      <c r="M9" s="39" t="n"/>
      <c r="N9" s="69">
        <f>S24</f>
        <v/>
      </c>
      <c r="O9" s="69" t="n"/>
      <c r="P9" s="69" t="n"/>
      <c r="Q9" s="69">
        <f>T24</f>
        <v/>
      </c>
      <c r="R9" s="69" t="n"/>
      <c r="S9" s="69" t="n"/>
      <c r="T9" s="69">
        <f>U24+V24</f>
        <v/>
      </c>
      <c r="U9" s="69" t="n"/>
      <c r="V9" s="69" t="n"/>
      <c r="W9" s="69" t="n"/>
    </row>
    <row r="12">
      <c r="B12" s="46" t="inlineStr">
        <is>
          <t>ملخص المشاريع (اضغط على اسم المشروع للانتقال إلى تقريره)</t>
        </is>
      </c>
      <c r="C12" s="46" t="n"/>
      <c r="D12" s="46" t="n"/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</row>
    <row r="13" ht="44" customHeight="1">
      <c r="B13" s="47" t="inlineStr">
        <is>
          <t>م</t>
        </is>
      </c>
      <c r="C13" s="47" t="inlineStr">
        <is>
          <t>المشروع</t>
        </is>
      </c>
      <c r="D13" s="47" t="inlineStr">
        <is>
          <t>رقم العقد</t>
        </is>
      </c>
      <c r="E13" s="47" t="inlineStr">
        <is>
          <t>صاحب العمل</t>
        </is>
      </c>
      <c r="F13" s="47" t="inlineStr">
        <is>
          <t>قيمة العقد الأصلية</t>
        </is>
      </c>
      <c r="G13" s="47" t="inlineStr">
        <is>
          <t>صافي التغييرية</t>
        </is>
      </c>
      <c r="H13" s="47" t="inlineStr">
        <is>
          <t>قيمة العقد المعدلة</t>
        </is>
      </c>
      <c r="I13" s="47" t="inlineStr">
        <is>
          <t>إجمالي قيمة الأعمال</t>
        </is>
      </c>
      <c r="J13" s="47" t="inlineStr">
        <is>
          <t>الإنجاز الفعلي</t>
        </is>
      </c>
      <c r="K13" s="47" t="inlineStr">
        <is>
          <t>الإنجاز المخطط</t>
        </is>
      </c>
      <c r="L13" s="47" t="inlineStr">
        <is>
          <t>الانحراف</t>
        </is>
      </c>
      <c r="M13" s="47" t="inlineStr">
        <is>
          <t>SPI</t>
        </is>
      </c>
      <c r="N13" s="47" t="inlineStr">
        <is>
          <t>آخر مستخلص</t>
        </is>
      </c>
      <c r="O13" s="47" t="inlineStr">
        <is>
          <t>صافي المستحق التراكمي</t>
        </is>
      </c>
      <c r="P13" s="47" t="inlineStr">
        <is>
          <t>المحصل</t>
        </is>
      </c>
      <c r="Q13" s="47" t="inlineStr">
        <is>
          <t>غير المحصل</t>
        </is>
      </c>
      <c r="R13" s="47" t="inlineStr">
        <is>
          <t>نسبة التحصيل</t>
        </is>
      </c>
      <c r="S13" s="47" t="inlineStr">
        <is>
          <t>الضمان المحتجز</t>
        </is>
      </c>
      <c r="T13" s="47" t="inlineStr">
        <is>
          <t>رصيد الدفعة المقدمة</t>
        </is>
      </c>
      <c r="U13" s="47" t="inlineStr">
        <is>
          <t>الاستقطاعات الفنية</t>
        </is>
      </c>
      <c r="V13" s="47" t="inlineStr">
        <is>
          <t>الغرامات</t>
        </is>
      </c>
      <c r="W13" s="47" t="inlineStr">
        <is>
          <t>حالة المشروع</t>
        </is>
      </c>
    </row>
    <row r="14" ht="30" customHeight="1">
      <c r="B14" s="70" t="n">
        <v>1</v>
      </c>
      <c r="C14" s="71">
        <f>IF('مشروع 01'!$C$5="","مشروع رقم 01",'مشروع 01'!$C$5)</f>
        <v/>
      </c>
      <c r="D14" s="72">
        <f>'مشروع 01'!$H$5</f>
        <v/>
      </c>
      <c r="E14" s="7">
        <f>'مشروع 01'!$M$5</f>
        <v/>
      </c>
      <c r="F14" s="73">
        <f>'مشروع 01'!$B$9</f>
        <v/>
      </c>
      <c r="G14" s="73">
        <f>'مشروع 01'!$F$9</f>
        <v/>
      </c>
      <c r="H14" s="73">
        <f>'مشروع 01'!$J$9</f>
        <v/>
      </c>
      <c r="I14" s="73">
        <f>'مشروع 01'!$N$9</f>
        <v/>
      </c>
      <c r="J14" s="61">
        <f>'مشروع 01'!$B$12</f>
        <v/>
      </c>
      <c r="K14" s="74">
        <f>'مشروع 01'!$F$12</f>
        <v/>
      </c>
      <c r="L14" s="74">
        <f>J14-K14</f>
        <v/>
      </c>
      <c r="M14" s="75">
        <f>'مشروع 01'!$R$12</f>
        <v/>
      </c>
      <c r="N14" s="76">
        <f>'مشروع 01'!$V$9</f>
        <v/>
      </c>
      <c r="O14" s="77">
        <f>'مشروع 01'!$B$15</f>
        <v/>
      </c>
      <c r="P14" s="73">
        <f>'مشروع 01'!$F$15</f>
        <v/>
      </c>
      <c r="Q14" s="73">
        <f>'مشروع 01'!$J$15</f>
        <v/>
      </c>
      <c r="R14" s="74">
        <f>IF(O14&gt;0,P14/O14,0)</f>
        <v/>
      </c>
      <c r="S14" s="73">
        <f>'مشروع 01'!$B$18</f>
        <v/>
      </c>
      <c r="T14" s="73">
        <f>'مشروع 01'!$F$18</f>
        <v/>
      </c>
      <c r="U14" s="73">
        <f>'مشروع 01'!$J$18</f>
        <v/>
      </c>
      <c r="V14" s="73">
        <f>'مشروع 01'!$N$18</f>
        <v/>
      </c>
      <c r="W14" s="72">
        <f>'مشروع 01'!$V$12</f>
        <v/>
      </c>
    </row>
    <row r="15" ht="30" customHeight="1">
      <c r="B15" s="78" t="n">
        <v>2</v>
      </c>
      <c r="C15" s="79">
        <f>IF('مشروع 02'!$C$5="","مشروع رقم 02",'مشروع 02'!$C$5)</f>
        <v/>
      </c>
      <c r="D15" s="80">
        <f>'مشروع 02'!$H$5</f>
        <v/>
      </c>
      <c r="E15" s="81">
        <f>'مشروع 02'!$M$5</f>
        <v/>
      </c>
      <c r="F15" s="82">
        <f>'مشروع 02'!$B$9</f>
        <v/>
      </c>
      <c r="G15" s="82">
        <f>'مشروع 02'!$F$9</f>
        <v/>
      </c>
      <c r="H15" s="82">
        <f>'مشروع 02'!$J$9</f>
        <v/>
      </c>
      <c r="I15" s="82">
        <f>'مشروع 02'!$N$9</f>
        <v/>
      </c>
      <c r="J15" s="83">
        <f>'مشروع 02'!$B$12</f>
        <v/>
      </c>
      <c r="K15" s="84">
        <f>'مشروع 02'!$F$12</f>
        <v/>
      </c>
      <c r="L15" s="84">
        <f>J15-K15</f>
        <v/>
      </c>
      <c r="M15" s="85">
        <f>'مشروع 02'!$R$12</f>
        <v/>
      </c>
      <c r="N15" s="86">
        <f>'مشروع 02'!$V$9</f>
        <v/>
      </c>
      <c r="O15" s="87">
        <f>'مشروع 02'!$B$15</f>
        <v/>
      </c>
      <c r="P15" s="82">
        <f>'مشروع 02'!$F$15</f>
        <v/>
      </c>
      <c r="Q15" s="82">
        <f>'مشروع 02'!$J$15</f>
        <v/>
      </c>
      <c r="R15" s="84">
        <f>IF(O15&gt;0,P15/O15,0)</f>
        <v/>
      </c>
      <c r="S15" s="82">
        <f>'مشروع 02'!$B$18</f>
        <v/>
      </c>
      <c r="T15" s="82">
        <f>'مشروع 02'!$F$18</f>
        <v/>
      </c>
      <c r="U15" s="82">
        <f>'مشروع 02'!$J$18</f>
        <v/>
      </c>
      <c r="V15" s="82">
        <f>'مشروع 02'!$N$18</f>
        <v/>
      </c>
      <c r="W15" s="80">
        <f>'مشروع 02'!$V$12</f>
        <v/>
      </c>
    </row>
    <row r="16" ht="30" customHeight="1">
      <c r="B16" s="70" t="n">
        <v>3</v>
      </c>
      <c r="C16" s="71">
        <f>IF('مشروع 03'!$C$5="","مشروع رقم 03",'مشروع 03'!$C$5)</f>
        <v/>
      </c>
      <c r="D16" s="72">
        <f>'مشروع 03'!$H$5</f>
        <v/>
      </c>
      <c r="E16" s="7">
        <f>'مشروع 03'!$M$5</f>
        <v/>
      </c>
      <c r="F16" s="73">
        <f>'مشروع 03'!$B$9</f>
        <v/>
      </c>
      <c r="G16" s="73">
        <f>'مشروع 03'!$F$9</f>
        <v/>
      </c>
      <c r="H16" s="73">
        <f>'مشروع 03'!$J$9</f>
        <v/>
      </c>
      <c r="I16" s="73">
        <f>'مشروع 03'!$N$9</f>
        <v/>
      </c>
      <c r="J16" s="61">
        <f>'مشروع 03'!$B$12</f>
        <v/>
      </c>
      <c r="K16" s="74">
        <f>'مشروع 03'!$F$12</f>
        <v/>
      </c>
      <c r="L16" s="74">
        <f>J16-K16</f>
        <v/>
      </c>
      <c r="M16" s="75">
        <f>'مشروع 03'!$R$12</f>
        <v/>
      </c>
      <c r="N16" s="76">
        <f>'مشروع 03'!$V$9</f>
        <v/>
      </c>
      <c r="O16" s="77">
        <f>'مشروع 03'!$B$15</f>
        <v/>
      </c>
      <c r="P16" s="73">
        <f>'مشروع 03'!$F$15</f>
        <v/>
      </c>
      <c r="Q16" s="73">
        <f>'مشروع 03'!$J$15</f>
        <v/>
      </c>
      <c r="R16" s="74">
        <f>IF(O16&gt;0,P16/O16,0)</f>
        <v/>
      </c>
      <c r="S16" s="73">
        <f>'مشروع 03'!$B$18</f>
        <v/>
      </c>
      <c r="T16" s="73">
        <f>'مشروع 03'!$F$18</f>
        <v/>
      </c>
      <c r="U16" s="73">
        <f>'مشروع 03'!$J$18</f>
        <v/>
      </c>
      <c r="V16" s="73">
        <f>'مشروع 03'!$N$18</f>
        <v/>
      </c>
      <c r="W16" s="72">
        <f>'مشروع 03'!$V$12</f>
        <v/>
      </c>
    </row>
    <row r="17" ht="30" customHeight="1">
      <c r="B17" s="78" t="n">
        <v>4</v>
      </c>
      <c r="C17" s="79">
        <f>IF('مشروع 04'!$C$5="","مشروع رقم 04",'مشروع 04'!$C$5)</f>
        <v/>
      </c>
      <c r="D17" s="80">
        <f>'مشروع 04'!$H$5</f>
        <v/>
      </c>
      <c r="E17" s="81">
        <f>'مشروع 04'!$M$5</f>
        <v/>
      </c>
      <c r="F17" s="82">
        <f>'مشروع 04'!$B$9</f>
        <v/>
      </c>
      <c r="G17" s="82">
        <f>'مشروع 04'!$F$9</f>
        <v/>
      </c>
      <c r="H17" s="82">
        <f>'مشروع 04'!$J$9</f>
        <v/>
      </c>
      <c r="I17" s="82">
        <f>'مشروع 04'!$N$9</f>
        <v/>
      </c>
      <c r="J17" s="83">
        <f>'مشروع 04'!$B$12</f>
        <v/>
      </c>
      <c r="K17" s="84">
        <f>'مشروع 04'!$F$12</f>
        <v/>
      </c>
      <c r="L17" s="84">
        <f>J17-K17</f>
        <v/>
      </c>
      <c r="M17" s="85">
        <f>'مشروع 04'!$R$12</f>
        <v/>
      </c>
      <c r="N17" s="86">
        <f>'مشروع 04'!$V$9</f>
        <v/>
      </c>
      <c r="O17" s="87">
        <f>'مشروع 04'!$B$15</f>
        <v/>
      </c>
      <c r="P17" s="82">
        <f>'مشروع 04'!$F$15</f>
        <v/>
      </c>
      <c r="Q17" s="82">
        <f>'مشروع 04'!$J$15</f>
        <v/>
      </c>
      <c r="R17" s="84">
        <f>IF(O17&gt;0,P17/O17,0)</f>
        <v/>
      </c>
      <c r="S17" s="82">
        <f>'مشروع 04'!$B$18</f>
        <v/>
      </c>
      <c r="T17" s="82">
        <f>'مشروع 04'!$F$18</f>
        <v/>
      </c>
      <c r="U17" s="82">
        <f>'مشروع 04'!$J$18</f>
        <v/>
      </c>
      <c r="V17" s="82">
        <f>'مشروع 04'!$N$18</f>
        <v/>
      </c>
      <c r="W17" s="80">
        <f>'مشروع 04'!$V$12</f>
        <v/>
      </c>
    </row>
    <row r="18" ht="30" customHeight="1">
      <c r="B18" s="70" t="n">
        <v>5</v>
      </c>
      <c r="C18" s="71">
        <f>IF('مشروع 05'!$C$5="","مشروع رقم 05",'مشروع 05'!$C$5)</f>
        <v/>
      </c>
      <c r="D18" s="72">
        <f>'مشروع 05'!$H$5</f>
        <v/>
      </c>
      <c r="E18" s="7">
        <f>'مشروع 05'!$M$5</f>
        <v/>
      </c>
      <c r="F18" s="73">
        <f>'مشروع 05'!$B$9</f>
        <v/>
      </c>
      <c r="G18" s="73">
        <f>'مشروع 05'!$F$9</f>
        <v/>
      </c>
      <c r="H18" s="73">
        <f>'مشروع 05'!$J$9</f>
        <v/>
      </c>
      <c r="I18" s="73">
        <f>'مشروع 05'!$N$9</f>
        <v/>
      </c>
      <c r="J18" s="61">
        <f>'مشروع 05'!$B$12</f>
        <v/>
      </c>
      <c r="K18" s="74">
        <f>'مشروع 05'!$F$12</f>
        <v/>
      </c>
      <c r="L18" s="74">
        <f>J18-K18</f>
        <v/>
      </c>
      <c r="M18" s="75">
        <f>'مشروع 05'!$R$12</f>
        <v/>
      </c>
      <c r="N18" s="76">
        <f>'مشروع 05'!$V$9</f>
        <v/>
      </c>
      <c r="O18" s="77">
        <f>'مشروع 05'!$B$15</f>
        <v/>
      </c>
      <c r="P18" s="73">
        <f>'مشروع 05'!$F$15</f>
        <v/>
      </c>
      <c r="Q18" s="73">
        <f>'مشروع 05'!$J$15</f>
        <v/>
      </c>
      <c r="R18" s="74">
        <f>IF(O18&gt;0,P18/O18,0)</f>
        <v/>
      </c>
      <c r="S18" s="73">
        <f>'مشروع 05'!$B$18</f>
        <v/>
      </c>
      <c r="T18" s="73">
        <f>'مشروع 05'!$F$18</f>
        <v/>
      </c>
      <c r="U18" s="73">
        <f>'مشروع 05'!$J$18</f>
        <v/>
      </c>
      <c r="V18" s="73">
        <f>'مشروع 05'!$N$18</f>
        <v/>
      </c>
      <c r="W18" s="72">
        <f>'مشروع 05'!$V$12</f>
        <v/>
      </c>
    </row>
    <row r="19" ht="30" customHeight="1">
      <c r="B19" s="78" t="n">
        <v>6</v>
      </c>
      <c r="C19" s="79">
        <f>IF('مشروع 06'!$C$5="","مشروع رقم 06",'مشروع 06'!$C$5)</f>
        <v/>
      </c>
      <c r="D19" s="80">
        <f>'مشروع 06'!$H$5</f>
        <v/>
      </c>
      <c r="E19" s="81">
        <f>'مشروع 06'!$M$5</f>
        <v/>
      </c>
      <c r="F19" s="82">
        <f>'مشروع 06'!$B$9</f>
        <v/>
      </c>
      <c r="G19" s="82">
        <f>'مشروع 06'!$F$9</f>
        <v/>
      </c>
      <c r="H19" s="82">
        <f>'مشروع 06'!$J$9</f>
        <v/>
      </c>
      <c r="I19" s="82">
        <f>'مشروع 06'!$N$9</f>
        <v/>
      </c>
      <c r="J19" s="83">
        <f>'مشروع 06'!$B$12</f>
        <v/>
      </c>
      <c r="K19" s="84">
        <f>'مشروع 06'!$F$12</f>
        <v/>
      </c>
      <c r="L19" s="84">
        <f>J19-K19</f>
        <v/>
      </c>
      <c r="M19" s="85">
        <f>'مشروع 06'!$R$12</f>
        <v/>
      </c>
      <c r="N19" s="86">
        <f>'مشروع 06'!$V$9</f>
        <v/>
      </c>
      <c r="O19" s="87">
        <f>'مشروع 06'!$B$15</f>
        <v/>
      </c>
      <c r="P19" s="82">
        <f>'مشروع 06'!$F$15</f>
        <v/>
      </c>
      <c r="Q19" s="82">
        <f>'مشروع 06'!$J$15</f>
        <v/>
      </c>
      <c r="R19" s="84">
        <f>IF(O19&gt;0,P19/O19,0)</f>
        <v/>
      </c>
      <c r="S19" s="82">
        <f>'مشروع 06'!$B$18</f>
        <v/>
      </c>
      <c r="T19" s="82">
        <f>'مشروع 06'!$F$18</f>
        <v/>
      </c>
      <c r="U19" s="82">
        <f>'مشروع 06'!$J$18</f>
        <v/>
      </c>
      <c r="V19" s="82">
        <f>'مشروع 06'!$N$18</f>
        <v/>
      </c>
      <c r="W19" s="80">
        <f>'مشروع 06'!$V$12</f>
        <v/>
      </c>
    </row>
    <row r="20" ht="30" customHeight="1">
      <c r="B20" s="70" t="n">
        <v>7</v>
      </c>
      <c r="C20" s="71">
        <f>IF('مشروع 07'!$C$5="","مشروع رقم 07",'مشروع 07'!$C$5)</f>
        <v/>
      </c>
      <c r="D20" s="72">
        <f>'مشروع 07'!$H$5</f>
        <v/>
      </c>
      <c r="E20" s="7">
        <f>'مشروع 07'!$M$5</f>
        <v/>
      </c>
      <c r="F20" s="73">
        <f>'مشروع 07'!$B$9</f>
        <v/>
      </c>
      <c r="G20" s="73">
        <f>'مشروع 07'!$F$9</f>
        <v/>
      </c>
      <c r="H20" s="73">
        <f>'مشروع 07'!$J$9</f>
        <v/>
      </c>
      <c r="I20" s="73">
        <f>'مشروع 07'!$N$9</f>
        <v/>
      </c>
      <c r="J20" s="61">
        <f>'مشروع 07'!$B$12</f>
        <v/>
      </c>
      <c r="K20" s="74">
        <f>'مشروع 07'!$F$12</f>
        <v/>
      </c>
      <c r="L20" s="74">
        <f>J20-K20</f>
        <v/>
      </c>
      <c r="M20" s="75">
        <f>'مشروع 07'!$R$12</f>
        <v/>
      </c>
      <c r="N20" s="76">
        <f>'مشروع 07'!$V$9</f>
        <v/>
      </c>
      <c r="O20" s="77">
        <f>'مشروع 07'!$B$15</f>
        <v/>
      </c>
      <c r="P20" s="73">
        <f>'مشروع 07'!$F$15</f>
        <v/>
      </c>
      <c r="Q20" s="73">
        <f>'مشروع 07'!$J$15</f>
        <v/>
      </c>
      <c r="R20" s="74">
        <f>IF(O20&gt;0,P20/O20,0)</f>
        <v/>
      </c>
      <c r="S20" s="73">
        <f>'مشروع 07'!$B$18</f>
        <v/>
      </c>
      <c r="T20" s="73">
        <f>'مشروع 07'!$F$18</f>
        <v/>
      </c>
      <c r="U20" s="73">
        <f>'مشروع 07'!$J$18</f>
        <v/>
      </c>
      <c r="V20" s="73">
        <f>'مشروع 07'!$N$18</f>
        <v/>
      </c>
      <c r="W20" s="72">
        <f>'مشروع 07'!$V$12</f>
        <v/>
      </c>
    </row>
    <row r="21" ht="30" customHeight="1">
      <c r="B21" s="78" t="n">
        <v>8</v>
      </c>
      <c r="C21" s="79">
        <f>IF('مشروع 08'!$C$5="","مشروع رقم 08",'مشروع 08'!$C$5)</f>
        <v/>
      </c>
      <c r="D21" s="80">
        <f>'مشروع 08'!$H$5</f>
        <v/>
      </c>
      <c r="E21" s="81">
        <f>'مشروع 08'!$M$5</f>
        <v/>
      </c>
      <c r="F21" s="82">
        <f>'مشروع 08'!$B$9</f>
        <v/>
      </c>
      <c r="G21" s="82">
        <f>'مشروع 08'!$F$9</f>
        <v/>
      </c>
      <c r="H21" s="82">
        <f>'مشروع 08'!$J$9</f>
        <v/>
      </c>
      <c r="I21" s="82">
        <f>'مشروع 08'!$N$9</f>
        <v/>
      </c>
      <c r="J21" s="83">
        <f>'مشروع 08'!$B$12</f>
        <v/>
      </c>
      <c r="K21" s="84">
        <f>'مشروع 08'!$F$12</f>
        <v/>
      </c>
      <c r="L21" s="84">
        <f>J21-K21</f>
        <v/>
      </c>
      <c r="M21" s="85">
        <f>'مشروع 08'!$R$12</f>
        <v/>
      </c>
      <c r="N21" s="86">
        <f>'مشروع 08'!$V$9</f>
        <v/>
      </c>
      <c r="O21" s="87">
        <f>'مشروع 08'!$B$15</f>
        <v/>
      </c>
      <c r="P21" s="82">
        <f>'مشروع 08'!$F$15</f>
        <v/>
      </c>
      <c r="Q21" s="82">
        <f>'مشروع 08'!$J$15</f>
        <v/>
      </c>
      <c r="R21" s="84">
        <f>IF(O21&gt;0,P21/O21,0)</f>
        <v/>
      </c>
      <c r="S21" s="82">
        <f>'مشروع 08'!$B$18</f>
        <v/>
      </c>
      <c r="T21" s="82">
        <f>'مشروع 08'!$F$18</f>
        <v/>
      </c>
      <c r="U21" s="82">
        <f>'مشروع 08'!$J$18</f>
        <v/>
      </c>
      <c r="V21" s="82">
        <f>'مشروع 08'!$N$18</f>
        <v/>
      </c>
      <c r="W21" s="80">
        <f>'مشروع 08'!$V$12</f>
        <v/>
      </c>
    </row>
    <row r="22" ht="30" customHeight="1">
      <c r="B22" s="70" t="n">
        <v>9</v>
      </c>
      <c r="C22" s="71">
        <f>IF('مشروع 09'!$C$5="","مشروع رقم 09",'مشروع 09'!$C$5)</f>
        <v/>
      </c>
      <c r="D22" s="72">
        <f>'مشروع 09'!$H$5</f>
        <v/>
      </c>
      <c r="E22" s="7">
        <f>'مشروع 09'!$M$5</f>
        <v/>
      </c>
      <c r="F22" s="73">
        <f>'مشروع 09'!$B$9</f>
        <v/>
      </c>
      <c r="G22" s="73">
        <f>'مشروع 09'!$F$9</f>
        <v/>
      </c>
      <c r="H22" s="73">
        <f>'مشروع 09'!$J$9</f>
        <v/>
      </c>
      <c r="I22" s="73">
        <f>'مشروع 09'!$N$9</f>
        <v/>
      </c>
      <c r="J22" s="61">
        <f>'مشروع 09'!$B$12</f>
        <v/>
      </c>
      <c r="K22" s="74">
        <f>'مشروع 09'!$F$12</f>
        <v/>
      </c>
      <c r="L22" s="74">
        <f>J22-K22</f>
        <v/>
      </c>
      <c r="M22" s="75">
        <f>'مشروع 09'!$R$12</f>
        <v/>
      </c>
      <c r="N22" s="76">
        <f>'مشروع 09'!$V$9</f>
        <v/>
      </c>
      <c r="O22" s="77">
        <f>'مشروع 09'!$B$15</f>
        <v/>
      </c>
      <c r="P22" s="73">
        <f>'مشروع 09'!$F$15</f>
        <v/>
      </c>
      <c r="Q22" s="73">
        <f>'مشروع 09'!$J$15</f>
        <v/>
      </c>
      <c r="R22" s="74">
        <f>IF(O22&gt;0,P22/O22,0)</f>
        <v/>
      </c>
      <c r="S22" s="73">
        <f>'مشروع 09'!$B$18</f>
        <v/>
      </c>
      <c r="T22" s="73">
        <f>'مشروع 09'!$F$18</f>
        <v/>
      </c>
      <c r="U22" s="73">
        <f>'مشروع 09'!$J$18</f>
        <v/>
      </c>
      <c r="V22" s="73">
        <f>'مشروع 09'!$N$18</f>
        <v/>
      </c>
      <c r="W22" s="72">
        <f>'مشروع 09'!$V$12</f>
        <v/>
      </c>
    </row>
    <row r="23" ht="30" customHeight="1">
      <c r="B23" s="78" t="n">
        <v>10</v>
      </c>
      <c r="C23" s="79">
        <f>IF('مشروع 10'!$C$5="","مشروع رقم 10",'مشروع 10'!$C$5)</f>
        <v/>
      </c>
      <c r="D23" s="80">
        <f>'مشروع 10'!$H$5</f>
        <v/>
      </c>
      <c r="E23" s="81">
        <f>'مشروع 10'!$M$5</f>
        <v/>
      </c>
      <c r="F23" s="82">
        <f>'مشروع 10'!$B$9</f>
        <v/>
      </c>
      <c r="G23" s="82">
        <f>'مشروع 10'!$F$9</f>
        <v/>
      </c>
      <c r="H23" s="82">
        <f>'مشروع 10'!$J$9</f>
        <v/>
      </c>
      <c r="I23" s="82">
        <f>'مشروع 10'!$N$9</f>
        <v/>
      </c>
      <c r="J23" s="83">
        <f>'مشروع 10'!$B$12</f>
        <v/>
      </c>
      <c r="K23" s="84">
        <f>'مشروع 10'!$F$12</f>
        <v/>
      </c>
      <c r="L23" s="84">
        <f>J23-K23</f>
        <v/>
      </c>
      <c r="M23" s="85">
        <f>'مشروع 10'!$R$12</f>
        <v/>
      </c>
      <c r="N23" s="86">
        <f>'مشروع 10'!$V$9</f>
        <v/>
      </c>
      <c r="O23" s="87">
        <f>'مشروع 10'!$B$15</f>
        <v/>
      </c>
      <c r="P23" s="82">
        <f>'مشروع 10'!$F$15</f>
        <v/>
      </c>
      <c r="Q23" s="82">
        <f>'مشروع 10'!$J$15</f>
        <v/>
      </c>
      <c r="R23" s="84">
        <f>IF(O23&gt;0,P23/O23,0)</f>
        <v/>
      </c>
      <c r="S23" s="82">
        <f>'مشروع 10'!$B$18</f>
        <v/>
      </c>
      <c r="T23" s="82">
        <f>'مشروع 10'!$F$18</f>
        <v/>
      </c>
      <c r="U23" s="82">
        <f>'مشروع 10'!$J$18</f>
        <v/>
      </c>
      <c r="V23" s="82">
        <f>'مشروع 10'!$N$18</f>
        <v/>
      </c>
      <c r="W23" s="80">
        <f>'مشروع 10'!$V$12</f>
        <v/>
      </c>
    </row>
    <row r="24" ht="26" customHeight="1">
      <c r="B24" s="55" t="inlineStr">
        <is>
          <t>الإجمالي</t>
        </is>
      </c>
      <c r="C24" s="55" t="n"/>
      <c r="D24" s="55" t="n"/>
      <c r="E24" s="55" t="n"/>
      <c r="F24" s="88">
        <f>SUM(F14:F23)</f>
        <v/>
      </c>
      <c r="G24" s="88">
        <f>SUM(G14:G23)</f>
        <v/>
      </c>
      <c r="H24" s="88">
        <f>SUM(H14:H23)</f>
        <v/>
      </c>
      <c r="I24" s="88">
        <f>SUM(I14:I23)</f>
        <v/>
      </c>
      <c r="J24" s="58">
        <f>IF(H24&gt;0,SUMPRODUCT(J14:J23,H14:H23)/H24,0)</f>
        <v/>
      </c>
      <c r="K24" s="58">
        <f>IF(H24&gt;0,SUMPRODUCT(K14:K23,H14:H23)/H24,0)</f>
        <v/>
      </c>
      <c r="L24" s="58">
        <f>J24-K24</f>
        <v/>
      </c>
      <c r="M24" s="89">
        <f>IF(K24&gt;0,J24/K24,0)</f>
        <v/>
      </c>
      <c r="N24" s="59" t="n"/>
      <c r="O24" s="88">
        <f>SUM(O14:O23)</f>
        <v/>
      </c>
      <c r="P24" s="88">
        <f>SUM(P14:P23)</f>
        <v/>
      </c>
      <c r="Q24" s="88">
        <f>SUM(Q14:Q23)</f>
        <v/>
      </c>
      <c r="R24" s="58">
        <f>IF(O24&gt;0,P24/O24,0)</f>
        <v/>
      </c>
      <c r="S24" s="88">
        <f>SUM(S14:S23)</f>
        <v/>
      </c>
      <c r="T24" s="88">
        <f>SUM(T14:T23)</f>
        <v/>
      </c>
      <c r="U24" s="88">
        <f>SUM(U14:U23)</f>
        <v/>
      </c>
      <c r="V24" s="88">
        <f>SUM(V14:V23)</f>
        <v/>
      </c>
      <c r="W24" s="55" t="n"/>
    </row>
  </sheetData>
  <mergeCells count="32">
    <mergeCell ref="Q5:S5"/>
    <mergeCell ref="T8:W8"/>
    <mergeCell ref="B8:D8"/>
    <mergeCell ref="N5:P5"/>
    <mergeCell ref="E9:G9"/>
    <mergeCell ref="N8:P8"/>
    <mergeCell ref="B24:E24"/>
    <mergeCell ref="T6:W6"/>
    <mergeCell ref="E6:G6"/>
    <mergeCell ref="Q6:S6"/>
    <mergeCell ref="K8:M8"/>
    <mergeCell ref="Q9:S9"/>
    <mergeCell ref="B9:D9"/>
    <mergeCell ref="N9:P9"/>
    <mergeCell ref="T5:W5"/>
    <mergeCell ref="B6:D6"/>
    <mergeCell ref="N6:P6"/>
    <mergeCell ref="B5:D5"/>
    <mergeCell ref="K6:M6"/>
    <mergeCell ref="H5:J5"/>
    <mergeCell ref="H8:J8"/>
    <mergeCell ref="B12:W12"/>
    <mergeCell ref="B2:W2"/>
    <mergeCell ref="T9:W9"/>
    <mergeCell ref="K9:M9"/>
    <mergeCell ref="E5:G5"/>
    <mergeCell ref="K5:M5"/>
    <mergeCell ref="B1:W1"/>
    <mergeCell ref="E8:G8"/>
    <mergeCell ref="H9:J9"/>
    <mergeCell ref="Q8:S8"/>
    <mergeCell ref="H6:J6"/>
  </mergeCells>
  <conditionalFormatting sqref="L14:L23">
    <cfRule type="cellIs" priority="1" operator="lessThan" dxfId="2">
      <formula>-0.0001</formula>
    </cfRule>
  </conditionalFormatting>
  <conditionalFormatting sqref="J14:J23">
    <cfRule type="dataBar" priority="2">
      <dataBar>
        <cfvo type="num" val="0"/>
        <cfvo type="num" val="1"/>
        <color rgb="0063BE7B"/>
      </dataBar>
    </cfRule>
  </conditionalFormatting>
  <conditionalFormatting sqref="R14:R23">
    <cfRule type="dataBar" priority="3">
      <dataBar>
        <cfvo type="num" val="0"/>
        <cfvo type="num" val="1"/>
        <color rgb="005B9BD5"/>
      </dataBar>
    </cfRule>
  </conditionalFormatting>
  <conditionalFormatting sqref="W14:W23">
    <cfRule type="expression" priority="4" dxfId="2">
      <formula>ISNUMBER(SEARCH("متأخر",W14))</formula>
    </cfRule>
    <cfRule type="expression" priority="5" dxfId="1">
      <formula>ISNUMBER(SEARCH("✔",W14))</formula>
    </cfRule>
  </conditionalFormatting>
  <conditionalFormatting sqref="B14:W23">
    <cfRule type="expression" priority="6" dxfId="5">
      <formula>$W14="غير مُفعّل"</formula>
    </cfRule>
  </conditionalFormatting>
  <hyperlinks>
    <hyperlink ref="B3" location="'الإجمالي العام'!A1" display="🏠 الإجمالي العام"/>
    <hyperlink ref="C3" location="'مشروع 01'!A1" display="مشروع 01"/>
    <hyperlink ref="D3" location="'مشروع 02'!A1" display="مشروع 02"/>
    <hyperlink ref="E3" location="'مشروع 03'!A1" display="مشروع 03"/>
    <hyperlink ref="F3" location="'مشروع 04'!A1" display="مشروع 04"/>
    <hyperlink ref="G3" location="'مشروع 05'!A1" display="مشروع 05"/>
    <hyperlink ref="H3" location="'مشروع 06'!A1" display="مشروع 06"/>
    <hyperlink ref="I3" location="'مشروع 07'!A1" display="مشروع 07"/>
    <hyperlink ref="J3" location="'مشروع 08'!A1" display="مشروع 08"/>
    <hyperlink ref="K3" location="'مشروع 09'!A1" display="مشروع 09"/>
    <hyperlink ref="L3" location="'مشروع 10'!A1" display="مشروع 10"/>
    <hyperlink ref="C14" location="'مشروع 01'!A1" display="مشروع 01"/>
    <hyperlink ref="C15" location="'مشروع 02'!A1" display="مشروع 02"/>
    <hyperlink ref="C16" location="'مشروع 03'!A1" display="مشروع 03"/>
    <hyperlink ref="C17" location="'مشروع 04'!A1" display="مشروع 04"/>
    <hyperlink ref="C18" location="'مشروع 05'!A1" display="مشروع 05"/>
    <hyperlink ref="C19" location="'مشروع 06'!A1" display="مشروع 06"/>
    <hyperlink ref="C20" location="'مشروع 07'!A1" display="مشروع 07"/>
    <hyperlink ref="C21" location="'مشروع 08'!A1" display="مشروع 08"/>
    <hyperlink ref="C22" location="'مشروع 09'!A1" display="مشروع 09"/>
    <hyperlink ref="C23" location="'مشروع 10'!A1" display="مشروع 1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2026-10-01T20:15:13Z</dcterms:created>
  <dcterms:modified xsi:type="dcterms:W3CDTF">2026-10-01T20:15:14Z</dcterms:modified>
</cp:coreProperties>
</file>