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worksheets/sheet40.xml" ContentType="application/vnd.openxmlformats-officedocument.spreadsheetml.worksheet+xml"/>
  <Override PartName="/xl/drawings/drawing39.xml" ContentType="application/vnd.openxmlformats-officedocument.drawing+xml"/>
  <Override PartName="/xl/worksheets/sheet41.xml" ContentType="application/vnd.openxmlformats-officedocument.spreadsheetml.worksheet+xml"/>
  <Override PartName="/xl/drawings/drawing40.xml" ContentType="application/vnd.openxmlformats-officedocument.drawing+xml"/>
  <Override PartName="/xl/worksheets/sheet42.xml" ContentType="application/vnd.openxmlformats-officedocument.spreadsheetml.worksheet+xml"/>
  <Override PartName="/xl/drawings/drawing41.xml" ContentType="application/vnd.openxmlformats-officedocument.drawing+xml"/>
  <Override PartName="/xl/worksheets/sheet43.xml" ContentType="application/vnd.openxmlformats-officedocument.spreadsheetml.worksheet+xml"/>
  <Override PartName="/xl/drawings/drawing42.xml" ContentType="application/vnd.openxmlformats-officedocument.drawing+xml"/>
  <Override PartName="/xl/worksheets/sheet44.xml" ContentType="application/vnd.openxmlformats-officedocument.spreadsheetml.worksheet+xml"/>
  <Override PartName="/xl/drawings/drawing43.xml" ContentType="application/vnd.openxmlformats-officedocument.drawing+xml"/>
  <Override PartName="/xl/worksheets/sheet45.xml" ContentType="application/vnd.openxmlformats-officedocument.spreadsheetml.worksheet+xml"/>
  <Override PartName="/xl/drawings/drawing44.xml" ContentType="application/vnd.openxmlformats-officedocument.drawing+xml"/>
  <Override PartName="/xl/worksheets/sheet46.xml" ContentType="application/vnd.openxmlformats-officedocument.spreadsheetml.worksheet+xml"/>
  <Override PartName="/xl/drawings/drawing45.xml" ContentType="application/vnd.openxmlformats-officedocument.drawing+xml"/>
  <Override PartName="/xl/worksheets/sheet47.xml" ContentType="application/vnd.openxmlformats-officedocument.spreadsheetml.worksheet+xml"/>
  <Override PartName="/xl/drawings/drawing46.xml" ContentType="application/vnd.openxmlformats-officedocument.drawing+xml"/>
  <Override PartName="/xl/worksheets/sheet48.xml" ContentType="application/vnd.openxmlformats-officedocument.spreadsheetml.worksheet+xml"/>
  <Override PartName="/xl/drawings/drawing47.xml" ContentType="application/vnd.openxmlformats-officedocument.drawing+xml"/>
  <Override PartName="/xl/worksheets/sheet49.xml" ContentType="application/vnd.openxmlformats-officedocument.spreadsheetml.worksheet+xml"/>
  <Override PartName="/xl/drawings/drawing48.xml" ContentType="application/vnd.openxmlformats-officedocument.drawing+xml"/>
  <Override PartName="/xl/worksheets/sheet50.xml" ContentType="application/vnd.openxmlformats-officedocument.spreadsheetml.worksheet+xml"/>
  <Override PartName="/xl/drawings/drawing49.xml" ContentType="application/vnd.openxmlformats-officedocument.drawing+xml"/>
  <Override PartName="/xl/worksheets/sheet51.xml" ContentType="application/vnd.openxmlformats-officedocument.spreadsheetml.worksheet+xml"/>
  <Override PartName="/xl/drawings/drawing50.xml" ContentType="application/vnd.openxmlformats-officedocument.drawing+xml"/>
  <Override PartName="/xl/worksheets/sheet52.xml" ContentType="application/vnd.openxmlformats-officedocument.spreadsheetml.worksheet+xml"/>
  <Override PartName="/xl/drawings/drawing5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1" autoFilterDateGrouping="1"/>
  </bookViews>
  <sheets>
    <sheet name="التعليمات" sheetId="1" state="visible" r:id="rId1"/>
    <sheet name="مشروع 01" sheetId="2" state="visible" r:id="rId2"/>
    <sheet name="مشروع 02" sheetId="3" state="visible" r:id="rId3"/>
    <sheet name="مشروع 03" sheetId="4" state="visible" r:id="rId4"/>
    <sheet name="مشروع 04" sheetId="5" state="visible" r:id="rId5"/>
    <sheet name="مشروع 05" sheetId="6" state="visible" r:id="rId6"/>
    <sheet name="مشروع 06" sheetId="7" state="visible" r:id="rId7"/>
    <sheet name="مشروع 07" sheetId="8" state="visible" r:id="rId8"/>
    <sheet name="مشروع 08" sheetId="9" state="visible" r:id="rId9"/>
    <sheet name="مشروع 09" sheetId="10" state="visible" r:id="rId10"/>
    <sheet name="مشروع 10" sheetId="11" state="visible" r:id="rId11"/>
    <sheet name="مشروع 11" sheetId="12" state="visible" r:id="rId12"/>
    <sheet name="مشروع 12" sheetId="13" state="visible" r:id="rId13"/>
    <sheet name="مشروع 13" sheetId="14" state="visible" r:id="rId14"/>
    <sheet name="مشروع 14" sheetId="15" state="visible" r:id="rId15"/>
    <sheet name="مشروع 15" sheetId="16" state="visible" r:id="rId16"/>
    <sheet name="مشروع 16" sheetId="17" state="visible" r:id="rId17"/>
    <sheet name="مشروع 17" sheetId="18" state="visible" r:id="rId18"/>
    <sheet name="مشروع 18" sheetId="19" state="visible" r:id="rId19"/>
    <sheet name="مشروع 19" sheetId="20" state="visible" r:id="rId20"/>
    <sheet name="مشروع 20" sheetId="21" state="visible" r:id="rId21"/>
    <sheet name="مشروع 21" sheetId="22" state="visible" r:id="rId22"/>
    <sheet name="مشروع 22" sheetId="23" state="visible" r:id="rId23"/>
    <sheet name="مشروع 23" sheetId="24" state="visible" r:id="rId24"/>
    <sheet name="مشروع 24" sheetId="25" state="visible" r:id="rId25"/>
    <sheet name="مشروع 25" sheetId="26" state="visible" r:id="rId26"/>
    <sheet name="مشروع 26" sheetId="27" state="visible" r:id="rId27"/>
    <sheet name="مشروع 27" sheetId="28" state="visible" r:id="rId28"/>
    <sheet name="مشروع 28" sheetId="29" state="visible" r:id="rId29"/>
    <sheet name="مشروع 29" sheetId="30" state="visible" r:id="rId30"/>
    <sheet name="مشروع 30" sheetId="31" state="visible" r:id="rId31"/>
    <sheet name="مشروع 31" sheetId="32" state="visible" r:id="rId32"/>
    <sheet name="مشروع 32" sheetId="33" state="visible" r:id="rId33"/>
    <sheet name="مشروع 33" sheetId="34" state="visible" r:id="rId34"/>
    <sheet name="مشروع 34" sheetId="35" state="visible" r:id="rId35"/>
    <sheet name="مشروع 35" sheetId="36" state="visible" r:id="rId36"/>
    <sheet name="مشروع 36" sheetId="37" state="visible" r:id="rId37"/>
    <sheet name="مشروع 37" sheetId="38" state="visible" r:id="rId38"/>
    <sheet name="مشروع 38" sheetId="39" state="visible" r:id="rId39"/>
    <sheet name="مشروع 39" sheetId="40" state="visible" r:id="rId40"/>
    <sheet name="مشروع 40" sheetId="41" state="visible" r:id="rId41"/>
    <sheet name="مشروع 41" sheetId="42" state="visible" r:id="rId42"/>
    <sheet name="مشروع 42" sheetId="43" state="visible" r:id="rId43"/>
    <sheet name="مشروع 43" sheetId="44" state="visible" r:id="rId44"/>
    <sheet name="مشروع 44" sheetId="45" state="visible" r:id="rId45"/>
    <sheet name="مشروع 45" sheetId="46" state="visible" r:id="rId46"/>
    <sheet name="مشروع 46" sheetId="47" state="visible" r:id="rId47"/>
    <sheet name="مشروع 47" sheetId="48" state="visible" r:id="rId48"/>
    <sheet name="مشروع 48" sheetId="49" state="visible" r:id="rId49"/>
    <sheet name="مشروع 49" sheetId="50" state="visible" r:id="rId50"/>
    <sheet name="مشروع 50" sheetId="51" state="visible" r:id="rId51"/>
    <sheet name="الإجمالي العام" sheetId="52" state="visible" r:id="rId52"/>
  </sheets>
  <externalReferences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</externalReference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;[Red](#,##0.00);&quot;-&quot;"/>
    <numFmt numFmtId="165" formatCode="0.0%;[Red]-0.0%;&quot;-&quot;"/>
    <numFmt numFmtId="166" formatCode="yyyy/mm/dd"/>
    <numFmt numFmtId="167" formatCode="0;-0;&quot;-&quot;"/>
    <numFmt numFmtId="168" formatCode="&quot;مستخلص &quot;0"/>
    <numFmt numFmtId="169" formatCode="0&quot; يوم&quot;"/>
    <numFmt numFmtId="170" formatCode="#,##0;[Red](#,##0);&quot;-&quot;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5A6772"/>
      <sz val="9"/>
    </font>
    <font>
      <name val="Arial"/>
      <b val="1"/>
      <color rgb="001F2933"/>
      <sz val="9"/>
    </font>
    <font>
      <name val="Arial"/>
      <color rgb="00008000"/>
      <sz val="9"/>
    </font>
    <font>
      <name val="Arial"/>
      <b val="1"/>
      <color rgb="00C62828"/>
      <sz val="9"/>
    </font>
    <font>
      <name val="Arial"/>
      <b val="1"/>
      <color rgb="001F3A5F"/>
      <sz val="10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008000"/>
      <sz val="10"/>
    </font>
    <font>
      <name val="Arial"/>
      <b val="1"/>
      <color rgb="005A6772"/>
      <sz val="9"/>
    </font>
    <font>
      <name val="Arial"/>
      <b val="1"/>
      <color rgb="001F3A5F"/>
      <sz val="14"/>
    </font>
    <font>
      <name val="Arial"/>
      <b val="1"/>
      <color rgb="007B4F9D"/>
      <sz val="14"/>
    </font>
    <font>
      <name val="Arial"/>
      <b val="1"/>
      <color rgb="002E7D7A"/>
      <sz val="14"/>
    </font>
    <font>
      <name val="Arial"/>
      <b val="1"/>
      <color rgb="005A6772"/>
      <sz val="14"/>
    </font>
    <font>
      <name val="Arial"/>
      <b val="1"/>
      <color rgb="009A6B00"/>
      <sz val="14"/>
    </font>
    <font>
      <name val="Arial"/>
      <b val="1"/>
      <color rgb="001F3A5F"/>
      <sz val="12"/>
    </font>
    <font>
      <name val="Arial"/>
      <b val="1"/>
      <color rgb="002E7D32"/>
      <sz val="14"/>
    </font>
    <font>
      <name val="Arial"/>
      <b val="1"/>
      <color rgb="00C62828"/>
      <sz val="14"/>
    </font>
    <font>
      <name val="Arial"/>
      <b val="1"/>
      <color rgb="00C0504D"/>
      <sz val="14"/>
    </font>
    <font>
      <name val="Arial"/>
      <b val="1"/>
      <color rgb="006A1B9A"/>
      <sz val="14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2C5282"/>
      <sz val="10"/>
    </font>
    <font>
      <name val="Arial"/>
      <b val="1"/>
      <color rgb="00006C35"/>
      <sz val="10"/>
    </font>
  </fonts>
  <fills count="11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EEF4F8"/>
        <bgColor rgb="00EEF4F8"/>
      </patternFill>
    </fill>
    <fill>
      <patternFill patternType="solid">
        <fgColor rgb="00C62828"/>
        <bgColor rgb="00C62828"/>
      </patternFill>
    </fill>
    <fill>
      <patternFill patternType="solid">
        <fgColor rgb="00FDECEA"/>
        <bgColor rgb="00FDECEA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  <fill>
      <patternFill patternType="solid">
        <fgColor rgb="00E8F5E9"/>
        <bgColor rgb="00E8F5E9"/>
      </patternFill>
    </fill>
  </fills>
  <borders count="1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 style="thin">
        <color rgb="00C9D3DD"/>
      </left>
      <right style="thin">
        <color rgb="00C9D3DD"/>
      </right>
      <top style="thick">
        <color rgb="001F3A5F"/>
      </top>
    </border>
    <border>
      <left style="thin">
        <color rgb="00C9D3DD"/>
      </left>
      <right style="thin">
        <color rgb="00C9D3DD"/>
      </right>
      <bottom style="thin">
        <color rgb="00C9D3DD"/>
      </bottom>
    </border>
    <border>
      <left style="thin">
        <color rgb="00C9D3DD"/>
      </left>
      <right style="thin">
        <color rgb="00C9D3DD"/>
      </right>
      <top style="thick">
        <color rgb="007B4F9D"/>
      </top>
    </border>
    <border>
      <left style="thin">
        <color rgb="00C9D3DD"/>
      </left>
      <right style="thin">
        <color rgb="00C9D3DD"/>
      </right>
      <top style="thick">
        <color rgb="002E7D7A"/>
      </top>
    </border>
    <border>
      <left style="thin">
        <color rgb="00C9D3DD"/>
      </left>
      <right style="thin">
        <color rgb="00C9D3DD"/>
      </right>
      <top style="thick">
        <color rgb="005A6772"/>
      </top>
    </border>
    <border>
      <left style="thin">
        <color rgb="00C9D3DD"/>
      </left>
      <right style="thin">
        <color rgb="00C9D3DD"/>
      </right>
      <top style="thick">
        <color rgb="009A6B00"/>
      </top>
    </border>
    <border>
      <left style="thin">
        <color rgb="00C9D3DD"/>
      </left>
      <right style="thin">
        <color rgb="00C9D3DD"/>
      </right>
      <top style="thick">
        <color rgb="002E7D32"/>
      </top>
    </border>
    <border>
      <left style="thin">
        <color rgb="00C9D3DD"/>
      </left>
      <right style="thin">
        <color rgb="00C9D3DD"/>
      </right>
      <top style="thick">
        <color rgb="00C62828"/>
      </top>
    </border>
    <border>
      <left style="thin">
        <color rgb="00C9D3DD"/>
      </left>
      <right style="thin">
        <color rgb="00C9D3DD"/>
      </right>
      <top style="thick">
        <color rgb="00C0504D"/>
      </top>
    </border>
    <border>
      <left style="thin">
        <color rgb="00C9D3DD"/>
      </left>
      <right style="thin">
        <color rgb="00C9D3DD"/>
      </right>
      <top style="thick">
        <color rgb="006A1B9A"/>
      </top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10" fillId="3" borderId="0" applyAlignment="1" pivotButton="0" quotePrefix="0" xfId="0">
      <alignment horizontal="right" vertical="center" indent="1" readingOrder="2"/>
    </xf>
    <xf numFmtId="0" fontId="8" fillId="5" borderId="2" applyAlignment="1" pivotButton="0" quotePrefix="0" xfId="0">
      <alignment horizontal="center" vertical="center" wrapText="1" readingOrder="2"/>
    </xf>
    <xf numFmtId="0" fontId="24" fillId="0" borderId="2" applyAlignment="1" pivotButton="0" quotePrefix="0" xfId="0">
      <alignment horizontal="right" vertical="center" wrapText="1" indent="1" readingOrder="2"/>
    </xf>
    <xf numFmtId="0" fontId="3" fillId="4" borderId="2" applyAlignment="1" pivotButton="0" quotePrefix="0" xfId="0">
      <alignment horizontal="center" vertical="center" wrapText="1" readingOrder="2"/>
    </xf>
    <xf numFmtId="0" fontId="10" fillId="9" borderId="0" applyAlignment="1" pivotButton="0" quotePrefix="0" xfId="0">
      <alignment horizontal="right" vertical="center" indent="1" readingOrder="2"/>
    </xf>
    <xf numFmtId="0" fontId="26" fillId="10" borderId="2" applyAlignment="1" pivotButton="0" quotePrefix="0" xfId="0">
      <alignment horizontal="right" vertical="center" indent="1" readingOrder="2"/>
    </xf>
    <xf numFmtId="0" fontId="8" fillId="5" borderId="2" applyAlignment="1" pivotButton="0" quotePrefix="0" xfId="0">
      <alignment horizontal="right" vertical="center" indent="1" readingOrder="2"/>
    </xf>
    <xf numFmtId="0" fontId="3" fillId="3" borderId="0" applyAlignment="1" pivotButton="0" quotePrefix="0" xfId="0">
      <alignment horizontal="center" vertical="center" readingOrder="2"/>
    </xf>
    <xf numFmtId="0" fontId="4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right" vertical="center" indent="1" readingOrder="2"/>
    </xf>
    <xf numFmtId="0" fontId="5" fillId="5" borderId="2" applyAlignment="1" pivotButton="0" quotePrefix="0" xfId="0">
      <alignment horizontal="right" vertical="center" indent="1" readingOrder="2"/>
    </xf>
    <xf numFmtId="164" fontId="6" fillId="0" borderId="2" applyAlignment="1" pivotButton="0" quotePrefix="0" xfId="0">
      <alignment horizontal="center" vertical="center" readingOrder="2"/>
    </xf>
    <xf numFmtId="166" fontId="9" fillId="0" borderId="2" applyAlignment="1" pivotButton="0" quotePrefix="0" xfId="0">
      <alignment horizontal="right" vertical="center" indent="1" readingOrder="2"/>
    </xf>
    <xf numFmtId="0" fontId="12" fillId="8" borderId="3" applyAlignment="1" pivotButton="0" quotePrefix="0" xfId="0">
      <alignment horizontal="center" vertical="center" wrapText="1" readingOrder="2"/>
    </xf>
    <xf numFmtId="0" fontId="12" fillId="8" borderId="5" applyAlignment="1" pivotButton="0" quotePrefix="0" xfId="0">
      <alignment horizontal="center" vertical="center" wrapText="1" readingOrder="2"/>
    </xf>
    <xf numFmtId="0" fontId="12" fillId="8" borderId="6" applyAlignment="1" pivotButton="0" quotePrefix="0" xfId="0">
      <alignment horizontal="center" vertical="center" wrapText="1" readingOrder="2"/>
    </xf>
    <xf numFmtId="0" fontId="12" fillId="8" borderId="7" applyAlignment="1" pivotButton="0" quotePrefix="0" xfId="0">
      <alignment horizontal="center" vertical="center" wrapText="1" readingOrder="2"/>
    </xf>
    <xf numFmtId="0" fontId="12" fillId="8" borderId="8" applyAlignment="1" pivotButton="0" quotePrefix="0" xfId="0">
      <alignment horizontal="center" vertical="center" wrapText="1" readingOrder="2"/>
    </xf>
    <xf numFmtId="165" fontId="6" fillId="0" borderId="2" applyAlignment="1" pivotButton="0" quotePrefix="0" xfId="0">
      <alignment horizontal="center" vertical="center" readingOrder="2"/>
    </xf>
    <xf numFmtId="164" fontId="13" fillId="8" borderId="4" applyAlignment="1" pivotButton="0" quotePrefix="0" xfId="0">
      <alignment horizontal="center" vertical="center" readingOrder="2"/>
    </xf>
    <xf numFmtId="164" fontId="14" fillId="8" borderId="4" applyAlignment="1" pivotButton="0" quotePrefix="0" xfId="0">
      <alignment horizontal="center" vertical="center" readingOrder="2"/>
    </xf>
    <xf numFmtId="164" fontId="15" fillId="8" borderId="4" applyAlignment="1" pivotButton="0" quotePrefix="0" xfId="0">
      <alignment horizontal="center" vertical="center" readingOrder="2"/>
    </xf>
    <xf numFmtId="164" fontId="16" fillId="8" borderId="4" applyAlignment="1" pivotButton="0" quotePrefix="0" xfId="0">
      <alignment horizontal="center" vertical="center" readingOrder="2"/>
    </xf>
    <xf numFmtId="168" fontId="17" fillId="8" borderId="4" applyAlignment="1" pivotButton="0" quotePrefix="0" xfId="0">
      <alignment horizontal="center" vertical="center" readingOrder="2"/>
    </xf>
    <xf numFmtId="165" fontId="15" fillId="8" borderId="4" applyAlignment="1" pivotButton="0" quotePrefix="0" xfId="0">
      <alignment horizontal="center" vertical="center" readingOrder="2"/>
    </xf>
    <xf numFmtId="165" fontId="13" fillId="8" borderId="4" applyAlignment="1" pivotButton="0" quotePrefix="0" xfId="0">
      <alignment horizontal="center" vertical="center" readingOrder="2"/>
    </xf>
    <xf numFmtId="165" fontId="17" fillId="8" borderId="4" applyAlignment="1" pivotButton="0" quotePrefix="0" xfId="0">
      <alignment horizontal="center" vertical="center" readingOrder="2"/>
    </xf>
    <xf numFmtId="165" fontId="16" fillId="8" borderId="4" applyAlignment="1" pivotButton="0" quotePrefix="0" xfId="0">
      <alignment horizontal="center" vertical="center" readingOrder="2"/>
    </xf>
    <xf numFmtId="2" fontId="13" fillId="8" borderId="4" applyAlignment="1" pivotButton="0" quotePrefix="0" xfId="0">
      <alignment horizontal="center" vertical="center" readingOrder="2"/>
    </xf>
    <xf numFmtId="0" fontId="18" fillId="8" borderId="4" applyAlignment="1" pivotButton="0" quotePrefix="0" xfId="0">
      <alignment horizontal="center" vertical="center" readingOrder="2"/>
    </xf>
    <xf numFmtId="0" fontId="12" fillId="8" borderId="9" applyAlignment="1" pivotButton="0" quotePrefix="0" xfId="0">
      <alignment horizontal="center" vertical="center" wrapText="1" readingOrder="2"/>
    </xf>
    <xf numFmtId="0" fontId="12" fillId="8" borderId="10" applyAlignment="1" pivotButton="0" quotePrefix="0" xfId="0">
      <alignment horizontal="center" vertical="center" wrapText="1" readingOrder="2"/>
    </xf>
    <xf numFmtId="166" fontId="6" fillId="0" borderId="2" applyAlignment="1" pivotButton="0" quotePrefix="0" xfId="0">
      <alignment horizontal="center" vertical="center" readingOrder="2"/>
    </xf>
    <xf numFmtId="164" fontId="19" fillId="8" borderId="4" applyAlignment="1" pivotButton="0" quotePrefix="0" xfId="0">
      <alignment horizontal="center" vertical="center" readingOrder="2"/>
    </xf>
    <xf numFmtId="164" fontId="20" fillId="8" borderId="4" applyAlignment="1" pivotButton="0" quotePrefix="0" xfId="0">
      <alignment horizontal="center" vertical="center" readingOrder="2"/>
    </xf>
    <xf numFmtId="165" fontId="19" fillId="8" borderId="4" applyAlignment="1" pivotButton="0" quotePrefix="0" xfId="0">
      <alignment horizontal="center" vertical="center" readingOrder="2"/>
    </xf>
    <xf numFmtId="169" fontId="16" fillId="8" borderId="4" applyAlignment="1" pivotButton="0" quotePrefix="0" xfId="0">
      <alignment horizontal="center" vertical="center" readingOrder="2"/>
    </xf>
    <xf numFmtId="166" fontId="17" fillId="8" borderId="4" applyAlignment="1" pivotButton="0" quotePrefix="0" xfId="0">
      <alignment horizontal="center" vertical="center" readingOrder="2"/>
    </xf>
    <xf numFmtId="1" fontId="6" fillId="0" borderId="2" applyAlignment="1" pivotButton="0" quotePrefix="0" xfId="0">
      <alignment horizontal="center" vertical="center" readingOrder="2"/>
    </xf>
    <xf numFmtId="0" fontId="12" fillId="8" borderId="11" applyAlignment="1" pivotButton="0" quotePrefix="0" xfId="0">
      <alignment horizontal="center" vertical="center" wrapText="1" readingOrder="2"/>
    </xf>
    <xf numFmtId="0" fontId="6" fillId="0" borderId="2" applyAlignment="1" pivotButton="0" quotePrefix="0" xfId="0">
      <alignment horizontal="center" vertical="center" readingOrder="2"/>
    </xf>
    <xf numFmtId="164" fontId="21" fillId="8" borderId="4" applyAlignment="1" pivotButton="0" quotePrefix="0" xfId="0">
      <alignment horizontal="center" vertical="center" readingOrder="2"/>
    </xf>
    <xf numFmtId="1" fontId="13" fillId="8" borderId="4" applyAlignment="1" pivotButton="0" quotePrefix="0" xfId="0">
      <alignment horizontal="center" vertical="center" readingOrder="2"/>
    </xf>
    <xf numFmtId="49" fontId="6" fillId="0" borderId="2" applyAlignment="1" pivotButton="0" quotePrefix="0" xfId="0">
      <alignment horizontal="center" vertical="center" readingOrder="2"/>
    </xf>
    <xf numFmtId="0" fontId="12" fillId="8" borderId="12" applyAlignment="1" pivotButton="0" quotePrefix="0" xfId="0">
      <alignment horizontal="center" vertical="center" wrapText="1" readingOrder="2"/>
    </xf>
    <xf numFmtId="164" fontId="22" fillId="8" borderId="4" applyAlignment="1" pivotButton="0" quotePrefix="0" xfId="0">
      <alignment horizontal="center" vertical="center" readingOrder="2"/>
    </xf>
    <xf numFmtId="165" fontId="22" fillId="8" borderId="4" applyAlignment="1" pivotButton="0" quotePrefix="0" xfId="0">
      <alignment horizontal="center" vertical="center" readingOrder="2"/>
    </xf>
    <xf numFmtId="2" fontId="22" fillId="8" borderId="4" applyAlignment="1" pivotButton="0" quotePrefix="0" xfId="0">
      <alignment horizontal="center" vertical="center" readingOrder="2"/>
    </xf>
    <xf numFmtId="0" fontId="10" fillId="4" borderId="0" applyAlignment="1" pivotButton="0" quotePrefix="0" xfId="0">
      <alignment horizontal="right" vertical="center" indent="1" readingOrder="2"/>
    </xf>
    <xf numFmtId="0" fontId="3" fillId="2" borderId="2" applyAlignment="1" pivotButton="0" quotePrefix="0" xfId="0">
      <alignment horizontal="center" vertical="center" wrapText="1" readingOrder="2"/>
    </xf>
    <xf numFmtId="0" fontId="3" fillId="6" borderId="0" applyAlignment="1" pivotButton="0" quotePrefix="0" xfId="0">
      <alignment horizontal="center" vertical="center" readingOrder="2"/>
    </xf>
    <xf numFmtId="1" fontId="8" fillId="5" borderId="2" applyAlignment="1" pivotButton="0" quotePrefix="0" xfId="0">
      <alignment horizontal="center" vertical="center" readingOrder="2"/>
    </xf>
    <xf numFmtId="166" fontId="11" fillId="0" borderId="2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center" vertical="center" readingOrder="2"/>
    </xf>
    <xf numFmtId="164" fontId="11" fillId="0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4" fontId="9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0" fontId="7" fillId="7" borderId="2" applyAlignment="1" pivotButton="0" quotePrefix="0" xfId="0">
      <alignment horizontal="right" vertical="top" wrapText="1" indent="1" readingOrder="2"/>
    </xf>
    <xf numFmtId="0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7" fontId="3" fillId="2" borderId="2" applyAlignment="1" pivotButton="0" quotePrefix="0" xfId="0">
      <alignment horizontal="center" vertical="center" readingOrder="2"/>
    </xf>
    <xf numFmtId="0" fontId="9" fillId="5" borderId="2" applyAlignment="1" pivotButton="0" quotePrefix="0" xfId="0">
      <alignment horizontal="right" vertical="center" indent="1" readingOrder="2"/>
    </xf>
    <xf numFmtId="165" fontId="23" fillId="0" borderId="2" applyAlignment="1" pivotButton="0" quotePrefix="0" xfId="0">
      <alignment horizontal="center" vertical="center" readingOrder="2"/>
    </xf>
    <xf numFmtId="170" fontId="13" fillId="8" borderId="4" applyAlignment="1" pivotButton="0" quotePrefix="0" xfId="0">
      <alignment horizontal="center" vertical="center" readingOrder="2"/>
    </xf>
    <xf numFmtId="170" fontId="15" fillId="8" borderId="4" applyAlignment="1" pivotButton="0" quotePrefix="0" xfId="0">
      <alignment horizontal="center" vertical="center" readingOrder="2"/>
    </xf>
    <xf numFmtId="1" fontId="17" fillId="8" borderId="4" applyAlignment="1" pivotButton="0" quotePrefix="0" xfId="0">
      <alignment horizontal="center" vertical="center" readingOrder="2"/>
    </xf>
    <xf numFmtId="1" fontId="20" fillId="8" borderId="4" applyAlignment="1" pivotButton="0" quotePrefix="0" xfId="0">
      <alignment horizontal="center" vertical="center" readingOrder="2"/>
    </xf>
    <xf numFmtId="170" fontId="16" fillId="8" borderId="4" applyAlignment="1" pivotButton="0" quotePrefix="0" xfId="0">
      <alignment horizontal="center" vertical="center" readingOrder="2"/>
    </xf>
    <xf numFmtId="170" fontId="19" fillId="8" borderId="4" applyAlignment="1" pivotButton="0" quotePrefix="0" xfId="0">
      <alignment horizontal="center" vertical="center" readingOrder="2"/>
    </xf>
    <xf numFmtId="170" fontId="20" fillId="8" borderId="4" applyAlignment="1" pivotButton="0" quotePrefix="0" xfId="0">
      <alignment horizontal="center" vertical="center" readingOrder="2"/>
    </xf>
    <xf numFmtId="170" fontId="21" fillId="8" borderId="4" applyAlignment="1" pivotButton="0" quotePrefix="0" xfId="0">
      <alignment horizontal="center" vertical="center" readingOrder="2"/>
    </xf>
    <xf numFmtId="170" fontId="22" fillId="8" borderId="4" applyAlignment="1" pivotButton="0" quotePrefix="0" xfId="0">
      <alignment horizontal="center" vertical="center" readingOrder="2"/>
    </xf>
    <xf numFmtId="1" fontId="24" fillId="0" borderId="2" applyAlignment="1" pivotButton="0" quotePrefix="0" xfId="0">
      <alignment horizontal="center" vertical="center" readingOrder="2"/>
    </xf>
    <xf numFmtId="0" fontId="25" fillId="0" borderId="2" applyAlignment="1" pivotButton="0" quotePrefix="0" xfId="0">
      <alignment horizontal="right" vertical="center" wrapText="1" indent="1" readingOrder="2"/>
    </xf>
    <xf numFmtId="0" fontId="24" fillId="0" borderId="2" applyAlignment="1" pivotButton="0" quotePrefix="0" xfId="0">
      <alignment horizontal="center" vertical="center" readingOrder="2"/>
    </xf>
    <xf numFmtId="170" fontId="24" fillId="0" borderId="2" applyAlignment="1" pivotButton="0" quotePrefix="0" xfId="0">
      <alignment horizontal="center" vertical="center" readingOrder="2"/>
    </xf>
    <xf numFmtId="165" fontId="24" fillId="0" borderId="2" applyAlignment="1" pivotButton="0" quotePrefix="0" xfId="0">
      <alignment horizontal="center" vertical="center" readingOrder="2"/>
    </xf>
    <xf numFmtId="2" fontId="24" fillId="0" borderId="2" applyAlignment="1" pivotButton="0" quotePrefix="0" xfId="0">
      <alignment horizontal="center" vertical="center" readingOrder="2"/>
    </xf>
    <xf numFmtId="167" fontId="24" fillId="0" borderId="2" applyAlignment="1" pivotButton="0" quotePrefix="0" xfId="0">
      <alignment horizontal="center" vertical="center" readingOrder="2"/>
    </xf>
    <xf numFmtId="170" fontId="23" fillId="0" borderId="2" applyAlignment="1" pivotButton="0" quotePrefix="0" xfId="0">
      <alignment horizontal="center" vertical="center" readingOrder="2"/>
    </xf>
    <xf numFmtId="1" fontId="24" fillId="5" borderId="2" applyAlignment="1" pivotButton="0" quotePrefix="0" xfId="0">
      <alignment horizontal="center" vertical="center" readingOrder="2"/>
    </xf>
    <xf numFmtId="0" fontId="25" fillId="5" borderId="2" applyAlignment="1" pivotButton="0" quotePrefix="0" xfId="0">
      <alignment horizontal="right" vertical="center" wrapText="1" indent="1" readingOrder="2"/>
    </xf>
    <xf numFmtId="0" fontId="24" fillId="5" borderId="2" applyAlignment="1" pivotButton="0" quotePrefix="0" xfId="0">
      <alignment horizontal="center" vertical="center" readingOrder="2"/>
    </xf>
    <xf numFmtId="0" fontId="24" fillId="5" borderId="2" applyAlignment="1" pivotButton="0" quotePrefix="0" xfId="0">
      <alignment horizontal="right" vertical="center" wrapText="1" indent="1" readingOrder="2"/>
    </xf>
    <xf numFmtId="170" fontId="24" fillId="5" borderId="2" applyAlignment="1" pivotButton="0" quotePrefix="0" xfId="0">
      <alignment horizontal="center" vertical="center" readingOrder="2"/>
    </xf>
    <xf numFmtId="165" fontId="23" fillId="5" borderId="2" applyAlignment="1" pivotButton="0" quotePrefix="0" xfId="0">
      <alignment horizontal="center" vertical="center" readingOrder="2"/>
    </xf>
    <xf numFmtId="165" fontId="24" fillId="5" borderId="2" applyAlignment="1" pivotButton="0" quotePrefix="0" xfId="0">
      <alignment horizontal="center" vertical="center" readingOrder="2"/>
    </xf>
    <xf numFmtId="2" fontId="24" fillId="5" borderId="2" applyAlignment="1" pivotButton="0" quotePrefix="0" xfId="0">
      <alignment horizontal="center" vertical="center" readingOrder="2"/>
    </xf>
    <xf numFmtId="167" fontId="24" fillId="5" borderId="2" applyAlignment="1" pivotButton="0" quotePrefix="0" xfId="0">
      <alignment horizontal="center" vertical="center" readingOrder="2"/>
    </xf>
    <xf numFmtId="170" fontId="23" fillId="5" borderId="2" applyAlignment="1" pivotButton="0" quotePrefix="0" xfId="0">
      <alignment horizontal="center" vertical="center" readingOrder="2"/>
    </xf>
    <xf numFmtId="170" fontId="3" fillId="2" borderId="2" applyAlignment="1" pivotButton="0" quotePrefix="0" xfId="0">
      <alignment horizontal="center" vertical="center" readingOrder="2"/>
    </xf>
    <xf numFmtId="2" fontId="3" fillId="2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6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C62828"/>
      </font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color rgb="00A0A0A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externalLink" Target="/xl/externalLinks/externalLink1.xml" Id="rId53" /><Relationship Type="http://schemas.openxmlformats.org/officeDocument/2006/relationships/externalLink" Target="/xl/externalLinks/externalLink2.xml" Id="rId54" /><Relationship Type="http://schemas.openxmlformats.org/officeDocument/2006/relationships/externalLink" Target="/xl/externalLinks/externalLink3.xml" Id="rId55" /><Relationship Type="http://schemas.openxmlformats.org/officeDocument/2006/relationships/externalLink" Target="/xl/externalLinks/externalLink4.xml" Id="rId56" /><Relationship Type="http://schemas.openxmlformats.org/officeDocument/2006/relationships/externalLink" Target="/xl/externalLinks/externalLink5.xml" Id="rId57" /><Relationship Type="http://schemas.openxmlformats.org/officeDocument/2006/relationships/externalLink" Target="/xl/externalLinks/externalLink6.xml" Id="rId58" /><Relationship Type="http://schemas.openxmlformats.org/officeDocument/2006/relationships/externalLink" Target="/xl/externalLinks/externalLink7.xml" Id="rId59" /><Relationship Type="http://schemas.openxmlformats.org/officeDocument/2006/relationships/externalLink" Target="/xl/externalLinks/externalLink8.xml" Id="rId60" /><Relationship Type="http://schemas.openxmlformats.org/officeDocument/2006/relationships/externalLink" Target="/xl/externalLinks/externalLink9.xml" Id="rId61" /><Relationship Type="http://schemas.openxmlformats.org/officeDocument/2006/relationships/externalLink" Target="/xl/externalLinks/externalLink10.xml" Id="rId62" /><Relationship Type="http://schemas.openxmlformats.org/officeDocument/2006/relationships/externalLink" Target="/xl/externalLinks/externalLink11.xml" Id="rId63" /><Relationship Type="http://schemas.openxmlformats.org/officeDocument/2006/relationships/externalLink" Target="/xl/externalLinks/externalLink12.xml" Id="rId64" /><Relationship Type="http://schemas.openxmlformats.org/officeDocument/2006/relationships/externalLink" Target="/xl/externalLinks/externalLink13.xml" Id="rId65" /><Relationship Type="http://schemas.openxmlformats.org/officeDocument/2006/relationships/externalLink" Target="/xl/externalLinks/externalLink14.xml" Id="rId66" /><Relationship Type="http://schemas.openxmlformats.org/officeDocument/2006/relationships/externalLink" Target="/xl/externalLinks/externalLink15.xml" Id="rId67" /><Relationship Type="http://schemas.openxmlformats.org/officeDocument/2006/relationships/externalLink" Target="/xl/externalLinks/externalLink16.xml" Id="rId68" /><Relationship Type="http://schemas.openxmlformats.org/officeDocument/2006/relationships/externalLink" Target="/xl/externalLinks/externalLink17.xml" Id="rId69" /><Relationship Type="http://schemas.openxmlformats.org/officeDocument/2006/relationships/externalLink" Target="/xl/externalLinks/externalLink18.xml" Id="rId70" /><Relationship Type="http://schemas.openxmlformats.org/officeDocument/2006/relationships/externalLink" Target="/xl/externalLinks/externalLink19.xml" Id="rId71" /><Relationship Type="http://schemas.openxmlformats.org/officeDocument/2006/relationships/externalLink" Target="/xl/externalLinks/externalLink20.xml" Id="rId72" /><Relationship Type="http://schemas.openxmlformats.org/officeDocument/2006/relationships/externalLink" Target="/xl/externalLinks/externalLink21.xml" Id="rId73" /><Relationship Type="http://schemas.openxmlformats.org/officeDocument/2006/relationships/externalLink" Target="/xl/externalLinks/externalLink22.xml" Id="rId74" /><Relationship Type="http://schemas.openxmlformats.org/officeDocument/2006/relationships/externalLink" Target="/xl/externalLinks/externalLink23.xml" Id="rId75" /><Relationship Type="http://schemas.openxmlformats.org/officeDocument/2006/relationships/externalLink" Target="/xl/externalLinks/externalLink24.xml" Id="rId76" /><Relationship Type="http://schemas.openxmlformats.org/officeDocument/2006/relationships/externalLink" Target="/xl/externalLinks/externalLink25.xml" Id="rId77" /><Relationship Type="http://schemas.openxmlformats.org/officeDocument/2006/relationships/externalLink" Target="/xl/externalLinks/externalLink26.xml" Id="rId78" /><Relationship Type="http://schemas.openxmlformats.org/officeDocument/2006/relationships/externalLink" Target="/xl/externalLinks/externalLink27.xml" Id="rId79" /><Relationship Type="http://schemas.openxmlformats.org/officeDocument/2006/relationships/externalLink" Target="/xl/externalLinks/externalLink28.xml" Id="rId80" /><Relationship Type="http://schemas.openxmlformats.org/officeDocument/2006/relationships/externalLink" Target="/xl/externalLinks/externalLink29.xml" Id="rId81" /><Relationship Type="http://schemas.openxmlformats.org/officeDocument/2006/relationships/externalLink" Target="/xl/externalLinks/externalLink30.xml" Id="rId82" /><Relationship Type="http://schemas.openxmlformats.org/officeDocument/2006/relationships/externalLink" Target="/xl/externalLinks/externalLink31.xml" Id="rId83" /><Relationship Type="http://schemas.openxmlformats.org/officeDocument/2006/relationships/externalLink" Target="/xl/externalLinks/externalLink32.xml" Id="rId84" /><Relationship Type="http://schemas.openxmlformats.org/officeDocument/2006/relationships/externalLink" Target="/xl/externalLinks/externalLink33.xml" Id="rId85" /><Relationship Type="http://schemas.openxmlformats.org/officeDocument/2006/relationships/externalLink" Target="/xl/externalLinks/externalLink34.xml" Id="rId86" /><Relationship Type="http://schemas.openxmlformats.org/officeDocument/2006/relationships/externalLink" Target="/xl/externalLinks/externalLink35.xml" Id="rId87" /><Relationship Type="http://schemas.openxmlformats.org/officeDocument/2006/relationships/externalLink" Target="/xl/externalLinks/externalLink36.xml" Id="rId88" /><Relationship Type="http://schemas.openxmlformats.org/officeDocument/2006/relationships/externalLink" Target="/xl/externalLinks/externalLink37.xml" Id="rId89" /><Relationship Type="http://schemas.openxmlformats.org/officeDocument/2006/relationships/externalLink" Target="/xl/externalLinks/externalLink38.xml" Id="rId90" /><Relationship Type="http://schemas.openxmlformats.org/officeDocument/2006/relationships/externalLink" Target="/xl/externalLinks/externalLink39.xml" Id="rId91" /><Relationship Type="http://schemas.openxmlformats.org/officeDocument/2006/relationships/externalLink" Target="/xl/externalLinks/externalLink40.xml" Id="rId92" /><Relationship Type="http://schemas.openxmlformats.org/officeDocument/2006/relationships/externalLink" Target="/xl/externalLinks/externalLink41.xml" Id="rId93" /><Relationship Type="http://schemas.openxmlformats.org/officeDocument/2006/relationships/externalLink" Target="/xl/externalLinks/externalLink42.xml" Id="rId94" /><Relationship Type="http://schemas.openxmlformats.org/officeDocument/2006/relationships/externalLink" Target="/xl/externalLinks/externalLink43.xml" Id="rId95" /><Relationship Type="http://schemas.openxmlformats.org/officeDocument/2006/relationships/externalLink" Target="/xl/externalLinks/externalLink44.xml" Id="rId96" /><Relationship Type="http://schemas.openxmlformats.org/officeDocument/2006/relationships/externalLink" Target="/xl/externalLinks/externalLink45.xml" Id="rId97" /><Relationship Type="http://schemas.openxmlformats.org/officeDocument/2006/relationships/externalLink" Target="/xl/externalLinks/externalLink46.xml" Id="rId98" /><Relationship Type="http://schemas.openxmlformats.org/officeDocument/2006/relationships/externalLink" Target="/xl/externalLinks/externalLink47.xml" Id="rId99" /><Relationship Type="http://schemas.openxmlformats.org/officeDocument/2006/relationships/externalLink" Target="/xl/externalLinks/externalLink48.xml" Id="rId100" /><Relationship Type="http://schemas.openxmlformats.org/officeDocument/2006/relationships/externalLink" Target="/xl/externalLinks/externalLink49.xml" Id="rId101" /><Relationship Type="http://schemas.openxmlformats.org/officeDocument/2006/relationships/externalLink" Target="/xl/externalLinks/externalLink50.xml" Id="rId102" /><Relationship Type="http://schemas.openxmlformats.org/officeDocument/2006/relationships/styles" Target="styles.xml" Id="rId103" /><Relationship Type="http://schemas.openxmlformats.org/officeDocument/2006/relationships/theme" Target="theme/theme1.xml" Id="rId10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01'!K24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01'!$B$25:$B$44</f>
            </numRef>
          </cat>
          <val>
            <numRef>
              <f>'مشروع 01'!$K$25:$K$44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01'!L24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01'!$L$25:$L$44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01'!U24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01'!$B$25:$B$44</f>
            </numRef>
          </cat>
          <val>
            <numRef>
              <f>'مشروع 01'!$U$25:$U$44</f>
            </numRef>
          </val>
        </ser>
        <ser>
          <idx val="1"/>
          <order val="1"/>
          <tx>
            <strRef>
              <f>'مشروع 01'!V24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01'!$B$25:$B$44</f>
            </numRef>
          </cat>
          <val>
            <numRef>
              <f>'مشروع 01'!$V$25:$V$44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02'!K24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02'!$B$25:$B$44</f>
            </numRef>
          </cat>
          <val>
            <numRef>
              <f>'مشروع 02'!$K$25:$K$44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02'!L24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02'!$L$25:$L$44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02'!U24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02'!$B$25:$B$44</f>
            </numRef>
          </cat>
          <val>
            <numRef>
              <f>'مشروع 02'!$U$25:$U$44</f>
            </numRef>
          </val>
        </ser>
        <ser>
          <idx val="1"/>
          <order val="1"/>
          <tx>
            <strRef>
              <f>'مشروع 02'!V24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02'!$B$25:$B$44</f>
            </numRef>
          </cat>
          <val>
            <numRef>
              <f>'مشروع 02'!$V$25:$V$44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03'!K24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03'!$B$25:$B$44</f>
            </numRef>
          </cat>
          <val>
            <numRef>
              <f>'مشروع 03'!$K$25:$K$44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03'!L24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03'!$L$25:$L$44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03'!U24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03'!$B$25:$B$44</f>
            </numRef>
          </cat>
          <val>
            <numRef>
              <f>'مشروع 03'!$U$25:$U$44</f>
            </numRef>
          </val>
        </ser>
        <ser>
          <idx val="1"/>
          <order val="1"/>
          <tx>
            <strRef>
              <f>'مشروع 03'!V24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03'!$B$25:$B$44</f>
            </numRef>
          </cat>
          <val>
            <numRef>
              <f>'مشروع 03'!$V$25:$V$44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04'!K24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04'!$B$25:$B$44</f>
            </numRef>
          </cat>
          <val>
            <numRef>
              <f>'مشروع 04'!$K$25:$K$44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04'!L24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04'!$L$25:$L$44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04'!U24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04'!$B$25:$B$44</f>
            </numRef>
          </cat>
          <val>
            <numRef>
              <f>'مشروع 04'!$U$25:$U$44</f>
            </numRef>
          </val>
        </ser>
        <ser>
          <idx val="1"/>
          <order val="1"/>
          <tx>
            <strRef>
              <f>'مشروع 04'!V24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04'!$B$25:$B$44</f>
            </numRef>
          </cat>
          <val>
            <numRef>
              <f>'مشروع 04'!$V$25:$V$44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05'!K24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05'!$B$25:$B$44</f>
            </numRef>
          </cat>
          <val>
            <numRef>
              <f>'مشروع 05'!$K$25:$K$44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05'!L24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05'!$L$25:$L$44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05'!U24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05'!$B$25:$B$44</f>
            </numRef>
          </cat>
          <val>
            <numRef>
              <f>'مشروع 05'!$U$25:$U$44</f>
            </numRef>
          </val>
        </ser>
        <ser>
          <idx val="1"/>
          <order val="1"/>
          <tx>
            <strRef>
              <f>'مشروع 05'!V24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05'!$B$25:$B$44</f>
            </numRef>
          </cat>
          <val>
            <numRef>
              <f>'مشروع 05'!$V$25:$V$44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06'!K24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06'!$B$25:$B$44</f>
            </numRef>
          </cat>
          <val>
            <numRef>
              <f>'مشروع 06'!$K$25:$K$44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06'!L24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06'!$L$25:$L$44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06'!U24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06'!$B$25:$B$44</f>
            </numRef>
          </cat>
          <val>
            <numRef>
              <f>'مشروع 06'!$U$25:$U$44</f>
            </numRef>
          </val>
        </ser>
        <ser>
          <idx val="1"/>
          <order val="1"/>
          <tx>
            <strRef>
              <f>'مشروع 06'!V24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06'!$B$25:$B$44</f>
            </numRef>
          </cat>
          <val>
            <numRef>
              <f>'مشروع 06'!$V$25:$V$44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07'!K24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07'!$B$25:$B$44</f>
            </numRef>
          </cat>
          <val>
            <numRef>
              <f>'مشروع 07'!$K$25:$K$44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07'!L24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07'!$L$25:$L$44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07'!U24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07'!$B$25:$B$44</f>
            </numRef>
          </cat>
          <val>
            <numRef>
              <f>'مشروع 07'!$U$25:$U$44</f>
            </numRef>
          </val>
        </ser>
        <ser>
          <idx val="1"/>
          <order val="1"/>
          <tx>
            <strRef>
              <f>'مشروع 07'!V24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07'!$B$25:$B$44</f>
            </numRef>
          </cat>
          <val>
            <numRef>
              <f>'مشروع 07'!$V$25:$V$44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08'!K24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08'!$B$25:$B$44</f>
            </numRef>
          </cat>
          <val>
            <numRef>
              <f>'مشروع 08'!$K$25:$K$44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08'!L24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08'!$L$25:$L$44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08'!U24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08'!$B$25:$B$44</f>
            </numRef>
          </cat>
          <val>
            <numRef>
              <f>'مشروع 08'!$U$25:$U$44</f>
            </numRef>
          </val>
        </ser>
        <ser>
          <idx val="1"/>
          <order val="1"/>
          <tx>
            <strRef>
              <f>'مشروع 08'!V24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08'!$B$25:$B$44</f>
            </numRef>
          </cat>
          <val>
            <numRef>
              <f>'مشروع 08'!$V$25:$V$44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09'!K24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09'!$B$25:$B$44</f>
            </numRef>
          </cat>
          <val>
            <numRef>
              <f>'مشروع 09'!$K$25:$K$44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09'!L24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09'!$L$25:$L$44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09'!U24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09'!$B$25:$B$44</f>
            </numRef>
          </cat>
          <val>
            <numRef>
              <f>'مشروع 09'!$U$25:$U$44</f>
            </numRef>
          </val>
        </ser>
        <ser>
          <idx val="1"/>
          <order val="1"/>
          <tx>
            <strRef>
              <f>'مشروع 09'!V24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09'!$B$25:$B$44</f>
            </numRef>
          </cat>
          <val>
            <numRef>
              <f>'مشروع 09'!$V$25:$V$44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10'!K24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10'!$B$25:$B$44</f>
            </numRef>
          </cat>
          <val>
            <numRef>
              <f>'مشروع 10'!$K$25:$K$44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10'!L24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10'!$L$25:$L$44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10'!U24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10'!$B$25:$B$44</f>
            </numRef>
          </cat>
          <val>
            <numRef>
              <f>'مشروع 10'!$U$25:$U$44</f>
            </numRef>
          </val>
        </ser>
        <ser>
          <idx val="1"/>
          <order val="1"/>
          <tx>
            <strRef>
              <f>'مشروع 10'!V24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10'!$B$25:$B$44</f>
            </numRef>
          </cat>
          <val>
            <numRef>
              <f>'مشروع 10'!$V$25:$V$44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11'!K24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11'!$B$25:$B$44</f>
            </numRef>
          </cat>
          <val>
            <numRef>
              <f>'مشروع 11'!$K$25:$K$44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11'!L24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11'!$L$25:$L$44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11'!U24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11'!$B$25:$B$44</f>
            </numRef>
          </cat>
          <val>
            <numRef>
              <f>'مشروع 11'!$U$25:$U$44</f>
            </numRef>
          </val>
        </ser>
        <ser>
          <idx val="1"/>
          <order val="1"/>
          <tx>
            <strRef>
              <f>'مشروع 11'!V24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11'!$B$25:$B$44</f>
            </numRef>
          </cat>
          <val>
            <numRef>
              <f>'مشروع 11'!$V$25:$V$44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12'!K24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12'!$B$25:$B$44</f>
            </numRef>
          </cat>
          <val>
            <numRef>
              <f>'مشروع 12'!$K$25:$K$44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12'!L24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12'!$L$25:$L$44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12'!U24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12'!$B$25:$B$44</f>
            </numRef>
          </cat>
          <val>
            <numRef>
              <f>'مشروع 12'!$U$25:$U$44</f>
            </numRef>
          </val>
        </ser>
        <ser>
          <idx val="1"/>
          <order val="1"/>
          <tx>
            <strRef>
              <f>'مشروع 12'!V24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12'!$B$25:$B$44</f>
            </numRef>
          </cat>
          <val>
            <numRef>
              <f>'مشروع 12'!$V$25:$V$44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13'!K24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13'!$B$25:$B$44</f>
            </numRef>
          </cat>
          <val>
            <numRef>
              <f>'مشروع 13'!$K$25:$K$44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13'!L24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13'!$L$25:$L$44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13'!U24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13'!$B$25:$B$44</f>
            </numRef>
          </cat>
          <val>
            <numRef>
              <f>'مشروع 13'!$U$25:$U$44</f>
            </numRef>
          </val>
        </ser>
        <ser>
          <idx val="1"/>
          <order val="1"/>
          <tx>
            <strRef>
              <f>'مشروع 13'!V24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13'!$B$25:$B$44</f>
            </numRef>
          </cat>
          <val>
            <numRef>
              <f>'مشروع 13'!$V$25:$V$44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14'!K24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14'!$B$25:$B$44</f>
            </numRef>
          </cat>
          <val>
            <numRef>
              <f>'مشروع 14'!$K$25:$K$44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14'!L24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14'!$L$25:$L$44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14'!U24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14'!$B$25:$B$44</f>
            </numRef>
          </cat>
          <val>
            <numRef>
              <f>'مشروع 14'!$U$25:$U$44</f>
            </numRef>
          </val>
        </ser>
        <ser>
          <idx val="1"/>
          <order val="1"/>
          <tx>
            <strRef>
              <f>'مشروع 14'!V24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14'!$B$25:$B$44</f>
            </numRef>
          </cat>
          <val>
            <numRef>
              <f>'مشروع 14'!$V$25:$V$44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15'!K24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15'!$B$25:$B$44</f>
            </numRef>
          </cat>
          <val>
            <numRef>
              <f>'مشروع 15'!$K$25:$K$44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15'!L24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15'!$L$25:$L$44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15'!U24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15'!$B$25:$B$44</f>
            </numRef>
          </cat>
          <val>
            <numRef>
              <f>'مشروع 15'!$U$25:$U$44</f>
            </numRef>
          </val>
        </ser>
        <ser>
          <idx val="1"/>
          <order val="1"/>
          <tx>
            <strRef>
              <f>'مشروع 15'!V24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15'!$B$25:$B$44</f>
            </numRef>
          </cat>
          <val>
            <numRef>
              <f>'مشروع 15'!$V$25:$V$44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16'!K24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16'!$B$25:$B$44</f>
            </numRef>
          </cat>
          <val>
            <numRef>
              <f>'مشروع 16'!$K$25:$K$44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16'!L24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16'!$L$25:$L$44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16'!U24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16'!$B$25:$B$44</f>
            </numRef>
          </cat>
          <val>
            <numRef>
              <f>'مشروع 16'!$U$25:$U$44</f>
            </numRef>
          </val>
        </ser>
        <ser>
          <idx val="1"/>
          <order val="1"/>
          <tx>
            <strRef>
              <f>'مشروع 16'!V24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16'!$B$25:$B$44</f>
            </numRef>
          </cat>
          <val>
            <numRef>
              <f>'مشروع 16'!$V$25:$V$44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17'!K24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17'!$B$25:$B$44</f>
            </numRef>
          </cat>
          <val>
            <numRef>
              <f>'مشروع 17'!$K$25:$K$44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17'!L24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17'!$L$25:$L$44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17'!U24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17'!$B$25:$B$44</f>
            </numRef>
          </cat>
          <val>
            <numRef>
              <f>'مشروع 17'!$U$25:$U$44</f>
            </numRef>
          </val>
        </ser>
        <ser>
          <idx val="1"/>
          <order val="1"/>
          <tx>
            <strRef>
              <f>'مشروع 17'!V24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17'!$B$25:$B$44</f>
            </numRef>
          </cat>
          <val>
            <numRef>
              <f>'مشروع 17'!$V$25:$V$44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18'!K24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18'!$B$25:$B$44</f>
            </numRef>
          </cat>
          <val>
            <numRef>
              <f>'مشروع 18'!$K$25:$K$44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18'!L24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18'!$L$25:$L$44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18'!U24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18'!$B$25:$B$44</f>
            </numRef>
          </cat>
          <val>
            <numRef>
              <f>'مشروع 18'!$U$25:$U$44</f>
            </numRef>
          </val>
        </ser>
        <ser>
          <idx val="1"/>
          <order val="1"/>
          <tx>
            <strRef>
              <f>'مشروع 18'!V24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18'!$B$25:$B$44</f>
            </numRef>
          </cat>
          <val>
            <numRef>
              <f>'مشروع 18'!$V$25:$V$44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19'!K24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19'!$B$25:$B$44</f>
            </numRef>
          </cat>
          <val>
            <numRef>
              <f>'مشروع 19'!$K$25:$K$44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19'!L24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19'!$L$25:$L$44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19'!U24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19'!$B$25:$B$44</f>
            </numRef>
          </cat>
          <val>
            <numRef>
              <f>'مشروع 19'!$U$25:$U$44</f>
            </numRef>
          </val>
        </ser>
        <ser>
          <idx val="1"/>
          <order val="1"/>
          <tx>
            <strRef>
              <f>'مشروع 19'!V24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19'!$B$25:$B$44</f>
            </numRef>
          </cat>
          <val>
            <numRef>
              <f>'مشروع 19'!$V$25:$V$44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20'!K24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20'!$B$25:$B$44</f>
            </numRef>
          </cat>
          <val>
            <numRef>
              <f>'مشروع 20'!$K$25:$K$44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20'!L24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20'!$L$25:$L$44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20'!U24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20'!$B$25:$B$44</f>
            </numRef>
          </cat>
          <val>
            <numRef>
              <f>'مشروع 20'!$U$25:$U$44</f>
            </numRef>
          </val>
        </ser>
        <ser>
          <idx val="1"/>
          <order val="1"/>
          <tx>
            <strRef>
              <f>'مشروع 20'!V24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20'!$B$25:$B$44</f>
            </numRef>
          </cat>
          <val>
            <numRef>
              <f>'مشروع 20'!$V$25:$V$44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21'!K24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21'!$B$25:$B$44</f>
            </numRef>
          </cat>
          <val>
            <numRef>
              <f>'مشروع 21'!$K$25:$K$44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21'!L24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21'!$L$25:$L$44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21'!U24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21'!$B$25:$B$44</f>
            </numRef>
          </cat>
          <val>
            <numRef>
              <f>'مشروع 21'!$U$25:$U$44</f>
            </numRef>
          </val>
        </ser>
        <ser>
          <idx val="1"/>
          <order val="1"/>
          <tx>
            <strRef>
              <f>'مشروع 21'!V24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21'!$B$25:$B$44</f>
            </numRef>
          </cat>
          <val>
            <numRef>
              <f>'مشروع 21'!$V$25:$V$44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22'!K24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22'!$B$25:$B$44</f>
            </numRef>
          </cat>
          <val>
            <numRef>
              <f>'مشروع 22'!$K$25:$K$44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22'!L24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22'!$L$25:$L$44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22'!U24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22'!$B$25:$B$44</f>
            </numRef>
          </cat>
          <val>
            <numRef>
              <f>'مشروع 22'!$U$25:$U$44</f>
            </numRef>
          </val>
        </ser>
        <ser>
          <idx val="1"/>
          <order val="1"/>
          <tx>
            <strRef>
              <f>'مشروع 22'!V24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22'!$B$25:$B$44</f>
            </numRef>
          </cat>
          <val>
            <numRef>
              <f>'مشروع 22'!$V$25:$V$44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23'!K24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23'!$B$25:$B$44</f>
            </numRef>
          </cat>
          <val>
            <numRef>
              <f>'مشروع 23'!$K$25:$K$44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23'!L24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23'!$L$25:$L$44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23'!U24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23'!$B$25:$B$44</f>
            </numRef>
          </cat>
          <val>
            <numRef>
              <f>'مشروع 23'!$U$25:$U$44</f>
            </numRef>
          </val>
        </ser>
        <ser>
          <idx val="1"/>
          <order val="1"/>
          <tx>
            <strRef>
              <f>'مشروع 23'!V24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23'!$B$25:$B$44</f>
            </numRef>
          </cat>
          <val>
            <numRef>
              <f>'مشروع 23'!$V$25:$V$44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24'!K24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24'!$B$25:$B$44</f>
            </numRef>
          </cat>
          <val>
            <numRef>
              <f>'مشروع 24'!$K$25:$K$44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24'!L24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24'!$L$25:$L$44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24'!U24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24'!$B$25:$B$44</f>
            </numRef>
          </cat>
          <val>
            <numRef>
              <f>'مشروع 24'!$U$25:$U$44</f>
            </numRef>
          </val>
        </ser>
        <ser>
          <idx val="1"/>
          <order val="1"/>
          <tx>
            <strRef>
              <f>'مشروع 24'!V24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24'!$B$25:$B$44</f>
            </numRef>
          </cat>
          <val>
            <numRef>
              <f>'مشروع 24'!$V$25:$V$44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25'!K24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25'!$B$25:$B$44</f>
            </numRef>
          </cat>
          <val>
            <numRef>
              <f>'مشروع 25'!$K$25:$K$44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25'!L24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25'!$L$25:$L$44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25'!U24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25'!$B$25:$B$44</f>
            </numRef>
          </cat>
          <val>
            <numRef>
              <f>'مشروع 25'!$U$25:$U$44</f>
            </numRef>
          </val>
        </ser>
        <ser>
          <idx val="1"/>
          <order val="1"/>
          <tx>
            <strRef>
              <f>'مشروع 25'!V24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25'!$B$25:$B$44</f>
            </numRef>
          </cat>
          <val>
            <numRef>
              <f>'مشروع 25'!$V$25:$V$44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26'!K24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26'!$B$25:$B$44</f>
            </numRef>
          </cat>
          <val>
            <numRef>
              <f>'مشروع 26'!$K$25:$K$44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26'!L24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26'!$L$25:$L$44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26'!U24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26'!$B$25:$B$44</f>
            </numRef>
          </cat>
          <val>
            <numRef>
              <f>'مشروع 26'!$U$25:$U$44</f>
            </numRef>
          </val>
        </ser>
        <ser>
          <idx val="1"/>
          <order val="1"/>
          <tx>
            <strRef>
              <f>'مشروع 26'!V24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26'!$B$25:$B$44</f>
            </numRef>
          </cat>
          <val>
            <numRef>
              <f>'مشروع 26'!$V$25:$V$44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27'!K24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27'!$B$25:$B$44</f>
            </numRef>
          </cat>
          <val>
            <numRef>
              <f>'مشروع 27'!$K$25:$K$44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27'!L24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27'!$L$25:$L$44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27'!U24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27'!$B$25:$B$44</f>
            </numRef>
          </cat>
          <val>
            <numRef>
              <f>'مشروع 27'!$U$25:$U$44</f>
            </numRef>
          </val>
        </ser>
        <ser>
          <idx val="1"/>
          <order val="1"/>
          <tx>
            <strRef>
              <f>'مشروع 27'!V24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27'!$B$25:$B$44</f>
            </numRef>
          </cat>
          <val>
            <numRef>
              <f>'مشروع 27'!$V$25:$V$44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28'!K24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28'!$B$25:$B$44</f>
            </numRef>
          </cat>
          <val>
            <numRef>
              <f>'مشروع 28'!$K$25:$K$44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28'!L24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28'!$L$25:$L$44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28'!U24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28'!$B$25:$B$44</f>
            </numRef>
          </cat>
          <val>
            <numRef>
              <f>'مشروع 28'!$U$25:$U$44</f>
            </numRef>
          </val>
        </ser>
        <ser>
          <idx val="1"/>
          <order val="1"/>
          <tx>
            <strRef>
              <f>'مشروع 28'!V24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28'!$B$25:$B$44</f>
            </numRef>
          </cat>
          <val>
            <numRef>
              <f>'مشروع 28'!$V$25:$V$44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29'!K24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29'!$B$25:$B$44</f>
            </numRef>
          </cat>
          <val>
            <numRef>
              <f>'مشروع 29'!$K$25:$K$44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29'!L24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29'!$L$25:$L$44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29'!U24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29'!$B$25:$B$44</f>
            </numRef>
          </cat>
          <val>
            <numRef>
              <f>'مشروع 29'!$U$25:$U$44</f>
            </numRef>
          </val>
        </ser>
        <ser>
          <idx val="1"/>
          <order val="1"/>
          <tx>
            <strRef>
              <f>'مشروع 29'!V24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29'!$B$25:$B$44</f>
            </numRef>
          </cat>
          <val>
            <numRef>
              <f>'مشروع 29'!$V$25:$V$44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30'!K24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30'!$B$25:$B$44</f>
            </numRef>
          </cat>
          <val>
            <numRef>
              <f>'مشروع 30'!$K$25:$K$44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30'!L24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30'!$L$25:$L$44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30'!U24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30'!$B$25:$B$44</f>
            </numRef>
          </cat>
          <val>
            <numRef>
              <f>'مشروع 30'!$U$25:$U$44</f>
            </numRef>
          </val>
        </ser>
        <ser>
          <idx val="1"/>
          <order val="1"/>
          <tx>
            <strRef>
              <f>'مشروع 30'!V24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30'!$B$25:$B$44</f>
            </numRef>
          </cat>
          <val>
            <numRef>
              <f>'مشروع 30'!$V$25:$V$44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31'!K24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31'!$B$25:$B$44</f>
            </numRef>
          </cat>
          <val>
            <numRef>
              <f>'مشروع 31'!$K$25:$K$44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31'!L24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31'!$L$25:$L$44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31'!U24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31'!$B$25:$B$44</f>
            </numRef>
          </cat>
          <val>
            <numRef>
              <f>'مشروع 31'!$U$25:$U$44</f>
            </numRef>
          </val>
        </ser>
        <ser>
          <idx val="1"/>
          <order val="1"/>
          <tx>
            <strRef>
              <f>'مشروع 31'!V24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31'!$B$25:$B$44</f>
            </numRef>
          </cat>
          <val>
            <numRef>
              <f>'مشروع 31'!$V$25:$V$44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32'!K24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32'!$B$25:$B$44</f>
            </numRef>
          </cat>
          <val>
            <numRef>
              <f>'مشروع 32'!$K$25:$K$44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32'!L24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32'!$L$25:$L$44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32'!U24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32'!$B$25:$B$44</f>
            </numRef>
          </cat>
          <val>
            <numRef>
              <f>'مشروع 32'!$U$25:$U$44</f>
            </numRef>
          </val>
        </ser>
        <ser>
          <idx val="1"/>
          <order val="1"/>
          <tx>
            <strRef>
              <f>'مشروع 32'!V24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32'!$B$25:$B$44</f>
            </numRef>
          </cat>
          <val>
            <numRef>
              <f>'مشروع 32'!$V$25:$V$44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33'!K24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33'!$B$25:$B$44</f>
            </numRef>
          </cat>
          <val>
            <numRef>
              <f>'مشروع 33'!$K$25:$K$44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33'!L24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33'!$L$25:$L$44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33'!U24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33'!$B$25:$B$44</f>
            </numRef>
          </cat>
          <val>
            <numRef>
              <f>'مشروع 33'!$U$25:$U$44</f>
            </numRef>
          </val>
        </ser>
        <ser>
          <idx val="1"/>
          <order val="1"/>
          <tx>
            <strRef>
              <f>'مشروع 33'!V24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33'!$B$25:$B$44</f>
            </numRef>
          </cat>
          <val>
            <numRef>
              <f>'مشروع 33'!$V$25:$V$44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34'!K24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34'!$B$25:$B$44</f>
            </numRef>
          </cat>
          <val>
            <numRef>
              <f>'مشروع 34'!$K$25:$K$44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34'!L24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34'!$L$25:$L$44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34'!U24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34'!$B$25:$B$44</f>
            </numRef>
          </cat>
          <val>
            <numRef>
              <f>'مشروع 34'!$U$25:$U$44</f>
            </numRef>
          </val>
        </ser>
        <ser>
          <idx val="1"/>
          <order val="1"/>
          <tx>
            <strRef>
              <f>'مشروع 34'!V24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34'!$B$25:$B$44</f>
            </numRef>
          </cat>
          <val>
            <numRef>
              <f>'مشروع 34'!$V$25:$V$44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35'!K24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35'!$B$25:$B$44</f>
            </numRef>
          </cat>
          <val>
            <numRef>
              <f>'مشروع 35'!$K$25:$K$44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35'!L24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35'!$L$25:$L$44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35'!U24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35'!$B$25:$B$44</f>
            </numRef>
          </cat>
          <val>
            <numRef>
              <f>'مشروع 35'!$U$25:$U$44</f>
            </numRef>
          </val>
        </ser>
        <ser>
          <idx val="1"/>
          <order val="1"/>
          <tx>
            <strRef>
              <f>'مشروع 35'!V24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35'!$B$25:$B$44</f>
            </numRef>
          </cat>
          <val>
            <numRef>
              <f>'مشروع 35'!$V$25:$V$44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36'!K24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36'!$B$25:$B$44</f>
            </numRef>
          </cat>
          <val>
            <numRef>
              <f>'مشروع 36'!$K$25:$K$44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36'!L24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36'!$L$25:$L$44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36'!U24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36'!$B$25:$B$44</f>
            </numRef>
          </cat>
          <val>
            <numRef>
              <f>'مشروع 36'!$U$25:$U$44</f>
            </numRef>
          </val>
        </ser>
        <ser>
          <idx val="1"/>
          <order val="1"/>
          <tx>
            <strRef>
              <f>'مشروع 36'!V24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36'!$B$25:$B$44</f>
            </numRef>
          </cat>
          <val>
            <numRef>
              <f>'مشروع 36'!$V$25:$V$44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37'!K24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37'!$B$25:$B$44</f>
            </numRef>
          </cat>
          <val>
            <numRef>
              <f>'مشروع 37'!$K$25:$K$44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37'!L24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37'!$L$25:$L$44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37'!U24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37'!$B$25:$B$44</f>
            </numRef>
          </cat>
          <val>
            <numRef>
              <f>'مشروع 37'!$U$25:$U$44</f>
            </numRef>
          </val>
        </ser>
        <ser>
          <idx val="1"/>
          <order val="1"/>
          <tx>
            <strRef>
              <f>'مشروع 37'!V24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37'!$B$25:$B$44</f>
            </numRef>
          </cat>
          <val>
            <numRef>
              <f>'مشروع 37'!$V$25:$V$44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38'!K24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38'!$B$25:$B$44</f>
            </numRef>
          </cat>
          <val>
            <numRef>
              <f>'مشروع 38'!$K$25:$K$44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38'!L24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38'!$L$25:$L$44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38'!U24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38'!$B$25:$B$44</f>
            </numRef>
          </cat>
          <val>
            <numRef>
              <f>'مشروع 38'!$U$25:$U$44</f>
            </numRef>
          </val>
        </ser>
        <ser>
          <idx val="1"/>
          <order val="1"/>
          <tx>
            <strRef>
              <f>'مشروع 38'!V24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38'!$B$25:$B$44</f>
            </numRef>
          </cat>
          <val>
            <numRef>
              <f>'مشروع 38'!$V$25:$V$44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39'!K24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39'!$B$25:$B$44</f>
            </numRef>
          </cat>
          <val>
            <numRef>
              <f>'مشروع 39'!$K$25:$K$44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39'!L24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39'!$L$25:$L$44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39'!U24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39'!$B$25:$B$44</f>
            </numRef>
          </cat>
          <val>
            <numRef>
              <f>'مشروع 39'!$U$25:$U$44</f>
            </numRef>
          </val>
        </ser>
        <ser>
          <idx val="1"/>
          <order val="1"/>
          <tx>
            <strRef>
              <f>'مشروع 39'!V24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39'!$B$25:$B$44</f>
            </numRef>
          </cat>
          <val>
            <numRef>
              <f>'مشروع 39'!$V$25:$V$44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40'!K24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40'!$B$25:$B$44</f>
            </numRef>
          </cat>
          <val>
            <numRef>
              <f>'مشروع 40'!$K$25:$K$44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40'!L24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40'!$L$25:$L$44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40'!U24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40'!$B$25:$B$44</f>
            </numRef>
          </cat>
          <val>
            <numRef>
              <f>'مشروع 40'!$U$25:$U$44</f>
            </numRef>
          </val>
        </ser>
        <ser>
          <idx val="1"/>
          <order val="1"/>
          <tx>
            <strRef>
              <f>'مشروع 40'!V24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40'!$B$25:$B$44</f>
            </numRef>
          </cat>
          <val>
            <numRef>
              <f>'مشروع 40'!$V$25:$V$44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41'!K24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41'!$B$25:$B$44</f>
            </numRef>
          </cat>
          <val>
            <numRef>
              <f>'مشروع 41'!$K$25:$K$44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41'!L24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41'!$L$25:$L$44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41'!U24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41'!$B$25:$B$44</f>
            </numRef>
          </cat>
          <val>
            <numRef>
              <f>'مشروع 41'!$U$25:$U$44</f>
            </numRef>
          </val>
        </ser>
        <ser>
          <idx val="1"/>
          <order val="1"/>
          <tx>
            <strRef>
              <f>'مشروع 41'!V24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41'!$B$25:$B$44</f>
            </numRef>
          </cat>
          <val>
            <numRef>
              <f>'مشروع 41'!$V$25:$V$44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42'!K24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42'!$B$25:$B$44</f>
            </numRef>
          </cat>
          <val>
            <numRef>
              <f>'مشروع 42'!$K$25:$K$44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42'!L24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42'!$L$25:$L$44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42'!U24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42'!$B$25:$B$44</f>
            </numRef>
          </cat>
          <val>
            <numRef>
              <f>'مشروع 42'!$U$25:$U$44</f>
            </numRef>
          </val>
        </ser>
        <ser>
          <idx val="1"/>
          <order val="1"/>
          <tx>
            <strRef>
              <f>'مشروع 42'!V24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42'!$B$25:$B$44</f>
            </numRef>
          </cat>
          <val>
            <numRef>
              <f>'مشروع 42'!$V$25:$V$44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43'!K24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43'!$B$25:$B$44</f>
            </numRef>
          </cat>
          <val>
            <numRef>
              <f>'مشروع 43'!$K$25:$K$44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43'!L24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43'!$L$25:$L$44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43'!U24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43'!$B$25:$B$44</f>
            </numRef>
          </cat>
          <val>
            <numRef>
              <f>'مشروع 43'!$U$25:$U$44</f>
            </numRef>
          </val>
        </ser>
        <ser>
          <idx val="1"/>
          <order val="1"/>
          <tx>
            <strRef>
              <f>'مشروع 43'!V24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43'!$B$25:$B$44</f>
            </numRef>
          </cat>
          <val>
            <numRef>
              <f>'مشروع 43'!$V$25:$V$44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44'!K24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44'!$B$25:$B$44</f>
            </numRef>
          </cat>
          <val>
            <numRef>
              <f>'مشروع 44'!$K$25:$K$44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44'!L24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44'!$L$25:$L$44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44'!U24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44'!$B$25:$B$44</f>
            </numRef>
          </cat>
          <val>
            <numRef>
              <f>'مشروع 44'!$U$25:$U$44</f>
            </numRef>
          </val>
        </ser>
        <ser>
          <idx val="1"/>
          <order val="1"/>
          <tx>
            <strRef>
              <f>'مشروع 44'!V24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44'!$B$25:$B$44</f>
            </numRef>
          </cat>
          <val>
            <numRef>
              <f>'مشروع 44'!$V$25:$V$44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45'!K24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45'!$B$25:$B$44</f>
            </numRef>
          </cat>
          <val>
            <numRef>
              <f>'مشروع 45'!$K$25:$K$44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45'!L24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45'!$L$25:$L$44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45'!U24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45'!$B$25:$B$44</f>
            </numRef>
          </cat>
          <val>
            <numRef>
              <f>'مشروع 45'!$U$25:$U$44</f>
            </numRef>
          </val>
        </ser>
        <ser>
          <idx val="1"/>
          <order val="1"/>
          <tx>
            <strRef>
              <f>'مشروع 45'!V24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45'!$B$25:$B$44</f>
            </numRef>
          </cat>
          <val>
            <numRef>
              <f>'مشروع 45'!$V$25:$V$44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46'!K24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46'!$B$25:$B$44</f>
            </numRef>
          </cat>
          <val>
            <numRef>
              <f>'مشروع 46'!$K$25:$K$44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46'!L24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46'!$L$25:$L$44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46'!U24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46'!$B$25:$B$44</f>
            </numRef>
          </cat>
          <val>
            <numRef>
              <f>'مشروع 46'!$U$25:$U$44</f>
            </numRef>
          </val>
        </ser>
        <ser>
          <idx val="1"/>
          <order val="1"/>
          <tx>
            <strRef>
              <f>'مشروع 46'!V24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46'!$B$25:$B$44</f>
            </numRef>
          </cat>
          <val>
            <numRef>
              <f>'مشروع 46'!$V$25:$V$44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47'!K24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47'!$B$25:$B$44</f>
            </numRef>
          </cat>
          <val>
            <numRef>
              <f>'مشروع 47'!$K$25:$K$44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47'!L24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47'!$L$25:$L$44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47'!U24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47'!$B$25:$B$44</f>
            </numRef>
          </cat>
          <val>
            <numRef>
              <f>'مشروع 47'!$U$25:$U$44</f>
            </numRef>
          </val>
        </ser>
        <ser>
          <idx val="1"/>
          <order val="1"/>
          <tx>
            <strRef>
              <f>'مشروع 47'!V24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47'!$B$25:$B$44</f>
            </numRef>
          </cat>
          <val>
            <numRef>
              <f>'مشروع 47'!$V$25:$V$44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48'!K24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48'!$B$25:$B$44</f>
            </numRef>
          </cat>
          <val>
            <numRef>
              <f>'مشروع 48'!$K$25:$K$44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48'!L24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48'!$L$25:$L$44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48'!U24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48'!$B$25:$B$44</f>
            </numRef>
          </cat>
          <val>
            <numRef>
              <f>'مشروع 48'!$U$25:$U$44</f>
            </numRef>
          </val>
        </ser>
        <ser>
          <idx val="1"/>
          <order val="1"/>
          <tx>
            <strRef>
              <f>'مشروع 48'!V24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48'!$B$25:$B$44</f>
            </numRef>
          </cat>
          <val>
            <numRef>
              <f>'مشروع 48'!$V$25:$V$44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49'!K24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49'!$B$25:$B$44</f>
            </numRef>
          </cat>
          <val>
            <numRef>
              <f>'مشروع 49'!$K$25:$K$44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49'!L24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49'!$L$25:$L$44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49'!U24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49'!$B$25:$B$44</f>
            </numRef>
          </cat>
          <val>
            <numRef>
              <f>'مشروع 49'!$U$25:$U$44</f>
            </numRef>
          </val>
        </ser>
        <ser>
          <idx val="1"/>
          <order val="1"/>
          <tx>
            <strRef>
              <f>'مشروع 49'!V24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49'!$B$25:$B$44</f>
            </numRef>
          </cat>
          <val>
            <numRef>
              <f>'مشروع 49'!$V$25:$V$44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الإنجاز: الفعلي (أعمدة) مقابل المخطط (خط)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50'!K24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'مشروع 50'!$B$25:$B$44</f>
            </numRef>
          </cat>
          <val>
            <numRef>
              <f>'مشروع 50'!$K$25:$K$44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'مشروع 50'!L24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'مشروع 50'!$L$25:$L$44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'مشروع 50'!U24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'مشروع 50'!$B$25:$B$44</f>
            </numRef>
          </cat>
          <val>
            <numRef>
              <f>'مشروع 50'!$U$25:$U$44</f>
            </numRef>
          </val>
        </ser>
        <ser>
          <idx val="1"/>
          <order val="1"/>
          <tx>
            <strRef>
              <f>'مشروع 50'!V24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'مشروع 50'!$B$25:$B$44</f>
            </numRef>
          </cat>
          <val>
            <numRef>
              <f>'مشروع 50'!$V$25:$V$44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نسبة الإنجاز الفعلية مقابل المخططة لكل مشروع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'الإجمالي العام'!J16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'الإجمالي العام'!$C$17:$C$66</f>
            </numRef>
          </cat>
          <val>
            <numRef>
              <f>'الإجمالي العام'!$J$17:$J$66</f>
            </numRef>
          </val>
        </ser>
        <ser>
          <idx val="1"/>
          <order val="1"/>
          <tx>
            <strRef>
              <f>'الإجمالي العام'!K16</f>
            </strRef>
          </tx>
          <spPr>
            <a:solidFill>
              <a:srgbClr val="C9D3DD"/>
            </a:solidFill>
            <a:ln>
              <a:prstDash val="solid"/>
            </a:ln>
          </spPr>
          <cat>
            <numRef>
              <f>'الإجمالي العام'!$C$17:$C$66</f>
            </numRef>
          </cat>
          <val>
            <numRef>
              <f>'الإجمالي العام'!$K$17:$K$66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صافي المستحق مقابل المحصل وغير المحصل لكل مشروع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'الإجمالي العام'!O16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'الإجمالي العام'!$C$17:$C$66</f>
            </numRef>
          </cat>
          <val>
            <numRef>
              <f>'الإجمالي العام'!$O$17:$O$66</f>
            </numRef>
          </val>
        </ser>
        <ser>
          <idx val="1"/>
          <order val="1"/>
          <tx>
            <strRef>
              <f>'الإجمالي العام'!P16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'الإجمالي العام'!$C$17:$C$66</f>
            </numRef>
          </cat>
          <val>
            <numRef>
              <f>'الإجمالي العام'!$P$17:$P$66</f>
            </numRef>
          </val>
        </ser>
        <ser>
          <idx val="2"/>
          <order val="2"/>
          <tx>
            <strRef>
              <f>'الإجمالي العام'!Q16</f>
            </strRef>
          </tx>
          <spPr>
            <a:solidFill>
              <a:srgbClr val="C0504D"/>
            </a:solidFill>
            <a:ln>
              <a:prstDash val="solid"/>
            </a:ln>
          </spPr>
          <cat>
            <numRef>
              <f>'الإجمالي العام'!$C$17:$C$66</f>
            </numRef>
          </cat>
          <val>
            <numRef>
              <f>'الإجمالي العام'!$Q$17:$Q$66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الموازنة مقابل التكلفة الفعلية والربح لكل مشروع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'الإجمالي العام'!Y16</f>
            </strRef>
          </tx>
          <spPr>
            <a:solidFill>
              <a:srgbClr val="B39DDB"/>
            </a:solidFill>
            <a:ln>
              <a:prstDash val="solid"/>
            </a:ln>
          </spPr>
          <cat>
            <numRef>
              <f>'الإجمالي العام'!$C$17:$C$66</f>
            </numRef>
          </cat>
          <val>
            <numRef>
              <f>'الإجمالي العام'!$Y$17:$Y$66</f>
            </numRef>
          </val>
        </ser>
        <ser>
          <idx val="1"/>
          <order val="1"/>
          <tx>
            <strRef>
              <f>'الإجمالي العام'!Z16</f>
            </strRef>
          </tx>
          <spPr>
            <a:solidFill>
              <a:srgbClr val="6A1B9A"/>
            </a:solidFill>
            <a:ln>
              <a:prstDash val="solid"/>
            </a:ln>
          </spPr>
          <cat>
            <numRef>
              <f>'الإجمالي العام'!$C$17:$C$66</f>
            </numRef>
          </cat>
          <val>
            <numRef>
              <f>'الإجمالي العام'!$Z$17:$Z$66</f>
            </numRef>
          </val>
        </ser>
        <ser>
          <idx val="2"/>
          <order val="2"/>
          <tx>
            <strRef>
              <f>'الإجمالي العام'!AA16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'الإجمالي العام'!$C$17:$C$66</f>
            </numRef>
          </cat>
          <val>
            <numRef>
              <f>'الإجمالي العام'!$AA$17:$AA$66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5.xml" Id="rId1" /><Relationship Type="http://schemas.openxmlformats.org/officeDocument/2006/relationships/chart" Target="/xl/charts/chart16.xml" Id="rId2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9.xml" Id="rId1" /><Relationship Type="http://schemas.openxmlformats.org/officeDocument/2006/relationships/chart" Target="/xl/charts/chart20.xml" Id="rId2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3.xml" Id="rId1" /><Relationship Type="http://schemas.openxmlformats.org/officeDocument/2006/relationships/chart" Target="/xl/charts/chart24.xml" Id="rId2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5.xml" Id="rId1" /><Relationship Type="http://schemas.openxmlformats.org/officeDocument/2006/relationships/chart" Target="/xl/charts/chart26.xml" Id="rId2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7.xml" Id="rId1" /><Relationship Type="http://schemas.openxmlformats.org/officeDocument/2006/relationships/chart" Target="/xl/charts/chart28.xml" Id="rId2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9.xml" Id="rId1" /><Relationship Type="http://schemas.openxmlformats.org/officeDocument/2006/relationships/chart" Target="/xl/charts/chart30.xml" Id="rId2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33.xml" Id="rId1" /><Relationship Type="http://schemas.openxmlformats.org/officeDocument/2006/relationships/chart" Target="/xl/charts/chart34.xml" Id="rId2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35.xml" Id="rId1" /><Relationship Type="http://schemas.openxmlformats.org/officeDocument/2006/relationships/chart" Target="/xl/charts/chart36.xml" Id="rId2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37.xml" Id="rId1" /><Relationship Type="http://schemas.openxmlformats.org/officeDocument/2006/relationships/chart" Target="/xl/charts/chart38.xml" Id="rId2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39.xml" Id="rId1" /><Relationship Type="http://schemas.openxmlformats.org/officeDocument/2006/relationships/chart" Target="/xl/charts/chart40.xml" Id="rId2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43.xml" Id="rId1" /><Relationship Type="http://schemas.openxmlformats.org/officeDocument/2006/relationships/chart" Target="/xl/charts/chart44.xml" Id="rId2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45.xml" Id="rId1" /><Relationship Type="http://schemas.openxmlformats.org/officeDocument/2006/relationships/chart" Target="/xl/charts/chart46.xml" Id="rId2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47.xml" Id="rId1" /><Relationship Type="http://schemas.openxmlformats.org/officeDocument/2006/relationships/chart" Target="/xl/charts/chart48.xml" Id="rId2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49.xml" Id="rId1" /><Relationship Type="http://schemas.openxmlformats.org/officeDocument/2006/relationships/chart" Target="/xl/charts/chart50.xml" Id="rId2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51.xml" Id="rId1" /><Relationship Type="http://schemas.openxmlformats.org/officeDocument/2006/relationships/chart" Target="/xl/charts/chart52.xml" Id="rId2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53.xml" Id="rId1" /><Relationship Type="http://schemas.openxmlformats.org/officeDocument/2006/relationships/chart" Target="/xl/charts/chart54.xml" Id="rId2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55.xml" Id="rId1" /><Relationship Type="http://schemas.openxmlformats.org/officeDocument/2006/relationships/chart" Target="/xl/charts/chart56.xml" Id="rId2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57.xml" Id="rId1" /><Relationship Type="http://schemas.openxmlformats.org/officeDocument/2006/relationships/chart" Target="/xl/charts/chart58.xml" Id="rId2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59.xml" Id="rId1" /><Relationship Type="http://schemas.openxmlformats.org/officeDocument/2006/relationships/chart" Target="/xl/charts/chart60.xml" Id="rId2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63.xml" Id="rId1" /><Relationship Type="http://schemas.openxmlformats.org/officeDocument/2006/relationships/chart" Target="/xl/charts/chart64.xml" Id="rId2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65.xml" Id="rId1" /><Relationship Type="http://schemas.openxmlformats.org/officeDocument/2006/relationships/chart" Target="/xl/charts/chart66.xml" Id="rId2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67.xml" Id="rId1" /><Relationship Type="http://schemas.openxmlformats.org/officeDocument/2006/relationships/chart" Target="/xl/charts/chart68.xml" Id="rId2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69.xml" Id="rId1" /><Relationship Type="http://schemas.openxmlformats.org/officeDocument/2006/relationships/chart" Target="/xl/charts/chart70.xml" Id="rId2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71.xml" Id="rId1" /><Relationship Type="http://schemas.openxmlformats.org/officeDocument/2006/relationships/chart" Target="/xl/charts/chart72.xml" Id="rId2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73.xml" Id="rId1" /><Relationship Type="http://schemas.openxmlformats.org/officeDocument/2006/relationships/chart" Target="/xl/charts/chart74.xml" Id="rId2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75.xml" Id="rId1" /><Relationship Type="http://schemas.openxmlformats.org/officeDocument/2006/relationships/chart" Target="/xl/charts/chart76.xml" Id="rId2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77.xml" Id="rId1" /><Relationship Type="http://schemas.openxmlformats.org/officeDocument/2006/relationships/chart" Target="/xl/charts/chart78.xml" Id="rId2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79.xml" Id="rId1" /><Relationship Type="http://schemas.openxmlformats.org/officeDocument/2006/relationships/chart" Target="/xl/charts/chart80.xml" Id="rId2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81.xml" Id="rId1" /><Relationship Type="http://schemas.openxmlformats.org/officeDocument/2006/relationships/chart" Target="/xl/charts/chart82.xml" Id="rId2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83.xml" Id="rId1" /><Relationship Type="http://schemas.openxmlformats.org/officeDocument/2006/relationships/chart" Target="/xl/charts/chart84.xml" Id="rId2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85.xml" Id="rId1" /><Relationship Type="http://schemas.openxmlformats.org/officeDocument/2006/relationships/chart" Target="/xl/charts/chart86.xml" Id="rId2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87.xml" Id="rId1" /><Relationship Type="http://schemas.openxmlformats.org/officeDocument/2006/relationships/chart" Target="/xl/charts/chart88.xml" Id="rId2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89.xml" Id="rId1" /><Relationship Type="http://schemas.openxmlformats.org/officeDocument/2006/relationships/chart" Target="/xl/charts/chart90.xml" Id="rId2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91.xml" Id="rId1" /><Relationship Type="http://schemas.openxmlformats.org/officeDocument/2006/relationships/chart" Target="/xl/charts/chart92.xml" Id="rId2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93.xml" Id="rId1" /><Relationship Type="http://schemas.openxmlformats.org/officeDocument/2006/relationships/chart" Target="/xl/charts/chart94.xml" Id="rId2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95.xml" Id="rId1" /><Relationship Type="http://schemas.openxmlformats.org/officeDocument/2006/relationships/chart" Target="/xl/charts/chart96.xml" Id="rId2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97.xml" Id="rId1" /><Relationship Type="http://schemas.openxmlformats.org/officeDocument/2006/relationships/chart" Target="/xl/charts/chart98.xml" Id="rId2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99.xml" Id="rId1" /><Relationship Type="http://schemas.openxmlformats.org/officeDocument/2006/relationships/chart" Target="/xl/charts/chart100.xml" Id="rId2" /></Relationships>
</file>

<file path=xl/drawings/_rels/drawing51.xml.rels><Relationships xmlns="http://schemas.openxmlformats.org/package/2006/relationships"><Relationship Type="http://schemas.openxmlformats.org/officeDocument/2006/relationships/chart" Target="/xl/charts/chart101.xml" Id="rId1" /><Relationship Type="http://schemas.openxmlformats.org/officeDocument/2006/relationships/chart" Target="/xl/charts/chart102.xml" Id="rId2" /><Relationship Type="http://schemas.openxmlformats.org/officeDocument/2006/relationships/chart" Target="/xl/charts/chart10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47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47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69</row>
      <rowOff>0</rowOff>
    </from>
    <ext cx="7200000" cy="100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69</row>
      <rowOff>0</rowOff>
    </from>
    <ext cx="122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95</row>
      <rowOff>0</rowOff>
    </from>
    <ext cx="1224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Project_01/IPC_Project_01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Project_02/IPC_Project_02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Project_03/IPC_Project_03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Project_04/IPC_Project_04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Project_05/IPC_Project_05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Project_06/IPC_Project_06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Project_07/IPC_Project_07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Project_08/IPC_Project_08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Project_09/IPC_Project_09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Project_10/IPC_Project_10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Project_11/IPC_Project_11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Project_12/IPC_Project_12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Project_13/IPC_Project_13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Project_14/IPC_Project_14.xlsx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Project_15/IPC_Project_15.xlsx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Project_16/IPC_Project_16.xlsx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Project_17/IPC_Project_17.xlsx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Project_18/IPC_Project_18.xlsx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Project_19/IPC_Project_19.xlsx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Project_20/IPC_Project_20.xlsx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Project_21/IPC_Project_21.xlsx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Project_22/IPC_Project_22.xlsx" TargetMode="External" Id="rId1" 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Project_23/IPC_Project_23.xlsx" TargetMode="External" Id="rId1" 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Project_24/IPC_Project_24.xlsx" TargetMode="External" Id="rId1" 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Project_25/IPC_Project_25.xlsx" TargetMode="External" Id="rId1" 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Project_26/IPC_Project_26.xlsx" TargetMode="External" Id="rId1" 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Project_27/IPC_Project_27.xlsx" TargetMode="External" Id="rId1" 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Project_28/IPC_Project_28.xlsx" TargetMode="External" Id="rId1" 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Project_29/IPC_Project_29.xlsx" TargetMode="External" Id="rId1" 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Project_30/IPC_Project_30.xlsx" TargetMode="External" Id="rId1" 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Project_31/IPC_Project_31.xlsx" TargetMode="External" Id="rId1" 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Project_32/IPC_Project_32.xlsx" TargetMode="External" Id="rId1" 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Project_33/IPC_Project_33.xlsx" TargetMode="External" Id="rId1" 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Project_34/IPC_Project_34.xlsx" TargetMode="External" Id="rId1" 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Project_35/IPC_Project_35.xlsx" TargetMode="External" Id="rId1" 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Project_36/IPC_Project_36.xlsx" TargetMode="External" Id="rId1" 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Project_37/IPC_Project_37.xlsx" TargetMode="External" Id="rId1" 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Project_38/IPC_Project_38.xlsx" TargetMode="External" Id="rId1" 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Project_39/IPC_Project_39.xlsx" TargetMode="External" Id="rId1" 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Project_40/IPC_Project_40.xlsx" TargetMode="External" Id="rId1" 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Project_41/IPC_Project_41.xlsx" TargetMode="External" Id="rId1" 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Project_42/IPC_Project_42.xlsx" TargetMode="External" Id="rId1" /></Relationships>
</file>

<file path=xl/externalLinks/_rels/externalLink43.xml.rels><Relationships xmlns="http://schemas.openxmlformats.org/package/2006/relationships"><Relationship Type="http://schemas.openxmlformats.org/officeDocument/2006/relationships/externalLinkPath" Target="Project_43/IPC_Project_43.xlsx" TargetMode="External" Id="rId1" /></Relationships>
</file>

<file path=xl/externalLinks/_rels/externalLink44.xml.rels><Relationships xmlns="http://schemas.openxmlformats.org/package/2006/relationships"><Relationship Type="http://schemas.openxmlformats.org/officeDocument/2006/relationships/externalLinkPath" Target="Project_44/IPC_Project_44.xlsx" TargetMode="External" Id="rId1" /></Relationships>
</file>

<file path=xl/externalLinks/_rels/externalLink45.xml.rels><Relationships xmlns="http://schemas.openxmlformats.org/package/2006/relationships"><Relationship Type="http://schemas.openxmlformats.org/officeDocument/2006/relationships/externalLinkPath" Target="Project_45/IPC_Project_45.xlsx" TargetMode="External" Id="rId1" /></Relationships>
</file>

<file path=xl/externalLinks/_rels/externalLink46.xml.rels><Relationships xmlns="http://schemas.openxmlformats.org/package/2006/relationships"><Relationship Type="http://schemas.openxmlformats.org/officeDocument/2006/relationships/externalLinkPath" Target="Project_46/IPC_Project_46.xlsx" TargetMode="External" Id="rId1" /></Relationships>
</file>

<file path=xl/externalLinks/_rels/externalLink47.xml.rels><Relationships xmlns="http://schemas.openxmlformats.org/package/2006/relationships"><Relationship Type="http://schemas.openxmlformats.org/officeDocument/2006/relationships/externalLinkPath" Target="Project_47/IPC_Project_47.xlsx" TargetMode="External" Id="rId1" /></Relationships>
</file>

<file path=xl/externalLinks/_rels/externalLink48.xml.rels><Relationships xmlns="http://schemas.openxmlformats.org/package/2006/relationships"><Relationship Type="http://schemas.openxmlformats.org/officeDocument/2006/relationships/externalLinkPath" Target="Project_48/IPC_Project_48.xlsx" TargetMode="External" Id="rId1" /></Relationships>
</file>

<file path=xl/externalLinks/_rels/externalLink49.xml.rels><Relationships xmlns="http://schemas.openxmlformats.org/package/2006/relationships"><Relationship Type="http://schemas.openxmlformats.org/officeDocument/2006/relationships/externalLinkPath" Target="Project_49/IPC_Project_49.xlsx" TargetMode="External" Id="rId1" /></Relationships>
</file>

<file path=xl/externalLinks/_rels/externalLink50.xml.rels><Relationships xmlns="http://schemas.openxmlformats.org/package/2006/relationships"><Relationship Type="http://schemas.openxmlformats.org/officeDocument/2006/relationships/externalLinkPath" Target="Project_50/IPC_Project_50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>مشروع إنشاء مبنى إداري - الرياض</v>
          </cell>
        </row>
        <row r="6">
          <cell r="C6" t="str">
            <v>CT-2026-014</v>
          </cell>
        </row>
        <row r="7">
          <cell r="C7" t="str">
            <v>شركة رؤية للتطوير العقاري</v>
          </cell>
        </row>
        <row r="8">
          <cell r="C8" t="str">
            <v>مكتب البنيان للاستشارات الهندسية</v>
          </cell>
        </row>
        <row r="9">
          <cell r="C9" t="str">
            <v>شركة البناء الحديث للمقاولات</v>
          </cell>
        </row>
        <row r="11">
          <cell r="C11">
            <v>46082.0</v>
          </cell>
        </row>
        <row r="12">
          <cell r="C12">
            <v>18</v>
          </cell>
        </row>
        <row r="13">
          <cell r="C13">
            <v>46630.0</v>
          </cell>
        </row>
        <row r="14">
          <cell r="C14" t="str">
            <v>ريال سعودي</v>
          </cell>
        </row>
        <row r="16">
          <cell r="C16">
            <v>13616800</v>
          </cell>
        </row>
        <row r="17">
          <cell r="C17">
            <v>186000</v>
          </cell>
        </row>
        <row r="18">
          <cell r="C18">
            <v>13802800</v>
          </cell>
        </row>
        <row r="20">
          <cell r="C20">
            <v>0.1</v>
          </cell>
        </row>
        <row r="21">
          <cell r="C21">
            <v>1361680</v>
          </cell>
        </row>
        <row r="27">
          <cell r="C27">
            <v>0.1</v>
          </cell>
        </row>
        <row r="29">
          <cell r="C29">
            <v>690140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>خاص - FIDIC</v>
          </cell>
        </row>
        <row r="37">
          <cell r="C37" t="str">
            <v>310123456700003</v>
          </cell>
        </row>
        <row r="39">
          <cell r="C39" t="str">
            <v>300987654300003</v>
          </cell>
        </row>
        <row r="42">
          <cell r="C42">
            <v>46997.0</v>
          </cell>
        </row>
        <row r="43">
          <cell r="C43">
            <v>46446.0</v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11901383</v>
          </cell>
        </row>
        <row r="70">
          <cell r="D70">
            <v>3340343.45</v>
          </cell>
        </row>
        <row r="72">
          <cell r="D72">
            <v>792364.3</v>
          </cell>
        </row>
        <row r="73">
          <cell r="D73">
            <v>0.191730058821604</v>
          </cell>
        </row>
        <row r="74">
          <cell r="D74">
            <v>1.02805784801971</v>
          </cell>
        </row>
        <row r="76">
          <cell r="D76">
            <v>2226230.62413756</v>
          </cell>
        </row>
      </sheetData>
      <sheetData sheetId="6">
        <row r="6">
          <cell r="C6">
            <v>46112.0</v>
          </cell>
          <cell r="E6">
            <v>46133.0</v>
          </cell>
          <cell r="F6" t="str">
            <v>معتمد</v>
          </cell>
          <cell r="G6">
            <v>160963.04</v>
          </cell>
          <cell r="H6">
            <v>160963.04</v>
          </cell>
          <cell r="I6">
            <v>0</v>
          </cell>
          <cell r="J6">
            <v>0</v>
          </cell>
          <cell r="K6">
            <v>160963.04</v>
          </cell>
          <cell r="L6">
            <v>0.0118209153398743</v>
          </cell>
          <cell r="M6">
            <v>0.0109</v>
          </cell>
          <cell r="N6">
            <v>0.000920915339874274</v>
          </cell>
          <cell r="O6">
            <v>20120.38</v>
          </cell>
          <cell r="R6">
            <v>16096.3</v>
          </cell>
          <cell r="S6">
            <v>0</v>
          </cell>
          <cell r="T6">
            <v>0</v>
          </cell>
          <cell r="V6">
            <v>21126.4</v>
          </cell>
          <cell r="W6">
            <v>0</v>
          </cell>
          <cell r="X6">
            <v>145872.76</v>
          </cell>
          <cell r="Z6">
            <v>145872.76</v>
          </cell>
          <cell r="AA6">
            <v>145872.76</v>
          </cell>
          <cell r="AC6">
            <v>0</v>
          </cell>
          <cell r="AD6">
            <v>32</v>
          </cell>
          <cell r="AE6" t="str">
            <v>✔ محصل بالكامل</v>
          </cell>
        </row>
        <row r="7">
          <cell r="C7">
            <v>46142.0</v>
          </cell>
          <cell r="E7">
            <v>46164.0</v>
          </cell>
          <cell r="F7" t="str">
            <v>معتمد</v>
          </cell>
          <cell r="G7">
            <v>909254.08</v>
          </cell>
          <cell r="H7">
            <v>748291.04</v>
          </cell>
          <cell r="I7">
            <v>0</v>
          </cell>
          <cell r="J7">
            <v>90000</v>
          </cell>
          <cell r="K7">
            <v>999254.08</v>
          </cell>
          <cell r="L7">
            <v>0.0667744315845132</v>
          </cell>
          <cell r="M7">
            <v>0.0618</v>
          </cell>
          <cell r="N7">
            <v>0.00497443158451324</v>
          </cell>
          <cell r="O7">
            <v>113656.76</v>
          </cell>
          <cell r="R7">
            <v>99925.41</v>
          </cell>
          <cell r="S7">
            <v>17000</v>
          </cell>
          <cell r="T7">
            <v>0</v>
          </cell>
          <cell r="V7">
            <v>130289.6</v>
          </cell>
          <cell r="W7">
            <v>0</v>
          </cell>
          <cell r="X7">
            <v>898961.51</v>
          </cell>
          <cell r="Z7">
            <v>753088.75</v>
          </cell>
          <cell r="AA7">
            <v>753088.75</v>
          </cell>
          <cell r="AC7">
            <v>0</v>
          </cell>
          <cell r="AD7">
            <v>39</v>
          </cell>
          <cell r="AE7" t="str">
            <v>✔ محصل بالكامل</v>
          </cell>
        </row>
        <row r="8">
          <cell r="C8">
            <v>46173.0</v>
          </cell>
          <cell r="E8">
            <v>46193.0</v>
          </cell>
          <cell r="F8" t="str">
            <v>معتمد</v>
          </cell>
          <cell r="G8">
            <v>1666545.12</v>
          </cell>
          <cell r="H8">
            <v>757291.04</v>
          </cell>
          <cell r="I8">
            <v>0</v>
          </cell>
          <cell r="J8">
            <v>180000</v>
          </cell>
          <cell r="K8">
            <v>1846545.12</v>
          </cell>
          <cell r="L8">
            <v>0.122388896069561</v>
          </cell>
          <cell r="M8">
            <v>0.1133</v>
          </cell>
          <cell r="N8">
            <v>0.00908889606956113</v>
          </cell>
          <cell r="O8">
            <v>208318.14</v>
          </cell>
          <cell r="R8">
            <v>184654.51</v>
          </cell>
          <cell r="S8">
            <v>25000</v>
          </cell>
          <cell r="T8">
            <v>0</v>
          </cell>
          <cell r="V8">
            <v>241984.05</v>
          </cell>
          <cell r="W8">
            <v>0</v>
          </cell>
          <cell r="X8">
            <v>1670556.52</v>
          </cell>
          <cell r="Z8">
            <v>771595.01</v>
          </cell>
          <cell r="AA8">
            <v>771595.01</v>
          </cell>
          <cell r="AC8">
            <v>0</v>
          </cell>
          <cell r="AD8">
            <v>30</v>
          </cell>
          <cell r="AE8" t="str">
            <v>✔ محصل بالكامل</v>
          </cell>
        </row>
        <row r="9">
          <cell r="C9">
            <v>46203.0</v>
          </cell>
          <cell r="E9">
            <v>46224.0</v>
          </cell>
          <cell r="F9" t="str">
            <v>معتمد</v>
          </cell>
          <cell r="G9">
            <v>2349136.4</v>
          </cell>
          <cell r="H9">
            <v>682591.28</v>
          </cell>
          <cell r="I9">
            <v>250000</v>
          </cell>
          <cell r="J9">
            <v>120000</v>
          </cell>
          <cell r="K9">
            <v>2719136.4</v>
          </cell>
          <cell r="L9">
            <v>0.187435918885395</v>
          </cell>
          <cell r="M9">
            <v>0.1613</v>
          </cell>
          <cell r="N9">
            <v>0.0261359188853953</v>
          </cell>
          <cell r="O9">
            <v>324892.05</v>
          </cell>
          <cell r="R9">
            <v>271913.64</v>
          </cell>
          <cell r="S9">
            <v>8000</v>
          </cell>
          <cell r="T9">
            <v>0</v>
          </cell>
          <cell r="V9">
            <v>357936.65</v>
          </cell>
          <cell r="W9">
            <v>0</v>
          </cell>
          <cell r="X9">
            <v>2472267.36</v>
          </cell>
          <cell r="Z9">
            <v>801710.84</v>
          </cell>
          <cell r="AA9">
            <v>801710.84</v>
          </cell>
          <cell r="AC9">
            <v>0</v>
          </cell>
          <cell r="AD9">
            <v>37</v>
          </cell>
          <cell r="AE9" t="str">
            <v>✔ محصل بالكامل</v>
          </cell>
        </row>
        <row r="10">
          <cell r="C10">
            <v>46234.0</v>
          </cell>
          <cell r="E10">
            <v>46256.0</v>
          </cell>
          <cell r="F10" t="str">
            <v>معتمد</v>
          </cell>
          <cell r="G10">
            <v>3031727.5</v>
          </cell>
          <cell r="H10">
            <v>682591.1</v>
          </cell>
          <cell r="I10">
            <v>186000</v>
          </cell>
          <cell r="J10">
            <v>220000</v>
          </cell>
          <cell r="K10">
            <v>3437727.5</v>
          </cell>
          <cell r="L10">
            <v>0.233121359434318</v>
          </cell>
          <cell r="M10">
            <v>0.2077</v>
          </cell>
          <cell r="N10">
            <v>0.0254213594343177</v>
          </cell>
          <cell r="O10">
            <v>402215.94</v>
          </cell>
          <cell r="R10">
            <v>343772.75</v>
          </cell>
          <cell r="S10">
            <v>32000</v>
          </cell>
          <cell r="T10">
            <v>5000</v>
          </cell>
          <cell r="V10">
            <v>450526.73</v>
          </cell>
          <cell r="W10">
            <v>0</v>
          </cell>
          <cell r="X10">
            <v>3105265.54</v>
          </cell>
          <cell r="Z10">
            <v>632998.18</v>
          </cell>
          <cell r="AA10">
            <v>380000</v>
          </cell>
          <cell r="AC10">
            <v>252998.18</v>
          </cell>
          <cell r="AD10">
            <v>28</v>
          </cell>
          <cell r="AE10" t="str">
            <v>⚠ محصل جزئياً</v>
          </cell>
        </row>
        <row r="11">
          <cell r="C11">
            <v>46265.0</v>
          </cell>
          <cell r="E11">
            <v>46285.0</v>
          </cell>
          <cell r="F11" t="str">
            <v>معتمد</v>
          </cell>
          <cell r="G11">
            <v>3796707.75</v>
          </cell>
          <cell r="H11">
            <v>764980.25</v>
          </cell>
          <cell r="I11">
            <v>186000</v>
          </cell>
          <cell r="J11">
            <v>150000</v>
          </cell>
          <cell r="K11">
            <v>4132707.75</v>
          </cell>
          <cell r="L11">
            <v>0.28854346581853</v>
          </cell>
          <cell r="M11">
            <v>0.2597</v>
          </cell>
          <cell r="N11">
            <v>0.0288434658185296</v>
          </cell>
          <cell r="O11">
            <v>497838.47</v>
          </cell>
          <cell r="R11">
            <v>413270.78</v>
          </cell>
          <cell r="S11">
            <v>45000</v>
          </cell>
          <cell r="T11">
            <v>5000</v>
          </cell>
          <cell r="V11">
            <v>538480.39</v>
          </cell>
          <cell r="W11">
            <v>0</v>
          </cell>
          <cell r="X11">
            <v>3710078.89</v>
          </cell>
          <cell r="Z11">
            <v>604813.35</v>
          </cell>
          <cell r="AA11">
            <v>0</v>
          </cell>
          <cell r="AC11">
            <v>604813.35</v>
          </cell>
          <cell r="AD11" t="str">
            <v/>
          </cell>
          <cell r="AE11" t="str">
            <v>✖ غير محصل</v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287100</v>
          </cell>
          <cell r="F32">
            <v>287100</v>
          </cell>
        </row>
        <row r="33">
          <cell r="B33" t="str">
            <v>الخرسانة العادية والمسلحة</v>
          </cell>
          <cell r="E33">
            <v>4894400</v>
          </cell>
          <cell r="F33">
            <v>3328218.6</v>
          </cell>
        </row>
        <row r="34">
          <cell r="B34" t="str">
            <v>أعمال المباني</v>
          </cell>
          <cell r="E34">
            <v>801000</v>
          </cell>
          <cell r="F34">
            <v>82389.15</v>
          </cell>
        </row>
        <row r="35">
          <cell r="B35" t="str">
            <v>أعمال العزل</v>
          </cell>
          <cell r="E35">
            <v>300000</v>
          </cell>
          <cell r="F35">
            <v>99000</v>
          </cell>
        </row>
        <row r="36">
          <cell r="B36" t="str">
            <v>أعمال التشطيبات</v>
          </cell>
          <cell r="E36">
            <v>4161500</v>
          </cell>
          <cell r="F36">
            <v>0</v>
          </cell>
        </row>
        <row r="37">
          <cell r="B37" t="str">
            <v>الأعمال الكهربائية</v>
          </cell>
          <cell r="E37">
            <v>1220000</v>
          </cell>
          <cell r="F37">
            <v>0</v>
          </cell>
        </row>
        <row r="38">
          <cell r="B38" t="str">
            <v>الأعمال الصحية</v>
          </cell>
          <cell r="E38">
            <v>529800</v>
          </cell>
          <cell r="F38">
            <v>0</v>
          </cell>
        </row>
        <row r="39">
          <cell r="B39" t="str">
            <v>أعمال التكييف</v>
          </cell>
          <cell r="E39">
            <v>1076000</v>
          </cell>
          <cell r="F39">
            <v>0</v>
          </cell>
        </row>
        <row r="40">
          <cell r="B40" t="str">
            <v>أعمال الموقع العام</v>
          </cell>
          <cell r="E40">
            <v>347000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>مشروع إنشاء مدرسة ابتدائية 24 فصلاً - جدة</v>
          </cell>
        </row>
        <row r="6">
          <cell r="C6" t="str">
            <v>GOV-1447-087</v>
          </cell>
        </row>
        <row r="7">
          <cell r="C7" t="str">
            <v>جهة حكومية (مثال توضيحي)</v>
          </cell>
        </row>
        <row r="8">
          <cell r="C8" t="str">
            <v>المركز الاستشاري للتصاميم الهندسية</v>
          </cell>
        </row>
        <row r="9">
          <cell r="C9" t="str">
            <v>شركة البناء الحديث للمقاولات</v>
          </cell>
        </row>
        <row r="11">
          <cell r="C11">
            <v>45962.0</v>
          </cell>
        </row>
        <row r="12">
          <cell r="C12">
            <v>14</v>
          </cell>
        </row>
        <row r="13">
          <cell r="C13">
            <v>46387.0</v>
          </cell>
        </row>
        <row r="14">
          <cell r="C14" t="str">
            <v>ريال سعودي</v>
          </cell>
        </row>
        <row r="16">
          <cell r="C16">
            <v>7488225</v>
          </cell>
        </row>
        <row r="17">
          <cell r="C17">
            <v>86000</v>
          </cell>
        </row>
        <row r="18">
          <cell r="C18">
            <v>7574225</v>
          </cell>
        </row>
        <row r="20">
          <cell r="C20">
            <v>0.1</v>
          </cell>
        </row>
        <row r="21">
          <cell r="C21">
            <v>748822.5</v>
          </cell>
        </row>
        <row r="27">
          <cell r="C27">
            <v>0.1</v>
          </cell>
        </row>
        <row r="29">
          <cell r="C29">
            <v>378711.25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>حكومي - نظام المنافسات والمشتريات الحكومية</v>
          </cell>
        </row>
        <row r="37">
          <cell r="C37" t="str">
            <v>310123456700003</v>
          </cell>
        </row>
        <row r="39">
          <cell r="C39" t="str">
            <v>300555444300003</v>
          </cell>
        </row>
        <row r="42">
          <cell r="C42">
            <v>46753.0</v>
          </cell>
        </row>
        <row r="43">
          <cell r="C43">
            <v>46326.0</v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6544796</v>
          </cell>
        </row>
        <row r="70">
          <cell r="D70">
            <v>4611186.6</v>
          </cell>
        </row>
        <row r="72">
          <cell r="D72">
            <v>295226.600000001</v>
          </cell>
        </row>
        <row r="73">
          <cell r="D73">
            <v>0.0601715729934855</v>
          </cell>
        </row>
        <row r="74">
          <cell r="D74">
            <v>0.911914657820038</v>
          </cell>
        </row>
        <row r="76">
          <cell r="D76">
            <v>397241.996299247</v>
          </cell>
        </row>
      </sheetData>
      <sheetData sheetId="6">
        <row r="6">
          <cell r="C6">
            <v>45991.0</v>
          </cell>
          <cell r="E6">
            <v>46012.0</v>
          </cell>
          <cell r="F6" t="str">
            <v>معتمد</v>
          </cell>
          <cell r="G6">
            <v>167935.02</v>
          </cell>
          <cell r="H6">
            <v>167935.02</v>
          </cell>
          <cell r="I6">
            <v>0</v>
          </cell>
          <cell r="J6">
            <v>0</v>
          </cell>
          <cell r="K6">
            <v>167935.02</v>
          </cell>
          <cell r="L6">
            <v>0.0224265456767124</v>
          </cell>
          <cell r="M6">
            <v>0.0255</v>
          </cell>
          <cell r="N6">
            <v>-0.00307345432328756</v>
          </cell>
          <cell r="O6">
            <v>20991.88</v>
          </cell>
          <cell r="R6">
            <v>16793.5</v>
          </cell>
          <cell r="S6">
            <v>0</v>
          </cell>
          <cell r="T6">
            <v>0</v>
          </cell>
          <cell r="V6">
            <v>22041.47</v>
          </cell>
          <cell r="W6">
            <v>0</v>
          </cell>
          <cell r="X6">
            <v>152191.11</v>
          </cell>
          <cell r="Z6">
            <v>152191.11</v>
          </cell>
          <cell r="AA6">
            <v>152191.11</v>
          </cell>
          <cell r="AC6">
            <v>0</v>
          </cell>
          <cell r="AD6">
            <v>32</v>
          </cell>
          <cell r="AE6" t="str">
            <v>✔ محصل بالكامل</v>
          </cell>
        </row>
        <row r="7">
          <cell r="C7">
            <v>46022.0</v>
          </cell>
          <cell r="E7">
            <v>46044.0</v>
          </cell>
          <cell r="F7" t="str">
            <v>معتمد</v>
          </cell>
          <cell r="G7">
            <v>599106.94</v>
          </cell>
          <cell r="H7">
            <v>431171.92</v>
          </cell>
          <cell r="I7">
            <v>0</v>
          </cell>
          <cell r="J7">
            <v>30000</v>
          </cell>
          <cell r="K7">
            <v>629106.94</v>
          </cell>
          <cell r="L7">
            <v>0.0800065355942163</v>
          </cell>
          <cell r="M7">
            <v>0.0909</v>
          </cell>
          <cell r="N7">
            <v>-0.0108934644057837</v>
          </cell>
          <cell r="O7">
            <v>74888.37</v>
          </cell>
          <cell r="R7">
            <v>62910.69</v>
          </cell>
          <cell r="S7">
            <v>0</v>
          </cell>
          <cell r="T7">
            <v>0</v>
          </cell>
          <cell r="V7">
            <v>83132.79</v>
          </cell>
          <cell r="W7">
            <v>0</v>
          </cell>
          <cell r="X7">
            <v>574440.67</v>
          </cell>
          <cell r="Z7">
            <v>422249.56</v>
          </cell>
          <cell r="AA7">
            <v>422249.56</v>
          </cell>
          <cell r="AC7">
            <v>0</v>
          </cell>
          <cell r="AD7">
            <v>39</v>
          </cell>
          <cell r="AE7" t="str">
            <v>✔ محصل بالكامل</v>
          </cell>
        </row>
        <row r="8">
          <cell r="C8">
            <v>46053.0</v>
          </cell>
          <cell r="E8">
            <v>46073.0</v>
          </cell>
          <cell r="F8" t="str">
            <v>معتمد</v>
          </cell>
          <cell r="G8">
            <v>1019368.5</v>
          </cell>
          <cell r="H8">
            <v>420261.56</v>
          </cell>
          <cell r="I8">
            <v>0</v>
          </cell>
          <cell r="J8">
            <v>60000</v>
          </cell>
          <cell r="K8">
            <v>1079368.5</v>
          </cell>
          <cell r="L8">
            <v>0.136129523351662</v>
          </cell>
          <cell r="M8">
            <v>0.1547</v>
          </cell>
          <cell r="N8">
            <v>-0.0185704766483379</v>
          </cell>
          <cell r="O8">
            <v>127421.06</v>
          </cell>
          <cell r="R8">
            <v>107936.85</v>
          </cell>
          <cell r="S8">
            <v>0</v>
          </cell>
          <cell r="T8">
            <v>0</v>
          </cell>
          <cell r="V8">
            <v>142792.12</v>
          </cell>
          <cell r="W8">
            <v>0</v>
          </cell>
          <cell r="X8">
            <v>986802.71</v>
          </cell>
          <cell r="Z8">
            <v>412362.04</v>
          </cell>
          <cell r="AA8">
            <v>412362.04</v>
          </cell>
          <cell r="AC8">
            <v>0</v>
          </cell>
          <cell r="AD8">
            <v>30</v>
          </cell>
          <cell r="AE8" t="str">
            <v>✔ محصل بالكامل</v>
          </cell>
        </row>
        <row r="9">
          <cell r="C9">
            <v>46081.0</v>
          </cell>
          <cell r="E9">
            <v>46102.0</v>
          </cell>
          <cell r="F9" t="str">
            <v>معتمد</v>
          </cell>
          <cell r="G9">
            <v>1412685.5</v>
          </cell>
          <cell r="H9">
            <v>393317</v>
          </cell>
          <cell r="I9">
            <v>0</v>
          </cell>
          <cell r="J9">
            <v>84000</v>
          </cell>
          <cell r="K9">
            <v>1496685.5</v>
          </cell>
          <cell r="L9">
            <v>0.188654253845204</v>
          </cell>
          <cell r="M9">
            <v>0.2144</v>
          </cell>
          <cell r="N9">
            <v>-0.0257457461547964</v>
          </cell>
          <cell r="O9">
            <v>176585.69</v>
          </cell>
          <cell r="R9">
            <v>149668.55</v>
          </cell>
          <cell r="S9">
            <v>12000</v>
          </cell>
          <cell r="T9">
            <v>0</v>
          </cell>
          <cell r="V9">
            <v>196214.97</v>
          </cell>
          <cell r="W9">
            <v>0</v>
          </cell>
          <cell r="X9">
            <v>1354646.23</v>
          </cell>
          <cell r="Z9">
            <v>367843.52</v>
          </cell>
          <cell r="AA9">
            <v>367843.52</v>
          </cell>
          <cell r="AC9">
            <v>0</v>
          </cell>
          <cell r="AD9">
            <v>37</v>
          </cell>
          <cell r="AE9" t="str">
            <v>✔ محصل بالكامل</v>
          </cell>
        </row>
        <row r="10">
          <cell r="C10">
            <v>46112.0</v>
          </cell>
          <cell r="E10">
            <v>46134.0</v>
          </cell>
          <cell r="F10" t="str">
            <v>معتمد</v>
          </cell>
          <cell r="G10">
            <v>1879411.3</v>
          </cell>
          <cell r="H10">
            <v>466725.8</v>
          </cell>
          <cell r="I10">
            <v>128000</v>
          </cell>
          <cell r="J10">
            <v>76000</v>
          </cell>
          <cell r="K10">
            <v>2083411.3</v>
          </cell>
          <cell r="L10">
            <v>0.263570377713369</v>
          </cell>
          <cell r="M10">
            <v>0.2852</v>
          </cell>
          <cell r="N10">
            <v>-0.0216296222866315</v>
          </cell>
          <cell r="O10">
            <v>250926.41</v>
          </cell>
          <cell r="R10">
            <v>208341.13</v>
          </cell>
          <cell r="S10">
            <v>12000</v>
          </cell>
          <cell r="T10">
            <v>0</v>
          </cell>
          <cell r="V10">
            <v>273072.73</v>
          </cell>
          <cell r="W10">
            <v>0</v>
          </cell>
          <cell r="X10">
            <v>1885216.49</v>
          </cell>
          <cell r="Z10">
            <v>530570.26</v>
          </cell>
          <cell r="AA10">
            <v>530570.26</v>
          </cell>
          <cell r="AC10">
            <v>0</v>
          </cell>
          <cell r="AD10">
            <v>28</v>
          </cell>
          <cell r="AE10" t="str">
            <v>✔ محصل بالكامل</v>
          </cell>
        </row>
        <row r="11">
          <cell r="C11">
            <v>46142.0</v>
          </cell>
          <cell r="E11">
            <v>46162.0</v>
          </cell>
          <cell r="F11" t="str">
            <v>معتمد</v>
          </cell>
          <cell r="G11">
            <v>2452574.25</v>
          </cell>
          <cell r="H11">
            <v>573162.95</v>
          </cell>
          <cell r="I11">
            <v>128000</v>
          </cell>
          <cell r="J11">
            <v>52000</v>
          </cell>
          <cell r="K11">
            <v>2632574.25</v>
          </cell>
          <cell r="L11">
            <v>0.338825894718184</v>
          </cell>
          <cell r="M11">
            <v>0.3722</v>
          </cell>
          <cell r="N11">
            <v>-0.0333741052818161</v>
          </cell>
          <cell r="O11">
            <v>322571.78</v>
          </cell>
          <cell r="R11">
            <v>263257.43</v>
          </cell>
          <cell r="S11">
            <v>0</v>
          </cell>
          <cell r="T11">
            <v>0</v>
          </cell>
          <cell r="V11">
            <v>346500.37</v>
          </cell>
          <cell r="W11">
            <v>0</v>
          </cell>
          <cell r="X11">
            <v>2393245.41</v>
          </cell>
          <cell r="Z11">
            <v>508028.92</v>
          </cell>
          <cell r="AA11">
            <v>508028.92</v>
          </cell>
          <cell r="AC11">
            <v>0</v>
          </cell>
          <cell r="AD11">
            <v>35</v>
          </cell>
          <cell r="AE11" t="str">
            <v>✔ محصل بالكامل</v>
          </cell>
        </row>
        <row r="12">
          <cell r="C12">
            <v>46173.0</v>
          </cell>
          <cell r="E12">
            <v>46194.0</v>
          </cell>
          <cell r="F12" t="str">
            <v>معتمد</v>
          </cell>
          <cell r="G12">
            <v>3227120.6</v>
          </cell>
          <cell r="H12">
            <v>774546.35</v>
          </cell>
          <cell r="I12">
            <v>128000</v>
          </cell>
          <cell r="J12">
            <v>100000</v>
          </cell>
          <cell r="K12">
            <v>3455120.6</v>
          </cell>
          <cell r="L12">
            <v>0.440522778673162</v>
          </cell>
          <cell r="M12">
            <v>0.4897</v>
          </cell>
          <cell r="N12">
            <v>-0.0491772213268384</v>
          </cell>
          <cell r="O12">
            <v>419390.08</v>
          </cell>
          <cell r="R12">
            <v>345512.06</v>
          </cell>
          <cell r="S12">
            <v>0</v>
          </cell>
          <cell r="T12">
            <v>0</v>
          </cell>
          <cell r="V12">
            <v>455359.58</v>
          </cell>
          <cell r="W12">
            <v>0</v>
          </cell>
          <cell r="X12">
            <v>3145578.04</v>
          </cell>
          <cell r="Z12">
            <v>752332.63</v>
          </cell>
          <cell r="AA12">
            <v>752332.63</v>
          </cell>
          <cell r="AC12">
            <v>0</v>
          </cell>
          <cell r="AD12">
            <v>26</v>
          </cell>
          <cell r="AE12" t="str">
            <v>✔ محصل بالكامل</v>
          </cell>
        </row>
        <row r="13">
          <cell r="C13">
            <v>46203.0</v>
          </cell>
          <cell r="E13">
            <v>46225.0</v>
          </cell>
          <cell r="F13" t="str">
            <v>معتمد</v>
          </cell>
          <cell r="G13">
            <v>3711943.25</v>
          </cell>
          <cell r="H13">
            <v>484822.65</v>
          </cell>
          <cell r="I13">
            <v>86000</v>
          </cell>
          <cell r="J13">
            <v>90000</v>
          </cell>
          <cell r="K13">
            <v>3887943.25</v>
          </cell>
          <cell r="L13">
            <v>0.501429948278537</v>
          </cell>
          <cell r="M13">
            <v>0.5633</v>
          </cell>
          <cell r="N13">
            <v>-0.0618700517214633</v>
          </cell>
          <cell r="O13">
            <v>474742.91</v>
          </cell>
          <cell r="R13">
            <v>378711.25</v>
          </cell>
          <cell r="S13">
            <v>11000</v>
          </cell>
          <cell r="T13">
            <v>8000</v>
          </cell>
          <cell r="V13">
            <v>510330.05</v>
          </cell>
          <cell r="W13">
            <v>0</v>
          </cell>
          <cell r="X13">
            <v>3525819.14</v>
          </cell>
          <cell r="Z13">
            <v>380241.1</v>
          </cell>
          <cell r="AA13">
            <v>380241.1</v>
          </cell>
          <cell r="AC13">
            <v>0</v>
          </cell>
          <cell r="AD13">
            <v>33</v>
          </cell>
          <cell r="AE13" t="str">
            <v>✔ محصل بالكامل</v>
          </cell>
        </row>
        <row r="14">
          <cell r="C14">
            <v>46234.0</v>
          </cell>
          <cell r="E14">
            <v>46254.0</v>
          </cell>
          <cell r="F14" t="str">
            <v>معتمد</v>
          </cell>
          <cell r="G14">
            <v>4260527.7</v>
          </cell>
          <cell r="H14">
            <v>548584.45</v>
          </cell>
          <cell r="I14">
            <v>86000</v>
          </cell>
          <cell r="J14">
            <v>60000</v>
          </cell>
          <cell r="K14">
            <v>4406527.7</v>
          </cell>
          <cell r="L14">
            <v>0.573857747822385</v>
          </cell>
          <cell r="M14">
            <v>0.6466</v>
          </cell>
          <cell r="N14">
            <v>-0.0727422521776154</v>
          </cell>
          <cell r="O14">
            <v>543315.96</v>
          </cell>
          <cell r="R14">
            <v>378711.25</v>
          </cell>
          <cell r="S14">
            <v>11000</v>
          </cell>
          <cell r="T14">
            <v>8000</v>
          </cell>
          <cell r="V14">
            <v>577831.76</v>
          </cell>
          <cell r="W14">
            <v>0</v>
          </cell>
          <cell r="X14">
            <v>4043332.25</v>
          </cell>
          <cell r="Z14">
            <v>517513.11</v>
          </cell>
          <cell r="AA14">
            <v>259000</v>
          </cell>
          <cell r="AC14">
            <v>258513.11</v>
          </cell>
          <cell r="AD14">
            <v>40</v>
          </cell>
          <cell r="AE14" t="str">
            <v>⚠ محصل جزئياً</v>
          </cell>
        </row>
        <row r="15">
          <cell r="C15">
            <v>46265.0</v>
          </cell>
          <cell r="E15" t="str">
            <v/>
          </cell>
          <cell r="F15" t="str">
            <v>تحت المراجعة</v>
          </cell>
          <cell r="G15">
            <v>4780413.2</v>
          </cell>
          <cell r="H15">
            <v>519885.5</v>
          </cell>
          <cell r="I15">
            <v>86000</v>
          </cell>
          <cell r="J15">
            <v>40000</v>
          </cell>
          <cell r="K15">
            <v>4906413.2</v>
          </cell>
          <cell r="L15">
            <v>0.642496519445884</v>
          </cell>
          <cell r="M15">
            <v>0.7255</v>
          </cell>
          <cell r="N15">
            <v>-0.0830034805541161</v>
          </cell>
          <cell r="O15">
            <v>608301.65</v>
          </cell>
          <cell r="R15">
            <v>378711.25</v>
          </cell>
          <cell r="S15">
            <v>11000</v>
          </cell>
          <cell r="T15">
            <v>8000</v>
          </cell>
          <cell r="V15">
            <v>643066.73</v>
          </cell>
          <cell r="W15">
            <v>0</v>
          </cell>
          <cell r="X15">
            <v>4543467.03</v>
          </cell>
          <cell r="Z15">
            <v>500134.78</v>
          </cell>
          <cell r="AA15">
            <v>0</v>
          </cell>
          <cell r="AC15">
            <v>500134.78</v>
          </cell>
          <cell r="AD15" t="str">
            <v/>
          </cell>
          <cell r="AE15" t="str">
            <v>⏳ بانتظار الاعتماد</v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157905</v>
          </cell>
          <cell r="F32">
            <v>138955.9</v>
          </cell>
        </row>
        <row r="33">
          <cell r="B33" t="str">
            <v>الخرسانة العادية والمسلحة</v>
          </cell>
          <cell r="E33">
            <v>2691970</v>
          </cell>
          <cell r="F33">
            <v>2368978</v>
          </cell>
        </row>
        <row r="34">
          <cell r="B34" t="str">
            <v>أعمال المباني</v>
          </cell>
          <cell r="E34">
            <v>440550</v>
          </cell>
          <cell r="F34">
            <v>387683.4</v>
          </cell>
        </row>
        <row r="35">
          <cell r="B35" t="str">
            <v>أعمال العزل</v>
          </cell>
          <cell r="E35">
            <v>165000</v>
          </cell>
          <cell r="F35">
            <v>136561.5</v>
          </cell>
        </row>
        <row r="36">
          <cell r="B36" t="str">
            <v>أعمال التشطيبات</v>
          </cell>
          <cell r="E36">
            <v>2288500</v>
          </cell>
          <cell r="F36">
            <v>1064454.6</v>
          </cell>
        </row>
        <row r="37">
          <cell r="B37" t="str">
            <v>الأعمال الكهربائية</v>
          </cell>
          <cell r="E37">
            <v>669700</v>
          </cell>
          <cell r="F37">
            <v>357775.6</v>
          </cell>
        </row>
        <row r="38">
          <cell r="B38" t="str">
            <v>الأعمال الصحية</v>
          </cell>
          <cell r="E38">
            <v>291950</v>
          </cell>
          <cell r="F38">
            <v>155972</v>
          </cell>
        </row>
        <row r="39">
          <cell r="B39" t="str">
            <v>أعمال التكييف</v>
          </cell>
          <cell r="E39">
            <v>591800</v>
          </cell>
          <cell r="F39">
            <v>170032.2</v>
          </cell>
        </row>
        <row r="40">
          <cell r="B40" t="str">
            <v>أعمال الموقع العام</v>
          </cell>
          <cell r="E40">
            <v>190850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>مشروع مجمع فلل سكنية 12 فيلا - الدمام</v>
          </cell>
        </row>
        <row r="6">
          <cell r="C6" t="str">
            <v>CT-2026-033</v>
          </cell>
        </row>
        <row r="7">
          <cell r="C7" t="str">
            <v>شركة الواحة للاستثمار العقاري</v>
          </cell>
        </row>
        <row r="8">
          <cell r="C8" t="str">
            <v>دار الخبرة للاستشارات الهندسية</v>
          </cell>
        </row>
        <row r="9">
          <cell r="C9" t="str">
            <v>شركة البناء الحديث للمقاولات</v>
          </cell>
        </row>
        <row r="11">
          <cell r="C11">
            <v>46174.0</v>
          </cell>
        </row>
        <row r="12">
          <cell r="C12">
            <v>12</v>
          </cell>
        </row>
        <row r="13">
          <cell r="C13">
            <v>46538.0</v>
          </cell>
        </row>
        <row r="14">
          <cell r="C14" t="str">
            <v>ريال سعودي</v>
          </cell>
        </row>
        <row r="16">
          <cell r="C16">
            <v>4764125</v>
          </cell>
        </row>
        <row r="17">
          <cell r="C17">
            <v>0</v>
          </cell>
        </row>
        <row r="18">
          <cell r="C18">
            <v>4764125</v>
          </cell>
        </row>
        <row r="20">
          <cell r="C20">
            <v>0.1</v>
          </cell>
        </row>
        <row r="21">
          <cell r="C21">
            <v>476412.5</v>
          </cell>
        </row>
        <row r="27">
          <cell r="C27">
            <v>0.1</v>
          </cell>
        </row>
        <row r="29">
          <cell r="C29">
            <v>238206.25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>خاص - عقد مقاولة</v>
          </cell>
        </row>
        <row r="37">
          <cell r="C37" t="str">
            <v>310123456700003</v>
          </cell>
        </row>
        <row r="39">
          <cell r="C39" t="str">
            <v>300111222300003</v>
          </cell>
        </row>
        <row r="42">
          <cell r="C42">
            <v>46905.0</v>
          </cell>
        </row>
        <row r="43">
          <cell r="C43">
            <v>46538.0</v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4164018</v>
          </cell>
        </row>
        <row r="70">
          <cell r="D70">
            <v>714308.72</v>
          </cell>
        </row>
        <row r="72">
          <cell r="D72">
            <v>174699.06</v>
          </cell>
        </row>
        <row r="73">
          <cell r="D73">
            <v>0.196510158774989</v>
          </cell>
        </row>
        <row r="74">
          <cell r="D74">
            <v>1.04375000530354</v>
          </cell>
        </row>
        <row r="76">
          <cell r="D76">
            <v>774646.696918169</v>
          </cell>
        </row>
      </sheetData>
      <sheetData sheetId="6">
        <row r="6">
          <cell r="C6">
            <v>46203.0</v>
          </cell>
          <cell r="E6">
            <v>46224.0</v>
          </cell>
          <cell r="F6" t="str">
            <v>معتمد</v>
          </cell>
          <cell r="G6">
            <v>168204.27</v>
          </cell>
          <cell r="H6">
            <v>168204.27</v>
          </cell>
          <cell r="I6">
            <v>0</v>
          </cell>
          <cell r="J6">
            <v>20000</v>
          </cell>
          <cell r="K6">
            <v>188204.27</v>
          </cell>
          <cell r="L6">
            <v>0.0353064350746465</v>
          </cell>
          <cell r="M6">
            <v>0.0364</v>
          </cell>
          <cell r="N6">
            <v>-0.00109356492535355</v>
          </cell>
          <cell r="O6">
            <v>21025.53</v>
          </cell>
          <cell r="R6">
            <v>18820.43</v>
          </cell>
          <cell r="S6">
            <v>0</v>
          </cell>
          <cell r="T6">
            <v>0</v>
          </cell>
          <cell r="V6">
            <v>25076.81</v>
          </cell>
          <cell r="W6">
            <v>0</v>
          </cell>
          <cell r="X6">
            <v>173435.12</v>
          </cell>
          <cell r="Z6">
            <v>173435.12</v>
          </cell>
          <cell r="AA6">
            <v>173435.12</v>
          </cell>
          <cell r="AC6">
            <v>0</v>
          </cell>
          <cell r="AD6">
            <v>32</v>
          </cell>
          <cell r="AE6" t="str">
            <v>✔ محصل بالكامل</v>
          </cell>
        </row>
        <row r="7">
          <cell r="C7">
            <v>46234.0</v>
          </cell>
          <cell r="E7">
            <v>46256.0</v>
          </cell>
          <cell r="F7" t="str">
            <v>معتمد</v>
          </cell>
          <cell r="G7">
            <v>523900.24</v>
          </cell>
          <cell r="H7">
            <v>355695.97</v>
          </cell>
          <cell r="I7">
            <v>0</v>
          </cell>
          <cell r="J7">
            <v>50000</v>
          </cell>
          <cell r="K7">
            <v>573900.24</v>
          </cell>
          <cell r="L7">
            <v>0.109967777923543</v>
          </cell>
          <cell r="M7">
            <v>0.1134</v>
          </cell>
          <cell r="N7">
            <v>-0.00343222207645684</v>
          </cell>
          <cell r="O7">
            <v>65487.53</v>
          </cell>
          <cell r="R7">
            <v>57390.02</v>
          </cell>
          <cell r="S7">
            <v>0</v>
          </cell>
          <cell r="T7">
            <v>0</v>
          </cell>
          <cell r="V7">
            <v>76261.91</v>
          </cell>
          <cell r="W7">
            <v>0</v>
          </cell>
          <cell r="X7">
            <v>527284.6</v>
          </cell>
          <cell r="Z7">
            <v>353849.48</v>
          </cell>
          <cell r="AA7">
            <v>353849.48</v>
          </cell>
          <cell r="AC7">
            <v>0</v>
          </cell>
          <cell r="AD7">
            <v>39</v>
          </cell>
          <cell r="AE7" t="str">
            <v>✔ محصل بالكامل</v>
          </cell>
        </row>
        <row r="8">
          <cell r="C8">
            <v>46265.0</v>
          </cell>
          <cell r="E8" t="str">
            <v/>
          </cell>
          <cell r="F8" t="str">
            <v>تحت المراجعة</v>
          </cell>
          <cell r="G8">
            <v>853007.78</v>
          </cell>
          <cell r="H8">
            <v>329107.54</v>
          </cell>
          <cell r="I8">
            <v>0</v>
          </cell>
          <cell r="J8">
            <v>36000</v>
          </cell>
          <cell r="K8">
            <v>889007.78</v>
          </cell>
          <cell r="L8">
            <v>0.179048152598851</v>
          </cell>
          <cell r="M8">
            <v>0.1846</v>
          </cell>
          <cell r="N8">
            <v>-0.0055518474011492</v>
          </cell>
          <cell r="O8">
            <v>106625.97</v>
          </cell>
          <cell r="R8">
            <v>88900.78</v>
          </cell>
          <cell r="S8">
            <v>6000</v>
          </cell>
          <cell r="T8">
            <v>0</v>
          </cell>
          <cell r="V8">
            <v>116457.27</v>
          </cell>
          <cell r="W8">
            <v>0</v>
          </cell>
          <cell r="X8">
            <v>803938.3</v>
          </cell>
          <cell r="Z8">
            <v>276653.7</v>
          </cell>
          <cell r="AA8">
            <v>0</v>
          </cell>
          <cell r="AC8">
            <v>276653.7</v>
          </cell>
          <cell r="AD8" t="str">
            <v/>
          </cell>
          <cell r="AE8" t="str">
            <v>⏳ بانتظار الاعتماد</v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100485</v>
          </cell>
          <cell r="F32">
            <v>97471.38</v>
          </cell>
        </row>
        <row r="33">
          <cell r="B33" t="str">
            <v>الخرسانة العادية والمسلحة</v>
          </cell>
          <cell r="E33">
            <v>1713090</v>
          </cell>
          <cell r="F33">
            <v>738561.2</v>
          </cell>
        </row>
        <row r="34">
          <cell r="B34" t="str">
            <v>أعمال المباني</v>
          </cell>
          <cell r="E34">
            <v>280350</v>
          </cell>
          <cell r="F34">
            <v>0</v>
          </cell>
        </row>
        <row r="35">
          <cell r="B35" t="str">
            <v>أعمال العزل</v>
          </cell>
          <cell r="E35">
            <v>105000</v>
          </cell>
          <cell r="F35">
            <v>16975.2</v>
          </cell>
        </row>
        <row r="36">
          <cell r="B36" t="str">
            <v>أعمال التشطيبات</v>
          </cell>
          <cell r="E36">
            <v>1456200</v>
          </cell>
          <cell r="F36">
            <v>0</v>
          </cell>
        </row>
        <row r="37">
          <cell r="B37" t="str">
            <v>الأعمال الكهربائية</v>
          </cell>
          <cell r="E37">
            <v>424400</v>
          </cell>
          <cell r="F37">
            <v>0</v>
          </cell>
        </row>
        <row r="38">
          <cell r="B38" t="str">
            <v>الأعمال الصحية</v>
          </cell>
          <cell r="E38">
            <v>186550</v>
          </cell>
          <cell r="F38">
            <v>0</v>
          </cell>
        </row>
        <row r="39">
          <cell r="B39" t="str">
            <v>أعمال التكييف</v>
          </cell>
          <cell r="E39">
            <v>376600</v>
          </cell>
          <cell r="F39">
            <v>0</v>
          </cell>
        </row>
        <row r="40">
          <cell r="B40" t="str">
            <v>أعمال الموقع العام</v>
          </cell>
          <cell r="E40">
            <v>121450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24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25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26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27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28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29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30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31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32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33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34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35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36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37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38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39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40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41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42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43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44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45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46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47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48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49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externalLinks/externalLink50.xml><?xml version="1.0" encoding="utf-8"?>
<externalLink xmlns:r="http://schemas.openxmlformats.org/officeDocument/2006/relationships" xmlns="http://schemas.openxmlformats.org/spreadsheetml/2006/main">
  <externalBook r:id="rId1">
    <sheetNames>
      <sheetName val="التعليمات"/>
      <sheetName val="بيانات العقد"/>
      <sheetName val="جدول الكميات"/>
      <sheetName val="الأوامر التغييرية"/>
      <sheetName val="الاستقطاعات الفنية"/>
      <sheetName val="الموازنة والتكاليف"/>
      <sheetName val="سجل المستخلصات"/>
      <sheetName val="مستخلص 01"/>
      <sheetName val="مستخلص 02"/>
      <sheetName val="مستخلص 03"/>
      <sheetName val="مستخلص 04"/>
      <sheetName val="مستخلص 05"/>
      <sheetName val="مستخلص 06"/>
      <sheetName val="مستخلص 07"/>
      <sheetName val="مستخلص 08"/>
      <sheetName val="مستخلص 09"/>
      <sheetName val="مستخلص 10"/>
      <sheetName val="مستخلص 11"/>
      <sheetName val="مستخلص 12"/>
      <sheetName val="مستخلص 13"/>
      <sheetName val="مستخلص 14"/>
      <sheetName val="مستخلص 15"/>
      <sheetName val="مستخلص 16"/>
      <sheetName val="مستخلص 17"/>
      <sheetName val="مستخلص 18"/>
      <sheetName val="مستخلص 19"/>
      <sheetName val="مستخلص 20"/>
    </sheetNames>
    <sheetDataSet>
      <sheetData sheetId="1"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>ريال سعودي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20">
          <cell r="C20">
            <v>0.1</v>
          </cell>
        </row>
        <row r="21">
          <cell r="C21">
            <v>0</v>
          </cell>
        </row>
        <row r="27">
          <cell r="C27">
            <v>0.1</v>
          </cell>
        </row>
        <row r="29">
          <cell r="C29">
            <v>0</v>
          </cell>
        </row>
        <row r="31">
          <cell r="C31">
            <v>0.15</v>
          </cell>
        </row>
        <row r="33">
          <cell r="C33">
            <v>0</v>
          </cell>
        </row>
        <row r="36">
          <cell r="C36" t="str">
            <v/>
          </cell>
        </row>
        <row r="37">
          <cell r="C37" t="str">
            <v/>
          </cell>
        </row>
        <row r="39">
          <cell r="C39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7">
          <cell r="C47" t="str">
            <v>✔ ضمن الحد المسموح</v>
          </cell>
        </row>
      </sheetData>
      <sheetData sheetId="5">
        <row r="66">
          <cell r="D66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6">
          <cell r="D76">
            <v>0</v>
          </cell>
        </row>
      </sheetData>
      <sheetData sheetId="6">
        <row r="6">
          <cell r="C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R6" t="str">
            <v/>
          </cell>
          <cell r="S6" t="str">
            <v/>
          </cell>
          <cell r="T6" t="str">
            <v/>
          </cell>
          <cell r="V6" t="str">
            <v/>
          </cell>
          <cell r="W6" t="str">
            <v/>
          </cell>
          <cell r="X6" t="str">
            <v/>
          </cell>
          <cell r="Z6" t="str">
            <v/>
          </cell>
          <cell r="AA6" t="str">
            <v/>
          </cell>
          <cell r="AC6" t="str">
            <v/>
          </cell>
          <cell r="AD6" t="str">
            <v/>
          </cell>
          <cell r="AE6" t="str">
            <v/>
          </cell>
        </row>
        <row r="7">
          <cell r="C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R7" t="str">
            <v/>
          </cell>
          <cell r="S7" t="str">
            <v/>
          </cell>
          <cell r="T7" t="str">
            <v/>
          </cell>
          <cell r="V7" t="str">
            <v/>
          </cell>
          <cell r="W7" t="str">
            <v/>
          </cell>
          <cell r="X7" t="str">
            <v/>
          </cell>
          <cell r="Z7" t="str">
            <v/>
          </cell>
          <cell r="AA7" t="str">
            <v/>
          </cell>
          <cell r="AC7" t="str">
            <v/>
          </cell>
          <cell r="AD7" t="str">
            <v/>
          </cell>
          <cell r="AE7" t="str">
            <v/>
          </cell>
        </row>
        <row r="8">
          <cell r="C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R8" t="str">
            <v/>
          </cell>
          <cell r="S8" t="str">
            <v/>
          </cell>
          <cell r="T8" t="str">
            <v/>
          </cell>
          <cell r="V8" t="str">
            <v/>
          </cell>
          <cell r="W8" t="str">
            <v/>
          </cell>
          <cell r="X8" t="str">
            <v/>
          </cell>
          <cell r="Z8" t="str">
            <v/>
          </cell>
          <cell r="AA8" t="str">
            <v/>
          </cell>
          <cell r="AC8" t="str">
            <v/>
          </cell>
          <cell r="AD8" t="str">
            <v/>
          </cell>
          <cell r="AE8" t="str">
            <v/>
          </cell>
        </row>
        <row r="9">
          <cell r="C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R9" t="str">
            <v/>
          </cell>
          <cell r="S9" t="str">
            <v/>
          </cell>
          <cell r="T9" t="str">
            <v/>
          </cell>
          <cell r="V9" t="str">
            <v/>
          </cell>
          <cell r="W9" t="str">
            <v/>
          </cell>
          <cell r="X9" t="str">
            <v/>
          </cell>
          <cell r="Z9" t="str">
            <v/>
          </cell>
          <cell r="AA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C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Z10" t="str">
            <v/>
          </cell>
          <cell r="AA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C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Z11" t="str">
            <v/>
          </cell>
          <cell r="AA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C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C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C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C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C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C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C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C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C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C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C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C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C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C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32">
          <cell r="B32" t="str">
            <v>أعمال الحفر والردم</v>
          </cell>
          <cell r="E32">
            <v>0</v>
          </cell>
          <cell r="F32">
            <v>0</v>
          </cell>
        </row>
        <row r="33">
          <cell r="B33" t="str">
            <v>الخرسانة العادية والمسلحة</v>
          </cell>
          <cell r="E33">
            <v>0</v>
          </cell>
          <cell r="F33">
            <v>0</v>
          </cell>
        </row>
        <row r="34">
          <cell r="B34" t="str">
            <v>أعمال المباني</v>
          </cell>
          <cell r="E34">
            <v>0</v>
          </cell>
          <cell r="F34">
            <v>0</v>
          </cell>
        </row>
        <row r="35">
          <cell r="B35" t="str">
            <v>أعمال العزل</v>
          </cell>
          <cell r="E35">
            <v>0</v>
          </cell>
          <cell r="F35">
            <v>0</v>
          </cell>
        </row>
        <row r="36">
          <cell r="B36" t="str">
            <v>أعمال التشطيبات</v>
          </cell>
          <cell r="E36">
            <v>0</v>
          </cell>
          <cell r="F36">
            <v>0</v>
          </cell>
        </row>
        <row r="37">
          <cell r="B37" t="str">
            <v>الأعمال الكهربائية</v>
          </cell>
          <cell r="E37">
            <v>0</v>
          </cell>
          <cell r="F37">
            <v>0</v>
          </cell>
        </row>
        <row r="38">
          <cell r="B38" t="str">
            <v>الأعمال الصحية</v>
          </cell>
          <cell r="E38">
            <v>0</v>
          </cell>
          <cell r="F38">
            <v>0</v>
          </cell>
        </row>
        <row r="39">
          <cell r="B39" t="str">
            <v>أعمال التكييف</v>
          </cell>
          <cell r="E39">
            <v>0</v>
          </cell>
          <cell r="F39">
            <v>0</v>
          </cell>
        </row>
        <row r="40">
          <cell r="B40" t="str">
            <v>أعمال الموقع العام</v>
          </cell>
          <cell r="E40">
            <v>0</v>
          </cell>
          <cell r="F40">
            <v>0</v>
          </cell>
        </row>
        <row r="41">
          <cell r="B41" t="str">
            <v/>
          </cell>
          <cell r="E41">
            <v>0</v>
          </cell>
          <cell r="F41">
            <v>0</v>
          </cell>
        </row>
        <row r="42">
          <cell r="B42" t="str">
            <v/>
          </cell>
          <cell r="E42">
            <v>0</v>
          </cell>
          <cell r="F42">
            <v>0</v>
          </cell>
        </row>
        <row r="43">
          <cell r="B43" t="str">
            <v/>
          </cell>
          <cell r="E43">
            <v>0</v>
          </cell>
          <cell r="F4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Project_01/IPC_Project_01.xlsx" TargetMode="External" Id="rId1" /><Relationship Type="http://schemas.openxmlformats.org/officeDocument/2006/relationships/drawing" Target="/xl/drawings/drawing1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Project_02/IPC_Project_02.xlsx" TargetMode="External" Id="rId1" /><Relationship Type="http://schemas.openxmlformats.org/officeDocument/2006/relationships/drawing" Target="/xl/drawings/drawing2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Project_03/IPC_Project_03.xlsx" TargetMode="External" Id="rId1" /><Relationship Type="http://schemas.openxmlformats.org/officeDocument/2006/relationships/drawing" Target="/xl/drawings/drawing3.xml" Id="rId2" /></Relationships>
</file>

<file path=xl/worksheets/_rels/sheet5.xml.rels><Relationships xmlns="http://schemas.openxmlformats.org/package/2006/relationships"><Relationship Type="http://schemas.openxmlformats.org/officeDocument/2006/relationships/hyperlink" Target="Project_04/IPC_Project_04.xlsx" TargetMode="External" Id="rId1" /><Relationship Type="http://schemas.openxmlformats.org/officeDocument/2006/relationships/drawing" Target="/xl/drawings/drawing4.xml" Id="rId2" /></Relationships>
</file>

<file path=xl/worksheets/_rels/sheet6.xml.rels><Relationships xmlns="http://schemas.openxmlformats.org/package/2006/relationships"><Relationship Type="http://schemas.openxmlformats.org/officeDocument/2006/relationships/hyperlink" Target="Project_05/IPC_Project_05.xlsx" TargetMode="External" Id="rId1" /><Relationship Type="http://schemas.openxmlformats.org/officeDocument/2006/relationships/drawing" Target="/xl/drawings/drawing5.xml" Id="rId2" /></Relationships>
</file>

<file path=xl/worksheets/_rels/sheet7.xml.rels><Relationships xmlns="http://schemas.openxmlformats.org/package/2006/relationships"><Relationship Type="http://schemas.openxmlformats.org/officeDocument/2006/relationships/hyperlink" Target="Project_06/IPC_Project_06.xlsx" TargetMode="External" Id="rId1" /><Relationship Type="http://schemas.openxmlformats.org/officeDocument/2006/relationships/drawing" Target="/xl/drawings/drawing6.xml" Id="rId2" /></Relationships>
</file>

<file path=xl/worksheets/_rels/sheet8.xml.rels><Relationships xmlns="http://schemas.openxmlformats.org/package/2006/relationships"><Relationship Type="http://schemas.openxmlformats.org/officeDocument/2006/relationships/hyperlink" Target="Project_07/IPC_Project_07.xlsx" TargetMode="External" Id="rId1" /><Relationship Type="http://schemas.openxmlformats.org/officeDocument/2006/relationships/drawing" Target="/xl/drawings/drawing7.xml" Id="rId2" /></Relationships>
</file>

<file path=xl/worksheets/_rels/sheet9.xml.rels><Relationships xmlns="http://schemas.openxmlformats.org/package/2006/relationships"><Relationship Type="http://schemas.openxmlformats.org/officeDocument/2006/relationships/hyperlink" Target="Project_08/IPC_Project_08.xlsx" TargetMode="External" Id="rId1" /><Relationship Type="http://schemas.openxmlformats.org/officeDocument/2006/relationships/drawing" Target="/xl/drawings/drawing8.xm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Project_09/IPC_Project_09.xlsx" TargetMode="External" Id="rId1" /><Relationship Type="http://schemas.openxmlformats.org/officeDocument/2006/relationships/drawing" Target="/xl/drawings/drawing9.xm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Project_10/IPC_Project_10.xlsx" TargetMode="External" Id="rId1" /><Relationship Type="http://schemas.openxmlformats.org/officeDocument/2006/relationships/drawing" Target="/xl/drawings/drawing10.xm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Project_11/IPC_Project_11.xlsx" TargetMode="External" Id="rId1" /><Relationship Type="http://schemas.openxmlformats.org/officeDocument/2006/relationships/drawing" Target="/xl/drawings/drawing11.xm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Project_12/IPC_Project_12.xlsx" TargetMode="External" Id="rId1" /><Relationship Type="http://schemas.openxmlformats.org/officeDocument/2006/relationships/drawing" Target="/xl/drawings/drawing12.xm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Project_13/IPC_Project_13.xlsx" TargetMode="External" Id="rId1" /><Relationship Type="http://schemas.openxmlformats.org/officeDocument/2006/relationships/drawing" Target="/xl/drawings/drawing13.xm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Project_14/IPC_Project_14.xlsx" TargetMode="External" Id="rId1" /><Relationship Type="http://schemas.openxmlformats.org/officeDocument/2006/relationships/drawing" Target="/xl/drawings/drawing14.xml" Id="rId2" /></Relationships>
</file>

<file path=xl/worksheets/_rels/sheet16.xml.rels><Relationships xmlns="http://schemas.openxmlformats.org/package/2006/relationships"><Relationship Type="http://schemas.openxmlformats.org/officeDocument/2006/relationships/hyperlink" Target="Project_15/IPC_Project_15.xlsx" TargetMode="External" Id="rId1" /><Relationship Type="http://schemas.openxmlformats.org/officeDocument/2006/relationships/drawing" Target="/xl/drawings/drawing15.xml" Id="rId2" /></Relationships>
</file>

<file path=xl/worksheets/_rels/sheet17.xml.rels><Relationships xmlns="http://schemas.openxmlformats.org/package/2006/relationships"><Relationship Type="http://schemas.openxmlformats.org/officeDocument/2006/relationships/hyperlink" Target="Project_16/IPC_Project_16.xlsx" TargetMode="External" Id="rId1" /><Relationship Type="http://schemas.openxmlformats.org/officeDocument/2006/relationships/drawing" Target="/xl/drawings/drawing16.xml" Id="rId2" /></Relationships>
</file>

<file path=xl/worksheets/_rels/sheet18.xml.rels><Relationships xmlns="http://schemas.openxmlformats.org/package/2006/relationships"><Relationship Type="http://schemas.openxmlformats.org/officeDocument/2006/relationships/hyperlink" Target="Project_17/IPC_Project_17.xlsx" TargetMode="External" Id="rId1" /><Relationship Type="http://schemas.openxmlformats.org/officeDocument/2006/relationships/drawing" Target="/xl/drawings/drawing17.xml" Id="rId2" /></Relationships>
</file>

<file path=xl/worksheets/_rels/sheet19.xml.rels><Relationships xmlns="http://schemas.openxmlformats.org/package/2006/relationships"><Relationship Type="http://schemas.openxmlformats.org/officeDocument/2006/relationships/hyperlink" Target="Project_18/IPC_Project_18.xlsx" TargetMode="External" Id="rId1" /><Relationship Type="http://schemas.openxmlformats.org/officeDocument/2006/relationships/drawing" Target="/xl/drawings/drawing18.xml" Id="rId2" /></Relationships>
</file>

<file path=xl/worksheets/_rels/sheet20.xml.rels><Relationships xmlns="http://schemas.openxmlformats.org/package/2006/relationships"><Relationship Type="http://schemas.openxmlformats.org/officeDocument/2006/relationships/hyperlink" Target="Project_19/IPC_Project_19.xlsx" TargetMode="External" Id="rId1" /><Relationship Type="http://schemas.openxmlformats.org/officeDocument/2006/relationships/drawing" Target="/xl/drawings/drawing19.xml" Id="rId2" /></Relationships>
</file>

<file path=xl/worksheets/_rels/sheet21.xml.rels><Relationships xmlns="http://schemas.openxmlformats.org/package/2006/relationships"><Relationship Type="http://schemas.openxmlformats.org/officeDocument/2006/relationships/hyperlink" Target="Project_20/IPC_Project_20.xlsx" TargetMode="External" Id="rId1" /><Relationship Type="http://schemas.openxmlformats.org/officeDocument/2006/relationships/drawing" Target="/xl/drawings/drawing20.xml" Id="rId2" /></Relationships>
</file>

<file path=xl/worksheets/_rels/sheet22.xml.rels><Relationships xmlns="http://schemas.openxmlformats.org/package/2006/relationships"><Relationship Type="http://schemas.openxmlformats.org/officeDocument/2006/relationships/hyperlink" Target="Project_21/IPC_Project_21.xlsx" TargetMode="External" Id="rId1" /><Relationship Type="http://schemas.openxmlformats.org/officeDocument/2006/relationships/drawing" Target="/xl/drawings/drawing21.xml" Id="rId2" /></Relationships>
</file>

<file path=xl/worksheets/_rels/sheet23.xml.rels><Relationships xmlns="http://schemas.openxmlformats.org/package/2006/relationships"><Relationship Type="http://schemas.openxmlformats.org/officeDocument/2006/relationships/hyperlink" Target="Project_22/IPC_Project_22.xlsx" TargetMode="External" Id="rId1" /><Relationship Type="http://schemas.openxmlformats.org/officeDocument/2006/relationships/drawing" Target="/xl/drawings/drawing22.xml" Id="rId2" /></Relationships>
</file>

<file path=xl/worksheets/_rels/sheet24.xml.rels><Relationships xmlns="http://schemas.openxmlformats.org/package/2006/relationships"><Relationship Type="http://schemas.openxmlformats.org/officeDocument/2006/relationships/hyperlink" Target="Project_23/IPC_Project_23.xlsx" TargetMode="External" Id="rId1" /><Relationship Type="http://schemas.openxmlformats.org/officeDocument/2006/relationships/drawing" Target="/xl/drawings/drawing23.xml" Id="rId2" /></Relationships>
</file>

<file path=xl/worksheets/_rels/sheet25.xml.rels><Relationships xmlns="http://schemas.openxmlformats.org/package/2006/relationships"><Relationship Type="http://schemas.openxmlformats.org/officeDocument/2006/relationships/hyperlink" Target="Project_24/IPC_Project_24.xlsx" TargetMode="External" Id="rId1" /><Relationship Type="http://schemas.openxmlformats.org/officeDocument/2006/relationships/drawing" Target="/xl/drawings/drawing24.xml" Id="rId2" /></Relationships>
</file>

<file path=xl/worksheets/_rels/sheet26.xml.rels><Relationships xmlns="http://schemas.openxmlformats.org/package/2006/relationships"><Relationship Type="http://schemas.openxmlformats.org/officeDocument/2006/relationships/hyperlink" Target="Project_25/IPC_Project_25.xlsx" TargetMode="External" Id="rId1" /><Relationship Type="http://schemas.openxmlformats.org/officeDocument/2006/relationships/drawing" Target="/xl/drawings/drawing25.xml" Id="rId2" /></Relationships>
</file>

<file path=xl/worksheets/_rels/sheet27.xml.rels><Relationships xmlns="http://schemas.openxmlformats.org/package/2006/relationships"><Relationship Type="http://schemas.openxmlformats.org/officeDocument/2006/relationships/hyperlink" Target="Project_26/IPC_Project_26.xlsx" TargetMode="External" Id="rId1" /><Relationship Type="http://schemas.openxmlformats.org/officeDocument/2006/relationships/drawing" Target="/xl/drawings/drawing26.xml" Id="rId2" /></Relationships>
</file>

<file path=xl/worksheets/_rels/sheet28.xml.rels><Relationships xmlns="http://schemas.openxmlformats.org/package/2006/relationships"><Relationship Type="http://schemas.openxmlformats.org/officeDocument/2006/relationships/hyperlink" Target="Project_27/IPC_Project_27.xlsx" TargetMode="External" Id="rId1" /><Relationship Type="http://schemas.openxmlformats.org/officeDocument/2006/relationships/drawing" Target="/xl/drawings/drawing27.xml" Id="rId2" /></Relationships>
</file>

<file path=xl/worksheets/_rels/sheet29.xml.rels><Relationships xmlns="http://schemas.openxmlformats.org/package/2006/relationships"><Relationship Type="http://schemas.openxmlformats.org/officeDocument/2006/relationships/hyperlink" Target="Project_28/IPC_Project_28.xlsx" TargetMode="External" Id="rId1" /><Relationship Type="http://schemas.openxmlformats.org/officeDocument/2006/relationships/drawing" Target="/xl/drawings/drawing28.xml" Id="rId2" /></Relationships>
</file>

<file path=xl/worksheets/_rels/sheet30.xml.rels><Relationships xmlns="http://schemas.openxmlformats.org/package/2006/relationships"><Relationship Type="http://schemas.openxmlformats.org/officeDocument/2006/relationships/hyperlink" Target="Project_29/IPC_Project_29.xlsx" TargetMode="External" Id="rId1" /><Relationship Type="http://schemas.openxmlformats.org/officeDocument/2006/relationships/drawing" Target="/xl/drawings/drawing29.xml" Id="rId2" /></Relationships>
</file>

<file path=xl/worksheets/_rels/sheet31.xml.rels><Relationships xmlns="http://schemas.openxmlformats.org/package/2006/relationships"><Relationship Type="http://schemas.openxmlformats.org/officeDocument/2006/relationships/hyperlink" Target="Project_30/IPC_Project_30.xlsx" TargetMode="External" Id="rId1" /><Relationship Type="http://schemas.openxmlformats.org/officeDocument/2006/relationships/drawing" Target="/xl/drawings/drawing30.xml" Id="rId2" /></Relationships>
</file>

<file path=xl/worksheets/_rels/sheet32.xml.rels><Relationships xmlns="http://schemas.openxmlformats.org/package/2006/relationships"><Relationship Type="http://schemas.openxmlformats.org/officeDocument/2006/relationships/hyperlink" Target="Project_31/IPC_Project_31.xlsx" TargetMode="External" Id="rId1" /><Relationship Type="http://schemas.openxmlformats.org/officeDocument/2006/relationships/drawing" Target="/xl/drawings/drawing31.xml" Id="rId2" /></Relationships>
</file>

<file path=xl/worksheets/_rels/sheet33.xml.rels><Relationships xmlns="http://schemas.openxmlformats.org/package/2006/relationships"><Relationship Type="http://schemas.openxmlformats.org/officeDocument/2006/relationships/hyperlink" Target="Project_32/IPC_Project_32.xlsx" TargetMode="External" Id="rId1" /><Relationship Type="http://schemas.openxmlformats.org/officeDocument/2006/relationships/drawing" Target="/xl/drawings/drawing32.xml" Id="rId2" /></Relationships>
</file>

<file path=xl/worksheets/_rels/sheet34.xml.rels><Relationships xmlns="http://schemas.openxmlformats.org/package/2006/relationships"><Relationship Type="http://schemas.openxmlformats.org/officeDocument/2006/relationships/hyperlink" Target="Project_33/IPC_Project_33.xlsx" TargetMode="External" Id="rId1" /><Relationship Type="http://schemas.openxmlformats.org/officeDocument/2006/relationships/drawing" Target="/xl/drawings/drawing33.xml" Id="rId2" /></Relationships>
</file>

<file path=xl/worksheets/_rels/sheet35.xml.rels><Relationships xmlns="http://schemas.openxmlformats.org/package/2006/relationships"><Relationship Type="http://schemas.openxmlformats.org/officeDocument/2006/relationships/hyperlink" Target="Project_34/IPC_Project_34.xlsx" TargetMode="External" Id="rId1" /><Relationship Type="http://schemas.openxmlformats.org/officeDocument/2006/relationships/drawing" Target="/xl/drawings/drawing34.xml" Id="rId2" /></Relationships>
</file>

<file path=xl/worksheets/_rels/sheet36.xml.rels><Relationships xmlns="http://schemas.openxmlformats.org/package/2006/relationships"><Relationship Type="http://schemas.openxmlformats.org/officeDocument/2006/relationships/hyperlink" Target="Project_35/IPC_Project_35.xlsx" TargetMode="External" Id="rId1" /><Relationship Type="http://schemas.openxmlformats.org/officeDocument/2006/relationships/drawing" Target="/xl/drawings/drawing35.xml" Id="rId2" /></Relationships>
</file>

<file path=xl/worksheets/_rels/sheet37.xml.rels><Relationships xmlns="http://schemas.openxmlformats.org/package/2006/relationships"><Relationship Type="http://schemas.openxmlformats.org/officeDocument/2006/relationships/hyperlink" Target="Project_36/IPC_Project_36.xlsx" TargetMode="External" Id="rId1" /><Relationship Type="http://schemas.openxmlformats.org/officeDocument/2006/relationships/drawing" Target="/xl/drawings/drawing36.xml" Id="rId2" /></Relationships>
</file>

<file path=xl/worksheets/_rels/sheet38.xml.rels><Relationships xmlns="http://schemas.openxmlformats.org/package/2006/relationships"><Relationship Type="http://schemas.openxmlformats.org/officeDocument/2006/relationships/hyperlink" Target="Project_37/IPC_Project_37.xlsx" TargetMode="External" Id="rId1" /><Relationship Type="http://schemas.openxmlformats.org/officeDocument/2006/relationships/drawing" Target="/xl/drawings/drawing37.xml" Id="rId2" /></Relationships>
</file>

<file path=xl/worksheets/_rels/sheet39.xml.rels><Relationships xmlns="http://schemas.openxmlformats.org/package/2006/relationships"><Relationship Type="http://schemas.openxmlformats.org/officeDocument/2006/relationships/hyperlink" Target="Project_38/IPC_Project_38.xlsx" TargetMode="External" Id="rId1" /><Relationship Type="http://schemas.openxmlformats.org/officeDocument/2006/relationships/drawing" Target="/xl/drawings/drawing38.xml" Id="rId2" /></Relationships>
</file>

<file path=xl/worksheets/_rels/sheet40.xml.rels><Relationships xmlns="http://schemas.openxmlformats.org/package/2006/relationships"><Relationship Type="http://schemas.openxmlformats.org/officeDocument/2006/relationships/hyperlink" Target="Project_39/IPC_Project_39.xlsx" TargetMode="External" Id="rId1" /><Relationship Type="http://schemas.openxmlformats.org/officeDocument/2006/relationships/drawing" Target="/xl/drawings/drawing39.xml" Id="rId2" /></Relationships>
</file>

<file path=xl/worksheets/_rels/sheet41.xml.rels><Relationships xmlns="http://schemas.openxmlformats.org/package/2006/relationships"><Relationship Type="http://schemas.openxmlformats.org/officeDocument/2006/relationships/hyperlink" Target="Project_40/IPC_Project_40.xlsx" TargetMode="External" Id="rId1" /><Relationship Type="http://schemas.openxmlformats.org/officeDocument/2006/relationships/drawing" Target="/xl/drawings/drawing40.xml" Id="rId2" /></Relationships>
</file>

<file path=xl/worksheets/_rels/sheet42.xml.rels><Relationships xmlns="http://schemas.openxmlformats.org/package/2006/relationships"><Relationship Type="http://schemas.openxmlformats.org/officeDocument/2006/relationships/hyperlink" Target="Project_41/IPC_Project_41.xlsx" TargetMode="External" Id="rId1" /><Relationship Type="http://schemas.openxmlformats.org/officeDocument/2006/relationships/drawing" Target="/xl/drawings/drawing41.xml" Id="rId2" /></Relationships>
</file>

<file path=xl/worksheets/_rels/sheet43.xml.rels><Relationships xmlns="http://schemas.openxmlformats.org/package/2006/relationships"><Relationship Type="http://schemas.openxmlformats.org/officeDocument/2006/relationships/hyperlink" Target="Project_42/IPC_Project_42.xlsx" TargetMode="External" Id="rId1" /><Relationship Type="http://schemas.openxmlformats.org/officeDocument/2006/relationships/drawing" Target="/xl/drawings/drawing42.xml" Id="rId2" /></Relationships>
</file>

<file path=xl/worksheets/_rels/sheet44.xml.rels><Relationships xmlns="http://schemas.openxmlformats.org/package/2006/relationships"><Relationship Type="http://schemas.openxmlformats.org/officeDocument/2006/relationships/hyperlink" Target="Project_43/IPC_Project_43.xlsx" TargetMode="External" Id="rId1" /><Relationship Type="http://schemas.openxmlformats.org/officeDocument/2006/relationships/drawing" Target="/xl/drawings/drawing43.xml" Id="rId2" /></Relationships>
</file>

<file path=xl/worksheets/_rels/sheet45.xml.rels><Relationships xmlns="http://schemas.openxmlformats.org/package/2006/relationships"><Relationship Type="http://schemas.openxmlformats.org/officeDocument/2006/relationships/hyperlink" Target="Project_44/IPC_Project_44.xlsx" TargetMode="External" Id="rId1" /><Relationship Type="http://schemas.openxmlformats.org/officeDocument/2006/relationships/drawing" Target="/xl/drawings/drawing44.xml" Id="rId2" /></Relationships>
</file>

<file path=xl/worksheets/_rels/sheet46.xml.rels><Relationships xmlns="http://schemas.openxmlformats.org/package/2006/relationships"><Relationship Type="http://schemas.openxmlformats.org/officeDocument/2006/relationships/hyperlink" Target="Project_45/IPC_Project_45.xlsx" TargetMode="External" Id="rId1" /><Relationship Type="http://schemas.openxmlformats.org/officeDocument/2006/relationships/drawing" Target="/xl/drawings/drawing45.xml" Id="rId2" /></Relationships>
</file>

<file path=xl/worksheets/_rels/sheet47.xml.rels><Relationships xmlns="http://schemas.openxmlformats.org/package/2006/relationships"><Relationship Type="http://schemas.openxmlformats.org/officeDocument/2006/relationships/hyperlink" Target="Project_46/IPC_Project_46.xlsx" TargetMode="External" Id="rId1" /><Relationship Type="http://schemas.openxmlformats.org/officeDocument/2006/relationships/drawing" Target="/xl/drawings/drawing46.xml" Id="rId2" /></Relationships>
</file>

<file path=xl/worksheets/_rels/sheet48.xml.rels><Relationships xmlns="http://schemas.openxmlformats.org/package/2006/relationships"><Relationship Type="http://schemas.openxmlformats.org/officeDocument/2006/relationships/hyperlink" Target="Project_47/IPC_Project_47.xlsx" TargetMode="External" Id="rId1" /><Relationship Type="http://schemas.openxmlformats.org/officeDocument/2006/relationships/drawing" Target="/xl/drawings/drawing47.xml" Id="rId2" /></Relationships>
</file>

<file path=xl/worksheets/_rels/sheet49.xml.rels><Relationships xmlns="http://schemas.openxmlformats.org/package/2006/relationships"><Relationship Type="http://schemas.openxmlformats.org/officeDocument/2006/relationships/hyperlink" Target="Project_48/IPC_Project_48.xlsx" TargetMode="External" Id="rId1" /><Relationship Type="http://schemas.openxmlformats.org/officeDocument/2006/relationships/drawing" Target="/xl/drawings/drawing48.xml" Id="rId2" /></Relationships>
</file>

<file path=xl/worksheets/_rels/sheet50.xml.rels><Relationships xmlns="http://schemas.openxmlformats.org/package/2006/relationships"><Relationship Type="http://schemas.openxmlformats.org/officeDocument/2006/relationships/hyperlink" Target="Project_49/IPC_Project_49.xlsx" TargetMode="External" Id="rId1" /><Relationship Type="http://schemas.openxmlformats.org/officeDocument/2006/relationships/drawing" Target="/xl/drawings/drawing49.xml" Id="rId2" /></Relationships>
</file>

<file path=xl/worksheets/_rels/sheet51.xml.rels><Relationships xmlns="http://schemas.openxmlformats.org/package/2006/relationships"><Relationship Type="http://schemas.openxmlformats.org/officeDocument/2006/relationships/hyperlink" Target="Project_50/IPC_Project_50.xlsx" TargetMode="External" Id="rId1" /><Relationship Type="http://schemas.openxmlformats.org/officeDocument/2006/relationships/drawing" Target="/xl/drawings/drawing50.xml" Id="rId2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8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95" customWidth="1" min="3" max="3"/>
  </cols>
  <sheetData>
    <row r="1" ht="38" customHeight="1">
      <c r="B1" s="1" t="inlineStr">
        <is>
          <t>📘 نظام تتبع المستخلصات متعدد المشاريع — دليل الاستخدام والربط</t>
        </is>
      </c>
      <c r="C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</row>
    <row r="3" ht="26" customHeight="1">
      <c r="B3" s="3" t="inlineStr">
        <is>
          <t>🏠 الإجمالي العام</t>
        </is>
      </c>
      <c r="C3" s="4" t="inlineStr">
        <is>
          <t>📊 تقرير المشروع 01</t>
        </is>
      </c>
    </row>
    <row r="5" ht="22" customHeight="1">
      <c r="B5" s="5" t="inlineStr">
        <is>
          <t>مكونات النظام (فولدر رئيسي: ملف التقارير + فولدر مستقل لكل مشروع)</t>
        </is>
      </c>
      <c r="C5" s="5" t="n"/>
    </row>
    <row r="6" ht="36" customHeight="1">
      <c r="B6" s="6" t="inlineStr">
        <is>
          <t>Projects_Billing_Reports.xlsx</t>
        </is>
      </c>
      <c r="C6" s="7" t="inlineStr">
        <is>
          <t>ملف التقارير (هذا الملف): 50 شيتات تقرير — شيت لكل مشروع — والشيت الأخير «الإجمالي العام» يجمع كل المشاريع.</t>
        </is>
      </c>
    </row>
    <row r="7" ht="36" customHeight="1">
      <c r="B7" s="6" t="inlineStr">
        <is>
          <t>Project_01/IPC_Project_01.xlsx
…
Project_50/IPC_Project_50.xlsx</t>
        </is>
      </c>
      <c r="C7" s="7" t="inlineStr">
        <is>
          <t>ملف مستخلصات لكل مشروع: بيانات العقد، جدول الكميات، التغييرية، الاستقطاعات، 20 شيت مستخلص مترابطة، وسجل المستخلصات.</t>
        </is>
      </c>
    </row>
    <row r="9" ht="22" customHeight="1">
      <c r="B9" s="5" t="inlineStr">
        <is>
          <t>طريقة العمل</t>
        </is>
      </c>
      <c r="C9" s="5" t="n"/>
    </row>
    <row r="10" ht="38" customHeight="1">
      <c r="B10" s="8" t="inlineStr">
        <is>
          <t>1. افتح ملف المشروع</t>
        </is>
      </c>
      <c r="C10" s="7" t="inlineStr">
        <is>
          <t>مثلاً Project_01/IPC_Project_01.xlsx — أدخل بيانات العقد وجدول الكميات مرة واحدة، وضع مستندات المشروع (عقود، محاضر، فواتير) في نفس فولدره.</t>
        </is>
      </c>
    </row>
    <row r="11" ht="38" customHeight="1">
      <c r="B11" s="8" t="inlineStr">
        <is>
          <t>2. اعمل المستخلص</t>
        </is>
      </c>
      <c r="C11" s="7" t="inlineStr">
        <is>
          <t>في شيت «مستخلص NN»: الفترة والتواريخ والكميات الحالية والمواد والغرامات والتحصيل. السابق يُسحب آلياً من المستخلص الذي قبله.</t>
        </is>
      </c>
    </row>
    <row r="12" ht="38" customHeight="1">
      <c r="B12" s="8" t="inlineStr">
        <is>
          <t>3. احفظ الملف</t>
        </is>
      </c>
      <c r="C12" s="7" t="inlineStr">
        <is>
          <t>كل الحسابات تتجمع في «سجل المستخلصات» داخل ملف المشروع.</t>
        </is>
      </c>
    </row>
    <row r="13" ht="38" customHeight="1">
      <c r="B13" s="8" t="inlineStr">
        <is>
          <t>4. افتح ملف التقارير</t>
        </is>
      </c>
      <c r="C13" s="7" t="inlineStr">
        <is>
          <t>اضغط «تمكين المحتوى» ثم «تحديث» عند ظهور رسالة الروابط — تنتقل الأرقام آلياً لتقرير المشروع وللإجمالي العام. (يمكن أيضاً: بيانات ← تحرير الارتباطات ← تحديث القيم).</t>
        </is>
      </c>
    </row>
    <row r="14" ht="38" customHeight="1">
      <c r="B14" s="8" t="inlineStr">
        <is>
          <t>مشروع جديد</t>
        </is>
      </c>
      <c r="C14" s="7" t="inlineStr">
        <is>
          <t>المشاريع 4 إلى 50 قوالب فارغة جاهزة كل منها في فولدره: افتح ملف المشروع وابدأ بإدخال البيانات، وسيظهر آلياً في التقارير.</t>
        </is>
      </c>
    </row>
    <row r="15" ht="38" customHeight="1">
      <c r="B15" s="8" t="inlineStr">
        <is>
          <t>تغيير مكان الملفات</t>
        </is>
      </c>
      <c r="C15" s="7" t="inlineStr">
        <is>
          <t>انقل الفولدر الرئيسي كاملاً بما فيه فولدرات المشاريع. لا تغيّر أسماء الفولدرات أو الملفات؛ وإن لزم: بيانات ← تحرير الارتباطات ← تغيير المصدر.</t>
        </is>
      </c>
    </row>
    <row r="17" ht="22" customHeight="1">
      <c r="B17" s="9" t="inlineStr">
        <is>
          <t>التوافق مع الأنظمة السعودية</t>
        </is>
      </c>
      <c r="C17" s="9" t="n"/>
    </row>
    <row r="18" ht="34" customHeight="1">
      <c r="B18" s="10" t="inlineStr">
        <is>
          <t>ضريبة القيمة المضافة</t>
        </is>
      </c>
      <c r="C18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19" ht="34" customHeight="1">
      <c r="B19" s="10" t="inlineStr">
        <is>
          <t>الفاتورة الضريبية</t>
        </is>
      </c>
      <c r="C19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0" ht="34" customHeight="1">
      <c r="B20" s="10" t="inlineStr">
        <is>
          <t>الرقم الضريبي</t>
        </is>
      </c>
      <c r="C20" s="7" t="inlineStr">
        <is>
          <t>15 رقماً يبدأ وينتهي بالرقم 3 — مع تحقق آلي من الصيغة للمقاول وصاحب العمل.</t>
        </is>
      </c>
    </row>
    <row r="21" ht="34" customHeight="1">
      <c r="B21" s="10" t="inlineStr">
        <is>
          <t>الدفعة المقدمة</t>
        </is>
      </c>
      <c r="C21" s="7" t="inlineStr">
        <is>
          <t>في العقود الحكومية لا تتجاوز 10% من قيمة العقد وبمقابل ضمان بنكي مساوٍ لها، وتُسترد من المستخلصات.</t>
        </is>
      </c>
    </row>
    <row r="22" ht="34" customHeight="1">
      <c r="B22" s="10" t="inlineStr">
        <is>
          <t>الضمان النهائي</t>
        </is>
      </c>
      <c r="C22" s="7" t="inlineStr">
        <is>
          <t>5% من قيمة العقد (خطاب ضمان بنكي) مع تنبيه آلي قبل انتهاء الصلاحية بـ 30 يوماً.</t>
        </is>
      </c>
    </row>
    <row r="23" ht="34" customHeight="1">
      <c r="B23" s="10" t="inlineStr">
        <is>
          <t>غرامات التأخير</t>
        </is>
      </c>
      <c r="C23" s="7" t="inlineStr">
        <is>
          <t>حد أقصى قابل للضبط (افتراضياً 10% من قيمة العقد) مع تنبيه عند تجاوزه.</t>
        </is>
      </c>
    </row>
    <row r="24" ht="34" customHeight="1">
      <c r="B24" s="10" t="inlineStr">
        <is>
          <t>ضريبة الاستقطاع</t>
        </is>
      </c>
      <c r="C24" s="7" t="inlineStr">
        <is>
          <t>لا تُطبق على المقاول المقيم (0%)، وتُستخدم فقط للمدفوعات لغير المقيم وفق نظام ضريبة الدخل.</t>
        </is>
      </c>
    </row>
    <row r="25" ht="34" customHeight="1">
      <c r="B25" s="10" t="inlineStr">
        <is>
          <t>المستندات النظامية</t>
        </is>
      </c>
      <c r="C25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6" ht="34" customHeight="1">
      <c r="B26" s="10" t="inlineStr">
        <is>
          <t>التاريخ الهجري</t>
        </is>
      </c>
      <c r="C26" s="7" t="inlineStr">
        <is>
          <t>تظهر فترة كل مستخلص بالتاريخ الهجري بجوار الميلادي.</t>
        </is>
      </c>
    </row>
    <row r="27" ht="34" customHeight="1">
      <c r="B27" s="10" t="inlineStr">
        <is>
          <t>تنبيه مهم</t>
        </is>
      </c>
      <c r="C27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29" ht="22" customHeight="1">
      <c r="B29" s="5" t="inlineStr">
        <is>
          <t>منطق الاحتساب (كل القيم تراكمية — الحالي = التراكمي − السابق)</t>
        </is>
      </c>
      <c r="C29" s="5" t="n"/>
    </row>
    <row r="30" ht="30" customHeight="1">
      <c r="B30" s="11" t="inlineStr">
        <is>
          <t>قيمة الأعمال</t>
        </is>
      </c>
      <c r="C30" s="7" t="inlineStr">
        <is>
          <t>Σ (الكمية التراكمية لكل بند × سعر الوحدة)، والكمية التراكمية = السابقة + الحالية.</t>
        </is>
      </c>
    </row>
    <row r="31" ht="30" customHeight="1">
      <c r="B31" s="11" t="inlineStr">
        <is>
          <t>نسبة الإنجاز</t>
        </is>
      </c>
      <c r="C31" s="7" t="inlineStr">
        <is>
          <t>(الأعمال + التغييرية المدرجة) ÷ (قيمة العقد الأصلية + التغييرية المدرجة).</t>
        </is>
      </c>
    </row>
    <row r="32" ht="30" customHeight="1">
      <c r="B32" s="11" t="inlineStr">
        <is>
          <t>استرداد الدفعة المقدمة</t>
        </is>
      </c>
      <c r="C32" s="7" t="inlineStr">
        <is>
          <t>MIN(قيمة الدفعة ، MAX(0 ، الأعمال − نسبة البدء × العقد) × نسبة الاسترداد)، ويُسترد الرصيد كاملاً عند نسبة الاسترداد الكامل.</t>
        </is>
      </c>
    </row>
    <row r="33" ht="30" customHeight="1">
      <c r="B33" s="11" t="inlineStr">
        <is>
          <t>ضمان الأعمال</t>
        </is>
      </c>
      <c r="C33" s="7" t="inlineStr">
        <is>
          <t>MIN(إجمالي القيمة × نسبة الضمان ، الحد الأقصى) − المفرج عنه تراكمياً.</t>
        </is>
      </c>
    </row>
    <row r="34" ht="30" customHeight="1">
      <c r="B34" s="11" t="inlineStr">
        <is>
          <t>الاستقطاعات الفنية</t>
        </is>
      </c>
      <c r="C34" s="7" t="inlineStr">
        <is>
          <t>المستقطع حتى المستخلص − المفرج عنه حتى المستخلص.</t>
        </is>
      </c>
    </row>
    <row r="35" ht="30" customHeight="1">
      <c r="B35" s="11" t="inlineStr">
        <is>
          <t>الضرائب</t>
        </is>
      </c>
      <c r="C35" s="7" t="inlineStr">
        <is>
          <t>ض.ق.م على الصافي (+ الضمان إن كان الإعداد «نعم»)، وضريبة الاستقطاع (لغير المقيم فقط) على الصافي قبل خصم الضمان، والغرامات لا تُخفض وعاء الضريبة افتراضياً.</t>
        </is>
      </c>
    </row>
    <row r="36" ht="30" customHeight="1">
      <c r="B36" s="11" t="inlineStr">
        <is>
          <t>SPI</t>
        </is>
      </c>
      <c r="C36" s="7" t="inlineStr">
        <is>
          <t>الإنجاز الفعلي ÷ المخطط — أقل من 1 = تأخر.</t>
        </is>
      </c>
    </row>
    <row r="37" ht="30" customHeight="1">
      <c r="B37" s="11" t="inlineStr">
        <is>
          <t>الموازنة والربحية</t>
        </is>
      </c>
      <c r="C37" s="7" t="inlineStr">
        <is>
          <t>BAC = التكلفة المباشرة + العمومية + الطوارئ. الربح = إجمالي قيمة الأعمال − التكلفة الفعلية. CPI = (BAC × نسبة الإنجاز) ÷ التكلفة الفعلية؛ أقل من 0.95 = تجاوز. EAC = BAC ÷ CPI.</t>
        </is>
      </c>
    </row>
    <row r="38" ht="30" customHeight="1">
      <c r="B38" s="11" t="inlineStr">
        <is>
          <t>الإجمالي العام</t>
        </is>
      </c>
      <c r="C38" s="7" t="inlineStr">
        <is>
          <t>متوسطات الإنجاز مرجحة بقيمة العقد المعدلة لكل مشروع.</t>
        </is>
      </c>
    </row>
  </sheetData>
  <mergeCells count="6">
    <mergeCell ref="B2:C2"/>
    <mergeCell ref="B29:C29"/>
    <mergeCell ref="B5:C5"/>
    <mergeCell ref="B17:C17"/>
    <mergeCell ref="B9:C9"/>
    <mergeCell ref="B1:C1"/>
  </mergeCells>
  <hyperlinks>
    <hyperlink ref="B3" location="'الإجمالي العام'!A1" display="🏠 الإجمالي العام"/>
    <hyperlink ref="C3" location="'مشروع 01'!A1" display="📊 تقرير المشروع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"&amp;IF('[1]بيانات العقد'!$C$5="","مشروع رقم 01 — غير مُفعّل",'[1]بيانات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D3" s="4" t="inlineStr">
        <is>
          <t>المشروع التالي ►</t>
        </is>
      </c>
      <c r="F3" s="12" t="inlineStr">
        <is>
          <t>📂 فتح ملف المستخلصات: Project_01/IPC_Project_01.xlsx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IF('[1]بيانات العقد'!$C$5="","",'[1]بيانات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IF('[1]بيانات العقد'!$C$6="","",'[1]بيانات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IF('[1]بيانات العقد'!$C$7="","",'[1]بيانات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IF('[1]بيانات العقد'!$C$8="","",'[1]بيانات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N('[1]بيانات العقد'!$C$16)</f>
        <v/>
      </c>
    </row>
    <row r="6" ht="22" customHeight="1">
      <c r="B6" s="11" t="inlineStr">
        <is>
          <t>المقاول</t>
        </is>
      </c>
      <c r="C6" s="14">
        <f>IF('[1]بيانات العقد'!$C$9="","",'[1]بيانات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IF('[1]بيانات العقد'!$C$11="","",'[1]بيانات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IF('[1]بيانات العقد'!$C$13="","",'[1]بيانات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IF('[1]بيانات العقد'!$C$14="","",'[1]بيانات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N('[1]بيانات العقد'!$C$17)</f>
        <v/>
      </c>
    </row>
    <row r="7">
      <c r="AA7" s="15" t="inlineStr">
        <is>
          <t>قيمة العقد المعدلة</t>
        </is>
      </c>
      <c r="AB7" s="16">
        <f>N('[1]بيانات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N('[1]بيانات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N('[1]بيانات العقد'!$C$21)</f>
        <v/>
      </c>
    </row>
    <row r="10">
      <c r="AA10" s="15" t="inlineStr">
        <is>
          <t>نسبة ضمان الأعمال</t>
        </is>
      </c>
      <c r="AB10" s="23">
        <f>N('[1]بيانات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N('[1]بيانات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N('[1]بيانات العقد'!$C$31)</f>
        <v/>
      </c>
    </row>
    <row r="13">
      <c r="AA13" s="15" t="inlineStr">
        <is>
          <t>ضريبة الاستقطاع (غير المقيم)</t>
        </is>
      </c>
      <c r="AB13" s="23">
        <f>N('[1]بيانات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IF('[1]بيانات العقد'!$C$11="","",'[1]بيانات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IF('[1]بيانات العقد'!$C$13="","",'[1]بيانات العقد'!$C$13)</f>
        <v/>
      </c>
    </row>
    <row r="16">
      <c r="AA16" s="15" t="inlineStr">
        <is>
          <t>المدة (شهر)</t>
        </is>
      </c>
      <c r="AB16" s="43">
        <f>IF('[1]بيانات العقد'!$C$12="","",'[1]بيانات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IF('[1]بيانات العقد'!$C$36="","",'[1]بيانات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IF('[1]بيانات العقد'!$C$37="","",'[1]بيانات العقد'!$C$37)</f>
        <v/>
      </c>
    </row>
    <row r="19">
      <c r="AA19" s="15" t="inlineStr">
        <is>
          <t>الرقم الضريبي لصاحب العمل</t>
        </is>
      </c>
      <c r="AB19" s="48">
        <f>IF('[1]بيانات العقد'!$C$39="","",'[1]بيانات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IF('[1]بيانات العقد'!$C$42="","",'[1]بيانات العقد'!$C$42)</f>
        <v/>
      </c>
    </row>
    <row r="21" ht="32" customHeight="1">
      <c r="B21" s="50">
        <f>N('[1]الموازنة والتكاليف'!$D$66)</f>
        <v/>
      </c>
      <c r="C21" s="50" t="n"/>
      <c r="D21" s="50" t="n"/>
      <c r="E21" s="50" t="n"/>
      <c r="F21" s="50">
        <f>N('[1]الموازنة والتكاليف'!$D$70)</f>
        <v/>
      </c>
      <c r="G21" s="50" t="n"/>
      <c r="H21" s="50" t="n"/>
      <c r="I21" s="50" t="n"/>
      <c r="J21" s="50">
        <f>N('[1]الموازنة والتكاليف'!$D$72)</f>
        <v/>
      </c>
      <c r="K21" s="50" t="n"/>
      <c r="L21" s="50" t="n"/>
      <c r="M21" s="50" t="n"/>
      <c r="N21" s="51">
        <f>N('[1]الموازنة والتكاليف'!$D$73)</f>
        <v/>
      </c>
      <c r="O21" s="51" t="n"/>
      <c r="P21" s="51" t="n"/>
      <c r="Q21" s="51" t="n"/>
      <c r="R21" s="52">
        <f>N('[1]الموازنة والتكاليف'!$D$74)</f>
        <v/>
      </c>
      <c r="S21" s="52" t="n"/>
      <c r="T21" s="52" t="n"/>
      <c r="U21" s="52" t="n"/>
      <c r="V21" s="50">
        <f>N('[1]الموازنة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IF('[1]بيانات العقد'!$C$43="","",'[1]بيانات العقد'!$C$43)</f>
        <v/>
      </c>
    </row>
    <row r="22">
      <c r="AA22" s="15" t="inlineStr">
        <is>
          <t>حالة غرامات التأخير</t>
        </is>
      </c>
      <c r="AB22" s="45">
        <f>IF('[1]بيانات العقد'!$C$47="","",'[1]بيانات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IF('[1]سجل المستخلصات'!$C$6="","",'[1]سجل المستخلصات'!$C$6)</f>
        <v/>
      </c>
      <c r="D25" s="57">
        <f>IF('[1]سجل المستخلصات'!$E$6="","",'[1]سجل المستخلصات'!$E$6)</f>
        <v/>
      </c>
      <c r="E25" s="58">
        <f>IF('[1]سجل المستخلصات'!$F$6="","",'[1]سجل المستخلصات'!$F$6)</f>
        <v/>
      </c>
      <c r="F25" s="59">
        <f>IF('[1]سجل المستخلصات'!$H$6="","",'[1]سجل المستخلصات'!$H$6)</f>
        <v/>
      </c>
      <c r="G25" s="59">
        <f>IF('[1]سجل المستخلصات'!$G$6="","",'[1]سجل المستخلصات'!$G$6)</f>
        <v/>
      </c>
      <c r="H25" s="59">
        <f>IF('[1]سجل المستخلصات'!$I$6="","",'[1]سجل المستخلصات'!$I$6)</f>
        <v/>
      </c>
      <c r="I25" s="59">
        <f>IF('[1]سجل المستخلصات'!$J$6="","",'[1]سجل المستخلصات'!$J$6)</f>
        <v/>
      </c>
      <c r="J25" s="59">
        <f>IF('[1]سجل المستخلصات'!$K$6="","",'[1]سجل المستخلصات'!$K$6)</f>
        <v/>
      </c>
      <c r="K25" s="60">
        <f>IF('[1]سجل المستخلصات'!$L$6="","",'[1]سجل المستخلصات'!$L$6)</f>
        <v/>
      </c>
      <c r="L25" s="60">
        <f>IF('[1]سجل المستخلصات'!$M$6="","",'[1]سجل المستخلصات'!$M$6)</f>
        <v/>
      </c>
      <c r="M25" s="60">
        <f>IF('[1]سجل المستخلصات'!$N$6="","",'[1]سجل المستخلصات'!$N$6)</f>
        <v/>
      </c>
      <c r="N25" s="59">
        <f>IF('[1]سجل المستخلصات'!$O$6="","",'[1]سجل المستخلصات'!$O$6)</f>
        <v/>
      </c>
      <c r="O25" s="59">
        <f>IF('[1]سجل المستخلصات'!$R$6="","",'[1]سجل المستخلصات'!$R$6)</f>
        <v/>
      </c>
      <c r="P25" s="59">
        <f>IF('[1]سجل المستخلصات'!$S$6="","",'[1]سجل المستخلصات'!$S$6)</f>
        <v/>
      </c>
      <c r="Q25" s="59">
        <f>IF('[1]سجل المستخلصات'!$T$6="","",'[1]سجل المستخلصات'!$T$6)</f>
        <v/>
      </c>
      <c r="R25" s="59">
        <f>IF('[1]سجل المستخلصات'!$V$6="","",'[1]سجل المستخلصات'!$V$6)</f>
        <v/>
      </c>
      <c r="S25" s="59">
        <f>IF('[1]سجل المستخلصات'!$W$6="","",'[1]سجل المستخلصات'!$W$6)</f>
        <v/>
      </c>
      <c r="T25" s="61">
        <f>IF('[1]سجل المستخلصات'!$X$6="","",'[1]سجل المستخلصات'!$X$6)</f>
        <v/>
      </c>
      <c r="U25" s="61">
        <f>IF('[1]سجل المستخلصات'!$Z$6="","",'[1]سجل المستخلصات'!$Z$6)</f>
        <v/>
      </c>
      <c r="V25" s="59">
        <f>IF('[1]سجل المستخلصات'!$AA$6="","",'[1]سجل المستخلصات'!$AA$6)</f>
        <v/>
      </c>
      <c r="W25" s="59">
        <f>IF('[1]سجل المستخلصات'!$AC$6="","",'[1]سجل المستخلصات'!$AC$6)</f>
        <v/>
      </c>
      <c r="X25" s="62">
        <f>IF('[1]سجل المستخلصات'!$AD$6="","",'[1]سجل المستخلصات'!$AD$6)</f>
        <v/>
      </c>
      <c r="Y25" s="58">
        <f>IF('[1]سجل المستخلصات'!$AE$6="","",'[1]سجل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IF('[1]سجل المستخلصات'!$C$7="","",'[1]سجل المستخلصات'!$C$7)</f>
        <v/>
      </c>
      <c r="D26" s="57">
        <f>IF('[1]سجل المستخلصات'!$E$7="","",'[1]سجل المستخلصات'!$E$7)</f>
        <v/>
      </c>
      <c r="E26" s="58">
        <f>IF('[1]سجل المستخلصات'!$F$7="","",'[1]سجل المستخلصات'!$F$7)</f>
        <v/>
      </c>
      <c r="F26" s="59">
        <f>IF('[1]سجل المستخلصات'!$H$7="","",'[1]سجل المستخلصات'!$H$7)</f>
        <v/>
      </c>
      <c r="G26" s="59">
        <f>IF('[1]سجل المستخلصات'!$G$7="","",'[1]سجل المستخلصات'!$G$7)</f>
        <v/>
      </c>
      <c r="H26" s="59">
        <f>IF('[1]سجل المستخلصات'!$I$7="","",'[1]سجل المستخلصات'!$I$7)</f>
        <v/>
      </c>
      <c r="I26" s="59">
        <f>IF('[1]سجل المستخلصات'!$J$7="","",'[1]سجل المستخلصات'!$J$7)</f>
        <v/>
      </c>
      <c r="J26" s="59">
        <f>IF('[1]سجل المستخلصات'!$K$7="","",'[1]سجل المستخلصات'!$K$7)</f>
        <v/>
      </c>
      <c r="K26" s="60">
        <f>IF('[1]سجل المستخلصات'!$L$7="","",'[1]سجل المستخلصات'!$L$7)</f>
        <v/>
      </c>
      <c r="L26" s="60">
        <f>IF('[1]سجل المستخلصات'!$M$7="","",'[1]سجل المستخلصات'!$M$7)</f>
        <v/>
      </c>
      <c r="M26" s="60">
        <f>IF('[1]سجل المستخلصات'!$N$7="","",'[1]سجل المستخلصات'!$N$7)</f>
        <v/>
      </c>
      <c r="N26" s="59">
        <f>IF('[1]سجل المستخلصات'!$O$7="","",'[1]سجل المستخلصات'!$O$7)</f>
        <v/>
      </c>
      <c r="O26" s="59">
        <f>IF('[1]سجل المستخلصات'!$R$7="","",'[1]سجل المستخلصات'!$R$7)</f>
        <v/>
      </c>
      <c r="P26" s="59">
        <f>IF('[1]سجل المستخلصات'!$S$7="","",'[1]سجل المستخلصات'!$S$7)</f>
        <v/>
      </c>
      <c r="Q26" s="59">
        <f>IF('[1]سجل المستخلصات'!$T$7="","",'[1]سجل المستخلصات'!$T$7)</f>
        <v/>
      </c>
      <c r="R26" s="59">
        <f>IF('[1]سجل المستخلصات'!$V$7="","",'[1]سجل المستخلصات'!$V$7)</f>
        <v/>
      </c>
      <c r="S26" s="59">
        <f>IF('[1]سجل المستخلصات'!$W$7="","",'[1]سجل المستخلصات'!$W$7)</f>
        <v/>
      </c>
      <c r="T26" s="61">
        <f>IF('[1]سجل المستخلصات'!$X$7="","",'[1]سجل المستخلصات'!$X$7)</f>
        <v/>
      </c>
      <c r="U26" s="61">
        <f>IF('[1]سجل المستخلصات'!$Z$7="","",'[1]سجل المستخلصات'!$Z$7)</f>
        <v/>
      </c>
      <c r="V26" s="59">
        <f>IF('[1]سجل المستخلصات'!$AA$7="","",'[1]سجل المستخلصات'!$AA$7)</f>
        <v/>
      </c>
      <c r="W26" s="59">
        <f>IF('[1]سجل المستخلصات'!$AC$7="","",'[1]سجل المستخلصات'!$AC$7)</f>
        <v/>
      </c>
      <c r="X26" s="62">
        <f>IF('[1]سجل المستخلصات'!$AD$7="","",'[1]سجل المستخلصات'!$AD$7)</f>
        <v/>
      </c>
      <c r="Y26" s="58">
        <f>IF('[1]سجل المستخلصات'!$AE$7="","",'[1]سجل المستخلصات'!$AE$7)</f>
        <v/>
      </c>
      <c r="AA26" s="63" t="n"/>
      <c r="AB26" s="63" t="n"/>
    </row>
    <row r="27">
      <c r="B27" s="56" t="n">
        <v>3</v>
      </c>
      <c r="C27" s="57">
        <f>IF('[1]سجل المستخلصات'!$C$8="","",'[1]سجل المستخلصات'!$C$8)</f>
        <v/>
      </c>
      <c r="D27" s="57">
        <f>IF('[1]سجل المستخلصات'!$E$8="","",'[1]سجل المستخلصات'!$E$8)</f>
        <v/>
      </c>
      <c r="E27" s="58">
        <f>IF('[1]سجل المستخلصات'!$F$8="","",'[1]سجل المستخلصات'!$F$8)</f>
        <v/>
      </c>
      <c r="F27" s="59">
        <f>IF('[1]سجل المستخلصات'!$H$8="","",'[1]سجل المستخلصات'!$H$8)</f>
        <v/>
      </c>
      <c r="G27" s="59">
        <f>IF('[1]سجل المستخلصات'!$G$8="","",'[1]سجل المستخلصات'!$G$8)</f>
        <v/>
      </c>
      <c r="H27" s="59">
        <f>IF('[1]سجل المستخلصات'!$I$8="","",'[1]سجل المستخلصات'!$I$8)</f>
        <v/>
      </c>
      <c r="I27" s="59">
        <f>IF('[1]سجل المستخلصات'!$J$8="","",'[1]سجل المستخلصات'!$J$8)</f>
        <v/>
      </c>
      <c r="J27" s="59">
        <f>IF('[1]سجل المستخلصات'!$K$8="","",'[1]سجل المستخلصات'!$K$8)</f>
        <v/>
      </c>
      <c r="K27" s="60">
        <f>IF('[1]سجل المستخلصات'!$L$8="","",'[1]سجل المستخلصات'!$L$8)</f>
        <v/>
      </c>
      <c r="L27" s="60">
        <f>IF('[1]سجل المستخلصات'!$M$8="","",'[1]سجل المستخلصات'!$M$8)</f>
        <v/>
      </c>
      <c r="M27" s="60">
        <f>IF('[1]سجل المستخلصات'!$N$8="","",'[1]سجل المستخلصات'!$N$8)</f>
        <v/>
      </c>
      <c r="N27" s="59">
        <f>IF('[1]سجل المستخلصات'!$O$8="","",'[1]سجل المستخلصات'!$O$8)</f>
        <v/>
      </c>
      <c r="O27" s="59">
        <f>IF('[1]سجل المستخلصات'!$R$8="","",'[1]سجل المستخلصات'!$R$8)</f>
        <v/>
      </c>
      <c r="P27" s="59">
        <f>IF('[1]سجل المستخلصات'!$S$8="","",'[1]سجل المستخلصات'!$S$8)</f>
        <v/>
      </c>
      <c r="Q27" s="59">
        <f>IF('[1]سجل المستخلصات'!$T$8="","",'[1]سجل المستخلصات'!$T$8)</f>
        <v/>
      </c>
      <c r="R27" s="59">
        <f>IF('[1]سجل المستخلصات'!$V$8="","",'[1]سجل المستخلصات'!$V$8)</f>
        <v/>
      </c>
      <c r="S27" s="59">
        <f>IF('[1]سجل المستخلصات'!$W$8="","",'[1]سجل المستخلصات'!$W$8)</f>
        <v/>
      </c>
      <c r="T27" s="61">
        <f>IF('[1]سجل المستخلصات'!$X$8="","",'[1]سجل المستخلصات'!$X$8)</f>
        <v/>
      </c>
      <c r="U27" s="61">
        <f>IF('[1]سجل المستخلصات'!$Z$8="","",'[1]سجل المستخلصات'!$Z$8)</f>
        <v/>
      </c>
      <c r="V27" s="59">
        <f>IF('[1]سجل المستخلصات'!$AA$8="","",'[1]سجل المستخلصات'!$AA$8)</f>
        <v/>
      </c>
      <c r="W27" s="59">
        <f>IF('[1]سجل المستخلصات'!$AC$8="","",'[1]سجل المستخلصات'!$AC$8)</f>
        <v/>
      </c>
      <c r="X27" s="62">
        <f>IF('[1]سجل المستخلصات'!$AD$8="","",'[1]سجل المستخلصات'!$AD$8)</f>
        <v/>
      </c>
      <c r="Y27" s="58">
        <f>IF('[1]سجل المستخلصات'!$AE$8="","",'[1]سجل المستخلصات'!$AE$8)</f>
        <v/>
      </c>
      <c r="AA27" s="63" t="n"/>
      <c r="AB27" s="63" t="n"/>
    </row>
    <row r="28">
      <c r="B28" s="56" t="n">
        <v>4</v>
      </c>
      <c r="C28" s="57">
        <f>IF('[1]سجل المستخلصات'!$C$9="","",'[1]سجل المستخلصات'!$C$9)</f>
        <v/>
      </c>
      <c r="D28" s="57">
        <f>IF('[1]سجل المستخلصات'!$E$9="","",'[1]سجل المستخلصات'!$E$9)</f>
        <v/>
      </c>
      <c r="E28" s="58">
        <f>IF('[1]سجل المستخلصات'!$F$9="","",'[1]سجل المستخلصات'!$F$9)</f>
        <v/>
      </c>
      <c r="F28" s="59">
        <f>IF('[1]سجل المستخلصات'!$H$9="","",'[1]سجل المستخلصات'!$H$9)</f>
        <v/>
      </c>
      <c r="G28" s="59">
        <f>IF('[1]سجل المستخلصات'!$G$9="","",'[1]سجل المستخلصات'!$G$9)</f>
        <v/>
      </c>
      <c r="H28" s="59">
        <f>IF('[1]سجل المستخلصات'!$I$9="","",'[1]سجل المستخلصات'!$I$9)</f>
        <v/>
      </c>
      <c r="I28" s="59">
        <f>IF('[1]سجل المستخلصات'!$J$9="","",'[1]سجل المستخلصات'!$J$9)</f>
        <v/>
      </c>
      <c r="J28" s="59">
        <f>IF('[1]سجل المستخلصات'!$K$9="","",'[1]سجل المستخلصات'!$K$9)</f>
        <v/>
      </c>
      <c r="K28" s="60">
        <f>IF('[1]سجل المستخلصات'!$L$9="","",'[1]سجل المستخلصات'!$L$9)</f>
        <v/>
      </c>
      <c r="L28" s="60">
        <f>IF('[1]سجل المستخلصات'!$M$9="","",'[1]سجل المستخلصات'!$M$9)</f>
        <v/>
      </c>
      <c r="M28" s="60">
        <f>IF('[1]سجل المستخلصات'!$N$9="","",'[1]سجل المستخلصات'!$N$9)</f>
        <v/>
      </c>
      <c r="N28" s="59">
        <f>IF('[1]سجل المستخلصات'!$O$9="","",'[1]سجل المستخلصات'!$O$9)</f>
        <v/>
      </c>
      <c r="O28" s="59">
        <f>IF('[1]سجل المستخلصات'!$R$9="","",'[1]سجل المستخلصات'!$R$9)</f>
        <v/>
      </c>
      <c r="P28" s="59">
        <f>IF('[1]سجل المستخلصات'!$S$9="","",'[1]سجل المستخلصات'!$S$9)</f>
        <v/>
      </c>
      <c r="Q28" s="59">
        <f>IF('[1]سجل المستخلصات'!$T$9="","",'[1]سجل المستخلصات'!$T$9)</f>
        <v/>
      </c>
      <c r="R28" s="59">
        <f>IF('[1]سجل المستخلصات'!$V$9="","",'[1]سجل المستخلصات'!$V$9)</f>
        <v/>
      </c>
      <c r="S28" s="59">
        <f>IF('[1]سجل المستخلصات'!$W$9="","",'[1]سجل المستخلصات'!$W$9)</f>
        <v/>
      </c>
      <c r="T28" s="61">
        <f>IF('[1]سجل المستخلصات'!$X$9="","",'[1]سجل المستخلصات'!$X$9)</f>
        <v/>
      </c>
      <c r="U28" s="61">
        <f>IF('[1]سجل المستخلصات'!$Z$9="","",'[1]سجل المستخلصات'!$Z$9)</f>
        <v/>
      </c>
      <c r="V28" s="59">
        <f>IF('[1]سجل المستخلصات'!$AA$9="","",'[1]سجل المستخلصات'!$AA$9)</f>
        <v/>
      </c>
      <c r="W28" s="59">
        <f>IF('[1]سجل المستخلصات'!$AC$9="","",'[1]سجل المستخلصات'!$AC$9)</f>
        <v/>
      </c>
      <c r="X28" s="62">
        <f>IF('[1]سجل المستخلصات'!$AD$9="","",'[1]سجل المستخلصات'!$AD$9)</f>
        <v/>
      </c>
      <c r="Y28" s="58">
        <f>IF('[1]سجل المستخلصات'!$AE$9="","",'[1]سجل المستخلصات'!$AE$9)</f>
        <v/>
      </c>
      <c r="AA28" s="63" t="n"/>
      <c r="AB28" s="63" t="n"/>
    </row>
    <row r="29">
      <c r="B29" s="56" t="n">
        <v>5</v>
      </c>
      <c r="C29" s="57">
        <f>IF('[1]سجل المستخلصات'!$C$10="","",'[1]سجل المستخلصات'!$C$10)</f>
        <v/>
      </c>
      <c r="D29" s="57">
        <f>IF('[1]سجل المستخلصات'!$E$10="","",'[1]سجل المستخلصات'!$E$10)</f>
        <v/>
      </c>
      <c r="E29" s="58">
        <f>IF('[1]سجل المستخلصات'!$F$10="","",'[1]سجل المستخلصات'!$F$10)</f>
        <v/>
      </c>
      <c r="F29" s="59">
        <f>IF('[1]سجل المستخلصات'!$H$10="","",'[1]سجل المستخلصات'!$H$10)</f>
        <v/>
      </c>
      <c r="G29" s="59">
        <f>IF('[1]سجل المستخلصات'!$G$10="","",'[1]سجل المستخلصات'!$G$10)</f>
        <v/>
      </c>
      <c r="H29" s="59">
        <f>IF('[1]سجل المستخلصات'!$I$10="","",'[1]سجل المستخلصات'!$I$10)</f>
        <v/>
      </c>
      <c r="I29" s="59">
        <f>IF('[1]سجل المستخلصات'!$J$10="","",'[1]سجل المستخلصات'!$J$10)</f>
        <v/>
      </c>
      <c r="J29" s="59">
        <f>IF('[1]سجل المستخلصات'!$K$10="","",'[1]سجل المستخلصات'!$K$10)</f>
        <v/>
      </c>
      <c r="K29" s="60">
        <f>IF('[1]سجل المستخلصات'!$L$10="","",'[1]سجل المستخلصات'!$L$10)</f>
        <v/>
      </c>
      <c r="L29" s="60">
        <f>IF('[1]سجل المستخلصات'!$M$10="","",'[1]سجل المستخلصات'!$M$10)</f>
        <v/>
      </c>
      <c r="M29" s="60">
        <f>IF('[1]سجل المستخلصات'!$N$10="","",'[1]سجل المستخلصات'!$N$10)</f>
        <v/>
      </c>
      <c r="N29" s="59">
        <f>IF('[1]سجل المستخلصات'!$O$10="","",'[1]سجل المستخلصات'!$O$10)</f>
        <v/>
      </c>
      <c r="O29" s="59">
        <f>IF('[1]سجل المستخلصات'!$R$10="","",'[1]سجل المستخلصات'!$R$10)</f>
        <v/>
      </c>
      <c r="P29" s="59">
        <f>IF('[1]سجل المستخلصات'!$S$10="","",'[1]سجل المستخلصات'!$S$10)</f>
        <v/>
      </c>
      <c r="Q29" s="59">
        <f>IF('[1]سجل المستخلصات'!$T$10="","",'[1]سجل المستخلصات'!$T$10)</f>
        <v/>
      </c>
      <c r="R29" s="59">
        <f>IF('[1]سجل المستخلصات'!$V$10="","",'[1]سجل المستخلصات'!$V$10)</f>
        <v/>
      </c>
      <c r="S29" s="59">
        <f>IF('[1]سجل المستخلصات'!$W$10="","",'[1]سجل المستخلصات'!$W$10)</f>
        <v/>
      </c>
      <c r="T29" s="61">
        <f>IF('[1]سجل المستخلصات'!$X$10="","",'[1]سجل المستخلصات'!$X$10)</f>
        <v/>
      </c>
      <c r="U29" s="61">
        <f>IF('[1]سجل المستخلصات'!$Z$10="","",'[1]سجل المستخلصات'!$Z$10)</f>
        <v/>
      </c>
      <c r="V29" s="59">
        <f>IF('[1]سجل المستخلصات'!$AA$10="","",'[1]سجل المستخلصات'!$AA$10)</f>
        <v/>
      </c>
      <c r="W29" s="59">
        <f>IF('[1]سجل المستخلصات'!$AC$10="","",'[1]سجل المستخلصات'!$AC$10)</f>
        <v/>
      </c>
      <c r="X29" s="62">
        <f>IF('[1]سجل المستخلصات'!$AD$10="","",'[1]سجل المستخلصات'!$AD$10)</f>
        <v/>
      </c>
      <c r="Y29" s="58">
        <f>IF('[1]سجل المستخلصات'!$AE$10="","",'[1]سجل المستخلصات'!$AE$10)</f>
        <v/>
      </c>
    </row>
    <row r="30">
      <c r="B30" s="56" t="n">
        <v>6</v>
      </c>
      <c r="C30" s="57">
        <f>IF('[1]سجل المستخلصات'!$C$11="","",'[1]سجل المستخلصات'!$C$11)</f>
        <v/>
      </c>
      <c r="D30" s="57">
        <f>IF('[1]سجل المستخلصات'!$E$11="","",'[1]سجل المستخلصات'!$E$11)</f>
        <v/>
      </c>
      <c r="E30" s="58">
        <f>IF('[1]سجل المستخلصات'!$F$11="","",'[1]سجل المستخلصات'!$F$11)</f>
        <v/>
      </c>
      <c r="F30" s="59">
        <f>IF('[1]سجل المستخلصات'!$H$11="","",'[1]سجل المستخلصات'!$H$11)</f>
        <v/>
      </c>
      <c r="G30" s="59">
        <f>IF('[1]سجل المستخلصات'!$G$11="","",'[1]سجل المستخلصات'!$G$11)</f>
        <v/>
      </c>
      <c r="H30" s="59">
        <f>IF('[1]سجل المستخلصات'!$I$11="","",'[1]سجل المستخلصات'!$I$11)</f>
        <v/>
      </c>
      <c r="I30" s="59">
        <f>IF('[1]سجل المستخلصات'!$J$11="","",'[1]سجل المستخلصات'!$J$11)</f>
        <v/>
      </c>
      <c r="J30" s="59">
        <f>IF('[1]سجل المستخلصات'!$K$11="","",'[1]سجل المستخلصات'!$K$11)</f>
        <v/>
      </c>
      <c r="K30" s="60">
        <f>IF('[1]سجل المستخلصات'!$L$11="","",'[1]سجل المستخلصات'!$L$11)</f>
        <v/>
      </c>
      <c r="L30" s="60">
        <f>IF('[1]سجل المستخلصات'!$M$11="","",'[1]سجل المستخلصات'!$M$11)</f>
        <v/>
      </c>
      <c r="M30" s="60">
        <f>IF('[1]سجل المستخلصات'!$N$11="","",'[1]سجل المستخلصات'!$N$11)</f>
        <v/>
      </c>
      <c r="N30" s="59">
        <f>IF('[1]سجل المستخلصات'!$O$11="","",'[1]سجل المستخلصات'!$O$11)</f>
        <v/>
      </c>
      <c r="O30" s="59">
        <f>IF('[1]سجل المستخلصات'!$R$11="","",'[1]سجل المستخلصات'!$R$11)</f>
        <v/>
      </c>
      <c r="P30" s="59">
        <f>IF('[1]سجل المستخلصات'!$S$11="","",'[1]سجل المستخلصات'!$S$11)</f>
        <v/>
      </c>
      <c r="Q30" s="59">
        <f>IF('[1]سجل المستخلصات'!$T$11="","",'[1]سجل المستخلصات'!$T$11)</f>
        <v/>
      </c>
      <c r="R30" s="59">
        <f>IF('[1]سجل المستخلصات'!$V$11="","",'[1]سجل المستخلصات'!$V$11)</f>
        <v/>
      </c>
      <c r="S30" s="59">
        <f>IF('[1]سجل المستخلصات'!$W$11="","",'[1]سجل المستخلصات'!$W$11)</f>
        <v/>
      </c>
      <c r="T30" s="61">
        <f>IF('[1]سجل المستخلصات'!$X$11="","",'[1]سجل المستخلصات'!$X$11)</f>
        <v/>
      </c>
      <c r="U30" s="61">
        <f>IF('[1]سجل المستخلصات'!$Z$11="","",'[1]سجل المستخلصات'!$Z$11)</f>
        <v/>
      </c>
      <c r="V30" s="59">
        <f>IF('[1]سجل المستخلصات'!$AA$11="","",'[1]سجل المستخلصات'!$AA$11)</f>
        <v/>
      </c>
      <c r="W30" s="59">
        <f>IF('[1]سجل المستخلصات'!$AC$11="","",'[1]سجل المستخلصات'!$AC$11)</f>
        <v/>
      </c>
      <c r="X30" s="62">
        <f>IF('[1]سجل المستخلصات'!$AD$11="","",'[1]سجل المستخلصات'!$AD$11)</f>
        <v/>
      </c>
      <c r="Y30" s="58">
        <f>IF('[1]سجل المستخلصات'!$AE$11="","",'[1]سجل المستخلصات'!$AE$11)</f>
        <v/>
      </c>
    </row>
    <row r="31">
      <c r="B31" s="56" t="n">
        <v>7</v>
      </c>
      <c r="C31" s="57">
        <f>IF('[1]سجل المستخلصات'!$C$12="","",'[1]سجل المستخلصات'!$C$12)</f>
        <v/>
      </c>
      <c r="D31" s="57">
        <f>IF('[1]سجل المستخلصات'!$E$12="","",'[1]سجل المستخلصات'!$E$12)</f>
        <v/>
      </c>
      <c r="E31" s="58">
        <f>IF('[1]سجل المستخلصات'!$F$12="","",'[1]سجل المستخلصات'!$F$12)</f>
        <v/>
      </c>
      <c r="F31" s="59">
        <f>IF('[1]سجل المستخلصات'!$H$12="","",'[1]سجل المستخلصات'!$H$12)</f>
        <v/>
      </c>
      <c r="G31" s="59">
        <f>IF('[1]سجل المستخلصات'!$G$12="","",'[1]سجل المستخلصات'!$G$12)</f>
        <v/>
      </c>
      <c r="H31" s="59">
        <f>IF('[1]سجل المستخلصات'!$I$12="","",'[1]سجل المستخلصات'!$I$12)</f>
        <v/>
      </c>
      <c r="I31" s="59">
        <f>IF('[1]سجل المستخلصات'!$J$12="","",'[1]سجل المستخلصات'!$J$12)</f>
        <v/>
      </c>
      <c r="J31" s="59">
        <f>IF('[1]سجل المستخلصات'!$K$12="","",'[1]سجل المستخلصات'!$K$12)</f>
        <v/>
      </c>
      <c r="K31" s="60">
        <f>IF('[1]سجل المستخلصات'!$L$12="","",'[1]سجل المستخلصات'!$L$12)</f>
        <v/>
      </c>
      <c r="L31" s="60">
        <f>IF('[1]سجل المستخلصات'!$M$12="","",'[1]سجل المستخلصات'!$M$12)</f>
        <v/>
      </c>
      <c r="M31" s="60">
        <f>IF('[1]سجل المستخلصات'!$N$12="","",'[1]سجل المستخلصات'!$N$12)</f>
        <v/>
      </c>
      <c r="N31" s="59">
        <f>IF('[1]سجل المستخلصات'!$O$12="","",'[1]سجل المستخلصات'!$O$12)</f>
        <v/>
      </c>
      <c r="O31" s="59">
        <f>IF('[1]سجل المستخلصات'!$R$12="","",'[1]سجل المستخلصات'!$R$12)</f>
        <v/>
      </c>
      <c r="P31" s="59">
        <f>IF('[1]سجل المستخلصات'!$S$12="","",'[1]سجل المستخلصات'!$S$12)</f>
        <v/>
      </c>
      <c r="Q31" s="59">
        <f>IF('[1]سجل المستخلصات'!$T$12="","",'[1]سجل المستخلصات'!$T$12)</f>
        <v/>
      </c>
      <c r="R31" s="59">
        <f>IF('[1]سجل المستخلصات'!$V$12="","",'[1]سجل المستخلصات'!$V$12)</f>
        <v/>
      </c>
      <c r="S31" s="59">
        <f>IF('[1]سجل المستخلصات'!$W$12="","",'[1]سجل المستخلصات'!$W$12)</f>
        <v/>
      </c>
      <c r="T31" s="61">
        <f>IF('[1]سجل المستخلصات'!$X$12="","",'[1]سجل المستخلصات'!$X$12)</f>
        <v/>
      </c>
      <c r="U31" s="61">
        <f>IF('[1]سجل المستخلصات'!$Z$12="","",'[1]سجل المستخلصات'!$Z$12)</f>
        <v/>
      </c>
      <c r="V31" s="59">
        <f>IF('[1]سجل المستخلصات'!$AA$12="","",'[1]سجل المستخلصات'!$AA$12)</f>
        <v/>
      </c>
      <c r="W31" s="59">
        <f>IF('[1]سجل المستخلصات'!$AC$12="","",'[1]سجل المستخلصات'!$AC$12)</f>
        <v/>
      </c>
      <c r="X31" s="62">
        <f>IF('[1]سجل المستخلصات'!$AD$12="","",'[1]سجل المستخلصات'!$AD$12)</f>
        <v/>
      </c>
      <c r="Y31" s="58">
        <f>IF('[1]سجل المستخلصات'!$AE$12="","",'[1]سجل المستخلصات'!$AE$12)</f>
        <v/>
      </c>
    </row>
    <row r="32">
      <c r="B32" s="56" t="n">
        <v>8</v>
      </c>
      <c r="C32" s="57">
        <f>IF('[1]سجل المستخلصات'!$C$13="","",'[1]سجل المستخلصات'!$C$13)</f>
        <v/>
      </c>
      <c r="D32" s="57">
        <f>IF('[1]سجل المستخلصات'!$E$13="","",'[1]سجل المستخلصات'!$E$13)</f>
        <v/>
      </c>
      <c r="E32" s="58">
        <f>IF('[1]سجل المستخلصات'!$F$13="","",'[1]سجل المستخلصات'!$F$13)</f>
        <v/>
      </c>
      <c r="F32" s="59">
        <f>IF('[1]سجل المستخلصات'!$H$13="","",'[1]سجل المستخلصات'!$H$13)</f>
        <v/>
      </c>
      <c r="G32" s="59">
        <f>IF('[1]سجل المستخلصات'!$G$13="","",'[1]سجل المستخلصات'!$G$13)</f>
        <v/>
      </c>
      <c r="H32" s="59">
        <f>IF('[1]سجل المستخلصات'!$I$13="","",'[1]سجل المستخلصات'!$I$13)</f>
        <v/>
      </c>
      <c r="I32" s="59">
        <f>IF('[1]سجل المستخلصات'!$J$13="","",'[1]سجل المستخلصات'!$J$13)</f>
        <v/>
      </c>
      <c r="J32" s="59">
        <f>IF('[1]سجل المستخلصات'!$K$13="","",'[1]سجل المستخلصات'!$K$13)</f>
        <v/>
      </c>
      <c r="K32" s="60">
        <f>IF('[1]سجل المستخلصات'!$L$13="","",'[1]سجل المستخلصات'!$L$13)</f>
        <v/>
      </c>
      <c r="L32" s="60">
        <f>IF('[1]سجل المستخلصات'!$M$13="","",'[1]سجل المستخلصات'!$M$13)</f>
        <v/>
      </c>
      <c r="M32" s="60">
        <f>IF('[1]سجل المستخلصات'!$N$13="","",'[1]سجل المستخلصات'!$N$13)</f>
        <v/>
      </c>
      <c r="N32" s="59">
        <f>IF('[1]سجل المستخلصات'!$O$13="","",'[1]سجل المستخلصات'!$O$13)</f>
        <v/>
      </c>
      <c r="O32" s="59">
        <f>IF('[1]سجل المستخلصات'!$R$13="","",'[1]سجل المستخلصات'!$R$13)</f>
        <v/>
      </c>
      <c r="P32" s="59">
        <f>IF('[1]سجل المستخلصات'!$S$13="","",'[1]سجل المستخلصات'!$S$13)</f>
        <v/>
      </c>
      <c r="Q32" s="59">
        <f>IF('[1]سجل المستخلصات'!$T$13="","",'[1]سجل المستخلصات'!$T$13)</f>
        <v/>
      </c>
      <c r="R32" s="59">
        <f>IF('[1]سجل المستخلصات'!$V$13="","",'[1]سجل المستخلصات'!$V$13)</f>
        <v/>
      </c>
      <c r="S32" s="59">
        <f>IF('[1]سجل المستخلصات'!$W$13="","",'[1]سجل المستخلصات'!$W$13)</f>
        <v/>
      </c>
      <c r="T32" s="61">
        <f>IF('[1]سجل المستخلصات'!$X$13="","",'[1]سجل المستخلصات'!$X$13)</f>
        <v/>
      </c>
      <c r="U32" s="61">
        <f>IF('[1]سجل المستخلصات'!$Z$13="","",'[1]سجل المستخلصات'!$Z$13)</f>
        <v/>
      </c>
      <c r="V32" s="59">
        <f>IF('[1]سجل المستخلصات'!$AA$13="","",'[1]سجل المستخلصات'!$AA$13)</f>
        <v/>
      </c>
      <c r="W32" s="59">
        <f>IF('[1]سجل المستخلصات'!$AC$13="","",'[1]سجل المستخلصات'!$AC$13)</f>
        <v/>
      </c>
      <c r="X32" s="62">
        <f>IF('[1]سجل المستخلصات'!$AD$13="","",'[1]سجل المستخلصات'!$AD$13)</f>
        <v/>
      </c>
      <c r="Y32" s="58">
        <f>IF('[1]سجل المستخلصات'!$AE$13="","",'[1]سجل المستخلصات'!$AE$13)</f>
        <v/>
      </c>
    </row>
    <row r="33">
      <c r="B33" s="56" t="n">
        <v>9</v>
      </c>
      <c r="C33" s="57">
        <f>IF('[1]سجل المستخلصات'!$C$14="","",'[1]سجل المستخلصات'!$C$14)</f>
        <v/>
      </c>
      <c r="D33" s="57">
        <f>IF('[1]سجل المستخلصات'!$E$14="","",'[1]سجل المستخلصات'!$E$14)</f>
        <v/>
      </c>
      <c r="E33" s="58">
        <f>IF('[1]سجل المستخلصات'!$F$14="","",'[1]سجل المستخلصات'!$F$14)</f>
        <v/>
      </c>
      <c r="F33" s="59">
        <f>IF('[1]سجل المستخلصات'!$H$14="","",'[1]سجل المستخلصات'!$H$14)</f>
        <v/>
      </c>
      <c r="G33" s="59">
        <f>IF('[1]سجل المستخلصات'!$G$14="","",'[1]سجل المستخلصات'!$G$14)</f>
        <v/>
      </c>
      <c r="H33" s="59">
        <f>IF('[1]سجل المستخلصات'!$I$14="","",'[1]سجل المستخلصات'!$I$14)</f>
        <v/>
      </c>
      <c r="I33" s="59">
        <f>IF('[1]سجل المستخلصات'!$J$14="","",'[1]سجل المستخلصات'!$J$14)</f>
        <v/>
      </c>
      <c r="J33" s="59">
        <f>IF('[1]سجل المستخلصات'!$K$14="","",'[1]سجل المستخلصات'!$K$14)</f>
        <v/>
      </c>
      <c r="K33" s="60">
        <f>IF('[1]سجل المستخلصات'!$L$14="","",'[1]سجل المستخلصات'!$L$14)</f>
        <v/>
      </c>
      <c r="L33" s="60">
        <f>IF('[1]سجل المستخلصات'!$M$14="","",'[1]سجل المستخلصات'!$M$14)</f>
        <v/>
      </c>
      <c r="M33" s="60">
        <f>IF('[1]سجل المستخلصات'!$N$14="","",'[1]سجل المستخلصات'!$N$14)</f>
        <v/>
      </c>
      <c r="N33" s="59">
        <f>IF('[1]سجل المستخلصات'!$O$14="","",'[1]سجل المستخلصات'!$O$14)</f>
        <v/>
      </c>
      <c r="O33" s="59">
        <f>IF('[1]سجل المستخلصات'!$R$14="","",'[1]سجل المستخلصات'!$R$14)</f>
        <v/>
      </c>
      <c r="P33" s="59">
        <f>IF('[1]سجل المستخلصات'!$S$14="","",'[1]سجل المستخلصات'!$S$14)</f>
        <v/>
      </c>
      <c r="Q33" s="59">
        <f>IF('[1]سجل المستخلصات'!$T$14="","",'[1]سجل المستخلصات'!$T$14)</f>
        <v/>
      </c>
      <c r="R33" s="59">
        <f>IF('[1]سجل المستخلصات'!$V$14="","",'[1]سجل المستخلصات'!$V$14)</f>
        <v/>
      </c>
      <c r="S33" s="59">
        <f>IF('[1]سجل المستخلصات'!$W$14="","",'[1]سجل المستخلصات'!$W$14)</f>
        <v/>
      </c>
      <c r="T33" s="61">
        <f>IF('[1]سجل المستخلصات'!$X$14="","",'[1]سجل المستخلصات'!$X$14)</f>
        <v/>
      </c>
      <c r="U33" s="61">
        <f>IF('[1]سجل المستخلصات'!$Z$14="","",'[1]سجل المستخلصات'!$Z$14)</f>
        <v/>
      </c>
      <c r="V33" s="59">
        <f>IF('[1]سجل المستخلصات'!$AA$14="","",'[1]سجل المستخلصات'!$AA$14)</f>
        <v/>
      </c>
      <c r="W33" s="59">
        <f>IF('[1]سجل المستخلصات'!$AC$14="","",'[1]سجل المستخلصات'!$AC$14)</f>
        <v/>
      </c>
      <c r="X33" s="62">
        <f>IF('[1]سجل المستخلصات'!$AD$14="","",'[1]سجل المستخلصات'!$AD$14)</f>
        <v/>
      </c>
      <c r="Y33" s="58">
        <f>IF('[1]سجل المستخلصات'!$AE$14="","",'[1]سجل المستخلصات'!$AE$14)</f>
        <v/>
      </c>
    </row>
    <row r="34">
      <c r="B34" s="56" t="n">
        <v>10</v>
      </c>
      <c r="C34" s="57">
        <f>IF('[1]سجل المستخلصات'!$C$15="","",'[1]سجل المستخلصات'!$C$15)</f>
        <v/>
      </c>
      <c r="D34" s="57">
        <f>IF('[1]سجل المستخلصات'!$E$15="","",'[1]سجل المستخلصات'!$E$15)</f>
        <v/>
      </c>
      <c r="E34" s="58">
        <f>IF('[1]سجل المستخلصات'!$F$15="","",'[1]سجل المستخلصات'!$F$15)</f>
        <v/>
      </c>
      <c r="F34" s="59">
        <f>IF('[1]سجل المستخلصات'!$H$15="","",'[1]سجل المستخلصات'!$H$15)</f>
        <v/>
      </c>
      <c r="G34" s="59">
        <f>IF('[1]سجل المستخلصات'!$G$15="","",'[1]سجل المستخلصات'!$G$15)</f>
        <v/>
      </c>
      <c r="H34" s="59">
        <f>IF('[1]سجل المستخلصات'!$I$15="","",'[1]سجل المستخلصات'!$I$15)</f>
        <v/>
      </c>
      <c r="I34" s="59">
        <f>IF('[1]سجل المستخلصات'!$J$15="","",'[1]سجل المستخلصات'!$J$15)</f>
        <v/>
      </c>
      <c r="J34" s="59">
        <f>IF('[1]سجل المستخلصات'!$K$15="","",'[1]سجل المستخلصات'!$K$15)</f>
        <v/>
      </c>
      <c r="K34" s="60">
        <f>IF('[1]سجل المستخلصات'!$L$15="","",'[1]سجل المستخلصات'!$L$15)</f>
        <v/>
      </c>
      <c r="L34" s="60">
        <f>IF('[1]سجل المستخلصات'!$M$15="","",'[1]سجل المستخلصات'!$M$15)</f>
        <v/>
      </c>
      <c r="M34" s="60">
        <f>IF('[1]سجل المستخلصات'!$N$15="","",'[1]سجل المستخلصات'!$N$15)</f>
        <v/>
      </c>
      <c r="N34" s="59">
        <f>IF('[1]سجل المستخلصات'!$O$15="","",'[1]سجل المستخلصات'!$O$15)</f>
        <v/>
      </c>
      <c r="O34" s="59">
        <f>IF('[1]سجل المستخلصات'!$R$15="","",'[1]سجل المستخلصات'!$R$15)</f>
        <v/>
      </c>
      <c r="P34" s="59">
        <f>IF('[1]سجل المستخلصات'!$S$15="","",'[1]سجل المستخلصات'!$S$15)</f>
        <v/>
      </c>
      <c r="Q34" s="59">
        <f>IF('[1]سجل المستخلصات'!$T$15="","",'[1]سجل المستخلصات'!$T$15)</f>
        <v/>
      </c>
      <c r="R34" s="59">
        <f>IF('[1]سجل المستخلصات'!$V$15="","",'[1]سجل المستخلصات'!$V$15)</f>
        <v/>
      </c>
      <c r="S34" s="59">
        <f>IF('[1]سجل المستخلصات'!$W$15="","",'[1]سجل المستخلصات'!$W$15)</f>
        <v/>
      </c>
      <c r="T34" s="61">
        <f>IF('[1]سجل المستخلصات'!$X$15="","",'[1]سجل المستخلصات'!$X$15)</f>
        <v/>
      </c>
      <c r="U34" s="61">
        <f>IF('[1]سجل المستخلصات'!$Z$15="","",'[1]سجل المستخلصات'!$Z$15)</f>
        <v/>
      </c>
      <c r="V34" s="59">
        <f>IF('[1]سجل المستخلصات'!$AA$15="","",'[1]سجل المستخلصات'!$AA$15)</f>
        <v/>
      </c>
      <c r="W34" s="59">
        <f>IF('[1]سجل المستخلصات'!$AC$15="","",'[1]سجل المستخلصات'!$AC$15)</f>
        <v/>
      </c>
      <c r="X34" s="62">
        <f>IF('[1]سجل المستخلصات'!$AD$15="","",'[1]سجل المستخلصات'!$AD$15)</f>
        <v/>
      </c>
      <c r="Y34" s="58">
        <f>IF('[1]سجل المستخلصات'!$AE$15="","",'[1]سجل المستخلصات'!$AE$15)</f>
        <v/>
      </c>
    </row>
    <row r="35">
      <c r="B35" s="56" t="n">
        <v>11</v>
      </c>
      <c r="C35" s="57">
        <f>IF('[1]سجل المستخلصات'!$C$16="","",'[1]سجل المستخلصات'!$C$16)</f>
        <v/>
      </c>
      <c r="D35" s="57">
        <f>IF('[1]سجل المستخلصات'!$E$16="","",'[1]سجل المستخلصات'!$E$16)</f>
        <v/>
      </c>
      <c r="E35" s="58">
        <f>IF('[1]سجل المستخلصات'!$F$16="","",'[1]سجل المستخلصات'!$F$16)</f>
        <v/>
      </c>
      <c r="F35" s="59">
        <f>IF('[1]سجل المستخلصات'!$H$16="","",'[1]سجل المستخلصات'!$H$16)</f>
        <v/>
      </c>
      <c r="G35" s="59">
        <f>IF('[1]سجل المستخلصات'!$G$16="","",'[1]سجل المستخلصات'!$G$16)</f>
        <v/>
      </c>
      <c r="H35" s="59">
        <f>IF('[1]سجل المستخلصات'!$I$16="","",'[1]سجل المستخلصات'!$I$16)</f>
        <v/>
      </c>
      <c r="I35" s="59">
        <f>IF('[1]سجل المستخلصات'!$J$16="","",'[1]سجل المستخلصات'!$J$16)</f>
        <v/>
      </c>
      <c r="J35" s="59">
        <f>IF('[1]سجل المستخلصات'!$K$16="","",'[1]سجل المستخلصات'!$K$16)</f>
        <v/>
      </c>
      <c r="K35" s="60">
        <f>IF('[1]سجل المستخلصات'!$L$16="","",'[1]سجل المستخلصات'!$L$16)</f>
        <v/>
      </c>
      <c r="L35" s="60">
        <f>IF('[1]سجل المستخلصات'!$M$16="","",'[1]سجل المستخلصات'!$M$16)</f>
        <v/>
      </c>
      <c r="M35" s="60">
        <f>IF('[1]سجل المستخلصات'!$N$16="","",'[1]سجل المستخلصات'!$N$16)</f>
        <v/>
      </c>
      <c r="N35" s="59">
        <f>IF('[1]سجل المستخلصات'!$O$16="","",'[1]سجل المستخلصات'!$O$16)</f>
        <v/>
      </c>
      <c r="O35" s="59">
        <f>IF('[1]سجل المستخلصات'!$R$16="","",'[1]سجل المستخلصات'!$R$16)</f>
        <v/>
      </c>
      <c r="P35" s="59">
        <f>IF('[1]سجل المستخلصات'!$S$16="","",'[1]سجل المستخلصات'!$S$16)</f>
        <v/>
      </c>
      <c r="Q35" s="59">
        <f>IF('[1]سجل المستخلصات'!$T$16="","",'[1]سجل المستخلصات'!$T$16)</f>
        <v/>
      </c>
      <c r="R35" s="59">
        <f>IF('[1]سجل المستخلصات'!$V$16="","",'[1]سجل المستخلصات'!$V$16)</f>
        <v/>
      </c>
      <c r="S35" s="59">
        <f>IF('[1]سجل المستخلصات'!$W$16="","",'[1]سجل المستخلصات'!$W$16)</f>
        <v/>
      </c>
      <c r="T35" s="61">
        <f>IF('[1]سجل المستخلصات'!$X$16="","",'[1]سجل المستخلصات'!$X$16)</f>
        <v/>
      </c>
      <c r="U35" s="61">
        <f>IF('[1]سجل المستخلصات'!$Z$16="","",'[1]سجل المستخلصات'!$Z$16)</f>
        <v/>
      </c>
      <c r="V35" s="59">
        <f>IF('[1]سجل المستخلصات'!$AA$16="","",'[1]سجل المستخلصات'!$AA$16)</f>
        <v/>
      </c>
      <c r="W35" s="59">
        <f>IF('[1]سجل المستخلصات'!$AC$16="","",'[1]سجل المستخلصات'!$AC$16)</f>
        <v/>
      </c>
      <c r="X35" s="62">
        <f>IF('[1]سجل المستخلصات'!$AD$16="","",'[1]سجل المستخلصات'!$AD$16)</f>
        <v/>
      </c>
      <c r="Y35" s="58">
        <f>IF('[1]سجل المستخلصات'!$AE$16="","",'[1]سجل المستخلصات'!$AE$16)</f>
        <v/>
      </c>
    </row>
    <row r="36">
      <c r="B36" s="56" t="n">
        <v>12</v>
      </c>
      <c r="C36" s="57">
        <f>IF('[1]سجل المستخلصات'!$C$17="","",'[1]سجل المستخلصات'!$C$17)</f>
        <v/>
      </c>
      <c r="D36" s="57">
        <f>IF('[1]سجل المستخلصات'!$E$17="","",'[1]سجل المستخلصات'!$E$17)</f>
        <v/>
      </c>
      <c r="E36" s="58">
        <f>IF('[1]سجل المستخلصات'!$F$17="","",'[1]سجل المستخلصات'!$F$17)</f>
        <v/>
      </c>
      <c r="F36" s="59">
        <f>IF('[1]سجل المستخلصات'!$H$17="","",'[1]سجل المستخلصات'!$H$17)</f>
        <v/>
      </c>
      <c r="G36" s="59">
        <f>IF('[1]سجل المستخلصات'!$G$17="","",'[1]سجل المستخلصات'!$G$17)</f>
        <v/>
      </c>
      <c r="H36" s="59">
        <f>IF('[1]سجل المستخلصات'!$I$17="","",'[1]سجل المستخلصات'!$I$17)</f>
        <v/>
      </c>
      <c r="I36" s="59">
        <f>IF('[1]سجل المستخلصات'!$J$17="","",'[1]سجل المستخلصات'!$J$17)</f>
        <v/>
      </c>
      <c r="J36" s="59">
        <f>IF('[1]سجل المستخلصات'!$K$17="","",'[1]سجل المستخلصات'!$K$17)</f>
        <v/>
      </c>
      <c r="K36" s="60">
        <f>IF('[1]سجل المستخلصات'!$L$17="","",'[1]سجل المستخلصات'!$L$17)</f>
        <v/>
      </c>
      <c r="L36" s="60">
        <f>IF('[1]سجل المستخلصات'!$M$17="","",'[1]سجل المستخلصات'!$M$17)</f>
        <v/>
      </c>
      <c r="M36" s="60">
        <f>IF('[1]سجل المستخلصات'!$N$17="","",'[1]سجل المستخلصات'!$N$17)</f>
        <v/>
      </c>
      <c r="N36" s="59">
        <f>IF('[1]سجل المستخلصات'!$O$17="","",'[1]سجل المستخلصات'!$O$17)</f>
        <v/>
      </c>
      <c r="O36" s="59">
        <f>IF('[1]سجل المستخلصات'!$R$17="","",'[1]سجل المستخلصات'!$R$17)</f>
        <v/>
      </c>
      <c r="P36" s="59">
        <f>IF('[1]سجل المستخلصات'!$S$17="","",'[1]سجل المستخلصات'!$S$17)</f>
        <v/>
      </c>
      <c r="Q36" s="59">
        <f>IF('[1]سجل المستخلصات'!$T$17="","",'[1]سجل المستخلصات'!$T$17)</f>
        <v/>
      </c>
      <c r="R36" s="59">
        <f>IF('[1]سجل المستخلصات'!$V$17="","",'[1]سجل المستخلصات'!$V$17)</f>
        <v/>
      </c>
      <c r="S36" s="59">
        <f>IF('[1]سجل المستخلصات'!$W$17="","",'[1]سجل المستخلصات'!$W$17)</f>
        <v/>
      </c>
      <c r="T36" s="61">
        <f>IF('[1]سجل المستخلصات'!$X$17="","",'[1]سجل المستخلصات'!$X$17)</f>
        <v/>
      </c>
      <c r="U36" s="61">
        <f>IF('[1]سجل المستخلصات'!$Z$17="","",'[1]سجل المستخلصات'!$Z$17)</f>
        <v/>
      </c>
      <c r="V36" s="59">
        <f>IF('[1]سجل المستخلصات'!$AA$17="","",'[1]سجل المستخلصات'!$AA$17)</f>
        <v/>
      </c>
      <c r="W36" s="59">
        <f>IF('[1]سجل المستخلصات'!$AC$17="","",'[1]سجل المستخلصات'!$AC$17)</f>
        <v/>
      </c>
      <c r="X36" s="62">
        <f>IF('[1]سجل المستخلصات'!$AD$17="","",'[1]سجل المستخلصات'!$AD$17)</f>
        <v/>
      </c>
      <c r="Y36" s="58">
        <f>IF('[1]سجل المستخلصات'!$AE$17="","",'[1]سجل المستخلصات'!$AE$17)</f>
        <v/>
      </c>
    </row>
    <row r="37">
      <c r="B37" s="56" t="n">
        <v>13</v>
      </c>
      <c r="C37" s="57">
        <f>IF('[1]سجل المستخلصات'!$C$18="","",'[1]سجل المستخلصات'!$C$18)</f>
        <v/>
      </c>
      <c r="D37" s="57">
        <f>IF('[1]سجل المستخلصات'!$E$18="","",'[1]سجل المستخلصات'!$E$18)</f>
        <v/>
      </c>
      <c r="E37" s="58">
        <f>IF('[1]سجل المستخلصات'!$F$18="","",'[1]سجل المستخلصات'!$F$18)</f>
        <v/>
      </c>
      <c r="F37" s="59">
        <f>IF('[1]سجل المستخلصات'!$H$18="","",'[1]سجل المستخلصات'!$H$18)</f>
        <v/>
      </c>
      <c r="G37" s="59">
        <f>IF('[1]سجل المستخلصات'!$G$18="","",'[1]سجل المستخلصات'!$G$18)</f>
        <v/>
      </c>
      <c r="H37" s="59">
        <f>IF('[1]سجل المستخلصات'!$I$18="","",'[1]سجل المستخلصات'!$I$18)</f>
        <v/>
      </c>
      <c r="I37" s="59">
        <f>IF('[1]سجل المستخلصات'!$J$18="","",'[1]سجل المستخلصات'!$J$18)</f>
        <v/>
      </c>
      <c r="J37" s="59">
        <f>IF('[1]سجل المستخلصات'!$K$18="","",'[1]سجل المستخلصات'!$K$18)</f>
        <v/>
      </c>
      <c r="K37" s="60">
        <f>IF('[1]سجل المستخلصات'!$L$18="","",'[1]سجل المستخلصات'!$L$18)</f>
        <v/>
      </c>
      <c r="L37" s="60">
        <f>IF('[1]سجل المستخلصات'!$M$18="","",'[1]سجل المستخلصات'!$M$18)</f>
        <v/>
      </c>
      <c r="M37" s="60">
        <f>IF('[1]سجل المستخلصات'!$N$18="","",'[1]سجل المستخلصات'!$N$18)</f>
        <v/>
      </c>
      <c r="N37" s="59">
        <f>IF('[1]سجل المستخلصات'!$O$18="","",'[1]سجل المستخلصات'!$O$18)</f>
        <v/>
      </c>
      <c r="O37" s="59">
        <f>IF('[1]سجل المستخلصات'!$R$18="","",'[1]سجل المستخلصات'!$R$18)</f>
        <v/>
      </c>
      <c r="P37" s="59">
        <f>IF('[1]سجل المستخلصات'!$S$18="","",'[1]سجل المستخلصات'!$S$18)</f>
        <v/>
      </c>
      <c r="Q37" s="59">
        <f>IF('[1]سجل المستخلصات'!$T$18="","",'[1]سجل المستخلصات'!$T$18)</f>
        <v/>
      </c>
      <c r="R37" s="59">
        <f>IF('[1]سجل المستخلصات'!$V$18="","",'[1]سجل المستخلصات'!$V$18)</f>
        <v/>
      </c>
      <c r="S37" s="59">
        <f>IF('[1]سجل المستخلصات'!$W$18="","",'[1]سجل المستخلصات'!$W$18)</f>
        <v/>
      </c>
      <c r="T37" s="61">
        <f>IF('[1]سجل المستخلصات'!$X$18="","",'[1]سجل المستخلصات'!$X$18)</f>
        <v/>
      </c>
      <c r="U37" s="61">
        <f>IF('[1]سجل المستخلصات'!$Z$18="","",'[1]سجل المستخلصات'!$Z$18)</f>
        <v/>
      </c>
      <c r="V37" s="59">
        <f>IF('[1]سجل المستخلصات'!$AA$18="","",'[1]سجل المستخلصات'!$AA$18)</f>
        <v/>
      </c>
      <c r="W37" s="59">
        <f>IF('[1]سجل المستخلصات'!$AC$18="","",'[1]سجل المستخلصات'!$AC$18)</f>
        <v/>
      </c>
      <c r="X37" s="62">
        <f>IF('[1]سجل المستخلصات'!$AD$18="","",'[1]سجل المستخلصات'!$AD$18)</f>
        <v/>
      </c>
      <c r="Y37" s="58">
        <f>IF('[1]سجل المستخلصات'!$AE$18="","",'[1]سجل المستخلصات'!$AE$18)</f>
        <v/>
      </c>
    </row>
    <row r="38">
      <c r="B38" s="56" t="n">
        <v>14</v>
      </c>
      <c r="C38" s="57">
        <f>IF('[1]سجل المستخلصات'!$C$19="","",'[1]سجل المستخلصات'!$C$19)</f>
        <v/>
      </c>
      <c r="D38" s="57">
        <f>IF('[1]سجل المستخلصات'!$E$19="","",'[1]سجل المستخلصات'!$E$19)</f>
        <v/>
      </c>
      <c r="E38" s="58">
        <f>IF('[1]سجل المستخلصات'!$F$19="","",'[1]سجل المستخلصات'!$F$19)</f>
        <v/>
      </c>
      <c r="F38" s="59">
        <f>IF('[1]سجل المستخلصات'!$H$19="","",'[1]سجل المستخلصات'!$H$19)</f>
        <v/>
      </c>
      <c r="G38" s="59">
        <f>IF('[1]سجل المستخلصات'!$G$19="","",'[1]سجل المستخلصات'!$G$19)</f>
        <v/>
      </c>
      <c r="H38" s="59">
        <f>IF('[1]سجل المستخلصات'!$I$19="","",'[1]سجل المستخلصات'!$I$19)</f>
        <v/>
      </c>
      <c r="I38" s="59">
        <f>IF('[1]سجل المستخلصات'!$J$19="","",'[1]سجل المستخلصات'!$J$19)</f>
        <v/>
      </c>
      <c r="J38" s="59">
        <f>IF('[1]سجل المستخلصات'!$K$19="","",'[1]سجل المستخلصات'!$K$19)</f>
        <v/>
      </c>
      <c r="K38" s="60">
        <f>IF('[1]سجل المستخلصات'!$L$19="","",'[1]سجل المستخلصات'!$L$19)</f>
        <v/>
      </c>
      <c r="L38" s="60">
        <f>IF('[1]سجل المستخلصات'!$M$19="","",'[1]سجل المستخلصات'!$M$19)</f>
        <v/>
      </c>
      <c r="M38" s="60">
        <f>IF('[1]سجل المستخلصات'!$N$19="","",'[1]سجل المستخلصات'!$N$19)</f>
        <v/>
      </c>
      <c r="N38" s="59">
        <f>IF('[1]سجل المستخلصات'!$O$19="","",'[1]سجل المستخلصات'!$O$19)</f>
        <v/>
      </c>
      <c r="O38" s="59">
        <f>IF('[1]سجل المستخلصات'!$R$19="","",'[1]سجل المستخلصات'!$R$19)</f>
        <v/>
      </c>
      <c r="P38" s="59">
        <f>IF('[1]سجل المستخلصات'!$S$19="","",'[1]سجل المستخلصات'!$S$19)</f>
        <v/>
      </c>
      <c r="Q38" s="59">
        <f>IF('[1]سجل المستخلصات'!$T$19="","",'[1]سجل المستخلصات'!$T$19)</f>
        <v/>
      </c>
      <c r="R38" s="59">
        <f>IF('[1]سجل المستخلصات'!$V$19="","",'[1]سجل المستخلصات'!$V$19)</f>
        <v/>
      </c>
      <c r="S38" s="59">
        <f>IF('[1]سجل المستخلصات'!$W$19="","",'[1]سجل المستخلصات'!$W$19)</f>
        <v/>
      </c>
      <c r="T38" s="61">
        <f>IF('[1]سجل المستخلصات'!$X$19="","",'[1]سجل المستخلصات'!$X$19)</f>
        <v/>
      </c>
      <c r="U38" s="61">
        <f>IF('[1]سجل المستخلصات'!$Z$19="","",'[1]سجل المستخلصات'!$Z$19)</f>
        <v/>
      </c>
      <c r="V38" s="59">
        <f>IF('[1]سجل المستخلصات'!$AA$19="","",'[1]سجل المستخلصات'!$AA$19)</f>
        <v/>
      </c>
      <c r="W38" s="59">
        <f>IF('[1]سجل المستخلصات'!$AC$19="","",'[1]سجل المستخلصات'!$AC$19)</f>
        <v/>
      </c>
      <c r="X38" s="62">
        <f>IF('[1]سجل المستخلصات'!$AD$19="","",'[1]سجل المستخلصات'!$AD$19)</f>
        <v/>
      </c>
      <c r="Y38" s="58">
        <f>IF('[1]سجل المستخلصات'!$AE$19="","",'[1]سجل المستخلصات'!$AE$19)</f>
        <v/>
      </c>
    </row>
    <row r="39">
      <c r="B39" s="56" t="n">
        <v>15</v>
      </c>
      <c r="C39" s="57">
        <f>IF('[1]سجل المستخلصات'!$C$20="","",'[1]سجل المستخلصات'!$C$20)</f>
        <v/>
      </c>
      <c r="D39" s="57">
        <f>IF('[1]سجل المستخلصات'!$E$20="","",'[1]سجل المستخلصات'!$E$20)</f>
        <v/>
      </c>
      <c r="E39" s="58">
        <f>IF('[1]سجل المستخلصات'!$F$20="","",'[1]سجل المستخلصات'!$F$20)</f>
        <v/>
      </c>
      <c r="F39" s="59">
        <f>IF('[1]سجل المستخلصات'!$H$20="","",'[1]سجل المستخلصات'!$H$20)</f>
        <v/>
      </c>
      <c r="G39" s="59">
        <f>IF('[1]سجل المستخلصات'!$G$20="","",'[1]سجل المستخلصات'!$G$20)</f>
        <v/>
      </c>
      <c r="H39" s="59">
        <f>IF('[1]سجل المستخلصات'!$I$20="","",'[1]سجل المستخلصات'!$I$20)</f>
        <v/>
      </c>
      <c r="I39" s="59">
        <f>IF('[1]سجل المستخلصات'!$J$20="","",'[1]سجل المستخلصات'!$J$20)</f>
        <v/>
      </c>
      <c r="J39" s="59">
        <f>IF('[1]سجل المستخلصات'!$K$20="","",'[1]سجل المستخلصات'!$K$20)</f>
        <v/>
      </c>
      <c r="K39" s="60">
        <f>IF('[1]سجل المستخلصات'!$L$20="","",'[1]سجل المستخلصات'!$L$20)</f>
        <v/>
      </c>
      <c r="L39" s="60">
        <f>IF('[1]سجل المستخلصات'!$M$20="","",'[1]سجل المستخلصات'!$M$20)</f>
        <v/>
      </c>
      <c r="M39" s="60">
        <f>IF('[1]سجل المستخلصات'!$N$20="","",'[1]سجل المستخلصات'!$N$20)</f>
        <v/>
      </c>
      <c r="N39" s="59">
        <f>IF('[1]سجل المستخلصات'!$O$20="","",'[1]سجل المستخلصات'!$O$20)</f>
        <v/>
      </c>
      <c r="O39" s="59">
        <f>IF('[1]سجل المستخلصات'!$R$20="","",'[1]سجل المستخلصات'!$R$20)</f>
        <v/>
      </c>
      <c r="P39" s="59">
        <f>IF('[1]سجل المستخلصات'!$S$20="","",'[1]سجل المستخلصات'!$S$20)</f>
        <v/>
      </c>
      <c r="Q39" s="59">
        <f>IF('[1]سجل المستخلصات'!$T$20="","",'[1]سجل المستخلصات'!$T$20)</f>
        <v/>
      </c>
      <c r="R39" s="59">
        <f>IF('[1]سجل المستخلصات'!$V$20="","",'[1]سجل المستخلصات'!$V$20)</f>
        <v/>
      </c>
      <c r="S39" s="59">
        <f>IF('[1]سجل المستخلصات'!$W$20="","",'[1]سجل المستخلصات'!$W$20)</f>
        <v/>
      </c>
      <c r="T39" s="61">
        <f>IF('[1]سجل المستخلصات'!$X$20="","",'[1]سجل المستخلصات'!$X$20)</f>
        <v/>
      </c>
      <c r="U39" s="61">
        <f>IF('[1]سجل المستخلصات'!$Z$20="","",'[1]سجل المستخلصات'!$Z$20)</f>
        <v/>
      </c>
      <c r="V39" s="59">
        <f>IF('[1]سجل المستخلصات'!$AA$20="","",'[1]سجل المستخلصات'!$AA$20)</f>
        <v/>
      </c>
      <c r="W39" s="59">
        <f>IF('[1]سجل المستخلصات'!$AC$20="","",'[1]سجل المستخلصات'!$AC$20)</f>
        <v/>
      </c>
      <c r="X39" s="62">
        <f>IF('[1]سجل المستخلصات'!$AD$20="","",'[1]سجل المستخلصات'!$AD$20)</f>
        <v/>
      </c>
      <c r="Y39" s="58">
        <f>IF('[1]سجل المستخلصات'!$AE$20="","",'[1]سجل المستخلصات'!$AE$20)</f>
        <v/>
      </c>
    </row>
    <row r="40">
      <c r="B40" s="56" t="n">
        <v>16</v>
      </c>
      <c r="C40" s="57">
        <f>IF('[1]سجل المستخلصات'!$C$21="","",'[1]سجل المستخلصات'!$C$21)</f>
        <v/>
      </c>
      <c r="D40" s="57">
        <f>IF('[1]سجل المستخلصات'!$E$21="","",'[1]سجل المستخلصات'!$E$21)</f>
        <v/>
      </c>
      <c r="E40" s="58">
        <f>IF('[1]سجل المستخلصات'!$F$21="","",'[1]سجل المستخلصات'!$F$21)</f>
        <v/>
      </c>
      <c r="F40" s="59">
        <f>IF('[1]سجل المستخلصات'!$H$21="","",'[1]سجل المستخلصات'!$H$21)</f>
        <v/>
      </c>
      <c r="G40" s="59">
        <f>IF('[1]سجل المستخلصات'!$G$21="","",'[1]سجل المستخلصات'!$G$21)</f>
        <v/>
      </c>
      <c r="H40" s="59">
        <f>IF('[1]سجل المستخلصات'!$I$21="","",'[1]سجل المستخلصات'!$I$21)</f>
        <v/>
      </c>
      <c r="I40" s="59">
        <f>IF('[1]سجل المستخلصات'!$J$21="","",'[1]سجل المستخلصات'!$J$21)</f>
        <v/>
      </c>
      <c r="J40" s="59">
        <f>IF('[1]سجل المستخلصات'!$K$21="","",'[1]سجل المستخلصات'!$K$21)</f>
        <v/>
      </c>
      <c r="K40" s="60">
        <f>IF('[1]سجل المستخلصات'!$L$21="","",'[1]سجل المستخلصات'!$L$21)</f>
        <v/>
      </c>
      <c r="L40" s="60">
        <f>IF('[1]سجل المستخلصات'!$M$21="","",'[1]سجل المستخلصات'!$M$21)</f>
        <v/>
      </c>
      <c r="M40" s="60">
        <f>IF('[1]سجل المستخلصات'!$N$21="","",'[1]سجل المستخلصات'!$N$21)</f>
        <v/>
      </c>
      <c r="N40" s="59">
        <f>IF('[1]سجل المستخلصات'!$O$21="","",'[1]سجل المستخلصات'!$O$21)</f>
        <v/>
      </c>
      <c r="O40" s="59">
        <f>IF('[1]سجل المستخلصات'!$R$21="","",'[1]سجل المستخلصات'!$R$21)</f>
        <v/>
      </c>
      <c r="P40" s="59">
        <f>IF('[1]سجل المستخلصات'!$S$21="","",'[1]سجل المستخلصات'!$S$21)</f>
        <v/>
      </c>
      <c r="Q40" s="59">
        <f>IF('[1]سجل المستخلصات'!$T$21="","",'[1]سجل المستخلصات'!$T$21)</f>
        <v/>
      </c>
      <c r="R40" s="59">
        <f>IF('[1]سجل المستخلصات'!$V$21="","",'[1]سجل المستخلصات'!$V$21)</f>
        <v/>
      </c>
      <c r="S40" s="59">
        <f>IF('[1]سجل المستخلصات'!$W$21="","",'[1]سجل المستخلصات'!$W$21)</f>
        <v/>
      </c>
      <c r="T40" s="61">
        <f>IF('[1]سجل المستخلصات'!$X$21="","",'[1]سجل المستخلصات'!$X$21)</f>
        <v/>
      </c>
      <c r="U40" s="61">
        <f>IF('[1]سجل المستخلصات'!$Z$21="","",'[1]سجل المستخلصات'!$Z$21)</f>
        <v/>
      </c>
      <c r="V40" s="59">
        <f>IF('[1]سجل المستخلصات'!$AA$21="","",'[1]سجل المستخلصات'!$AA$21)</f>
        <v/>
      </c>
      <c r="W40" s="59">
        <f>IF('[1]سجل المستخلصات'!$AC$21="","",'[1]سجل المستخلصات'!$AC$21)</f>
        <v/>
      </c>
      <c r="X40" s="62">
        <f>IF('[1]سجل المستخلصات'!$AD$21="","",'[1]سجل المستخلصات'!$AD$21)</f>
        <v/>
      </c>
      <c r="Y40" s="58">
        <f>IF('[1]سجل المستخلصات'!$AE$21="","",'[1]سجل المستخلصات'!$AE$21)</f>
        <v/>
      </c>
    </row>
    <row r="41">
      <c r="B41" s="56" t="n">
        <v>17</v>
      </c>
      <c r="C41" s="57">
        <f>IF('[1]سجل المستخلصات'!$C$22="","",'[1]سجل المستخلصات'!$C$22)</f>
        <v/>
      </c>
      <c r="D41" s="57">
        <f>IF('[1]سجل المستخلصات'!$E$22="","",'[1]سجل المستخلصات'!$E$22)</f>
        <v/>
      </c>
      <c r="E41" s="58">
        <f>IF('[1]سجل المستخلصات'!$F$22="","",'[1]سجل المستخلصات'!$F$22)</f>
        <v/>
      </c>
      <c r="F41" s="59">
        <f>IF('[1]سجل المستخلصات'!$H$22="","",'[1]سجل المستخلصات'!$H$22)</f>
        <v/>
      </c>
      <c r="G41" s="59">
        <f>IF('[1]سجل المستخلصات'!$G$22="","",'[1]سجل المستخلصات'!$G$22)</f>
        <v/>
      </c>
      <c r="H41" s="59">
        <f>IF('[1]سجل المستخلصات'!$I$22="","",'[1]سجل المستخلصات'!$I$22)</f>
        <v/>
      </c>
      <c r="I41" s="59">
        <f>IF('[1]سجل المستخلصات'!$J$22="","",'[1]سجل المستخلصات'!$J$22)</f>
        <v/>
      </c>
      <c r="J41" s="59">
        <f>IF('[1]سجل المستخلصات'!$K$22="","",'[1]سجل المستخلصات'!$K$22)</f>
        <v/>
      </c>
      <c r="K41" s="60">
        <f>IF('[1]سجل المستخلصات'!$L$22="","",'[1]سجل المستخلصات'!$L$22)</f>
        <v/>
      </c>
      <c r="L41" s="60">
        <f>IF('[1]سجل المستخلصات'!$M$22="","",'[1]سجل المستخلصات'!$M$22)</f>
        <v/>
      </c>
      <c r="M41" s="60">
        <f>IF('[1]سجل المستخلصات'!$N$22="","",'[1]سجل المستخلصات'!$N$22)</f>
        <v/>
      </c>
      <c r="N41" s="59">
        <f>IF('[1]سجل المستخلصات'!$O$22="","",'[1]سجل المستخلصات'!$O$22)</f>
        <v/>
      </c>
      <c r="O41" s="59">
        <f>IF('[1]سجل المستخلصات'!$R$22="","",'[1]سجل المستخلصات'!$R$22)</f>
        <v/>
      </c>
      <c r="P41" s="59">
        <f>IF('[1]سجل المستخلصات'!$S$22="","",'[1]سجل المستخلصات'!$S$22)</f>
        <v/>
      </c>
      <c r="Q41" s="59">
        <f>IF('[1]سجل المستخلصات'!$T$22="","",'[1]سجل المستخلصات'!$T$22)</f>
        <v/>
      </c>
      <c r="R41" s="59">
        <f>IF('[1]سجل المستخلصات'!$V$22="","",'[1]سجل المستخلصات'!$V$22)</f>
        <v/>
      </c>
      <c r="S41" s="59">
        <f>IF('[1]سجل المستخلصات'!$W$22="","",'[1]سجل المستخلصات'!$W$22)</f>
        <v/>
      </c>
      <c r="T41" s="61">
        <f>IF('[1]سجل المستخلصات'!$X$22="","",'[1]سجل المستخلصات'!$X$22)</f>
        <v/>
      </c>
      <c r="U41" s="61">
        <f>IF('[1]سجل المستخلصات'!$Z$22="","",'[1]سجل المستخلصات'!$Z$22)</f>
        <v/>
      </c>
      <c r="V41" s="59">
        <f>IF('[1]سجل المستخلصات'!$AA$22="","",'[1]سجل المستخلصات'!$AA$22)</f>
        <v/>
      </c>
      <c r="W41" s="59">
        <f>IF('[1]سجل المستخلصات'!$AC$22="","",'[1]سجل المستخلصات'!$AC$22)</f>
        <v/>
      </c>
      <c r="X41" s="62">
        <f>IF('[1]سجل المستخلصات'!$AD$22="","",'[1]سجل المستخلصات'!$AD$22)</f>
        <v/>
      </c>
      <c r="Y41" s="58">
        <f>IF('[1]سجل المستخلصات'!$AE$22="","",'[1]سجل المستخلصات'!$AE$22)</f>
        <v/>
      </c>
    </row>
    <row r="42">
      <c r="B42" s="56" t="n">
        <v>18</v>
      </c>
      <c r="C42" s="57">
        <f>IF('[1]سجل المستخلصات'!$C$23="","",'[1]سجل المستخلصات'!$C$23)</f>
        <v/>
      </c>
      <c r="D42" s="57">
        <f>IF('[1]سجل المستخلصات'!$E$23="","",'[1]سجل المستخلصات'!$E$23)</f>
        <v/>
      </c>
      <c r="E42" s="58">
        <f>IF('[1]سجل المستخلصات'!$F$23="","",'[1]سجل المستخلصات'!$F$23)</f>
        <v/>
      </c>
      <c r="F42" s="59">
        <f>IF('[1]سجل المستخلصات'!$H$23="","",'[1]سجل المستخلصات'!$H$23)</f>
        <v/>
      </c>
      <c r="G42" s="59">
        <f>IF('[1]سجل المستخلصات'!$G$23="","",'[1]سجل المستخلصات'!$G$23)</f>
        <v/>
      </c>
      <c r="H42" s="59">
        <f>IF('[1]سجل المستخلصات'!$I$23="","",'[1]سجل المستخلصات'!$I$23)</f>
        <v/>
      </c>
      <c r="I42" s="59">
        <f>IF('[1]سجل المستخلصات'!$J$23="","",'[1]سجل المستخلصات'!$J$23)</f>
        <v/>
      </c>
      <c r="J42" s="59">
        <f>IF('[1]سجل المستخلصات'!$K$23="","",'[1]سجل المستخلصات'!$K$23)</f>
        <v/>
      </c>
      <c r="K42" s="60">
        <f>IF('[1]سجل المستخلصات'!$L$23="","",'[1]سجل المستخلصات'!$L$23)</f>
        <v/>
      </c>
      <c r="L42" s="60">
        <f>IF('[1]سجل المستخلصات'!$M$23="","",'[1]سجل المستخلصات'!$M$23)</f>
        <v/>
      </c>
      <c r="M42" s="60">
        <f>IF('[1]سجل المستخلصات'!$N$23="","",'[1]سجل المستخلصات'!$N$23)</f>
        <v/>
      </c>
      <c r="N42" s="59">
        <f>IF('[1]سجل المستخلصات'!$O$23="","",'[1]سجل المستخلصات'!$O$23)</f>
        <v/>
      </c>
      <c r="O42" s="59">
        <f>IF('[1]سجل المستخلصات'!$R$23="","",'[1]سجل المستخلصات'!$R$23)</f>
        <v/>
      </c>
      <c r="P42" s="59">
        <f>IF('[1]سجل المستخلصات'!$S$23="","",'[1]سجل المستخلصات'!$S$23)</f>
        <v/>
      </c>
      <c r="Q42" s="59">
        <f>IF('[1]سجل المستخلصات'!$T$23="","",'[1]سجل المستخلصات'!$T$23)</f>
        <v/>
      </c>
      <c r="R42" s="59">
        <f>IF('[1]سجل المستخلصات'!$V$23="","",'[1]سجل المستخلصات'!$V$23)</f>
        <v/>
      </c>
      <c r="S42" s="59">
        <f>IF('[1]سجل المستخلصات'!$W$23="","",'[1]سجل المستخلصات'!$W$23)</f>
        <v/>
      </c>
      <c r="T42" s="61">
        <f>IF('[1]سجل المستخلصات'!$X$23="","",'[1]سجل المستخلصات'!$X$23)</f>
        <v/>
      </c>
      <c r="U42" s="61">
        <f>IF('[1]سجل المستخلصات'!$Z$23="","",'[1]سجل المستخلصات'!$Z$23)</f>
        <v/>
      </c>
      <c r="V42" s="59">
        <f>IF('[1]سجل المستخلصات'!$AA$23="","",'[1]سجل المستخلصات'!$AA$23)</f>
        <v/>
      </c>
      <c r="W42" s="59">
        <f>IF('[1]سجل المستخلصات'!$AC$23="","",'[1]سجل المستخلصات'!$AC$23)</f>
        <v/>
      </c>
      <c r="X42" s="62">
        <f>IF('[1]سجل المستخلصات'!$AD$23="","",'[1]سجل المستخلصات'!$AD$23)</f>
        <v/>
      </c>
      <c r="Y42" s="58">
        <f>IF('[1]سجل المستخلصات'!$AE$23="","",'[1]سجل المستخلصات'!$AE$23)</f>
        <v/>
      </c>
    </row>
    <row r="43">
      <c r="B43" s="56" t="n">
        <v>19</v>
      </c>
      <c r="C43" s="57">
        <f>IF('[1]سجل المستخلصات'!$C$24="","",'[1]سجل المستخلصات'!$C$24)</f>
        <v/>
      </c>
      <c r="D43" s="57">
        <f>IF('[1]سجل المستخلصات'!$E$24="","",'[1]سجل المستخلصات'!$E$24)</f>
        <v/>
      </c>
      <c r="E43" s="58">
        <f>IF('[1]سجل المستخلصات'!$F$24="","",'[1]سجل المستخلصات'!$F$24)</f>
        <v/>
      </c>
      <c r="F43" s="59">
        <f>IF('[1]سجل المستخلصات'!$H$24="","",'[1]سجل المستخلصات'!$H$24)</f>
        <v/>
      </c>
      <c r="G43" s="59">
        <f>IF('[1]سجل المستخلصات'!$G$24="","",'[1]سجل المستخلصات'!$G$24)</f>
        <v/>
      </c>
      <c r="H43" s="59">
        <f>IF('[1]سجل المستخلصات'!$I$24="","",'[1]سجل المستخلصات'!$I$24)</f>
        <v/>
      </c>
      <c r="I43" s="59">
        <f>IF('[1]سجل المستخلصات'!$J$24="","",'[1]سجل المستخلصات'!$J$24)</f>
        <v/>
      </c>
      <c r="J43" s="59">
        <f>IF('[1]سجل المستخلصات'!$K$24="","",'[1]سجل المستخلصات'!$K$24)</f>
        <v/>
      </c>
      <c r="K43" s="60">
        <f>IF('[1]سجل المستخلصات'!$L$24="","",'[1]سجل المستخلصات'!$L$24)</f>
        <v/>
      </c>
      <c r="L43" s="60">
        <f>IF('[1]سجل المستخلصات'!$M$24="","",'[1]سجل المستخلصات'!$M$24)</f>
        <v/>
      </c>
      <c r="M43" s="60">
        <f>IF('[1]سجل المستخلصات'!$N$24="","",'[1]سجل المستخلصات'!$N$24)</f>
        <v/>
      </c>
      <c r="N43" s="59">
        <f>IF('[1]سجل المستخلصات'!$O$24="","",'[1]سجل المستخلصات'!$O$24)</f>
        <v/>
      </c>
      <c r="O43" s="59">
        <f>IF('[1]سجل المستخلصات'!$R$24="","",'[1]سجل المستخلصات'!$R$24)</f>
        <v/>
      </c>
      <c r="P43" s="59">
        <f>IF('[1]سجل المستخلصات'!$S$24="","",'[1]سجل المستخلصات'!$S$24)</f>
        <v/>
      </c>
      <c r="Q43" s="59">
        <f>IF('[1]سجل المستخلصات'!$T$24="","",'[1]سجل المستخلصات'!$T$24)</f>
        <v/>
      </c>
      <c r="R43" s="59">
        <f>IF('[1]سجل المستخلصات'!$V$24="","",'[1]سجل المستخلصات'!$V$24)</f>
        <v/>
      </c>
      <c r="S43" s="59">
        <f>IF('[1]سجل المستخلصات'!$W$24="","",'[1]سجل المستخلصات'!$W$24)</f>
        <v/>
      </c>
      <c r="T43" s="61">
        <f>IF('[1]سجل المستخلصات'!$X$24="","",'[1]سجل المستخلصات'!$X$24)</f>
        <v/>
      </c>
      <c r="U43" s="61">
        <f>IF('[1]سجل المستخلصات'!$Z$24="","",'[1]سجل المستخلصات'!$Z$24)</f>
        <v/>
      </c>
      <c r="V43" s="59">
        <f>IF('[1]سجل المستخلصات'!$AA$24="","",'[1]سجل المستخلصات'!$AA$24)</f>
        <v/>
      </c>
      <c r="W43" s="59">
        <f>IF('[1]سجل المستخلصات'!$AC$24="","",'[1]سجل المستخلصات'!$AC$24)</f>
        <v/>
      </c>
      <c r="X43" s="62">
        <f>IF('[1]سجل المستخلصات'!$AD$24="","",'[1]سجل المستخلصات'!$AD$24)</f>
        <v/>
      </c>
      <c r="Y43" s="58">
        <f>IF('[1]سجل المستخلصات'!$AE$24="","",'[1]سجل المستخلصات'!$AE$24)</f>
        <v/>
      </c>
    </row>
    <row r="44">
      <c r="B44" s="56" t="n">
        <v>20</v>
      </c>
      <c r="C44" s="57">
        <f>IF('[1]سجل المستخلصات'!$C$25="","",'[1]سجل المستخلصات'!$C$25)</f>
        <v/>
      </c>
      <c r="D44" s="57">
        <f>IF('[1]سجل المستخلصات'!$E$25="","",'[1]سجل المستخلصات'!$E$25)</f>
        <v/>
      </c>
      <c r="E44" s="58">
        <f>IF('[1]سجل المستخلصات'!$F$25="","",'[1]سجل المستخلصات'!$F$25)</f>
        <v/>
      </c>
      <c r="F44" s="59">
        <f>IF('[1]سجل المستخلصات'!$H$25="","",'[1]سجل المستخلصات'!$H$25)</f>
        <v/>
      </c>
      <c r="G44" s="59">
        <f>IF('[1]سجل المستخلصات'!$G$25="","",'[1]سجل المستخلصات'!$G$25)</f>
        <v/>
      </c>
      <c r="H44" s="59">
        <f>IF('[1]سجل المستخلصات'!$I$25="","",'[1]سجل المستخلصات'!$I$25)</f>
        <v/>
      </c>
      <c r="I44" s="59">
        <f>IF('[1]سجل المستخلصات'!$J$25="","",'[1]سجل المستخلصات'!$J$25)</f>
        <v/>
      </c>
      <c r="J44" s="59">
        <f>IF('[1]سجل المستخلصات'!$K$25="","",'[1]سجل المستخلصات'!$K$25)</f>
        <v/>
      </c>
      <c r="K44" s="60">
        <f>IF('[1]سجل المستخلصات'!$L$25="","",'[1]سجل المستخلصات'!$L$25)</f>
        <v/>
      </c>
      <c r="L44" s="60">
        <f>IF('[1]سجل المستخلصات'!$M$25="","",'[1]سجل المستخلصات'!$M$25)</f>
        <v/>
      </c>
      <c r="M44" s="60">
        <f>IF('[1]سجل المستخلصات'!$N$25="","",'[1]سجل المستخلصات'!$N$25)</f>
        <v/>
      </c>
      <c r="N44" s="59">
        <f>IF('[1]سجل المستخلصات'!$O$25="","",'[1]سجل المستخلصات'!$O$25)</f>
        <v/>
      </c>
      <c r="O44" s="59">
        <f>IF('[1]سجل المستخلصات'!$R$25="","",'[1]سجل المستخلصات'!$R$25)</f>
        <v/>
      </c>
      <c r="P44" s="59">
        <f>IF('[1]سجل المستخلصات'!$S$25="","",'[1]سجل المستخلصات'!$S$25)</f>
        <v/>
      </c>
      <c r="Q44" s="59">
        <f>IF('[1]سجل المستخلصات'!$T$25="","",'[1]سجل المستخلصات'!$T$25)</f>
        <v/>
      </c>
      <c r="R44" s="59">
        <f>IF('[1]سجل المستخلصات'!$V$25="","",'[1]سجل المستخلصات'!$V$25)</f>
        <v/>
      </c>
      <c r="S44" s="59">
        <f>IF('[1]سجل المستخلصات'!$W$25="","",'[1]سجل المستخلصات'!$W$25)</f>
        <v/>
      </c>
      <c r="T44" s="61">
        <f>IF('[1]سجل المستخلصات'!$X$25="","",'[1]سجل المستخلصات'!$X$25)</f>
        <v/>
      </c>
      <c r="U44" s="61">
        <f>IF('[1]سجل المستخلصات'!$Z$25="","",'[1]سجل المستخلصات'!$Z$25)</f>
        <v/>
      </c>
      <c r="V44" s="59">
        <f>IF('[1]سجل المستخلصات'!$AA$25="","",'[1]سجل المستخلصات'!$AA$25)</f>
        <v/>
      </c>
      <c r="W44" s="59">
        <f>IF('[1]سجل المستخلصات'!$AC$25="","",'[1]سجل المستخلصات'!$AC$25)</f>
        <v/>
      </c>
      <c r="X44" s="62">
        <f>IF('[1]سجل المستخلصات'!$AD$25="","",'[1]سجل المستخلصات'!$AD$25)</f>
        <v/>
      </c>
      <c r="Y44" s="58">
        <f>IF('[1]سجل المستخلصات'!$AE$25="","",'[1]سجل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IF('[1]سجل المستخلصات'!$B$32="","",'[1]سجل المستخلصات'!$B$32)</f>
        <v/>
      </c>
      <c r="C50" s="69" t="n"/>
      <c r="D50" s="69" t="n"/>
      <c r="E50" s="59">
        <f>N('[1]سجل المستخلصات'!$E$32)</f>
        <v/>
      </c>
      <c r="F50" s="59">
        <f>N('[1]سجل المستخلصات'!$F$32)</f>
        <v/>
      </c>
      <c r="G50" s="70">
        <f>IF(E50&gt;0,F50/E50,0)</f>
        <v/>
      </c>
    </row>
    <row r="51">
      <c r="B51" s="69">
        <f>IF('[1]سجل المستخلصات'!$B$33="","",'[1]سجل المستخلصات'!$B$33)</f>
        <v/>
      </c>
      <c r="C51" s="69" t="n"/>
      <c r="D51" s="69" t="n"/>
      <c r="E51" s="59">
        <f>N('[1]سجل المستخلصات'!$E$33)</f>
        <v/>
      </c>
      <c r="F51" s="59">
        <f>N('[1]سجل المستخلصات'!$F$33)</f>
        <v/>
      </c>
      <c r="G51" s="70">
        <f>IF(E51&gt;0,F51/E51,0)</f>
        <v/>
      </c>
    </row>
    <row r="52">
      <c r="B52" s="69">
        <f>IF('[1]سجل المستخلصات'!$B$34="","",'[1]سجل المستخلصات'!$B$34)</f>
        <v/>
      </c>
      <c r="C52" s="69" t="n"/>
      <c r="D52" s="69" t="n"/>
      <c r="E52" s="59">
        <f>N('[1]سجل المستخلصات'!$E$34)</f>
        <v/>
      </c>
      <c r="F52" s="59">
        <f>N('[1]سجل المستخلصات'!$F$34)</f>
        <v/>
      </c>
      <c r="G52" s="70">
        <f>IF(E52&gt;0,F52/E52,0)</f>
        <v/>
      </c>
    </row>
    <row r="53">
      <c r="B53" s="69">
        <f>IF('[1]سجل المستخلصات'!$B$35="","",'[1]سجل المستخلصات'!$B$35)</f>
        <v/>
      </c>
      <c r="C53" s="69" t="n"/>
      <c r="D53" s="69" t="n"/>
      <c r="E53" s="59">
        <f>N('[1]سجل المستخلصات'!$E$35)</f>
        <v/>
      </c>
      <c r="F53" s="59">
        <f>N('[1]سجل المستخلصات'!$F$35)</f>
        <v/>
      </c>
      <c r="G53" s="70">
        <f>IF(E53&gt;0,F53/E53,0)</f>
        <v/>
      </c>
    </row>
    <row r="54">
      <c r="B54" s="69">
        <f>IF('[1]سجل المستخلصات'!$B$36="","",'[1]سجل المستخلصات'!$B$36)</f>
        <v/>
      </c>
      <c r="C54" s="69" t="n"/>
      <c r="D54" s="69" t="n"/>
      <c r="E54" s="59">
        <f>N('[1]سجل المستخلصات'!$E$36)</f>
        <v/>
      </c>
      <c r="F54" s="59">
        <f>N('[1]سجل المستخلصات'!$F$36)</f>
        <v/>
      </c>
      <c r="G54" s="70">
        <f>IF(E54&gt;0,F54/E54,0)</f>
        <v/>
      </c>
    </row>
    <row r="55">
      <c r="B55" s="69">
        <f>IF('[1]سجل المستخلصات'!$B$37="","",'[1]سجل المستخلصات'!$B$37)</f>
        <v/>
      </c>
      <c r="C55" s="69" t="n"/>
      <c r="D55" s="69" t="n"/>
      <c r="E55" s="59">
        <f>N('[1]سجل المستخلصات'!$E$37)</f>
        <v/>
      </c>
      <c r="F55" s="59">
        <f>N('[1]سجل المستخلصات'!$F$37)</f>
        <v/>
      </c>
      <c r="G55" s="70">
        <f>IF(E55&gt;0,F55/E55,0)</f>
        <v/>
      </c>
    </row>
    <row r="56">
      <c r="B56" s="69">
        <f>IF('[1]سجل المستخلصات'!$B$38="","",'[1]سجل المستخلصات'!$B$38)</f>
        <v/>
      </c>
      <c r="C56" s="69" t="n"/>
      <c r="D56" s="69" t="n"/>
      <c r="E56" s="59">
        <f>N('[1]سجل المستخلصات'!$E$38)</f>
        <v/>
      </c>
      <c r="F56" s="59">
        <f>N('[1]سجل المستخلصات'!$F$38)</f>
        <v/>
      </c>
      <c r="G56" s="70">
        <f>IF(E56&gt;0,F56/E56,0)</f>
        <v/>
      </c>
    </row>
    <row r="57">
      <c r="B57" s="69">
        <f>IF('[1]سجل المستخلصات'!$B$39="","",'[1]سجل المستخلصات'!$B$39)</f>
        <v/>
      </c>
      <c r="C57" s="69" t="n"/>
      <c r="D57" s="69" t="n"/>
      <c r="E57" s="59">
        <f>N('[1]سجل المستخلصات'!$E$39)</f>
        <v/>
      </c>
      <c r="F57" s="59">
        <f>N('[1]سجل المستخلصات'!$F$39)</f>
        <v/>
      </c>
      <c r="G57" s="70">
        <f>IF(E57&gt;0,F57/E57,0)</f>
        <v/>
      </c>
    </row>
    <row r="58">
      <c r="B58" s="69">
        <f>IF('[1]سجل المستخلصات'!$B$40="","",'[1]سجل المستخلصات'!$B$40)</f>
        <v/>
      </c>
      <c r="C58" s="69" t="n"/>
      <c r="D58" s="69" t="n"/>
      <c r="E58" s="59">
        <f>N('[1]سجل المستخلصات'!$E$40)</f>
        <v/>
      </c>
      <c r="F58" s="59">
        <f>N('[1]سجل المستخلصات'!$F$40)</f>
        <v/>
      </c>
      <c r="G58" s="70">
        <f>IF(E58&gt;0,F58/E58,0)</f>
        <v/>
      </c>
    </row>
    <row r="59">
      <c r="B59" s="69">
        <f>IF('[1]سجل المستخلصات'!$B$41="","",'[1]سجل المستخلصات'!$B$41)</f>
        <v/>
      </c>
      <c r="C59" s="69" t="n"/>
      <c r="D59" s="69" t="n"/>
      <c r="E59" s="59">
        <f>N('[1]سجل المستخلصات'!$E$41)</f>
        <v/>
      </c>
      <c r="F59" s="59">
        <f>N('[1]سجل المستخلصات'!$F$41)</f>
        <v/>
      </c>
      <c r="G59" s="70">
        <f>IF(E59&gt;0,F59/E59,0)</f>
        <v/>
      </c>
    </row>
    <row r="60">
      <c r="B60" s="69">
        <f>IF('[1]سجل المستخلصات'!$B$42="","",'[1]سجل المستخلصات'!$B$42)</f>
        <v/>
      </c>
      <c r="C60" s="69" t="n"/>
      <c r="D60" s="69" t="n"/>
      <c r="E60" s="59">
        <f>N('[1]سجل المستخلصات'!$E$42)</f>
        <v/>
      </c>
      <c r="F60" s="59">
        <f>N('[1]سجل المستخلصات'!$F$42)</f>
        <v/>
      </c>
      <c r="G60" s="70">
        <f>IF(E60&gt;0,F60/E60,0)</f>
        <v/>
      </c>
    </row>
    <row r="61">
      <c r="B61" s="69">
        <f>IF('[1]سجل المستخلصات'!$B$43="","",'[1]سجل المستخلصات'!$B$43)</f>
        <v/>
      </c>
      <c r="C61" s="69" t="n"/>
      <c r="D61" s="69" t="n"/>
      <c r="E61" s="59">
        <f>N('[1]سجل المستخلصات'!$E$43)</f>
        <v/>
      </c>
      <c r="F61" s="59">
        <f>N('[1]سجل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D3" location="'مشروع 02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"&amp;IF('[2]بيانات العقد'!$C$5="","مشروع رقم 02 — غير مُفعّل",'[2]بيانات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Project_02/IPC_Project_02.xlsx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IF('[2]بيانات العقد'!$C$5="","",'[2]بيانات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IF('[2]بيانات العقد'!$C$6="","",'[2]بيانات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IF('[2]بيانات العقد'!$C$7="","",'[2]بيانات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IF('[2]بيانات العقد'!$C$8="","",'[2]بيانات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N('[2]بيانات العقد'!$C$16)</f>
        <v/>
      </c>
    </row>
    <row r="6" ht="22" customHeight="1">
      <c r="B6" s="11" t="inlineStr">
        <is>
          <t>المقاول</t>
        </is>
      </c>
      <c r="C6" s="14">
        <f>IF('[2]بيانات العقد'!$C$9="","",'[2]بيانات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IF('[2]بيانات العقد'!$C$11="","",'[2]بيانات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IF('[2]بيانات العقد'!$C$13="","",'[2]بيانات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IF('[2]بيانات العقد'!$C$14="","",'[2]بيانات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N('[2]بيانات العقد'!$C$17)</f>
        <v/>
      </c>
    </row>
    <row r="7">
      <c r="AA7" s="15" t="inlineStr">
        <is>
          <t>قيمة العقد المعدلة</t>
        </is>
      </c>
      <c r="AB7" s="16">
        <f>N('[2]بيانات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N('[2]بيانات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N('[2]بيانات العقد'!$C$21)</f>
        <v/>
      </c>
    </row>
    <row r="10">
      <c r="AA10" s="15" t="inlineStr">
        <is>
          <t>نسبة ضمان الأعمال</t>
        </is>
      </c>
      <c r="AB10" s="23">
        <f>N('[2]بيانات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N('[2]بيانات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N('[2]بيانات العقد'!$C$31)</f>
        <v/>
      </c>
    </row>
    <row r="13">
      <c r="AA13" s="15" t="inlineStr">
        <is>
          <t>ضريبة الاستقطاع (غير المقيم)</t>
        </is>
      </c>
      <c r="AB13" s="23">
        <f>N('[2]بيانات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IF('[2]بيانات العقد'!$C$11="","",'[2]بيانات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IF('[2]بيانات العقد'!$C$13="","",'[2]بيانات العقد'!$C$13)</f>
        <v/>
      </c>
    </row>
    <row r="16">
      <c r="AA16" s="15" t="inlineStr">
        <is>
          <t>المدة (شهر)</t>
        </is>
      </c>
      <c r="AB16" s="43">
        <f>IF('[2]بيانات العقد'!$C$12="","",'[2]بيانات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IF('[2]بيانات العقد'!$C$36="","",'[2]بيانات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IF('[2]بيانات العقد'!$C$37="","",'[2]بيانات العقد'!$C$37)</f>
        <v/>
      </c>
    </row>
    <row r="19">
      <c r="AA19" s="15" t="inlineStr">
        <is>
          <t>الرقم الضريبي لصاحب العمل</t>
        </is>
      </c>
      <c r="AB19" s="48">
        <f>IF('[2]بيانات العقد'!$C$39="","",'[2]بيانات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IF('[2]بيانات العقد'!$C$42="","",'[2]بيانات العقد'!$C$42)</f>
        <v/>
      </c>
    </row>
    <row r="21" ht="32" customHeight="1">
      <c r="B21" s="50">
        <f>N('[2]الموازنة والتكاليف'!$D$66)</f>
        <v/>
      </c>
      <c r="C21" s="50" t="n"/>
      <c r="D21" s="50" t="n"/>
      <c r="E21" s="50" t="n"/>
      <c r="F21" s="50">
        <f>N('[2]الموازنة والتكاليف'!$D$70)</f>
        <v/>
      </c>
      <c r="G21" s="50" t="n"/>
      <c r="H21" s="50" t="n"/>
      <c r="I21" s="50" t="n"/>
      <c r="J21" s="50">
        <f>N('[2]الموازنة والتكاليف'!$D$72)</f>
        <v/>
      </c>
      <c r="K21" s="50" t="n"/>
      <c r="L21" s="50" t="n"/>
      <c r="M21" s="50" t="n"/>
      <c r="N21" s="51">
        <f>N('[2]الموازنة والتكاليف'!$D$73)</f>
        <v/>
      </c>
      <c r="O21" s="51" t="n"/>
      <c r="P21" s="51" t="n"/>
      <c r="Q21" s="51" t="n"/>
      <c r="R21" s="52">
        <f>N('[2]الموازنة والتكاليف'!$D$74)</f>
        <v/>
      </c>
      <c r="S21" s="52" t="n"/>
      <c r="T21" s="52" t="n"/>
      <c r="U21" s="52" t="n"/>
      <c r="V21" s="50">
        <f>N('[2]الموازنة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IF('[2]بيانات العقد'!$C$43="","",'[2]بيانات العقد'!$C$43)</f>
        <v/>
      </c>
    </row>
    <row r="22">
      <c r="AA22" s="15" t="inlineStr">
        <is>
          <t>حالة غرامات التأخير</t>
        </is>
      </c>
      <c r="AB22" s="45">
        <f>IF('[2]بيانات العقد'!$C$47="","",'[2]بيانات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IF('[2]سجل المستخلصات'!$C$6="","",'[2]سجل المستخلصات'!$C$6)</f>
        <v/>
      </c>
      <c r="D25" s="57">
        <f>IF('[2]سجل المستخلصات'!$E$6="","",'[2]سجل المستخلصات'!$E$6)</f>
        <v/>
      </c>
      <c r="E25" s="58">
        <f>IF('[2]سجل المستخلصات'!$F$6="","",'[2]سجل المستخلصات'!$F$6)</f>
        <v/>
      </c>
      <c r="F25" s="59">
        <f>IF('[2]سجل المستخلصات'!$H$6="","",'[2]سجل المستخلصات'!$H$6)</f>
        <v/>
      </c>
      <c r="G25" s="59">
        <f>IF('[2]سجل المستخلصات'!$G$6="","",'[2]سجل المستخلصات'!$G$6)</f>
        <v/>
      </c>
      <c r="H25" s="59">
        <f>IF('[2]سجل المستخلصات'!$I$6="","",'[2]سجل المستخلصات'!$I$6)</f>
        <v/>
      </c>
      <c r="I25" s="59">
        <f>IF('[2]سجل المستخلصات'!$J$6="","",'[2]سجل المستخلصات'!$J$6)</f>
        <v/>
      </c>
      <c r="J25" s="59">
        <f>IF('[2]سجل المستخلصات'!$K$6="","",'[2]سجل المستخلصات'!$K$6)</f>
        <v/>
      </c>
      <c r="K25" s="60">
        <f>IF('[2]سجل المستخلصات'!$L$6="","",'[2]سجل المستخلصات'!$L$6)</f>
        <v/>
      </c>
      <c r="L25" s="60">
        <f>IF('[2]سجل المستخلصات'!$M$6="","",'[2]سجل المستخلصات'!$M$6)</f>
        <v/>
      </c>
      <c r="M25" s="60">
        <f>IF('[2]سجل المستخلصات'!$N$6="","",'[2]سجل المستخلصات'!$N$6)</f>
        <v/>
      </c>
      <c r="N25" s="59">
        <f>IF('[2]سجل المستخلصات'!$O$6="","",'[2]سجل المستخلصات'!$O$6)</f>
        <v/>
      </c>
      <c r="O25" s="59">
        <f>IF('[2]سجل المستخلصات'!$R$6="","",'[2]سجل المستخلصات'!$R$6)</f>
        <v/>
      </c>
      <c r="P25" s="59">
        <f>IF('[2]سجل المستخلصات'!$S$6="","",'[2]سجل المستخلصات'!$S$6)</f>
        <v/>
      </c>
      <c r="Q25" s="59">
        <f>IF('[2]سجل المستخلصات'!$T$6="","",'[2]سجل المستخلصات'!$T$6)</f>
        <v/>
      </c>
      <c r="R25" s="59">
        <f>IF('[2]سجل المستخلصات'!$V$6="","",'[2]سجل المستخلصات'!$V$6)</f>
        <v/>
      </c>
      <c r="S25" s="59">
        <f>IF('[2]سجل المستخلصات'!$W$6="","",'[2]سجل المستخلصات'!$W$6)</f>
        <v/>
      </c>
      <c r="T25" s="61">
        <f>IF('[2]سجل المستخلصات'!$X$6="","",'[2]سجل المستخلصات'!$X$6)</f>
        <v/>
      </c>
      <c r="U25" s="61">
        <f>IF('[2]سجل المستخلصات'!$Z$6="","",'[2]سجل المستخلصات'!$Z$6)</f>
        <v/>
      </c>
      <c r="V25" s="59">
        <f>IF('[2]سجل المستخلصات'!$AA$6="","",'[2]سجل المستخلصات'!$AA$6)</f>
        <v/>
      </c>
      <c r="W25" s="59">
        <f>IF('[2]سجل المستخلصات'!$AC$6="","",'[2]سجل المستخلصات'!$AC$6)</f>
        <v/>
      </c>
      <c r="X25" s="62">
        <f>IF('[2]سجل المستخلصات'!$AD$6="","",'[2]سجل المستخلصات'!$AD$6)</f>
        <v/>
      </c>
      <c r="Y25" s="58">
        <f>IF('[2]سجل المستخلصات'!$AE$6="","",'[2]سجل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IF('[2]سجل المستخلصات'!$C$7="","",'[2]سجل المستخلصات'!$C$7)</f>
        <v/>
      </c>
      <c r="D26" s="57">
        <f>IF('[2]سجل المستخلصات'!$E$7="","",'[2]سجل المستخلصات'!$E$7)</f>
        <v/>
      </c>
      <c r="E26" s="58">
        <f>IF('[2]سجل المستخلصات'!$F$7="","",'[2]سجل المستخلصات'!$F$7)</f>
        <v/>
      </c>
      <c r="F26" s="59">
        <f>IF('[2]سجل المستخلصات'!$H$7="","",'[2]سجل المستخلصات'!$H$7)</f>
        <v/>
      </c>
      <c r="G26" s="59">
        <f>IF('[2]سجل المستخلصات'!$G$7="","",'[2]سجل المستخلصات'!$G$7)</f>
        <v/>
      </c>
      <c r="H26" s="59">
        <f>IF('[2]سجل المستخلصات'!$I$7="","",'[2]سجل المستخلصات'!$I$7)</f>
        <v/>
      </c>
      <c r="I26" s="59">
        <f>IF('[2]سجل المستخلصات'!$J$7="","",'[2]سجل المستخلصات'!$J$7)</f>
        <v/>
      </c>
      <c r="J26" s="59">
        <f>IF('[2]سجل المستخلصات'!$K$7="","",'[2]سجل المستخلصات'!$K$7)</f>
        <v/>
      </c>
      <c r="K26" s="60">
        <f>IF('[2]سجل المستخلصات'!$L$7="","",'[2]سجل المستخلصات'!$L$7)</f>
        <v/>
      </c>
      <c r="L26" s="60">
        <f>IF('[2]سجل المستخلصات'!$M$7="","",'[2]سجل المستخلصات'!$M$7)</f>
        <v/>
      </c>
      <c r="M26" s="60">
        <f>IF('[2]سجل المستخلصات'!$N$7="","",'[2]سجل المستخلصات'!$N$7)</f>
        <v/>
      </c>
      <c r="N26" s="59">
        <f>IF('[2]سجل المستخلصات'!$O$7="","",'[2]سجل المستخلصات'!$O$7)</f>
        <v/>
      </c>
      <c r="O26" s="59">
        <f>IF('[2]سجل المستخلصات'!$R$7="","",'[2]سجل المستخلصات'!$R$7)</f>
        <v/>
      </c>
      <c r="P26" s="59">
        <f>IF('[2]سجل المستخلصات'!$S$7="","",'[2]سجل المستخلصات'!$S$7)</f>
        <v/>
      </c>
      <c r="Q26" s="59">
        <f>IF('[2]سجل المستخلصات'!$T$7="","",'[2]سجل المستخلصات'!$T$7)</f>
        <v/>
      </c>
      <c r="R26" s="59">
        <f>IF('[2]سجل المستخلصات'!$V$7="","",'[2]سجل المستخلصات'!$V$7)</f>
        <v/>
      </c>
      <c r="S26" s="59">
        <f>IF('[2]سجل المستخلصات'!$W$7="","",'[2]سجل المستخلصات'!$W$7)</f>
        <v/>
      </c>
      <c r="T26" s="61">
        <f>IF('[2]سجل المستخلصات'!$X$7="","",'[2]سجل المستخلصات'!$X$7)</f>
        <v/>
      </c>
      <c r="U26" s="61">
        <f>IF('[2]سجل المستخلصات'!$Z$7="","",'[2]سجل المستخلصات'!$Z$7)</f>
        <v/>
      </c>
      <c r="V26" s="59">
        <f>IF('[2]سجل المستخلصات'!$AA$7="","",'[2]سجل المستخلصات'!$AA$7)</f>
        <v/>
      </c>
      <c r="W26" s="59">
        <f>IF('[2]سجل المستخلصات'!$AC$7="","",'[2]سجل المستخلصات'!$AC$7)</f>
        <v/>
      </c>
      <c r="X26" s="62">
        <f>IF('[2]سجل المستخلصات'!$AD$7="","",'[2]سجل المستخلصات'!$AD$7)</f>
        <v/>
      </c>
      <c r="Y26" s="58">
        <f>IF('[2]سجل المستخلصات'!$AE$7="","",'[2]سجل المستخلصات'!$AE$7)</f>
        <v/>
      </c>
      <c r="AA26" s="63" t="n"/>
      <c r="AB26" s="63" t="n"/>
    </row>
    <row r="27">
      <c r="B27" s="56" t="n">
        <v>3</v>
      </c>
      <c r="C27" s="57">
        <f>IF('[2]سجل المستخلصات'!$C$8="","",'[2]سجل المستخلصات'!$C$8)</f>
        <v/>
      </c>
      <c r="D27" s="57">
        <f>IF('[2]سجل المستخلصات'!$E$8="","",'[2]سجل المستخلصات'!$E$8)</f>
        <v/>
      </c>
      <c r="E27" s="58">
        <f>IF('[2]سجل المستخلصات'!$F$8="","",'[2]سجل المستخلصات'!$F$8)</f>
        <v/>
      </c>
      <c r="F27" s="59">
        <f>IF('[2]سجل المستخلصات'!$H$8="","",'[2]سجل المستخلصات'!$H$8)</f>
        <v/>
      </c>
      <c r="G27" s="59">
        <f>IF('[2]سجل المستخلصات'!$G$8="","",'[2]سجل المستخلصات'!$G$8)</f>
        <v/>
      </c>
      <c r="H27" s="59">
        <f>IF('[2]سجل المستخلصات'!$I$8="","",'[2]سجل المستخلصات'!$I$8)</f>
        <v/>
      </c>
      <c r="I27" s="59">
        <f>IF('[2]سجل المستخلصات'!$J$8="","",'[2]سجل المستخلصات'!$J$8)</f>
        <v/>
      </c>
      <c r="J27" s="59">
        <f>IF('[2]سجل المستخلصات'!$K$8="","",'[2]سجل المستخلصات'!$K$8)</f>
        <v/>
      </c>
      <c r="K27" s="60">
        <f>IF('[2]سجل المستخلصات'!$L$8="","",'[2]سجل المستخلصات'!$L$8)</f>
        <v/>
      </c>
      <c r="L27" s="60">
        <f>IF('[2]سجل المستخلصات'!$M$8="","",'[2]سجل المستخلصات'!$M$8)</f>
        <v/>
      </c>
      <c r="M27" s="60">
        <f>IF('[2]سجل المستخلصات'!$N$8="","",'[2]سجل المستخلصات'!$N$8)</f>
        <v/>
      </c>
      <c r="N27" s="59">
        <f>IF('[2]سجل المستخلصات'!$O$8="","",'[2]سجل المستخلصات'!$O$8)</f>
        <v/>
      </c>
      <c r="O27" s="59">
        <f>IF('[2]سجل المستخلصات'!$R$8="","",'[2]سجل المستخلصات'!$R$8)</f>
        <v/>
      </c>
      <c r="P27" s="59">
        <f>IF('[2]سجل المستخلصات'!$S$8="","",'[2]سجل المستخلصات'!$S$8)</f>
        <v/>
      </c>
      <c r="Q27" s="59">
        <f>IF('[2]سجل المستخلصات'!$T$8="","",'[2]سجل المستخلصات'!$T$8)</f>
        <v/>
      </c>
      <c r="R27" s="59">
        <f>IF('[2]سجل المستخلصات'!$V$8="","",'[2]سجل المستخلصات'!$V$8)</f>
        <v/>
      </c>
      <c r="S27" s="59">
        <f>IF('[2]سجل المستخلصات'!$W$8="","",'[2]سجل المستخلصات'!$W$8)</f>
        <v/>
      </c>
      <c r="T27" s="61">
        <f>IF('[2]سجل المستخلصات'!$X$8="","",'[2]سجل المستخلصات'!$X$8)</f>
        <v/>
      </c>
      <c r="U27" s="61">
        <f>IF('[2]سجل المستخلصات'!$Z$8="","",'[2]سجل المستخلصات'!$Z$8)</f>
        <v/>
      </c>
      <c r="V27" s="59">
        <f>IF('[2]سجل المستخلصات'!$AA$8="","",'[2]سجل المستخلصات'!$AA$8)</f>
        <v/>
      </c>
      <c r="W27" s="59">
        <f>IF('[2]سجل المستخلصات'!$AC$8="","",'[2]سجل المستخلصات'!$AC$8)</f>
        <v/>
      </c>
      <c r="X27" s="62">
        <f>IF('[2]سجل المستخلصات'!$AD$8="","",'[2]سجل المستخلصات'!$AD$8)</f>
        <v/>
      </c>
      <c r="Y27" s="58">
        <f>IF('[2]سجل المستخلصات'!$AE$8="","",'[2]سجل المستخلصات'!$AE$8)</f>
        <v/>
      </c>
      <c r="AA27" s="63" t="n"/>
      <c r="AB27" s="63" t="n"/>
    </row>
    <row r="28">
      <c r="B28" s="56" t="n">
        <v>4</v>
      </c>
      <c r="C28" s="57">
        <f>IF('[2]سجل المستخلصات'!$C$9="","",'[2]سجل المستخلصات'!$C$9)</f>
        <v/>
      </c>
      <c r="D28" s="57">
        <f>IF('[2]سجل المستخلصات'!$E$9="","",'[2]سجل المستخلصات'!$E$9)</f>
        <v/>
      </c>
      <c r="E28" s="58">
        <f>IF('[2]سجل المستخلصات'!$F$9="","",'[2]سجل المستخلصات'!$F$9)</f>
        <v/>
      </c>
      <c r="F28" s="59">
        <f>IF('[2]سجل المستخلصات'!$H$9="","",'[2]سجل المستخلصات'!$H$9)</f>
        <v/>
      </c>
      <c r="G28" s="59">
        <f>IF('[2]سجل المستخلصات'!$G$9="","",'[2]سجل المستخلصات'!$G$9)</f>
        <v/>
      </c>
      <c r="H28" s="59">
        <f>IF('[2]سجل المستخلصات'!$I$9="","",'[2]سجل المستخلصات'!$I$9)</f>
        <v/>
      </c>
      <c r="I28" s="59">
        <f>IF('[2]سجل المستخلصات'!$J$9="","",'[2]سجل المستخلصات'!$J$9)</f>
        <v/>
      </c>
      <c r="J28" s="59">
        <f>IF('[2]سجل المستخلصات'!$K$9="","",'[2]سجل المستخلصات'!$K$9)</f>
        <v/>
      </c>
      <c r="K28" s="60">
        <f>IF('[2]سجل المستخلصات'!$L$9="","",'[2]سجل المستخلصات'!$L$9)</f>
        <v/>
      </c>
      <c r="L28" s="60">
        <f>IF('[2]سجل المستخلصات'!$M$9="","",'[2]سجل المستخلصات'!$M$9)</f>
        <v/>
      </c>
      <c r="M28" s="60">
        <f>IF('[2]سجل المستخلصات'!$N$9="","",'[2]سجل المستخلصات'!$N$9)</f>
        <v/>
      </c>
      <c r="N28" s="59">
        <f>IF('[2]سجل المستخلصات'!$O$9="","",'[2]سجل المستخلصات'!$O$9)</f>
        <v/>
      </c>
      <c r="O28" s="59">
        <f>IF('[2]سجل المستخلصات'!$R$9="","",'[2]سجل المستخلصات'!$R$9)</f>
        <v/>
      </c>
      <c r="P28" s="59">
        <f>IF('[2]سجل المستخلصات'!$S$9="","",'[2]سجل المستخلصات'!$S$9)</f>
        <v/>
      </c>
      <c r="Q28" s="59">
        <f>IF('[2]سجل المستخلصات'!$T$9="","",'[2]سجل المستخلصات'!$T$9)</f>
        <v/>
      </c>
      <c r="R28" s="59">
        <f>IF('[2]سجل المستخلصات'!$V$9="","",'[2]سجل المستخلصات'!$V$9)</f>
        <v/>
      </c>
      <c r="S28" s="59">
        <f>IF('[2]سجل المستخلصات'!$W$9="","",'[2]سجل المستخلصات'!$W$9)</f>
        <v/>
      </c>
      <c r="T28" s="61">
        <f>IF('[2]سجل المستخلصات'!$X$9="","",'[2]سجل المستخلصات'!$X$9)</f>
        <v/>
      </c>
      <c r="U28" s="61">
        <f>IF('[2]سجل المستخلصات'!$Z$9="","",'[2]سجل المستخلصات'!$Z$9)</f>
        <v/>
      </c>
      <c r="V28" s="59">
        <f>IF('[2]سجل المستخلصات'!$AA$9="","",'[2]سجل المستخلصات'!$AA$9)</f>
        <v/>
      </c>
      <c r="W28" s="59">
        <f>IF('[2]سجل المستخلصات'!$AC$9="","",'[2]سجل المستخلصات'!$AC$9)</f>
        <v/>
      </c>
      <c r="X28" s="62">
        <f>IF('[2]سجل المستخلصات'!$AD$9="","",'[2]سجل المستخلصات'!$AD$9)</f>
        <v/>
      </c>
      <c r="Y28" s="58">
        <f>IF('[2]سجل المستخلصات'!$AE$9="","",'[2]سجل المستخلصات'!$AE$9)</f>
        <v/>
      </c>
      <c r="AA28" s="63" t="n"/>
      <c r="AB28" s="63" t="n"/>
    </row>
    <row r="29">
      <c r="B29" s="56" t="n">
        <v>5</v>
      </c>
      <c r="C29" s="57">
        <f>IF('[2]سجل المستخلصات'!$C$10="","",'[2]سجل المستخلصات'!$C$10)</f>
        <v/>
      </c>
      <c r="D29" s="57">
        <f>IF('[2]سجل المستخلصات'!$E$10="","",'[2]سجل المستخلصات'!$E$10)</f>
        <v/>
      </c>
      <c r="E29" s="58">
        <f>IF('[2]سجل المستخلصات'!$F$10="","",'[2]سجل المستخلصات'!$F$10)</f>
        <v/>
      </c>
      <c r="F29" s="59">
        <f>IF('[2]سجل المستخلصات'!$H$10="","",'[2]سجل المستخلصات'!$H$10)</f>
        <v/>
      </c>
      <c r="G29" s="59">
        <f>IF('[2]سجل المستخلصات'!$G$10="","",'[2]سجل المستخلصات'!$G$10)</f>
        <v/>
      </c>
      <c r="H29" s="59">
        <f>IF('[2]سجل المستخلصات'!$I$10="","",'[2]سجل المستخلصات'!$I$10)</f>
        <v/>
      </c>
      <c r="I29" s="59">
        <f>IF('[2]سجل المستخلصات'!$J$10="","",'[2]سجل المستخلصات'!$J$10)</f>
        <v/>
      </c>
      <c r="J29" s="59">
        <f>IF('[2]سجل المستخلصات'!$K$10="","",'[2]سجل المستخلصات'!$K$10)</f>
        <v/>
      </c>
      <c r="K29" s="60">
        <f>IF('[2]سجل المستخلصات'!$L$10="","",'[2]سجل المستخلصات'!$L$10)</f>
        <v/>
      </c>
      <c r="L29" s="60">
        <f>IF('[2]سجل المستخلصات'!$M$10="","",'[2]سجل المستخلصات'!$M$10)</f>
        <v/>
      </c>
      <c r="M29" s="60">
        <f>IF('[2]سجل المستخلصات'!$N$10="","",'[2]سجل المستخلصات'!$N$10)</f>
        <v/>
      </c>
      <c r="N29" s="59">
        <f>IF('[2]سجل المستخلصات'!$O$10="","",'[2]سجل المستخلصات'!$O$10)</f>
        <v/>
      </c>
      <c r="O29" s="59">
        <f>IF('[2]سجل المستخلصات'!$R$10="","",'[2]سجل المستخلصات'!$R$10)</f>
        <v/>
      </c>
      <c r="P29" s="59">
        <f>IF('[2]سجل المستخلصات'!$S$10="","",'[2]سجل المستخلصات'!$S$10)</f>
        <v/>
      </c>
      <c r="Q29" s="59">
        <f>IF('[2]سجل المستخلصات'!$T$10="","",'[2]سجل المستخلصات'!$T$10)</f>
        <v/>
      </c>
      <c r="R29" s="59">
        <f>IF('[2]سجل المستخلصات'!$V$10="","",'[2]سجل المستخلصات'!$V$10)</f>
        <v/>
      </c>
      <c r="S29" s="59">
        <f>IF('[2]سجل المستخلصات'!$W$10="","",'[2]سجل المستخلصات'!$W$10)</f>
        <v/>
      </c>
      <c r="T29" s="61">
        <f>IF('[2]سجل المستخلصات'!$X$10="","",'[2]سجل المستخلصات'!$X$10)</f>
        <v/>
      </c>
      <c r="U29" s="61">
        <f>IF('[2]سجل المستخلصات'!$Z$10="","",'[2]سجل المستخلصات'!$Z$10)</f>
        <v/>
      </c>
      <c r="V29" s="59">
        <f>IF('[2]سجل المستخلصات'!$AA$10="","",'[2]سجل المستخلصات'!$AA$10)</f>
        <v/>
      </c>
      <c r="W29" s="59">
        <f>IF('[2]سجل المستخلصات'!$AC$10="","",'[2]سجل المستخلصات'!$AC$10)</f>
        <v/>
      </c>
      <c r="X29" s="62">
        <f>IF('[2]سجل المستخلصات'!$AD$10="","",'[2]سجل المستخلصات'!$AD$10)</f>
        <v/>
      </c>
      <c r="Y29" s="58">
        <f>IF('[2]سجل المستخلصات'!$AE$10="","",'[2]سجل المستخلصات'!$AE$10)</f>
        <v/>
      </c>
    </row>
    <row r="30">
      <c r="B30" s="56" t="n">
        <v>6</v>
      </c>
      <c r="C30" s="57">
        <f>IF('[2]سجل المستخلصات'!$C$11="","",'[2]سجل المستخلصات'!$C$11)</f>
        <v/>
      </c>
      <c r="D30" s="57">
        <f>IF('[2]سجل المستخلصات'!$E$11="","",'[2]سجل المستخلصات'!$E$11)</f>
        <v/>
      </c>
      <c r="E30" s="58">
        <f>IF('[2]سجل المستخلصات'!$F$11="","",'[2]سجل المستخلصات'!$F$11)</f>
        <v/>
      </c>
      <c r="F30" s="59">
        <f>IF('[2]سجل المستخلصات'!$H$11="","",'[2]سجل المستخلصات'!$H$11)</f>
        <v/>
      </c>
      <c r="G30" s="59">
        <f>IF('[2]سجل المستخلصات'!$G$11="","",'[2]سجل المستخلصات'!$G$11)</f>
        <v/>
      </c>
      <c r="H30" s="59">
        <f>IF('[2]سجل المستخلصات'!$I$11="","",'[2]سجل المستخلصات'!$I$11)</f>
        <v/>
      </c>
      <c r="I30" s="59">
        <f>IF('[2]سجل المستخلصات'!$J$11="","",'[2]سجل المستخلصات'!$J$11)</f>
        <v/>
      </c>
      <c r="J30" s="59">
        <f>IF('[2]سجل المستخلصات'!$K$11="","",'[2]سجل المستخلصات'!$K$11)</f>
        <v/>
      </c>
      <c r="K30" s="60">
        <f>IF('[2]سجل المستخلصات'!$L$11="","",'[2]سجل المستخلصات'!$L$11)</f>
        <v/>
      </c>
      <c r="L30" s="60">
        <f>IF('[2]سجل المستخلصات'!$M$11="","",'[2]سجل المستخلصات'!$M$11)</f>
        <v/>
      </c>
      <c r="M30" s="60">
        <f>IF('[2]سجل المستخلصات'!$N$11="","",'[2]سجل المستخلصات'!$N$11)</f>
        <v/>
      </c>
      <c r="N30" s="59">
        <f>IF('[2]سجل المستخلصات'!$O$11="","",'[2]سجل المستخلصات'!$O$11)</f>
        <v/>
      </c>
      <c r="O30" s="59">
        <f>IF('[2]سجل المستخلصات'!$R$11="","",'[2]سجل المستخلصات'!$R$11)</f>
        <v/>
      </c>
      <c r="P30" s="59">
        <f>IF('[2]سجل المستخلصات'!$S$11="","",'[2]سجل المستخلصات'!$S$11)</f>
        <v/>
      </c>
      <c r="Q30" s="59">
        <f>IF('[2]سجل المستخلصات'!$T$11="","",'[2]سجل المستخلصات'!$T$11)</f>
        <v/>
      </c>
      <c r="R30" s="59">
        <f>IF('[2]سجل المستخلصات'!$V$11="","",'[2]سجل المستخلصات'!$V$11)</f>
        <v/>
      </c>
      <c r="S30" s="59">
        <f>IF('[2]سجل المستخلصات'!$W$11="","",'[2]سجل المستخلصات'!$W$11)</f>
        <v/>
      </c>
      <c r="T30" s="61">
        <f>IF('[2]سجل المستخلصات'!$X$11="","",'[2]سجل المستخلصات'!$X$11)</f>
        <v/>
      </c>
      <c r="U30" s="61">
        <f>IF('[2]سجل المستخلصات'!$Z$11="","",'[2]سجل المستخلصات'!$Z$11)</f>
        <v/>
      </c>
      <c r="V30" s="59">
        <f>IF('[2]سجل المستخلصات'!$AA$11="","",'[2]سجل المستخلصات'!$AA$11)</f>
        <v/>
      </c>
      <c r="W30" s="59">
        <f>IF('[2]سجل المستخلصات'!$AC$11="","",'[2]سجل المستخلصات'!$AC$11)</f>
        <v/>
      </c>
      <c r="X30" s="62">
        <f>IF('[2]سجل المستخلصات'!$AD$11="","",'[2]سجل المستخلصات'!$AD$11)</f>
        <v/>
      </c>
      <c r="Y30" s="58">
        <f>IF('[2]سجل المستخلصات'!$AE$11="","",'[2]سجل المستخلصات'!$AE$11)</f>
        <v/>
      </c>
    </row>
    <row r="31">
      <c r="B31" s="56" t="n">
        <v>7</v>
      </c>
      <c r="C31" s="57">
        <f>IF('[2]سجل المستخلصات'!$C$12="","",'[2]سجل المستخلصات'!$C$12)</f>
        <v/>
      </c>
      <c r="D31" s="57">
        <f>IF('[2]سجل المستخلصات'!$E$12="","",'[2]سجل المستخلصات'!$E$12)</f>
        <v/>
      </c>
      <c r="E31" s="58">
        <f>IF('[2]سجل المستخلصات'!$F$12="","",'[2]سجل المستخلصات'!$F$12)</f>
        <v/>
      </c>
      <c r="F31" s="59">
        <f>IF('[2]سجل المستخلصات'!$H$12="","",'[2]سجل المستخلصات'!$H$12)</f>
        <v/>
      </c>
      <c r="G31" s="59">
        <f>IF('[2]سجل المستخلصات'!$G$12="","",'[2]سجل المستخلصات'!$G$12)</f>
        <v/>
      </c>
      <c r="H31" s="59">
        <f>IF('[2]سجل المستخلصات'!$I$12="","",'[2]سجل المستخلصات'!$I$12)</f>
        <v/>
      </c>
      <c r="I31" s="59">
        <f>IF('[2]سجل المستخلصات'!$J$12="","",'[2]سجل المستخلصات'!$J$12)</f>
        <v/>
      </c>
      <c r="J31" s="59">
        <f>IF('[2]سجل المستخلصات'!$K$12="","",'[2]سجل المستخلصات'!$K$12)</f>
        <v/>
      </c>
      <c r="K31" s="60">
        <f>IF('[2]سجل المستخلصات'!$L$12="","",'[2]سجل المستخلصات'!$L$12)</f>
        <v/>
      </c>
      <c r="L31" s="60">
        <f>IF('[2]سجل المستخلصات'!$M$12="","",'[2]سجل المستخلصات'!$M$12)</f>
        <v/>
      </c>
      <c r="M31" s="60">
        <f>IF('[2]سجل المستخلصات'!$N$12="","",'[2]سجل المستخلصات'!$N$12)</f>
        <v/>
      </c>
      <c r="N31" s="59">
        <f>IF('[2]سجل المستخلصات'!$O$12="","",'[2]سجل المستخلصات'!$O$12)</f>
        <v/>
      </c>
      <c r="O31" s="59">
        <f>IF('[2]سجل المستخلصات'!$R$12="","",'[2]سجل المستخلصات'!$R$12)</f>
        <v/>
      </c>
      <c r="P31" s="59">
        <f>IF('[2]سجل المستخلصات'!$S$12="","",'[2]سجل المستخلصات'!$S$12)</f>
        <v/>
      </c>
      <c r="Q31" s="59">
        <f>IF('[2]سجل المستخلصات'!$T$12="","",'[2]سجل المستخلصات'!$T$12)</f>
        <v/>
      </c>
      <c r="R31" s="59">
        <f>IF('[2]سجل المستخلصات'!$V$12="","",'[2]سجل المستخلصات'!$V$12)</f>
        <v/>
      </c>
      <c r="S31" s="59">
        <f>IF('[2]سجل المستخلصات'!$W$12="","",'[2]سجل المستخلصات'!$W$12)</f>
        <v/>
      </c>
      <c r="T31" s="61">
        <f>IF('[2]سجل المستخلصات'!$X$12="","",'[2]سجل المستخلصات'!$X$12)</f>
        <v/>
      </c>
      <c r="U31" s="61">
        <f>IF('[2]سجل المستخلصات'!$Z$12="","",'[2]سجل المستخلصات'!$Z$12)</f>
        <v/>
      </c>
      <c r="V31" s="59">
        <f>IF('[2]سجل المستخلصات'!$AA$12="","",'[2]سجل المستخلصات'!$AA$12)</f>
        <v/>
      </c>
      <c r="W31" s="59">
        <f>IF('[2]سجل المستخلصات'!$AC$12="","",'[2]سجل المستخلصات'!$AC$12)</f>
        <v/>
      </c>
      <c r="X31" s="62">
        <f>IF('[2]سجل المستخلصات'!$AD$12="","",'[2]سجل المستخلصات'!$AD$12)</f>
        <v/>
      </c>
      <c r="Y31" s="58">
        <f>IF('[2]سجل المستخلصات'!$AE$12="","",'[2]سجل المستخلصات'!$AE$12)</f>
        <v/>
      </c>
    </row>
    <row r="32">
      <c r="B32" s="56" t="n">
        <v>8</v>
      </c>
      <c r="C32" s="57">
        <f>IF('[2]سجل المستخلصات'!$C$13="","",'[2]سجل المستخلصات'!$C$13)</f>
        <v/>
      </c>
      <c r="D32" s="57">
        <f>IF('[2]سجل المستخلصات'!$E$13="","",'[2]سجل المستخلصات'!$E$13)</f>
        <v/>
      </c>
      <c r="E32" s="58">
        <f>IF('[2]سجل المستخلصات'!$F$13="","",'[2]سجل المستخلصات'!$F$13)</f>
        <v/>
      </c>
      <c r="F32" s="59">
        <f>IF('[2]سجل المستخلصات'!$H$13="","",'[2]سجل المستخلصات'!$H$13)</f>
        <v/>
      </c>
      <c r="G32" s="59">
        <f>IF('[2]سجل المستخلصات'!$G$13="","",'[2]سجل المستخلصات'!$G$13)</f>
        <v/>
      </c>
      <c r="H32" s="59">
        <f>IF('[2]سجل المستخلصات'!$I$13="","",'[2]سجل المستخلصات'!$I$13)</f>
        <v/>
      </c>
      <c r="I32" s="59">
        <f>IF('[2]سجل المستخلصات'!$J$13="","",'[2]سجل المستخلصات'!$J$13)</f>
        <v/>
      </c>
      <c r="J32" s="59">
        <f>IF('[2]سجل المستخلصات'!$K$13="","",'[2]سجل المستخلصات'!$K$13)</f>
        <v/>
      </c>
      <c r="K32" s="60">
        <f>IF('[2]سجل المستخلصات'!$L$13="","",'[2]سجل المستخلصات'!$L$13)</f>
        <v/>
      </c>
      <c r="L32" s="60">
        <f>IF('[2]سجل المستخلصات'!$M$13="","",'[2]سجل المستخلصات'!$M$13)</f>
        <v/>
      </c>
      <c r="M32" s="60">
        <f>IF('[2]سجل المستخلصات'!$N$13="","",'[2]سجل المستخلصات'!$N$13)</f>
        <v/>
      </c>
      <c r="N32" s="59">
        <f>IF('[2]سجل المستخلصات'!$O$13="","",'[2]سجل المستخلصات'!$O$13)</f>
        <v/>
      </c>
      <c r="O32" s="59">
        <f>IF('[2]سجل المستخلصات'!$R$13="","",'[2]سجل المستخلصات'!$R$13)</f>
        <v/>
      </c>
      <c r="P32" s="59">
        <f>IF('[2]سجل المستخلصات'!$S$13="","",'[2]سجل المستخلصات'!$S$13)</f>
        <v/>
      </c>
      <c r="Q32" s="59">
        <f>IF('[2]سجل المستخلصات'!$T$13="","",'[2]سجل المستخلصات'!$T$13)</f>
        <v/>
      </c>
      <c r="R32" s="59">
        <f>IF('[2]سجل المستخلصات'!$V$13="","",'[2]سجل المستخلصات'!$V$13)</f>
        <v/>
      </c>
      <c r="S32" s="59">
        <f>IF('[2]سجل المستخلصات'!$W$13="","",'[2]سجل المستخلصات'!$W$13)</f>
        <v/>
      </c>
      <c r="T32" s="61">
        <f>IF('[2]سجل المستخلصات'!$X$13="","",'[2]سجل المستخلصات'!$X$13)</f>
        <v/>
      </c>
      <c r="U32" s="61">
        <f>IF('[2]سجل المستخلصات'!$Z$13="","",'[2]سجل المستخلصات'!$Z$13)</f>
        <v/>
      </c>
      <c r="V32" s="59">
        <f>IF('[2]سجل المستخلصات'!$AA$13="","",'[2]سجل المستخلصات'!$AA$13)</f>
        <v/>
      </c>
      <c r="W32" s="59">
        <f>IF('[2]سجل المستخلصات'!$AC$13="","",'[2]سجل المستخلصات'!$AC$13)</f>
        <v/>
      </c>
      <c r="X32" s="62">
        <f>IF('[2]سجل المستخلصات'!$AD$13="","",'[2]سجل المستخلصات'!$AD$13)</f>
        <v/>
      </c>
      <c r="Y32" s="58">
        <f>IF('[2]سجل المستخلصات'!$AE$13="","",'[2]سجل المستخلصات'!$AE$13)</f>
        <v/>
      </c>
    </row>
    <row r="33">
      <c r="B33" s="56" t="n">
        <v>9</v>
      </c>
      <c r="C33" s="57">
        <f>IF('[2]سجل المستخلصات'!$C$14="","",'[2]سجل المستخلصات'!$C$14)</f>
        <v/>
      </c>
      <c r="D33" s="57">
        <f>IF('[2]سجل المستخلصات'!$E$14="","",'[2]سجل المستخلصات'!$E$14)</f>
        <v/>
      </c>
      <c r="E33" s="58">
        <f>IF('[2]سجل المستخلصات'!$F$14="","",'[2]سجل المستخلصات'!$F$14)</f>
        <v/>
      </c>
      <c r="F33" s="59">
        <f>IF('[2]سجل المستخلصات'!$H$14="","",'[2]سجل المستخلصات'!$H$14)</f>
        <v/>
      </c>
      <c r="G33" s="59">
        <f>IF('[2]سجل المستخلصات'!$G$14="","",'[2]سجل المستخلصات'!$G$14)</f>
        <v/>
      </c>
      <c r="H33" s="59">
        <f>IF('[2]سجل المستخلصات'!$I$14="","",'[2]سجل المستخلصات'!$I$14)</f>
        <v/>
      </c>
      <c r="I33" s="59">
        <f>IF('[2]سجل المستخلصات'!$J$14="","",'[2]سجل المستخلصات'!$J$14)</f>
        <v/>
      </c>
      <c r="J33" s="59">
        <f>IF('[2]سجل المستخلصات'!$K$14="","",'[2]سجل المستخلصات'!$K$14)</f>
        <v/>
      </c>
      <c r="K33" s="60">
        <f>IF('[2]سجل المستخلصات'!$L$14="","",'[2]سجل المستخلصات'!$L$14)</f>
        <v/>
      </c>
      <c r="L33" s="60">
        <f>IF('[2]سجل المستخلصات'!$M$14="","",'[2]سجل المستخلصات'!$M$14)</f>
        <v/>
      </c>
      <c r="M33" s="60">
        <f>IF('[2]سجل المستخلصات'!$N$14="","",'[2]سجل المستخلصات'!$N$14)</f>
        <v/>
      </c>
      <c r="N33" s="59">
        <f>IF('[2]سجل المستخلصات'!$O$14="","",'[2]سجل المستخلصات'!$O$14)</f>
        <v/>
      </c>
      <c r="O33" s="59">
        <f>IF('[2]سجل المستخلصات'!$R$14="","",'[2]سجل المستخلصات'!$R$14)</f>
        <v/>
      </c>
      <c r="P33" s="59">
        <f>IF('[2]سجل المستخلصات'!$S$14="","",'[2]سجل المستخلصات'!$S$14)</f>
        <v/>
      </c>
      <c r="Q33" s="59">
        <f>IF('[2]سجل المستخلصات'!$T$14="","",'[2]سجل المستخلصات'!$T$14)</f>
        <v/>
      </c>
      <c r="R33" s="59">
        <f>IF('[2]سجل المستخلصات'!$V$14="","",'[2]سجل المستخلصات'!$V$14)</f>
        <v/>
      </c>
      <c r="S33" s="59">
        <f>IF('[2]سجل المستخلصات'!$W$14="","",'[2]سجل المستخلصات'!$W$14)</f>
        <v/>
      </c>
      <c r="T33" s="61">
        <f>IF('[2]سجل المستخلصات'!$X$14="","",'[2]سجل المستخلصات'!$X$14)</f>
        <v/>
      </c>
      <c r="U33" s="61">
        <f>IF('[2]سجل المستخلصات'!$Z$14="","",'[2]سجل المستخلصات'!$Z$14)</f>
        <v/>
      </c>
      <c r="V33" s="59">
        <f>IF('[2]سجل المستخلصات'!$AA$14="","",'[2]سجل المستخلصات'!$AA$14)</f>
        <v/>
      </c>
      <c r="W33" s="59">
        <f>IF('[2]سجل المستخلصات'!$AC$14="","",'[2]سجل المستخلصات'!$AC$14)</f>
        <v/>
      </c>
      <c r="X33" s="62">
        <f>IF('[2]سجل المستخلصات'!$AD$14="","",'[2]سجل المستخلصات'!$AD$14)</f>
        <v/>
      </c>
      <c r="Y33" s="58">
        <f>IF('[2]سجل المستخلصات'!$AE$14="","",'[2]سجل المستخلصات'!$AE$14)</f>
        <v/>
      </c>
    </row>
    <row r="34">
      <c r="B34" s="56" t="n">
        <v>10</v>
      </c>
      <c r="C34" s="57">
        <f>IF('[2]سجل المستخلصات'!$C$15="","",'[2]سجل المستخلصات'!$C$15)</f>
        <v/>
      </c>
      <c r="D34" s="57">
        <f>IF('[2]سجل المستخلصات'!$E$15="","",'[2]سجل المستخلصات'!$E$15)</f>
        <v/>
      </c>
      <c r="E34" s="58">
        <f>IF('[2]سجل المستخلصات'!$F$15="","",'[2]سجل المستخلصات'!$F$15)</f>
        <v/>
      </c>
      <c r="F34" s="59">
        <f>IF('[2]سجل المستخلصات'!$H$15="","",'[2]سجل المستخلصات'!$H$15)</f>
        <v/>
      </c>
      <c r="G34" s="59">
        <f>IF('[2]سجل المستخلصات'!$G$15="","",'[2]سجل المستخلصات'!$G$15)</f>
        <v/>
      </c>
      <c r="H34" s="59">
        <f>IF('[2]سجل المستخلصات'!$I$15="","",'[2]سجل المستخلصات'!$I$15)</f>
        <v/>
      </c>
      <c r="I34" s="59">
        <f>IF('[2]سجل المستخلصات'!$J$15="","",'[2]سجل المستخلصات'!$J$15)</f>
        <v/>
      </c>
      <c r="J34" s="59">
        <f>IF('[2]سجل المستخلصات'!$K$15="","",'[2]سجل المستخلصات'!$K$15)</f>
        <v/>
      </c>
      <c r="K34" s="60">
        <f>IF('[2]سجل المستخلصات'!$L$15="","",'[2]سجل المستخلصات'!$L$15)</f>
        <v/>
      </c>
      <c r="L34" s="60">
        <f>IF('[2]سجل المستخلصات'!$M$15="","",'[2]سجل المستخلصات'!$M$15)</f>
        <v/>
      </c>
      <c r="M34" s="60">
        <f>IF('[2]سجل المستخلصات'!$N$15="","",'[2]سجل المستخلصات'!$N$15)</f>
        <v/>
      </c>
      <c r="N34" s="59">
        <f>IF('[2]سجل المستخلصات'!$O$15="","",'[2]سجل المستخلصات'!$O$15)</f>
        <v/>
      </c>
      <c r="O34" s="59">
        <f>IF('[2]سجل المستخلصات'!$R$15="","",'[2]سجل المستخلصات'!$R$15)</f>
        <v/>
      </c>
      <c r="P34" s="59">
        <f>IF('[2]سجل المستخلصات'!$S$15="","",'[2]سجل المستخلصات'!$S$15)</f>
        <v/>
      </c>
      <c r="Q34" s="59">
        <f>IF('[2]سجل المستخلصات'!$T$15="","",'[2]سجل المستخلصات'!$T$15)</f>
        <v/>
      </c>
      <c r="R34" s="59">
        <f>IF('[2]سجل المستخلصات'!$V$15="","",'[2]سجل المستخلصات'!$V$15)</f>
        <v/>
      </c>
      <c r="S34" s="59">
        <f>IF('[2]سجل المستخلصات'!$W$15="","",'[2]سجل المستخلصات'!$W$15)</f>
        <v/>
      </c>
      <c r="T34" s="61">
        <f>IF('[2]سجل المستخلصات'!$X$15="","",'[2]سجل المستخلصات'!$X$15)</f>
        <v/>
      </c>
      <c r="U34" s="61">
        <f>IF('[2]سجل المستخلصات'!$Z$15="","",'[2]سجل المستخلصات'!$Z$15)</f>
        <v/>
      </c>
      <c r="V34" s="59">
        <f>IF('[2]سجل المستخلصات'!$AA$15="","",'[2]سجل المستخلصات'!$AA$15)</f>
        <v/>
      </c>
      <c r="W34" s="59">
        <f>IF('[2]سجل المستخلصات'!$AC$15="","",'[2]سجل المستخلصات'!$AC$15)</f>
        <v/>
      </c>
      <c r="X34" s="62">
        <f>IF('[2]سجل المستخلصات'!$AD$15="","",'[2]سجل المستخلصات'!$AD$15)</f>
        <v/>
      </c>
      <c r="Y34" s="58">
        <f>IF('[2]سجل المستخلصات'!$AE$15="","",'[2]سجل المستخلصات'!$AE$15)</f>
        <v/>
      </c>
    </row>
    <row r="35">
      <c r="B35" s="56" t="n">
        <v>11</v>
      </c>
      <c r="C35" s="57">
        <f>IF('[2]سجل المستخلصات'!$C$16="","",'[2]سجل المستخلصات'!$C$16)</f>
        <v/>
      </c>
      <c r="D35" s="57">
        <f>IF('[2]سجل المستخلصات'!$E$16="","",'[2]سجل المستخلصات'!$E$16)</f>
        <v/>
      </c>
      <c r="E35" s="58">
        <f>IF('[2]سجل المستخلصات'!$F$16="","",'[2]سجل المستخلصات'!$F$16)</f>
        <v/>
      </c>
      <c r="F35" s="59">
        <f>IF('[2]سجل المستخلصات'!$H$16="","",'[2]سجل المستخلصات'!$H$16)</f>
        <v/>
      </c>
      <c r="G35" s="59">
        <f>IF('[2]سجل المستخلصات'!$G$16="","",'[2]سجل المستخلصات'!$G$16)</f>
        <v/>
      </c>
      <c r="H35" s="59">
        <f>IF('[2]سجل المستخلصات'!$I$16="","",'[2]سجل المستخلصات'!$I$16)</f>
        <v/>
      </c>
      <c r="I35" s="59">
        <f>IF('[2]سجل المستخلصات'!$J$16="","",'[2]سجل المستخلصات'!$J$16)</f>
        <v/>
      </c>
      <c r="J35" s="59">
        <f>IF('[2]سجل المستخلصات'!$K$16="","",'[2]سجل المستخلصات'!$K$16)</f>
        <v/>
      </c>
      <c r="K35" s="60">
        <f>IF('[2]سجل المستخلصات'!$L$16="","",'[2]سجل المستخلصات'!$L$16)</f>
        <v/>
      </c>
      <c r="L35" s="60">
        <f>IF('[2]سجل المستخلصات'!$M$16="","",'[2]سجل المستخلصات'!$M$16)</f>
        <v/>
      </c>
      <c r="M35" s="60">
        <f>IF('[2]سجل المستخلصات'!$N$16="","",'[2]سجل المستخلصات'!$N$16)</f>
        <v/>
      </c>
      <c r="N35" s="59">
        <f>IF('[2]سجل المستخلصات'!$O$16="","",'[2]سجل المستخلصات'!$O$16)</f>
        <v/>
      </c>
      <c r="O35" s="59">
        <f>IF('[2]سجل المستخلصات'!$R$16="","",'[2]سجل المستخلصات'!$R$16)</f>
        <v/>
      </c>
      <c r="P35" s="59">
        <f>IF('[2]سجل المستخلصات'!$S$16="","",'[2]سجل المستخلصات'!$S$16)</f>
        <v/>
      </c>
      <c r="Q35" s="59">
        <f>IF('[2]سجل المستخلصات'!$T$16="","",'[2]سجل المستخلصات'!$T$16)</f>
        <v/>
      </c>
      <c r="R35" s="59">
        <f>IF('[2]سجل المستخلصات'!$V$16="","",'[2]سجل المستخلصات'!$V$16)</f>
        <v/>
      </c>
      <c r="S35" s="59">
        <f>IF('[2]سجل المستخلصات'!$W$16="","",'[2]سجل المستخلصات'!$W$16)</f>
        <v/>
      </c>
      <c r="T35" s="61">
        <f>IF('[2]سجل المستخلصات'!$X$16="","",'[2]سجل المستخلصات'!$X$16)</f>
        <v/>
      </c>
      <c r="U35" s="61">
        <f>IF('[2]سجل المستخلصات'!$Z$16="","",'[2]سجل المستخلصات'!$Z$16)</f>
        <v/>
      </c>
      <c r="V35" s="59">
        <f>IF('[2]سجل المستخلصات'!$AA$16="","",'[2]سجل المستخلصات'!$AA$16)</f>
        <v/>
      </c>
      <c r="W35" s="59">
        <f>IF('[2]سجل المستخلصات'!$AC$16="","",'[2]سجل المستخلصات'!$AC$16)</f>
        <v/>
      </c>
      <c r="X35" s="62">
        <f>IF('[2]سجل المستخلصات'!$AD$16="","",'[2]سجل المستخلصات'!$AD$16)</f>
        <v/>
      </c>
      <c r="Y35" s="58">
        <f>IF('[2]سجل المستخلصات'!$AE$16="","",'[2]سجل المستخلصات'!$AE$16)</f>
        <v/>
      </c>
    </row>
    <row r="36">
      <c r="B36" s="56" t="n">
        <v>12</v>
      </c>
      <c r="C36" s="57">
        <f>IF('[2]سجل المستخلصات'!$C$17="","",'[2]سجل المستخلصات'!$C$17)</f>
        <v/>
      </c>
      <c r="D36" s="57">
        <f>IF('[2]سجل المستخلصات'!$E$17="","",'[2]سجل المستخلصات'!$E$17)</f>
        <v/>
      </c>
      <c r="E36" s="58">
        <f>IF('[2]سجل المستخلصات'!$F$17="","",'[2]سجل المستخلصات'!$F$17)</f>
        <v/>
      </c>
      <c r="F36" s="59">
        <f>IF('[2]سجل المستخلصات'!$H$17="","",'[2]سجل المستخلصات'!$H$17)</f>
        <v/>
      </c>
      <c r="G36" s="59">
        <f>IF('[2]سجل المستخلصات'!$G$17="","",'[2]سجل المستخلصات'!$G$17)</f>
        <v/>
      </c>
      <c r="H36" s="59">
        <f>IF('[2]سجل المستخلصات'!$I$17="","",'[2]سجل المستخلصات'!$I$17)</f>
        <v/>
      </c>
      <c r="I36" s="59">
        <f>IF('[2]سجل المستخلصات'!$J$17="","",'[2]سجل المستخلصات'!$J$17)</f>
        <v/>
      </c>
      <c r="J36" s="59">
        <f>IF('[2]سجل المستخلصات'!$K$17="","",'[2]سجل المستخلصات'!$K$17)</f>
        <v/>
      </c>
      <c r="K36" s="60">
        <f>IF('[2]سجل المستخلصات'!$L$17="","",'[2]سجل المستخلصات'!$L$17)</f>
        <v/>
      </c>
      <c r="L36" s="60">
        <f>IF('[2]سجل المستخلصات'!$M$17="","",'[2]سجل المستخلصات'!$M$17)</f>
        <v/>
      </c>
      <c r="M36" s="60">
        <f>IF('[2]سجل المستخلصات'!$N$17="","",'[2]سجل المستخلصات'!$N$17)</f>
        <v/>
      </c>
      <c r="N36" s="59">
        <f>IF('[2]سجل المستخلصات'!$O$17="","",'[2]سجل المستخلصات'!$O$17)</f>
        <v/>
      </c>
      <c r="O36" s="59">
        <f>IF('[2]سجل المستخلصات'!$R$17="","",'[2]سجل المستخلصات'!$R$17)</f>
        <v/>
      </c>
      <c r="P36" s="59">
        <f>IF('[2]سجل المستخلصات'!$S$17="","",'[2]سجل المستخلصات'!$S$17)</f>
        <v/>
      </c>
      <c r="Q36" s="59">
        <f>IF('[2]سجل المستخلصات'!$T$17="","",'[2]سجل المستخلصات'!$T$17)</f>
        <v/>
      </c>
      <c r="R36" s="59">
        <f>IF('[2]سجل المستخلصات'!$V$17="","",'[2]سجل المستخلصات'!$V$17)</f>
        <v/>
      </c>
      <c r="S36" s="59">
        <f>IF('[2]سجل المستخلصات'!$W$17="","",'[2]سجل المستخلصات'!$W$17)</f>
        <v/>
      </c>
      <c r="T36" s="61">
        <f>IF('[2]سجل المستخلصات'!$X$17="","",'[2]سجل المستخلصات'!$X$17)</f>
        <v/>
      </c>
      <c r="U36" s="61">
        <f>IF('[2]سجل المستخلصات'!$Z$17="","",'[2]سجل المستخلصات'!$Z$17)</f>
        <v/>
      </c>
      <c r="V36" s="59">
        <f>IF('[2]سجل المستخلصات'!$AA$17="","",'[2]سجل المستخلصات'!$AA$17)</f>
        <v/>
      </c>
      <c r="W36" s="59">
        <f>IF('[2]سجل المستخلصات'!$AC$17="","",'[2]سجل المستخلصات'!$AC$17)</f>
        <v/>
      </c>
      <c r="X36" s="62">
        <f>IF('[2]سجل المستخلصات'!$AD$17="","",'[2]سجل المستخلصات'!$AD$17)</f>
        <v/>
      </c>
      <c r="Y36" s="58">
        <f>IF('[2]سجل المستخلصات'!$AE$17="","",'[2]سجل المستخلصات'!$AE$17)</f>
        <v/>
      </c>
    </row>
    <row r="37">
      <c r="B37" s="56" t="n">
        <v>13</v>
      </c>
      <c r="C37" s="57">
        <f>IF('[2]سجل المستخلصات'!$C$18="","",'[2]سجل المستخلصات'!$C$18)</f>
        <v/>
      </c>
      <c r="D37" s="57">
        <f>IF('[2]سجل المستخلصات'!$E$18="","",'[2]سجل المستخلصات'!$E$18)</f>
        <v/>
      </c>
      <c r="E37" s="58">
        <f>IF('[2]سجل المستخلصات'!$F$18="","",'[2]سجل المستخلصات'!$F$18)</f>
        <v/>
      </c>
      <c r="F37" s="59">
        <f>IF('[2]سجل المستخلصات'!$H$18="","",'[2]سجل المستخلصات'!$H$18)</f>
        <v/>
      </c>
      <c r="G37" s="59">
        <f>IF('[2]سجل المستخلصات'!$G$18="","",'[2]سجل المستخلصات'!$G$18)</f>
        <v/>
      </c>
      <c r="H37" s="59">
        <f>IF('[2]سجل المستخلصات'!$I$18="","",'[2]سجل المستخلصات'!$I$18)</f>
        <v/>
      </c>
      <c r="I37" s="59">
        <f>IF('[2]سجل المستخلصات'!$J$18="","",'[2]سجل المستخلصات'!$J$18)</f>
        <v/>
      </c>
      <c r="J37" s="59">
        <f>IF('[2]سجل المستخلصات'!$K$18="","",'[2]سجل المستخلصات'!$K$18)</f>
        <v/>
      </c>
      <c r="K37" s="60">
        <f>IF('[2]سجل المستخلصات'!$L$18="","",'[2]سجل المستخلصات'!$L$18)</f>
        <v/>
      </c>
      <c r="L37" s="60">
        <f>IF('[2]سجل المستخلصات'!$M$18="","",'[2]سجل المستخلصات'!$M$18)</f>
        <v/>
      </c>
      <c r="M37" s="60">
        <f>IF('[2]سجل المستخلصات'!$N$18="","",'[2]سجل المستخلصات'!$N$18)</f>
        <v/>
      </c>
      <c r="N37" s="59">
        <f>IF('[2]سجل المستخلصات'!$O$18="","",'[2]سجل المستخلصات'!$O$18)</f>
        <v/>
      </c>
      <c r="O37" s="59">
        <f>IF('[2]سجل المستخلصات'!$R$18="","",'[2]سجل المستخلصات'!$R$18)</f>
        <v/>
      </c>
      <c r="P37" s="59">
        <f>IF('[2]سجل المستخلصات'!$S$18="","",'[2]سجل المستخلصات'!$S$18)</f>
        <v/>
      </c>
      <c r="Q37" s="59">
        <f>IF('[2]سجل المستخلصات'!$T$18="","",'[2]سجل المستخلصات'!$T$18)</f>
        <v/>
      </c>
      <c r="R37" s="59">
        <f>IF('[2]سجل المستخلصات'!$V$18="","",'[2]سجل المستخلصات'!$V$18)</f>
        <v/>
      </c>
      <c r="S37" s="59">
        <f>IF('[2]سجل المستخلصات'!$W$18="","",'[2]سجل المستخلصات'!$W$18)</f>
        <v/>
      </c>
      <c r="T37" s="61">
        <f>IF('[2]سجل المستخلصات'!$X$18="","",'[2]سجل المستخلصات'!$X$18)</f>
        <v/>
      </c>
      <c r="U37" s="61">
        <f>IF('[2]سجل المستخلصات'!$Z$18="","",'[2]سجل المستخلصات'!$Z$18)</f>
        <v/>
      </c>
      <c r="V37" s="59">
        <f>IF('[2]سجل المستخلصات'!$AA$18="","",'[2]سجل المستخلصات'!$AA$18)</f>
        <v/>
      </c>
      <c r="W37" s="59">
        <f>IF('[2]سجل المستخلصات'!$AC$18="","",'[2]سجل المستخلصات'!$AC$18)</f>
        <v/>
      </c>
      <c r="X37" s="62">
        <f>IF('[2]سجل المستخلصات'!$AD$18="","",'[2]سجل المستخلصات'!$AD$18)</f>
        <v/>
      </c>
      <c r="Y37" s="58">
        <f>IF('[2]سجل المستخلصات'!$AE$18="","",'[2]سجل المستخلصات'!$AE$18)</f>
        <v/>
      </c>
    </row>
    <row r="38">
      <c r="B38" s="56" t="n">
        <v>14</v>
      </c>
      <c r="C38" s="57">
        <f>IF('[2]سجل المستخلصات'!$C$19="","",'[2]سجل المستخلصات'!$C$19)</f>
        <v/>
      </c>
      <c r="D38" s="57">
        <f>IF('[2]سجل المستخلصات'!$E$19="","",'[2]سجل المستخلصات'!$E$19)</f>
        <v/>
      </c>
      <c r="E38" s="58">
        <f>IF('[2]سجل المستخلصات'!$F$19="","",'[2]سجل المستخلصات'!$F$19)</f>
        <v/>
      </c>
      <c r="F38" s="59">
        <f>IF('[2]سجل المستخلصات'!$H$19="","",'[2]سجل المستخلصات'!$H$19)</f>
        <v/>
      </c>
      <c r="G38" s="59">
        <f>IF('[2]سجل المستخلصات'!$G$19="","",'[2]سجل المستخلصات'!$G$19)</f>
        <v/>
      </c>
      <c r="H38" s="59">
        <f>IF('[2]سجل المستخلصات'!$I$19="","",'[2]سجل المستخلصات'!$I$19)</f>
        <v/>
      </c>
      <c r="I38" s="59">
        <f>IF('[2]سجل المستخلصات'!$J$19="","",'[2]سجل المستخلصات'!$J$19)</f>
        <v/>
      </c>
      <c r="J38" s="59">
        <f>IF('[2]سجل المستخلصات'!$K$19="","",'[2]سجل المستخلصات'!$K$19)</f>
        <v/>
      </c>
      <c r="K38" s="60">
        <f>IF('[2]سجل المستخلصات'!$L$19="","",'[2]سجل المستخلصات'!$L$19)</f>
        <v/>
      </c>
      <c r="L38" s="60">
        <f>IF('[2]سجل المستخلصات'!$M$19="","",'[2]سجل المستخلصات'!$M$19)</f>
        <v/>
      </c>
      <c r="M38" s="60">
        <f>IF('[2]سجل المستخلصات'!$N$19="","",'[2]سجل المستخلصات'!$N$19)</f>
        <v/>
      </c>
      <c r="N38" s="59">
        <f>IF('[2]سجل المستخلصات'!$O$19="","",'[2]سجل المستخلصات'!$O$19)</f>
        <v/>
      </c>
      <c r="O38" s="59">
        <f>IF('[2]سجل المستخلصات'!$R$19="","",'[2]سجل المستخلصات'!$R$19)</f>
        <v/>
      </c>
      <c r="P38" s="59">
        <f>IF('[2]سجل المستخلصات'!$S$19="","",'[2]سجل المستخلصات'!$S$19)</f>
        <v/>
      </c>
      <c r="Q38" s="59">
        <f>IF('[2]سجل المستخلصات'!$T$19="","",'[2]سجل المستخلصات'!$T$19)</f>
        <v/>
      </c>
      <c r="R38" s="59">
        <f>IF('[2]سجل المستخلصات'!$V$19="","",'[2]سجل المستخلصات'!$V$19)</f>
        <v/>
      </c>
      <c r="S38" s="59">
        <f>IF('[2]سجل المستخلصات'!$W$19="","",'[2]سجل المستخلصات'!$W$19)</f>
        <v/>
      </c>
      <c r="T38" s="61">
        <f>IF('[2]سجل المستخلصات'!$X$19="","",'[2]سجل المستخلصات'!$X$19)</f>
        <v/>
      </c>
      <c r="U38" s="61">
        <f>IF('[2]سجل المستخلصات'!$Z$19="","",'[2]سجل المستخلصات'!$Z$19)</f>
        <v/>
      </c>
      <c r="V38" s="59">
        <f>IF('[2]سجل المستخلصات'!$AA$19="","",'[2]سجل المستخلصات'!$AA$19)</f>
        <v/>
      </c>
      <c r="W38" s="59">
        <f>IF('[2]سجل المستخلصات'!$AC$19="","",'[2]سجل المستخلصات'!$AC$19)</f>
        <v/>
      </c>
      <c r="X38" s="62">
        <f>IF('[2]سجل المستخلصات'!$AD$19="","",'[2]سجل المستخلصات'!$AD$19)</f>
        <v/>
      </c>
      <c r="Y38" s="58">
        <f>IF('[2]سجل المستخلصات'!$AE$19="","",'[2]سجل المستخلصات'!$AE$19)</f>
        <v/>
      </c>
    </row>
    <row r="39">
      <c r="B39" s="56" t="n">
        <v>15</v>
      </c>
      <c r="C39" s="57">
        <f>IF('[2]سجل المستخلصات'!$C$20="","",'[2]سجل المستخلصات'!$C$20)</f>
        <v/>
      </c>
      <c r="D39" s="57">
        <f>IF('[2]سجل المستخلصات'!$E$20="","",'[2]سجل المستخلصات'!$E$20)</f>
        <v/>
      </c>
      <c r="E39" s="58">
        <f>IF('[2]سجل المستخلصات'!$F$20="","",'[2]سجل المستخلصات'!$F$20)</f>
        <v/>
      </c>
      <c r="F39" s="59">
        <f>IF('[2]سجل المستخلصات'!$H$20="","",'[2]سجل المستخلصات'!$H$20)</f>
        <v/>
      </c>
      <c r="G39" s="59">
        <f>IF('[2]سجل المستخلصات'!$G$20="","",'[2]سجل المستخلصات'!$G$20)</f>
        <v/>
      </c>
      <c r="H39" s="59">
        <f>IF('[2]سجل المستخلصات'!$I$20="","",'[2]سجل المستخلصات'!$I$20)</f>
        <v/>
      </c>
      <c r="I39" s="59">
        <f>IF('[2]سجل المستخلصات'!$J$20="","",'[2]سجل المستخلصات'!$J$20)</f>
        <v/>
      </c>
      <c r="J39" s="59">
        <f>IF('[2]سجل المستخلصات'!$K$20="","",'[2]سجل المستخلصات'!$K$20)</f>
        <v/>
      </c>
      <c r="K39" s="60">
        <f>IF('[2]سجل المستخلصات'!$L$20="","",'[2]سجل المستخلصات'!$L$20)</f>
        <v/>
      </c>
      <c r="L39" s="60">
        <f>IF('[2]سجل المستخلصات'!$M$20="","",'[2]سجل المستخلصات'!$M$20)</f>
        <v/>
      </c>
      <c r="M39" s="60">
        <f>IF('[2]سجل المستخلصات'!$N$20="","",'[2]سجل المستخلصات'!$N$20)</f>
        <v/>
      </c>
      <c r="N39" s="59">
        <f>IF('[2]سجل المستخلصات'!$O$20="","",'[2]سجل المستخلصات'!$O$20)</f>
        <v/>
      </c>
      <c r="O39" s="59">
        <f>IF('[2]سجل المستخلصات'!$R$20="","",'[2]سجل المستخلصات'!$R$20)</f>
        <v/>
      </c>
      <c r="P39" s="59">
        <f>IF('[2]سجل المستخلصات'!$S$20="","",'[2]سجل المستخلصات'!$S$20)</f>
        <v/>
      </c>
      <c r="Q39" s="59">
        <f>IF('[2]سجل المستخلصات'!$T$20="","",'[2]سجل المستخلصات'!$T$20)</f>
        <v/>
      </c>
      <c r="R39" s="59">
        <f>IF('[2]سجل المستخلصات'!$V$20="","",'[2]سجل المستخلصات'!$V$20)</f>
        <v/>
      </c>
      <c r="S39" s="59">
        <f>IF('[2]سجل المستخلصات'!$W$20="","",'[2]سجل المستخلصات'!$W$20)</f>
        <v/>
      </c>
      <c r="T39" s="61">
        <f>IF('[2]سجل المستخلصات'!$X$20="","",'[2]سجل المستخلصات'!$X$20)</f>
        <v/>
      </c>
      <c r="U39" s="61">
        <f>IF('[2]سجل المستخلصات'!$Z$20="","",'[2]سجل المستخلصات'!$Z$20)</f>
        <v/>
      </c>
      <c r="V39" s="59">
        <f>IF('[2]سجل المستخلصات'!$AA$20="","",'[2]سجل المستخلصات'!$AA$20)</f>
        <v/>
      </c>
      <c r="W39" s="59">
        <f>IF('[2]سجل المستخلصات'!$AC$20="","",'[2]سجل المستخلصات'!$AC$20)</f>
        <v/>
      </c>
      <c r="X39" s="62">
        <f>IF('[2]سجل المستخلصات'!$AD$20="","",'[2]سجل المستخلصات'!$AD$20)</f>
        <v/>
      </c>
      <c r="Y39" s="58">
        <f>IF('[2]سجل المستخلصات'!$AE$20="","",'[2]سجل المستخلصات'!$AE$20)</f>
        <v/>
      </c>
    </row>
    <row r="40">
      <c r="B40" s="56" t="n">
        <v>16</v>
      </c>
      <c r="C40" s="57">
        <f>IF('[2]سجل المستخلصات'!$C$21="","",'[2]سجل المستخلصات'!$C$21)</f>
        <v/>
      </c>
      <c r="D40" s="57">
        <f>IF('[2]سجل المستخلصات'!$E$21="","",'[2]سجل المستخلصات'!$E$21)</f>
        <v/>
      </c>
      <c r="E40" s="58">
        <f>IF('[2]سجل المستخلصات'!$F$21="","",'[2]سجل المستخلصات'!$F$21)</f>
        <v/>
      </c>
      <c r="F40" s="59">
        <f>IF('[2]سجل المستخلصات'!$H$21="","",'[2]سجل المستخلصات'!$H$21)</f>
        <v/>
      </c>
      <c r="G40" s="59">
        <f>IF('[2]سجل المستخلصات'!$G$21="","",'[2]سجل المستخلصات'!$G$21)</f>
        <v/>
      </c>
      <c r="H40" s="59">
        <f>IF('[2]سجل المستخلصات'!$I$21="","",'[2]سجل المستخلصات'!$I$21)</f>
        <v/>
      </c>
      <c r="I40" s="59">
        <f>IF('[2]سجل المستخلصات'!$J$21="","",'[2]سجل المستخلصات'!$J$21)</f>
        <v/>
      </c>
      <c r="J40" s="59">
        <f>IF('[2]سجل المستخلصات'!$K$21="","",'[2]سجل المستخلصات'!$K$21)</f>
        <v/>
      </c>
      <c r="K40" s="60">
        <f>IF('[2]سجل المستخلصات'!$L$21="","",'[2]سجل المستخلصات'!$L$21)</f>
        <v/>
      </c>
      <c r="L40" s="60">
        <f>IF('[2]سجل المستخلصات'!$M$21="","",'[2]سجل المستخلصات'!$M$21)</f>
        <v/>
      </c>
      <c r="M40" s="60">
        <f>IF('[2]سجل المستخلصات'!$N$21="","",'[2]سجل المستخلصات'!$N$21)</f>
        <v/>
      </c>
      <c r="N40" s="59">
        <f>IF('[2]سجل المستخلصات'!$O$21="","",'[2]سجل المستخلصات'!$O$21)</f>
        <v/>
      </c>
      <c r="O40" s="59">
        <f>IF('[2]سجل المستخلصات'!$R$21="","",'[2]سجل المستخلصات'!$R$21)</f>
        <v/>
      </c>
      <c r="P40" s="59">
        <f>IF('[2]سجل المستخلصات'!$S$21="","",'[2]سجل المستخلصات'!$S$21)</f>
        <v/>
      </c>
      <c r="Q40" s="59">
        <f>IF('[2]سجل المستخلصات'!$T$21="","",'[2]سجل المستخلصات'!$T$21)</f>
        <v/>
      </c>
      <c r="R40" s="59">
        <f>IF('[2]سجل المستخلصات'!$V$21="","",'[2]سجل المستخلصات'!$V$21)</f>
        <v/>
      </c>
      <c r="S40" s="59">
        <f>IF('[2]سجل المستخلصات'!$W$21="","",'[2]سجل المستخلصات'!$W$21)</f>
        <v/>
      </c>
      <c r="T40" s="61">
        <f>IF('[2]سجل المستخلصات'!$X$21="","",'[2]سجل المستخلصات'!$X$21)</f>
        <v/>
      </c>
      <c r="U40" s="61">
        <f>IF('[2]سجل المستخلصات'!$Z$21="","",'[2]سجل المستخلصات'!$Z$21)</f>
        <v/>
      </c>
      <c r="V40" s="59">
        <f>IF('[2]سجل المستخلصات'!$AA$21="","",'[2]سجل المستخلصات'!$AA$21)</f>
        <v/>
      </c>
      <c r="W40" s="59">
        <f>IF('[2]سجل المستخلصات'!$AC$21="","",'[2]سجل المستخلصات'!$AC$21)</f>
        <v/>
      </c>
      <c r="X40" s="62">
        <f>IF('[2]سجل المستخلصات'!$AD$21="","",'[2]سجل المستخلصات'!$AD$21)</f>
        <v/>
      </c>
      <c r="Y40" s="58">
        <f>IF('[2]سجل المستخلصات'!$AE$21="","",'[2]سجل المستخلصات'!$AE$21)</f>
        <v/>
      </c>
    </row>
    <row r="41">
      <c r="B41" s="56" t="n">
        <v>17</v>
      </c>
      <c r="C41" s="57">
        <f>IF('[2]سجل المستخلصات'!$C$22="","",'[2]سجل المستخلصات'!$C$22)</f>
        <v/>
      </c>
      <c r="D41" s="57">
        <f>IF('[2]سجل المستخلصات'!$E$22="","",'[2]سجل المستخلصات'!$E$22)</f>
        <v/>
      </c>
      <c r="E41" s="58">
        <f>IF('[2]سجل المستخلصات'!$F$22="","",'[2]سجل المستخلصات'!$F$22)</f>
        <v/>
      </c>
      <c r="F41" s="59">
        <f>IF('[2]سجل المستخلصات'!$H$22="","",'[2]سجل المستخلصات'!$H$22)</f>
        <v/>
      </c>
      <c r="G41" s="59">
        <f>IF('[2]سجل المستخلصات'!$G$22="","",'[2]سجل المستخلصات'!$G$22)</f>
        <v/>
      </c>
      <c r="H41" s="59">
        <f>IF('[2]سجل المستخلصات'!$I$22="","",'[2]سجل المستخلصات'!$I$22)</f>
        <v/>
      </c>
      <c r="I41" s="59">
        <f>IF('[2]سجل المستخلصات'!$J$22="","",'[2]سجل المستخلصات'!$J$22)</f>
        <v/>
      </c>
      <c r="J41" s="59">
        <f>IF('[2]سجل المستخلصات'!$K$22="","",'[2]سجل المستخلصات'!$K$22)</f>
        <v/>
      </c>
      <c r="K41" s="60">
        <f>IF('[2]سجل المستخلصات'!$L$22="","",'[2]سجل المستخلصات'!$L$22)</f>
        <v/>
      </c>
      <c r="L41" s="60">
        <f>IF('[2]سجل المستخلصات'!$M$22="","",'[2]سجل المستخلصات'!$M$22)</f>
        <v/>
      </c>
      <c r="M41" s="60">
        <f>IF('[2]سجل المستخلصات'!$N$22="","",'[2]سجل المستخلصات'!$N$22)</f>
        <v/>
      </c>
      <c r="N41" s="59">
        <f>IF('[2]سجل المستخلصات'!$O$22="","",'[2]سجل المستخلصات'!$O$22)</f>
        <v/>
      </c>
      <c r="O41" s="59">
        <f>IF('[2]سجل المستخلصات'!$R$22="","",'[2]سجل المستخلصات'!$R$22)</f>
        <v/>
      </c>
      <c r="P41" s="59">
        <f>IF('[2]سجل المستخلصات'!$S$22="","",'[2]سجل المستخلصات'!$S$22)</f>
        <v/>
      </c>
      <c r="Q41" s="59">
        <f>IF('[2]سجل المستخلصات'!$T$22="","",'[2]سجل المستخلصات'!$T$22)</f>
        <v/>
      </c>
      <c r="R41" s="59">
        <f>IF('[2]سجل المستخلصات'!$V$22="","",'[2]سجل المستخلصات'!$V$22)</f>
        <v/>
      </c>
      <c r="S41" s="59">
        <f>IF('[2]سجل المستخلصات'!$W$22="","",'[2]سجل المستخلصات'!$W$22)</f>
        <v/>
      </c>
      <c r="T41" s="61">
        <f>IF('[2]سجل المستخلصات'!$X$22="","",'[2]سجل المستخلصات'!$X$22)</f>
        <v/>
      </c>
      <c r="U41" s="61">
        <f>IF('[2]سجل المستخلصات'!$Z$22="","",'[2]سجل المستخلصات'!$Z$22)</f>
        <v/>
      </c>
      <c r="V41" s="59">
        <f>IF('[2]سجل المستخلصات'!$AA$22="","",'[2]سجل المستخلصات'!$AA$22)</f>
        <v/>
      </c>
      <c r="W41" s="59">
        <f>IF('[2]سجل المستخلصات'!$AC$22="","",'[2]سجل المستخلصات'!$AC$22)</f>
        <v/>
      </c>
      <c r="X41" s="62">
        <f>IF('[2]سجل المستخلصات'!$AD$22="","",'[2]سجل المستخلصات'!$AD$22)</f>
        <v/>
      </c>
      <c r="Y41" s="58">
        <f>IF('[2]سجل المستخلصات'!$AE$22="","",'[2]سجل المستخلصات'!$AE$22)</f>
        <v/>
      </c>
    </row>
    <row r="42">
      <c r="B42" s="56" t="n">
        <v>18</v>
      </c>
      <c r="C42" s="57">
        <f>IF('[2]سجل المستخلصات'!$C$23="","",'[2]سجل المستخلصات'!$C$23)</f>
        <v/>
      </c>
      <c r="D42" s="57">
        <f>IF('[2]سجل المستخلصات'!$E$23="","",'[2]سجل المستخلصات'!$E$23)</f>
        <v/>
      </c>
      <c r="E42" s="58">
        <f>IF('[2]سجل المستخلصات'!$F$23="","",'[2]سجل المستخلصات'!$F$23)</f>
        <v/>
      </c>
      <c r="F42" s="59">
        <f>IF('[2]سجل المستخلصات'!$H$23="","",'[2]سجل المستخلصات'!$H$23)</f>
        <v/>
      </c>
      <c r="G42" s="59">
        <f>IF('[2]سجل المستخلصات'!$G$23="","",'[2]سجل المستخلصات'!$G$23)</f>
        <v/>
      </c>
      <c r="H42" s="59">
        <f>IF('[2]سجل المستخلصات'!$I$23="","",'[2]سجل المستخلصات'!$I$23)</f>
        <v/>
      </c>
      <c r="I42" s="59">
        <f>IF('[2]سجل المستخلصات'!$J$23="","",'[2]سجل المستخلصات'!$J$23)</f>
        <v/>
      </c>
      <c r="J42" s="59">
        <f>IF('[2]سجل المستخلصات'!$K$23="","",'[2]سجل المستخلصات'!$K$23)</f>
        <v/>
      </c>
      <c r="K42" s="60">
        <f>IF('[2]سجل المستخلصات'!$L$23="","",'[2]سجل المستخلصات'!$L$23)</f>
        <v/>
      </c>
      <c r="L42" s="60">
        <f>IF('[2]سجل المستخلصات'!$M$23="","",'[2]سجل المستخلصات'!$M$23)</f>
        <v/>
      </c>
      <c r="M42" s="60">
        <f>IF('[2]سجل المستخلصات'!$N$23="","",'[2]سجل المستخلصات'!$N$23)</f>
        <v/>
      </c>
      <c r="N42" s="59">
        <f>IF('[2]سجل المستخلصات'!$O$23="","",'[2]سجل المستخلصات'!$O$23)</f>
        <v/>
      </c>
      <c r="O42" s="59">
        <f>IF('[2]سجل المستخلصات'!$R$23="","",'[2]سجل المستخلصات'!$R$23)</f>
        <v/>
      </c>
      <c r="P42" s="59">
        <f>IF('[2]سجل المستخلصات'!$S$23="","",'[2]سجل المستخلصات'!$S$23)</f>
        <v/>
      </c>
      <c r="Q42" s="59">
        <f>IF('[2]سجل المستخلصات'!$T$23="","",'[2]سجل المستخلصات'!$T$23)</f>
        <v/>
      </c>
      <c r="R42" s="59">
        <f>IF('[2]سجل المستخلصات'!$V$23="","",'[2]سجل المستخلصات'!$V$23)</f>
        <v/>
      </c>
      <c r="S42" s="59">
        <f>IF('[2]سجل المستخلصات'!$W$23="","",'[2]سجل المستخلصات'!$W$23)</f>
        <v/>
      </c>
      <c r="T42" s="61">
        <f>IF('[2]سجل المستخلصات'!$X$23="","",'[2]سجل المستخلصات'!$X$23)</f>
        <v/>
      </c>
      <c r="U42" s="61">
        <f>IF('[2]سجل المستخلصات'!$Z$23="","",'[2]سجل المستخلصات'!$Z$23)</f>
        <v/>
      </c>
      <c r="V42" s="59">
        <f>IF('[2]سجل المستخلصات'!$AA$23="","",'[2]سجل المستخلصات'!$AA$23)</f>
        <v/>
      </c>
      <c r="W42" s="59">
        <f>IF('[2]سجل المستخلصات'!$AC$23="","",'[2]سجل المستخلصات'!$AC$23)</f>
        <v/>
      </c>
      <c r="X42" s="62">
        <f>IF('[2]سجل المستخلصات'!$AD$23="","",'[2]سجل المستخلصات'!$AD$23)</f>
        <v/>
      </c>
      <c r="Y42" s="58">
        <f>IF('[2]سجل المستخلصات'!$AE$23="","",'[2]سجل المستخلصات'!$AE$23)</f>
        <v/>
      </c>
    </row>
    <row r="43">
      <c r="B43" s="56" t="n">
        <v>19</v>
      </c>
      <c r="C43" s="57">
        <f>IF('[2]سجل المستخلصات'!$C$24="","",'[2]سجل المستخلصات'!$C$24)</f>
        <v/>
      </c>
      <c r="D43" s="57">
        <f>IF('[2]سجل المستخلصات'!$E$24="","",'[2]سجل المستخلصات'!$E$24)</f>
        <v/>
      </c>
      <c r="E43" s="58">
        <f>IF('[2]سجل المستخلصات'!$F$24="","",'[2]سجل المستخلصات'!$F$24)</f>
        <v/>
      </c>
      <c r="F43" s="59">
        <f>IF('[2]سجل المستخلصات'!$H$24="","",'[2]سجل المستخلصات'!$H$24)</f>
        <v/>
      </c>
      <c r="G43" s="59">
        <f>IF('[2]سجل المستخلصات'!$G$24="","",'[2]سجل المستخلصات'!$G$24)</f>
        <v/>
      </c>
      <c r="H43" s="59">
        <f>IF('[2]سجل المستخلصات'!$I$24="","",'[2]سجل المستخلصات'!$I$24)</f>
        <v/>
      </c>
      <c r="I43" s="59">
        <f>IF('[2]سجل المستخلصات'!$J$24="","",'[2]سجل المستخلصات'!$J$24)</f>
        <v/>
      </c>
      <c r="J43" s="59">
        <f>IF('[2]سجل المستخلصات'!$K$24="","",'[2]سجل المستخلصات'!$K$24)</f>
        <v/>
      </c>
      <c r="K43" s="60">
        <f>IF('[2]سجل المستخلصات'!$L$24="","",'[2]سجل المستخلصات'!$L$24)</f>
        <v/>
      </c>
      <c r="L43" s="60">
        <f>IF('[2]سجل المستخلصات'!$M$24="","",'[2]سجل المستخلصات'!$M$24)</f>
        <v/>
      </c>
      <c r="M43" s="60">
        <f>IF('[2]سجل المستخلصات'!$N$24="","",'[2]سجل المستخلصات'!$N$24)</f>
        <v/>
      </c>
      <c r="N43" s="59">
        <f>IF('[2]سجل المستخلصات'!$O$24="","",'[2]سجل المستخلصات'!$O$24)</f>
        <v/>
      </c>
      <c r="O43" s="59">
        <f>IF('[2]سجل المستخلصات'!$R$24="","",'[2]سجل المستخلصات'!$R$24)</f>
        <v/>
      </c>
      <c r="P43" s="59">
        <f>IF('[2]سجل المستخلصات'!$S$24="","",'[2]سجل المستخلصات'!$S$24)</f>
        <v/>
      </c>
      <c r="Q43" s="59">
        <f>IF('[2]سجل المستخلصات'!$T$24="","",'[2]سجل المستخلصات'!$T$24)</f>
        <v/>
      </c>
      <c r="R43" s="59">
        <f>IF('[2]سجل المستخلصات'!$V$24="","",'[2]سجل المستخلصات'!$V$24)</f>
        <v/>
      </c>
      <c r="S43" s="59">
        <f>IF('[2]سجل المستخلصات'!$W$24="","",'[2]سجل المستخلصات'!$W$24)</f>
        <v/>
      </c>
      <c r="T43" s="61">
        <f>IF('[2]سجل المستخلصات'!$X$24="","",'[2]سجل المستخلصات'!$X$24)</f>
        <v/>
      </c>
      <c r="U43" s="61">
        <f>IF('[2]سجل المستخلصات'!$Z$24="","",'[2]سجل المستخلصات'!$Z$24)</f>
        <v/>
      </c>
      <c r="V43" s="59">
        <f>IF('[2]سجل المستخلصات'!$AA$24="","",'[2]سجل المستخلصات'!$AA$24)</f>
        <v/>
      </c>
      <c r="W43" s="59">
        <f>IF('[2]سجل المستخلصات'!$AC$24="","",'[2]سجل المستخلصات'!$AC$24)</f>
        <v/>
      </c>
      <c r="X43" s="62">
        <f>IF('[2]سجل المستخلصات'!$AD$24="","",'[2]سجل المستخلصات'!$AD$24)</f>
        <v/>
      </c>
      <c r="Y43" s="58">
        <f>IF('[2]سجل المستخلصات'!$AE$24="","",'[2]سجل المستخلصات'!$AE$24)</f>
        <v/>
      </c>
    </row>
    <row r="44">
      <c r="B44" s="56" t="n">
        <v>20</v>
      </c>
      <c r="C44" s="57">
        <f>IF('[2]سجل المستخلصات'!$C$25="","",'[2]سجل المستخلصات'!$C$25)</f>
        <v/>
      </c>
      <c r="D44" s="57">
        <f>IF('[2]سجل المستخلصات'!$E$25="","",'[2]سجل المستخلصات'!$E$25)</f>
        <v/>
      </c>
      <c r="E44" s="58">
        <f>IF('[2]سجل المستخلصات'!$F$25="","",'[2]سجل المستخلصات'!$F$25)</f>
        <v/>
      </c>
      <c r="F44" s="59">
        <f>IF('[2]سجل المستخلصات'!$H$25="","",'[2]سجل المستخلصات'!$H$25)</f>
        <v/>
      </c>
      <c r="G44" s="59">
        <f>IF('[2]سجل المستخلصات'!$G$25="","",'[2]سجل المستخلصات'!$G$25)</f>
        <v/>
      </c>
      <c r="H44" s="59">
        <f>IF('[2]سجل المستخلصات'!$I$25="","",'[2]سجل المستخلصات'!$I$25)</f>
        <v/>
      </c>
      <c r="I44" s="59">
        <f>IF('[2]سجل المستخلصات'!$J$25="","",'[2]سجل المستخلصات'!$J$25)</f>
        <v/>
      </c>
      <c r="J44" s="59">
        <f>IF('[2]سجل المستخلصات'!$K$25="","",'[2]سجل المستخلصات'!$K$25)</f>
        <v/>
      </c>
      <c r="K44" s="60">
        <f>IF('[2]سجل المستخلصات'!$L$25="","",'[2]سجل المستخلصات'!$L$25)</f>
        <v/>
      </c>
      <c r="L44" s="60">
        <f>IF('[2]سجل المستخلصات'!$M$25="","",'[2]سجل المستخلصات'!$M$25)</f>
        <v/>
      </c>
      <c r="M44" s="60">
        <f>IF('[2]سجل المستخلصات'!$N$25="","",'[2]سجل المستخلصات'!$N$25)</f>
        <v/>
      </c>
      <c r="N44" s="59">
        <f>IF('[2]سجل المستخلصات'!$O$25="","",'[2]سجل المستخلصات'!$O$25)</f>
        <v/>
      </c>
      <c r="O44" s="59">
        <f>IF('[2]سجل المستخلصات'!$R$25="","",'[2]سجل المستخلصات'!$R$25)</f>
        <v/>
      </c>
      <c r="P44" s="59">
        <f>IF('[2]سجل المستخلصات'!$S$25="","",'[2]سجل المستخلصات'!$S$25)</f>
        <v/>
      </c>
      <c r="Q44" s="59">
        <f>IF('[2]سجل المستخلصات'!$T$25="","",'[2]سجل المستخلصات'!$T$25)</f>
        <v/>
      </c>
      <c r="R44" s="59">
        <f>IF('[2]سجل المستخلصات'!$V$25="","",'[2]سجل المستخلصات'!$V$25)</f>
        <v/>
      </c>
      <c r="S44" s="59">
        <f>IF('[2]سجل المستخلصات'!$W$25="","",'[2]سجل المستخلصات'!$W$25)</f>
        <v/>
      </c>
      <c r="T44" s="61">
        <f>IF('[2]سجل المستخلصات'!$X$25="","",'[2]سجل المستخلصات'!$X$25)</f>
        <v/>
      </c>
      <c r="U44" s="61">
        <f>IF('[2]سجل المستخلصات'!$Z$25="","",'[2]سجل المستخلصات'!$Z$25)</f>
        <v/>
      </c>
      <c r="V44" s="59">
        <f>IF('[2]سجل المستخلصات'!$AA$25="","",'[2]سجل المستخلصات'!$AA$25)</f>
        <v/>
      </c>
      <c r="W44" s="59">
        <f>IF('[2]سجل المستخلصات'!$AC$25="","",'[2]سجل المستخلصات'!$AC$25)</f>
        <v/>
      </c>
      <c r="X44" s="62">
        <f>IF('[2]سجل المستخلصات'!$AD$25="","",'[2]سجل المستخلصات'!$AD$25)</f>
        <v/>
      </c>
      <c r="Y44" s="58">
        <f>IF('[2]سجل المستخلصات'!$AE$25="","",'[2]سجل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IF('[2]سجل المستخلصات'!$B$32="","",'[2]سجل المستخلصات'!$B$32)</f>
        <v/>
      </c>
      <c r="C50" s="69" t="n"/>
      <c r="D50" s="69" t="n"/>
      <c r="E50" s="59">
        <f>N('[2]سجل المستخلصات'!$E$32)</f>
        <v/>
      </c>
      <c r="F50" s="59">
        <f>N('[2]سجل المستخلصات'!$F$32)</f>
        <v/>
      </c>
      <c r="G50" s="70">
        <f>IF(E50&gt;0,F50/E50,0)</f>
        <v/>
      </c>
    </row>
    <row r="51">
      <c r="B51" s="69">
        <f>IF('[2]سجل المستخلصات'!$B$33="","",'[2]سجل المستخلصات'!$B$33)</f>
        <v/>
      </c>
      <c r="C51" s="69" t="n"/>
      <c r="D51" s="69" t="n"/>
      <c r="E51" s="59">
        <f>N('[2]سجل المستخلصات'!$E$33)</f>
        <v/>
      </c>
      <c r="F51" s="59">
        <f>N('[2]سجل المستخلصات'!$F$33)</f>
        <v/>
      </c>
      <c r="G51" s="70">
        <f>IF(E51&gt;0,F51/E51,0)</f>
        <v/>
      </c>
    </row>
    <row r="52">
      <c r="B52" s="69">
        <f>IF('[2]سجل المستخلصات'!$B$34="","",'[2]سجل المستخلصات'!$B$34)</f>
        <v/>
      </c>
      <c r="C52" s="69" t="n"/>
      <c r="D52" s="69" t="n"/>
      <c r="E52" s="59">
        <f>N('[2]سجل المستخلصات'!$E$34)</f>
        <v/>
      </c>
      <c r="F52" s="59">
        <f>N('[2]سجل المستخلصات'!$F$34)</f>
        <v/>
      </c>
      <c r="G52" s="70">
        <f>IF(E52&gt;0,F52/E52,0)</f>
        <v/>
      </c>
    </row>
    <row r="53">
      <c r="B53" s="69">
        <f>IF('[2]سجل المستخلصات'!$B$35="","",'[2]سجل المستخلصات'!$B$35)</f>
        <v/>
      </c>
      <c r="C53" s="69" t="n"/>
      <c r="D53" s="69" t="n"/>
      <c r="E53" s="59">
        <f>N('[2]سجل المستخلصات'!$E$35)</f>
        <v/>
      </c>
      <c r="F53" s="59">
        <f>N('[2]سجل المستخلصات'!$F$35)</f>
        <v/>
      </c>
      <c r="G53" s="70">
        <f>IF(E53&gt;0,F53/E53,0)</f>
        <v/>
      </c>
    </row>
    <row r="54">
      <c r="B54" s="69">
        <f>IF('[2]سجل المستخلصات'!$B$36="","",'[2]سجل المستخلصات'!$B$36)</f>
        <v/>
      </c>
      <c r="C54" s="69" t="n"/>
      <c r="D54" s="69" t="n"/>
      <c r="E54" s="59">
        <f>N('[2]سجل المستخلصات'!$E$36)</f>
        <v/>
      </c>
      <c r="F54" s="59">
        <f>N('[2]سجل المستخلصات'!$F$36)</f>
        <v/>
      </c>
      <c r="G54" s="70">
        <f>IF(E54&gt;0,F54/E54,0)</f>
        <v/>
      </c>
    </row>
    <row r="55">
      <c r="B55" s="69">
        <f>IF('[2]سجل المستخلصات'!$B$37="","",'[2]سجل المستخلصات'!$B$37)</f>
        <v/>
      </c>
      <c r="C55" s="69" t="n"/>
      <c r="D55" s="69" t="n"/>
      <c r="E55" s="59">
        <f>N('[2]سجل المستخلصات'!$E$37)</f>
        <v/>
      </c>
      <c r="F55" s="59">
        <f>N('[2]سجل المستخلصات'!$F$37)</f>
        <v/>
      </c>
      <c r="G55" s="70">
        <f>IF(E55&gt;0,F55/E55,0)</f>
        <v/>
      </c>
    </row>
    <row r="56">
      <c r="B56" s="69">
        <f>IF('[2]سجل المستخلصات'!$B$38="","",'[2]سجل المستخلصات'!$B$38)</f>
        <v/>
      </c>
      <c r="C56" s="69" t="n"/>
      <c r="D56" s="69" t="n"/>
      <c r="E56" s="59">
        <f>N('[2]سجل المستخلصات'!$E$38)</f>
        <v/>
      </c>
      <c r="F56" s="59">
        <f>N('[2]سجل المستخلصات'!$F$38)</f>
        <v/>
      </c>
      <c r="G56" s="70">
        <f>IF(E56&gt;0,F56/E56,0)</f>
        <v/>
      </c>
    </row>
    <row r="57">
      <c r="B57" s="69">
        <f>IF('[2]سجل المستخلصات'!$B$39="","",'[2]سجل المستخلصات'!$B$39)</f>
        <v/>
      </c>
      <c r="C57" s="69" t="n"/>
      <c r="D57" s="69" t="n"/>
      <c r="E57" s="59">
        <f>N('[2]سجل المستخلصات'!$E$39)</f>
        <v/>
      </c>
      <c r="F57" s="59">
        <f>N('[2]سجل المستخلصات'!$F$39)</f>
        <v/>
      </c>
      <c r="G57" s="70">
        <f>IF(E57&gt;0,F57/E57,0)</f>
        <v/>
      </c>
    </row>
    <row r="58">
      <c r="B58" s="69">
        <f>IF('[2]سجل المستخلصات'!$B$40="","",'[2]سجل المستخلصات'!$B$40)</f>
        <v/>
      </c>
      <c r="C58" s="69" t="n"/>
      <c r="D58" s="69" t="n"/>
      <c r="E58" s="59">
        <f>N('[2]سجل المستخلصات'!$E$40)</f>
        <v/>
      </c>
      <c r="F58" s="59">
        <f>N('[2]سجل المستخلصات'!$F$40)</f>
        <v/>
      </c>
      <c r="G58" s="70">
        <f>IF(E58&gt;0,F58/E58,0)</f>
        <v/>
      </c>
    </row>
    <row r="59">
      <c r="B59" s="69">
        <f>IF('[2]سجل المستخلصات'!$B$41="","",'[2]سجل المستخلصات'!$B$41)</f>
        <v/>
      </c>
      <c r="C59" s="69" t="n"/>
      <c r="D59" s="69" t="n"/>
      <c r="E59" s="59">
        <f>N('[2]سجل المستخلصات'!$E$41)</f>
        <v/>
      </c>
      <c r="F59" s="59">
        <f>N('[2]سجل المستخلصات'!$F$41)</f>
        <v/>
      </c>
      <c r="G59" s="70">
        <f>IF(E59&gt;0,F59/E59,0)</f>
        <v/>
      </c>
    </row>
    <row r="60">
      <c r="B60" s="69">
        <f>IF('[2]سجل المستخلصات'!$B$42="","",'[2]سجل المستخلصات'!$B$42)</f>
        <v/>
      </c>
      <c r="C60" s="69" t="n"/>
      <c r="D60" s="69" t="n"/>
      <c r="E60" s="59">
        <f>N('[2]سجل المستخلصات'!$E$42)</f>
        <v/>
      </c>
      <c r="F60" s="59">
        <f>N('[2]سجل المستخلصات'!$F$42)</f>
        <v/>
      </c>
      <c r="G60" s="70">
        <f>IF(E60&gt;0,F60/E60,0)</f>
        <v/>
      </c>
    </row>
    <row r="61">
      <c r="B61" s="69">
        <f>IF('[2]سجل المستخلصات'!$B$43="","",'[2]سجل المستخلصات'!$B$43)</f>
        <v/>
      </c>
      <c r="C61" s="69" t="n"/>
      <c r="D61" s="69" t="n"/>
      <c r="E61" s="59">
        <f>N('[2]سجل المستخلصات'!$E$43)</f>
        <v/>
      </c>
      <c r="F61" s="59">
        <f>N('[2]سجل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01'!A1" display="◄ المشروع السابق"/>
    <hyperlink ref="D3" location="'مشروع 03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"&amp;IF('[3]بيانات العقد'!$C$5="","مشروع رقم 03 — غير مُفعّل",'[3]بيانات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Project_03/IPC_Project_03.xlsx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IF('[3]بيانات العقد'!$C$5="","",'[3]بيانات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IF('[3]بيانات العقد'!$C$6="","",'[3]بيانات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IF('[3]بيانات العقد'!$C$7="","",'[3]بيانات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IF('[3]بيانات العقد'!$C$8="","",'[3]بيانات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N('[3]بيانات العقد'!$C$16)</f>
        <v/>
      </c>
    </row>
    <row r="6" ht="22" customHeight="1">
      <c r="B6" s="11" t="inlineStr">
        <is>
          <t>المقاول</t>
        </is>
      </c>
      <c r="C6" s="14">
        <f>IF('[3]بيانات العقد'!$C$9="","",'[3]بيانات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IF('[3]بيانات العقد'!$C$11="","",'[3]بيانات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IF('[3]بيانات العقد'!$C$13="","",'[3]بيانات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IF('[3]بيانات العقد'!$C$14="","",'[3]بيانات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N('[3]بيانات العقد'!$C$17)</f>
        <v/>
      </c>
    </row>
    <row r="7">
      <c r="AA7" s="15" t="inlineStr">
        <is>
          <t>قيمة العقد المعدلة</t>
        </is>
      </c>
      <c r="AB7" s="16">
        <f>N('[3]بيانات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N('[3]بيانات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N('[3]بيانات العقد'!$C$21)</f>
        <v/>
      </c>
    </row>
    <row r="10">
      <c r="AA10" s="15" t="inlineStr">
        <is>
          <t>نسبة ضمان الأعمال</t>
        </is>
      </c>
      <c r="AB10" s="23">
        <f>N('[3]بيانات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N('[3]بيانات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N('[3]بيانات العقد'!$C$31)</f>
        <v/>
      </c>
    </row>
    <row r="13">
      <c r="AA13" s="15" t="inlineStr">
        <is>
          <t>ضريبة الاستقطاع (غير المقيم)</t>
        </is>
      </c>
      <c r="AB13" s="23">
        <f>N('[3]بيانات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IF('[3]بيانات العقد'!$C$11="","",'[3]بيانات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IF('[3]بيانات العقد'!$C$13="","",'[3]بيانات العقد'!$C$13)</f>
        <v/>
      </c>
    </row>
    <row r="16">
      <c r="AA16" s="15" t="inlineStr">
        <is>
          <t>المدة (شهر)</t>
        </is>
      </c>
      <c r="AB16" s="43">
        <f>IF('[3]بيانات العقد'!$C$12="","",'[3]بيانات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IF('[3]بيانات العقد'!$C$36="","",'[3]بيانات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IF('[3]بيانات العقد'!$C$37="","",'[3]بيانات العقد'!$C$37)</f>
        <v/>
      </c>
    </row>
    <row r="19">
      <c r="AA19" s="15" t="inlineStr">
        <is>
          <t>الرقم الضريبي لصاحب العمل</t>
        </is>
      </c>
      <c r="AB19" s="48">
        <f>IF('[3]بيانات العقد'!$C$39="","",'[3]بيانات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IF('[3]بيانات العقد'!$C$42="","",'[3]بيانات العقد'!$C$42)</f>
        <v/>
      </c>
    </row>
    <row r="21" ht="32" customHeight="1">
      <c r="B21" s="50">
        <f>N('[3]الموازنة والتكاليف'!$D$66)</f>
        <v/>
      </c>
      <c r="C21" s="50" t="n"/>
      <c r="D21" s="50" t="n"/>
      <c r="E21" s="50" t="n"/>
      <c r="F21" s="50">
        <f>N('[3]الموازنة والتكاليف'!$D$70)</f>
        <v/>
      </c>
      <c r="G21" s="50" t="n"/>
      <c r="H21" s="50" t="n"/>
      <c r="I21" s="50" t="n"/>
      <c r="J21" s="50">
        <f>N('[3]الموازنة والتكاليف'!$D$72)</f>
        <v/>
      </c>
      <c r="K21" s="50" t="n"/>
      <c r="L21" s="50" t="n"/>
      <c r="M21" s="50" t="n"/>
      <c r="N21" s="51">
        <f>N('[3]الموازنة والتكاليف'!$D$73)</f>
        <v/>
      </c>
      <c r="O21" s="51" t="n"/>
      <c r="P21" s="51" t="n"/>
      <c r="Q21" s="51" t="n"/>
      <c r="R21" s="52">
        <f>N('[3]الموازنة والتكاليف'!$D$74)</f>
        <v/>
      </c>
      <c r="S21" s="52" t="n"/>
      <c r="T21" s="52" t="n"/>
      <c r="U21" s="52" t="n"/>
      <c r="V21" s="50">
        <f>N('[3]الموازنة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IF('[3]بيانات العقد'!$C$43="","",'[3]بيانات العقد'!$C$43)</f>
        <v/>
      </c>
    </row>
    <row r="22">
      <c r="AA22" s="15" t="inlineStr">
        <is>
          <t>حالة غرامات التأخير</t>
        </is>
      </c>
      <c r="AB22" s="45">
        <f>IF('[3]بيانات العقد'!$C$47="","",'[3]بيانات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IF('[3]سجل المستخلصات'!$C$6="","",'[3]سجل المستخلصات'!$C$6)</f>
        <v/>
      </c>
      <c r="D25" s="57">
        <f>IF('[3]سجل المستخلصات'!$E$6="","",'[3]سجل المستخلصات'!$E$6)</f>
        <v/>
      </c>
      <c r="E25" s="58">
        <f>IF('[3]سجل المستخلصات'!$F$6="","",'[3]سجل المستخلصات'!$F$6)</f>
        <v/>
      </c>
      <c r="F25" s="59">
        <f>IF('[3]سجل المستخلصات'!$H$6="","",'[3]سجل المستخلصات'!$H$6)</f>
        <v/>
      </c>
      <c r="G25" s="59">
        <f>IF('[3]سجل المستخلصات'!$G$6="","",'[3]سجل المستخلصات'!$G$6)</f>
        <v/>
      </c>
      <c r="H25" s="59">
        <f>IF('[3]سجل المستخلصات'!$I$6="","",'[3]سجل المستخلصات'!$I$6)</f>
        <v/>
      </c>
      <c r="I25" s="59">
        <f>IF('[3]سجل المستخلصات'!$J$6="","",'[3]سجل المستخلصات'!$J$6)</f>
        <v/>
      </c>
      <c r="J25" s="59">
        <f>IF('[3]سجل المستخلصات'!$K$6="","",'[3]سجل المستخلصات'!$K$6)</f>
        <v/>
      </c>
      <c r="K25" s="60">
        <f>IF('[3]سجل المستخلصات'!$L$6="","",'[3]سجل المستخلصات'!$L$6)</f>
        <v/>
      </c>
      <c r="L25" s="60">
        <f>IF('[3]سجل المستخلصات'!$M$6="","",'[3]سجل المستخلصات'!$M$6)</f>
        <v/>
      </c>
      <c r="M25" s="60">
        <f>IF('[3]سجل المستخلصات'!$N$6="","",'[3]سجل المستخلصات'!$N$6)</f>
        <v/>
      </c>
      <c r="N25" s="59">
        <f>IF('[3]سجل المستخلصات'!$O$6="","",'[3]سجل المستخلصات'!$O$6)</f>
        <v/>
      </c>
      <c r="O25" s="59">
        <f>IF('[3]سجل المستخلصات'!$R$6="","",'[3]سجل المستخلصات'!$R$6)</f>
        <v/>
      </c>
      <c r="P25" s="59">
        <f>IF('[3]سجل المستخلصات'!$S$6="","",'[3]سجل المستخلصات'!$S$6)</f>
        <v/>
      </c>
      <c r="Q25" s="59">
        <f>IF('[3]سجل المستخلصات'!$T$6="","",'[3]سجل المستخلصات'!$T$6)</f>
        <v/>
      </c>
      <c r="R25" s="59">
        <f>IF('[3]سجل المستخلصات'!$V$6="","",'[3]سجل المستخلصات'!$V$6)</f>
        <v/>
      </c>
      <c r="S25" s="59">
        <f>IF('[3]سجل المستخلصات'!$W$6="","",'[3]سجل المستخلصات'!$W$6)</f>
        <v/>
      </c>
      <c r="T25" s="61">
        <f>IF('[3]سجل المستخلصات'!$X$6="","",'[3]سجل المستخلصات'!$X$6)</f>
        <v/>
      </c>
      <c r="U25" s="61">
        <f>IF('[3]سجل المستخلصات'!$Z$6="","",'[3]سجل المستخلصات'!$Z$6)</f>
        <v/>
      </c>
      <c r="V25" s="59">
        <f>IF('[3]سجل المستخلصات'!$AA$6="","",'[3]سجل المستخلصات'!$AA$6)</f>
        <v/>
      </c>
      <c r="W25" s="59">
        <f>IF('[3]سجل المستخلصات'!$AC$6="","",'[3]سجل المستخلصات'!$AC$6)</f>
        <v/>
      </c>
      <c r="X25" s="62">
        <f>IF('[3]سجل المستخلصات'!$AD$6="","",'[3]سجل المستخلصات'!$AD$6)</f>
        <v/>
      </c>
      <c r="Y25" s="58">
        <f>IF('[3]سجل المستخلصات'!$AE$6="","",'[3]سجل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IF('[3]سجل المستخلصات'!$C$7="","",'[3]سجل المستخلصات'!$C$7)</f>
        <v/>
      </c>
      <c r="D26" s="57">
        <f>IF('[3]سجل المستخلصات'!$E$7="","",'[3]سجل المستخلصات'!$E$7)</f>
        <v/>
      </c>
      <c r="E26" s="58">
        <f>IF('[3]سجل المستخلصات'!$F$7="","",'[3]سجل المستخلصات'!$F$7)</f>
        <v/>
      </c>
      <c r="F26" s="59">
        <f>IF('[3]سجل المستخلصات'!$H$7="","",'[3]سجل المستخلصات'!$H$7)</f>
        <v/>
      </c>
      <c r="G26" s="59">
        <f>IF('[3]سجل المستخلصات'!$G$7="","",'[3]سجل المستخلصات'!$G$7)</f>
        <v/>
      </c>
      <c r="H26" s="59">
        <f>IF('[3]سجل المستخلصات'!$I$7="","",'[3]سجل المستخلصات'!$I$7)</f>
        <v/>
      </c>
      <c r="I26" s="59">
        <f>IF('[3]سجل المستخلصات'!$J$7="","",'[3]سجل المستخلصات'!$J$7)</f>
        <v/>
      </c>
      <c r="J26" s="59">
        <f>IF('[3]سجل المستخلصات'!$K$7="","",'[3]سجل المستخلصات'!$K$7)</f>
        <v/>
      </c>
      <c r="K26" s="60">
        <f>IF('[3]سجل المستخلصات'!$L$7="","",'[3]سجل المستخلصات'!$L$7)</f>
        <v/>
      </c>
      <c r="L26" s="60">
        <f>IF('[3]سجل المستخلصات'!$M$7="","",'[3]سجل المستخلصات'!$M$7)</f>
        <v/>
      </c>
      <c r="M26" s="60">
        <f>IF('[3]سجل المستخلصات'!$N$7="","",'[3]سجل المستخلصات'!$N$7)</f>
        <v/>
      </c>
      <c r="N26" s="59">
        <f>IF('[3]سجل المستخلصات'!$O$7="","",'[3]سجل المستخلصات'!$O$7)</f>
        <v/>
      </c>
      <c r="O26" s="59">
        <f>IF('[3]سجل المستخلصات'!$R$7="","",'[3]سجل المستخلصات'!$R$7)</f>
        <v/>
      </c>
      <c r="P26" s="59">
        <f>IF('[3]سجل المستخلصات'!$S$7="","",'[3]سجل المستخلصات'!$S$7)</f>
        <v/>
      </c>
      <c r="Q26" s="59">
        <f>IF('[3]سجل المستخلصات'!$T$7="","",'[3]سجل المستخلصات'!$T$7)</f>
        <v/>
      </c>
      <c r="R26" s="59">
        <f>IF('[3]سجل المستخلصات'!$V$7="","",'[3]سجل المستخلصات'!$V$7)</f>
        <v/>
      </c>
      <c r="S26" s="59">
        <f>IF('[3]سجل المستخلصات'!$W$7="","",'[3]سجل المستخلصات'!$W$7)</f>
        <v/>
      </c>
      <c r="T26" s="61">
        <f>IF('[3]سجل المستخلصات'!$X$7="","",'[3]سجل المستخلصات'!$X$7)</f>
        <v/>
      </c>
      <c r="U26" s="61">
        <f>IF('[3]سجل المستخلصات'!$Z$7="","",'[3]سجل المستخلصات'!$Z$7)</f>
        <v/>
      </c>
      <c r="V26" s="59">
        <f>IF('[3]سجل المستخلصات'!$AA$7="","",'[3]سجل المستخلصات'!$AA$7)</f>
        <v/>
      </c>
      <c r="W26" s="59">
        <f>IF('[3]سجل المستخلصات'!$AC$7="","",'[3]سجل المستخلصات'!$AC$7)</f>
        <v/>
      </c>
      <c r="X26" s="62">
        <f>IF('[3]سجل المستخلصات'!$AD$7="","",'[3]سجل المستخلصات'!$AD$7)</f>
        <v/>
      </c>
      <c r="Y26" s="58">
        <f>IF('[3]سجل المستخلصات'!$AE$7="","",'[3]سجل المستخلصات'!$AE$7)</f>
        <v/>
      </c>
      <c r="AA26" s="63" t="n"/>
      <c r="AB26" s="63" t="n"/>
    </row>
    <row r="27">
      <c r="B27" s="56" t="n">
        <v>3</v>
      </c>
      <c r="C27" s="57">
        <f>IF('[3]سجل المستخلصات'!$C$8="","",'[3]سجل المستخلصات'!$C$8)</f>
        <v/>
      </c>
      <c r="D27" s="57">
        <f>IF('[3]سجل المستخلصات'!$E$8="","",'[3]سجل المستخلصات'!$E$8)</f>
        <v/>
      </c>
      <c r="E27" s="58">
        <f>IF('[3]سجل المستخلصات'!$F$8="","",'[3]سجل المستخلصات'!$F$8)</f>
        <v/>
      </c>
      <c r="F27" s="59">
        <f>IF('[3]سجل المستخلصات'!$H$8="","",'[3]سجل المستخلصات'!$H$8)</f>
        <v/>
      </c>
      <c r="G27" s="59">
        <f>IF('[3]سجل المستخلصات'!$G$8="","",'[3]سجل المستخلصات'!$G$8)</f>
        <v/>
      </c>
      <c r="H27" s="59">
        <f>IF('[3]سجل المستخلصات'!$I$8="","",'[3]سجل المستخلصات'!$I$8)</f>
        <v/>
      </c>
      <c r="I27" s="59">
        <f>IF('[3]سجل المستخلصات'!$J$8="","",'[3]سجل المستخلصات'!$J$8)</f>
        <v/>
      </c>
      <c r="J27" s="59">
        <f>IF('[3]سجل المستخلصات'!$K$8="","",'[3]سجل المستخلصات'!$K$8)</f>
        <v/>
      </c>
      <c r="K27" s="60">
        <f>IF('[3]سجل المستخلصات'!$L$8="","",'[3]سجل المستخلصات'!$L$8)</f>
        <v/>
      </c>
      <c r="L27" s="60">
        <f>IF('[3]سجل المستخلصات'!$M$8="","",'[3]سجل المستخلصات'!$M$8)</f>
        <v/>
      </c>
      <c r="M27" s="60">
        <f>IF('[3]سجل المستخلصات'!$N$8="","",'[3]سجل المستخلصات'!$N$8)</f>
        <v/>
      </c>
      <c r="N27" s="59">
        <f>IF('[3]سجل المستخلصات'!$O$8="","",'[3]سجل المستخلصات'!$O$8)</f>
        <v/>
      </c>
      <c r="O27" s="59">
        <f>IF('[3]سجل المستخلصات'!$R$8="","",'[3]سجل المستخلصات'!$R$8)</f>
        <v/>
      </c>
      <c r="P27" s="59">
        <f>IF('[3]سجل المستخلصات'!$S$8="","",'[3]سجل المستخلصات'!$S$8)</f>
        <v/>
      </c>
      <c r="Q27" s="59">
        <f>IF('[3]سجل المستخلصات'!$T$8="","",'[3]سجل المستخلصات'!$T$8)</f>
        <v/>
      </c>
      <c r="R27" s="59">
        <f>IF('[3]سجل المستخلصات'!$V$8="","",'[3]سجل المستخلصات'!$V$8)</f>
        <v/>
      </c>
      <c r="S27" s="59">
        <f>IF('[3]سجل المستخلصات'!$W$8="","",'[3]سجل المستخلصات'!$W$8)</f>
        <v/>
      </c>
      <c r="T27" s="61">
        <f>IF('[3]سجل المستخلصات'!$X$8="","",'[3]سجل المستخلصات'!$X$8)</f>
        <v/>
      </c>
      <c r="U27" s="61">
        <f>IF('[3]سجل المستخلصات'!$Z$8="","",'[3]سجل المستخلصات'!$Z$8)</f>
        <v/>
      </c>
      <c r="V27" s="59">
        <f>IF('[3]سجل المستخلصات'!$AA$8="","",'[3]سجل المستخلصات'!$AA$8)</f>
        <v/>
      </c>
      <c r="W27" s="59">
        <f>IF('[3]سجل المستخلصات'!$AC$8="","",'[3]سجل المستخلصات'!$AC$8)</f>
        <v/>
      </c>
      <c r="X27" s="62">
        <f>IF('[3]سجل المستخلصات'!$AD$8="","",'[3]سجل المستخلصات'!$AD$8)</f>
        <v/>
      </c>
      <c r="Y27" s="58">
        <f>IF('[3]سجل المستخلصات'!$AE$8="","",'[3]سجل المستخلصات'!$AE$8)</f>
        <v/>
      </c>
      <c r="AA27" s="63" t="n"/>
      <c r="AB27" s="63" t="n"/>
    </row>
    <row r="28">
      <c r="B28" s="56" t="n">
        <v>4</v>
      </c>
      <c r="C28" s="57">
        <f>IF('[3]سجل المستخلصات'!$C$9="","",'[3]سجل المستخلصات'!$C$9)</f>
        <v/>
      </c>
      <c r="D28" s="57">
        <f>IF('[3]سجل المستخلصات'!$E$9="","",'[3]سجل المستخلصات'!$E$9)</f>
        <v/>
      </c>
      <c r="E28" s="58">
        <f>IF('[3]سجل المستخلصات'!$F$9="","",'[3]سجل المستخلصات'!$F$9)</f>
        <v/>
      </c>
      <c r="F28" s="59">
        <f>IF('[3]سجل المستخلصات'!$H$9="","",'[3]سجل المستخلصات'!$H$9)</f>
        <v/>
      </c>
      <c r="G28" s="59">
        <f>IF('[3]سجل المستخلصات'!$G$9="","",'[3]سجل المستخلصات'!$G$9)</f>
        <v/>
      </c>
      <c r="H28" s="59">
        <f>IF('[3]سجل المستخلصات'!$I$9="","",'[3]سجل المستخلصات'!$I$9)</f>
        <v/>
      </c>
      <c r="I28" s="59">
        <f>IF('[3]سجل المستخلصات'!$J$9="","",'[3]سجل المستخلصات'!$J$9)</f>
        <v/>
      </c>
      <c r="J28" s="59">
        <f>IF('[3]سجل المستخلصات'!$K$9="","",'[3]سجل المستخلصات'!$K$9)</f>
        <v/>
      </c>
      <c r="K28" s="60">
        <f>IF('[3]سجل المستخلصات'!$L$9="","",'[3]سجل المستخلصات'!$L$9)</f>
        <v/>
      </c>
      <c r="L28" s="60">
        <f>IF('[3]سجل المستخلصات'!$M$9="","",'[3]سجل المستخلصات'!$M$9)</f>
        <v/>
      </c>
      <c r="M28" s="60">
        <f>IF('[3]سجل المستخلصات'!$N$9="","",'[3]سجل المستخلصات'!$N$9)</f>
        <v/>
      </c>
      <c r="N28" s="59">
        <f>IF('[3]سجل المستخلصات'!$O$9="","",'[3]سجل المستخلصات'!$O$9)</f>
        <v/>
      </c>
      <c r="O28" s="59">
        <f>IF('[3]سجل المستخلصات'!$R$9="","",'[3]سجل المستخلصات'!$R$9)</f>
        <v/>
      </c>
      <c r="P28" s="59">
        <f>IF('[3]سجل المستخلصات'!$S$9="","",'[3]سجل المستخلصات'!$S$9)</f>
        <v/>
      </c>
      <c r="Q28" s="59">
        <f>IF('[3]سجل المستخلصات'!$T$9="","",'[3]سجل المستخلصات'!$T$9)</f>
        <v/>
      </c>
      <c r="R28" s="59">
        <f>IF('[3]سجل المستخلصات'!$V$9="","",'[3]سجل المستخلصات'!$V$9)</f>
        <v/>
      </c>
      <c r="S28" s="59">
        <f>IF('[3]سجل المستخلصات'!$W$9="","",'[3]سجل المستخلصات'!$W$9)</f>
        <v/>
      </c>
      <c r="T28" s="61">
        <f>IF('[3]سجل المستخلصات'!$X$9="","",'[3]سجل المستخلصات'!$X$9)</f>
        <v/>
      </c>
      <c r="U28" s="61">
        <f>IF('[3]سجل المستخلصات'!$Z$9="","",'[3]سجل المستخلصات'!$Z$9)</f>
        <v/>
      </c>
      <c r="V28" s="59">
        <f>IF('[3]سجل المستخلصات'!$AA$9="","",'[3]سجل المستخلصات'!$AA$9)</f>
        <v/>
      </c>
      <c r="W28" s="59">
        <f>IF('[3]سجل المستخلصات'!$AC$9="","",'[3]سجل المستخلصات'!$AC$9)</f>
        <v/>
      </c>
      <c r="X28" s="62">
        <f>IF('[3]سجل المستخلصات'!$AD$9="","",'[3]سجل المستخلصات'!$AD$9)</f>
        <v/>
      </c>
      <c r="Y28" s="58">
        <f>IF('[3]سجل المستخلصات'!$AE$9="","",'[3]سجل المستخلصات'!$AE$9)</f>
        <v/>
      </c>
      <c r="AA28" s="63" t="n"/>
      <c r="AB28" s="63" t="n"/>
    </row>
    <row r="29">
      <c r="B29" s="56" t="n">
        <v>5</v>
      </c>
      <c r="C29" s="57">
        <f>IF('[3]سجل المستخلصات'!$C$10="","",'[3]سجل المستخلصات'!$C$10)</f>
        <v/>
      </c>
      <c r="D29" s="57">
        <f>IF('[3]سجل المستخلصات'!$E$10="","",'[3]سجل المستخلصات'!$E$10)</f>
        <v/>
      </c>
      <c r="E29" s="58">
        <f>IF('[3]سجل المستخلصات'!$F$10="","",'[3]سجل المستخلصات'!$F$10)</f>
        <v/>
      </c>
      <c r="F29" s="59">
        <f>IF('[3]سجل المستخلصات'!$H$10="","",'[3]سجل المستخلصات'!$H$10)</f>
        <v/>
      </c>
      <c r="G29" s="59">
        <f>IF('[3]سجل المستخلصات'!$G$10="","",'[3]سجل المستخلصات'!$G$10)</f>
        <v/>
      </c>
      <c r="H29" s="59">
        <f>IF('[3]سجل المستخلصات'!$I$10="","",'[3]سجل المستخلصات'!$I$10)</f>
        <v/>
      </c>
      <c r="I29" s="59">
        <f>IF('[3]سجل المستخلصات'!$J$10="","",'[3]سجل المستخلصات'!$J$10)</f>
        <v/>
      </c>
      <c r="J29" s="59">
        <f>IF('[3]سجل المستخلصات'!$K$10="","",'[3]سجل المستخلصات'!$K$10)</f>
        <v/>
      </c>
      <c r="K29" s="60">
        <f>IF('[3]سجل المستخلصات'!$L$10="","",'[3]سجل المستخلصات'!$L$10)</f>
        <v/>
      </c>
      <c r="L29" s="60">
        <f>IF('[3]سجل المستخلصات'!$M$10="","",'[3]سجل المستخلصات'!$M$10)</f>
        <v/>
      </c>
      <c r="M29" s="60">
        <f>IF('[3]سجل المستخلصات'!$N$10="","",'[3]سجل المستخلصات'!$N$10)</f>
        <v/>
      </c>
      <c r="N29" s="59">
        <f>IF('[3]سجل المستخلصات'!$O$10="","",'[3]سجل المستخلصات'!$O$10)</f>
        <v/>
      </c>
      <c r="O29" s="59">
        <f>IF('[3]سجل المستخلصات'!$R$10="","",'[3]سجل المستخلصات'!$R$10)</f>
        <v/>
      </c>
      <c r="P29" s="59">
        <f>IF('[3]سجل المستخلصات'!$S$10="","",'[3]سجل المستخلصات'!$S$10)</f>
        <v/>
      </c>
      <c r="Q29" s="59">
        <f>IF('[3]سجل المستخلصات'!$T$10="","",'[3]سجل المستخلصات'!$T$10)</f>
        <v/>
      </c>
      <c r="R29" s="59">
        <f>IF('[3]سجل المستخلصات'!$V$10="","",'[3]سجل المستخلصات'!$V$10)</f>
        <v/>
      </c>
      <c r="S29" s="59">
        <f>IF('[3]سجل المستخلصات'!$W$10="","",'[3]سجل المستخلصات'!$W$10)</f>
        <v/>
      </c>
      <c r="T29" s="61">
        <f>IF('[3]سجل المستخلصات'!$X$10="","",'[3]سجل المستخلصات'!$X$10)</f>
        <v/>
      </c>
      <c r="U29" s="61">
        <f>IF('[3]سجل المستخلصات'!$Z$10="","",'[3]سجل المستخلصات'!$Z$10)</f>
        <v/>
      </c>
      <c r="V29" s="59">
        <f>IF('[3]سجل المستخلصات'!$AA$10="","",'[3]سجل المستخلصات'!$AA$10)</f>
        <v/>
      </c>
      <c r="W29" s="59">
        <f>IF('[3]سجل المستخلصات'!$AC$10="","",'[3]سجل المستخلصات'!$AC$10)</f>
        <v/>
      </c>
      <c r="X29" s="62">
        <f>IF('[3]سجل المستخلصات'!$AD$10="","",'[3]سجل المستخلصات'!$AD$10)</f>
        <v/>
      </c>
      <c r="Y29" s="58">
        <f>IF('[3]سجل المستخلصات'!$AE$10="","",'[3]سجل المستخلصات'!$AE$10)</f>
        <v/>
      </c>
    </row>
    <row r="30">
      <c r="B30" s="56" t="n">
        <v>6</v>
      </c>
      <c r="C30" s="57">
        <f>IF('[3]سجل المستخلصات'!$C$11="","",'[3]سجل المستخلصات'!$C$11)</f>
        <v/>
      </c>
      <c r="D30" s="57">
        <f>IF('[3]سجل المستخلصات'!$E$11="","",'[3]سجل المستخلصات'!$E$11)</f>
        <v/>
      </c>
      <c r="E30" s="58">
        <f>IF('[3]سجل المستخلصات'!$F$11="","",'[3]سجل المستخلصات'!$F$11)</f>
        <v/>
      </c>
      <c r="F30" s="59">
        <f>IF('[3]سجل المستخلصات'!$H$11="","",'[3]سجل المستخلصات'!$H$11)</f>
        <v/>
      </c>
      <c r="G30" s="59">
        <f>IF('[3]سجل المستخلصات'!$G$11="","",'[3]سجل المستخلصات'!$G$11)</f>
        <v/>
      </c>
      <c r="H30" s="59">
        <f>IF('[3]سجل المستخلصات'!$I$11="","",'[3]سجل المستخلصات'!$I$11)</f>
        <v/>
      </c>
      <c r="I30" s="59">
        <f>IF('[3]سجل المستخلصات'!$J$11="","",'[3]سجل المستخلصات'!$J$11)</f>
        <v/>
      </c>
      <c r="J30" s="59">
        <f>IF('[3]سجل المستخلصات'!$K$11="","",'[3]سجل المستخلصات'!$K$11)</f>
        <v/>
      </c>
      <c r="K30" s="60">
        <f>IF('[3]سجل المستخلصات'!$L$11="","",'[3]سجل المستخلصات'!$L$11)</f>
        <v/>
      </c>
      <c r="L30" s="60">
        <f>IF('[3]سجل المستخلصات'!$M$11="","",'[3]سجل المستخلصات'!$M$11)</f>
        <v/>
      </c>
      <c r="M30" s="60">
        <f>IF('[3]سجل المستخلصات'!$N$11="","",'[3]سجل المستخلصات'!$N$11)</f>
        <v/>
      </c>
      <c r="N30" s="59">
        <f>IF('[3]سجل المستخلصات'!$O$11="","",'[3]سجل المستخلصات'!$O$11)</f>
        <v/>
      </c>
      <c r="O30" s="59">
        <f>IF('[3]سجل المستخلصات'!$R$11="","",'[3]سجل المستخلصات'!$R$11)</f>
        <v/>
      </c>
      <c r="P30" s="59">
        <f>IF('[3]سجل المستخلصات'!$S$11="","",'[3]سجل المستخلصات'!$S$11)</f>
        <v/>
      </c>
      <c r="Q30" s="59">
        <f>IF('[3]سجل المستخلصات'!$T$11="","",'[3]سجل المستخلصات'!$T$11)</f>
        <v/>
      </c>
      <c r="R30" s="59">
        <f>IF('[3]سجل المستخلصات'!$V$11="","",'[3]سجل المستخلصات'!$V$11)</f>
        <v/>
      </c>
      <c r="S30" s="59">
        <f>IF('[3]سجل المستخلصات'!$W$11="","",'[3]سجل المستخلصات'!$W$11)</f>
        <v/>
      </c>
      <c r="T30" s="61">
        <f>IF('[3]سجل المستخلصات'!$X$11="","",'[3]سجل المستخلصات'!$X$11)</f>
        <v/>
      </c>
      <c r="U30" s="61">
        <f>IF('[3]سجل المستخلصات'!$Z$11="","",'[3]سجل المستخلصات'!$Z$11)</f>
        <v/>
      </c>
      <c r="V30" s="59">
        <f>IF('[3]سجل المستخلصات'!$AA$11="","",'[3]سجل المستخلصات'!$AA$11)</f>
        <v/>
      </c>
      <c r="W30" s="59">
        <f>IF('[3]سجل المستخلصات'!$AC$11="","",'[3]سجل المستخلصات'!$AC$11)</f>
        <v/>
      </c>
      <c r="X30" s="62">
        <f>IF('[3]سجل المستخلصات'!$AD$11="","",'[3]سجل المستخلصات'!$AD$11)</f>
        <v/>
      </c>
      <c r="Y30" s="58">
        <f>IF('[3]سجل المستخلصات'!$AE$11="","",'[3]سجل المستخلصات'!$AE$11)</f>
        <v/>
      </c>
    </row>
    <row r="31">
      <c r="B31" s="56" t="n">
        <v>7</v>
      </c>
      <c r="C31" s="57">
        <f>IF('[3]سجل المستخلصات'!$C$12="","",'[3]سجل المستخلصات'!$C$12)</f>
        <v/>
      </c>
      <c r="D31" s="57">
        <f>IF('[3]سجل المستخلصات'!$E$12="","",'[3]سجل المستخلصات'!$E$12)</f>
        <v/>
      </c>
      <c r="E31" s="58">
        <f>IF('[3]سجل المستخلصات'!$F$12="","",'[3]سجل المستخلصات'!$F$12)</f>
        <v/>
      </c>
      <c r="F31" s="59">
        <f>IF('[3]سجل المستخلصات'!$H$12="","",'[3]سجل المستخلصات'!$H$12)</f>
        <v/>
      </c>
      <c r="G31" s="59">
        <f>IF('[3]سجل المستخلصات'!$G$12="","",'[3]سجل المستخلصات'!$G$12)</f>
        <v/>
      </c>
      <c r="H31" s="59">
        <f>IF('[3]سجل المستخلصات'!$I$12="","",'[3]سجل المستخلصات'!$I$12)</f>
        <v/>
      </c>
      <c r="I31" s="59">
        <f>IF('[3]سجل المستخلصات'!$J$12="","",'[3]سجل المستخلصات'!$J$12)</f>
        <v/>
      </c>
      <c r="J31" s="59">
        <f>IF('[3]سجل المستخلصات'!$K$12="","",'[3]سجل المستخلصات'!$K$12)</f>
        <v/>
      </c>
      <c r="K31" s="60">
        <f>IF('[3]سجل المستخلصات'!$L$12="","",'[3]سجل المستخلصات'!$L$12)</f>
        <v/>
      </c>
      <c r="L31" s="60">
        <f>IF('[3]سجل المستخلصات'!$M$12="","",'[3]سجل المستخلصات'!$M$12)</f>
        <v/>
      </c>
      <c r="M31" s="60">
        <f>IF('[3]سجل المستخلصات'!$N$12="","",'[3]سجل المستخلصات'!$N$12)</f>
        <v/>
      </c>
      <c r="N31" s="59">
        <f>IF('[3]سجل المستخلصات'!$O$12="","",'[3]سجل المستخلصات'!$O$12)</f>
        <v/>
      </c>
      <c r="O31" s="59">
        <f>IF('[3]سجل المستخلصات'!$R$12="","",'[3]سجل المستخلصات'!$R$12)</f>
        <v/>
      </c>
      <c r="P31" s="59">
        <f>IF('[3]سجل المستخلصات'!$S$12="","",'[3]سجل المستخلصات'!$S$12)</f>
        <v/>
      </c>
      <c r="Q31" s="59">
        <f>IF('[3]سجل المستخلصات'!$T$12="","",'[3]سجل المستخلصات'!$T$12)</f>
        <v/>
      </c>
      <c r="R31" s="59">
        <f>IF('[3]سجل المستخلصات'!$V$12="","",'[3]سجل المستخلصات'!$V$12)</f>
        <v/>
      </c>
      <c r="S31" s="59">
        <f>IF('[3]سجل المستخلصات'!$W$12="","",'[3]سجل المستخلصات'!$W$12)</f>
        <v/>
      </c>
      <c r="T31" s="61">
        <f>IF('[3]سجل المستخلصات'!$X$12="","",'[3]سجل المستخلصات'!$X$12)</f>
        <v/>
      </c>
      <c r="U31" s="61">
        <f>IF('[3]سجل المستخلصات'!$Z$12="","",'[3]سجل المستخلصات'!$Z$12)</f>
        <v/>
      </c>
      <c r="V31" s="59">
        <f>IF('[3]سجل المستخلصات'!$AA$12="","",'[3]سجل المستخلصات'!$AA$12)</f>
        <v/>
      </c>
      <c r="W31" s="59">
        <f>IF('[3]سجل المستخلصات'!$AC$12="","",'[3]سجل المستخلصات'!$AC$12)</f>
        <v/>
      </c>
      <c r="X31" s="62">
        <f>IF('[3]سجل المستخلصات'!$AD$12="","",'[3]سجل المستخلصات'!$AD$12)</f>
        <v/>
      </c>
      <c r="Y31" s="58">
        <f>IF('[3]سجل المستخلصات'!$AE$12="","",'[3]سجل المستخلصات'!$AE$12)</f>
        <v/>
      </c>
    </row>
    <row r="32">
      <c r="B32" s="56" t="n">
        <v>8</v>
      </c>
      <c r="C32" s="57">
        <f>IF('[3]سجل المستخلصات'!$C$13="","",'[3]سجل المستخلصات'!$C$13)</f>
        <v/>
      </c>
      <c r="D32" s="57">
        <f>IF('[3]سجل المستخلصات'!$E$13="","",'[3]سجل المستخلصات'!$E$13)</f>
        <v/>
      </c>
      <c r="E32" s="58">
        <f>IF('[3]سجل المستخلصات'!$F$13="","",'[3]سجل المستخلصات'!$F$13)</f>
        <v/>
      </c>
      <c r="F32" s="59">
        <f>IF('[3]سجل المستخلصات'!$H$13="","",'[3]سجل المستخلصات'!$H$13)</f>
        <v/>
      </c>
      <c r="G32" s="59">
        <f>IF('[3]سجل المستخلصات'!$G$13="","",'[3]سجل المستخلصات'!$G$13)</f>
        <v/>
      </c>
      <c r="H32" s="59">
        <f>IF('[3]سجل المستخلصات'!$I$13="","",'[3]سجل المستخلصات'!$I$13)</f>
        <v/>
      </c>
      <c r="I32" s="59">
        <f>IF('[3]سجل المستخلصات'!$J$13="","",'[3]سجل المستخلصات'!$J$13)</f>
        <v/>
      </c>
      <c r="J32" s="59">
        <f>IF('[3]سجل المستخلصات'!$K$13="","",'[3]سجل المستخلصات'!$K$13)</f>
        <v/>
      </c>
      <c r="K32" s="60">
        <f>IF('[3]سجل المستخلصات'!$L$13="","",'[3]سجل المستخلصات'!$L$13)</f>
        <v/>
      </c>
      <c r="L32" s="60">
        <f>IF('[3]سجل المستخلصات'!$M$13="","",'[3]سجل المستخلصات'!$M$13)</f>
        <v/>
      </c>
      <c r="M32" s="60">
        <f>IF('[3]سجل المستخلصات'!$N$13="","",'[3]سجل المستخلصات'!$N$13)</f>
        <v/>
      </c>
      <c r="N32" s="59">
        <f>IF('[3]سجل المستخلصات'!$O$13="","",'[3]سجل المستخلصات'!$O$13)</f>
        <v/>
      </c>
      <c r="O32" s="59">
        <f>IF('[3]سجل المستخلصات'!$R$13="","",'[3]سجل المستخلصات'!$R$13)</f>
        <v/>
      </c>
      <c r="P32" s="59">
        <f>IF('[3]سجل المستخلصات'!$S$13="","",'[3]سجل المستخلصات'!$S$13)</f>
        <v/>
      </c>
      <c r="Q32" s="59">
        <f>IF('[3]سجل المستخلصات'!$T$13="","",'[3]سجل المستخلصات'!$T$13)</f>
        <v/>
      </c>
      <c r="R32" s="59">
        <f>IF('[3]سجل المستخلصات'!$V$13="","",'[3]سجل المستخلصات'!$V$13)</f>
        <v/>
      </c>
      <c r="S32" s="59">
        <f>IF('[3]سجل المستخلصات'!$W$13="","",'[3]سجل المستخلصات'!$W$13)</f>
        <v/>
      </c>
      <c r="T32" s="61">
        <f>IF('[3]سجل المستخلصات'!$X$13="","",'[3]سجل المستخلصات'!$X$13)</f>
        <v/>
      </c>
      <c r="U32" s="61">
        <f>IF('[3]سجل المستخلصات'!$Z$13="","",'[3]سجل المستخلصات'!$Z$13)</f>
        <v/>
      </c>
      <c r="V32" s="59">
        <f>IF('[3]سجل المستخلصات'!$AA$13="","",'[3]سجل المستخلصات'!$AA$13)</f>
        <v/>
      </c>
      <c r="W32" s="59">
        <f>IF('[3]سجل المستخلصات'!$AC$13="","",'[3]سجل المستخلصات'!$AC$13)</f>
        <v/>
      </c>
      <c r="X32" s="62">
        <f>IF('[3]سجل المستخلصات'!$AD$13="","",'[3]سجل المستخلصات'!$AD$13)</f>
        <v/>
      </c>
      <c r="Y32" s="58">
        <f>IF('[3]سجل المستخلصات'!$AE$13="","",'[3]سجل المستخلصات'!$AE$13)</f>
        <v/>
      </c>
    </row>
    <row r="33">
      <c r="B33" s="56" t="n">
        <v>9</v>
      </c>
      <c r="C33" s="57">
        <f>IF('[3]سجل المستخلصات'!$C$14="","",'[3]سجل المستخلصات'!$C$14)</f>
        <v/>
      </c>
      <c r="D33" s="57">
        <f>IF('[3]سجل المستخلصات'!$E$14="","",'[3]سجل المستخلصات'!$E$14)</f>
        <v/>
      </c>
      <c r="E33" s="58">
        <f>IF('[3]سجل المستخلصات'!$F$14="","",'[3]سجل المستخلصات'!$F$14)</f>
        <v/>
      </c>
      <c r="F33" s="59">
        <f>IF('[3]سجل المستخلصات'!$H$14="","",'[3]سجل المستخلصات'!$H$14)</f>
        <v/>
      </c>
      <c r="G33" s="59">
        <f>IF('[3]سجل المستخلصات'!$G$14="","",'[3]سجل المستخلصات'!$G$14)</f>
        <v/>
      </c>
      <c r="H33" s="59">
        <f>IF('[3]سجل المستخلصات'!$I$14="","",'[3]سجل المستخلصات'!$I$14)</f>
        <v/>
      </c>
      <c r="I33" s="59">
        <f>IF('[3]سجل المستخلصات'!$J$14="","",'[3]سجل المستخلصات'!$J$14)</f>
        <v/>
      </c>
      <c r="J33" s="59">
        <f>IF('[3]سجل المستخلصات'!$K$14="","",'[3]سجل المستخلصات'!$K$14)</f>
        <v/>
      </c>
      <c r="K33" s="60">
        <f>IF('[3]سجل المستخلصات'!$L$14="","",'[3]سجل المستخلصات'!$L$14)</f>
        <v/>
      </c>
      <c r="L33" s="60">
        <f>IF('[3]سجل المستخلصات'!$M$14="","",'[3]سجل المستخلصات'!$M$14)</f>
        <v/>
      </c>
      <c r="M33" s="60">
        <f>IF('[3]سجل المستخلصات'!$N$14="","",'[3]سجل المستخلصات'!$N$14)</f>
        <v/>
      </c>
      <c r="N33" s="59">
        <f>IF('[3]سجل المستخلصات'!$O$14="","",'[3]سجل المستخلصات'!$O$14)</f>
        <v/>
      </c>
      <c r="O33" s="59">
        <f>IF('[3]سجل المستخلصات'!$R$14="","",'[3]سجل المستخلصات'!$R$14)</f>
        <v/>
      </c>
      <c r="P33" s="59">
        <f>IF('[3]سجل المستخلصات'!$S$14="","",'[3]سجل المستخلصات'!$S$14)</f>
        <v/>
      </c>
      <c r="Q33" s="59">
        <f>IF('[3]سجل المستخلصات'!$T$14="","",'[3]سجل المستخلصات'!$T$14)</f>
        <v/>
      </c>
      <c r="R33" s="59">
        <f>IF('[3]سجل المستخلصات'!$V$14="","",'[3]سجل المستخلصات'!$V$14)</f>
        <v/>
      </c>
      <c r="S33" s="59">
        <f>IF('[3]سجل المستخلصات'!$W$14="","",'[3]سجل المستخلصات'!$W$14)</f>
        <v/>
      </c>
      <c r="T33" s="61">
        <f>IF('[3]سجل المستخلصات'!$X$14="","",'[3]سجل المستخلصات'!$X$14)</f>
        <v/>
      </c>
      <c r="U33" s="61">
        <f>IF('[3]سجل المستخلصات'!$Z$14="","",'[3]سجل المستخلصات'!$Z$14)</f>
        <v/>
      </c>
      <c r="V33" s="59">
        <f>IF('[3]سجل المستخلصات'!$AA$14="","",'[3]سجل المستخلصات'!$AA$14)</f>
        <v/>
      </c>
      <c r="W33" s="59">
        <f>IF('[3]سجل المستخلصات'!$AC$14="","",'[3]سجل المستخلصات'!$AC$14)</f>
        <v/>
      </c>
      <c r="X33" s="62">
        <f>IF('[3]سجل المستخلصات'!$AD$14="","",'[3]سجل المستخلصات'!$AD$14)</f>
        <v/>
      </c>
      <c r="Y33" s="58">
        <f>IF('[3]سجل المستخلصات'!$AE$14="","",'[3]سجل المستخلصات'!$AE$14)</f>
        <v/>
      </c>
    </row>
    <row r="34">
      <c r="B34" s="56" t="n">
        <v>10</v>
      </c>
      <c r="C34" s="57">
        <f>IF('[3]سجل المستخلصات'!$C$15="","",'[3]سجل المستخلصات'!$C$15)</f>
        <v/>
      </c>
      <c r="D34" s="57">
        <f>IF('[3]سجل المستخلصات'!$E$15="","",'[3]سجل المستخلصات'!$E$15)</f>
        <v/>
      </c>
      <c r="E34" s="58">
        <f>IF('[3]سجل المستخلصات'!$F$15="","",'[3]سجل المستخلصات'!$F$15)</f>
        <v/>
      </c>
      <c r="F34" s="59">
        <f>IF('[3]سجل المستخلصات'!$H$15="","",'[3]سجل المستخلصات'!$H$15)</f>
        <v/>
      </c>
      <c r="G34" s="59">
        <f>IF('[3]سجل المستخلصات'!$G$15="","",'[3]سجل المستخلصات'!$G$15)</f>
        <v/>
      </c>
      <c r="H34" s="59">
        <f>IF('[3]سجل المستخلصات'!$I$15="","",'[3]سجل المستخلصات'!$I$15)</f>
        <v/>
      </c>
      <c r="I34" s="59">
        <f>IF('[3]سجل المستخلصات'!$J$15="","",'[3]سجل المستخلصات'!$J$15)</f>
        <v/>
      </c>
      <c r="J34" s="59">
        <f>IF('[3]سجل المستخلصات'!$K$15="","",'[3]سجل المستخلصات'!$K$15)</f>
        <v/>
      </c>
      <c r="K34" s="60">
        <f>IF('[3]سجل المستخلصات'!$L$15="","",'[3]سجل المستخلصات'!$L$15)</f>
        <v/>
      </c>
      <c r="L34" s="60">
        <f>IF('[3]سجل المستخلصات'!$M$15="","",'[3]سجل المستخلصات'!$M$15)</f>
        <v/>
      </c>
      <c r="M34" s="60">
        <f>IF('[3]سجل المستخلصات'!$N$15="","",'[3]سجل المستخلصات'!$N$15)</f>
        <v/>
      </c>
      <c r="N34" s="59">
        <f>IF('[3]سجل المستخلصات'!$O$15="","",'[3]سجل المستخلصات'!$O$15)</f>
        <v/>
      </c>
      <c r="O34" s="59">
        <f>IF('[3]سجل المستخلصات'!$R$15="","",'[3]سجل المستخلصات'!$R$15)</f>
        <v/>
      </c>
      <c r="P34" s="59">
        <f>IF('[3]سجل المستخلصات'!$S$15="","",'[3]سجل المستخلصات'!$S$15)</f>
        <v/>
      </c>
      <c r="Q34" s="59">
        <f>IF('[3]سجل المستخلصات'!$T$15="","",'[3]سجل المستخلصات'!$T$15)</f>
        <v/>
      </c>
      <c r="R34" s="59">
        <f>IF('[3]سجل المستخلصات'!$V$15="","",'[3]سجل المستخلصات'!$V$15)</f>
        <v/>
      </c>
      <c r="S34" s="59">
        <f>IF('[3]سجل المستخلصات'!$W$15="","",'[3]سجل المستخلصات'!$W$15)</f>
        <v/>
      </c>
      <c r="T34" s="61">
        <f>IF('[3]سجل المستخلصات'!$X$15="","",'[3]سجل المستخلصات'!$X$15)</f>
        <v/>
      </c>
      <c r="U34" s="61">
        <f>IF('[3]سجل المستخلصات'!$Z$15="","",'[3]سجل المستخلصات'!$Z$15)</f>
        <v/>
      </c>
      <c r="V34" s="59">
        <f>IF('[3]سجل المستخلصات'!$AA$15="","",'[3]سجل المستخلصات'!$AA$15)</f>
        <v/>
      </c>
      <c r="W34" s="59">
        <f>IF('[3]سجل المستخلصات'!$AC$15="","",'[3]سجل المستخلصات'!$AC$15)</f>
        <v/>
      </c>
      <c r="X34" s="62">
        <f>IF('[3]سجل المستخلصات'!$AD$15="","",'[3]سجل المستخلصات'!$AD$15)</f>
        <v/>
      </c>
      <c r="Y34" s="58">
        <f>IF('[3]سجل المستخلصات'!$AE$15="","",'[3]سجل المستخلصات'!$AE$15)</f>
        <v/>
      </c>
    </row>
    <row r="35">
      <c r="B35" s="56" t="n">
        <v>11</v>
      </c>
      <c r="C35" s="57">
        <f>IF('[3]سجل المستخلصات'!$C$16="","",'[3]سجل المستخلصات'!$C$16)</f>
        <v/>
      </c>
      <c r="D35" s="57">
        <f>IF('[3]سجل المستخلصات'!$E$16="","",'[3]سجل المستخلصات'!$E$16)</f>
        <v/>
      </c>
      <c r="E35" s="58">
        <f>IF('[3]سجل المستخلصات'!$F$16="","",'[3]سجل المستخلصات'!$F$16)</f>
        <v/>
      </c>
      <c r="F35" s="59">
        <f>IF('[3]سجل المستخلصات'!$H$16="","",'[3]سجل المستخلصات'!$H$16)</f>
        <v/>
      </c>
      <c r="G35" s="59">
        <f>IF('[3]سجل المستخلصات'!$G$16="","",'[3]سجل المستخلصات'!$G$16)</f>
        <v/>
      </c>
      <c r="H35" s="59">
        <f>IF('[3]سجل المستخلصات'!$I$16="","",'[3]سجل المستخلصات'!$I$16)</f>
        <v/>
      </c>
      <c r="I35" s="59">
        <f>IF('[3]سجل المستخلصات'!$J$16="","",'[3]سجل المستخلصات'!$J$16)</f>
        <v/>
      </c>
      <c r="J35" s="59">
        <f>IF('[3]سجل المستخلصات'!$K$16="","",'[3]سجل المستخلصات'!$K$16)</f>
        <v/>
      </c>
      <c r="K35" s="60">
        <f>IF('[3]سجل المستخلصات'!$L$16="","",'[3]سجل المستخلصات'!$L$16)</f>
        <v/>
      </c>
      <c r="L35" s="60">
        <f>IF('[3]سجل المستخلصات'!$M$16="","",'[3]سجل المستخلصات'!$M$16)</f>
        <v/>
      </c>
      <c r="M35" s="60">
        <f>IF('[3]سجل المستخلصات'!$N$16="","",'[3]سجل المستخلصات'!$N$16)</f>
        <v/>
      </c>
      <c r="N35" s="59">
        <f>IF('[3]سجل المستخلصات'!$O$16="","",'[3]سجل المستخلصات'!$O$16)</f>
        <v/>
      </c>
      <c r="O35" s="59">
        <f>IF('[3]سجل المستخلصات'!$R$16="","",'[3]سجل المستخلصات'!$R$16)</f>
        <v/>
      </c>
      <c r="P35" s="59">
        <f>IF('[3]سجل المستخلصات'!$S$16="","",'[3]سجل المستخلصات'!$S$16)</f>
        <v/>
      </c>
      <c r="Q35" s="59">
        <f>IF('[3]سجل المستخلصات'!$T$16="","",'[3]سجل المستخلصات'!$T$16)</f>
        <v/>
      </c>
      <c r="R35" s="59">
        <f>IF('[3]سجل المستخلصات'!$V$16="","",'[3]سجل المستخلصات'!$V$16)</f>
        <v/>
      </c>
      <c r="S35" s="59">
        <f>IF('[3]سجل المستخلصات'!$W$16="","",'[3]سجل المستخلصات'!$W$16)</f>
        <v/>
      </c>
      <c r="T35" s="61">
        <f>IF('[3]سجل المستخلصات'!$X$16="","",'[3]سجل المستخلصات'!$X$16)</f>
        <v/>
      </c>
      <c r="U35" s="61">
        <f>IF('[3]سجل المستخلصات'!$Z$16="","",'[3]سجل المستخلصات'!$Z$16)</f>
        <v/>
      </c>
      <c r="V35" s="59">
        <f>IF('[3]سجل المستخلصات'!$AA$16="","",'[3]سجل المستخلصات'!$AA$16)</f>
        <v/>
      </c>
      <c r="W35" s="59">
        <f>IF('[3]سجل المستخلصات'!$AC$16="","",'[3]سجل المستخلصات'!$AC$16)</f>
        <v/>
      </c>
      <c r="X35" s="62">
        <f>IF('[3]سجل المستخلصات'!$AD$16="","",'[3]سجل المستخلصات'!$AD$16)</f>
        <v/>
      </c>
      <c r="Y35" s="58">
        <f>IF('[3]سجل المستخلصات'!$AE$16="","",'[3]سجل المستخلصات'!$AE$16)</f>
        <v/>
      </c>
    </row>
    <row r="36">
      <c r="B36" s="56" t="n">
        <v>12</v>
      </c>
      <c r="C36" s="57">
        <f>IF('[3]سجل المستخلصات'!$C$17="","",'[3]سجل المستخلصات'!$C$17)</f>
        <v/>
      </c>
      <c r="D36" s="57">
        <f>IF('[3]سجل المستخلصات'!$E$17="","",'[3]سجل المستخلصات'!$E$17)</f>
        <v/>
      </c>
      <c r="E36" s="58">
        <f>IF('[3]سجل المستخلصات'!$F$17="","",'[3]سجل المستخلصات'!$F$17)</f>
        <v/>
      </c>
      <c r="F36" s="59">
        <f>IF('[3]سجل المستخلصات'!$H$17="","",'[3]سجل المستخلصات'!$H$17)</f>
        <v/>
      </c>
      <c r="G36" s="59">
        <f>IF('[3]سجل المستخلصات'!$G$17="","",'[3]سجل المستخلصات'!$G$17)</f>
        <v/>
      </c>
      <c r="H36" s="59">
        <f>IF('[3]سجل المستخلصات'!$I$17="","",'[3]سجل المستخلصات'!$I$17)</f>
        <v/>
      </c>
      <c r="I36" s="59">
        <f>IF('[3]سجل المستخلصات'!$J$17="","",'[3]سجل المستخلصات'!$J$17)</f>
        <v/>
      </c>
      <c r="J36" s="59">
        <f>IF('[3]سجل المستخلصات'!$K$17="","",'[3]سجل المستخلصات'!$K$17)</f>
        <v/>
      </c>
      <c r="K36" s="60">
        <f>IF('[3]سجل المستخلصات'!$L$17="","",'[3]سجل المستخلصات'!$L$17)</f>
        <v/>
      </c>
      <c r="L36" s="60">
        <f>IF('[3]سجل المستخلصات'!$M$17="","",'[3]سجل المستخلصات'!$M$17)</f>
        <v/>
      </c>
      <c r="M36" s="60">
        <f>IF('[3]سجل المستخلصات'!$N$17="","",'[3]سجل المستخلصات'!$N$17)</f>
        <v/>
      </c>
      <c r="N36" s="59">
        <f>IF('[3]سجل المستخلصات'!$O$17="","",'[3]سجل المستخلصات'!$O$17)</f>
        <v/>
      </c>
      <c r="O36" s="59">
        <f>IF('[3]سجل المستخلصات'!$R$17="","",'[3]سجل المستخلصات'!$R$17)</f>
        <v/>
      </c>
      <c r="P36" s="59">
        <f>IF('[3]سجل المستخلصات'!$S$17="","",'[3]سجل المستخلصات'!$S$17)</f>
        <v/>
      </c>
      <c r="Q36" s="59">
        <f>IF('[3]سجل المستخلصات'!$T$17="","",'[3]سجل المستخلصات'!$T$17)</f>
        <v/>
      </c>
      <c r="R36" s="59">
        <f>IF('[3]سجل المستخلصات'!$V$17="","",'[3]سجل المستخلصات'!$V$17)</f>
        <v/>
      </c>
      <c r="S36" s="59">
        <f>IF('[3]سجل المستخلصات'!$W$17="","",'[3]سجل المستخلصات'!$W$17)</f>
        <v/>
      </c>
      <c r="T36" s="61">
        <f>IF('[3]سجل المستخلصات'!$X$17="","",'[3]سجل المستخلصات'!$X$17)</f>
        <v/>
      </c>
      <c r="U36" s="61">
        <f>IF('[3]سجل المستخلصات'!$Z$17="","",'[3]سجل المستخلصات'!$Z$17)</f>
        <v/>
      </c>
      <c r="V36" s="59">
        <f>IF('[3]سجل المستخلصات'!$AA$17="","",'[3]سجل المستخلصات'!$AA$17)</f>
        <v/>
      </c>
      <c r="W36" s="59">
        <f>IF('[3]سجل المستخلصات'!$AC$17="","",'[3]سجل المستخلصات'!$AC$17)</f>
        <v/>
      </c>
      <c r="X36" s="62">
        <f>IF('[3]سجل المستخلصات'!$AD$17="","",'[3]سجل المستخلصات'!$AD$17)</f>
        <v/>
      </c>
      <c r="Y36" s="58">
        <f>IF('[3]سجل المستخلصات'!$AE$17="","",'[3]سجل المستخلصات'!$AE$17)</f>
        <v/>
      </c>
    </row>
    <row r="37">
      <c r="B37" s="56" t="n">
        <v>13</v>
      </c>
      <c r="C37" s="57">
        <f>IF('[3]سجل المستخلصات'!$C$18="","",'[3]سجل المستخلصات'!$C$18)</f>
        <v/>
      </c>
      <c r="D37" s="57">
        <f>IF('[3]سجل المستخلصات'!$E$18="","",'[3]سجل المستخلصات'!$E$18)</f>
        <v/>
      </c>
      <c r="E37" s="58">
        <f>IF('[3]سجل المستخلصات'!$F$18="","",'[3]سجل المستخلصات'!$F$18)</f>
        <v/>
      </c>
      <c r="F37" s="59">
        <f>IF('[3]سجل المستخلصات'!$H$18="","",'[3]سجل المستخلصات'!$H$18)</f>
        <v/>
      </c>
      <c r="G37" s="59">
        <f>IF('[3]سجل المستخلصات'!$G$18="","",'[3]سجل المستخلصات'!$G$18)</f>
        <v/>
      </c>
      <c r="H37" s="59">
        <f>IF('[3]سجل المستخلصات'!$I$18="","",'[3]سجل المستخلصات'!$I$18)</f>
        <v/>
      </c>
      <c r="I37" s="59">
        <f>IF('[3]سجل المستخلصات'!$J$18="","",'[3]سجل المستخلصات'!$J$18)</f>
        <v/>
      </c>
      <c r="J37" s="59">
        <f>IF('[3]سجل المستخلصات'!$K$18="","",'[3]سجل المستخلصات'!$K$18)</f>
        <v/>
      </c>
      <c r="K37" s="60">
        <f>IF('[3]سجل المستخلصات'!$L$18="","",'[3]سجل المستخلصات'!$L$18)</f>
        <v/>
      </c>
      <c r="L37" s="60">
        <f>IF('[3]سجل المستخلصات'!$M$18="","",'[3]سجل المستخلصات'!$M$18)</f>
        <v/>
      </c>
      <c r="M37" s="60">
        <f>IF('[3]سجل المستخلصات'!$N$18="","",'[3]سجل المستخلصات'!$N$18)</f>
        <v/>
      </c>
      <c r="N37" s="59">
        <f>IF('[3]سجل المستخلصات'!$O$18="","",'[3]سجل المستخلصات'!$O$18)</f>
        <v/>
      </c>
      <c r="O37" s="59">
        <f>IF('[3]سجل المستخلصات'!$R$18="","",'[3]سجل المستخلصات'!$R$18)</f>
        <v/>
      </c>
      <c r="P37" s="59">
        <f>IF('[3]سجل المستخلصات'!$S$18="","",'[3]سجل المستخلصات'!$S$18)</f>
        <v/>
      </c>
      <c r="Q37" s="59">
        <f>IF('[3]سجل المستخلصات'!$T$18="","",'[3]سجل المستخلصات'!$T$18)</f>
        <v/>
      </c>
      <c r="R37" s="59">
        <f>IF('[3]سجل المستخلصات'!$V$18="","",'[3]سجل المستخلصات'!$V$18)</f>
        <v/>
      </c>
      <c r="S37" s="59">
        <f>IF('[3]سجل المستخلصات'!$W$18="","",'[3]سجل المستخلصات'!$W$18)</f>
        <v/>
      </c>
      <c r="T37" s="61">
        <f>IF('[3]سجل المستخلصات'!$X$18="","",'[3]سجل المستخلصات'!$X$18)</f>
        <v/>
      </c>
      <c r="U37" s="61">
        <f>IF('[3]سجل المستخلصات'!$Z$18="","",'[3]سجل المستخلصات'!$Z$18)</f>
        <v/>
      </c>
      <c r="V37" s="59">
        <f>IF('[3]سجل المستخلصات'!$AA$18="","",'[3]سجل المستخلصات'!$AA$18)</f>
        <v/>
      </c>
      <c r="W37" s="59">
        <f>IF('[3]سجل المستخلصات'!$AC$18="","",'[3]سجل المستخلصات'!$AC$18)</f>
        <v/>
      </c>
      <c r="X37" s="62">
        <f>IF('[3]سجل المستخلصات'!$AD$18="","",'[3]سجل المستخلصات'!$AD$18)</f>
        <v/>
      </c>
      <c r="Y37" s="58">
        <f>IF('[3]سجل المستخلصات'!$AE$18="","",'[3]سجل المستخلصات'!$AE$18)</f>
        <v/>
      </c>
    </row>
    <row r="38">
      <c r="B38" s="56" t="n">
        <v>14</v>
      </c>
      <c r="C38" s="57">
        <f>IF('[3]سجل المستخلصات'!$C$19="","",'[3]سجل المستخلصات'!$C$19)</f>
        <v/>
      </c>
      <c r="D38" s="57">
        <f>IF('[3]سجل المستخلصات'!$E$19="","",'[3]سجل المستخلصات'!$E$19)</f>
        <v/>
      </c>
      <c r="E38" s="58">
        <f>IF('[3]سجل المستخلصات'!$F$19="","",'[3]سجل المستخلصات'!$F$19)</f>
        <v/>
      </c>
      <c r="F38" s="59">
        <f>IF('[3]سجل المستخلصات'!$H$19="","",'[3]سجل المستخلصات'!$H$19)</f>
        <v/>
      </c>
      <c r="G38" s="59">
        <f>IF('[3]سجل المستخلصات'!$G$19="","",'[3]سجل المستخلصات'!$G$19)</f>
        <v/>
      </c>
      <c r="H38" s="59">
        <f>IF('[3]سجل المستخلصات'!$I$19="","",'[3]سجل المستخلصات'!$I$19)</f>
        <v/>
      </c>
      <c r="I38" s="59">
        <f>IF('[3]سجل المستخلصات'!$J$19="","",'[3]سجل المستخلصات'!$J$19)</f>
        <v/>
      </c>
      <c r="J38" s="59">
        <f>IF('[3]سجل المستخلصات'!$K$19="","",'[3]سجل المستخلصات'!$K$19)</f>
        <v/>
      </c>
      <c r="K38" s="60">
        <f>IF('[3]سجل المستخلصات'!$L$19="","",'[3]سجل المستخلصات'!$L$19)</f>
        <v/>
      </c>
      <c r="L38" s="60">
        <f>IF('[3]سجل المستخلصات'!$M$19="","",'[3]سجل المستخلصات'!$M$19)</f>
        <v/>
      </c>
      <c r="M38" s="60">
        <f>IF('[3]سجل المستخلصات'!$N$19="","",'[3]سجل المستخلصات'!$N$19)</f>
        <v/>
      </c>
      <c r="N38" s="59">
        <f>IF('[3]سجل المستخلصات'!$O$19="","",'[3]سجل المستخلصات'!$O$19)</f>
        <v/>
      </c>
      <c r="O38" s="59">
        <f>IF('[3]سجل المستخلصات'!$R$19="","",'[3]سجل المستخلصات'!$R$19)</f>
        <v/>
      </c>
      <c r="P38" s="59">
        <f>IF('[3]سجل المستخلصات'!$S$19="","",'[3]سجل المستخلصات'!$S$19)</f>
        <v/>
      </c>
      <c r="Q38" s="59">
        <f>IF('[3]سجل المستخلصات'!$T$19="","",'[3]سجل المستخلصات'!$T$19)</f>
        <v/>
      </c>
      <c r="R38" s="59">
        <f>IF('[3]سجل المستخلصات'!$V$19="","",'[3]سجل المستخلصات'!$V$19)</f>
        <v/>
      </c>
      <c r="S38" s="59">
        <f>IF('[3]سجل المستخلصات'!$W$19="","",'[3]سجل المستخلصات'!$W$19)</f>
        <v/>
      </c>
      <c r="T38" s="61">
        <f>IF('[3]سجل المستخلصات'!$X$19="","",'[3]سجل المستخلصات'!$X$19)</f>
        <v/>
      </c>
      <c r="U38" s="61">
        <f>IF('[3]سجل المستخلصات'!$Z$19="","",'[3]سجل المستخلصات'!$Z$19)</f>
        <v/>
      </c>
      <c r="V38" s="59">
        <f>IF('[3]سجل المستخلصات'!$AA$19="","",'[3]سجل المستخلصات'!$AA$19)</f>
        <v/>
      </c>
      <c r="W38" s="59">
        <f>IF('[3]سجل المستخلصات'!$AC$19="","",'[3]سجل المستخلصات'!$AC$19)</f>
        <v/>
      </c>
      <c r="X38" s="62">
        <f>IF('[3]سجل المستخلصات'!$AD$19="","",'[3]سجل المستخلصات'!$AD$19)</f>
        <v/>
      </c>
      <c r="Y38" s="58">
        <f>IF('[3]سجل المستخلصات'!$AE$19="","",'[3]سجل المستخلصات'!$AE$19)</f>
        <v/>
      </c>
    </row>
    <row r="39">
      <c r="B39" s="56" t="n">
        <v>15</v>
      </c>
      <c r="C39" s="57">
        <f>IF('[3]سجل المستخلصات'!$C$20="","",'[3]سجل المستخلصات'!$C$20)</f>
        <v/>
      </c>
      <c r="D39" s="57">
        <f>IF('[3]سجل المستخلصات'!$E$20="","",'[3]سجل المستخلصات'!$E$20)</f>
        <v/>
      </c>
      <c r="E39" s="58">
        <f>IF('[3]سجل المستخلصات'!$F$20="","",'[3]سجل المستخلصات'!$F$20)</f>
        <v/>
      </c>
      <c r="F39" s="59">
        <f>IF('[3]سجل المستخلصات'!$H$20="","",'[3]سجل المستخلصات'!$H$20)</f>
        <v/>
      </c>
      <c r="G39" s="59">
        <f>IF('[3]سجل المستخلصات'!$G$20="","",'[3]سجل المستخلصات'!$G$20)</f>
        <v/>
      </c>
      <c r="H39" s="59">
        <f>IF('[3]سجل المستخلصات'!$I$20="","",'[3]سجل المستخلصات'!$I$20)</f>
        <v/>
      </c>
      <c r="I39" s="59">
        <f>IF('[3]سجل المستخلصات'!$J$20="","",'[3]سجل المستخلصات'!$J$20)</f>
        <v/>
      </c>
      <c r="J39" s="59">
        <f>IF('[3]سجل المستخلصات'!$K$20="","",'[3]سجل المستخلصات'!$K$20)</f>
        <v/>
      </c>
      <c r="K39" s="60">
        <f>IF('[3]سجل المستخلصات'!$L$20="","",'[3]سجل المستخلصات'!$L$20)</f>
        <v/>
      </c>
      <c r="L39" s="60">
        <f>IF('[3]سجل المستخلصات'!$M$20="","",'[3]سجل المستخلصات'!$M$20)</f>
        <v/>
      </c>
      <c r="M39" s="60">
        <f>IF('[3]سجل المستخلصات'!$N$20="","",'[3]سجل المستخلصات'!$N$20)</f>
        <v/>
      </c>
      <c r="N39" s="59">
        <f>IF('[3]سجل المستخلصات'!$O$20="","",'[3]سجل المستخلصات'!$O$20)</f>
        <v/>
      </c>
      <c r="O39" s="59">
        <f>IF('[3]سجل المستخلصات'!$R$20="","",'[3]سجل المستخلصات'!$R$20)</f>
        <v/>
      </c>
      <c r="P39" s="59">
        <f>IF('[3]سجل المستخلصات'!$S$20="","",'[3]سجل المستخلصات'!$S$20)</f>
        <v/>
      </c>
      <c r="Q39" s="59">
        <f>IF('[3]سجل المستخلصات'!$T$20="","",'[3]سجل المستخلصات'!$T$20)</f>
        <v/>
      </c>
      <c r="R39" s="59">
        <f>IF('[3]سجل المستخلصات'!$V$20="","",'[3]سجل المستخلصات'!$V$20)</f>
        <v/>
      </c>
      <c r="S39" s="59">
        <f>IF('[3]سجل المستخلصات'!$W$20="","",'[3]سجل المستخلصات'!$W$20)</f>
        <v/>
      </c>
      <c r="T39" s="61">
        <f>IF('[3]سجل المستخلصات'!$X$20="","",'[3]سجل المستخلصات'!$X$20)</f>
        <v/>
      </c>
      <c r="U39" s="61">
        <f>IF('[3]سجل المستخلصات'!$Z$20="","",'[3]سجل المستخلصات'!$Z$20)</f>
        <v/>
      </c>
      <c r="V39" s="59">
        <f>IF('[3]سجل المستخلصات'!$AA$20="","",'[3]سجل المستخلصات'!$AA$20)</f>
        <v/>
      </c>
      <c r="W39" s="59">
        <f>IF('[3]سجل المستخلصات'!$AC$20="","",'[3]سجل المستخلصات'!$AC$20)</f>
        <v/>
      </c>
      <c r="X39" s="62">
        <f>IF('[3]سجل المستخلصات'!$AD$20="","",'[3]سجل المستخلصات'!$AD$20)</f>
        <v/>
      </c>
      <c r="Y39" s="58">
        <f>IF('[3]سجل المستخلصات'!$AE$20="","",'[3]سجل المستخلصات'!$AE$20)</f>
        <v/>
      </c>
    </row>
    <row r="40">
      <c r="B40" s="56" t="n">
        <v>16</v>
      </c>
      <c r="C40" s="57">
        <f>IF('[3]سجل المستخلصات'!$C$21="","",'[3]سجل المستخلصات'!$C$21)</f>
        <v/>
      </c>
      <c r="D40" s="57">
        <f>IF('[3]سجل المستخلصات'!$E$21="","",'[3]سجل المستخلصات'!$E$21)</f>
        <v/>
      </c>
      <c r="E40" s="58">
        <f>IF('[3]سجل المستخلصات'!$F$21="","",'[3]سجل المستخلصات'!$F$21)</f>
        <v/>
      </c>
      <c r="F40" s="59">
        <f>IF('[3]سجل المستخلصات'!$H$21="","",'[3]سجل المستخلصات'!$H$21)</f>
        <v/>
      </c>
      <c r="G40" s="59">
        <f>IF('[3]سجل المستخلصات'!$G$21="","",'[3]سجل المستخلصات'!$G$21)</f>
        <v/>
      </c>
      <c r="H40" s="59">
        <f>IF('[3]سجل المستخلصات'!$I$21="","",'[3]سجل المستخلصات'!$I$21)</f>
        <v/>
      </c>
      <c r="I40" s="59">
        <f>IF('[3]سجل المستخلصات'!$J$21="","",'[3]سجل المستخلصات'!$J$21)</f>
        <v/>
      </c>
      <c r="J40" s="59">
        <f>IF('[3]سجل المستخلصات'!$K$21="","",'[3]سجل المستخلصات'!$K$21)</f>
        <v/>
      </c>
      <c r="K40" s="60">
        <f>IF('[3]سجل المستخلصات'!$L$21="","",'[3]سجل المستخلصات'!$L$21)</f>
        <v/>
      </c>
      <c r="L40" s="60">
        <f>IF('[3]سجل المستخلصات'!$M$21="","",'[3]سجل المستخلصات'!$M$21)</f>
        <v/>
      </c>
      <c r="M40" s="60">
        <f>IF('[3]سجل المستخلصات'!$N$21="","",'[3]سجل المستخلصات'!$N$21)</f>
        <v/>
      </c>
      <c r="N40" s="59">
        <f>IF('[3]سجل المستخلصات'!$O$21="","",'[3]سجل المستخلصات'!$O$21)</f>
        <v/>
      </c>
      <c r="O40" s="59">
        <f>IF('[3]سجل المستخلصات'!$R$21="","",'[3]سجل المستخلصات'!$R$21)</f>
        <v/>
      </c>
      <c r="P40" s="59">
        <f>IF('[3]سجل المستخلصات'!$S$21="","",'[3]سجل المستخلصات'!$S$21)</f>
        <v/>
      </c>
      <c r="Q40" s="59">
        <f>IF('[3]سجل المستخلصات'!$T$21="","",'[3]سجل المستخلصات'!$T$21)</f>
        <v/>
      </c>
      <c r="R40" s="59">
        <f>IF('[3]سجل المستخلصات'!$V$21="","",'[3]سجل المستخلصات'!$V$21)</f>
        <v/>
      </c>
      <c r="S40" s="59">
        <f>IF('[3]سجل المستخلصات'!$W$21="","",'[3]سجل المستخلصات'!$W$21)</f>
        <v/>
      </c>
      <c r="T40" s="61">
        <f>IF('[3]سجل المستخلصات'!$X$21="","",'[3]سجل المستخلصات'!$X$21)</f>
        <v/>
      </c>
      <c r="U40" s="61">
        <f>IF('[3]سجل المستخلصات'!$Z$21="","",'[3]سجل المستخلصات'!$Z$21)</f>
        <v/>
      </c>
      <c r="V40" s="59">
        <f>IF('[3]سجل المستخلصات'!$AA$21="","",'[3]سجل المستخلصات'!$AA$21)</f>
        <v/>
      </c>
      <c r="W40" s="59">
        <f>IF('[3]سجل المستخلصات'!$AC$21="","",'[3]سجل المستخلصات'!$AC$21)</f>
        <v/>
      </c>
      <c r="X40" s="62">
        <f>IF('[3]سجل المستخلصات'!$AD$21="","",'[3]سجل المستخلصات'!$AD$21)</f>
        <v/>
      </c>
      <c r="Y40" s="58">
        <f>IF('[3]سجل المستخلصات'!$AE$21="","",'[3]سجل المستخلصات'!$AE$21)</f>
        <v/>
      </c>
    </row>
    <row r="41">
      <c r="B41" s="56" t="n">
        <v>17</v>
      </c>
      <c r="C41" s="57">
        <f>IF('[3]سجل المستخلصات'!$C$22="","",'[3]سجل المستخلصات'!$C$22)</f>
        <v/>
      </c>
      <c r="D41" s="57">
        <f>IF('[3]سجل المستخلصات'!$E$22="","",'[3]سجل المستخلصات'!$E$22)</f>
        <v/>
      </c>
      <c r="E41" s="58">
        <f>IF('[3]سجل المستخلصات'!$F$22="","",'[3]سجل المستخلصات'!$F$22)</f>
        <v/>
      </c>
      <c r="F41" s="59">
        <f>IF('[3]سجل المستخلصات'!$H$22="","",'[3]سجل المستخلصات'!$H$22)</f>
        <v/>
      </c>
      <c r="G41" s="59">
        <f>IF('[3]سجل المستخلصات'!$G$22="","",'[3]سجل المستخلصات'!$G$22)</f>
        <v/>
      </c>
      <c r="H41" s="59">
        <f>IF('[3]سجل المستخلصات'!$I$22="","",'[3]سجل المستخلصات'!$I$22)</f>
        <v/>
      </c>
      <c r="I41" s="59">
        <f>IF('[3]سجل المستخلصات'!$J$22="","",'[3]سجل المستخلصات'!$J$22)</f>
        <v/>
      </c>
      <c r="J41" s="59">
        <f>IF('[3]سجل المستخلصات'!$K$22="","",'[3]سجل المستخلصات'!$K$22)</f>
        <v/>
      </c>
      <c r="K41" s="60">
        <f>IF('[3]سجل المستخلصات'!$L$22="","",'[3]سجل المستخلصات'!$L$22)</f>
        <v/>
      </c>
      <c r="L41" s="60">
        <f>IF('[3]سجل المستخلصات'!$M$22="","",'[3]سجل المستخلصات'!$M$22)</f>
        <v/>
      </c>
      <c r="M41" s="60">
        <f>IF('[3]سجل المستخلصات'!$N$22="","",'[3]سجل المستخلصات'!$N$22)</f>
        <v/>
      </c>
      <c r="N41" s="59">
        <f>IF('[3]سجل المستخلصات'!$O$22="","",'[3]سجل المستخلصات'!$O$22)</f>
        <v/>
      </c>
      <c r="O41" s="59">
        <f>IF('[3]سجل المستخلصات'!$R$22="","",'[3]سجل المستخلصات'!$R$22)</f>
        <v/>
      </c>
      <c r="P41" s="59">
        <f>IF('[3]سجل المستخلصات'!$S$22="","",'[3]سجل المستخلصات'!$S$22)</f>
        <v/>
      </c>
      <c r="Q41" s="59">
        <f>IF('[3]سجل المستخلصات'!$T$22="","",'[3]سجل المستخلصات'!$T$22)</f>
        <v/>
      </c>
      <c r="R41" s="59">
        <f>IF('[3]سجل المستخلصات'!$V$22="","",'[3]سجل المستخلصات'!$V$22)</f>
        <v/>
      </c>
      <c r="S41" s="59">
        <f>IF('[3]سجل المستخلصات'!$W$22="","",'[3]سجل المستخلصات'!$W$22)</f>
        <v/>
      </c>
      <c r="T41" s="61">
        <f>IF('[3]سجل المستخلصات'!$X$22="","",'[3]سجل المستخلصات'!$X$22)</f>
        <v/>
      </c>
      <c r="U41" s="61">
        <f>IF('[3]سجل المستخلصات'!$Z$22="","",'[3]سجل المستخلصات'!$Z$22)</f>
        <v/>
      </c>
      <c r="V41" s="59">
        <f>IF('[3]سجل المستخلصات'!$AA$22="","",'[3]سجل المستخلصات'!$AA$22)</f>
        <v/>
      </c>
      <c r="W41" s="59">
        <f>IF('[3]سجل المستخلصات'!$AC$22="","",'[3]سجل المستخلصات'!$AC$22)</f>
        <v/>
      </c>
      <c r="X41" s="62">
        <f>IF('[3]سجل المستخلصات'!$AD$22="","",'[3]سجل المستخلصات'!$AD$22)</f>
        <v/>
      </c>
      <c r="Y41" s="58">
        <f>IF('[3]سجل المستخلصات'!$AE$22="","",'[3]سجل المستخلصات'!$AE$22)</f>
        <v/>
      </c>
    </row>
    <row r="42">
      <c r="B42" s="56" t="n">
        <v>18</v>
      </c>
      <c r="C42" s="57">
        <f>IF('[3]سجل المستخلصات'!$C$23="","",'[3]سجل المستخلصات'!$C$23)</f>
        <v/>
      </c>
      <c r="D42" s="57">
        <f>IF('[3]سجل المستخلصات'!$E$23="","",'[3]سجل المستخلصات'!$E$23)</f>
        <v/>
      </c>
      <c r="E42" s="58">
        <f>IF('[3]سجل المستخلصات'!$F$23="","",'[3]سجل المستخلصات'!$F$23)</f>
        <v/>
      </c>
      <c r="F42" s="59">
        <f>IF('[3]سجل المستخلصات'!$H$23="","",'[3]سجل المستخلصات'!$H$23)</f>
        <v/>
      </c>
      <c r="G42" s="59">
        <f>IF('[3]سجل المستخلصات'!$G$23="","",'[3]سجل المستخلصات'!$G$23)</f>
        <v/>
      </c>
      <c r="H42" s="59">
        <f>IF('[3]سجل المستخلصات'!$I$23="","",'[3]سجل المستخلصات'!$I$23)</f>
        <v/>
      </c>
      <c r="I42" s="59">
        <f>IF('[3]سجل المستخلصات'!$J$23="","",'[3]سجل المستخلصات'!$J$23)</f>
        <v/>
      </c>
      <c r="J42" s="59">
        <f>IF('[3]سجل المستخلصات'!$K$23="","",'[3]سجل المستخلصات'!$K$23)</f>
        <v/>
      </c>
      <c r="K42" s="60">
        <f>IF('[3]سجل المستخلصات'!$L$23="","",'[3]سجل المستخلصات'!$L$23)</f>
        <v/>
      </c>
      <c r="L42" s="60">
        <f>IF('[3]سجل المستخلصات'!$M$23="","",'[3]سجل المستخلصات'!$M$23)</f>
        <v/>
      </c>
      <c r="M42" s="60">
        <f>IF('[3]سجل المستخلصات'!$N$23="","",'[3]سجل المستخلصات'!$N$23)</f>
        <v/>
      </c>
      <c r="N42" s="59">
        <f>IF('[3]سجل المستخلصات'!$O$23="","",'[3]سجل المستخلصات'!$O$23)</f>
        <v/>
      </c>
      <c r="O42" s="59">
        <f>IF('[3]سجل المستخلصات'!$R$23="","",'[3]سجل المستخلصات'!$R$23)</f>
        <v/>
      </c>
      <c r="P42" s="59">
        <f>IF('[3]سجل المستخلصات'!$S$23="","",'[3]سجل المستخلصات'!$S$23)</f>
        <v/>
      </c>
      <c r="Q42" s="59">
        <f>IF('[3]سجل المستخلصات'!$T$23="","",'[3]سجل المستخلصات'!$T$23)</f>
        <v/>
      </c>
      <c r="R42" s="59">
        <f>IF('[3]سجل المستخلصات'!$V$23="","",'[3]سجل المستخلصات'!$V$23)</f>
        <v/>
      </c>
      <c r="S42" s="59">
        <f>IF('[3]سجل المستخلصات'!$W$23="","",'[3]سجل المستخلصات'!$W$23)</f>
        <v/>
      </c>
      <c r="T42" s="61">
        <f>IF('[3]سجل المستخلصات'!$X$23="","",'[3]سجل المستخلصات'!$X$23)</f>
        <v/>
      </c>
      <c r="U42" s="61">
        <f>IF('[3]سجل المستخلصات'!$Z$23="","",'[3]سجل المستخلصات'!$Z$23)</f>
        <v/>
      </c>
      <c r="V42" s="59">
        <f>IF('[3]سجل المستخلصات'!$AA$23="","",'[3]سجل المستخلصات'!$AA$23)</f>
        <v/>
      </c>
      <c r="W42" s="59">
        <f>IF('[3]سجل المستخلصات'!$AC$23="","",'[3]سجل المستخلصات'!$AC$23)</f>
        <v/>
      </c>
      <c r="X42" s="62">
        <f>IF('[3]سجل المستخلصات'!$AD$23="","",'[3]سجل المستخلصات'!$AD$23)</f>
        <v/>
      </c>
      <c r="Y42" s="58">
        <f>IF('[3]سجل المستخلصات'!$AE$23="","",'[3]سجل المستخلصات'!$AE$23)</f>
        <v/>
      </c>
    </row>
    <row r="43">
      <c r="B43" s="56" t="n">
        <v>19</v>
      </c>
      <c r="C43" s="57">
        <f>IF('[3]سجل المستخلصات'!$C$24="","",'[3]سجل المستخلصات'!$C$24)</f>
        <v/>
      </c>
      <c r="D43" s="57">
        <f>IF('[3]سجل المستخلصات'!$E$24="","",'[3]سجل المستخلصات'!$E$24)</f>
        <v/>
      </c>
      <c r="E43" s="58">
        <f>IF('[3]سجل المستخلصات'!$F$24="","",'[3]سجل المستخلصات'!$F$24)</f>
        <v/>
      </c>
      <c r="F43" s="59">
        <f>IF('[3]سجل المستخلصات'!$H$24="","",'[3]سجل المستخلصات'!$H$24)</f>
        <v/>
      </c>
      <c r="G43" s="59">
        <f>IF('[3]سجل المستخلصات'!$G$24="","",'[3]سجل المستخلصات'!$G$24)</f>
        <v/>
      </c>
      <c r="H43" s="59">
        <f>IF('[3]سجل المستخلصات'!$I$24="","",'[3]سجل المستخلصات'!$I$24)</f>
        <v/>
      </c>
      <c r="I43" s="59">
        <f>IF('[3]سجل المستخلصات'!$J$24="","",'[3]سجل المستخلصات'!$J$24)</f>
        <v/>
      </c>
      <c r="J43" s="59">
        <f>IF('[3]سجل المستخلصات'!$K$24="","",'[3]سجل المستخلصات'!$K$24)</f>
        <v/>
      </c>
      <c r="K43" s="60">
        <f>IF('[3]سجل المستخلصات'!$L$24="","",'[3]سجل المستخلصات'!$L$24)</f>
        <v/>
      </c>
      <c r="L43" s="60">
        <f>IF('[3]سجل المستخلصات'!$M$24="","",'[3]سجل المستخلصات'!$M$24)</f>
        <v/>
      </c>
      <c r="M43" s="60">
        <f>IF('[3]سجل المستخلصات'!$N$24="","",'[3]سجل المستخلصات'!$N$24)</f>
        <v/>
      </c>
      <c r="N43" s="59">
        <f>IF('[3]سجل المستخلصات'!$O$24="","",'[3]سجل المستخلصات'!$O$24)</f>
        <v/>
      </c>
      <c r="O43" s="59">
        <f>IF('[3]سجل المستخلصات'!$R$24="","",'[3]سجل المستخلصات'!$R$24)</f>
        <v/>
      </c>
      <c r="P43" s="59">
        <f>IF('[3]سجل المستخلصات'!$S$24="","",'[3]سجل المستخلصات'!$S$24)</f>
        <v/>
      </c>
      <c r="Q43" s="59">
        <f>IF('[3]سجل المستخلصات'!$T$24="","",'[3]سجل المستخلصات'!$T$24)</f>
        <v/>
      </c>
      <c r="R43" s="59">
        <f>IF('[3]سجل المستخلصات'!$V$24="","",'[3]سجل المستخلصات'!$V$24)</f>
        <v/>
      </c>
      <c r="S43" s="59">
        <f>IF('[3]سجل المستخلصات'!$W$24="","",'[3]سجل المستخلصات'!$W$24)</f>
        <v/>
      </c>
      <c r="T43" s="61">
        <f>IF('[3]سجل المستخلصات'!$X$24="","",'[3]سجل المستخلصات'!$X$24)</f>
        <v/>
      </c>
      <c r="U43" s="61">
        <f>IF('[3]سجل المستخلصات'!$Z$24="","",'[3]سجل المستخلصات'!$Z$24)</f>
        <v/>
      </c>
      <c r="V43" s="59">
        <f>IF('[3]سجل المستخلصات'!$AA$24="","",'[3]سجل المستخلصات'!$AA$24)</f>
        <v/>
      </c>
      <c r="W43" s="59">
        <f>IF('[3]سجل المستخلصات'!$AC$24="","",'[3]سجل المستخلصات'!$AC$24)</f>
        <v/>
      </c>
      <c r="X43" s="62">
        <f>IF('[3]سجل المستخلصات'!$AD$24="","",'[3]سجل المستخلصات'!$AD$24)</f>
        <v/>
      </c>
      <c r="Y43" s="58">
        <f>IF('[3]سجل المستخلصات'!$AE$24="","",'[3]سجل المستخلصات'!$AE$24)</f>
        <v/>
      </c>
    </row>
    <row r="44">
      <c r="B44" s="56" t="n">
        <v>20</v>
      </c>
      <c r="C44" s="57">
        <f>IF('[3]سجل المستخلصات'!$C$25="","",'[3]سجل المستخلصات'!$C$25)</f>
        <v/>
      </c>
      <c r="D44" s="57">
        <f>IF('[3]سجل المستخلصات'!$E$25="","",'[3]سجل المستخلصات'!$E$25)</f>
        <v/>
      </c>
      <c r="E44" s="58">
        <f>IF('[3]سجل المستخلصات'!$F$25="","",'[3]سجل المستخلصات'!$F$25)</f>
        <v/>
      </c>
      <c r="F44" s="59">
        <f>IF('[3]سجل المستخلصات'!$H$25="","",'[3]سجل المستخلصات'!$H$25)</f>
        <v/>
      </c>
      <c r="G44" s="59">
        <f>IF('[3]سجل المستخلصات'!$G$25="","",'[3]سجل المستخلصات'!$G$25)</f>
        <v/>
      </c>
      <c r="H44" s="59">
        <f>IF('[3]سجل المستخلصات'!$I$25="","",'[3]سجل المستخلصات'!$I$25)</f>
        <v/>
      </c>
      <c r="I44" s="59">
        <f>IF('[3]سجل المستخلصات'!$J$25="","",'[3]سجل المستخلصات'!$J$25)</f>
        <v/>
      </c>
      <c r="J44" s="59">
        <f>IF('[3]سجل المستخلصات'!$K$25="","",'[3]سجل المستخلصات'!$K$25)</f>
        <v/>
      </c>
      <c r="K44" s="60">
        <f>IF('[3]سجل المستخلصات'!$L$25="","",'[3]سجل المستخلصات'!$L$25)</f>
        <v/>
      </c>
      <c r="L44" s="60">
        <f>IF('[3]سجل المستخلصات'!$M$25="","",'[3]سجل المستخلصات'!$M$25)</f>
        <v/>
      </c>
      <c r="M44" s="60">
        <f>IF('[3]سجل المستخلصات'!$N$25="","",'[3]سجل المستخلصات'!$N$25)</f>
        <v/>
      </c>
      <c r="N44" s="59">
        <f>IF('[3]سجل المستخلصات'!$O$25="","",'[3]سجل المستخلصات'!$O$25)</f>
        <v/>
      </c>
      <c r="O44" s="59">
        <f>IF('[3]سجل المستخلصات'!$R$25="","",'[3]سجل المستخلصات'!$R$25)</f>
        <v/>
      </c>
      <c r="P44" s="59">
        <f>IF('[3]سجل المستخلصات'!$S$25="","",'[3]سجل المستخلصات'!$S$25)</f>
        <v/>
      </c>
      <c r="Q44" s="59">
        <f>IF('[3]سجل المستخلصات'!$T$25="","",'[3]سجل المستخلصات'!$T$25)</f>
        <v/>
      </c>
      <c r="R44" s="59">
        <f>IF('[3]سجل المستخلصات'!$V$25="","",'[3]سجل المستخلصات'!$V$25)</f>
        <v/>
      </c>
      <c r="S44" s="59">
        <f>IF('[3]سجل المستخلصات'!$W$25="","",'[3]سجل المستخلصات'!$W$25)</f>
        <v/>
      </c>
      <c r="T44" s="61">
        <f>IF('[3]سجل المستخلصات'!$X$25="","",'[3]سجل المستخلصات'!$X$25)</f>
        <v/>
      </c>
      <c r="U44" s="61">
        <f>IF('[3]سجل المستخلصات'!$Z$25="","",'[3]سجل المستخلصات'!$Z$25)</f>
        <v/>
      </c>
      <c r="V44" s="59">
        <f>IF('[3]سجل المستخلصات'!$AA$25="","",'[3]سجل المستخلصات'!$AA$25)</f>
        <v/>
      </c>
      <c r="W44" s="59">
        <f>IF('[3]سجل المستخلصات'!$AC$25="","",'[3]سجل المستخلصات'!$AC$25)</f>
        <v/>
      </c>
      <c r="X44" s="62">
        <f>IF('[3]سجل المستخلصات'!$AD$25="","",'[3]سجل المستخلصات'!$AD$25)</f>
        <v/>
      </c>
      <c r="Y44" s="58">
        <f>IF('[3]سجل المستخلصات'!$AE$25="","",'[3]سجل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IF('[3]سجل المستخلصات'!$B$32="","",'[3]سجل المستخلصات'!$B$32)</f>
        <v/>
      </c>
      <c r="C50" s="69" t="n"/>
      <c r="D50" s="69" t="n"/>
      <c r="E50" s="59">
        <f>N('[3]سجل المستخلصات'!$E$32)</f>
        <v/>
      </c>
      <c r="F50" s="59">
        <f>N('[3]سجل المستخلصات'!$F$32)</f>
        <v/>
      </c>
      <c r="G50" s="70">
        <f>IF(E50&gt;0,F50/E50,0)</f>
        <v/>
      </c>
    </row>
    <row r="51">
      <c r="B51" s="69">
        <f>IF('[3]سجل المستخلصات'!$B$33="","",'[3]سجل المستخلصات'!$B$33)</f>
        <v/>
      </c>
      <c r="C51" s="69" t="n"/>
      <c r="D51" s="69" t="n"/>
      <c r="E51" s="59">
        <f>N('[3]سجل المستخلصات'!$E$33)</f>
        <v/>
      </c>
      <c r="F51" s="59">
        <f>N('[3]سجل المستخلصات'!$F$33)</f>
        <v/>
      </c>
      <c r="G51" s="70">
        <f>IF(E51&gt;0,F51/E51,0)</f>
        <v/>
      </c>
    </row>
    <row r="52">
      <c r="B52" s="69">
        <f>IF('[3]سجل المستخلصات'!$B$34="","",'[3]سجل المستخلصات'!$B$34)</f>
        <v/>
      </c>
      <c r="C52" s="69" t="n"/>
      <c r="D52" s="69" t="n"/>
      <c r="E52" s="59">
        <f>N('[3]سجل المستخلصات'!$E$34)</f>
        <v/>
      </c>
      <c r="F52" s="59">
        <f>N('[3]سجل المستخلصات'!$F$34)</f>
        <v/>
      </c>
      <c r="G52" s="70">
        <f>IF(E52&gt;0,F52/E52,0)</f>
        <v/>
      </c>
    </row>
    <row r="53">
      <c r="B53" s="69">
        <f>IF('[3]سجل المستخلصات'!$B$35="","",'[3]سجل المستخلصات'!$B$35)</f>
        <v/>
      </c>
      <c r="C53" s="69" t="n"/>
      <c r="D53" s="69" t="n"/>
      <c r="E53" s="59">
        <f>N('[3]سجل المستخلصات'!$E$35)</f>
        <v/>
      </c>
      <c r="F53" s="59">
        <f>N('[3]سجل المستخلصات'!$F$35)</f>
        <v/>
      </c>
      <c r="G53" s="70">
        <f>IF(E53&gt;0,F53/E53,0)</f>
        <v/>
      </c>
    </row>
    <row r="54">
      <c r="B54" s="69">
        <f>IF('[3]سجل المستخلصات'!$B$36="","",'[3]سجل المستخلصات'!$B$36)</f>
        <v/>
      </c>
      <c r="C54" s="69" t="n"/>
      <c r="D54" s="69" t="n"/>
      <c r="E54" s="59">
        <f>N('[3]سجل المستخلصات'!$E$36)</f>
        <v/>
      </c>
      <c r="F54" s="59">
        <f>N('[3]سجل المستخلصات'!$F$36)</f>
        <v/>
      </c>
      <c r="G54" s="70">
        <f>IF(E54&gt;0,F54/E54,0)</f>
        <v/>
      </c>
    </row>
    <row r="55">
      <c r="B55" s="69">
        <f>IF('[3]سجل المستخلصات'!$B$37="","",'[3]سجل المستخلصات'!$B$37)</f>
        <v/>
      </c>
      <c r="C55" s="69" t="n"/>
      <c r="D55" s="69" t="n"/>
      <c r="E55" s="59">
        <f>N('[3]سجل المستخلصات'!$E$37)</f>
        <v/>
      </c>
      <c r="F55" s="59">
        <f>N('[3]سجل المستخلصات'!$F$37)</f>
        <v/>
      </c>
      <c r="G55" s="70">
        <f>IF(E55&gt;0,F55/E55,0)</f>
        <v/>
      </c>
    </row>
    <row r="56">
      <c r="B56" s="69">
        <f>IF('[3]سجل المستخلصات'!$B$38="","",'[3]سجل المستخلصات'!$B$38)</f>
        <v/>
      </c>
      <c r="C56" s="69" t="n"/>
      <c r="D56" s="69" t="n"/>
      <c r="E56" s="59">
        <f>N('[3]سجل المستخلصات'!$E$38)</f>
        <v/>
      </c>
      <c r="F56" s="59">
        <f>N('[3]سجل المستخلصات'!$F$38)</f>
        <v/>
      </c>
      <c r="G56" s="70">
        <f>IF(E56&gt;0,F56/E56,0)</f>
        <v/>
      </c>
    </row>
    <row r="57">
      <c r="B57" s="69">
        <f>IF('[3]سجل المستخلصات'!$B$39="","",'[3]سجل المستخلصات'!$B$39)</f>
        <v/>
      </c>
      <c r="C57" s="69" t="n"/>
      <c r="D57" s="69" t="n"/>
      <c r="E57" s="59">
        <f>N('[3]سجل المستخلصات'!$E$39)</f>
        <v/>
      </c>
      <c r="F57" s="59">
        <f>N('[3]سجل المستخلصات'!$F$39)</f>
        <v/>
      </c>
      <c r="G57" s="70">
        <f>IF(E57&gt;0,F57/E57,0)</f>
        <v/>
      </c>
    </row>
    <row r="58">
      <c r="B58" s="69">
        <f>IF('[3]سجل المستخلصات'!$B$40="","",'[3]سجل المستخلصات'!$B$40)</f>
        <v/>
      </c>
      <c r="C58" s="69" t="n"/>
      <c r="D58" s="69" t="n"/>
      <c r="E58" s="59">
        <f>N('[3]سجل المستخلصات'!$E$40)</f>
        <v/>
      </c>
      <c r="F58" s="59">
        <f>N('[3]سجل المستخلصات'!$F$40)</f>
        <v/>
      </c>
      <c r="G58" s="70">
        <f>IF(E58&gt;0,F58/E58,0)</f>
        <v/>
      </c>
    </row>
    <row r="59">
      <c r="B59" s="69">
        <f>IF('[3]سجل المستخلصات'!$B$41="","",'[3]سجل المستخلصات'!$B$41)</f>
        <v/>
      </c>
      <c r="C59" s="69" t="n"/>
      <c r="D59" s="69" t="n"/>
      <c r="E59" s="59">
        <f>N('[3]سجل المستخلصات'!$E$41)</f>
        <v/>
      </c>
      <c r="F59" s="59">
        <f>N('[3]سجل المستخلصات'!$F$41)</f>
        <v/>
      </c>
      <c r="G59" s="70">
        <f>IF(E59&gt;0,F59/E59,0)</f>
        <v/>
      </c>
    </row>
    <row r="60">
      <c r="B60" s="69">
        <f>IF('[3]سجل المستخلصات'!$B$42="","",'[3]سجل المستخلصات'!$B$42)</f>
        <v/>
      </c>
      <c r="C60" s="69" t="n"/>
      <c r="D60" s="69" t="n"/>
      <c r="E60" s="59">
        <f>N('[3]سجل المستخلصات'!$E$42)</f>
        <v/>
      </c>
      <c r="F60" s="59">
        <f>N('[3]سجل المستخلصات'!$F$42)</f>
        <v/>
      </c>
      <c r="G60" s="70">
        <f>IF(E60&gt;0,F60/E60,0)</f>
        <v/>
      </c>
    </row>
    <row r="61">
      <c r="B61" s="69">
        <f>IF('[3]سجل المستخلصات'!$B$43="","",'[3]سجل المستخلصات'!$B$43)</f>
        <v/>
      </c>
      <c r="C61" s="69" t="n"/>
      <c r="D61" s="69" t="n"/>
      <c r="E61" s="59">
        <f>N('[3]سجل المستخلصات'!$E$43)</f>
        <v/>
      </c>
      <c r="F61" s="59">
        <f>N('[3]سجل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02'!A1" display="◄ المشروع السابق"/>
    <hyperlink ref="D3" location="'مشروع 04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"&amp;IF('[4]بيانات العقد'!$C$5="","مشروع رقم 04 — غير مُفعّل",'[4]بيانات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Project_04/IPC_Project_04.xlsx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IF('[4]بيانات العقد'!$C$5="","",'[4]بيانات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IF('[4]بيانات العقد'!$C$6="","",'[4]بيانات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IF('[4]بيانات العقد'!$C$7="","",'[4]بيانات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IF('[4]بيانات العقد'!$C$8="","",'[4]بيانات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N('[4]بيانات العقد'!$C$16)</f>
        <v/>
      </c>
    </row>
    <row r="6" ht="22" customHeight="1">
      <c r="B6" s="11" t="inlineStr">
        <is>
          <t>المقاول</t>
        </is>
      </c>
      <c r="C6" s="14">
        <f>IF('[4]بيانات العقد'!$C$9="","",'[4]بيانات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IF('[4]بيانات العقد'!$C$11="","",'[4]بيانات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IF('[4]بيانات العقد'!$C$13="","",'[4]بيانات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IF('[4]بيانات العقد'!$C$14="","",'[4]بيانات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N('[4]بيانات العقد'!$C$17)</f>
        <v/>
      </c>
    </row>
    <row r="7">
      <c r="AA7" s="15" t="inlineStr">
        <is>
          <t>قيمة العقد المعدلة</t>
        </is>
      </c>
      <c r="AB7" s="16">
        <f>N('[4]بيانات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N('[4]بيانات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N('[4]بيانات العقد'!$C$21)</f>
        <v/>
      </c>
    </row>
    <row r="10">
      <c r="AA10" s="15" t="inlineStr">
        <is>
          <t>نسبة ضمان الأعمال</t>
        </is>
      </c>
      <c r="AB10" s="23">
        <f>N('[4]بيانات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N('[4]بيانات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N('[4]بيانات العقد'!$C$31)</f>
        <v/>
      </c>
    </row>
    <row r="13">
      <c r="AA13" s="15" t="inlineStr">
        <is>
          <t>ضريبة الاستقطاع (غير المقيم)</t>
        </is>
      </c>
      <c r="AB13" s="23">
        <f>N('[4]بيانات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IF('[4]بيانات العقد'!$C$11="","",'[4]بيانات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IF('[4]بيانات العقد'!$C$13="","",'[4]بيانات العقد'!$C$13)</f>
        <v/>
      </c>
    </row>
    <row r="16">
      <c r="AA16" s="15" t="inlineStr">
        <is>
          <t>المدة (شهر)</t>
        </is>
      </c>
      <c r="AB16" s="43">
        <f>IF('[4]بيانات العقد'!$C$12="","",'[4]بيانات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IF('[4]بيانات العقد'!$C$36="","",'[4]بيانات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IF('[4]بيانات العقد'!$C$37="","",'[4]بيانات العقد'!$C$37)</f>
        <v/>
      </c>
    </row>
    <row r="19">
      <c r="AA19" s="15" t="inlineStr">
        <is>
          <t>الرقم الضريبي لصاحب العمل</t>
        </is>
      </c>
      <c r="AB19" s="48">
        <f>IF('[4]بيانات العقد'!$C$39="","",'[4]بيانات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IF('[4]بيانات العقد'!$C$42="","",'[4]بيانات العقد'!$C$42)</f>
        <v/>
      </c>
    </row>
    <row r="21" ht="32" customHeight="1">
      <c r="B21" s="50">
        <f>N('[4]الموازنة والتكاليف'!$D$66)</f>
        <v/>
      </c>
      <c r="C21" s="50" t="n"/>
      <c r="D21" s="50" t="n"/>
      <c r="E21" s="50" t="n"/>
      <c r="F21" s="50">
        <f>N('[4]الموازنة والتكاليف'!$D$70)</f>
        <v/>
      </c>
      <c r="G21" s="50" t="n"/>
      <c r="H21" s="50" t="n"/>
      <c r="I21" s="50" t="n"/>
      <c r="J21" s="50">
        <f>N('[4]الموازنة والتكاليف'!$D$72)</f>
        <v/>
      </c>
      <c r="K21" s="50" t="n"/>
      <c r="L21" s="50" t="n"/>
      <c r="M21" s="50" t="n"/>
      <c r="N21" s="51">
        <f>N('[4]الموازنة والتكاليف'!$D$73)</f>
        <v/>
      </c>
      <c r="O21" s="51" t="n"/>
      <c r="P21" s="51" t="n"/>
      <c r="Q21" s="51" t="n"/>
      <c r="R21" s="52">
        <f>N('[4]الموازنة والتكاليف'!$D$74)</f>
        <v/>
      </c>
      <c r="S21" s="52" t="n"/>
      <c r="T21" s="52" t="n"/>
      <c r="U21" s="52" t="n"/>
      <c r="V21" s="50">
        <f>N('[4]الموازنة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IF('[4]بيانات العقد'!$C$43="","",'[4]بيانات العقد'!$C$43)</f>
        <v/>
      </c>
    </row>
    <row r="22">
      <c r="AA22" s="15" t="inlineStr">
        <is>
          <t>حالة غرامات التأخير</t>
        </is>
      </c>
      <c r="AB22" s="45">
        <f>IF('[4]بيانات العقد'!$C$47="","",'[4]بيانات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IF('[4]سجل المستخلصات'!$C$6="","",'[4]سجل المستخلصات'!$C$6)</f>
        <v/>
      </c>
      <c r="D25" s="57">
        <f>IF('[4]سجل المستخلصات'!$E$6="","",'[4]سجل المستخلصات'!$E$6)</f>
        <v/>
      </c>
      <c r="E25" s="58">
        <f>IF('[4]سجل المستخلصات'!$F$6="","",'[4]سجل المستخلصات'!$F$6)</f>
        <v/>
      </c>
      <c r="F25" s="59">
        <f>IF('[4]سجل المستخلصات'!$H$6="","",'[4]سجل المستخلصات'!$H$6)</f>
        <v/>
      </c>
      <c r="G25" s="59">
        <f>IF('[4]سجل المستخلصات'!$G$6="","",'[4]سجل المستخلصات'!$G$6)</f>
        <v/>
      </c>
      <c r="H25" s="59">
        <f>IF('[4]سجل المستخلصات'!$I$6="","",'[4]سجل المستخلصات'!$I$6)</f>
        <v/>
      </c>
      <c r="I25" s="59">
        <f>IF('[4]سجل المستخلصات'!$J$6="","",'[4]سجل المستخلصات'!$J$6)</f>
        <v/>
      </c>
      <c r="J25" s="59">
        <f>IF('[4]سجل المستخلصات'!$K$6="","",'[4]سجل المستخلصات'!$K$6)</f>
        <v/>
      </c>
      <c r="K25" s="60">
        <f>IF('[4]سجل المستخلصات'!$L$6="","",'[4]سجل المستخلصات'!$L$6)</f>
        <v/>
      </c>
      <c r="L25" s="60">
        <f>IF('[4]سجل المستخلصات'!$M$6="","",'[4]سجل المستخلصات'!$M$6)</f>
        <v/>
      </c>
      <c r="M25" s="60">
        <f>IF('[4]سجل المستخلصات'!$N$6="","",'[4]سجل المستخلصات'!$N$6)</f>
        <v/>
      </c>
      <c r="N25" s="59">
        <f>IF('[4]سجل المستخلصات'!$O$6="","",'[4]سجل المستخلصات'!$O$6)</f>
        <v/>
      </c>
      <c r="O25" s="59">
        <f>IF('[4]سجل المستخلصات'!$R$6="","",'[4]سجل المستخلصات'!$R$6)</f>
        <v/>
      </c>
      <c r="P25" s="59">
        <f>IF('[4]سجل المستخلصات'!$S$6="","",'[4]سجل المستخلصات'!$S$6)</f>
        <v/>
      </c>
      <c r="Q25" s="59">
        <f>IF('[4]سجل المستخلصات'!$T$6="","",'[4]سجل المستخلصات'!$T$6)</f>
        <v/>
      </c>
      <c r="R25" s="59">
        <f>IF('[4]سجل المستخلصات'!$V$6="","",'[4]سجل المستخلصات'!$V$6)</f>
        <v/>
      </c>
      <c r="S25" s="59">
        <f>IF('[4]سجل المستخلصات'!$W$6="","",'[4]سجل المستخلصات'!$W$6)</f>
        <v/>
      </c>
      <c r="T25" s="61">
        <f>IF('[4]سجل المستخلصات'!$X$6="","",'[4]سجل المستخلصات'!$X$6)</f>
        <v/>
      </c>
      <c r="U25" s="61">
        <f>IF('[4]سجل المستخلصات'!$Z$6="","",'[4]سجل المستخلصات'!$Z$6)</f>
        <v/>
      </c>
      <c r="V25" s="59">
        <f>IF('[4]سجل المستخلصات'!$AA$6="","",'[4]سجل المستخلصات'!$AA$6)</f>
        <v/>
      </c>
      <c r="W25" s="59">
        <f>IF('[4]سجل المستخلصات'!$AC$6="","",'[4]سجل المستخلصات'!$AC$6)</f>
        <v/>
      </c>
      <c r="X25" s="62">
        <f>IF('[4]سجل المستخلصات'!$AD$6="","",'[4]سجل المستخلصات'!$AD$6)</f>
        <v/>
      </c>
      <c r="Y25" s="58">
        <f>IF('[4]سجل المستخلصات'!$AE$6="","",'[4]سجل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IF('[4]سجل المستخلصات'!$C$7="","",'[4]سجل المستخلصات'!$C$7)</f>
        <v/>
      </c>
      <c r="D26" s="57">
        <f>IF('[4]سجل المستخلصات'!$E$7="","",'[4]سجل المستخلصات'!$E$7)</f>
        <v/>
      </c>
      <c r="E26" s="58">
        <f>IF('[4]سجل المستخلصات'!$F$7="","",'[4]سجل المستخلصات'!$F$7)</f>
        <v/>
      </c>
      <c r="F26" s="59">
        <f>IF('[4]سجل المستخلصات'!$H$7="","",'[4]سجل المستخلصات'!$H$7)</f>
        <v/>
      </c>
      <c r="G26" s="59">
        <f>IF('[4]سجل المستخلصات'!$G$7="","",'[4]سجل المستخلصات'!$G$7)</f>
        <v/>
      </c>
      <c r="H26" s="59">
        <f>IF('[4]سجل المستخلصات'!$I$7="","",'[4]سجل المستخلصات'!$I$7)</f>
        <v/>
      </c>
      <c r="I26" s="59">
        <f>IF('[4]سجل المستخلصات'!$J$7="","",'[4]سجل المستخلصات'!$J$7)</f>
        <v/>
      </c>
      <c r="J26" s="59">
        <f>IF('[4]سجل المستخلصات'!$K$7="","",'[4]سجل المستخلصات'!$K$7)</f>
        <v/>
      </c>
      <c r="K26" s="60">
        <f>IF('[4]سجل المستخلصات'!$L$7="","",'[4]سجل المستخلصات'!$L$7)</f>
        <v/>
      </c>
      <c r="L26" s="60">
        <f>IF('[4]سجل المستخلصات'!$M$7="","",'[4]سجل المستخلصات'!$M$7)</f>
        <v/>
      </c>
      <c r="M26" s="60">
        <f>IF('[4]سجل المستخلصات'!$N$7="","",'[4]سجل المستخلصات'!$N$7)</f>
        <v/>
      </c>
      <c r="N26" s="59">
        <f>IF('[4]سجل المستخلصات'!$O$7="","",'[4]سجل المستخلصات'!$O$7)</f>
        <v/>
      </c>
      <c r="O26" s="59">
        <f>IF('[4]سجل المستخلصات'!$R$7="","",'[4]سجل المستخلصات'!$R$7)</f>
        <v/>
      </c>
      <c r="P26" s="59">
        <f>IF('[4]سجل المستخلصات'!$S$7="","",'[4]سجل المستخلصات'!$S$7)</f>
        <v/>
      </c>
      <c r="Q26" s="59">
        <f>IF('[4]سجل المستخلصات'!$T$7="","",'[4]سجل المستخلصات'!$T$7)</f>
        <v/>
      </c>
      <c r="R26" s="59">
        <f>IF('[4]سجل المستخلصات'!$V$7="","",'[4]سجل المستخلصات'!$V$7)</f>
        <v/>
      </c>
      <c r="S26" s="59">
        <f>IF('[4]سجل المستخلصات'!$W$7="","",'[4]سجل المستخلصات'!$W$7)</f>
        <v/>
      </c>
      <c r="T26" s="61">
        <f>IF('[4]سجل المستخلصات'!$X$7="","",'[4]سجل المستخلصات'!$X$7)</f>
        <v/>
      </c>
      <c r="U26" s="61">
        <f>IF('[4]سجل المستخلصات'!$Z$7="","",'[4]سجل المستخلصات'!$Z$7)</f>
        <v/>
      </c>
      <c r="V26" s="59">
        <f>IF('[4]سجل المستخلصات'!$AA$7="","",'[4]سجل المستخلصات'!$AA$7)</f>
        <v/>
      </c>
      <c r="W26" s="59">
        <f>IF('[4]سجل المستخلصات'!$AC$7="","",'[4]سجل المستخلصات'!$AC$7)</f>
        <v/>
      </c>
      <c r="X26" s="62">
        <f>IF('[4]سجل المستخلصات'!$AD$7="","",'[4]سجل المستخلصات'!$AD$7)</f>
        <v/>
      </c>
      <c r="Y26" s="58">
        <f>IF('[4]سجل المستخلصات'!$AE$7="","",'[4]سجل المستخلصات'!$AE$7)</f>
        <v/>
      </c>
      <c r="AA26" s="63" t="n"/>
      <c r="AB26" s="63" t="n"/>
    </row>
    <row r="27">
      <c r="B27" s="56" t="n">
        <v>3</v>
      </c>
      <c r="C27" s="57">
        <f>IF('[4]سجل المستخلصات'!$C$8="","",'[4]سجل المستخلصات'!$C$8)</f>
        <v/>
      </c>
      <c r="D27" s="57">
        <f>IF('[4]سجل المستخلصات'!$E$8="","",'[4]سجل المستخلصات'!$E$8)</f>
        <v/>
      </c>
      <c r="E27" s="58">
        <f>IF('[4]سجل المستخلصات'!$F$8="","",'[4]سجل المستخلصات'!$F$8)</f>
        <v/>
      </c>
      <c r="F27" s="59">
        <f>IF('[4]سجل المستخلصات'!$H$8="","",'[4]سجل المستخلصات'!$H$8)</f>
        <v/>
      </c>
      <c r="G27" s="59">
        <f>IF('[4]سجل المستخلصات'!$G$8="","",'[4]سجل المستخلصات'!$G$8)</f>
        <v/>
      </c>
      <c r="H27" s="59">
        <f>IF('[4]سجل المستخلصات'!$I$8="","",'[4]سجل المستخلصات'!$I$8)</f>
        <v/>
      </c>
      <c r="I27" s="59">
        <f>IF('[4]سجل المستخلصات'!$J$8="","",'[4]سجل المستخلصات'!$J$8)</f>
        <v/>
      </c>
      <c r="J27" s="59">
        <f>IF('[4]سجل المستخلصات'!$K$8="","",'[4]سجل المستخلصات'!$K$8)</f>
        <v/>
      </c>
      <c r="K27" s="60">
        <f>IF('[4]سجل المستخلصات'!$L$8="","",'[4]سجل المستخلصات'!$L$8)</f>
        <v/>
      </c>
      <c r="L27" s="60">
        <f>IF('[4]سجل المستخلصات'!$M$8="","",'[4]سجل المستخلصات'!$M$8)</f>
        <v/>
      </c>
      <c r="M27" s="60">
        <f>IF('[4]سجل المستخلصات'!$N$8="","",'[4]سجل المستخلصات'!$N$8)</f>
        <v/>
      </c>
      <c r="N27" s="59">
        <f>IF('[4]سجل المستخلصات'!$O$8="","",'[4]سجل المستخلصات'!$O$8)</f>
        <v/>
      </c>
      <c r="O27" s="59">
        <f>IF('[4]سجل المستخلصات'!$R$8="","",'[4]سجل المستخلصات'!$R$8)</f>
        <v/>
      </c>
      <c r="P27" s="59">
        <f>IF('[4]سجل المستخلصات'!$S$8="","",'[4]سجل المستخلصات'!$S$8)</f>
        <v/>
      </c>
      <c r="Q27" s="59">
        <f>IF('[4]سجل المستخلصات'!$T$8="","",'[4]سجل المستخلصات'!$T$8)</f>
        <v/>
      </c>
      <c r="R27" s="59">
        <f>IF('[4]سجل المستخلصات'!$V$8="","",'[4]سجل المستخلصات'!$V$8)</f>
        <v/>
      </c>
      <c r="S27" s="59">
        <f>IF('[4]سجل المستخلصات'!$W$8="","",'[4]سجل المستخلصات'!$W$8)</f>
        <v/>
      </c>
      <c r="T27" s="61">
        <f>IF('[4]سجل المستخلصات'!$X$8="","",'[4]سجل المستخلصات'!$X$8)</f>
        <v/>
      </c>
      <c r="U27" s="61">
        <f>IF('[4]سجل المستخلصات'!$Z$8="","",'[4]سجل المستخلصات'!$Z$8)</f>
        <v/>
      </c>
      <c r="V27" s="59">
        <f>IF('[4]سجل المستخلصات'!$AA$8="","",'[4]سجل المستخلصات'!$AA$8)</f>
        <v/>
      </c>
      <c r="W27" s="59">
        <f>IF('[4]سجل المستخلصات'!$AC$8="","",'[4]سجل المستخلصات'!$AC$8)</f>
        <v/>
      </c>
      <c r="X27" s="62">
        <f>IF('[4]سجل المستخلصات'!$AD$8="","",'[4]سجل المستخلصات'!$AD$8)</f>
        <v/>
      </c>
      <c r="Y27" s="58">
        <f>IF('[4]سجل المستخلصات'!$AE$8="","",'[4]سجل المستخلصات'!$AE$8)</f>
        <v/>
      </c>
      <c r="AA27" s="63" t="n"/>
      <c r="AB27" s="63" t="n"/>
    </row>
    <row r="28">
      <c r="B28" s="56" t="n">
        <v>4</v>
      </c>
      <c r="C28" s="57">
        <f>IF('[4]سجل المستخلصات'!$C$9="","",'[4]سجل المستخلصات'!$C$9)</f>
        <v/>
      </c>
      <c r="D28" s="57">
        <f>IF('[4]سجل المستخلصات'!$E$9="","",'[4]سجل المستخلصات'!$E$9)</f>
        <v/>
      </c>
      <c r="E28" s="58">
        <f>IF('[4]سجل المستخلصات'!$F$9="","",'[4]سجل المستخلصات'!$F$9)</f>
        <v/>
      </c>
      <c r="F28" s="59">
        <f>IF('[4]سجل المستخلصات'!$H$9="","",'[4]سجل المستخلصات'!$H$9)</f>
        <v/>
      </c>
      <c r="G28" s="59">
        <f>IF('[4]سجل المستخلصات'!$G$9="","",'[4]سجل المستخلصات'!$G$9)</f>
        <v/>
      </c>
      <c r="H28" s="59">
        <f>IF('[4]سجل المستخلصات'!$I$9="","",'[4]سجل المستخلصات'!$I$9)</f>
        <v/>
      </c>
      <c r="I28" s="59">
        <f>IF('[4]سجل المستخلصات'!$J$9="","",'[4]سجل المستخلصات'!$J$9)</f>
        <v/>
      </c>
      <c r="J28" s="59">
        <f>IF('[4]سجل المستخلصات'!$K$9="","",'[4]سجل المستخلصات'!$K$9)</f>
        <v/>
      </c>
      <c r="K28" s="60">
        <f>IF('[4]سجل المستخلصات'!$L$9="","",'[4]سجل المستخلصات'!$L$9)</f>
        <v/>
      </c>
      <c r="L28" s="60">
        <f>IF('[4]سجل المستخلصات'!$M$9="","",'[4]سجل المستخلصات'!$M$9)</f>
        <v/>
      </c>
      <c r="M28" s="60">
        <f>IF('[4]سجل المستخلصات'!$N$9="","",'[4]سجل المستخلصات'!$N$9)</f>
        <v/>
      </c>
      <c r="N28" s="59">
        <f>IF('[4]سجل المستخلصات'!$O$9="","",'[4]سجل المستخلصات'!$O$9)</f>
        <v/>
      </c>
      <c r="O28" s="59">
        <f>IF('[4]سجل المستخلصات'!$R$9="","",'[4]سجل المستخلصات'!$R$9)</f>
        <v/>
      </c>
      <c r="P28" s="59">
        <f>IF('[4]سجل المستخلصات'!$S$9="","",'[4]سجل المستخلصات'!$S$9)</f>
        <v/>
      </c>
      <c r="Q28" s="59">
        <f>IF('[4]سجل المستخلصات'!$T$9="","",'[4]سجل المستخلصات'!$T$9)</f>
        <v/>
      </c>
      <c r="R28" s="59">
        <f>IF('[4]سجل المستخلصات'!$V$9="","",'[4]سجل المستخلصات'!$V$9)</f>
        <v/>
      </c>
      <c r="S28" s="59">
        <f>IF('[4]سجل المستخلصات'!$W$9="","",'[4]سجل المستخلصات'!$W$9)</f>
        <v/>
      </c>
      <c r="T28" s="61">
        <f>IF('[4]سجل المستخلصات'!$X$9="","",'[4]سجل المستخلصات'!$X$9)</f>
        <v/>
      </c>
      <c r="U28" s="61">
        <f>IF('[4]سجل المستخلصات'!$Z$9="","",'[4]سجل المستخلصات'!$Z$9)</f>
        <v/>
      </c>
      <c r="V28" s="59">
        <f>IF('[4]سجل المستخلصات'!$AA$9="","",'[4]سجل المستخلصات'!$AA$9)</f>
        <v/>
      </c>
      <c r="W28" s="59">
        <f>IF('[4]سجل المستخلصات'!$AC$9="","",'[4]سجل المستخلصات'!$AC$9)</f>
        <v/>
      </c>
      <c r="X28" s="62">
        <f>IF('[4]سجل المستخلصات'!$AD$9="","",'[4]سجل المستخلصات'!$AD$9)</f>
        <v/>
      </c>
      <c r="Y28" s="58">
        <f>IF('[4]سجل المستخلصات'!$AE$9="","",'[4]سجل المستخلصات'!$AE$9)</f>
        <v/>
      </c>
      <c r="AA28" s="63" t="n"/>
      <c r="AB28" s="63" t="n"/>
    </row>
    <row r="29">
      <c r="B29" s="56" t="n">
        <v>5</v>
      </c>
      <c r="C29" s="57">
        <f>IF('[4]سجل المستخلصات'!$C$10="","",'[4]سجل المستخلصات'!$C$10)</f>
        <v/>
      </c>
      <c r="D29" s="57">
        <f>IF('[4]سجل المستخلصات'!$E$10="","",'[4]سجل المستخلصات'!$E$10)</f>
        <v/>
      </c>
      <c r="E29" s="58">
        <f>IF('[4]سجل المستخلصات'!$F$10="","",'[4]سجل المستخلصات'!$F$10)</f>
        <v/>
      </c>
      <c r="F29" s="59">
        <f>IF('[4]سجل المستخلصات'!$H$10="","",'[4]سجل المستخلصات'!$H$10)</f>
        <v/>
      </c>
      <c r="G29" s="59">
        <f>IF('[4]سجل المستخلصات'!$G$10="","",'[4]سجل المستخلصات'!$G$10)</f>
        <v/>
      </c>
      <c r="H29" s="59">
        <f>IF('[4]سجل المستخلصات'!$I$10="","",'[4]سجل المستخلصات'!$I$10)</f>
        <v/>
      </c>
      <c r="I29" s="59">
        <f>IF('[4]سجل المستخلصات'!$J$10="","",'[4]سجل المستخلصات'!$J$10)</f>
        <v/>
      </c>
      <c r="J29" s="59">
        <f>IF('[4]سجل المستخلصات'!$K$10="","",'[4]سجل المستخلصات'!$K$10)</f>
        <v/>
      </c>
      <c r="K29" s="60">
        <f>IF('[4]سجل المستخلصات'!$L$10="","",'[4]سجل المستخلصات'!$L$10)</f>
        <v/>
      </c>
      <c r="L29" s="60">
        <f>IF('[4]سجل المستخلصات'!$M$10="","",'[4]سجل المستخلصات'!$M$10)</f>
        <v/>
      </c>
      <c r="M29" s="60">
        <f>IF('[4]سجل المستخلصات'!$N$10="","",'[4]سجل المستخلصات'!$N$10)</f>
        <v/>
      </c>
      <c r="N29" s="59">
        <f>IF('[4]سجل المستخلصات'!$O$10="","",'[4]سجل المستخلصات'!$O$10)</f>
        <v/>
      </c>
      <c r="O29" s="59">
        <f>IF('[4]سجل المستخلصات'!$R$10="","",'[4]سجل المستخلصات'!$R$10)</f>
        <v/>
      </c>
      <c r="P29" s="59">
        <f>IF('[4]سجل المستخلصات'!$S$10="","",'[4]سجل المستخلصات'!$S$10)</f>
        <v/>
      </c>
      <c r="Q29" s="59">
        <f>IF('[4]سجل المستخلصات'!$T$10="","",'[4]سجل المستخلصات'!$T$10)</f>
        <v/>
      </c>
      <c r="R29" s="59">
        <f>IF('[4]سجل المستخلصات'!$V$10="","",'[4]سجل المستخلصات'!$V$10)</f>
        <v/>
      </c>
      <c r="S29" s="59">
        <f>IF('[4]سجل المستخلصات'!$W$10="","",'[4]سجل المستخلصات'!$W$10)</f>
        <v/>
      </c>
      <c r="T29" s="61">
        <f>IF('[4]سجل المستخلصات'!$X$10="","",'[4]سجل المستخلصات'!$X$10)</f>
        <v/>
      </c>
      <c r="U29" s="61">
        <f>IF('[4]سجل المستخلصات'!$Z$10="","",'[4]سجل المستخلصات'!$Z$10)</f>
        <v/>
      </c>
      <c r="V29" s="59">
        <f>IF('[4]سجل المستخلصات'!$AA$10="","",'[4]سجل المستخلصات'!$AA$10)</f>
        <v/>
      </c>
      <c r="W29" s="59">
        <f>IF('[4]سجل المستخلصات'!$AC$10="","",'[4]سجل المستخلصات'!$AC$10)</f>
        <v/>
      </c>
      <c r="X29" s="62">
        <f>IF('[4]سجل المستخلصات'!$AD$10="","",'[4]سجل المستخلصات'!$AD$10)</f>
        <v/>
      </c>
      <c r="Y29" s="58">
        <f>IF('[4]سجل المستخلصات'!$AE$10="","",'[4]سجل المستخلصات'!$AE$10)</f>
        <v/>
      </c>
    </row>
    <row r="30">
      <c r="B30" s="56" t="n">
        <v>6</v>
      </c>
      <c r="C30" s="57">
        <f>IF('[4]سجل المستخلصات'!$C$11="","",'[4]سجل المستخلصات'!$C$11)</f>
        <v/>
      </c>
      <c r="D30" s="57">
        <f>IF('[4]سجل المستخلصات'!$E$11="","",'[4]سجل المستخلصات'!$E$11)</f>
        <v/>
      </c>
      <c r="E30" s="58">
        <f>IF('[4]سجل المستخلصات'!$F$11="","",'[4]سجل المستخلصات'!$F$11)</f>
        <v/>
      </c>
      <c r="F30" s="59">
        <f>IF('[4]سجل المستخلصات'!$H$11="","",'[4]سجل المستخلصات'!$H$11)</f>
        <v/>
      </c>
      <c r="G30" s="59">
        <f>IF('[4]سجل المستخلصات'!$G$11="","",'[4]سجل المستخلصات'!$G$11)</f>
        <v/>
      </c>
      <c r="H30" s="59">
        <f>IF('[4]سجل المستخلصات'!$I$11="","",'[4]سجل المستخلصات'!$I$11)</f>
        <v/>
      </c>
      <c r="I30" s="59">
        <f>IF('[4]سجل المستخلصات'!$J$11="","",'[4]سجل المستخلصات'!$J$11)</f>
        <v/>
      </c>
      <c r="J30" s="59">
        <f>IF('[4]سجل المستخلصات'!$K$11="","",'[4]سجل المستخلصات'!$K$11)</f>
        <v/>
      </c>
      <c r="K30" s="60">
        <f>IF('[4]سجل المستخلصات'!$L$11="","",'[4]سجل المستخلصات'!$L$11)</f>
        <v/>
      </c>
      <c r="L30" s="60">
        <f>IF('[4]سجل المستخلصات'!$M$11="","",'[4]سجل المستخلصات'!$M$11)</f>
        <v/>
      </c>
      <c r="M30" s="60">
        <f>IF('[4]سجل المستخلصات'!$N$11="","",'[4]سجل المستخلصات'!$N$11)</f>
        <v/>
      </c>
      <c r="N30" s="59">
        <f>IF('[4]سجل المستخلصات'!$O$11="","",'[4]سجل المستخلصات'!$O$11)</f>
        <v/>
      </c>
      <c r="O30" s="59">
        <f>IF('[4]سجل المستخلصات'!$R$11="","",'[4]سجل المستخلصات'!$R$11)</f>
        <v/>
      </c>
      <c r="P30" s="59">
        <f>IF('[4]سجل المستخلصات'!$S$11="","",'[4]سجل المستخلصات'!$S$11)</f>
        <v/>
      </c>
      <c r="Q30" s="59">
        <f>IF('[4]سجل المستخلصات'!$T$11="","",'[4]سجل المستخلصات'!$T$11)</f>
        <v/>
      </c>
      <c r="R30" s="59">
        <f>IF('[4]سجل المستخلصات'!$V$11="","",'[4]سجل المستخلصات'!$V$11)</f>
        <v/>
      </c>
      <c r="S30" s="59">
        <f>IF('[4]سجل المستخلصات'!$W$11="","",'[4]سجل المستخلصات'!$W$11)</f>
        <v/>
      </c>
      <c r="T30" s="61">
        <f>IF('[4]سجل المستخلصات'!$X$11="","",'[4]سجل المستخلصات'!$X$11)</f>
        <v/>
      </c>
      <c r="U30" s="61">
        <f>IF('[4]سجل المستخلصات'!$Z$11="","",'[4]سجل المستخلصات'!$Z$11)</f>
        <v/>
      </c>
      <c r="V30" s="59">
        <f>IF('[4]سجل المستخلصات'!$AA$11="","",'[4]سجل المستخلصات'!$AA$11)</f>
        <v/>
      </c>
      <c r="W30" s="59">
        <f>IF('[4]سجل المستخلصات'!$AC$11="","",'[4]سجل المستخلصات'!$AC$11)</f>
        <v/>
      </c>
      <c r="X30" s="62">
        <f>IF('[4]سجل المستخلصات'!$AD$11="","",'[4]سجل المستخلصات'!$AD$11)</f>
        <v/>
      </c>
      <c r="Y30" s="58">
        <f>IF('[4]سجل المستخلصات'!$AE$11="","",'[4]سجل المستخلصات'!$AE$11)</f>
        <v/>
      </c>
    </row>
    <row r="31">
      <c r="B31" s="56" t="n">
        <v>7</v>
      </c>
      <c r="C31" s="57">
        <f>IF('[4]سجل المستخلصات'!$C$12="","",'[4]سجل المستخلصات'!$C$12)</f>
        <v/>
      </c>
      <c r="D31" s="57">
        <f>IF('[4]سجل المستخلصات'!$E$12="","",'[4]سجل المستخلصات'!$E$12)</f>
        <v/>
      </c>
      <c r="E31" s="58">
        <f>IF('[4]سجل المستخلصات'!$F$12="","",'[4]سجل المستخلصات'!$F$12)</f>
        <v/>
      </c>
      <c r="F31" s="59">
        <f>IF('[4]سجل المستخلصات'!$H$12="","",'[4]سجل المستخلصات'!$H$12)</f>
        <v/>
      </c>
      <c r="G31" s="59">
        <f>IF('[4]سجل المستخلصات'!$G$12="","",'[4]سجل المستخلصات'!$G$12)</f>
        <v/>
      </c>
      <c r="H31" s="59">
        <f>IF('[4]سجل المستخلصات'!$I$12="","",'[4]سجل المستخلصات'!$I$12)</f>
        <v/>
      </c>
      <c r="I31" s="59">
        <f>IF('[4]سجل المستخلصات'!$J$12="","",'[4]سجل المستخلصات'!$J$12)</f>
        <v/>
      </c>
      <c r="J31" s="59">
        <f>IF('[4]سجل المستخلصات'!$K$12="","",'[4]سجل المستخلصات'!$K$12)</f>
        <v/>
      </c>
      <c r="K31" s="60">
        <f>IF('[4]سجل المستخلصات'!$L$12="","",'[4]سجل المستخلصات'!$L$12)</f>
        <v/>
      </c>
      <c r="L31" s="60">
        <f>IF('[4]سجل المستخلصات'!$M$12="","",'[4]سجل المستخلصات'!$M$12)</f>
        <v/>
      </c>
      <c r="M31" s="60">
        <f>IF('[4]سجل المستخلصات'!$N$12="","",'[4]سجل المستخلصات'!$N$12)</f>
        <v/>
      </c>
      <c r="N31" s="59">
        <f>IF('[4]سجل المستخلصات'!$O$12="","",'[4]سجل المستخلصات'!$O$12)</f>
        <v/>
      </c>
      <c r="O31" s="59">
        <f>IF('[4]سجل المستخلصات'!$R$12="","",'[4]سجل المستخلصات'!$R$12)</f>
        <v/>
      </c>
      <c r="P31" s="59">
        <f>IF('[4]سجل المستخلصات'!$S$12="","",'[4]سجل المستخلصات'!$S$12)</f>
        <v/>
      </c>
      <c r="Q31" s="59">
        <f>IF('[4]سجل المستخلصات'!$T$12="","",'[4]سجل المستخلصات'!$T$12)</f>
        <v/>
      </c>
      <c r="R31" s="59">
        <f>IF('[4]سجل المستخلصات'!$V$12="","",'[4]سجل المستخلصات'!$V$12)</f>
        <v/>
      </c>
      <c r="S31" s="59">
        <f>IF('[4]سجل المستخلصات'!$W$12="","",'[4]سجل المستخلصات'!$W$12)</f>
        <v/>
      </c>
      <c r="T31" s="61">
        <f>IF('[4]سجل المستخلصات'!$X$12="","",'[4]سجل المستخلصات'!$X$12)</f>
        <v/>
      </c>
      <c r="U31" s="61">
        <f>IF('[4]سجل المستخلصات'!$Z$12="","",'[4]سجل المستخلصات'!$Z$12)</f>
        <v/>
      </c>
      <c r="V31" s="59">
        <f>IF('[4]سجل المستخلصات'!$AA$12="","",'[4]سجل المستخلصات'!$AA$12)</f>
        <v/>
      </c>
      <c r="W31" s="59">
        <f>IF('[4]سجل المستخلصات'!$AC$12="","",'[4]سجل المستخلصات'!$AC$12)</f>
        <v/>
      </c>
      <c r="X31" s="62">
        <f>IF('[4]سجل المستخلصات'!$AD$12="","",'[4]سجل المستخلصات'!$AD$12)</f>
        <v/>
      </c>
      <c r="Y31" s="58">
        <f>IF('[4]سجل المستخلصات'!$AE$12="","",'[4]سجل المستخلصات'!$AE$12)</f>
        <v/>
      </c>
    </row>
    <row r="32">
      <c r="B32" s="56" t="n">
        <v>8</v>
      </c>
      <c r="C32" s="57">
        <f>IF('[4]سجل المستخلصات'!$C$13="","",'[4]سجل المستخلصات'!$C$13)</f>
        <v/>
      </c>
      <c r="D32" s="57">
        <f>IF('[4]سجل المستخلصات'!$E$13="","",'[4]سجل المستخلصات'!$E$13)</f>
        <v/>
      </c>
      <c r="E32" s="58">
        <f>IF('[4]سجل المستخلصات'!$F$13="","",'[4]سجل المستخلصات'!$F$13)</f>
        <v/>
      </c>
      <c r="F32" s="59">
        <f>IF('[4]سجل المستخلصات'!$H$13="","",'[4]سجل المستخلصات'!$H$13)</f>
        <v/>
      </c>
      <c r="G32" s="59">
        <f>IF('[4]سجل المستخلصات'!$G$13="","",'[4]سجل المستخلصات'!$G$13)</f>
        <v/>
      </c>
      <c r="H32" s="59">
        <f>IF('[4]سجل المستخلصات'!$I$13="","",'[4]سجل المستخلصات'!$I$13)</f>
        <v/>
      </c>
      <c r="I32" s="59">
        <f>IF('[4]سجل المستخلصات'!$J$13="","",'[4]سجل المستخلصات'!$J$13)</f>
        <v/>
      </c>
      <c r="J32" s="59">
        <f>IF('[4]سجل المستخلصات'!$K$13="","",'[4]سجل المستخلصات'!$K$13)</f>
        <v/>
      </c>
      <c r="K32" s="60">
        <f>IF('[4]سجل المستخلصات'!$L$13="","",'[4]سجل المستخلصات'!$L$13)</f>
        <v/>
      </c>
      <c r="L32" s="60">
        <f>IF('[4]سجل المستخلصات'!$M$13="","",'[4]سجل المستخلصات'!$M$13)</f>
        <v/>
      </c>
      <c r="M32" s="60">
        <f>IF('[4]سجل المستخلصات'!$N$13="","",'[4]سجل المستخلصات'!$N$13)</f>
        <v/>
      </c>
      <c r="N32" s="59">
        <f>IF('[4]سجل المستخلصات'!$O$13="","",'[4]سجل المستخلصات'!$O$13)</f>
        <v/>
      </c>
      <c r="O32" s="59">
        <f>IF('[4]سجل المستخلصات'!$R$13="","",'[4]سجل المستخلصات'!$R$13)</f>
        <v/>
      </c>
      <c r="P32" s="59">
        <f>IF('[4]سجل المستخلصات'!$S$13="","",'[4]سجل المستخلصات'!$S$13)</f>
        <v/>
      </c>
      <c r="Q32" s="59">
        <f>IF('[4]سجل المستخلصات'!$T$13="","",'[4]سجل المستخلصات'!$T$13)</f>
        <v/>
      </c>
      <c r="R32" s="59">
        <f>IF('[4]سجل المستخلصات'!$V$13="","",'[4]سجل المستخلصات'!$V$13)</f>
        <v/>
      </c>
      <c r="S32" s="59">
        <f>IF('[4]سجل المستخلصات'!$W$13="","",'[4]سجل المستخلصات'!$W$13)</f>
        <v/>
      </c>
      <c r="T32" s="61">
        <f>IF('[4]سجل المستخلصات'!$X$13="","",'[4]سجل المستخلصات'!$X$13)</f>
        <v/>
      </c>
      <c r="U32" s="61">
        <f>IF('[4]سجل المستخلصات'!$Z$13="","",'[4]سجل المستخلصات'!$Z$13)</f>
        <v/>
      </c>
      <c r="V32" s="59">
        <f>IF('[4]سجل المستخلصات'!$AA$13="","",'[4]سجل المستخلصات'!$AA$13)</f>
        <v/>
      </c>
      <c r="W32" s="59">
        <f>IF('[4]سجل المستخلصات'!$AC$13="","",'[4]سجل المستخلصات'!$AC$13)</f>
        <v/>
      </c>
      <c r="X32" s="62">
        <f>IF('[4]سجل المستخلصات'!$AD$13="","",'[4]سجل المستخلصات'!$AD$13)</f>
        <v/>
      </c>
      <c r="Y32" s="58">
        <f>IF('[4]سجل المستخلصات'!$AE$13="","",'[4]سجل المستخلصات'!$AE$13)</f>
        <v/>
      </c>
    </row>
    <row r="33">
      <c r="B33" s="56" t="n">
        <v>9</v>
      </c>
      <c r="C33" s="57">
        <f>IF('[4]سجل المستخلصات'!$C$14="","",'[4]سجل المستخلصات'!$C$14)</f>
        <v/>
      </c>
      <c r="D33" s="57">
        <f>IF('[4]سجل المستخلصات'!$E$14="","",'[4]سجل المستخلصات'!$E$14)</f>
        <v/>
      </c>
      <c r="E33" s="58">
        <f>IF('[4]سجل المستخلصات'!$F$14="","",'[4]سجل المستخلصات'!$F$14)</f>
        <v/>
      </c>
      <c r="F33" s="59">
        <f>IF('[4]سجل المستخلصات'!$H$14="","",'[4]سجل المستخلصات'!$H$14)</f>
        <v/>
      </c>
      <c r="G33" s="59">
        <f>IF('[4]سجل المستخلصات'!$G$14="","",'[4]سجل المستخلصات'!$G$14)</f>
        <v/>
      </c>
      <c r="H33" s="59">
        <f>IF('[4]سجل المستخلصات'!$I$14="","",'[4]سجل المستخلصات'!$I$14)</f>
        <v/>
      </c>
      <c r="I33" s="59">
        <f>IF('[4]سجل المستخلصات'!$J$14="","",'[4]سجل المستخلصات'!$J$14)</f>
        <v/>
      </c>
      <c r="J33" s="59">
        <f>IF('[4]سجل المستخلصات'!$K$14="","",'[4]سجل المستخلصات'!$K$14)</f>
        <v/>
      </c>
      <c r="K33" s="60">
        <f>IF('[4]سجل المستخلصات'!$L$14="","",'[4]سجل المستخلصات'!$L$14)</f>
        <v/>
      </c>
      <c r="L33" s="60">
        <f>IF('[4]سجل المستخلصات'!$M$14="","",'[4]سجل المستخلصات'!$M$14)</f>
        <v/>
      </c>
      <c r="M33" s="60">
        <f>IF('[4]سجل المستخلصات'!$N$14="","",'[4]سجل المستخلصات'!$N$14)</f>
        <v/>
      </c>
      <c r="N33" s="59">
        <f>IF('[4]سجل المستخلصات'!$O$14="","",'[4]سجل المستخلصات'!$O$14)</f>
        <v/>
      </c>
      <c r="O33" s="59">
        <f>IF('[4]سجل المستخلصات'!$R$14="","",'[4]سجل المستخلصات'!$R$14)</f>
        <v/>
      </c>
      <c r="P33" s="59">
        <f>IF('[4]سجل المستخلصات'!$S$14="","",'[4]سجل المستخلصات'!$S$14)</f>
        <v/>
      </c>
      <c r="Q33" s="59">
        <f>IF('[4]سجل المستخلصات'!$T$14="","",'[4]سجل المستخلصات'!$T$14)</f>
        <v/>
      </c>
      <c r="R33" s="59">
        <f>IF('[4]سجل المستخلصات'!$V$14="","",'[4]سجل المستخلصات'!$V$14)</f>
        <v/>
      </c>
      <c r="S33" s="59">
        <f>IF('[4]سجل المستخلصات'!$W$14="","",'[4]سجل المستخلصات'!$W$14)</f>
        <v/>
      </c>
      <c r="T33" s="61">
        <f>IF('[4]سجل المستخلصات'!$X$14="","",'[4]سجل المستخلصات'!$X$14)</f>
        <v/>
      </c>
      <c r="U33" s="61">
        <f>IF('[4]سجل المستخلصات'!$Z$14="","",'[4]سجل المستخلصات'!$Z$14)</f>
        <v/>
      </c>
      <c r="V33" s="59">
        <f>IF('[4]سجل المستخلصات'!$AA$14="","",'[4]سجل المستخلصات'!$AA$14)</f>
        <v/>
      </c>
      <c r="W33" s="59">
        <f>IF('[4]سجل المستخلصات'!$AC$14="","",'[4]سجل المستخلصات'!$AC$14)</f>
        <v/>
      </c>
      <c r="X33" s="62">
        <f>IF('[4]سجل المستخلصات'!$AD$14="","",'[4]سجل المستخلصات'!$AD$14)</f>
        <v/>
      </c>
      <c r="Y33" s="58">
        <f>IF('[4]سجل المستخلصات'!$AE$14="","",'[4]سجل المستخلصات'!$AE$14)</f>
        <v/>
      </c>
    </row>
    <row r="34">
      <c r="B34" s="56" t="n">
        <v>10</v>
      </c>
      <c r="C34" s="57">
        <f>IF('[4]سجل المستخلصات'!$C$15="","",'[4]سجل المستخلصات'!$C$15)</f>
        <v/>
      </c>
      <c r="D34" s="57">
        <f>IF('[4]سجل المستخلصات'!$E$15="","",'[4]سجل المستخلصات'!$E$15)</f>
        <v/>
      </c>
      <c r="E34" s="58">
        <f>IF('[4]سجل المستخلصات'!$F$15="","",'[4]سجل المستخلصات'!$F$15)</f>
        <v/>
      </c>
      <c r="F34" s="59">
        <f>IF('[4]سجل المستخلصات'!$H$15="","",'[4]سجل المستخلصات'!$H$15)</f>
        <v/>
      </c>
      <c r="G34" s="59">
        <f>IF('[4]سجل المستخلصات'!$G$15="","",'[4]سجل المستخلصات'!$G$15)</f>
        <v/>
      </c>
      <c r="H34" s="59">
        <f>IF('[4]سجل المستخلصات'!$I$15="","",'[4]سجل المستخلصات'!$I$15)</f>
        <v/>
      </c>
      <c r="I34" s="59">
        <f>IF('[4]سجل المستخلصات'!$J$15="","",'[4]سجل المستخلصات'!$J$15)</f>
        <v/>
      </c>
      <c r="J34" s="59">
        <f>IF('[4]سجل المستخلصات'!$K$15="","",'[4]سجل المستخلصات'!$K$15)</f>
        <v/>
      </c>
      <c r="K34" s="60">
        <f>IF('[4]سجل المستخلصات'!$L$15="","",'[4]سجل المستخلصات'!$L$15)</f>
        <v/>
      </c>
      <c r="L34" s="60">
        <f>IF('[4]سجل المستخلصات'!$M$15="","",'[4]سجل المستخلصات'!$M$15)</f>
        <v/>
      </c>
      <c r="M34" s="60">
        <f>IF('[4]سجل المستخلصات'!$N$15="","",'[4]سجل المستخلصات'!$N$15)</f>
        <v/>
      </c>
      <c r="N34" s="59">
        <f>IF('[4]سجل المستخلصات'!$O$15="","",'[4]سجل المستخلصات'!$O$15)</f>
        <v/>
      </c>
      <c r="O34" s="59">
        <f>IF('[4]سجل المستخلصات'!$R$15="","",'[4]سجل المستخلصات'!$R$15)</f>
        <v/>
      </c>
      <c r="P34" s="59">
        <f>IF('[4]سجل المستخلصات'!$S$15="","",'[4]سجل المستخلصات'!$S$15)</f>
        <v/>
      </c>
      <c r="Q34" s="59">
        <f>IF('[4]سجل المستخلصات'!$T$15="","",'[4]سجل المستخلصات'!$T$15)</f>
        <v/>
      </c>
      <c r="R34" s="59">
        <f>IF('[4]سجل المستخلصات'!$V$15="","",'[4]سجل المستخلصات'!$V$15)</f>
        <v/>
      </c>
      <c r="S34" s="59">
        <f>IF('[4]سجل المستخلصات'!$W$15="","",'[4]سجل المستخلصات'!$W$15)</f>
        <v/>
      </c>
      <c r="T34" s="61">
        <f>IF('[4]سجل المستخلصات'!$X$15="","",'[4]سجل المستخلصات'!$X$15)</f>
        <v/>
      </c>
      <c r="U34" s="61">
        <f>IF('[4]سجل المستخلصات'!$Z$15="","",'[4]سجل المستخلصات'!$Z$15)</f>
        <v/>
      </c>
      <c r="V34" s="59">
        <f>IF('[4]سجل المستخلصات'!$AA$15="","",'[4]سجل المستخلصات'!$AA$15)</f>
        <v/>
      </c>
      <c r="W34" s="59">
        <f>IF('[4]سجل المستخلصات'!$AC$15="","",'[4]سجل المستخلصات'!$AC$15)</f>
        <v/>
      </c>
      <c r="X34" s="62">
        <f>IF('[4]سجل المستخلصات'!$AD$15="","",'[4]سجل المستخلصات'!$AD$15)</f>
        <v/>
      </c>
      <c r="Y34" s="58">
        <f>IF('[4]سجل المستخلصات'!$AE$15="","",'[4]سجل المستخلصات'!$AE$15)</f>
        <v/>
      </c>
    </row>
    <row r="35">
      <c r="B35" s="56" t="n">
        <v>11</v>
      </c>
      <c r="C35" s="57">
        <f>IF('[4]سجل المستخلصات'!$C$16="","",'[4]سجل المستخلصات'!$C$16)</f>
        <v/>
      </c>
      <c r="D35" s="57">
        <f>IF('[4]سجل المستخلصات'!$E$16="","",'[4]سجل المستخلصات'!$E$16)</f>
        <v/>
      </c>
      <c r="E35" s="58">
        <f>IF('[4]سجل المستخلصات'!$F$16="","",'[4]سجل المستخلصات'!$F$16)</f>
        <v/>
      </c>
      <c r="F35" s="59">
        <f>IF('[4]سجل المستخلصات'!$H$16="","",'[4]سجل المستخلصات'!$H$16)</f>
        <v/>
      </c>
      <c r="G35" s="59">
        <f>IF('[4]سجل المستخلصات'!$G$16="","",'[4]سجل المستخلصات'!$G$16)</f>
        <v/>
      </c>
      <c r="H35" s="59">
        <f>IF('[4]سجل المستخلصات'!$I$16="","",'[4]سجل المستخلصات'!$I$16)</f>
        <v/>
      </c>
      <c r="I35" s="59">
        <f>IF('[4]سجل المستخلصات'!$J$16="","",'[4]سجل المستخلصات'!$J$16)</f>
        <v/>
      </c>
      <c r="J35" s="59">
        <f>IF('[4]سجل المستخلصات'!$K$16="","",'[4]سجل المستخلصات'!$K$16)</f>
        <v/>
      </c>
      <c r="K35" s="60">
        <f>IF('[4]سجل المستخلصات'!$L$16="","",'[4]سجل المستخلصات'!$L$16)</f>
        <v/>
      </c>
      <c r="L35" s="60">
        <f>IF('[4]سجل المستخلصات'!$M$16="","",'[4]سجل المستخلصات'!$M$16)</f>
        <v/>
      </c>
      <c r="M35" s="60">
        <f>IF('[4]سجل المستخلصات'!$N$16="","",'[4]سجل المستخلصات'!$N$16)</f>
        <v/>
      </c>
      <c r="N35" s="59">
        <f>IF('[4]سجل المستخلصات'!$O$16="","",'[4]سجل المستخلصات'!$O$16)</f>
        <v/>
      </c>
      <c r="O35" s="59">
        <f>IF('[4]سجل المستخلصات'!$R$16="","",'[4]سجل المستخلصات'!$R$16)</f>
        <v/>
      </c>
      <c r="P35" s="59">
        <f>IF('[4]سجل المستخلصات'!$S$16="","",'[4]سجل المستخلصات'!$S$16)</f>
        <v/>
      </c>
      <c r="Q35" s="59">
        <f>IF('[4]سجل المستخلصات'!$T$16="","",'[4]سجل المستخلصات'!$T$16)</f>
        <v/>
      </c>
      <c r="R35" s="59">
        <f>IF('[4]سجل المستخلصات'!$V$16="","",'[4]سجل المستخلصات'!$V$16)</f>
        <v/>
      </c>
      <c r="S35" s="59">
        <f>IF('[4]سجل المستخلصات'!$W$16="","",'[4]سجل المستخلصات'!$W$16)</f>
        <v/>
      </c>
      <c r="T35" s="61">
        <f>IF('[4]سجل المستخلصات'!$X$16="","",'[4]سجل المستخلصات'!$X$16)</f>
        <v/>
      </c>
      <c r="U35" s="61">
        <f>IF('[4]سجل المستخلصات'!$Z$16="","",'[4]سجل المستخلصات'!$Z$16)</f>
        <v/>
      </c>
      <c r="V35" s="59">
        <f>IF('[4]سجل المستخلصات'!$AA$16="","",'[4]سجل المستخلصات'!$AA$16)</f>
        <v/>
      </c>
      <c r="W35" s="59">
        <f>IF('[4]سجل المستخلصات'!$AC$16="","",'[4]سجل المستخلصات'!$AC$16)</f>
        <v/>
      </c>
      <c r="X35" s="62">
        <f>IF('[4]سجل المستخلصات'!$AD$16="","",'[4]سجل المستخلصات'!$AD$16)</f>
        <v/>
      </c>
      <c r="Y35" s="58">
        <f>IF('[4]سجل المستخلصات'!$AE$16="","",'[4]سجل المستخلصات'!$AE$16)</f>
        <v/>
      </c>
    </row>
    <row r="36">
      <c r="B36" s="56" t="n">
        <v>12</v>
      </c>
      <c r="C36" s="57">
        <f>IF('[4]سجل المستخلصات'!$C$17="","",'[4]سجل المستخلصات'!$C$17)</f>
        <v/>
      </c>
      <c r="D36" s="57">
        <f>IF('[4]سجل المستخلصات'!$E$17="","",'[4]سجل المستخلصات'!$E$17)</f>
        <v/>
      </c>
      <c r="E36" s="58">
        <f>IF('[4]سجل المستخلصات'!$F$17="","",'[4]سجل المستخلصات'!$F$17)</f>
        <v/>
      </c>
      <c r="F36" s="59">
        <f>IF('[4]سجل المستخلصات'!$H$17="","",'[4]سجل المستخلصات'!$H$17)</f>
        <v/>
      </c>
      <c r="G36" s="59">
        <f>IF('[4]سجل المستخلصات'!$G$17="","",'[4]سجل المستخلصات'!$G$17)</f>
        <v/>
      </c>
      <c r="H36" s="59">
        <f>IF('[4]سجل المستخلصات'!$I$17="","",'[4]سجل المستخلصات'!$I$17)</f>
        <v/>
      </c>
      <c r="I36" s="59">
        <f>IF('[4]سجل المستخلصات'!$J$17="","",'[4]سجل المستخلصات'!$J$17)</f>
        <v/>
      </c>
      <c r="J36" s="59">
        <f>IF('[4]سجل المستخلصات'!$K$17="","",'[4]سجل المستخلصات'!$K$17)</f>
        <v/>
      </c>
      <c r="K36" s="60">
        <f>IF('[4]سجل المستخلصات'!$L$17="","",'[4]سجل المستخلصات'!$L$17)</f>
        <v/>
      </c>
      <c r="L36" s="60">
        <f>IF('[4]سجل المستخلصات'!$M$17="","",'[4]سجل المستخلصات'!$M$17)</f>
        <v/>
      </c>
      <c r="M36" s="60">
        <f>IF('[4]سجل المستخلصات'!$N$17="","",'[4]سجل المستخلصات'!$N$17)</f>
        <v/>
      </c>
      <c r="N36" s="59">
        <f>IF('[4]سجل المستخلصات'!$O$17="","",'[4]سجل المستخلصات'!$O$17)</f>
        <v/>
      </c>
      <c r="O36" s="59">
        <f>IF('[4]سجل المستخلصات'!$R$17="","",'[4]سجل المستخلصات'!$R$17)</f>
        <v/>
      </c>
      <c r="P36" s="59">
        <f>IF('[4]سجل المستخلصات'!$S$17="","",'[4]سجل المستخلصات'!$S$17)</f>
        <v/>
      </c>
      <c r="Q36" s="59">
        <f>IF('[4]سجل المستخلصات'!$T$17="","",'[4]سجل المستخلصات'!$T$17)</f>
        <v/>
      </c>
      <c r="R36" s="59">
        <f>IF('[4]سجل المستخلصات'!$V$17="","",'[4]سجل المستخلصات'!$V$17)</f>
        <v/>
      </c>
      <c r="S36" s="59">
        <f>IF('[4]سجل المستخلصات'!$W$17="","",'[4]سجل المستخلصات'!$W$17)</f>
        <v/>
      </c>
      <c r="T36" s="61">
        <f>IF('[4]سجل المستخلصات'!$X$17="","",'[4]سجل المستخلصات'!$X$17)</f>
        <v/>
      </c>
      <c r="U36" s="61">
        <f>IF('[4]سجل المستخلصات'!$Z$17="","",'[4]سجل المستخلصات'!$Z$17)</f>
        <v/>
      </c>
      <c r="V36" s="59">
        <f>IF('[4]سجل المستخلصات'!$AA$17="","",'[4]سجل المستخلصات'!$AA$17)</f>
        <v/>
      </c>
      <c r="W36" s="59">
        <f>IF('[4]سجل المستخلصات'!$AC$17="","",'[4]سجل المستخلصات'!$AC$17)</f>
        <v/>
      </c>
      <c r="X36" s="62">
        <f>IF('[4]سجل المستخلصات'!$AD$17="","",'[4]سجل المستخلصات'!$AD$17)</f>
        <v/>
      </c>
      <c r="Y36" s="58">
        <f>IF('[4]سجل المستخلصات'!$AE$17="","",'[4]سجل المستخلصات'!$AE$17)</f>
        <v/>
      </c>
    </row>
    <row r="37">
      <c r="B37" s="56" t="n">
        <v>13</v>
      </c>
      <c r="C37" s="57">
        <f>IF('[4]سجل المستخلصات'!$C$18="","",'[4]سجل المستخلصات'!$C$18)</f>
        <v/>
      </c>
      <c r="D37" s="57">
        <f>IF('[4]سجل المستخلصات'!$E$18="","",'[4]سجل المستخلصات'!$E$18)</f>
        <v/>
      </c>
      <c r="E37" s="58">
        <f>IF('[4]سجل المستخلصات'!$F$18="","",'[4]سجل المستخلصات'!$F$18)</f>
        <v/>
      </c>
      <c r="F37" s="59">
        <f>IF('[4]سجل المستخلصات'!$H$18="","",'[4]سجل المستخلصات'!$H$18)</f>
        <v/>
      </c>
      <c r="G37" s="59">
        <f>IF('[4]سجل المستخلصات'!$G$18="","",'[4]سجل المستخلصات'!$G$18)</f>
        <v/>
      </c>
      <c r="H37" s="59">
        <f>IF('[4]سجل المستخلصات'!$I$18="","",'[4]سجل المستخلصات'!$I$18)</f>
        <v/>
      </c>
      <c r="I37" s="59">
        <f>IF('[4]سجل المستخلصات'!$J$18="","",'[4]سجل المستخلصات'!$J$18)</f>
        <v/>
      </c>
      <c r="J37" s="59">
        <f>IF('[4]سجل المستخلصات'!$K$18="","",'[4]سجل المستخلصات'!$K$18)</f>
        <v/>
      </c>
      <c r="K37" s="60">
        <f>IF('[4]سجل المستخلصات'!$L$18="","",'[4]سجل المستخلصات'!$L$18)</f>
        <v/>
      </c>
      <c r="L37" s="60">
        <f>IF('[4]سجل المستخلصات'!$M$18="","",'[4]سجل المستخلصات'!$M$18)</f>
        <v/>
      </c>
      <c r="M37" s="60">
        <f>IF('[4]سجل المستخلصات'!$N$18="","",'[4]سجل المستخلصات'!$N$18)</f>
        <v/>
      </c>
      <c r="N37" s="59">
        <f>IF('[4]سجل المستخلصات'!$O$18="","",'[4]سجل المستخلصات'!$O$18)</f>
        <v/>
      </c>
      <c r="O37" s="59">
        <f>IF('[4]سجل المستخلصات'!$R$18="","",'[4]سجل المستخلصات'!$R$18)</f>
        <v/>
      </c>
      <c r="P37" s="59">
        <f>IF('[4]سجل المستخلصات'!$S$18="","",'[4]سجل المستخلصات'!$S$18)</f>
        <v/>
      </c>
      <c r="Q37" s="59">
        <f>IF('[4]سجل المستخلصات'!$T$18="","",'[4]سجل المستخلصات'!$T$18)</f>
        <v/>
      </c>
      <c r="R37" s="59">
        <f>IF('[4]سجل المستخلصات'!$V$18="","",'[4]سجل المستخلصات'!$V$18)</f>
        <v/>
      </c>
      <c r="S37" s="59">
        <f>IF('[4]سجل المستخلصات'!$W$18="","",'[4]سجل المستخلصات'!$W$18)</f>
        <v/>
      </c>
      <c r="T37" s="61">
        <f>IF('[4]سجل المستخلصات'!$X$18="","",'[4]سجل المستخلصات'!$X$18)</f>
        <v/>
      </c>
      <c r="U37" s="61">
        <f>IF('[4]سجل المستخلصات'!$Z$18="","",'[4]سجل المستخلصات'!$Z$18)</f>
        <v/>
      </c>
      <c r="V37" s="59">
        <f>IF('[4]سجل المستخلصات'!$AA$18="","",'[4]سجل المستخلصات'!$AA$18)</f>
        <v/>
      </c>
      <c r="W37" s="59">
        <f>IF('[4]سجل المستخلصات'!$AC$18="","",'[4]سجل المستخلصات'!$AC$18)</f>
        <v/>
      </c>
      <c r="X37" s="62">
        <f>IF('[4]سجل المستخلصات'!$AD$18="","",'[4]سجل المستخلصات'!$AD$18)</f>
        <v/>
      </c>
      <c r="Y37" s="58">
        <f>IF('[4]سجل المستخلصات'!$AE$18="","",'[4]سجل المستخلصات'!$AE$18)</f>
        <v/>
      </c>
    </row>
    <row r="38">
      <c r="B38" s="56" t="n">
        <v>14</v>
      </c>
      <c r="C38" s="57">
        <f>IF('[4]سجل المستخلصات'!$C$19="","",'[4]سجل المستخلصات'!$C$19)</f>
        <v/>
      </c>
      <c r="D38" s="57">
        <f>IF('[4]سجل المستخلصات'!$E$19="","",'[4]سجل المستخلصات'!$E$19)</f>
        <v/>
      </c>
      <c r="E38" s="58">
        <f>IF('[4]سجل المستخلصات'!$F$19="","",'[4]سجل المستخلصات'!$F$19)</f>
        <v/>
      </c>
      <c r="F38" s="59">
        <f>IF('[4]سجل المستخلصات'!$H$19="","",'[4]سجل المستخلصات'!$H$19)</f>
        <v/>
      </c>
      <c r="G38" s="59">
        <f>IF('[4]سجل المستخلصات'!$G$19="","",'[4]سجل المستخلصات'!$G$19)</f>
        <v/>
      </c>
      <c r="H38" s="59">
        <f>IF('[4]سجل المستخلصات'!$I$19="","",'[4]سجل المستخلصات'!$I$19)</f>
        <v/>
      </c>
      <c r="I38" s="59">
        <f>IF('[4]سجل المستخلصات'!$J$19="","",'[4]سجل المستخلصات'!$J$19)</f>
        <v/>
      </c>
      <c r="J38" s="59">
        <f>IF('[4]سجل المستخلصات'!$K$19="","",'[4]سجل المستخلصات'!$K$19)</f>
        <v/>
      </c>
      <c r="K38" s="60">
        <f>IF('[4]سجل المستخلصات'!$L$19="","",'[4]سجل المستخلصات'!$L$19)</f>
        <v/>
      </c>
      <c r="L38" s="60">
        <f>IF('[4]سجل المستخلصات'!$M$19="","",'[4]سجل المستخلصات'!$M$19)</f>
        <v/>
      </c>
      <c r="M38" s="60">
        <f>IF('[4]سجل المستخلصات'!$N$19="","",'[4]سجل المستخلصات'!$N$19)</f>
        <v/>
      </c>
      <c r="N38" s="59">
        <f>IF('[4]سجل المستخلصات'!$O$19="","",'[4]سجل المستخلصات'!$O$19)</f>
        <v/>
      </c>
      <c r="O38" s="59">
        <f>IF('[4]سجل المستخلصات'!$R$19="","",'[4]سجل المستخلصات'!$R$19)</f>
        <v/>
      </c>
      <c r="P38" s="59">
        <f>IF('[4]سجل المستخلصات'!$S$19="","",'[4]سجل المستخلصات'!$S$19)</f>
        <v/>
      </c>
      <c r="Q38" s="59">
        <f>IF('[4]سجل المستخلصات'!$T$19="","",'[4]سجل المستخلصات'!$T$19)</f>
        <v/>
      </c>
      <c r="R38" s="59">
        <f>IF('[4]سجل المستخلصات'!$V$19="","",'[4]سجل المستخلصات'!$V$19)</f>
        <v/>
      </c>
      <c r="S38" s="59">
        <f>IF('[4]سجل المستخلصات'!$W$19="","",'[4]سجل المستخلصات'!$W$19)</f>
        <v/>
      </c>
      <c r="T38" s="61">
        <f>IF('[4]سجل المستخلصات'!$X$19="","",'[4]سجل المستخلصات'!$X$19)</f>
        <v/>
      </c>
      <c r="U38" s="61">
        <f>IF('[4]سجل المستخلصات'!$Z$19="","",'[4]سجل المستخلصات'!$Z$19)</f>
        <v/>
      </c>
      <c r="V38" s="59">
        <f>IF('[4]سجل المستخلصات'!$AA$19="","",'[4]سجل المستخلصات'!$AA$19)</f>
        <v/>
      </c>
      <c r="W38" s="59">
        <f>IF('[4]سجل المستخلصات'!$AC$19="","",'[4]سجل المستخلصات'!$AC$19)</f>
        <v/>
      </c>
      <c r="X38" s="62">
        <f>IF('[4]سجل المستخلصات'!$AD$19="","",'[4]سجل المستخلصات'!$AD$19)</f>
        <v/>
      </c>
      <c r="Y38" s="58">
        <f>IF('[4]سجل المستخلصات'!$AE$19="","",'[4]سجل المستخلصات'!$AE$19)</f>
        <v/>
      </c>
    </row>
    <row r="39">
      <c r="B39" s="56" t="n">
        <v>15</v>
      </c>
      <c r="C39" s="57">
        <f>IF('[4]سجل المستخلصات'!$C$20="","",'[4]سجل المستخلصات'!$C$20)</f>
        <v/>
      </c>
      <c r="D39" s="57">
        <f>IF('[4]سجل المستخلصات'!$E$20="","",'[4]سجل المستخلصات'!$E$20)</f>
        <v/>
      </c>
      <c r="E39" s="58">
        <f>IF('[4]سجل المستخلصات'!$F$20="","",'[4]سجل المستخلصات'!$F$20)</f>
        <v/>
      </c>
      <c r="F39" s="59">
        <f>IF('[4]سجل المستخلصات'!$H$20="","",'[4]سجل المستخلصات'!$H$20)</f>
        <v/>
      </c>
      <c r="G39" s="59">
        <f>IF('[4]سجل المستخلصات'!$G$20="","",'[4]سجل المستخلصات'!$G$20)</f>
        <v/>
      </c>
      <c r="H39" s="59">
        <f>IF('[4]سجل المستخلصات'!$I$20="","",'[4]سجل المستخلصات'!$I$20)</f>
        <v/>
      </c>
      <c r="I39" s="59">
        <f>IF('[4]سجل المستخلصات'!$J$20="","",'[4]سجل المستخلصات'!$J$20)</f>
        <v/>
      </c>
      <c r="J39" s="59">
        <f>IF('[4]سجل المستخلصات'!$K$20="","",'[4]سجل المستخلصات'!$K$20)</f>
        <v/>
      </c>
      <c r="K39" s="60">
        <f>IF('[4]سجل المستخلصات'!$L$20="","",'[4]سجل المستخلصات'!$L$20)</f>
        <v/>
      </c>
      <c r="L39" s="60">
        <f>IF('[4]سجل المستخلصات'!$M$20="","",'[4]سجل المستخلصات'!$M$20)</f>
        <v/>
      </c>
      <c r="M39" s="60">
        <f>IF('[4]سجل المستخلصات'!$N$20="","",'[4]سجل المستخلصات'!$N$20)</f>
        <v/>
      </c>
      <c r="N39" s="59">
        <f>IF('[4]سجل المستخلصات'!$O$20="","",'[4]سجل المستخلصات'!$O$20)</f>
        <v/>
      </c>
      <c r="O39" s="59">
        <f>IF('[4]سجل المستخلصات'!$R$20="","",'[4]سجل المستخلصات'!$R$20)</f>
        <v/>
      </c>
      <c r="P39" s="59">
        <f>IF('[4]سجل المستخلصات'!$S$20="","",'[4]سجل المستخلصات'!$S$20)</f>
        <v/>
      </c>
      <c r="Q39" s="59">
        <f>IF('[4]سجل المستخلصات'!$T$20="","",'[4]سجل المستخلصات'!$T$20)</f>
        <v/>
      </c>
      <c r="R39" s="59">
        <f>IF('[4]سجل المستخلصات'!$V$20="","",'[4]سجل المستخلصات'!$V$20)</f>
        <v/>
      </c>
      <c r="S39" s="59">
        <f>IF('[4]سجل المستخلصات'!$W$20="","",'[4]سجل المستخلصات'!$W$20)</f>
        <v/>
      </c>
      <c r="T39" s="61">
        <f>IF('[4]سجل المستخلصات'!$X$20="","",'[4]سجل المستخلصات'!$X$20)</f>
        <v/>
      </c>
      <c r="U39" s="61">
        <f>IF('[4]سجل المستخلصات'!$Z$20="","",'[4]سجل المستخلصات'!$Z$20)</f>
        <v/>
      </c>
      <c r="V39" s="59">
        <f>IF('[4]سجل المستخلصات'!$AA$20="","",'[4]سجل المستخلصات'!$AA$20)</f>
        <v/>
      </c>
      <c r="W39" s="59">
        <f>IF('[4]سجل المستخلصات'!$AC$20="","",'[4]سجل المستخلصات'!$AC$20)</f>
        <v/>
      </c>
      <c r="X39" s="62">
        <f>IF('[4]سجل المستخلصات'!$AD$20="","",'[4]سجل المستخلصات'!$AD$20)</f>
        <v/>
      </c>
      <c r="Y39" s="58">
        <f>IF('[4]سجل المستخلصات'!$AE$20="","",'[4]سجل المستخلصات'!$AE$20)</f>
        <v/>
      </c>
    </row>
    <row r="40">
      <c r="B40" s="56" t="n">
        <v>16</v>
      </c>
      <c r="C40" s="57">
        <f>IF('[4]سجل المستخلصات'!$C$21="","",'[4]سجل المستخلصات'!$C$21)</f>
        <v/>
      </c>
      <c r="D40" s="57">
        <f>IF('[4]سجل المستخلصات'!$E$21="","",'[4]سجل المستخلصات'!$E$21)</f>
        <v/>
      </c>
      <c r="E40" s="58">
        <f>IF('[4]سجل المستخلصات'!$F$21="","",'[4]سجل المستخلصات'!$F$21)</f>
        <v/>
      </c>
      <c r="F40" s="59">
        <f>IF('[4]سجل المستخلصات'!$H$21="","",'[4]سجل المستخلصات'!$H$21)</f>
        <v/>
      </c>
      <c r="G40" s="59">
        <f>IF('[4]سجل المستخلصات'!$G$21="","",'[4]سجل المستخلصات'!$G$21)</f>
        <v/>
      </c>
      <c r="H40" s="59">
        <f>IF('[4]سجل المستخلصات'!$I$21="","",'[4]سجل المستخلصات'!$I$21)</f>
        <v/>
      </c>
      <c r="I40" s="59">
        <f>IF('[4]سجل المستخلصات'!$J$21="","",'[4]سجل المستخلصات'!$J$21)</f>
        <v/>
      </c>
      <c r="J40" s="59">
        <f>IF('[4]سجل المستخلصات'!$K$21="","",'[4]سجل المستخلصات'!$K$21)</f>
        <v/>
      </c>
      <c r="K40" s="60">
        <f>IF('[4]سجل المستخلصات'!$L$21="","",'[4]سجل المستخلصات'!$L$21)</f>
        <v/>
      </c>
      <c r="L40" s="60">
        <f>IF('[4]سجل المستخلصات'!$M$21="","",'[4]سجل المستخلصات'!$M$21)</f>
        <v/>
      </c>
      <c r="M40" s="60">
        <f>IF('[4]سجل المستخلصات'!$N$21="","",'[4]سجل المستخلصات'!$N$21)</f>
        <v/>
      </c>
      <c r="N40" s="59">
        <f>IF('[4]سجل المستخلصات'!$O$21="","",'[4]سجل المستخلصات'!$O$21)</f>
        <v/>
      </c>
      <c r="O40" s="59">
        <f>IF('[4]سجل المستخلصات'!$R$21="","",'[4]سجل المستخلصات'!$R$21)</f>
        <v/>
      </c>
      <c r="P40" s="59">
        <f>IF('[4]سجل المستخلصات'!$S$21="","",'[4]سجل المستخلصات'!$S$21)</f>
        <v/>
      </c>
      <c r="Q40" s="59">
        <f>IF('[4]سجل المستخلصات'!$T$21="","",'[4]سجل المستخلصات'!$T$21)</f>
        <v/>
      </c>
      <c r="R40" s="59">
        <f>IF('[4]سجل المستخلصات'!$V$21="","",'[4]سجل المستخلصات'!$V$21)</f>
        <v/>
      </c>
      <c r="S40" s="59">
        <f>IF('[4]سجل المستخلصات'!$W$21="","",'[4]سجل المستخلصات'!$W$21)</f>
        <v/>
      </c>
      <c r="T40" s="61">
        <f>IF('[4]سجل المستخلصات'!$X$21="","",'[4]سجل المستخلصات'!$X$21)</f>
        <v/>
      </c>
      <c r="U40" s="61">
        <f>IF('[4]سجل المستخلصات'!$Z$21="","",'[4]سجل المستخلصات'!$Z$21)</f>
        <v/>
      </c>
      <c r="V40" s="59">
        <f>IF('[4]سجل المستخلصات'!$AA$21="","",'[4]سجل المستخلصات'!$AA$21)</f>
        <v/>
      </c>
      <c r="W40" s="59">
        <f>IF('[4]سجل المستخلصات'!$AC$21="","",'[4]سجل المستخلصات'!$AC$21)</f>
        <v/>
      </c>
      <c r="X40" s="62">
        <f>IF('[4]سجل المستخلصات'!$AD$21="","",'[4]سجل المستخلصات'!$AD$21)</f>
        <v/>
      </c>
      <c r="Y40" s="58">
        <f>IF('[4]سجل المستخلصات'!$AE$21="","",'[4]سجل المستخلصات'!$AE$21)</f>
        <v/>
      </c>
    </row>
    <row r="41">
      <c r="B41" s="56" t="n">
        <v>17</v>
      </c>
      <c r="C41" s="57">
        <f>IF('[4]سجل المستخلصات'!$C$22="","",'[4]سجل المستخلصات'!$C$22)</f>
        <v/>
      </c>
      <c r="D41" s="57">
        <f>IF('[4]سجل المستخلصات'!$E$22="","",'[4]سجل المستخلصات'!$E$22)</f>
        <v/>
      </c>
      <c r="E41" s="58">
        <f>IF('[4]سجل المستخلصات'!$F$22="","",'[4]سجل المستخلصات'!$F$22)</f>
        <v/>
      </c>
      <c r="F41" s="59">
        <f>IF('[4]سجل المستخلصات'!$H$22="","",'[4]سجل المستخلصات'!$H$22)</f>
        <v/>
      </c>
      <c r="G41" s="59">
        <f>IF('[4]سجل المستخلصات'!$G$22="","",'[4]سجل المستخلصات'!$G$22)</f>
        <v/>
      </c>
      <c r="H41" s="59">
        <f>IF('[4]سجل المستخلصات'!$I$22="","",'[4]سجل المستخلصات'!$I$22)</f>
        <v/>
      </c>
      <c r="I41" s="59">
        <f>IF('[4]سجل المستخلصات'!$J$22="","",'[4]سجل المستخلصات'!$J$22)</f>
        <v/>
      </c>
      <c r="J41" s="59">
        <f>IF('[4]سجل المستخلصات'!$K$22="","",'[4]سجل المستخلصات'!$K$22)</f>
        <v/>
      </c>
      <c r="K41" s="60">
        <f>IF('[4]سجل المستخلصات'!$L$22="","",'[4]سجل المستخلصات'!$L$22)</f>
        <v/>
      </c>
      <c r="L41" s="60">
        <f>IF('[4]سجل المستخلصات'!$M$22="","",'[4]سجل المستخلصات'!$M$22)</f>
        <v/>
      </c>
      <c r="M41" s="60">
        <f>IF('[4]سجل المستخلصات'!$N$22="","",'[4]سجل المستخلصات'!$N$22)</f>
        <v/>
      </c>
      <c r="N41" s="59">
        <f>IF('[4]سجل المستخلصات'!$O$22="","",'[4]سجل المستخلصات'!$O$22)</f>
        <v/>
      </c>
      <c r="O41" s="59">
        <f>IF('[4]سجل المستخلصات'!$R$22="","",'[4]سجل المستخلصات'!$R$22)</f>
        <v/>
      </c>
      <c r="P41" s="59">
        <f>IF('[4]سجل المستخلصات'!$S$22="","",'[4]سجل المستخلصات'!$S$22)</f>
        <v/>
      </c>
      <c r="Q41" s="59">
        <f>IF('[4]سجل المستخلصات'!$T$22="","",'[4]سجل المستخلصات'!$T$22)</f>
        <v/>
      </c>
      <c r="R41" s="59">
        <f>IF('[4]سجل المستخلصات'!$V$22="","",'[4]سجل المستخلصات'!$V$22)</f>
        <v/>
      </c>
      <c r="S41" s="59">
        <f>IF('[4]سجل المستخلصات'!$W$22="","",'[4]سجل المستخلصات'!$W$22)</f>
        <v/>
      </c>
      <c r="T41" s="61">
        <f>IF('[4]سجل المستخلصات'!$X$22="","",'[4]سجل المستخلصات'!$X$22)</f>
        <v/>
      </c>
      <c r="U41" s="61">
        <f>IF('[4]سجل المستخلصات'!$Z$22="","",'[4]سجل المستخلصات'!$Z$22)</f>
        <v/>
      </c>
      <c r="V41" s="59">
        <f>IF('[4]سجل المستخلصات'!$AA$22="","",'[4]سجل المستخلصات'!$AA$22)</f>
        <v/>
      </c>
      <c r="W41" s="59">
        <f>IF('[4]سجل المستخلصات'!$AC$22="","",'[4]سجل المستخلصات'!$AC$22)</f>
        <v/>
      </c>
      <c r="X41" s="62">
        <f>IF('[4]سجل المستخلصات'!$AD$22="","",'[4]سجل المستخلصات'!$AD$22)</f>
        <v/>
      </c>
      <c r="Y41" s="58">
        <f>IF('[4]سجل المستخلصات'!$AE$22="","",'[4]سجل المستخلصات'!$AE$22)</f>
        <v/>
      </c>
    </row>
    <row r="42">
      <c r="B42" s="56" t="n">
        <v>18</v>
      </c>
      <c r="C42" s="57">
        <f>IF('[4]سجل المستخلصات'!$C$23="","",'[4]سجل المستخلصات'!$C$23)</f>
        <v/>
      </c>
      <c r="D42" s="57">
        <f>IF('[4]سجل المستخلصات'!$E$23="","",'[4]سجل المستخلصات'!$E$23)</f>
        <v/>
      </c>
      <c r="E42" s="58">
        <f>IF('[4]سجل المستخلصات'!$F$23="","",'[4]سجل المستخلصات'!$F$23)</f>
        <v/>
      </c>
      <c r="F42" s="59">
        <f>IF('[4]سجل المستخلصات'!$H$23="","",'[4]سجل المستخلصات'!$H$23)</f>
        <v/>
      </c>
      <c r="G42" s="59">
        <f>IF('[4]سجل المستخلصات'!$G$23="","",'[4]سجل المستخلصات'!$G$23)</f>
        <v/>
      </c>
      <c r="H42" s="59">
        <f>IF('[4]سجل المستخلصات'!$I$23="","",'[4]سجل المستخلصات'!$I$23)</f>
        <v/>
      </c>
      <c r="I42" s="59">
        <f>IF('[4]سجل المستخلصات'!$J$23="","",'[4]سجل المستخلصات'!$J$23)</f>
        <v/>
      </c>
      <c r="J42" s="59">
        <f>IF('[4]سجل المستخلصات'!$K$23="","",'[4]سجل المستخلصات'!$K$23)</f>
        <v/>
      </c>
      <c r="K42" s="60">
        <f>IF('[4]سجل المستخلصات'!$L$23="","",'[4]سجل المستخلصات'!$L$23)</f>
        <v/>
      </c>
      <c r="L42" s="60">
        <f>IF('[4]سجل المستخلصات'!$M$23="","",'[4]سجل المستخلصات'!$M$23)</f>
        <v/>
      </c>
      <c r="M42" s="60">
        <f>IF('[4]سجل المستخلصات'!$N$23="","",'[4]سجل المستخلصات'!$N$23)</f>
        <v/>
      </c>
      <c r="N42" s="59">
        <f>IF('[4]سجل المستخلصات'!$O$23="","",'[4]سجل المستخلصات'!$O$23)</f>
        <v/>
      </c>
      <c r="O42" s="59">
        <f>IF('[4]سجل المستخلصات'!$R$23="","",'[4]سجل المستخلصات'!$R$23)</f>
        <v/>
      </c>
      <c r="P42" s="59">
        <f>IF('[4]سجل المستخلصات'!$S$23="","",'[4]سجل المستخلصات'!$S$23)</f>
        <v/>
      </c>
      <c r="Q42" s="59">
        <f>IF('[4]سجل المستخلصات'!$T$23="","",'[4]سجل المستخلصات'!$T$23)</f>
        <v/>
      </c>
      <c r="R42" s="59">
        <f>IF('[4]سجل المستخلصات'!$V$23="","",'[4]سجل المستخلصات'!$V$23)</f>
        <v/>
      </c>
      <c r="S42" s="59">
        <f>IF('[4]سجل المستخلصات'!$W$23="","",'[4]سجل المستخلصات'!$W$23)</f>
        <v/>
      </c>
      <c r="T42" s="61">
        <f>IF('[4]سجل المستخلصات'!$X$23="","",'[4]سجل المستخلصات'!$X$23)</f>
        <v/>
      </c>
      <c r="U42" s="61">
        <f>IF('[4]سجل المستخلصات'!$Z$23="","",'[4]سجل المستخلصات'!$Z$23)</f>
        <v/>
      </c>
      <c r="V42" s="59">
        <f>IF('[4]سجل المستخلصات'!$AA$23="","",'[4]سجل المستخلصات'!$AA$23)</f>
        <v/>
      </c>
      <c r="W42" s="59">
        <f>IF('[4]سجل المستخلصات'!$AC$23="","",'[4]سجل المستخلصات'!$AC$23)</f>
        <v/>
      </c>
      <c r="X42" s="62">
        <f>IF('[4]سجل المستخلصات'!$AD$23="","",'[4]سجل المستخلصات'!$AD$23)</f>
        <v/>
      </c>
      <c r="Y42" s="58">
        <f>IF('[4]سجل المستخلصات'!$AE$23="","",'[4]سجل المستخلصات'!$AE$23)</f>
        <v/>
      </c>
    </row>
    <row r="43">
      <c r="B43" s="56" t="n">
        <v>19</v>
      </c>
      <c r="C43" s="57">
        <f>IF('[4]سجل المستخلصات'!$C$24="","",'[4]سجل المستخلصات'!$C$24)</f>
        <v/>
      </c>
      <c r="D43" s="57">
        <f>IF('[4]سجل المستخلصات'!$E$24="","",'[4]سجل المستخلصات'!$E$24)</f>
        <v/>
      </c>
      <c r="E43" s="58">
        <f>IF('[4]سجل المستخلصات'!$F$24="","",'[4]سجل المستخلصات'!$F$24)</f>
        <v/>
      </c>
      <c r="F43" s="59">
        <f>IF('[4]سجل المستخلصات'!$H$24="","",'[4]سجل المستخلصات'!$H$24)</f>
        <v/>
      </c>
      <c r="G43" s="59">
        <f>IF('[4]سجل المستخلصات'!$G$24="","",'[4]سجل المستخلصات'!$G$24)</f>
        <v/>
      </c>
      <c r="H43" s="59">
        <f>IF('[4]سجل المستخلصات'!$I$24="","",'[4]سجل المستخلصات'!$I$24)</f>
        <v/>
      </c>
      <c r="I43" s="59">
        <f>IF('[4]سجل المستخلصات'!$J$24="","",'[4]سجل المستخلصات'!$J$24)</f>
        <v/>
      </c>
      <c r="J43" s="59">
        <f>IF('[4]سجل المستخلصات'!$K$24="","",'[4]سجل المستخلصات'!$K$24)</f>
        <v/>
      </c>
      <c r="K43" s="60">
        <f>IF('[4]سجل المستخلصات'!$L$24="","",'[4]سجل المستخلصات'!$L$24)</f>
        <v/>
      </c>
      <c r="L43" s="60">
        <f>IF('[4]سجل المستخلصات'!$M$24="","",'[4]سجل المستخلصات'!$M$24)</f>
        <v/>
      </c>
      <c r="M43" s="60">
        <f>IF('[4]سجل المستخلصات'!$N$24="","",'[4]سجل المستخلصات'!$N$24)</f>
        <v/>
      </c>
      <c r="N43" s="59">
        <f>IF('[4]سجل المستخلصات'!$O$24="","",'[4]سجل المستخلصات'!$O$24)</f>
        <v/>
      </c>
      <c r="O43" s="59">
        <f>IF('[4]سجل المستخلصات'!$R$24="","",'[4]سجل المستخلصات'!$R$24)</f>
        <v/>
      </c>
      <c r="P43" s="59">
        <f>IF('[4]سجل المستخلصات'!$S$24="","",'[4]سجل المستخلصات'!$S$24)</f>
        <v/>
      </c>
      <c r="Q43" s="59">
        <f>IF('[4]سجل المستخلصات'!$T$24="","",'[4]سجل المستخلصات'!$T$24)</f>
        <v/>
      </c>
      <c r="R43" s="59">
        <f>IF('[4]سجل المستخلصات'!$V$24="","",'[4]سجل المستخلصات'!$V$24)</f>
        <v/>
      </c>
      <c r="S43" s="59">
        <f>IF('[4]سجل المستخلصات'!$W$24="","",'[4]سجل المستخلصات'!$W$24)</f>
        <v/>
      </c>
      <c r="T43" s="61">
        <f>IF('[4]سجل المستخلصات'!$X$24="","",'[4]سجل المستخلصات'!$X$24)</f>
        <v/>
      </c>
      <c r="U43" s="61">
        <f>IF('[4]سجل المستخلصات'!$Z$24="","",'[4]سجل المستخلصات'!$Z$24)</f>
        <v/>
      </c>
      <c r="V43" s="59">
        <f>IF('[4]سجل المستخلصات'!$AA$24="","",'[4]سجل المستخلصات'!$AA$24)</f>
        <v/>
      </c>
      <c r="W43" s="59">
        <f>IF('[4]سجل المستخلصات'!$AC$24="","",'[4]سجل المستخلصات'!$AC$24)</f>
        <v/>
      </c>
      <c r="X43" s="62">
        <f>IF('[4]سجل المستخلصات'!$AD$24="","",'[4]سجل المستخلصات'!$AD$24)</f>
        <v/>
      </c>
      <c r="Y43" s="58">
        <f>IF('[4]سجل المستخلصات'!$AE$24="","",'[4]سجل المستخلصات'!$AE$24)</f>
        <v/>
      </c>
    </row>
    <row r="44">
      <c r="B44" s="56" t="n">
        <v>20</v>
      </c>
      <c r="C44" s="57">
        <f>IF('[4]سجل المستخلصات'!$C$25="","",'[4]سجل المستخلصات'!$C$25)</f>
        <v/>
      </c>
      <c r="D44" s="57">
        <f>IF('[4]سجل المستخلصات'!$E$25="","",'[4]سجل المستخلصات'!$E$25)</f>
        <v/>
      </c>
      <c r="E44" s="58">
        <f>IF('[4]سجل المستخلصات'!$F$25="","",'[4]سجل المستخلصات'!$F$25)</f>
        <v/>
      </c>
      <c r="F44" s="59">
        <f>IF('[4]سجل المستخلصات'!$H$25="","",'[4]سجل المستخلصات'!$H$25)</f>
        <v/>
      </c>
      <c r="G44" s="59">
        <f>IF('[4]سجل المستخلصات'!$G$25="","",'[4]سجل المستخلصات'!$G$25)</f>
        <v/>
      </c>
      <c r="H44" s="59">
        <f>IF('[4]سجل المستخلصات'!$I$25="","",'[4]سجل المستخلصات'!$I$25)</f>
        <v/>
      </c>
      <c r="I44" s="59">
        <f>IF('[4]سجل المستخلصات'!$J$25="","",'[4]سجل المستخلصات'!$J$25)</f>
        <v/>
      </c>
      <c r="J44" s="59">
        <f>IF('[4]سجل المستخلصات'!$K$25="","",'[4]سجل المستخلصات'!$K$25)</f>
        <v/>
      </c>
      <c r="K44" s="60">
        <f>IF('[4]سجل المستخلصات'!$L$25="","",'[4]سجل المستخلصات'!$L$25)</f>
        <v/>
      </c>
      <c r="L44" s="60">
        <f>IF('[4]سجل المستخلصات'!$M$25="","",'[4]سجل المستخلصات'!$M$25)</f>
        <v/>
      </c>
      <c r="M44" s="60">
        <f>IF('[4]سجل المستخلصات'!$N$25="","",'[4]سجل المستخلصات'!$N$25)</f>
        <v/>
      </c>
      <c r="N44" s="59">
        <f>IF('[4]سجل المستخلصات'!$O$25="","",'[4]سجل المستخلصات'!$O$25)</f>
        <v/>
      </c>
      <c r="O44" s="59">
        <f>IF('[4]سجل المستخلصات'!$R$25="","",'[4]سجل المستخلصات'!$R$25)</f>
        <v/>
      </c>
      <c r="P44" s="59">
        <f>IF('[4]سجل المستخلصات'!$S$25="","",'[4]سجل المستخلصات'!$S$25)</f>
        <v/>
      </c>
      <c r="Q44" s="59">
        <f>IF('[4]سجل المستخلصات'!$T$25="","",'[4]سجل المستخلصات'!$T$25)</f>
        <v/>
      </c>
      <c r="R44" s="59">
        <f>IF('[4]سجل المستخلصات'!$V$25="","",'[4]سجل المستخلصات'!$V$25)</f>
        <v/>
      </c>
      <c r="S44" s="59">
        <f>IF('[4]سجل المستخلصات'!$W$25="","",'[4]سجل المستخلصات'!$W$25)</f>
        <v/>
      </c>
      <c r="T44" s="61">
        <f>IF('[4]سجل المستخلصات'!$X$25="","",'[4]سجل المستخلصات'!$X$25)</f>
        <v/>
      </c>
      <c r="U44" s="61">
        <f>IF('[4]سجل المستخلصات'!$Z$25="","",'[4]سجل المستخلصات'!$Z$25)</f>
        <v/>
      </c>
      <c r="V44" s="59">
        <f>IF('[4]سجل المستخلصات'!$AA$25="","",'[4]سجل المستخلصات'!$AA$25)</f>
        <v/>
      </c>
      <c r="W44" s="59">
        <f>IF('[4]سجل المستخلصات'!$AC$25="","",'[4]سجل المستخلصات'!$AC$25)</f>
        <v/>
      </c>
      <c r="X44" s="62">
        <f>IF('[4]سجل المستخلصات'!$AD$25="","",'[4]سجل المستخلصات'!$AD$25)</f>
        <v/>
      </c>
      <c r="Y44" s="58">
        <f>IF('[4]سجل المستخلصات'!$AE$25="","",'[4]سجل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IF('[4]سجل المستخلصات'!$B$32="","",'[4]سجل المستخلصات'!$B$32)</f>
        <v/>
      </c>
      <c r="C50" s="69" t="n"/>
      <c r="D50" s="69" t="n"/>
      <c r="E50" s="59">
        <f>N('[4]سجل المستخلصات'!$E$32)</f>
        <v/>
      </c>
      <c r="F50" s="59">
        <f>N('[4]سجل المستخلصات'!$F$32)</f>
        <v/>
      </c>
      <c r="G50" s="70">
        <f>IF(E50&gt;0,F50/E50,0)</f>
        <v/>
      </c>
    </row>
    <row r="51">
      <c r="B51" s="69">
        <f>IF('[4]سجل المستخلصات'!$B$33="","",'[4]سجل المستخلصات'!$B$33)</f>
        <v/>
      </c>
      <c r="C51" s="69" t="n"/>
      <c r="D51" s="69" t="n"/>
      <c r="E51" s="59">
        <f>N('[4]سجل المستخلصات'!$E$33)</f>
        <v/>
      </c>
      <c r="F51" s="59">
        <f>N('[4]سجل المستخلصات'!$F$33)</f>
        <v/>
      </c>
      <c r="G51" s="70">
        <f>IF(E51&gt;0,F51/E51,0)</f>
        <v/>
      </c>
    </row>
    <row r="52">
      <c r="B52" s="69">
        <f>IF('[4]سجل المستخلصات'!$B$34="","",'[4]سجل المستخلصات'!$B$34)</f>
        <v/>
      </c>
      <c r="C52" s="69" t="n"/>
      <c r="D52" s="69" t="n"/>
      <c r="E52" s="59">
        <f>N('[4]سجل المستخلصات'!$E$34)</f>
        <v/>
      </c>
      <c r="F52" s="59">
        <f>N('[4]سجل المستخلصات'!$F$34)</f>
        <v/>
      </c>
      <c r="G52" s="70">
        <f>IF(E52&gt;0,F52/E52,0)</f>
        <v/>
      </c>
    </row>
    <row r="53">
      <c r="B53" s="69">
        <f>IF('[4]سجل المستخلصات'!$B$35="","",'[4]سجل المستخلصات'!$B$35)</f>
        <v/>
      </c>
      <c r="C53" s="69" t="n"/>
      <c r="D53" s="69" t="n"/>
      <c r="E53" s="59">
        <f>N('[4]سجل المستخلصات'!$E$35)</f>
        <v/>
      </c>
      <c r="F53" s="59">
        <f>N('[4]سجل المستخلصات'!$F$35)</f>
        <v/>
      </c>
      <c r="G53" s="70">
        <f>IF(E53&gt;0,F53/E53,0)</f>
        <v/>
      </c>
    </row>
    <row r="54">
      <c r="B54" s="69">
        <f>IF('[4]سجل المستخلصات'!$B$36="","",'[4]سجل المستخلصات'!$B$36)</f>
        <v/>
      </c>
      <c r="C54" s="69" t="n"/>
      <c r="D54" s="69" t="n"/>
      <c r="E54" s="59">
        <f>N('[4]سجل المستخلصات'!$E$36)</f>
        <v/>
      </c>
      <c r="F54" s="59">
        <f>N('[4]سجل المستخلصات'!$F$36)</f>
        <v/>
      </c>
      <c r="G54" s="70">
        <f>IF(E54&gt;0,F54/E54,0)</f>
        <v/>
      </c>
    </row>
    <row r="55">
      <c r="B55" s="69">
        <f>IF('[4]سجل المستخلصات'!$B$37="","",'[4]سجل المستخلصات'!$B$37)</f>
        <v/>
      </c>
      <c r="C55" s="69" t="n"/>
      <c r="D55" s="69" t="n"/>
      <c r="E55" s="59">
        <f>N('[4]سجل المستخلصات'!$E$37)</f>
        <v/>
      </c>
      <c r="F55" s="59">
        <f>N('[4]سجل المستخلصات'!$F$37)</f>
        <v/>
      </c>
      <c r="G55" s="70">
        <f>IF(E55&gt;0,F55/E55,0)</f>
        <v/>
      </c>
    </row>
    <row r="56">
      <c r="B56" s="69">
        <f>IF('[4]سجل المستخلصات'!$B$38="","",'[4]سجل المستخلصات'!$B$38)</f>
        <v/>
      </c>
      <c r="C56" s="69" t="n"/>
      <c r="D56" s="69" t="n"/>
      <c r="E56" s="59">
        <f>N('[4]سجل المستخلصات'!$E$38)</f>
        <v/>
      </c>
      <c r="F56" s="59">
        <f>N('[4]سجل المستخلصات'!$F$38)</f>
        <v/>
      </c>
      <c r="G56" s="70">
        <f>IF(E56&gt;0,F56/E56,0)</f>
        <v/>
      </c>
    </row>
    <row r="57">
      <c r="B57" s="69">
        <f>IF('[4]سجل المستخلصات'!$B$39="","",'[4]سجل المستخلصات'!$B$39)</f>
        <v/>
      </c>
      <c r="C57" s="69" t="n"/>
      <c r="D57" s="69" t="n"/>
      <c r="E57" s="59">
        <f>N('[4]سجل المستخلصات'!$E$39)</f>
        <v/>
      </c>
      <c r="F57" s="59">
        <f>N('[4]سجل المستخلصات'!$F$39)</f>
        <v/>
      </c>
      <c r="G57" s="70">
        <f>IF(E57&gt;0,F57/E57,0)</f>
        <v/>
      </c>
    </row>
    <row r="58">
      <c r="B58" s="69">
        <f>IF('[4]سجل المستخلصات'!$B$40="","",'[4]سجل المستخلصات'!$B$40)</f>
        <v/>
      </c>
      <c r="C58" s="69" t="n"/>
      <c r="D58" s="69" t="n"/>
      <c r="E58" s="59">
        <f>N('[4]سجل المستخلصات'!$E$40)</f>
        <v/>
      </c>
      <c r="F58" s="59">
        <f>N('[4]سجل المستخلصات'!$F$40)</f>
        <v/>
      </c>
      <c r="G58" s="70">
        <f>IF(E58&gt;0,F58/E58,0)</f>
        <v/>
      </c>
    </row>
    <row r="59">
      <c r="B59" s="69">
        <f>IF('[4]سجل المستخلصات'!$B$41="","",'[4]سجل المستخلصات'!$B$41)</f>
        <v/>
      </c>
      <c r="C59" s="69" t="n"/>
      <c r="D59" s="69" t="n"/>
      <c r="E59" s="59">
        <f>N('[4]سجل المستخلصات'!$E$41)</f>
        <v/>
      </c>
      <c r="F59" s="59">
        <f>N('[4]سجل المستخلصات'!$F$41)</f>
        <v/>
      </c>
      <c r="G59" s="70">
        <f>IF(E59&gt;0,F59/E59,0)</f>
        <v/>
      </c>
    </row>
    <row r="60">
      <c r="B60" s="69">
        <f>IF('[4]سجل المستخلصات'!$B$42="","",'[4]سجل المستخلصات'!$B$42)</f>
        <v/>
      </c>
      <c r="C60" s="69" t="n"/>
      <c r="D60" s="69" t="n"/>
      <c r="E60" s="59">
        <f>N('[4]سجل المستخلصات'!$E$42)</f>
        <v/>
      </c>
      <c r="F60" s="59">
        <f>N('[4]سجل المستخلصات'!$F$42)</f>
        <v/>
      </c>
      <c r="G60" s="70">
        <f>IF(E60&gt;0,F60/E60,0)</f>
        <v/>
      </c>
    </row>
    <row r="61">
      <c r="B61" s="69">
        <f>IF('[4]سجل المستخلصات'!$B$43="","",'[4]سجل المستخلصات'!$B$43)</f>
        <v/>
      </c>
      <c r="C61" s="69" t="n"/>
      <c r="D61" s="69" t="n"/>
      <c r="E61" s="59">
        <f>N('[4]سجل المستخلصات'!$E$43)</f>
        <v/>
      </c>
      <c r="F61" s="59">
        <f>N('[4]سجل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03'!A1" display="◄ المشروع السابق"/>
    <hyperlink ref="D3" location="'مشروع 05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"&amp;IF('[5]بيانات العقد'!$C$5="","مشروع رقم 05 — غير مُفعّل",'[5]بيانات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Project_05/IPC_Project_05.xlsx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IF('[5]بيانات العقد'!$C$5="","",'[5]بيانات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IF('[5]بيانات العقد'!$C$6="","",'[5]بيانات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IF('[5]بيانات العقد'!$C$7="","",'[5]بيانات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IF('[5]بيانات العقد'!$C$8="","",'[5]بيانات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N('[5]بيانات العقد'!$C$16)</f>
        <v/>
      </c>
    </row>
    <row r="6" ht="22" customHeight="1">
      <c r="B6" s="11" t="inlineStr">
        <is>
          <t>المقاول</t>
        </is>
      </c>
      <c r="C6" s="14">
        <f>IF('[5]بيانات العقد'!$C$9="","",'[5]بيانات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IF('[5]بيانات العقد'!$C$11="","",'[5]بيانات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IF('[5]بيانات العقد'!$C$13="","",'[5]بيانات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IF('[5]بيانات العقد'!$C$14="","",'[5]بيانات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N('[5]بيانات العقد'!$C$17)</f>
        <v/>
      </c>
    </row>
    <row r="7">
      <c r="AA7" s="15" t="inlineStr">
        <is>
          <t>قيمة العقد المعدلة</t>
        </is>
      </c>
      <c r="AB7" s="16">
        <f>N('[5]بيانات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N('[5]بيانات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N('[5]بيانات العقد'!$C$21)</f>
        <v/>
      </c>
    </row>
    <row r="10">
      <c r="AA10" s="15" t="inlineStr">
        <is>
          <t>نسبة ضمان الأعمال</t>
        </is>
      </c>
      <c r="AB10" s="23">
        <f>N('[5]بيانات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N('[5]بيانات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N('[5]بيانات العقد'!$C$31)</f>
        <v/>
      </c>
    </row>
    <row r="13">
      <c r="AA13" s="15" t="inlineStr">
        <is>
          <t>ضريبة الاستقطاع (غير المقيم)</t>
        </is>
      </c>
      <c r="AB13" s="23">
        <f>N('[5]بيانات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IF('[5]بيانات العقد'!$C$11="","",'[5]بيانات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IF('[5]بيانات العقد'!$C$13="","",'[5]بيانات العقد'!$C$13)</f>
        <v/>
      </c>
    </row>
    <row r="16">
      <c r="AA16" s="15" t="inlineStr">
        <is>
          <t>المدة (شهر)</t>
        </is>
      </c>
      <c r="AB16" s="43">
        <f>IF('[5]بيانات العقد'!$C$12="","",'[5]بيانات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IF('[5]بيانات العقد'!$C$36="","",'[5]بيانات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IF('[5]بيانات العقد'!$C$37="","",'[5]بيانات العقد'!$C$37)</f>
        <v/>
      </c>
    </row>
    <row r="19">
      <c r="AA19" s="15" t="inlineStr">
        <is>
          <t>الرقم الضريبي لصاحب العمل</t>
        </is>
      </c>
      <c r="AB19" s="48">
        <f>IF('[5]بيانات العقد'!$C$39="","",'[5]بيانات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IF('[5]بيانات العقد'!$C$42="","",'[5]بيانات العقد'!$C$42)</f>
        <v/>
      </c>
    </row>
    <row r="21" ht="32" customHeight="1">
      <c r="B21" s="50">
        <f>N('[5]الموازنة والتكاليف'!$D$66)</f>
        <v/>
      </c>
      <c r="C21" s="50" t="n"/>
      <c r="D21" s="50" t="n"/>
      <c r="E21" s="50" t="n"/>
      <c r="F21" s="50">
        <f>N('[5]الموازنة والتكاليف'!$D$70)</f>
        <v/>
      </c>
      <c r="G21" s="50" t="n"/>
      <c r="H21" s="50" t="n"/>
      <c r="I21" s="50" t="n"/>
      <c r="J21" s="50">
        <f>N('[5]الموازنة والتكاليف'!$D$72)</f>
        <v/>
      </c>
      <c r="K21" s="50" t="n"/>
      <c r="L21" s="50" t="n"/>
      <c r="M21" s="50" t="n"/>
      <c r="N21" s="51">
        <f>N('[5]الموازنة والتكاليف'!$D$73)</f>
        <v/>
      </c>
      <c r="O21" s="51" t="n"/>
      <c r="P21" s="51" t="n"/>
      <c r="Q21" s="51" t="n"/>
      <c r="R21" s="52">
        <f>N('[5]الموازنة والتكاليف'!$D$74)</f>
        <v/>
      </c>
      <c r="S21" s="52" t="n"/>
      <c r="T21" s="52" t="n"/>
      <c r="U21" s="52" t="n"/>
      <c r="V21" s="50">
        <f>N('[5]الموازنة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IF('[5]بيانات العقد'!$C$43="","",'[5]بيانات العقد'!$C$43)</f>
        <v/>
      </c>
    </row>
    <row r="22">
      <c r="AA22" s="15" t="inlineStr">
        <is>
          <t>حالة غرامات التأخير</t>
        </is>
      </c>
      <c r="AB22" s="45">
        <f>IF('[5]بيانات العقد'!$C$47="","",'[5]بيانات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IF('[5]سجل المستخلصات'!$C$6="","",'[5]سجل المستخلصات'!$C$6)</f>
        <v/>
      </c>
      <c r="D25" s="57">
        <f>IF('[5]سجل المستخلصات'!$E$6="","",'[5]سجل المستخلصات'!$E$6)</f>
        <v/>
      </c>
      <c r="E25" s="58">
        <f>IF('[5]سجل المستخلصات'!$F$6="","",'[5]سجل المستخلصات'!$F$6)</f>
        <v/>
      </c>
      <c r="F25" s="59">
        <f>IF('[5]سجل المستخلصات'!$H$6="","",'[5]سجل المستخلصات'!$H$6)</f>
        <v/>
      </c>
      <c r="G25" s="59">
        <f>IF('[5]سجل المستخلصات'!$G$6="","",'[5]سجل المستخلصات'!$G$6)</f>
        <v/>
      </c>
      <c r="H25" s="59">
        <f>IF('[5]سجل المستخلصات'!$I$6="","",'[5]سجل المستخلصات'!$I$6)</f>
        <v/>
      </c>
      <c r="I25" s="59">
        <f>IF('[5]سجل المستخلصات'!$J$6="","",'[5]سجل المستخلصات'!$J$6)</f>
        <v/>
      </c>
      <c r="J25" s="59">
        <f>IF('[5]سجل المستخلصات'!$K$6="","",'[5]سجل المستخلصات'!$K$6)</f>
        <v/>
      </c>
      <c r="K25" s="60">
        <f>IF('[5]سجل المستخلصات'!$L$6="","",'[5]سجل المستخلصات'!$L$6)</f>
        <v/>
      </c>
      <c r="L25" s="60">
        <f>IF('[5]سجل المستخلصات'!$M$6="","",'[5]سجل المستخلصات'!$M$6)</f>
        <v/>
      </c>
      <c r="M25" s="60">
        <f>IF('[5]سجل المستخلصات'!$N$6="","",'[5]سجل المستخلصات'!$N$6)</f>
        <v/>
      </c>
      <c r="N25" s="59">
        <f>IF('[5]سجل المستخلصات'!$O$6="","",'[5]سجل المستخلصات'!$O$6)</f>
        <v/>
      </c>
      <c r="O25" s="59">
        <f>IF('[5]سجل المستخلصات'!$R$6="","",'[5]سجل المستخلصات'!$R$6)</f>
        <v/>
      </c>
      <c r="P25" s="59">
        <f>IF('[5]سجل المستخلصات'!$S$6="","",'[5]سجل المستخلصات'!$S$6)</f>
        <v/>
      </c>
      <c r="Q25" s="59">
        <f>IF('[5]سجل المستخلصات'!$T$6="","",'[5]سجل المستخلصات'!$T$6)</f>
        <v/>
      </c>
      <c r="R25" s="59">
        <f>IF('[5]سجل المستخلصات'!$V$6="","",'[5]سجل المستخلصات'!$V$6)</f>
        <v/>
      </c>
      <c r="S25" s="59">
        <f>IF('[5]سجل المستخلصات'!$W$6="","",'[5]سجل المستخلصات'!$W$6)</f>
        <v/>
      </c>
      <c r="T25" s="61">
        <f>IF('[5]سجل المستخلصات'!$X$6="","",'[5]سجل المستخلصات'!$X$6)</f>
        <v/>
      </c>
      <c r="U25" s="61">
        <f>IF('[5]سجل المستخلصات'!$Z$6="","",'[5]سجل المستخلصات'!$Z$6)</f>
        <v/>
      </c>
      <c r="V25" s="59">
        <f>IF('[5]سجل المستخلصات'!$AA$6="","",'[5]سجل المستخلصات'!$AA$6)</f>
        <v/>
      </c>
      <c r="W25" s="59">
        <f>IF('[5]سجل المستخلصات'!$AC$6="","",'[5]سجل المستخلصات'!$AC$6)</f>
        <v/>
      </c>
      <c r="X25" s="62">
        <f>IF('[5]سجل المستخلصات'!$AD$6="","",'[5]سجل المستخلصات'!$AD$6)</f>
        <v/>
      </c>
      <c r="Y25" s="58">
        <f>IF('[5]سجل المستخلصات'!$AE$6="","",'[5]سجل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IF('[5]سجل المستخلصات'!$C$7="","",'[5]سجل المستخلصات'!$C$7)</f>
        <v/>
      </c>
      <c r="D26" s="57">
        <f>IF('[5]سجل المستخلصات'!$E$7="","",'[5]سجل المستخلصات'!$E$7)</f>
        <v/>
      </c>
      <c r="E26" s="58">
        <f>IF('[5]سجل المستخلصات'!$F$7="","",'[5]سجل المستخلصات'!$F$7)</f>
        <v/>
      </c>
      <c r="F26" s="59">
        <f>IF('[5]سجل المستخلصات'!$H$7="","",'[5]سجل المستخلصات'!$H$7)</f>
        <v/>
      </c>
      <c r="G26" s="59">
        <f>IF('[5]سجل المستخلصات'!$G$7="","",'[5]سجل المستخلصات'!$G$7)</f>
        <v/>
      </c>
      <c r="H26" s="59">
        <f>IF('[5]سجل المستخلصات'!$I$7="","",'[5]سجل المستخلصات'!$I$7)</f>
        <v/>
      </c>
      <c r="I26" s="59">
        <f>IF('[5]سجل المستخلصات'!$J$7="","",'[5]سجل المستخلصات'!$J$7)</f>
        <v/>
      </c>
      <c r="J26" s="59">
        <f>IF('[5]سجل المستخلصات'!$K$7="","",'[5]سجل المستخلصات'!$K$7)</f>
        <v/>
      </c>
      <c r="K26" s="60">
        <f>IF('[5]سجل المستخلصات'!$L$7="","",'[5]سجل المستخلصات'!$L$7)</f>
        <v/>
      </c>
      <c r="L26" s="60">
        <f>IF('[5]سجل المستخلصات'!$M$7="","",'[5]سجل المستخلصات'!$M$7)</f>
        <v/>
      </c>
      <c r="M26" s="60">
        <f>IF('[5]سجل المستخلصات'!$N$7="","",'[5]سجل المستخلصات'!$N$7)</f>
        <v/>
      </c>
      <c r="N26" s="59">
        <f>IF('[5]سجل المستخلصات'!$O$7="","",'[5]سجل المستخلصات'!$O$7)</f>
        <v/>
      </c>
      <c r="O26" s="59">
        <f>IF('[5]سجل المستخلصات'!$R$7="","",'[5]سجل المستخلصات'!$R$7)</f>
        <v/>
      </c>
      <c r="P26" s="59">
        <f>IF('[5]سجل المستخلصات'!$S$7="","",'[5]سجل المستخلصات'!$S$7)</f>
        <v/>
      </c>
      <c r="Q26" s="59">
        <f>IF('[5]سجل المستخلصات'!$T$7="","",'[5]سجل المستخلصات'!$T$7)</f>
        <v/>
      </c>
      <c r="R26" s="59">
        <f>IF('[5]سجل المستخلصات'!$V$7="","",'[5]سجل المستخلصات'!$V$7)</f>
        <v/>
      </c>
      <c r="S26" s="59">
        <f>IF('[5]سجل المستخلصات'!$W$7="","",'[5]سجل المستخلصات'!$W$7)</f>
        <v/>
      </c>
      <c r="T26" s="61">
        <f>IF('[5]سجل المستخلصات'!$X$7="","",'[5]سجل المستخلصات'!$X$7)</f>
        <v/>
      </c>
      <c r="U26" s="61">
        <f>IF('[5]سجل المستخلصات'!$Z$7="","",'[5]سجل المستخلصات'!$Z$7)</f>
        <v/>
      </c>
      <c r="V26" s="59">
        <f>IF('[5]سجل المستخلصات'!$AA$7="","",'[5]سجل المستخلصات'!$AA$7)</f>
        <v/>
      </c>
      <c r="W26" s="59">
        <f>IF('[5]سجل المستخلصات'!$AC$7="","",'[5]سجل المستخلصات'!$AC$7)</f>
        <v/>
      </c>
      <c r="X26" s="62">
        <f>IF('[5]سجل المستخلصات'!$AD$7="","",'[5]سجل المستخلصات'!$AD$7)</f>
        <v/>
      </c>
      <c r="Y26" s="58">
        <f>IF('[5]سجل المستخلصات'!$AE$7="","",'[5]سجل المستخلصات'!$AE$7)</f>
        <v/>
      </c>
      <c r="AA26" s="63" t="n"/>
      <c r="AB26" s="63" t="n"/>
    </row>
    <row r="27">
      <c r="B27" s="56" t="n">
        <v>3</v>
      </c>
      <c r="C27" s="57">
        <f>IF('[5]سجل المستخلصات'!$C$8="","",'[5]سجل المستخلصات'!$C$8)</f>
        <v/>
      </c>
      <c r="D27" s="57">
        <f>IF('[5]سجل المستخلصات'!$E$8="","",'[5]سجل المستخلصات'!$E$8)</f>
        <v/>
      </c>
      <c r="E27" s="58">
        <f>IF('[5]سجل المستخلصات'!$F$8="","",'[5]سجل المستخلصات'!$F$8)</f>
        <v/>
      </c>
      <c r="F27" s="59">
        <f>IF('[5]سجل المستخلصات'!$H$8="","",'[5]سجل المستخلصات'!$H$8)</f>
        <v/>
      </c>
      <c r="G27" s="59">
        <f>IF('[5]سجل المستخلصات'!$G$8="","",'[5]سجل المستخلصات'!$G$8)</f>
        <v/>
      </c>
      <c r="H27" s="59">
        <f>IF('[5]سجل المستخلصات'!$I$8="","",'[5]سجل المستخلصات'!$I$8)</f>
        <v/>
      </c>
      <c r="I27" s="59">
        <f>IF('[5]سجل المستخلصات'!$J$8="","",'[5]سجل المستخلصات'!$J$8)</f>
        <v/>
      </c>
      <c r="J27" s="59">
        <f>IF('[5]سجل المستخلصات'!$K$8="","",'[5]سجل المستخلصات'!$K$8)</f>
        <v/>
      </c>
      <c r="K27" s="60">
        <f>IF('[5]سجل المستخلصات'!$L$8="","",'[5]سجل المستخلصات'!$L$8)</f>
        <v/>
      </c>
      <c r="L27" s="60">
        <f>IF('[5]سجل المستخلصات'!$M$8="","",'[5]سجل المستخلصات'!$M$8)</f>
        <v/>
      </c>
      <c r="M27" s="60">
        <f>IF('[5]سجل المستخلصات'!$N$8="","",'[5]سجل المستخلصات'!$N$8)</f>
        <v/>
      </c>
      <c r="N27" s="59">
        <f>IF('[5]سجل المستخلصات'!$O$8="","",'[5]سجل المستخلصات'!$O$8)</f>
        <v/>
      </c>
      <c r="O27" s="59">
        <f>IF('[5]سجل المستخلصات'!$R$8="","",'[5]سجل المستخلصات'!$R$8)</f>
        <v/>
      </c>
      <c r="P27" s="59">
        <f>IF('[5]سجل المستخلصات'!$S$8="","",'[5]سجل المستخلصات'!$S$8)</f>
        <v/>
      </c>
      <c r="Q27" s="59">
        <f>IF('[5]سجل المستخلصات'!$T$8="","",'[5]سجل المستخلصات'!$T$8)</f>
        <v/>
      </c>
      <c r="R27" s="59">
        <f>IF('[5]سجل المستخلصات'!$V$8="","",'[5]سجل المستخلصات'!$V$8)</f>
        <v/>
      </c>
      <c r="S27" s="59">
        <f>IF('[5]سجل المستخلصات'!$W$8="","",'[5]سجل المستخلصات'!$W$8)</f>
        <v/>
      </c>
      <c r="T27" s="61">
        <f>IF('[5]سجل المستخلصات'!$X$8="","",'[5]سجل المستخلصات'!$X$8)</f>
        <v/>
      </c>
      <c r="U27" s="61">
        <f>IF('[5]سجل المستخلصات'!$Z$8="","",'[5]سجل المستخلصات'!$Z$8)</f>
        <v/>
      </c>
      <c r="V27" s="59">
        <f>IF('[5]سجل المستخلصات'!$AA$8="","",'[5]سجل المستخلصات'!$AA$8)</f>
        <v/>
      </c>
      <c r="W27" s="59">
        <f>IF('[5]سجل المستخلصات'!$AC$8="","",'[5]سجل المستخلصات'!$AC$8)</f>
        <v/>
      </c>
      <c r="X27" s="62">
        <f>IF('[5]سجل المستخلصات'!$AD$8="","",'[5]سجل المستخلصات'!$AD$8)</f>
        <v/>
      </c>
      <c r="Y27" s="58">
        <f>IF('[5]سجل المستخلصات'!$AE$8="","",'[5]سجل المستخلصات'!$AE$8)</f>
        <v/>
      </c>
      <c r="AA27" s="63" t="n"/>
      <c r="AB27" s="63" t="n"/>
    </row>
    <row r="28">
      <c r="B28" s="56" t="n">
        <v>4</v>
      </c>
      <c r="C28" s="57">
        <f>IF('[5]سجل المستخلصات'!$C$9="","",'[5]سجل المستخلصات'!$C$9)</f>
        <v/>
      </c>
      <c r="D28" s="57">
        <f>IF('[5]سجل المستخلصات'!$E$9="","",'[5]سجل المستخلصات'!$E$9)</f>
        <v/>
      </c>
      <c r="E28" s="58">
        <f>IF('[5]سجل المستخلصات'!$F$9="","",'[5]سجل المستخلصات'!$F$9)</f>
        <v/>
      </c>
      <c r="F28" s="59">
        <f>IF('[5]سجل المستخلصات'!$H$9="","",'[5]سجل المستخلصات'!$H$9)</f>
        <v/>
      </c>
      <c r="G28" s="59">
        <f>IF('[5]سجل المستخلصات'!$G$9="","",'[5]سجل المستخلصات'!$G$9)</f>
        <v/>
      </c>
      <c r="H28" s="59">
        <f>IF('[5]سجل المستخلصات'!$I$9="","",'[5]سجل المستخلصات'!$I$9)</f>
        <v/>
      </c>
      <c r="I28" s="59">
        <f>IF('[5]سجل المستخلصات'!$J$9="","",'[5]سجل المستخلصات'!$J$9)</f>
        <v/>
      </c>
      <c r="J28" s="59">
        <f>IF('[5]سجل المستخلصات'!$K$9="","",'[5]سجل المستخلصات'!$K$9)</f>
        <v/>
      </c>
      <c r="K28" s="60">
        <f>IF('[5]سجل المستخلصات'!$L$9="","",'[5]سجل المستخلصات'!$L$9)</f>
        <v/>
      </c>
      <c r="L28" s="60">
        <f>IF('[5]سجل المستخلصات'!$M$9="","",'[5]سجل المستخلصات'!$M$9)</f>
        <v/>
      </c>
      <c r="M28" s="60">
        <f>IF('[5]سجل المستخلصات'!$N$9="","",'[5]سجل المستخلصات'!$N$9)</f>
        <v/>
      </c>
      <c r="N28" s="59">
        <f>IF('[5]سجل المستخلصات'!$O$9="","",'[5]سجل المستخلصات'!$O$9)</f>
        <v/>
      </c>
      <c r="O28" s="59">
        <f>IF('[5]سجل المستخلصات'!$R$9="","",'[5]سجل المستخلصات'!$R$9)</f>
        <v/>
      </c>
      <c r="P28" s="59">
        <f>IF('[5]سجل المستخلصات'!$S$9="","",'[5]سجل المستخلصات'!$S$9)</f>
        <v/>
      </c>
      <c r="Q28" s="59">
        <f>IF('[5]سجل المستخلصات'!$T$9="","",'[5]سجل المستخلصات'!$T$9)</f>
        <v/>
      </c>
      <c r="R28" s="59">
        <f>IF('[5]سجل المستخلصات'!$V$9="","",'[5]سجل المستخلصات'!$V$9)</f>
        <v/>
      </c>
      <c r="S28" s="59">
        <f>IF('[5]سجل المستخلصات'!$W$9="","",'[5]سجل المستخلصات'!$W$9)</f>
        <v/>
      </c>
      <c r="T28" s="61">
        <f>IF('[5]سجل المستخلصات'!$X$9="","",'[5]سجل المستخلصات'!$X$9)</f>
        <v/>
      </c>
      <c r="U28" s="61">
        <f>IF('[5]سجل المستخلصات'!$Z$9="","",'[5]سجل المستخلصات'!$Z$9)</f>
        <v/>
      </c>
      <c r="V28" s="59">
        <f>IF('[5]سجل المستخلصات'!$AA$9="","",'[5]سجل المستخلصات'!$AA$9)</f>
        <v/>
      </c>
      <c r="W28" s="59">
        <f>IF('[5]سجل المستخلصات'!$AC$9="","",'[5]سجل المستخلصات'!$AC$9)</f>
        <v/>
      </c>
      <c r="X28" s="62">
        <f>IF('[5]سجل المستخلصات'!$AD$9="","",'[5]سجل المستخلصات'!$AD$9)</f>
        <v/>
      </c>
      <c r="Y28" s="58">
        <f>IF('[5]سجل المستخلصات'!$AE$9="","",'[5]سجل المستخلصات'!$AE$9)</f>
        <v/>
      </c>
      <c r="AA28" s="63" t="n"/>
      <c r="AB28" s="63" t="n"/>
    </row>
    <row r="29">
      <c r="B29" s="56" t="n">
        <v>5</v>
      </c>
      <c r="C29" s="57">
        <f>IF('[5]سجل المستخلصات'!$C$10="","",'[5]سجل المستخلصات'!$C$10)</f>
        <v/>
      </c>
      <c r="D29" s="57">
        <f>IF('[5]سجل المستخلصات'!$E$10="","",'[5]سجل المستخلصات'!$E$10)</f>
        <v/>
      </c>
      <c r="E29" s="58">
        <f>IF('[5]سجل المستخلصات'!$F$10="","",'[5]سجل المستخلصات'!$F$10)</f>
        <v/>
      </c>
      <c r="F29" s="59">
        <f>IF('[5]سجل المستخلصات'!$H$10="","",'[5]سجل المستخلصات'!$H$10)</f>
        <v/>
      </c>
      <c r="G29" s="59">
        <f>IF('[5]سجل المستخلصات'!$G$10="","",'[5]سجل المستخلصات'!$G$10)</f>
        <v/>
      </c>
      <c r="H29" s="59">
        <f>IF('[5]سجل المستخلصات'!$I$10="","",'[5]سجل المستخلصات'!$I$10)</f>
        <v/>
      </c>
      <c r="I29" s="59">
        <f>IF('[5]سجل المستخلصات'!$J$10="","",'[5]سجل المستخلصات'!$J$10)</f>
        <v/>
      </c>
      <c r="J29" s="59">
        <f>IF('[5]سجل المستخلصات'!$K$10="","",'[5]سجل المستخلصات'!$K$10)</f>
        <v/>
      </c>
      <c r="K29" s="60">
        <f>IF('[5]سجل المستخلصات'!$L$10="","",'[5]سجل المستخلصات'!$L$10)</f>
        <v/>
      </c>
      <c r="L29" s="60">
        <f>IF('[5]سجل المستخلصات'!$M$10="","",'[5]سجل المستخلصات'!$M$10)</f>
        <v/>
      </c>
      <c r="M29" s="60">
        <f>IF('[5]سجل المستخلصات'!$N$10="","",'[5]سجل المستخلصات'!$N$10)</f>
        <v/>
      </c>
      <c r="N29" s="59">
        <f>IF('[5]سجل المستخلصات'!$O$10="","",'[5]سجل المستخلصات'!$O$10)</f>
        <v/>
      </c>
      <c r="O29" s="59">
        <f>IF('[5]سجل المستخلصات'!$R$10="","",'[5]سجل المستخلصات'!$R$10)</f>
        <v/>
      </c>
      <c r="P29" s="59">
        <f>IF('[5]سجل المستخلصات'!$S$10="","",'[5]سجل المستخلصات'!$S$10)</f>
        <v/>
      </c>
      <c r="Q29" s="59">
        <f>IF('[5]سجل المستخلصات'!$T$10="","",'[5]سجل المستخلصات'!$T$10)</f>
        <v/>
      </c>
      <c r="R29" s="59">
        <f>IF('[5]سجل المستخلصات'!$V$10="","",'[5]سجل المستخلصات'!$V$10)</f>
        <v/>
      </c>
      <c r="S29" s="59">
        <f>IF('[5]سجل المستخلصات'!$W$10="","",'[5]سجل المستخلصات'!$W$10)</f>
        <v/>
      </c>
      <c r="T29" s="61">
        <f>IF('[5]سجل المستخلصات'!$X$10="","",'[5]سجل المستخلصات'!$X$10)</f>
        <v/>
      </c>
      <c r="U29" s="61">
        <f>IF('[5]سجل المستخلصات'!$Z$10="","",'[5]سجل المستخلصات'!$Z$10)</f>
        <v/>
      </c>
      <c r="V29" s="59">
        <f>IF('[5]سجل المستخلصات'!$AA$10="","",'[5]سجل المستخلصات'!$AA$10)</f>
        <v/>
      </c>
      <c r="W29" s="59">
        <f>IF('[5]سجل المستخلصات'!$AC$10="","",'[5]سجل المستخلصات'!$AC$10)</f>
        <v/>
      </c>
      <c r="X29" s="62">
        <f>IF('[5]سجل المستخلصات'!$AD$10="","",'[5]سجل المستخلصات'!$AD$10)</f>
        <v/>
      </c>
      <c r="Y29" s="58">
        <f>IF('[5]سجل المستخلصات'!$AE$10="","",'[5]سجل المستخلصات'!$AE$10)</f>
        <v/>
      </c>
    </row>
    <row r="30">
      <c r="B30" s="56" t="n">
        <v>6</v>
      </c>
      <c r="C30" s="57">
        <f>IF('[5]سجل المستخلصات'!$C$11="","",'[5]سجل المستخلصات'!$C$11)</f>
        <v/>
      </c>
      <c r="D30" s="57">
        <f>IF('[5]سجل المستخلصات'!$E$11="","",'[5]سجل المستخلصات'!$E$11)</f>
        <v/>
      </c>
      <c r="E30" s="58">
        <f>IF('[5]سجل المستخلصات'!$F$11="","",'[5]سجل المستخلصات'!$F$11)</f>
        <v/>
      </c>
      <c r="F30" s="59">
        <f>IF('[5]سجل المستخلصات'!$H$11="","",'[5]سجل المستخلصات'!$H$11)</f>
        <v/>
      </c>
      <c r="G30" s="59">
        <f>IF('[5]سجل المستخلصات'!$G$11="","",'[5]سجل المستخلصات'!$G$11)</f>
        <v/>
      </c>
      <c r="H30" s="59">
        <f>IF('[5]سجل المستخلصات'!$I$11="","",'[5]سجل المستخلصات'!$I$11)</f>
        <v/>
      </c>
      <c r="I30" s="59">
        <f>IF('[5]سجل المستخلصات'!$J$11="","",'[5]سجل المستخلصات'!$J$11)</f>
        <v/>
      </c>
      <c r="J30" s="59">
        <f>IF('[5]سجل المستخلصات'!$K$11="","",'[5]سجل المستخلصات'!$K$11)</f>
        <v/>
      </c>
      <c r="K30" s="60">
        <f>IF('[5]سجل المستخلصات'!$L$11="","",'[5]سجل المستخلصات'!$L$11)</f>
        <v/>
      </c>
      <c r="L30" s="60">
        <f>IF('[5]سجل المستخلصات'!$M$11="","",'[5]سجل المستخلصات'!$M$11)</f>
        <v/>
      </c>
      <c r="M30" s="60">
        <f>IF('[5]سجل المستخلصات'!$N$11="","",'[5]سجل المستخلصات'!$N$11)</f>
        <v/>
      </c>
      <c r="N30" s="59">
        <f>IF('[5]سجل المستخلصات'!$O$11="","",'[5]سجل المستخلصات'!$O$11)</f>
        <v/>
      </c>
      <c r="O30" s="59">
        <f>IF('[5]سجل المستخلصات'!$R$11="","",'[5]سجل المستخلصات'!$R$11)</f>
        <v/>
      </c>
      <c r="P30" s="59">
        <f>IF('[5]سجل المستخلصات'!$S$11="","",'[5]سجل المستخلصات'!$S$11)</f>
        <v/>
      </c>
      <c r="Q30" s="59">
        <f>IF('[5]سجل المستخلصات'!$T$11="","",'[5]سجل المستخلصات'!$T$11)</f>
        <v/>
      </c>
      <c r="R30" s="59">
        <f>IF('[5]سجل المستخلصات'!$V$11="","",'[5]سجل المستخلصات'!$V$11)</f>
        <v/>
      </c>
      <c r="S30" s="59">
        <f>IF('[5]سجل المستخلصات'!$W$11="","",'[5]سجل المستخلصات'!$W$11)</f>
        <v/>
      </c>
      <c r="T30" s="61">
        <f>IF('[5]سجل المستخلصات'!$X$11="","",'[5]سجل المستخلصات'!$X$11)</f>
        <v/>
      </c>
      <c r="U30" s="61">
        <f>IF('[5]سجل المستخلصات'!$Z$11="","",'[5]سجل المستخلصات'!$Z$11)</f>
        <v/>
      </c>
      <c r="V30" s="59">
        <f>IF('[5]سجل المستخلصات'!$AA$11="","",'[5]سجل المستخلصات'!$AA$11)</f>
        <v/>
      </c>
      <c r="W30" s="59">
        <f>IF('[5]سجل المستخلصات'!$AC$11="","",'[5]سجل المستخلصات'!$AC$11)</f>
        <v/>
      </c>
      <c r="X30" s="62">
        <f>IF('[5]سجل المستخلصات'!$AD$11="","",'[5]سجل المستخلصات'!$AD$11)</f>
        <v/>
      </c>
      <c r="Y30" s="58">
        <f>IF('[5]سجل المستخلصات'!$AE$11="","",'[5]سجل المستخلصات'!$AE$11)</f>
        <v/>
      </c>
    </row>
    <row r="31">
      <c r="B31" s="56" t="n">
        <v>7</v>
      </c>
      <c r="C31" s="57">
        <f>IF('[5]سجل المستخلصات'!$C$12="","",'[5]سجل المستخلصات'!$C$12)</f>
        <v/>
      </c>
      <c r="D31" s="57">
        <f>IF('[5]سجل المستخلصات'!$E$12="","",'[5]سجل المستخلصات'!$E$12)</f>
        <v/>
      </c>
      <c r="E31" s="58">
        <f>IF('[5]سجل المستخلصات'!$F$12="","",'[5]سجل المستخلصات'!$F$12)</f>
        <v/>
      </c>
      <c r="F31" s="59">
        <f>IF('[5]سجل المستخلصات'!$H$12="","",'[5]سجل المستخلصات'!$H$12)</f>
        <v/>
      </c>
      <c r="G31" s="59">
        <f>IF('[5]سجل المستخلصات'!$G$12="","",'[5]سجل المستخلصات'!$G$12)</f>
        <v/>
      </c>
      <c r="H31" s="59">
        <f>IF('[5]سجل المستخلصات'!$I$12="","",'[5]سجل المستخلصات'!$I$12)</f>
        <v/>
      </c>
      <c r="I31" s="59">
        <f>IF('[5]سجل المستخلصات'!$J$12="","",'[5]سجل المستخلصات'!$J$12)</f>
        <v/>
      </c>
      <c r="J31" s="59">
        <f>IF('[5]سجل المستخلصات'!$K$12="","",'[5]سجل المستخلصات'!$K$12)</f>
        <v/>
      </c>
      <c r="K31" s="60">
        <f>IF('[5]سجل المستخلصات'!$L$12="","",'[5]سجل المستخلصات'!$L$12)</f>
        <v/>
      </c>
      <c r="L31" s="60">
        <f>IF('[5]سجل المستخلصات'!$M$12="","",'[5]سجل المستخلصات'!$M$12)</f>
        <v/>
      </c>
      <c r="M31" s="60">
        <f>IF('[5]سجل المستخلصات'!$N$12="","",'[5]سجل المستخلصات'!$N$12)</f>
        <v/>
      </c>
      <c r="N31" s="59">
        <f>IF('[5]سجل المستخلصات'!$O$12="","",'[5]سجل المستخلصات'!$O$12)</f>
        <v/>
      </c>
      <c r="O31" s="59">
        <f>IF('[5]سجل المستخلصات'!$R$12="","",'[5]سجل المستخلصات'!$R$12)</f>
        <v/>
      </c>
      <c r="P31" s="59">
        <f>IF('[5]سجل المستخلصات'!$S$12="","",'[5]سجل المستخلصات'!$S$12)</f>
        <v/>
      </c>
      <c r="Q31" s="59">
        <f>IF('[5]سجل المستخلصات'!$T$12="","",'[5]سجل المستخلصات'!$T$12)</f>
        <v/>
      </c>
      <c r="R31" s="59">
        <f>IF('[5]سجل المستخلصات'!$V$12="","",'[5]سجل المستخلصات'!$V$12)</f>
        <v/>
      </c>
      <c r="S31" s="59">
        <f>IF('[5]سجل المستخلصات'!$W$12="","",'[5]سجل المستخلصات'!$W$12)</f>
        <v/>
      </c>
      <c r="T31" s="61">
        <f>IF('[5]سجل المستخلصات'!$X$12="","",'[5]سجل المستخلصات'!$X$12)</f>
        <v/>
      </c>
      <c r="U31" s="61">
        <f>IF('[5]سجل المستخلصات'!$Z$12="","",'[5]سجل المستخلصات'!$Z$12)</f>
        <v/>
      </c>
      <c r="V31" s="59">
        <f>IF('[5]سجل المستخلصات'!$AA$12="","",'[5]سجل المستخلصات'!$AA$12)</f>
        <v/>
      </c>
      <c r="W31" s="59">
        <f>IF('[5]سجل المستخلصات'!$AC$12="","",'[5]سجل المستخلصات'!$AC$12)</f>
        <v/>
      </c>
      <c r="X31" s="62">
        <f>IF('[5]سجل المستخلصات'!$AD$12="","",'[5]سجل المستخلصات'!$AD$12)</f>
        <v/>
      </c>
      <c r="Y31" s="58">
        <f>IF('[5]سجل المستخلصات'!$AE$12="","",'[5]سجل المستخلصات'!$AE$12)</f>
        <v/>
      </c>
    </row>
    <row r="32">
      <c r="B32" s="56" t="n">
        <v>8</v>
      </c>
      <c r="C32" s="57">
        <f>IF('[5]سجل المستخلصات'!$C$13="","",'[5]سجل المستخلصات'!$C$13)</f>
        <v/>
      </c>
      <c r="D32" s="57">
        <f>IF('[5]سجل المستخلصات'!$E$13="","",'[5]سجل المستخلصات'!$E$13)</f>
        <v/>
      </c>
      <c r="E32" s="58">
        <f>IF('[5]سجل المستخلصات'!$F$13="","",'[5]سجل المستخلصات'!$F$13)</f>
        <v/>
      </c>
      <c r="F32" s="59">
        <f>IF('[5]سجل المستخلصات'!$H$13="","",'[5]سجل المستخلصات'!$H$13)</f>
        <v/>
      </c>
      <c r="G32" s="59">
        <f>IF('[5]سجل المستخلصات'!$G$13="","",'[5]سجل المستخلصات'!$G$13)</f>
        <v/>
      </c>
      <c r="H32" s="59">
        <f>IF('[5]سجل المستخلصات'!$I$13="","",'[5]سجل المستخلصات'!$I$13)</f>
        <v/>
      </c>
      <c r="I32" s="59">
        <f>IF('[5]سجل المستخلصات'!$J$13="","",'[5]سجل المستخلصات'!$J$13)</f>
        <v/>
      </c>
      <c r="J32" s="59">
        <f>IF('[5]سجل المستخلصات'!$K$13="","",'[5]سجل المستخلصات'!$K$13)</f>
        <v/>
      </c>
      <c r="K32" s="60">
        <f>IF('[5]سجل المستخلصات'!$L$13="","",'[5]سجل المستخلصات'!$L$13)</f>
        <v/>
      </c>
      <c r="L32" s="60">
        <f>IF('[5]سجل المستخلصات'!$M$13="","",'[5]سجل المستخلصات'!$M$13)</f>
        <v/>
      </c>
      <c r="M32" s="60">
        <f>IF('[5]سجل المستخلصات'!$N$13="","",'[5]سجل المستخلصات'!$N$13)</f>
        <v/>
      </c>
      <c r="N32" s="59">
        <f>IF('[5]سجل المستخلصات'!$O$13="","",'[5]سجل المستخلصات'!$O$13)</f>
        <v/>
      </c>
      <c r="O32" s="59">
        <f>IF('[5]سجل المستخلصات'!$R$13="","",'[5]سجل المستخلصات'!$R$13)</f>
        <v/>
      </c>
      <c r="P32" s="59">
        <f>IF('[5]سجل المستخلصات'!$S$13="","",'[5]سجل المستخلصات'!$S$13)</f>
        <v/>
      </c>
      <c r="Q32" s="59">
        <f>IF('[5]سجل المستخلصات'!$T$13="","",'[5]سجل المستخلصات'!$T$13)</f>
        <v/>
      </c>
      <c r="R32" s="59">
        <f>IF('[5]سجل المستخلصات'!$V$13="","",'[5]سجل المستخلصات'!$V$13)</f>
        <v/>
      </c>
      <c r="S32" s="59">
        <f>IF('[5]سجل المستخلصات'!$W$13="","",'[5]سجل المستخلصات'!$W$13)</f>
        <v/>
      </c>
      <c r="T32" s="61">
        <f>IF('[5]سجل المستخلصات'!$X$13="","",'[5]سجل المستخلصات'!$X$13)</f>
        <v/>
      </c>
      <c r="U32" s="61">
        <f>IF('[5]سجل المستخلصات'!$Z$13="","",'[5]سجل المستخلصات'!$Z$13)</f>
        <v/>
      </c>
      <c r="V32" s="59">
        <f>IF('[5]سجل المستخلصات'!$AA$13="","",'[5]سجل المستخلصات'!$AA$13)</f>
        <v/>
      </c>
      <c r="W32" s="59">
        <f>IF('[5]سجل المستخلصات'!$AC$13="","",'[5]سجل المستخلصات'!$AC$13)</f>
        <v/>
      </c>
      <c r="X32" s="62">
        <f>IF('[5]سجل المستخلصات'!$AD$13="","",'[5]سجل المستخلصات'!$AD$13)</f>
        <v/>
      </c>
      <c r="Y32" s="58">
        <f>IF('[5]سجل المستخلصات'!$AE$13="","",'[5]سجل المستخلصات'!$AE$13)</f>
        <v/>
      </c>
    </row>
    <row r="33">
      <c r="B33" s="56" t="n">
        <v>9</v>
      </c>
      <c r="C33" s="57">
        <f>IF('[5]سجل المستخلصات'!$C$14="","",'[5]سجل المستخلصات'!$C$14)</f>
        <v/>
      </c>
      <c r="D33" s="57">
        <f>IF('[5]سجل المستخلصات'!$E$14="","",'[5]سجل المستخلصات'!$E$14)</f>
        <v/>
      </c>
      <c r="E33" s="58">
        <f>IF('[5]سجل المستخلصات'!$F$14="","",'[5]سجل المستخلصات'!$F$14)</f>
        <v/>
      </c>
      <c r="F33" s="59">
        <f>IF('[5]سجل المستخلصات'!$H$14="","",'[5]سجل المستخلصات'!$H$14)</f>
        <v/>
      </c>
      <c r="G33" s="59">
        <f>IF('[5]سجل المستخلصات'!$G$14="","",'[5]سجل المستخلصات'!$G$14)</f>
        <v/>
      </c>
      <c r="H33" s="59">
        <f>IF('[5]سجل المستخلصات'!$I$14="","",'[5]سجل المستخلصات'!$I$14)</f>
        <v/>
      </c>
      <c r="I33" s="59">
        <f>IF('[5]سجل المستخلصات'!$J$14="","",'[5]سجل المستخلصات'!$J$14)</f>
        <v/>
      </c>
      <c r="J33" s="59">
        <f>IF('[5]سجل المستخلصات'!$K$14="","",'[5]سجل المستخلصات'!$K$14)</f>
        <v/>
      </c>
      <c r="K33" s="60">
        <f>IF('[5]سجل المستخلصات'!$L$14="","",'[5]سجل المستخلصات'!$L$14)</f>
        <v/>
      </c>
      <c r="L33" s="60">
        <f>IF('[5]سجل المستخلصات'!$M$14="","",'[5]سجل المستخلصات'!$M$14)</f>
        <v/>
      </c>
      <c r="M33" s="60">
        <f>IF('[5]سجل المستخلصات'!$N$14="","",'[5]سجل المستخلصات'!$N$14)</f>
        <v/>
      </c>
      <c r="N33" s="59">
        <f>IF('[5]سجل المستخلصات'!$O$14="","",'[5]سجل المستخلصات'!$O$14)</f>
        <v/>
      </c>
      <c r="O33" s="59">
        <f>IF('[5]سجل المستخلصات'!$R$14="","",'[5]سجل المستخلصات'!$R$14)</f>
        <v/>
      </c>
      <c r="P33" s="59">
        <f>IF('[5]سجل المستخلصات'!$S$14="","",'[5]سجل المستخلصات'!$S$14)</f>
        <v/>
      </c>
      <c r="Q33" s="59">
        <f>IF('[5]سجل المستخلصات'!$T$14="","",'[5]سجل المستخلصات'!$T$14)</f>
        <v/>
      </c>
      <c r="R33" s="59">
        <f>IF('[5]سجل المستخلصات'!$V$14="","",'[5]سجل المستخلصات'!$V$14)</f>
        <v/>
      </c>
      <c r="S33" s="59">
        <f>IF('[5]سجل المستخلصات'!$W$14="","",'[5]سجل المستخلصات'!$W$14)</f>
        <v/>
      </c>
      <c r="T33" s="61">
        <f>IF('[5]سجل المستخلصات'!$X$14="","",'[5]سجل المستخلصات'!$X$14)</f>
        <v/>
      </c>
      <c r="U33" s="61">
        <f>IF('[5]سجل المستخلصات'!$Z$14="","",'[5]سجل المستخلصات'!$Z$14)</f>
        <v/>
      </c>
      <c r="V33" s="59">
        <f>IF('[5]سجل المستخلصات'!$AA$14="","",'[5]سجل المستخلصات'!$AA$14)</f>
        <v/>
      </c>
      <c r="W33" s="59">
        <f>IF('[5]سجل المستخلصات'!$AC$14="","",'[5]سجل المستخلصات'!$AC$14)</f>
        <v/>
      </c>
      <c r="X33" s="62">
        <f>IF('[5]سجل المستخلصات'!$AD$14="","",'[5]سجل المستخلصات'!$AD$14)</f>
        <v/>
      </c>
      <c r="Y33" s="58">
        <f>IF('[5]سجل المستخلصات'!$AE$14="","",'[5]سجل المستخلصات'!$AE$14)</f>
        <v/>
      </c>
    </row>
    <row r="34">
      <c r="B34" s="56" t="n">
        <v>10</v>
      </c>
      <c r="C34" s="57">
        <f>IF('[5]سجل المستخلصات'!$C$15="","",'[5]سجل المستخلصات'!$C$15)</f>
        <v/>
      </c>
      <c r="D34" s="57">
        <f>IF('[5]سجل المستخلصات'!$E$15="","",'[5]سجل المستخلصات'!$E$15)</f>
        <v/>
      </c>
      <c r="E34" s="58">
        <f>IF('[5]سجل المستخلصات'!$F$15="","",'[5]سجل المستخلصات'!$F$15)</f>
        <v/>
      </c>
      <c r="F34" s="59">
        <f>IF('[5]سجل المستخلصات'!$H$15="","",'[5]سجل المستخلصات'!$H$15)</f>
        <v/>
      </c>
      <c r="G34" s="59">
        <f>IF('[5]سجل المستخلصات'!$G$15="","",'[5]سجل المستخلصات'!$G$15)</f>
        <v/>
      </c>
      <c r="H34" s="59">
        <f>IF('[5]سجل المستخلصات'!$I$15="","",'[5]سجل المستخلصات'!$I$15)</f>
        <v/>
      </c>
      <c r="I34" s="59">
        <f>IF('[5]سجل المستخلصات'!$J$15="","",'[5]سجل المستخلصات'!$J$15)</f>
        <v/>
      </c>
      <c r="J34" s="59">
        <f>IF('[5]سجل المستخلصات'!$K$15="","",'[5]سجل المستخلصات'!$K$15)</f>
        <v/>
      </c>
      <c r="K34" s="60">
        <f>IF('[5]سجل المستخلصات'!$L$15="","",'[5]سجل المستخلصات'!$L$15)</f>
        <v/>
      </c>
      <c r="L34" s="60">
        <f>IF('[5]سجل المستخلصات'!$M$15="","",'[5]سجل المستخلصات'!$M$15)</f>
        <v/>
      </c>
      <c r="M34" s="60">
        <f>IF('[5]سجل المستخلصات'!$N$15="","",'[5]سجل المستخلصات'!$N$15)</f>
        <v/>
      </c>
      <c r="N34" s="59">
        <f>IF('[5]سجل المستخلصات'!$O$15="","",'[5]سجل المستخلصات'!$O$15)</f>
        <v/>
      </c>
      <c r="O34" s="59">
        <f>IF('[5]سجل المستخلصات'!$R$15="","",'[5]سجل المستخلصات'!$R$15)</f>
        <v/>
      </c>
      <c r="P34" s="59">
        <f>IF('[5]سجل المستخلصات'!$S$15="","",'[5]سجل المستخلصات'!$S$15)</f>
        <v/>
      </c>
      <c r="Q34" s="59">
        <f>IF('[5]سجل المستخلصات'!$T$15="","",'[5]سجل المستخلصات'!$T$15)</f>
        <v/>
      </c>
      <c r="R34" s="59">
        <f>IF('[5]سجل المستخلصات'!$V$15="","",'[5]سجل المستخلصات'!$V$15)</f>
        <v/>
      </c>
      <c r="S34" s="59">
        <f>IF('[5]سجل المستخلصات'!$W$15="","",'[5]سجل المستخلصات'!$W$15)</f>
        <v/>
      </c>
      <c r="T34" s="61">
        <f>IF('[5]سجل المستخلصات'!$X$15="","",'[5]سجل المستخلصات'!$X$15)</f>
        <v/>
      </c>
      <c r="U34" s="61">
        <f>IF('[5]سجل المستخلصات'!$Z$15="","",'[5]سجل المستخلصات'!$Z$15)</f>
        <v/>
      </c>
      <c r="V34" s="59">
        <f>IF('[5]سجل المستخلصات'!$AA$15="","",'[5]سجل المستخلصات'!$AA$15)</f>
        <v/>
      </c>
      <c r="W34" s="59">
        <f>IF('[5]سجل المستخلصات'!$AC$15="","",'[5]سجل المستخلصات'!$AC$15)</f>
        <v/>
      </c>
      <c r="X34" s="62">
        <f>IF('[5]سجل المستخلصات'!$AD$15="","",'[5]سجل المستخلصات'!$AD$15)</f>
        <v/>
      </c>
      <c r="Y34" s="58">
        <f>IF('[5]سجل المستخلصات'!$AE$15="","",'[5]سجل المستخلصات'!$AE$15)</f>
        <v/>
      </c>
    </row>
    <row r="35">
      <c r="B35" s="56" t="n">
        <v>11</v>
      </c>
      <c r="C35" s="57">
        <f>IF('[5]سجل المستخلصات'!$C$16="","",'[5]سجل المستخلصات'!$C$16)</f>
        <v/>
      </c>
      <c r="D35" s="57">
        <f>IF('[5]سجل المستخلصات'!$E$16="","",'[5]سجل المستخلصات'!$E$16)</f>
        <v/>
      </c>
      <c r="E35" s="58">
        <f>IF('[5]سجل المستخلصات'!$F$16="","",'[5]سجل المستخلصات'!$F$16)</f>
        <v/>
      </c>
      <c r="F35" s="59">
        <f>IF('[5]سجل المستخلصات'!$H$16="","",'[5]سجل المستخلصات'!$H$16)</f>
        <v/>
      </c>
      <c r="G35" s="59">
        <f>IF('[5]سجل المستخلصات'!$G$16="","",'[5]سجل المستخلصات'!$G$16)</f>
        <v/>
      </c>
      <c r="H35" s="59">
        <f>IF('[5]سجل المستخلصات'!$I$16="","",'[5]سجل المستخلصات'!$I$16)</f>
        <v/>
      </c>
      <c r="I35" s="59">
        <f>IF('[5]سجل المستخلصات'!$J$16="","",'[5]سجل المستخلصات'!$J$16)</f>
        <v/>
      </c>
      <c r="J35" s="59">
        <f>IF('[5]سجل المستخلصات'!$K$16="","",'[5]سجل المستخلصات'!$K$16)</f>
        <v/>
      </c>
      <c r="K35" s="60">
        <f>IF('[5]سجل المستخلصات'!$L$16="","",'[5]سجل المستخلصات'!$L$16)</f>
        <v/>
      </c>
      <c r="L35" s="60">
        <f>IF('[5]سجل المستخلصات'!$M$16="","",'[5]سجل المستخلصات'!$M$16)</f>
        <v/>
      </c>
      <c r="M35" s="60">
        <f>IF('[5]سجل المستخلصات'!$N$16="","",'[5]سجل المستخلصات'!$N$16)</f>
        <v/>
      </c>
      <c r="N35" s="59">
        <f>IF('[5]سجل المستخلصات'!$O$16="","",'[5]سجل المستخلصات'!$O$16)</f>
        <v/>
      </c>
      <c r="O35" s="59">
        <f>IF('[5]سجل المستخلصات'!$R$16="","",'[5]سجل المستخلصات'!$R$16)</f>
        <v/>
      </c>
      <c r="P35" s="59">
        <f>IF('[5]سجل المستخلصات'!$S$16="","",'[5]سجل المستخلصات'!$S$16)</f>
        <v/>
      </c>
      <c r="Q35" s="59">
        <f>IF('[5]سجل المستخلصات'!$T$16="","",'[5]سجل المستخلصات'!$T$16)</f>
        <v/>
      </c>
      <c r="R35" s="59">
        <f>IF('[5]سجل المستخلصات'!$V$16="","",'[5]سجل المستخلصات'!$V$16)</f>
        <v/>
      </c>
      <c r="S35" s="59">
        <f>IF('[5]سجل المستخلصات'!$W$16="","",'[5]سجل المستخلصات'!$W$16)</f>
        <v/>
      </c>
      <c r="T35" s="61">
        <f>IF('[5]سجل المستخلصات'!$X$16="","",'[5]سجل المستخلصات'!$X$16)</f>
        <v/>
      </c>
      <c r="U35" s="61">
        <f>IF('[5]سجل المستخلصات'!$Z$16="","",'[5]سجل المستخلصات'!$Z$16)</f>
        <v/>
      </c>
      <c r="V35" s="59">
        <f>IF('[5]سجل المستخلصات'!$AA$16="","",'[5]سجل المستخلصات'!$AA$16)</f>
        <v/>
      </c>
      <c r="W35" s="59">
        <f>IF('[5]سجل المستخلصات'!$AC$16="","",'[5]سجل المستخلصات'!$AC$16)</f>
        <v/>
      </c>
      <c r="X35" s="62">
        <f>IF('[5]سجل المستخلصات'!$AD$16="","",'[5]سجل المستخلصات'!$AD$16)</f>
        <v/>
      </c>
      <c r="Y35" s="58">
        <f>IF('[5]سجل المستخلصات'!$AE$16="","",'[5]سجل المستخلصات'!$AE$16)</f>
        <v/>
      </c>
    </row>
    <row r="36">
      <c r="B36" s="56" t="n">
        <v>12</v>
      </c>
      <c r="C36" s="57">
        <f>IF('[5]سجل المستخلصات'!$C$17="","",'[5]سجل المستخلصات'!$C$17)</f>
        <v/>
      </c>
      <c r="D36" s="57">
        <f>IF('[5]سجل المستخلصات'!$E$17="","",'[5]سجل المستخلصات'!$E$17)</f>
        <v/>
      </c>
      <c r="E36" s="58">
        <f>IF('[5]سجل المستخلصات'!$F$17="","",'[5]سجل المستخلصات'!$F$17)</f>
        <v/>
      </c>
      <c r="F36" s="59">
        <f>IF('[5]سجل المستخلصات'!$H$17="","",'[5]سجل المستخلصات'!$H$17)</f>
        <v/>
      </c>
      <c r="G36" s="59">
        <f>IF('[5]سجل المستخلصات'!$G$17="","",'[5]سجل المستخلصات'!$G$17)</f>
        <v/>
      </c>
      <c r="H36" s="59">
        <f>IF('[5]سجل المستخلصات'!$I$17="","",'[5]سجل المستخلصات'!$I$17)</f>
        <v/>
      </c>
      <c r="I36" s="59">
        <f>IF('[5]سجل المستخلصات'!$J$17="","",'[5]سجل المستخلصات'!$J$17)</f>
        <v/>
      </c>
      <c r="J36" s="59">
        <f>IF('[5]سجل المستخلصات'!$K$17="","",'[5]سجل المستخلصات'!$K$17)</f>
        <v/>
      </c>
      <c r="K36" s="60">
        <f>IF('[5]سجل المستخلصات'!$L$17="","",'[5]سجل المستخلصات'!$L$17)</f>
        <v/>
      </c>
      <c r="L36" s="60">
        <f>IF('[5]سجل المستخلصات'!$M$17="","",'[5]سجل المستخلصات'!$M$17)</f>
        <v/>
      </c>
      <c r="M36" s="60">
        <f>IF('[5]سجل المستخلصات'!$N$17="","",'[5]سجل المستخلصات'!$N$17)</f>
        <v/>
      </c>
      <c r="N36" s="59">
        <f>IF('[5]سجل المستخلصات'!$O$17="","",'[5]سجل المستخلصات'!$O$17)</f>
        <v/>
      </c>
      <c r="O36" s="59">
        <f>IF('[5]سجل المستخلصات'!$R$17="","",'[5]سجل المستخلصات'!$R$17)</f>
        <v/>
      </c>
      <c r="P36" s="59">
        <f>IF('[5]سجل المستخلصات'!$S$17="","",'[5]سجل المستخلصات'!$S$17)</f>
        <v/>
      </c>
      <c r="Q36" s="59">
        <f>IF('[5]سجل المستخلصات'!$T$17="","",'[5]سجل المستخلصات'!$T$17)</f>
        <v/>
      </c>
      <c r="R36" s="59">
        <f>IF('[5]سجل المستخلصات'!$V$17="","",'[5]سجل المستخلصات'!$V$17)</f>
        <v/>
      </c>
      <c r="S36" s="59">
        <f>IF('[5]سجل المستخلصات'!$W$17="","",'[5]سجل المستخلصات'!$W$17)</f>
        <v/>
      </c>
      <c r="T36" s="61">
        <f>IF('[5]سجل المستخلصات'!$X$17="","",'[5]سجل المستخلصات'!$X$17)</f>
        <v/>
      </c>
      <c r="U36" s="61">
        <f>IF('[5]سجل المستخلصات'!$Z$17="","",'[5]سجل المستخلصات'!$Z$17)</f>
        <v/>
      </c>
      <c r="V36" s="59">
        <f>IF('[5]سجل المستخلصات'!$AA$17="","",'[5]سجل المستخلصات'!$AA$17)</f>
        <v/>
      </c>
      <c r="W36" s="59">
        <f>IF('[5]سجل المستخلصات'!$AC$17="","",'[5]سجل المستخلصات'!$AC$17)</f>
        <v/>
      </c>
      <c r="X36" s="62">
        <f>IF('[5]سجل المستخلصات'!$AD$17="","",'[5]سجل المستخلصات'!$AD$17)</f>
        <v/>
      </c>
      <c r="Y36" s="58">
        <f>IF('[5]سجل المستخلصات'!$AE$17="","",'[5]سجل المستخلصات'!$AE$17)</f>
        <v/>
      </c>
    </row>
    <row r="37">
      <c r="B37" s="56" t="n">
        <v>13</v>
      </c>
      <c r="C37" s="57">
        <f>IF('[5]سجل المستخلصات'!$C$18="","",'[5]سجل المستخلصات'!$C$18)</f>
        <v/>
      </c>
      <c r="D37" s="57">
        <f>IF('[5]سجل المستخلصات'!$E$18="","",'[5]سجل المستخلصات'!$E$18)</f>
        <v/>
      </c>
      <c r="E37" s="58">
        <f>IF('[5]سجل المستخلصات'!$F$18="","",'[5]سجل المستخلصات'!$F$18)</f>
        <v/>
      </c>
      <c r="F37" s="59">
        <f>IF('[5]سجل المستخلصات'!$H$18="","",'[5]سجل المستخلصات'!$H$18)</f>
        <v/>
      </c>
      <c r="G37" s="59">
        <f>IF('[5]سجل المستخلصات'!$G$18="","",'[5]سجل المستخلصات'!$G$18)</f>
        <v/>
      </c>
      <c r="H37" s="59">
        <f>IF('[5]سجل المستخلصات'!$I$18="","",'[5]سجل المستخلصات'!$I$18)</f>
        <v/>
      </c>
      <c r="I37" s="59">
        <f>IF('[5]سجل المستخلصات'!$J$18="","",'[5]سجل المستخلصات'!$J$18)</f>
        <v/>
      </c>
      <c r="J37" s="59">
        <f>IF('[5]سجل المستخلصات'!$K$18="","",'[5]سجل المستخلصات'!$K$18)</f>
        <v/>
      </c>
      <c r="K37" s="60">
        <f>IF('[5]سجل المستخلصات'!$L$18="","",'[5]سجل المستخلصات'!$L$18)</f>
        <v/>
      </c>
      <c r="L37" s="60">
        <f>IF('[5]سجل المستخلصات'!$M$18="","",'[5]سجل المستخلصات'!$M$18)</f>
        <v/>
      </c>
      <c r="M37" s="60">
        <f>IF('[5]سجل المستخلصات'!$N$18="","",'[5]سجل المستخلصات'!$N$18)</f>
        <v/>
      </c>
      <c r="N37" s="59">
        <f>IF('[5]سجل المستخلصات'!$O$18="","",'[5]سجل المستخلصات'!$O$18)</f>
        <v/>
      </c>
      <c r="O37" s="59">
        <f>IF('[5]سجل المستخلصات'!$R$18="","",'[5]سجل المستخلصات'!$R$18)</f>
        <v/>
      </c>
      <c r="P37" s="59">
        <f>IF('[5]سجل المستخلصات'!$S$18="","",'[5]سجل المستخلصات'!$S$18)</f>
        <v/>
      </c>
      <c r="Q37" s="59">
        <f>IF('[5]سجل المستخلصات'!$T$18="","",'[5]سجل المستخلصات'!$T$18)</f>
        <v/>
      </c>
      <c r="R37" s="59">
        <f>IF('[5]سجل المستخلصات'!$V$18="","",'[5]سجل المستخلصات'!$V$18)</f>
        <v/>
      </c>
      <c r="S37" s="59">
        <f>IF('[5]سجل المستخلصات'!$W$18="","",'[5]سجل المستخلصات'!$W$18)</f>
        <v/>
      </c>
      <c r="T37" s="61">
        <f>IF('[5]سجل المستخلصات'!$X$18="","",'[5]سجل المستخلصات'!$X$18)</f>
        <v/>
      </c>
      <c r="U37" s="61">
        <f>IF('[5]سجل المستخلصات'!$Z$18="","",'[5]سجل المستخلصات'!$Z$18)</f>
        <v/>
      </c>
      <c r="V37" s="59">
        <f>IF('[5]سجل المستخلصات'!$AA$18="","",'[5]سجل المستخلصات'!$AA$18)</f>
        <v/>
      </c>
      <c r="W37" s="59">
        <f>IF('[5]سجل المستخلصات'!$AC$18="","",'[5]سجل المستخلصات'!$AC$18)</f>
        <v/>
      </c>
      <c r="X37" s="62">
        <f>IF('[5]سجل المستخلصات'!$AD$18="","",'[5]سجل المستخلصات'!$AD$18)</f>
        <v/>
      </c>
      <c r="Y37" s="58">
        <f>IF('[5]سجل المستخلصات'!$AE$18="","",'[5]سجل المستخلصات'!$AE$18)</f>
        <v/>
      </c>
    </row>
    <row r="38">
      <c r="B38" s="56" t="n">
        <v>14</v>
      </c>
      <c r="C38" s="57">
        <f>IF('[5]سجل المستخلصات'!$C$19="","",'[5]سجل المستخلصات'!$C$19)</f>
        <v/>
      </c>
      <c r="D38" s="57">
        <f>IF('[5]سجل المستخلصات'!$E$19="","",'[5]سجل المستخلصات'!$E$19)</f>
        <v/>
      </c>
      <c r="E38" s="58">
        <f>IF('[5]سجل المستخلصات'!$F$19="","",'[5]سجل المستخلصات'!$F$19)</f>
        <v/>
      </c>
      <c r="F38" s="59">
        <f>IF('[5]سجل المستخلصات'!$H$19="","",'[5]سجل المستخلصات'!$H$19)</f>
        <v/>
      </c>
      <c r="G38" s="59">
        <f>IF('[5]سجل المستخلصات'!$G$19="","",'[5]سجل المستخلصات'!$G$19)</f>
        <v/>
      </c>
      <c r="H38" s="59">
        <f>IF('[5]سجل المستخلصات'!$I$19="","",'[5]سجل المستخلصات'!$I$19)</f>
        <v/>
      </c>
      <c r="I38" s="59">
        <f>IF('[5]سجل المستخلصات'!$J$19="","",'[5]سجل المستخلصات'!$J$19)</f>
        <v/>
      </c>
      <c r="J38" s="59">
        <f>IF('[5]سجل المستخلصات'!$K$19="","",'[5]سجل المستخلصات'!$K$19)</f>
        <v/>
      </c>
      <c r="K38" s="60">
        <f>IF('[5]سجل المستخلصات'!$L$19="","",'[5]سجل المستخلصات'!$L$19)</f>
        <v/>
      </c>
      <c r="L38" s="60">
        <f>IF('[5]سجل المستخلصات'!$M$19="","",'[5]سجل المستخلصات'!$M$19)</f>
        <v/>
      </c>
      <c r="M38" s="60">
        <f>IF('[5]سجل المستخلصات'!$N$19="","",'[5]سجل المستخلصات'!$N$19)</f>
        <v/>
      </c>
      <c r="N38" s="59">
        <f>IF('[5]سجل المستخلصات'!$O$19="","",'[5]سجل المستخلصات'!$O$19)</f>
        <v/>
      </c>
      <c r="O38" s="59">
        <f>IF('[5]سجل المستخلصات'!$R$19="","",'[5]سجل المستخلصات'!$R$19)</f>
        <v/>
      </c>
      <c r="P38" s="59">
        <f>IF('[5]سجل المستخلصات'!$S$19="","",'[5]سجل المستخلصات'!$S$19)</f>
        <v/>
      </c>
      <c r="Q38" s="59">
        <f>IF('[5]سجل المستخلصات'!$T$19="","",'[5]سجل المستخلصات'!$T$19)</f>
        <v/>
      </c>
      <c r="R38" s="59">
        <f>IF('[5]سجل المستخلصات'!$V$19="","",'[5]سجل المستخلصات'!$V$19)</f>
        <v/>
      </c>
      <c r="S38" s="59">
        <f>IF('[5]سجل المستخلصات'!$W$19="","",'[5]سجل المستخلصات'!$W$19)</f>
        <v/>
      </c>
      <c r="T38" s="61">
        <f>IF('[5]سجل المستخلصات'!$X$19="","",'[5]سجل المستخلصات'!$X$19)</f>
        <v/>
      </c>
      <c r="U38" s="61">
        <f>IF('[5]سجل المستخلصات'!$Z$19="","",'[5]سجل المستخلصات'!$Z$19)</f>
        <v/>
      </c>
      <c r="V38" s="59">
        <f>IF('[5]سجل المستخلصات'!$AA$19="","",'[5]سجل المستخلصات'!$AA$19)</f>
        <v/>
      </c>
      <c r="W38" s="59">
        <f>IF('[5]سجل المستخلصات'!$AC$19="","",'[5]سجل المستخلصات'!$AC$19)</f>
        <v/>
      </c>
      <c r="X38" s="62">
        <f>IF('[5]سجل المستخلصات'!$AD$19="","",'[5]سجل المستخلصات'!$AD$19)</f>
        <v/>
      </c>
      <c r="Y38" s="58">
        <f>IF('[5]سجل المستخلصات'!$AE$19="","",'[5]سجل المستخلصات'!$AE$19)</f>
        <v/>
      </c>
    </row>
    <row r="39">
      <c r="B39" s="56" t="n">
        <v>15</v>
      </c>
      <c r="C39" s="57">
        <f>IF('[5]سجل المستخلصات'!$C$20="","",'[5]سجل المستخلصات'!$C$20)</f>
        <v/>
      </c>
      <c r="D39" s="57">
        <f>IF('[5]سجل المستخلصات'!$E$20="","",'[5]سجل المستخلصات'!$E$20)</f>
        <v/>
      </c>
      <c r="E39" s="58">
        <f>IF('[5]سجل المستخلصات'!$F$20="","",'[5]سجل المستخلصات'!$F$20)</f>
        <v/>
      </c>
      <c r="F39" s="59">
        <f>IF('[5]سجل المستخلصات'!$H$20="","",'[5]سجل المستخلصات'!$H$20)</f>
        <v/>
      </c>
      <c r="G39" s="59">
        <f>IF('[5]سجل المستخلصات'!$G$20="","",'[5]سجل المستخلصات'!$G$20)</f>
        <v/>
      </c>
      <c r="H39" s="59">
        <f>IF('[5]سجل المستخلصات'!$I$20="","",'[5]سجل المستخلصات'!$I$20)</f>
        <v/>
      </c>
      <c r="I39" s="59">
        <f>IF('[5]سجل المستخلصات'!$J$20="","",'[5]سجل المستخلصات'!$J$20)</f>
        <v/>
      </c>
      <c r="J39" s="59">
        <f>IF('[5]سجل المستخلصات'!$K$20="","",'[5]سجل المستخلصات'!$K$20)</f>
        <v/>
      </c>
      <c r="K39" s="60">
        <f>IF('[5]سجل المستخلصات'!$L$20="","",'[5]سجل المستخلصات'!$L$20)</f>
        <v/>
      </c>
      <c r="L39" s="60">
        <f>IF('[5]سجل المستخلصات'!$M$20="","",'[5]سجل المستخلصات'!$M$20)</f>
        <v/>
      </c>
      <c r="M39" s="60">
        <f>IF('[5]سجل المستخلصات'!$N$20="","",'[5]سجل المستخلصات'!$N$20)</f>
        <v/>
      </c>
      <c r="N39" s="59">
        <f>IF('[5]سجل المستخلصات'!$O$20="","",'[5]سجل المستخلصات'!$O$20)</f>
        <v/>
      </c>
      <c r="O39" s="59">
        <f>IF('[5]سجل المستخلصات'!$R$20="","",'[5]سجل المستخلصات'!$R$20)</f>
        <v/>
      </c>
      <c r="P39" s="59">
        <f>IF('[5]سجل المستخلصات'!$S$20="","",'[5]سجل المستخلصات'!$S$20)</f>
        <v/>
      </c>
      <c r="Q39" s="59">
        <f>IF('[5]سجل المستخلصات'!$T$20="","",'[5]سجل المستخلصات'!$T$20)</f>
        <v/>
      </c>
      <c r="R39" s="59">
        <f>IF('[5]سجل المستخلصات'!$V$20="","",'[5]سجل المستخلصات'!$V$20)</f>
        <v/>
      </c>
      <c r="S39" s="59">
        <f>IF('[5]سجل المستخلصات'!$W$20="","",'[5]سجل المستخلصات'!$W$20)</f>
        <v/>
      </c>
      <c r="T39" s="61">
        <f>IF('[5]سجل المستخلصات'!$X$20="","",'[5]سجل المستخلصات'!$X$20)</f>
        <v/>
      </c>
      <c r="U39" s="61">
        <f>IF('[5]سجل المستخلصات'!$Z$20="","",'[5]سجل المستخلصات'!$Z$20)</f>
        <v/>
      </c>
      <c r="V39" s="59">
        <f>IF('[5]سجل المستخلصات'!$AA$20="","",'[5]سجل المستخلصات'!$AA$20)</f>
        <v/>
      </c>
      <c r="W39" s="59">
        <f>IF('[5]سجل المستخلصات'!$AC$20="","",'[5]سجل المستخلصات'!$AC$20)</f>
        <v/>
      </c>
      <c r="X39" s="62">
        <f>IF('[5]سجل المستخلصات'!$AD$20="","",'[5]سجل المستخلصات'!$AD$20)</f>
        <v/>
      </c>
      <c r="Y39" s="58">
        <f>IF('[5]سجل المستخلصات'!$AE$20="","",'[5]سجل المستخلصات'!$AE$20)</f>
        <v/>
      </c>
    </row>
    <row r="40">
      <c r="B40" s="56" t="n">
        <v>16</v>
      </c>
      <c r="C40" s="57">
        <f>IF('[5]سجل المستخلصات'!$C$21="","",'[5]سجل المستخلصات'!$C$21)</f>
        <v/>
      </c>
      <c r="D40" s="57">
        <f>IF('[5]سجل المستخلصات'!$E$21="","",'[5]سجل المستخلصات'!$E$21)</f>
        <v/>
      </c>
      <c r="E40" s="58">
        <f>IF('[5]سجل المستخلصات'!$F$21="","",'[5]سجل المستخلصات'!$F$21)</f>
        <v/>
      </c>
      <c r="F40" s="59">
        <f>IF('[5]سجل المستخلصات'!$H$21="","",'[5]سجل المستخلصات'!$H$21)</f>
        <v/>
      </c>
      <c r="G40" s="59">
        <f>IF('[5]سجل المستخلصات'!$G$21="","",'[5]سجل المستخلصات'!$G$21)</f>
        <v/>
      </c>
      <c r="H40" s="59">
        <f>IF('[5]سجل المستخلصات'!$I$21="","",'[5]سجل المستخلصات'!$I$21)</f>
        <v/>
      </c>
      <c r="I40" s="59">
        <f>IF('[5]سجل المستخلصات'!$J$21="","",'[5]سجل المستخلصات'!$J$21)</f>
        <v/>
      </c>
      <c r="J40" s="59">
        <f>IF('[5]سجل المستخلصات'!$K$21="","",'[5]سجل المستخلصات'!$K$21)</f>
        <v/>
      </c>
      <c r="K40" s="60">
        <f>IF('[5]سجل المستخلصات'!$L$21="","",'[5]سجل المستخلصات'!$L$21)</f>
        <v/>
      </c>
      <c r="L40" s="60">
        <f>IF('[5]سجل المستخلصات'!$M$21="","",'[5]سجل المستخلصات'!$M$21)</f>
        <v/>
      </c>
      <c r="M40" s="60">
        <f>IF('[5]سجل المستخلصات'!$N$21="","",'[5]سجل المستخلصات'!$N$21)</f>
        <v/>
      </c>
      <c r="N40" s="59">
        <f>IF('[5]سجل المستخلصات'!$O$21="","",'[5]سجل المستخلصات'!$O$21)</f>
        <v/>
      </c>
      <c r="O40" s="59">
        <f>IF('[5]سجل المستخلصات'!$R$21="","",'[5]سجل المستخلصات'!$R$21)</f>
        <v/>
      </c>
      <c r="P40" s="59">
        <f>IF('[5]سجل المستخلصات'!$S$21="","",'[5]سجل المستخلصات'!$S$21)</f>
        <v/>
      </c>
      <c r="Q40" s="59">
        <f>IF('[5]سجل المستخلصات'!$T$21="","",'[5]سجل المستخلصات'!$T$21)</f>
        <v/>
      </c>
      <c r="R40" s="59">
        <f>IF('[5]سجل المستخلصات'!$V$21="","",'[5]سجل المستخلصات'!$V$21)</f>
        <v/>
      </c>
      <c r="S40" s="59">
        <f>IF('[5]سجل المستخلصات'!$W$21="","",'[5]سجل المستخلصات'!$W$21)</f>
        <v/>
      </c>
      <c r="T40" s="61">
        <f>IF('[5]سجل المستخلصات'!$X$21="","",'[5]سجل المستخلصات'!$X$21)</f>
        <v/>
      </c>
      <c r="U40" s="61">
        <f>IF('[5]سجل المستخلصات'!$Z$21="","",'[5]سجل المستخلصات'!$Z$21)</f>
        <v/>
      </c>
      <c r="V40" s="59">
        <f>IF('[5]سجل المستخلصات'!$AA$21="","",'[5]سجل المستخلصات'!$AA$21)</f>
        <v/>
      </c>
      <c r="W40" s="59">
        <f>IF('[5]سجل المستخلصات'!$AC$21="","",'[5]سجل المستخلصات'!$AC$21)</f>
        <v/>
      </c>
      <c r="X40" s="62">
        <f>IF('[5]سجل المستخلصات'!$AD$21="","",'[5]سجل المستخلصات'!$AD$21)</f>
        <v/>
      </c>
      <c r="Y40" s="58">
        <f>IF('[5]سجل المستخلصات'!$AE$21="","",'[5]سجل المستخلصات'!$AE$21)</f>
        <v/>
      </c>
    </row>
    <row r="41">
      <c r="B41" s="56" t="n">
        <v>17</v>
      </c>
      <c r="C41" s="57">
        <f>IF('[5]سجل المستخلصات'!$C$22="","",'[5]سجل المستخلصات'!$C$22)</f>
        <v/>
      </c>
      <c r="D41" s="57">
        <f>IF('[5]سجل المستخلصات'!$E$22="","",'[5]سجل المستخلصات'!$E$22)</f>
        <v/>
      </c>
      <c r="E41" s="58">
        <f>IF('[5]سجل المستخلصات'!$F$22="","",'[5]سجل المستخلصات'!$F$22)</f>
        <v/>
      </c>
      <c r="F41" s="59">
        <f>IF('[5]سجل المستخلصات'!$H$22="","",'[5]سجل المستخلصات'!$H$22)</f>
        <v/>
      </c>
      <c r="G41" s="59">
        <f>IF('[5]سجل المستخلصات'!$G$22="","",'[5]سجل المستخلصات'!$G$22)</f>
        <v/>
      </c>
      <c r="H41" s="59">
        <f>IF('[5]سجل المستخلصات'!$I$22="","",'[5]سجل المستخلصات'!$I$22)</f>
        <v/>
      </c>
      <c r="I41" s="59">
        <f>IF('[5]سجل المستخلصات'!$J$22="","",'[5]سجل المستخلصات'!$J$22)</f>
        <v/>
      </c>
      <c r="J41" s="59">
        <f>IF('[5]سجل المستخلصات'!$K$22="","",'[5]سجل المستخلصات'!$K$22)</f>
        <v/>
      </c>
      <c r="K41" s="60">
        <f>IF('[5]سجل المستخلصات'!$L$22="","",'[5]سجل المستخلصات'!$L$22)</f>
        <v/>
      </c>
      <c r="L41" s="60">
        <f>IF('[5]سجل المستخلصات'!$M$22="","",'[5]سجل المستخلصات'!$M$22)</f>
        <v/>
      </c>
      <c r="M41" s="60">
        <f>IF('[5]سجل المستخلصات'!$N$22="","",'[5]سجل المستخلصات'!$N$22)</f>
        <v/>
      </c>
      <c r="N41" s="59">
        <f>IF('[5]سجل المستخلصات'!$O$22="","",'[5]سجل المستخلصات'!$O$22)</f>
        <v/>
      </c>
      <c r="O41" s="59">
        <f>IF('[5]سجل المستخلصات'!$R$22="","",'[5]سجل المستخلصات'!$R$22)</f>
        <v/>
      </c>
      <c r="P41" s="59">
        <f>IF('[5]سجل المستخلصات'!$S$22="","",'[5]سجل المستخلصات'!$S$22)</f>
        <v/>
      </c>
      <c r="Q41" s="59">
        <f>IF('[5]سجل المستخلصات'!$T$22="","",'[5]سجل المستخلصات'!$T$22)</f>
        <v/>
      </c>
      <c r="R41" s="59">
        <f>IF('[5]سجل المستخلصات'!$V$22="","",'[5]سجل المستخلصات'!$V$22)</f>
        <v/>
      </c>
      <c r="S41" s="59">
        <f>IF('[5]سجل المستخلصات'!$W$22="","",'[5]سجل المستخلصات'!$W$22)</f>
        <v/>
      </c>
      <c r="T41" s="61">
        <f>IF('[5]سجل المستخلصات'!$X$22="","",'[5]سجل المستخلصات'!$X$22)</f>
        <v/>
      </c>
      <c r="U41" s="61">
        <f>IF('[5]سجل المستخلصات'!$Z$22="","",'[5]سجل المستخلصات'!$Z$22)</f>
        <v/>
      </c>
      <c r="V41" s="59">
        <f>IF('[5]سجل المستخلصات'!$AA$22="","",'[5]سجل المستخلصات'!$AA$22)</f>
        <v/>
      </c>
      <c r="W41" s="59">
        <f>IF('[5]سجل المستخلصات'!$AC$22="","",'[5]سجل المستخلصات'!$AC$22)</f>
        <v/>
      </c>
      <c r="X41" s="62">
        <f>IF('[5]سجل المستخلصات'!$AD$22="","",'[5]سجل المستخلصات'!$AD$22)</f>
        <v/>
      </c>
      <c r="Y41" s="58">
        <f>IF('[5]سجل المستخلصات'!$AE$22="","",'[5]سجل المستخلصات'!$AE$22)</f>
        <v/>
      </c>
    </row>
    <row r="42">
      <c r="B42" s="56" t="n">
        <v>18</v>
      </c>
      <c r="C42" s="57">
        <f>IF('[5]سجل المستخلصات'!$C$23="","",'[5]سجل المستخلصات'!$C$23)</f>
        <v/>
      </c>
      <c r="D42" s="57">
        <f>IF('[5]سجل المستخلصات'!$E$23="","",'[5]سجل المستخلصات'!$E$23)</f>
        <v/>
      </c>
      <c r="E42" s="58">
        <f>IF('[5]سجل المستخلصات'!$F$23="","",'[5]سجل المستخلصات'!$F$23)</f>
        <v/>
      </c>
      <c r="F42" s="59">
        <f>IF('[5]سجل المستخلصات'!$H$23="","",'[5]سجل المستخلصات'!$H$23)</f>
        <v/>
      </c>
      <c r="G42" s="59">
        <f>IF('[5]سجل المستخلصات'!$G$23="","",'[5]سجل المستخلصات'!$G$23)</f>
        <v/>
      </c>
      <c r="H42" s="59">
        <f>IF('[5]سجل المستخلصات'!$I$23="","",'[5]سجل المستخلصات'!$I$23)</f>
        <v/>
      </c>
      <c r="I42" s="59">
        <f>IF('[5]سجل المستخلصات'!$J$23="","",'[5]سجل المستخلصات'!$J$23)</f>
        <v/>
      </c>
      <c r="J42" s="59">
        <f>IF('[5]سجل المستخلصات'!$K$23="","",'[5]سجل المستخلصات'!$K$23)</f>
        <v/>
      </c>
      <c r="K42" s="60">
        <f>IF('[5]سجل المستخلصات'!$L$23="","",'[5]سجل المستخلصات'!$L$23)</f>
        <v/>
      </c>
      <c r="L42" s="60">
        <f>IF('[5]سجل المستخلصات'!$M$23="","",'[5]سجل المستخلصات'!$M$23)</f>
        <v/>
      </c>
      <c r="M42" s="60">
        <f>IF('[5]سجل المستخلصات'!$N$23="","",'[5]سجل المستخلصات'!$N$23)</f>
        <v/>
      </c>
      <c r="N42" s="59">
        <f>IF('[5]سجل المستخلصات'!$O$23="","",'[5]سجل المستخلصات'!$O$23)</f>
        <v/>
      </c>
      <c r="O42" s="59">
        <f>IF('[5]سجل المستخلصات'!$R$23="","",'[5]سجل المستخلصات'!$R$23)</f>
        <v/>
      </c>
      <c r="P42" s="59">
        <f>IF('[5]سجل المستخلصات'!$S$23="","",'[5]سجل المستخلصات'!$S$23)</f>
        <v/>
      </c>
      <c r="Q42" s="59">
        <f>IF('[5]سجل المستخلصات'!$T$23="","",'[5]سجل المستخلصات'!$T$23)</f>
        <v/>
      </c>
      <c r="R42" s="59">
        <f>IF('[5]سجل المستخلصات'!$V$23="","",'[5]سجل المستخلصات'!$V$23)</f>
        <v/>
      </c>
      <c r="S42" s="59">
        <f>IF('[5]سجل المستخلصات'!$W$23="","",'[5]سجل المستخلصات'!$W$23)</f>
        <v/>
      </c>
      <c r="T42" s="61">
        <f>IF('[5]سجل المستخلصات'!$X$23="","",'[5]سجل المستخلصات'!$X$23)</f>
        <v/>
      </c>
      <c r="U42" s="61">
        <f>IF('[5]سجل المستخلصات'!$Z$23="","",'[5]سجل المستخلصات'!$Z$23)</f>
        <v/>
      </c>
      <c r="V42" s="59">
        <f>IF('[5]سجل المستخلصات'!$AA$23="","",'[5]سجل المستخلصات'!$AA$23)</f>
        <v/>
      </c>
      <c r="W42" s="59">
        <f>IF('[5]سجل المستخلصات'!$AC$23="","",'[5]سجل المستخلصات'!$AC$23)</f>
        <v/>
      </c>
      <c r="X42" s="62">
        <f>IF('[5]سجل المستخلصات'!$AD$23="","",'[5]سجل المستخلصات'!$AD$23)</f>
        <v/>
      </c>
      <c r="Y42" s="58">
        <f>IF('[5]سجل المستخلصات'!$AE$23="","",'[5]سجل المستخلصات'!$AE$23)</f>
        <v/>
      </c>
    </row>
    <row r="43">
      <c r="B43" s="56" t="n">
        <v>19</v>
      </c>
      <c r="C43" s="57">
        <f>IF('[5]سجل المستخلصات'!$C$24="","",'[5]سجل المستخلصات'!$C$24)</f>
        <v/>
      </c>
      <c r="D43" s="57">
        <f>IF('[5]سجل المستخلصات'!$E$24="","",'[5]سجل المستخلصات'!$E$24)</f>
        <v/>
      </c>
      <c r="E43" s="58">
        <f>IF('[5]سجل المستخلصات'!$F$24="","",'[5]سجل المستخلصات'!$F$24)</f>
        <v/>
      </c>
      <c r="F43" s="59">
        <f>IF('[5]سجل المستخلصات'!$H$24="","",'[5]سجل المستخلصات'!$H$24)</f>
        <v/>
      </c>
      <c r="G43" s="59">
        <f>IF('[5]سجل المستخلصات'!$G$24="","",'[5]سجل المستخلصات'!$G$24)</f>
        <v/>
      </c>
      <c r="H43" s="59">
        <f>IF('[5]سجل المستخلصات'!$I$24="","",'[5]سجل المستخلصات'!$I$24)</f>
        <v/>
      </c>
      <c r="I43" s="59">
        <f>IF('[5]سجل المستخلصات'!$J$24="","",'[5]سجل المستخلصات'!$J$24)</f>
        <v/>
      </c>
      <c r="J43" s="59">
        <f>IF('[5]سجل المستخلصات'!$K$24="","",'[5]سجل المستخلصات'!$K$24)</f>
        <v/>
      </c>
      <c r="K43" s="60">
        <f>IF('[5]سجل المستخلصات'!$L$24="","",'[5]سجل المستخلصات'!$L$24)</f>
        <v/>
      </c>
      <c r="L43" s="60">
        <f>IF('[5]سجل المستخلصات'!$M$24="","",'[5]سجل المستخلصات'!$M$24)</f>
        <v/>
      </c>
      <c r="M43" s="60">
        <f>IF('[5]سجل المستخلصات'!$N$24="","",'[5]سجل المستخلصات'!$N$24)</f>
        <v/>
      </c>
      <c r="N43" s="59">
        <f>IF('[5]سجل المستخلصات'!$O$24="","",'[5]سجل المستخلصات'!$O$24)</f>
        <v/>
      </c>
      <c r="O43" s="59">
        <f>IF('[5]سجل المستخلصات'!$R$24="","",'[5]سجل المستخلصات'!$R$24)</f>
        <v/>
      </c>
      <c r="P43" s="59">
        <f>IF('[5]سجل المستخلصات'!$S$24="","",'[5]سجل المستخلصات'!$S$24)</f>
        <v/>
      </c>
      <c r="Q43" s="59">
        <f>IF('[5]سجل المستخلصات'!$T$24="","",'[5]سجل المستخلصات'!$T$24)</f>
        <v/>
      </c>
      <c r="R43" s="59">
        <f>IF('[5]سجل المستخلصات'!$V$24="","",'[5]سجل المستخلصات'!$V$24)</f>
        <v/>
      </c>
      <c r="S43" s="59">
        <f>IF('[5]سجل المستخلصات'!$W$24="","",'[5]سجل المستخلصات'!$W$24)</f>
        <v/>
      </c>
      <c r="T43" s="61">
        <f>IF('[5]سجل المستخلصات'!$X$24="","",'[5]سجل المستخلصات'!$X$24)</f>
        <v/>
      </c>
      <c r="U43" s="61">
        <f>IF('[5]سجل المستخلصات'!$Z$24="","",'[5]سجل المستخلصات'!$Z$24)</f>
        <v/>
      </c>
      <c r="V43" s="59">
        <f>IF('[5]سجل المستخلصات'!$AA$24="","",'[5]سجل المستخلصات'!$AA$24)</f>
        <v/>
      </c>
      <c r="W43" s="59">
        <f>IF('[5]سجل المستخلصات'!$AC$24="","",'[5]سجل المستخلصات'!$AC$24)</f>
        <v/>
      </c>
      <c r="X43" s="62">
        <f>IF('[5]سجل المستخلصات'!$AD$24="","",'[5]سجل المستخلصات'!$AD$24)</f>
        <v/>
      </c>
      <c r="Y43" s="58">
        <f>IF('[5]سجل المستخلصات'!$AE$24="","",'[5]سجل المستخلصات'!$AE$24)</f>
        <v/>
      </c>
    </row>
    <row r="44">
      <c r="B44" s="56" t="n">
        <v>20</v>
      </c>
      <c r="C44" s="57">
        <f>IF('[5]سجل المستخلصات'!$C$25="","",'[5]سجل المستخلصات'!$C$25)</f>
        <v/>
      </c>
      <c r="D44" s="57">
        <f>IF('[5]سجل المستخلصات'!$E$25="","",'[5]سجل المستخلصات'!$E$25)</f>
        <v/>
      </c>
      <c r="E44" s="58">
        <f>IF('[5]سجل المستخلصات'!$F$25="","",'[5]سجل المستخلصات'!$F$25)</f>
        <v/>
      </c>
      <c r="F44" s="59">
        <f>IF('[5]سجل المستخلصات'!$H$25="","",'[5]سجل المستخلصات'!$H$25)</f>
        <v/>
      </c>
      <c r="G44" s="59">
        <f>IF('[5]سجل المستخلصات'!$G$25="","",'[5]سجل المستخلصات'!$G$25)</f>
        <v/>
      </c>
      <c r="H44" s="59">
        <f>IF('[5]سجل المستخلصات'!$I$25="","",'[5]سجل المستخلصات'!$I$25)</f>
        <v/>
      </c>
      <c r="I44" s="59">
        <f>IF('[5]سجل المستخلصات'!$J$25="","",'[5]سجل المستخلصات'!$J$25)</f>
        <v/>
      </c>
      <c r="J44" s="59">
        <f>IF('[5]سجل المستخلصات'!$K$25="","",'[5]سجل المستخلصات'!$K$25)</f>
        <v/>
      </c>
      <c r="K44" s="60">
        <f>IF('[5]سجل المستخلصات'!$L$25="","",'[5]سجل المستخلصات'!$L$25)</f>
        <v/>
      </c>
      <c r="L44" s="60">
        <f>IF('[5]سجل المستخلصات'!$M$25="","",'[5]سجل المستخلصات'!$M$25)</f>
        <v/>
      </c>
      <c r="M44" s="60">
        <f>IF('[5]سجل المستخلصات'!$N$25="","",'[5]سجل المستخلصات'!$N$25)</f>
        <v/>
      </c>
      <c r="N44" s="59">
        <f>IF('[5]سجل المستخلصات'!$O$25="","",'[5]سجل المستخلصات'!$O$25)</f>
        <v/>
      </c>
      <c r="O44" s="59">
        <f>IF('[5]سجل المستخلصات'!$R$25="","",'[5]سجل المستخلصات'!$R$25)</f>
        <v/>
      </c>
      <c r="P44" s="59">
        <f>IF('[5]سجل المستخلصات'!$S$25="","",'[5]سجل المستخلصات'!$S$25)</f>
        <v/>
      </c>
      <c r="Q44" s="59">
        <f>IF('[5]سجل المستخلصات'!$T$25="","",'[5]سجل المستخلصات'!$T$25)</f>
        <v/>
      </c>
      <c r="R44" s="59">
        <f>IF('[5]سجل المستخلصات'!$V$25="","",'[5]سجل المستخلصات'!$V$25)</f>
        <v/>
      </c>
      <c r="S44" s="59">
        <f>IF('[5]سجل المستخلصات'!$W$25="","",'[5]سجل المستخلصات'!$W$25)</f>
        <v/>
      </c>
      <c r="T44" s="61">
        <f>IF('[5]سجل المستخلصات'!$X$25="","",'[5]سجل المستخلصات'!$X$25)</f>
        <v/>
      </c>
      <c r="U44" s="61">
        <f>IF('[5]سجل المستخلصات'!$Z$25="","",'[5]سجل المستخلصات'!$Z$25)</f>
        <v/>
      </c>
      <c r="V44" s="59">
        <f>IF('[5]سجل المستخلصات'!$AA$25="","",'[5]سجل المستخلصات'!$AA$25)</f>
        <v/>
      </c>
      <c r="W44" s="59">
        <f>IF('[5]سجل المستخلصات'!$AC$25="","",'[5]سجل المستخلصات'!$AC$25)</f>
        <v/>
      </c>
      <c r="X44" s="62">
        <f>IF('[5]سجل المستخلصات'!$AD$25="","",'[5]سجل المستخلصات'!$AD$25)</f>
        <v/>
      </c>
      <c r="Y44" s="58">
        <f>IF('[5]سجل المستخلصات'!$AE$25="","",'[5]سجل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IF('[5]سجل المستخلصات'!$B$32="","",'[5]سجل المستخلصات'!$B$32)</f>
        <v/>
      </c>
      <c r="C50" s="69" t="n"/>
      <c r="D50" s="69" t="n"/>
      <c r="E50" s="59">
        <f>N('[5]سجل المستخلصات'!$E$32)</f>
        <v/>
      </c>
      <c r="F50" s="59">
        <f>N('[5]سجل المستخلصات'!$F$32)</f>
        <v/>
      </c>
      <c r="G50" s="70">
        <f>IF(E50&gt;0,F50/E50,0)</f>
        <v/>
      </c>
    </row>
    <row r="51">
      <c r="B51" s="69">
        <f>IF('[5]سجل المستخلصات'!$B$33="","",'[5]سجل المستخلصات'!$B$33)</f>
        <v/>
      </c>
      <c r="C51" s="69" t="n"/>
      <c r="D51" s="69" t="n"/>
      <c r="E51" s="59">
        <f>N('[5]سجل المستخلصات'!$E$33)</f>
        <v/>
      </c>
      <c r="F51" s="59">
        <f>N('[5]سجل المستخلصات'!$F$33)</f>
        <v/>
      </c>
      <c r="G51" s="70">
        <f>IF(E51&gt;0,F51/E51,0)</f>
        <v/>
      </c>
    </row>
    <row r="52">
      <c r="B52" s="69">
        <f>IF('[5]سجل المستخلصات'!$B$34="","",'[5]سجل المستخلصات'!$B$34)</f>
        <v/>
      </c>
      <c r="C52" s="69" t="n"/>
      <c r="D52" s="69" t="n"/>
      <c r="E52" s="59">
        <f>N('[5]سجل المستخلصات'!$E$34)</f>
        <v/>
      </c>
      <c r="F52" s="59">
        <f>N('[5]سجل المستخلصات'!$F$34)</f>
        <v/>
      </c>
      <c r="G52" s="70">
        <f>IF(E52&gt;0,F52/E52,0)</f>
        <v/>
      </c>
    </row>
    <row r="53">
      <c r="B53" s="69">
        <f>IF('[5]سجل المستخلصات'!$B$35="","",'[5]سجل المستخلصات'!$B$35)</f>
        <v/>
      </c>
      <c r="C53" s="69" t="n"/>
      <c r="D53" s="69" t="n"/>
      <c r="E53" s="59">
        <f>N('[5]سجل المستخلصات'!$E$35)</f>
        <v/>
      </c>
      <c r="F53" s="59">
        <f>N('[5]سجل المستخلصات'!$F$35)</f>
        <v/>
      </c>
      <c r="G53" s="70">
        <f>IF(E53&gt;0,F53/E53,0)</f>
        <v/>
      </c>
    </row>
    <row r="54">
      <c r="B54" s="69">
        <f>IF('[5]سجل المستخلصات'!$B$36="","",'[5]سجل المستخلصات'!$B$36)</f>
        <v/>
      </c>
      <c r="C54" s="69" t="n"/>
      <c r="D54" s="69" t="n"/>
      <c r="E54" s="59">
        <f>N('[5]سجل المستخلصات'!$E$36)</f>
        <v/>
      </c>
      <c r="F54" s="59">
        <f>N('[5]سجل المستخلصات'!$F$36)</f>
        <v/>
      </c>
      <c r="G54" s="70">
        <f>IF(E54&gt;0,F54/E54,0)</f>
        <v/>
      </c>
    </row>
    <row r="55">
      <c r="B55" s="69">
        <f>IF('[5]سجل المستخلصات'!$B$37="","",'[5]سجل المستخلصات'!$B$37)</f>
        <v/>
      </c>
      <c r="C55" s="69" t="n"/>
      <c r="D55" s="69" t="n"/>
      <c r="E55" s="59">
        <f>N('[5]سجل المستخلصات'!$E$37)</f>
        <v/>
      </c>
      <c r="F55" s="59">
        <f>N('[5]سجل المستخلصات'!$F$37)</f>
        <v/>
      </c>
      <c r="G55" s="70">
        <f>IF(E55&gt;0,F55/E55,0)</f>
        <v/>
      </c>
    </row>
    <row r="56">
      <c r="B56" s="69">
        <f>IF('[5]سجل المستخلصات'!$B$38="","",'[5]سجل المستخلصات'!$B$38)</f>
        <v/>
      </c>
      <c r="C56" s="69" t="n"/>
      <c r="D56" s="69" t="n"/>
      <c r="E56" s="59">
        <f>N('[5]سجل المستخلصات'!$E$38)</f>
        <v/>
      </c>
      <c r="F56" s="59">
        <f>N('[5]سجل المستخلصات'!$F$38)</f>
        <v/>
      </c>
      <c r="G56" s="70">
        <f>IF(E56&gt;0,F56/E56,0)</f>
        <v/>
      </c>
    </row>
    <row r="57">
      <c r="B57" s="69">
        <f>IF('[5]سجل المستخلصات'!$B$39="","",'[5]سجل المستخلصات'!$B$39)</f>
        <v/>
      </c>
      <c r="C57" s="69" t="n"/>
      <c r="D57" s="69" t="n"/>
      <c r="E57" s="59">
        <f>N('[5]سجل المستخلصات'!$E$39)</f>
        <v/>
      </c>
      <c r="F57" s="59">
        <f>N('[5]سجل المستخلصات'!$F$39)</f>
        <v/>
      </c>
      <c r="G57" s="70">
        <f>IF(E57&gt;0,F57/E57,0)</f>
        <v/>
      </c>
    </row>
    <row r="58">
      <c r="B58" s="69">
        <f>IF('[5]سجل المستخلصات'!$B$40="","",'[5]سجل المستخلصات'!$B$40)</f>
        <v/>
      </c>
      <c r="C58" s="69" t="n"/>
      <c r="D58" s="69" t="n"/>
      <c r="E58" s="59">
        <f>N('[5]سجل المستخلصات'!$E$40)</f>
        <v/>
      </c>
      <c r="F58" s="59">
        <f>N('[5]سجل المستخلصات'!$F$40)</f>
        <v/>
      </c>
      <c r="G58" s="70">
        <f>IF(E58&gt;0,F58/E58,0)</f>
        <v/>
      </c>
    </row>
    <row r="59">
      <c r="B59" s="69">
        <f>IF('[5]سجل المستخلصات'!$B$41="","",'[5]سجل المستخلصات'!$B$41)</f>
        <v/>
      </c>
      <c r="C59" s="69" t="n"/>
      <c r="D59" s="69" t="n"/>
      <c r="E59" s="59">
        <f>N('[5]سجل المستخلصات'!$E$41)</f>
        <v/>
      </c>
      <c r="F59" s="59">
        <f>N('[5]سجل المستخلصات'!$F$41)</f>
        <v/>
      </c>
      <c r="G59" s="70">
        <f>IF(E59&gt;0,F59/E59,0)</f>
        <v/>
      </c>
    </row>
    <row r="60">
      <c r="B60" s="69">
        <f>IF('[5]سجل المستخلصات'!$B$42="","",'[5]سجل المستخلصات'!$B$42)</f>
        <v/>
      </c>
      <c r="C60" s="69" t="n"/>
      <c r="D60" s="69" t="n"/>
      <c r="E60" s="59">
        <f>N('[5]سجل المستخلصات'!$E$42)</f>
        <v/>
      </c>
      <c r="F60" s="59">
        <f>N('[5]سجل المستخلصات'!$F$42)</f>
        <v/>
      </c>
      <c r="G60" s="70">
        <f>IF(E60&gt;0,F60/E60,0)</f>
        <v/>
      </c>
    </row>
    <row r="61">
      <c r="B61" s="69">
        <f>IF('[5]سجل المستخلصات'!$B$43="","",'[5]سجل المستخلصات'!$B$43)</f>
        <v/>
      </c>
      <c r="C61" s="69" t="n"/>
      <c r="D61" s="69" t="n"/>
      <c r="E61" s="59">
        <f>N('[5]سجل المستخلصات'!$E$43)</f>
        <v/>
      </c>
      <c r="F61" s="59">
        <f>N('[5]سجل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04'!A1" display="◄ المشروع السابق"/>
    <hyperlink ref="D3" location="'مشروع 06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"&amp;IF('[6]بيانات العقد'!$C$5="","مشروع رقم 06 — غير مُفعّل",'[6]بيانات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Project_06/IPC_Project_06.xlsx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IF('[6]بيانات العقد'!$C$5="","",'[6]بيانات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IF('[6]بيانات العقد'!$C$6="","",'[6]بيانات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IF('[6]بيانات العقد'!$C$7="","",'[6]بيانات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IF('[6]بيانات العقد'!$C$8="","",'[6]بيانات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N('[6]بيانات العقد'!$C$16)</f>
        <v/>
      </c>
    </row>
    <row r="6" ht="22" customHeight="1">
      <c r="B6" s="11" t="inlineStr">
        <is>
          <t>المقاول</t>
        </is>
      </c>
      <c r="C6" s="14">
        <f>IF('[6]بيانات العقد'!$C$9="","",'[6]بيانات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IF('[6]بيانات العقد'!$C$11="","",'[6]بيانات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IF('[6]بيانات العقد'!$C$13="","",'[6]بيانات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IF('[6]بيانات العقد'!$C$14="","",'[6]بيانات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N('[6]بيانات العقد'!$C$17)</f>
        <v/>
      </c>
    </row>
    <row r="7">
      <c r="AA7" s="15" t="inlineStr">
        <is>
          <t>قيمة العقد المعدلة</t>
        </is>
      </c>
      <c r="AB7" s="16">
        <f>N('[6]بيانات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N('[6]بيانات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N('[6]بيانات العقد'!$C$21)</f>
        <v/>
      </c>
    </row>
    <row r="10">
      <c r="AA10" s="15" t="inlineStr">
        <is>
          <t>نسبة ضمان الأعمال</t>
        </is>
      </c>
      <c r="AB10" s="23">
        <f>N('[6]بيانات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N('[6]بيانات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N('[6]بيانات العقد'!$C$31)</f>
        <v/>
      </c>
    </row>
    <row r="13">
      <c r="AA13" s="15" t="inlineStr">
        <is>
          <t>ضريبة الاستقطاع (غير المقيم)</t>
        </is>
      </c>
      <c r="AB13" s="23">
        <f>N('[6]بيانات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IF('[6]بيانات العقد'!$C$11="","",'[6]بيانات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IF('[6]بيانات العقد'!$C$13="","",'[6]بيانات العقد'!$C$13)</f>
        <v/>
      </c>
    </row>
    <row r="16">
      <c r="AA16" s="15" t="inlineStr">
        <is>
          <t>المدة (شهر)</t>
        </is>
      </c>
      <c r="AB16" s="43">
        <f>IF('[6]بيانات العقد'!$C$12="","",'[6]بيانات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IF('[6]بيانات العقد'!$C$36="","",'[6]بيانات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IF('[6]بيانات العقد'!$C$37="","",'[6]بيانات العقد'!$C$37)</f>
        <v/>
      </c>
    </row>
    <row r="19">
      <c r="AA19" s="15" t="inlineStr">
        <is>
          <t>الرقم الضريبي لصاحب العمل</t>
        </is>
      </c>
      <c r="AB19" s="48">
        <f>IF('[6]بيانات العقد'!$C$39="","",'[6]بيانات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IF('[6]بيانات العقد'!$C$42="","",'[6]بيانات العقد'!$C$42)</f>
        <v/>
      </c>
    </row>
    <row r="21" ht="32" customHeight="1">
      <c r="B21" s="50">
        <f>N('[6]الموازنة والتكاليف'!$D$66)</f>
        <v/>
      </c>
      <c r="C21" s="50" t="n"/>
      <c r="D21" s="50" t="n"/>
      <c r="E21" s="50" t="n"/>
      <c r="F21" s="50">
        <f>N('[6]الموازنة والتكاليف'!$D$70)</f>
        <v/>
      </c>
      <c r="G21" s="50" t="n"/>
      <c r="H21" s="50" t="n"/>
      <c r="I21" s="50" t="n"/>
      <c r="J21" s="50">
        <f>N('[6]الموازنة والتكاليف'!$D$72)</f>
        <v/>
      </c>
      <c r="K21" s="50" t="n"/>
      <c r="L21" s="50" t="n"/>
      <c r="M21" s="50" t="n"/>
      <c r="N21" s="51">
        <f>N('[6]الموازنة والتكاليف'!$D$73)</f>
        <v/>
      </c>
      <c r="O21" s="51" t="n"/>
      <c r="P21" s="51" t="n"/>
      <c r="Q21" s="51" t="n"/>
      <c r="R21" s="52">
        <f>N('[6]الموازنة والتكاليف'!$D$74)</f>
        <v/>
      </c>
      <c r="S21" s="52" t="n"/>
      <c r="T21" s="52" t="n"/>
      <c r="U21" s="52" t="n"/>
      <c r="V21" s="50">
        <f>N('[6]الموازنة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IF('[6]بيانات العقد'!$C$43="","",'[6]بيانات العقد'!$C$43)</f>
        <v/>
      </c>
    </row>
    <row r="22">
      <c r="AA22" s="15" t="inlineStr">
        <is>
          <t>حالة غرامات التأخير</t>
        </is>
      </c>
      <c r="AB22" s="45">
        <f>IF('[6]بيانات العقد'!$C$47="","",'[6]بيانات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IF('[6]سجل المستخلصات'!$C$6="","",'[6]سجل المستخلصات'!$C$6)</f>
        <v/>
      </c>
      <c r="D25" s="57">
        <f>IF('[6]سجل المستخلصات'!$E$6="","",'[6]سجل المستخلصات'!$E$6)</f>
        <v/>
      </c>
      <c r="E25" s="58">
        <f>IF('[6]سجل المستخلصات'!$F$6="","",'[6]سجل المستخلصات'!$F$6)</f>
        <v/>
      </c>
      <c r="F25" s="59">
        <f>IF('[6]سجل المستخلصات'!$H$6="","",'[6]سجل المستخلصات'!$H$6)</f>
        <v/>
      </c>
      <c r="G25" s="59">
        <f>IF('[6]سجل المستخلصات'!$G$6="","",'[6]سجل المستخلصات'!$G$6)</f>
        <v/>
      </c>
      <c r="H25" s="59">
        <f>IF('[6]سجل المستخلصات'!$I$6="","",'[6]سجل المستخلصات'!$I$6)</f>
        <v/>
      </c>
      <c r="I25" s="59">
        <f>IF('[6]سجل المستخلصات'!$J$6="","",'[6]سجل المستخلصات'!$J$6)</f>
        <v/>
      </c>
      <c r="J25" s="59">
        <f>IF('[6]سجل المستخلصات'!$K$6="","",'[6]سجل المستخلصات'!$K$6)</f>
        <v/>
      </c>
      <c r="K25" s="60">
        <f>IF('[6]سجل المستخلصات'!$L$6="","",'[6]سجل المستخلصات'!$L$6)</f>
        <v/>
      </c>
      <c r="L25" s="60">
        <f>IF('[6]سجل المستخلصات'!$M$6="","",'[6]سجل المستخلصات'!$M$6)</f>
        <v/>
      </c>
      <c r="M25" s="60">
        <f>IF('[6]سجل المستخلصات'!$N$6="","",'[6]سجل المستخلصات'!$N$6)</f>
        <v/>
      </c>
      <c r="N25" s="59">
        <f>IF('[6]سجل المستخلصات'!$O$6="","",'[6]سجل المستخلصات'!$O$6)</f>
        <v/>
      </c>
      <c r="O25" s="59">
        <f>IF('[6]سجل المستخلصات'!$R$6="","",'[6]سجل المستخلصات'!$R$6)</f>
        <v/>
      </c>
      <c r="P25" s="59">
        <f>IF('[6]سجل المستخلصات'!$S$6="","",'[6]سجل المستخلصات'!$S$6)</f>
        <v/>
      </c>
      <c r="Q25" s="59">
        <f>IF('[6]سجل المستخلصات'!$T$6="","",'[6]سجل المستخلصات'!$T$6)</f>
        <v/>
      </c>
      <c r="R25" s="59">
        <f>IF('[6]سجل المستخلصات'!$V$6="","",'[6]سجل المستخلصات'!$V$6)</f>
        <v/>
      </c>
      <c r="S25" s="59">
        <f>IF('[6]سجل المستخلصات'!$W$6="","",'[6]سجل المستخلصات'!$W$6)</f>
        <v/>
      </c>
      <c r="T25" s="61">
        <f>IF('[6]سجل المستخلصات'!$X$6="","",'[6]سجل المستخلصات'!$X$6)</f>
        <v/>
      </c>
      <c r="U25" s="61">
        <f>IF('[6]سجل المستخلصات'!$Z$6="","",'[6]سجل المستخلصات'!$Z$6)</f>
        <v/>
      </c>
      <c r="V25" s="59">
        <f>IF('[6]سجل المستخلصات'!$AA$6="","",'[6]سجل المستخلصات'!$AA$6)</f>
        <v/>
      </c>
      <c r="W25" s="59">
        <f>IF('[6]سجل المستخلصات'!$AC$6="","",'[6]سجل المستخلصات'!$AC$6)</f>
        <v/>
      </c>
      <c r="X25" s="62">
        <f>IF('[6]سجل المستخلصات'!$AD$6="","",'[6]سجل المستخلصات'!$AD$6)</f>
        <v/>
      </c>
      <c r="Y25" s="58">
        <f>IF('[6]سجل المستخلصات'!$AE$6="","",'[6]سجل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IF('[6]سجل المستخلصات'!$C$7="","",'[6]سجل المستخلصات'!$C$7)</f>
        <v/>
      </c>
      <c r="D26" s="57">
        <f>IF('[6]سجل المستخلصات'!$E$7="","",'[6]سجل المستخلصات'!$E$7)</f>
        <v/>
      </c>
      <c r="E26" s="58">
        <f>IF('[6]سجل المستخلصات'!$F$7="","",'[6]سجل المستخلصات'!$F$7)</f>
        <v/>
      </c>
      <c r="F26" s="59">
        <f>IF('[6]سجل المستخلصات'!$H$7="","",'[6]سجل المستخلصات'!$H$7)</f>
        <v/>
      </c>
      <c r="G26" s="59">
        <f>IF('[6]سجل المستخلصات'!$G$7="","",'[6]سجل المستخلصات'!$G$7)</f>
        <v/>
      </c>
      <c r="H26" s="59">
        <f>IF('[6]سجل المستخلصات'!$I$7="","",'[6]سجل المستخلصات'!$I$7)</f>
        <v/>
      </c>
      <c r="I26" s="59">
        <f>IF('[6]سجل المستخلصات'!$J$7="","",'[6]سجل المستخلصات'!$J$7)</f>
        <v/>
      </c>
      <c r="J26" s="59">
        <f>IF('[6]سجل المستخلصات'!$K$7="","",'[6]سجل المستخلصات'!$K$7)</f>
        <v/>
      </c>
      <c r="K26" s="60">
        <f>IF('[6]سجل المستخلصات'!$L$7="","",'[6]سجل المستخلصات'!$L$7)</f>
        <v/>
      </c>
      <c r="L26" s="60">
        <f>IF('[6]سجل المستخلصات'!$M$7="","",'[6]سجل المستخلصات'!$M$7)</f>
        <v/>
      </c>
      <c r="M26" s="60">
        <f>IF('[6]سجل المستخلصات'!$N$7="","",'[6]سجل المستخلصات'!$N$7)</f>
        <v/>
      </c>
      <c r="N26" s="59">
        <f>IF('[6]سجل المستخلصات'!$O$7="","",'[6]سجل المستخلصات'!$O$7)</f>
        <v/>
      </c>
      <c r="O26" s="59">
        <f>IF('[6]سجل المستخلصات'!$R$7="","",'[6]سجل المستخلصات'!$R$7)</f>
        <v/>
      </c>
      <c r="P26" s="59">
        <f>IF('[6]سجل المستخلصات'!$S$7="","",'[6]سجل المستخلصات'!$S$7)</f>
        <v/>
      </c>
      <c r="Q26" s="59">
        <f>IF('[6]سجل المستخلصات'!$T$7="","",'[6]سجل المستخلصات'!$T$7)</f>
        <v/>
      </c>
      <c r="R26" s="59">
        <f>IF('[6]سجل المستخلصات'!$V$7="","",'[6]سجل المستخلصات'!$V$7)</f>
        <v/>
      </c>
      <c r="S26" s="59">
        <f>IF('[6]سجل المستخلصات'!$W$7="","",'[6]سجل المستخلصات'!$W$7)</f>
        <v/>
      </c>
      <c r="T26" s="61">
        <f>IF('[6]سجل المستخلصات'!$X$7="","",'[6]سجل المستخلصات'!$X$7)</f>
        <v/>
      </c>
      <c r="U26" s="61">
        <f>IF('[6]سجل المستخلصات'!$Z$7="","",'[6]سجل المستخلصات'!$Z$7)</f>
        <v/>
      </c>
      <c r="V26" s="59">
        <f>IF('[6]سجل المستخلصات'!$AA$7="","",'[6]سجل المستخلصات'!$AA$7)</f>
        <v/>
      </c>
      <c r="W26" s="59">
        <f>IF('[6]سجل المستخلصات'!$AC$7="","",'[6]سجل المستخلصات'!$AC$7)</f>
        <v/>
      </c>
      <c r="X26" s="62">
        <f>IF('[6]سجل المستخلصات'!$AD$7="","",'[6]سجل المستخلصات'!$AD$7)</f>
        <v/>
      </c>
      <c r="Y26" s="58">
        <f>IF('[6]سجل المستخلصات'!$AE$7="","",'[6]سجل المستخلصات'!$AE$7)</f>
        <v/>
      </c>
      <c r="AA26" s="63" t="n"/>
      <c r="AB26" s="63" t="n"/>
    </row>
    <row r="27">
      <c r="B27" s="56" t="n">
        <v>3</v>
      </c>
      <c r="C27" s="57">
        <f>IF('[6]سجل المستخلصات'!$C$8="","",'[6]سجل المستخلصات'!$C$8)</f>
        <v/>
      </c>
      <c r="D27" s="57">
        <f>IF('[6]سجل المستخلصات'!$E$8="","",'[6]سجل المستخلصات'!$E$8)</f>
        <v/>
      </c>
      <c r="E27" s="58">
        <f>IF('[6]سجل المستخلصات'!$F$8="","",'[6]سجل المستخلصات'!$F$8)</f>
        <v/>
      </c>
      <c r="F27" s="59">
        <f>IF('[6]سجل المستخلصات'!$H$8="","",'[6]سجل المستخلصات'!$H$8)</f>
        <v/>
      </c>
      <c r="G27" s="59">
        <f>IF('[6]سجل المستخلصات'!$G$8="","",'[6]سجل المستخلصات'!$G$8)</f>
        <v/>
      </c>
      <c r="H27" s="59">
        <f>IF('[6]سجل المستخلصات'!$I$8="","",'[6]سجل المستخلصات'!$I$8)</f>
        <v/>
      </c>
      <c r="I27" s="59">
        <f>IF('[6]سجل المستخلصات'!$J$8="","",'[6]سجل المستخلصات'!$J$8)</f>
        <v/>
      </c>
      <c r="J27" s="59">
        <f>IF('[6]سجل المستخلصات'!$K$8="","",'[6]سجل المستخلصات'!$K$8)</f>
        <v/>
      </c>
      <c r="K27" s="60">
        <f>IF('[6]سجل المستخلصات'!$L$8="","",'[6]سجل المستخلصات'!$L$8)</f>
        <v/>
      </c>
      <c r="L27" s="60">
        <f>IF('[6]سجل المستخلصات'!$M$8="","",'[6]سجل المستخلصات'!$M$8)</f>
        <v/>
      </c>
      <c r="M27" s="60">
        <f>IF('[6]سجل المستخلصات'!$N$8="","",'[6]سجل المستخلصات'!$N$8)</f>
        <v/>
      </c>
      <c r="N27" s="59">
        <f>IF('[6]سجل المستخلصات'!$O$8="","",'[6]سجل المستخلصات'!$O$8)</f>
        <v/>
      </c>
      <c r="O27" s="59">
        <f>IF('[6]سجل المستخلصات'!$R$8="","",'[6]سجل المستخلصات'!$R$8)</f>
        <v/>
      </c>
      <c r="P27" s="59">
        <f>IF('[6]سجل المستخلصات'!$S$8="","",'[6]سجل المستخلصات'!$S$8)</f>
        <v/>
      </c>
      <c r="Q27" s="59">
        <f>IF('[6]سجل المستخلصات'!$T$8="","",'[6]سجل المستخلصات'!$T$8)</f>
        <v/>
      </c>
      <c r="R27" s="59">
        <f>IF('[6]سجل المستخلصات'!$V$8="","",'[6]سجل المستخلصات'!$V$8)</f>
        <v/>
      </c>
      <c r="S27" s="59">
        <f>IF('[6]سجل المستخلصات'!$W$8="","",'[6]سجل المستخلصات'!$W$8)</f>
        <v/>
      </c>
      <c r="T27" s="61">
        <f>IF('[6]سجل المستخلصات'!$X$8="","",'[6]سجل المستخلصات'!$X$8)</f>
        <v/>
      </c>
      <c r="U27" s="61">
        <f>IF('[6]سجل المستخلصات'!$Z$8="","",'[6]سجل المستخلصات'!$Z$8)</f>
        <v/>
      </c>
      <c r="V27" s="59">
        <f>IF('[6]سجل المستخلصات'!$AA$8="","",'[6]سجل المستخلصات'!$AA$8)</f>
        <v/>
      </c>
      <c r="W27" s="59">
        <f>IF('[6]سجل المستخلصات'!$AC$8="","",'[6]سجل المستخلصات'!$AC$8)</f>
        <v/>
      </c>
      <c r="X27" s="62">
        <f>IF('[6]سجل المستخلصات'!$AD$8="","",'[6]سجل المستخلصات'!$AD$8)</f>
        <v/>
      </c>
      <c r="Y27" s="58">
        <f>IF('[6]سجل المستخلصات'!$AE$8="","",'[6]سجل المستخلصات'!$AE$8)</f>
        <v/>
      </c>
      <c r="AA27" s="63" t="n"/>
      <c r="AB27" s="63" t="n"/>
    </row>
    <row r="28">
      <c r="B28" s="56" t="n">
        <v>4</v>
      </c>
      <c r="C28" s="57">
        <f>IF('[6]سجل المستخلصات'!$C$9="","",'[6]سجل المستخلصات'!$C$9)</f>
        <v/>
      </c>
      <c r="D28" s="57">
        <f>IF('[6]سجل المستخلصات'!$E$9="","",'[6]سجل المستخلصات'!$E$9)</f>
        <v/>
      </c>
      <c r="E28" s="58">
        <f>IF('[6]سجل المستخلصات'!$F$9="","",'[6]سجل المستخلصات'!$F$9)</f>
        <v/>
      </c>
      <c r="F28" s="59">
        <f>IF('[6]سجل المستخلصات'!$H$9="","",'[6]سجل المستخلصات'!$H$9)</f>
        <v/>
      </c>
      <c r="G28" s="59">
        <f>IF('[6]سجل المستخلصات'!$G$9="","",'[6]سجل المستخلصات'!$G$9)</f>
        <v/>
      </c>
      <c r="H28" s="59">
        <f>IF('[6]سجل المستخلصات'!$I$9="","",'[6]سجل المستخلصات'!$I$9)</f>
        <v/>
      </c>
      <c r="I28" s="59">
        <f>IF('[6]سجل المستخلصات'!$J$9="","",'[6]سجل المستخلصات'!$J$9)</f>
        <v/>
      </c>
      <c r="J28" s="59">
        <f>IF('[6]سجل المستخلصات'!$K$9="","",'[6]سجل المستخلصات'!$K$9)</f>
        <v/>
      </c>
      <c r="K28" s="60">
        <f>IF('[6]سجل المستخلصات'!$L$9="","",'[6]سجل المستخلصات'!$L$9)</f>
        <v/>
      </c>
      <c r="L28" s="60">
        <f>IF('[6]سجل المستخلصات'!$M$9="","",'[6]سجل المستخلصات'!$M$9)</f>
        <v/>
      </c>
      <c r="M28" s="60">
        <f>IF('[6]سجل المستخلصات'!$N$9="","",'[6]سجل المستخلصات'!$N$9)</f>
        <v/>
      </c>
      <c r="N28" s="59">
        <f>IF('[6]سجل المستخلصات'!$O$9="","",'[6]سجل المستخلصات'!$O$9)</f>
        <v/>
      </c>
      <c r="O28" s="59">
        <f>IF('[6]سجل المستخلصات'!$R$9="","",'[6]سجل المستخلصات'!$R$9)</f>
        <v/>
      </c>
      <c r="P28" s="59">
        <f>IF('[6]سجل المستخلصات'!$S$9="","",'[6]سجل المستخلصات'!$S$9)</f>
        <v/>
      </c>
      <c r="Q28" s="59">
        <f>IF('[6]سجل المستخلصات'!$T$9="","",'[6]سجل المستخلصات'!$T$9)</f>
        <v/>
      </c>
      <c r="R28" s="59">
        <f>IF('[6]سجل المستخلصات'!$V$9="","",'[6]سجل المستخلصات'!$V$9)</f>
        <v/>
      </c>
      <c r="S28" s="59">
        <f>IF('[6]سجل المستخلصات'!$W$9="","",'[6]سجل المستخلصات'!$W$9)</f>
        <v/>
      </c>
      <c r="T28" s="61">
        <f>IF('[6]سجل المستخلصات'!$X$9="","",'[6]سجل المستخلصات'!$X$9)</f>
        <v/>
      </c>
      <c r="U28" s="61">
        <f>IF('[6]سجل المستخلصات'!$Z$9="","",'[6]سجل المستخلصات'!$Z$9)</f>
        <v/>
      </c>
      <c r="V28" s="59">
        <f>IF('[6]سجل المستخلصات'!$AA$9="","",'[6]سجل المستخلصات'!$AA$9)</f>
        <v/>
      </c>
      <c r="W28" s="59">
        <f>IF('[6]سجل المستخلصات'!$AC$9="","",'[6]سجل المستخلصات'!$AC$9)</f>
        <v/>
      </c>
      <c r="X28" s="62">
        <f>IF('[6]سجل المستخلصات'!$AD$9="","",'[6]سجل المستخلصات'!$AD$9)</f>
        <v/>
      </c>
      <c r="Y28" s="58">
        <f>IF('[6]سجل المستخلصات'!$AE$9="","",'[6]سجل المستخلصات'!$AE$9)</f>
        <v/>
      </c>
      <c r="AA28" s="63" t="n"/>
      <c r="AB28" s="63" t="n"/>
    </row>
    <row r="29">
      <c r="B29" s="56" t="n">
        <v>5</v>
      </c>
      <c r="C29" s="57">
        <f>IF('[6]سجل المستخلصات'!$C$10="","",'[6]سجل المستخلصات'!$C$10)</f>
        <v/>
      </c>
      <c r="D29" s="57">
        <f>IF('[6]سجل المستخلصات'!$E$10="","",'[6]سجل المستخلصات'!$E$10)</f>
        <v/>
      </c>
      <c r="E29" s="58">
        <f>IF('[6]سجل المستخلصات'!$F$10="","",'[6]سجل المستخلصات'!$F$10)</f>
        <v/>
      </c>
      <c r="F29" s="59">
        <f>IF('[6]سجل المستخلصات'!$H$10="","",'[6]سجل المستخلصات'!$H$10)</f>
        <v/>
      </c>
      <c r="G29" s="59">
        <f>IF('[6]سجل المستخلصات'!$G$10="","",'[6]سجل المستخلصات'!$G$10)</f>
        <v/>
      </c>
      <c r="H29" s="59">
        <f>IF('[6]سجل المستخلصات'!$I$10="","",'[6]سجل المستخلصات'!$I$10)</f>
        <v/>
      </c>
      <c r="I29" s="59">
        <f>IF('[6]سجل المستخلصات'!$J$10="","",'[6]سجل المستخلصات'!$J$10)</f>
        <v/>
      </c>
      <c r="J29" s="59">
        <f>IF('[6]سجل المستخلصات'!$K$10="","",'[6]سجل المستخلصات'!$K$10)</f>
        <v/>
      </c>
      <c r="K29" s="60">
        <f>IF('[6]سجل المستخلصات'!$L$10="","",'[6]سجل المستخلصات'!$L$10)</f>
        <v/>
      </c>
      <c r="L29" s="60">
        <f>IF('[6]سجل المستخلصات'!$M$10="","",'[6]سجل المستخلصات'!$M$10)</f>
        <v/>
      </c>
      <c r="M29" s="60">
        <f>IF('[6]سجل المستخلصات'!$N$10="","",'[6]سجل المستخلصات'!$N$10)</f>
        <v/>
      </c>
      <c r="N29" s="59">
        <f>IF('[6]سجل المستخلصات'!$O$10="","",'[6]سجل المستخلصات'!$O$10)</f>
        <v/>
      </c>
      <c r="O29" s="59">
        <f>IF('[6]سجل المستخلصات'!$R$10="","",'[6]سجل المستخلصات'!$R$10)</f>
        <v/>
      </c>
      <c r="P29" s="59">
        <f>IF('[6]سجل المستخلصات'!$S$10="","",'[6]سجل المستخلصات'!$S$10)</f>
        <v/>
      </c>
      <c r="Q29" s="59">
        <f>IF('[6]سجل المستخلصات'!$T$10="","",'[6]سجل المستخلصات'!$T$10)</f>
        <v/>
      </c>
      <c r="R29" s="59">
        <f>IF('[6]سجل المستخلصات'!$V$10="","",'[6]سجل المستخلصات'!$V$10)</f>
        <v/>
      </c>
      <c r="S29" s="59">
        <f>IF('[6]سجل المستخلصات'!$W$10="","",'[6]سجل المستخلصات'!$W$10)</f>
        <v/>
      </c>
      <c r="T29" s="61">
        <f>IF('[6]سجل المستخلصات'!$X$10="","",'[6]سجل المستخلصات'!$X$10)</f>
        <v/>
      </c>
      <c r="U29" s="61">
        <f>IF('[6]سجل المستخلصات'!$Z$10="","",'[6]سجل المستخلصات'!$Z$10)</f>
        <v/>
      </c>
      <c r="V29" s="59">
        <f>IF('[6]سجل المستخلصات'!$AA$10="","",'[6]سجل المستخلصات'!$AA$10)</f>
        <v/>
      </c>
      <c r="W29" s="59">
        <f>IF('[6]سجل المستخلصات'!$AC$10="","",'[6]سجل المستخلصات'!$AC$10)</f>
        <v/>
      </c>
      <c r="X29" s="62">
        <f>IF('[6]سجل المستخلصات'!$AD$10="","",'[6]سجل المستخلصات'!$AD$10)</f>
        <v/>
      </c>
      <c r="Y29" s="58">
        <f>IF('[6]سجل المستخلصات'!$AE$10="","",'[6]سجل المستخلصات'!$AE$10)</f>
        <v/>
      </c>
    </row>
    <row r="30">
      <c r="B30" s="56" t="n">
        <v>6</v>
      </c>
      <c r="C30" s="57">
        <f>IF('[6]سجل المستخلصات'!$C$11="","",'[6]سجل المستخلصات'!$C$11)</f>
        <v/>
      </c>
      <c r="D30" s="57">
        <f>IF('[6]سجل المستخلصات'!$E$11="","",'[6]سجل المستخلصات'!$E$11)</f>
        <v/>
      </c>
      <c r="E30" s="58">
        <f>IF('[6]سجل المستخلصات'!$F$11="","",'[6]سجل المستخلصات'!$F$11)</f>
        <v/>
      </c>
      <c r="F30" s="59">
        <f>IF('[6]سجل المستخلصات'!$H$11="","",'[6]سجل المستخلصات'!$H$11)</f>
        <v/>
      </c>
      <c r="G30" s="59">
        <f>IF('[6]سجل المستخلصات'!$G$11="","",'[6]سجل المستخلصات'!$G$11)</f>
        <v/>
      </c>
      <c r="H30" s="59">
        <f>IF('[6]سجل المستخلصات'!$I$11="","",'[6]سجل المستخلصات'!$I$11)</f>
        <v/>
      </c>
      <c r="I30" s="59">
        <f>IF('[6]سجل المستخلصات'!$J$11="","",'[6]سجل المستخلصات'!$J$11)</f>
        <v/>
      </c>
      <c r="J30" s="59">
        <f>IF('[6]سجل المستخلصات'!$K$11="","",'[6]سجل المستخلصات'!$K$11)</f>
        <v/>
      </c>
      <c r="K30" s="60">
        <f>IF('[6]سجل المستخلصات'!$L$11="","",'[6]سجل المستخلصات'!$L$11)</f>
        <v/>
      </c>
      <c r="L30" s="60">
        <f>IF('[6]سجل المستخلصات'!$M$11="","",'[6]سجل المستخلصات'!$M$11)</f>
        <v/>
      </c>
      <c r="M30" s="60">
        <f>IF('[6]سجل المستخلصات'!$N$11="","",'[6]سجل المستخلصات'!$N$11)</f>
        <v/>
      </c>
      <c r="N30" s="59">
        <f>IF('[6]سجل المستخلصات'!$O$11="","",'[6]سجل المستخلصات'!$O$11)</f>
        <v/>
      </c>
      <c r="O30" s="59">
        <f>IF('[6]سجل المستخلصات'!$R$11="","",'[6]سجل المستخلصات'!$R$11)</f>
        <v/>
      </c>
      <c r="P30" s="59">
        <f>IF('[6]سجل المستخلصات'!$S$11="","",'[6]سجل المستخلصات'!$S$11)</f>
        <v/>
      </c>
      <c r="Q30" s="59">
        <f>IF('[6]سجل المستخلصات'!$T$11="","",'[6]سجل المستخلصات'!$T$11)</f>
        <v/>
      </c>
      <c r="R30" s="59">
        <f>IF('[6]سجل المستخلصات'!$V$11="","",'[6]سجل المستخلصات'!$V$11)</f>
        <v/>
      </c>
      <c r="S30" s="59">
        <f>IF('[6]سجل المستخلصات'!$W$11="","",'[6]سجل المستخلصات'!$W$11)</f>
        <v/>
      </c>
      <c r="T30" s="61">
        <f>IF('[6]سجل المستخلصات'!$X$11="","",'[6]سجل المستخلصات'!$X$11)</f>
        <v/>
      </c>
      <c r="U30" s="61">
        <f>IF('[6]سجل المستخلصات'!$Z$11="","",'[6]سجل المستخلصات'!$Z$11)</f>
        <v/>
      </c>
      <c r="V30" s="59">
        <f>IF('[6]سجل المستخلصات'!$AA$11="","",'[6]سجل المستخلصات'!$AA$11)</f>
        <v/>
      </c>
      <c r="W30" s="59">
        <f>IF('[6]سجل المستخلصات'!$AC$11="","",'[6]سجل المستخلصات'!$AC$11)</f>
        <v/>
      </c>
      <c r="X30" s="62">
        <f>IF('[6]سجل المستخلصات'!$AD$11="","",'[6]سجل المستخلصات'!$AD$11)</f>
        <v/>
      </c>
      <c r="Y30" s="58">
        <f>IF('[6]سجل المستخلصات'!$AE$11="","",'[6]سجل المستخلصات'!$AE$11)</f>
        <v/>
      </c>
    </row>
    <row r="31">
      <c r="B31" s="56" t="n">
        <v>7</v>
      </c>
      <c r="C31" s="57">
        <f>IF('[6]سجل المستخلصات'!$C$12="","",'[6]سجل المستخلصات'!$C$12)</f>
        <v/>
      </c>
      <c r="D31" s="57">
        <f>IF('[6]سجل المستخلصات'!$E$12="","",'[6]سجل المستخلصات'!$E$12)</f>
        <v/>
      </c>
      <c r="E31" s="58">
        <f>IF('[6]سجل المستخلصات'!$F$12="","",'[6]سجل المستخلصات'!$F$12)</f>
        <v/>
      </c>
      <c r="F31" s="59">
        <f>IF('[6]سجل المستخلصات'!$H$12="","",'[6]سجل المستخلصات'!$H$12)</f>
        <v/>
      </c>
      <c r="G31" s="59">
        <f>IF('[6]سجل المستخلصات'!$G$12="","",'[6]سجل المستخلصات'!$G$12)</f>
        <v/>
      </c>
      <c r="H31" s="59">
        <f>IF('[6]سجل المستخلصات'!$I$12="","",'[6]سجل المستخلصات'!$I$12)</f>
        <v/>
      </c>
      <c r="I31" s="59">
        <f>IF('[6]سجل المستخلصات'!$J$12="","",'[6]سجل المستخلصات'!$J$12)</f>
        <v/>
      </c>
      <c r="J31" s="59">
        <f>IF('[6]سجل المستخلصات'!$K$12="","",'[6]سجل المستخلصات'!$K$12)</f>
        <v/>
      </c>
      <c r="K31" s="60">
        <f>IF('[6]سجل المستخلصات'!$L$12="","",'[6]سجل المستخلصات'!$L$12)</f>
        <v/>
      </c>
      <c r="L31" s="60">
        <f>IF('[6]سجل المستخلصات'!$M$12="","",'[6]سجل المستخلصات'!$M$12)</f>
        <v/>
      </c>
      <c r="M31" s="60">
        <f>IF('[6]سجل المستخلصات'!$N$12="","",'[6]سجل المستخلصات'!$N$12)</f>
        <v/>
      </c>
      <c r="N31" s="59">
        <f>IF('[6]سجل المستخلصات'!$O$12="","",'[6]سجل المستخلصات'!$O$12)</f>
        <v/>
      </c>
      <c r="O31" s="59">
        <f>IF('[6]سجل المستخلصات'!$R$12="","",'[6]سجل المستخلصات'!$R$12)</f>
        <v/>
      </c>
      <c r="P31" s="59">
        <f>IF('[6]سجل المستخلصات'!$S$12="","",'[6]سجل المستخلصات'!$S$12)</f>
        <v/>
      </c>
      <c r="Q31" s="59">
        <f>IF('[6]سجل المستخلصات'!$T$12="","",'[6]سجل المستخلصات'!$T$12)</f>
        <v/>
      </c>
      <c r="R31" s="59">
        <f>IF('[6]سجل المستخلصات'!$V$12="","",'[6]سجل المستخلصات'!$V$12)</f>
        <v/>
      </c>
      <c r="S31" s="59">
        <f>IF('[6]سجل المستخلصات'!$W$12="","",'[6]سجل المستخلصات'!$W$12)</f>
        <v/>
      </c>
      <c r="T31" s="61">
        <f>IF('[6]سجل المستخلصات'!$X$12="","",'[6]سجل المستخلصات'!$X$12)</f>
        <v/>
      </c>
      <c r="U31" s="61">
        <f>IF('[6]سجل المستخلصات'!$Z$12="","",'[6]سجل المستخلصات'!$Z$12)</f>
        <v/>
      </c>
      <c r="V31" s="59">
        <f>IF('[6]سجل المستخلصات'!$AA$12="","",'[6]سجل المستخلصات'!$AA$12)</f>
        <v/>
      </c>
      <c r="W31" s="59">
        <f>IF('[6]سجل المستخلصات'!$AC$12="","",'[6]سجل المستخلصات'!$AC$12)</f>
        <v/>
      </c>
      <c r="X31" s="62">
        <f>IF('[6]سجل المستخلصات'!$AD$12="","",'[6]سجل المستخلصات'!$AD$12)</f>
        <v/>
      </c>
      <c r="Y31" s="58">
        <f>IF('[6]سجل المستخلصات'!$AE$12="","",'[6]سجل المستخلصات'!$AE$12)</f>
        <v/>
      </c>
    </row>
    <row r="32">
      <c r="B32" s="56" t="n">
        <v>8</v>
      </c>
      <c r="C32" s="57">
        <f>IF('[6]سجل المستخلصات'!$C$13="","",'[6]سجل المستخلصات'!$C$13)</f>
        <v/>
      </c>
      <c r="D32" s="57">
        <f>IF('[6]سجل المستخلصات'!$E$13="","",'[6]سجل المستخلصات'!$E$13)</f>
        <v/>
      </c>
      <c r="E32" s="58">
        <f>IF('[6]سجل المستخلصات'!$F$13="","",'[6]سجل المستخلصات'!$F$13)</f>
        <v/>
      </c>
      <c r="F32" s="59">
        <f>IF('[6]سجل المستخلصات'!$H$13="","",'[6]سجل المستخلصات'!$H$13)</f>
        <v/>
      </c>
      <c r="G32" s="59">
        <f>IF('[6]سجل المستخلصات'!$G$13="","",'[6]سجل المستخلصات'!$G$13)</f>
        <v/>
      </c>
      <c r="H32" s="59">
        <f>IF('[6]سجل المستخلصات'!$I$13="","",'[6]سجل المستخلصات'!$I$13)</f>
        <v/>
      </c>
      <c r="I32" s="59">
        <f>IF('[6]سجل المستخلصات'!$J$13="","",'[6]سجل المستخلصات'!$J$13)</f>
        <v/>
      </c>
      <c r="J32" s="59">
        <f>IF('[6]سجل المستخلصات'!$K$13="","",'[6]سجل المستخلصات'!$K$13)</f>
        <v/>
      </c>
      <c r="K32" s="60">
        <f>IF('[6]سجل المستخلصات'!$L$13="","",'[6]سجل المستخلصات'!$L$13)</f>
        <v/>
      </c>
      <c r="L32" s="60">
        <f>IF('[6]سجل المستخلصات'!$M$13="","",'[6]سجل المستخلصات'!$M$13)</f>
        <v/>
      </c>
      <c r="M32" s="60">
        <f>IF('[6]سجل المستخلصات'!$N$13="","",'[6]سجل المستخلصات'!$N$13)</f>
        <v/>
      </c>
      <c r="N32" s="59">
        <f>IF('[6]سجل المستخلصات'!$O$13="","",'[6]سجل المستخلصات'!$O$13)</f>
        <v/>
      </c>
      <c r="O32" s="59">
        <f>IF('[6]سجل المستخلصات'!$R$13="","",'[6]سجل المستخلصات'!$R$13)</f>
        <v/>
      </c>
      <c r="P32" s="59">
        <f>IF('[6]سجل المستخلصات'!$S$13="","",'[6]سجل المستخلصات'!$S$13)</f>
        <v/>
      </c>
      <c r="Q32" s="59">
        <f>IF('[6]سجل المستخلصات'!$T$13="","",'[6]سجل المستخلصات'!$T$13)</f>
        <v/>
      </c>
      <c r="R32" s="59">
        <f>IF('[6]سجل المستخلصات'!$V$13="","",'[6]سجل المستخلصات'!$V$13)</f>
        <v/>
      </c>
      <c r="S32" s="59">
        <f>IF('[6]سجل المستخلصات'!$W$13="","",'[6]سجل المستخلصات'!$W$13)</f>
        <v/>
      </c>
      <c r="T32" s="61">
        <f>IF('[6]سجل المستخلصات'!$X$13="","",'[6]سجل المستخلصات'!$X$13)</f>
        <v/>
      </c>
      <c r="U32" s="61">
        <f>IF('[6]سجل المستخلصات'!$Z$13="","",'[6]سجل المستخلصات'!$Z$13)</f>
        <v/>
      </c>
      <c r="V32" s="59">
        <f>IF('[6]سجل المستخلصات'!$AA$13="","",'[6]سجل المستخلصات'!$AA$13)</f>
        <v/>
      </c>
      <c r="W32" s="59">
        <f>IF('[6]سجل المستخلصات'!$AC$13="","",'[6]سجل المستخلصات'!$AC$13)</f>
        <v/>
      </c>
      <c r="X32" s="62">
        <f>IF('[6]سجل المستخلصات'!$AD$13="","",'[6]سجل المستخلصات'!$AD$13)</f>
        <v/>
      </c>
      <c r="Y32" s="58">
        <f>IF('[6]سجل المستخلصات'!$AE$13="","",'[6]سجل المستخلصات'!$AE$13)</f>
        <v/>
      </c>
    </row>
    <row r="33">
      <c r="B33" s="56" t="n">
        <v>9</v>
      </c>
      <c r="C33" s="57">
        <f>IF('[6]سجل المستخلصات'!$C$14="","",'[6]سجل المستخلصات'!$C$14)</f>
        <v/>
      </c>
      <c r="D33" s="57">
        <f>IF('[6]سجل المستخلصات'!$E$14="","",'[6]سجل المستخلصات'!$E$14)</f>
        <v/>
      </c>
      <c r="E33" s="58">
        <f>IF('[6]سجل المستخلصات'!$F$14="","",'[6]سجل المستخلصات'!$F$14)</f>
        <v/>
      </c>
      <c r="F33" s="59">
        <f>IF('[6]سجل المستخلصات'!$H$14="","",'[6]سجل المستخلصات'!$H$14)</f>
        <v/>
      </c>
      <c r="G33" s="59">
        <f>IF('[6]سجل المستخلصات'!$G$14="","",'[6]سجل المستخلصات'!$G$14)</f>
        <v/>
      </c>
      <c r="H33" s="59">
        <f>IF('[6]سجل المستخلصات'!$I$14="","",'[6]سجل المستخلصات'!$I$14)</f>
        <v/>
      </c>
      <c r="I33" s="59">
        <f>IF('[6]سجل المستخلصات'!$J$14="","",'[6]سجل المستخلصات'!$J$14)</f>
        <v/>
      </c>
      <c r="J33" s="59">
        <f>IF('[6]سجل المستخلصات'!$K$14="","",'[6]سجل المستخلصات'!$K$14)</f>
        <v/>
      </c>
      <c r="K33" s="60">
        <f>IF('[6]سجل المستخلصات'!$L$14="","",'[6]سجل المستخلصات'!$L$14)</f>
        <v/>
      </c>
      <c r="L33" s="60">
        <f>IF('[6]سجل المستخلصات'!$M$14="","",'[6]سجل المستخلصات'!$M$14)</f>
        <v/>
      </c>
      <c r="M33" s="60">
        <f>IF('[6]سجل المستخلصات'!$N$14="","",'[6]سجل المستخلصات'!$N$14)</f>
        <v/>
      </c>
      <c r="N33" s="59">
        <f>IF('[6]سجل المستخلصات'!$O$14="","",'[6]سجل المستخلصات'!$O$14)</f>
        <v/>
      </c>
      <c r="O33" s="59">
        <f>IF('[6]سجل المستخلصات'!$R$14="","",'[6]سجل المستخلصات'!$R$14)</f>
        <v/>
      </c>
      <c r="P33" s="59">
        <f>IF('[6]سجل المستخلصات'!$S$14="","",'[6]سجل المستخلصات'!$S$14)</f>
        <v/>
      </c>
      <c r="Q33" s="59">
        <f>IF('[6]سجل المستخلصات'!$T$14="","",'[6]سجل المستخلصات'!$T$14)</f>
        <v/>
      </c>
      <c r="R33" s="59">
        <f>IF('[6]سجل المستخلصات'!$V$14="","",'[6]سجل المستخلصات'!$V$14)</f>
        <v/>
      </c>
      <c r="S33" s="59">
        <f>IF('[6]سجل المستخلصات'!$W$14="","",'[6]سجل المستخلصات'!$W$14)</f>
        <v/>
      </c>
      <c r="T33" s="61">
        <f>IF('[6]سجل المستخلصات'!$X$14="","",'[6]سجل المستخلصات'!$X$14)</f>
        <v/>
      </c>
      <c r="U33" s="61">
        <f>IF('[6]سجل المستخلصات'!$Z$14="","",'[6]سجل المستخلصات'!$Z$14)</f>
        <v/>
      </c>
      <c r="V33" s="59">
        <f>IF('[6]سجل المستخلصات'!$AA$14="","",'[6]سجل المستخلصات'!$AA$14)</f>
        <v/>
      </c>
      <c r="W33" s="59">
        <f>IF('[6]سجل المستخلصات'!$AC$14="","",'[6]سجل المستخلصات'!$AC$14)</f>
        <v/>
      </c>
      <c r="X33" s="62">
        <f>IF('[6]سجل المستخلصات'!$AD$14="","",'[6]سجل المستخلصات'!$AD$14)</f>
        <v/>
      </c>
      <c r="Y33" s="58">
        <f>IF('[6]سجل المستخلصات'!$AE$14="","",'[6]سجل المستخلصات'!$AE$14)</f>
        <v/>
      </c>
    </row>
    <row r="34">
      <c r="B34" s="56" t="n">
        <v>10</v>
      </c>
      <c r="C34" s="57">
        <f>IF('[6]سجل المستخلصات'!$C$15="","",'[6]سجل المستخلصات'!$C$15)</f>
        <v/>
      </c>
      <c r="D34" s="57">
        <f>IF('[6]سجل المستخلصات'!$E$15="","",'[6]سجل المستخلصات'!$E$15)</f>
        <v/>
      </c>
      <c r="E34" s="58">
        <f>IF('[6]سجل المستخلصات'!$F$15="","",'[6]سجل المستخلصات'!$F$15)</f>
        <v/>
      </c>
      <c r="F34" s="59">
        <f>IF('[6]سجل المستخلصات'!$H$15="","",'[6]سجل المستخلصات'!$H$15)</f>
        <v/>
      </c>
      <c r="G34" s="59">
        <f>IF('[6]سجل المستخلصات'!$G$15="","",'[6]سجل المستخلصات'!$G$15)</f>
        <v/>
      </c>
      <c r="H34" s="59">
        <f>IF('[6]سجل المستخلصات'!$I$15="","",'[6]سجل المستخلصات'!$I$15)</f>
        <v/>
      </c>
      <c r="I34" s="59">
        <f>IF('[6]سجل المستخلصات'!$J$15="","",'[6]سجل المستخلصات'!$J$15)</f>
        <v/>
      </c>
      <c r="J34" s="59">
        <f>IF('[6]سجل المستخلصات'!$K$15="","",'[6]سجل المستخلصات'!$K$15)</f>
        <v/>
      </c>
      <c r="K34" s="60">
        <f>IF('[6]سجل المستخلصات'!$L$15="","",'[6]سجل المستخلصات'!$L$15)</f>
        <v/>
      </c>
      <c r="L34" s="60">
        <f>IF('[6]سجل المستخلصات'!$M$15="","",'[6]سجل المستخلصات'!$M$15)</f>
        <v/>
      </c>
      <c r="M34" s="60">
        <f>IF('[6]سجل المستخلصات'!$N$15="","",'[6]سجل المستخلصات'!$N$15)</f>
        <v/>
      </c>
      <c r="N34" s="59">
        <f>IF('[6]سجل المستخلصات'!$O$15="","",'[6]سجل المستخلصات'!$O$15)</f>
        <v/>
      </c>
      <c r="O34" s="59">
        <f>IF('[6]سجل المستخلصات'!$R$15="","",'[6]سجل المستخلصات'!$R$15)</f>
        <v/>
      </c>
      <c r="P34" s="59">
        <f>IF('[6]سجل المستخلصات'!$S$15="","",'[6]سجل المستخلصات'!$S$15)</f>
        <v/>
      </c>
      <c r="Q34" s="59">
        <f>IF('[6]سجل المستخلصات'!$T$15="","",'[6]سجل المستخلصات'!$T$15)</f>
        <v/>
      </c>
      <c r="R34" s="59">
        <f>IF('[6]سجل المستخلصات'!$V$15="","",'[6]سجل المستخلصات'!$V$15)</f>
        <v/>
      </c>
      <c r="S34" s="59">
        <f>IF('[6]سجل المستخلصات'!$W$15="","",'[6]سجل المستخلصات'!$W$15)</f>
        <v/>
      </c>
      <c r="T34" s="61">
        <f>IF('[6]سجل المستخلصات'!$X$15="","",'[6]سجل المستخلصات'!$X$15)</f>
        <v/>
      </c>
      <c r="U34" s="61">
        <f>IF('[6]سجل المستخلصات'!$Z$15="","",'[6]سجل المستخلصات'!$Z$15)</f>
        <v/>
      </c>
      <c r="V34" s="59">
        <f>IF('[6]سجل المستخلصات'!$AA$15="","",'[6]سجل المستخلصات'!$AA$15)</f>
        <v/>
      </c>
      <c r="W34" s="59">
        <f>IF('[6]سجل المستخلصات'!$AC$15="","",'[6]سجل المستخلصات'!$AC$15)</f>
        <v/>
      </c>
      <c r="X34" s="62">
        <f>IF('[6]سجل المستخلصات'!$AD$15="","",'[6]سجل المستخلصات'!$AD$15)</f>
        <v/>
      </c>
      <c r="Y34" s="58">
        <f>IF('[6]سجل المستخلصات'!$AE$15="","",'[6]سجل المستخلصات'!$AE$15)</f>
        <v/>
      </c>
    </row>
    <row r="35">
      <c r="B35" s="56" t="n">
        <v>11</v>
      </c>
      <c r="C35" s="57">
        <f>IF('[6]سجل المستخلصات'!$C$16="","",'[6]سجل المستخلصات'!$C$16)</f>
        <v/>
      </c>
      <c r="D35" s="57">
        <f>IF('[6]سجل المستخلصات'!$E$16="","",'[6]سجل المستخلصات'!$E$16)</f>
        <v/>
      </c>
      <c r="E35" s="58">
        <f>IF('[6]سجل المستخلصات'!$F$16="","",'[6]سجل المستخلصات'!$F$16)</f>
        <v/>
      </c>
      <c r="F35" s="59">
        <f>IF('[6]سجل المستخلصات'!$H$16="","",'[6]سجل المستخلصات'!$H$16)</f>
        <v/>
      </c>
      <c r="G35" s="59">
        <f>IF('[6]سجل المستخلصات'!$G$16="","",'[6]سجل المستخلصات'!$G$16)</f>
        <v/>
      </c>
      <c r="H35" s="59">
        <f>IF('[6]سجل المستخلصات'!$I$16="","",'[6]سجل المستخلصات'!$I$16)</f>
        <v/>
      </c>
      <c r="I35" s="59">
        <f>IF('[6]سجل المستخلصات'!$J$16="","",'[6]سجل المستخلصات'!$J$16)</f>
        <v/>
      </c>
      <c r="J35" s="59">
        <f>IF('[6]سجل المستخلصات'!$K$16="","",'[6]سجل المستخلصات'!$K$16)</f>
        <v/>
      </c>
      <c r="K35" s="60">
        <f>IF('[6]سجل المستخلصات'!$L$16="","",'[6]سجل المستخلصات'!$L$16)</f>
        <v/>
      </c>
      <c r="L35" s="60">
        <f>IF('[6]سجل المستخلصات'!$M$16="","",'[6]سجل المستخلصات'!$M$16)</f>
        <v/>
      </c>
      <c r="M35" s="60">
        <f>IF('[6]سجل المستخلصات'!$N$16="","",'[6]سجل المستخلصات'!$N$16)</f>
        <v/>
      </c>
      <c r="N35" s="59">
        <f>IF('[6]سجل المستخلصات'!$O$16="","",'[6]سجل المستخلصات'!$O$16)</f>
        <v/>
      </c>
      <c r="O35" s="59">
        <f>IF('[6]سجل المستخلصات'!$R$16="","",'[6]سجل المستخلصات'!$R$16)</f>
        <v/>
      </c>
      <c r="P35" s="59">
        <f>IF('[6]سجل المستخلصات'!$S$16="","",'[6]سجل المستخلصات'!$S$16)</f>
        <v/>
      </c>
      <c r="Q35" s="59">
        <f>IF('[6]سجل المستخلصات'!$T$16="","",'[6]سجل المستخلصات'!$T$16)</f>
        <v/>
      </c>
      <c r="R35" s="59">
        <f>IF('[6]سجل المستخلصات'!$V$16="","",'[6]سجل المستخلصات'!$V$16)</f>
        <v/>
      </c>
      <c r="S35" s="59">
        <f>IF('[6]سجل المستخلصات'!$W$16="","",'[6]سجل المستخلصات'!$W$16)</f>
        <v/>
      </c>
      <c r="T35" s="61">
        <f>IF('[6]سجل المستخلصات'!$X$16="","",'[6]سجل المستخلصات'!$X$16)</f>
        <v/>
      </c>
      <c r="U35" s="61">
        <f>IF('[6]سجل المستخلصات'!$Z$16="","",'[6]سجل المستخلصات'!$Z$16)</f>
        <v/>
      </c>
      <c r="V35" s="59">
        <f>IF('[6]سجل المستخلصات'!$AA$16="","",'[6]سجل المستخلصات'!$AA$16)</f>
        <v/>
      </c>
      <c r="W35" s="59">
        <f>IF('[6]سجل المستخلصات'!$AC$16="","",'[6]سجل المستخلصات'!$AC$16)</f>
        <v/>
      </c>
      <c r="X35" s="62">
        <f>IF('[6]سجل المستخلصات'!$AD$16="","",'[6]سجل المستخلصات'!$AD$16)</f>
        <v/>
      </c>
      <c r="Y35" s="58">
        <f>IF('[6]سجل المستخلصات'!$AE$16="","",'[6]سجل المستخلصات'!$AE$16)</f>
        <v/>
      </c>
    </row>
    <row r="36">
      <c r="B36" s="56" t="n">
        <v>12</v>
      </c>
      <c r="C36" s="57">
        <f>IF('[6]سجل المستخلصات'!$C$17="","",'[6]سجل المستخلصات'!$C$17)</f>
        <v/>
      </c>
      <c r="D36" s="57">
        <f>IF('[6]سجل المستخلصات'!$E$17="","",'[6]سجل المستخلصات'!$E$17)</f>
        <v/>
      </c>
      <c r="E36" s="58">
        <f>IF('[6]سجل المستخلصات'!$F$17="","",'[6]سجل المستخلصات'!$F$17)</f>
        <v/>
      </c>
      <c r="F36" s="59">
        <f>IF('[6]سجل المستخلصات'!$H$17="","",'[6]سجل المستخلصات'!$H$17)</f>
        <v/>
      </c>
      <c r="G36" s="59">
        <f>IF('[6]سجل المستخلصات'!$G$17="","",'[6]سجل المستخلصات'!$G$17)</f>
        <v/>
      </c>
      <c r="H36" s="59">
        <f>IF('[6]سجل المستخلصات'!$I$17="","",'[6]سجل المستخلصات'!$I$17)</f>
        <v/>
      </c>
      <c r="I36" s="59">
        <f>IF('[6]سجل المستخلصات'!$J$17="","",'[6]سجل المستخلصات'!$J$17)</f>
        <v/>
      </c>
      <c r="J36" s="59">
        <f>IF('[6]سجل المستخلصات'!$K$17="","",'[6]سجل المستخلصات'!$K$17)</f>
        <v/>
      </c>
      <c r="K36" s="60">
        <f>IF('[6]سجل المستخلصات'!$L$17="","",'[6]سجل المستخلصات'!$L$17)</f>
        <v/>
      </c>
      <c r="L36" s="60">
        <f>IF('[6]سجل المستخلصات'!$M$17="","",'[6]سجل المستخلصات'!$M$17)</f>
        <v/>
      </c>
      <c r="M36" s="60">
        <f>IF('[6]سجل المستخلصات'!$N$17="","",'[6]سجل المستخلصات'!$N$17)</f>
        <v/>
      </c>
      <c r="N36" s="59">
        <f>IF('[6]سجل المستخلصات'!$O$17="","",'[6]سجل المستخلصات'!$O$17)</f>
        <v/>
      </c>
      <c r="O36" s="59">
        <f>IF('[6]سجل المستخلصات'!$R$17="","",'[6]سجل المستخلصات'!$R$17)</f>
        <v/>
      </c>
      <c r="P36" s="59">
        <f>IF('[6]سجل المستخلصات'!$S$17="","",'[6]سجل المستخلصات'!$S$17)</f>
        <v/>
      </c>
      <c r="Q36" s="59">
        <f>IF('[6]سجل المستخلصات'!$T$17="","",'[6]سجل المستخلصات'!$T$17)</f>
        <v/>
      </c>
      <c r="R36" s="59">
        <f>IF('[6]سجل المستخلصات'!$V$17="","",'[6]سجل المستخلصات'!$V$17)</f>
        <v/>
      </c>
      <c r="S36" s="59">
        <f>IF('[6]سجل المستخلصات'!$W$17="","",'[6]سجل المستخلصات'!$W$17)</f>
        <v/>
      </c>
      <c r="T36" s="61">
        <f>IF('[6]سجل المستخلصات'!$X$17="","",'[6]سجل المستخلصات'!$X$17)</f>
        <v/>
      </c>
      <c r="U36" s="61">
        <f>IF('[6]سجل المستخلصات'!$Z$17="","",'[6]سجل المستخلصات'!$Z$17)</f>
        <v/>
      </c>
      <c r="V36" s="59">
        <f>IF('[6]سجل المستخلصات'!$AA$17="","",'[6]سجل المستخلصات'!$AA$17)</f>
        <v/>
      </c>
      <c r="W36" s="59">
        <f>IF('[6]سجل المستخلصات'!$AC$17="","",'[6]سجل المستخلصات'!$AC$17)</f>
        <v/>
      </c>
      <c r="X36" s="62">
        <f>IF('[6]سجل المستخلصات'!$AD$17="","",'[6]سجل المستخلصات'!$AD$17)</f>
        <v/>
      </c>
      <c r="Y36" s="58">
        <f>IF('[6]سجل المستخلصات'!$AE$17="","",'[6]سجل المستخلصات'!$AE$17)</f>
        <v/>
      </c>
    </row>
    <row r="37">
      <c r="B37" s="56" t="n">
        <v>13</v>
      </c>
      <c r="C37" s="57">
        <f>IF('[6]سجل المستخلصات'!$C$18="","",'[6]سجل المستخلصات'!$C$18)</f>
        <v/>
      </c>
      <c r="D37" s="57">
        <f>IF('[6]سجل المستخلصات'!$E$18="","",'[6]سجل المستخلصات'!$E$18)</f>
        <v/>
      </c>
      <c r="E37" s="58">
        <f>IF('[6]سجل المستخلصات'!$F$18="","",'[6]سجل المستخلصات'!$F$18)</f>
        <v/>
      </c>
      <c r="F37" s="59">
        <f>IF('[6]سجل المستخلصات'!$H$18="","",'[6]سجل المستخلصات'!$H$18)</f>
        <v/>
      </c>
      <c r="G37" s="59">
        <f>IF('[6]سجل المستخلصات'!$G$18="","",'[6]سجل المستخلصات'!$G$18)</f>
        <v/>
      </c>
      <c r="H37" s="59">
        <f>IF('[6]سجل المستخلصات'!$I$18="","",'[6]سجل المستخلصات'!$I$18)</f>
        <v/>
      </c>
      <c r="I37" s="59">
        <f>IF('[6]سجل المستخلصات'!$J$18="","",'[6]سجل المستخلصات'!$J$18)</f>
        <v/>
      </c>
      <c r="J37" s="59">
        <f>IF('[6]سجل المستخلصات'!$K$18="","",'[6]سجل المستخلصات'!$K$18)</f>
        <v/>
      </c>
      <c r="K37" s="60">
        <f>IF('[6]سجل المستخلصات'!$L$18="","",'[6]سجل المستخلصات'!$L$18)</f>
        <v/>
      </c>
      <c r="L37" s="60">
        <f>IF('[6]سجل المستخلصات'!$M$18="","",'[6]سجل المستخلصات'!$M$18)</f>
        <v/>
      </c>
      <c r="M37" s="60">
        <f>IF('[6]سجل المستخلصات'!$N$18="","",'[6]سجل المستخلصات'!$N$18)</f>
        <v/>
      </c>
      <c r="N37" s="59">
        <f>IF('[6]سجل المستخلصات'!$O$18="","",'[6]سجل المستخلصات'!$O$18)</f>
        <v/>
      </c>
      <c r="O37" s="59">
        <f>IF('[6]سجل المستخلصات'!$R$18="","",'[6]سجل المستخلصات'!$R$18)</f>
        <v/>
      </c>
      <c r="P37" s="59">
        <f>IF('[6]سجل المستخلصات'!$S$18="","",'[6]سجل المستخلصات'!$S$18)</f>
        <v/>
      </c>
      <c r="Q37" s="59">
        <f>IF('[6]سجل المستخلصات'!$T$18="","",'[6]سجل المستخلصات'!$T$18)</f>
        <v/>
      </c>
      <c r="R37" s="59">
        <f>IF('[6]سجل المستخلصات'!$V$18="","",'[6]سجل المستخلصات'!$V$18)</f>
        <v/>
      </c>
      <c r="S37" s="59">
        <f>IF('[6]سجل المستخلصات'!$W$18="","",'[6]سجل المستخلصات'!$W$18)</f>
        <v/>
      </c>
      <c r="T37" s="61">
        <f>IF('[6]سجل المستخلصات'!$X$18="","",'[6]سجل المستخلصات'!$X$18)</f>
        <v/>
      </c>
      <c r="U37" s="61">
        <f>IF('[6]سجل المستخلصات'!$Z$18="","",'[6]سجل المستخلصات'!$Z$18)</f>
        <v/>
      </c>
      <c r="V37" s="59">
        <f>IF('[6]سجل المستخلصات'!$AA$18="","",'[6]سجل المستخلصات'!$AA$18)</f>
        <v/>
      </c>
      <c r="W37" s="59">
        <f>IF('[6]سجل المستخلصات'!$AC$18="","",'[6]سجل المستخلصات'!$AC$18)</f>
        <v/>
      </c>
      <c r="X37" s="62">
        <f>IF('[6]سجل المستخلصات'!$AD$18="","",'[6]سجل المستخلصات'!$AD$18)</f>
        <v/>
      </c>
      <c r="Y37" s="58">
        <f>IF('[6]سجل المستخلصات'!$AE$18="","",'[6]سجل المستخلصات'!$AE$18)</f>
        <v/>
      </c>
    </row>
    <row r="38">
      <c r="B38" s="56" t="n">
        <v>14</v>
      </c>
      <c r="C38" s="57">
        <f>IF('[6]سجل المستخلصات'!$C$19="","",'[6]سجل المستخلصات'!$C$19)</f>
        <v/>
      </c>
      <c r="D38" s="57">
        <f>IF('[6]سجل المستخلصات'!$E$19="","",'[6]سجل المستخلصات'!$E$19)</f>
        <v/>
      </c>
      <c r="E38" s="58">
        <f>IF('[6]سجل المستخلصات'!$F$19="","",'[6]سجل المستخلصات'!$F$19)</f>
        <v/>
      </c>
      <c r="F38" s="59">
        <f>IF('[6]سجل المستخلصات'!$H$19="","",'[6]سجل المستخلصات'!$H$19)</f>
        <v/>
      </c>
      <c r="G38" s="59">
        <f>IF('[6]سجل المستخلصات'!$G$19="","",'[6]سجل المستخلصات'!$G$19)</f>
        <v/>
      </c>
      <c r="H38" s="59">
        <f>IF('[6]سجل المستخلصات'!$I$19="","",'[6]سجل المستخلصات'!$I$19)</f>
        <v/>
      </c>
      <c r="I38" s="59">
        <f>IF('[6]سجل المستخلصات'!$J$19="","",'[6]سجل المستخلصات'!$J$19)</f>
        <v/>
      </c>
      <c r="J38" s="59">
        <f>IF('[6]سجل المستخلصات'!$K$19="","",'[6]سجل المستخلصات'!$K$19)</f>
        <v/>
      </c>
      <c r="K38" s="60">
        <f>IF('[6]سجل المستخلصات'!$L$19="","",'[6]سجل المستخلصات'!$L$19)</f>
        <v/>
      </c>
      <c r="L38" s="60">
        <f>IF('[6]سجل المستخلصات'!$M$19="","",'[6]سجل المستخلصات'!$M$19)</f>
        <v/>
      </c>
      <c r="M38" s="60">
        <f>IF('[6]سجل المستخلصات'!$N$19="","",'[6]سجل المستخلصات'!$N$19)</f>
        <v/>
      </c>
      <c r="N38" s="59">
        <f>IF('[6]سجل المستخلصات'!$O$19="","",'[6]سجل المستخلصات'!$O$19)</f>
        <v/>
      </c>
      <c r="O38" s="59">
        <f>IF('[6]سجل المستخلصات'!$R$19="","",'[6]سجل المستخلصات'!$R$19)</f>
        <v/>
      </c>
      <c r="P38" s="59">
        <f>IF('[6]سجل المستخلصات'!$S$19="","",'[6]سجل المستخلصات'!$S$19)</f>
        <v/>
      </c>
      <c r="Q38" s="59">
        <f>IF('[6]سجل المستخلصات'!$T$19="","",'[6]سجل المستخلصات'!$T$19)</f>
        <v/>
      </c>
      <c r="R38" s="59">
        <f>IF('[6]سجل المستخلصات'!$V$19="","",'[6]سجل المستخلصات'!$V$19)</f>
        <v/>
      </c>
      <c r="S38" s="59">
        <f>IF('[6]سجل المستخلصات'!$W$19="","",'[6]سجل المستخلصات'!$W$19)</f>
        <v/>
      </c>
      <c r="T38" s="61">
        <f>IF('[6]سجل المستخلصات'!$X$19="","",'[6]سجل المستخلصات'!$X$19)</f>
        <v/>
      </c>
      <c r="U38" s="61">
        <f>IF('[6]سجل المستخلصات'!$Z$19="","",'[6]سجل المستخلصات'!$Z$19)</f>
        <v/>
      </c>
      <c r="V38" s="59">
        <f>IF('[6]سجل المستخلصات'!$AA$19="","",'[6]سجل المستخلصات'!$AA$19)</f>
        <v/>
      </c>
      <c r="W38" s="59">
        <f>IF('[6]سجل المستخلصات'!$AC$19="","",'[6]سجل المستخلصات'!$AC$19)</f>
        <v/>
      </c>
      <c r="X38" s="62">
        <f>IF('[6]سجل المستخلصات'!$AD$19="","",'[6]سجل المستخلصات'!$AD$19)</f>
        <v/>
      </c>
      <c r="Y38" s="58">
        <f>IF('[6]سجل المستخلصات'!$AE$19="","",'[6]سجل المستخلصات'!$AE$19)</f>
        <v/>
      </c>
    </row>
    <row r="39">
      <c r="B39" s="56" t="n">
        <v>15</v>
      </c>
      <c r="C39" s="57">
        <f>IF('[6]سجل المستخلصات'!$C$20="","",'[6]سجل المستخلصات'!$C$20)</f>
        <v/>
      </c>
      <c r="D39" s="57">
        <f>IF('[6]سجل المستخلصات'!$E$20="","",'[6]سجل المستخلصات'!$E$20)</f>
        <v/>
      </c>
      <c r="E39" s="58">
        <f>IF('[6]سجل المستخلصات'!$F$20="","",'[6]سجل المستخلصات'!$F$20)</f>
        <v/>
      </c>
      <c r="F39" s="59">
        <f>IF('[6]سجل المستخلصات'!$H$20="","",'[6]سجل المستخلصات'!$H$20)</f>
        <v/>
      </c>
      <c r="G39" s="59">
        <f>IF('[6]سجل المستخلصات'!$G$20="","",'[6]سجل المستخلصات'!$G$20)</f>
        <v/>
      </c>
      <c r="H39" s="59">
        <f>IF('[6]سجل المستخلصات'!$I$20="","",'[6]سجل المستخلصات'!$I$20)</f>
        <v/>
      </c>
      <c r="I39" s="59">
        <f>IF('[6]سجل المستخلصات'!$J$20="","",'[6]سجل المستخلصات'!$J$20)</f>
        <v/>
      </c>
      <c r="J39" s="59">
        <f>IF('[6]سجل المستخلصات'!$K$20="","",'[6]سجل المستخلصات'!$K$20)</f>
        <v/>
      </c>
      <c r="K39" s="60">
        <f>IF('[6]سجل المستخلصات'!$L$20="","",'[6]سجل المستخلصات'!$L$20)</f>
        <v/>
      </c>
      <c r="L39" s="60">
        <f>IF('[6]سجل المستخلصات'!$M$20="","",'[6]سجل المستخلصات'!$M$20)</f>
        <v/>
      </c>
      <c r="M39" s="60">
        <f>IF('[6]سجل المستخلصات'!$N$20="","",'[6]سجل المستخلصات'!$N$20)</f>
        <v/>
      </c>
      <c r="N39" s="59">
        <f>IF('[6]سجل المستخلصات'!$O$20="","",'[6]سجل المستخلصات'!$O$20)</f>
        <v/>
      </c>
      <c r="O39" s="59">
        <f>IF('[6]سجل المستخلصات'!$R$20="","",'[6]سجل المستخلصات'!$R$20)</f>
        <v/>
      </c>
      <c r="P39" s="59">
        <f>IF('[6]سجل المستخلصات'!$S$20="","",'[6]سجل المستخلصات'!$S$20)</f>
        <v/>
      </c>
      <c r="Q39" s="59">
        <f>IF('[6]سجل المستخلصات'!$T$20="","",'[6]سجل المستخلصات'!$T$20)</f>
        <v/>
      </c>
      <c r="R39" s="59">
        <f>IF('[6]سجل المستخلصات'!$V$20="","",'[6]سجل المستخلصات'!$V$20)</f>
        <v/>
      </c>
      <c r="S39" s="59">
        <f>IF('[6]سجل المستخلصات'!$W$20="","",'[6]سجل المستخلصات'!$W$20)</f>
        <v/>
      </c>
      <c r="T39" s="61">
        <f>IF('[6]سجل المستخلصات'!$X$20="","",'[6]سجل المستخلصات'!$X$20)</f>
        <v/>
      </c>
      <c r="U39" s="61">
        <f>IF('[6]سجل المستخلصات'!$Z$20="","",'[6]سجل المستخلصات'!$Z$20)</f>
        <v/>
      </c>
      <c r="V39" s="59">
        <f>IF('[6]سجل المستخلصات'!$AA$20="","",'[6]سجل المستخلصات'!$AA$20)</f>
        <v/>
      </c>
      <c r="W39" s="59">
        <f>IF('[6]سجل المستخلصات'!$AC$20="","",'[6]سجل المستخلصات'!$AC$20)</f>
        <v/>
      </c>
      <c r="X39" s="62">
        <f>IF('[6]سجل المستخلصات'!$AD$20="","",'[6]سجل المستخلصات'!$AD$20)</f>
        <v/>
      </c>
      <c r="Y39" s="58">
        <f>IF('[6]سجل المستخلصات'!$AE$20="","",'[6]سجل المستخلصات'!$AE$20)</f>
        <v/>
      </c>
    </row>
    <row r="40">
      <c r="B40" s="56" t="n">
        <v>16</v>
      </c>
      <c r="C40" s="57">
        <f>IF('[6]سجل المستخلصات'!$C$21="","",'[6]سجل المستخلصات'!$C$21)</f>
        <v/>
      </c>
      <c r="D40" s="57">
        <f>IF('[6]سجل المستخلصات'!$E$21="","",'[6]سجل المستخلصات'!$E$21)</f>
        <v/>
      </c>
      <c r="E40" s="58">
        <f>IF('[6]سجل المستخلصات'!$F$21="","",'[6]سجل المستخلصات'!$F$21)</f>
        <v/>
      </c>
      <c r="F40" s="59">
        <f>IF('[6]سجل المستخلصات'!$H$21="","",'[6]سجل المستخلصات'!$H$21)</f>
        <v/>
      </c>
      <c r="G40" s="59">
        <f>IF('[6]سجل المستخلصات'!$G$21="","",'[6]سجل المستخلصات'!$G$21)</f>
        <v/>
      </c>
      <c r="H40" s="59">
        <f>IF('[6]سجل المستخلصات'!$I$21="","",'[6]سجل المستخلصات'!$I$21)</f>
        <v/>
      </c>
      <c r="I40" s="59">
        <f>IF('[6]سجل المستخلصات'!$J$21="","",'[6]سجل المستخلصات'!$J$21)</f>
        <v/>
      </c>
      <c r="J40" s="59">
        <f>IF('[6]سجل المستخلصات'!$K$21="","",'[6]سجل المستخلصات'!$K$21)</f>
        <v/>
      </c>
      <c r="K40" s="60">
        <f>IF('[6]سجل المستخلصات'!$L$21="","",'[6]سجل المستخلصات'!$L$21)</f>
        <v/>
      </c>
      <c r="L40" s="60">
        <f>IF('[6]سجل المستخلصات'!$M$21="","",'[6]سجل المستخلصات'!$M$21)</f>
        <v/>
      </c>
      <c r="M40" s="60">
        <f>IF('[6]سجل المستخلصات'!$N$21="","",'[6]سجل المستخلصات'!$N$21)</f>
        <v/>
      </c>
      <c r="N40" s="59">
        <f>IF('[6]سجل المستخلصات'!$O$21="","",'[6]سجل المستخلصات'!$O$21)</f>
        <v/>
      </c>
      <c r="O40" s="59">
        <f>IF('[6]سجل المستخلصات'!$R$21="","",'[6]سجل المستخلصات'!$R$21)</f>
        <v/>
      </c>
      <c r="P40" s="59">
        <f>IF('[6]سجل المستخلصات'!$S$21="","",'[6]سجل المستخلصات'!$S$21)</f>
        <v/>
      </c>
      <c r="Q40" s="59">
        <f>IF('[6]سجل المستخلصات'!$T$21="","",'[6]سجل المستخلصات'!$T$21)</f>
        <v/>
      </c>
      <c r="R40" s="59">
        <f>IF('[6]سجل المستخلصات'!$V$21="","",'[6]سجل المستخلصات'!$V$21)</f>
        <v/>
      </c>
      <c r="S40" s="59">
        <f>IF('[6]سجل المستخلصات'!$W$21="","",'[6]سجل المستخلصات'!$W$21)</f>
        <v/>
      </c>
      <c r="T40" s="61">
        <f>IF('[6]سجل المستخلصات'!$X$21="","",'[6]سجل المستخلصات'!$X$21)</f>
        <v/>
      </c>
      <c r="U40" s="61">
        <f>IF('[6]سجل المستخلصات'!$Z$21="","",'[6]سجل المستخلصات'!$Z$21)</f>
        <v/>
      </c>
      <c r="V40" s="59">
        <f>IF('[6]سجل المستخلصات'!$AA$21="","",'[6]سجل المستخلصات'!$AA$21)</f>
        <v/>
      </c>
      <c r="W40" s="59">
        <f>IF('[6]سجل المستخلصات'!$AC$21="","",'[6]سجل المستخلصات'!$AC$21)</f>
        <v/>
      </c>
      <c r="X40" s="62">
        <f>IF('[6]سجل المستخلصات'!$AD$21="","",'[6]سجل المستخلصات'!$AD$21)</f>
        <v/>
      </c>
      <c r="Y40" s="58">
        <f>IF('[6]سجل المستخلصات'!$AE$21="","",'[6]سجل المستخلصات'!$AE$21)</f>
        <v/>
      </c>
    </row>
    <row r="41">
      <c r="B41" s="56" t="n">
        <v>17</v>
      </c>
      <c r="C41" s="57">
        <f>IF('[6]سجل المستخلصات'!$C$22="","",'[6]سجل المستخلصات'!$C$22)</f>
        <v/>
      </c>
      <c r="D41" s="57">
        <f>IF('[6]سجل المستخلصات'!$E$22="","",'[6]سجل المستخلصات'!$E$22)</f>
        <v/>
      </c>
      <c r="E41" s="58">
        <f>IF('[6]سجل المستخلصات'!$F$22="","",'[6]سجل المستخلصات'!$F$22)</f>
        <v/>
      </c>
      <c r="F41" s="59">
        <f>IF('[6]سجل المستخلصات'!$H$22="","",'[6]سجل المستخلصات'!$H$22)</f>
        <v/>
      </c>
      <c r="G41" s="59">
        <f>IF('[6]سجل المستخلصات'!$G$22="","",'[6]سجل المستخلصات'!$G$22)</f>
        <v/>
      </c>
      <c r="H41" s="59">
        <f>IF('[6]سجل المستخلصات'!$I$22="","",'[6]سجل المستخلصات'!$I$22)</f>
        <v/>
      </c>
      <c r="I41" s="59">
        <f>IF('[6]سجل المستخلصات'!$J$22="","",'[6]سجل المستخلصات'!$J$22)</f>
        <v/>
      </c>
      <c r="J41" s="59">
        <f>IF('[6]سجل المستخلصات'!$K$22="","",'[6]سجل المستخلصات'!$K$22)</f>
        <v/>
      </c>
      <c r="K41" s="60">
        <f>IF('[6]سجل المستخلصات'!$L$22="","",'[6]سجل المستخلصات'!$L$22)</f>
        <v/>
      </c>
      <c r="L41" s="60">
        <f>IF('[6]سجل المستخلصات'!$M$22="","",'[6]سجل المستخلصات'!$M$22)</f>
        <v/>
      </c>
      <c r="M41" s="60">
        <f>IF('[6]سجل المستخلصات'!$N$22="","",'[6]سجل المستخلصات'!$N$22)</f>
        <v/>
      </c>
      <c r="N41" s="59">
        <f>IF('[6]سجل المستخلصات'!$O$22="","",'[6]سجل المستخلصات'!$O$22)</f>
        <v/>
      </c>
      <c r="O41" s="59">
        <f>IF('[6]سجل المستخلصات'!$R$22="","",'[6]سجل المستخلصات'!$R$22)</f>
        <v/>
      </c>
      <c r="P41" s="59">
        <f>IF('[6]سجل المستخلصات'!$S$22="","",'[6]سجل المستخلصات'!$S$22)</f>
        <v/>
      </c>
      <c r="Q41" s="59">
        <f>IF('[6]سجل المستخلصات'!$T$22="","",'[6]سجل المستخلصات'!$T$22)</f>
        <v/>
      </c>
      <c r="R41" s="59">
        <f>IF('[6]سجل المستخلصات'!$V$22="","",'[6]سجل المستخلصات'!$V$22)</f>
        <v/>
      </c>
      <c r="S41" s="59">
        <f>IF('[6]سجل المستخلصات'!$W$22="","",'[6]سجل المستخلصات'!$W$22)</f>
        <v/>
      </c>
      <c r="T41" s="61">
        <f>IF('[6]سجل المستخلصات'!$X$22="","",'[6]سجل المستخلصات'!$X$22)</f>
        <v/>
      </c>
      <c r="U41" s="61">
        <f>IF('[6]سجل المستخلصات'!$Z$22="","",'[6]سجل المستخلصات'!$Z$22)</f>
        <v/>
      </c>
      <c r="V41" s="59">
        <f>IF('[6]سجل المستخلصات'!$AA$22="","",'[6]سجل المستخلصات'!$AA$22)</f>
        <v/>
      </c>
      <c r="W41" s="59">
        <f>IF('[6]سجل المستخلصات'!$AC$22="","",'[6]سجل المستخلصات'!$AC$22)</f>
        <v/>
      </c>
      <c r="X41" s="62">
        <f>IF('[6]سجل المستخلصات'!$AD$22="","",'[6]سجل المستخلصات'!$AD$22)</f>
        <v/>
      </c>
      <c r="Y41" s="58">
        <f>IF('[6]سجل المستخلصات'!$AE$22="","",'[6]سجل المستخلصات'!$AE$22)</f>
        <v/>
      </c>
    </row>
    <row r="42">
      <c r="B42" s="56" t="n">
        <v>18</v>
      </c>
      <c r="C42" s="57">
        <f>IF('[6]سجل المستخلصات'!$C$23="","",'[6]سجل المستخلصات'!$C$23)</f>
        <v/>
      </c>
      <c r="D42" s="57">
        <f>IF('[6]سجل المستخلصات'!$E$23="","",'[6]سجل المستخلصات'!$E$23)</f>
        <v/>
      </c>
      <c r="E42" s="58">
        <f>IF('[6]سجل المستخلصات'!$F$23="","",'[6]سجل المستخلصات'!$F$23)</f>
        <v/>
      </c>
      <c r="F42" s="59">
        <f>IF('[6]سجل المستخلصات'!$H$23="","",'[6]سجل المستخلصات'!$H$23)</f>
        <v/>
      </c>
      <c r="G42" s="59">
        <f>IF('[6]سجل المستخلصات'!$G$23="","",'[6]سجل المستخلصات'!$G$23)</f>
        <v/>
      </c>
      <c r="H42" s="59">
        <f>IF('[6]سجل المستخلصات'!$I$23="","",'[6]سجل المستخلصات'!$I$23)</f>
        <v/>
      </c>
      <c r="I42" s="59">
        <f>IF('[6]سجل المستخلصات'!$J$23="","",'[6]سجل المستخلصات'!$J$23)</f>
        <v/>
      </c>
      <c r="J42" s="59">
        <f>IF('[6]سجل المستخلصات'!$K$23="","",'[6]سجل المستخلصات'!$K$23)</f>
        <v/>
      </c>
      <c r="K42" s="60">
        <f>IF('[6]سجل المستخلصات'!$L$23="","",'[6]سجل المستخلصات'!$L$23)</f>
        <v/>
      </c>
      <c r="L42" s="60">
        <f>IF('[6]سجل المستخلصات'!$M$23="","",'[6]سجل المستخلصات'!$M$23)</f>
        <v/>
      </c>
      <c r="M42" s="60">
        <f>IF('[6]سجل المستخلصات'!$N$23="","",'[6]سجل المستخلصات'!$N$23)</f>
        <v/>
      </c>
      <c r="N42" s="59">
        <f>IF('[6]سجل المستخلصات'!$O$23="","",'[6]سجل المستخلصات'!$O$23)</f>
        <v/>
      </c>
      <c r="O42" s="59">
        <f>IF('[6]سجل المستخلصات'!$R$23="","",'[6]سجل المستخلصات'!$R$23)</f>
        <v/>
      </c>
      <c r="P42" s="59">
        <f>IF('[6]سجل المستخلصات'!$S$23="","",'[6]سجل المستخلصات'!$S$23)</f>
        <v/>
      </c>
      <c r="Q42" s="59">
        <f>IF('[6]سجل المستخلصات'!$T$23="","",'[6]سجل المستخلصات'!$T$23)</f>
        <v/>
      </c>
      <c r="R42" s="59">
        <f>IF('[6]سجل المستخلصات'!$V$23="","",'[6]سجل المستخلصات'!$V$23)</f>
        <v/>
      </c>
      <c r="S42" s="59">
        <f>IF('[6]سجل المستخلصات'!$W$23="","",'[6]سجل المستخلصات'!$W$23)</f>
        <v/>
      </c>
      <c r="T42" s="61">
        <f>IF('[6]سجل المستخلصات'!$X$23="","",'[6]سجل المستخلصات'!$X$23)</f>
        <v/>
      </c>
      <c r="U42" s="61">
        <f>IF('[6]سجل المستخلصات'!$Z$23="","",'[6]سجل المستخلصات'!$Z$23)</f>
        <v/>
      </c>
      <c r="V42" s="59">
        <f>IF('[6]سجل المستخلصات'!$AA$23="","",'[6]سجل المستخلصات'!$AA$23)</f>
        <v/>
      </c>
      <c r="W42" s="59">
        <f>IF('[6]سجل المستخلصات'!$AC$23="","",'[6]سجل المستخلصات'!$AC$23)</f>
        <v/>
      </c>
      <c r="X42" s="62">
        <f>IF('[6]سجل المستخلصات'!$AD$23="","",'[6]سجل المستخلصات'!$AD$23)</f>
        <v/>
      </c>
      <c r="Y42" s="58">
        <f>IF('[6]سجل المستخلصات'!$AE$23="","",'[6]سجل المستخلصات'!$AE$23)</f>
        <v/>
      </c>
    </row>
    <row r="43">
      <c r="B43" s="56" t="n">
        <v>19</v>
      </c>
      <c r="C43" s="57">
        <f>IF('[6]سجل المستخلصات'!$C$24="","",'[6]سجل المستخلصات'!$C$24)</f>
        <v/>
      </c>
      <c r="D43" s="57">
        <f>IF('[6]سجل المستخلصات'!$E$24="","",'[6]سجل المستخلصات'!$E$24)</f>
        <v/>
      </c>
      <c r="E43" s="58">
        <f>IF('[6]سجل المستخلصات'!$F$24="","",'[6]سجل المستخلصات'!$F$24)</f>
        <v/>
      </c>
      <c r="F43" s="59">
        <f>IF('[6]سجل المستخلصات'!$H$24="","",'[6]سجل المستخلصات'!$H$24)</f>
        <v/>
      </c>
      <c r="G43" s="59">
        <f>IF('[6]سجل المستخلصات'!$G$24="","",'[6]سجل المستخلصات'!$G$24)</f>
        <v/>
      </c>
      <c r="H43" s="59">
        <f>IF('[6]سجل المستخلصات'!$I$24="","",'[6]سجل المستخلصات'!$I$24)</f>
        <v/>
      </c>
      <c r="I43" s="59">
        <f>IF('[6]سجل المستخلصات'!$J$24="","",'[6]سجل المستخلصات'!$J$24)</f>
        <v/>
      </c>
      <c r="J43" s="59">
        <f>IF('[6]سجل المستخلصات'!$K$24="","",'[6]سجل المستخلصات'!$K$24)</f>
        <v/>
      </c>
      <c r="K43" s="60">
        <f>IF('[6]سجل المستخلصات'!$L$24="","",'[6]سجل المستخلصات'!$L$24)</f>
        <v/>
      </c>
      <c r="L43" s="60">
        <f>IF('[6]سجل المستخلصات'!$M$24="","",'[6]سجل المستخلصات'!$M$24)</f>
        <v/>
      </c>
      <c r="M43" s="60">
        <f>IF('[6]سجل المستخلصات'!$N$24="","",'[6]سجل المستخلصات'!$N$24)</f>
        <v/>
      </c>
      <c r="N43" s="59">
        <f>IF('[6]سجل المستخلصات'!$O$24="","",'[6]سجل المستخلصات'!$O$24)</f>
        <v/>
      </c>
      <c r="O43" s="59">
        <f>IF('[6]سجل المستخلصات'!$R$24="","",'[6]سجل المستخلصات'!$R$24)</f>
        <v/>
      </c>
      <c r="P43" s="59">
        <f>IF('[6]سجل المستخلصات'!$S$24="","",'[6]سجل المستخلصات'!$S$24)</f>
        <v/>
      </c>
      <c r="Q43" s="59">
        <f>IF('[6]سجل المستخلصات'!$T$24="","",'[6]سجل المستخلصات'!$T$24)</f>
        <v/>
      </c>
      <c r="R43" s="59">
        <f>IF('[6]سجل المستخلصات'!$V$24="","",'[6]سجل المستخلصات'!$V$24)</f>
        <v/>
      </c>
      <c r="S43" s="59">
        <f>IF('[6]سجل المستخلصات'!$W$24="","",'[6]سجل المستخلصات'!$W$24)</f>
        <v/>
      </c>
      <c r="T43" s="61">
        <f>IF('[6]سجل المستخلصات'!$X$24="","",'[6]سجل المستخلصات'!$X$24)</f>
        <v/>
      </c>
      <c r="U43" s="61">
        <f>IF('[6]سجل المستخلصات'!$Z$24="","",'[6]سجل المستخلصات'!$Z$24)</f>
        <v/>
      </c>
      <c r="V43" s="59">
        <f>IF('[6]سجل المستخلصات'!$AA$24="","",'[6]سجل المستخلصات'!$AA$24)</f>
        <v/>
      </c>
      <c r="W43" s="59">
        <f>IF('[6]سجل المستخلصات'!$AC$24="","",'[6]سجل المستخلصات'!$AC$24)</f>
        <v/>
      </c>
      <c r="X43" s="62">
        <f>IF('[6]سجل المستخلصات'!$AD$24="","",'[6]سجل المستخلصات'!$AD$24)</f>
        <v/>
      </c>
      <c r="Y43" s="58">
        <f>IF('[6]سجل المستخلصات'!$AE$24="","",'[6]سجل المستخلصات'!$AE$24)</f>
        <v/>
      </c>
    </row>
    <row r="44">
      <c r="B44" s="56" t="n">
        <v>20</v>
      </c>
      <c r="C44" s="57">
        <f>IF('[6]سجل المستخلصات'!$C$25="","",'[6]سجل المستخلصات'!$C$25)</f>
        <v/>
      </c>
      <c r="D44" s="57">
        <f>IF('[6]سجل المستخلصات'!$E$25="","",'[6]سجل المستخلصات'!$E$25)</f>
        <v/>
      </c>
      <c r="E44" s="58">
        <f>IF('[6]سجل المستخلصات'!$F$25="","",'[6]سجل المستخلصات'!$F$25)</f>
        <v/>
      </c>
      <c r="F44" s="59">
        <f>IF('[6]سجل المستخلصات'!$H$25="","",'[6]سجل المستخلصات'!$H$25)</f>
        <v/>
      </c>
      <c r="G44" s="59">
        <f>IF('[6]سجل المستخلصات'!$G$25="","",'[6]سجل المستخلصات'!$G$25)</f>
        <v/>
      </c>
      <c r="H44" s="59">
        <f>IF('[6]سجل المستخلصات'!$I$25="","",'[6]سجل المستخلصات'!$I$25)</f>
        <v/>
      </c>
      <c r="I44" s="59">
        <f>IF('[6]سجل المستخلصات'!$J$25="","",'[6]سجل المستخلصات'!$J$25)</f>
        <v/>
      </c>
      <c r="J44" s="59">
        <f>IF('[6]سجل المستخلصات'!$K$25="","",'[6]سجل المستخلصات'!$K$25)</f>
        <v/>
      </c>
      <c r="K44" s="60">
        <f>IF('[6]سجل المستخلصات'!$L$25="","",'[6]سجل المستخلصات'!$L$25)</f>
        <v/>
      </c>
      <c r="L44" s="60">
        <f>IF('[6]سجل المستخلصات'!$M$25="","",'[6]سجل المستخلصات'!$M$25)</f>
        <v/>
      </c>
      <c r="M44" s="60">
        <f>IF('[6]سجل المستخلصات'!$N$25="","",'[6]سجل المستخلصات'!$N$25)</f>
        <v/>
      </c>
      <c r="N44" s="59">
        <f>IF('[6]سجل المستخلصات'!$O$25="","",'[6]سجل المستخلصات'!$O$25)</f>
        <v/>
      </c>
      <c r="O44" s="59">
        <f>IF('[6]سجل المستخلصات'!$R$25="","",'[6]سجل المستخلصات'!$R$25)</f>
        <v/>
      </c>
      <c r="P44" s="59">
        <f>IF('[6]سجل المستخلصات'!$S$25="","",'[6]سجل المستخلصات'!$S$25)</f>
        <v/>
      </c>
      <c r="Q44" s="59">
        <f>IF('[6]سجل المستخلصات'!$T$25="","",'[6]سجل المستخلصات'!$T$25)</f>
        <v/>
      </c>
      <c r="R44" s="59">
        <f>IF('[6]سجل المستخلصات'!$V$25="","",'[6]سجل المستخلصات'!$V$25)</f>
        <v/>
      </c>
      <c r="S44" s="59">
        <f>IF('[6]سجل المستخلصات'!$W$25="","",'[6]سجل المستخلصات'!$W$25)</f>
        <v/>
      </c>
      <c r="T44" s="61">
        <f>IF('[6]سجل المستخلصات'!$X$25="","",'[6]سجل المستخلصات'!$X$25)</f>
        <v/>
      </c>
      <c r="U44" s="61">
        <f>IF('[6]سجل المستخلصات'!$Z$25="","",'[6]سجل المستخلصات'!$Z$25)</f>
        <v/>
      </c>
      <c r="V44" s="59">
        <f>IF('[6]سجل المستخلصات'!$AA$25="","",'[6]سجل المستخلصات'!$AA$25)</f>
        <v/>
      </c>
      <c r="W44" s="59">
        <f>IF('[6]سجل المستخلصات'!$AC$25="","",'[6]سجل المستخلصات'!$AC$25)</f>
        <v/>
      </c>
      <c r="X44" s="62">
        <f>IF('[6]سجل المستخلصات'!$AD$25="","",'[6]سجل المستخلصات'!$AD$25)</f>
        <v/>
      </c>
      <c r="Y44" s="58">
        <f>IF('[6]سجل المستخلصات'!$AE$25="","",'[6]سجل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IF('[6]سجل المستخلصات'!$B$32="","",'[6]سجل المستخلصات'!$B$32)</f>
        <v/>
      </c>
      <c r="C50" s="69" t="n"/>
      <c r="D50" s="69" t="n"/>
      <c r="E50" s="59">
        <f>N('[6]سجل المستخلصات'!$E$32)</f>
        <v/>
      </c>
      <c r="F50" s="59">
        <f>N('[6]سجل المستخلصات'!$F$32)</f>
        <v/>
      </c>
      <c r="G50" s="70">
        <f>IF(E50&gt;0,F50/E50,0)</f>
        <v/>
      </c>
    </row>
    <row r="51">
      <c r="B51" s="69">
        <f>IF('[6]سجل المستخلصات'!$B$33="","",'[6]سجل المستخلصات'!$B$33)</f>
        <v/>
      </c>
      <c r="C51" s="69" t="n"/>
      <c r="D51" s="69" t="n"/>
      <c r="E51" s="59">
        <f>N('[6]سجل المستخلصات'!$E$33)</f>
        <v/>
      </c>
      <c r="F51" s="59">
        <f>N('[6]سجل المستخلصات'!$F$33)</f>
        <v/>
      </c>
      <c r="G51" s="70">
        <f>IF(E51&gt;0,F51/E51,0)</f>
        <v/>
      </c>
    </row>
    <row r="52">
      <c r="B52" s="69">
        <f>IF('[6]سجل المستخلصات'!$B$34="","",'[6]سجل المستخلصات'!$B$34)</f>
        <v/>
      </c>
      <c r="C52" s="69" t="n"/>
      <c r="D52" s="69" t="n"/>
      <c r="E52" s="59">
        <f>N('[6]سجل المستخلصات'!$E$34)</f>
        <v/>
      </c>
      <c r="F52" s="59">
        <f>N('[6]سجل المستخلصات'!$F$34)</f>
        <v/>
      </c>
      <c r="G52" s="70">
        <f>IF(E52&gt;0,F52/E52,0)</f>
        <v/>
      </c>
    </row>
    <row r="53">
      <c r="B53" s="69">
        <f>IF('[6]سجل المستخلصات'!$B$35="","",'[6]سجل المستخلصات'!$B$35)</f>
        <v/>
      </c>
      <c r="C53" s="69" t="n"/>
      <c r="D53" s="69" t="n"/>
      <c r="E53" s="59">
        <f>N('[6]سجل المستخلصات'!$E$35)</f>
        <v/>
      </c>
      <c r="F53" s="59">
        <f>N('[6]سجل المستخلصات'!$F$35)</f>
        <v/>
      </c>
      <c r="G53" s="70">
        <f>IF(E53&gt;0,F53/E53,0)</f>
        <v/>
      </c>
    </row>
    <row r="54">
      <c r="B54" s="69">
        <f>IF('[6]سجل المستخلصات'!$B$36="","",'[6]سجل المستخلصات'!$B$36)</f>
        <v/>
      </c>
      <c r="C54" s="69" t="n"/>
      <c r="D54" s="69" t="n"/>
      <c r="E54" s="59">
        <f>N('[6]سجل المستخلصات'!$E$36)</f>
        <v/>
      </c>
      <c r="F54" s="59">
        <f>N('[6]سجل المستخلصات'!$F$36)</f>
        <v/>
      </c>
      <c r="G54" s="70">
        <f>IF(E54&gt;0,F54/E54,0)</f>
        <v/>
      </c>
    </row>
    <row r="55">
      <c r="B55" s="69">
        <f>IF('[6]سجل المستخلصات'!$B$37="","",'[6]سجل المستخلصات'!$B$37)</f>
        <v/>
      </c>
      <c r="C55" s="69" t="n"/>
      <c r="D55" s="69" t="n"/>
      <c r="E55" s="59">
        <f>N('[6]سجل المستخلصات'!$E$37)</f>
        <v/>
      </c>
      <c r="F55" s="59">
        <f>N('[6]سجل المستخلصات'!$F$37)</f>
        <v/>
      </c>
      <c r="G55" s="70">
        <f>IF(E55&gt;0,F55/E55,0)</f>
        <v/>
      </c>
    </row>
    <row r="56">
      <c r="B56" s="69">
        <f>IF('[6]سجل المستخلصات'!$B$38="","",'[6]سجل المستخلصات'!$B$38)</f>
        <v/>
      </c>
      <c r="C56" s="69" t="n"/>
      <c r="D56" s="69" t="n"/>
      <c r="E56" s="59">
        <f>N('[6]سجل المستخلصات'!$E$38)</f>
        <v/>
      </c>
      <c r="F56" s="59">
        <f>N('[6]سجل المستخلصات'!$F$38)</f>
        <v/>
      </c>
      <c r="G56" s="70">
        <f>IF(E56&gt;0,F56/E56,0)</f>
        <v/>
      </c>
    </row>
    <row r="57">
      <c r="B57" s="69">
        <f>IF('[6]سجل المستخلصات'!$B$39="","",'[6]سجل المستخلصات'!$B$39)</f>
        <v/>
      </c>
      <c r="C57" s="69" t="n"/>
      <c r="D57" s="69" t="n"/>
      <c r="E57" s="59">
        <f>N('[6]سجل المستخلصات'!$E$39)</f>
        <v/>
      </c>
      <c r="F57" s="59">
        <f>N('[6]سجل المستخلصات'!$F$39)</f>
        <v/>
      </c>
      <c r="G57" s="70">
        <f>IF(E57&gt;0,F57/E57,0)</f>
        <v/>
      </c>
    </row>
    <row r="58">
      <c r="B58" s="69">
        <f>IF('[6]سجل المستخلصات'!$B$40="","",'[6]سجل المستخلصات'!$B$40)</f>
        <v/>
      </c>
      <c r="C58" s="69" t="n"/>
      <c r="D58" s="69" t="n"/>
      <c r="E58" s="59">
        <f>N('[6]سجل المستخلصات'!$E$40)</f>
        <v/>
      </c>
      <c r="F58" s="59">
        <f>N('[6]سجل المستخلصات'!$F$40)</f>
        <v/>
      </c>
      <c r="G58" s="70">
        <f>IF(E58&gt;0,F58/E58,0)</f>
        <v/>
      </c>
    </row>
    <row r="59">
      <c r="B59" s="69">
        <f>IF('[6]سجل المستخلصات'!$B$41="","",'[6]سجل المستخلصات'!$B$41)</f>
        <v/>
      </c>
      <c r="C59" s="69" t="n"/>
      <c r="D59" s="69" t="n"/>
      <c r="E59" s="59">
        <f>N('[6]سجل المستخلصات'!$E$41)</f>
        <v/>
      </c>
      <c r="F59" s="59">
        <f>N('[6]سجل المستخلصات'!$F$41)</f>
        <v/>
      </c>
      <c r="G59" s="70">
        <f>IF(E59&gt;0,F59/E59,0)</f>
        <v/>
      </c>
    </row>
    <row r="60">
      <c r="B60" s="69">
        <f>IF('[6]سجل المستخلصات'!$B$42="","",'[6]سجل المستخلصات'!$B$42)</f>
        <v/>
      </c>
      <c r="C60" s="69" t="n"/>
      <c r="D60" s="69" t="n"/>
      <c r="E60" s="59">
        <f>N('[6]سجل المستخلصات'!$E$42)</f>
        <v/>
      </c>
      <c r="F60" s="59">
        <f>N('[6]سجل المستخلصات'!$F$42)</f>
        <v/>
      </c>
      <c r="G60" s="70">
        <f>IF(E60&gt;0,F60/E60,0)</f>
        <v/>
      </c>
    </row>
    <row r="61">
      <c r="B61" s="69">
        <f>IF('[6]سجل المستخلصات'!$B$43="","",'[6]سجل المستخلصات'!$B$43)</f>
        <v/>
      </c>
      <c r="C61" s="69" t="n"/>
      <c r="D61" s="69" t="n"/>
      <c r="E61" s="59">
        <f>N('[6]سجل المستخلصات'!$E$43)</f>
        <v/>
      </c>
      <c r="F61" s="59">
        <f>N('[6]سجل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05'!A1" display="◄ المشروع السابق"/>
    <hyperlink ref="D3" location="'مشروع 07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"&amp;IF('[7]بيانات العقد'!$C$5="","مشروع رقم 07 — غير مُفعّل",'[7]بيانات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Project_07/IPC_Project_07.xlsx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IF('[7]بيانات العقد'!$C$5="","",'[7]بيانات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IF('[7]بيانات العقد'!$C$6="","",'[7]بيانات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IF('[7]بيانات العقد'!$C$7="","",'[7]بيانات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IF('[7]بيانات العقد'!$C$8="","",'[7]بيانات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N('[7]بيانات العقد'!$C$16)</f>
        <v/>
      </c>
    </row>
    <row r="6" ht="22" customHeight="1">
      <c r="B6" s="11" t="inlineStr">
        <is>
          <t>المقاول</t>
        </is>
      </c>
      <c r="C6" s="14">
        <f>IF('[7]بيانات العقد'!$C$9="","",'[7]بيانات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IF('[7]بيانات العقد'!$C$11="","",'[7]بيانات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IF('[7]بيانات العقد'!$C$13="","",'[7]بيانات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IF('[7]بيانات العقد'!$C$14="","",'[7]بيانات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N('[7]بيانات العقد'!$C$17)</f>
        <v/>
      </c>
    </row>
    <row r="7">
      <c r="AA7" s="15" t="inlineStr">
        <is>
          <t>قيمة العقد المعدلة</t>
        </is>
      </c>
      <c r="AB7" s="16">
        <f>N('[7]بيانات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N('[7]بيانات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N('[7]بيانات العقد'!$C$21)</f>
        <v/>
      </c>
    </row>
    <row r="10">
      <c r="AA10" s="15" t="inlineStr">
        <is>
          <t>نسبة ضمان الأعمال</t>
        </is>
      </c>
      <c r="AB10" s="23">
        <f>N('[7]بيانات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N('[7]بيانات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N('[7]بيانات العقد'!$C$31)</f>
        <v/>
      </c>
    </row>
    <row r="13">
      <c r="AA13" s="15" t="inlineStr">
        <is>
          <t>ضريبة الاستقطاع (غير المقيم)</t>
        </is>
      </c>
      <c r="AB13" s="23">
        <f>N('[7]بيانات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IF('[7]بيانات العقد'!$C$11="","",'[7]بيانات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IF('[7]بيانات العقد'!$C$13="","",'[7]بيانات العقد'!$C$13)</f>
        <v/>
      </c>
    </row>
    <row r="16">
      <c r="AA16" s="15" t="inlineStr">
        <is>
          <t>المدة (شهر)</t>
        </is>
      </c>
      <c r="AB16" s="43">
        <f>IF('[7]بيانات العقد'!$C$12="","",'[7]بيانات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IF('[7]بيانات العقد'!$C$36="","",'[7]بيانات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IF('[7]بيانات العقد'!$C$37="","",'[7]بيانات العقد'!$C$37)</f>
        <v/>
      </c>
    </row>
    <row r="19">
      <c r="AA19" s="15" t="inlineStr">
        <is>
          <t>الرقم الضريبي لصاحب العمل</t>
        </is>
      </c>
      <c r="AB19" s="48">
        <f>IF('[7]بيانات العقد'!$C$39="","",'[7]بيانات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IF('[7]بيانات العقد'!$C$42="","",'[7]بيانات العقد'!$C$42)</f>
        <v/>
      </c>
    </row>
    <row r="21" ht="32" customHeight="1">
      <c r="B21" s="50">
        <f>N('[7]الموازنة والتكاليف'!$D$66)</f>
        <v/>
      </c>
      <c r="C21" s="50" t="n"/>
      <c r="D21" s="50" t="n"/>
      <c r="E21" s="50" t="n"/>
      <c r="F21" s="50">
        <f>N('[7]الموازنة والتكاليف'!$D$70)</f>
        <v/>
      </c>
      <c r="G21" s="50" t="n"/>
      <c r="H21" s="50" t="n"/>
      <c r="I21" s="50" t="n"/>
      <c r="J21" s="50">
        <f>N('[7]الموازنة والتكاليف'!$D$72)</f>
        <v/>
      </c>
      <c r="K21" s="50" t="n"/>
      <c r="L21" s="50" t="n"/>
      <c r="M21" s="50" t="n"/>
      <c r="N21" s="51">
        <f>N('[7]الموازنة والتكاليف'!$D$73)</f>
        <v/>
      </c>
      <c r="O21" s="51" t="n"/>
      <c r="P21" s="51" t="n"/>
      <c r="Q21" s="51" t="n"/>
      <c r="R21" s="52">
        <f>N('[7]الموازنة والتكاليف'!$D$74)</f>
        <v/>
      </c>
      <c r="S21" s="52" t="n"/>
      <c r="T21" s="52" t="n"/>
      <c r="U21" s="52" t="n"/>
      <c r="V21" s="50">
        <f>N('[7]الموازنة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IF('[7]بيانات العقد'!$C$43="","",'[7]بيانات العقد'!$C$43)</f>
        <v/>
      </c>
    </row>
    <row r="22">
      <c r="AA22" s="15" t="inlineStr">
        <is>
          <t>حالة غرامات التأخير</t>
        </is>
      </c>
      <c r="AB22" s="45">
        <f>IF('[7]بيانات العقد'!$C$47="","",'[7]بيانات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IF('[7]سجل المستخلصات'!$C$6="","",'[7]سجل المستخلصات'!$C$6)</f>
        <v/>
      </c>
      <c r="D25" s="57">
        <f>IF('[7]سجل المستخلصات'!$E$6="","",'[7]سجل المستخلصات'!$E$6)</f>
        <v/>
      </c>
      <c r="E25" s="58">
        <f>IF('[7]سجل المستخلصات'!$F$6="","",'[7]سجل المستخلصات'!$F$6)</f>
        <v/>
      </c>
      <c r="F25" s="59">
        <f>IF('[7]سجل المستخلصات'!$H$6="","",'[7]سجل المستخلصات'!$H$6)</f>
        <v/>
      </c>
      <c r="G25" s="59">
        <f>IF('[7]سجل المستخلصات'!$G$6="","",'[7]سجل المستخلصات'!$G$6)</f>
        <v/>
      </c>
      <c r="H25" s="59">
        <f>IF('[7]سجل المستخلصات'!$I$6="","",'[7]سجل المستخلصات'!$I$6)</f>
        <v/>
      </c>
      <c r="I25" s="59">
        <f>IF('[7]سجل المستخلصات'!$J$6="","",'[7]سجل المستخلصات'!$J$6)</f>
        <v/>
      </c>
      <c r="J25" s="59">
        <f>IF('[7]سجل المستخلصات'!$K$6="","",'[7]سجل المستخلصات'!$K$6)</f>
        <v/>
      </c>
      <c r="K25" s="60">
        <f>IF('[7]سجل المستخلصات'!$L$6="","",'[7]سجل المستخلصات'!$L$6)</f>
        <v/>
      </c>
      <c r="L25" s="60">
        <f>IF('[7]سجل المستخلصات'!$M$6="","",'[7]سجل المستخلصات'!$M$6)</f>
        <v/>
      </c>
      <c r="M25" s="60">
        <f>IF('[7]سجل المستخلصات'!$N$6="","",'[7]سجل المستخلصات'!$N$6)</f>
        <v/>
      </c>
      <c r="N25" s="59">
        <f>IF('[7]سجل المستخلصات'!$O$6="","",'[7]سجل المستخلصات'!$O$6)</f>
        <v/>
      </c>
      <c r="O25" s="59">
        <f>IF('[7]سجل المستخلصات'!$R$6="","",'[7]سجل المستخلصات'!$R$6)</f>
        <v/>
      </c>
      <c r="P25" s="59">
        <f>IF('[7]سجل المستخلصات'!$S$6="","",'[7]سجل المستخلصات'!$S$6)</f>
        <v/>
      </c>
      <c r="Q25" s="59">
        <f>IF('[7]سجل المستخلصات'!$T$6="","",'[7]سجل المستخلصات'!$T$6)</f>
        <v/>
      </c>
      <c r="R25" s="59">
        <f>IF('[7]سجل المستخلصات'!$V$6="","",'[7]سجل المستخلصات'!$V$6)</f>
        <v/>
      </c>
      <c r="S25" s="59">
        <f>IF('[7]سجل المستخلصات'!$W$6="","",'[7]سجل المستخلصات'!$W$6)</f>
        <v/>
      </c>
      <c r="T25" s="61">
        <f>IF('[7]سجل المستخلصات'!$X$6="","",'[7]سجل المستخلصات'!$X$6)</f>
        <v/>
      </c>
      <c r="U25" s="61">
        <f>IF('[7]سجل المستخلصات'!$Z$6="","",'[7]سجل المستخلصات'!$Z$6)</f>
        <v/>
      </c>
      <c r="V25" s="59">
        <f>IF('[7]سجل المستخلصات'!$AA$6="","",'[7]سجل المستخلصات'!$AA$6)</f>
        <v/>
      </c>
      <c r="W25" s="59">
        <f>IF('[7]سجل المستخلصات'!$AC$6="","",'[7]سجل المستخلصات'!$AC$6)</f>
        <v/>
      </c>
      <c r="X25" s="62">
        <f>IF('[7]سجل المستخلصات'!$AD$6="","",'[7]سجل المستخلصات'!$AD$6)</f>
        <v/>
      </c>
      <c r="Y25" s="58">
        <f>IF('[7]سجل المستخلصات'!$AE$6="","",'[7]سجل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IF('[7]سجل المستخلصات'!$C$7="","",'[7]سجل المستخلصات'!$C$7)</f>
        <v/>
      </c>
      <c r="D26" s="57">
        <f>IF('[7]سجل المستخلصات'!$E$7="","",'[7]سجل المستخلصات'!$E$7)</f>
        <v/>
      </c>
      <c r="E26" s="58">
        <f>IF('[7]سجل المستخلصات'!$F$7="","",'[7]سجل المستخلصات'!$F$7)</f>
        <v/>
      </c>
      <c r="F26" s="59">
        <f>IF('[7]سجل المستخلصات'!$H$7="","",'[7]سجل المستخلصات'!$H$7)</f>
        <v/>
      </c>
      <c r="G26" s="59">
        <f>IF('[7]سجل المستخلصات'!$G$7="","",'[7]سجل المستخلصات'!$G$7)</f>
        <v/>
      </c>
      <c r="H26" s="59">
        <f>IF('[7]سجل المستخلصات'!$I$7="","",'[7]سجل المستخلصات'!$I$7)</f>
        <v/>
      </c>
      <c r="I26" s="59">
        <f>IF('[7]سجل المستخلصات'!$J$7="","",'[7]سجل المستخلصات'!$J$7)</f>
        <v/>
      </c>
      <c r="J26" s="59">
        <f>IF('[7]سجل المستخلصات'!$K$7="","",'[7]سجل المستخلصات'!$K$7)</f>
        <v/>
      </c>
      <c r="K26" s="60">
        <f>IF('[7]سجل المستخلصات'!$L$7="","",'[7]سجل المستخلصات'!$L$7)</f>
        <v/>
      </c>
      <c r="L26" s="60">
        <f>IF('[7]سجل المستخلصات'!$M$7="","",'[7]سجل المستخلصات'!$M$7)</f>
        <v/>
      </c>
      <c r="M26" s="60">
        <f>IF('[7]سجل المستخلصات'!$N$7="","",'[7]سجل المستخلصات'!$N$7)</f>
        <v/>
      </c>
      <c r="N26" s="59">
        <f>IF('[7]سجل المستخلصات'!$O$7="","",'[7]سجل المستخلصات'!$O$7)</f>
        <v/>
      </c>
      <c r="O26" s="59">
        <f>IF('[7]سجل المستخلصات'!$R$7="","",'[7]سجل المستخلصات'!$R$7)</f>
        <v/>
      </c>
      <c r="P26" s="59">
        <f>IF('[7]سجل المستخلصات'!$S$7="","",'[7]سجل المستخلصات'!$S$7)</f>
        <v/>
      </c>
      <c r="Q26" s="59">
        <f>IF('[7]سجل المستخلصات'!$T$7="","",'[7]سجل المستخلصات'!$T$7)</f>
        <v/>
      </c>
      <c r="R26" s="59">
        <f>IF('[7]سجل المستخلصات'!$V$7="","",'[7]سجل المستخلصات'!$V$7)</f>
        <v/>
      </c>
      <c r="S26" s="59">
        <f>IF('[7]سجل المستخلصات'!$W$7="","",'[7]سجل المستخلصات'!$W$7)</f>
        <v/>
      </c>
      <c r="T26" s="61">
        <f>IF('[7]سجل المستخلصات'!$X$7="","",'[7]سجل المستخلصات'!$X$7)</f>
        <v/>
      </c>
      <c r="U26" s="61">
        <f>IF('[7]سجل المستخلصات'!$Z$7="","",'[7]سجل المستخلصات'!$Z$7)</f>
        <v/>
      </c>
      <c r="V26" s="59">
        <f>IF('[7]سجل المستخلصات'!$AA$7="","",'[7]سجل المستخلصات'!$AA$7)</f>
        <v/>
      </c>
      <c r="W26" s="59">
        <f>IF('[7]سجل المستخلصات'!$AC$7="","",'[7]سجل المستخلصات'!$AC$7)</f>
        <v/>
      </c>
      <c r="X26" s="62">
        <f>IF('[7]سجل المستخلصات'!$AD$7="","",'[7]سجل المستخلصات'!$AD$7)</f>
        <v/>
      </c>
      <c r="Y26" s="58">
        <f>IF('[7]سجل المستخلصات'!$AE$7="","",'[7]سجل المستخلصات'!$AE$7)</f>
        <v/>
      </c>
      <c r="AA26" s="63" t="n"/>
      <c r="AB26" s="63" t="n"/>
    </row>
    <row r="27">
      <c r="B27" s="56" t="n">
        <v>3</v>
      </c>
      <c r="C27" s="57">
        <f>IF('[7]سجل المستخلصات'!$C$8="","",'[7]سجل المستخلصات'!$C$8)</f>
        <v/>
      </c>
      <c r="D27" s="57">
        <f>IF('[7]سجل المستخلصات'!$E$8="","",'[7]سجل المستخلصات'!$E$8)</f>
        <v/>
      </c>
      <c r="E27" s="58">
        <f>IF('[7]سجل المستخلصات'!$F$8="","",'[7]سجل المستخلصات'!$F$8)</f>
        <v/>
      </c>
      <c r="F27" s="59">
        <f>IF('[7]سجل المستخلصات'!$H$8="","",'[7]سجل المستخلصات'!$H$8)</f>
        <v/>
      </c>
      <c r="G27" s="59">
        <f>IF('[7]سجل المستخلصات'!$G$8="","",'[7]سجل المستخلصات'!$G$8)</f>
        <v/>
      </c>
      <c r="H27" s="59">
        <f>IF('[7]سجل المستخلصات'!$I$8="","",'[7]سجل المستخلصات'!$I$8)</f>
        <v/>
      </c>
      <c r="I27" s="59">
        <f>IF('[7]سجل المستخلصات'!$J$8="","",'[7]سجل المستخلصات'!$J$8)</f>
        <v/>
      </c>
      <c r="J27" s="59">
        <f>IF('[7]سجل المستخلصات'!$K$8="","",'[7]سجل المستخلصات'!$K$8)</f>
        <v/>
      </c>
      <c r="K27" s="60">
        <f>IF('[7]سجل المستخلصات'!$L$8="","",'[7]سجل المستخلصات'!$L$8)</f>
        <v/>
      </c>
      <c r="L27" s="60">
        <f>IF('[7]سجل المستخلصات'!$M$8="","",'[7]سجل المستخلصات'!$M$8)</f>
        <v/>
      </c>
      <c r="M27" s="60">
        <f>IF('[7]سجل المستخلصات'!$N$8="","",'[7]سجل المستخلصات'!$N$8)</f>
        <v/>
      </c>
      <c r="N27" s="59">
        <f>IF('[7]سجل المستخلصات'!$O$8="","",'[7]سجل المستخلصات'!$O$8)</f>
        <v/>
      </c>
      <c r="O27" s="59">
        <f>IF('[7]سجل المستخلصات'!$R$8="","",'[7]سجل المستخلصات'!$R$8)</f>
        <v/>
      </c>
      <c r="P27" s="59">
        <f>IF('[7]سجل المستخلصات'!$S$8="","",'[7]سجل المستخلصات'!$S$8)</f>
        <v/>
      </c>
      <c r="Q27" s="59">
        <f>IF('[7]سجل المستخلصات'!$T$8="","",'[7]سجل المستخلصات'!$T$8)</f>
        <v/>
      </c>
      <c r="R27" s="59">
        <f>IF('[7]سجل المستخلصات'!$V$8="","",'[7]سجل المستخلصات'!$V$8)</f>
        <v/>
      </c>
      <c r="S27" s="59">
        <f>IF('[7]سجل المستخلصات'!$W$8="","",'[7]سجل المستخلصات'!$W$8)</f>
        <v/>
      </c>
      <c r="T27" s="61">
        <f>IF('[7]سجل المستخلصات'!$X$8="","",'[7]سجل المستخلصات'!$X$8)</f>
        <v/>
      </c>
      <c r="U27" s="61">
        <f>IF('[7]سجل المستخلصات'!$Z$8="","",'[7]سجل المستخلصات'!$Z$8)</f>
        <v/>
      </c>
      <c r="V27" s="59">
        <f>IF('[7]سجل المستخلصات'!$AA$8="","",'[7]سجل المستخلصات'!$AA$8)</f>
        <v/>
      </c>
      <c r="W27" s="59">
        <f>IF('[7]سجل المستخلصات'!$AC$8="","",'[7]سجل المستخلصات'!$AC$8)</f>
        <v/>
      </c>
      <c r="X27" s="62">
        <f>IF('[7]سجل المستخلصات'!$AD$8="","",'[7]سجل المستخلصات'!$AD$8)</f>
        <v/>
      </c>
      <c r="Y27" s="58">
        <f>IF('[7]سجل المستخلصات'!$AE$8="","",'[7]سجل المستخلصات'!$AE$8)</f>
        <v/>
      </c>
      <c r="AA27" s="63" t="n"/>
      <c r="AB27" s="63" t="n"/>
    </row>
    <row r="28">
      <c r="B28" s="56" t="n">
        <v>4</v>
      </c>
      <c r="C28" s="57">
        <f>IF('[7]سجل المستخلصات'!$C$9="","",'[7]سجل المستخلصات'!$C$9)</f>
        <v/>
      </c>
      <c r="D28" s="57">
        <f>IF('[7]سجل المستخلصات'!$E$9="","",'[7]سجل المستخلصات'!$E$9)</f>
        <v/>
      </c>
      <c r="E28" s="58">
        <f>IF('[7]سجل المستخلصات'!$F$9="","",'[7]سجل المستخلصات'!$F$9)</f>
        <v/>
      </c>
      <c r="F28" s="59">
        <f>IF('[7]سجل المستخلصات'!$H$9="","",'[7]سجل المستخلصات'!$H$9)</f>
        <v/>
      </c>
      <c r="G28" s="59">
        <f>IF('[7]سجل المستخلصات'!$G$9="","",'[7]سجل المستخلصات'!$G$9)</f>
        <v/>
      </c>
      <c r="H28" s="59">
        <f>IF('[7]سجل المستخلصات'!$I$9="","",'[7]سجل المستخلصات'!$I$9)</f>
        <v/>
      </c>
      <c r="I28" s="59">
        <f>IF('[7]سجل المستخلصات'!$J$9="","",'[7]سجل المستخلصات'!$J$9)</f>
        <v/>
      </c>
      <c r="J28" s="59">
        <f>IF('[7]سجل المستخلصات'!$K$9="","",'[7]سجل المستخلصات'!$K$9)</f>
        <v/>
      </c>
      <c r="K28" s="60">
        <f>IF('[7]سجل المستخلصات'!$L$9="","",'[7]سجل المستخلصات'!$L$9)</f>
        <v/>
      </c>
      <c r="L28" s="60">
        <f>IF('[7]سجل المستخلصات'!$M$9="","",'[7]سجل المستخلصات'!$M$9)</f>
        <v/>
      </c>
      <c r="M28" s="60">
        <f>IF('[7]سجل المستخلصات'!$N$9="","",'[7]سجل المستخلصات'!$N$9)</f>
        <v/>
      </c>
      <c r="N28" s="59">
        <f>IF('[7]سجل المستخلصات'!$O$9="","",'[7]سجل المستخلصات'!$O$9)</f>
        <v/>
      </c>
      <c r="O28" s="59">
        <f>IF('[7]سجل المستخلصات'!$R$9="","",'[7]سجل المستخلصات'!$R$9)</f>
        <v/>
      </c>
      <c r="P28" s="59">
        <f>IF('[7]سجل المستخلصات'!$S$9="","",'[7]سجل المستخلصات'!$S$9)</f>
        <v/>
      </c>
      <c r="Q28" s="59">
        <f>IF('[7]سجل المستخلصات'!$T$9="","",'[7]سجل المستخلصات'!$T$9)</f>
        <v/>
      </c>
      <c r="R28" s="59">
        <f>IF('[7]سجل المستخلصات'!$V$9="","",'[7]سجل المستخلصات'!$V$9)</f>
        <v/>
      </c>
      <c r="S28" s="59">
        <f>IF('[7]سجل المستخلصات'!$W$9="","",'[7]سجل المستخلصات'!$W$9)</f>
        <v/>
      </c>
      <c r="T28" s="61">
        <f>IF('[7]سجل المستخلصات'!$X$9="","",'[7]سجل المستخلصات'!$X$9)</f>
        <v/>
      </c>
      <c r="U28" s="61">
        <f>IF('[7]سجل المستخلصات'!$Z$9="","",'[7]سجل المستخلصات'!$Z$9)</f>
        <v/>
      </c>
      <c r="V28" s="59">
        <f>IF('[7]سجل المستخلصات'!$AA$9="","",'[7]سجل المستخلصات'!$AA$9)</f>
        <v/>
      </c>
      <c r="W28" s="59">
        <f>IF('[7]سجل المستخلصات'!$AC$9="","",'[7]سجل المستخلصات'!$AC$9)</f>
        <v/>
      </c>
      <c r="X28" s="62">
        <f>IF('[7]سجل المستخلصات'!$AD$9="","",'[7]سجل المستخلصات'!$AD$9)</f>
        <v/>
      </c>
      <c r="Y28" s="58">
        <f>IF('[7]سجل المستخلصات'!$AE$9="","",'[7]سجل المستخلصات'!$AE$9)</f>
        <v/>
      </c>
      <c r="AA28" s="63" t="n"/>
      <c r="AB28" s="63" t="n"/>
    </row>
    <row r="29">
      <c r="B29" s="56" t="n">
        <v>5</v>
      </c>
      <c r="C29" s="57">
        <f>IF('[7]سجل المستخلصات'!$C$10="","",'[7]سجل المستخلصات'!$C$10)</f>
        <v/>
      </c>
      <c r="D29" s="57">
        <f>IF('[7]سجل المستخلصات'!$E$10="","",'[7]سجل المستخلصات'!$E$10)</f>
        <v/>
      </c>
      <c r="E29" s="58">
        <f>IF('[7]سجل المستخلصات'!$F$10="","",'[7]سجل المستخلصات'!$F$10)</f>
        <v/>
      </c>
      <c r="F29" s="59">
        <f>IF('[7]سجل المستخلصات'!$H$10="","",'[7]سجل المستخلصات'!$H$10)</f>
        <v/>
      </c>
      <c r="G29" s="59">
        <f>IF('[7]سجل المستخلصات'!$G$10="","",'[7]سجل المستخلصات'!$G$10)</f>
        <v/>
      </c>
      <c r="H29" s="59">
        <f>IF('[7]سجل المستخلصات'!$I$10="","",'[7]سجل المستخلصات'!$I$10)</f>
        <v/>
      </c>
      <c r="I29" s="59">
        <f>IF('[7]سجل المستخلصات'!$J$10="","",'[7]سجل المستخلصات'!$J$10)</f>
        <v/>
      </c>
      <c r="J29" s="59">
        <f>IF('[7]سجل المستخلصات'!$K$10="","",'[7]سجل المستخلصات'!$K$10)</f>
        <v/>
      </c>
      <c r="K29" s="60">
        <f>IF('[7]سجل المستخلصات'!$L$10="","",'[7]سجل المستخلصات'!$L$10)</f>
        <v/>
      </c>
      <c r="L29" s="60">
        <f>IF('[7]سجل المستخلصات'!$M$10="","",'[7]سجل المستخلصات'!$M$10)</f>
        <v/>
      </c>
      <c r="M29" s="60">
        <f>IF('[7]سجل المستخلصات'!$N$10="","",'[7]سجل المستخلصات'!$N$10)</f>
        <v/>
      </c>
      <c r="N29" s="59">
        <f>IF('[7]سجل المستخلصات'!$O$10="","",'[7]سجل المستخلصات'!$O$10)</f>
        <v/>
      </c>
      <c r="O29" s="59">
        <f>IF('[7]سجل المستخلصات'!$R$10="","",'[7]سجل المستخلصات'!$R$10)</f>
        <v/>
      </c>
      <c r="P29" s="59">
        <f>IF('[7]سجل المستخلصات'!$S$10="","",'[7]سجل المستخلصات'!$S$10)</f>
        <v/>
      </c>
      <c r="Q29" s="59">
        <f>IF('[7]سجل المستخلصات'!$T$10="","",'[7]سجل المستخلصات'!$T$10)</f>
        <v/>
      </c>
      <c r="R29" s="59">
        <f>IF('[7]سجل المستخلصات'!$V$10="","",'[7]سجل المستخلصات'!$V$10)</f>
        <v/>
      </c>
      <c r="S29" s="59">
        <f>IF('[7]سجل المستخلصات'!$W$10="","",'[7]سجل المستخلصات'!$W$10)</f>
        <v/>
      </c>
      <c r="T29" s="61">
        <f>IF('[7]سجل المستخلصات'!$X$10="","",'[7]سجل المستخلصات'!$X$10)</f>
        <v/>
      </c>
      <c r="U29" s="61">
        <f>IF('[7]سجل المستخلصات'!$Z$10="","",'[7]سجل المستخلصات'!$Z$10)</f>
        <v/>
      </c>
      <c r="V29" s="59">
        <f>IF('[7]سجل المستخلصات'!$AA$10="","",'[7]سجل المستخلصات'!$AA$10)</f>
        <v/>
      </c>
      <c r="W29" s="59">
        <f>IF('[7]سجل المستخلصات'!$AC$10="","",'[7]سجل المستخلصات'!$AC$10)</f>
        <v/>
      </c>
      <c r="X29" s="62">
        <f>IF('[7]سجل المستخلصات'!$AD$10="","",'[7]سجل المستخلصات'!$AD$10)</f>
        <v/>
      </c>
      <c r="Y29" s="58">
        <f>IF('[7]سجل المستخلصات'!$AE$10="","",'[7]سجل المستخلصات'!$AE$10)</f>
        <v/>
      </c>
    </row>
    <row r="30">
      <c r="B30" s="56" t="n">
        <v>6</v>
      </c>
      <c r="C30" s="57">
        <f>IF('[7]سجل المستخلصات'!$C$11="","",'[7]سجل المستخلصات'!$C$11)</f>
        <v/>
      </c>
      <c r="D30" s="57">
        <f>IF('[7]سجل المستخلصات'!$E$11="","",'[7]سجل المستخلصات'!$E$11)</f>
        <v/>
      </c>
      <c r="E30" s="58">
        <f>IF('[7]سجل المستخلصات'!$F$11="","",'[7]سجل المستخلصات'!$F$11)</f>
        <v/>
      </c>
      <c r="F30" s="59">
        <f>IF('[7]سجل المستخلصات'!$H$11="","",'[7]سجل المستخلصات'!$H$11)</f>
        <v/>
      </c>
      <c r="G30" s="59">
        <f>IF('[7]سجل المستخلصات'!$G$11="","",'[7]سجل المستخلصات'!$G$11)</f>
        <v/>
      </c>
      <c r="H30" s="59">
        <f>IF('[7]سجل المستخلصات'!$I$11="","",'[7]سجل المستخلصات'!$I$11)</f>
        <v/>
      </c>
      <c r="I30" s="59">
        <f>IF('[7]سجل المستخلصات'!$J$11="","",'[7]سجل المستخلصات'!$J$11)</f>
        <v/>
      </c>
      <c r="J30" s="59">
        <f>IF('[7]سجل المستخلصات'!$K$11="","",'[7]سجل المستخلصات'!$K$11)</f>
        <v/>
      </c>
      <c r="K30" s="60">
        <f>IF('[7]سجل المستخلصات'!$L$11="","",'[7]سجل المستخلصات'!$L$11)</f>
        <v/>
      </c>
      <c r="L30" s="60">
        <f>IF('[7]سجل المستخلصات'!$M$11="","",'[7]سجل المستخلصات'!$M$11)</f>
        <v/>
      </c>
      <c r="M30" s="60">
        <f>IF('[7]سجل المستخلصات'!$N$11="","",'[7]سجل المستخلصات'!$N$11)</f>
        <v/>
      </c>
      <c r="N30" s="59">
        <f>IF('[7]سجل المستخلصات'!$O$11="","",'[7]سجل المستخلصات'!$O$11)</f>
        <v/>
      </c>
      <c r="O30" s="59">
        <f>IF('[7]سجل المستخلصات'!$R$11="","",'[7]سجل المستخلصات'!$R$11)</f>
        <v/>
      </c>
      <c r="P30" s="59">
        <f>IF('[7]سجل المستخلصات'!$S$11="","",'[7]سجل المستخلصات'!$S$11)</f>
        <v/>
      </c>
      <c r="Q30" s="59">
        <f>IF('[7]سجل المستخلصات'!$T$11="","",'[7]سجل المستخلصات'!$T$11)</f>
        <v/>
      </c>
      <c r="R30" s="59">
        <f>IF('[7]سجل المستخلصات'!$V$11="","",'[7]سجل المستخلصات'!$V$11)</f>
        <v/>
      </c>
      <c r="S30" s="59">
        <f>IF('[7]سجل المستخلصات'!$W$11="","",'[7]سجل المستخلصات'!$W$11)</f>
        <v/>
      </c>
      <c r="T30" s="61">
        <f>IF('[7]سجل المستخلصات'!$X$11="","",'[7]سجل المستخلصات'!$X$11)</f>
        <v/>
      </c>
      <c r="U30" s="61">
        <f>IF('[7]سجل المستخلصات'!$Z$11="","",'[7]سجل المستخلصات'!$Z$11)</f>
        <v/>
      </c>
      <c r="V30" s="59">
        <f>IF('[7]سجل المستخلصات'!$AA$11="","",'[7]سجل المستخلصات'!$AA$11)</f>
        <v/>
      </c>
      <c r="W30" s="59">
        <f>IF('[7]سجل المستخلصات'!$AC$11="","",'[7]سجل المستخلصات'!$AC$11)</f>
        <v/>
      </c>
      <c r="X30" s="62">
        <f>IF('[7]سجل المستخلصات'!$AD$11="","",'[7]سجل المستخلصات'!$AD$11)</f>
        <v/>
      </c>
      <c r="Y30" s="58">
        <f>IF('[7]سجل المستخلصات'!$AE$11="","",'[7]سجل المستخلصات'!$AE$11)</f>
        <v/>
      </c>
    </row>
    <row r="31">
      <c r="B31" s="56" t="n">
        <v>7</v>
      </c>
      <c r="C31" s="57">
        <f>IF('[7]سجل المستخلصات'!$C$12="","",'[7]سجل المستخلصات'!$C$12)</f>
        <v/>
      </c>
      <c r="D31" s="57">
        <f>IF('[7]سجل المستخلصات'!$E$12="","",'[7]سجل المستخلصات'!$E$12)</f>
        <v/>
      </c>
      <c r="E31" s="58">
        <f>IF('[7]سجل المستخلصات'!$F$12="","",'[7]سجل المستخلصات'!$F$12)</f>
        <v/>
      </c>
      <c r="F31" s="59">
        <f>IF('[7]سجل المستخلصات'!$H$12="","",'[7]سجل المستخلصات'!$H$12)</f>
        <v/>
      </c>
      <c r="G31" s="59">
        <f>IF('[7]سجل المستخلصات'!$G$12="","",'[7]سجل المستخلصات'!$G$12)</f>
        <v/>
      </c>
      <c r="H31" s="59">
        <f>IF('[7]سجل المستخلصات'!$I$12="","",'[7]سجل المستخلصات'!$I$12)</f>
        <v/>
      </c>
      <c r="I31" s="59">
        <f>IF('[7]سجل المستخلصات'!$J$12="","",'[7]سجل المستخلصات'!$J$12)</f>
        <v/>
      </c>
      <c r="J31" s="59">
        <f>IF('[7]سجل المستخلصات'!$K$12="","",'[7]سجل المستخلصات'!$K$12)</f>
        <v/>
      </c>
      <c r="K31" s="60">
        <f>IF('[7]سجل المستخلصات'!$L$12="","",'[7]سجل المستخلصات'!$L$12)</f>
        <v/>
      </c>
      <c r="L31" s="60">
        <f>IF('[7]سجل المستخلصات'!$M$12="","",'[7]سجل المستخلصات'!$M$12)</f>
        <v/>
      </c>
      <c r="M31" s="60">
        <f>IF('[7]سجل المستخلصات'!$N$12="","",'[7]سجل المستخلصات'!$N$12)</f>
        <v/>
      </c>
      <c r="N31" s="59">
        <f>IF('[7]سجل المستخلصات'!$O$12="","",'[7]سجل المستخلصات'!$O$12)</f>
        <v/>
      </c>
      <c r="O31" s="59">
        <f>IF('[7]سجل المستخلصات'!$R$12="","",'[7]سجل المستخلصات'!$R$12)</f>
        <v/>
      </c>
      <c r="P31" s="59">
        <f>IF('[7]سجل المستخلصات'!$S$12="","",'[7]سجل المستخلصات'!$S$12)</f>
        <v/>
      </c>
      <c r="Q31" s="59">
        <f>IF('[7]سجل المستخلصات'!$T$12="","",'[7]سجل المستخلصات'!$T$12)</f>
        <v/>
      </c>
      <c r="R31" s="59">
        <f>IF('[7]سجل المستخلصات'!$V$12="","",'[7]سجل المستخلصات'!$V$12)</f>
        <v/>
      </c>
      <c r="S31" s="59">
        <f>IF('[7]سجل المستخلصات'!$W$12="","",'[7]سجل المستخلصات'!$W$12)</f>
        <v/>
      </c>
      <c r="T31" s="61">
        <f>IF('[7]سجل المستخلصات'!$X$12="","",'[7]سجل المستخلصات'!$X$12)</f>
        <v/>
      </c>
      <c r="U31" s="61">
        <f>IF('[7]سجل المستخلصات'!$Z$12="","",'[7]سجل المستخلصات'!$Z$12)</f>
        <v/>
      </c>
      <c r="V31" s="59">
        <f>IF('[7]سجل المستخلصات'!$AA$12="","",'[7]سجل المستخلصات'!$AA$12)</f>
        <v/>
      </c>
      <c r="W31" s="59">
        <f>IF('[7]سجل المستخلصات'!$AC$12="","",'[7]سجل المستخلصات'!$AC$12)</f>
        <v/>
      </c>
      <c r="X31" s="62">
        <f>IF('[7]سجل المستخلصات'!$AD$12="","",'[7]سجل المستخلصات'!$AD$12)</f>
        <v/>
      </c>
      <c r="Y31" s="58">
        <f>IF('[7]سجل المستخلصات'!$AE$12="","",'[7]سجل المستخلصات'!$AE$12)</f>
        <v/>
      </c>
    </row>
    <row r="32">
      <c r="B32" s="56" t="n">
        <v>8</v>
      </c>
      <c r="C32" s="57">
        <f>IF('[7]سجل المستخلصات'!$C$13="","",'[7]سجل المستخلصات'!$C$13)</f>
        <v/>
      </c>
      <c r="D32" s="57">
        <f>IF('[7]سجل المستخلصات'!$E$13="","",'[7]سجل المستخلصات'!$E$13)</f>
        <v/>
      </c>
      <c r="E32" s="58">
        <f>IF('[7]سجل المستخلصات'!$F$13="","",'[7]سجل المستخلصات'!$F$13)</f>
        <v/>
      </c>
      <c r="F32" s="59">
        <f>IF('[7]سجل المستخلصات'!$H$13="","",'[7]سجل المستخلصات'!$H$13)</f>
        <v/>
      </c>
      <c r="G32" s="59">
        <f>IF('[7]سجل المستخلصات'!$G$13="","",'[7]سجل المستخلصات'!$G$13)</f>
        <v/>
      </c>
      <c r="H32" s="59">
        <f>IF('[7]سجل المستخلصات'!$I$13="","",'[7]سجل المستخلصات'!$I$13)</f>
        <v/>
      </c>
      <c r="I32" s="59">
        <f>IF('[7]سجل المستخلصات'!$J$13="","",'[7]سجل المستخلصات'!$J$13)</f>
        <v/>
      </c>
      <c r="J32" s="59">
        <f>IF('[7]سجل المستخلصات'!$K$13="","",'[7]سجل المستخلصات'!$K$13)</f>
        <v/>
      </c>
      <c r="K32" s="60">
        <f>IF('[7]سجل المستخلصات'!$L$13="","",'[7]سجل المستخلصات'!$L$13)</f>
        <v/>
      </c>
      <c r="L32" s="60">
        <f>IF('[7]سجل المستخلصات'!$M$13="","",'[7]سجل المستخلصات'!$M$13)</f>
        <v/>
      </c>
      <c r="M32" s="60">
        <f>IF('[7]سجل المستخلصات'!$N$13="","",'[7]سجل المستخلصات'!$N$13)</f>
        <v/>
      </c>
      <c r="N32" s="59">
        <f>IF('[7]سجل المستخلصات'!$O$13="","",'[7]سجل المستخلصات'!$O$13)</f>
        <v/>
      </c>
      <c r="O32" s="59">
        <f>IF('[7]سجل المستخلصات'!$R$13="","",'[7]سجل المستخلصات'!$R$13)</f>
        <v/>
      </c>
      <c r="P32" s="59">
        <f>IF('[7]سجل المستخلصات'!$S$13="","",'[7]سجل المستخلصات'!$S$13)</f>
        <v/>
      </c>
      <c r="Q32" s="59">
        <f>IF('[7]سجل المستخلصات'!$T$13="","",'[7]سجل المستخلصات'!$T$13)</f>
        <v/>
      </c>
      <c r="R32" s="59">
        <f>IF('[7]سجل المستخلصات'!$V$13="","",'[7]سجل المستخلصات'!$V$13)</f>
        <v/>
      </c>
      <c r="S32" s="59">
        <f>IF('[7]سجل المستخلصات'!$W$13="","",'[7]سجل المستخلصات'!$W$13)</f>
        <v/>
      </c>
      <c r="T32" s="61">
        <f>IF('[7]سجل المستخلصات'!$X$13="","",'[7]سجل المستخلصات'!$X$13)</f>
        <v/>
      </c>
      <c r="U32" s="61">
        <f>IF('[7]سجل المستخلصات'!$Z$13="","",'[7]سجل المستخلصات'!$Z$13)</f>
        <v/>
      </c>
      <c r="V32" s="59">
        <f>IF('[7]سجل المستخلصات'!$AA$13="","",'[7]سجل المستخلصات'!$AA$13)</f>
        <v/>
      </c>
      <c r="W32" s="59">
        <f>IF('[7]سجل المستخلصات'!$AC$13="","",'[7]سجل المستخلصات'!$AC$13)</f>
        <v/>
      </c>
      <c r="X32" s="62">
        <f>IF('[7]سجل المستخلصات'!$AD$13="","",'[7]سجل المستخلصات'!$AD$13)</f>
        <v/>
      </c>
      <c r="Y32" s="58">
        <f>IF('[7]سجل المستخلصات'!$AE$13="","",'[7]سجل المستخلصات'!$AE$13)</f>
        <v/>
      </c>
    </row>
    <row r="33">
      <c r="B33" s="56" t="n">
        <v>9</v>
      </c>
      <c r="C33" s="57">
        <f>IF('[7]سجل المستخلصات'!$C$14="","",'[7]سجل المستخلصات'!$C$14)</f>
        <v/>
      </c>
      <c r="D33" s="57">
        <f>IF('[7]سجل المستخلصات'!$E$14="","",'[7]سجل المستخلصات'!$E$14)</f>
        <v/>
      </c>
      <c r="E33" s="58">
        <f>IF('[7]سجل المستخلصات'!$F$14="","",'[7]سجل المستخلصات'!$F$14)</f>
        <v/>
      </c>
      <c r="F33" s="59">
        <f>IF('[7]سجل المستخلصات'!$H$14="","",'[7]سجل المستخلصات'!$H$14)</f>
        <v/>
      </c>
      <c r="G33" s="59">
        <f>IF('[7]سجل المستخلصات'!$G$14="","",'[7]سجل المستخلصات'!$G$14)</f>
        <v/>
      </c>
      <c r="H33" s="59">
        <f>IF('[7]سجل المستخلصات'!$I$14="","",'[7]سجل المستخلصات'!$I$14)</f>
        <v/>
      </c>
      <c r="I33" s="59">
        <f>IF('[7]سجل المستخلصات'!$J$14="","",'[7]سجل المستخلصات'!$J$14)</f>
        <v/>
      </c>
      <c r="J33" s="59">
        <f>IF('[7]سجل المستخلصات'!$K$14="","",'[7]سجل المستخلصات'!$K$14)</f>
        <v/>
      </c>
      <c r="K33" s="60">
        <f>IF('[7]سجل المستخلصات'!$L$14="","",'[7]سجل المستخلصات'!$L$14)</f>
        <v/>
      </c>
      <c r="L33" s="60">
        <f>IF('[7]سجل المستخلصات'!$M$14="","",'[7]سجل المستخلصات'!$M$14)</f>
        <v/>
      </c>
      <c r="M33" s="60">
        <f>IF('[7]سجل المستخلصات'!$N$14="","",'[7]سجل المستخلصات'!$N$14)</f>
        <v/>
      </c>
      <c r="N33" s="59">
        <f>IF('[7]سجل المستخلصات'!$O$14="","",'[7]سجل المستخلصات'!$O$14)</f>
        <v/>
      </c>
      <c r="O33" s="59">
        <f>IF('[7]سجل المستخلصات'!$R$14="","",'[7]سجل المستخلصات'!$R$14)</f>
        <v/>
      </c>
      <c r="P33" s="59">
        <f>IF('[7]سجل المستخلصات'!$S$14="","",'[7]سجل المستخلصات'!$S$14)</f>
        <v/>
      </c>
      <c r="Q33" s="59">
        <f>IF('[7]سجل المستخلصات'!$T$14="","",'[7]سجل المستخلصات'!$T$14)</f>
        <v/>
      </c>
      <c r="R33" s="59">
        <f>IF('[7]سجل المستخلصات'!$V$14="","",'[7]سجل المستخلصات'!$V$14)</f>
        <v/>
      </c>
      <c r="S33" s="59">
        <f>IF('[7]سجل المستخلصات'!$W$14="","",'[7]سجل المستخلصات'!$W$14)</f>
        <v/>
      </c>
      <c r="T33" s="61">
        <f>IF('[7]سجل المستخلصات'!$X$14="","",'[7]سجل المستخلصات'!$X$14)</f>
        <v/>
      </c>
      <c r="U33" s="61">
        <f>IF('[7]سجل المستخلصات'!$Z$14="","",'[7]سجل المستخلصات'!$Z$14)</f>
        <v/>
      </c>
      <c r="V33" s="59">
        <f>IF('[7]سجل المستخلصات'!$AA$14="","",'[7]سجل المستخلصات'!$AA$14)</f>
        <v/>
      </c>
      <c r="W33" s="59">
        <f>IF('[7]سجل المستخلصات'!$AC$14="","",'[7]سجل المستخلصات'!$AC$14)</f>
        <v/>
      </c>
      <c r="X33" s="62">
        <f>IF('[7]سجل المستخلصات'!$AD$14="","",'[7]سجل المستخلصات'!$AD$14)</f>
        <v/>
      </c>
      <c r="Y33" s="58">
        <f>IF('[7]سجل المستخلصات'!$AE$14="","",'[7]سجل المستخلصات'!$AE$14)</f>
        <v/>
      </c>
    </row>
    <row r="34">
      <c r="B34" s="56" t="n">
        <v>10</v>
      </c>
      <c r="C34" s="57">
        <f>IF('[7]سجل المستخلصات'!$C$15="","",'[7]سجل المستخلصات'!$C$15)</f>
        <v/>
      </c>
      <c r="D34" s="57">
        <f>IF('[7]سجل المستخلصات'!$E$15="","",'[7]سجل المستخلصات'!$E$15)</f>
        <v/>
      </c>
      <c r="E34" s="58">
        <f>IF('[7]سجل المستخلصات'!$F$15="","",'[7]سجل المستخلصات'!$F$15)</f>
        <v/>
      </c>
      <c r="F34" s="59">
        <f>IF('[7]سجل المستخلصات'!$H$15="","",'[7]سجل المستخلصات'!$H$15)</f>
        <v/>
      </c>
      <c r="G34" s="59">
        <f>IF('[7]سجل المستخلصات'!$G$15="","",'[7]سجل المستخلصات'!$G$15)</f>
        <v/>
      </c>
      <c r="H34" s="59">
        <f>IF('[7]سجل المستخلصات'!$I$15="","",'[7]سجل المستخلصات'!$I$15)</f>
        <v/>
      </c>
      <c r="I34" s="59">
        <f>IF('[7]سجل المستخلصات'!$J$15="","",'[7]سجل المستخلصات'!$J$15)</f>
        <v/>
      </c>
      <c r="J34" s="59">
        <f>IF('[7]سجل المستخلصات'!$K$15="","",'[7]سجل المستخلصات'!$K$15)</f>
        <v/>
      </c>
      <c r="K34" s="60">
        <f>IF('[7]سجل المستخلصات'!$L$15="","",'[7]سجل المستخلصات'!$L$15)</f>
        <v/>
      </c>
      <c r="L34" s="60">
        <f>IF('[7]سجل المستخلصات'!$M$15="","",'[7]سجل المستخلصات'!$M$15)</f>
        <v/>
      </c>
      <c r="M34" s="60">
        <f>IF('[7]سجل المستخلصات'!$N$15="","",'[7]سجل المستخلصات'!$N$15)</f>
        <v/>
      </c>
      <c r="N34" s="59">
        <f>IF('[7]سجل المستخلصات'!$O$15="","",'[7]سجل المستخلصات'!$O$15)</f>
        <v/>
      </c>
      <c r="O34" s="59">
        <f>IF('[7]سجل المستخلصات'!$R$15="","",'[7]سجل المستخلصات'!$R$15)</f>
        <v/>
      </c>
      <c r="P34" s="59">
        <f>IF('[7]سجل المستخلصات'!$S$15="","",'[7]سجل المستخلصات'!$S$15)</f>
        <v/>
      </c>
      <c r="Q34" s="59">
        <f>IF('[7]سجل المستخلصات'!$T$15="","",'[7]سجل المستخلصات'!$T$15)</f>
        <v/>
      </c>
      <c r="R34" s="59">
        <f>IF('[7]سجل المستخلصات'!$V$15="","",'[7]سجل المستخلصات'!$V$15)</f>
        <v/>
      </c>
      <c r="S34" s="59">
        <f>IF('[7]سجل المستخلصات'!$W$15="","",'[7]سجل المستخلصات'!$W$15)</f>
        <v/>
      </c>
      <c r="T34" s="61">
        <f>IF('[7]سجل المستخلصات'!$X$15="","",'[7]سجل المستخلصات'!$X$15)</f>
        <v/>
      </c>
      <c r="U34" s="61">
        <f>IF('[7]سجل المستخلصات'!$Z$15="","",'[7]سجل المستخلصات'!$Z$15)</f>
        <v/>
      </c>
      <c r="V34" s="59">
        <f>IF('[7]سجل المستخلصات'!$AA$15="","",'[7]سجل المستخلصات'!$AA$15)</f>
        <v/>
      </c>
      <c r="W34" s="59">
        <f>IF('[7]سجل المستخلصات'!$AC$15="","",'[7]سجل المستخلصات'!$AC$15)</f>
        <v/>
      </c>
      <c r="X34" s="62">
        <f>IF('[7]سجل المستخلصات'!$AD$15="","",'[7]سجل المستخلصات'!$AD$15)</f>
        <v/>
      </c>
      <c r="Y34" s="58">
        <f>IF('[7]سجل المستخلصات'!$AE$15="","",'[7]سجل المستخلصات'!$AE$15)</f>
        <v/>
      </c>
    </row>
    <row r="35">
      <c r="B35" s="56" t="n">
        <v>11</v>
      </c>
      <c r="C35" s="57">
        <f>IF('[7]سجل المستخلصات'!$C$16="","",'[7]سجل المستخلصات'!$C$16)</f>
        <v/>
      </c>
      <c r="D35" s="57">
        <f>IF('[7]سجل المستخلصات'!$E$16="","",'[7]سجل المستخلصات'!$E$16)</f>
        <v/>
      </c>
      <c r="E35" s="58">
        <f>IF('[7]سجل المستخلصات'!$F$16="","",'[7]سجل المستخلصات'!$F$16)</f>
        <v/>
      </c>
      <c r="F35" s="59">
        <f>IF('[7]سجل المستخلصات'!$H$16="","",'[7]سجل المستخلصات'!$H$16)</f>
        <v/>
      </c>
      <c r="G35" s="59">
        <f>IF('[7]سجل المستخلصات'!$G$16="","",'[7]سجل المستخلصات'!$G$16)</f>
        <v/>
      </c>
      <c r="H35" s="59">
        <f>IF('[7]سجل المستخلصات'!$I$16="","",'[7]سجل المستخلصات'!$I$16)</f>
        <v/>
      </c>
      <c r="I35" s="59">
        <f>IF('[7]سجل المستخلصات'!$J$16="","",'[7]سجل المستخلصات'!$J$16)</f>
        <v/>
      </c>
      <c r="J35" s="59">
        <f>IF('[7]سجل المستخلصات'!$K$16="","",'[7]سجل المستخلصات'!$K$16)</f>
        <v/>
      </c>
      <c r="K35" s="60">
        <f>IF('[7]سجل المستخلصات'!$L$16="","",'[7]سجل المستخلصات'!$L$16)</f>
        <v/>
      </c>
      <c r="L35" s="60">
        <f>IF('[7]سجل المستخلصات'!$M$16="","",'[7]سجل المستخلصات'!$M$16)</f>
        <v/>
      </c>
      <c r="M35" s="60">
        <f>IF('[7]سجل المستخلصات'!$N$16="","",'[7]سجل المستخلصات'!$N$16)</f>
        <v/>
      </c>
      <c r="N35" s="59">
        <f>IF('[7]سجل المستخلصات'!$O$16="","",'[7]سجل المستخلصات'!$O$16)</f>
        <v/>
      </c>
      <c r="O35" s="59">
        <f>IF('[7]سجل المستخلصات'!$R$16="","",'[7]سجل المستخلصات'!$R$16)</f>
        <v/>
      </c>
      <c r="P35" s="59">
        <f>IF('[7]سجل المستخلصات'!$S$16="","",'[7]سجل المستخلصات'!$S$16)</f>
        <v/>
      </c>
      <c r="Q35" s="59">
        <f>IF('[7]سجل المستخلصات'!$T$16="","",'[7]سجل المستخلصات'!$T$16)</f>
        <v/>
      </c>
      <c r="R35" s="59">
        <f>IF('[7]سجل المستخلصات'!$V$16="","",'[7]سجل المستخلصات'!$V$16)</f>
        <v/>
      </c>
      <c r="S35" s="59">
        <f>IF('[7]سجل المستخلصات'!$W$16="","",'[7]سجل المستخلصات'!$W$16)</f>
        <v/>
      </c>
      <c r="T35" s="61">
        <f>IF('[7]سجل المستخلصات'!$X$16="","",'[7]سجل المستخلصات'!$X$16)</f>
        <v/>
      </c>
      <c r="U35" s="61">
        <f>IF('[7]سجل المستخلصات'!$Z$16="","",'[7]سجل المستخلصات'!$Z$16)</f>
        <v/>
      </c>
      <c r="V35" s="59">
        <f>IF('[7]سجل المستخلصات'!$AA$16="","",'[7]سجل المستخلصات'!$AA$16)</f>
        <v/>
      </c>
      <c r="W35" s="59">
        <f>IF('[7]سجل المستخلصات'!$AC$16="","",'[7]سجل المستخلصات'!$AC$16)</f>
        <v/>
      </c>
      <c r="X35" s="62">
        <f>IF('[7]سجل المستخلصات'!$AD$16="","",'[7]سجل المستخلصات'!$AD$16)</f>
        <v/>
      </c>
      <c r="Y35" s="58">
        <f>IF('[7]سجل المستخلصات'!$AE$16="","",'[7]سجل المستخلصات'!$AE$16)</f>
        <v/>
      </c>
    </row>
    <row r="36">
      <c r="B36" s="56" t="n">
        <v>12</v>
      </c>
      <c r="C36" s="57">
        <f>IF('[7]سجل المستخلصات'!$C$17="","",'[7]سجل المستخلصات'!$C$17)</f>
        <v/>
      </c>
      <c r="D36" s="57">
        <f>IF('[7]سجل المستخلصات'!$E$17="","",'[7]سجل المستخلصات'!$E$17)</f>
        <v/>
      </c>
      <c r="E36" s="58">
        <f>IF('[7]سجل المستخلصات'!$F$17="","",'[7]سجل المستخلصات'!$F$17)</f>
        <v/>
      </c>
      <c r="F36" s="59">
        <f>IF('[7]سجل المستخلصات'!$H$17="","",'[7]سجل المستخلصات'!$H$17)</f>
        <v/>
      </c>
      <c r="G36" s="59">
        <f>IF('[7]سجل المستخلصات'!$G$17="","",'[7]سجل المستخلصات'!$G$17)</f>
        <v/>
      </c>
      <c r="H36" s="59">
        <f>IF('[7]سجل المستخلصات'!$I$17="","",'[7]سجل المستخلصات'!$I$17)</f>
        <v/>
      </c>
      <c r="I36" s="59">
        <f>IF('[7]سجل المستخلصات'!$J$17="","",'[7]سجل المستخلصات'!$J$17)</f>
        <v/>
      </c>
      <c r="J36" s="59">
        <f>IF('[7]سجل المستخلصات'!$K$17="","",'[7]سجل المستخلصات'!$K$17)</f>
        <v/>
      </c>
      <c r="K36" s="60">
        <f>IF('[7]سجل المستخلصات'!$L$17="","",'[7]سجل المستخلصات'!$L$17)</f>
        <v/>
      </c>
      <c r="L36" s="60">
        <f>IF('[7]سجل المستخلصات'!$M$17="","",'[7]سجل المستخلصات'!$M$17)</f>
        <v/>
      </c>
      <c r="M36" s="60">
        <f>IF('[7]سجل المستخلصات'!$N$17="","",'[7]سجل المستخلصات'!$N$17)</f>
        <v/>
      </c>
      <c r="N36" s="59">
        <f>IF('[7]سجل المستخلصات'!$O$17="","",'[7]سجل المستخلصات'!$O$17)</f>
        <v/>
      </c>
      <c r="O36" s="59">
        <f>IF('[7]سجل المستخلصات'!$R$17="","",'[7]سجل المستخلصات'!$R$17)</f>
        <v/>
      </c>
      <c r="P36" s="59">
        <f>IF('[7]سجل المستخلصات'!$S$17="","",'[7]سجل المستخلصات'!$S$17)</f>
        <v/>
      </c>
      <c r="Q36" s="59">
        <f>IF('[7]سجل المستخلصات'!$T$17="","",'[7]سجل المستخلصات'!$T$17)</f>
        <v/>
      </c>
      <c r="R36" s="59">
        <f>IF('[7]سجل المستخلصات'!$V$17="","",'[7]سجل المستخلصات'!$V$17)</f>
        <v/>
      </c>
      <c r="S36" s="59">
        <f>IF('[7]سجل المستخلصات'!$W$17="","",'[7]سجل المستخلصات'!$W$17)</f>
        <v/>
      </c>
      <c r="T36" s="61">
        <f>IF('[7]سجل المستخلصات'!$X$17="","",'[7]سجل المستخلصات'!$X$17)</f>
        <v/>
      </c>
      <c r="U36" s="61">
        <f>IF('[7]سجل المستخلصات'!$Z$17="","",'[7]سجل المستخلصات'!$Z$17)</f>
        <v/>
      </c>
      <c r="V36" s="59">
        <f>IF('[7]سجل المستخلصات'!$AA$17="","",'[7]سجل المستخلصات'!$AA$17)</f>
        <v/>
      </c>
      <c r="W36" s="59">
        <f>IF('[7]سجل المستخلصات'!$AC$17="","",'[7]سجل المستخلصات'!$AC$17)</f>
        <v/>
      </c>
      <c r="X36" s="62">
        <f>IF('[7]سجل المستخلصات'!$AD$17="","",'[7]سجل المستخلصات'!$AD$17)</f>
        <v/>
      </c>
      <c r="Y36" s="58">
        <f>IF('[7]سجل المستخلصات'!$AE$17="","",'[7]سجل المستخلصات'!$AE$17)</f>
        <v/>
      </c>
    </row>
    <row r="37">
      <c r="B37" s="56" t="n">
        <v>13</v>
      </c>
      <c r="C37" s="57">
        <f>IF('[7]سجل المستخلصات'!$C$18="","",'[7]سجل المستخلصات'!$C$18)</f>
        <v/>
      </c>
      <c r="D37" s="57">
        <f>IF('[7]سجل المستخلصات'!$E$18="","",'[7]سجل المستخلصات'!$E$18)</f>
        <v/>
      </c>
      <c r="E37" s="58">
        <f>IF('[7]سجل المستخلصات'!$F$18="","",'[7]سجل المستخلصات'!$F$18)</f>
        <v/>
      </c>
      <c r="F37" s="59">
        <f>IF('[7]سجل المستخلصات'!$H$18="","",'[7]سجل المستخلصات'!$H$18)</f>
        <v/>
      </c>
      <c r="G37" s="59">
        <f>IF('[7]سجل المستخلصات'!$G$18="","",'[7]سجل المستخلصات'!$G$18)</f>
        <v/>
      </c>
      <c r="H37" s="59">
        <f>IF('[7]سجل المستخلصات'!$I$18="","",'[7]سجل المستخلصات'!$I$18)</f>
        <v/>
      </c>
      <c r="I37" s="59">
        <f>IF('[7]سجل المستخلصات'!$J$18="","",'[7]سجل المستخلصات'!$J$18)</f>
        <v/>
      </c>
      <c r="J37" s="59">
        <f>IF('[7]سجل المستخلصات'!$K$18="","",'[7]سجل المستخلصات'!$K$18)</f>
        <v/>
      </c>
      <c r="K37" s="60">
        <f>IF('[7]سجل المستخلصات'!$L$18="","",'[7]سجل المستخلصات'!$L$18)</f>
        <v/>
      </c>
      <c r="L37" s="60">
        <f>IF('[7]سجل المستخلصات'!$M$18="","",'[7]سجل المستخلصات'!$M$18)</f>
        <v/>
      </c>
      <c r="M37" s="60">
        <f>IF('[7]سجل المستخلصات'!$N$18="","",'[7]سجل المستخلصات'!$N$18)</f>
        <v/>
      </c>
      <c r="N37" s="59">
        <f>IF('[7]سجل المستخلصات'!$O$18="","",'[7]سجل المستخلصات'!$O$18)</f>
        <v/>
      </c>
      <c r="O37" s="59">
        <f>IF('[7]سجل المستخلصات'!$R$18="","",'[7]سجل المستخلصات'!$R$18)</f>
        <v/>
      </c>
      <c r="P37" s="59">
        <f>IF('[7]سجل المستخلصات'!$S$18="","",'[7]سجل المستخلصات'!$S$18)</f>
        <v/>
      </c>
      <c r="Q37" s="59">
        <f>IF('[7]سجل المستخلصات'!$T$18="","",'[7]سجل المستخلصات'!$T$18)</f>
        <v/>
      </c>
      <c r="R37" s="59">
        <f>IF('[7]سجل المستخلصات'!$V$18="","",'[7]سجل المستخلصات'!$V$18)</f>
        <v/>
      </c>
      <c r="S37" s="59">
        <f>IF('[7]سجل المستخلصات'!$W$18="","",'[7]سجل المستخلصات'!$W$18)</f>
        <v/>
      </c>
      <c r="T37" s="61">
        <f>IF('[7]سجل المستخلصات'!$X$18="","",'[7]سجل المستخلصات'!$X$18)</f>
        <v/>
      </c>
      <c r="U37" s="61">
        <f>IF('[7]سجل المستخلصات'!$Z$18="","",'[7]سجل المستخلصات'!$Z$18)</f>
        <v/>
      </c>
      <c r="V37" s="59">
        <f>IF('[7]سجل المستخلصات'!$AA$18="","",'[7]سجل المستخلصات'!$AA$18)</f>
        <v/>
      </c>
      <c r="W37" s="59">
        <f>IF('[7]سجل المستخلصات'!$AC$18="","",'[7]سجل المستخلصات'!$AC$18)</f>
        <v/>
      </c>
      <c r="X37" s="62">
        <f>IF('[7]سجل المستخلصات'!$AD$18="","",'[7]سجل المستخلصات'!$AD$18)</f>
        <v/>
      </c>
      <c r="Y37" s="58">
        <f>IF('[7]سجل المستخلصات'!$AE$18="","",'[7]سجل المستخلصات'!$AE$18)</f>
        <v/>
      </c>
    </row>
    <row r="38">
      <c r="B38" s="56" t="n">
        <v>14</v>
      </c>
      <c r="C38" s="57">
        <f>IF('[7]سجل المستخلصات'!$C$19="","",'[7]سجل المستخلصات'!$C$19)</f>
        <v/>
      </c>
      <c r="D38" s="57">
        <f>IF('[7]سجل المستخلصات'!$E$19="","",'[7]سجل المستخلصات'!$E$19)</f>
        <v/>
      </c>
      <c r="E38" s="58">
        <f>IF('[7]سجل المستخلصات'!$F$19="","",'[7]سجل المستخلصات'!$F$19)</f>
        <v/>
      </c>
      <c r="F38" s="59">
        <f>IF('[7]سجل المستخلصات'!$H$19="","",'[7]سجل المستخلصات'!$H$19)</f>
        <v/>
      </c>
      <c r="G38" s="59">
        <f>IF('[7]سجل المستخلصات'!$G$19="","",'[7]سجل المستخلصات'!$G$19)</f>
        <v/>
      </c>
      <c r="H38" s="59">
        <f>IF('[7]سجل المستخلصات'!$I$19="","",'[7]سجل المستخلصات'!$I$19)</f>
        <v/>
      </c>
      <c r="I38" s="59">
        <f>IF('[7]سجل المستخلصات'!$J$19="","",'[7]سجل المستخلصات'!$J$19)</f>
        <v/>
      </c>
      <c r="J38" s="59">
        <f>IF('[7]سجل المستخلصات'!$K$19="","",'[7]سجل المستخلصات'!$K$19)</f>
        <v/>
      </c>
      <c r="K38" s="60">
        <f>IF('[7]سجل المستخلصات'!$L$19="","",'[7]سجل المستخلصات'!$L$19)</f>
        <v/>
      </c>
      <c r="L38" s="60">
        <f>IF('[7]سجل المستخلصات'!$M$19="","",'[7]سجل المستخلصات'!$M$19)</f>
        <v/>
      </c>
      <c r="M38" s="60">
        <f>IF('[7]سجل المستخلصات'!$N$19="","",'[7]سجل المستخلصات'!$N$19)</f>
        <v/>
      </c>
      <c r="N38" s="59">
        <f>IF('[7]سجل المستخلصات'!$O$19="","",'[7]سجل المستخلصات'!$O$19)</f>
        <v/>
      </c>
      <c r="O38" s="59">
        <f>IF('[7]سجل المستخلصات'!$R$19="","",'[7]سجل المستخلصات'!$R$19)</f>
        <v/>
      </c>
      <c r="P38" s="59">
        <f>IF('[7]سجل المستخلصات'!$S$19="","",'[7]سجل المستخلصات'!$S$19)</f>
        <v/>
      </c>
      <c r="Q38" s="59">
        <f>IF('[7]سجل المستخلصات'!$T$19="","",'[7]سجل المستخلصات'!$T$19)</f>
        <v/>
      </c>
      <c r="R38" s="59">
        <f>IF('[7]سجل المستخلصات'!$V$19="","",'[7]سجل المستخلصات'!$V$19)</f>
        <v/>
      </c>
      <c r="S38" s="59">
        <f>IF('[7]سجل المستخلصات'!$W$19="","",'[7]سجل المستخلصات'!$W$19)</f>
        <v/>
      </c>
      <c r="T38" s="61">
        <f>IF('[7]سجل المستخلصات'!$X$19="","",'[7]سجل المستخلصات'!$X$19)</f>
        <v/>
      </c>
      <c r="U38" s="61">
        <f>IF('[7]سجل المستخلصات'!$Z$19="","",'[7]سجل المستخلصات'!$Z$19)</f>
        <v/>
      </c>
      <c r="V38" s="59">
        <f>IF('[7]سجل المستخلصات'!$AA$19="","",'[7]سجل المستخلصات'!$AA$19)</f>
        <v/>
      </c>
      <c r="W38" s="59">
        <f>IF('[7]سجل المستخلصات'!$AC$19="","",'[7]سجل المستخلصات'!$AC$19)</f>
        <v/>
      </c>
      <c r="X38" s="62">
        <f>IF('[7]سجل المستخلصات'!$AD$19="","",'[7]سجل المستخلصات'!$AD$19)</f>
        <v/>
      </c>
      <c r="Y38" s="58">
        <f>IF('[7]سجل المستخلصات'!$AE$19="","",'[7]سجل المستخلصات'!$AE$19)</f>
        <v/>
      </c>
    </row>
    <row r="39">
      <c r="B39" s="56" t="n">
        <v>15</v>
      </c>
      <c r="C39" s="57">
        <f>IF('[7]سجل المستخلصات'!$C$20="","",'[7]سجل المستخلصات'!$C$20)</f>
        <v/>
      </c>
      <c r="D39" s="57">
        <f>IF('[7]سجل المستخلصات'!$E$20="","",'[7]سجل المستخلصات'!$E$20)</f>
        <v/>
      </c>
      <c r="E39" s="58">
        <f>IF('[7]سجل المستخلصات'!$F$20="","",'[7]سجل المستخلصات'!$F$20)</f>
        <v/>
      </c>
      <c r="F39" s="59">
        <f>IF('[7]سجل المستخلصات'!$H$20="","",'[7]سجل المستخلصات'!$H$20)</f>
        <v/>
      </c>
      <c r="G39" s="59">
        <f>IF('[7]سجل المستخلصات'!$G$20="","",'[7]سجل المستخلصات'!$G$20)</f>
        <v/>
      </c>
      <c r="H39" s="59">
        <f>IF('[7]سجل المستخلصات'!$I$20="","",'[7]سجل المستخلصات'!$I$20)</f>
        <v/>
      </c>
      <c r="I39" s="59">
        <f>IF('[7]سجل المستخلصات'!$J$20="","",'[7]سجل المستخلصات'!$J$20)</f>
        <v/>
      </c>
      <c r="J39" s="59">
        <f>IF('[7]سجل المستخلصات'!$K$20="","",'[7]سجل المستخلصات'!$K$20)</f>
        <v/>
      </c>
      <c r="K39" s="60">
        <f>IF('[7]سجل المستخلصات'!$L$20="","",'[7]سجل المستخلصات'!$L$20)</f>
        <v/>
      </c>
      <c r="L39" s="60">
        <f>IF('[7]سجل المستخلصات'!$M$20="","",'[7]سجل المستخلصات'!$M$20)</f>
        <v/>
      </c>
      <c r="M39" s="60">
        <f>IF('[7]سجل المستخلصات'!$N$20="","",'[7]سجل المستخلصات'!$N$20)</f>
        <v/>
      </c>
      <c r="N39" s="59">
        <f>IF('[7]سجل المستخلصات'!$O$20="","",'[7]سجل المستخلصات'!$O$20)</f>
        <v/>
      </c>
      <c r="O39" s="59">
        <f>IF('[7]سجل المستخلصات'!$R$20="","",'[7]سجل المستخلصات'!$R$20)</f>
        <v/>
      </c>
      <c r="P39" s="59">
        <f>IF('[7]سجل المستخلصات'!$S$20="","",'[7]سجل المستخلصات'!$S$20)</f>
        <v/>
      </c>
      <c r="Q39" s="59">
        <f>IF('[7]سجل المستخلصات'!$T$20="","",'[7]سجل المستخلصات'!$T$20)</f>
        <v/>
      </c>
      <c r="R39" s="59">
        <f>IF('[7]سجل المستخلصات'!$V$20="","",'[7]سجل المستخلصات'!$V$20)</f>
        <v/>
      </c>
      <c r="S39" s="59">
        <f>IF('[7]سجل المستخلصات'!$W$20="","",'[7]سجل المستخلصات'!$W$20)</f>
        <v/>
      </c>
      <c r="T39" s="61">
        <f>IF('[7]سجل المستخلصات'!$X$20="","",'[7]سجل المستخلصات'!$X$20)</f>
        <v/>
      </c>
      <c r="U39" s="61">
        <f>IF('[7]سجل المستخلصات'!$Z$20="","",'[7]سجل المستخلصات'!$Z$20)</f>
        <v/>
      </c>
      <c r="V39" s="59">
        <f>IF('[7]سجل المستخلصات'!$AA$20="","",'[7]سجل المستخلصات'!$AA$20)</f>
        <v/>
      </c>
      <c r="W39" s="59">
        <f>IF('[7]سجل المستخلصات'!$AC$20="","",'[7]سجل المستخلصات'!$AC$20)</f>
        <v/>
      </c>
      <c r="X39" s="62">
        <f>IF('[7]سجل المستخلصات'!$AD$20="","",'[7]سجل المستخلصات'!$AD$20)</f>
        <v/>
      </c>
      <c r="Y39" s="58">
        <f>IF('[7]سجل المستخلصات'!$AE$20="","",'[7]سجل المستخلصات'!$AE$20)</f>
        <v/>
      </c>
    </row>
    <row r="40">
      <c r="B40" s="56" t="n">
        <v>16</v>
      </c>
      <c r="C40" s="57">
        <f>IF('[7]سجل المستخلصات'!$C$21="","",'[7]سجل المستخلصات'!$C$21)</f>
        <v/>
      </c>
      <c r="D40" s="57">
        <f>IF('[7]سجل المستخلصات'!$E$21="","",'[7]سجل المستخلصات'!$E$21)</f>
        <v/>
      </c>
      <c r="E40" s="58">
        <f>IF('[7]سجل المستخلصات'!$F$21="","",'[7]سجل المستخلصات'!$F$21)</f>
        <v/>
      </c>
      <c r="F40" s="59">
        <f>IF('[7]سجل المستخلصات'!$H$21="","",'[7]سجل المستخلصات'!$H$21)</f>
        <v/>
      </c>
      <c r="G40" s="59">
        <f>IF('[7]سجل المستخلصات'!$G$21="","",'[7]سجل المستخلصات'!$G$21)</f>
        <v/>
      </c>
      <c r="H40" s="59">
        <f>IF('[7]سجل المستخلصات'!$I$21="","",'[7]سجل المستخلصات'!$I$21)</f>
        <v/>
      </c>
      <c r="I40" s="59">
        <f>IF('[7]سجل المستخلصات'!$J$21="","",'[7]سجل المستخلصات'!$J$21)</f>
        <v/>
      </c>
      <c r="J40" s="59">
        <f>IF('[7]سجل المستخلصات'!$K$21="","",'[7]سجل المستخلصات'!$K$21)</f>
        <v/>
      </c>
      <c r="K40" s="60">
        <f>IF('[7]سجل المستخلصات'!$L$21="","",'[7]سجل المستخلصات'!$L$21)</f>
        <v/>
      </c>
      <c r="L40" s="60">
        <f>IF('[7]سجل المستخلصات'!$M$21="","",'[7]سجل المستخلصات'!$M$21)</f>
        <v/>
      </c>
      <c r="M40" s="60">
        <f>IF('[7]سجل المستخلصات'!$N$21="","",'[7]سجل المستخلصات'!$N$21)</f>
        <v/>
      </c>
      <c r="N40" s="59">
        <f>IF('[7]سجل المستخلصات'!$O$21="","",'[7]سجل المستخلصات'!$O$21)</f>
        <v/>
      </c>
      <c r="O40" s="59">
        <f>IF('[7]سجل المستخلصات'!$R$21="","",'[7]سجل المستخلصات'!$R$21)</f>
        <v/>
      </c>
      <c r="P40" s="59">
        <f>IF('[7]سجل المستخلصات'!$S$21="","",'[7]سجل المستخلصات'!$S$21)</f>
        <v/>
      </c>
      <c r="Q40" s="59">
        <f>IF('[7]سجل المستخلصات'!$T$21="","",'[7]سجل المستخلصات'!$T$21)</f>
        <v/>
      </c>
      <c r="R40" s="59">
        <f>IF('[7]سجل المستخلصات'!$V$21="","",'[7]سجل المستخلصات'!$V$21)</f>
        <v/>
      </c>
      <c r="S40" s="59">
        <f>IF('[7]سجل المستخلصات'!$W$21="","",'[7]سجل المستخلصات'!$W$21)</f>
        <v/>
      </c>
      <c r="T40" s="61">
        <f>IF('[7]سجل المستخلصات'!$X$21="","",'[7]سجل المستخلصات'!$X$21)</f>
        <v/>
      </c>
      <c r="U40" s="61">
        <f>IF('[7]سجل المستخلصات'!$Z$21="","",'[7]سجل المستخلصات'!$Z$21)</f>
        <v/>
      </c>
      <c r="V40" s="59">
        <f>IF('[7]سجل المستخلصات'!$AA$21="","",'[7]سجل المستخلصات'!$AA$21)</f>
        <v/>
      </c>
      <c r="W40" s="59">
        <f>IF('[7]سجل المستخلصات'!$AC$21="","",'[7]سجل المستخلصات'!$AC$21)</f>
        <v/>
      </c>
      <c r="X40" s="62">
        <f>IF('[7]سجل المستخلصات'!$AD$21="","",'[7]سجل المستخلصات'!$AD$21)</f>
        <v/>
      </c>
      <c r="Y40" s="58">
        <f>IF('[7]سجل المستخلصات'!$AE$21="","",'[7]سجل المستخلصات'!$AE$21)</f>
        <v/>
      </c>
    </row>
    <row r="41">
      <c r="B41" s="56" t="n">
        <v>17</v>
      </c>
      <c r="C41" s="57">
        <f>IF('[7]سجل المستخلصات'!$C$22="","",'[7]سجل المستخلصات'!$C$22)</f>
        <v/>
      </c>
      <c r="D41" s="57">
        <f>IF('[7]سجل المستخلصات'!$E$22="","",'[7]سجل المستخلصات'!$E$22)</f>
        <v/>
      </c>
      <c r="E41" s="58">
        <f>IF('[7]سجل المستخلصات'!$F$22="","",'[7]سجل المستخلصات'!$F$22)</f>
        <v/>
      </c>
      <c r="F41" s="59">
        <f>IF('[7]سجل المستخلصات'!$H$22="","",'[7]سجل المستخلصات'!$H$22)</f>
        <v/>
      </c>
      <c r="G41" s="59">
        <f>IF('[7]سجل المستخلصات'!$G$22="","",'[7]سجل المستخلصات'!$G$22)</f>
        <v/>
      </c>
      <c r="H41" s="59">
        <f>IF('[7]سجل المستخلصات'!$I$22="","",'[7]سجل المستخلصات'!$I$22)</f>
        <v/>
      </c>
      <c r="I41" s="59">
        <f>IF('[7]سجل المستخلصات'!$J$22="","",'[7]سجل المستخلصات'!$J$22)</f>
        <v/>
      </c>
      <c r="J41" s="59">
        <f>IF('[7]سجل المستخلصات'!$K$22="","",'[7]سجل المستخلصات'!$K$22)</f>
        <v/>
      </c>
      <c r="K41" s="60">
        <f>IF('[7]سجل المستخلصات'!$L$22="","",'[7]سجل المستخلصات'!$L$22)</f>
        <v/>
      </c>
      <c r="L41" s="60">
        <f>IF('[7]سجل المستخلصات'!$M$22="","",'[7]سجل المستخلصات'!$M$22)</f>
        <v/>
      </c>
      <c r="M41" s="60">
        <f>IF('[7]سجل المستخلصات'!$N$22="","",'[7]سجل المستخلصات'!$N$22)</f>
        <v/>
      </c>
      <c r="N41" s="59">
        <f>IF('[7]سجل المستخلصات'!$O$22="","",'[7]سجل المستخلصات'!$O$22)</f>
        <v/>
      </c>
      <c r="O41" s="59">
        <f>IF('[7]سجل المستخلصات'!$R$22="","",'[7]سجل المستخلصات'!$R$22)</f>
        <v/>
      </c>
      <c r="P41" s="59">
        <f>IF('[7]سجل المستخلصات'!$S$22="","",'[7]سجل المستخلصات'!$S$22)</f>
        <v/>
      </c>
      <c r="Q41" s="59">
        <f>IF('[7]سجل المستخلصات'!$T$22="","",'[7]سجل المستخلصات'!$T$22)</f>
        <v/>
      </c>
      <c r="R41" s="59">
        <f>IF('[7]سجل المستخلصات'!$V$22="","",'[7]سجل المستخلصات'!$V$22)</f>
        <v/>
      </c>
      <c r="S41" s="59">
        <f>IF('[7]سجل المستخلصات'!$W$22="","",'[7]سجل المستخلصات'!$W$22)</f>
        <v/>
      </c>
      <c r="T41" s="61">
        <f>IF('[7]سجل المستخلصات'!$X$22="","",'[7]سجل المستخلصات'!$X$22)</f>
        <v/>
      </c>
      <c r="U41" s="61">
        <f>IF('[7]سجل المستخلصات'!$Z$22="","",'[7]سجل المستخلصات'!$Z$22)</f>
        <v/>
      </c>
      <c r="V41" s="59">
        <f>IF('[7]سجل المستخلصات'!$AA$22="","",'[7]سجل المستخلصات'!$AA$22)</f>
        <v/>
      </c>
      <c r="W41" s="59">
        <f>IF('[7]سجل المستخلصات'!$AC$22="","",'[7]سجل المستخلصات'!$AC$22)</f>
        <v/>
      </c>
      <c r="X41" s="62">
        <f>IF('[7]سجل المستخلصات'!$AD$22="","",'[7]سجل المستخلصات'!$AD$22)</f>
        <v/>
      </c>
      <c r="Y41" s="58">
        <f>IF('[7]سجل المستخلصات'!$AE$22="","",'[7]سجل المستخلصات'!$AE$22)</f>
        <v/>
      </c>
    </row>
    <row r="42">
      <c r="B42" s="56" t="n">
        <v>18</v>
      </c>
      <c r="C42" s="57">
        <f>IF('[7]سجل المستخلصات'!$C$23="","",'[7]سجل المستخلصات'!$C$23)</f>
        <v/>
      </c>
      <c r="D42" s="57">
        <f>IF('[7]سجل المستخلصات'!$E$23="","",'[7]سجل المستخلصات'!$E$23)</f>
        <v/>
      </c>
      <c r="E42" s="58">
        <f>IF('[7]سجل المستخلصات'!$F$23="","",'[7]سجل المستخلصات'!$F$23)</f>
        <v/>
      </c>
      <c r="F42" s="59">
        <f>IF('[7]سجل المستخلصات'!$H$23="","",'[7]سجل المستخلصات'!$H$23)</f>
        <v/>
      </c>
      <c r="G42" s="59">
        <f>IF('[7]سجل المستخلصات'!$G$23="","",'[7]سجل المستخلصات'!$G$23)</f>
        <v/>
      </c>
      <c r="H42" s="59">
        <f>IF('[7]سجل المستخلصات'!$I$23="","",'[7]سجل المستخلصات'!$I$23)</f>
        <v/>
      </c>
      <c r="I42" s="59">
        <f>IF('[7]سجل المستخلصات'!$J$23="","",'[7]سجل المستخلصات'!$J$23)</f>
        <v/>
      </c>
      <c r="J42" s="59">
        <f>IF('[7]سجل المستخلصات'!$K$23="","",'[7]سجل المستخلصات'!$K$23)</f>
        <v/>
      </c>
      <c r="K42" s="60">
        <f>IF('[7]سجل المستخلصات'!$L$23="","",'[7]سجل المستخلصات'!$L$23)</f>
        <v/>
      </c>
      <c r="L42" s="60">
        <f>IF('[7]سجل المستخلصات'!$M$23="","",'[7]سجل المستخلصات'!$M$23)</f>
        <v/>
      </c>
      <c r="M42" s="60">
        <f>IF('[7]سجل المستخلصات'!$N$23="","",'[7]سجل المستخلصات'!$N$23)</f>
        <v/>
      </c>
      <c r="N42" s="59">
        <f>IF('[7]سجل المستخلصات'!$O$23="","",'[7]سجل المستخلصات'!$O$23)</f>
        <v/>
      </c>
      <c r="O42" s="59">
        <f>IF('[7]سجل المستخلصات'!$R$23="","",'[7]سجل المستخلصات'!$R$23)</f>
        <v/>
      </c>
      <c r="P42" s="59">
        <f>IF('[7]سجل المستخلصات'!$S$23="","",'[7]سجل المستخلصات'!$S$23)</f>
        <v/>
      </c>
      <c r="Q42" s="59">
        <f>IF('[7]سجل المستخلصات'!$T$23="","",'[7]سجل المستخلصات'!$T$23)</f>
        <v/>
      </c>
      <c r="R42" s="59">
        <f>IF('[7]سجل المستخلصات'!$V$23="","",'[7]سجل المستخلصات'!$V$23)</f>
        <v/>
      </c>
      <c r="S42" s="59">
        <f>IF('[7]سجل المستخلصات'!$W$23="","",'[7]سجل المستخلصات'!$W$23)</f>
        <v/>
      </c>
      <c r="T42" s="61">
        <f>IF('[7]سجل المستخلصات'!$X$23="","",'[7]سجل المستخلصات'!$X$23)</f>
        <v/>
      </c>
      <c r="U42" s="61">
        <f>IF('[7]سجل المستخلصات'!$Z$23="","",'[7]سجل المستخلصات'!$Z$23)</f>
        <v/>
      </c>
      <c r="V42" s="59">
        <f>IF('[7]سجل المستخلصات'!$AA$23="","",'[7]سجل المستخلصات'!$AA$23)</f>
        <v/>
      </c>
      <c r="W42" s="59">
        <f>IF('[7]سجل المستخلصات'!$AC$23="","",'[7]سجل المستخلصات'!$AC$23)</f>
        <v/>
      </c>
      <c r="X42" s="62">
        <f>IF('[7]سجل المستخلصات'!$AD$23="","",'[7]سجل المستخلصات'!$AD$23)</f>
        <v/>
      </c>
      <c r="Y42" s="58">
        <f>IF('[7]سجل المستخلصات'!$AE$23="","",'[7]سجل المستخلصات'!$AE$23)</f>
        <v/>
      </c>
    </row>
    <row r="43">
      <c r="B43" s="56" t="n">
        <v>19</v>
      </c>
      <c r="C43" s="57">
        <f>IF('[7]سجل المستخلصات'!$C$24="","",'[7]سجل المستخلصات'!$C$24)</f>
        <v/>
      </c>
      <c r="D43" s="57">
        <f>IF('[7]سجل المستخلصات'!$E$24="","",'[7]سجل المستخلصات'!$E$24)</f>
        <v/>
      </c>
      <c r="E43" s="58">
        <f>IF('[7]سجل المستخلصات'!$F$24="","",'[7]سجل المستخلصات'!$F$24)</f>
        <v/>
      </c>
      <c r="F43" s="59">
        <f>IF('[7]سجل المستخلصات'!$H$24="","",'[7]سجل المستخلصات'!$H$24)</f>
        <v/>
      </c>
      <c r="G43" s="59">
        <f>IF('[7]سجل المستخلصات'!$G$24="","",'[7]سجل المستخلصات'!$G$24)</f>
        <v/>
      </c>
      <c r="H43" s="59">
        <f>IF('[7]سجل المستخلصات'!$I$24="","",'[7]سجل المستخلصات'!$I$24)</f>
        <v/>
      </c>
      <c r="I43" s="59">
        <f>IF('[7]سجل المستخلصات'!$J$24="","",'[7]سجل المستخلصات'!$J$24)</f>
        <v/>
      </c>
      <c r="J43" s="59">
        <f>IF('[7]سجل المستخلصات'!$K$24="","",'[7]سجل المستخلصات'!$K$24)</f>
        <v/>
      </c>
      <c r="K43" s="60">
        <f>IF('[7]سجل المستخلصات'!$L$24="","",'[7]سجل المستخلصات'!$L$24)</f>
        <v/>
      </c>
      <c r="L43" s="60">
        <f>IF('[7]سجل المستخلصات'!$M$24="","",'[7]سجل المستخلصات'!$M$24)</f>
        <v/>
      </c>
      <c r="M43" s="60">
        <f>IF('[7]سجل المستخلصات'!$N$24="","",'[7]سجل المستخلصات'!$N$24)</f>
        <v/>
      </c>
      <c r="N43" s="59">
        <f>IF('[7]سجل المستخلصات'!$O$24="","",'[7]سجل المستخلصات'!$O$24)</f>
        <v/>
      </c>
      <c r="O43" s="59">
        <f>IF('[7]سجل المستخلصات'!$R$24="","",'[7]سجل المستخلصات'!$R$24)</f>
        <v/>
      </c>
      <c r="P43" s="59">
        <f>IF('[7]سجل المستخلصات'!$S$24="","",'[7]سجل المستخلصات'!$S$24)</f>
        <v/>
      </c>
      <c r="Q43" s="59">
        <f>IF('[7]سجل المستخلصات'!$T$24="","",'[7]سجل المستخلصات'!$T$24)</f>
        <v/>
      </c>
      <c r="R43" s="59">
        <f>IF('[7]سجل المستخلصات'!$V$24="","",'[7]سجل المستخلصات'!$V$24)</f>
        <v/>
      </c>
      <c r="S43" s="59">
        <f>IF('[7]سجل المستخلصات'!$W$24="","",'[7]سجل المستخلصات'!$W$24)</f>
        <v/>
      </c>
      <c r="T43" s="61">
        <f>IF('[7]سجل المستخلصات'!$X$24="","",'[7]سجل المستخلصات'!$X$24)</f>
        <v/>
      </c>
      <c r="U43" s="61">
        <f>IF('[7]سجل المستخلصات'!$Z$24="","",'[7]سجل المستخلصات'!$Z$24)</f>
        <v/>
      </c>
      <c r="V43" s="59">
        <f>IF('[7]سجل المستخلصات'!$AA$24="","",'[7]سجل المستخلصات'!$AA$24)</f>
        <v/>
      </c>
      <c r="W43" s="59">
        <f>IF('[7]سجل المستخلصات'!$AC$24="","",'[7]سجل المستخلصات'!$AC$24)</f>
        <v/>
      </c>
      <c r="X43" s="62">
        <f>IF('[7]سجل المستخلصات'!$AD$24="","",'[7]سجل المستخلصات'!$AD$24)</f>
        <v/>
      </c>
      <c r="Y43" s="58">
        <f>IF('[7]سجل المستخلصات'!$AE$24="","",'[7]سجل المستخلصات'!$AE$24)</f>
        <v/>
      </c>
    </row>
    <row r="44">
      <c r="B44" s="56" t="n">
        <v>20</v>
      </c>
      <c r="C44" s="57">
        <f>IF('[7]سجل المستخلصات'!$C$25="","",'[7]سجل المستخلصات'!$C$25)</f>
        <v/>
      </c>
      <c r="D44" s="57">
        <f>IF('[7]سجل المستخلصات'!$E$25="","",'[7]سجل المستخلصات'!$E$25)</f>
        <v/>
      </c>
      <c r="E44" s="58">
        <f>IF('[7]سجل المستخلصات'!$F$25="","",'[7]سجل المستخلصات'!$F$25)</f>
        <v/>
      </c>
      <c r="F44" s="59">
        <f>IF('[7]سجل المستخلصات'!$H$25="","",'[7]سجل المستخلصات'!$H$25)</f>
        <v/>
      </c>
      <c r="G44" s="59">
        <f>IF('[7]سجل المستخلصات'!$G$25="","",'[7]سجل المستخلصات'!$G$25)</f>
        <v/>
      </c>
      <c r="H44" s="59">
        <f>IF('[7]سجل المستخلصات'!$I$25="","",'[7]سجل المستخلصات'!$I$25)</f>
        <v/>
      </c>
      <c r="I44" s="59">
        <f>IF('[7]سجل المستخلصات'!$J$25="","",'[7]سجل المستخلصات'!$J$25)</f>
        <v/>
      </c>
      <c r="J44" s="59">
        <f>IF('[7]سجل المستخلصات'!$K$25="","",'[7]سجل المستخلصات'!$K$25)</f>
        <v/>
      </c>
      <c r="K44" s="60">
        <f>IF('[7]سجل المستخلصات'!$L$25="","",'[7]سجل المستخلصات'!$L$25)</f>
        <v/>
      </c>
      <c r="L44" s="60">
        <f>IF('[7]سجل المستخلصات'!$M$25="","",'[7]سجل المستخلصات'!$M$25)</f>
        <v/>
      </c>
      <c r="M44" s="60">
        <f>IF('[7]سجل المستخلصات'!$N$25="","",'[7]سجل المستخلصات'!$N$25)</f>
        <v/>
      </c>
      <c r="N44" s="59">
        <f>IF('[7]سجل المستخلصات'!$O$25="","",'[7]سجل المستخلصات'!$O$25)</f>
        <v/>
      </c>
      <c r="O44" s="59">
        <f>IF('[7]سجل المستخلصات'!$R$25="","",'[7]سجل المستخلصات'!$R$25)</f>
        <v/>
      </c>
      <c r="P44" s="59">
        <f>IF('[7]سجل المستخلصات'!$S$25="","",'[7]سجل المستخلصات'!$S$25)</f>
        <v/>
      </c>
      <c r="Q44" s="59">
        <f>IF('[7]سجل المستخلصات'!$T$25="","",'[7]سجل المستخلصات'!$T$25)</f>
        <v/>
      </c>
      <c r="R44" s="59">
        <f>IF('[7]سجل المستخلصات'!$V$25="","",'[7]سجل المستخلصات'!$V$25)</f>
        <v/>
      </c>
      <c r="S44" s="59">
        <f>IF('[7]سجل المستخلصات'!$W$25="","",'[7]سجل المستخلصات'!$W$25)</f>
        <v/>
      </c>
      <c r="T44" s="61">
        <f>IF('[7]سجل المستخلصات'!$X$25="","",'[7]سجل المستخلصات'!$X$25)</f>
        <v/>
      </c>
      <c r="U44" s="61">
        <f>IF('[7]سجل المستخلصات'!$Z$25="","",'[7]سجل المستخلصات'!$Z$25)</f>
        <v/>
      </c>
      <c r="V44" s="59">
        <f>IF('[7]سجل المستخلصات'!$AA$25="","",'[7]سجل المستخلصات'!$AA$25)</f>
        <v/>
      </c>
      <c r="W44" s="59">
        <f>IF('[7]سجل المستخلصات'!$AC$25="","",'[7]سجل المستخلصات'!$AC$25)</f>
        <v/>
      </c>
      <c r="X44" s="62">
        <f>IF('[7]سجل المستخلصات'!$AD$25="","",'[7]سجل المستخلصات'!$AD$25)</f>
        <v/>
      </c>
      <c r="Y44" s="58">
        <f>IF('[7]سجل المستخلصات'!$AE$25="","",'[7]سجل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IF('[7]سجل المستخلصات'!$B$32="","",'[7]سجل المستخلصات'!$B$32)</f>
        <v/>
      </c>
      <c r="C50" s="69" t="n"/>
      <c r="D50" s="69" t="n"/>
      <c r="E50" s="59">
        <f>N('[7]سجل المستخلصات'!$E$32)</f>
        <v/>
      </c>
      <c r="F50" s="59">
        <f>N('[7]سجل المستخلصات'!$F$32)</f>
        <v/>
      </c>
      <c r="G50" s="70">
        <f>IF(E50&gt;0,F50/E50,0)</f>
        <v/>
      </c>
    </row>
    <row r="51">
      <c r="B51" s="69">
        <f>IF('[7]سجل المستخلصات'!$B$33="","",'[7]سجل المستخلصات'!$B$33)</f>
        <v/>
      </c>
      <c r="C51" s="69" t="n"/>
      <c r="D51" s="69" t="n"/>
      <c r="E51" s="59">
        <f>N('[7]سجل المستخلصات'!$E$33)</f>
        <v/>
      </c>
      <c r="F51" s="59">
        <f>N('[7]سجل المستخلصات'!$F$33)</f>
        <v/>
      </c>
      <c r="G51" s="70">
        <f>IF(E51&gt;0,F51/E51,0)</f>
        <v/>
      </c>
    </row>
    <row r="52">
      <c r="B52" s="69">
        <f>IF('[7]سجل المستخلصات'!$B$34="","",'[7]سجل المستخلصات'!$B$34)</f>
        <v/>
      </c>
      <c r="C52" s="69" t="n"/>
      <c r="D52" s="69" t="n"/>
      <c r="E52" s="59">
        <f>N('[7]سجل المستخلصات'!$E$34)</f>
        <v/>
      </c>
      <c r="F52" s="59">
        <f>N('[7]سجل المستخلصات'!$F$34)</f>
        <v/>
      </c>
      <c r="G52" s="70">
        <f>IF(E52&gt;0,F52/E52,0)</f>
        <v/>
      </c>
    </row>
    <row r="53">
      <c r="B53" s="69">
        <f>IF('[7]سجل المستخلصات'!$B$35="","",'[7]سجل المستخلصات'!$B$35)</f>
        <v/>
      </c>
      <c r="C53" s="69" t="n"/>
      <c r="D53" s="69" t="n"/>
      <c r="E53" s="59">
        <f>N('[7]سجل المستخلصات'!$E$35)</f>
        <v/>
      </c>
      <c r="F53" s="59">
        <f>N('[7]سجل المستخلصات'!$F$35)</f>
        <v/>
      </c>
      <c r="G53" s="70">
        <f>IF(E53&gt;0,F53/E53,0)</f>
        <v/>
      </c>
    </row>
    <row r="54">
      <c r="B54" s="69">
        <f>IF('[7]سجل المستخلصات'!$B$36="","",'[7]سجل المستخلصات'!$B$36)</f>
        <v/>
      </c>
      <c r="C54" s="69" t="n"/>
      <c r="D54" s="69" t="n"/>
      <c r="E54" s="59">
        <f>N('[7]سجل المستخلصات'!$E$36)</f>
        <v/>
      </c>
      <c r="F54" s="59">
        <f>N('[7]سجل المستخلصات'!$F$36)</f>
        <v/>
      </c>
      <c r="G54" s="70">
        <f>IF(E54&gt;0,F54/E54,0)</f>
        <v/>
      </c>
    </row>
    <row r="55">
      <c r="B55" s="69">
        <f>IF('[7]سجل المستخلصات'!$B$37="","",'[7]سجل المستخلصات'!$B$37)</f>
        <v/>
      </c>
      <c r="C55" s="69" t="n"/>
      <c r="D55" s="69" t="n"/>
      <c r="E55" s="59">
        <f>N('[7]سجل المستخلصات'!$E$37)</f>
        <v/>
      </c>
      <c r="F55" s="59">
        <f>N('[7]سجل المستخلصات'!$F$37)</f>
        <v/>
      </c>
      <c r="G55" s="70">
        <f>IF(E55&gt;0,F55/E55,0)</f>
        <v/>
      </c>
    </row>
    <row r="56">
      <c r="B56" s="69">
        <f>IF('[7]سجل المستخلصات'!$B$38="","",'[7]سجل المستخلصات'!$B$38)</f>
        <v/>
      </c>
      <c r="C56" s="69" t="n"/>
      <c r="D56" s="69" t="n"/>
      <c r="E56" s="59">
        <f>N('[7]سجل المستخلصات'!$E$38)</f>
        <v/>
      </c>
      <c r="F56" s="59">
        <f>N('[7]سجل المستخلصات'!$F$38)</f>
        <v/>
      </c>
      <c r="G56" s="70">
        <f>IF(E56&gt;0,F56/E56,0)</f>
        <v/>
      </c>
    </row>
    <row r="57">
      <c r="B57" s="69">
        <f>IF('[7]سجل المستخلصات'!$B$39="","",'[7]سجل المستخلصات'!$B$39)</f>
        <v/>
      </c>
      <c r="C57" s="69" t="n"/>
      <c r="D57" s="69" t="n"/>
      <c r="E57" s="59">
        <f>N('[7]سجل المستخلصات'!$E$39)</f>
        <v/>
      </c>
      <c r="F57" s="59">
        <f>N('[7]سجل المستخلصات'!$F$39)</f>
        <v/>
      </c>
      <c r="G57" s="70">
        <f>IF(E57&gt;0,F57/E57,0)</f>
        <v/>
      </c>
    </row>
    <row r="58">
      <c r="B58" s="69">
        <f>IF('[7]سجل المستخلصات'!$B$40="","",'[7]سجل المستخلصات'!$B$40)</f>
        <v/>
      </c>
      <c r="C58" s="69" t="n"/>
      <c r="D58" s="69" t="n"/>
      <c r="E58" s="59">
        <f>N('[7]سجل المستخلصات'!$E$40)</f>
        <v/>
      </c>
      <c r="F58" s="59">
        <f>N('[7]سجل المستخلصات'!$F$40)</f>
        <v/>
      </c>
      <c r="G58" s="70">
        <f>IF(E58&gt;0,F58/E58,0)</f>
        <v/>
      </c>
    </row>
    <row r="59">
      <c r="B59" s="69">
        <f>IF('[7]سجل المستخلصات'!$B$41="","",'[7]سجل المستخلصات'!$B$41)</f>
        <v/>
      </c>
      <c r="C59" s="69" t="n"/>
      <c r="D59" s="69" t="n"/>
      <c r="E59" s="59">
        <f>N('[7]سجل المستخلصات'!$E$41)</f>
        <v/>
      </c>
      <c r="F59" s="59">
        <f>N('[7]سجل المستخلصات'!$F$41)</f>
        <v/>
      </c>
      <c r="G59" s="70">
        <f>IF(E59&gt;0,F59/E59,0)</f>
        <v/>
      </c>
    </row>
    <row r="60">
      <c r="B60" s="69">
        <f>IF('[7]سجل المستخلصات'!$B$42="","",'[7]سجل المستخلصات'!$B$42)</f>
        <v/>
      </c>
      <c r="C60" s="69" t="n"/>
      <c r="D60" s="69" t="n"/>
      <c r="E60" s="59">
        <f>N('[7]سجل المستخلصات'!$E$42)</f>
        <v/>
      </c>
      <c r="F60" s="59">
        <f>N('[7]سجل المستخلصات'!$F$42)</f>
        <v/>
      </c>
      <c r="G60" s="70">
        <f>IF(E60&gt;0,F60/E60,0)</f>
        <v/>
      </c>
    </row>
    <row r="61">
      <c r="B61" s="69">
        <f>IF('[7]سجل المستخلصات'!$B$43="","",'[7]سجل المستخلصات'!$B$43)</f>
        <v/>
      </c>
      <c r="C61" s="69" t="n"/>
      <c r="D61" s="69" t="n"/>
      <c r="E61" s="59">
        <f>N('[7]سجل المستخلصات'!$E$43)</f>
        <v/>
      </c>
      <c r="F61" s="59">
        <f>N('[7]سجل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06'!A1" display="◄ المشروع السابق"/>
    <hyperlink ref="D3" location="'مشروع 08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"&amp;IF('[8]بيانات العقد'!$C$5="","مشروع رقم 08 — غير مُفعّل",'[8]بيانات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Project_08/IPC_Project_08.xlsx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IF('[8]بيانات العقد'!$C$5="","",'[8]بيانات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IF('[8]بيانات العقد'!$C$6="","",'[8]بيانات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IF('[8]بيانات العقد'!$C$7="","",'[8]بيانات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IF('[8]بيانات العقد'!$C$8="","",'[8]بيانات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N('[8]بيانات العقد'!$C$16)</f>
        <v/>
      </c>
    </row>
    <row r="6" ht="22" customHeight="1">
      <c r="B6" s="11" t="inlineStr">
        <is>
          <t>المقاول</t>
        </is>
      </c>
      <c r="C6" s="14">
        <f>IF('[8]بيانات العقد'!$C$9="","",'[8]بيانات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IF('[8]بيانات العقد'!$C$11="","",'[8]بيانات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IF('[8]بيانات العقد'!$C$13="","",'[8]بيانات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IF('[8]بيانات العقد'!$C$14="","",'[8]بيانات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N('[8]بيانات العقد'!$C$17)</f>
        <v/>
      </c>
    </row>
    <row r="7">
      <c r="AA7" s="15" t="inlineStr">
        <is>
          <t>قيمة العقد المعدلة</t>
        </is>
      </c>
      <c r="AB7" s="16">
        <f>N('[8]بيانات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N('[8]بيانات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N('[8]بيانات العقد'!$C$21)</f>
        <v/>
      </c>
    </row>
    <row r="10">
      <c r="AA10" s="15" t="inlineStr">
        <is>
          <t>نسبة ضمان الأعمال</t>
        </is>
      </c>
      <c r="AB10" s="23">
        <f>N('[8]بيانات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N('[8]بيانات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N('[8]بيانات العقد'!$C$31)</f>
        <v/>
      </c>
    </row>
    <row r="13">
      <c r="AA13" s="15" t="inlineStr">
        <is>
          <t>ضريبة الاستقطاع (غير المقيم)</t>
        </is>
      </c>
      <c r="AB13" s="23">
        <f>N('[8]بيانات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IF('[8]بيانات العقد'!$C$11="","",'[8]بيانات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IF('[8]بيانات العقد'!$C$13="","",'[8]بيانات العقد'!$C$13)</f>
        <v/>
      </c>
    </row>
    <row r="16">
      <c r="AA16" s="15" t="inlineStr">
        <is>
          <t>المدة (شهر)</t>
        </is>
      </c>
      <c r="AB16" s="43">
        <f>IF('[8]بيانات العقد'!$C$12="","",'[8]بيانات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IF('[8]بيانات العقد'!$C$36="","",'[8]بيانات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IF('[8]بيانات العقد'!$C$37="","",'[8]بيانات العقد'!$C$37)</f>
        <v/>
      </c>
    </row>
    <row r="19">
      <c r="AA19" s="15" t="inlineStr">
        <is>
          <t>الرقم الضريبي لصاحب العمل</t>
        </is>
      </c>
      <c r="AB19" s="48">
        <f>IF('[8]بيانات العقد'!$C$39="","",'[8]بيانات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IF('[8]بيانات العقد'!$C$42="","",'[8]بيانات العقد'!$C$42)</f>
        <v/>
      </c>
    </row>
    <row r="21" ht="32" customHeight="1">
      <c r="B21" s="50">
        <f>N('[8]الموازنة والتكاليف'!$D$66)</f>
        <v/>
      </c>
      <c r="C21" s="50" t="n"/>
      <c r="D21" s="50" t="n"/>
      <c r="E21" s="50" t="n"/>
      <c r="F21" s="50">
        <f>N('[8]الموازنة والتكاليف'!$D$70)</f>
        <v/>
      </c>
      <c r="G21" s="50" t="n"/>
      <c r="H21" s="50" t="n"/>
      <c r="I21" s="50" t="n"/>
      <c r="J21" s="50">
        <f>N('[8]الموازنة والتكاليف'!$D$72)</f>
        <v/>
      </c>
      <c r="K21" s="50" t="n"/>
      <c r="L21" s="50" t="n"/>
      <c r="M21" s="50" t="n"/>
      <c r="N21" s="51">
        <f>N('[8]الموازنة والتكاليف'!$D$73)</f>
        <v/>
      </c>
      <c r="O21" s="51" t="n"/>
      <c r="P21" s="51" t="n"/>
      <c r="Q21" s="51" t="n"/>
      <c r="R21" s="52">
        <f>N('[8]الموازنة والتكاليف'!$D$74)</f>
        <v/>
      </c>
      <c r="S21" s="52" t="n"/>
      <c r="T21" s="52" t="n"/>
      <c r="U21" s="52" t="n"/>
      <c r="V21" s="50">
        <f>N('[8]الموازنة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IF('[8]بيانات العقد'!$C$43="","",'[8]بيانات العقد'!$C$43)</f>
        <v/>
      </c>
    </row>
    <row r="22">
      <c r="AA22" s="15" t="inlineStr">
        <is>
          <t>حالة غرامات التأخير</t>
        </is>
      </c>
      <c r="AB22" s="45">
        <f>IF('[8]بيانات العقد'!$C$47="","",'[8]بيانات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IF('[8]سجل المستخلصات'!$C$6="","",'[8]سجل المستخلصات'!$C$6)</f>
        <v/>
      </c>
      <c r="D25" s="57">
        <f>IF('[8]سجل المستخلصات'!$E$6="","",'[8]سجل المستخلصات'!$E$6)</f>
        <v/>
      </c>
      <c r="E25" s="58">
        <f>IF('[8]سجل المستخلصات'!$F$6="","",'[8]سجل المستخلصات'!$F$6)</f>
        <v/>
      </c>
      <c r="F25" s="59">
        <f>IF('[8]سجل المستخلصات'!$H$6="","",'[8]سجل المستخلصات'!$H$6)</f>
        <v/>
      </c>
      <c r="G25" s="59">
        <f>IF('[8]سجل المستخلصات'!$G$6="","",'[8]سجل المستخلصات'!$G$6)</f>
        <v/>
      </c>
      <c r="H25" s="59">
        <f>IF('[8]سجل المستخلصات'!$I$6="","",'[8]سجل المستخلصات'!$I$6)</f>
        <v/>
      </c>
      <c r="I25" s="59">
        <f>IF('[8]سجل المستخلصات'!$J$6="","",'[8]سجل المستخلصات'!$J$6)</f>
        <v/>
      </c>
      <c r="J25" s="59">
        <f>IF('[8]سجل المستخلصات'!$K$6="","",'[8]سجل المستخلصات'!$K$6)</f>
        <v/>
      </c>
      <c r="K25" s="60">
        <f>IF('[8]سجل المستخلصات'!$L$6="","",'[8]سجل المستخلصات'!$L$6)</f>
        <v/>
      </c>
      <c r="L25" s="60">
        <f>IF('[8]سجل المستخلصات'!$M$6="","",'[8]سجل المستخلصات'!$M$6)</f>
        <v/>
      </c>
      <c r="M25" s="60">
        <f>IF('[8]سجل المستخلصات'!$N$6="","",'[8]سجل المستخلصات'!$N$6)</f>
        <v/>
      </c>
      <c r="N25" s="59">
        <f>IF('[8]سجل المستخلصات'!$O$6="","",'[8]سجل المستخلصات'!$O$6)</f>
        <v/>
      </c>
      <c r="O25" s="59">
        <f>IF('[8]سجل المستخلصات'!$R$6="","",'[8]سجل المستخلصات'!$R$6)</f>
        <v/>
      </c>
      <c r="P25" s="59">
        <f>IF('[8]سجل المستخلصات'!$S$6="","",'[8]سجل المستخلصات'!$S$6)</f>
        <v/>
      </c>
      <c r="Q25" s="59">
        <f>IF('[8]سجل المستخلصات'!$T$6="","",'[8]سجل المستخلصات'!$T$6)</f>
        <v/>
      </c>
      <c r="R25" s="59">
        <f>IF('[8]سجل المستخلصات'!$V$6="","",'[8]سجل المستخلصات'!$V$6)</f>
        <v/>
      </c>
      <c r="S25" s="59">
        <f>IF('[8]سجل المستخلصات'!$W$6="","",'[8]سجل المستخلصات'!$W$6)</f>
        <v/>
      </c>
      <c r="T25" s="61">
        <f>IF('[8]سجل المستخلصات'!$X$6="","",'[8]سجل المستخلصات'!$X$6)</f>
        <v/>
      </c>
      <c r="U25" s="61">
        <f>IF('[8]سجل المستخلصات'!$Z$6="","",'[8]سجل المستخلصات'!$Z$6)</f>
        <v/>
      </c>
      <c r="V25" s="59">
        <f>IF('[8]سجل المستخلصات'!$AA$6="","",'[8]سجل المستخلصات'!$AA$6)</f>
        <v/>
      </c>
      <c r="W25" s="59">
        <f>IF('[8]سجل المستخلصات'!$AC$6="","",'[8]سجل المستخلصات'!$AC$6)</f>
        <v/>
      </c>
      <c r="X25" s="62">
        <f>IF('[8]سجل المستخلصات'!$AD$6="","",'[8]سجل المستخلصات'!$AD$6)</f>
        <v/>
      </c>
      <c r="Y25" s="58">
        <f>IF('[8]سجل المستخلصات'!$AE$6="","",'[8]سجل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IF('[8]سجل المستخلصات'!$C$7="","",'[8]سجل المستخلصات'!$C$7)</f>
        <v/>
      </c>
      <c r="D26" s="57">
        <f>IF('[8]سجل المستخلصات'!$E$7="","",'[8]سجل المستخلصات'!$E$7)</f>
        <v/>
      </c>
      <c r="E26" s="58">
        <f>IF('[8]سجل المستخلصات'!$F$7="","",'[8]سجل المستخلصات'!$F$7)</f>
        <v/>
      </c>
      <c r="F26" s="59">
        <f>IF('[8]سجل المستخلصات'!$H$7="","",'[8]سجل المستخلصات'!$H$7)</f>
        <v/>
      </c>
      <c r="G26" s="59">
        <f>IF('[8]سجل المستخلصات'!$G$7="","",'[8]سجل المستخلصات'!$G$7)</f>
        <v/>
      </c>
      <c r="H26" s="59">
        <f>IF('[8]سجل المستخلصات'!$I$7="","",'[8]سجل المستخلصات'!$I$7)</f>
        <v/>
      </c>
      <c r="I26" s="59">
        <f>IF('[8]سجل المستخلصات'!$J$7="","",'[8]سجل المستخلصات'!$J$7)</f>
        <v/>
      </c>
      <c r="J26" s="59">
        <f>IF('[8]سجل المستخلصات'!$K$7="","",'[8]سجل المستخلصات'!$K$7)</f>
        <v/>
      </c>
      <c r="K26" s="60">
        <f>IF('[8]سجل المستخلصات'!$L$7="","",'[8]سجل المستخلصات'!$L$7)</f>
        <v/>
      </c>
      <c r="L26" s="60">
        <f>IF('[8]سجل المستخلصات'!$M$7="","",'[8]سجل المستخلصات'!$M$7)</f>
        <v/>
      </c>
      <c r="M26" s="60">
        <f>IF('[8]سجل المستخلصات'!$N$7="","",'[8]سجل المستخلصات'!$N$7)</f>
        <v/>
      </c>
      <c r="N26" s="59">
        <f>IF('[8]سجل المستخلصات'!$O$7="","",'[8]سجل المستخلصات'!$O$7)</f>
        <v/>
      </c>
      <c r="O26" s="59">
        <f>IF('[8]سجل المستخلصات'!$R$7="","",'[8]سجل المستخلصات'!$R$7)</f>
        <v/>
      </c>
      <c r="P26" s="59">
        <f>IF('[8]سجل المستخلصات'!$S$7="","",'[8]سجل المستخلصات'!$S$7)</f>
        <v/>
      </c>
      <c r="Q26" s="59">
        <f>IF('[8]سجل المستخلصات'!$T$7="","",'[8]سجل المستخلصات'!$T$7)</f>
        <v/>
      </c>
      <c r="R26" s="59">
        <f>IF('[8]سجل المستخلصات'!$V$7="","",'[8]سجل المستخلصات'!$V$7)</f>
        <v/>
      </c>
      <c r="S26" s="59">
        <f>IF('[8]سجل المستخلصات'!$W$7="","",'[8]سجل المستخلصات'!$W$7)</f>
        <v/>
      </c>
      <c r="T26" s="61">
        <f>IF('[8]سجل المستخلصات'!$X$7="","",'[8]سجل المستخلصات'!$X$7)</f>
        <v/>
      </c>
      <c r="U26" s="61">
        <f>IF('[8]سجل المستخلصات'!$Z$7="","",'[8]سجل المستخلصات'!$Z$7)</f>
        <v/>
      </c>
      <c r="V26" s="59">
        <f>IF('[8]سجل المستخلصات'!$AA$7="","",'[8]سجل المستخلصات'!$AA$7)</f>
        <v/>
      </c>
      <c r="W26" s="59">
        <f>IF('[8]سجل المستخلصات'!$AC$7="","",'[8]سجل المستخلصات'!$AC$7)</f>
        <v/>
      </c>
      <c r="X26" s="62">
        <f>IF('[8]سجل المستخلصات'!$AD$7="","",'[8]سجل المستخلصات'!$AD$7)</f>
        <v/>
      </c>
      <c r="Y26" s="58">
        <f>IF('[8]سجل المستخلصات'!$AE$7="","",'[8]سجل المستخلصات'!$AE$7)</f>
        <v/>
      </c>
      <c r="AA26" s="63" t="n"/>
      <c r="AB26" s="63" t="n"/>
    </row>
    <row r="27">
      <c r="B27" s="56" t="n">
        <v>3</v>
      </c>
      <c r="C27" s="57">
        <f>IF('[8]سجل المستخلصات'!$C$8="","",'[8]سجل المستخلصات'!$C$8)</f>
        <v/>
      </c>
      <c r="D27" s="57">
        <f>IF('[8]سجل المستخلصات'!$E$8="","",'[8]سجل المستخلصات'!$E$8)</f>
        <v/>
      </c>
      <c r="E27" s="58">
        <f>IF('[8]سجل المستخلصات'!$F$8="","",'[8]سجل المستخلصات'!$F$8)</f>
        <v/>
      </c>
      <c r="F27" s="59">
        <f>IF('[8]سجل المستخلصات'!$H$8="","",'[8]سجل المستخلصات'!$H$8)</f>
        <v/>
      </c>
      <c r="G27" s="59">
        <f>IF('[8]سجل المستخلصات'!$G$8="","",'[8]سجل المستخلصات'!$G$8)</f>
        <v/>
      </c>
      <c r="H27" s="59">
        <f>IF('[8]سجل المستخلصات'!$I$8="","",'[8]سجل المستخلصات'!$I$8)</f>
        <v/>
      </c>
      <c r="I27" s="59">
        <f>IF('[8]سجل المستخلصات'!$J$8="","",'[8]سجل المستخلصات'!$J$8)</f>
        <v/>
      </c>
      <c r="J27" s="59">
        <f>IF('[8]سجل المستخلصات'!$K$8="","",'[8]سجل المستخلصات'!$K$8)</f>
        <v/>
      </c>
      <c r="K27" s="60">
        <f>IF('[8]سجل المستخلصات'!$L$8="","",'[8]سجل المستخلصات'!$L$8)</f>
        <v/>
      </c>
      <c r="L27" s="60">
        <f>IF('[8]سجل المستخلصات'!$M$8="","",'[8]سجل المستخلصات'!$M$8)</f>
        <v/>
      </c>
      <c r="M27" s="60">
        <f>IF('[8]سجل المستخلصات'!$N$8="","",'[8]سجل المستخلصات'!$N$8)</f>
        <v/>
      </c>
      <c r="N27" s="59">
        <f>IF('[8]سجل المستخلصات'!$O$8="","",'[8]سجل المستخلصات'!$O$8)</f>
        <v/>
      </c>
      <c r="O27" s="59">
        <f>IF('[8]سجل المستخلصات'!$R$8="","",'[8]سجل المستخلصات'!$R$8)</f>
        <v/>
      </c>
      <c r="P27" s="59">
        <f>IF('[8]سجل المستخلصات'!$S$8="","",'[8]سجل المستخلصات'!$S$8)</f>
        <v/>
      </c>
      <c r="Q27" s="59">
        <f>IF('[8]سجل المستخلصات'!$T$8="","",'[8]سجل المستخلصات'!$T$8)</f>
        <v/>
      </c>
      <c r="R27" s="59">
        <f>IF('[8]سجل المستخلصات'!$V$8="","",'[8]سجل المستخلصات'!$V$8)</f>
        <v/>
      </c>
      <c r="S27" s="59">
        <f>IF('[8]سجل المستخلصات'!$W$8="","",'[8]سجل المستخلصات'!$W$8)</f>
        <v/>
      </c>
      <c r="T27" s="61">
        <f>IF('[8]سجل المستخلصات'!$X$8="","",'[8]سجل المستخلصات'!$X$8)</f>
        <v/>
      </c>
      <c r="U27" s="61">
        <f>IF('[8]سجل المستخلصات'!$Z$8="","",'[8]سجل المستخلصات'!$Z$8)</f>
        <v/>
      </c>
      <c r="V27" s="59">
        <f>IF('[8]سجل المستخلصات'!$AA$8="","",'[8]سجل المستخلصات'!$AA$8)</f>
        <v/>
      </c>
      <c r="W27" s="59">
        <f>IF('[8]سجل المستخلصات'!$AC$8="","",'[8]سجل المستخلصات'!$AC$8)</f>
        <v/>
      </c>
      <c r="X27" s="62">
        <f>IF('[8]سجل المستخلصات'!$AD$8="","",'[8]سجل المستخلصات'!$AD$8)</f>
        <v/>
      </c>
      <c r="Y27" s="58">
        <f>IF('[8]سجل المستخلصات'!$AE$8="","",'[8]سجل المستخلصات'!$AE$8)</f>
        <v/>
      </c>
      <c r="AA27" s="63" t="n"/>
      <c r="AB27" s="63" t="n"/>
    </row>
    <row r="28">
      <c r="B28" s="56" t="n">
        <v>4</v>
      </c>
      <c r="C28" s="57">
        <f>IF('[8]سجل المستخلصات'!$C$9="","",'[8]سجل المستخلصات'!$C$9)</f>
        <v/>
      </c>
      <c r="D28" s="57">
        <f>IF('[8]سجل المستخلصات'!$E$9="","",'[8]سجل المستخلصات'!$E$9)</f>
        <v/>
      </c>
      <c r="E28" s="58">
        <f>IF('[8]سجل المستخلصات'!$F$9="","",'[8]سجل المستخلصات'!$F$9)</f>
        <v/>
      </c>
      <c r="F28" s="59">
        <f>IF('[8]سجل المستخلصات'!$H$9="","",'[8]سجل المستخلصات'!$H$9)</f>
        <v/>
      </c>
      <c r="G28" s="59">
        <f>IF('[8]سجل المستخلصات'!$G$9="","",'[8]سجل المستخلصات'!$G$9)</f>
        <v/>
      </c>
      <c r="H28" s="59">
        <f>IF('[8]سجل المستخلصات'!$I$9="","",'[8]سجل المستخلصات'!$I$9)</f>
        <v/>
      </c>
      <c r="I28" s="59">
        <f>IF('[8]سجل المستخلصات'!$J$9="","",'[8]سجل المستخلصات'!$J$9)</f>
        <v/>
      </c>
      <c r="J28" s="59">
        <f>IF('[8]سجل المستخلصات'!$K$9="","",'[8]سجل المستخلصات'!$K$9)</f>
        <v/>
      </c>
      <c r="K28" s="60">
        <f>IF('[8]سجل المستخلصات'!$L$9="","",'[8]سجل المستخلصات'!$L$9)</f>
        <v/>
      </c>
      <c r="L28" s="60">
        <f>IF('[8]سجل المستخلصات'!$M$9="","",'[8]سجل المستخلصات'!$M$9)</f>
        <v/>
      </c>
      <c r="M28" s="60">
        <f>IF('[8]سجل المستخلصات'!$N$9="","",'[8]سجل المستخلصات'!$N$9)</f>
        <v/>
      </c>
      <c r="N28" s="59">
        <f>IF('[8]سجل المستخلصات'!$O$9="","",'[8]سجل المستخلصات'!$O$9)</f>
        <v/>
      </c>
      <c r="O28" s="59">
        <f>IF('[8]سجل المستخلصات'!$R$9="","",'[8]سجل المستخلصات'!$R$9)</f>
        <v/>
      </c>
      <c r="P28" s="59">
        <f>IF('[8]سجل المستخلصات'!$S$9="","",'[8]سجل المستخلصات'!$S$9)</f>
        <v/>
      </c>
      <c r="Q28" s="59">
        <f>IF('[8]سجل المستخلصات'!$T$9="","",'[8]سجل المستخلصات'!$T$9)</f>
        <v/>
      </c>
      <c r="R28" s="59">
        <f>IF('[8]سجل المستخلصات'!$V$9="","",'[8]سجل المستخلصات'!$V$9)</f>
        <v/>
      </c>
      <c r="S28" s="59">
        <f>IF('[8]سجل المستخلصات'!$W$9="","",'[8]سجل المستخلصات'!$W$9)</f>
        <v/>
      </c>
      <c r="T28" s="61">
        <f>IF('[8]سجل المستخلصات'!$X$9="","",'[8]سجل المستخلصات'!$X$9)</f>
        <v/>
      </c>
      <c r="U28" s="61">
        <f>IF('[8]سجل المستخلصات'!$Z$9="","",'[8]سجل المستخلصات'!$Z$9)</f>
        <v/>
      </c>
      <c r="V28" s="59">
        <f>IF('[8]سجل المستخلصات'!$AA$9="","",'[8]سجل المستخلصات'!$AA$9)</f>
        <v/>
      </c>
      <c r="W28" s="59">
        <f>IF('[8]سجل المستخلصات'!$AC$9="","",'[8]سجل المستخلصات'!$AC$9)</f>
        <v/>
      </c>
      <c r="X28" s="62">
        <f>IF('[8]سجل المستخلصات'!$AD$9="","",'[8]سجل المستخلصات'!$AD$9)</f>
        <v/>
      </c>
      <c r="Y28" s="58">
        <f>IF('[8]سجل المستخلصات'!$AE$9="","",'[8]سجل المستخلصات'!$AE$9)</f>
        <v/>
      </c>
      <c r="AA28" s="63" t="n"/>
      <c r="AB28" s="63" t="n"/>
    </row>
    <row r="29">
      <c r="B29" s="56" t="n">
        <v>5</v>
      </c>
      <c r="C29" s="57">
        <f>IF('[8]سجل المستخلصات'!$C$10="","",'[8]سجل المستخلصات'!$C$10)</f>
        <v/>
      </c>
      <c r="D29" s="57">
        <f>IF('[8]سجل المستخلصات'!$E$10="","",'[8]سجل المستخلصات'!$E$10)</f>
        <v/>
      </c>
      <c r="E29" s="58">
        <f>IF('[8]سجل المستخلصات'!$F$10="","",'[8]سجل المستخلصات'!$F$10)</f>
        <v/>
      </c>
      <c r="F29" s="59">
        <f>IF('[8]سجل المستخلصات'!$H$10="","",'[8]سجل المستخلصات'!$H$10)</f>
        <v/>
      </c>
      <c r="G29" s="59">
        <f>IF('[8]سجل المستخلصات'!$G$10="","",'[8]سجل المستخلصات'!$G$10)</f>
        <v/>
      </c>
      <c r="H29" s="59">
        <f>IF('[8]سجل المستخلصات'!$I$10="","",'[8]سجل المستخلصات'!$I$10)</f>
        <v/>
      </c>
      <c r="I29" s="59">
        <f>IF('[8]سجل المستخلصات'!$J$10="","",'[8]سجل المستخلصات'!$J$10)</f>
        <v/>
      </c>
      <c r="J29" s="59">
        <f>IF('[8]سجل المستخلصات'!$K$10="","",'[8]سجل المستخلصات'!$K$10)</f>
        <v/>
      </c>
      <c r="K29" s="60">
        <f>IF('[8]سجل المستخلصات'!$L$10="","",'[8]سجل المستخلصات'!$L$10)</f>
        <v/>
      </c>
      <c r="L29" s="60">
        <f>IF('[8]سجل المستخلصات'!$M$10="","",'[8]سجل المستخلصات'!$M$10)</f>
        <v/>
      </c>
      <c r="M29" s="60">
        <f>IF('[8]سجل المستخلصات'!$N$10="","",'[8]سجل المستخلصات'!$N$10)</f>
        <v/>
      </c>
      <c r="N29" s="59">
        <f>IF('[8]سجل المستخلصات'!$O$10="","",'[8]سجل المستخلصات'!$O$10)</f>
        <v/>
      </c>
      <c r="O29" s="59">
        <f>IF('[8]سجل المستخلصات'!$R$10="","",'[8]سجل المستخلصات'!$R$10)</f>
        <v/>
      </c>
      <c r="P29" s="59">
        <f>IF('[8]سجل المستخلصات'!$S$10="","",'[8]سجل المستخلصات'!$S$10)</f>
        <v/>
      </c>
      <c r="Q29" s="59">
        <f>IF('[8]سجل المستخلصات'!$T$10="","",'[8]سجل المستخلصات'!$T$10)</f>
        <v/>
      </c>
      <c r="R29" s="59">
        <f>IF('[8]سجل المستخلصات'!$V$10="","",'[8]سجل المستخلصات'!$V$10)</f>
        <v/>
      </c>
      <c r="S29" s="59">
        <f>IF('[8]سجل المستخلصات'!$W$10="","",'[8]سجل المستخلصات'!$W$10)</f>
        <v/>
      </c>
      <c r="T29" s="61">
        <f>IF('[8]سجل المستخلصات'!$X$10="","",'[8]سجل المستخلصات'!$X$10)</f>
        <v/>
      </c>
      <c r="U29" s="61">
        <f>IF('[8]سجل المستخلصات'!$Z$10="","",'[8]سجل المستخلصات'!$Z$10)</f>
        <v/>
      </c>
      <c r="V29" s="59">
        <f>IF('[8]سجل المستخلصات'!$AA$10="","",'[8]سجل المستخلصات'!$AA$10)</f>
        <v/>
      </c>
      <c r="W29" s="59">
        <f>IF('[8]سجل المستخلصات'!$AC$10="","",'[8]سجل المستخلصات'!$AC$10)</f>
        <v/>
      </c>
      <c r="X29" s="62">
        <f>IF('[8]سجل المستخلصات'!$AD$10="","",'[8]سجل المستخلصات'!$AD$10)</f>
        <v/>
      </c>
      <c r="Y29" s="58">
        <f>IF('[8]سجل المستخلصات'!$AE$10="","",'[8]سجل المستخلصات'!$AE$10)</f>
        <v/>
      </c>
    </row>
    <row r="30">
      <c r="B30" s="56" t="n">
        <v>6</v>
      </c>
      <c r="C30" s="57">
        <f>IF('[8]سجل المستخلصات'!$C$11="","",'[8]سجل المستخلصات'!$C$11)</f>
        <v/>
      </c>
      <c r="D30" s="57">
        <f>IF('[8]سجل المستخلصات'!$E$11="","",'[8]سجل المستخلصات'!$E$11)</f>
        <v/>
      </c>
      <c r="E30" s="58">
        <f>IF('[8]سجل المستخلصات'!$F$11="","",'[8]سجل المستخلصات'!$F$11)</f>
        <v/>
      </c>
      <c r="F30" s="59">
        <f>IF('[8]سجل المستخلصات'!$H$11="","",'[8]سجل المستخلصات'!$H$11)</f>
        <v/>
      </c>
      <c r="G30" s="59">
        <f>IF('[8]سجل المستخلصات'!$G$11="","",'[8]سجل المستخلصات'!$G$11)</f>
        <v/>
      </c>
      <c r="H30" s="59">
        <f>IF('[8]سجل المستخلصات'!$I$11="","",'[8]سجل المستخلصات'!$I$11)</f>
        <v/>
      </c>
      <c r="I30" s="59">
        <f>IF('[8]سجل المستخلصات'!$J$11="","",'[8]سجل المستخلصات'!$J$11)</f>
        <v/>
      </c>
      <c r="J30" s="59">
        <f>IF('[8]سجل المستخلصات'!$K$11="","",'[8]سجل المستخلصات'!$K$11)</f>
        <v/>
      </c>
      <c r="K30" s="60">
        <f>IF('[8]سجل المستخلصات'!$L$11="","",'[8]سجل المستخلصات'!$L$11)</f>
        <v/>
      </c>
      <c r="L30" s="60">
        <f>IF('[8]سجل المستخلصات'!$M$11="","",'[8]سجل المستخلصات'!$M$11)</f>
        <v/>
      </c>
      <c r="M30" s="60">
        <f>IF('[8]سجل المستخلصات'!$N$11="","",'[8]سجل المستخلصات'!$N$11)</f>
        <v/>
      </c>
      <c r="N30" s="59">
        <f>IF('[8]سجل المستخلصات'!$O$11="","",'[8]سجل المستخلصات'!$O$11)</f>
        <v/>
      </c>
      <c r="O30" s="59">
        <f>IF('[8]سجل المستخلصات'!$R$11="","",'[8]سجل المستخلصات'!$R$11)</f>
        <v/>
      </c>
      <c r="P30" s="59">
        <f>IF('[8]سجل المستخلصات'!$S$11="","",'[8]سجل المستخلصات'!$S$11)</f>
        <v/>
      </c>
      <c r="Q30" s="59">
        <f>IF('[8]سجل المستخلصات'!$T$11="","",'[8]سجل المستخلصات'!$T$11)</f>
        <v/>
      </c>
      <c r="R30" s="59">
        <f>IF('[8]سجل المستخلصات'!$V$11="","",'[8]سجل المستخلصات'!$V$11)</f>
        <v/>
      </c>
      <c r="S30" s="59">
        <f>IF('[8]سجل المستخلصات'!$W$11="","",'[8]سجل المستخلصات'!$W$11)</f>
        <v/>
      </c>
      <c r="T30" s="61">
        <f>IF('[8]سجل المستخلصات'!$X$11="","",'[8]سجل المستخلصات'!$X$11)</f>
        <v/>
      </c>
      <c r="U30" s="61">
        <f>IF('[8]سجل المستخلصات'!$Z$11="","",'[8]سجل المستخلصات'!$Z$11)</f>
        <v/>
      </c>
      <c r="V30" s="59">
        <f>IF('[8]سجل المستخلصات'!$AA$11="","",'[8]سجل المستخلصات'!$AA$11)</f>
        <v/>
      </c>
      <c r="W30" s="59">
        <f>IF('[8]سجل المستخلصات'!$AC$11="","",'[8]سجل المستخلصات'!$AC$11)</f>
        <v/>
      </c>
      <c r="X30" s="62">
        <f>IF('[8]سجل المستخلصات'!$AD$11="","",'[8]سجل المستخلصات'!$AD$11)</f>
        <v/>
      </c>
      <c r="Y30" s="58">
        <f>IF('[8]سجل المستخلصات'!$AE$11="","",'[8]سجل المستخلصات'!$AE$11)</f>
        <v/>
      </c>
    </row>
    <row r="31">
      <c r="B31" s="56" t="n">
        <v>7</v>
      </c>
      <c r="C31" s="57">
        <f>IF('[8]سجل المستخلصات'!$C$12="","",'[8]سجل المستخلصات'!$C$12)</f>
        <v/>
      </c>
      <c r="D31" s="57">
        <f>IF('[8]سجل المستخلصات'!$E$12="","",'[8]سجل المستخلصات'!$E$12)</f>
        <v/>
      </c>
      <c r="E31" s="58">
        <f>IF('[8]سجل المستخلصات'!$F$12="","",'[8]سجل المستخلصات'!$F$12)</f>
        <v/>
      </c>
      <c r="F31" s="59">
        <f>IF('[8]سجل المستخلصات'!$H$12="","",'[8]سجل المستخلصات'!$H$12)</f>
        <v/>
      </c>
      <c r="G31" s="59">
        <f>IF('[8]سجل المستخلصات'!$G$12="","",'[8]سجل المستخلصات'!$G$12)</f>
        <v/>
      </c>
      <c r="H31" s="59">
        <f>IF('[8]سجل المستخلصات'!$I$12="","",'[8]سجل المستخلصات'!$I$12)</f>
        <v/>
      </c>
      <c r="I31" s="59">
        <f>IF('[8]سجل المستخلصات'!$J$12="","",'[8]سجل المستخلصات'!$J$12)</f>
        <v/>
      </c>
      <c r="J31" s="59">
        <f>IF('[8]سجل المستخلصات'!$K$12="","",'[8]سجل المستخلصات'!$K$12)</f>
        <v/>
      </c>
      <c r="K31" s="60">
        <f>IF('[8]سجل المستخلصات'!$L$12="","",'[8]سجل المستخلصات'!$L$12)</f>
        <v/>
      </c>
      <c r="L31" s="60">
        <f>IF('[8]سجل المستخلصات'!$M$12="","",'[8]سجل المستخلصات'!$M$12)</f>
        <v/>
      </c>
      <c r="M31" s="60">
        <f>IF('[8]سجل المستخلصات'!$N$12="","",'[8]سجل المستخلصات'!$N$12)</f>
        <v/>
      </c>
      <c r="N31" s="59">
        <f>IF('[8]سجل المستخلصات'!$O$12="","",'[8]سجل المستخلصات'!$O$12)</f>
        <v/>
      </c>
      <c r="O31" s="59">
        <f>IF('[8]سجل المستخلصات'!$R$12="","",'[8]سجل المستخلصات'!$R$12)</f>
        <v/>
      </c>
      <c r="P31" s="59">
        <f>IF('[8]سجل المستخلصات'!$S$12="","",'[8]سجل المستخلصات'!$S$12)</f>
        <v/>
      </c>
      <c r="Q31" s="59">
        <f>IF('[8]سجل المستخلصات'!$T$12="","",'[8]سجل المستخلصات'!$T$12)</f>
        <v/>
      </c>
      <c r="R31" s="59">
        <f>IF('[8]سجل المستخلصات'!$V$12="","",'[8]سجل المستخلصات'!$V$12)</f>
        <v/>
      </c>
      <c r="S31" s="59">
        <f>IF('[8]سجل المستخلصات'!$W$12="","",'[8]سجل المستخلصات'!$W$12)</f>
        <v/>
      </c>
      <c r="T31" s="61">
        <f>IF('[8]سجل المستخلصات'!$X$12="","",'[8]سجل المستخلصات'!$X$12)</f>
        <v/>
      </c>
      <c r="U31" s="61">
        <f>IF('[8]سجل المستخلصات'!$Z$12="","",'[8]سجل المستخلصات'!$Z$12)</f>
        <v/>
      </c>
      <c r="V31" s="59">
        <f>IF('[8]سجل المستخلصات'!$AA$12="","",'[8]سجل المستخلصات'!$AA$12)</f>
        <v/>
      </c>
      <c r="W31" s="59">
        <f>IF('[8]سجل المستخلصات'!$AC$12="","",'[8]سجل المستخلصات'!$AC$12)</f>
        <v/>
      </c>
      <c r="X31" s="62">
        <f>IF('[8]سجل المستخلصات'!$AD$12="","",'[8]سجل المستخلصات'!$AD$12)</f>
        <v/>
      </c>
      <c r="Y31" s="58">
        <f>IF('[8]سجل المستخلصات'!$AE$12="","",'[8]سجل المستخلصات'!$AE$12)</f>
        <v/>
      </c>
    </row>
    <row r="32">
      <c r="B32" s="56" t="n">
        <v>8</v>
      </c>
      <c r="C32" s="57">
        <f>IF('[8]سجل المستخلصات'!$C$13="","",'[8]سجل المستخلصات'!$C$13)</f>
        <v/>
      </c>
      <c r="D32" s="57">
        <f>IF('[8]سجل المستخلصات'!$E$13="","",'[8]سجل المستخلصات'!$E$13)</f>
        <v/>
      </c>
      <c r="E32" s="58">
        <f>IF('[8]سجل المستخلصات'!$F$13="","",'[8]سجل المستخلصات'!$F$13)</f>
        <v/>
      </c>
      <c r="F32" s="59">
        <f>IF('[8]سجل المستخلصات'!$H$13="","",'[8]سجل المستخلصات'!$H$13)</f>
        <v/>
      </c>
      <c r="G32" s="59">
        <f>IF('[8]سجل المستخلصات'!$G$13="","",'[8]سجل المستخلصات'!$G$13)</f>
        <v/>
      </c>
      <c r="H32" s="59">
        <f>IF('[8]سجل المستخلصات'!$I$13="","",'[8]سجل المستخلصات'!$I$13)</f>
        <v/>
      </c>
      <c r="I32" s="59">
        <f>IF('[8]سجل المستخلصات'!$J$13="","",'[8]سجل المستخلصات'!$J$13)</f>
        <v/>
      </c>
      <c r="J32" s="59">
        <f>IF('[8]سجل المستخلصات'!$K$13="","",'[8]سجل المستخلصات'!$K$13)</f>
        <v/>
      </c>
      <c r="K32" s="60">
        <f>IF('[8]سجل المستخلصات'!$L$13="","",'[8]سجل المستخلصات'!$L$13)</f>
        <v/>
      </c>
      <c r="L32" s="60">
        <f>IF('[8]سجل المستخلصات'!$M$13="","",'[8]سجل المستخلصات'!$M$13)</f>
        <v/>
      </c>
      <c r="M32" s="60">
        <f>IF('[8]سجل المستخلصات'!$N$13="","",'[8]سجل المستخلصات'!$N$13)</f>
        <v/>
      </c>
      <c r="N32" s="59">
        <f>IF('[8]سجل المستخلصات'!$O$13="","",'[8]سجل المستخلصات'!$O$13)</f>
        <v/>
      </c>
      <c r="O32" s="59">
        <f>IF('[8]سجل المستخلصات'!$R$13="","",'[8]سجل المستخلصات'!$R$13)</f>
        <v/>
      </c>
      <c r="P32" s="59">
        <f>IF('[8]سجل المستخلصات'!$S$13="","",'[8]سجل المستخلصات'!$S$13)</f>
        <v/>
      </c>
      <c r="Q32" s="59">
        <f>IF('[8]سجل المستخلصات'!$T$13="","",'[8]سجل المستخلصات'!$T$13)</f>
        <v/>
      </c>
      <c r="R32" s="59">
        <f>IF('[8]سجل المستخلصات'!$V$13="","",'[8]سجل المستخلصات'!$V$13)</f>
        <v/>
      </c>
      <c r="S32" s="59">
        <f>IF('[8]سجل المستخلصات'!$W$13="","",'[8]سجل المستخلصات'!$W$13)</f>
        <v/>
      </c>
      <c r="T32" s="61">
        <f>IF('[8]سجل المستخلصات'!$X$13="","",'[8]سجل المستخلصات'!$X$13)</f>
        <v/>
      </c>
      <c r="U32" s="61">
        <f>IF('[8]سجل المستخلصات'!$Z$13="","",'[8]سجل المستخلصات'!$Z$13)</f>
        <v/>
      </c>
      <c r="V32" s="59">
        <f>IF('[8]سجل المستخلصات'!$AA$13="","",'[8]سجل المستخلصات'!$AA$13)</f>
        <v/>
      </c>
      <c r="W32" s="59">
        <f>IF('[8]سجل المستخلصات'!$AC$13="","",'[8]سجل المستخلصات'!$AC$13)</f>
        <v/>
      </c>
      <c r="X32" s="62">
        <f>IF('[8]سجل المستخلصات'!$AD$13="","",'[8]سجل المستخلصات'!$AD$13)</f>
        <v/>
      </c>
      <c r="Y32" s="58">
        <f>IF('[8]سجل المستخلصات'!$AE$13="","",'[8]سجل المستخلصات'!$AE$13)</f>
        <v/>
      </c>
    </row>
    <row r="33">
      <c r="B33" s="56" t="n">
        <v>9</v>
      </c>
      <c r="C33" s="57">
        <f>IF('[8]سجل المستخلصات'!$C$14="","",'[8]سجل المستخلصات'!$C$14)</f>
        <v/>
      </c>
      <c r="D33" s="57">
        <f>IF('[8]سجل المستخلصات'!$E$14="","",'[8]سجل المستخلصات'!$E$14)</f>
        <v/>
      </c>
      <c r="E33" s="58">
        <f>IF('[8]سجل المستخلصات'!$F$14="","",'[8]سجل المستخلصات'!$F$14)</f>
        <v/>
      </c>
      <c r="F33" s="59">
        <f>IF('[8]سجل المستخلصات'!$H$14="","",'[8]سجل المستخلصات'!$H$14)</f>
        <v/>
      </c>
      <c r="G33" s="59">
        <f>IF('[8]سجل المستخلصات'!$G$14="","",'[8]سجل المستخلصات'!$G$14)</f>
        <v/>
      </c>
      <c r="H33" s="59">
        <f>IF('[8]سجل المستخلصات'!$I$14="","",'[8]سجل المستخلصات'!$I$14)</f>
        <v/>
      </c>
      <c r="I33" s="59">
        <f>IF('[8]سجل المستخلصات'!$J$14="","",'[8]سجل المستخلصات'!$J$14)</f>
        <v/>
      </c>
      <c r="J33" s="59">
        <f>IF('[8]سجل المستخلصات'!$K$14="","",'[8]سجل المستخلصات'!$K$14)</f>
        <v/>
      </c>
      <c r="K33" s="60">
        <f>IF('[8]سجل المستخلصات'!$L$14="","",'[8]سجل المستخلصات'!$L$14)</f>
        <v/>
      </c>
      <c r="L33" s="60">
        <f>IF('[8]سجل المستخلصات'!$M$14="","",'[8]سجل المستخلصات'!$M$14)</f>
        <v/>
      </c>
      <c r="M33" s="60">
        <f>IF('[8]سجل المستخلصات'!$N$14="","",'[8]سجل المستخلصات'!$N$14)</f>
        <v/>
      </c>
      <c r="N33" s="59">
        <f>IF('[8]سجل المستخلصات'!$O$14="","",'[8]سجل المستخلصات'!$O$14)</f>
        <v/>
      </c>
      <c r="O33" s="59">
        <f>IF('[8]سجل المستخلصات'!$R$14="","",'[8]سجل المستخلصات'!$R$14)</f>
        <v/>
      </c>
      <c r="P33" s="59">
        <f>IF('[8]سجل المستخلصات'!$S$14="","",'[8]سجل المستخلصات'!$S$14)</f>
        <v/>
      </c>
      <c r="Q33" s="59">
        <f>IF('[8]سجل المستخلصات'!$T$14="","",'[8]سجل المستخلصات'!$T$14)</f>
        <v/>
      </c>
      <c r="R33" s="59">
        <f>IF('[8]سجل المستخلصات'!$V$14="","",'[8]سجل المستخلصات'!$V$14)</f>
        <v/>
      </c>
      <c r="S33" s="59">
        <f>IF('[8]سجل المستخلصات'!$W$14="","",'[8]سجل المستخلصات'!$W$14)</f>
        <v/>
      </c>
      <c r="T33" s="61">
        <f>IF('[8]سجل المستخلصات'!$X$14="","",'[8]سجل المستخلصات'!$X$14)</f>
        <v/>
      </c>
      <c r="U33" s="61">
        <f>IF('[8]سجل المستخلصات'!$Z$14="","",'[8]سجل المستخلصات'!$Z$14)</f>
        <v/>
      </c>
      <c r="V33" s="59">
        <f>IF('[8]سجل المستخلصات'!$AA$14="","",'[8]سجل المستخلصات'!$AA$14)</f>
        <v/>
      </c>
      <c r="W33" s="59">
        <f>IF('[8]سجل المستخلصات'!$AC$14="","",'[8]سجل المستخلصات'!$AC$14)</f>
        <v/>
      </c>
      <c r="X33" s="62">
        <f>IF('[8]سجل المستخلصات'!$AD$14="","",'[8]سجل المستخلصات'!$AD$14)</f>
        <v/>
      </c>
      <c r="Y33" s="58">
        <f>IF('[8]سجل المستخلصات'!$AE$14="","",'[8]سجل المستخلصات'!$AE$14)</f>
        <v/>
      </c>
    </row>
    <row r="34">
      <c r="B34" s="56" t="n">
        <v>10</v>
      </c>
      <c r="C34" s="57">
        <f>IF('[8]سجل المستخلصات'!$C$15="","",'[8]سجل المستخلصات'!$C$15)</f>
        <v/>
      </c>
      <c r="D34" s="57">
        <f>IF('[8]سجل المستخلصات'!$E$15="","",'[8]سجل المستخلصات'!$E$15)</f>
        <v/>
      </c>
      <c r="E34" s="58">
        <f>IF('[8]سجل المستخلصات'!$F$15="","",'[8]سجل المستخلصات'!$F$15)</f>
        <v/>
      </c>
      <c r="F34" s="59">
        <f>IF('[8]سجل المستخلصات'!$H$15="","",'[8]سجل المستخلصات'!$H$15)</f>
        <v/>
      </c>
      <c r="G34" s="59">
        <f>IF('[8]سجل المستخلصات'!$G$15="","",'[8]سجل المستخلصات'!$G$15)</f>
        <v/>
      </c>
      <c r="H34" s="59">
        <f>IF('[8]سجل المستخلصات'!$I$15="","",'[8]سجل المستخلصات'!$I$15)</f>
        <v/>
      </c>
      <c r="I34" s="59">
        <f>IF('[8]سجل المستخلصات'!$J$15="","",'[8]سجل المستخلصات'!$J$15)</f>
        <v/>
      </c>
      <c r="J34" s="59">
        <f>IF('[8]سجل المستخلصات'!$K$15="","",'[8]سجل المستخلصات'!$K$15)</f>
        <v/>
      </c>
      <c r="K34" s="60">
        <f>IF('[8]سجل المستخلصات'!$L$15="","",'[8]سجل المستخلصات'!$L$15)</f>
        <v/>
      </c>
      <c r="L34" s="60">
        <f>IF('[8]سجل المستخلصات'!$M$15="","",'[8]سجل المستخلصات'!$M$15)</f>
        <v/>
      </c>
      <c r="M34" s="60">
        <f>IF('[8]سجل المستخلصات'!$N$15="","",'[8]سجل المستخلصات'!$N$15)</f>
        <v/>
      </c>
      <c r="N34" s="59">
        <f>IF('[8]سجل المستخلصات'!$O$15="","",'[8]سجل المستخلصات'!$O$15)</f>
        <v/>
      </c>
      <c r="O34" s="59">
        <f>IF('[8]سجل المستخلصات'!$R$15="","",'[8]سجل المستخلصات'!$R$15)</f>
        <v/>
      </c>
      <c r="P34" s="59">
        <f>IF('[8]سجل المستخلصات'!$S$15="","",'[8]سجل المستخلصات'!$S$15)</f>
        <v/>
      </c>
      <c r="Q34" s="59">
        <f>IF('[8]سجل المستخلصات'!$T$15="","",'[8]سجل المستخلصات'!$T$15)</f>
        <v/>
      </c>
      <c r="R34" s="59">
        <f>IF('[8]سجل المستخلصات'!$V$15="","",'[8]سجل المستخلصات'!$V$15)</f>
        <v/>
      </c>
      <c r="S34" s="59">
        <f>IF('[8]سجل المستخلصات'!$W$15="","",'[8]سجل المستخلصات'!$W$15)</f>
        <v/>
      </c>
      <c r="T34" s="61">
        <f>IF('[8]سجل المستخلصات'!$X$15="","",'[8]سجل المستخلصات'!$X$15)</f>
        <v/>
      </c>
      <c r="U34" s="61">
        <f>IF('[8]سجل المستخلصات'!$Z$15="","",'[8]سجل المستخلصات'!$Z$15)</f>
        <v/>
      </c>
      <c r="V34" s="59">
        <f>IF('[8]سجل المستخلصات'!$AA$15="","",'[8]سجل المستخلصات'!$AA$15)</f>
        <v/>
      </c>
      <c r="W34" s="59">
        <f>IF('[8]سجل المستخلصات'!$AC$15="","",'[8]سجل المستخلصات'!$AC$15)</f>
        <v/>
      </c>
      <c r="X34" s="62">
        <f>IF('[8]سجل المستخلصات'!$AD$15="","",'[8]سجل المستخلصات'!$AD$15)</f>
        <v/>
      </c>
      <c r="Y34" s="58">
        <f>IF('[8]سجل المستخلصات'!$AE$15="","",'[8]سجل المستخلصات'!$AE$15)</f>
        <v/>
      </c>
    </row>
    <row r="35">
      <c r="B35" s="56" t="n">
        <v>11</v>
      </c>
      <c r="C35" s="57">
        <f>IF('[8]سجل المستخلصات'!$C$16="","",'[8]سجل المستخلصات'!$C$16)</f>
        <v/>
      </c>
      <c r="D35" s="57">
        <f>IF('[8]سجل المستخلصات'!$E$16="","",'[8]سجل المستخلصات'!$E$16)</f>
        <v/>
      </c>
      <c r="E35" s="58">
        <f>IF('[8]سجل المستخلصات'!$F$16="","",'[8]سجل المستخلصات'!$F$16)</f>
        <v/>
      </c>
      <c r="F35" s="59">
        <f>IF('[8]سجل المستخلصات'!$H$16="","",'[8]سجل المستخلصات'!$H$16)</f>
        <v/>
      </c>
      <c r="G35" s="59">
        <f>IF('[8]سجل المستخلصات'!$G$16="","",'[8]سجل المستخلصات'!$G$16)</f>
        <v/>
      </c>
      <c r="H35" s="59">
        <f>IF('[8]سجل المستخلصات'!$I$16="","",'[8]سجل المستخلصات'!$I$16)</f>
        <v/>
      </c>
      <c r="I35" s="59">
        <f>IF('[8]سجل المستخلصات'!$J$16="","",'[8]سجل المستخلصات'!$J$16)</f>
        <v/>
      </c>
      <c r="J35" s="59">
        <f>IF('[8]سجل المستخلصات'!$K$16="","",'[8]سجل المستخلصات'!$K$16)</f>
        <v/>
      </c>
      <c r="K35" s="60">
        <f>IF('[8]سجل المستخلصات'!$L$16="","",'[8]سجل المستخلصات'!$L$16)</f>
        <v/>
      </c>
      <c r="L35" s="60">
        <f>IF('[8]سجل المستخلصات'!$M$16="","",'[8]سجل المستخلصات'!$M$16)</f>
        <v/>
      </c>
      <c r="M35" s="60">
        <f>IF('[8]سجل المستخلصات'!$N$16="","",'[8]سجل المستخلصات'!$N$16)</f>
        <v/>
      </c>
      <c r="N35" s="59">
        <f>IF('[8]سجل المستخلصات'!$O$16="","",'[8]سجل المستخلصات'!$O$16)</f>
        <v/>
      </c>
      <c r="O35" s="59">
        <f>IF('[8]سجل المستخلصات'!$R$16="","",'[8]سجل المستخلصات'!$R$16)</f>
        <v/>
      </c>
      <c r="P35" s="59">
        <f>IF('[8]سجل المستخلصات'!$S$16="","",'[8]سجل المستخلصات'!$S$16)</f>
        <v/>
      </c>
      <c r="Q35" s="59">
        <f>IF('[8]سجل المستخلصات'!$T$16="","",'[8]سجل المستخلصات'!$T$16)</f>
        <v/>
      </c>
      <c r="R35" s="59">
        <f>IF('[8]سجل المستخلصات'!$V$16="","",'[8]سجل المستخلصات'!$V$16)</f>
        <v/>
      </c>
      <c r="S35" s="59">
        <f>IF('[8]سجل المستخلصات'!$W$16="","",'[8]سجل المستخلصات'!$W$16)</f>
        <v/>
      </c>
      <c r="T35" s="61">
        <f>IF('[8]سجل المستخلصات'!$X$16="","",'[8]سجل المستخلصات'!$X$16)</f>
        <v/>
      </c>
      <c r="U35" s="61">
        <f>IF('[8]سجل المستخلصات'!$Z$16="","",'[8]سجل المستخلصات'!$Z$16)</f>
        <v/>
      </c>
      <c r="V35" s="59">
        <f>IF('[8]سجل المستخلصات'!$AA$16="","",'[8]سجل المستخلصات'!$AA$16)</f>
        <v/>
      </c>
      <c r="W35" s="59">
        <f>IF('[8]سجل المستخلصات'!$AC$16="","",'[8]سجل المستخلصات'!$AC$16)</f>
        <v/>
      </c>
      <c r="X35" s="62">
        <f>IF('[8]سجل المستخلصات'!$AD$16="","",'[8]سجل المستخلصات'!$AD$16)</f>
        <v/>
      </c>
      <c r="Y35" s="58">
        <f>IF('[8]سجل المستخلصات'!$AE$16="","",'[8]سجل المستخلصات'!$AE$16)</f>
        <v/>
      </c>
    </row>
    <row r="36">
      <c r="B36" s="56" t="n">
        <v>12</v>
      </c>
      <c r="C36" s="57">
        <f>IF('[8]سجل المستخلصات'!$C$17="","",'[8]سجل المستخلصات'!$C$17)</f>
        <v/>
      </c>
      <c r="D36" s="57">
        <f>IF('[8]سجل المستخلصات'!$E$17="","",'[8]سجل المستخلصات'!$E$17)</f>
        <v/>
      </c>
      <c r="E36" s="58">
        <f>IF('[8]سجل المستخلصات'!$F$17="","",'[8]سجل المستخلصات'!$F$17)</f>
        <v/>
      </c>
      <c r="F36" s="59">
        <f>IF('[8]سجل المستخلصات'!$H$17="","",'[8]سجل المستخلصات'!$H$17)</f>
        <v/>
      </c>
      <c r="G36" s="59">
        <f>IF('[8]سجل المستخلصات'!$G$17="","",'[8]سجل المستخلصات'!$G$17)</f>
        <v/>
      </c>
      <c r="H36" s="59">
        <f>IF('[8]سجل المستخلصات'!$I$17="","",'[8]سجل المستخلصات'!$I$17)</f>
        <v/>
      </c>
      <c r="I36" s="59">
        <f>IF('[8]سجل المستخلصات'!$J$17="","",'[8]سجل المستخلصات'!$J$17)</f>
        <v/>
      </c>
      <c r="J36" s="59">
        <f>IF('[8]سجل المستخلصات'!$K$17="","",'[8]سجل المستخلصات'!$K$17)</f>
        <v/>
      </c>
      <c r="K36" s="60">
        <f>IF('[8]سجل المستخلصات'!$L$17="","",'[8]سجل المستخلصات'!$L$17)</f>
        <v/>
      </c>
      <c r="L36" s="60">
        <f>IF('[8]سجل المستخلصات'!$M$17="","",'[8]سجل المستخلصات'!$M$17)</f>
        <v/>
      </c>
      <c r="M36" s="60">
        <f>IF('[8]سجل المستخلصات'!$N$17="","",'[8]سجل المستخلصات'!$N$17)</f>
        <v/>
      </c>
      <c r="N36" s="59">
        <f>IF('[8]سجل المستخلصات'!$O$17="","",'[8]سجل المستخلصات'!$O$17)</f>
        <v/>
      </c>
      <c r="O36" s="59">
        <f>IF('[8]سجل المستخلصات'!$R$17="","",'[8]سجل المستخلصات'!$R$17)</f>
        <v/>
      </c>
      <c r="P36" s="59">
        <f>IF('[8]سجل المستخلصات'!$S$17="","",'[8]سجل المستخلصات'!$S$17)</f>
        <v/>
      </c>
      <c r="Q36" s="59">
        <f>IF('[8]سجل المستخلصات'!$T$17="","",'[8]سجل المستخلصات'!$T$17)</f>
        <v/>
      </c>
      <c r="R36" s="59">
        <f>IF('[8]سجل المستخلصات'!$V$17="","",'[8]سجل المستخلصات'!$V$17)</f>
        <v/>
      </c>
      <c r="S36" s="59">
        <f>IF('[8]سجل المستخلصات'!$W$17="","",'[8]سجل المستخلصات'!$W$17)</f>
        <v/>
      </c>
      <c r="T36" s="61">
        <f>IF('[8]سجل المستخلصات'!$X$17="","",'[8]سجل المستخلصات'!$X$17)</f>
        <v/>
      </c>
      <c r="U36" s="61">
        <f>IF('[8]سجل المستخلصات'!$Z$17="","",'[8]سجل المستخلصات'!$Z$17)</f>
        <v/>
      </c>
      <c r="V36" s="59">
        <f>IF('[8]سجل المستخلصات'!$AA$17="","",'[8]سجل المستخلصات'!$AA$17)</f>
        <v/>
      </c>
      <c r="W36" s="59">
        <f>IF('[8]سجل المستخلصات'!$AC$17="","",'[8]سجل المستخلصات'!$AC$17)</f>
        <v/>
      </c>
      <c r="X36" s="62">
        <f>IF('[8]سجل المستخلصات'!$AD$17="","",'[8]سجل المستخلصات'!$AD$17)</f>
        <v/>
      </c>
      <c r="Y36" s="58">
        <f>IF('[8]سجل المستخلصات'!$AE$17="","",'[8]سجل المستخلصات'!$AE$17)</f>
        <v/>
      </c>
    </row>
    <row r="37">
      <c r="B37" s="56" t="n">
        <v>13</v>
      </c>
      <c r="C37" s="57">
        <f>IF('[8]سجل المستخلصات'!$C$18="","",'[8]سجل المستخلصات'!$C$18)</f>
        <v/>
      </c>
      <c r="D37" s="57">
        <f>IF('[8]سجل المستخلصات'!$E$18="","",'[8]سجل المستخلصات'!$E$18)</f>
        <v/>
      </c>
      <c r="E37" s="58">
        <f>IF('[8]سجل المستخلصات'!$F$18="","",'[8]سجل المستخلصات'!$F$18)</f>
        <v/>
      </c>
      <c r="F37" s="59">
        <f>IF('[8]سجل المستخلصات'!$H$18="","",'[8]سجل المستخلصات'!$H$18)</f>
        <v/>
      </c>
      <c r="G37" s="59">
        <f>IF('[8]سجل المستخلصات'!$G$18="","",'[8]سجل المستخلصات'!$G$18)</f>
        <v/>
      </c>
      <c r="H37" s="59">
        <f>IF('[8]سجل المستخلصات'!$I$18="","",'[8]سجل المستخلصات'!$I$18)</f>
        <v/>
      </c>
      <c r="I37" s="59">
        <f>IF('[8]سجل المستخلصات'!$J$18="","",'[8]سجل المستخلصات'!$J$18)</f>
        <v/>
      </c>
      <c r="J37" s="59">
        <f>IF('[8]سجل المستخلصات'!$K$18="","",'[8]سجل المستخلصات'!$K$18)</f>
        <v/>
      </c>
      <c r="K37" s="60">
        <f>IF('[8]سجل المستخلصات'!$L$18="","",'[8]سجل المستخلصات'!$L$18)</f>
        <v/>
      </c>
      <c r="L37" s="60">
        <f>IF('[8]سجل المستخلصات'!$M$18="","",'[8]سجل المستخلصات'!$M$18)</f>
        <v/>
      </c>
      <c r="M37" s="60">
        <f>IF('[8]سجل المستخلصات'!$N$18="","",'[8]سجل المستخلصات'!$N$18)</f>
        <v/>
      </c>
      <c r="N37" s="59">
        <f>IF('[8]سجل المستخلصات'!$O$18="","",'[8]سجل المستخلصات'!$O$18)</f>
        <v/>
      </c>
      <c r="O37" s="59">
        <f>IF('[8]سجل المستخلصات'!$R$18="","",'[8]سجل المستخلصات'!$R$18)</f>
        <v/>
      </c>
      <c r="P37" s="59">
        <f>IF('[8]سجل المستخلصات'!$S$18="","",'[8]سجل المستخلصات'!$S$18)</f>
        <v/>
      </c>
      <c r="Q37" s="59">
        <f>IF('[8]سجل المستخلصات'!$T$18="","",'[8]سجل المستخلصات'!$T$18)</f>
        <v/>
      </c>
      <c r="R37" s="59">
        <f>IF('[8]سجل المستخلصات'!$V$18="","",'[8]سجل المستخلصات'!$V$18)</f>
        <v/>
      </c>
      <c r="S37" s="59">
        <f>IF('[8]سجل المستخلصات'!$W$18="","",'[8]سجل المستخلصات'!$W$18)</f>
        <v/>
      </c>
      <c r="T37" s="61">
        <f>IF('[8]سجل المستخلصات'!$X$18="","",'[8]سجل المستخلصات'!$X$18)</f>
        <v/>
      </c>
      <c r="U37" s="61">
        <f>IF('[8]سجل المستخلصات'!$Z$18="","",'[8]سجل المستخلصات'!$Z$18)</f>
        <v/>
      </c>
      <c r="V37" s="59">
        <f>IF('[8]سجل المستخلصات'!$AA$18="","",'[8]سجل المستخلصات'!$AA$18)</f>
        <v/>
      </c>
      <c r="W37" s="59">
        <f>IF('[8]سجل المستخلصات'!$AC$18="","",'[8]سجل المستخلصات'!$AC$18)</f>
        <v/>
      </c>
      <c r="X37" s="62">
        <f>IF('[8]سجل المستخلصات'!$AD$18="","",'[8]سجل المستخلصات'!$AD$18)</f>
        <v/>
      </c>
      <c r="Y37" s="58">
        <f>IF('[8]سجل المستخلصات'!$AE$18="","",'[8]سجل المستخلصات'!$AE$18)</f>
        <v/>
      </c>
    </row>
    <row r="38">
      <c r="B38" s="56" t="n">
        <v>14</v>
      </c>
      <c r="C38" s="57">
        <f>IF('[8]سجل المستخلصات'!$C$19="","",'[8]سجل المستخلصات'!$C$19)</f>
        <v/>
      </c>
      <c r="D38" s="57">
        <f>IF('[8]سجل المستخلصات'!$E$19="","",'[8]سجل المستخلصات'!$E$19)</f>
        <v/>
      </c>
      <c r="E38" s="58">
        <f>IF('[8]سجل المستخلصات'!$F$19="","",'[8]سجل المستخلصات'!$F$19)</f>
        <v/>
      </c>
      <c r="F38" s="59">
        <f>IF('[8]سجل المستخلصات'!$H$19="","",'[8]سجل المستخلصات'!$H$19)</f>
        <v/>
      </c>
      <c r="G38" s="59">
        <f>IF('[8]سجل المستخلصات'!$G$19="","",'[8]سجل المستخلصات'!$G$19)</f>
        <v/>
      </c>
      <c r="H38" s="59">
        <f>IF('[8]سجل المستخلصات'!$I$19="","",'[8]سجل المستخلصات'!$I$19)</f>
        <v/>
      </c>
      <c r="I38" s="59">
        <f>IF('[8]سجل المستخلصات'!$J$19="","",'[8]سجل المستخلصات'!$J$19)</f>
        <v/>
      </c>
      <c r="J38" s="59">
        <f>IF('[8]سجل المستخلصات'!$K$19="","",'[8]سجل المستخلصات'!$K$19)</f>
        <v/>
      </c>
      <c r="K38" s="60">
        <f>IF('[8]سجل المستخلصات'!$L$19="","",'[8]سجل المستخلصات'!$L$19)</f>
        <v/>
      </c>
      <c r="L38" s="60">
        <f>IF('[8]سجل المستخلصات'!$M$19="","",'[8]سجل المستخلصات'!$M$19)</f>
        <v/>
      </c>
      <c r="M38" s="60">
        <f>IF('[8]سجل المستخلصات'!$N$19="","",'[8]سجل المستخلصات'!$N$19)</f>
        <v/>
      </c>
      <c r="N38" s="59">
        <f>IF('[8]سجل المستخلصات'!$O$19="","",'[8]سجل المستخلصات'!$O$19)</f>
        <v/>
      </c>
      <c r="O38" s="59">
        <f>IF('[8]سجل المستخلصات'!$R$19="","",'[8]سجل المستخلصات'!$R$19)</f>
        <v/>
      </c>
      <c r="P38" s="59">
        <f>IF('[8]سجل المستخلصات'!$S$19="","",'[8]سجل المستخلصات'!$S$19)</f>
        <v/>
      </c>
      <c r="Q38" s="59">
        <f>IF('[8]سجل المستخلصات'!$T$19="","",'[8]سجل المستخلصات'!$T$19)</f>
        <v/>
      </c>
      <c r="R38" s="59">
        <f>IF('[8]سجل المستخلصات'!$V$19="","",'[8]سجل المستخلصات'!$V$19)</f>
        <v/>
      </c>
      <c r="S38" s="59">
        <f>IF('[8]سجل المستخلصات'!$W$19="","",'[8]سجل المستخلصات'!$W$19)</f>
        <v/>
      </c>
      <c r="T38" s="61">
        <f>IF('[8]سجل المستخلصات'!$X$19="","",'[8]سجل المستخلصات'!$X$19)</f>
        <v/>
      </c>
      <c r="U38" s="61">
        <f>IF('[8]سجل المستخلصات'!$Z$19="","",'[8]سجل المستخلصات'!$Z$19)</f>
        <v/>
      </c>
      <c r="V38" s="59">
        <f>IF('[8]سجل المستخلصات'!$AA$19="","",'[8]سجل المستخلصات'!$AA$19)</f>
        <v/>
      </c>
      <c r="W38" s="59">
        <f>IF('[8]سجل المستخلصات'!$AC$19="","",'[8]سجل المستخلصات'!$AC$19)</f>
        <v/>
      </c>
      <c r="X38" s="62">
        <f>IF('[8]سجل المستخلصات'!$AD$19="","",'[8]سجل المستخلصات'!$AD$19)</f>
        <v/>
      </c>
      <c r="Y38" s="58">
        <f>IF('[8]سجل المستخلصات'!$AE$19="","",'[8]سجل المستخلصات'!$AE$19)</f>
        <v/>
      </c>
    </row>
    <row r="39">
      <c r="B39" s="56" t="n">
        <v>15</v>
      </c>
      <c r="C39" s="57">
        <f>IF('[8]سجل المستخلصات'!$C$20="","",'[8]سجل المستخلصات'!$C$20)</f>
        <v/>
      </c>
      <c r="D39" s="57">
        <f>IF('[8]سجل المستخلصات'!$E$20="","",'[8]سجل المستخلصات'!$E$20)</f>
        <v/>
      </c>
      <c r="E39" s="58">
        <f>IF('[8]سجل المستخلصات'!$F$20="","",'[8]سجل المستخلصات'!$F$20)</f>
        <v/>
      </c>
      <c r="F39" s="59">
        <f>IF('[8]سجل المستخلصات'!$H$20="","",'[8]سجل المستخلصات'!$H$20)</f>
        <v/>
      </c>
      <c r="G39" s="59">
        <f>IF('[8]سجل المستخلصات'!$G$20="","",'[8]سجل المستخلصات'!$G$20)</f>
        <v/>
      </c>
      <c r="H39" s="59">
        <f>IF('[8]سجل المستخلصات'!$I$20="","",'[8]سجل المستخلصات'!$I$20)</f>
        <v/>
      </c>
      <c r="I39" s="59">
        <f>IF('[8]سجل المستخلصات'!$J$20="","",'[8]سجل المستخلصات'!$J$20)</f>
        <v/>
      </c>
      <c r="J39" s="59">
        <f>IF('[8]سجل المستخلصات'!$K$20="","",'[8]سجل المستخلصات'!$K$20)</f>
        <v/>
      </c>
      <c r="K39" s="60">
        <f>IF('[8]سجل المستخلصات'!$L$20="","",'[8]سجل المستخلصات'!$L$20)</f>
        <v/>
      </c>
      <c r="L39" s="60">
        <f>IF('[8]سجل المستخلصات'!$M$20="","",'[8]سجل المستخلصات'!$M$20)</f>
        <v/>
      </c>
      <c r="M39" s="60">
        <f>IF('[8]سجل المستخلصات'!$N$20="","",'[8]سجل المستخلصات'!$N$20)</f>
        <v/>
      </c>
      <c r="N39" s="59">
        <f>IF('[8]سجل المستخلصات'!$O$20="","",'[8]سجل المستخلصات'!$O$20)</f>
        <v/>
      </c>
      <c r="O39" s="59">
        <f>IF('[8]سجل المستخلصات'!$R$20="","",'[8]سجل المستخلصات'!$R$20)</f>
        <v/>
      </c>
      <c r="P39" s="59">
        <f>IF('[8]سجل المستخلصات'!$S$20="","",'[8]سجل المستخلصات'!$S$20)</f>
        <v/>
      </c>
      <c r="Q39" s="59">
        <f>IF('[8]سجل المستخلصات'!$T$20="","",'[8]سجل المستخلصات'!$T$20)</f>
        <v/>
      </c>
      <c r="R39" s="59">
        <f>IF('[8]سجل المستخلصات'!$V$20="","",'[8]سجل المستخلصات'!$V$20)</f>
        <v/>
      </c>
      <c r="S39" s="59">
        <f>IF('[8]سجل المستخلصات'!$W$20="","",'[8]سجل المستخلصات'!$W$20)</f>
        <v/>
      </c>
      <c r="T39" s="61">
        <f>IF('[8]سجل المستخلصات'!$X$20="","",'[8]سجل المستخلصات'!$X$20)</f>
        <v/>
      </c>
      <c r="U39" s="61">
        <f>IF('[8]سجل المستخلصات'!$Z$20="","",'[8]سجل المستخلصات'!$Z$20)</f>
        <v/>
      </c>
      <c r="V39" s="59">
        <f>IF('[8]سجل المستخلصات'!$AA$20="","",'[8]سجل المستخلصات'!$AA$20)</f>
        <v/>
      </c>
      <c r="W39" s="59">
        <f>IF('[8]سجل المستخلصات'!$AC$20="","",'[8]سجل المستخلصات'!$AC$20)</f>
        <v/>
      </c>
      <c r="X39" s="62">
        <f>IF('[8]سجل المستخلصات'!$AD$20="","",'[8]سجل المستخلصات'!$AD$20)</f>
        <v/>
      </c>
      <c r="Y39" s="58">
        <f>IF('[8]سجل المستخلصات'!$AE$20="","",'[8]سجل المستخلصات'!$AE$20)</f>
        <v/>
      </c>
    </row>
    <row r="40">
      <c r="B40" s="56" t="n">
        <v>16</v>
      </c>
      <c r="C40" s="57">
        <f>IF('[8]سجل المستخلصات'!$C$21="","",'[8]سجل المستخلصات'!$C$21)</f>
        <v/>
      </c>
      <c r="D40" s="57">
        <f>IF('[8]سجل المستخلصات'!$E$21="","",'[8]سجل المستخلصات'!$E$21)</f>
        <v/>
      </c>
      <c r="E40" s="58">
        <f>IF('[8]سجل المستخلصات'!$F$21="","",'[8]سجل المستخلصات'!$F$21)</f>
        <v/>
      </c>
      <c r="F40" s="59">
        <f>IF('[8]سجل المستخلصات'!$H$21="","",'[8]سجل المستخلصات'!$H$21)</f>
        <v/>
      </c>
      <c r="G40" s="59">
        <f>IF('[8]سجل المستخلصات'!$G$21="","",'[8]سجل المستخلصات'!$G$21)</f>
        <v/>
      </c>
      <c r="H40" s="59">
        <f>IF('[8]سجل المستخلصات'!$I$21="","",'[8]سجل المستخلصات'!$I$21)</f>
        <v/>
      </c>
      <c r="I40" s="59">
        <f>IF('[8]سجل المستخلصات'!$J$21="","",'[8]سجل المستخلصات'!$J$21)</f>
        <v/>
      </c>
      <c r="J40" s="59">
        <f>IF('[8]سجل المستخلصات'!$K$21="","",'[8]سجل المستخلصات'!$K$21)</f>
        <v/>
      </c>
      <c r="K40" s="60">
        <f>IF('[8]سجل المستخلصات'!$L$21="","",'[8]سجل المستخلصات'!$L$21)</f>
        <v/>
      </c>
      <c r="L40" s="60">
        <f>IF('[8]سجل المستخلصات'!$M$21="","",'[8]سجل المستخلصات'!$M$21)</f>
        <v/>
      </c>
      <c r="M40" s="60">
        <f>IF('[8]سجل المستخلصات'!$N$21="","",'[8]سجل المستخلصات'!$N$21)</f>
        <v/>
      </c>
      <c r="N40" s="59">
        <f>IF('[8]سجل المستخلصات'!$O$21="","",'[8]سجل المستخلصات'!$O$21)</f>
        <v/>
      </c>
      <c r="O40" s="59">
        <f>IF('[8]سجل المستخلصات'!$R$21="","",'[8]سجل المستخلصات'!$R$21)</f>
        <v/>
      </c>
      <c r="P40" s="59">
        <f>IF('[8]سجل المستخلصات'!$S$21="","",'[8]سجل المستخلصات'!$S$21)</f>
        <v/>
      </c>
      <c r="Q40" s="59">
        <f>IF('[8]سجل المستخلصات'!$T$21="","",'[8]سجل المستخلصات'!$T$21)</f>
        <v/>
      </c>
      <c r="R40" s="59">
        <f>IF('[8]سجل المستخلصات'!$V$21="","",'[8]سجل المستخلصات'!$V$21)</f>
        <v/>
      </c>
      <c r="S40" s="59">
        <f>IF('[8]سجل المستخلصات'!$W$21="","",'[8]سجل المستخلصات'!$W$21)</f>
        <v/>
      </c>
      <c r="T40" s="61">
        <f>IF('[8]سجل المستخلصات'!$X$21="","",'[8]سجل المستخلصات'!$X$21)</f>
        <v/>
      </c>
      <c r="U40" s="61">
        <f>IF('[8]سجل المستخلصات'!$Z$21="","",'[8]سجل المستخلصات'!$Z$21)</f>
        <v/>
      </c>
      <c r="V40" s="59">
        <f>IF('[8]سجل المستخلصات'!$AA$21="","",'[8]سجل المستخلصات'!$AA$21)</f>
        <v/>
      </c>
      <c r="W40" s="59">
        <f>IF('[8]سجل المستخلصات'!$AC$21="","",'[8]سجل المستخلصات'!$AC$21)</f>
        <v/>
      </c>
      <c r="X40" s="62">
        <f>IF('[8]سجل المستخلصات'!$AD$21="","",'[8]سجل المستخلصات'!$AD$21)</f>
        <v/>
      </c>
      <c r="Y40" s="58">
        <f>IF('[8]سجل المستخلصات'!$AE$21="","",'[8]سجل المستخلصات'!$AE$21)</f>
        <v/>
      </c>
    </row>
    <row r="41">
      <c r="B41" s="56" t="n">
        <v>17</v>
      </c>
      <c r="C41" s="57">
        <f>IF('[8]سجل المستخلصات'!$C$22="","",'[8]سجل المستخلصات'!$C$22)</f>
        <v/>
      </c>
      <c r="D41" s="57">
        <f>IF('[8]سجل المستخلصات'!$E$22="","",'[8]سجل المستخلصات'!$E$22)</f>
        <v/>
      </c>
      <c r="E41" s="58">
        <f>IF('[8]سجل المستخلصات'!$F$22="","",'[8]سجل المستخلصات'!$F$22)</f>
        <v/>
      </c>
      <c r="F41" s="59">
        <f>IF('[8]سجل المستخلصات'!$H$22="","",'[8]سجل المستخلصات'!$H$22)</f>
        <v/>
      </c>
      <c r="G41" s="59">
        <f>IF('[8]سجل المستخلصات'!$G$22="","",'[8]سجل المستخلصات'!$G$22)</f>
        <v/>
      </c>
      <c r="H41" s="59">
        <f>IF('[8]سجل المستخلصات'!$I$22="","",'[8]سجل المستخلصات'!$I$22)</f>
        <v/>
      </c>
      <c r="I41" s="59">
        <f>IF('[8]سجل المستخلصات'!$J$22="","",'[8]سجل المستخلصات'!$J$22)</f>
        <v/>
      </c>
      <c r="J41" s="59">
        <f>IF('[8]سجل المستخلصات'!$K$22="","",'[8]سجل المستخلصات'!$K$22)</f>
        <v/>
      </c>
      <c r="K41" s="60">
        <f>IF('[8]سجل المستخلصات'!$L$22="","",'[8]سجل المستخلصات'!$L$22)</f>
        <v/>
      </c>
      <c r="L41" s="60">
        <f>IF('[8]سجل المستخلصات'!$M$22="","",'[8]سجل المستخلصات'!$M$22)</f>
        <v/>
      </c>
      <c r="M41" s="60">
        <f>IF('[8]سجل المستخلصات'!$N$22="","",'[8]سجل المستخلصات'!$N$22)</f>
        <v/>
      </c>
      <c r="N41" s="59">
        <f>IF('[8]سجل المستخلصات'!$O$22="","",'[8]سجل المستخلصات'!$O$22)</f>
        <v/>
      </c>
      <c r="O41" s="59">
        <f>IF('[8]سجل المستخلصات'!$R$22="","",'[8]سجل المستخلصات'!$R$22)</f>
        <v/>
      </c>
      <c r="P41" s="59">
        <f>IF('[8]سجل المستخلصات'!$S$22="","",'[8]سجل المستخلصات'!$S$22)</f>
        <v/>
      </c>
      <c r="Q41" s="59">
        <f>IF('[8]سجل المستخلصات'!$T$22="","",'[8]سجل المستخلصات'!$T$22)</f>
        <v/>
      </c>
      <c r="R41" s="59">
        <f>IF('[8]سجل المستخلصات'!$V$22="","",'[8]سجل المستخلصات'!$V$22)</f>
        <v/>
      </c>
      <c r="S41" s="59">
        <f>IF('[8]سجل المستخلصات'!$W$22="","",'[8]سجل المستخلصات'!$W$22)</f>
        <v/>
      </c>
      <c r="T41" s="61">
        <f>IF('[8]سجل المستخلصات'!$X$22="","",'[8]سجل المستخلصات'!$X$22)</f>
        <v/>
      </c>
      <c r="U41" s="61">
        <f>IF('[8]سجل المستخلصات'!$Z$22="","",'[8]سجل المستخلصات'!$Z$22)</f>
        <v/>
      </c>
      <c r="V41" s="59">
        <f>IF('[8]سجل المستخلصات'!$AA$22="","",'[8]سجل المستخلصات'!$AA$22)</f>
        <v/>
      </c>
      <c r="W41" s="59">
        <f>IF('[8]سجل المستخلصات'!$AC$22="","",'[8]سجل المستخلصات'!$AC$22)</f>
        <v/>
      </c>
      <c r="X41" s="62">
        <f>IF('[8]سجل المستخلصات'!$AD$22="","",'[8]سجل المستخلصات'!$AD$22)</f>
        <v/>
      </c>
      <c r="Y41" s="58">
        <f>IF('[8]سجل المستخلصات'!$AE$22="","",'[8]سجل المستخلصات'!$AE$22)</f>
        <v/>
      </c>
    </row>
    <row r="42">
      <c r="B42" s="56" t="n">
        <v>18</v>
      </c>
      <c r="C42" s="57">
        <f>IF('[8]سجل المستخلصات'!$C$23="","",'[8]سجل المستخلصات'!$C$23)</f>
        <v/>
      </c>
      <c r="D42" s="57">
        <f>IF('[8]سجل المستخلصات'!$E$23="","",'[8]سجل المستخلصات'!$E$23)</f>
        <v/>
      </c>
      <c r="E42" s="58">
        <f>IF('[8]سجل المستخلصات'!$F$23="","",'[8]سجل المستخلصات'!$F$23)</f>
        <v/>
      </c>
      <c r="F42" s="59">
        <f>IF('[8]سجل المستخلصات'!$H$23="","",'[8]سجل المستخلصات'!$H$23)</f>
        <v/>
      </c>
      <c r="G42" s="59">
        <f>IF('[8]سجل المستخلصات'!$G$23="","",'[8]سجل المستخلصات'!$G$23)</f>
        <v/>
      </c>
      <c r="H42" s="59">
        <f>IF('[8]سجل المستخلصات'!$I$23="","",'[8]سجل المستخلصات'!$I$23)</f>
        <v/>
      </c>
      <c r="I42" s="59">
        <f>IF('[8]سجل المستخلصات'!$J$23="","",'[8]سجل المستخلصات'!$J$23)</f>
        <v/>
      </c>
      <c r="J42" s="59">
        <f>IF('[8]سجل المستخلصات'!$K$23="","",'[8]سجل المستخلصات'!$K$23)</f>
        <v/>
      </c>
      <c r="K42" s="60">
        <f>IF('[8]سجل المستخلصات'!$L$23="","",'[8]سجل المستخلصات'!$L$23)</f>
        <v/>
      </c>
      <c r="L42" s="60">
        <f>IF('[8]سجل المستخلصات'!$M$23="","",'[8]سجل المستخلصات'!$M$23)</f>
        <v/>
      </c>
      <c r="M42" s="60">
        <f>IF('[8]سجل المستخلصات'!$N$23="","",'[8]سجل المستخلصات'!$N$23)</f>
        <v/>
      </c>
      <c r="N42" s="59">
        <f>IF('[8]سجل المستخلصات'!$O$23="","",'[8]سجل المستخلصات'!$O$23)</f>
        <v/>
      </c>
      <c r="O42" s="59">
        <f>IF('[8]سجل المستخلصات'!$R$23="","",'[8]سجل المستخلصات'!$R$23)</f>
        <v/>
      </c>
      <c r="P42" s="59">
        <f>IF('[8]سجل المستخلصات'!$S$23="","",'[8]سجل المستخلصات'!$S$23)</f>
        <v/>
      </c>
      <c r="Q42" s="59">
        <f>IF('[8]سجل المستخلصات'!$T$23="","",'[8]سجل المستخلصات'!$T$23)</f>
        <v/>
      </c>
      <c r="R42" s="59">
        <f>IF('[8]سجل المستخلصات'!$V$23="","",'[8]سجل المستخلصات'!$V$23)</f>
        <v/>
      </c>
      <c r="S42" s="59">
        <f>IF('[8]سجل المستخلصات'!$W$23="","",'[8]سجل المستخلصات'!$W$23)</f>
        <v/>
      </c>
      <c r="T42" s="61">
        <f>IF('[8]سجل المستخلصات'!$X$23="","",'[8]سجل المستخلصات'!$X$23)</f>
        <v/>
      </c>
      <c r="U42" s="61">
        <f>IF('[8]سجل المستخلصات'!$Z$23="","",'[8]سجل المستخلصات'!$Z$23)</f>
        <v/>
      </c>
      <c r="V42" s="59">
        <f>IF('[8]سجل المستخلصات'!$AA$23="","",'[8]سجل المستخلصات'!$AA$23)</f>
        <v/>
      </c>
      <c r="W42" s="59">
        <f>IF('[8]سجل المستخلصات'!$AC$23="","",'[8]سجل المستخلصات'!$AC$23)</f>
        <v/>
      </c>
      <c r="X42" s="62">
        <f>IF('[8]سجل المستخلصات'!$AD$23="","",'[8]سجل المستخلصات'!$AD$23)</f>
        <v/>
      </c>
      <c r="Y42" s="58">
        <f>IF('[8]سجل المستخلصات'!$AE$23="","",'[8]سجل المستخلصات'!$AE$23)</f>
        <v/>
      </c>
    </row>
    <row r="43">
      <c r="B43" s="56" t="n">
        <v>19</v>
      </c>
      <c r="C43" s="57">
        <f>IF('[8]سجل المستخلصات'!$C$24="","",'[8]سجل المستخلصات'!$C$24)</f>
        <v/>
      </c>
      <c r="D43" s="57">
        <f>IF('[8]سجل المستخلصات'!$E$24="","",'[8]سجل المستخلصات'!$E$24)</f>
        <v/>
      </c>
      <c r="E43" s="58">
        <f>IF('[8]سجل المستخلصات'!$F$24="","",'[8]سجل المستخلصات'!$F$24)</f>
        <v/>
      </c>
      <c r="F43" s="59">
        <f>IF('[8]سجل المستخلصات'!$H$24="","",'[8]سجل المستخلصات'!$H$24)</f>
        <v/>
      </c>
      <c r="G43" s="59">
        <f>IF('[8]سجل المستخلصات'!$G$24="","",'[8]سجل المستخلصات'!$G$24)</f>
        <v/>
      </c>
      <c r="H43" s="59">
        <f>IF('[8]سجل المستخلصات'!$I$24="","",'[8]سجل المستخلصات'!$I$24)</f>
        <v/>
      </c>
      <c r="I43" s="59">
        <f>IF('[8]سجل المستخلصات'!$J$24="","",'[8]سجل المستخلصات'!$J$24)</f>
        <v/>
      </c>
      <c r="J43" s="59">
        <f>IF('[8]سجل المستخلصات'!$K$24="","",'[8]سجل المستخلصات'!$K$24)</f>
        <v/>
      </c>
      <c r="K43" s="60">
        <f>IF('[8]سجل المستخلصات'!$L$24="","",'[8]سجل المستخلصات'!$L$24)</f>
        <v/>
      </c>
      <c r="L43" s="60">
        <f>IF('[8]سجل المستخلصات'!$M$24="","",'[8]سجل المستخلصات'!$M$24)</f>
        <v/>
      </c>
      <c r="M43" s="60">
        <f>IF('[8]سجل المستخلصات'!$N$24="","",'[8]سجل المستخلصات'!$N$24)</f>
        <v/>
      </c>
      <c r="N43" s="59">
        <f>IF('[8]سجل المستخلصات'!$O$24="","",'[8]سجل المستخلصات'!$O$24)</f>
        <v/>
      </c>
      <c r="O43" s="59">
        <f>IF('[8]سجل المستخلصات'!$R$24="","",'[8]سجل المستخلصات'!$R$24)</f>
        <v/>
      </c>
      <c r="P43" s="59">
        <f>IF('[8]سجل المستخلصات'!$S$24="","",'[8]سجل المستخلصات'!$S$24)</f>
        <v/>
      </c>
      <c r="Q43" s="59">
        <f>IF('[8]سجل المستخلصات'!$T$24="","",'[8]سجل المستخلصات'!$T$24)</f>
        <v/>
      </c>
      <c r="R43" s="59">
        <f>IF('[8]سجل المستخلصات'!$V$24="","",'[8]سجل المستخلصات'!$V$24)</f>
        <v/>
      </c>
      <c r="S43" s="59">
        <f>IF('[8]سجل المستخلصات'!$W$24="","",'[8]سجل المستخلصات'!$W$24)</f>
        <v/>
      </c>
      <c r="T43" s="61">
        <f>IF('[8]سجل المستخلصات'!$X$24="","",'[8]سجل المستخلصات'!$X$24)</f>
        <v/>
      </c>
      <c r="U43" s="61">
        <f>IF('[8]سجل المستخلصات'!$Z$24="","",'[8]سجل المستخلصات'!$Z$24)</f>
        <v/>
      </c>
      <c r="V43" s="59">
        <f>IF('[8]سجل المستخلصات'!$AA$24="","",'[8]سجل المستخلصات'!$AA$24)</f>
        <v/>
      </c>
      <c r="W43" s="59">
        <f>IF('[8]سجل المستخلصات'!$AC$24="","",'[8]سجل المستخلصات'!$AC$24)</f>
        <v/>
      </c>
      <c r="X43" s="62">
        <f>IF('[8]سجل المستخلصات'!$AD$24="","",'[8]سجل المستخلصات'!$AD$24)</f>
        <v/>
      </c>
      <c r="Y43" s="58">
        <f>IF('[8]سجل المستخلصات'!$AE$24="","",'[8]سجل المستخلصات'!$AE$24)</f>
        <v/>
      </c>
    </row>
    <row r="44">
      <c r="B44" s="56" t="n">
        <v>20</v>
      </c>
      <c r="C44" s="57">
        <f>IF('[8]سجل المستخلصات'!$C$25="","",'[8]سجل المستخلصات'!$C$25)</f>
        <v/>
      </c>
      <c r="D44" s="57">
        <f>IF('[8]سجل المستخلصات'!$E$25="","",'[8]سجل المستخلصات'!$E$25)</f>
        <v/>
      </c>
      <c r="E44" s="58">
        <f>IF('[8]سجل المستخلصات'!$F$25="","",'[8]سجل المستخلصات'!$F$25)</f>
        <v/>
      </c>
      <c r="F44" s="59">
        <f>IF('[8]سجل المستخلصات'!$H$25="","",'[8]سجل المستخلصات'!$H$25)</f>
        <v/>
      </c>
      <c r="G44" s="59">
        <f>IF('[8]سجل المستخلصات'!$G$25="","",'[8]سجل المستخلصات'!$G$25)</f>
        <v/>
      </c>
      <c r="H44" s="59">
        <f>IF('[8]سجل المستخلصات'!$I$25="","",'[8]سجل المستخلصات'!$I$25)</f>
        <v/>
      </c>
      <c r="I44" s="59">
        <f>IF('[8]سجل المستخلصات'!$J$25="","",'[8]سجل المستخلصات'!$J$25)</f>
        <v/>
      </c>
      <c r="J44" s="59">
        <f>IF('[8]سجل المستخلصات'!$K$25="","",'[8]سجل المستخلصات'!$K$25)</f>
        <v/>
      </c>
      <c r="K44" s="60">
        <f>IF('[8]سجل المستخلصات'!$L$25="","",'[8]سجل المستخلصات'!$L$25)</f>
        <v/>
      </c>
      <c r="L44" s="60">
        <f>IF('[8]سجل المستخلصات'!$M$25="","",'[8]سجل المستخلصات'!$M$25)</f>
        <v/>
      </c>
      <c r="M44" s="60">
        <f>IF('[8]سجل المستخلصات'!$N$25="","",'[8]سجل المستخلصات'!$N$25)</f>
        <v/>
      </c>
      <c r="N44" s="59">
        <f>IF('[8]سجل المستخلصات'!$O$25="","",'[8]سجل المستخلصات'!$O$25)</f>
        <v/>
      </c>
      <c r="O44" s="59">
        <f>IF('[8]سجل المستخلصات'!$R$25="","",'[8]سجل المستخلصات'!$R$25)</f>
        <v/>
      </c>
      <c r="P44" s="59">
        <f>IF('[8]سجل المستخلصات'!$S$25="","",'[8]سجل المستخلصات'!$S$25)</f>
        <v/>
      </c>
      <c r="Q44" s="59">
        <f>IF('[8]سجل المستخلصات'!$T$25="","",'[8]سجل المستخلصات'!$T$25)</f>
        <v/>
      </c>
      <c r="R44" s="59">
        <f>IF('[8]سجل المستخلصات'!$V$25="","",'[8]سجل المستخلصات'!$V$25)</f>
        <v/>
      </c>
      <c r="S44" s="59">
        <f>IF('[8]سجل المستخلصات'!$W$25="","",'[8]سجل المستخلصات'!$W$25)</f>
        <v/>
      </c>
      <c r="T44" s="61">
        <f>IF('[8]سجل المستخلصات'!$X$25="","",'[8]سجل المستخلصات'!$X$25)</f>
        <v/>
      </c>
      <c r="U44" s="61">
        <f>IF('[8]سجل المستخلصات'!$Z$25="","",'[8]سجل المستخلصات'!$Z$25)</f>
        <v/>
      </c>
      <c r="V44" s="59">
        <f>IF('[8]سجل المستخلصات'!$AA$25="","",'[8]سجل المستخلصات'!$AA$25)</f>
        <v/>
      </c>
      <c r="W44" s="59">
        <f>IF('[8]سجل المستخلصات'!$AC$25="","",'[8]سجل المستخلصات'!$AC$25)</f>
        <v/>
      </c>
      <c r="X44" s="62">
        <f>IF('[8]سجل المستخلصات'!$AD$25="","",'[8]سجل المستخلصات'!$AD$25)</f>
        <v/>
      </c>
      <c r="Y44" s="58">
        <f>IF('[8]سجل المستخلصات'!$AE$25="","",'[8]سجل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IF('[8]سجل المستخلصات'!$B$32="","",'[8]سجل المستخلصات'!$B$32)</f>
        <v/>
      </c>
      <c r="C50" s="69" t="n"/>
      <c r="D50" s="69" t="n"/>
      <c r="E50" s="59">
        <f>N('[8]سجل المستخلصات'!$E$32)</f>
        <v/>
      </c>
      <c r="F50" s="59">
        <f>N('[8]سجل المستخلصات'!$F$32)</f>
        <v/>
      </c>
      <c r="G50" s="70">
        <f>IF(E50&gt;0,F50/E50,0)</f>
        <v/>
      </c>
    </row>
    <row r="51">
      <c r="B51" s="69">
        <f>IF('[8]سجل المستخلصات'!$B$33="","",'[8]سجل المستخلصات'!$B$33)</f>
        <v/>
      </c>
      <c r="C51" s="69" t="n"/>
      <c r="D51" s="69" t="n"/>
      <c r="E51" s="59">
        <f>N('[8]سجل المستخلصات'!$E$33)</f>
        <v/>
      </c>
      <c r="F51" s="59">
        <f>N('[8]سجل المستخلصات'!$F$33)</f>
        <v/>
      </c>
      <c r="G51" s="70">
        <f>IF(E51&gt;0,F51/E51,0)</f>
        <v/>
      </c>
    </row>
    <row r="52">
      <c r="B52" s="69">
        <f>IF('[8]سجل المستخلصات'!$B$34="","",'[8]سجل المستخلصات'!$B$34)</f>
        <v/>
      </c>
      <c r="C52" s="69" t="n"/>
      <c r="D52" s="69" t="n"/>
      <c r="E52" s="59">
        <f>N('[8]سجل المستخلصات'!$E$34)</f>
        <v/>
      </c>
      <c r="F52" s="59">
        <f>N('[8]سجل المستخلصات'!$F$34)</f>
        <v/>
      </c>
      <c r="G52" s="70">
        <f>IF(E52&gt;0,F52/E52,0)</f>
        <v/>
      </c>
    </row>
    <row r="53">
      <c r="B53" s="69">
        <f>IF('[8]سجل المستخلصات'!$B$35="","",'[8]سجل المستخلصات'!$B$35)</f>
        <v/>
      </c>
      <c r="C53" s="69" t="n"/>
      <c r="D53" s="69" t="n"/>
      <c r="E53" s="59">
        <f>N('[8]سجل المستخلصات'!$E$35)</f>
        <v/>
      </c>
      <c r="F53" s="59">
        <f>N('[8]سجل المستخلصات'!$F$35)</f>
        <v/>
      </c>
      <c r="G53" s="70">
        <f>IF(E53&gt;0,F53/E53,0)</f>
        <v/>
      </c>
    </row>
    <row r="54">
      <c r="B54" s="69">
        <f>IF('[8]سجل المستخلصات'!$B$36="","",'[8]سجل المستخلصات'!$B$36)</f>
        <v/>
      </c>
      <c r="C54" s="69" t="n"/>
      <c r="D54" s="69" t="n"/>
      <c r="E54" s="59">
        <f>N('[8]سجل المستخلصات'!$E$36)</f>
        <v/>
      </c>
      <c r="F54" s="59">
        <f>N('[8]سجل المستخلصات'!$F$36)</f>
        <v/>
      </c>
      <c r="G54" s="70">
        <f>IF(E54&gt;0,F54/E54,0)</f>
        <v/>
      </c>
    </row>
    <row r="55">
      <c r="B55" s="69">
        <f>IF('[8]سجل المستخلصات'!$B$37="","",'[8]سجل المستخلصات'!$B$37)</f>
        <v/>
      </c>
      <c r="C55" s="69" t="n"/>
      <c r="D55" s="69" t="n"/>
      <c r="E55" s="59">
        <f>N('[8]سجل المستخلصات'!$E$37)</f>
        <v/>
      </c>
      <c r="F55" s="59">
        <f>N('[8]سجل المستخلصات'!$F$37)</f>
        <v/>
      </c>
      <c r="G55" s="70">
        <f>IF(E55&gt;0,F55/E55,0)</f>
        <v/>
      </c>
    </row>
    <row r="56">
      <c r="B56" s="69">
        <f>IF('[8]سجل المستخلصات'!$B$38="","",'[8]سجل المستخلصات'!$B$38)</f>
        <v/>
      </c>
      <c r="C56" s="69" t="n"/>
      <c r="D56" s="69" t="n"/>
      <c r="E56" s="59">
        <f>N('[8]سجل المستخلصات'!$E$38)</f>
        <v/>
      </c>
      <c r="F56" s="59">
        <f>N('[8]سجل المستخلصات'!$F$38)</f>
        <v/>
      </c>
      <c r="G56" s="70">
        <f>IF(E56&gt;0,F56/E56,0)</f>
        <v/>
      </c>
    </row>
    <row r="57">
      <c r="B57" s="69">
        <f>IF('[8]سجل المستخلصات'!$B$39="","",'[8]سجل المستخلصات'!$B$39)</f>
        <v/>
      </c>
      <c r="C57" s="69" t="n"/>
      <c r="D57" s="69" t="n"/>
      <c r="E57" s="59">
        <f>N('[8]سجل المستخلصات'!$E$39)</f>
        <v/>
      </c>
      <c r="F57" s="59">
        <f>N('[8]سجل المستخلصات'!$F$39)</f>
        <v/>
      </c>
      <c r="G57" s="70">
        <f>IF(E57&gt;0,F57/E57,0)</f>
        <v/>
      </c>
    </row>
    <row r="58">
      <c r="B58" s="69">
        <f>IF('[8]سجل المستخلصات'!$B$40="","",'[8]سجل المستخلصات'!$B$40)</f>
        <v/>
      </c>
      <c r="C58" s="69" t="n"/>
      <c r="D58" s="69" t="n"/>
      <c r="E58" s="59">
        <f>N('[8]سجل المستخلصات'!$E$40)</f>
        <v/>
      </c>
      <c r="F58" s="59">
        <f>N('[8]سجل المستخلصات'!$F$40)</f>
        <v/>
      </c>
      <c r="G58" s="70">
        <f>IF(E58&gt;0,F58/E58,0)</f>
        <v/>
      </c>
    </row>
    <row r="59">
      <c r="B59" s="69">
        <f>IF('[8]سجل المستخلصات'!$B$41="","",'[8]سجل المستخلصات'!$B$41)</f>
        <v/>
      </c>
      <c r="C59" s="69" t="n"/>
      <c r="D59" s="69" t="n"/>
      <c r="E59" s="59">
        <f>N('[8]سجل المستخلصات'!$E$41)</f>
        <v/>
      </c>
      <c r="F59" s="59">
        <f>N('[8]سجل المستخلصات'!$F$41)</f>
        <v/>
      </c>
      <c r="G59" s="70">
        <f>IF(E59&gt;0,F59/E59,0)</f>
        <v/>
      </c>
    </row>
    <row r="60">
      <c r="B60" s="69">
        <f>IF('[8]سجل المستخلصات'!$B$42="","",'[8]سجل المستخلصات'!$B$42)</f>
        <v/>
      </c>
      <c r="C60" s="69" t="n"/>
      <c r="D60" s="69" t="n"/>
      <c r="E60" s="59">
        <f>N('[8]سجل المستخلصات'!$E$42)</f>
        <v/>
      </c>
      <c r="F60" s="59">
        <f>N('[8]سجل المستخلصات'!$F$42)</f>
        <v/>
      </c>
      <c r="G60" s="70">
        <f>IF(E60&gt;0,F60/E60,0)</f>
        <v/>
      </c>
    </row>
    <row r="61">
      <c r="B61" s="69">
        <f>IF('[8]سجل المستخلصات'!$B$43="","",'[8]سجل المستخلصات'!$B$43)</f>
        <v/>
      </c>
      <c r="C61" s="69" t="n"/>
      <c r="D61" s="69" t="n"/>
      <c r="E61" s="59">
        <f>N('[8]سجل المستخلصات'!$E$43)</f>
        <v/>
      </c>
      <c r="F61" s="59">
        <f>N('[8]سجل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07'!A1" display="◄ المشروع السابق"/>
    <hyperlink ref="D3" location="'مشروع 09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"&amp;IF('[9]بيانات العقد'!$C$5="","مشروع رقم 09 — غير مُفعّل",'[9]بيانات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Project_09/IPC_Project_09.xlsx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IF('[9]بيانات العقد'!$C$5="","",'[9]بيانات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IF('[9]بيانات العقد'!$C$6="","",'[9]بيانات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IF('[9]بيانات العقد'!$C$7="","",'[9]بيانات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IF('[9]بيانات العقد'!$C$8="","",'[9]بيانات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N('[9]بيانات العقد'!$C$16)</f>
        <v/>
      </c>
    </row>
    <row r="6" ht="22" customHeight="1">
      <c r="B6" s="11" t="inlineStr">
        <is>
          <t>المقاول</t>
        </is>
      </c>
      <c r="C6" s="14">
        <f>IF('[9]بيانات العقد'!$C$9="","",'[9]بيانات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IF('[9]بيانات العقد'!$C$11="","",'[9]بيانات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IF('[9]بيانات العقد'!$C$13="","",'[9]بيانات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IF('[9]بيانات العقد'!$C$14="","",'[9]بيانات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N('[9]بيانات العقد'!$C$17)</f>
        <v/>
      </c>
    </row>
    <row r="7">
      <c r="AA7" s="15" t="inlineStr">
        <is>
          <t>قيمة العقد المعدلة</t>
        </is>
      </c>
      <c r="AB7" s="16">
        <f>N('[9]بيانات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N('[9]بيانات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N('[9]بيانات العقد'!$C$21)</f>
        <v/>
      </c>
    </row>
    <row r="10">
      <c r="AA10" s="15" t="inlineStr">
        <is>
          <t>نسبة ضمان الأعمال</t>
        </is>
      </c>
      <c r="AB10" s="23">
        <f>N('[9]بيانات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N('[9]بيانات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N('[9]بيانات العقد'!$C$31)</f>
        <v/>
      </c>
    </row>
    <row r="13">
      <c r="AA13" s="15" t="inlineStr">
        <is>
          <t>ضريبة الاستقطاع (غير المقيم)</t>
        </is>
      </c>
      <c r="AB13" s="23">
        <f>N('[9]بيانات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IF('[9]بيانات العقد'!$C$11="","",'[9]بيانات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IF('[9]بيانات العقد'!$C$13="","",'[9]بيانات العقد'!$C$13)</f>
        <v/>
      </c>
    </row>
    <row r="16">
      <c r="AA16" s="15" t="inlineStr">
        <is>
          <t>المدة (شهر)</t>
        </is>
      </c>
      <c r="AB16" s="43">
        <f>IF('[9]بيانات العقد'!$C$12="","",'[9]بيانات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IF('[9]بيانات العقد'!$C$36="","",'[9]بيانات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IF('[9]بيانات العقد'!$C$37="","",'[9]بيانات العقد'!$C$37)</f>
        <v/>
      </c>
    </row>
    <row r="19">
      <c r="AA19" s="15" t="inlineStr">
        <is>
          <t>الرقم الضريبي لصاحب العمل</t>
        </is>
      </c>
      <c r="AB19" s="48">
        <f>IF('[9]بيانات العقد'!$C$39="","",'[9]بيانات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IF('[9]بيانات العقد'!$C$42="","",'[9]بيانات العقد'!$C$42)</f>
        <v/>
      </c>
    </row>
    <row r="21" ht="32" customHeight="1">
      <c r="B21" s="50">
        <f>N('[9]الموازنة والتكاليف'!$D$66)</f>
        <v/>
      </c>
      <c r="C21" s="50" t="n"/>
      <c r="D21" s="50" t="n"/>
      <c r="E21" s="50" t="n"/>
      <c r="F21" s="50">
        <f>N('[9]الموازنة والتكاليف'!$D$70)</f>
        <v/>
      </c>
      <c r="G21" s="50" t="n"/>
      <c r="H21" s="50" t="n"/>
      <c r="I21" s="50" t="n"/>
      <c r="J21" s="50">
        <f>N('[9]الموازنة والتكاليف'!$D$72)</f>
        <v/>
      </c>
      <c r="K21" s="50" t="n"/>
      <c r="L21" s="50" t="n"/>
      <c r="M21" s="50" t="n"/>
      <c r="N21" s="51">
        <f>N('[9]الموازنة والتكاليف'!$D$73)</f>
        <v/>
      </c>
      <c r="O21" s="51" t="n"/>
      <c r="P21" s="51" t="n"/>
      <c r="Q21" s="51" t="n"/>
      <c r="R21" s="52">
        <f>N('[9]الموازنة والتكاليف'!$D$74)</f>
        <v/>
      </c>
      <c r="S21" s="52" t="n"/>
      <c r="T21" s="52" t="n"/>
      <c r="U21" s="52" t="n"/>
      <c r="V21" s="50">
        <f>N('[9]الموازنة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IF('[9]بيانات العقد'!$C$43="","",'[9]بيانات العقد'!$C$43)</f>
        <v/>
      </c>
    </row>
    <row r="22">
      <c r="AA22" s="15" t="inlineStr">
        <is>
          <t>حالة غرامات التأخير</t>
        </is>
      </c>
      <c r="AB22" s="45">
        <f>IF('[9]بيانات العقد'!$C$47="","",'[9]بيانات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IF('[9]سجل المستخلصات'!$C$6="","",'[9]سجل المستخلصات'!$C$6)</f>
        <v/>
      </c>
      <c r="D25" s="57">
        <f>IF('[9]سجل المستخلصات'!$E$6="","",'[9]سجل المستخلصات'!$E$6)</f>
        <v/>
      </c>
      <c r="E25" s="58">
        <f>IF('[9]سجل المستخلصات'!$F$6="","",'[9]سجل المستخلصات'!$F$6)</f>
        <v/>
      </c>
      <c r="F25" s="59">
        <f>IF('[9]سجل المستخلصات'!$H$6="","",'[9]سجل المستخلصات'!$H$6)</f>
        <v/>
      </c>
      <c r="G25" s="59">
        <f>IF('[9]سجل المستخلصات'!$G$6="","",'[9]سجل المستخلصات'!$G$6)</f>
        <v/>
      </c>
      <c r="H25" s="59">
        <f>IF('[9]سجل المستخلصات'!$I$6="","",'[9]سجل المستخلصات'!$I$6)</f>
        <v/>
      </c>
      <c r="I25" s="59">
        <f>IF('[9]سجل المستخلصات'!$J$6="","",'[9]سجل المستخلصات'!$J$6)</f>
        <v/>
      </c>
      <c r="J25" s="59">
        <f>IF('[9]سجل المستخلصات'!$K$6="","",'[9]سجل المستخلصات'!$K$6)</f>
        <v/>
      </c>
      <c r="K25" s="60">
        <f>IF('[9]سجل المستخلصات'!$L$6="","",'[9]سجل المستخلصات'!$L$6)</f>
        <v/>
      </c>
      <c r="L25" s="60">
        <f>IF('[9]سجل المستخلصات'!$M$6="","",'[9]سجل المستخلصات'!$M$6)</f>
        <v/>
      </c>
      <c r="M25" s="60">
        <f>IF('[9]سجل المستخلصات'!$N$6="","",'[9]سجل المستخلصات'!$N$6)</f>
        <v/>
      </c>
      <c r="N25" s="59">
        <f>IF('[9]سجل المستخلصات'!$O$6="","",'[9]سجل المستخلصات'!$O$6)</f>
        <v/>
      </c>
      <c r="O25" s="59">
        <f>IF('[9]سجل المستخلصات'!$R$6="","",'[9]سجل المستخلصات'!$R$6)</f>
        <v/>
      </c>
      <c r="P25" s="59">
        <f>IF('[9]سجل المستخلصات'!$S$6="","",'[9]سجل المستخلصات'!$S$6)</f>
        <v/>
      </c>
      <c r="Q25" s="59">
        <f>IF('[9]سجل المستخلصات'!$T$6="","",'[9]سجل المستخلصات'!$T$6)</f>
        <v/>
      </c>
      <c r="R25" s="59">
        <f>IF('[9]سجل المستخلصات'!$V$6="","",'[9]سجل المستخلصات'!$V$6)</f>
        <v/>
      </c>
      <c r="S25" s="59">
        <f>IF('[9]سجل المستخلصات'!$W$6="","",'[9]سجل المستخلصات'!$W$6)</f>
        <v/>
      </c>
      <c r="T25" s="61">
        <f>IF('[9]سجل المستخلصات'!$X$6="","",'[9]سجل المستخلصات'!$X$6)</f>
        <v/>
      </c>
      <c r="U25" s="61">
        <f>IF('[9]سجل المستخلصات'!$Z$6="","",'[9]سجل المستخلصات'!$Z$6)</f>
        <v/>
      </c>
      <c r="V25" s="59">
        <f>IF('[9]سجل المستخلصات'!$AA$6="","",'[9]سجل المستخلصات'!$AA$6)</f>
        <v/>
      </c>
      <c r="W25" s="59">
        <f>IF('[9]سجل المستخلصات'!$AC$6="","",'[9]سجل المستخلصات'!$AC$6)</f>
        <v/>
      </c>
      <c r="X25" s="62">
        <f>IF('[9]سجل المستخلصات'!$AD$6="","",'[9]سجل المستخلصات'!$AD$6)</f>
        <v/>
      </c>
      <c r="Y25" s="58">
        <f>IF('[9]سجل المستخلصات'!$AE$6="","",'[9]سجل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IF('[9]سجل المستخلصات'!$C$7="","",'[9]سجل المستخلصات'!$C$7)</f>
        <v/>
      </c>
      <c r="D26" s="57">
        <f>IF('[9]سجل المستخلصات'!$E$7="","",'[9]سجل المستخلصات'!$E$7)</f>
        <v/>
      </c>
      <c r="E26" s="58">
        <f>IF('[9]سجل المستخلصات'!$F$7="","",'[9]سجل المستخلصات'!$F$7)</f>
        <v/>
      </c>
      <c r="F26" s="59">
        <f>IF('[9]سجل المستخلصات'!$H$7="","",'[9]سجل المستخلصات'!$H$7)</f>
        <v/>
      </c>
      <c r="G26" s="59">
        <f>IF('[9]سجل المستخلصات'!$G$7="","",'[9]سجل المستخلصات'!$G$7)</f>
        <v/>
      </c>
      <c r="H26" s="59">
        <f>IF('[9]سجل المستخلصات'!$I$7="","",'[9]سجل المستخلصات'!$I$7)</f>
        <v/>
      </c>
      <c r="I26" s="59">
        <f>IF('[9]سجل المستخلصات'!$J$7="","",'[9]سجل المستخلصات'!$J$7)</f>
        <v/>
      </c>
      <c r="J26" s="59">
        <f>IF('[9]سجل المستخلصات'!$K$7="","",'[9]سجل المستخلصات'!$K$7)</f>
        <v/>
      </c>
      <c r="K26" s="60">
        <f>IF('[9]سجل المستخلصات'!$L$7="","",'[9]سجل المستخلصات'!$L$7)</f>
        <v/>
      </c>
      <c r="L26" s="60">
        <f>IF('[9]سجل المستخلصات'!$M$7="","",'[9]سجل المستخلصات'!$M$7)</f>
        <v/>
      </c>
      <c r="M26" s="60">
        <f>IF('[9]سجل المستخلصات'!$N$7="","",'[9]سجل المستخلصات'!$N$7)</f>
        <v/>
      </c>
      <c r="N26" s="59">
        <f>IF('[9]سجل المستخلصات'!$O$7="","",'[9]سجل المستخلصات'!$O$7)</f>
        <v/>
      </c>
      <c r="O26" s="59">
        <f>IF('[9]سجل المستخلصات'!$R$7="","",'[9]سجل المستخلصات'!$R$7)</f>
        <v/>
      </c>
      <c r="P26" s="59">
        <f>IF('[9]سجل المستخلصات'!$S$7="","",'[9]سجل المستخلصات'!$S$7)</f>
        <v/>
      </c>
      <c r="Q26" s="59">
        <f>IF('[9]سجل المستخلصات'!$T$7="","",'[9]سجل المستخلصات'!$T$7)</f>
        <v/>
      </c>
      <c r="R26" s="59">
        <f>IF('[9]سجل المستخلصات'!$V$7="","",'[9]سجل المستخلصات'!$V$7)</f>
        <v/>
      </c>
      <c r="S26" s="59">
        <f>IF('[9]سجل المستخلصات'!$W$7="","",'[9]سجل المستخلصات'!$W$7)</f>
        <v/>
      </c>
      <c r="T26" s="61">
        <f>IF('[9]سجل المستخلصات'!$X$7="","",'[9]سجل المستخلصات'!$X$7)</f>
        <v/>
      </c>
      <c r="U26" s="61">
        <f>IF('[9]سجل المستخلصات'!$Z$7="","",'[9]سجل المستخلصات'!$Z$7)</f>
        <v/>
      </c>
      <c r="V26" s="59">
        <f>IF('[9]سجل المستخلصات'!$AA$7="","",'[9]سجل المستخلصات'!$AA$7)</f>
        <v/>
      </c>
      <c r="W26" s="59">
        <f>IF('[9]سجل المستخلصات'!$AC$7="","",'[9]سجل المستخلصات'!$AC$7)</f>
        <v/>
      </c>
      <c r="X26" s="62">
        <f>IF('[9]سجل المستخلصات'!$AD$7="","",'[9]سجل المستخلصات'!$AD$7)</f>
        <v/>
      </c>
      <c r="Y26" s="58">
        <f>IF('[9]سجل المستخلصات'!$AE$7="","",'[9]سجل المستخلصات'!$AE$7)</f>
        <v/>
      </c>
      <c r="AA26" s="63" t="n"/>
      <c r="AB26" s="63" t="n"/>
    </row>
    <row r="27">
      <c r="B27" s="56" t="n">
        <v>3</v>
      </c>
      <c r="C27" s="57">
        <f>IF('[9]سجل المستخلصات'!$C$8="","",'[9]سجل المستخلصات'!$C$8)</f>
        <v/>
      </c>
      <c r="D27" s="57">
        <f>IF('[9]سجل المستخلصات'!$E$8="","",'[9]سجل المستخلصات'!$E$8)</f>
        <v/>
      </c>
      <c r="E27" s="58">
        <f>IF('[9]سجل المستخلصات'!$F$8="","",'[9]سجل المستخلصات'!$F$8)</f>
        <v/>
      </c>
      <c r="F27" s="59">
        <f>IF('[9]سجل المستخلصات'!$H$8="","",'[9]سجل المستخلصات'!$H$8)</f>
        <v/>
      </c>
      <c r="G27" s="59">
        <f>IF('[9]سجل المستخلصات'!$G$8="","",'[9]سجل المستخلصات'!$G$8)</f>
        <v/>
      </c>
      <c r="H27" s="59">
        <f>IF('[9]سجل المستخلصات'!$I$8="","",'[9]سجل المستخلصات'!$I$8)</f>
        <v/>
      </c>
      <c r="I27" s="59">
        <f>IF('[9]سجل المستخلصات'!$J$8="","",'[9]سجل المستخلصات'!$J$8)</f>
        <v/>
      </c>
      <c r="J27" s="59">
        <f>IF('[9]سجل المستخلصات'!$K$8="","",'[9]سجل المستخلصات'!$K$8)</f>
        <v/>
      </c>
      <c r="K27" s="60">
        <f>IF('[9]سجل المستخلصات'!$L$8="","",'[9]سجل المستخلصات'!$L$8)</f>
        <v/>
      </c>
      <c r="L27" s="60">
        <f>IF('[9]سجل المستخلصات'!$M$8="","",'[9]سجل المستخلصات'!$M$8)</f>
        <v/>
      </c>
      <c r="M27" s="60">
        <f>IF('[9]سجل المستخلصات'!$N$8="","",'[9]سجل المستخلصات'!$N$8)</f>
        <v/>
      </c>
      <c r="N27" s="59">
        <f>IF('[9]سجل المستخلصات'!$O$8="","",'[9]سجل المستخلصات'!$O$8)</f>
        <v/>
      </c>
      <c r="O27" s="59">
        <f>IF('[9]سجل المستخلصات'!$R$8="","",'[9]سجل المستخلصات'!$R$8)</f>
        <v/>
      </c>
      <c r="P27" s="59">
        <f>IF('[9]سجل المستخلصات'!$S$8="","",'[9]سجل المستخلصات'!$S$8)</f>
        <v/>
      </c>
      <c r="Q27" s="59">
        <f>IF('[9]سجل المستخلصات'!$T$8="","",'[9]سجل المستخلصات'!$T$8)</f>
        <v/>
      </c>
      <c r="R27" s="59">
        <f>IF('[9]سجل المستخلصات'!$V$8="","",'[9]سجل المستخلصات'!$V$8)</f>
        <v/>
      </c>
      <c r="S27" s="59">
        <f>IF('[9]سجل المستخلصات'!$W$8="","",'[9]سجل المستخلصات'!$W$8)</f>
        <v/>
      </c>
      <c r="T27" s="61">
        <f>IF('[9]سجل المستخلصات'!$X$8="","",'[9]سجل المستخلصات'!$X$8)</f>
        <v/>
      </c>
      <c r="U27" s="61">
        <f>IF('[9]سجل المستخلصات'!$Z$8="","",'[9]سجل المستخلصات'!$Z$8)</f>
        <v/>
      </c>
      <c r="V27" s="59">
        <f>IF('[9]سجل المستخلصات'!$AA$8="","",'[9]سجل المستخلصات'!$AA$8)</f>
        <v/>
      </c>
      <c r="W27" s="59">
        <f>IF('[9]سجل المستخلصات'!$AC$8="","",'[9]سجل المستخلصات'!$AC$8)</f>
        <v/>
      </c>
      <c r="X27" s="62">
        <f>IF('[9]سجل المستخلصات'!$AD$8="","",'[9]سجل المستخلصات'!$AD$8)</f>
        <v/>
      </c>
      <c r="Y27" s="58">
        <f>IF('[9]سجل المستخلصات'!$AE$8="","",'[9]سجل المستخلصات'!$AE$8)</f>
        <v/>
      </c>
      <c r="AA27" s="63" t="n"/>
      <c r="AB27" s="63" t="n"/>
    </row>
    <row r="28">
      <c r="B28" s="56" t="n">
        <v>4</v>
      </c>
      <c r="C28" s="57">
        <f>IF('[9]سجل المستخلصات'!$C$9="","",'[9]سجل المستخلصات'!$C$9)</f>
        <v/>
      </c>
      <c r="D28" s="57">
        <f>IF('[9]سجل المستخلصات'!$E$9="","",'[9]سجل المستخلصات'!$E$9)</f>
        <v/>
      </c>
      <c r="E28" s="58">
        <f>IF('[9]سجل المستخلصات'!$F$9="","",'[9]سجل المستخلصات'!$F$9)</f>
        <v/>
      </c>
      <c r="F28" s="59">
        <f>IF('[9]سجل المستخلصات'!$H$9="","",'[9]سجل المستخلصات'!$H$9)</f>
        <v/>
      </c>
      <c r="G28" s="59">
        <f>IF('[9]سجل المستخلصات'!$G$9="","",'[9]سجل المستخلصات'!$G$9)</f>
        <v/>
      </c>
      <c r="H28" s="59">
        <f>IF('[9]سجل المستخلصات'!$I$9="","",'[9]سجل المستخلصات'!$I$9)</f>
        <v/>
      </c>
      <c r="I28" s="59">
        <f>IF('[9]سجل المستخلصات'!$J$9="","",'[9]سجل المستخلصات'!$J$9)</f>
        <v/>
      </c>
      <c r="J28" s="59">
        <f>IF('[9]سجل المستخلصات'!$K$9="","",'[9]سجل المستخلصات'!$K$9)</f>
        <v/>
      </c>
      <c r="K28" s="60">
        <f>IF('[9]سجل المستخلصات'!$L$9="","",'[9]سجل المستخلصات'!$L$9)</f>
        <v/>
      </c>
      <c r="L28" s="60">
        <f>IF('[9]سجل المستخلصات'!$M$9="","",'[9]سجل المستخلصات'!$M$9)</f>
        <v/>
      </c>
      <c r="M28" s="60">
        <f>IF('[9]سجل المستخلصات'!$N$9="","",'[9]سجل المستخلصات'!$N$9)</f>
        <v/>
      </c>
      <c r="N28" s="59">
        <f>IF('[9]سجل المستخلصات'!$O$9="","",'[9]سجل المستخلصات'!$O$9)</f>
        <v/>
      </c>
      <c r="O28" s="59">
        <f>IF('[9]سجل المستخلصات'!$R$9="","",'[9]سجل المستخلصات'!$R$9)</f>
        <v/>
      </c>
      <c r="P28" s="59">
        <f>IF('[9]سجل المستخلصات'!$S$9="","",'[9]سجل المستخلصات'!$S$9)</f>
        <v/>
      </c>
      <c r="Q28" s="59">
        <f>IF('[9]سجل المستخلصات'!$T$9="","",'[9]سجل المستخلصات'!$T$9)</f>
        <v/>
      </c>
      <c r="R28" s="59">
        <f>IF('[9]سجل المستخلصات'!$V$9="","",'[9]سجل المستخلصات'!$V$9)</f>
        <v/>
      </c>
      <c r="S28" s="59">
        <f>IF('[9]سجل المستخلصات'!$W$9="","",'[9]سجل المستخلصات'!$W$9)</f>
        <v/>
      </c>
      <c r="T28" s="61">
        <f>IF('[9]سجل المستخلصات'!$X$9="","",'[9]سجل المستخلصات'!$X$9)</f>
        <v/>
      </c>
      <c r="U28" s="61">
        <f>IF('[9]سجل المستخلصات'!$Z$9="","",'[9]سجل المستخلصات'!$Z$9)</f>
        <v/>
      </c>
      <c r="V28" s="59">
        <f>IF('[9]سجل المستخلصات'!$AA$9="","",'[9]سجل المستخلصات'!$AA$9)</f>
        <v/>
      </c>
      <c r="W28" s="59">
        <f>IF('[9]سجل المستخلصات'!$AC$9="","",'[9]سجل المستخلصات'!$AC$9)</f>
        <v/>
      </c>
      <c r="X28" s="62">
        <f>IF('[9]سجل المستخلصات'!$AD$9="","",'[9]سجل المستخلصات'!$AD$9)</f>
        <v/>
      </c>
      <c r="Y28" s="58">
        <f>IF('[9]سجل المستخلصات'!$AE$9="","",'[9]سجل المستخلصات'!$AE$9)</f>
        <v/>
      </c>
      <c r="AA28" s="63" t="n"/>
      <c r="AB28" s="63" t="n"/>
    </row>
    <row r="29">
      <c r="B29" s="56" t="n">
        <v>5</v>
      </c>
      <c r="C29" s="57">
        <f>IF('[9]سجل المستخلصات'!$C$10="","",'[9]سجل المستخلصات'!$C$10)</f>
        <v/>
      </c>
      <c r="D29" s="57">
        <f>IF('[9]سجل المستخلصات'!$E$10="","",'[9]سجل المستخلصات'!$E$10)</f>
        <v/>
      </c>
      <c r="E29" s="58">
        <f>IF('[9]سجل المستخلصات'!$F$10="","",'[9]سجل المستخلصات'!$F$10)</f>
        <v/>
      </c>
      <c r="F29" s="59">
        <f>IF('[9]سجل المستخلصات'!$H$10="","",'[9]سجل المستخلصات'!$H$10)</f>
        <v/>
      </c>
      <c r="G29" s="59">
        <f>IF('[9]سجل المستخلصات'!$G$10="","",'[9]سجل المستخلصات'!$G$10)</f>
        <v/>
      </c>
      <c r="H29" s="59">
        <f>IF('[9]سجل المستخلصات'!$I$10="","",'[9]سجل المستخلصات'!$I$10)</f>
        <v/>
      </c>
      <c r="I29" s="59">
        <f>IF('[9]سجل المستخلصات'!$J$10="","",'[9]سجل المستخلصات'!$J$10)</f>
        <v/>
      </c>
      <c r="J29" s="59">
        <f>IF('[9]سجل المستخلصات'!$K$10="","",'[9]سجل المستخلصات'!$K$10)</f>
        <v/>
      </c>
      <c r="K29" s="60">
        <f>IF('[9]سجل المستخلصات'!$L$10="","",'[9]سجل المستخلصات'!$L$10)</f>
        <v/>
      </c>
      <c r="L29" s="60">
        <f>IF('[9]سجل المستخلصات'!$M$10="","",'[9]سجل المستخلصات'!$M$10)</f>
        <v/>
      </c>
      <c r="M29" s="60">
        <f>IF('[9]سجل المستخلصات'!$N$10="","",'[9]سجل المستخلصات'!$N$10)</f>
        <v/>
      </c>
      <c r="N29" s="59">
        <f>IF('[9]سجل المستخلصات'!$O$10="","",'[9]سجل المستخلصات'!$O$10)</f>
        <v/>
      </c>
      <c r="O29" s="59">
        <f>IF('[9]سجل المستخلصات'!$R$10="","",'[9]سجل المستخلصات'!$R$10)</f>
        <v/>
      </c>
      <c r="P29" s="59">
        <f>IF('[9]سجل المستخلصات'!$S$10="","",'[9]سجل المستخلصات'!$S$10)</f>
        <v/>
      </c>
      <c r="Q29" s="59">
        <f>IF('[9]سجل المستخلصات'!$T$10="","",'[9]سجل المستخلصات'!$T$10)</f>
        <v/>
      </c>
      <c r="R29" s="59">
        <f>IF('[9]سجل المستخلصات'!$V$10="","",'[9]سجل المستخلصات'!$V$10)</f>
        <v/>
      </c>
      <c r="S29" s="59">
        <f>IF('[9]سجل المستخلصات'!$W$10="","",'[9]سجل المستخلصات'!$W$10)</f>
        <v/>
      </c>
      <c r="T29" s="61">
        <f>IF('[9]سجل المستخلصات'!$X$10="","",'[9]سجل المستخلصات'!$X$10)</f>
        <v/>
      </c>
      <c r="U29" s="61">
        <f>IF('[9]سجل المستخلصات'!$Z$10="","",'[9]سجل المستخلصات'!$Z$10)</f>
        <v/>
      </c>
      <c r="V29" s="59">
        <f>IF('[9]سجل المستخلصات'!$AA$10="","",'[9]سجل المستخلصات'!$AA$10)</f>
        <v/>
      </c>
      <c r="W29" s="59">
        <f>IF('[9]سجل المستخلصات'!$AC$10="","",'[9]سجل المستخلصات'!$AC$10)</f>
        <v/>
      </c>
      <c r="X29" s="62">
        <f>IF('[9]سجل المستخلصات'!$AD$10="","",'[9]سجل المستخلصات'!$AD$10)</f>
        <v/>
      </c>
      <c r="Y29" s="58">
        <f>IF('[9]سجل المستخلصات'!$AE$10="","",'[9]سجل المستخلصات'!$AE$10)</f>
        <v/>
      </c>
    </row>
    <row r="30">
      <c r="B30" s="56" t="n">
        <v>6</v>
      </c>
      <c r="C30" s="57">
        <f>IF('[9]سجل المستخلصات'!$C$11="","",'[9]سجل المستخلصات'!$C$11)</f>
        <v/>
      </c>
      <c r="D30" s="57">
        <f>IF('[9]سجل المستخلصات'!$E$11="","",'[9]سجل المستخلصات'!$E$11)</f>
        <v/>
      </c>
      <c r="E30" s="58">
        <f>IF('[9]سجل المستخلصات'!$F$11="","",'[9]سجل المستخلصات'!$F$11)</f>
        <v/>
      </c>
      <c r="F30" s="59">
        <f>IF('[9]سجل المستخلصات'!$H$11="","",'[9]سجل المستخلصات'!$H$11)</f>
        <v/>
      </c>
      <c r="G30" s="59">
        <f>IF('[9]سجل المستخلصات'!$G$11="","",'[9]سجل المستخلصات'!$G$11)</f>
        <v/>
      </c>
      <c r="H30" s="59">
        <f>IF('[9]سجل المستخلصات'!$I$11="","",'[9]سجل المستخلصات'!$I$11)</f>
        <v/>
      </c>
      <c r="I30" s="59">
        <f>IF('[9]سجل المستخلصات'!$J$11="","",'[9]سجل المستخلصات'!$J$11)</f>
        <v/>
      </c>
      <c r="J30" s="59">
        <f>IF('[9]سجل المستخلصات'!$K$11="","",'[9]سجل المستخلصات'!$K$11)</f>
        <v/>
      </c>
      <c r="K30" s="60">
        <f>IF('[9]سجل المستخلصات'!$L$11="","",'[9]سجل المستخلصات'!$L$11)</f>
        <v/>
      </c>
      <c r="L30" s="60">
        <f>IF('[9]سجل المستخلصات'!$M$11="","",'[9]سجل المستخلصات'!$M$11)</f>
        <v/>
      </c>
      <c r="M30" s="60">
        <f>IF('[9]سجل المستخلصات'!$N$11="","",'[9]سجل المستخلصات'!$N$11)</f>
        <v/>
      </c>
      <c r="N30" s="59">
        <f>IF('[9]سجل المستخلصات'!$O$11="","",'[9]سجل المستخلصات'!$O$11)</f>
        <v/>
      </c>
      <c r="O30" s="59">
        <f>IF('[9]سجل المستخلصات'!$R$11="","",'[9]سجل المستخلصات'!$R$11)</f>
        <v/>
      </c>
      <c r="P30" s="59">
        <f>IF('[9]سجل المستخلصات'!$S$11="","",'[9]سجل المستخلصات'!$S$11)</f>
        <v/>
      </c>
      <c r="Q30" s="59">
        <f>IF('[9]سجل المستخلصات'!$T$11="","",'[9]سجل المستخلصات'!$T$11)</f>
        <v/>
      </c>
      <c r="R30" s="59">
        <f>IF('[9]سجل المستخلصات'!$V$11="","",'[9]سجل المستخلصات'!$V$11)</f>
        <v/>
      </c>
      <c r="S30" s="59">
        <f>IF('[9]سجل المستخلصات'!$W$11="","",'[9]سجل المستخلصات'!$W$11)</f>
        <v/>
      </c>
      <c r="T30" s="61">
        <f>IF('[9]سجل المستخلصات'!$X$11="","",'[9]سجل المستخلصات'!$X$11)</f>
        <v/>
      </c>
      <c r="U30" s="61">
        <f>IF('[9]سجل المستخلصات'!$Z$11="","",'[9]سجل المستخلصات'!$Z$11)</f>
        <v/>
      </c>
      <c r="V30" s="59">
        <f>IF('[9]سجل المستخلصات'!$AA$11="","",'[9]سجل المستخلصات'!$AA$11)</f>
        <v/>
      </c>
      <c r="W30" s="59">
        <f>IF('[9]سجل المستخلصات'!$AC$11="","",'[9]سجل المستخلصات'!$AC$11)</f>
        <v/>
      </c>
      <c r="X30" s="62">
        <f>IF('[9]سجل المستخلصات'!$AD$11="","",'[9]سجل المستخلصات'!$AD$11)</f>
        <v/>
      </c>
      <c r="Y30" s="58">
        <f>IF('[9]سجل المستخلصات'!$AE$11="","",'[9]سجل المستخلصات'!$AE$11)</f>
        <v/>
      </c>
    </row>
    <row r="31">
      <c r="B31" s="56" t="n">
        <v>7</v>
      </c>
      <c r="C31" s="57">
        <f>IF('[9]سجل المستخلصات'!$C$12="","",'[9]سجل المستخلصات'!$C$12)</f>
        <v/>
      </c>
      <c r="D31" s="57">
        <f>IF('[9]سجل المستخلصات'!$E$12="","",'[9]سجل المستخلصات'!$E$12)</f>
        <v/>
      </c>
      <c r="E31" s="58">
        <f>IF('[9]سجل المستخلصات'!$F$12="","",'[9]سجل المستخلصات'!$F$12)</f>
        <v/>
      </c>
      <c r="F31" s="59">
        <f>IF('[9]سجل المستخلصات'!$H$12="","",'[9]سجل المستخلصات'!$H$12)</f>
        <v/>
      </c>
      <c r="G31" s="59">
        <f>IF('[9]سجل المستخلصات'!$G$12="","",'[9]سجل المستخلصات'!$G$12)</f>
        <v/>
      </c>
      <c r="H31" s="59">
        <f>IF('[9]سجل المستخلصات'!$I$12="","",'[9]سجل المستخلصات'!$I$12)</f>
        <v/>
      </c>
      <c r="I31" s="59">
        <f>IF('[9]سجل المستخلصات'!$J$12="","",'[9]سجل المستخلصات'!$J$12)</f>
        <v/>
      </c>
      <c r="J31" s="59">
        <f>IF('[9]سجل المستخلصات'!$K$12="","",'[9]سجل المستخلصات'!$K$12)</f>
        <v/>
      </c>
      <c r="K31" s="60">
        <f>IF('[9]سجل المستخلصات'!$L$12="","",'[9]سجل المستخلصات'!$L$12)</f>
        <v/>
      </c>
      <c r="L31" s="60">
        <f>IF('[9]سجل المستخلصات'!$M$12="","",'[9]سجل المستخلصات'!$M$12)</f>
        <v/>
      </c>
      <c r="M31" s="60">
        <f>IF('[9]سجل المستخلصات'!$N$12="","",'[9]سجل المستخلصات'!$N$12)</f>
        <v/>
      </c>
      <c r="N31" s="59">
        <f>IF('[9]سجل المستخلصات'!$O$12="","",'[9]سجل المستخلصات'!$O$12)</f>
        <v/>
      </c>
      <c r="O31" s="59">
        <f>IF('[9]سجل المستخلصات'!$R$12="","",'[9]سجل المستخلصات'!$R$12)</f>
        <v/>
      </c>
      <c r="P31" s="59">
        <f>IF('[9]سجل المستخلصات'!$S$12="","",'[9]سجل المستخلصات'!$S$12)</f>
        <v/>
      </c>
      <c r="Q31" s="59">
        <f>IF('[9]سجل المستخلصات'!$T$12="","",'[9]سجل المستخلصات'!$T$12)</f>
        <v/>
      </c>
      <c r="R31" s="59">
        <f>IF('[9]سجل المستخلصات'!$V$12="","",'[9]سجل المستخلصات'!$V$12)</f>
        <v/>
      </c>
      <c r="S31" s="59">
        <f>IF('[9]سجل المستخلصات'!$W$12="","",'[9]سجل المستخلصات'!$W$12)</f>
        <v/>
      </c>
      <c r="T31" s="61">
        <f>IF('[9]سجل المستخلصات'!$X$12="","",'[9]سجل المستخلصات'!$X$12)</f>
        <v/>
      </c>
      <c r="U31" s="61">
        <f>IF('[9]سجل المستخلصات'!$Z$12="","",'[9]سجل المستخلصات'!$Z$12)</f>
        <v/>
      </c>
      <c r="V31" s="59">
        <f>IF('[9]سجل المستخلصات'!$AA$12="","",'[9]سجل المستخلصات'!$AA$12)</f>
        <v/>
      </c>
      <c r="W31" s="59">
        <f>IF('[9]سجل المستخلصات'!$AC$12="","",'[9]سجل المستخلصات'!$AC$12)</f>
        <v/>
      </c>
      <c r="X31" s="62">
        <f>IF('[9]سجل المستخلصات'!$AD$12="","",'[9]سجل المستخلصات'!$AD$12)</f>
        <v/>
      </c>
      <c r="Y31" s="58">
        <f>IF('[9]سجل المستخلصات'!$AE$12="","",'[9]سجل المستخلصات'!$AE$12)</f>
        <v/>
      </c>
    </row>
    <row r="32">
      <c r="B32" s="56" t="n">
        <v>8</v>
      </c>
      <c r="C32" s="57">
        <f>IF('[9]سجل المستخلصات'!$C$13="","",'[9]سجل المستخلصات'!$C$13)</f>
        <v/>
      </c>
      <c r="D32" s="57">
        <f>IF('[9]سجل المستخلصات'!$E$13="","",'[9]سجل المستخلصات'!$E$13)</f>
        <v/>
      </c>
      <c r="E32" s="58">
        <f>IF('[9]سجل المستخلصات'!$F$13="","",'[9]سجل المستخلصات'!$F$13)</f>
        <v/>
      </c>
      <c r="F32" s="59">
        <f>IF('[9]سجل المستخلصات'!$H$13="","",'[9]سجل المستخلصات'!$H$13)</f>
        <v/>
      </c>
      <c r="G32" s="59">
        <f>IF('[9]سجل المستخلصات'!$G$13="","",'[9]سجل المستخلصات'!$G$13)</f>
        <v/>
      </c>
      <c r="H32" s="59">
        <f>IF('[9]سجل المستخلصات'!$I$13="","",'[9]سجل المستخلصات'!$I$13)</f>
        <v/>
      </c>
      <c r="I32" s="59">
        <f>IF('[9]سجل المستخلصات'!$J$13="","",'[9]سجل المستخلصات'!$J$13)</f>
        <v/>
      </c>
      <c r="J32" s="59">
        <f>IF('[9]سجل المستخلصات'!$K$13="","",'[9]سجل المستخلصات'!$K$13)</f>
        <v/>
      </c>
      <c r="K32" s="60">
        <f>IF('[9]سجل المستخلصات'!$L$13="","",'[9]سجل المستخلصات'!$L$13)</f>
        <v/>
      </c>
      <c r="L32" s="60">
        <f>IF('[9]سجل المستخلصات'!$M$13="","",'[9]سجل المستخلصات'!$M$13)</f>
        <v/>
      </c>
      <c r="M32" s="60">
        <f>IF('[9]سجل المستخلصات'!$N$13="","",'[9]سجل المستخلصات'!$N$13)</f>
        <v/>
      </c>
      <c r="N32" s="59">
        <f>IF('[9]سجل المستخلصات'!$O$13="","",'[9]سجل المستخلصات'!$O$13)</f>
        <v/>
      </c>
      <c r="O32" s="59">
        <f>IF('[9]سجل المستخلصات'!$R$13="","",'[9]سجل المستخلصات'!$R$13)</f>
        <v/>
      </c>
      <c r="P32" s="59">
        <f>IF('[9]سجل المستخلصات'!$S$13="","",'[9]سجل المستخلصات'!$S$13)</f>
        <v/>
      </c>
      <c r="Q32" s="59">
        <f>IF('[9]سجل المستخلصات'!$T$13="","",'[9]سجل المستخلصات'!$T$13)</f>
        <v/>
      </c>
      <c r="R32" s="59">
        <f>IF('[9]سجل المستخلصات'!$V$13="","",'[9]سجل المستخلصات'!$V$13)</f>
        <v/>
      </c>
      <c r="S32" s="59">
        <f>IF('[9]سجل المستخلصات'!$W$13="","",'[9]سجل المستخلصات'!$W$13)</f>
        <v/>
      </c>
      <c r="T32" s="61">
        <f>IF('[9]سجل المستخلصات'!$X$13="","",'[9]سجل المستخلصات'!$X$13)</f>
        <v/>
      </c>
      <c r="U32" s="61">
        <f>IF('[9]سجل المستخلصات'!$Z$13="","",'[9]سجل المستخلصات'!$Z$13)</f>
        <v/>
      </c>
      <c r="V32" s="59">
        <f>IF('[9]سجل المستخلصات'!$AA$13="","",'[9]سجل المستخلصات'!$AA$13)</f>
        <v/>
      </c>
      <c r="W32" s="59">
        <f>IF('[9]سجل المستخلصات'!$AC$13="","",'[9]سجل المستخلصات'!$AC$13)</f>
        <v/>
      </c>
      <c r="X32" s="62">
        <f>IF('[9]سجل المستخلصات'!$AD$13="","",'[9]سجل المستخلصات'!$AD$13)</f>
        <v/>
      </c>
      <c r="Y32" s="58">
        <f>IF('[9]سجل المستخلصات'!$AE$13="","",'[9]سجل المستخلصات'!$AE$13)</f>
        <v/>
      </c>
    </row>
    <row r="33">
      <c r="B33" s="56" t="n">
        <v>9</v>
      </c>
      <c r="C33" s="57">
        <f>IF('[9]سجل المستخلصات'!$C$14="","",'[9]سجل المستخلصات'!$C$14)</f>
        <v/>
      </c>
      <c r="D33" s="57">
        <f>IF('[9]سجل المستخلصات'!$E$14="","",'[9]سجل المستخلصات'!$E$14)</f>
        <v/>
      </c>
      <c r="E33" s="58">
        <f>IF('[9]سجل المستخلصات'!$F$14="","",'[9]سجل المستخلصات'!$F$14)</f>
        <v/>
      </c>
      <c r="F33" s="59">
        <f>IF('[9]سجل المستخلصات'!$H$14="","",'[9]سجل المستخلصات'!$H$14)</f>
        <v/>
      </c>
      <c r="G33" s="59">
        <f>IF('[9]سجل المستخلصات'!$G$14="","",'[9]سجل المستخلصات'!$G$14)</f>
        <v/>
      </c>
      <c r="H33" s="59">
        <f>IF('[9]سجل المستخلصات'!$I$14="","",'[9]سجل المستخلصات'!$I$14)</f>
        <v/>
      </c>
      <c r="I33" s="59">
        <f>IF('[9]سجل المستخلصات'!$J$14="","",'[9]سجل المستخلصات'!$J$14)</f>
        <v/>
      </c>
      <c r="J33" s="59">
        <f>IF('[9]سجل المستخلصات'!$K$14="","",'[9]سجل المستخلصات'!$K$14)</f>
        <v/>
      </c>
      <c r="K33" s="60">
        <f>IF('[9]سجل المستخلصات'!$L$14="","",'[9]سجل المستخلصات'!$L$14)</f>
        <v/>
      </c>
      <c r="L33" s="60">
        <f>IF('[9]سجل المستخلصات'!$M$14="","",'[9]سجل المستخلصات'!$M$14)</f>
        <v/>
      </c>
      <c r="M33" s="60">
        <f>IF('[9]سجل المستخلصات'!$N$14="","",'[9]سجل المستخلصات'!$N$14)</f>
        <v/>
      </c>
      <c r="N33" s="59">
        <f>IF('[9]سجل المستخلصات'!$O$14="","",'[9]سجل المستخلصات'!$O$14)</f>
        <v/>
      </c>
      <c r="O33" s="59">
        <f>IF('[9]سجل المستخلصات'!$R$14="","",'[9]سجل المستخلصات'!$R$14)</f>
        <v/>
      </c>
      <c r="P33" s="59">
        <f>IF('[9]سجل المستخلصات'!$S$14="","",'[9]سجل المستخلصات'!$S$14)</f>
        <v/>
      </c>
      <c r="Q33" s="59">
        <f>IF('[9]سجل المستخلصات'!$T$14="","",'[9]سجل المستخلصات'!$T$14)</f>
        <v/>
      </c>
      <c r="R33" s="59">
        <f>IF('[9]سجل المستخلصات'!$V$14="","",'[9]سجل المستخلصات'!$V$14)</f>
        <v/>
      </c>
      <c r="S33" s="59">
        <f>IF('[9]سجل المستخلصات'!$W$14="","",'[9]سجل المستخلصات'!$W$14)</f>
        <v/>
      </c>
      <c r="T33" s="61">
        <f>IF('[9]سجل المستخلصات'!$X$14="","",'[9]سجل المستخلصات'!$X$14)</f>
        <v/>
      </c>
      <c r="U33" s="61">
        <f>IF('[9]سجل المستخلصات'!$Z$14="","",'[9]سجل المستخلصات'!$Z$14)</f>
        <v/>
      </c>
      <c r="V33" s="59">
        <f>IF('[9]سجل المستخلصات'!$AA$14="","",'[9]سجل المستخلصات'!$AA$14)</f>
        <v/>
      </c>
      <c r="W33" s="59">
        <f>IF('[9]سجل المستخلصات'!$AC$14="","",'[9]سجل المستخلصات'!$AC$14)</f>
        <v/>
      </c>
      <c r="X33" s="62">
        <f>IF('[9]سجل المستخلصات'!$AD$14="","",'[9]سجل المستخلصات'!$AD$14)</f>
        <v/>
      </c>
      <c r="Y33" s="58">
        <f>IF('[9]سجل المستخلصات'!$AE$14="","",'[9]سجل المستخلصات'!$AE$14)</f>
        <v/>
      </c>
    </row>
    <row r="34">
      <c r="B34" s="56" t="n">
        <v>10</v>
      </c>
      <c r="C34" s="57">
        <f>IF('[9]سجل المستخلصات'!$C$15="","",'[9]سجل المستخلصات'!$C$15)</f>
        <v/>
      </c>
      <c r="D34" s="57">
        <f>IF('[9]سجل المستخلصات'!$E$15="","",'[9]سجل المستخلصات'!$E$15)</f>
        <v/>
      </c>
      <c r="E34" s="58">
        <f>IF('[9]سجل المستخلصات'!$F$15="","",'[9]سجل المستخلصات'!$F$15)</f>
        <v/>
      </c>
      <c r="F34" s="59">
        <f>IF('[9]سجل المستخلصات'!$H$15="","",'[9]سجل المستخلصات'!$H$15)</f>
        <v/>
      </c>
      <c r="G34" s="59">
        <f>IF('[9]سجل المستخلصات'!$G$15="","",'[9]سجل المستخلصات'!$G$15)</f>
        <v/>
      </c>
      <c r="H34" s="59">
        <f>IF('[9]سجل المستخلصات'!$I$15="","",'[9]سجل المستخلصات'!$I$15)</f>
        <v/>
      </c>
      <c r="I34" s="59">
        <f>IF('[9]سجل المستخلصات'!$J$15="","",'[9]سجل المستخلصات'!$J$15)</f>
        <v/>
      </c>
      <c r="J34" s="59">
        <f>IF('[9]سجل المستخلصات'!$K$15="","",'[9]سجل المستخلصات'!$K$15)</f>
        <v/>
      </c>
      <c r="K34" s="60">
        <f>IF('[9]سجل المستخلصات'!$L$15="","",'[9]سجل المستخلصات'!$L$15)</f>
        <v/>
      </c>
      <c r="L34" s="60">
        <f>IF('[9]سجل المستخلصات'!$M$15="","",'[9]سجل المستخلصات'!$M$15)</f>
        <v/>
      </c>
      <c r="M34" s="60">
        <f>IF('[9]سجل المستخلصات'!$N$15="","",'[9]سجل المستخلصات'!$N$15)</f>
        <v/>
      </c>
      <c r="N34" s="59">
        <f>IF('[9]سجل المستخلصات'!$O$15="","",'[9]سجل المستخلصات'!$O$15)</f>
        <v/>
      </c>
      <c r="O34" s="59">
        <f>IF('[9]سجل المستخلصات'!$R$15="","",'[9]سجل المستخلصات'!$R$15)</f>
        <v/>
      </c>
      <c r="P34" s="59">
        <f>IF('[9]سجل المستخلصات'!$S$15="","",'[9]سجل المستخلصات'!$S$15)</f>
        <v/>
      </c>
      <c r="Q34" s="59">
        <f>IF('[9]سجل المستخلصات'!$T$15="","",'[9]سجل المستخلصات'!$T$15)</f>
        <v/>
      </c>
      <c r="R34" s="59">
        <f>IF('[9]سجل المستخلصات'!$V$15="","",'[9]سجل المستخلصات'!$V$15)</f>
        <v/>
      </c>
      <c r="S34" s="59">
        <f>IF('[9]سجل المستخلصات'!$W$15="","",'[9]سجل المستخلصات'!$W$15)</f>
        <v/>
      </c>
      <c r="T34" s="61">
        <f>IF('[9]سجل المستخلصات'!$X$15="","",'[9]سجل المستخلصات'!$X$15)</f>
        <v/>
      </c>
      <c r="U34" s="61">
        <f>IF('[9]سجل المستخلصات'!$Z$15="","",'[9]سجل المستخلصات'!$Z$15)</f>
        <v/>
      </c>
      <c r="V34" s="59">
        <f>IF('[9]سجل المستخلصات'!$AA$15="","",'[9]سجل المستخلصات'!$AA$15)</f>
        <v/>
      </c>
      <c r="W34" s="59">
        <f>IF('[9]سجل المستخلصات'!$AC$15="","",'[9]سجل المستخلصات'!$AC$15)</f>
        <v/>
      </c>
      <c r="X34" s="62">
        <f>IF('[9]سجل المستخلصات'!$AD$15="","",'[9]سجل المستخلصات'!$AD$15)</f>
        <v/>
      </c>
      <c r="Y34" s="58">
        <f>IF('[9]سجل المستخلصات'!$AE$15="","",'[9]سجل المستخلصات'!$AE$15)</f>
        <v/>
      </c>
    </row>
    <row r="35">
      <c r="B35" s="56" t="n">
        <v>11</v>
      </c>
      <c r="C35" s="57">
        <f>IF('[9]سجل المستخلصات'!$C$16="","",'[9]سجل المستخلصات'!$C$16)</f>
        <v/>
      </c>
      <c r="D35" s="57">
        <f>IF('[9]سجل المستخلصات'!$E$16="","",'[9]سجل المستخلصات'!$E$16)</f>
        <v/>
      </c>
      <c r="E35" s="58">
        <f>IF('[9]سجل المستخلصات'!$F$16="","",'[9]سجل المستخلصات'!$F$16)</f>
        <v/>
      </c>
      <c r="F35" s="59">
        <f>IF('[9]سجل المستخلصات'!$H$16="","",'[9]سجل المستخلصات'!$H$16)</f>
        <v/>
      </c>
      <c r="G35" s="59">
        <f>IF('[9]سجل المستخلصات'!$G$16="","",'[9]سجل المستخلصات'!$G$16)</f>
        <v/>
      </c>
      <c r="H35" s="59">
        <f>IF('[9]سجل المستخلصات'!$I$16="","",'[9]سجل المستخلصات'!$I$16)</f>
        <v/>
      </c>
      <c r="I35" s="59">
        <f>IF('[9]سجل المستخلصات'!$J$16="","",'[9]سجل المستخلصات'!$J$16)</f>
        <v/>
      </c>
      <c r="J35" s="59">
        <f>IF('[9]سجل المستخلصات'!$K$16="","",'[9]سجل المستخلصات'!$K$16)</f>
        <v/>
      </c>
      <c r="K35" s="60">
        <f>IF('[9]سجل المستخلصات'!$L$16="","",'[9]سجل المستخلصات'!$L$16)</f>
        <v/>
      </c>
      <c r="L35" s="60">
        <f>IF('[9]سجل المستخلصات'!$M$16="","",'[9]سجل المستخلصات'!$M$16)</f>
        <v/>
      </c>
      <c r="M35" s="60">
        <f>IF('[9]سجل المستخلصات'!$N$16="","",'[9]سجل المستخلصات'!$N$16)</f>
        <v/>
      </c>
      <c r="N35" s="59">
        <f>IF('[9]سجل المستخلصات'!$O$16="","",'[9]سجل المستخلصات'!$O$16)</f>
        <v/>
      </c>
      <c r="O35" s="59">
        <f>IF('[9]سجل المستخلصات'!$R$16="","",'[9]سجل المستخلصات'!$R$16)</f>
        <v/>
      </c>
      <c r="P35" s="59">
        <f>IF('[9]سجل المستخلصات'!$S$16="","",'[9]سجل المستخلصات'!$S$16)</f>
        <v/>
      </c>
      <c r="Q35" s="59">
        <f>IF('[9]سجل المستخلصات'!$T$16="","",'[9]سجل المستخلصات'!$T$16)</f>
        <v/>
      </c>
      <c r="R35" s="59">
        <f>IF('[9]سجل المستخلصات'!$V$16="","",'[9]سجل المستخلصات'!$V$16)</f>
        <v/>
      </c>
      <c r="S35" s="59">
        <f>IF('[9]سجل المستخلصات'!$W$16="","",'[9]سجل المستخلصات'!$W$16)</f>
        <v/>
      </c>
      <c r="T35" s="61">
        <f>IF('[9]سجل المستخلصات'!$X$16="","",'[9]سجل المستخلصات'!$X$16)</f>
        <v/>
      </c>
      <c r="U35" s="61">
        <f>IF('[9]سجل المستخلصات'!$Z$16="","",'[9]سجل المستخلصات'!$Z$16)</f>
        <v/>
      </c>
      <c r="V35" s="59">
        <f>IF('[9]سجل المستخلصات'!$AA$16="","",'[9]سجل المستخلصات'!$AA$16)</f>
        <v/>
      </c>
      <c r="W35" s="59">
        <f>IF('[9]سجل المستخلصات'!$AC$16="","",'[9]سجل المستخلصات'!$AC$16)</f>
        <v/>
      </c>
      <c r="X35" s="62">
        <f>IF('[9]سجل المستخلصات'!$AD$16="","",'[9]سجل المستخلصات'!$AD$16)</f>
        <v/>
      </c>
      <c r="Y35" s="58">
        <f>IF('[9]سجل المستخلصات'!$AE$16="","",'[9]سجل المستخلصات'!$AE$16)</f>
        <v/>
      </c>
    </row>
    <row r="36">
      <c r="B36" s="56" t="n">
        <v>12</v>
      </c>
      <c r="C36" s="57">
        <f>IF('[9]سجل المستخلصات'!$C$17="","",'[9]سجل المستخلصات'!$C$17)</f>
        <v/>
      </c>
      <c r="D36" s="57">
        <f>IF('[9]سجل المستخلصات'!$E$17="","",'[9]سجل المستخلصات'!$E$17)</f>
        <v/>
      </c>
      <c r="E36" s="58">
        <f>IF('[9]سجل المستخلصات'!$F$17="","",'[9]سجل المستخلصات'!$F$17)</f>
        <v/>
      </c>
      <c r="F36" s="59">
        <f>IF('[9]سجل المستخلصات'!$H$17="","",'[9]سجل المستخلصات'!$H$17)</f>
        <v/>
      </c>
      <c r="G36" s="59">
        <f>IF('[9]سجل المستخلصات'!$G$17="","",'[9]سجل المستخلصات'!$G$17)</f>
        <v/>
      </c>
      <c r="H36" s="59">
        <f>IF('[9]سجل المستخلصات'!$I$17="","",'[9]سجل المستخلصات'!$I$17)</f>
        <v/>
      </c>
      <c r="I36" s="59">
        <f>IF('[9]سجل المستخلصات'!$J$17="","",'[9]سجل المستخلصات'!$J$17)</f>
        <v/>
      </c>
      <c r="J36" s="59">
        <f>IF('[9]سجل المستخلصات'!$K$17="","",'[9]سجل المستخلصات'!$K$17)</f>
        <v/>
      </c>
      <c r="K36" s="60">
        <f>IF('[9]سجل المستخلصات'!$L$17="","",'[9]سجل المستخلصات'!$L$17)</f>
        <v/>
      </c>
      <c r="L36" s="60">
        <f>IF('[9]سجل المستخلصات'!$M$17="","",'[9]سجل المستخلصات'!$M$17)</f>
        <v/>
      </c>
      <c r="M36" s="60">
        <f>IF('[9]سجل المستخلصات'!$N$17="","",'[9]سجل المستخلصات'!$N$17)</f>
        <v/>
      </c>
      <c r="N36" s="59">
        <f>IF('[9]سجل المستخلصات'!$O$17="","",'[9]سجل المستخلصات'!$O$17)</f>
        <v/>
      </c>
      <c r="O36" s="59">
        <f>IF('[9]سجل المستخلصات'!$R$17="","",'[9]سجل المستخلصات'!$R$17)</f>
        <v/>
      </c>
      <c r="P36" s="59">
        <f>IF('[9]سجل المستخلصات'!$S$17="","",'[9]سجل المستخلصات'!$S$17)</f>
        <v/>
      </c>
      <c r="Q36" s="59">
        <f>IF('[9]سجل المستخلصات'!$T$17="","",'[9]سجل المستخلصات'!$T$17)</f>
        <v/>
      </c>
      <c r="R36" s="59">
        <f>IF('[9]سجل المستخلصات'!$V$17="","",'[9]سجل المستخلصات'!$V$17)</f>
        <v/>
      </c>
      <c r="S36" s="59">
        <f>IF('[9]سجل المستخلصات'!$W$17="","",'[9]سجل المستخلصات'!$W$17)</f>
        <v/>
      </c>
      <c r="T36" s="61">
        <f>IF('[9]سجل المستخلصات'!$X$17="","",'[9]سجل المستخلصات'!$X$17)</f>
        <v/>
      </c>
      <c r="U36" s="61">
        <f>IF('[9]سجل المستخلصات'!$Z$17="","",'[9]سجل المستخلصات'!$Z$17)</f>
        <v/>
      </c>
      <c r="V36" s="59">
        <f>IF('[9]سجل المستخلصات'!$AA$17="","",'[9]سجل المستخلصات'!$AA$17)</f>
        <v/>
      </c>
      <c r="W36" s="59">
        <f>IF('[9]سجل المستخلصات'!$AC$17="","",'[9]سجل المستخلصات'!$AC$17)</f>
        <v/>
      </c>
      <c r="X36" s="62">
        <f>IF('[9]سجل المستخلصات'!$AD$17="","",'[9]سجل المستخلصات'!$AD$17)</f>
        <v/>
      </c>
      <c r="Y36" s="58">
        <f>IF('[9]سجل المستخلصات'!$AE$17="","",'[9]سجل المستخلصات'!$AE$17)</f>
        <v/>
      </c>
    </row>
    <row r="37">
      <c r="B37" s="56" t="n">
        <v>13</v>
      </c>
      <c r="C37" s="57">
        <f>IF('[9]سجل المستخلصات'!$C$18="","",'[9]سجل المستخلصات'!$C$18)</f>
        <v/>
      </c>
      <c r="D37" s="57">
        <f>IF('[9]سجل المستخلصات'!$E$18="","",'[9]سجل المستخلصات'!$E$18)</f>
        <v/>
      </c>
      <c r="E37" s="58">
        <f>IF('[9]سجل المستخلصات'!$F$18="","",'[9]سجل المستخلصات'!$F$18)</f>
        <v/>
      </c>
      <c r="F37" s="59">
        <f>IF('[9]سجل المستخلصات'!$H$18="","",'[9]سجل المستخلصات'!$H$18)</f>
        <v/>
      </c>
      <c r="G37" s="59">
        <f>IF('[9]سجل المستخلصات'!$G$18="","",'[9]سجل المستخلصات'!$G$18)</f>
        <v/>
      </c>
      <c r="H37" s="59">
        <f>IF('[9]سجل المستخلصات'!$I$18="","",'[9]سجل المستخلصات'!$I$18)</f>
        <v/>
      </c>
      <c r="I37" s="59">
        <f>IF('[9]سجل المستخلصات'!$J$18="","",'[9]سجل المستخلصات'!$J$18)</f>
        <v/>
      </c>
      <c r="J37" s="59">
        <f>IF('[9]سجل المستخلصات'!$K$18="","",'[9]سجل المستخلصات'!$K$18)</f>
        <v/>
      </c>
      <c r="K37" s="60">
        <f>IF('[9]سجل المستخلصات'!$L$18="","",'[9]سجل المستخلصات'!$L$18)</f>
        <v/>
      </c>
      <c r="L37" s="60">
        <f>IF('[9]سجل المستخلصات'!$M$18="","",'[9]سجل المستخلصات'!$M$18)</f>
        <v/>
      </c>
      <c r="M37" s="60">
        <f>IF('[9]سجل المستخلصات'!$N$18="","",'[9]سجل المستخلصات'!$N$18)</f>
        <v/>
      </c>
      <c r="N37" s="59">
        <f>IF('[9]سجل المستخلصات'!$O$18="","",'[9]سجل المستخلصات'!$O$18)</f>
        <v/>
      </c>
      <c r="O37" s="59">
        <f>IF('[9]سجل المستخلصات'!$R$18="","",'[9]سجل المستخلصات'!$R$18)</f>
        <v/>
      </c>
      <c r="P37" s="59">
        <f>IF('[9]سجل المستخلصات'!$S$18="","",'[9]سجل المستخلصات'!$S$18)</f>
        <v/>
      </c>
      <c r="Q37" s="59">
        <f>IF('[9]سجل المستخلصات'!$T$18="","",'[9]سجل المستخلصات'!$T$18)</f>
        <v/>
      </c>
      <c r="R37" s="59">
        <f>IF('[9]سجل المستخلصات'!$V$18="","",'[9]سجل المستخلصات'!$V$18)</f>
        <v/>
      </c>
      <c r="S37" s="59">
        <f>IF('[9]سجل المستخلصات'!$W$18="","",'[9]سجل المستخلصات'!$W$18)</f>
        <v/>
      </c>
      <c r="T37" s="61">
        <f>IF('[9]سجل المستخلصات'!$X$18="","",'[9]سجل المستخلصات'!$X$18)</f>
        <v/>
      </c>
      <c r="U37" s="61">
        <f>IF('[9]سجل المستخلصات'!$Z$18="","",'[9]سجل المستخلصات'!$Z$18)</f>
        <v/>
      </c>
      <c r="V37" s="59">
        <f>IF('[9]سجل المستخلصات'!$AA$18="","",'[9]سجل المستخلصات'!$AA$18)</f>
        <v/>
      </c>
      <c r="W37" s="59">
        <f>IF('[9]سجل المستخلصات'!$AC$18="","",'[9]سجل المستخلصات'!$AC$18)</f>
        <v/>
      </c>
      <c r="X37" s="62">
        <f>IF('[9]سجل المستخلصات'!$AD$18="","",'[9]سجل المستخلصات'!$AD$18)</f>
        <v/>
      </c>
      <c r="Y37" s="58">
        <f>IF('[9]سجل المستخلصات'!$AE$18="","",'[9]سجل المستخلصات'!$AE$18)</f>
        <v/>
      </c>
    </row>
    <row r="38">
      <c r="B38" s="56" t="n">
        <v>14</v>
      </c>
      <c r="C38" s="57">
        <f>IF('[9]سجل المستخلصات'!$C$19="","",'[9]سجل المستخلصات'!$C$19)</f>
        <v/>
      </c>
      <c r="D38" s="57">
        <f>IF('[9]سجل المستخلصات'!$E$19="","",'[9]سجل المستخلصات'!$E$19)</f>
        <v/>
      </c>
      <c r="E38" s="58">
        <f>IF('[9]سجل المستخلصات'!$F$19="","",'[9]سجل المستخلصات'!$F$19)</f>
        <v/>
      </c>
      <c r="F38" s="59">
        <f>IF('[9]سجل المستخلصات'!$H$19="","",'[9]سجل المستخلصات'!$H$19)</f>
        <v/>
      </c>
      <c r="G38" s="59">
        <f>IF('[9]سجل المستخلصات'!$G$19="","",'[9]سجل المستخلصات'!$G$19)</f>
        <v/>
      </c>
      <c r="H38" s="59">
        <f>IF('[9]سجل المستخلصات'!$I$19="","",'[9]سجل المستخلصات'!$I$19)</f>
        <v/>
      </c>
      <c r="I38" s="59">
        <f>IF('[9]سجل المستخلصات'!$J$19="","",'[9]سجل المستخلصات'!$J$19)</f>
        <v/>
      </c>
      <c r="J38" s="59">
        <f>IF('[9]سجل المستخلصات'!$K$19="","",'[9]سجل المستخلصات'!$K$19)</f>
        <v/>
      </c>
      <c r="K38" s="60">
        <f>IF('[9]سجل المستخلصات'!$L$19="","",'[9]سجل المستخلصات'!$L$19)</f>
        <v/>
      </c>
      <c r="L38" s="60">
        <f>IF('[9]سجل المستخلصات'!$M$19="","",'[9]سجل المستخلصات'!$M$19)</f>
        <v/>
      </c>
      <c r="M38" s="60">
        <f>IF('[9]سجل المستخلصات'!$N$19="","",'[9]سجل المستخلصات'!$N$19)</f>
        <v/>
      </c>
      <c r="N38" s="59">
        <f>IF('[9]سجل المستخلصات'!$O$19="","",'[9]سجل المستخلصات'!$O$19)</f>
        <v/>
      </c>
      <c r="O38" s="59">
        <f>IF('[9]سجل المستخلصات'!$R$19="","",'[9]سجل المستخلصات'!$R$19)</f>
        <v/>
      </c>
      <c r="P38" s="59">
        <f>IF('[9]سجل المستخلصات'!$S$19="","",'[9]سجل المستخلصات'!$S$19)</f>
        <v/>
      </c>
      <c r="Q38" s="59">
        <f>IF('[9]سجل المستخلصات'!$T$19="","",'[9]سجل المستخلصات'!$T$19)</f>
        <v/>
      </c>
      <c r="R38" s="59">
        <f>IF('[9]سجل المستخلصات'!$V$19="","",'[9]سجل المستخلصات'!$V$19)</f>
        <v/>
      </c>
      <c r="S38" s="59">
        <f>IF('[9]سجل المستخلصات'!$W$19="","",'[9]سجل المستخلصات'!$W$19)</f>
        <v/>
      </c>
      <c r="T38" s="61">
        <f>IF('[9]سجل المستخلصات'!$X$19="","",'[9]سجل المستخلصات'!$X$19)</f>
        <v/>
      </c>
      <c r="U38" s="61">
        <f>IF('[9]سجل المستخلصات'!$Z$19="","",'[9]سجل المستخلصات'!$Z$19)</f>
        <v/>
      </c>
      <c r="V38" s="59">
        <f>IF('[9]سجل المستخلصات'!$AA$19="","",'[9]سجل المستخلصات'!$AA$19)</f>
        <v/>
      </c>
      <c r="W38" s="59">
        <f>IF('[9]سجل المستخلصات'!$AC$19="","",'[9]سجل المستخلصات'!$AC$19)</f>
        <v/>
      </c>
      <c r="X38" s="62">
        <f>IF('[9]سجل المستخلصات'!$AD$19="","",'[9]سجل المستخلصات'!$AD$19)</f>
        <v/>
      </c>
      <c r="Y38" s="58">
        <f>IF('[9]سجل المستخلصات'!$AE$19="","",'[9]سجل المستخلصات'!$AE$19)</f>
        <v/>
      </c>
    </row>
    <row r="39">
      <c r="B39" s="56" t="n">
        <v>15</v>
      </c>
      <c r="C39" s="57">
        <f>IF('[9]سجل المستخلصات'!$C$20="","",'[9]سجل المستخلصات'!$C$20)</f>
        <v/>
      </c>
      <c r="D39" s="57">
        <f>IF('[9]سجل المستخلصات'!$E$20="","",'[9]سجل المستخلصات'!$E$20)</f>
        <v/>
      </c>
      <c r="E39" s="58">
        <f>IF('[9]سجل المستخلصات'!$F$20="","",'[9]سجل المستخلصات'!$F$20)</f>
        <v/>
      </c>
      <c r="F39" s="59">
        <f>IF('[9]سجل المستخلصات'!$H$20="","",'[9]سجل المستخلصات'!$H$20)</f>
        <v/>
      </c>
      <c r="G39" s="59">
        <f>IF('[9]سجل المستخلصات'!$G$20="","",'[9]سجل المستخلصات'!$G$20)</f>
        <v/>
      </c>
      <c r="H39" s="59">
        <f>IF('[9]سجل المستخلصات'!$I$20="","",'[9]سجل المستخلصات'!$I$20)</f>
        <v/>
      </c>
      <c r="I39" s="59">
        <f>IF('[9]سجل المستخلصات'!$J$20="","",'[9]سجل المستخلصات'!$J$20)</f>
        <v/>
      </c>
      <c r="J39" s="59">
        <f>IF('[9]سجل المستخلصات'!$K$20="","",'[9]سجل المستخلصات'!$K$20)</f>
        <v/>
      </c>
      <c r="K39" s="60">
        <f>IF('[9]سجل المستخلصات'!$L$20="","",'[9]سجل المستخلصات'!$L$20)</f>
        <v/>
      </c>
      <c r="L39" s="60">
        <f>IF('[9]سجل المستخلصات'!$M$20="","",'[9]سجل المستخلصات'!$M$20)</f>
        <v/>
      </c>
      <c r="M39" s="60">
        <f>IF('[9]سجل المستخلصات'!$N$20="","",'[9]سجل المستخلصات'!$N$20)</f>
        <v/>
      </c>
      <c r="N39" s="59">
        <f>IF('[9]سجل المستخلصات'!$O$20="","",'[9]سجل المستخلصات'!$O$20)</f>
        <v/>
      </c>
      <c r="O39" s="59">
        <f>IF('[9]سجل المستخلصات'!$R$20="","",'[9]سجل المستخلصات'!$R$20)</f>
        <v/>
      </c>
      <c r="P39" s="59">
        <f>IF('[9]سجل المستخلصات'!$S$20="","",'[9]سجل المستخلصات'!$S$20)</f>
        <v/>
      </c>
      <c r="Q39" s="59">
        <f>IF('[9]سجل المستخلصات'!$T$20="","",'[9]سجل المستخلصات'!$T$20)</f>
        <v/>
      </c>
      <c r="R39" s="59">
        <f>IF('[9]سجل المستخلصات'!$V$20="","",'[9]سجل المستخلصات'!$V$20)</f>
        <v/>
      </c>
      <c r="S39" s="59">
        <f>IF('[9]سجل المستخلصات'!$W$20="","",'[9]سجل المستخلصات'!$W$20)</f>
        <v/>
      </c>
      <c r="T39" s="61">
        <f>IF('[9]سجل المستخلصات'!$X$20="","",'[9]سجل المستخلصات'!$X$20)</f>
        <v/>
      </c>
      <c r="U39" s="61">
        <f>IF('[9]سجل المستخلصات'!$Z$20="","",'[9]سجل المستخلصات'!$Z$20)</f>
        <v/>
      </c>
      <c r="V39" s="59">
        <f>IF('[9]سجل المستخلصات'!$AA$20="","",'[9]سجل المستخلصات'!$AA$20)</f>
        <v/>
      </c>
      <c r="W39" s="59">
        <f>IF('[9]سجل المستخلصات'!$AC$20="","",'[9]سجل المستخلصات'!$AC$20)</f>
        <v/>
      </c>
      <c r="X39" s="62">
        <f>IF('[9]سجل المستخلصات'!$AD$20="","",'[9]سجل المستخلصات'!$AD$20)</f>
        <v/>
      </c>
      <c r="Y39" s="58">
        <f>IF('[9]سجل المستخلصات'!$AE$20="","",'[9]سجل المستخلصات'!$AE$20)</f>
        <v/>
      </c>
    </row>
    <row r="40">
      <c r="B40" s="56" t="n">
        <v>16</v>
      </c>
      <c r="C40" s="57">
        <f>IF('[9]سجل المستخلصات'!$C$21="","",'[9]سجل المستخلصات'!$C$21)</f>
        <v/>
      </c>
      <c r="D40" s="57">
        <f>IF('[9]سجل المستخلصات'!$E$21="","",'[9]سجل المستخلصات'!$E$21)</f>
        <v/>
      </c>
      <c r="E40" s="58">
        <f>IF('[9]سجل المستخلصات'!$F$21="","",'[9]سجل المستخلصات'!$F$21)</f>
        <v/>
      </c>
      <c r="F40" s="59">
        <f>IF('[9]سجل المستخلصات'!$H$21="","",'[9]سجل المستخلصات'!$H$21)</f>
        <v/>
      </c>
      <c r="G40" s="59">
        <f>IF('[9]سجل المستخلصات'!$G$21="","",'[9]سجل المستخلصات'!$G$21)</f>
        <v/>
      </c>
      <c r="H40" s="59">
        <f>IF('[9]سجل المستخلصات'!$I$21="","",'[9]سجل المستخلصات'!$I$21)</f>
        <v/>
      </c>
      <c r="I40" s="59">
        <f>IF('[9]سجل المستخلصات'!$J$21="","",'[9]سجل المستخلصات'!$J$21)</f>
        <v/>
      </c>
      <c r="J40" s="59">
        <f>IF('[9]سجل المستخلصات'!$K$21="","",'[9]سجل المستخلصات'!$K$21)</f>
        <v/>
      </c>
      <c r="K40" s="60">
        <f>IF('[9]سجل المستخلصات'!$L$21="","",'[9]سجل المستخلصات'!$L$21)</f>
        <v/>
      </c>
      <c r="L40" s="60">
        <f>IF('[9]سجل المستخلصات'!$M$21="","",'[9]سجل المستخلصات'!$M$21)</f>
        <v/>
      </c>
      <c r="M40" s="60">
        <f>IF('[9]سجل المستخلصات'!$N$21="","",'[9]سجل المستخلصات'!$N$21)</f>
        <v/>
      </c>
      <c r="N40" s="59">
        <f>IF('[9]سجل المستخلصات'!$O$21="","",'[9]سجل المستخلصات'!$O$21)</f>
        <v/>
      </c>
      <c r="O40" s="59">
        <f>IF('[9]سجل المستخلصات'!$R$21="","",'[9]سجل المستخلصات'!$R$21)</f>
        <v/>
      </c>
      <c r="P40" s="59">
        <f>IF('[9]سجل المستخلصات'!$S$21="","",'[9]سجل المستخلصات'!$S$21)</f>
        <v/>
      </c>
      <c r="Q40" s="59">
        <f>IF('[9]سجل المستخلصات'!$T$21="","",'[9]سجل المستخلصات'!$T$21)</f>
        <v/>
      </c>
      <c r="R40" s="59">
        <f>IF('[9]سجل المستخلصات'!$V$21="","",'[9]سجل المستخلصات'!$V$21)</f>
        <v/>
      </c>
      <c r="S40" s="59">
        <f>IF('[9]سجل المستخلصات'!$W$21="","",'[9]سجل المستخلصات'!$W$21)</f>
        <v/>
      </c>
      <c r="T40" s="61">
        <f>IF('[9]سجل المستخلصات'!$X$21="","",'[9]سجل المستخلصات'!$X$21)</f>
        <v/>
      </c>
      <c r="U40" s="61">
        <f>IF('[9]سجل المستخلصات'!$Z$21="","",'[9]سجل المستخلصات'!$Z$21)</f>
        <v/>
      </c>
      <c r="V40" s="59">
        <f>IF('[9]سجل المستخلصات'!$AA$21="","",'[9]سجل المستخلصات'!$AA$21)</f>
        <v/>
      </c>
      <c r="W40" s="59">
        <f>IF('[9]سجل المستخلصات'!$AC$21="","",'[9]سجل المستخلصات'!$AC$21)</f>
        <v/>
      </c>
      <c r="X40" s="62">
        <f>IF('[9]سجل المستخلصات'!$AD$21="","",'[9]سجل المستخلصات'!$AD$21)</f>
        <v/>
      </c>
      <c r="Y40" s="58">
        <f>IF('[9]سجل المستخلصات'!$AE$21="","",'[9]سجل المستخلصات'!$AE$21)</f>
        <v/>
      </c>
    </row>
    <row r="41">
      <c r="B41" s="56" t="n">
        <v>17</v>
      </c>
      <c r="C41" s="57">
        <f>IF('[9]سجل المستخلصات'!$C$22="","",'[9]سجل المستخلصات'!$C$22)</f>
        <v/>
      </c>
      <c r="D41" s="57">
        <f>IF('[9]سجل المستخلصات'!$E$22="","",'[9]سجل المستخلصات'!$E$22)</f>
        <v/>
      </c>
      <c r="E41" s="58">
        <f>IF('[9]سجل المستخلصات'!$F$22="","",'[9]سجل المستخلصات'!$F$22)</f>
        <v/>
      </c>
      <c r="F41" s="59">
        <f>IF('[9]سجل المستخلصات'!$H$22="","",'[9]سجل المستخلصات'!$H$22)</f>
        <v/>
      </c>
      <c r="G41" s="59">
        <f>IF('[9]سجل المستخلصات'!$G$22="","",'[9]سجل المستخلصات'!$G$22)</f>
        <v/>
      </c>
      <c r="H41" s="59">
        <f>IF('[9]سجل المستخلصات'!$I$22="","",'[9]سجل المستخلصات'!$I$22)</f>
        <v/>
      </c>
      <c r="I41" s="59">
        <f>IF('[9]سجل المستخلصات'!$J$22="","",'[9]سجل المستخلصات'!$J$22)</f>
        <v/>
      </c>
      <c r="J41" s="59">
        <f>IF('[9]سجل المستخلصات'!$K$22="","",'[9]سجل المستخلصات'!$K$22)</f>
        <v/>
      </c>
      <c r="K41" s="60">
        <f>IF('[9]سجل المستخلصات'!$L$22="","",'[9]سجل المستخلصات'!$L$22)</f>
        <v/>
      </c>
      <c r="L41" s="60">
        <f>IF('[9]سجل المستخلصات'!$M$22="","",'[9]سجل المستخلصات'!$M$22)</f>
        <v/>
      </c>
      <c r="M41" s="60">
        <f>IF('[9]سجل المستخلصات'!$N$22="","",'[9]سجل المستخلصات'!$N$22)</f>
        <v/>
      </c>
      <c r="N41" s="59">
        <f>IF('[9]سجل المستخلصات'!$O$22="","",'[9]سجل المستخلصات'!$O$22)</f>
        <v/>
      </c>
      <c r="O41" s="59">
        <f>IF('[9]سجل المستخلصات'!$R$22="","",'[9]سجل المستخلصات'!$R$22)</f>
        <v/>
      </c>
      <c r="P41" s="59">
        <f>IF('[9]سجل المستخلصات'!$S$22="","",'[9]سجل المستخلصات'!$S$22)</f>
        <v/>
      </c>
      <c r="Q41" s="59">
        <f>IF('[9]سجل المستخلصات'!$T$22="","",'[9]سجل المستخلصات'!$T$22)</f>
        <v/>
      </c>
      <c r="R41" s="59">
        <f>IF('[9]سجل المستخلصات'!$V$22="","",'[9]سجل المستخلصات'!$V$22)</f>
        <v/>
      </c>
      <c r="S41" s="59">
        <f>IF('[9]سجل المستخلصات'!$W$22="","",'[9]سجل المستخلصات'!$W$22)</f>
        <v/>
      </c>
      <c r="T41" s="61">
        <f>IF('[9]سجل المستخلصات'!$X$22="","",'[9]سجل المستخلصات'!$X$22)</f>
        <v/>
      </c>
      <c r="U41" s="61">
        <f>IF('[9]سجل المستخلصات'!$Z$22="","",'[9]سجل المستخلصات'!$Z$22)</f>
        <v/>
      </c>
      <c r="V41" s="59">
        <f>IF('[9]سجل المستخلصات'!$AA$22="","",'[9]سجل المستخلصات'!$AA$22)</f>
        <v/>
      </c>
      <c r="W41" s="59">
        <f>IF('[9]سجل المستخلصات'!$AC$22="","",'[9]سجل المستخلصات'!$AC$22)</f>
        <v/>
      </c>
      <c r="X41" s="62">
        <f>IF('[9]سجل المستخلصات'!$AD$22="","",'[9]سجل المستخلصات'!$AD$22)</f>
        <v/>
      </c>
      <c r="Y41" s="58">
        <f>IF('[9]سجل المستخلصات'!$AE$22="","",'[9]سجل المستخلصات'!$AE$22)</f>
        <v/>
      </c>
    </row>
    <row r="42">
      <c r="B42" s="56" t="n">
        <v>18</v>
      </c>
      <c r="C42" s="57">
        <f>IF('[9]سجل المستخلصات'!$C$23="","",'[9]سجل المستخلصات'!$C$23)</f>
        <v/>
      </c>
      <c r="D42" s="57">
        <f>IF('[9]سجل المستخلصات'!$E$23="","",'[9]سجل المستخلصات'!$E$23)</f>
        <v/>
      </c>
      <c r="E42" s="58">
        <f>IF('[9]سجل المستخلصات'!$F$23="","",'[9]سجل المستخلصات'!$F$23)</f>
        <v/>
      </c>
      <c r="F42" s="59">
        <f>IF('[9]سجل المستخلصات'!$H$23="","",'[9]سجل المستخلصات'!$H$23)</f>
        <v/>
      </c>
      <c r="G42" s="59">
        <f>IF('[9]سجل المستخلصات'!$G$23="","",'[9]سجل المستخلصات'!$G$23)</f>
        <v/>
      </c>
      <c r="H42" s="59">
        <f>IF('[9]سجل المستخلصات'!$I$23="","",'[9]سجل المستخلصات'!$I$23)</f>
        <v/>
      </c>
      <c r="I42" s="59">
        <f>IF('[9]سجل المستخلصات'!$J$23="","",'[9]سجل المستخلصات'!$J$23)</f>
        <v/>
      </c>
      <c r="J42" s="59">
        <f>IF('[9]سجل المستخلصات'!$K$23="","",'[9]سجل المستخلصات'!$K$23)</f>
        <v/>
      </c>
      <c r="K42" s="60">
        <f>IF('[9]سجل المستخلصات'!$L$23="","",'[9]سجل المستخلصات'!$L$23)</f>
        <v/>
      </c>
      <c r="L42" s="60">
        <f>IF('[9]سجل المستخلصات'!$M$23="","",'[9]سجل المستخلصات'!$M$23)</f>
        <v/>
      </c>
      <c r="M42" s="60">
        <f>IF('[9]سجل المستخلصات'!$N$23="","",'[9]سجل المستخلصات'!$N$23)</f>
        <v/>
      </c>
      <c r="N42" s="59">
        <f>IF('[9]سجل المستخلصات'!$O$23="","",'[9]سجل المستخلصات'!$O$23)</f>
        <v/>
      </c>
      <c r="O42" s="59">
        <f>IF('[9]سجل المستخلصات'!$R$23="","",'[9]سجل المستخلصات'!$R$23)</f>
        <v/>
      </c>
      <c r="P42" s="59">
        <f>IF('[9]سجل المستخلصات'!$S$23="","",'[9]سجل المستخلصات'!$S$23)</f>
        <v/>
      </c>
      <c r="Q42" s="59">
        <f>IF('[9]سجل المستخلصات'!$T$23="","",'[9]سجل المستخلصات'!$T$23)</f>
        <v/>
      </c>
      <c r="R42" s="59">
        <f>IF('[9]سجل المستخلصات'!$V$23="","",'[9]سجل المستخلصات'!$V$23)</f>
        <v/>
      </c>
      <c r="S42" s="59">
        <f>IF('[9]سجل المستخلصات'!$W$23="","",'[9]سجل المستخلصات'!$W$23)</f>
        <v/>
      </c>
      <c r="T42" s="61">
        <f>IF('[9]سجل المستخلصات'!$X$23="","",'[9]سجل المستخلصات'!$X$23)</f>
        <v/>
      </c>
      <c r="U42" s="61">
        <f>IF('[9]سجل المستخلصات'!$Z$23="","",'[9]سجل المستخلصات'!$Z$23)</f>
        <v/>
      </c>
      <c r="V42" s="59">
        <f>IF('[9]سجل المستخلصات'!$AA$23="","",'[9]سجل المستخلصات'!$AA$23)</f>
        <v/>
      </c>
      <c r="W42" s="59">
        <f>IF('[9]سجل المستخلصات'!$AC$23="","",'[9]سجل المستخلصات'!$AC$23)</f>
        <v/>
      </c>
      <c r="X42" s="62">
        <f>IF('[9]سجل المستخلصات'!$AD$23="","",'[9]سجل المستخلصات'!$AD$23)</f>
        <v/>
      </c>
      <c r="Y42" s="58">
        <f>IF('[9]سجل المستخلصات'!$AE$23="","",'[9]سجل المستخلصات'!$AE$23)</f>
        <v/>
      </c>
    </row>
    <row r="43">
      <c r="B43" s="56" t="n">
        <v>19</v>
      </c>
      <c r="C43" s="57">
        <f>IF('[9]سجل المستخلصات'!$C$24="","",'[9]سجل المستخلصات'!$C$24)</f>
        <v/>
      </c>
      <c r="D43" s="57">
        <f>IF('[9]سجل المستخلصات'!$E$24="","",'[9]سجل المستخلصات'!$E$24)</f>
        <v/>
      </c>
      <c r="E43" s="58">
        <f>IF('[9]سجل المستخلصات'!$F$24="","",'[9]سجل المستخلصات'!$F$24)</f>
        <v/>
      </c>
      <c r="F43" s="59">
        <f>IF('[9]سجل المستخلصات'!$H$24="","",'[9]سجل المستخلصات'!$H$24)</f>
        <v/>
      </c>
      <c r="G43" s="59">
        <f>IF('[9]سجل المستخلصات'!$G$24="","",'[9]سجل المستخلصات'!$G$24)</f>
        <v/>
      </c>
      <c r="H43" s="59">
        <f>IF('[9]سجل المستخلصات'!$I$24="","",'[9]سجل المستخلصات'!$I$24)</f>
        <v/>
      </c>
      <c r="I43" s="59">
        <f>IF('[9]سجل المستخلصات'!$J$24="","",'[9]سجل المستخلصات'!$J$24)</f>
        <v/>
      </c>
      <c r="J43" s="59">
        <f>IF('[9]سجل المستخلصات'!$K$24="","",'[9]سجل المستخلصات'!$K$24)</f>
        <v/>
      </c>
      <c r="K43" s="60">
        <f>IF('[9]سجل المستخلصات'!$L$24="","",'[9]سجل المستخلصات'!$L$24)</f>
        <v/>
      </c>
      <c r="L43" s="60">
        <f>IF('[9]سجل المستخلصات'!$M$24="","",'[9]سجل المستخلصات'!$M$24)</f>
        <v/>
      </c>
      <c r="M43" s="60">
        <f>IF('[9]سجل المستخلصات'!$N$24="","",'[9]سجل المستخلصات'!$N$24)</f>
        <v/>
      </c>
      <c r="N43" s="59">
        <f>IF('[9]سجل المستخلصات'!$O$24="","",'[9]سجل المستخلصات'!$O$24)</f>
        <v/>
      </c>
      <c r="O43" s="59">
        <f>IF('[9]سجل المستخلصات'!$R$24="","",'[9]سجل المستخلصات'!$R$24)</f>
        <v/>
      </c>
      <c r="P43" s="59">
        <f>IF('[9]سجل المستخلصات'!$S$24="","",'[9]سجل المستخلصات'!$S$24)</f>
        <v/>
      </c>
      <c r="Q43" s="59">
        <f>IF('[9]سجل المستخلصات'!$T$24="","",'[9]سجل المستخلصات'!$T$24)</f>
        <v/>
      </c>
      <c r="R43" s="59">
        <f>IF('[9]سجل المستخلصات'!$V$24="","",'[9]سجل المستخلصات'!$V$24)</f>
        <v/>
      </c>
      <c r="S43" s="59">
        <f>IF('[9]سجل المستخلصات'!$W$24="","",'[9]سجل المستخلصات'!$W$24)</f>
        <v/>
      </c>
      <c r="T43" s="61">
        <f>IF('[9]سجل المستخلصات'!$X$24="","",'[9]سجل المستخلصات'!$X$24)</f>
        <v/>
      </c>
      <c r="U43" s="61">
        <f>IF('[9]سجل المستخلصات'!$Z$24="","",'[9]سجل المستخلصات'!$Z$24)</f>
        <v/>
      </c>
      <c r="V43" s="59">
        <f>IF('[9]سجل المستخلصات'!$AA$24="","",'[9]سجل المستخلصات'!$AA$24)</f>
        <v/>
      </c>
      <c r="W43" s="59">
        <f>IF('[9]سجل المستخلصات'!$AC$24="","",'[9]سجل المستخلصات'!$AC$24)</f>
        <v/>
      </c>
      <c r="X43" s="62">
        <f>IF('[9]سجل المستخلصات'!$AD$24="","",'[9]سجل المستخلصات'!$AD$24)</f>
        <v/>
      </c>
      <c r="Y43" s="58">
        <f>IF('[9]سجل المستخلصات'!$AE$24="","",'[9]سجل المستخلصات'!$AE$24)</f>
        <v/>
      </c>
    </row>
    <row r="44">
      <c r="B44" s="56" t="n">
        <v>20</v>
      </c>
      <c r="C44" s="57">
        <f>IF('[9]سجل المستخلصات'!$C$25="","",'[9]سجل المستخلصات'!$C$25)</f>
        <v/>
      </c>
      <c r="D44" s="57">
        <f>IF('[9]سجل المستخلصات'!$E$25="","",'[9]سجل المستخلصات'!$E$25)</f>
        <v/>
      </c>
      <c r="E44" s="58">
        <f>IF('[9]سجل المستخلصات'!$F$25="","",'[9]سجل المستخلصات'!$F$25)</f>
        <v/>
      </c>
      <c r="F44" s="59">
        <f>IF('[9]سجل المستخلصات'!$H$25="","",'[9]سجل المستخلصات'!$H$25)</f>
        <v/>
      </c>
      <c r="G44" s="59">
        <f>IF('[9]سجل المستخلصات'!$G$25="","",'[9]سجل المستخلصات'!$G$25)</f>
        <v/>
      </c>
      <c r="H44" s="59">
        <f>IF('[9]سجل المستخلصات'!$I$25="","",'[9]سجل المستخلصات'!$I$25)</f>
        <v/>
      </c>
      <c r="I44" s="59">
        <f>IF('[9]سجل المستخلصات'!$J$25="","",'[9]سجل المستخلصات'!$J$25)</f>
        <v/>
      </c>
      <c r="J44" s="59">
        <f>IF('[9]سجل المستخلصات'!$K$25="","",'[9]سجل المستخلصات'!$K$25)</f>
        <v/>
      </c>
      <c r="K44" s="60">
        <f>IF('[9]سجل المستخلصات'!$L$25="","",'[9]سجل المستخلصات'!$L$25)</f>
        <v/>
      </c>
      <c r="L44" s="60">
        <f>IF('[9]سجل المستخلصات'!$M$25="","",'[9]سجل المستخلصات'!$M$25)</f>
        <v/>
      </c>
      <c r="M44" s="60">
        <f>IF('[9]سجل المستخلصات'!$N$25="","",'[9]سجل المستخلصات'!$N$25)</f>
        <v/>
      </c>
      <c r="N44" s="59">
        <f>IF('[9]سجل المستخلصات'!$O$25="","",'[9]سجل المستخلصات'!$O$25)</f>
        <v/>
      </c>
      <c r="O44" s="59">
        <f>IF('[9]سجل المستخلصات'!$R$25="","",'[9]سجل المستخلصات'!$R$25)</f>
        <v/>
      </c>
      <c r="P44" s="59">
        <f>IF('[9]سجل المستخلصات'!$S$25="","",'[9]سجل المستخلصات'!$S$25)</f>
        <v/>
      </c>
      <c r="Q44" s="59">
        <f>IF('[9]سجل المستخلصات'!$T$25="","",'[9]سجل المستخلصات'!$T$25)</f>
        <v/>
      </c>
      <c r="R44" s="59">
        <f>IF('[9]سجل المستخلصات'!$V$25="","",'[9]سجل المستخلصات'!$V$25)</f>
        <v/>
      </c>
      <c r="S44" s="59">
        <f>IF('[9]سجل المستخلصات'!$W$25="","",'[9]سجل المستخلصات'!$W$25)</f>
        <v/>
      </c>
      <c r="T44" s="61">
        <f>IF('[9]سجل المستخلصات'!$X$25="","",'[9]سجل المستخلصات'!$X$25)</f>
        <v/>
      </c>
      <c r="U44" s="61">
        <f>IF('[9]سجل المستخلصات'!$Z$25="","",'[9]سجل المستخلصات'!$Z$25)</f>
        <v/>
      </c>
      <c r="V44" s="59">
        <f>IF('[9]سجل المستخلصات'!$AA$25="","",'[9]سجل المستخلصات'!$AA$25)</f>
        <v/>
      </c>
      <c r="W44" s="59">
        <f>IF('[9]سجل المستخلصات'!$AC$25="","",'[9]سجل المستخلصات'!$AC$25)</f>
        <v/>
      </c>
      <c r="X44" s="62">
        <f>IF('[9]سجل المستخلصات'!$AD$25="","",'[9]سجل المستخلصات'!$AD$25)</f>
        <v/>
      </c>
      <c r="Y44" s="58">
        <f>IF('[9]سجل المستخلصات'!$AE$25="","",'[9]سجل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IF('[9]سجل المستخلصات'!$B$32="","",'[9]سجل المستخلصات'!$B$32)</f>
        <v/>
      </c>
      <c r="C50" s="69" t="n"/>
      <c r="D50" s="69" t="n"/>
      <c r="E50" s="59">
        <f>N('[9]سجل المستخلصات'!$E$32)</f>
        <v/>
      </c>
      <c r="F50" s="59">
        <f>N('[9]سجل المستخلصات'!$F$32)</f>
        <v/>
      </c>
      <c r="G50" s="70">
        <f>IF(E50&gt;0,F50/E50,0)</f>
        <v/>
      </c>
    </row>
    <row r="51">
      <c r="B51" s="69">
        <f>IF('[9]سجل المستخلصات'!$B$33="","",'[9]سجل المستخلصات'!$B$33)</f>
        <v/>
      </c>
      <c r="C51" s="69" t="n"/>
      <c r="D51" s="69" t="n"/>
      <c r="E51" s="59">
        <f>N('[9]سجل المستخلصات'!$E$33)</f>
        <v/>
      </c>
      <c r="F51" s="59">
        <f>N('[9]سجل المستخلصات'!$F$33)</f>
        <v/>
      </c>
      <c r="G51" s="70">
        <f>IF(E51&gt;0,F51/E51,0)</f>
        <v/>
      </c>
    </row>
    <row r="52">
      <c r="B52" s="69">
        <f>IF('[9]سجل المستخلصات'!$B$34="","",'[9]سجل المستخلصات'!$B$34)</f>
        <v/>
      </c>
      <c r="C52" s="69" t="n"/>
      <c r="D52" s="69" t="n"/>
      <c r="E52" s="59">
        <f>N('[9]سجل المستخلصات'!$E$34)</f>
        <v/>
      </c>
      <c r="F52" s="59">
        <f>N('[9]سجل المستخلصات'!$F$34)</f>
        <v/>
      </c>
      <c r="G52" s="70">
        <f>IF(E52&gt;0,F52/E52,0)</f>
        <v/>
      </c>
    </row>
    <row r="53">
      <c r="B53" s="69">
        <f>IF('[9]سجل المستخلصات'!$B$35="","",'[9]سجل المستخلصات'!$B$35)</f>
        <v/>
      </c>
      <c r="C53" s="69" t="n"/>
      <c r="D53" s="69" t="n"/>
      <c r="E53" s="59">
        <f>N('[9]سجل المستخلصات'!$E$35)</f>
        <v/>
      </c>
      <c r="F53" s="59">
        <f>N('[9]سجل المستخلصات'!$F$35)</f>
        <v/>
      </c>
      <c r="G53" s="70">
        <f>IF(E53&gt;0,F53/E53,0)</f>
        <v/>
      </c>
    </row>
    <row r="54">
      <c r="B54" s="69">
        <f>IF('[9]سجل المستخلصات'!$B$36="","",'[9]سجل المستخلصات'!$B$36)</f>
        <v/>
      </c>
      <c r="C54" s="69" t="n"/>
      <c r="D54" s="69" t="n"/>
      <c r="E54" s="59">
        <f>N('[9]سجل المستخلصات'!$E$36)</f>
        <v/>
      </c>
      <c r="F54" s="59">
        <f>N('[9]سجل المستخلصات'!$F$36)</f>
        <v/>
      </c>
      <c r="G54" s="70">
        <f>IF(E54&gt;0,F54/E54,0)</f>
        <v/>
      </c>
    </row>
    <row r="55">
      <c r="B55" s="69">
        <f>IF('[9]سجل المستخلصات'!$B$37="","",'[9]سجل المستخلصات'!$B$37)</f>
        <v/>
      </c>
      <c r="C55" s="69" t="n"/>
      <c r="D55" s="69" t="n"/>
      <c r="E55" s="59">
        <f>N('[9]سجل المستخلصات'!$E$37)</f>
        <v/>
      </c>
      <c r="F55" s="59">
        <f>N('[9]سجل المستخلصات'!$F$37)</f>
        <v/>
      </c>
      <c r="G55" s="70">
        <f>IF(E55&gt;0,F55/E55,0)</f>
        <v/>
      </c>
    </row>
    <row r="56">
      <c r="B56" s="69">
        <f>IF('[9]سجل المستخلصات'!$B$38="","",'[9]سجل المستخلصات'!$B$38)</f>
        <v/>
      </c>
      <c r="C56" s="69" t="n"/>
      <c r="D56" s="69" t="n"/>
      <c r="E56" s="59">
        <f>N('[9]سجل المستخلصات'!$E$38)</f>
        <v/>
      </c>
      <c r="F56" s="59">
        <f>N('[9]سجل المستخلصات'!$F$38)</f>
        <v/>
      </c>
      <c r="G56" s="70">
        <f>IF(E56&gt;0,F56/E56,0)</f>
        <v/>
      </c>
    </row>
    <row r="57">
      <c r="B57" s="69">
        <f>IF('[9]سجل المستخلصات'!$B$39="","",'[9]سجل المستخلصات'!$B$39)</f>
        <v/>
      </c>
      <c r="C57" s="69" t="n"/>
      <c r="D57" s="69" t="n"/>
      <c r="E57" s="59">
        <f>N('[9]سجل المستخلصات'!$E$39)</f>
        <v/>
      </c>
      <c r="F57" s="59">
        <f>N('[9]سجل المستخلصات'!$F$39)</f>
        <v/>
      </c>
      <c r="G57" s="70">
        <f>IF(E57&gt;0,F57/E57,0)</f>
        <v/>
      </c>
    </row>
    <row r="58">
      <c r="B58" s="69">
        <f>IF('[9]سجل المستخلصات'!$B$40="","",'[9]سجل المستخلصات'!$B$40)</f>
        <v/>
      </c>
      <c r="C58" s="69" t="n"/>
      <c r="D58" s="69" t="n"/>
      <c r="E58" s="59">
        <f>N('[9]سجل المستخلصات'!$E$40)</f>
        <v/>
      </c>
      <c r="F58" s="59">
        <f>N('[9]سجل المستخلصات'!$F$40)</f>
        <v/>
      </c>
      <c r="G58" s="70">
        <f>IF(E58&gt;0,F58/E58,0)</f>
        <v/>
      </c>
    </row>
    <row r="59">
      <c r="B59" s="69">
        <f>IF('[9]سجل المستخلصات'!$B$41="","",'[9]سجل المستخلصات'!$B$41)</f>
        <v/>
      </c>
      <c r="C59" s="69" t="n"/>
      <c r="D59" s="69" t="n"/>
      <c r="E59" s="59">
        <f>N('[9]سجل المستخلصات'!$E$41)</f>
        <v/>
      </c>
      <c r="F59" s="59">
        <f>N('[9]سجل المستخلصات'!$F$41)</f>
        <v/>
      </c>
      <c r="G59" s="70">
        <f>IF(E59&gt;0,F59/E59,0)</f>
        <v/>
      </c>
    </row>
    <row r="60">
      <c r="B60" s="69">
        <f>IF('[9]سجل المستخلصات'!$B$42="","",'[9]سجل المستخلصات'!$B$42)</f>
        <v/>
      </c>
      <c r="C60" s="69" t="n"/>
      <c r="D60" s="69" t="n"/>
      <c r="E60" s="59">
        <f>N('[9]سجل المستخلصات'!$E$42)</f>
        <v/>
      </c>
      <c r="F60" s="59">
        <f>N('[9]سجل المستخلصات'!$F$42)</f>
        <v/>
      </c>
      <c r="G60" s="70">
        <f>IF(E60&gt;0,F60/E60,0)</f>
        <v/>
      </c>
    </row>
    <row r="61">
      <c r="B61" s="69">
        <f>IF('[9]سجل المستخلصات'!$B$43="","",'[9]سجل المستخلصات'!$B$43)</f>
        <v/>
      </c>
      <c r="C61" s="69" t="n"/>
      <c r="D61" s="69" t="n"/>
      <c r="E61" s="59">
        <f>N('[9]سجل المستخلصات'!$E$43)</f>
        <v/>
      </c>
      <c r="F61" s="59">
        <f>N('[9]سجل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08'!A1" display="◄ المشروع السابق"/>
    <hyperlink ref="D3" location="'مشروع 10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"&amp;IF('[10]بيانات العقد'!$C$5="","مشروع رقم 10 — غير مُفعّل",'[10]بيانات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Project_10/IPC_Project_10.xlsx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IF('[10]بيانات العقد'!$C$5="","",'[10]بيانات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IF('[10]بيانات العقد'!$C$6="","",'[10]بيانات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IF('[10]بيانات العقد'!$C$7="","",'[10]بيانات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IF('[10]بيانات العقد'!$C$8="","",'[10]بيانات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N('[10]بيانات العقد'!$C$16)</f>
        <v/>
      </c>
    </row>
    <row r="6" ht="22" customHeight="1">
      <c r="B6" s="11" t="inlineStr">
        <is>
          <t>المقاول</t>
        </is>
      </c>
      <c r="C6" s="14">
        <f>IF('[10]بيانات العقد'!$C$9="","",'[10]بيانات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IF('[10]بيانات العقد'!$C$11="","",'[10]بيانات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IF('[10]بيانات العقد'!$C$13="","",'[10]بيانات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IF('[10]بيانات العقد'!$C$14="","",'[10]بيانات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N('[10]بيانات العقد'!$C$17)</f>
        <v/>
      </c>
    </row>
    <row r="7">
      <c r="AA7" s="15" t="inlineStr">
        <is>
          <t>قيمة العقد المعدلة</t>
        </is>
      </c>
      <c r="AB7" s="16">
        <f>N('[10]بيانات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N('[10]بيانات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N('[10]بيانات العقد'!$C$21)</f>
        <v/>
      </c>
    </row>
    <row r="10">
      <c r="AA10" s="15" t="inlineStr">
        <is>
          <t>نسبة ضمان الأعمال</t>
        </is>
      </c>
      <c r="AB10" s="23">
        <f>N('[10]بيانات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N('[10]بيانات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N('[10]بيانات العقد'!$C$31)</f>
        <v/>
      </c>
    </row>
    <row r="13">
      <c r="AA13" s="15" t="inlineStr">
        <is>
          <t>ضريبة الاستقطاع (غير المقيم)</t>
        </is>
      </c>
      <c r="AB13" s="23">
        <f>N('[10]بيانات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IF('[10]بيانات العقد'!$C$11="","",'[10]بيانات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IF('[10]بيانات العقد'!$C$13="","",'[10]بيانات العقد'!$C$13)</f>
        <v/>
      </c>
    </row>
    <row r="16">
      <c r="AA16" s="15" t="inlineStr">
        <is>
          <t>المدة (شهر)</t>
        </is>
      </c>
      <c r="AB16" s="43">
        <f>IF('[10]بيانات العقد'!$C$12="","",'[10]بيانات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IF('[10]بيانات العقد'!$C$36="","",'[10]بيانات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IF('[10]بيانات العقد'!$C$37="","",'[10]بيانات العقد'!$C$37)</f>
        <v/>
      </c>
    </row>
    <row r="19">
      <c r="AA19" s="15" t="inlineStr">
        <is>
          <t>الرقم الضريبي لصاحب العمل</t>
        </is>
      </c>
      <c r="AB19" s="48">
        <f>IF('[10]بيانات العقد'!$C$39="","",'[10]بيانات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IF('[10]بيانات العقد'!$C$42="","",'[10]بيانات العقد'!$C$42)</f>
        <v/>
      </c>
    </row>
    <row r="21" ht="32" customHeight="1">
      <c r="B21" s="50">
        <f>N('[10]الموازنة والتكاليف'!$D$66)</f>
        <v/>
      </c>
      <c r="C21" s="50" t="n"/>
      <c r="D21" s="50" t="n"/>
      <c r="E21" s="50" t="n"/>
      <c r="F21" s="50">
        <f>N('[10]الموازنة والتكاليف'!$D$70)</f>
        <v/>
      </c>
      <c r="G21" s="50" t="n"/>
      <c r="H21" s="50" t="n"/>
      <c r="I21" s="50" t="n"/>
      <c r="J21" s="50">
        <f>N('[10]الموازنة والتكاليف'!$D$72)</f>
        <v/>
      </c>
      <c r="K21" s="50" t="n"/>
      <c r="L21" s="50" t="n"/>
      <c r="M21" s="50" t="n"/>
      <c r="N21" s="51">
        <f>N('[10]الموازنة والتكاليف'!$D$73)</f>
        <v/>
      </c>
      <c r="O21" s="51" t="n"/>
      <c r="P21" s="51" t="n"/>
      <c r="Q21" s="51" t="n"/>
      <c r="R21" s="52">
        <f>N('[10]الموازنة والتكاليف'!$D$74)</f>
        <v/>
      </c>
      <c r="S21" s="52" t="n"/>
      <c r="T21" s="52" t="n"/>
      <c r="U21" s="52" t="n"/>
      <c r="V21" s="50">
        <f>N('[10]الموازنة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IF('[10]بيانات العقد'!$C$43="","",'[10]بيانات العقد'!$C$43)</f>
        <v/>
      </c>
    </row>
    <row r="22">
      <c r="AA22" s="15" t="inlineStr">
        <is>
          <t>حالة غرامات التأخير</t>
        </is>
      </c>
      <c r="AB22" s="45">
        <f>IF('[10]بيانات العقد'!$C$47="","",'[10]بيانات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IF('[10]سجل المستخلصات'!$C$6="","",'[10]سجل المستخلصات'!$C$6)</f>
        <v/>
      </c>
      <c r="D25" s="57">
        <f>IF('[10]سجل المستخلصات'!$E$6="","",'[10]سجل المستخلصات'!$E$6)</f>
        <v/>
      </c>
      <c r="E25" s="58">
        <f>IF('[10]سجل المستخلصات'!$F$6="","",'[10]سجل المستخلصات'!$F$6)</f>
        <v/>
      </c>
      <c r="F25" s="59">
        <f>IF('[10]سجل المستخلصات'!$H$6="","",'[10]سجل المستخلصات'!$H$6)</f>
        <v/>
      </c>
      <c r="G25" s="59">
        <f>IF('[10]سجل المستخلصات'!$G$6="","",'[10]سجل المستخلصات'!$G$6)</f>
        <v/>
      </c>
      <c r="H25" s="59">
        <f>IF('[10]سجل المستخلصات'!$I$6="","",'[10]سجل المستخلصات'!$I$6)</f>
        <v/>
      </c>
      <c r="I25" s="59">
        <f>IF('[10]سجل المستخلصات'!$J$6="","",'[10]سجل المستخلصات'!$J$6)</f>
        <v/>
      </c>
      <c r="J25" s="59">
        <f>IF('[10]سجل المستخلصات'!$K$6="","",'[10]سجل المستخلصات'!$K$6)</f>
        <v/>
      </c>
      <c r="K25" s="60">
        <f>IF('[10]سجل المستخلصات'!$L$6="","",'[10]سجل المستخلصات'!$L$6)</f>
        <v/>
      </c>
      <c r="L25" s="60">
        <f>IF('[10]سجل المستخلصات'!$M$6="","",'[10]سجل المستخلصات'!$M$6)</f>
        <v/>
      </c>
      <c r="M25" s="60">
        <f>IF('[10]سجل المستخلصات'!$N$6="","",'[10]سجل المستخلصات'!$N$6)</f>
        <v/>
      </c>
      <c r="N25" s="59">
        <f>IF('[10]سجل المستخلصات'!$O$6="","",'[10]سجل المستخلصات'!$O$6)</f>
        <v/>
      </c>
      <c r="O25" s="59">
        <f>IF('[10]سجل المستخلصات'!$R$6="","",'[10]سجل المستخلصات'!$R$6)</f>
        <v/>
      </c>
      <c r="P25" s="59">
        <f>IF('[10]سجل المستخلصات'!$S$6="","",'[10]سجل المستخلصات'!$S$6)</f>
        <v/>
      </c>
      <c r="Q25" s="59">
        <f>IF('[10]سجل المستخلصات'!$T$6="","",'[10]سجل المستخلصات'!$T$6)</f>
        <v/>
      </c>
      <c r="R25" s="59">
        <f>IF('[10]سجل المستخلصات'!$V$6="","",'[10]سجل المستخلصات'!$V$6)</f>
        <v/>
      </c>
      <c r="S25" s="59">
        <f>IF('[10]سجل المستخلصات'!$W$6="","",'[10]سجل المستخلصات'!$W$6)</f>
        <v/>
      </c>
      <c r="T25" s="61">
        <f>IF('[10]سجل المستخلصات'!$X$6="","",'[10]سجل المستخلصات'!$X$6)</f>
        <v/>
      </c>
      <c r="U25" s="61">
        <f>IF('[10]سجل المستخلصات'!$Z$6="","",'[10]سجل المستخلصات'!$Z$6)</f>
        <v/>
      </c>
      <c r="V25" s="59">
        <f>IF('[10]سجل المستخلصات'!$AA$6="","",'[10]سجل المستخلصات'!$AA$6)</f>
        <v/>
      </c>
      <c r="W25" s="59">
        <f>IF('[10]سجل المستخلصات'!$AC$6="","",'[10]سجل المستخلصات'!$AC$6)</f>
        <v/>
      </c>
      <c r="X25" s="62">
        <f>IF('[10]سجل المستخلصات'!$AD$6="","",'[10]سجل المستخلصات'!$AD$6)</f>
        <v/>
      </c>
      <c r="Y25" s="58">
        <f>IF('[10]سجل المستخلصات'!$AE$6="","",'[10]سجل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IF('[10]سجل المستخلصات'!$C$7="","",'[10]سجل المستخلصات'!$C$7)</f>
        <v/>
      </c>
      <c r="D26" s="57">
        <f>IF('[10]سجل المستخلصات'!$E$7="","",'[10]سجل المستخلصات'!$E$7)</f>
        <v/>
      </c>
      <c r="E26" s="58">
        <f>IF('[10]سجل المستخلصات'!$F$7="","",'[10]سجل المستخلصات'!$F$7)</f>
        <v/>
      </c>
      <c r="F26" s="59">
        <f>IF('[10]سجل المستخلصات'!$H$7="","",'[10]سجل المستخلصات'!$H$7)</f>
        <v/>
      </c>
      <c r="G26" s="59">
        <f>IF('[10]سجل المستخلصات'!$G$7="","",'[10]سجل المستخلصات'!$G$7)</f>
        <v/>
      </c>
      <c r="H26" s="59">
        <f>IF('[10]سجل المستخلصات'!$I$7="","",'[10]سجل المستخلصات'!$I$7)</f>
        <v/>
      </c>
      <c r="I26" s="59">
        <f>IF('[10]سجل المستخلصات'!$J$7="","",'[10]سجل المستخلصات'!$J$7)</f>
        <v/>
      </c>
      <c r="J26" s="59">
        <f>IF('[10]سجل المستخلصات'!$K$7="","",'[10]سجل المستخلصات'!$K$7)</f>
        <v/>
      </c>
      <c r="K26" s="60">
        <f>IF('[10]سجل المستخلصات'!$L$7="","",'[10]سجل المستخلصات'!$L$7)</f>
        <v/>
      </c>
      <c r="L26" s="60">
        <f>IF('[10]سجل المستخلصات'!$M$7="","",'[10]سجل المستخلصات'!$M$7)</f>
        <v/>
      </c>
      <c r="M26" s="60">
        <f>IF('[10]سجل المستخلصات'!$N$7="","",'[10]سجل المستخلصات'!$N$7)</f>
        <v/>
      </c>
      <c r="N26" s="59">
        <f>IF('[10]سجل المستخلصات'!$O$7="","",'[10]سجل المستخلصات'!$O$7)</f>
        <v/>
      </c>
      <c r="O26" s="59">
        <f>IF('[10]سجل المستخلصات'!$R$7="","",'[10]سجل المستخلصات'!$R$7)</f>
        <v/>
      </c>
      <c r="P26" s="59">
        <f>IF('[10]سجل المستخلصات'!$S$7="","",'[10]سجل المستخلصات'!$S$7)</f>
        <v/>
      </c>
      <c r="Q26" s="59">
        <f>IF('[10]سجل المستخلصات'!$T$7="","",'[10]سجل المستخلصات'!$T$7)</f>
        <v/>
      </c>
      <c r="R26" s="59">
        <f>IF('[10]سجل المستخلصات'!$V$7="","",'[10]سجل المستخلصات'!$V$7)</f>
        <v/>
      </c>
      <c r="S26" s="59">
        <f>IF('[10]سجل المستخلصات'!$W$7="","",'[10]سجل المستخلصات'!$W$7)</f>
        <v/>
      </c>
      <c r="T26" s="61">
        <f>IF('[10]سجل المستخلصات'!$X$7="","",'[10]سجل المستخلصات'!$X$7)</f>
        <v/>
      </c>
      <c r="U26" s="61">
        <f>IF('[10]سجل المستخلصات'!$Z$7="","",'[10]سجل المستخلصات'!$Z$7)</f>
        <v/>
      </c>
      <c r="V26" s="59">
        <f>IF('[10]سجل المستخلصات'!$AA$7="","",'[10]سجل المستخلصات'!$AA$7)</f>
        <v/>
      </c>
      <c r="W26" s="59">
        <f>IF('[10]سجل المستخلصات'!$AC$7="","",'[10]سجل المستخلصات'!$AC$7)</f>
        <v/>
      </c>
      <c r="X26" s="62">
        <f>IF('[10]سجل المستخلصات'!$AD$7="","",'[10]سجل المستخلصات'!$AD$7)</f>
        <v/>
      </c>
      <c r="Y26" s="58">
        <f>IF('[10]سجل المستخلصات'!$AE$7="","",'[10]سجل المستخلصات'!$AE$7)</f>
        <v/>
      </c>
      <c r="AA26" s="63" t="n"/>
      <c r="AB26" s="63" t="n"/>
    </row>
    <row r="27">
      <c r="B27" s="56" t="n">
        <v>3</v>
      </c>
      <c r="C27" s="57">
        <f>IF('[10]سجل المستخلصات'!$C$8="","",'[10]سجل المستخلصات'!$C$8)</f>
        <v/>
      </c>
      <c r="D27" s="57">
        <f>IF('[10]سجل المستخلصات'!$E$8="","",'[10]سجل المستخلصات'!$E$8)</f>
        <v/>
      </c>
      <c r="E27" s="58">
        <f>IF('[10]سجل المستخلصات'!$F$8="","",'[10]سجل المستخلصات'!$F$8)</f>
        <v/>
      </c>
      <c r="F27" s="59">
        <f>IF('[10]سجل المستخلصات'!$H$8="","",'[10]سجل المستخلصات'!$H$8)</f>
        <v/>
      </c>
      <c r="G27" s="59">
        <f>IF('[10]سجل المستخلصات'!$G$8="","",'[10]سجل المستخلصات'!$G$8)</f>
        <v/>
      </c>
      <c r="H27" s="59">
        <f>IF('[10]سجل المستخلصات'!$I$8="","",'[10]سجل المستخلصات'!$I$8)</f>
        <v/>
      </c>
      <c r="I27" s="59">
        <f>IF('[10]سجل المستخلصات'!$J$8="","",'[10]سجل المستخلصات'!$J$8)</f>
        <v/>
      </c>
      <c r="J27" s="59">
        <f>IF('[10]سجل المستخلصات'!$K$8="","",'[10]سجل المستخلصات'!$K$8)</f>
        <v/>
      </c>
      <c r="K27" s="60">
        <f>IF('[10]سجل المستخلصات'!$L$8="","",'[10]سجل المستخلصات'!$L$8)</f>
        <v/>
      </c>
      <c r="L27" s="60">
        <f>IF('[10]سجل المستخلصات'!$M$8="","",'[10]سجل المستخلصات'!$M$8)</f>
        <v/>
      </c>
      <c r="M27" s="60">
        <f>IF('[10]سجل المستخلصات'!$N$8="","",'[10]سجل المستخلصات'!$N$8)</f>
        <v/>
      </c>
      <c r="N27" s="59">
        <f>IF('[10]سجل المستخلصات'!$O$8="","",'[10]سجل المستخلصات'!$O$8)</f>
        <v/>
      </c>
      <c r="O27" s="59">
        <f>IF('[10]سجل المستخلصات'!$R$8="","",'[10]سجل المستخلصات'!$R$8)</f>
        <v/>
      </c>
      <c r="P27" s="59">
        <f>IF('[10]سجل المستخلصات'!$S$8="","",'[10]سجل المستخلصات'!$S$8)</f>
        <v/>
      </c>
      <c r="Q27" s="59">
        <f>IF('[10]سجل المستخلصات'!$T$8="","",'[10]سجل المستخلصات'!$T$8)</f>
        <v/>
      </c>
      <c r="R27" s="59">
        <f>IF('[10]سجل المستخلصات'!$V$8="","",'[10]سجل المستخلصات'!$V$8)</f>
        <v/>
      </c>
      <c r="S27" s="59">
        <f>IF('[10]سجل المستخلصات'!$W$8="","",'[10]سجل المستخلصات'!$W$8)</f>
        <v/>
      </c>
      <c r="T27" s="61">
        <f>IF('[10]سجل المستخلصات'!$X$8="","",'[10]سجل المستخلصات'!$X$8)</f>
        <v/>
      </c>
      <c r="U27" s="61">
        <f>IF('[10]سجل المستخلصات'!$Z$8="","",'[10]سجل المستخلصات'!$Z$8)</f>
        <v/>
      </c>
      <c r="V27" s="59">
        <f>IF('[10]سجل المستخلصات'!$AA$8="","",'[10]سجل المستخلصات'!$AA$8)</f>
        <v/>
      </c>
      <c r="W27" s="59">
        <f>IF('[10]سجل المستخلصات'!$AC$8="","",'[10]سجل المستخلصات'!$AC$8)</f>
        <v/>
      </c>
      <c r="X27" s="62">
        <f>IF('[10]سجل المستخلصات'!$AD$8="","",'[10]سجل المستخلصات'!$AD$8)</f>
        <v/>
      </c>
      <c r="Y27" s="58">
        <f>IF('[10]سجل المستخلصات'!$AE$8="","",'[10]سجل المستخلصات'!$AE$8)</f>
        <v/>
      </c>
      <c r="AA27" s="63" t="n"/>
      <c r="AB27" s="63" t="n"/>
    </row>
    <row r="28">
      <c r="B28" s="56" t="n">
        <v>4</v>
      </c>
      <c r="C28" s="57">
        <f>IF('[10]سجل المستخلصات'!$C$9="","",'[10]سجل المستخلصات'!$C$9)</f>
        <v/>
      </c>
      <c r="D28" s="57">
        <f>IF('[10]سجل المستخلصات'!$E$9="","",'[10]سجل المستخلصات'!$E$9)</f>
        <v/>
      </c>
      <c r="E28" s="58">
        <f>IF('[10]سجل المستخلصات'!$F$9="","",'[10]سجل المستخلصات'!$F$9)</f>
        <v/>
      </c>
      <c r="F28" s="59">
        <f>IF('[10]سجل المستخلصات'!$H$9="","",'[10]سجل المستخلصات'!$H$9)</f>
        <v/>
      </c>
      <c r="G28" s="59">
        <f>IF('[10]سجل المستخلصات'!$G$9="","",'[10]سجل المستخلصات'!$G$9)</f>
        <v/>
      </c>
      <c r="H28" s="59">
        <f>IF('[10]سجل المستخلصات'!$I$9="","",'[10]سجل المستخلصات'!$I$9)</f>
        <v/>
      </c>
      <c r="I28" s="59">
        <f>IF('[10]سجل المستخلصات'!$J$9="","",'[10]سجل المستخلصات'!$J$9)</f>
        <v/>
      </c>
      <c r="J28" s="59">
        <f>IF('[10]سجل المستخلصات'!$K$9="","",'[10]سجل المستخلصات'!$K$9)</f>
        <v/>
      </c>
      <c r="K28" s="60">
        <f>IF('[10]سجل المستخلصات'!$L$9="","",'[10]سجل المستخلصات'!$L$9)</f>
        <v/>
      </c>
      <c r="L28" s="60">
        <f>IF('[10]سجل المستخلصات'!$M$9="","",'[10]سجل المستخلصات'!$M$9)</f>
        <v/>
      </c>
      <c r="M28" s="60">
        <f>IF('[10]سجل المستخلصات'!$N$9="","",'[10]سجل المستخلصات'!$N$9)</f>
        <v/>
      </c>
      <c r="N28" s="59">
        <f>IF('[10]سجل المستخلصات'!$O$9="","",'[10]سجل المستخلصات'!$O$9)</f>
        <v/>
      </c>
      <c r="O28" s="59">
        <f>IF('[10]سجل المستخلصات'!$R$9="","",'[10]سجل المستخلصات'!$R$9)</f>
        <v/>
      </c>
      <c r="P28" s="59">
        <f>IF('[10]سجل المستخلصات'!$S$9="","",'[10]سجل المستخلصات'!$S$9)</f>
        <v/>
      </c>
      <c r="Q28" s="59">
        <f>IF('[10]سجل المستخلصات'!$T$9="","",'[10]سجل المستخلصات'!$T$9)</f>
        <v/>
      </c>
      <c r="R28" s="59">
        <f>IF('[10]سجل المستخلصات'!$V$9="","",'[10]سجل المستخلصات'!$V$9)</f>
        <v/>
      </c>
      <c r="S28" s="59">
        <f>IF('[10]سجل المستخلصات'!$W$9="","",'[10]سجل المستخلصات'!$W$9)</f>
        <v/>
      </c>
      <c r="T28" s="61">
        <f>IF('[10]سجل المستخلصات'!$X$9="","",'[10]سجل المستخلصات'!$X$9)</f>
        <v/>
      </c>
      <c r="U28" s="61">
        <f>IF('[10]سجل المستخلصات'!$Z$9="","",'[10]سجل المستخلصات'!$Z$9)</f>
        <v/>
      </c>
      <c r="V28" s="59">
        <f>IF('[10]سجل المستخلصات'!$AA$9="","",'[10]سجل المستخلصات'!$AA$9)</f>
        <v/>
      </c>
      <c r="W28" s="59">
        <f>IF('[10]سجل المستخلصات'!$AC$9="","",'[10]سجل المستخلصات'!$AC$9)</f>
        <v/>
      </c>
      <c r="X28" s="62">
        <f>IF('[10]سجل المستخلصات'!$AD$9="","",'[10]سجل المستخلصات'!$AD$9)</f>
        <v/>
      </c>
      <c r="Y28" s="58">
        <f>IF('[10]سجل المستخلصات'!$AE$9="","",'[10]سجل المستخلصات'!$AE$9)</f>
        <v/>
      </c>
      <c r="AA28" s="63" t="n"/>
      <c r="AB28" s="63" t="n"/>
    </row>
    <row r="29">
      <c r="B29" s="56" t="n">
        <v>5</v>
      </c>
      <c r="C29" s="57">
        <f>IF('[10]سجل المستخلصات'!$C$10="","",'[10]سجل المستخلصات'!$C$10)</f>
        <v/>
      </c>
      <c r="D29" s="57">
        <f>IF('[10]سجل المستخلصات'!$E$10="","",'[10]سجل المستخلصات'!$E$10)</f>
        <v/>
      </c>
      <c r="E29" s="58">
        <f>IF('[10]سجل المستخلصات'!$F$10="","",'[10]سجل المستخلصات'!$F$10)</f>
        <v/>
      </c>
      <c r="F29" s="59">
        <f>IF('[10]سجل المستخلصات'!$H$10="","",'[10]سجل المستخلصات'!$H$10)</f>
        <v/>
      </c>
      <c r="G29" s="59">
        <f>IF('[10]سجل المستخلصات'!$G$10="","",'[10]سجل المستخلصات'!$G$10)</f>
        <v/>
      </c>
      <c r="H29" s="59">
        <f>IF('[10]سجل المستخلصات'!$I$10="","",'[10]سجل المستخلصات'!$I$10)</f>
        <v/>
      </c>
      <c r="I29" s="59">
        <f>IF('[10]سجل المستخلصات'!$J$10="","",'[10]سجل المستخلصات'!$J$10)</f>
        <v/>
      </c>
      <c r="J29" s="59">
        <f>IF('[10]سجل المستخلصات'!$K$10="","",'[10]سجل المستخلصات'!$K$10)</f>
        <v/>
      </c>
      <c r="K29" s="60">
        <f>IF('[10]سجل المستخلصات'!$L$10="","",'[10]سجل المستخلصات'!$L$10)</f>
        <v/>
      </c>
      <c r="L29" s="60">
        <f>IF('[10]سجل المستخلصات'!$M$10="","",'[10]سجل المستخلصات'!$M$10)</f>
        <v/>
      </c>
      <c r="M29" s="60">
        <f>IF('[10]سجل المستخلصات'!$N$10="","",'[10]سجل المستخلصات'!$N$10)</f>
        <v/>
      </c>
      <c r="N29" s="59">
        <f>IF('[10]سجل المستخلصات'!$O$10="","",'[10]سجل المستخلصات'!$O$10)</f>
        <v/>
      </c>
      <c r="O29" s="59">
        <f>IF('[10]سجل المستخلصات'!$R$10="","",'[10]سجل المستخلصات'!$R$10)</f>
        <v/>
      </c>
      <c r="P29" s="59">
        <f>IF('[10]سجل المستخلصات'!$S$10="","",'[10]سجل المستخلصات'!$S$10)</f>
        <v/>
      </c>
      <c r="Q29" s="59">
        <f>IF('[10]سجل المستخلصات'!$T$10="","",'[10]سجل المستخلصات'!$T$10)</f>
        <v/>
      </c>
      <c r="R29" s="59">
        <f>IF('[10]سجل المستخلصات'!$V$10="","",'[10]سجل المستخلصات'!$V$10)</f>
        <v/>
      </c>
      <c r="S29" s="59">
        <f>IF('[10]سجل المستخلصات'!$W$10="","",'[10]سجل المستخلصات'!$W$10)</f>
        <v/>
      </c>
      <c r="T29" s="61">
        <f>IF('[10]سجل المستخلصات'!$X$10="","",'[10]سجل المستخلصات'!$X$10)</f>
        <v/>
      </c>
      <c r="U29" s="61">
        <f>IF('[10]سجل المستخلصات'!$Z$10="","",'[10]سجل المستخلصات'!$Z$10)</f>
        <v/>
      </c>
      <c r="V29" s="59">
        <f>IF('[10]سجل المستخلصات'!$AA$10="","",'[10]سجل المستخلصات'!$AA$10)</f>
        <v/>
      </c>
      <c r="W29" s="59">
        <f>IF('[10]سجل المستخلصات'!$AC$10="","",'[10]سجل المستخلصات'!$AC$10)</f>
        <v/>
      </c>
      <c r="X29" s="62">
        <f>IF('[10]سجل المستخلصات'!$AD$10="","",'[10]سجل المستخلصات'!$AD$10)</f>
        <v/>
      </c>
      <c r="Y29" s="58">
        <f>IF('[10]سجل المستخلصات'!$AE$10="","",'[10]سجل المستخلصات'!$AE$10)</f>
        <v/>
      </c>
    </row>
    <row r="30">
      <c r="B30" s="56" t="n">
        <v>6</v>
      </c>
      <c r="C30" s="57">
        <f>IF('[10]سجل المستخلصات'!$C$11="","",'[10]سجل المستخلصات'!$C$11)</f>
        <v/>
      </c>
      <c r="D30" s="57">
        <f>IF('[10]سجل المستخلصات'!$E$11="","",'[10]سجل المستخلصات'!$E$11)</f>
        <v/>
      </c>
      <c r="E30" s="58">
        <f>IF('[10]سجل المستخلصات'!$F$11="","",'[10]سجل المستخلصات'!$F$11)</f>
        <v/>
      </c>
      <c r="F30" s="59">
        <f>IF('[10]سجل المستخلصات'!$H$11="","",'[10]سجل المستخلصات'!$H$11)</f>
        <v/>
      </c>
      <c r="G30" s="59">
        <f>IF('[10]سجل المستخلصات'!$G$11="","",'[10]سجل المستخلصات'!$G$11)</f>
        <v/>
      </c>
      <c r="H30" s="59">
        <f>IF('[10]سجل المستخلصات'!$I$11="","",'[10]سجل المستخلصات'!$I$11)</f>
        <v/>
      </c>
      <c r="I30" s="59">
        <f>IF('[10]سجل المستخلصات'!$J$11="","",'[10]سجل المستخلصات'!$J$11)</f>
        <v/>
      </c>
      <c r="J30" s="59">
        <f>IF('[10]سجل المستخلصات'!$K$11="","",'[10]سجل المستخلصات'!$K$11)</f>
        <v/>
      </c>
      <c r="K30" s="60">
        <f>IF('[10]سجل المستخلصات'!$L$11="","",'[10]سجل المستخلصات'!$L$11)</f>
        <v/>
      </c>
      <c r="L30" s="60">
        <f>IF('[10]سجل المستخلصات'!$M$11="","",'[10]سجل المستخلصات'!$M$11)</f>
        <v/>
      </c>
      <c r="M30" s="60">
        <f>IF('[10]سجل المستخلصات'!$N$11="","",'[10]سجل المستخلصات'!$N$11)</f>
        <v/>
      </c>
      <c r="N30" s="59">
        <f>IF('[10]سجل المستخلصات'!$O$11="","",'[10]سجل المستخلصات'!$O$11)</f>
        <v/>
      </c>
      <c r="O30" s="59">
        <f>IF('[10]سجل المستخلصات'!$R$11="","",'[10]سجل المستخلصات'!$R$11)</f>
        <v/>
      </c>
      <c r="P30" s="59">
        <f>IF('[10]سجل المستخلصات'!$S$11="","",'[10]سجل المستخلصات'!$S$11)</f>
        <v/>
      </c>
      <c r="Q30" s="59">
        <f>IF('[10]سجل المستخلصات'!$T$11="","",'[10]سجل المستخلصات'!$T$11)</f>
        <v/>
      </c>
      <c r="R30" s="59">
        <f>IF('[10]سجل المستخلصات'!$V$11="","",'[10]سجل المستخلصات'!$V$11)</f>
        <v/>
      </c>
      <c r="S30" s="59">
        <f>IF('[10]سجل المستخلصات'!$W$11="","",'[10]سجل المستخلصات'!$W$11)</f>
        <v/>
      </c>
      <c r="T30" s="61">
        <f>IF('[10]سجل المستخلصات'!$X$11="","",'[10]سجل المستخلصات'!$X$11)</f>
        <v/>
      </c>
      <c r="U30" s="61">
        <f>IF('[10]سجل المستخلصات'!$Z$11="","",'[10]سجل المستخلصات'!$Z$11)</f>
        <v/>
      </c>
      <c r="V30" s="59">
        <f>IF('[10]سجل المستخلصات'!$AA$11="","",'[10]سجل المستخلصات'!$AA$11)</f>
        <v/>
      </c>
      <c r="W30" s="59">
        <f>IF('[10]سجل المستخلصات'!$AC$11="","",'[10]سجل المستخلصات'!$AC$11)</f>
        <v/>
      </c>
      <c r="X30" s="62">
        <f>IF('[10]سجل المستخلصات'!$AD$11="","",'[10]سجل المستخلصات'!$AD$11)</f>
        <v/>
      </c>
      <c r="Y30" s="58">
        <f>IF('[10]سجل المستخلصات'!$AE$11="","",'[10]سجل المستخلصات'!$AE$11)</f>
        <v/>
      </c>
    </row>
    <row r="31">
      <c r="B31" s="56" t="n">
        <v>7</v>
      </c>
      <c r="C31" s="57">
        <f>IF('[10]سجل المستخلصات'!$C$12="","",'[10]سجل المستخلصات'!$C$12)</f>
        <v/>
      </c>
      <c r="D31" s="57">
        <f>IF('[10]سجل المستخلصات'!$E$12="","",'[10]سجل المستخلصات'!$E$12)</f>
        <v/>
      </c>
      <c r="E31" s="58">
        <f>IF('[10]سجل المستخلصات'!$F$12="","",'[10]سجل المستخلصات'!$F$12)</f>
        <v/>
      </c>
      <c r="F31" s="59">
        <f>IF('[10]سجل المستخلصات'!$H$12="","",'[10]سجل المستخلصات'!$H$12)</f>
        <v/>
      </c>
      <c r="G31" s="59">
        <f>IF('[10]سجل المستخلصات'!$G$12="","",'[10]سجل المستخلصات'!$G$12)</f>
        <v/>
      </c>
      <c r="H31" s="59">
        <f>IF('[10]سجل المستخلصات'!$I$12="","",'[10]سجل المستخلصات'!$I$12)</f>
        <v/>
      </c>
      <c r="I31" s="59">
        <f>IF('[10]سجل المستخلصات'!$J$12="","",'[10]سجل المستخلصات'!$J$12)</f>
        <v/>
      </c>
      <c r="J31" s="59">
        <f>IF('[10]سجل المستخلصات'!$K$12="","",'[10]سجل المستخلصات'!$K$12)</f>
        <v/>
      </c>
      <c r="K31" s="60">
        <f>IF('[10]سجل المستخلصات'!$L$12="","",'[10]سجل المستخلصات'!$L$12)</f>
        <v/>
      </c>
      <c r="L31" s="60">
        <f>IF('[10]سجل المستخلصات'!$M$12="","",'[10]سجل المستخلصات'!$M$12)</f>
        <v/>
      </c>
      <c r="M31" s="60">
        <f>IF('[10]سجل المستخلصات'!$N$12="","",'[10]سجل المستخلصات'!$N$12)</f>
        <v/>
      </c>
      <c r="N31" s="59">
        <f>IF('[10]سجل المستخلصات'!$O$12="","",'[10]سجل المستخلصات'!$O$12)</f>
        <v/>
      </c>
      <c r="O31" s="59">
        <f>IF('[10]سجل المستخلصات'!$R$12="","",'[10]سجل المستخلصات'!$R$12)</f>
        <v/>
      </c>
      <c r="P31" s="59">
        <f>IF('[10]سجل المستخلصات'!$S$12="","",'[10]سجل المستخلصات'!$S$12)</f>
        <v/>
      </c>
      <c r="Q31" s="59">
        <f>IF('[10]سجل المستخلصات'!$T$12="","",'[10]سجل المستخلصات'!$T$12)</f>
        <v/>
      </c>
      <c r="R31" s="59">
        <f>IF('[10]سجل المستخلصات'!$V$12="","",'[10]سجل المستخلصات'!$V$12)</f>
        <v/>
      </c>
      <c r="S31" s="59">
        <f>IF('[10]سجل المستخلصات'!$W$12="","",'[10]سجل المستخلصات'!$W$12)</f>
        <v/>
      </c>
      <c r="T31" s="61">
        <f>IF('[10]سجل المستخلصات'!$X$12="","",'[10]سجل المستخلصات'!$X$12)</f>
        <v/>
      </c>
      <c r="U31" s="61">
        <f>IF('[10]سجل المستخلصات'!$Z$12="","",'[10]سجل المستخلصات'!$Z$12)</f>
        <v/>
      </c>
      <c r="V31" s="59">
        <f>IF('[10]سجل المستخلصات'!$AA$12="","",'[10]سجل المستخلصات'!$AA$12)</f>
        <v/>
      </c>
      <c r="W31" s="59">
        <f>IF('[10]سجل المستخلصات'!$AC$12="","",'[10]سجل المستخلصات'!$AC$12)</f>
        <v/>
      </c>
      <c r="X31" s="62">
        <f>IF('[10]سجل المستخلصات'!$AD$12="","",'[10]سجل المستخلصات'!$AD$12)</f>
        <v/>
      </c>
      <c r="Y31" s="58">
        <f>IF('[10]سجل المستخلصات'!$AE$12="","",'[10]سجل المستخلصات'!$AE$12)</f>
        <v/>
      </c>
    </row>
    <row r="32">
      <c r="B32" s="56" t="n">
        <v>8</v>
      </c>
      <c r="C32" s="57">
        <f>IF('[10]سجل المستخلصات'!$C$13="","",'[10]سجل المستخلصات'!$C$13)</f>
        <v/>
      </c>
      <c r="D32" s="57">
        <f>IF('[10]سجل المستخلصات'!$E$13="","",'[10]سجل المستخلصات'!$E$13)</f>
        <v/>
      </c>
      <c r="E32" s="58">
        <f>IF('[10]سجل المستخلصات'!$F$13="","",'[10]سجل المستخلصات'!$F$13)</f>
        <v/>
      </c>
      <c r="F32" s="59">
        <f>IF('[10]سجل المستخلصات'!$H$13="","",'[10]سجل المستخلصات'!$H$13)</f>
        <v/>
      </c>
      <c r="G32" s="59">
        <f>IF('[10]سجل المستخلصات'!$G$13="","",'[10]سجل المستخلصات'!$G$13)</f>
        <v/>
      </c>
      <c r="H32" s="59">
        <f>IF('[10]سجل المستخلصات'!$I$13="","",'[10]سجل المستخلصات'!$I$13)</f>
        <v/>
      </c>
      <c r="I32" s="59">
        <f>IF('[10]سجل المستخلصات'!$J$13="","",'[10]سجل المستخلصات'!$J$13)</f>
        <v/>
      </c>
      <c r="J32" s="59">
        <f>IF('[10]سجل المستخلصات'!$K$13="","",'[10]سجل المستخلصات'!$K$13)</f>
        <v/>
      </c>
      <c r="K32" s="60">
        <f>IF('[10]سجل المستخلصات'!$L$13="","",'[10]سجل المستخلصات'!$L$13)</f>
        <v/>
      </c>
      <c r="L32" s="60">
        <f>IF('[10]سجل المستخلصات'!$M$13="","",'[10]سجل المستخلصات'!$M$13)</f>
        <v/>
      </c>
      <c r="M32" s="60">
        <f>IF('[10]سجل المستخلصات'!$N$13="","",'[10]سجل المستخلصات'!$N$13)</f>
        <v/>
      </c>
      <c r="N32" s="59">
        <f>IF('[10]سجل المستخلصات'!$O$13="","",'[10]سجل المستخلصات'!$O$13)</f>
        <v/>
      </c>
      <c r="O32" s="59">
        <f>IF('[10]سجل المستخلصات'!$R$13="","",'[10]سجل المستخلصات'!$R$13)</f>
        <v/>
      </c>
      <c r="P32" s="59">
        <f>IF('[10]سجل المستخلصات'!$S$13="","",'[10]سجل المستخلصات'!$S$13)</f>
        <v/>
      </c>
      <c r="Q32" s="59">
        <f>IF('[10]سجل المستخلصات'!$T$13="","",'[10]سجل المستخلصات'!$T$13)</f>
        <v/>
      </c>
      <c r="R32" s="59">
        <f>IF('[10]سجل المستخلصات'!$V$13="","",'[10]سجل المستخلصات'!$V$13)</f>
        <v/>
      </c>
      <c r="S32" s="59">
        <f>IF('[10]سجل المستخلصات'!$W$13="","",'[10]سجل المستخلصات'!$W$13)</f>
        <v/>
      </c>
      <c r="T32" s="61">
        <f>IF('[10]سجل المستخلصات'!$X$13="","",'[10]سجل المستخلصات'!$X$13)</f>
        <v/>
      </c>
      <c r="U32" s="61">
        <f>IF('[10]سجل المستخلصات'!$Z$13="","",'[10]سجل المستخلصات'!$Z$13)</f>
        <v/>
      </c>
      <c r="V32" s="59">
        <f>IF('[10]سجل المستخلصات'!$AA$13="","",'[10]سجل المستخلصات'!$AA$13)</f>
        <v/>
      </c>
      <c r="W32" s="59">
        <f>IF('[10]سجل المستخلصات'!$AC$13="","",'[10]سجل المستخلصات'!$AC$13)</f>
        <v/>
      </c>
      <c r="X32" s="62">
        <f>IF('[10]سجل المستخلصات'!$AD$13="","",'[10]سجل المستخلصات'!$AD$13)</f>
        <v/>
      </c>
      <c r="Y32" s="58">
        <f>IF('[10]سجل المستخلصات'!$AE$13="","",'[10]سجل المستخلصات'!$AE$13)</f>
        <v/>
      </c>
    </row>
    <row r="33">
      <c r="B33" s="56" t="n">
        <v>9</v>
      </c>
      <c r="C33" s="57">
        <f>IF('[10]سجل المستخلصات'!$C$14="","",'[10]سجل المستخلصات'!$C$14)</f>
        <v/>
      </c>
      <c r="D33" s="57">
        <f>IF('[10]سجل المستخلصات'!$E$14="","",'[10]سجل المستخلصات'!$E$14)</f>
        <v/>
      </c>
      <c r="E33" s="58">
        <f>IF('[10]سجل المستخلصات'!$F$14="","",'[10]سجل المستخلصات'!$F$14)</f>
        <v/>
      </c>
      <c r="F33" s="59">
        <f>IF('[10]سجل المستخلصات'!$H$14="","",'[10]سجل المستخلصات'!$H$14)</f>
        <v/>
      </c>
      <c r="G33" s="59">
        <f>IF('[10]سجل المستخلصات'!$G$14="","",'[10]سجل المستخلصات'!$G$14)</f>
        <v/>
      </c>
      <c r="H33" s="59">
        <f>IF('[10]سجل المستخلصات'!$I$14="","",'[10]سجل المستخلصات'!$I$14)</f>
        <v/>
      </c>
      <c r="I33" s="59">
        <f>IF('[10]سجل المستخلصات'!$J$14="","",'[10]سجل المستخلصات'!$J$14)</f>
        <v/>
      </c>
      <c r="J33" s="59">
        <f>IF('[10]سجل المستخلصات'!$K$14="","",'[10]سجل المستخلصات'!$K$14)</f>
        <v/>
      </c>
      <c r="K33" s="60">
        <f>IF('[10]سجل المستخلصات'!$L$14="","",'[10]سجل المستخلصات'!$L$14)</f>
        <v/>
      </c>
      <c r="L33" s="60">
        <f>IF('[10]سجل المستخلصات'!$M$14="","",'[10]سجل المستخلصات'!$M$14)</f>
        <v/>
      </c>
      <c r="M33" s="60">
        <f>IF('[10]سجل المستخلصات'!$N$14="","",'[10]سجل المستخلصات'!$N$14)</f>
        <v/>
      </c>
      <c r="N33" s="59">
        <f>IF('[10]سجل المستخلصات'!$O$14="","",'[10]سجل المستخلصات'!$O$14)</f>
        <v/>
      </c>
      <c r="O33" s="59">
        <f>IF('[10]سجل المستخلصات'!$R$14="","",'[10]سجل المستخلصات'!$R$14)</f>
        <v/>
      </c>
      <c r="P33" s="59">
        <f>IF('[10]سجل المستخلصات'!$S$14="","",'[10]سجل المستخلصات'!$S$14)</f>
        <v/>
      </c>
      <c r="Q33" s="59">
        <f>IF('[10]سجل المستخلصات'!$T$14="","",'[10]سجل المستخلصات'!$T$14)</f>
        <v/>
      </c>
      <c r="R33" s="59">
        <f>IF('[10]سجل المستخلصات'!$V$14="","",'[10]سجل المستخلصات'!$V$14)</f>
        <v/>
      </c>
      <c r="S33" s="59">
        <f>IF('[10]سجل المستخلصات'!$W$14="","",'[10]سجل المستخلصات'!$W$14)</f>
        <v/>
      </c>
      <c r="T33" s="61">
        <f>IF('[10]سجل المستخلصات'!$X$14="","",'[10]سجل المستخلصات'!$X$14)</f>
        <v/>
      </c>
      <c r="U33" s="61">
        <f>IF('[10]سجل المستخلصات'!$Z$14="","",'[10]سجل المستخلصات'!$Z$14)</f>
        <v/>
      </c>
      <c r="V33" s="59">
        <f>IF('[10]سجل المستخلصات'!$AA$14="","",'[10]سجل المستخلصات'!$AA$14)</f>
        <v/>
      </c>
      <c r="W33" s="59">
        <f>IF('[10]سجل المستخلصات'!$AC$14="","",'[10]سجل المستخلصات'!$AC$14)</f>
        <v/>
      </c>
      <c r="X33" s="62">
        <f>IF('[10]سجل المستخلصات'!$AD$14="","",'[10]سجل المستخلصات'!$AD$14)</f>
        <v/>
      </c>
      <c r="Y33" s="58">
        <f>IF('[10]سجل المستخلصات'!$AE$14="","",'[10]سجل المستخلصات'!$AE$14)</f>
        <v/>
      </c>
    </row>
    <row r="34">
      <c r="B34" s="56" t="n">
        <v>10</v>
      </c>
      <c r="C34" s="57">
        <f>IF('[10]سجل المستخلصات'!$C$15="","",'[10]سجل المستخلصات'!$C$15)</f>
        <v/>
      </c>
      <c r="D34" s="57">
        <f>IF('[10]سجل المستخلصات'!$E$15="","",'[10]سجل المستخلصات'!$E$15)</f>
        <v/>
      </c>
      <c r="E34" s="58">
        <f>IF('[10]سجل المستخلصات'!$F$15="","",'[10]سجل المستخلصات'!$F$15)</f>
        <v/>
      </c>
      <c r="F34" s="59">
        <f>IF('[10]سجل المستخلصات'!$H$15="","",'[10]سجل المستخلصات'!$H$15)</f>
        <v/>
      </c>
      <c r="G34" s="59">
        <f>IF('[10]سجل المستخلصات'!$G$15="","",'[10]سجل المستخلصات'!$G$15)</f>
        <v/>
      </c>
      <c r="H34" s="59">
        <f>IF('[10]سجل المستخلصات'!$I$15="","",'[10]سجل المستخلصات'!$I$15)</f>
        <v/>
      </c>
      <c r="I34" s="59">
        <f>IF('[10]سجل المستخلصات'!$J$15="","",'[10]سجل المستخلصات'!$J$15)</f>
        <v/>
      </c>
      <c r="J34" s="59">
        <f>IF('[10]سجل المستخلصات'!$K$15="","",'[10]سجل المستخلصات'!$K$15)</f>
        <v/>
      </c>
      <c r="K34" s="60">
        <f>IF('[10]سجل المستخلصات'!$L$15="","",'[10]سجل المستخلصات'!$L$15)</f>
        <v/>
      </c>
      <c r="L34" s="60">
        <f>IF('[10]سجل المستخلصات'!$M$15="","",'[10]سجل المستخلصات'!$M$15)</f>
        <v/>
      </c>
      <c r="M34" s="60">
        <f>IF('[10]سجل المستخلصات'!$N$15="","",'[10]سجل المستخلصات'!$N$15)</f>
        <v/>
      </c>
      <c r="N34" s="59">
        <f>IF('[10]سجل المستخلصات'!$O$15="","",'[10]سجل المستخلصات'!$O$15)</f>
        <v/>
      </c>
      <c r="O34" s="59">
        <f>IF('[10]سجل المستخلصات'!$R$15="","",'[10]سجل المستخلصات'!$R$15)</f>
        <v/>
      </c>
      <c r="P34" s="59">
        <f>IF('[10]سجل المستخلصات'!$S$15="","",'[10]سجل المستخلصات'!$S$15)</f>
        <v/>
      </c>
      <c r="Q34" s="59">
        <f>IF('[10]سجل المستخلصات'!$T$15="","",'[10]سجل المستخلصات'!$T$15)</f>
        <v/>
      </c>
      <c r="R34" s="59">
        <f>IF('[10]سجل المستخلصات'!$V$15="","",'[10]سجل المستخلصات'!$V$15)</f>
        <v/>
      </c>
      <c r="S34" s="59">
        <f>IF('[10]سجل المستخلصات'!$W$15="","",'[10]سجل المستخلصات'!$W$15)</f>
        <v/>
      </c>
      <c r="T34" s="61">
        <f>IF('[10]سجل المستخلصات'!$X$15="","",'[10]سجل المستخلصات'!$X$15)</f>
        <v/>
      </c>
      <c r="U34" s="61">
        <f>IF('[10]سجل المستخلصات'!$Z$15="","",'[10]سجل المستخلصات'!$Z$15)</f>
        <v/>
      </c>
      <c r="V34" s="59">
        <f>IF('[10]سجل المستخلصات'!$AA$15="","",'[10]سجل المستخلصات'!$AA$15)</f>
        <v/>
      </c>
      <c r="W34" s="59">
        <f>IF('[10]سجل المستخلصات'!$AC$15="","",'[10]سجل المستخلصات'!$AC$15)</f>
        <v/>
      </c>
      <c r="X34" s="62">
        <f>IF('[10]سجل المستخلصات'!$AD$15="","",'[10]سجل المستخلصات'!$AD$15)</f>
        <v/>
      </c>
      <c r="Y34" s="58">
        <f>IF('[10]سجل المستخلصات'!$AE$15="","",'[10]سجل المستخلصات'!$AE$15)</f>
        <v/>
      </c>
    </row>
    <row r="35">
      <c r="B35" s="56" t="n">
        <v>11</v>
      </c>
      <c r="C35" s="57">
        <f>IF('[10]سجل المستخلصات'!$C$16="","",'[10]سجل المستخلصات'!$C$16)</f>
        <v/>
      </c>
      <c r="D35" s="57">
        <f>IF('[10]سجل المستخلصات'!$E$16="","",'[10]سجل المستخلصات'!$E$16)</f>
        <v/>
      </c>
      <c r="E35" s="58">
        <f>IF('[10]سجل المستخلصات'!$F$16="","",'[10]سجل المستخلصات'!$F$16)</f>
        <v/>
      </c>
      <c r="F35" s="59">
        <f>IF('[10]سجل المستخلصات'!$H$16="","",'[10]سجل المستخلصات'!$H$16)</f>
        <v/>
      </c>
      <c r="G35" s="59">
        <f>IF('[10]سجل المستخلصات'!$G$16="","",'[10]سجل المستخلصات'!$G$16)</f>
        <v/>
      </c>
      <c r="H35" s="59">
        <f>IF('[10]سجل المستخلصات'!$I$16="","",'[10]سجل المستخلصات'!$I$16)</f>
        <v/>
      </c>
      <c r="I35" s="59">
        <f>IF('[10]سجل المستخلصات'!$J$16="","",'[10]سجل المستخلصات'!$J$16)</f>
        <v/>
      </c>
      <c r="J35" s="59">
        <f>IF('[10]سجل المستخلصات'!$K$16="","",'[10]سجل المستخلصات'!$K$16)</f>
        <v/>
      </c>
      <c r="K35" s="60">
        <f>IF('[10]سجل المستخلصات'!$L$16="","",'[10]سجل المستخلصات'!$L$16)</f>
        <v/>
      </c>
      <c r="L35" s="60">
        <f>IF('[10]سجل المستخلصات'!$M$16="","",'[10]سجل المستخلصات'!$M$16)</f>
        <v/>
      </c>
      <c r="M35" s="60">
        <f>IF('[10]سجل المستخلصات'!$N$16="","",'[10]سجل المستخلصات'!$N$16)</f>
        <v/>
      </c>
      <c r="N35" s="59">
        <f>IF('[10]سجل المستخلصات'!$O$16="","",'[10]سجل المستخلصات'!$O$16)</f>
        <v/>
      </c>
      <c r="O35" s="59">
        <f>IF('[10]سجل المستخلصات'!$R$16="","",'[10]سجل المستخلصات'!$R$16)</f>
        <v/>
      </c>
      <c r="P35" s="59">
        <f>IF('[10]سجل المستخلصات'!$S$16="","",'[10]سجل المستخلصات'!$S$16)</f>
        <v/>
      </c>
      <c r="Q35" s="59">
        <f>IF('[10]سجل المستخلصات'!$T$16="","",'[10]سجل المستخلصات'!$T$16)</f>
        <v/>
      </c>
      <c r="R35" s="59">
        <f>IF('[10]سجل المستخلصات'!$V$16="","",'[10]سجل المستخلصات'!$V$16)</f>
        <v/>
      </c>
      <c r="S35" s="59">
        <f>IF('[10]سجل المستخلصات'!$W$16="","",'[10]سجل المستخلصات'!$W$16)</f>
        <v/>
      </c>
      <c r="T35" s="61">
        <f>IF('[10]سجل المستخلصات'!$X$16="","",'[10]سجل المستخلصات'!$X$16)</f>
        <v/>
      </c>
      <c r="U35" s="61">
        <f>IF('[10]سجل المستخلصات'!$Z$16="","",'[10]سجل المستخلصات'!$Z$16)</f>
        <v/>
      </c>
      <c r="V35" s="59">
        <f>IF('[10]سجل المستخلصات'!$AA$16="","",'[10]سجل المستخلصات'!$AA$16)</f>
        <v/>
      </c>
      <c r="W35" s="59">
        <f>IF('[10]سجل المستخلصات'!$AC$16="","",'[10]سجل المستخلصات'!$AC$16)</f>
        <v/>
      </c>
      <c r="X35" s="62">
        <f>IF('[10]سجل المستخلصات'!$AD$16="","",'[10]سجل المستخلصات'!$AD$16)</f>
        <v/>
      </c>
      <c r="Y35" s="58">
        <f>IF('[10]سجل المستخلصات'!$AE$16="","",'[10]سجل المستخلصات'!$AE$16)</f>
        <v/>
      </c>
    </row>
    <row r="36">
      <c r="B36" s="56" t="n">
        <v>12</v>
      </c>
      <c r="C36" s="57">
        <f>IF('[10]سجل المستخلصات'!$C$17="","",'[10]سجل المستخلصات'!$C$17)</f>
        <v/>
      </c>
      <c r="D36" s="57">
        <f>IF('[10]سجل المستخلصات'!$E$17="","",'[10]سجل المستخلصات'!$E$17)</f>
        <v/>
      </c>
      <c r="E36" s="58">
        <f>IF('[10]سجل المستخلصات'!$F$17="","",'[10]سجل المستخلصات'!$F$17)</f>
        <v/>
      </c>
      <c r="F36" s="59">
        <f>IF('[10]سجل المستخلصات'!$H$17="","",'[10]سجل المستخلصات'!$H$17)</f>
        <v/>
      </c>
      <c r="G36" s="59">
        <f>IF('[10]سجل المستخلصات'!$G$17="","",'[10]سجل المستخلصات'!$G$17)</f>
        <v/>
      </c>
      <c r="H36" s="59">
        <f>IF('[10]سجل المستخلصات'!$I$17="","",'[10]سجل المستخلصات'!$I$17)</f>
        <v/>
      </c>
      <c r="I36" s="59">
        <f>IF('[10]سجل المستخلصات'!$J$17="","",'[10]سجل المستخلصات'!$J$17)</f>
        <v/>
      </c>
      <c r="J36" s="59">
        <f>IF('[10]سجل المستخلصات'!$K$17="","",'[10]سجل المستخلصات'!$K$17)</f>
        <v/>
      </c>
      <c r="K36" s="60">
        <f>IF('[10]سجل المستخلصات'!$L$17="","",'[10]سجل المستخلصات'!$L$17)</f>
        <v/>
      </c>
      <c r="L36" s="60">
        <f>IF('[10]سجل المستخلصات'!$M$17="","",'[10]سجل المستخلصات'!$M$17)</f>
        <v/>
      </c>
      <c r="M36" s="60">
        <f>IF('[10]سجل المستخلصات'!$N$17="","",'[10]سجل المستخلصات'!$N$17)</f>
        <v/>
      </c>
      <c r="N36" s="59">
        <f>IF('[10]سجل المستخلصات'!$O$17="","",'[10]سجل المستخلصات'!$O$17)</f>
        <v/>
      </c>
      <c r="O36" s="59">
        <f>IF('[10]سجل المستخلصات'!$R$17="","",'[10]سجل المستخلصات'!$R$17)</f>
        <v/>
      </c>
      <c r="P36" s="59">
        <f>IF('[10]سجل المستخلصات'!$S$17="","",'[10]سجل المستخلصات'!$S$17)</f>
        <v/>
      </c>
      <c r="Q36" s="59">
        <f>IF('[10]سجل المستخلصات'!$T$17="","",'[10]سجل المستخلصات'!$T$17)</f>
        <v/>
      </c>
      <c r="R36" s="59">
        <f>IF('[10]سجل المستخلصات'!$V$17="","",'[10]سجل المستخلصات'!$V$17)</f>
        <v/>
      </c>
      <c r="S36" s="59">
        <f>IF('[10]سجل المستخلصات'!$W$17="","",'[10]سجل المستخلصات'!$W$17)</f>
        <v/>
      </c>
      <c r="T36" s="61">
        <f>IF('[10]سجل المستخلصات'!$X$17="","",'[10]سجل المستخلصات'!$X$17)</f>
        <v/>
      </c>
      <c r="U36" s="61">
        <f>IF('[10]سجل المستخلصات'!$Z$17="","",'[10]سجل المستخلصات'!$Z$17)</f>
        <v/>
      </c>
      <c r="V36" s="59">
        <f>IF('[10]سجل المستخلصات'!$AA$17="","",'[10]سجل المستخلصات'!$AA$17)</f>
        <v/>
      </c>
      <c r="W36" s="59">
        <f>IF('[10]سجل المستخلصات'!$AC$17="","",'[10]سجل المستخلصات'!$AC$17)</f>
        <v/>
      </c>
      <c r="X36" s="62">
        <f>IF('[10]سجل المستخلصات'!$AD$17="","",'[10]سجل المستخلصات'!$AD$17)</f>
        <v/>
      </c>
      <c r="Y36" s="58">
        <f>IF('[10]سجل المستخلصات'!$AE$17="","",'[10]سجل المستخلصات'!$AE$17)</f>
        <v/>
      </c>
    </row>
    <row r="37">
      <c r="B37" s="56" t="n">
        <v>13</v>
      </c>
      <c r="C37" s="57">
        <f>IF('[10]سجل المستخلصات'!$C$18="","",'[10]سجل المستخلصات'!$C$18)</f>
        <v/>
      </c>
      <c r="D37" s="57">
        <f>IF('[10]سجل المستخلصات'!$E$18="","",'[10]سجل المستخلصات'!$E$18)</f>
        <v/>
      </c>
      <c r="E37" s="58">
        <f>IF('[10]سجل المستخلصات'!$F$18="","",'[10]سجل المستخلصات'!$F$18)</f>
        <v/>
      </c>
      <c r="F37" s="59">
        <f>IF('[10]سجل المستخلصات'!$H$18="","",'[10]سجل المستخلصات'!$H$18)</f>
        <v/>
      </c>
      <c r="G37" s="59">
        <f>IF('[10]سجل المستخلصات'!$G$18="","",'[10]سجل المستخلصات'!$G$18)</f>
        <v/>
      </c>
      <c r="H37" s="59">
        <f>IF('[10]سجل المستخلصات'!$I$18="","",'[10]سجل المستخلصات'!$I$18)</f>
        <v/>
      </c>
      <c r="I37" s="59">
        <f>IF('[10]سجل المستخلصات'!$J$18="","",'[10]سجل المستخلصات'!$J$18)</f>
        <v/>
      </c>
      <c r="J37" s="59">
        <f>IF('[10]سجل المستخلصات'!$K$18="","",'[10]سجل المستخلصات'!$K$18)</f>
        <v/>
      </c>
      <c r="K37" s="60">
        <f>IF('[10]سجل المستخلصات'!$L$18="","",'[10]سجل المستخلصات'!$L$18)</f>
        <v/>
      </c>
      <c r="L37" s="60">
        <f>IF('[10]سجل المستخلصات'!$M$18="","",'[10]سجل المستخلصات'!$M$18)</f>
        <v/>
      </c>
      <c r="M37" s="60">
        <f>IF('[10]سجل المستخلصات'!$N$18="","",'[10]سجل المستخلصات'!$N$18)</f>
        <v/>
      </c>
      <c r="N37" s="59">
        <f>IF('[10]سجل المستخلصات'!$O$18="","",'[10]سجل المستخلصات'!$O$18)</f>
        <v/>
      </c>
      <c r="O37" s="59">
        <f>IF('[10]سجل المستخلصات'!$R$18="","",'[10]سجل المستخلصات'!$R$18)</f>
        <v/>
      </c>
      <c r="P37" s="59">
        <f>IF('[10]سجل المستخلصات'!$S$18="","",'[10]سجل المستخلصات'!$S$18)</f>
        <v/>
      </c>
      <c r="Q37" s="59">
        <f>IF('[10]سجل المستخلصات'!$T$18="","",'[10]سجل المستخلصات'!$T$18)</f>
        <v/>
      </c>
      <c r="R37" s="59">
        <f>IF('[10]سجل المستخلصات'!$V$18="","",'[10]سجل المستخلصات'!$V$18)</f>
        <v/>
      </c>
      <c r="S37" s="59">
        <f>IF('[10]سجل المستخلصات'!$W$18="","",'[10]سجل المستخلصات'!$W$18)</f>
        <v/>
      </c>
      <c r="T37" s="61">
        <f>IF('[10]سجل المستخلصات'!$X$18="","",'[10]سجل المستخلصات'!$X$18)</f>
        <v/>
      </c>
      <c r="U37" s="61">
        <f>IF('[10]سجل المستخلصات'!$Z$18="","",'[10]سجل المستخلصات'!$Z$18)</f>
        <v/>
      </c>
      <c r="V37" s="59">
        <f>IF('[10]سجل المستخلصات'!$AA$18="","",'[10]سجل المستخلصات'!$AA$18)</f>
        <v/>
      </c>
      <c r="W37" s="59">
        <f>IF('[10]سجل المستخلصات'!$AC$18="","",'[10]سجل المستخلصات'!$AC$18)</f>
        <v/>
      </c>
      <c r="X37" s="62">
        <f>IF('[10]سجل المستخلصات'!$AD$18="","",'[10]سجل المستخلصات'!$AD$18)</f>
        <v/>
      </c>
      <c r="Y37" s="58">
        <f>IF('[10]سجل المستخلصات'!$AE$18="","",'[10]سجل المستخلصات'!$AE$18)</f>
        <v/>
      </c>
    </row>
    <row r="38">
      <c r="B38" s="56" t="n">
        <v>14</v>
      </c>
      <c r="C38" s="57">
        <f>IF('[10]سجل المستخلصات'!$C$19="","",'[10]سجل المستخلصات'!$C$19)</f>
        <v/>
      </c>
      <c r="D38" s="57">
        <f>IF('[10]سجل المستخلصات'!$E$19="","",'[10]سجل المستخلصات'!$E$19)</f>
        <v/>
      </c>
      <c r="E38" s="58">
        <f>IF('[10]سجل المستخلصات'!$F$19="","",'[10]سجل المستخلصات'!$F$19)</f>
        <v/>
      </c>
      <c r="F38" s="59">
        <f>IF('[10]سجل المستخلصات'!$H$19="","",'[10]سجل المستخلصات'!$H$19)</f>
        <v/>
      </c>
      <c r="G38" s="59">
        <f>IF('[10]سجل المستخلصات'!$G$19="","",'[10]سجل المستخلصات'!$G$19)</f>
        <v/>
      </c>
      <c r="H38" s="59">
        <f>IF('[10]سجل المستخلصات'!$I$19="","",'[10]سجل المستخلصات'!$I$19)</f>
        <v/>
      </c>
      <c r="I38" s="59">
        <f>IF('[10]سجل المستخلصات'!$J$19="","",'[10]سجل المستخلصات'!$J$19)</f>
        <v/>
      </c>
      <c r="J38" s="59">
        <f>IF('[10]سجل المستخلصات'!$K$19="","",'[10]سجل المستخلصات'!$K$19)</f>
        <v/>
      </c>
      <c r="K38" s="60">
        <f>IF('[10]سجل المستخلصات'!$L$19="","",'[10]سجل المستخلصات'!$L$19)</f>
        <v/>
      </c>
      <c r="L38" s="60">
        <f>IF('[10]سجل المستخلصات'!$M$19="","",'[10]سجل المستخلصات'!$M$19)</f>
        <v/>
      </c>
      <c r="M38" s="60">
        <f>IF('[10]سجل المستخلصات'!$N$19="","",'[10]سجل المستخلصات'!$N$19)</f>
        <v/>
      </c>
      <c r="N38" s="59">
        <f>IF('[10]سجل المستخلصات'!$O$19="","",'[10]سجل المستخلصات'!$O$19)</f>
        <v/>
      </c>
      <c r="O38" s="59">
        <f>IF('[10]سجل المستخلصات'!$R$19="","",'[10]سجل المستخلصات'!$R$19)</f>
        <v/>
      </c>
      <c r="P38" s="59">
        <f>IF('[10]سجل المستخلصات'!$S$19="","",'[10]سجل المستخلصات'!$S$19)</f>
        <v/>
      </c>
      <c r="Q38" s="59">
        <f>IF('[10]سجل المستخلصات'!$T$19="","",'[10]سجل المستخلصات'!$T$19)</f>
        <v/>
      </c>
      <c r="R38" s="59">
        <f>IF('[10]سجل المستخلصات'!$V$19="","",'[10]سجل المستخلصات'!$V$19)</f>
        <v/>
      </c>
      <c r="S38" s="59">
        <f>IF('[10]سجل المستخلصات'!$W$19="","",'[10]سجل المستخلصات'!$W$19)</f>
        <v/>
      </c>
      <c r="T38" s="61">
        <f>IF('[10]سجل المستخلصات'!$X$19="","",'[10]سجل المستخلصات'!$X$19)</f>
        <v/>
      </c>
      <c r="U38" s="61">
        <f>IF('[10]سجل المستخلصات'!$Z$19="","",'[10]سجل المستخلصات'!$Z$19)</f>
        <v/>
      </c>
      <c r="V38" s="59">
        <f>IF('[10]سجل المستخلصات'!$AA$19="","",'[10]سجل المستخلصات'!$AA$19)</f>
        <v/>
      </c>
      <c r="W38" s="59">
        <f>IF('[10]سجل المستخلصات'!$AC$19="","",'[10]سجل المستخلصات'!$AC$19)</f>
        <v/>
      </c>
      <c r="X38" s="62">
        <f>IF('[10]سجل المستخلصات'!$AD$19="","",'[10]سجل المستخلصات'!$AD$19)</f>
        <v/>
      </c>
      <c r="Y38" s="58">
        <f>IF('[10]سجل المستخلصات'!$AE$19="","",'[10]سجل المستخلصات'!$AE$19)</f>
        <v/>
      </c>
    </row>
    <row r="39">
      <c r="B39" s="56" t="n">
        <v>15</v>
      </c>
      <c r="C39" s="57">
        <f>IF('[10]سجل المستخلصات'!$C$20="","",'[10]سجل المستخلصات'!$C$20)</f>
        <v/>
      </c>
      <c r="D39" s="57">
        <f>IF('[10]سجل المستخلصات'!$E$20="","",'[10]سجل المستخلصات'!$E$20)</f>
        <v/>
      </c>
      <c r="E39" s="58">
        <f>IF('[10]سجل المستخلصات'!$F$20="","",'[10]سجل المستخلصات'!$F$20)</f>
        <v/>
      </c>
      <c r="F39" s="59">
        <f>IF('[10]سجل المستخلصات'!$H$20="","",'[10]سجل المستخلصات'!$H$20)</f>
        <v/>
      </c>
      <c r="G39" s="59">
        <f>IF('[10]سجل المستخلصات'!$G$20="","",'[10]سجل المستخلصات'!$G$20)</f>
        <v/>
      </c>
      <c r="H39" s="59">
        <f>IF('[10]سجل المستخلصات'!$I$20="","",'[10]سجل المستخلصات'!$I$20)</f>
        <v/>
      </c>
      <c r="I39" s="59">
        <f>IF('[10]سجل المستخلصات'!$J$20="","",'[10]سجل المستخلصات'!$J$20)</f>
        <v/>
      </c>
      <c r="J39" s="59">
        <f>IF('[10]سجل المستخلصات'!$K$20="","",'[10]سجل المستخلصات'!$K$20)</f>
        <v/>
      </c>
      <c r="K39" s="60">
        <f>IF('[10]سجل المستخلصات'!$L$20="","",'[10]سجل المستخلصات'!$L$20)</f>
        <v/>
      </c>
      <c r="L39" s="60">
        <f>IF('[10]سجل المستخلصات'!$M$20="","",'[10]سجل المستخلصات'!$M$20)</f>
        <v/>
      </c>
      <c r="M39" s="60">
        <f>IF('[10]سجل المستخلصات'!$N$20="","",'[10]سجل المستخلصات'!$N$20)</f>
        <v/>
      </c>
      <c r="N39" s="59">
        <f>IF('[10]سجل المستخلصات'!$O$20="","",'[10]سجل المستخلصات'!$O$20)</f>
        <v/>
      </c>
      <c r="O39" s="59">
        <f>IF('[10]سجل المستخلصات'!$R$20="","",'[10]سجل المستخلصات'!$R$20)</f>
        <v/>
      </c>
      <c r="P39" s="59">
        <f>IF('[10]سجل المستخلصات'!$S$20="","",'[10]سجل المستخلصات'!$S$20)</f>
        <v/>
      </c>
      <c r="Q39" s="59">
        <f>IF('[10]سجل المستخلصات'!$T$20="","",'[10]سجل المستخلصات'!$T$20)</f>
        <v/>
      </c>
      <c r="R39" s="59">
        <f>IF('[10]سجل المستخلصات'!$V$20="","",'[10]سجل المستخلصات'!$V$20)</f>
        <v/>
      </c>
      <c r="S39" s="59">
        <f>IF('[10]سجل المستخلصات'!$W$20="","",'[10]سجل المستخلصات'!$W$20)</f>
        <v/>
      </c>
      <c r="T39" s="61">
        <f>IF('[10]سجل المستخلصات'!$X$20="","",'[10]سجل المستخلصات'!$X$20)</f>
        <v/>
      </c>
      <c r="U39" s="61">
        <f>IF('[10]سجل المستخلصات'!$Z$20="","",'[10]سجل المستخلصات'!$Z$20)</f>
        <v/>
      </c>
      <c r="V39" s="59">
        <f>IF('[10]سجل المستخلصات'!$AA$20="","",'[10]سجل المستخلصات'!$AA$20)</f>
        <v/>
      </c>
      <c r="W39" s="59">
        <f>IF('[10]سجل المستخلصات'!$AC$20="","",'[10]سجل المستخلصات'!$AC$20)</f>
        <v/>
      </c>
      <c r="X39" s="62">
        <f>IF('[10]سجل المستخلصات'!$AD$20="","",'[10]سجل المستخلصات'!$AD$20)</f>
        <v/>
      </c>
      <c r="Y39" s="58">
        <f>IF('[10]سجل المستخلصات'!$AE$20="","",'[10]سجل المستخلصات'!$AE$20)</f>
        <v/>
      </c>
    </row>
    <row r="40">
      <c r="B40" s="56" t="n">
        <v>16</v>
      </c>
      <c r="C40" s="57">
        <f>IF('[10]سجل المستخلصات'!$C$21="","",'[10]سجل المستخلصات'!$C$21)</f>
        <v/>
      </c>
      <c r="D40" s="57">
        <f>IF('[10]سجل المستخلصات'!$E$21="","",'[10]سجل المستخلصات'!$E$21)</f>
        <v/>
      </c>
      <c r="E40" s="58">
        <f>IF('[10]سجل المستخلصات'!$F$21="","",'[10]سجل المستخلصات'!$F$21)</f>
        <v/>
      </c>
      <c r="F40" s="59">
        <f>IF('[10]سجل المستخلصات'!$H$21="","",'[10]سجل المستخلصات'!$H$21)</f>
        <v/>
      </c>
      <c r="G40" s="59">
        <f>IF('[10]سجل المستخلصات'!$G$21="","",'[10]سجل المستخلصات'!$G$21)</f>
        <v/>
      </c>
      <c r="H40" s="59">
        <f>IF('[10]سجل المستخلصات'!$I$21="","",'[10]سجل المستخلصات'!$I$21)</f>
        <v/>
      </c>
      <c r="I40" s="59">
        <f>IF('[10]سجل المستخلصات'!$J$21="","",'[10]سجل المستخلصات'!$J$21)</f>
        <v/>
      </c>
      <c r="J40" s="59">
        <f>IF('[10]سجل المستخلصات'!$K$21="","",'[10]سجل المستخلصات'!$K$21)</f>
        <v/>
      </c>
      <c r="K40" s="60">
        <f>IF('[10]سجل المستخلصات'!$L$21="","",'[10]سجل المستخلصات'!$L$21)</f>
        <v/>
      </c>
      <c r="L40" s="60">
        <f>IF('[10]سجل المستخلصات'!$M$21="","",'[10]سجل المستخلصات'!$M$21)</f>
        <v/>
      </c>
      <c r="M40" s="60">
        <f>IF('[10]سجل المستخلصات'!$N$21="","",'[10]سجل المستخلصات'!$N$21)</f>
        <v/>
      </c>
      <c r="N40" s="59">
        <f>IF('[10]سجل المستخلصات'!$O$21="","",'[10]سجل المستخلصات'!$O$21)</f>
        <v/>
      </c>
      <c r="O40" s="59">
        <f>IF('[10]سجل المستخلصات'!$R$21="","",'[10]سجل المستخلصات'!$R$21)</f>
        <v/>
      </c>
      <c r="P40" s="59">
        <f>IF('[10]سجل المستخلصات'!$S$21="","",'[10]سجل المستخلصات'!$S$21)</f>
        <v/>
      </c>
      <c r="Q40" s="59">
        <f>IF('[10]سجل المستخلصات'!$T$21="","",'[10]سجل المستخلصات'!$T$21)</f>
        <v/>
      </c>
      <c r="R40" s="59">
        <f>IF('[10]سجل المستخلصات'!$V$21="","",'[10]سجل المستخلصات'!$V$21)</f>
        <v/>
      </c>
      <c r="S40" s="59">
        <f>IF('[10]سجل المستخلصات'!$W$21="","",'[10]سجل المستخلصات'!$W$21)</f>
        <v/>
      </c>
      <c r="T40" s="61">
        <f>IF('[10]سجل المستخلصات'!$X$21="","",'[10]سجل المستخلصات'!$X$21)</f>
        <v/>
      </c>
      <c r="U40" s="61">
        <f>IF('[10]سجل المستخلصات'!$Z$21="","",'[10]سجل المستخلصات'!$Z$21)</f>
        <v/>
      </c>
      <c r="V40" s="59">
        <f>IF('[10]سجل المستخلصات'!$AA$21="","",'[10]سجل المستخلصات'!$AA$21)</f>
        <v/>
      </c>
      <c r="W40" s="59">
        <f>IF('[10]سجل المستخلصات'!$AC$21="","",'[10]سجل المستخلصات'!$AC$21)</f>
        <v/>
      </c>
      <c r="X40" s="62">
        <f>IF('[10]سجل المستخلصات'!$AD$21="","",'[10]سجل المستخلصات'!$AD$21)</f>
        <v/>
      </c>
      <c r="Y40" s="58">
        <f>IF('[10]سجل المستخلصات'!$AE$21="","",'[10]سجل المستخلصات'!$AE$21)</f>
        <v/>
      </c>
    </row>
    <row r="41">
      <c r="B41" s="56" t="n">
        <v>17</v>
      </c>
      <c r="C41" s="57">
        <f>IF('[10]سجل المستخلصات'!$C$22="","",'[10]سجل المستخلصات'!$C$22)</f>
        <v/>
      </c>
      <c r="D41" s="57">
        <f>IF('[10]سجل المستخلصات'!$E$22="","",'[10]سجل المستخلصات'!$E$22)</f>
        <v/>
      </c>
      <c r="E41" s="58">
        <f>IF('[10]سجل المستخلصات'!$F$22="","",'[10]سجل المستخلصات'!$F$22)</f>
        <v/>
      </c>
      <c r="F41" s="59">
        <f>IF('[10]سجل المستخلصات'!$H$22="","",'[10]سجل المستخلصات'!$H$22)</f>
        <v/>
      </c>
      <c r="G41" s="59">
        <f>IF('[10]سجل المستخلصات'!$G$22="","",'[10]سجل المستخلصات'!$G$22)</f>
        <v/>
      </c>
      <c r="H41" s="59">
        <f>IF('[10]سجل المستخلصات'!$I$22="","",'[10]سجل المستخلصات'!$I$22)</f>
        <v/>
      </c>
      <c r="I41" s="59">
        <f>IF('[10]سجل المستخلصات'!$J$22="","",'[10]سجل المستخلصات'!$J$22)</f>
        <v/>
      </c>
      <c r="J41" s="59">
        <f>IF('[10]سجل المستخلصات'!$K$22="","",'[10]سجل المستخلصات'!$K$22)</f>
        <v/>
      </c>
      <c r="K41" s="60">
        <f>IF('[10]سجل المستخلصات'!$L$22="","",'[10]سجل المستخلصات'!$L$22)</f>
        <v/>
      </c>
      <c r="L41" s="60">
        <f>IF('[10]سجل المستخلصات'!$M$22="","",'[10]سجل المستخلصات'!$M$22)</f>
        <v/>
      </c>
      <c r="M41" s="60">
        <f>IF('[10]سجل المستخلصات'!$N$22="","",'[10]سجل المستخلصات'!$N$22)</f>
        <v/>
      </c>
      <c r="N41" s="59">
        <f>IF('[10]سجل المستخلصات'!$O$22="","",'[10]سجل المستخلصات'!$O$22)</f>
        <v/>
      </c>
      <c r="O41" s="59">
        <f>IF('[10]سجل المستخلصات'!$R$22="","",'[10]سجل المستخلصات'!$R$22)</f>
        <v/>
      </c>
      <c r="P41" s="59">
        <f>IF('[10]سجل المستخلصات'!$S$22="","",'[10]سجل المستخلصات'!$S$22)</f>
        <v/>
      </c>
      <c r="Q41" s="59">
        <f>IF('[10]سجل المستخلصات'!$T$22="","",'[10]سجل المستخلصات'!$T$22)</f>
        <v/>
      </c>
      <c r="R41" s="59">
        <f>IF('[10]سجل المستخلصات'!$V$22="","",'[10]سجل المستخلصات'!$V$22)</f>
        <v/>
      </c>
      <c r="S41" s="59">
        <f>IF('[10]سجل المستخلصات'!$W$22="","",'[10]سجل المستخلصات'!$W$22)</f>
        <v/>
      </c>
      <c r="T41" s="61">
        <f>IF('[10]سجل المستخلصات'!$X$22="","",'[10]سجل المستخلصات'!$X$22)</f>
        <v/>
      </c>
      <c r="U41" s="61">
        <f>IF('[10]سجل المستخلصات'!$Z$22="","",'[10]سجل المستخلصات'!$Z$22)</f>
        <v/>
      </c>
      <c r="V41" s="59">
        <f>IF('[10]سجل المستخلصات'!$AA$22="","",'[10]سجل المستخلصات'!$AA$22)</f>
        <v/>
      </c>
      <c r="W41" s="59">
        <f>IF('[10]سجل المستخلصات'!$AC$22="","",'[10]سجل المستخلصات'!$AC$22)</f>
        <v/>
      </c>
      <c r="X41" s="62">
        <f>IF('[10]سجل المستخلصات'!$AD$22="","",'[10]سجل المستخلصات'!$AD$22)</f>
        <v/>
      </c>
      <c r="Y41" s="58">
        <f>IF('[10]سجل المستخلصات'!$AE$22="","",'[10]سجل المستخلصات'!$AE$22)</f>
        <v/>
      </c>
    </row>
    <row r="42">
      <c r="B42" s="56" t="n">
        <v>18</v>
      </c>
      <c r="C42" s="57">
        <f>IF('[10]سجل المستخلصات'!$C$23="","",'[10]سجل المستخلصات'!$C$23)</f>
        <v/>
      </c>
      <c r="D42" s="57">
        <f>IF('[10]سجل المستخلصات'!$E$23="","",'[10]سجل المستخلصات'!$E$23)</f>
        <v/>
      </c>
      <c r="E42" s="58">
        <f>IF('[10]سجل المستخلصات'!$F$23="","",'[10]سجل المستخلصات'!$F$23)</f>
        <v/>
      </c>
      <c r="F42" s="59">
        <f>IF('[10]سجل المستخلصات'!$H$23="","",'[10]سجل المستخلصات'!$H$23)</f>
        <v/>
      </c>
      <c r="G42" s="59">
        <f>IF('[10]سجل المستخلصات'!$G$23="","",'[10]سجل المستخلصات'!$G$23)</f>
        <v/>
      </c>
      <c r="H42" s="59">
        <f>IF('[10]سجل المستخلصات'!$I$23="","",'[10]سجل المستخلصات'!$I$23)</f>
        <v/>
      </c>
      <c r="I42" s="59">
        <f>IF('[10]سجل المستخلصات'!$J$23="","",'[10]سجل المستخلصات'!$J$23)</f>
        <v/>
      </c>
      <c r="J42" s="59">
        <f>IF('[10]سجل المستخلصات'!$K$23="","",'[10]سجل المستخلصات'!$K$23)</f>
        <v/>
      </c>
      <c r="K42" s="60">
        <f>IF('[10]سجل المستخلصات'!$L$23="","",'[10]سجل المستخلصات'!$L$23)</f>
        <v/>
      </c>
      <c r="L42" s="60">
        <f>IF('[10]سجل المستخلصات'!$M$23="","",'[10]سجل المستخلصات'!$M$23)</f>
        <v/>
      </c>
      <c r="M42" s="60">
        <f>IF('[10]سجل المستخلصات'!$N$23="","",'[10]سجل المستخلصات'!$N$23)</f>
        <v/>
      </c>
      <c r="N42" s="59">
        <f>IF('[10]سجل المستخلصات'!$O$23="","",'[10]سجل المستخلصات'!$O$23)</f>
        <v/>
      </c>
      <c r="O42" s="59">
        <f>IF('[10]سجل المستخلصات'!$R$23="","",'[10]سجل المستخلصات'!$R$23)</f>
        <v/>
      </c>
      <c r="P42" s="59">
        <f>IF('[10]سجل المستخلصات'!$S$23="","",'[10]سجل المستخلصات'!$S$23)</f>
        <v/>
      </c>
      <c r="Q42" s="59">
        <f>IF('[10]سجل المستخلصات'!$T$23="","",'[10]سجل المستخلصات'!$T$23)</f>
        <v/>
      </c>
      <c r="R42" s="59">
        <f>IF('[10]سجل المستخلصات'!$V$23="","",'[10]سجل المستخلصات'!$V$23)</f>
        <v/>
      </c>
      <c r="S42" s="59">
        <f>IF('[10]سجل المستخلصات'!$W$23="","",'[10]سجل المستخلصات'!$W$23)</f>
        <v/>
      </c>
      <c r="T42" s="61">
        <f>IF('[10]سجل المستخلصات'!$X$23="","",'[10]سجل المستخلصات'!$X$23)</f>
        <v/>
      </c>
      <c r="U42" s="61">
        <f>IF('[10]سجل المستخلصات'!$Z$23="","",'[10]سجل المستخلصات'!$Z$23)</f>
        <v/>
      </c>
      <c r="V42" s="59">
        <f>IF('[10]سجل المستخلصات'!$AA$23="","",'[10]سجل المستخلصات'!$AA$23)</f>
        <v/>
      </c>
      <c r="W42" s="59">
        <f>IF('[10]سجل المستخلصات'!$AC$23="","",'[10]سجل المستخلصات'!$AC$23)</f>
        <v/>
      </c>
      <c r="X42" s="62">
        <f>IF('[10]سجل المستخلصات'!$AD$23="","",'[10]سجل المستخلصات'!$AD$23)</f>
        <v/>
      </c>
      <c r="Y42" s="58">
        <f>IF('[10]سجل المستخلصات'!$AE$23="","",'[10]سجل المستخلصات'!$AE$23)</f>
        <v/>
      </c>
    </row>
    <row r="43">
      <c r="B43" s="56" t="n">
        <v>19</v>
      </c>
      <c r="C43" s="57">
        <f>IF('[10]سجل المستخلصات'!$C$24="","",'[10]سجل المستخلصات'!$C$24)</f>
        <v/>
      </c>
      <c r="D43" s="57">
        <f>IF('[10]سجل المستخلصات'!$E$24="","",'[10]سجل المستخلصات'!$E$24)</f>
        <v/>
      </c>
      <c r="E43" s="58">
        <f>IF('[10]سجل المستخلصات'!$F$24="","",'[10]سجل المستخلصات'!$F$24)</f>
        <v/>
      </c>
      <c r="F43" s="59">
        <f>IF('[10]سجل المستخلصات'!$H$24="","",'[10]سجل المستخلصات'!$H$24)</f>
        <v/>
      </c>
      <c r="G43" s="59">
        <f>IF('[10]سجل المستخلصات'!$G$24="","",'[10]سجل المستخلصات'!$G$24)</f>
        <v/>
      </c>
      <c r="H43" s="59">
        <f>IF('[10]سجل المستخلصات'!$I$24="","",'[10]سجل المستخلصات'!$I$24)</f>
        <v/>
      </c>
      <c r="I43" s="59">
        <f>IF('[10]سجل المستخلصات'!$J$24="","",'[10]سجل المستخلصات'!$J$24)</f>
        <v/>
      </c>
      <c r="J43" s="59">
        <f>IF('[10]سجل المستخلصات'!$K$24="","",'[10]سجل المستخلصات'!$K$24)</f>
        <v/>
      </c>
      <c r="K43" s="60">
        <f>IF('[10]سجل المستخلصات'!$L$24="","",'[10]سجل المستخلصات'!$L$24)</f>
        <v/>
      </c>
      <c r="L43" s="60">
        <f>IF('[10]سجل المستخلصات'!$M$24="","",'[10]سجل المستخلصات'!$M$24)</f>
        <v/>
      </c>
      <c r="M43" s="60">
        <f>IF('[10]سجل المستخلصات'!$N$24="","",'[10]سجل المستخلصات'!$N$24)</f>
        <v/>
      </c>
      <c r="N43" s="59">
        <f>IF('[10]سجل المستخلصات'!$O$24="","",'[10]سجل المستخلصات'!$O$24)</f>
        <v/>
      </c>
      <c r="O43" s="59">
        <f>IF('[10]سجل المستخلصات'!$R$24="","",'[10]سجل المستخلصات'!$R$24)</f>
        <v/>
      </c>
      <c r="P43" s="59">
        <f>IF('[10]سجل المستخلصات'!$S$24="","",'[10]سجل المستخلصات'!$S$24)</f>
        <v/>
      </c>
      <c r="Q43" s="59">
        <f>IF('[10]سجل المستخلصات'!$T$24="","",'[10]سجل المستخلصات'!$T$24)</f>
        <v/>
      </c>
      <c r="R43" s="59">
        <f>IF('[10]سجل المستخلصات'!$V$24="","",'[10]سجل المستخلصات'!$V$24)</f>
        <v/>
      </c>
      <c r="S43" s="59">
        <f>IF('[10]سجل المستخلصات'!$W$24="","",'[10]سجل المستخلصات'!$W$24)</f>
        <v/>
      </c>
      <c r="T43" s="61">
        <f>IF('[10]سجل المستخلصات'!$X$24="","",'[10]سجل المستخلصات'!$X$24)</f>
        <v/>
      </c>
      <c r="U43" s="61">
        <f>IF('[10]سجل المستخلصات'!$Z$24="","",'[10]سجل المستخلصات'!$Z$24)</f>
        <v/>
      </c>
      <c r="V43" s="59">
        <f>IF('[10]سجل المستخلصات'!$AA$24="","",'[10]سجل المستخلصات'!$AA$24)</f>
        <v/>
      </c>
      <c r="W43" s="59">
        <f>IF('[10]سجل المستخلصات'!$AC$24="","",'[10]سجل المستخلصات'!$AC$24)</f>
        <v/>
      </c>
      <c r="X43" s="62">
        <f>IF('[10]سجل المستخلصات'!$AD$24="","",'[10]سجل المستخلصات'!$AD$24)</f>
        <v/>
      </c>
      <c r="Y43" s="58">
        <f>IF('[10]سجل المستخلصات'!$AE$24="","",'[10]سجل المستخلصات'!$AE$24)</f>
        <v/>
      </c>
    </row>
    <row r="44">
      <c r="B44" s="56" t="n">
        <v>20</v>
      </c>
      <c r="C44" s="57">
        <f>IF('[10]سجل المستخلصات'!$C$25="","",'[10]سجل المستخلصات'!$C$25)</f>
        <v/>
      </c>
      <c r="D44" s="57">
        <f>IF('[10]سجل المستخلصات'!$E$25="","",'[10]سجل المستخلصات'!$E$25)</f>
        <v/>
      </c>
      <c r="E44" s="58">
        <f>IF('[10]سجل المستخلصات'!$F$25="","",'[10]سجل المستخلصات'!$F$25)</f>
        <v/>
      </c>
      <c r="F44" s="59">
        <f>IF('[10]سجل المستخلصات'!$H$25="","",'[10]سجل المستخلصات'!$H$25)</f>
        <v/>
      </c>
      <c r="G44" s="59">
        <f>IF('[10]سجل المستخلصات'!$G$25="","",'[10]سجل المستخلصات'!$G$25)</f>
        <v/>
      </c>
      <c r="H44" s="59">
        <f>IF('[10]سجل المستخلصات'!$I$25="","",'[10]سجل المستخلصات'!$I$25)</f>
        <v/>
      </c>
      <c r="I44" s="59">
        <f>IF('[10]سجل المستخلصات'!$J$25="","",'[10]سجل المستخلصات'!$J$25)</f>
        <v/>
      </c>
      <c r="J44" s="59">
        <f>IF('[10]سجل المستخلصات'!$K$25="","",'[10]سجل المستخلصات'!$K$25)</f>
        <v/>
      </c>
      <c r="K44" s="60">
        <f>IF('[10]سجل المستخلصات'!$L$25="","",'[10]سجل المستخلصات'!$L$25)</f>
        <v/>
      </c>
      <c r="L44" s="60">
        <f>IF('[10]سجل المستخلصات'!$M$25="","",'[10]سجل المستخلصات'!$M$25)</f>
        <v/>
      </c>
      <c r="M44" s="60">
        <f>IF('[10]سجل المستخلصات'!$N$25="","",'[10]سجل المستخلصات'!$N$25)</f>
        <v/>
      </c>
      <c r="N44" s="59">
        <f>IF('[10]سجل المستخلصات'!$O$25="","",'[10]سجل المستخلصات'!$O$25)</f>
        <v/>
      </c>
      <c r="O44" s="59">
        <f>IF('[10]سجل المستخلصات'!$R$25="","",'[10]سجل المستخلصات'!$R$25)</f>
        <v/>
      </c>
      <c r="P44" s="59">
        <f>IF('[10]سجل المستخلصات'!$S$25="","",'[10]سجل المستخلصات'!$S$25)</f>
        <v/>
      </c>
      <c r="Q44" s="59">
        <f>IF('[10]سجل المستخلصات'!$T$25="","",'[10]سجل المستخلصات'!$T$25)</f>
        <v/>
      </c>
      <c r="R44" s="59">
        <f>IF('[10]سجل المستخلصات'!$V$25="","",'[10]سجل المستخلصات'!$V$25)</f>
        <v/>
      </c>
      <c r="S44" s="59">
        <f>IF('[10]سجل المستخلصات'!$W$25="","",'[10]سجل المستخلصات'!$W$25)</f>
        <v/>
      </c>
      <c r="T44" s="61">
        <f>IF('[10]سجل المستخلصات'!$X$25="","",'[10]سجل المستخلصات'!$X$25)</f>
        <v/>
      </c>
      <c r="U44" s="61">
        <f>IF('[10]سجل المستخلصات'!$Z$25="","",'[10]سجل المستخلصات'!$Z$25)</f>
        <v/>
      </c>
      <c r="V44" s="59">
        <f>IF('[10]سجل المستخلصات'!$AA$25="","",'[10]سجل المستخلصات'!$AA$25)</f>
        <v/>
      </c>
      <c r="W44" s="59">
        <f>IF('[10]سجل المستخلصات'!$AC$25="","",'[10]سجل المستخلصات'!$AC$25)</f>
        <v/>
      </c>
      <c r="X44" s="62">
        <f>IF('[10]سجل المستخلصات'!$AD$25="","",'[10]سجل المستخلصات'!$AD$25)</f>
        <v/>
      </c>
      <c r="Y44" s="58">
        <f>IF('[10]سجل المستخلصات'!$AE$25="","",'[10]سجل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IF('[10]سجل المستخلصات'!$B$32="","",'[10]سجل المستخلصات'!$B$32)</f>
        <v/>
      </c>
      <c r="C50" s="69" t="n"/>
      <c r="D50" s="69" t="n"/>
      <c r="E50" s="59">
        <f>N('[10]سجل المستخلصات'!$E$32)</f>
        <v/>
      </c>
      <c r="F50" s="59">
        <f>N('[10]سجل المستخلصات'!$F$32)</f>
        <v/>
      </c>
      <c r="G50" s="70">
        <f>IF(E50&gt;0,F50/E50,0)</f>
        <v/>
      </c>
    </row>
    <row r="51">
      <c r="B51" s="69">
        <f>IF('[10]سجل المستخلصات'!$B$33="","",'[10]سجل المستخلصات'!$B$33)</f>
        <v/>
      </c>
      <c r="C51" s="69" t="n"/>
      <c r="D51" s="69" t="n"/>
      <c r="E51" s="59">
        <f>N('[10]سجل المستخلصات'!$E$33)</f>
        <v/>
      </c>
      <c r="F51" s="59">
        <f>N('[10]سجل المستخلصات'!$F$33)</f>
        <v/>
      </c>
      <c r="G51" s="70">
        <f>IF(E51&gt;0,F51/E51,0)</f>
        <v/>
      </c>
    </row>
    <row r="52">
      <c r="B52" s="69">
        <f>IF('[10]سجل المستخلصات'!$B$34="","",'[10]سجل المستخلصات'!$B$34)</f>
        <v/>
      </c>
      <c r="C52" s="69" t="n"/>
      <c r="D52" s="69" t="n"/>
      <c r="E52" s="59">
        <f>N('[10]سجل المستخلصات'!$E$34)</f>
        <v/>
      </c>
      <c r="F52" s="59">
        <f>N('[10]سجل المستخلصات'!$F$34)</f>
        <v/>
      </c>
      <c r="G52" s="70">
        <f>IF(E52&gt;0,F52/E52,0)</f>
        <v/>
      </c>
    </row>
    <row r="53">
      <c r="B53" s="69">
        <f>IF('[10]سجل المستخلصات'!$B$35="","",'[10]سجل المستخلصات'!$B$35)</f>
        <v/>
      </c>
      <c r="C53" s="69" t="n"/>
      <c r="D53" s="69" t="n"/>
      <c r="E53" s="59">
        <f>N('[10]سجل المستخلصات'!$E$35)</f>
        <v/>
      </c>
      <c r="F53" s="59">
        <f>N('[10]سجل المستخلصات'!$F$35)</f>
        <v/>
      </c>
      <c r="G53" s="70">
        <f>IF(E53&gt;0,F53/E53,0)</f>
        <v/>
      </c>
    </row>
    <row r="54">
      <c r="B54" s="69">
        <f>IF('[10]سجل المستخلصات'!$B$36="","",'[10]سجل المستخلصات'!$B$36)</f>
        <v/>
      </c>
      <c r="C54" s="69" t="n"/>
      <c r="D54" s="69" t="n"/>
      <c r="E54" s="59">
        <f>N('[10]سجل المستخلصات'!$E$36)</f>
        <v/>
      </c>
      <c r="F54" s="59">
        <f>N('[10]سجل المستخلصات'!$F$36)</f>
        <v/>
      </c>
      <c r="G54" s="70">
        <f>IF(E54&gt;0,F54/E54,0)</f>
        <v/>
      </c>
    </row>
    <row r="55">
      <c r="B55" s="69">
        <f>IF('[10]سجل المستخلصات'!$B$37="","",'[10]سجل المستخلصات'!$B$37)</f>
        <v/>
      </c>
      <c r="C55" s="69" t="n"/>
      <c r="D55" s="69" t="n"/>
      <c r="E55" s="59">
        <f>N('[10]سجل المستخلصات'!$E$37)</f>
        <v/>
      </c>
      <c r="F55" s="59">
        <f>N('[10]سجل المستخلصات'!$F$37)</f>
        <v/>
      </c>
      <c r="G55" s="70">
        <f>IF(E55&gt;0,F55/E55,0)</f>
        <v/>
      </c>
    </row>
    <row r="56">
      <c r="B56" s="69">
        <f>IF('[10]سجل المستخلصات'!$B$38="","",'[10]سجل المستخلصات'!$B$38)</f>
        <v/>
      </c>
      <c r="C56" s="69" t="n"/>
      <c r="D56" s="69" t="n"/>
      <c r="E56" s="59">
        <f>N('[10]سجل المستخلصات'!$E$38)</f>
        <v/>
      </c>
      <c r="F56" s="59">
        <f>N('[10]سجل المستخلصات'!$F$38)</f>
        <v/>
      </c>
      <c r="G56" s="70">
        <f>IF(E56&gt;0,F56/E56,0)</f>
        <v/>
      </c>
    </row>
    <row r="57">
      <c r="B57" s="69">
        <f>IF('[10]سجل المستخلصات'!$B$39="","",'[10]سجل المستخلصات'!$B$39)</f>
        <v/>
      </c>
      <c r="C57" s="69" t="n"/>
      <c r="D57" s="69" t="n"/>
      <c r="E57" s="59">
        <f>N('[10]سجل المستخلصات'!$E$39)</f>
        <v/>
      </c>
      <c r="F57" s="59">
        <f>N('[10]سجل المستخلصات'!$F$39)</f>
        <v/>
      </c>
      <c r="G57" s="70">
        <f>IF(E57&gt;0,F57/E57,0)</f>
        <v/>
      </c>
    </row>
    <row r="58">
      <c r="B58" s="69">
        <f>IF('[10]سجل المستخلصات'!$B$40="","",'[10]سجل المستخلصات'!$B$40)</f>
        <v/>
      </c>
      <c r="C58" s="69" t="n"/>
      <c r="D58" s="69" t="n"/>
      <c r="E58" s="59">
        <f>N('[10]سجل المستخلصات'!$E$40)</f>
        <v/>
      </c>
      <c r="F58" s="59">
        <f>N('[10]سجل المستخلصات'!$F$40)</f>
        <v/>
      </c>
      <c r="G58" s="70">
        <f>IF(E58&gt;0,F58/E58,0)</f>
        <v/>
      </c>
    </row>
    <row r="59">
      <c r="B59" s="69">
        <f>IF('[10]سجل المستخلصات'!$B$41="","",'[10]سجل المستخلصات'!$B$41)</f>
        <v/>
      </c>
      <c r="C59" s="69" t="n"/>
      <c r="D59" s="69" t="n"/>
      <c r="E59" s="59">
        <f>N('[10]سجل المستخلصات'!$E$41)</f>
        <v/>
      </c>
      <c r="F59" s="59">
        <f>N('[10]سجل المستخلصات'!$F$41)</f>
        <v/>
      </c>
      <c r="G59" s="70">
        <f>IF(E59&gt;0,F59/E59,0)</f>
        <v/>
      </c>
    </row>
    <row r="60">
      <c r="B60" s="69">
        <f>IF('[10]سجل المستخلصات'!$B$42="","",'[10]سجل المستخلصات'!$B$42)</f>
        <v/>
      </c>
      <c r="C60" s="69" t="n"/>
      <c r="D60" s="69" t="n"/>
      <c r="E60" s="59">
        <f>N('[10]سجل المستخلصات'!$E$42)</f>
        <v/>
      </c>
      <c r="F60" s="59">
        <f>N('[10]سجل المستخلصات'!$F$42)</f>
        <v/>
      </c>
      <c r="G60" s="70">
        <f>IF(E60&gt;0,F60/E60,0)</f>
        <v/>
      </c>
    </row>
    <row r="61">
      <c r="B61" s="69">
        <f>IF('[10]سجل المستخلصات'!$B$43="","",'[10]سجل المستخلصات'!$B$43)</f>
        <v/>
      </c>
      <c r="C61" s="69" t="n"/>
      <c r="D61" s="69" t="n"/>
      <c r="E61" s="59">
        <f>N('[10]سجل المستخلصات'!$E$43)</f>
        <v/>
      </c>
      <c r="F61" s="59">
        <f>N('[10]سجل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09'!A1" display="◄ المشروع السابق"/>
    <hyperlink ref="D3" location="'مشروع 11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"&amp;IF('[11]بيانات العقد'!$C$5="","مشروع رقم 11 — غير مُفعّل",'[11]بيانات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Project_11/IPC_Project_11.xlsx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IF('[11]بيانات العقد'!$C$5="","",'[11]بيانات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IF('[11]بيانات العقد'!$C$6="","",'[11]بيانات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IF('[11]بيانات العقد'!$C$7="","",'[11]بيانات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IF('[11]بيانات العقد'!$C$8="","",'[11]بيانات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N('[11]بيانات العقد'!$C$16)</f>
        <v/>
      </c>
    </row>
    <row r="6" ht="22" customHeight="1">
      <c r="B6" s="11" t="inlineStr">
        <is>
          <t>المقاول</t>
        </is>
      </c>
      <c r="C6" s="14">
        <f>IF('[11]بيانات العقد'!$C$9="","",'[11]بيانات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IF('[11]بيانات العقد'!$C$11="","",'[11]بيانات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IF('[11]بيانات العقد'!$C$13="","",'[11]بيانات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IF('[11]بيانات العقد'!$C$14="","",'[11]بيانات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N('[11]بيانات العقد'!$C$17)</f>
        <v/>
      </c>
    </row>
    <row r="7">
      <c r="AA7" s="15" t="inlineStr">
        <is>
          <t>قيمة العقد المعدلة</t>
        </is>
      </c>
      <c r="AB7" s="16">
        <f>N('[11]بيانات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N('[11]بيانات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N('[11]بيانات العقد'!$C$21)</f>
        <v/>
      </c>
    </row>
    <row r="10">
      <c r="AA10" s="15" t="inlineStr">
        <is>
          <t>نسبة ضمان الأعمال</t>
        </is>
      </c>
      <c r="AB10" s="23">
        <f>N('[11]بيانات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N('[11]بيانات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N('[11]بيانات العقد'!$C$31)</f>
        <v/>
      </c>
    </row>
    <row r="13">
      <c r="AA13" s="15" t="inlineStr">
        <is>
          <t>ضريبة الاستقطاع (غير المقيم)</t>
        </is>
      </c>
      <c r="AB13" s="23">
        <f>N('[11]بيانات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IF('[11]بيانات العقد'!$C$11="","",'[11]بيانات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IF('[11]بيانات العقد'!$C$13="","",'[11]بيانات العقد'!$C$13)</f>
        <v/>
      </c>
    </row>
    <row r="16">
      <c r="AA16" s="15" t="inlineStr">
        <is>
          <t>المدة (شهر)</t>
        </is>
      </c>
      <c r="AB16" s="43">
        <f>IF('[11]بيانات العقد'!$C$12="","",'[11]بيانات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IF('[11]بيانات العقد'!$C$36="","",'[11]بيانات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IF('[11]بيانات العقد'!$C$37="","",'[11]بيانات العقد'!$C$37)</f>
        <v/>
      </c>
    </row>
    <row r="19">
      <c r="AA19" s="15" t="inlineStr">
        <is>
          <t>الرقم الضريبي لصاحب العمل</t>
        </is>
      </c>
      <c r="AB19" s="48">
        <f>IF('[11]بيانات العقد'!$C$39="","",'[11]بيانات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IF('[11]بيانات العقد'!$C$42="","",'[11]بيانات العقد'!$C$42)</f>
        <v/>
      </c>
    </row>
    <row r="21" ht="32" customHeight="1">
      <c r="B21" s="50">
        <f>N('[11]الموازنة والتكاليف'!$D$66)</f>
        <v/>
      </c>
      <c r="C21" s="50" t="n"/>
      <c r="D21" s="50" t="n"/>
      <c r="E21" s="50" t="n"/>
      <c r="F21" s="50">
        <f>N('[11]الموازنة والتكاليف'!$D$70)</f>
        <v/>
      </c>
      <c r="G21" s="50" t="n"/>
      <c r="H21" s="50" t="n"/>
      <c r="I21" s="50" t="n"/>
      <c r="J21" s="50">
        <f>N('[11]الموازنة والتكاليف'!$D$72)</f>
        <v/>
      </c>
      <c r="K21" s="50" t="n"/>
      <c r="L21" s="50" t="n"/>
      <c r="M21" s="50" t="n"/>
      <c r="N21" s="51">
        <f>N('[11]الموازنة والتكاليف'!$D$73)</f>
        <v/>
      </c>
      <c r="O21" s="51" t="n"/>
      <c r="P21" s="51" t="n"/>
      <c r="Q21" s="51" t="n"/>
      <c r="R21" s="52">
        <f>N('[11]الموازنة والتكاليف'!$D$74)</f>
        <v/>
      </c>
      <c r="S21" s="52" t="n"/>
      <c r="T21" s="52" t="n"/>
      <c r="U21" s="52" t="n"/>
      <c r="V21" s="50">
        <f>N('[11]الموازنة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IF('[11]بيانات العقد'!$C$43="","",'[11]بيانات العقد'!$C$43)</f>
        <v/>
      </c>
    </row>
    <row r="22">
      <c r="AA22" s="15" t="inlineStr">
        <is>
          <t>حالة غرامات التأخير</t>
        </is>
      </c>
      <c r="AB22" s="45">
        <f>IF('[11]بيانات العقد'!$C$47="","",'[11]بيانات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IF('[11]سجل المستخلصات'!$C$6="","",'[11]سجل المستخلصات'!$C$6)</f>
        <v/>
      </c>
      <c r="D25" s="57">
        <f>IF('[11]سجل المستخلصات'!$E$6="","",'[11]سجل المستخلصات'!$E$6)</f>
        <v/>
      </c>
      <c r="E25" s="58">
        <f>IF('[11]سجل المستخلصات'!$F$6="","",'[11]سجل المستخلصات'!$F$6)</f>
        <v/>
      </c>
      <c r="F25" s="59">
        <f>IF('[11]سجل المستخلصات'!$H$6="","",'[11]سجل المستخلصات'!$H$6)</f>
        <v/>
      </c>
      <c r="G25" s="59">
        <f>IF('[11]سجل المستخلصات'!$G$6="","",'[11]سجل المستخلصات'!$G$6)</f>
        <v/>
      </c>
      <c r="H25" s="59">
        <f>IF('[11]سجل المستخلصات'!$I$6="","",'[11]سجل المستخلصات'!$I$6)</f>
        <v/>
      </c>
      <c r="I25" s="59">
        <f>IF('[11]سجل المستخلصات'!$J$6="","",'[11]سجل المستخلصات'!$J$6)</f>
        <v/>
      </c>
      <c r="J25" s="59">
        <f>IF('[11]سجل المستخلصات'!$K$6="","",'[11]سجل المستخلصات'!$K$6)</f>
        <v/>
      </c>
      <c r="K25" s="60">
        <f>IF('[11]سجل المستخلصات'!$L$6="","",'[11]سجل المستخلصات'!$L$6)</f>
        <v/>
      </c>
      <c r="L25" s="60">
        <f>IF('[11]سجل المستخلصات'!$M$6="","",'[11]سجل المستخلصات'!$M$6)</f>
        <v/>
      </c>
      <c r="M25" s="60">
        <f>IF('[11]سجل المستخلصات'!$N$6="","",'[11]سجل المستخلصات'!$N$6)</f>
        <v/>
      </c>
      <c r="N25" s="59">
        <f>IF('[11]سجل المستخلصات'!$O$6="","",'[11]سجل المستخلصات'!$O$6)</f>
        <v/>
      </c>
      <c r="O25" s="59">
        <f>IF('[11]سجل المستخلصات'!$R$6="","",'[11]سجل المستخلصات'!$R$6)</f>
        <v/>
      </c>
      <c r="P25" s="59">
        <f>IF('[11]سجل المستخلصات'!$S$6="","",'[11]سجل المستخلصات'!$S$6)</f>
        <v/>
      </c>
      <c r="Q25" s="59">
        <f>IF('[11]سجل المستخلصات'!$T$6="","",'[11]سجل المستخلصات'!$T$6)</f>
        <v/>
      </c>
      <c r="R25" s="59">
        <f>IF('[11]سجل المستخلصات'!$V$6="","",'[11]سجل المستخلصات'!$V$6)</f>
        <v/>
      </c>
      <c r="S25" s="59">
        <f>IF('[11]سجل المستخلصات'!$W$6="","",'[11]سجل المستخلصات'!$W$6)</f>
        <v/>
      </c>
      <c r="T25" s="61">
        <f>IF('[11]سجل المستخلصات'!$X$6="","",'[11]سجل المستخلصات'!$X$6)</f>
        <v/>
      </c>
      <c r="U25" s="61">
        <f>IF('[11]سجل المستخلصات'!$Z$6="","",'[11]سجل المستخلصات'!$Z$6)</f>
        <v/>
      </c>
      <c r="V25" s="59">
        <f>IF('[11]سجل المستخلصات'!$AA$6="","",'[11]سجل المستخلصات'!$AA$6)</f>
        <v/>
      </c>
      <c r="W25" s="59">
        <f>IF('[11]سجل المستخلصات'!$AC$6="","",'[11]سجل المستخلصات'!$AC$6)</f>
        <v/>
      </c>
      <c r="X25" s="62">
        <f>IF('[11]سجل المستخلصات'!$AD$6="","",'[11]سجل المستخلصات'!$AD$6)</f>
        <v/>
      </c>
      <c r="Y25" s="58">
        <f>IF('[11]سجل المستخلصات'!$AE$6="","",'[11]سجل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IF('[11]سجل المستخلصات'!$C$7="","",'[11]سجل المستخلصات'!$C$7)</f>
        <v/>
      </c>
      <c r="D26" s="57">
        <f>IF('[11]سجل المستخلصات'!$E$7="","",'[11]سجل المستخلصات'!$E$7)</f>
        <v/>
      </c>
      <c r="E26" s="58">
        <f>IF('[11]سجل المستخلصات'!$F$7="","",'[11]سجل المستخلصات'!$F$7)</f>
        <v/>
      </c>
      <c r="F26" s="59">
        <f>IF('[11]سجل المستخلصات'!$H$7="","",'[11]سجل المستخلصات'!$H$7)</f>
        <v/>
      </c>
      <c r="G26" s="59">
        <f>IF('[11]سجل المستخلصات'!$G$7="","",'[11]سجل المستخلصات'!$G$7)</f>
        <v/>
      </c>
      <c r="H26" s="59">
        <f>IF('[11]سجل المستخلصات'!$I$7="","",'[11]سجل المستخلصات'!$I$7)</f>
        <v/>
      </c>
      <c r="I26" s="59">
        <f>IF('[11]سجل المستخلصات'!$J$7="","",'[11]سجل المستخلصات'!$J$7)</f>
        <v/>
      </c>
      <c r="J26" s="59">
        <f>IF('[11]سجل المستخلصات'!$K$7="","",'[11]سجل المستخلصات'!$K$7)</f>
        <v/>
      </c>
      <c r="K26" s="60">
        <f>IF('[11]سجل المستخلصات'!$L$7="","",'[11]سجل المستخلصات'!$L$7)</f>
        <v/>
      </c>
      <c r="L26" s="60">
        <f>IF('[11]سجل المستخلصات'!$M$7="","",'[11]سجل المستخلصات'!$M$7)</f>
        <v/>
      </c>
      <c r="M26" s="60">
        <f>IF('[11]سجل المستخلصات'!$N$7="","",'[11]سجل المستخلصات'!$N$7)</f>
        <v/>
      </c>
      <c r="N26" s="59">
        <f>IF('[11]سجل المستخلصات'!$O$7="","",'[11]سجل المستخلصات'!$O$7)</f>
        <v/>
      </c>
      <c r="O26" s="59">
        <f>IF('[11]سجل المستخلصات'!$R$7="","",'[11]سجل المستخلصات'!$R$7)</f>
        <v/>
      </c>
      <c r="P26" s="59">
        <f>IF('[11]سجل المستخلصات'!$S$7="","",'[11]سجل المستخلصات'!$S$7)</f>
        <v/>
      </c>
      <c r="Q26" s="59">
        <f>IF('[11]سجل المستخلصات'!$T$7="","",'[11]سجل المستخلصات'!$T$7)</f>
        <v/>
      </c>
      <c r="R26" s="59">
        <f>IF('[11]سجل المستخلصات'!$V$7="","",'[11]سجل المستخلصات'!$V$7)</f>
        <v/>
      </c>
      <c r="S26" s="59">
        <f>IF('[11]سجل المستخلصات'!$W$7="","",'[11]سجل المستخلصات'!$W$7)</f>
        <v/>
      </c>
      <c r="T26" s="61">
        <f>IF('[11]سجل المستخلصات'!$X$7="","",'[11]سجل المستخلصات'!$X$7)</f>
        <v/>
      </c>
      <c r="U26" s="61">
        <f>IF('[11]سجل المستخلصات'!$Z$7="","",'[11]سجل المستخلصات'!$Z$7)</f>
        <v/>
      </c>
      <c r="V26" s="59">
        <f>IF('[11]سجل المستخلصات'!$AA$7="","",'[11]سجل المستخلصات'!$AA$7)</f>
        <v/>
      </c>
      <c r="W26" s="59">
        <f>IF('[11]سجل المستخلصات'!$AC$7="","",'[11]سجل المستخلصات'!$AC$7)</f>
        <v/>
      </c>
      <c r="X26" s="62">
        <f>IF('[11]سجل المستخلصات'!$AD$7="","",'[11]سجل المستخلصات'!$AD$7)</f>
        <v/>
      </c>
      <c r="Y26" s="58">
        <f>IF('[11]سجل المستخلصات'!$AE$7="","",'[11]سجل المستخلصات'!$AE$7)</f>
        <v/>
      </c>
      <c r="AA26" s="63" t="n"/>
      <c r="AB26" s="63" t="n"/>
    </row>
    <row r="27">
      <c r="B27" s="56" t="n">
        <v>3</v>
      </c>
      <c r="C27" s="57">
        <f>IF('[11]سجل المستخلصات'!$C$8="","",'[11]سجل المستخلصات'!$C$8)</f>
        <v/>
      </c>
      <c r="D27" s="57">
        <f>IF('[11]سجل المستخلصات'!$E$8="","",'[11]سجل المستخلصات'!$E$8)</f>
        <v/>
      </c>
      <c r="E27" s="58">
        <f>IF('[11]سجل المستخلصات'!$F$8="","",'[11]سجل المستخلصات'!$F$8)</f>
        <v/>
      </c>
      <c r="F27" s="59">
        <f>IF('[11]سجل المستخلصات'!$H$8="","",'[11]سجل المستخلصات'!$H$8)</f>
        <v/>
      </c>
      <c r="G27" s="59">
        <f>IF('[11]سجل المستخلصات'!$G$8="","",'[11]سجل المستخلصات'!$G$8)</f>
        <v/>
      </c>
      <c r="H27" s="59">
        <f>IF('[11]سجل المستخلصات'!$I$8="","",'[11]سجل المستخلصات'!$I$8)</f>
        <v/>
      </c>
      <c r="I27" s="59">
        <f>IF('[11]سجل المستخلصات'!$J$8="","",'[11]سجل المستخلصات'!$J$8)</f>
        <v/>
      </c>
      <c r="J27" s="59">
        <f>IF('[11]سجل المستخلصات'!$K$8="","",'[11]سجل المستخلصات'!$K$8)</f>
        <v/>
      </c>
      <c r="K27" s="60">
        <f>IF('[11]سجل المستخلصات'!$L$8="","",'[11]سجل المستخلصات'!$L$8)</f>
        <v/>
      </c>
      <c r="L27" s="60">
        <f>IF('[11]سجل المستخلصات'!$M$8="","",'[11]سجل المستخلصات'!$M$8)</f>
        <v/>
      </c>
      <c r="M27" s="60">
        <f>IF('[11]سجل المستخلصات'!$N$8="","",'[11]سجل المستخلصات'!$N$8)</f>
        <v/>
      </c>
      <c r="N27" s="59">
        <f>IF('[11]سجل المستخلصات'!$O$8="","",'[11]سجل المستخلصات'!$O$8)</f>
        <v/>
      </c>
      <c r="O27" s="59">
        <f>IF('[11]سجل المستخلصات'!$R$8="","",'[11]سجل المستخلصات'!$R$8)</f>
        <v/>
      </c>
      <c r="P27" s="59">
        <f>IF('[11]سجل المستخلصات'!$S$8="","",'[11]سجل المستخلصات'!$S$8)</f>
        <v/>
      </c>
      <c r="Q27" s="59">
        <f>IF('[11]سجل المستخلصات'!$T$8="","",'[11]سجل المستخلصات'!$T$8)</f>
        <v/>
      </c>
      <c r="R27" s="59">
        <f>IF('[11]سجل المستخلصات'!$V$8="","",'[11]سجل المستخلصات'!$V$8)</f>
        <v/>
      </c>
      <c r="S27" s="59">
        <f>IF('[11]سجل المستخلصات'!$W$8="","",'[11]سجل المستخلصات'!$W$8)</f>
        <v/>
      </c>
      <c r="T27" s="61">
        <f>IF('[11]سجل المستخلصات'!$X$8="","",'[11]سجل المستخلصات'!$X$8)</f>
        <v/>
      </c>
      <c r="U27" s="61">
        <f>IF('[11]سجل المستخلصات'!$Z$8="","",'[11]سجل المستخلصات'!$Z$8)</f>
        <v/>
      </c>
      <c r="V27" s="59">
        <f>IF('[11]سجل المستخلصات'!$AA$8="","",'[11]سجل المستخلصات'!$AA$8)</f>
        <v/>
      </c>
      <c r="W27" s="59">
        <f>IF('[11]سجل المستخلصات'!$AC$8="","",'[11]سجل المستخلصات'!$AC$8)</f>
        <v/>
      </c>
      <c r="X27" s="62">
        <f>IF('[11]سجل المستخلصات'!$AD$8="","",'[11]سجل المستخلصات'!$AD$8)</f>
        <v/>
      </c>
      <c r="Y27" s="58">
        <f>IF('[11]سجل المستخلصات'!$AE$8="","",'[11]سجل المستخلصات'!$AE$8)</f>
        <v/>
      </c>
      <c r="AA27" s="63" t="n"/>
      <c r="AB27" s="63" t="n"/>
    </row>
    <row r="28">
      <c r="B28" s="56" t="n">
        <v>4</v>
      </c>
      <c r="C28" s="57">
        <f>IF('[11]سجل المستخلصات'!$C$9="","",'[11]سجل المستخلصات'!$C$9)</f>
        <v/>
      </c>
      <c r="D28" s="57">
        <f>IF('[11]سجل المستخلصات'!$E$9="","",'[11]سجل المستخلصات'!$E$9)</f>
        <v/>
      </c>
      <c r="E28" s="58">
        <f>IF('[11]سجل المستخلصات'!$F$9="","",'[11]سجل المستخلصات'!$F$9)</f>
        <v/>
      </c>
      <c r="F28" s="59">
        <f>IF('[11]سجل المستخلصات'!$H$9="","",'[11]سجل المستخلصات'!$H$9)</f>
        <v/>
      </c>
      <c r="G28" s="59">
        <f>IF('[11]سجل المستخلصات'!$G$9="","",'[11]سجل المستخلصات'!$G$9)</f>
        <v/>
      </c>
      <c r="H28" s="59">
        <f>IF('[11]سجل المستخلصات'!$I$9="","",'[11]سجل المستخلصات'!$I$9)</f>
        <v/>
      </c>
      <c r="I28" s="59">
        <f>IF('[11]سجل المستخلصات'!$J$9="","",'[11]سجل المستخلصات'!$J$9)</f>
        <v/>
      </c>
      <c r="J28" s="59">
        <f>IF('[11]سجل المستخلصات'!$K$9="","",'[11]سجل المستخلصات'!$K$9)</f>
        <v/>
      </c>
      <c r="K28" s="60">
        <f>IF('[11]سجل المستخلصات'!$L$9="","",'[11]سجل المستخلصات'!$L$9)</f>
        <v/>
      </c>
      <c r="L28" s="60">
        <f>IF('[11]سجل المستخلصات'!$M$9="","",'[11]سجل المستخلصات'!$M$9)</f>
        <v/>
      </c>
      <c r="M28" s="60">
        <f>IF('[11]سجل المستخلصات'!$N$9="","",'[11]سجل المستخلصات'!$N$9)</f>
        <v/>
      </c>
      <c r="N28" s="59">
        <f>IF('[11]سجل المستخلصات'!$O$9="","",'[11]سجل المستخلصات'!$O$9)</f>
        <v/>
      </c>
      <c r="O28" s="59">
        <f>IF('[11]سجل المستخلصات'!$R$9="","",'[11]سجل المستخلصات'!$R$9)</f>
        <v/>
      </c>
      <c r="P28" s="59">
        <f>IF('[11]سجل المستخلصات'!$S$9="","",'[11]سجل المستخلصات'!$S$9)</f>
        <v/>
      </c>
      <c r="Q28" s="59">
        <f>IF('[11]سجل المستخلصات'!$T$9="","",'[11]سجل المستخلصات'!$T$9)</f>
        <v/>
      </c>
      <c r="R28" s="59">
        <f>IF('[11]سجل المستخلصات'!$V$9="","",'[11]سجل المستخلصات'!$V$9)</f>
        <v/>
      </c>
      <c r="S28" s="59">
        <f>IF('[11]سجل المستخلصات'!$W$9="","",'[11]سجل المستخلصات'!$W$9)</f>
        <v/>
      </c>
      <c r="T28" s="61">
        <f>IF('[11]سجل المستخلصات'!$X$9="","",'[11]سجل المستخلصات'!$X$9)</f>
        <v/>
      </c>
      <c r="U28" s="61">
        <f>IF('[11]سجل المستخلصات'!$Z$9="","",'[11]سجل المستخلصات'!$Z$9)</f>
        <v/>
      </c>
      <c r="V28" s="59">
        <f>IF('[11]سجل المستخلصات'!$AA$9="","",'[11]سجل المستخلصات'!$AA$9)</f>
        <v/>
      </c>
      <c r="W28" s="59">
        <f>IF('[11]سجل المستخلصات'!$AC$9="","",'[11]سجل المستخلصات'!$AC$9)</f>
        <v/>
      </c>
      <c r="X28" s="62">
        <f>IF('[11]سجل المستخلصات'!$AD$9="","",'[11]سجل المستخلصات'!$AD$9)</f>
        <v/>
      </c>
      <c r="Y28" s="58">
        <f>IF('[11]سجل المستخلصات'!$AE$9="","",'[11]سجل المستخلصات'!$AE$9)</f>
        <v/>
      </c>
      <c r="AA28" s="63" t="n"/>
      <c r="AB28" s="63" t="n"/>
    </row>
    <row r="29">
      <c r="B29" s="56" t="n">
        <v>5</v>
      </c>
      <c r="C29" s="57">
        <f>IF('[11]سجل المستخلصات'!$C$10="","",'[11]سجل المستخلصات'!$C$10)</f>
        <v/>
      </c>
      <c r="D29" s="57">
        <f>IF('[11]سجل المستخلصات'!$E$10="","",'[11]سجل المستخلصات'!$E$10)</f>
        <v/>
      </c>
      <c r="E29" s="58">
        <f>IF('[11]سجل المستخلصات'!$F$10="","",'[11]سجل المستخلصات'!$F$10)</f>
        <v/>
      </c>
      <c r="F29" s="59">
        <f>IF('[11]سجل المستخلصات'!$H$10="","",'[11]سجل المستخلصات'!$H$10)</f>
        <v/>
      </c>
      <c r="G29" s="59">
        <f>IF('[11]سجل المستخلصات'!$G$10="","",'[11]سجل المستخلصات'!$G$10)</f>
        <v/>
      </c>
      <c r="H29" s="59">
        <f>IF('[11]سجل المستخلصات'!$I$10="","",'[11]سجل المستخلصات'!$I$10)</f>
        <v/>
      </c>
      <c r="I29" s="59">
        <f>IF('[11]سجل المستخلصات'!$J$10="","",'[11]سجل المستخلصات'!$J$10)</f>
        <v/>
      </c>
      <c r="J29" s="59">
        <f>IF('[11]سجل المستخلصات'!$K$10="","",'[11]سجل المستخلصات'!$K$10)</f>
        <v/>
      </c>
      <c r="K29" s="60">
        <f>IF('[11]سجل المستخلصات'!$L$10="","",'[11]سجل المستخلصات'!$L$10)</f>
        <v/>
      </c>
      <c r="L29" s="60">
        <f>IF('[11]سجل المستخلصات'!$M$10="","",'[11]سجل المستخلصات'!$M$10)</f>
        <v/>
      </c>
      <c r="M29" s="60">
        <f>IF('[11]سجل المستخلصات'!$N$10="","",'[11]سجل المستخلصات'!$N$10)</f>
        <v/>
      </c>
      <c r="N29" s="59">
        <f>IF('[11]سجل المستخلصات'!$O$10="","",'[11]سجل المستخلصات'!$O$10)</f>
        <v/>
      </c>
      <c r="O29" s="59">
        <f>IF('[11]سجل المستخلصات'!$R$10="","",'[11]سجل المستخلصات'!$R$10)</f>
        <v/>
      </c>
      <c r="P29" s="59">
        <f>IF('[11]سجل المستخلصات'!$S$10="","",'[11]سجل المستخلصات'!$S$10)</f>
        <v/>
      </c>
      <c r="Q29" s="59">
        <f>IF('[11]سجل المستخلصات'!$T$10="","",'[11]سجل المستخلصات'!$T$10)</f>
        <v/>
      </c>
      <c r="R29" s="59">
        <f>IF('[11]سجل المستخلصات'!$V$10="","",'[11]سجل المستخلصات'!$V$10)</f>
        <v/>
      </c>
      <c r="S29" s="59">
        <f>IF('[11]سجل المستخلصات'!$W$10="","",'[11]سجل المستخلصات'!$W$10)</f>
        <v/>
      </c>
      <c r="T29" s="61">
        <f>IF('[11]سجل المستخلصات'!$X$10="","",'[11]سجل المستخلصات'!$X$10)</f>
        <v/>
      </c>
      <c r="U29" s="61">
        <f>IF('[11]سجل المستخلصات'!$Z$10="","",'[11]سجل المستخلصات'!$Z$10)</f>
        <v/>
      </c>
      <c r="V29" s="59">
        <f>IF('[11]سجل المستخلصات'!$AA$10="","",'[11]سجل المستخلصات'!$AA$10)</f>
        <v/>
      </c>
      <c r="W29" s="59">
        <f>IF('[11]سجل المستخلصات'!$AC$10="","",'[11]سجل المستخلصات'!$AC$10)</f>
        <v/>
      </c>
      <c r="X29" s="62">
        <f>IF('[11]سجل المستخلصات'!$AD$10="","",'[11]سجل المستخلصات'!$AD$10)</f>
        <v/>
      </c>
      <c r="Y29" s="58">
        <f>IF('[11]سجل المستخلصات'!$AE$10="","",'[11]سجل المستخلصات'!$AE$10)</f>
        <v/>
      </c>
    </row>
    <row r="30">
      <c r="B30" s="56" t="n">
        <v>6</v>
      </c>
      <c r="C30" s="57">
        <f>IF('[11]سجل المستخلصات'!$C$11="","",'[11]سجل المستخلصات'!$C$11)</f>
        <v/>
      </c>
      <c r="D30" s="57">
        <f>IF('[11]سجل المستخلصات'!$E$11="","",'[11]سجل المستخلصات'!$E$11)</f>
        <v/>
      </c>
      <c r="E30" s="58">
        <f>IF('[11]سجل المستخلصات'!$F$11="","",'[11]سجل المستخلصات'!$F$11)</f>
        <v/>
      </c>
      <c r="F30" s="59">
        <f>IF('[11]سجل المستخلصات'!$H$11="","",'[11]سجل المستخلصات'!$H$11)</f>
        <v/>
      </c>
      <c r="G30" s="59">
        <f>IF('[11]سجل المستخلصات'!$G$11="","",'[11]سجل المستخلصات'!$G$11)</f>
        <v/>
      </c>
      <c r="H30" s="59">
        <f>IF('[11]سجل المستخلصات'!$I$11="","",'[11]سجل المستخلصات'!$I$11)</f>
        <v/>
      </c>
      <c r="I30" s="59">
        <f>IF('[11]سجل المستخلصات'!$J$11="","",'[11]سجل المستخلصات'!$J$11)</f>
        <v/>
      </c>
      <c r="J30" s="59">
        <f>IF('[11]سجل المستخلصات'!$K$11="","",'[11]سجل المستخلصات'!$K$11)</f>
        <v/>
      </c>
      <c r="K30" s="60">
        <f>IF('[11]سجل المستخلصات'!$L$11="","",'[11]سجل المستخلصات'!$L$11)</f>
        <v/>
      </c>
      <c r="L30" s="60">
        <f>IF('[11]سجل المستخلصات'!$M$11="","",'[11]سجل المستخلصات'!$M$11)</f>
        <v/>
      </c>
      <c r="M30" s="60">
        <f>IF('[11]سجل المستخلصات'!$N$11="","",'[11]سجل المستخلصات'!$N$11)</f>
        <v/>
      </c>
      <c r="N30" s="59">
        <f>IF('[11]سجل المستخلصات'!$O$11="","",'[11]سجل المستخلصات'!$O$11)</f>
        <v/>
      </c>
      <c r="O30" s="59">
        <f>IF('[11]سجل المستخلصات'!$R$11="","",'[11]سجل المستخلصات'!$R$11)</f>
        <v/>
      </c>
      <c r="P30" s="59">
        <f>IF('[11]سجل المستخلصات'!$S$11="","",'[11]سجل المستخلصات'!$S$11)</f>
        <v/>
      </c>
      <c r="Q30" s="59">
        <f>IF('[11]سجل المستخلصات'!$T$11="","",'[11]سجل المستخلصات'!$T$11)</f>
        <v/>
      </c>
      <c r="R30" s="59">
        <f>IF('[11]سجل المستخلصات'!$V$11="","",'[11]سجل المستخلصات'!$V$11)</f>
        <v/>
      </c>
      <c r="S30" s="59">
        <f>IF('[11]سجل المستخلصات'!$W$11="","",'[11]سجل المستخلصات'!$W$11)</f>
        <v/>
      </c>
      <c r="T30" s="61">
        <f>IF('[11]سجل المستخلصات'!$X$11="","",'[11]سجل المستخلصات'!$X$11)</f>
        <v/>
      </c>
      <c r="U30" s="61">
        <f>IF('[11]سجل المستخلصات'!$Z$11="","",'[11]سجل المستخلصات'!$Z$11)</f>
        <v/>
      </c>
      <c r="V30" s="59">
        <f>IF('[11]سجل المستخلصات'!$AA$11="","",'[11]سجل المستخلصات'!$AA$11)</f>
        <v/>
      </c>
      <c r="W30" s="59">
        <f>IF('[11]سجل المستخلصات'!$AC$11="","",'[11]سجل المستخلصات'!$AC$11)</f>
        <v/>
      </c>
      <c r="X30" s="62">
        <f>IF('[11]سجل المستخلصات'!$AD$11="","",'[11]سجل المستخلصات'!$AD$11)</f>
        <v/>
      </c>
      <c r="Y30" s="58">
        <f>IF('[11]سجل المستخلصات'!$AE$11="","",'[11]سجل المستخلصات'!$AE$11)</f>
        <v/>
      </c>
    </row>
    <row r="31">
      <c r="B31" s="56" t="n">
        <v>7</v>
      </c>
      <c r="C31" s="57">
        <f>IF('[11]سجل المستخلصات'!$C$12="","",'[11]سجل المستخلصات'!$C$12)</f>
        <v/>
      </c>
      <c r="D31" s="57">
        <f>IF('[11]سجل المستخلصات'!$E$12="","",'[11]سجل المستخلصات'!$E$12)</f>
        <v/>
      </c>
      <c r="E31" s="58">
        <f>IF('[11]سجل المستخلصات'!$F$12="","",'[11]سجل المستخلصات'!$F$12)</f>
        <v/>
      </c>
      <c r="F31" s="59">
        <f>IF('[11]سجل المستخلصات'!$H$12="","",'[11]سجل المستخلصات'!$H$12)</f>
        <v/>
      </c>
      <c r="G31" s="59">
        <f>IF('[11]سجل المستخلصات'!$G$12="","",'[11]سجل المستخلصات'!$G$12)</f>
        <v/>
      </c>
      <c r="H31" s="59">
        <f>IF('[11]سجل المستخلصات'!$I$12="","",'[11]سجل المستخلصات'!$I$12)</f>
        <v/>
      </c>
      <c r="I31" s="59">
        <f>IF('[11]سجل المستخلصات'!$J$12="","",'[11]سجل المستخلصات'!$J$12)</f>
        <v/>
      </c>
      <c r="J31" s="59">
        <f>IF('[11]سجل المستخلصات'!$K$12="","",'[11]سجل المستخلصات'!$K$12)</f>
        <v/>
      </c>
      <c r="K31" s="60">
        <f>IF('[11]سجل المستخلصات'!$L$12="","",'[11]سجل المستخلصات'!$L$12)</f>
        <v/>
      </c>
      <c r="L31" s="60">
        <f>IF('[11]سجل المستخلصات'!$M$12="","",'[11]سجل المستخلصات'!$M$12)</f>
        <v/>
      </c>
      <c r="M31" s="60">
        <f>IF('[11]سجل المستخلصات'!$N$12="","",'[11]سجل المستخلصات'!$N$12)</f>
        <v/>
      </c>
      <c r="N31" s="59">
        <f>IF('[11]سجل المستخلصات'!$O$12="","",'[11]سجل المستخلصات'!$O$12)</f>
        <v/>
      </c>
      <c r="O31" s="59">
        <f>IF('[11]سجل المستخلصات'!$R$12="","",'[11]سجل المستخلصات'!$R$12)</f>
        <v/>
      </c>
      <c r="P31" s="59">
        <f>IF('[11]سجل المستخلصات'!$S$12="","",'[11]سجل المستخلصات'!$S$12)</f>
        <v/>
      </c>
      <c r="Q31" s="59">
        <f>IF('[11]سجل المستخلصات'!$T$12="","",'[11]سجل المستخلصات'!$T$12)</f>
        <v/>
      </c>
      <c r="R31" s="59">
        <f>IF('[11]سجل المستخلصات'!$V$12="","",'[11]سجل المستخلصات'!$V$12)</f>
        <v/>
      </c>
      <c r="S31" s="59">
        <f>IF('[11]سجل المستخلصات'!$W$12="","",'[11]سجل المستخلصات'!$W$12)</f>
        <v/>
      </c>
      <c r="T31" s="61">
        <f>IF('[11]سجل المستخلصات'!$X$12="","",'[11]سجل المستخلصات'!$X$12)</f>
        <v/>
      </c>
      <c r="U31" s="61">
        <f>IF('[11]سجل المستخلصات'!$Z$12="","",'[11]سجل المستخلصات'!$Z$12)</f>
        <v/>
      </c>
      <c r="V31" s="59">
        <f>IF('[11]سجل المستخلصات'!$AA$12="","",'[11]سجل المستخلصات'!$AA$12)</f>
        <v/>
      </c>
      <c r="W31" s="59">
        <f>IF('[11]سجل المستخلصات'!$AC$12="","",'[11]سجل المستخلصات'!$AC$12)</f>
        <v/>
      </c>
      <c r="X31" s="62">
        <f>IF('[11]سجل المستخلصات'!$AD$12="","",'[11]سجل المستخلصات'!$AD$12)</f>
        <v/>
      </c>
      <c r="Y31" s="58">
        <f>IF('[11]سجل المستخلصات'!$AE$12="","",'[11]سجل المستخلصات'!$AE$12)</f>
        <v/>
      </c>
    </row>
    <row r="32">
      <c r="B32" s="56" t="n">
        <v>8</v>
      </c>
      <c r="C32" s="57">
        <f>IF('[11]سجل المستخلصات'!$C$13="","",'[11]سجل المستخلصات'!$C$13)</f>
        <v/>
      </c>
      <c r="D32" s="57">
        <f>IF('[11]سجل المستخلصات'!$E$13="","",'[11]سجل المستخلصات'!$E$13)</f>
        <v/>
      </c>
      <c r="E32" s="58">
        <f>IF('[11]سجل المستخلصات'!$F$13="","",'[11]سجل المستخلصات'!$F$13)</f>
        <v/>
      </c>
      <c r="F32" s="59">
        <f>IF('[11]سجل المستخلصات'!$H$13="","",'[11]سجل المستخلصات'!$H$13)</f>
        <v/>
      </c>
      <c r="G32" s="59">
        <f>IF('[11]سجل المستخلصات'!$G$13="","",'[11]سجل المستخلصات'!$G$13)</f>
        <v/>
      </c>
      <c r="H32" s="59">
        <f>IF('[11]سجل المستخلصات'!$I$13="","",'[11]سجل المستخلصات'!$I$13)</f>
        <v/>
      </c>
      <c r="I32" s="59">
        <f>IF('[11]سجل المستخلصات'!$J$13="","",'[11]سجل المستخلصات'!$J$13)</f>
        <v/>
      </c>
      <c r="J32" s="59">
        <f>IF('[11]سجل المستخلصات'!$K$13="","",'[11]سجل المستخلصات'!$K$13)</f>
        <v/>
      </c>
      <c r="K32" s="60">
        <f>IF('[11]سجل المستخلصات'!$L$13="","",'[11]سجل المستخلصات'!$L$13)</f>
        <v/>
      </c>
      <c r="L32" s="60">
        <f>IF('[11]سجل المستخلصات'!$M$13="","",'[11]سجل المستخلصات'!$M$13)</f>
        <v/>
      </c>
      <c r="M32" s="60">
        <f>IF('[11]سجل المستخلصات'!$N$13="","",'[11]سجل المستخلصات'!$N$13)</f>
        <v/>
      </c>
      <c r="N32" s="59">
        <f>IF('[11]سجل المستخلصات'!$O$13="","",'[11]سجل المستخلصات'!$O$13)</f>
        <v/>
      </c>
      <c r="O32" s="59">
        <f>IF('[11]سجل المستخلصات'!$R$13="","",'[11]سجل المستخلصات'!$R$13)</f>
        <v/>
      </c>
      <c r="P32" s="59">
        <f>IF('[11]سجل المستخلصات'!$S$13="","",'[11]سجل المستخلصات'!$S$13)</f>
        <v/>
      </c>
      <c r="Q32" s="59">
        <f>IF('[11]سجل المستخلصات'!$T$13="","",'[11]سجل المستخلصات'!$T$13)</f>
        <v/>
      </c>
      <c r="R32" s="59">
        <f>IF('[11]سجل المستخلصات'!$V$13="","",'[11]سجل المستخلصات'!$V$13)</f>
        <v/>
      </c>
      <c r="S32" s="59">
        <f>IF('[11]سجل المستخلصات'!$W$13="","",'[11]سجل المستخلصات'!$W$13)</f>
        <v/>
      </c>
      <c r="T32" s="61">
        <f>IF('[11]سجل المستخلصات'!$X$13="","",'[11]سجل المستخلصات'!$X$13)</f>
        <v/>
      </c>
      <c r="U32" s="61">
        <f>IF('[11]سجل المستخلصات'!$Z$13="","",'[11]سجل المستخلصات'!$Z$13)</f>
        <v/>
      </c>
      <c r="V32" s="59">
        <f>IF('[11]سجل المستخلصات'!$AA$13="","",'[11]سجل المستخلصات'!$AA$13)</f>
        <v/>
      </c>
      <c r="W32" s="59">
        <f>IF('[11]سجل المستخلصات'!$AC$13="","",'[11]سجل المستخلصات'!$AC$13)</f>
        <v/>
      </c>
      <c r="X32" s="62">
        <f>IF('[11]سجل المستخلصات'!$AD$13="","",'[11]سجل المستخلصات'!$AD$13)</f>
        <v/>
      </c>
      <c r="Y32" s="58">
        <f>IF('[11]سجل المستخلصات'!$AE$13="","",'[11]سجل المستخلصات'!$AE$13)</f>
        <v/>
      </c>
    </row>
    <row r="33">
      <c r="B33" s="56" t="n">
        <v>9</v>
      </c>
      <c r="C33" s="57">
        <f>IF('[11]سجل المستخلصات'!$C$14="","",'[11]سجل المستخلصات'!$C$14)</f>
        <v/>
      </c>
      <c r="D33" s="57">
        <f>IF('[11]سجل المستخلصات'!$E$14="","",'[11]سجل المستخلصات'!$E$14)</f>
        <v/>
      </c>
      <c r="E33" s="58">
        <f>IF('[11]سجل المستخلصات'!$F$14="","",'[11]سجل المستخلصات'!$F$14)</f>
        <v/>
      </c>
      <c r="F33" s="59">
        <f>IF('[11]سجل المستخلصات'!$H$14="","",'[11]سجل المستخلصات'!$H$14)</f>
        <v/>
      </c>
      <c r="G33" s="59">
        <f>IF('[11]سجل المستخلصات'!$G$14="","",'[11]سجل المستخلصات'!$G$14)</f>
        <v/>
      </c>
      <c r="H33" s="59">
        <f>IF('[11]سجل المستخلصات'!$I$14="","",'[11]سجل المستخلصات'!$I$14)</f>
        <v/>
      </c>
      <c r="I33" s="59">
        <f>IF('[11]سجل المستخلصات'!$J$14="","",'[11]سجل المستخلصات'!$J$14)</f>
        <v/>
      </c>
      <c r="J33" s="59">
        <f>IF('[11]سجل المستخلصات'!$K$14="","",'[11]سجل المستخلصات'!$K$14)</f>
        <v/>
      </c>
      <c r="K33" s="60">
        <f>IF('[11]سجل المستخلصات'!$L$14="","",'[11]سجل المستخلصات'!$L$14)</f>
        <v/>
      </c>
      <c r="L33" s="60">
        <f>IF('[11]سجل المستخلصات'!$M$14="","",'[11]سجل المستخلصات'!$M$14)</f>
        <v/>
      </c>
      <c r="M33" s="60">
        <f>IF('[11]سجل المستخلصات'!$N$14="","",'[11]سجل المستخلصات'!$N$14)</f>
        <v/>
      </c>
      <c r="N33" s="59">
        <f>IF('[11]سجل المستخلصات'!$O$14="","",'[11]سجل المستخلصات'!$O$14)</f>
        <v/>
      </c>
      <c r="O33" s="59">
        <f>IF('[11]سجل المستخلصات'!$R$14="","",'[11]سجل المستخلصات'!$R$14)</f>
        <v/>
      </c>
      <c r="P33" s="59">
        <f>IF('[11]سجل المستخلصات'!$S$14="","",'[11]سجل المستخلصات'!$S$14)</f>
        <v/>
      </c>
      <c r="Q33" s="59">
        <f>IF('[11]سجل المستخلصات'!$T$14="","",'[11]سجل المستخلصات'!$T$14)</f>
        <v/>
      </c>
      <c r="R33" s="59">
        <f>IF('[11]سجل المستخلصات'!$V$14="","",'[11]سجل المستخلصات'!$V$14)</f>
        <v/>
      </c>
      <c r="S33" s="59">
        <f>IF('[11]سجل المستخلصات'!$W$14="","",'[11]سجل المستخلصات'!$W$14)</f>
        <v/>
      </c>
      <c r="T33" s="61">
        <f>IF('[11]سجل المستخلصات'!$X$14="","",'[11]سجل المستخلصات'!$X$14)</f>
        <v/>
      </c>
      <c r="U33" s="61">
        <f>IF('[11]سجل المستخلصات'!$Z$14="","",'[11]سجل المستخلصات'!$Z$14)</f>
        <v/>
      </c>
      <c r="V33" s="59">
        <f>IF('[11]سجل المستخلصات'!$AA$14="","",'[11]سجل المستخلصات'!$AA$14)</f>
        <v/>
      </c>
      <c r="W33" s="59">
        <f>IF('[11]سجل المستخلصات'!$AC$14="","",'[11]سجل المستخلصات'!$AC$14)</f>
        <v/>
      </c>
      <c r="X33" s="62">
        <f>IF('[11]سجل المستخلصات'!$AD$14="","",'[11]سجل المستخلصات'!$AD$14)</f>
        <v/>
      </c>
      <c r="Y33" s="58">
        <f>IF('[11]سجل المستخلصات'!$AE$14="","",'[11]سجل المستخلصات'!$AE$14)</f>
        <v/>
      </c>
    </row>
    <row r="34">
      <c r="B34" s="56" t="n">
        <v>10</v>
      </c>
      <c r="C34" s="57">
        <f>IF('[11]سجل المستخلصات'!$C$15="","",'[11]سجل المستخلصات'!$C$15)</f>
        <v/>
      </c>
      <c r="D34" s="57">
        <f>IF('[11]سجل المستخلصات'!$E$15="","",'[11]سجل المستخلصات'!$E$15)</f>
        <v/>
      </c>
      <c r="E34" s="58">
        <f>IF('[11]سجل المستخلصات'!$F$15="","",'[11]سجل المستخلصات'!$F$15)</f>
        <v/>
      </c>
      <c r="F34" s="59">
        <f>IF('[11]سجل المستخلصات'!$H$15="","",'[11]سجل المستخلصات'!$H$15)</f>
        <v/>
      </c>
      <c r="G34" s="59">
        <f>IF('[11]سجل المستخلصات'!$G$15="","",'[11]سجل المستخلصات'!$G$15)</f>
        <v/>
      </c>
      <c r="H34" s="59">
        <f>IF('[11]سجل المستخلصات'!$I$15="","",'[11]سجل المستخلصات'!$I$15)</f>
        <v/>
      </c>
      <c r="I34" s="59">
        <f>IF('[11]سجل المستخلصات'!$J$15="","",'[11]سجل المستخلصات'!$J$15)</f>
        <v/>
      </c>
      <c r="J34" s="59">
        <f>IF('[11]سجل المستخلصات'!$K$15="","",'[11]سجل المستخلصات'!$K$15)</f>
        <v/>
      </c>
      <c r="K34" s="60">
        <f>IF('[11]سجل المستخلصات'!$L$15="","",'[11]سجل المستخلصات'!$L$15)</f>
        <v/>
      </c>
      <c r="L34" s="60">
        <f>IF('[11]سجل المستخلصات'!$M$15="","",'[11]سجل المستخلصات'!$M$15)</f>
        <v/>
      </c>
      <c r="M34" s="60">
        <f>IF('[11]سجل المستخلصات'!$N$15="","",'[11]سجل المستخلصات'!$N$15)</f>
        <v/>
      </c>
      <c r="N34" s="59">
        <f>IF('[11]سجل المستخلصات'!$O$15="","",'[11]سجل المستخلصات'!$O$15)</f>
        <v/>
      </c>
      <c r="O34" s="59">
        <f>IF('[11]سجل المستخلصات'!$R$15="","",'[11]سجل المستخلصات'!$R$15)</f>
        <v/>
      </c>
      <c r="P34" s="59">
        <f>IF('[11]سجل المستخلصات'!$S$15="","",'[11]سجل المستخلصات'!$S$15)</f>
        <v/>
      </c>
      <c r="Q34" s="59">
        <f>IF('[11]سجل المستخلصات'!$T$15="","",'[11]سجل المستخلصات'!$T$15)</f>
        <v/>
      </c>
      <c r="R34" s="59">
        <f>IF('[11]سجل المستخلصات'!$V$15="","",'[11]سجل المستخلصات'!$V$15)</f>
        <v/>
      </c>
      <c r="S34" s="59">
        <f>IF('[11]سجل المستخلصات'!$W$15="","",'[11]سجل المستخلصات'!$W$15)</f>
        <v/>
      </c>
      <c r="T34" s="61">
        <f>IF('[11]سجل المستخلصات'!$X$15="","",'[11]سجل المستخلصات'!$X$15)</f>
        <v/>
      </c>
      <c r="U34" s="61">
        <f>IF('[11]سجل المستخلصات'!$Z$15="","",'[11]سجل المستخلصات'!$Z$15)</f>
        <v/>
      </c>
      <c r="V34" s="59">
        <f>IF('[11]سجل المستخلصات'!$AA$15="","",'[11]سجل المستخلصات'!$AA$15)</f>
        <v/>
      </c>
      <c r="W34" s="59">
        <f>IF('[11]سجل المستخلصات'!$AC$15="","",'[11]سجل المستخلصات'!$AC$15)</f>
        <v/>
      </c>
      <c r="X34" s="62">
        <f>IF('[11]سجل المستخلصات'!$AD$15="","",'[11]سجل المستخلصات'!$AD$15)</f>
        <v/>
      </c>
      <c r="Y34" s="58">
        <f>IF('[11]سجل المستخلصات'!$AE$15="","",'[11]سجل المستخلصات'!$AE$15)</f>
        <v/>
      </c>
    </row>
    <row r="35">
      <c r="B35" s="56" t="n">
        <v>11</v>
      </c>
      <c r="C35" s="57">
        <f>IF('[11]سجل المستخلصات'!$C$16="","",'[11]سجل المستخلصات'!$C$16)</f>
        <v/>
      </c>
      <c r="D35" s="57">
        <f>IF('[11]سجل المستخلصات'!$E$16="","",'[11]سجل المستخلصات'!$E$16)</f>
        <v/>
      </c>
      <c r="E35" s="58">
        <f>IF('[11]سجل المستخلصات'!$F$16="","",'[11]سجل المستخلصات'!$F$16)</f>
        <v/>
      </c>
      <c r="F35" s="59">
        <f>IF('[11]سجل المستخلصات'!$H$16="","",'[11]سجل المستخلصات'!$H$16)</f>
        <v/>
      </c>
      <c r="G35" s="59">
        <f>IF('[11]سجل المستخلصات'!$G$16="","",'[11]سجل المستخلصات'!$G$16)</f>
        <v/>
      </c>
      <c r="H35" s="59">
        <f>IF('[11]سجل المستخلصات'!$I$16="","",'[11]سجل المستخلصات'!$I$16)</f>
        <v/>
      </c>
      <c r="I35" s="59">
        <f>IF('[11]سجل المستخلصات'!$J$16="","",'[11]سجل المستخلصات'!$J$16)</f>
        <v/>
      </c>
      <c r="J35" s="59">
        <f>IF('[11]سجل المستخلصات'!$K$16="","",'[11]سجل المستخلصات'!$K$16)</f>
        <v/>
      </c>
      <c r="K35" s="60">
        <f>IF('[11]سجل المستخلصات'!$L$16="","",'[11]سجل المستخلصات'!$L$16)</f>
        <v/>
      </c>
      <c r="L35" s="60">
        <f>IF('[11]سجل المستخلصات'!$M$16="","",'[11]سجل المستخلصات'!$M$16)</f>
        <v/>
      </c>
      <c r="M35" s="60">
        <f>IF('[11]سجل المستخلصات'!$N$16="","",'[11]سجل المستخلصات'!$N$16)</f>
        <v/>
      </c>
      <c r="N35" s="59">
        <f>IF('[11]سجل المستخلصات'!$O$16="","",'[11]سجل المستخلصات'!$O$16)</f>
        <v/>
      </c>
      <c r="O35" s="59">
        <f>IF('[11]سجل المستخلصات'!$R$16="","",'[11]سجل المستخلصات'!$R$16)</f>
        <v/>
      </c>
      <c r="P35" s="59">
        <f>IF('[11]سجل المستخلصات'!$S$16="","",'[11]سجل المستخلصات'!$S$16)</f>
        <v/>
      </c>
      <c r="Q35" s="59">
        <f>IF('[11]سجل المستخلصات'!$T$16="","",'[11]سجل المستخلصات'!$T$16)</f>
        <v/>
      </c>
      <c r="R35" s="59">
        <f>IF('[11]سجل المستخلصات'!$V$16="","",'[11]سجل المستخلصات'!$V$16)</f>
        <v/>
      </c>
      <c r="S35" s="59">
        <f>IF('[11]سجل المستخلصات'!$W$16="","",'[11]سجل المستخلصات'!$W$16)</f>
        <v/>
      </c>
      <c r="T35" s="61">
        <f>IF('[11]سجل المستخلصات'!$X$16="","",'[11]سجل المستخلصات'!$X$16)</f>
        <v/>
      </c>
      <c r="U35" s="61">
        <f>IF('[11]سجل المستخلصات'!$Z$16="","",'[11]سجل المستخلصات'!$Z$16)</f>
        <v/>
      </c>
      <c r="V35" s="59">
        <f>IF('[11]سجل المستخلصات'!$AA$16="","",'[11]سجل المستخلصات'!$AA$16)</f>
        <v/>
      </c>
      <c r="W35" s="59">
        <f>IF('[11]سجل المستخلصات'!$AC$16="","",'[11]سجل المستخلصات'!$AC$16)</f>
        <v/>
      </c>
      <c r="X35" s="62">
        <f>IF('[11]سجل المستخلصات'!$AD$16="","",'[11]سجل المستخلصات'!$AD$16)</f>
        <v/>
      </c>
      <c r="Y35" s="58">
        <f>IF('[11]سجل المستخلصات'!$AE$16="","",'[11]سجل المستخلصات'!$AE$16)</f>
        <v/>
      </c>
    </row>
    <row r="36">
      <c r="B36" s="56" t="n">
        <v>12</v>
      </c>
      <c r="C36" s="57">
        <f>IF('[11]سجل المستخلصات'!$C$17="","",'[11]سجل المستخلصات'!$C$17)</f>
        <v/>
      </c>
      <c r="D36" s="57">
        <f>IF('[11]سجل المستخلصات'!$E$17="","",'[11]سجل المستخلصات'!$E$17)</f>
        <v/>
      </c>
      <c r="E36" s="58">
        <f>IF('[11]سجل المستخلصات'!$F$17="","",'[11]سجل المستخلصات'!$F$17)</f>
        <v/>
      </c>
      <c r="F36" s="59">
        <f>IF('[11]سجل المستخلصات'!$H$17="","",'[11]سجل المستخلصات'!$H$17)</f>
        <v/>
      </c>
      <c r="G36" s="59">
        <f>IF('[11]سجل المستخلصات'!$G$17="","",'[11]سجل المستخلصات'!$G$17)</f>
        <v/>
      </c>
      <c r="H36" s="59">
        <f>IF('[11]سجل المستخلصات'!$I$17="","",'[11]سجل المستخلصات'!$I$17)</f>
        <v/>
      </c>
      <c r="I36" s="59">
        <f>IF('[11]سجل المستخلصات'!$J$17="","",'[11]سجل المستخلصات'!$J$17)</f>
        <v/>
      </c>
      <c r="J36" s="59">
        <f>IF('[11]سجل المستخلصات'!$K$17="","",'[11]سجل المستخلصات'!$K$17)</f>
        <v/>
      </c>
      <c r="K36" s="60">
        <f>IF('[11]سجل المستخلصات'!$L$17="","",'[11]سجل المستخلصات'!$L$17)</f>
        <v/>
      </c>
      <c r="L36" s="60">
        <f>IF('[11]سجل المستخلصات'!$M$17="","",'[11]سجل المستخلصات'!$M$17)</f>
        <v/>
      </c>
      <c r="M36" s="60">
        <f>IF('[11]سجل المستخلصات'!$N$17="","",'[11]سجل المستخلصات'!$N$17)</f>
        <v/>
      </c>
      <c r="N36" s="59">
        <f>IF('[11]سجل المستخلصات'!$O$17="","",'[11]سجل المستخلصات'!$O$17)</f>
        <v/>
      </c>
      <c r="O36" s="59">
        <f>IF('[11]سجل المستخلصات'!$R$17="","",'[11]سجل المستخلصات'!$R$17)</f>
        <v/>
      </c>
      <c r="P36" s="59">
        <f>IF('[11]سجل المستخلصات'!$S$17="","",'[11]سجل المستخلصات'!$S$17)</f>
        <v/>
      </c>
      <c r="Q36" s="59">
        <f>IF('[11]سجل المستخلصات'!$T$17="","",'[11]سجل المستخلصات'!$T$17)</f>
        <v/>
      </c>
      <c r="R36" s="59">
        <f>IF('[11]سجل المستخلصات'!$V$17="","",'[11]سجل المستخلصات'!$V$17)</f>
        <v/>
      </c>
      <c r="S36" s="59">
        <f>IF('[11]سجل المستخلصات'!$W$17="","",'[11]سجل المستخلصات'!$W$17)</f>
        <v/>
      </c>
      <c r="T36" s="61">
        <f>IF('[11]سجل المستخلصات'!$X$17="","",'[11]سجل المستخلصات'!$X$17)</f>
        <v/>
      </c>
      <c r="U36" s="61">
        <f>IF('[11]سجل المستخلصات'!$Z$17="","",'[11]سجل المستخلصات'!$Z$17)</f>
        <v/>
      </c>
      <c r="V36" s="59">
        <f>IF('[11]سجل المستخلصات'!$AA$17="","",'[11]سجل المستخلصات'!$AA$17)</f>
        <v/>
      </c>
      <c r="W36" s="59">
        <f>IF('[11]سجل المستخلصات'!$AC$17="","",'[11]سجل المستخلصات'!$AC$17)</f>
        <v/>
      </c>
      <c r="X36" s="62">
        <f>IF('[11]سجل المستخلصات'!$AD$17="","",'[11]سجل المستخلصات'!$AD$17)</f>
        <v/>
      </c>
      <c r="Y36" s="58">
        <f>IF('[11]سجل المستخلصات'!$AE$17="","",'[11]سجل المستخلصات'!$AE$17)</f>
        <v/>
      </c>
    </row>
    <row r="37">
      <c r="B37" s="56" t="n">
        <v>13</v>
      </c>
      <c r="C37" s="57">
        <f>IF('[11]سجل المستخلصات'!$C$18="","",'[11]سجل المستخلصات'!$C$18)</f>
        <v/>
      </c>
      <c r="D37" s="57">
        <f>IF('[11]سجل المستخلصات'!$E$18="","",'[11]سجل المستخلصات'!$E$18)</f>
        <v/>
      </c>
      <c r="E37" s="58">
        <f>IF('[11]سجل المستخلصات'!$F$18="","",'[11]سجل المستخلصات'!$F$18)</f>
        <v/>
      </c>
      <c r="F37" s="59">
        <f>IF('[11]سجل المستخلصات'!$H$18="","",'[11]سجل المستخلصات'!$H$18)</f>
        <v/>
      </c>
      <c r="G37" s="59">
        <f>IF('[11]سجل المستخلصات'!$G$18="","",'[11]سجل المستخلصات'!$G$18)</f>
        <v/>
      </c>
      <c r="H37" s="59">
        <f>IF('[11]سجل المستخلصات'!$I$18="","",'[11]سجل المستخلصات'!$I$18)</f>
        <v/>
      </c>
      <c r="I37" s="59">
        <f>IF('[11]سجل المستخلصات'!$J$18="","",'[11]سجل المستخلصات'!$J$18)</f>
        <v/>
      </c>
      <c r="J37" s="59">
        <f>IF('[11]سجل المستخلصات'!$K$18="","",'[11]سجل المستخلصات'!$K$18)</f>
        <v/>
      </c>
      <c r="K37" s="60">
        <f>IF('[11]سجل المستخلصات'!$L$18="","",'[11]سجل المستخلصات'!$L$18)</f>
        <v/>
      </c>
      <c r="L37" s="60">
        <f>IF('[11]سجل المستخلصات'!$M$18="","",'[11]سجل المستخلصات'!$M$18)</f>
        <v/>
      </c>
      <c r="M37" s="60">
        <f>IF('[11]سجل المستخلصات'!$N$18="","",'[11]سجل المستخلصات'!$N$18)</f>
        <v/>
      </c>
      <c r="N37" s="59">
        <f>IF('[11]سجل المستخلصات'!$O$18="","",'[11]سجل المستخلصات'!$O$18)</f>
        <v/>
      </c>
      <c r="O37" s="59">
        <f>IF('[11]سجل المستخلصات'!$R$18="","",'[11]سجل المستخلصات'!$R$18)</f>
        <v/>
      </c>
      <c r="P37" s="59">
        <f>IF('[11]سجل المستخلصات'!$S$18="","",'[11]سجل المستخلصات'!$S$18)</f>
        <v/>
      </c>
      <c r="Q37" s="59">
        <f>IF('[11]سجل المستخلصات'!$T$18="","",'[11]سجل المستخلصات'!$T$18)</f>
        <v/>
      </c>
      <c r="R37" s="59">
        <f>IF('[11]سجل المستخلصات'!$V$18="","",'[11]سجل المستخلصات'!$V$18)</f>
        <v/>
      </c>
      <c r="S37" s="59">
        <f>IF('[11]سجل المستخلصات'!$W$18="","",'[11]سجل المستخلصات'!$W$18)</f>
        <v/>
      </c>
      <c r="T37" s="61">
        <f>IF('[11]سجل المستخلصات'!$X$18="","",'[11]سجل المستخلصات'!$X$18)</f>
        <v/>
      </c>
      <c r="U37" s="61">
        <f>IF('[11]سجل المستخلصات'!$Z$18="","",'[11]سجل المستخلصات'!$Z$18)</f>
        <v/>
      </c>
      <c r="V37" s="59">
        <f>IF('[11]سجل المستخلصات'!$AA$18="","",'[11]سجل المستخلصات'!$AA$18)</f>
        <v/>
      </c>
      <c r="W37" s="59">
        <f>IF('[11]سجل المستخلصات'!$AC$18="","",'[11]سجل المستخلصات'!$AC$18)</f>
        <v/>
      </c>
      <c r="X37" s="62">
        <f>IF('[11]سجل المستخلصات'!$AD$18="","",'[11]سجل المستخلصات'!$AD$18)</f>
        <v/>
      </c>
      <c r="Y37" s="58">
        <f>IF('[11]سجل المستخلصات'!$AE$18="","",'[11]سجل المستخلصات'!$AE$18)</f>
        <v/>
      </c>
    </row>
    <row r="38">
      <c r="B38" s="56" t="n">
        <v>14</v>
      </c>
      <c r="C38" s="57">
        <f>IF('[11]سجل المستخلصات'!$C$19="","",'[11]سجل المستخلصات'!$C$19)</f>
        <v/>
      </c>
      <c r="D38" s="57">
        <f>IF('[11]سجل المستخلصات'!$E$19="","",'[11]سجل المستخلصات'!$E$19)</f>
        <v/>
      </c>
      <c r="E38" s="58">
        <f>IF('[11]سجل المستخلصات'!$F$19="","",'[11]سجل المستخلصات'!$F$19)</f>
        <v/>
      </c>
      <c r="F38" s="59">
        <f>IF('[11]سجل المستخلصات'!$H$19="","",'[11]سجل المستخلصات'!$H$19)</f>
        <v/>
      </c>
      <c r="G38" s="59">
        <f>IF('[11]سجل المستخلصات'!$G$19="","",'[11]سجل المستخلصات'!$G$19)</f>
        <v/>
      </c>
      <c r="H38" s="59">
        <f>IF('[11]سجل المستخلصات'!$I$19="","",'[11]سجل المستخلصات'!$I$19)</f>
        <v/>
      </c>
      <c r="I38" s="59">
        <f>IF('[11]سجل المستخلصات'!$J$19="","",'[11]سجل المستخلصات'!$J$19)</f>
        <v/>
      </c>
      <c r="J38" s="59">
        <f>IF('[11]سجل المستخلصات'!$K$19="","",'[11]سجل المستخلصات'!$K$19)</f>
        <v/>
      </c>
      <c r="K38" s="60">
        <f>IF('[11]سجل المستخلصات'!$L$19="","",'[11]سجل المستخلصات'!$L$19)</f>
        <v/>
      </c>
      <c r="L38" s="60">
        <f>IF('[11]سجل المستخلصات'!$M$19="","",'[11]سجل المستخلصات'!$M$19)</f>
        <v/>
      </c>
      <c r="M38" s="60">
        <f>IF('[11]سجل المستخلصات'!$N$19="","",'[11]سجل المستخلصات'!$N$19)</f>
        <v/>
      </c>
      <c r="N38" s="59">
        <f>IF('[11]سجل المستخلصات'!$O$19="","",'[11]سجل المستخلصات'!$O$19)</f>
        <v/>
      </c>
      <c r="O38" s="59">
        <f>IF('[11]سجل المستخلصات'!$R$19="","",'[11]سجل المستخلصات'!$R$19)</f>
        <v/>
      </c>
      <c r="P38" s="59">
        <f>IF('[11]سجل المستخلصات'!$S$19="","",'[11]سجل المستخلصات'!$S$19)</f>
        <v/>
      </c>
      <c r="Q38" s="59">
        <f>IF('[11]سجل المستخلصات'!$T$19="","",'[11]سجل المستخلصات'!$T$19)</f>
        <v/>
      </c>
      <c r="R38" s="59">
        <f>IF('[11]سجل المستخلصات'!$V$19="","",'[11]سجل المستخلصات'!$V$19)</f>
        <v/>
      </c>
      <c r="S38" s="59">
        <f>IF('[11]سجل المستخلصات'!$W$19="","",'[11]سجل المستخلصات'!$W$19)</f>
        <v/>
      </c>
      <c r="T38" s="61">
        <f>IF('[11]سجل المستخلصات'!$X$19="","",'[11]سجل المستخلصات'!$X$19)</f>
        <v/>
      </c>
      <c r="U38" s="61">
        <f>IF('[11]سجل المستخلصات'!$Z$19="","",'[11]سجل المستخلصات'!$Z$19)</f>
        <v/>
      </c>
      <c r="V38" s="59">
        <f>IF('[11]سجل المستخلصات'!$AA$19="","",'[11]سجل المستخلصات'!$AA$19)</f>
        <v/>
      </c>
      <c r="W38" s="59">
        <f>IF('[11]سجل المستخلصات'!$AC$19="","",'[11]سجل المستخلصات'!$AC$19)</f>
        <v/>
      </c>
      <c r="X38" s="62">
        <f>IF('[11]سجل المستخلصات'!$AD$19="","",'[11]سجل المستخلصات'!$AD$19)</f>
        <v/>
      </c>
      <c r="Y38" s="58">
        <f>IF('[11]سجل المستخلصات'!$AE$19="","",'[11]سجل المستخلصات'!$AE$19)</f>
        <v/>
      </c>
    </row>
    <row r="39">
      <c r="B39" s="56" t="n">
        <v>15</v>
      </c>
      <c r="C39" s="57">
        <f>IF('[11]سجل المستخلصات'!$C$20="","",'[11]سجل المستخلصات'!$C$20)</f>
        <v/>
      </c>
      <c r="D39" s="57">
        <f>IF('[11]سجل المستخلصات'!$E$20="","",'[11]سجل المستخلصات'!$E$20)</f>
        <v/>
      </c>
      <c r="E39" s="58">
        <f>IF('[11]سجل المستخلصات'!$F$20="","",'[11]سجل المستخلصات'!$F$20)</f>
        <v/>
      </c>
      <c r="F39" s="59">
        <f>IF('[11]سجل المستخلصات'!$H$20="","",'[11]سجل المستخلصات'!$H$20)</f>
        <v/>
      </c>
      <c r="G39" s="59">
        <f>IF('[11]سجل المستخلصات'!$G$20="","",'[11]سجل المستخلصات'!$G$20)</f>
        <v/>
      </c>
      <c r="H39" s="59">
        <f>IF('[11]سجل المستخلصات'!$I$20="","",'[11]سجل المستخلصات'!$I$20)</f>
        <v/>
      </c>
      <c r="I39" s="59">
        <f>IF('[11]سجل المستخلصات'!$J$20="","",'[11]سجل المستخلصات'!$J$20)</f>
        <v/>
      </c>
      <c r="J39" s="59">
        <f>IF('[11]سجل المستخلصات'!$K$20="","",'[11]سجل المستخلصات'!$K$20)</f>
        <v/>
      </c>
      <c r="K39" s="60">
        <f>IF('[11]سجل المستخلصات'!$L$20="","",'[11]سجل المستخلصات'!$L$20)</f>
        <v/>
      </c>
      <c r="L39" s="60">
        <f>IF('[11]سجل المستخلصات'!$M$20="","",'[11]سجل المستخلصات'!$M$20)</f>
        <v/>
      </c>
      <c r="M39" s="60">
        <f>IF('[11]سجل المستخلصات'!$N$20="","",'[11]سجل المستخلصات'!$N$20)</f>
        <v/>
      </c>
      <c r="N39" s="59">
        <f>IF('[11]سجل المستخلصات'!$O$20="","",'[11]سجل المستخلصات'!$O$20)</f>
        <v/>
      </c>
      <c r="O39" s="59">
        <f>IF('[11]سجل المستخلصات'!$R$20="","",'[11]سجل المستخلصات'!$R$20)</f>
        <v/>
      </c>
      <c r="P39" s="59">
        <f>IF('[11]سجل المستخلصات'!$S$20="","",'[11]سجل المستخلصات'!$S$20)</f>
        <v/>
      </c>
      <c r="Q39" s="59">
        <f>IF('[11]سجل المستخلصات'!$T$20="","",'[11]سجل المستخلصات'!$T$20)</f>
        <v/>
      </c>
      <c r="R39" s="59">
        <f>IF('[11]سجل المستخلصات'!$V$20="","",'[11]سجل المستخلصات'!$V$20)</f>
        <v/>
      </c>
      <c r="S39" s="59">
        <f>IF('[11]سجل المستخلصات'!$W$20="","",'[11]سجل المستخلصات'!$W$20)</f>
        <v/>
      </c>
      <c r="T39" s="61">
        <f>IF('[11]سجل المستخلصات'!$X$20="","",'[11]سجل المستخلصات'!$X$20)</f>
        <v/>
      </c>
      <c r="U39" s="61">
        <f>IF('[11]سجل المستخلصات'!$Z$20="","",'[11]سجل المستخلصات'!$Z$20)</f>
        <v/>
      </c>
      <c r="V39" s="59">
        <f>IF('[11]سجل المستخلصات'!$AA$20="","",'[11]سجل المستخلصات'!$AA$20)</f>
        <v/>
      </c>
      <c r="W39" s="59">
        <f>IF('[11]سجل المستخلصات'!$AC$20="","",'[11]سجل المستخلصات'!$AC$20)</f>
        <v/>
      </c>
      <c r="X39" s="62">
        <f>IF('[11]سجل المستخلصات'!$AD$20="","",'[11]سجل المستخلصات'!$AD$20)</f>
        <v/>
      </c>
      <c r="Y39" s="58">
        <f>IF('[11]سجل المستخلصات'!$AE$20="","",'[11]سجل المستخلصات'!$AE$20)</f>
        <v/>
      </c>
    </row>
    <row r="40">
      <c r="B40" s="56" t="n">
        <v>16</v>
      </c>
      <c r="C40" s="57">
        <f>IF('[11]سجل المستخلصات'!$C$21="","",'[11]سجل المستخلصات'!$C$21)</f>
        <v/>
      </c>
      <c r="D40" s="57">
        <f>IF('[11]سجل المستخلصات'!$E$21="","",'[11]سجل المستخلصات'!$E$21)</f>
        <v/>
      </c>
      <c r="E40" s="58">
        <f>IF('[11]سجل المستخلصات'!$F$21="","",'[11]سجل المستخلصات'!$F$21)</f>
        <v/>
      </c>
      <c r="F40" s="59">
        <f>IF('[11]سجل المستخلصات'!$H$21="","",'[11]سجل المستخلصات'!$H$21)</f>
        <v/>
      </c>
      <c r="G40" s="59">
        <f>IF('[11]سجل المستخلصات'!$G$21="","",'[11]سجل المستخلصات'!$G$21)</f>
        <v/>
      </c>
      <c r="H40" s="59">
        <f>IF('[11]سجل المستخلصات'!$I$21="","",'[11]سجل المستخلصات'!$I$21)</f>
        <v/>
      </c>
      <c r="I40" s="59">
        <f>IF('[11]سجل المستخلصات'!$J$21="","",'[11]سجل المستخلصات'!$J$21)</f>
        <v/>
      </c>
      <c r="J40" s="59">
        <f>IF('[11]سجل المستخلصات'!$K$21="","",'[11]سجل المستخلصات'!$K$21)</f>
        <v/>
      </c>
      <c r="K40" s="60">
        <f>IF('[11]سجل المستخلصات'!$L$21="","",'[11]سجل المستخلصات'!$L$21)</f>
        <v/>
      </c>
      <c r="L40" s="60">
        <f>IF('[11]سجل المستخلصات'!$M$21="","",'[11]سجل المستخلصات'!$M$21)</f>
        <v/>
      </c>
      <c r="M40" s="60">
        <f>IF('[11]سجل المستخلصات'!$N$21="","",'[11]سجل المستخلصات'!$N$21)</f>
        <v/>
      </c>
      <c r="N40" s="59">
        <f>IF('[11]سجل المستخلصات'!$O$21="","",'[11]سجل المستخلصات'!$O$21)</f>
        <v/>
      </c>
      <c r="O40" s="59">
        <f>IF('[11]سجل المستخلصات'!$R$21="","",'[11]سجل المستخلصات'!$R$21)</f>
        <v/>
      </c>
      <c r="P40" s="59">
        <f>IF('[11]سجل المستخلصات'!$S$21="","",'[11]سجل المستخلصات'!$S$21)</f>
        <v/>
      </c>
      <c r="Q40" s="59">
        <f>IF('[11]سجل المستخلصات'!$T$21="","",'[11]سجل المستخلصات'!$T$21)</f>
        <v/>
      </c>
      <c r="R40" s="59">
        <f>IF('[11]سجل المستخلصات'!$V$21="","",'[11]سجل المستخلصات'!$V$21)</f>
        <v/>
      </c>
      <c r="S40" s="59">
        <f>IF('[11]سجل المستخلصات'!$W$21="","",'[11]سجل المستخلصات'!$W$21)</f>
        <v/>
      </c>
      <c r="T40" s="61">
        <f>IF('[11]سجل المستخلصات'!$X$21="","",'[11]سجل المستخلصات'!$X$21)</f>
        <v/>
      </c>
      <c r="U40" s="61">
        <f>IF('[11]سجل المستخلصات'!$Z$21="","",'[11]سجل المستخلصات'!$Z$21)</f>
        <v/>
      </c>
      <c r="V40" s="59">
        <f>IF('[11]سجل المستخلصات'!$AA$21="","",'[11]سجل المستخلصات'!$AA$21)</f>
        <v/>
      </c>
      <c r="W40" s="59">
        <f>IF('[11]سجل المستخلصات'!$AC$21="","",'[11]سجل المستخلصات'!$AC$21)</f>
        <v/>
      </c>
      <c r="X40" s="62">
        <f>IF('[11]سجل المستخلصات'!$AD$21="","",'[11]سجل المستخلصات'!$AD$21)</f>
        <v/>
      </c>
      <c r="Y40" s="58">
        <f>IF('[11]سجل المستخلصات'!$AE$21="","",'[11]سجل المستخلصات'!$AE$21)</f>
        <v/>
      </c>
    </row>
    <row r="41">
      <c r="B41" s="56" t="n">
        <v>17</v>
      </c>
      <c r="C41" s="57">
        <f>IF('[11]سجل المستخلصات'!$C$22="","",'[11]سجل المستخلصات'!$C$22)</f>
        <v/>
      </c>
      <c r="D41" s="57">
        <f>IF('[11]سجل المستخلصات'!$E$22="","",'[11]سجل المستخلصات'!$E$22)</f>
        <v/>
      </c>
      <c r="E41" s="58">
        <f>IF('[11]سجل المستخلصات'!$F$22="","",'[11]سجل المستخلصات'!$F$22)</f>
        <v/>
      </c>
      <c r="F41" s="59">
        <f>IF('[11]سجل المستخلصات'!$H$22="","",'[11]سجل المستخلصات'!$H$22)</f>
        <v/>
      </c>
      <c r="G41" s="59">
        <f>IF('[11]سجل المستخلصات'!$G$22="","",'[11]سجل المستخلصات'!$G$22)</f>
        <v/>
      </c>
      <c r="H41" s="59">
        <f>IF('[11]سجل المستخلصات'!$I$22="","",'[11]سجل المستخلصات'!$I$22)</f>
        <v/>
      </c>
      <c r="I41" s="59">
        <f>IF('[11]سجل المستخلصات'!$J$22="","",'[11]سجل المستخلصات'!$J$22)</f>
        <v/>
      </c>
      <c r="J41" s="59">
        <f>IF('[11]سجل المستخلصات'!$K$22="","",'[11]سجل المستخلصات'!$K$22)</f>
        <v/>
      </c>
      <c r="K41" s="60">
        <f>IF('[11]سجل المستخلصات'!$L$22="","",'[11]سجل المستخلصات'!$L$22)</f>
        <v/>
      </c>
      <c r="L41" s="60">
        <f>IF('[11]سجل المستخلصات'!$M$22="","",'[11]سجل المستخلصات'!$M$22)</f>
        <v/>
      </c>
      <c r="M41" s="60">
        <f>IF('[11]سجل المستخلصات'!$N$22="","",'[11]سجل المستخلصات'!$N$22)</f>
        <v/>
      </c>
      <c r="N41" s="59">
        <f>IF('[11]سجل المستخلصات'!$O$22="","",'[11]سجل المستخلصات'!$O$22)</f>
        <v/>
      </c>
      <c r="O41" s="59">
        <f>IF('[11]سجل المستخلصات'!$R$22="","",'[11]سجل المستخلصات'!$R$22)</f>
        <v/>
      </c>
      <c r="P41" s="59">
        <f>IF('[11]سجل المستخلصات'!$S$22="","",'[11]سجل المستخلصات'!$S$22)</f>
        <v/>
      </c>
      <c r="Q41" s="59">
        <f>IF('[11]سجل المستخلصات'!$T$22="","",'[11]سجل المستخلصات'!$T$22)</f>
        <v/>
      </c>
      <c r="R41" s="59">
        <f>IF('[11]سجل المستخلصات'!$V$22="","",'[11]سجل المستخلصات'!$V$22)</f>
        <v/>
      </c>
      <c r="S41" s="59">
        <f>IF('[11]سجل المستخلصات'!$W$22="","",'[11]سجل المستخلصات'!$W$22)</f>
        <v/>
      </c>
      <c r="T41" s="61">
        <f>IF('[11]سجل المستخلصات'!$X$22="","",'[11]سجل المستخلصات'!$X$22)</f>
        <v/>
      </c>
      <c r="U41" s="61">
        <f>IF('[11]سجل المستخلصات'!$Z$22="","",'[11]سجل المستخلصات'!$Z$22)</f>
        <v/>
      </c>
      <c r="V41" s="59">
        <f>IF('[11]سجل المستخلصات'!$AA$22="","",'[11]سجل المستخلصات'!$AA$22)</f>
        <v/>
      </c>
      <c r="W41" s="59">
        <f>IF('[11]سجل المستخلصات'!$AC$22="","",'[11]سجل المستخلصات'!$AC$22)</f>
        <v/>
      </c>
      <c r="X41" s="62">
        <f>IF('[11]سجل المستخلصات'!$AD$22="","",'[11]سجل المستخلصات'!$AD$22)</f>
        <v/>
      </c>
      <c r="Y41" s="58">
        <f>IF('[11]سجل المستخلصات'!$AE$22="","",'[11]سجل المستخلصات'!$AE$22)</f>
        <v/>
      </c>
    </row>
    <row r="42">
      <c r="B42" s="56" t="n">
        <v>18</v>
      </c>
      <c r="C42" s="57">
        <f>IF('[11]سجل المستخلصات'!$C$23="","",'[11]سجل المستخلصات'!$C$23)</f>
        <v/>
      </c>
      <c r="D42" s="57">
        <f>IF('[11]سجل المستخلصات'!$E$23="","",'[11]سجل المستخلصات'!$E$23)</f>
        <v/>
      </c>
      <c r="E42" s="58">
        <f>IF('[11]سجل المستخلصات'!$F$23="","",'[11]سجل المستخلصات'!$F$23)</f>
        <v/>
      </c>
      <c r="F42" s="59">
        <f>IF('[11]سجل المستخلصات'!$H$23="","",'[11]سجل المستخلصات'!$H$23)</f>
        <v/>
      </c>
      <c r="G42" s="59">
        <f>IF('[11]سجل المستخلصات'!$G$23="","",'[11]سجل المستخلصات'!$G$23)</f>
        <v/>
      </c>
      <c r="H42" s="59">
        <f>IF('[11]سجل المستخلصات'!$I$23="","",'[11]سجل المستخلصات'!$I$23)</f>
        <v/>
      </c>
      <c r="I42" s="59">
        <f>IF('[11]سجل المستخلصات'!$J$23="","",'[11]سجل المستخلصات'!$J$23)</f>
        <v/>
      </c>
      <c r="J42" s="59">
        <f>IF('[11]سجل المستخلصات'!$K$23="","",'[11]سجل المستخلصات'!$K$23)</f>
        <v/>
      </c>
      <c r="K42" s="60">
        <f>IF('[11]سجل المستخلصات'!$L$23="","",'[11]سجل المستخلصات'!$L$23)</f>
        <v/>
      </c>
      <c r="L42" s="60">
        <f>IF('[11]سجل المستخلصات'!$M$23="","",'[11]سجل المستخلصات'!$M$23)</f>
        <v/>
      </c>
      <c r="M42" s="60">
        <f>IF('[11]سجل المستخلصات'!$N$23="","",'[11]سجل المستخلصات'!$N$23)</f>
        <v/>
      </c>
      <c r="N42" s="59">
        <f>IF('[11]سجل المستخلصات'!$O$23="","",'[11]سجل المستخلصات'!$O$23)</f>
        <v/>
      </c>
      <c r="O42" s="59">
        <f>IF('[11]سجل المستخلصات'!$R$23="","",'[11]سجل المستخلصات'!$R$23)</f>
        <v/>
      </c>
      <c r="P42" s="59">
        <f>IF('[11]سجل المستخلصات'!$S$23="","",'[11]سجل المستخلصات'!$S$23)</f>
        <v/>
      </c>
      <c r="Q42" s="59">
        <f>IF('[11]سجل المستخلصات'!$T$23="","",'[11]سجل المستخلصات'!$T$23)</f>
        <v/>
      </c>
      <c r="R42" s="59">
        <f>IF('[11]سجل المستخلصات'!$V$23="","",'[11]سجل المستخلصات'!$V$23)</f>
        <v/>
      </c>
      <c r="S42" s="59">
        <f>IF('[11]سجل المستخلصات'!$W$23="","",'[11]سجل المستخلصات'!$W$23)</f>
        <v/>
      </c>
      <c r="T42" s="61">
        <f>IF('[11]سجل المستخلصات'!$X$23="","",'[11]سجل المستخلصات'!$X$23)</f>
        <v/>
      </c>
      <c r="U42" s="61">
        <f>IF('[11]سجل المستخلصات'!$Z$23="","",'[11]سجل المستخلصات'!$Z$23)</f>
        <v/>
      </c>
      <c r="V42" s="59">
        <f>IF('[11]سجل المستخلصات'!$AA$23="","",'[11]سجل المستخلصات'!$AA$23)</f>
        <v/>
      </c>
      <c r="W42" s="59">
        <f>IF('[11]سجل المستخلصات'!$AC$23="","",'[11]سجل المستخلصات'!$AC$23)</f>
        <v/>
      </c>
      <c r="X42" s="62">
        <f>IF('[11]سجل المستخلصات'!$AD$23="","",'[11]سجل المستخلصات'!$AD$23)</f>
        <v/>
      </c>
      <c r="Y42" s="58">
        <f>IF('[11]سجل المستخلصات'!$AE$23="","",'[11]سجل المستخلصات'!$AE$23)</f>
        <v/>
      </c>
    </row>
    <row r="43">
      <c r="B43" s="56" t="n">
        <v>19</v>
      </c>
      <c r="C43" s="57">
        <f>IF('[11]سجل المستخلصات'!$C$24="","",'[11]سجل المستخلصات'!$C$24)</f>
        <v/>
      </c>
      <c r="D43" s="57">
        <f>IF('[11]سجل المستخلصات'!$E$24="","",'[11]سجل المستخلصات'!$E$24)</f>
        <v/>
      </c>
      <c r="E43" s="58">
        <f>IF('[11]سجل المستخلصات'!$F$24="","",'[11]سجل المستخلصات'!$F$24)</f>
        <v/>
      </c>
      <c r="F43" s="59">
        <f>IF('[11]سجل المستخلصات'!$H$24="","",'[11]سجل المستخلصات'!$H$24)</f>
        <v/>
      </c>
      <c r="G43" s="59">
        <f>IF('[11]سجل المستخلصات'!$G$24="","",'[11]سجل المستخلصات'!$G$24)</f>
        <v/>
      </c>
      <c r="H43" s="59">
        <f>IF('[11]سجل المستخلصات'!$I$24="","",'[11]سجل المستخلصات'!$I$24)</f>
        <v/>
      </c>
      <c r="I43" s="59">
        <f>IF('[11]سجل المستخلصات'!$J$24="","",'[11]سجل المستخلصات'!$J$24)</f>
        <v/>
      </c>
      <c r="J43" s="59">
        <f>IF('[11]سجل المستخلصات'!$K$24="","",'[11]سجل المستخلصات'!$K$24)</f>
        <v/>
      </c>
      <c r="K43" s="60">
        <f>IF('[11]سجل المستخلصات'!$L$24="","",'[11]سجل المستخلصات'!$L$24)</f>
        <v/>
      </c>
      <c r="L43" s="60">
        <f>IF('[11]سجل المستخلصات'!$M$24="","",'[11]سجل المستخلصات'!$M$24)</f>
        <v/>
      </c>
      <c r="M43" s="60">
        <f>IF('[11]سجل المستخلصات'!$N$24="","",'[11]سجل المستخلصات'!$N$24)</f>
        <v/>
      </c>
      <c r="N43" s="59">
        <f>IF('[11]سجل المستخلصات'!$O$24="","",'[11]سجل المستخلصات'!$O$24)</f>
        <v/>
      </c>
      <c r="O43" s="59">
        <f>IF('[11]سجل المستخلصات'!$R$24="","",'[11]سجل المستخلصات'!$R$24)</f>
        <v/>
      </c>
      <c r="P43" s="59">
        <f>IF('[11]سجل المستخلصات'!$S$24="","",'[11]سجل المستخلصات'!$S$24)</f>
        <v/>
      </c>
      <c r="Q43" s="59">
        <f>IF('[11]سجل المستخلصات'!$T$24="","",'[11]سجل المستخلصات'!$T$24)</f>
        <v/>
      </c>
      <c r="R43" s="59">
        <f>IF('[11]سجل المستخلصات'!$V$24="","",'[11]سجل المستخلصات'!$V$24)</f>
        <v/>
      </c>
      <c r="S43" s="59">
        <f>IF('[11]سجل المستخلصات'!$W$24="","",'[11]سجل المستخلصات'!$W$24)</f>
        <v/>
      </c>
      <c r="T43" s="61">
        <f>IF('[11]سجل المستخلصات'!$X$24="","",'[11]سجل المستخلصات'!$X$24)</f>
        <v/>
      </c>
      <c r="U43" s="61">
        <f>IF('[11]سجل المستخلصات'!$Z$24="","",'[11]سجل المستخلصات'!$Z$24)</f>
        <v/>
      </c>
      <c r="V43" s="59">
        <f>IF('[11]سجل المستخلصات'!$AA$24="","",'[11]سجل المستخلصات'!$AA$24)</f>
        <v/>
      </c>
      <c r="W43" s="59">
        <f>IF('[11]سجل المستخلصات'!$AC$24="","",'[11]سجل المستخلصات'!$AC$24)</f>
        <v/>
      </c>
      <c r="X43" s="62">
        <f>IF('[11]سجل المستخلصات'!$AD$24="","",'[11]سجل المستخلصات'!$AD$24)</f>
        <v/>
      </c>
      <c r="Y43" s="58">
        <f>IF('[11]سجل المستخلصات'!$AE$24="","",'[11]سجل المستخلصات'!$AE$24)</f>
        <v/>
      </c>
    </row>
    <row r="44">
      <c r="B44" s="56" t="n">
        <v>20</v>
      </c>
      <c r="C44" s="57">
        <f>IF('[11]سجل المستخلصات'!$C$25="","",'[11]سجل المستخلصات'!$C$25)</f>
        <v/>
      </c>
      <c r="D44" s="57">
        <f>IF('[11]سجل المستخلصات'!$E$25="","",'[11]سجل المستخلصات'!$E$25)</f>
        <v/>
      </c>
      <c r="E44" s="58">
        <f>IF('[11]سجل المستخلصات'!$F$25="","",'[11]سجل المستخلصات'!$F$25)</f>
        <v/>
      </c>
      <c r="F44" s="59">
        <f>IF('[11]سجل المستخلصات'!$H$25="","",'[11]سجل المستخلصات'!$H$25)</f>
        <v/>
      </c>
      <c r="G44" s="59">
        <f>IF('[11]سجل المستخلصات'!$G$25="","",'[11]سجل المستخلصات'!$G$25)</f>
        <v/>
      </c>
      <c r="H44" s="59">
        <f>IF('[11]سجل المستخلصات'!$I$25="","",'[11]سجل المستخلصات'!$I$25)</f>
        <v/>
      </c>
      <c r="I44" s="59">
        <f>IF('[11]سجل المستخلصات'!$J$25="","",'[11]سجل المستخلصات'!$J$25)</f>
        <v/>
      </c>
      <c r="J44" s="59">
        <f>IF('[11]سجل المستخلصات'!$K$25="","",'[11]سجل المستخلصات'!$K$25)</f>
        <v/>
      </c>
      <c r="K44" s="60">
        <f>IF('[11]سجل المستخلصات'!$L$25="","",'[11]سجل المستخلصات'!$L$25)</f>
        <v/>
      </c>
      <c r="L44" s="60">
        <f>IF('[11]سجل المستخلصات'!$M$25="","",'[11]سجل المستخلصات'!$M$25)</f>
        <v/>
      </c>
      <c r="M44" s="60">
        <f>IF('[11]سجل المستخلصات'!$N$25="","",'[11]سجل المستخلصات'!$N$25)</f>
        <v/>
      </c>
      <c r="N44" s="59">
        <f>IF('[11]سجل المستخلصات'!$O$25="","",'[11]سجل المستخلصات'!$O$25)</f>
        <v/>
      </c>
      <c r="O44" s="59">
        <f>IF('[11]سجل المستخلصات'!$R$25="","",'[11]سجل المستخلصات'!$R$25)</f>
        <v/>
      </c>
      <c r="P44" s="59">
        <f>IF('[11]سجل المستخلصات'!$S$25="","",'[11]سجل المستخلصات'!$S$25)</f>
        <v/>
      </c>
      <c r="Q44" s="59">
        <f>IF('[11]سجل المستخلصات'!$T$25="","",'[11]سجل المستخلصات'!$T$25)</f>
        <v/>
      </c>
      <c r="R44" s="59">
        <f>IF('[11]سجل المستخلصات'!$V$25="","",'[11]سجل المستخلصات'!$V$25)</f>
        <v/>
      </c>
      <c r="S44" s="59">
        <f>IF('[11]سجل المستخلصات'!$W$25="","",'[11]سجل المستخلصات'!$W$25)</f>
        <v/>
      </c>
      <c r="T44" s="61">
        <f>IF('[11]سجل المستخلصات'!$X$25="","",'[11]سجل المستخلصات'!$X$25)</f>
        <v/>
      </c>
      <c r="U44" s="61">
        <f>IF('[11]سجل المستخلصات'!$Z$25="","",'[11]سجل المستخلصات'!$Z$25)</f>
        <v/>
      </c>
      <c r="V44" s="59">
        <f>IF('[11]سجل المستخلصات'!$AA$25="","",'[11]سجل المستخلصات'!$AA$25)</f>
        <v/>
      </c>
      <c r="W44" s="59">
        <f>IF('[11]سجل المستخلصات'!$AC$25="","",'[11]سجل المستخلصات'!$AC$25)</f>
        <v/>
      </c>
      <c r="X44" s="62">
        <f>IF('[11]سجل المستخلصات'!$AD$25="","",'[11]سجل المستخلصات'!$AD$25)</f>
        <v/>
      </c>
      <c r="Y44" s="58">
        <f>IF('[11]سجل المستخلصات'!$AE$25="","",'[11]سجل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IF('[11]سجل المستخلصات'!$B$32="","",'[11]سجل المستخلصات'!$B$32)</f>
        <v/>
      </c>
      <c r="C50" s="69" t="n"/>
      <c r="D50" s="69" t="n"/>
      <c r="E50" s="59">
        <f>N('[11]سجل المستخلصات'!$E$32)</f>
        <v/>
      </c>
      <c r="F50" s="59">
        <f>N('[11]سجل المستخلصات'!$F$32)</f>
        <v/>
      </c>
      <c r="G50" s="70">
        <f>IF(E50&gt;0,F50/E50,0)</f>
        <v/>
      </c>
    </row>
    <row r="51">
      <c r="B51" s="69">
        <f>IF('[11]سجل المستخلصات'!$B$33="","",'[11]سجل المستخلصات'!$B$33)</f>
        <v/>
      </c>
      <c r="C51" s="69" t="n"/>
      <c r="D51" s="69" t="n"/>
      <c r="E51" s="59">
        <f>N('[11]سجل المستخلصات'!$E$33)</f>
        <v/>
      </c>
      <c r="F51" s="59">
        <f>N('[11]سجل المستخلصات'!$F$33)</f>
        <v/>
      </c>
      <c r="G51" s="70">
        <f>IF(E51&gt;0,F51/E51,0)</f>
        <v/>
      </c>
    </row>
    <row r="52">
      <c r="B52" s="69">
        <f>IF('[11]سجل المستخلصات'!$B$34="","",'[11]سجل المستخلصات'!$B$34)</f>
        <v/>
      </c>
      <c r="C52" s="69" t="n"/>
      <c r="D52" s="69" t="n"/>
      <c r="E52" s="59">
        <f>N('[11]سجل المستخلصات'!$E$34)</f>
        <v/>
      </c>
      <c r="F52" s="59">
        <f>N('[11]سجل المستخلصات'!$F$34)</f>
        <v/>
      </c>
      <c r="G52" s="70">
        <f>IF(E52&gt;0,F52/E52,0)</f>
        <v/>
      </c>
    </row>
    <row r="53">
      <c r="B53" s="69">
        <f>IF('[11]سجل المستخلصات'!$B$35="","",'[11]سجل المستخلصات'!$B$35)</f>
        <v/>
      </c>
      <c r="C53" s="69" t="n"/>
      <c r="D53" s="69" t="n"/>
      <c r="E53" s="59">
        <f>N('[11]سجل المستخلصات'!$E$35)</f>
        <v/>
      </c>
      <c r="F53" s="59">
        <f>N('[11]سجل المستخلصات'!$F$35)</f>
        <v/>
      </c>
      <c r="G53" s="70">
        <f>IF(E53&gt;0,F53/E53,0)</f>
        <v/>
      </c>
    </row>
    <row r="54">
      <c r="B54" s="69">
        <f>IF('[11]سجل المستخلصات'!$B$36="","",'[11]سجل المستخلصات'!$B$36)</f>
        <v/>
      </c>
      <c r="C54" s="69" t="n"/>
      <c r="D54" s="69" t="n"/>
      <c r="E54" s="59">
        <f>N('[11]سجل المستخلصات'!$E$36)</f>
        <v/>
      </c>
      <c r="F54" s="59">
        <f>N('[11]سجل المستخلصات'!$F$36)</f>
        <v/>
      </c>
      <c r="G54" s="70">
        <f>IF(E54&gt;0,F54/E54,0)</f>
        <v/>
      </c>
    </row>
    <row r="55">
      <c r="B55" s="69">
        <f>IF('[11]سجل المستخلصات'!$B$37="","",'[11]سجل المستخلصات'!$B$37)</f>
        <v/>
      </c>
      <c r="C55" s="69" t="n"/>
      <c r="D55" s="69" t="n"/>
      <c r="E55" s="59">
        <f>N('[11]سجل المستخلصات'!$E$37)</f>
        <v/>
      </c>
      <c r="F55" s="59">
        <f>N('[11]سجل المستخلصات'!$F$37)</f>
        <v/>
      </c>
      <c r="G55" s="70">
        <f>IF(E55&gt;0,F55/E55,0)</f>
        <v/>
      </c>
    </row>
    <row r="56">
      <c r="B56" s="69">
        <f>IF('[11]سجل المستخلصات'!$B$38="","",'[11]سجل المستخلصات'!$B$38)</f>
        <v/>
      </c>
      <c r="C56" s="69" t="n"/>
      <c r="D56" s="69" t="n"/>
      <c r="E56" s="59">
        <f>N('[11]سجل المستخلصات'!$E$38)</f>
        <v/>
      </c>
      <c r="F56" s="59">
        <f>N('[11]سجل المستخلصات'!$F$38)</f>
        <v/>
      </c>
      <c r="G56" s="70">
        <f>IF(E56&gt;0,F56/E56,0)</f>
        <v/>
      </c>
    </row>
    <row r="57">
      <c r="B57" s="69">
        <f>IF('[11]سجل المستخلصات'!$B$39="","",'[11]سجل المستخلصات'!$B$39)</f>
        <v/>
      </c>
      <c r="C57" s="69" t="n"/>
      <c r="D57" s="69" t="n"/>
      <c r="E57" s="59">
        <f>N('[11]سجل المستخلصات'!$E$39)</f>
        <v/>
      </c>
      <c r="F57" s="59">
        <f>N('[11]سجل المستخلصات'!$F$39)</f>
        <v/>
      </c>
      <c r="G57" s="70">
        <f>IF(E57&gt;0,F57/E57,0)</f>
        <v/>
      </c>
    </row>
    <row r="58">
      <c r="B58" s="69">
        <f>IF('[11]سجل المستخلصات'!$B$40="","",'[11]سجل المستخلصات'!$B$40)</f>
        <v/>
      </c>
      <c r="C58" s="69" t="n"/>
      <c r="D58" s="69" t="n"/>
      <c r="E58" s="59">
        <f>N('[11]سجل المستخلصات'!$E$40)</f>
        <v/>
      </c>
      <c r="F58" s="59">
        <f>N('[11]سجل المستخلصات'!$F$40)</f>
        <v/>
      </c>
      <c r="G58" s="70">
        <f>IF(E58&gt;0,F58/E58,0)</f>
        <v/>
      </c>
    </row>
    <row r="59">
      <c r="B59" s="69">
        <f>IF('[11]سجل المستخلصات'!$B$41="","",'[11]سجل المستخلصات'!$B$41)</f>
        <v/>
      </c>
      <c r="C59" s="69" t="n"/>
      <c r="D59" s="69" t="n"/>
      <c r="E59" s="59">
        <f>N('[11]سجل المستخلصات'!$E$41)</f>
        <v/>
      </c>
      <c r="F59" s="59">
        <f>N('[11]سجل المستخلصات'!$F$41)</f>
        <v/>
      </c>
      <c r="G59" s="70">
        <f>IF(E59&gt;0,F59/E59,0)</f>
        <v/>
      </c>
    </row>
    <row r="60">
      <c r="B60" s="69">
        <f>IF('[11]سجل المستخلصات'!$B$42="","",'[11]سجل المستخلصات'!$B$42)</f>
        <v/>
      </c>
      <c r="C60" s="69" t="n"/>
      <c r="D60" s="69" t="n"/>
      <c r="E60" s="59">
        <f>N('[11]سجل المستخلصات'!$E$42)</f>
        <v/>
      </c>
      <c r="F60" s="59">
        <f>N('[11]سجل المستخلصات'!$F$42)</f>
        <v/>
      </c>
      <c r="G60" s="70">
        <f>IF(E60&gt;0,F60/E60,0)</f>
        <v/>
      </c>
    </row>
    <row r="61">
      <c r="B61" s="69">
        <f>IF('[11]سجل المستخلصات'!$B$43="","",'[11]سجل المستخلصات'!$B$43)</f>
        <v/>
      </c>
      <c r="C61" s="69" t="n"/>
      <c r="D61" s="69" t="n"/>
      <c r="E61" s="59">
        <f>N('[11]سجل المستخلصات'!$E$43)</f>
        <v/>
      </c>
      <c r="F61" s="59">
        <f>N('[11]سجل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10'!A1" display="◄ المشروع السابق"/>
    <hyperlink ref="D3" location="'مشروع 12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"&amp;IF('[12]بيانات العقد'!$C$5="","مشروع رقم 12 — غير مُفعّل",'[12]بيانات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Project_12/IPC_Project_12.xlsx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IF('[12]بيانات العقد'!$C$5="","",'[12]بيانات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IF('[12]بيانات العقد'!$C$6="","",'[12]بيانات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IF('[12]بيانات العقد'!$C$7="","",'[12]بيانات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IF('[12]بيانات العقد'!$C$8="","",'[12]بيانات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N('[12]بيانات العقد'!$C$16)</f>
        <v/>
      </c>
    </row>
    <row r="6" ht="22" customHeight="1">
      <c r="B6" s="11" t="inlineStr">
        <is>
          <t>المقاول</t>
        </is>
      </c>
      <c r="C6" s="14">
        <f>IF('[12]بيانات العقد'!$C$9="","",'[12]بيانات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IF('[12]بيانات العقد'!$C$11="","",'[12]بيانات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IF('[12]بيانات العقد'!$C$13="","",'[12]بيانات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IF('[12]بيانات العقد'!$C$14="","",'[12]بيانات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N('[12]بيانات العقد'!$C$17)</f>
        <v/>
      </c>
    </row>
    <row r="7">
      <c r="AA7" s="15" t="inlineStr">
        <is>
          <t>قيمة العقد المعدلة</t>
        </is>
      </c>
      <c r="AB7" s="16">
        <f>N('[12]بيانات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N('[12]بيانات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N('[12]بيانات العقد'!$C$21)</f>
        <v/>
      </c>
    </row>
    <row r="10">
      <c r="AA10" s="15" t="inlineStr">
        <is>
          <t>نسبة ضمان الأعمال</t>
        </is>
      </c>
      <c r="AB10" s="23">
        <f>N('[12]بيانات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N('[12]بيانات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N('[12]بيانات العقد'!$C$31)</f>
        <v/>
      </c>
    </row>
    <row r="13">
      <c r="AA13" s="15" t="inlineStr">
        <is>
          <t>ضريبة الاستقطاع (غير المقيم)</t>
        </is>
      </c>
      <c r="AB13" s="23">
        <f>N('[12]بيانات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IF('[12]بيانات العقد'!$C$11="","",'[12]بيانات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IF('[12]بيانات العقد'!$C$13="","",'[12]بيانات العقد'!$C$13)</f>
        <v/>
      </c>
    </row>
    <row r="16">
      <c r="AA16" s="15" t="inlineStr">
        <is>
          <t>المدة (شهر)</t>
        </is>
      </c>
      <c r="AB16" s="43">
        <f>IF('[12]بيانات العقد'!$C$12="","",'[12]بيانات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IF('[12]بيانات العقد'!$C$36="","",'[12]بيانات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IF('[12]بيانات العقد'!$C$37="","",'[12]بيانات العقد'!$C$37)</f>
        <v/>
      </c>
    </row>
    <row r="19">
      <c r="AA19" s="15" t="inlineStr">
        <is>
          <t>الرقم الضريبي لصاحب العمل</t>
        </is>
      </c>
      <c r="AB19" s="48">
        <f>IF('[12]بيانات العقد'!$C$39="","",'[12]بيانات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IF('[12]بيانات العقد'!$C$42="","",'[12]بيانات العقد'!$C$42)</f>
        <v/>
      </c>
    </row>
    <row r="21" ht="32" customHeight="1">
      <c r="B21" s="50">
        <f>N('[12]الموازنة والتكاليف'!$D$66)</f>
        <v/>
      </c>
      <c r="C21" s="50" t="n"/>
      <c r="D21" s="50" t="n"/>
      <c r="E21" s="50" t="n"/>
      <c r="F21" s="50">
        <f>N('[12]الموازنة والتكاليف'!$D$70)</f>
        <v/>
      </c>
      <c r="G21" s="50" t="n"/>
      <c r="H21" s="50" t="n"/>
      <c r="I21" s="50" t="n"/>
      <c r="J21" s="50">
        <f>N('[12]الموازنة والتكاليف'!$D$72)</f>
        <v/>
      </c>
      <c r="K21" s="50" t="n"/>
      <c r="L21" s="50" t="n"/>
      <c r="M21" s="50" t="n"/>
      <c r="N21" s="51">
        <f>N('[12]الموازنة والتكاليف'!$D$73)</f>
        <v/>
      </c>
      <c r="O21" s="51" t="n"/>
      <c r="P21" s="51" t="n"/>
      <c r="Q21" s="51" t="n"/>
      <c r="R21" s="52">
        <f>N('[12]الموازنة والتكاليف'!$D$74)</f>
        <v/>
      </c>
      <c r="S21" s="52" t="n"/>
      <c r="T21" s="52" t="n"/>
      <c r="U21" s="52" t="n"/>
      <c r="V21" s="50">
        <f>N('[12]الموازنة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IF('[12]بيانات العقد'!$C$43="","",'[12]بيانات العقد'!$C$43)</f>
        <v/>
      </c>
    </row>
    <row r="22">
      <c r="AA22" s="15" t="inlineStr">
        <is>
          <t>حالة غرامات التأخير</t>
        </is>
      </c>
      <c r="AB22" s="45">
        <f>IF('[12]بيانات العقد'!$C$47="","",'[12]بيانات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IF('[12]سجل المستخلصات'!$C$6="","",'[12]سجل المستخلصات'!$C$6)</f>
        <v/>
      </c>
      <c r="D25" s="57">
        <f>IF('[12]سجل المستخلصات'!$E$6="","",'[12]سجل المستخلصات'!$E$6)</f>
        <v/>
      </c>
      <c r="E25" s="58">
        <f>IF('[12]سجل المستخلصات'!$F$6="","",'[12]سجل المستخلصات'!$F$6)</f>
        <v/>
      </c>
      <c r="F25" s="59">
        <f>IF('[12]سجل المستخلصات'!$H$6="","",'[12]سجل المستخلصات'!$H$6)</f>
        <v/>
      </c>
      <c r="G25" s="59">
        <f>IF('[12]سجل المستخلصات'!$G$6="","",'[12]سجل المستخلصات'!$G$6)</f>
        <v/>
      </c>
      <c r="H25" s="59">
        <f>IF('[12]سجل المستخلصات'!$I$6="","",'[12]سجل المستخلصات'!$I$6)</f>
        <v/>
      </c>
      <c r="I25" s="59">
        <f>IF('[12]سجل المستخلصات'!$J$6="","",'[12]سجل المستخلصات'!$J$6)</f>
        <v/>
      </c>
      <c r="J25" s="59">
        <f>IF('[12]سجل المستخلصات'!$K$6="","",'[12]سجل المستخلصات'!$K$6)</f>
        <v/>
      </c>
      <c r="K25" s="60">
        <f>IF('[12]سجل المستخلصات'!$L$6="","",'[12]سجل المستخلصات'!$L$6)</f>
        <v/>
      </c>
      <c r="L25" s="60">
        <f>IF('[12]سجل المستخلصات'!$M$6="","",'[12]سجل المستخلصات'!$M$6)</f>
        <v/>
      </c>
      <c r="M25" s="60">
        <f>IF('[12]سجل المستخلصات'!$N$6="","",'[12]سجل المستخلصات'!$N$6)</f>
        <v/>
      </c>
      <c r="N25" s="59">
        <f>IF('[12]سجل المستخلصات'!$O$6="","",'[12]سجل المستخلصات'!$O$6)</f>
        <v/>
      </c>
      <c r="O25" s="59">
        <f>IF('[12]سجل المستخلصات'!$R$6="","",'[12]سجل المستخلصات'!$R$6)</f>
        <v/>
      </c>
      <c r="P25" s="59">
        <f>IF('[12]سجل المستخلصات'!$S$6="","",'[12]سجل المستخلصات'!$S$6)</f>
        <v/>
      </c>
      <c r="Q25" s="59">
        <f>IF('[12]سجل المستخلصات'!$T$6="","",'[12]سجل المستخلصات'!$T$6)</f>
        <v/>
      </c>
      <c r="R25" s="59">
        <f>IF('[12]سجل المستخلصات'!$V$6="","",'[12]سجل المستخلصات'!$V$6)</f>
        <v/>
      </c>
      <c r="S25" s="59">
        <f>IF('[12]سجل المستخلصات'!$W$6="","",'[12]سجل المستخلصات'!$W$6)</f>
        <v/>
      </c>
      <c r="T25" s="61">
        <f>IF('[12]سجل المستخلصات'!$X$6="","",'[12]سجل المستخلصات'!$X$6)</f>
        <v/>
      </c>
      <c r="U25" s="61">
        <f>IF('[12]سجل المستخلصات'!$Z$6="","",'[12]سجل المستخلصات'!$Z$6)</f>
        <v/>
      </c>
      <c r="V25" s="59">
        <f>IF('[12]سجل المستخلصات'!$AA$6="","",'[12]سجل المستخلصات'!$AA$6)</f>
        <v/>
      </c>
      <c r="W25" s="59">
        <f>IF('[12]سجل المستخلصات'!$AC$6="","",'[12]سجل المستخلصات'!$AC$6)</f>
        <v/>
      </c>
      <c r="X25" s="62">
        <f>IF('[12]سجل المستخلصات'!$AD$6="","",'[12]سجل المستخلصات'!$AD$6)</f>
        <v/>
      </c>
      <c r="Y25" s="58">
        <f>IF('[12]سجل المستخلصات'!$AE$6="","",'[12]سجل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IF('[12]سجل المستخلصات'!$C$7="","",'[12]سجل المستخلصات'!$C$7)</f>
        <v/>
      </c>
      <c r="D26" s="57">
        <f>IF('[12]سجل المستخلصات'!$E$7="","",'[12]سجل المستخلصات'!$E$7)</f>
        <v/>
      </c>
      <c r="E26" s="58">
        <f>IF('[12]سجل المستخلصات'!$F$7="","",'[12]سجل المستخلصات'!$F$7)</f>
        <v/>
      </c>
      <c r="F26" s="59">
        <f>IF('[12]سجل المستخلصات'!$H$7="","",'[12]سجل المستخلصات'!$H$7)</f>
        <v/>
      </c>
      <c r="G26" s="59">
        <f>IF('[12]سجل المستخلصات'!$G$7="","",'[12]سجل المستخلصات'!$G$7)</f>
        <v/>
      </c>
      <c r="H26" s="59">
        <f>IF('[12]سجل المستخلصات'!$I$7="","",'[12]سجل المستخلصات'!$I$7)</f>
        <v/>
      </c>
      <c r="I26" s="59">
        <f>IF('[12]سجل المستخلصات'!$J$7="","",'[12]سجل المستخلصات'!$J$7)</f>
        <v/>
      </c>
      <c r="J26" s="59">
        <f>IF('[12]سجل المستخلصات'!$K$7="","",'[12]سجل المستخلصات'!$K$7)</f>
        <v/>
      </c>
      <c r="K26" s="60">
        <f>IF('[12]سجل المستخلصات'!$L$7="","",'[12]سجل المستخلصات'!$L$7)</f>
        <v/>
      </c>
      <c r="L26" s="60">
        <f>IF('[12]سجل المستخلصات'!$M$7="","",'[12]سجل المستخلصات'!$M$7)</f>
        <v/>
      </c>
      <c r="M26" s="60">
        <f>IF('[12]سجل المستخلصات'!$N$7="","",'[12]سجل المستخلصات'!$N$7)</f>
        <v/>
      </c>
      <c r="N26" s="59">
        <f>IF('[12]سجل المستخلصات'!$O$7="","",'[12]سجل المستخلصات'!$O$7)</f>
        <v/>
      </c>
      <c r="O26" s="59">
        <f>IF('[12]سجل المستخلصات'!$R$7="","",'[12]سجل المستخلصات'!$R$7)</f>
        <v/>
      </c>
      <c r="P26" s="59">
        <f>IF('[12]سجل المستخلصات'!$S$7="","",'[12]سجل المستخلصات'!$S$7)</f>
        <v/>
      </c>
      <c r="Q26" s="59">
        <f>IF('[12]سجل المستخلصات'!$T$7="","",'[12]سجل المستخلصات'!$T$7)</f>
        <v/>
      </c>
      <c r="R26" s="59">
        <f>IF('[12]سجل المستخلصات'!$V$7="","",'[12]سجل المستخلصات'!$V$7)</f>
        <v/>
      </c>
      <c r="S26" s="59">
        <f>IF('[12]سجل المستخلصات'!$W$7="","",'[12]سجل المستخلصات'!$W$7)</f>
        <v/>
      </c>
      <c r="T26" s="61">
        <f>IF('[12]سجل المستخلصات'!$X$7="","",'[12]سجل المستخلصات'!$X$7)</f>
        <v/>
      </c>
      <c r="U26" s="61">
        <f>IF('[12]سجل المستخلصات'!$Z$7="","",'[12]سجل المستخلصات'!$Z$7)</f>
        <v/>
      </c>
      <c r="V26" s="59">
        <f>IF('[12]سجل المستخلصات'!$AA$7="","",'[12]سجل المستخلصات'!$AA$7)</f>
        <v/>
      </c>
      <c r="W26" s="59">
        <f>IF('[12]سجل المستخلصات'!$AC$7="","",'[12]سجل المستخلصات'!$AC$7)</f>
        <v/>
      </c>
      <c r="X26" s="62">
        <f>IF('[12]سجل المستخلصات'!$AD$7="","",'[12]سجل المستخلصات'!$AD$7)</f>
        <v/>
      </c>
      <c r="Y26" s="58">
        <f>IF('[12]سجل المستخلصات'!$AE$7="","",'[12]سجل المستخلصات'!$AE$7)</f>
        <v/>
      </c>
      <c r="AA26" s="63" t="n"/>
      <c r="AB26" s="63" t="n"/>
    </row>
    <row r="27">
      <c r="B27" s="56" t="n">
        <v>3</v>
      </c>
      <c r="C27" s="57">
        <f>IF('[12]سجل المستخلصات'!$C$8="","",'[12]سجل المستخلصات'!$C$8)</f>
        <v/>
      </c>
      <c r="D27" s="57">
        <f>IF('[12]سجل المستخلصات'!$E$8="","",'[12]سجل المستخلصات'!$E$8)</f>
        <v/>
      </c>
      <c r="E27" s="58">
        <f>IF('[12]سجل المستخلصات'!$F$8="","",'[12]سجل المستخلصات'!$F$8)</f>
        <v/>
      </c>
      <c r="F27" s="59">
        <f>IF('[12]سجل المستخلصات'!$H$8="","",'[12]سجل المستخلصات'!$H$8)</f>
        <v/>
      </c>
      <c r="G27" s="59">
        <f>IF('[12]سجل المستخلصات'!$G$8="","",'[12]سجل المستخلصات'!$G$8)</f>
        <v/>
      </c>
      <c r="H27" s="59">
        <f>IF('[12]سجل المستخلصات'!$I$8="","",'[12]سجل المستخلصات'!$I$8)</f>
        <v/>
      </c>
      <c r="I27" s="59">
        <f>IF('[12]سجل المستخلصات'!$J$8="","",'[12]سجل المستخلصات'!$J$8)</f>
        <v/>
      </c>
      <c r="J27" s="59">
        <f>IF('[12]سجل المستخلصات'!$K$8="","",'[12]سجل المستخلصات'!$K$8)</f>
        <v/>
      </c>
      <c r="K27" s="60">
        <f>IF('[12]سجل المستخلصات'!$L$8="","",'[12]سجل المستخلصات'!$L$8)</f>
        <v/>
      </c>
      <c r="L27" s="60">
        <f>IF('[12]سجل المستخلصات'!$M$8="","",'[12]سجل المستخلصات'!$M$8)</f>
        <v/>
      </c>
      <c r="M27" s="60">
        <f>IF('[12]سجل المستخلصات'!$N$8="","",'[12]سجل المستخلصات'!$N$8)</f>
        <v/>
      </c>
      <c r="N27" s="59">
        <f>IF('[12]سجل المستخلصات'!$O$8="","",'[12]سجل المستخلصات'!$O$8)</f>
        <v/>
      </c>
      <c r="O27" s="59">
        <f>IF('[12]سجل المستخلصات'!$R$8="","",'[12]سجل المستخلصات'!$R$8)</f>
        <v/>
      </c>
      <c r="P27" s="59">
        <f>IF('[12]سجل المستخلصات'!$S$8="","",'[12]سجل المستخلصات'!$S$8)</f>
        <v/>
      </c>
      <c r="Q27" s="59">
        <f>IF('[12]سجل المستخلصات'!$T$8="","",'[12]سجل المستخلصات'!$T$8)</f>
        <v/>
      </c>
      <c r="R27" s="59">
        <f>IF('[12]سجل المستخلصات'!$V$8="","",'[12]سجل المستخلصات'!$V$8)</f>
        <v/>
      </c>
      <c r="S27" s="59">
        <f>IF('[12]سجل المستخلصات'!$W$8="","",'[12]سجل المستخلصات'!$W$8)</f>
        <v/>
      </c>
      <c r="T27" s="61">
        <f>IF('[12]سجل المستخلصات'!$X$8="","",'[12]سجل المستخلصات'!$X$8)</f>
        <v/>
      </c>
      <c r="U27" s="61">
        <f>IF('[12]سجل المستخلصات'!$Z$8="","",'[12]سجل المستخلصات'!$Z$8)</f>
        <v/>
      </c>
      <c r="V27" s="59">
        <f>IF('[12]سجل المستخلصات'!$AA$8="","",'[12]سجل المستخلصات'!$AA$8)</f>
        <v/>
      </c>
      <c r="W27" s="59">
        <f>IF('[12]سجل المستخلصات'!$AC$8="","",'[12]سجل المستخلصات'!$AC$8)</f>
        <v/>
      </c>
      <c r="X27" s="62">
        <f>IF('[12]سجل المستخلصات'!$AD$8="","",'[12]سجل المستخلصات'!$AD$8)</f>
        <v/>
      </c>
      <c r="Y27" s="58">
        <f>IF('[12]سجل المستخلصات'!$AE$8="","",'[12]سجل المستخلصات'!$AE$8)</f>
        <v/>
      </c>
      <c r="AA27" s="63" t="n"/>
      <c r="AB27" s="63" t="n"/>
    </row>
    <row r="28">
      <c r="B28" s="56" t="n">
        <v>4</v>
      </c>
      <c r="C28" s="57">
        <f>IF('[12]سجل المستخلصات'!$C$9="","",'[12]سجل المستخلصات'!$C$9)</f>
        <v/>
      </c>
      <c r="D28" s="57">
        <f>IF('[12]سجل المستخلصات'!$E$9="","",'[12]سجل المستخلصات'!$E$9)</f>
        <v/>
      </c>
      <c r="E28" s="58">
        <f>IF('[12]سجل المستخلصات'!$F$9="","",'[12]سجل المستخلصات'!$F$9)</f>
        <v/>
      </c>
      <c r="F28" s="59">
        <f>IF('[12]سجل المستخلصات'!$H$9="","",'[12]سجل المستخلصات'!$H$9)</f>
        <v/>
      </c>
      <c r="G28" s="59">
        <f>IF('[12]سجل المستخلصات'!$G$9="","",'[12]سجل المستخلصات'!$G$9)</f>
        <v/>
      </c>
      <c r="H28" s="59">
        <f>IF('[12]سجل المستخلصات'!$I$9="","",'[12]سجل المستخلصات'!$I$9)</f>
        <v/>
      </c>
      <c r="I28" s="59">
        <f>IF('[12]سجل المستخلصات'!$J$9="","",'[12]سجل المستخلصات'!$J$9)</f>
        <v/>
      </c>
      <c r="J28" s="59">
        <f>IF('[12]سجل المستخلصات'!$K$9="","",'[12]سجل المستخلصات'!$K$9)</f>
        <v/>
      </c>
      <c r="K28" s="60">
        <f>IF('[12]سجل المستخلصات'!$L$9="","",'[12]سجل المستخلصات'!$L$9)</f>
        <v/>
      </c>
      <c r="L28" s="60">
        <f>IF('[12]سجل المستخلصات'!$M$9="","",'[12]سجل المستخلصات'!$M$9)</f>
        <v/>
      </c>
      <c r="M28" s="60">
        <f>IF('[12]سجل المستخلصات'!$N$9="","",'[12]سجل المستخلصات'!$N$9)</f>
        <v/>
      </c>
      <c r="N28" s="59">
        <f>IF('[12]سجل المستخلصات'!$O$9="","",'[12]سجل المستخلصات'!$O$9)</f>
        <v/>
      </c>
      <c r="O28" s="59">
        <f>IF('[12]سجل المستخلصات'!$R$9="","",'[12]سجل المستخلصات'!$R$9)</f>
        <v/>
      </c>
      <c r="P28" s="59">
        <f>IF('[12]سجل المستخلصات'!$S$9="","",'[12]سجل المستخلصات'!$S$9)</f>
        <v/>
      </c>
      <c r="Q28" s="59">
        <f>IF('[12]سجل المستخلصات'!$T$9="","",'[12]سجل المستخلصات'!$T$9)</f>
        <v/>
      </c>
      <c r="R28" s="59">
        <f>IF('[12]سجل المستخلصات'!$V$9="","",'[12]سجل المستخلصات'!$V$9)</f>
        <v/>
      </c>
      <c r="S28" s="59">
        <f>IF('[12]سجل المستخلصات'!$W$9="","",'[12]سجل المستخلصات'!$W$9)</f>
        <v/>
      </c>
      <c r="T28" s="61">
        <f>IF('[12]سجل المستخلصات'!$X$9="","",'[12]سجل المستخلصات'!$X$9)</f>
        <v/>
      </c>
      <c r="U28" s="61">
        <f>IF('[12]سجل المستخلصات'!$Z$9="","",'[12]سجل المستخلصات'!$Z$9)</f>
        <v/>
      </c>
      <c r="V28" s="59">
        <f>IF('[12]سجل المستخلصات'!$AA$9="","",'[12]سجل المستخلصات'!$AA$9)</f>
        <v/>
      </c>
      <c r="W28" s="59">
        <f>IF('[12]سجل المستخلصات'!$AC$9="","",'[12]سجل المستخلصات'!$AC$9)</f>
        <v/>
      </c>
      <c r="X28" s="62">
        <f>IF('[12]سجل المستخلصات'!$AD$9="","",'[12]سجل المستخلصات'!$AD$9)</f>
        <v/>
      </c>
      <c r="Y28" s="58">
        <f>IF('[12]سجل المستخلصات'!$AE$9="","",'[12]سجل المستخلصات'!$AE$9)</f>
        <v/>
      </c>
      <c r="AA28" s="63" t="n"/>
      <c r="AB28" s="63" t="n"/>
    </row>
    <row r="29">
      <c r="B29" s="56" t="n">
        <v>5</v>
      </c>
      <c r="C29" s="57">
        <f>IF('[12]سجل المستخلصات'!$C$10="","",'[12]سجل المستخلصات'!$C$10)</f>
        <v/>
      </c>
      <c r="D29" s="57">
        <f>IF('[12]سجل المستخلصات'!$E$10="","",'[12]سجل المستخلصات'!$E$10)</f>
        <v/>
      </c>
      <c r="E29" s="58">
        <f>IF('[12]سجل المستخلصات'!$F$10="","",'[12]سجل المستخلصات'!$F$10)</f>
        <v/>
      </c>
      <c r="F29" s="59">
        <f>IF('[12]سجل المستخلصات'!$H$10="","",'[12]سجل المستخلصات'!$H$10)</f>
        <v/>
      </c>
      <c r="G29" s="59">
        <f>IF('[12]سجل المستخلصات'!$G$10="","",'[12]سجل المستخلصات'!$G$10)</f>
        <v/>
      </c>
      <c r="H29" s="59">
        <f>IF('[12]سجل المستخلصات'!$I$10="","",'[12]سجل المستخلصات'!$I$10)</f>
        <v/>
      </c>
      <c r="I29" s="59">
        <f>IF('[12]سجل المستخلصات'!$J$10="","",'[12]سجل المستخلصات'!$J$10)</f>
        <v/>
      </c>
      <c r="J29" s="59">
        <f>IF('[12]سجل المستخلصات'!$K$10="","",'[12]سجل المستخلصات'!$K$10)</f>
        <v/>
      </c>
      <c r="K29" s="60">
        <f>IF('[12]سجل المستخلصات'!$L$10="","",'[12]سجل المستخلصات'!$L$10)</f>
        <v/>
      </c>
      <c r="L29" s="60">
        <f>IF('[12]سجل المستخلصات'!$M$10="","",'[12]سجل المستخلصات'!$M$10)</f>
        <v/>
      </c>
      <c r="M29" s="60">
        <f>IF('[12]سجل المستخلصات'!$N$10="","",'[12]سجل المستخلصات'!$N$10)</f>
        <v/>
      </c>
      <c r="N29" s="59">
        <f>IF('[12]سجل المستخلصات'!$O$10="","",'[12]سجل المستخلصات'!$O$10)</f>
        <v/>
      </c>
      <c r="O29" s="59">
        <f>IF('[12]سجل المستخلصات'!$R$10="","",'[12]سجل المستخلصات'!$R$10)</f>
        <v/>
      </c>
      <c r="P29" s="59">
        <f>IF('[12]سجل المستخلصات'!$S$10="","",'[12]سجل المستخلصات'!$S$10)</f>
        <v/>
      </c>
      <c r="Q29" s="59">
        <f>IF('[12]سجل المستخلصات'!$T$10="","",'[12]سجل المستخلصات'!$T$10)</f>
        <v/>
      </c>
      <c r="R29" s="59">
        <f>IF('[12]سجل المستخلصات'!$V$10="","",'[12]سجل المستخلصات'!$V$10)</f>
        <v/>
      </c>
      <c r="S29" s="59">
        <f>IF('[12]سجل المستخلصات'!$W$10="","",'[12]سجل المستخلصات'!$W$10)</f>
        <v/>
      </c>
      <c r="T29" s="61">
        <f>IF('[12]سجل المستخلصات'!$X$10="","",'[12]سجل المستخلصات'!$X$10)</f>
        <v/>
      </c>
      <c r="U29" s="61">
        <f>IF('[12]سجل المستخلصات'!$Z$10="","",'[12]سجل المستخلصات'!$Z$10)</f>
        <v/>
      </c>
      <c r="V29" s="59">
        <f>IF('[12]سجل المستخلصات'!$AA$10="","",'[12]سجل المستخلصات'!$AA$10)</f>
        <v/>
      </c>
      <c r="W29" s="59">
        <f>IF('[12]سجل المستخلصات'!$AC$10="","",'[12]سجل المستخلصات'!$AC$10)</f>
        <v/>
      </c>
      <c r="X29" s="62">
        <f>IF('[12]سجل المستخلصات'!$AD$10="","",'[12]سجل المستخلصات'!$AD$10)</f>
        <v/>
      </c>
      <c r="Y29" s="58">
        <f>IF('[12]سجل المستخلصات'!$AE$10="","",'[12]سجل المستخلصات'!$AE$10)</f>
        <v/>
      </c>
    </row>
    <row r="30">
      <c r="B30" s="56" t="n">
        <v>6</v>
      </c>
      <c r="C30" s="57">
        <f>IF('[12]سجل المستخلصات'!$C$11="","",'[12]سجل المستخلصات'!$C$11)</f>
        <v/>
      </c>
      <c r="D30" s="57">
        <f>IF('[12]سجل المستخلصات'!$E$11="","",'[12]سجل المستخلصات'!$E$11)</f>
        <v/>
      </c>
      <c r="E30" s="58">
        <f>IF('[12]سجل المستخلصات'!$F$11="","",'[12]سجل المستخلصات'!$F$11)</f>
        <v/>
      </c>
      <c r="F30" s="59">
        <f>IF('[12]سجل المستخلصات'!$H$11="","",'[12]سجل المستخلصات'!$H$11)</f>
        <v/>
      </c>
      <c r="G30" s="59">
        <f>IF('[12]سجل المستخلصات'!$G$11="","",'[12]سجل المستخلصات'!$G$11)</f>
        <v/>
      </c>
      <c r="H30" s="59">
        <f>IF('[12]سجل المستخلصات'!$I$11="","",'[12]سجل المستخلصات'!$I$11)</f>
        <v/>
      </c>
      <c r="I30" s="59">
        <f>IF('[12]سجل المستخلصات'!$J$11="","",'[12]سجل المستخلصات'!$J$11)</f>
        <v/>
      </c>
      <c r="J30" s="59">
        <f>IF('[12]سجل المستخلصات'!$K$11="","",'[12]سجل المستخلصات'!$K$11)</f>
        <v/>
      </c>
      <c r="K30" s="60">
        <f>IF('[12]سجل المستخلصات'!$L$11="","",'[12]سجل المستخلصات'!$L$11)</f>
        <v/>
      </c>
      <c r="L30" s="60">
        <f>IF('[12]سجل المستخلصات'!$M$11="","",'[12]سجل المستخلصات'!$M$11)</f>
        <v/>
      </c>
      <c r="M30" s="60">
        <f>IF('[12]سجل المستخلصات'!$N$11="","",'[12]سجل المستخلصات'!$N$11)</f>
        <v/>
      </c>
      <c r="N30" s="59">
        <f>IF('[12]سجل المستخلصات'!$O$11="","",'[12]سجل المستخلصات'!$O$11)</f>
        <v/>
      </c>
      <c r="O30" s="59">
        <f>IF('[12]سجل المستخلصات'!$R$11="","",'[12]سجل المستخلصات'!$R$11)</f>
        <v/>
      </c>
      <c r="P30" s="59">
        <f>IF('[12]سجل المستخلصات'!$S$11="","",'[12]سجل المستخلصات'!$S$11)</f>
        <v/>
      </c>
      <c r="Q30" s="59">
        <f>IF('[12]سجل المستخلصات'!$T$11="","",'[12]سجل المستخلصات'!$T$11)</f>
        <v/>
      </c>
      <c r="R30" s="59">
        <f>IF('[12]سجل المستخلصات'!$V$11="","",'[12]سجل المستخلصات'!$V$11)</f>
        <v/>
      </c>
      <c r="S30" s="59">
        <f>IF('[12]سجل المستخلصات'!$W$11="","",'[12]سجل المستخلصات'!$W$11)</f>
        <v/>
      </c>
      <c r="T30" s="61">
        <f>IF('[12]سجل المستخلصات'!$X$11="","",'[12]سجل المستخلصات'!$X$11)</f>
        <v/>
      </c>
      <c r="U30" s="61">
        <f>IF('[12]سجل المستخلصات'!$Z$11="","",'[12]سجل المستخلصات'!$Z$11)</f>
        <v/>
      </c>
      <c r="V30" s="59">
        <f>IF('[12]سجل المستخلصات'!$AA$11="","",'[12]سجل المستخلصات'!$AA$11)</f>
        <v/>
      </c>
      <c r="W30" s="59">
        <f>IF('[12]سجل المستخلصات'!$AC$11="","",'[12]سجل المستخلصات'!$AC$11)</f>
        <v/>
      </c>
      <c r="X30" s="62">
        <f>IF('[12]سجل المستخلصات'!$AD$11="","",'[12]سجل المستخلصات'!$AD$11)</f>
        <v/>
      </c>
      <c r="Y30" s="58">
        <f>IF('[12]سجل المستخلصات'!$AE$11="","",'[12]سجل المستخلصات'!$AE$11)</f>
        <v/>
      </c>
    </row>
    <row r="31">
      <c r="B31" s="56" t="n">
        <v>7</v>
      </c>
      <c r="C31" s="57">
        <f>IF('[12]سجل المستخلصات'!$C$12="","",'[12]سجل المستخلصات'!$C$12)</f>
        <v/>
      </c>
      <c r="D31" s="57">
        <f>IF('[12]سجل المستخلصات'!$E$12="","",'[12]سجل المستخلصات'!$E$12)</f>
        <v/>
      </c>
      <c r="E31" s="58">
        <f>IF('[12]سجل المستخلصات'!$F$12="","",'[12]سجل المستخلصات'!$F$12)</f>
        <v/>
      </c>
      <c r="F31" s="59">
        <f>IF('[12]سجل المستخلصات'!$H$12="","",'[12]سجل المستخلصات'!$H$12)</f>
        <v/>
      </c>
      <c r="G31" s="59">
        <f>IF('[12]سجل المستخلصات'!$G$12="","",'[12]سجل المستخلصات'!$G$12)</f>
        <v/>
      </c>
      <c r="H31" s="59">
        <f>IF('[12]سجل المستخلصات'!$I$12="","",'[12]سجل المستخلصات'!$I$12)</f>
        <v/>
      </c>
      <c r="I31" s="59">
        <f>IF('[12]سجل المستخلصات'!$J$12="","",'[12]سجل المستخلصات'!$J$12)</f>
        <v/>
      </c>
      <c r="J31" s="59">
        <f>IF('[12]سجل المستخلصات'!$K$12="","",'[12]سجل المستخلصات'!$K$12)</f>
        <v/>
      </c>
      <c r="K31" s="60">
        <f>IF('[12]سجل المستخلصات'!$L$12="","",'[12]سجل المستخلصات'!$L$12)</f>
        <v/>
      </c>
      <c r="L31" s="60">
        <f>IF('[12]سجل المستخلصات'!$M$12="","",'[12]سجل المستخلصات'!$M$12)</f>
        <v/>
      </c>
      <c r="M31" s="60">
        <f>IF('[12]سجل المستخلصات'!$N$12="","",'[12]سجل المستخلصات'!$N$12)</f>
        <v/>
      </c>
      <c r="N31" s="59">
        <f>IF('[12]سجل المستخلصات'!$O$12="","",'[12]سجل المستخلصات'!$O$12)</f>
        <v/>
      </c>
      <c r="O31" s="59">
        <f>IF('[12]سجل المستخلصات'!$R$12="","",'[12]سجل المستخلصات'!$R$12)</f>
        <v/>
      </c>
      <c r="P31" s="59">
        <f>IF('[12]سجل المستخلصات'!$S$12="","",'[12]سجل المستخلصات'!$S$12)</f>
        <v/>
      </c>
      <c r="Q31" s="59">
        <f>IF('[12]سجل المستخلصات'!$T$12="","",'[12]سجل المستخلصات'!$T$12)</f>
        <v/>
      </c>
      <c r="R31" s="59">
        <f>IF('[12]سجل المستخلصات'!$V$12="","",'[12]سجل المستخلصات'!$V$12)</f>
        <v/>
      </c>
      <c r="S31" s="59">
        <f>IF('[12]سجل المستخلصات'!$W$12="","",'[12]سجل المستخلصات'!$W$12)</f>
        <v/>
      </c>
      <c r="T31" s="61">
        <f>IF('[12]سجل المستخلصات'!$X$12="","",'[12]سجل المستخلصات'!$X$12)</f>
        <v/>
      </c>
      <c r="U31" s="61">
        <f>IF('[12]سجل المستخلصات'!$Z$12="","",'[12]سجل المستخلصات'!$Z$12)</f>
        <v/>
      </c>
      <c r="V31" s="59">
        <f>IF('[12]سجل المستخلصات'!$AA$12="","",'[12]سجل المستخلصات'!$AA$12)</f>
        <v/>
      </c>
      <c r="W31" s="59">
        <f>IF('[12]سجل المستخلصات'!$AC$12="","",'[12]سجل المستخلصات'!$AC$12)</f>
        <v/>
      </c>
      <c r="X31" s="62">
        <f>IF('[12]سجل المستخلصات'!$AD$12="","",'[12]سجل المستخلصات'!$AD$12)</f>
        <v/>
      </c>
      <c r="Y31" s="58">
        <f>IF('[12]سجل المستخلصات'!$AE$12="","",'[12]سجل المستخلصات'!$AE$12)</f>
        <v/>
      </c>
    </row>
    <row r="32">
      <c r="B32" s="56" t="n">
        <v>8</v>
      </c>
      <c r="C32" s="57">
        <f>IF('[12]سجل المستخلصات'!$C$13="","",'[12]سجل المستخلصات'!$C$13)</f>
        <v/>
      </c>
      <c r="D32" s="57">
        <f>IF('[12]سجل المستخلصات'!$E$13="","",'[12]سجل المستخلصات'!$E$13)</f>
        <v/>
      </c>
      <c r="E32" s="58">
        <f>IF('[12]سجل المستخلصات'!$F$13="","",'[12]سجل المستخلصات'!$F$13)</f>
        <v/>
      </c>
      <c r="F32" s="59">
        <f>IF('[12]سجل المستخلصات'!$H$13="","",'[12]سجل المستخلصات'!$H$13)</f>
        <v/>
      </c>
      <c r="G32" s="59">
        <f>IF('[12]سجل المستخلصات'!$G$13="","",'[12]سجل المستخلصات'!$G$13)</f>
        <v/>
      </c>
      <c r="H32" s="59">
        <f>IF('[12]سجل المستخلصات'!$I$13="","",'[12]سجل المستخلصات'!$I$13)</f>
        <v/>
      </c>
      <c r="I32" s="59">
        <f>IF('[12]سجل المستخلصات'!$J$13="","",'[12]سجل المستخلصات'!$J$13)</f>
        <v/>
      </c>
      <c r="J32" s="59">
        <f>IF('[12]سجل المستخلصات'!$K$13="","",'[12]سجل المستخلصات'!$K$13)</f>
        <v/>
      </c>
      <c r="K32" s="60">
        <f>IF('[12]سجل المستخلصات'!$L$13="","",'[12]سجل المستخلصات'!$L$13)</f>
        <v/>
      </c>
      <c r="L32" s="60">
        <f>IF('[12]سجل المستخلصات'!$M$13="","",'[12]سجل المستخلصات'!$M$13)</f>
        <v/>
      </c>
      <c r="M32" s="60">
        <f>IF('[12]سجل المستخلصات'!$N$13="","",'[12]سجل المستخلصات'!$N$13)</f>
        <v/>
      </c>
      <c r="N32" s="59">
        <f>IF('[12]سجل المستخلصات'!$O$13="","",'[12]سجل المستخلصات'!$O$13)</f>
        <v/>
      </c>
      <c r="O32" s="59">
        <f>IF('[12]سجل المستخلصات'!$R$13="","",'[12]سجل المستخلصات'!$R$13)</f>
        <v/>
      </c>
      <c r="P32" s="59">
        <f>IF('[12]سجل المستخلصات'!$S$13="","",'[12]سجل المستخلصات'!$S$13)</f>
        <v/>
      </c>
      <c r="Q32" s="59">
        <f>IF('[12]سجل المستخلصات'!$T$13="","",'[12]سجل المستخلصات'!$T$13)</f>
        <v/>
      </c>
      <c r="R32" s="59">
        <f>IF('[12]سجل المستخلصات'!$V$13="","",'[12]سجل المستخلصات'!$V$13)</f>
        <v/>
      </c>
      <c r="S32" s="59">
        <f>IF('[12]سجل المستخلصات'!$W$13="","",'[12]سجل المستخلصات'!$W$13)</f>
        <v/>
      </c>
      <c r="T32" s="61">
        <f>IF('[12]سجل المستخلصات'!$X$13="","",'[12]سجل المستخلصات'!$X$13)</f>
        <v/>
      </c>
      <c r="U32" s="61">
        <f>IF('[12]سجل المستخلصات'!$Z$13="","",'[12]سجل المستخلصات'!$Z$13)</f>
        <v/>
      </c>
      <c r="V32" s="59">
        <f>IF('[12]سجل المستخلصات'!$AA$13="","",'[12]سجل المستخلصات'!$AA$13)</f>
        <v/>
      </c>
      <c r="W32" s="59">
        <f>IF('[12]سجل المستخلصات'!$AC$13="","",'[12]سجل المستخلصات'!$AC$13)</f>
        <v/>
      </c>
      <c r="X32" s="62">
        <f>IF('[12]سجل المستخلصات'!$AD$13="","",'[12]سجل المستخلصات'!$AD$13)</f>
        <v/>
      </c>
      <c r="Y32" s="58">
        <f>IF('[12]سجل المستخلصات'!$AE$13="","",'[12]سجل المستخلصات'!$AE$13)</f>
        <v/>
      </c>
    </row>
    <row r="33">
      <c r="B33" s="56" t="n">
        <v>9</v>
      </c>
      <c r="C33" s="57">
        <f>IF('[12]سجل المستخلصات'!$C$14="","",'[12]سجل المستخلصات'!$C$14)</f>
        <v/>
      </c>
      <c r="D33" s="57">
        <f>IF('[12]سجل المستخلصات'!$E$14="","",'[12]سجل المستخلصات'!$E$14)</f>
        <v/>
      </c>
      <c r="E33" s="58">
        <f>IF('[12]سجل المستخلصات'!$F$14="","",'[12]سجل المستخلصات'!$F$14)</f>
        <v/>
      </c>
      <c r="F33" s="59">
        <f>IF('[12]سجل المستخلصات'!$H$14="","",'[12]سجل المستخلصات'!$H$14)</f>
        <v/>
      </c>
      <c r="G33" s="59">
        <f>IF('[12]سجل المستخلصات'!$G$14="","",'[12]سجل المستخلصات'!$G$14)</f>
        <v/>
      </c>
      <c r="H33" s="59">
        <f>IF('[12]سجل المستخلصات'!$I$14="","",'[12]سجل المستخلصات'!$I$14)</f>
        <v/>
      </c>
      <c r="I33" s="59">
        <f>IF('[12]سجل المستخلصات'!$J$14="","",'[12]سجل المستخلصات'!$J$14)</f>
        <v/>
      </c>
      <c r="J33" s="59">
        <f>IF('[12]سجل المستخلصات'!$K$14="","",'[12]سجل المستخلصات'!$K$14)</f>
        <v/>
      </c>
      <c r="K33" s="60">
        <f>IF('[12]سجل المستخلصات'!$L$14="","",'[12]سجل المستخلصات'!$L$14)</f>
        <v/>
      </c>
      <c r="L33" s="60">
        <f>IF('[12]سجل المستخلصات'!$M$14="","",'[12]سجل المستخلصات'!$M$14)</f>
        <v/>
      </c>
      <c r="M33" s="60">
        <f>IF('[12]سجل المستخلصات'!$N$14="","",'[12]سجل المستخلصات'!$N$14)</f>
        <v/>
      </c>
      <c r="N33" s="59">
        <f>IF('[12]سجل المستخلصات'!$O$14="","",'[12]سجل المستخلصات'!$O$14)</f>
        <v/>
      </c>
      <c r="O33" s="59">
        <f>IF('[12]سجل المستخلصات'!$R$14="","",'[12]سجل المستخلصات'!$R$14)</f>
        <v/>
      </c>
      <c r="P33" s="59">
        <f>IF('[12]سجل المستخلصات'!$S$14="","",'[12]سجل المستخلصات'!$S$14)</f>
        <v/>
      </c>
      <c r="Q33" s="59">
        <f>IF('[12]سجل المستخلصات'!$T$14="","",'[12]سجل المستخلصات'!$T$14)</f>
        <v/>
      </c>
      <c r="R33" s="59">
        <f>IF('[12]سجل المستخلصات'!$V$14="","",'[12]سجل المستخلصات'!$V$14)</f>
        <v/>
      </c>
      <c r="S33" s="59">
        <f>IF('[12]سجل المستخلصات'!$W$14="","",'[12]سجل المستخلصات'!$W$14)</f>
        <v/>
      </c>
      <c r="T33" s="61">
        <f>IF('[12]سجل المستخلصات'!$X$14="","",'[12]سجل المستخلصات'!$X$14)</f>
        <v/>
      </c>
      <c r="U33" s="61">
        <f>IF('[12]سجل المستخلصات'!$Z$14="","",'[12]سجل المستخلصات'!$Z$14)</f>
        <v/>
      </c>
      <c r="V33" s="59">
        <f>IF('[12]سجل المستخلصات'!$AA$14="","",'[12]سجل المستخلصات'!$AA$14)</f>
        <v/>
      </c>
      <c r="W33" s="59">
        <f>IF('[12]سجل المستخلصات'!$AC$14="","",'[12]سجل المستخلصات'!$AC$14)</f>
        <v/>
      </c>
      <c r="X33" s="62">
        <f>IF('[12]سجل المستخلصات'!$AD$14="","",'[12]سجل المستخلصات'!$AD$14)</f>
        <v/>
      </c>
      <c r="Y33" s="58">
        <f>IF('[12]سجل المستخلصات'!$AE$14="","",'[12]سجل المستخلصات'!$AE$14)</f>
        <v/>
      </c>
    </row>
    <row r="34">
      <c r="B34" s="56" t="n">
        <v>10</v>
      </c>
      <c r="C34" s="57">
        <f>IF('[12]سجل المستخلصات'!$C$15="","",'[12]سجل المستخلصات'!$C$15)</f>
        <v/>
      </c>
      <c r="D34" s="57">
        <f>IF('[12]سجل المستخلصات'!$E$15="","",'[12]سجل المستخلصات'!$E$15)</f>
        <v/>
      </c>
      <c r="E34" s="58">
        <f>IF('[12]سجل المستخلصات'!$F$15="","",'[12]سجل المستخلصات'!$F$15)</f>
        <v/>
      </c>
      <c r="F34" s="59">
        <f>IF('[12]سجل المستخلصات'!$H$15="","",'[12]سجل المستخلصات'!$H$15)</f>
        <v/>
      </c>
      <c r="G34" s="59">
        <f>IF('[12]سجل المستخلصات'!$G$15="","",'[12]سجل المستخلصات'!$G$15)</f>
        <v/>
      </c>
      <c r="H34" s="59">
        <f>IF('[12]سجل المستخلصات'!$I$15="","",'[12]سجل المستخلصات'!$I$15)</f>
        <v/>
      </c>
      <c r="I34" s="59">
        <f>IF('[12]سجل المستخلصات'!$J$15="","",'[12]سجل المستخلصات'!$J$15)</f>
        <v/>
      </c>
      <c r="J34" s="59">
        <f>IF('[12]سجل المستخلصات'!$K$15="","",'[12]سجل المستخلصات'!$K$15)</f>
        <v/>
      </c>
      <c r="K34" s="60">
        <f>IF('[12]سجل المستخلصات'!$L$15="","",'[12]سجل المستخلصات'!$L$15)</f>
        <v/>
      </c>
      <c r="L34" s="60">
        <f>IF('[12]سجل المستخلصات'!$M$15="","",'[12]سجل المستخلصات'!$M$15)</f>
        <v/>
      </c>
      <c r="M34" s="60">
        <f>IF('[12]سجل المستخلصات'!$N$15="","",'[12]سجل المستخلصات'!$N$15)</f>
        <v/>
      </c>
      <c r="N34" s="59">
        <f>IF('[12]سجل المستخلصات'!$O$15="","",'[12]سجل المستخلصات'!$O$15)</f>
        <v/>
      </c>
      <c r="O34" s="59">
        <f>IF('[12]سجل المستخلصات'!$R$15="","",'[12]سجل المستخلصات'!$R$15)</f>
        <v/>
      </c>
      <c r="P34" s="59">
        <f>IF('[12]سجل المستخلصات'!$S$15="","",'[12]سجل المستخلصات'!$S$15)</f>
        <v/>
      </c>
      <c r="Q34" s="59">
        <f>IF('[12]سجل المستخلصات'!$T$15="","",'[12]سجل المستخلصات'!$T$15)</f>
        <v/>
      </c>
      <c r="R34" s="59">
        <f>IF('[12]سجل المستخلصات'!$V$15="","",'[12]سجل المستخلصات'!$V$15)</f>
        <v/>
      </c>
      <c r="S34" s="59">
        <f>IF('[12]سجل المستخلصات'!$W$15="","",'[12]سجل المستخلصات'!$W$15)</f>
        <v/>
      </c>
      <c r="T34" s="61">
        <f>IF('[12]سجل المستخلصات'!$X$15="","",'[12]سجل المستخلصات'!$X$15)</f>
        <v/>
      </c>
      <c r="U34" s="61">
        <f>IF('[12]سجل المستخلصات'!$Z$15="","",'[12]سجل المستخلصات'!$Z$15)</f>
        <v/>
      </c>
      <c r="V34" s="59">
        <f>IF('[12]سجل المستخلصات'!$AA$15="","",'[12]سجل المستخلصات'!$AA$15)</f>
        <v/>
      </c>
      <c r="W34" s="59">
        <f>IF('[12]سجل المستخلصات'!$AC$15="","",'[12]سجل المستخلصات'!$AC$15)</f>
        <v/>
      </c>
      <c r="X34" s="62">
        <f>IF('[12]سجل المستخلصات'!$AD$15="","",'[12]سجل المستخلصات'!$AD$15)</f>
        <v/>
      </c>
      <c r="Y34" s="58">
        <f>IF('[12]سجل المستخلصات'!$AE$15="","",'[12]سجل المستخلصات'!$AE$15)</f>
        <v/>
      </c>
    </row>
    <row r="35">
      <c r="B35" s="56" t="n">
        <v>11</v>
      </c>
      <c r="C35" s="57">
        <f>IF('[12]سجل المستخلصات'!$C$16="","",'[12]سجل المستخلصات'!$C$16)</f>
        <v/>
      </c>
      <c r="D35" s="57">
        <f>IF('[12]سجل المستخلصات'!$E$16="","",'[12]سجل المستخلصات'!$E$16)</f>
        <v/>
      </c>
      <c r="E35" s="58">
        <f>IF('[12]سجل المستخلصات'!$F$16="","",'[12]سجل المستخلصات'!$F$16)</f>
        <v/>
      </c>
      <c r="F35" s="59">
        <f>IF('[12]سجل المستخلصات'!$H$16="","",'[12]سجل المستخلصات'!$H$16)</f>
        <v/>
      </c>
      <c r="G35" s="59">
        <f>IF('[12]سجل المستخلصات'!$G$16="","",'[12]سجل المستخلصات'!$G$16)</f>
        <v/>
      </c>
      <c r="H35" s="59">
        <f>IF('[12]سجل المستخلصات'!$I$16="","",'[12]سجل المستخلصات'!$I$16)</f>
        <v/>
      </c>
      <c r="I35" s="59">
        <f>IF('[12]سجل المستخلصات'!$J$16="","",'[12]سجل المستخلصات'!$J$16)</f>
        <v/>
      </c>
      <c r="J35" s="59">
        <f>IF('[12]سجل المستخلصات'!$K$16="","",'[12]سجل المستخلصات'!$K$16)</f>
        <v/>
      </c>
      <c r="K35" s="60">
        <f>IF('[12]سجل المستخلصات'!$L$16="","",'[12]سجل المستخلصات'!$L$16)</f>
        <v/>
      </c>
      <c r="L35" s="60">
        <f>IF('[12]سجل المستخلصات'!$M$16="","",'[12]سجل المستخلصات'!$M$16)</f>
        <v/>
      </c>
      <c r="M35" s="60">
        <f>IF('[12]سجل المستخلصات'!$N$16="","",'[12]سجل المستخلصات'!$N$16)</f>
        <v/>
      </c>
      <c r="N35" s="59">
        <f>IF('[12]سجل المستخلصات'!$O$16="","",'[12]سجل المستخلصات'!$O$16)</f>
        <v/>
      </c>
      <c r="O35" s="59">
        <f>IF('[12]سجل المستخلصات'!$R$16="","",'[12]سجل المستخلصات'!$R$16)</f>
        <v/>
      </c>
      <c r="P35" s="59">
        <f>IF('[12]سجل المستخلصات'!$S$16="","",'[12]سجل المستخلصات'!$S$16)</f>
        <v/>
      </c>
      <c r="Q35" s="59">
        <f>IF('[12]سجل المستخلصات'!$T$16="","",'[12]سجل المستخلصات'!$T$16)</f>
        <v/>
      </c>
      <c r="R35" s="59">
        <f>IF('[12]سجل المستخلصات'!$V$16="","",'[12]سجل المستخلصات'!$V$16)</f>
        <v/>
      </c>
      <c r="S35" s="59">
        <f>IF('[12]سجل المستخلصات'!$W$16="","",'[12]سجل المستخلصات'!$W$16)</f>
        <v/>
      </c>
      <c r="T35" s="61">
        <f>IF('[12]سجل المستخلصات'!$X$16="","",'[12]سجل المستخلصات'!$X$16)</f>
        <v/>
      </c>
      <c r="U35" s="61">
        <f>IF('[12]سجل المستخلصات'!$Z$16="","",'[12]سجل المستخلصات'!$Z$16)</f>
        <v/>
      </c>
      <c r="V35" s="59">
        <f>IF('[12]سجل المستخلصات'!$AA$16="","",'[12]سجل المستخلصات'!$AA$16)</f>
        <v/>
      </c>
      <c r="W35" s="59">
        <f>IF('[12]سجل المستخلصات'!$AC$16="","",'[12]سجل المستخلصات'!$AC$16)</f>
        <v/>
      </c>
      <c r="X35" s="62">
        <f>IF('[12]سجل المستخلصات'!$AD$16="","",'[12]سجل المستخلصات'!$AD$16)</f>
        <v/>
      </c>
      <c r="Y35" s="58">
        <f>IF('[12]سجل المستخلصات'!$AE$16="","",'[12]سجل المستخلصات'!$AE$16)</f>
        <v/>
      </c>
    </row>
    <row r="36">
      <c r="B36" s="56" t="n">
        <v>12</v>
      </c>
      <c r="C36" s="57">
        <f>IF('[12]سجل المستخلصات'!$C$17="","",'[12]سجل المستخلصات'!$C$17)</f>
        <v/>
      </c>
      <c r="D36" s="57">
        <f>IF('[12]سجل المستخلصات'!$E$17="","",'[12]سجل المستخلصات'!$E$17)</f>
        <v/>
      </c>
      <c r="E36" s="58">
        <f>IF('[12]سجل المستخلصات'!$F$17="","",'[12]سجل المستخلصات'!$F$17)</f>
        <v/>
      </c>
      <c r="F36" s="59">
        <f>IF('[12]سجل المستخلصات'!$H$17="","",'[12]سجل المستخلصات'!$H$17)</f>
        <v/>
      </c>
      <c r="G36" s="59">
        <f>IF('[12]سجل المستخلصات'!$G$17="","",'[12]سجل المستخلصات'!$G$17)</f>
        <v/>
      </c>
      <c r="H36" s="59">
        <f>IF('[12]سجل المستخلصات'!$I$17="","",'[12]سجل المستخلصات'!$I$17)</f>
        <v/>
      </c>
      <c r="I36" s="59">
        <f>IF('[12]سجل المستخلصات'!$J$17="","",'[12]سجل المستخلصات'!$J$17)</f>
        <v/>
      </c>
      <c r="J36" s="59">
        <f>IF('[12]سجل المستخلصات'!$K$17="","",'[12]سجل المستخلصات'!$K$17)</f>
        <v/>
      </c>
      <c r="K36" s="60">
        <f>IF('[12]سجل المستخلصات'!$L$17="","",'[12]سجل المستخلصات'!$L$17)</f>
        <v/>
      </c>
      <c r="L36" s="60">
        <f>IF('[12]سجل المستخلصات'!$M$17="","",'[12]سجل المستخلصات'!$M$17)</f>
        <v/>
      </c>
      <c r="M36" s="60">
        <f>IF('[12]سجل المستخلصات'!$N$17="","",'[12]سجل المستخلصات'!$N$17)</f>
        <v/>
      </c>
      <c r="N36" s="59">
        <f>IF('[12]سجل المستخلصات'!$O$17="","",'[12]سجل المستخلصات'!$O$17)</f>
        <v/>
      </c>
      <c r="O36" s="59">
        <f>IF('[12]سجل المستخلصات'!$R$17="","",'[12]سجل المستخلصات'!$R$17)</f>
        <v/>
      </c>
      <c r="P36" s="59">
        <f>IF('[12]سجل المستخلصات'!$S$17="","",'[12]سجل المستخلصات'!$S$17)</f>
        <v/>
      </c>
      <c r="Q36" s="59">
        <f>IF('[12]سجل المستخلصات'!$T$17="","",'[12]سجل المستخلصات'!$T$17)</f>
        <v/>
      </c>
      <c r="R36" s="59">
        <f>IF('[12]سجل المستخلصات'!$V$17="","",'[12]سجل المستخلصات'!$V$17)</f>
        <v/>
      </c>
      <c r="S36" s="59">
        <f>IF('[12]سجل المستخلصات'!$W$17="","",'[12]سجل المستخلصات'!$W$17)</f>
        <v/>
      </c>
      <c r="T36" s="61">
        <f>IF('[12]سجل المستخلصات'!$X$17="","",'[12]سجل المستخلصات'!$X$17)</f>
        <v/>
      </c>
      <c r="U36" s="61">
        <f>IF('[12]سجل المستخلصات'!$Z$17="","",'[12]سجل المستخلصات'!$Z$17)</f>
        <v/>
      </c>
      <c r="V36" s="59">
        <f>IF('[12]سجل المستخلصات'!$AA$17="","",'[12]سجل المستخلصات'!$AA$17)</f>
        <v/>
      </c>
      <c r="W36" s="59">
        <f>IF('[12]سجل المستخلصات'!$AC$17="","",'[12]سجل المستخلصات'!$AC$17)</f>
        <v/>
      </c>
      <c r="X36" s="62">
        <f>IF('[12]سجل المستخلصات'!$AD$17="","",'[12]سجل المستخلصات'!$AD$17)</f>
        <v/>
      </c>
      <c r="Y36" s="58">
        <f>IF('[12]سجل المستخلصات'!$AE$17="","",'[12]سجل المستخلصات'!$AE$17)</f>
        <v/>
      </c>
    </row>
    <row r="37">
      <c r="B37" s="56" t="n">
        <v>13</v>
      </c>
      <c r="C37" s="57">
        <f>IF('[12]سجل المستخلصات'!$C$18="","",'[12]سجل المستخلصات'!$C$18)</f>
        <v/>
      </c>
      <c r="D37" s="57">
        <f>IF('[12]سجل المستخلصات'!$E$18="","",'[12]سجل المستخلصات'!$E$18)</f>
        <v/>
      </c>
      <c r="E37" s="58">
        <f>IF('[12]سجل المستخلصات'!$F$18="","",'[12]سجل المستخلصات'!$F$18)</f>
        <v/>
      </c>
      <c r="F37" s="59">
        <f>IF('[12]سجل المستخلصات'!$H$18="","",'[12]سجل المستخلصات'!$H$18)</f>
        <v/>
      </c>
      <c r="G37" s="59">
        <f>IF('[12]سجل المستخلصات'!$G$18="","",'[12]سجل المستخلصات'!$G$18)</f>
        <v/>
      </c>
      <c r="H37" s="59">
        <f>IF('[12]سجل المستخلصات'!$I$18="","",'[12]سجل المستخلصات'!$I$18)</f>
        <v/>
      </c>
      <c r="I37" s="59">
        <f>IF('[12]سجل المستخلصات'!$J$18="","",'[12]سجل المستخلصات'!$J$18)</f>
        <v/>
      </c>
      <c r="J37" s="59">
        <f>IF('[12]سجل المستخلصات'!$K$18="","",'[12]سجل المستخلصات'!$K$18)</f>
        <v/>
      </c>
      <c r="K37" s="60">
        <f>IF('[12]سجل المستخلصات'!$L$18="","",'[12]سجل المستخلصات'!$L$18)</f>
        <v/>
      </c>
      <c r="L37" s="60">
        <f>IF('[12]سجل المستخلصات'!$M$18="","",'[12]سجل المستخلصات'!$M$18)</f>
        <v/>
      </c>
      <c r="M37" s="60">
        <f>IF('[12]سجل المستخلصات'!$N$18="","",'[12]سجل المستخلصات'!$N$18)</f>
        <v/>
      </c>
      <c r="N37" s="59">
        <f>IF('[12]سجل المستخلصات'!$O$18="","",'[12]سجل المستخلصات'!$O$18)</f>
        <v/>
      </c>
      <c r="O37" s="59">
        <f>IF('[12]سجل المستخلصات'!$R$18="","",'[12]سجل المستخلصات'!$R$18)</f>
        <v/>
      </c>
      <c r="P37" s="59">
        <f>IF('[12]سجل المستخلصات'!$S$18="","",'[12]سجل المستخلصات'!$S$18)</f>
        <v/>
      </c>
      <c r="Q37" s="59">
        <f>IF('[12]سجل المستخلصات'!$T$18="","",'[12]سجل المستخلصات'!$T$18)</f>
        <v/>
      </c>
      <c r="R37" s="59">
        <f>IF('[12]سجل المستخلصات'!$V$18="","",'[12]سجل المستخلصات'!$V$18)</f>
        <v/>
      </c>
      <c r="S37" s="59">
        <f>IF('[12]سجل المستخلصات'!$W$18="","",'[12]سجل المستخلصات'!$W$18)</f>
        <v/>
      </c>
      <c r="T37" s="61">
        <f>IF('[12]سجل المستخلصات'!$X$18="","",'[12]سجل المستخلصات'!$X$18)</f>
        <v/>
      </c>
      <c r="U37" s="61">
        <f>IF('[12]سجل المستخلصات'!$Z$18="","",'[12]سجل المستخلصات'!$Z$18)</f>
        <v/>
      </c>
      <c r="V37" s="59">
        <f>IF('[12]سجل المستخلصات'!$AA$18="","",'[12]سجل المستخلصات'!$AA$18)</f>
        <v/>
      </c>
      <c r="W37" s="59">
        <f>IF('[12]سجل المستخلصات'!$AC$18="","",'[12]سجل المستخلصات'!$AC$18)</f>
        <v/>
      </c>
      <c r="X37" s="62">
        <f>IF('[12]سجل المستخلصات'!$AD$18="","",'[12]سجل المستخلصات'!$AD$18)</f>
        <v/>
      </c>
      <c r="Y37" s="58">
        <f>IF('[12]سجل المستخلصات'!$AE$18="","",'[12]سجل المستخلصات'!$AE$18)</f>
        <v/>
      </c>
    </row>
    <row r="38">
      <c r="B38" s="56" t="n">
        <v>14</v>
      </c>
      <c r="C38" s="57">
        <f>IF('[12]سجل المستخلصات'!$C$19="","",'[12]سجل المستخلصات'!$C$19)</f>
        <v/>
      </c>
      <c r="D38" s="57">
        <f>IF('[12]سجل المستخلصات'!$E$19="","",'[12]سجل المستخلصات'!$E$19)</f>
        <v/>
      </c>
      <c r="E38" s="58">
        <f>IF('[12]سجل المستخلصات'!$F$19="","",'[12]سجل المستخلصات'!$F$19)</f>
        <v/>
      </c>
      <c r="F38" s="59">
        <f>IF('[12]سجل المستخلصات'!$H$19="","",'[12]سجل المستخلصات'!$H$19)</f>
        <v/>
      </c>
      <c r="G38" s="59">
        <f>IF('[12]سجل المستخلصات'!$G$19="","",'[12]سجل المستخلصات'!$G$19)</f>
        <v/>
      </c>
      <c r="H38" s="59">
        <f>IF('[12]سجل المستخلصات'!$I$19="","",'[12]سجل المستخلصات'!$I$19)</f>
        <v/>
      </c>
      <c r="I38" s="59">
        <f>IF('[12]سجل المستخلصات'!$J$19="","",'[12]سجل المستخلصات'!$J$19)</f>
        <v/>
      </c>
      <c r="J38" s="59">
        <f>IF('[12]سجل المستخلصات'!$K$19="","",'[12]سجل المستخلصات'!$K$19)</f>
        <v/>
      </c>
      <c r="K38" s="60">
        <f>IF('[12]سجل المستخلصات'!$L$19="","",'[12]سجل المستخلصات'!$L$19)</f>
        <v/>
      </c>
      <c r="L38" s="60">
        <f>IF('[12]سجل المستخلصات'!$M$19="","",'[12]سجل المستخلصات'!$M$19)</f>
        <v/>
      </c>
      <c r="M38" s="60">
        <f>IF('[12]سجل المستخلصات'!$N$19="","",'[12]سجل المستخلصات'!$N$19)</f>
        <v/>
      </c>
      <c r="N38" s="59">
        <f>IF('[12]سجل المستخلصات'!$O$19="","",'[12]سجل المستخلصات'!$O$19)</f>
        <v/>
      </c>
      <c r="O38" s="59">
        <f>IF('[12]سجل المستخلصات'!$R$19="","",'[12]سجل المستخلصات'!$R$19)</f>
        <v/>
      </c>
      <c r="P38" s="59">
        <f>IF('[12]سجل المستخلصات'!$S$19="","",'[12]سجل المستخلصات'!$S$19)</f>
        <v/>
      </c>
      <c r="Q38" s="59">
        <f>IF('[12]سجل المستخلصات'!$T$19="","",'[12]سجل المستخلصات'!$T$19)</f>
        <v/>
      </c>
      <c r="R38" s="59">
        <f>IF('[12]سجل المستخلصات'!$V$19="","",'[12]سجل المستخلصات'!$V$19)</f>
        <v/>
      </c>
      <c r="S38" s="59">
        <f>IF('[12]سجل المستخلصات'!$W$19="","",'[12]سجل المستخلصات'!$W$19)</f>
        <v/>
      </c>
      <c r="T38" s="61">
        <f>IF('[12]سجل المستخلصات'!$X$19="","",'[12]سجل المستخلصات'!$X$19)</f>
        <v/>
      </c>
      <c r="U38" s="61">
        <f>IF('[12]سجل المستخلصات'!$Z$19="","",'[12]سجل المستخلصات'!$Z$19)</f>
        <v/>
      </c>
      <c r="V38" s="59">
        <f>IF('[12]سجل المستخلصات'!$AA$19="","",'[12]سجل المستخلصات'!$AA$19)</f>
        <v/>
      </c>
      <c r="W38" s="59">
        <f>IF('[12]سجل المستخلصات'!$AC$19="","",'[12]سجل المستخلصات'!$AC$19)</f>
        <v/>
      </c>
      <c r="X38" s="62">
        <f>IF('[12]سجل المستخلصات'!$AD$19="","",'[12]سجل المستخلصات'!$AD$19)</f>
        <v/>
      </c>
      <c r="Y38" s="58">
        <f>IF('[12]سجل المستخلصات'!$AE$19="","",'[12]سجل المستخلصات'!$AE$19)</f>
        <v/>
      </c>
    </row>
    <row r="39">
      <c r="B39" s="56" t="n">
        <v>15</v>
      </c>
      <c r="C39" s="57">
        <f>IF('[12]سجل المستخلصات'!$C$20="","",'[12]سجل المستخلصات'!$C$20)</f>
        <v/>
      </c>
      <c r="D39" s="57">
        <f>IF('[12]سجل المستخلصات'!$E$20="","",'[12]سجل المستخلصات'!$E$20)</f>
        <v/>
      </c>
      <c r="E39" s="58">
        <f>IF('[12]سجل المستخلصات'!$F$20="","",'[12]سجل المستخلصات'!$F$20)</f>
        <v/>
      </c>
      <c r="F39" s="59">
        <f>IF('[12]سجل المستخلصات'!$H$20="","",'[12]سجل المستخلصات'!$H$20)</f>
        <v/>
      </c>
      <c r="G39" s="59">
        <f>IF('[12]سجل المستخلصات'!$G$20="","",'[12]سجل المستخلصات'!$G$20)</f>
        <v/>
      </c>
      <c r="H39" s="59">
        <f>IF('[12]سجل المستخلصات'!$I$20="","",'[12]سجل المستخلصات'!$I$20)</f>
        <v/>
      </c>
      <c r="I39" s="59">
        <f>IF('[12]سجل المستخلصات'!$J$20="","",'[12]سجل المستخلصات'!$J$20)</f>
        <v/>
      </c>
      <c r="J39" s="59">
        <f>IF('[12]سجل المستخلصات'!$K$20="","",'[12]سجل المستخلصات'!$K$20)</f>
        <v/>
      </c>
      <c r="K39" s="60">
        <f>IF('[12]سجل المستخلصات'!$L$20="","",'[12]سجل المستخلصات'!$L$20)</f>
        <v/>
      </c>
      <c r="L39" s="60">
        <f>IF('[12]سجل المستخلصات'!$M$20="","",'[12]سجل المستخلصات'!$M$20)</f>
        <v/>
      </c>
      <c r="M39" s="60">
        <f>IF('[12]سجل المستخلصات'!$N$20="","",'[12]سجل المستخلصات'!$N$20)</f>
        <v/>
      </c>
      <c r="N39" s="59">
        <f>IF('[12]سجل المستخلصات'!$O$20="","",'[12]سجل المستخلصات'!$O$20)</f>
        <v/>
      </c>
      <c r="O39" s="59">
        <f>IF('[12]سجل المستخلصات'!$R$20="","",'[12]سجل المستخلصات'!$R$20)</f>
        <v/>
      </c>
      <c r="P39" s="59">
        <f>IF('[12]سجل المستخلصات'!$S$20="","",'[12]سجل المستخلصات'!$S$20)</f>
        <v/>
      </c>
      <c r="Q39" s="59">
        <f>IF('[12]سجل المستخلصات'!$T$20="","",'[12]سجل المستخلصات'!$T$20)</f>
        <v/>
      </c>
      <c r="R39" s="59">
        <f>IF('[12]سجل المستخلصات'!$V$20="","",'[12]سجل المستخلصات'!$V$20)</f>
        <v/>
      </c>
      <c r="S39" s="59">
        <f>IF('[12]سجل المستخلصات'!$W$20="","",'[12]سجل المستخلصات'!$W$20)</f>
        <v/>
      </c>
      <c r="T39" s="61">
        <f>IF('[12]سجل المستخلصات'!$X$20="","",'[12]سجل المستخلصات'!$X$20)</f>
        <v/>
      </c>
      <c r="U39" s="61">
        <f>IF('[12]سجل المستخلصات'!$Z$20="","",'[12]سجل المستخلصات'!$Z$20)</f>
        <v/>
      </c>
      <c r="V39" s="59">
        <f>IF('[12]سجل المستخلصات'!$AA$20="","",'[12]سجل المستخلصات'!$AA$20)</f>
        <v/>
      </c>
      <c r="W39" s="59">
        <f>IF('[12]سجل المستخلصات'!$AC$20="","",'[12]سجل المستخلصات'!$AC$20)</f>
        <v/>
      </c>
      <c r="X39" s="62">
        <f>IF('[12]سجل المستخلصات'!$AD$20="","",'[12]سجل المستخلصات'!$AD$20)</f>
        <v/>
      </c>
      <c r="Y39" s="58">
        <f>IF('[12]سجل المستخلصات'!$AE$20="","",'[12]سجل المستخلصات'!$AE$20)</f>
        <v/>
      </c>
    </row>
    <row r="40">
      <c r="B40" s="56" t="n">
        <v>16</v>
      </c>
      <c r="C40" s="57">
        <f>IF('[12]سجل المستخلصات'!$C$21="","",'[12]سجل المستخلصات'!$C$21)</f>
        <v/>
      </c>
      <c r="D40" s="57">
        <f>IF('[12]سجل المستخلصات'!$E$21="","",'[12]سجل المستخلصات'!$E$21)</f>
        <v/>
      </c>
      <c r="E40" s="58">
        <f>IF('[12]سجل المستخلصات'!$F$21="","",'[12]سجل المستخلصات'!$F$21)</f>
        <v/>
      </c>
      <c r="F40" s="59">
        <f>IF('[12]سجل المستخلصات'!$H$21="","",'[12]سجل المستخلصات'!$H$21)</f>
        <v/>
      </c>
      <c r="G40" s="59">
        <f>IF('[12]سجل المستخلصات'!$G$21="","",'[12]سجل المستخلصات'!$G$21)</f>
        <v/>
      </c>
      <c r="H40" s="59">
        <f>IF('[12]سجل المستخلصات'!$I$21="","",'[12]سجل المستخلصات'!$I$21)</f>
        <v/>
      </c>
      <c r="I40" s="59">
        <f>IF('[12]سجل المستخلصات'!$J$21="","",'[12]سجل المستخلصات'!$J$21)</f>
        <v/>
      </c>
      <c r="J40" s="59">
        <f>IF('[12]سجل المستخلصات'!$K$21="","",'[12]سجل المستخلصات'!$K$21)</f>
        <v/>
      </c>
      <c r="K40" s="60">
        <f>IF('[12]سجل المستخلصات'!$L$21="","",'[12]سجل المستخلصات'!$L$21)</f>
        <v/>
      </c>
      <c r="L40" s="60">
        <f>IF('[12]سجل المستخلصات'!$M$21="","",'[12]سجل المستخلصات'!$M$21)</f>
        <v/>
      </c>
      <c r="M40" s="60">
        <f>IF('[12]سجل المستخلصات'!$N$21="","",'[12]سجل المستخلصات'!$N$21)</f>
        <v/>
      </c>
      <c r="N40" s="59">
        <f>IF('[12]سجل المستخلصات'!$O$21="","",'[12]سجل المستخلصات'!$O$21)</f>
        <v/>
      </c>
      <c r="O40" s="59">
        <f>IF('[12]سجل المستخلصات'!$R$21="","",'[12]سجل المستخلصات'!$R$21)</f>
        <v/>
      </c>
      <c r="P40" s="59">
        <f>IF('[12]سجل المستخلصات'!$S$21="","",'[12]سجل المستخلصات'!$S$21)</f>
        <v/>
      </c>
      <c r="Q40" s="59">
        <f>IF('[12]سجل المستخلصات'!$T$21="","",'[12]سجل المستخلصات'!$T$21)</f>
        <v/>
      </c>
      <c r="R40" s="59">
        <f>IF('[12]سجل المستخلصات'!$V$21="","",'[12]سجل المستخلصات'!$V$21)</f>
        <v/>
      </c>
      <c r="S40" s="59">
        <f>IF('[12]سجل المستخلصات'!$W$21="","",'[12]سجل المستخلصات'!$W$21)</f>
        <v/>
      </c>
      <c r="T40" s="61">
        <f>IF('[12]سجل المستخلصات'!$X$21="","",'[12]سجل المستخلصات'!$X$21)</f>
        <v/>
      </c>
      <c r="U40" s="61">
        <f>IF('[12]سجل المستخلصات'!$Z$21="","",'[12]سجل المستخلصات'!$Z$21)</f>
        <v/>
      </c>
      <c r="V40" s="59">
        <f>IF('[12]سجل المستخلصات'!$AA$21="","",'[12]سجل المستخلصات'!$AA$21)</f>
        <v/>
      </c>
      <c r="W40" s="59">
        <f>IF('[12]سجل المستخلصات'!$AC$21="","",'[12]سجل المستخلصات'!$AC$21)</f>
        <v/>
      </c>
      <c r="X40" s="62">
        <f>IF('[12]سجل المستخلصات'!$AD$21="","",'[12]سجل المستخلصات'!$AD$21)</f>
        <v/>
      </c>
      <c r="Y40" s="58">
        <f>IF('[12]سجل المستخلصات'!$AE$21="","",'[12]سجل المستخلصات'!$AE$21)</f>
        <v/>
      </c>
    </row>
    <row r="41">
      <c r="B41" s="56" t="n">
        <v>17</v>
      </c>
      <c r="C41" s="57">
        <f>IF('[12]سجل المستخلصات'!$C$22="","",'[12]سجل المستخلصات'!$C$22)</f>
        <v/>
      </c>
      <c r="D41" s="57">
        <f>IF('[12]سجل المستخلصات'!$E$22="","",'[12]سجل المستخلصات'!$E$22)</f>
        <v/>
      </c>
      <c r="E41" s="58">
        <f>IF('[12]سجل المستخلصات'!$F$22="","",'[12]سجل المستخلصات'!$F$22)</f>
        <v/>
      </c>
      <c r="F41" s="59">
        <f>IF('[12]سجل المستخلصات'!$H$22="","",'[12]سجل المستخلصات'!$H$22)</f>
        <v/>
      </c>
      <c r="G41" s="59">
        <f>IF('[12]سجل المستخلصات'!$G$22="","",'[12]سجل المستخلصات'!$G$22)</f>
        <v/>
      </c>
      <c r="H41" s="59">
        <f>IF('[12]سجل المستخلصات'!$I$22="","",'[12]سجل المستخلصات'!$I$22)</f>
        <v/>
      </c>
      <c r="I41" s="59">
        <f>IF('[12]سجل المستخلصات'!$J$22="","",'[12]سجل المستخلصات'!$J$22)</f>
        <v/>
      </c>
      <c r="J41" s="59">
        <f>IF('[12]سجل المستخلصات'!$K$22="","",'[12]سجل المستخلصات'!$K$22)</f>
        <v/>
      </c>
      <c r="K41" s="60">
        <f>IF('[12]سجل المستخلصات'!$L$22="","",'[12]سجل المستخلصات'!$L$22)</f>
        <v/>
      </c>
      <c r="L41" s="60">
        <f>IF('[12]سجل المستخلصات'!$M$22="","",'[12]سجل المستخلصات'!$M$22)</f>
        <v/>
      </c>
      <c r="M41" s="60">
        <f>IF('[12]سجل المستخلصات'!$N$22="","",'[12]سجل المستخلصات'!$N$22)</f>
        <v/>
      </c>
      <c r="N41" s="59">
        <f>IF('[12]سجل المستخلصات'!$O$22="","",'[12]سجل المستخلصات'!$O$22)</f>
        <v/>
      </c>
      <c r="O41" s="59">
        <f>IF('[12]سجل المستخلصات'!$R$22="","",'[12]سجل المستخلصات'!$R$22)</f>
        <v/>
      </c>
      <c r="P41" s="59">
        <f>IF('[12]سجل المستخلصات'!$S$22="","",'[12]سجل المستخلصات'!$S$22)</f>
        <v/>
      </c>
      <c r="Q41" s="59">
        <f>IF('[12]سجل المستخلصات'!$T$22="","",'[12]سجل المستخلصات'!$T$22)</f>
        <v/>
      </c>
      <c r="R41" s="59">
        <f>IF('[12]سجل المستخلصات'!$V$22="","",'[12]سجل المستخلصات'!$V$22)</f>
        <v/>
      </c>
      <c r="S41" s="59">
        <f>IF('[12]سجل المستخلصات'!$W$22="","",'[12]سجل المستخلصات'!$W$22)</f>
        <v/>
      </c>
      <c r="T41" s="61">
        <f>IF('[12]سجل المستخلصات'!$X$22="","",'[12]سجل المستخلصات'!$X$22)</f>
        <v/>
      </c>
      <c r="U41" s="61">
        <f>IF('[12]سجل المستخلصات'!$Z$22="","",'[12]سجل المستخلصات'!$Z$22)</f>
        <v/>
      </c>
      <c r="V41" s="59">
        <f>IF('[12]سجل المستخلصات'!$AA$22="","",'[12]سجل المستخلصات'!$AA$22)</f>
        <v/>
      </c>
      <c r="W41" s="59">
        <f>IF('[12]سجل المستخلصات'!$AC$22="","",'[12]سجل المستخلصات'!$AC$22)</f>
        <v/>
      </c>
      <c r="X41" s="62">
        <f>IF('[12]سجل المستخلصات'!$AD$22="","",'[12]سجل المستخلصات'!$AD$22)</f>
        <v/>
      </c>
      <c r="Y41" s="58">
        <f>IF('[12]سجل المستخلصات'!$AE$22="","",'[12]سجل المستخلصات'!$AE$22)</f>
        <v/>
      </c>
    </row>
    <row r="42">
      <c r="B42" s="56" t="n">
        <v>18</v>
      </c>
      <c r="C42" s="57">
        <f>IF('[12]سجل المستخلصات'!$C$23="","",'[12]سجل المستخلصات'!$C$23)</f>
        <v/>
      </c>
      <c r="D42" s="57">
        <f>IF('[12]سجل المستخلصات'!$E$23="","",'[12]سجل المستخلصات'!$E$23)</f>
        <v/>
      </c>
      <c r="E42" s="58">
        <f>IF('[12]سجل المستخلصات'!$F$23="","",'[12]سجل المستخلصات'!$F$23)</f>
        <v/>
      </c>
      <c r="F42" s="59">
        <f>IF('[12]سجل المستخلصات'!$H$23="","",'[12]سجل المستخلصات'!$H$23)</f>
        <v/>
      </c>
      <c r="G42" s="59">
        <f>IF('[12]سجل المستخلصات'!$G$23="","",'[12]سجل المستخلصات'!$G$23)</f>
        <v/>
      </c>
      <c r="H42" s="59">
        <f>IF('[12]سجل المستخلصات'!$I$23="","",'[12]سجل المستخلصات'!$I$23)</f>
        <v/>
      </c>
      <c r="I42" s="59">
        <f>IF('[12]سجل المستخلصات'!$J$23="","",'[12]سجل المستخلصات'!$J$23)</f>
        <v/>
      </c>
      <c r="J42" s="59">
        <f>IF('[12]سجل المستخلصات'!$K$23="","",'[12]سجل المستخلصات'!$K$23)</f>
        <v/>
      </c>
      <c r="K42" s="60">
        <f>IF('[12]سجل المستخلصات'!$L$23="","",'[12]سجل المستخلصات'!$L$23)</f>
        <v/>
      </c>
      <c r="L42" s="60">
        <f>IF('[12]سجل المستخلصات'!$M$23="","",'[12]سجل المستخلصات'!$M$23)</f>
        <v/>
      </c>
      <c r="M42" s="60">
        <f>IF('[12]سجل المستخلصات'!$N$23="","",'[12]سجل المستخلصات'!$N$23)</f>
        <v/>
      </c>
      <c r="N42" s="59">
        <f>IF('[12]سجل المستخلصات'!$O$23="","",'[12]سجل المستخلصات'!$O$23)</f>
        <v/>
      </c>
      <c r="O42" s="59">
        <f>IF('[12]سجل المستخلصات'!$R$23="","",'[12]سجل المستخلصات'!$R$23)</f>
        <v/>
      </c>
      <c r="P42" s="59">
        <f>IF('[12]سجل المستخلصات'!$S$23="","",'[12]سجل المستخلصات'!$S$23)</f>
        <v/>
      </c>
      <c r="Q42" s="59">
        <f>IF('[12]سجل المستخلصات'!$T$23="","",'[12]سجل المستخلصات'!$T$23)</f>
        <v/>
      </c>
      <c r="R42" s="59">
        <f>IF('[12]سجل المستخلصات'!$V$23="","",'[12]سجل المستخلصات'!$V$23)</f>
        <v/>
      </c>
      <c r="S42" s="59">
        <f>IF('[12]سجل المستخلصات'!$W$23="","",'[12]سجل المستخلصات'!$W$23)</f>
        <v/>
      </c>
      <c r="T42" s="61">
        <f>IF('[12]سجل المستخلصات'!$X$23="","",'[12]سجل المستخلصات'!$X$23)</f>
        <v/>
      </c>
      <c r="U42" s="61">
        <f>IF('[12]سجل المستخلصات'!$Z$23="","",'[12]سجل المستخلصات'!$Z$23)</f>
        <v/>
      </c>
      <c r="V42" s="59">
        <f>IF('[12]سجل المستخلصات'!$AA$23="","",'[12]سجل المستخلصات'!$AA$23)</f>
        <v/>
      </c>
      <c r="W42" s="59">
        <f>IF('[12]سجل المستخلصات'!$AC$23="","",'[12]سجل المستخلصات'!$AC$23)</f>
        <v/>
      </c>
      <c r="X42" s="62">
        <f>IF('[12]سجل المستخلصات'!$AD$23="","",'[12]سجل المستخلصات'!$AD$23)</f>
        <v/>
      </c>
      <c r="Y42" s="58">
        <f>IF('[12]سجل المستخلصات'!$AE$23="","",'[12]سجل المستخلصات'!$AE$23)</f>
        <v/>
      </c>
    </row>
    <row r="43">
      <c r="B43" s="56" t="n">
        <v>19</v>
      </c>
      <c r="C43" s="57">
        <f>IF('[12]سجل المستخلصات'!$C$24="","",'[12]سجل المستخلصات'!$C$24)</f>
        <v/>
      </c>
      <c r="D43" s="57">
        <f>IF('[12]سجل المستخلصات'!$E$24="","",'[12]سجل المستخلصات'!$E$24)</f>
        <v/>
      </c>
      <c r="E43" s="58">
        <f>IF('[12]سجل المستخلصات'!$F$24="","",'[12]سجل المستخلصات'!$F$24)</f>
        <v/>
      </c>
      <c r="F43" s="59">
        <f>IF('[12]سجل المستخلصات'!$H$24="","",'[12]سجل المستخلصات'!$H$24)</f>
        <v/>
      </c>
      <c r="G43" s="59">
        <f>IF('[12]سجل المستخلصات'!$G$24="","",'[12]سجل المستخلصات'!$G$24)</f>
        <v/>
      </c>
      <c r="H43" s="59">
        <f>IF('[12]سجل المستخلصات'!$I$24="","",'[12]سجل المستخلصات'!$I$24)</f>
        <v/>
      </c>
      <c r="I43" s="59">
        <f>IF('[12]سجل المستخلصات'!$J$24="","",'[12]سجل المستخلصات'!$J$24)</f>
        <v/>
      </c>
      <c r="J43" s="59">
        <f>IF('[12]سجل المستخلصات'!$K$24="","",'[12]سجل المستخلصات'!$K$24)</f>
        <v/>
      </c>
      <c r="K43" s="60">
        <f>IF('[12]سجل المستخلصات'!$L$24="","",'[12]سجل المستخلصات'!$L$24)</f>
        <v/>
      </c>
      <c r="L43" s="60">
        <f>IF('[12]سجل المستخلصات'!$M$24="","",'[12]سجل المستخلصات'!$M$24)</f>
        <v/>
      </c>
      <c r="M43" s="60">
        <f>IF('[12]سجل المستخلصات'!$N$24="","",'[12]سجل المستخلصات'!$N$24)</f>
        <v/>
      </c>
      <c r="N43" s="59">
        <f>IF('[12]سجل المستخلصات'!$O$24="","",'[12]سجل المستخلصات'!$O$24)</f>
        <v/>
      </c>
      <c r="O43" s="59">
        <f>IF('[12]سجل المستخلصات'!$R$24="","",'[12]سجل المستخلصات'!$R$24)</f>
        <v/>
      </c>
      <c r="P43" s="59">
        <f>IF('[12]سجل المستخلصات'!$S$24="","",'[12]سجل المستخلصات'!$S$24)</f>
        <v/>
      </c>
      <c r="Q43" s="59">
        <f>IF('[12]سجل المستخلصات'!$T$24="","",'[12]سجل المستخلصات'!$T$24)</f>
        <v/>
      </c>
      <c r="R43" s="59">
        <f>IF('[12]سجل المستخلصات'!$V$24="","",'[12]سجل المستخلصات'!$V$24)</f>
        <v/>
      </c>
      <c r="S43" s="59">
        <f>IF('[12]سجل المستخلصات'!$W$24="","",'[12]سجل المستخلصات'!$W$24)</f>
        <v/>
      </c>
      <c r="T43" s="61">
        <f>IF('[12]سجل المستخلصات'!$X$24="","",'[12]سجل المستخلصات'!$X$24)</f>
        <v/>
      </c>
      <c r="U43" s="61">
        <f>IF('[12]سجل المستخلصات'!$Z$24="","",'[12]سجل المستخلصات'!$Z$24)</f>
        <v/>
      </c>
      <c r="V43" s="59">
        <f>IF('[12]سجل المستخلصات'!$AA$24="","",'[12]سجل المستخلصات'!$AA$24)</f>
        <v/>
      </c>
      <c r="W43" s="59">
        <f>IF('[12]سجل المستخلصات'!$AC$24="","",'[12]سجل المستخلصات'!$AC$24)</f>
        <v/>
      </c>
      <c r="X43" s="62">
        <f>IF('[12]سجل المستخلصات'!$AD$24="","",'[12]سجل المستخلصات'!$AD$24)</f>
        <v/>
      </c>
      <c r="Y43" s="58">
        <f>IF('[12]سجل المستخلصات'!$AE$24="","",'[12]سجل المستخلصات'!$AE$24)</f>
        <v/>
      </c>
    </row>
    <row r="44">
      <c r="B44" s="56" t="n">
        <v>20</v>
      </c>
      <c r="C44" s="57">
        <f>IF('[12]سجل المستخلصات'!$C$25="","",'[12]سجل المستخلصات'!$C$25)</f>
        <v/>
      </c>
      <c r="D44" s="57">
        <f>IF('[12]سجل المستخلصات'!$E$25="","",'[12]سجل المستخلصات'!$E$25)</f>
        <v/>
      </c>
      <c r="E44" s="58">
        <f>IF('[12]سجل المستخلصات'!$F$25="","",'[12]سجل المستخلصات'!$F$25)</f>
        <v/>
      </c>
      <c r="F44" s="59">
        <f>IF('[12]سجل المستخلصات'!$H$25="","",'[12]سجل المستخلصات'!$H$25)</f>
        <v/>
      </c>
      <c r="G44" s="59">
        <f>IF('[12]سجل المستخلصات'!$G$25="","",'[12]سجل المستخلصات'!$G$25)</f>
        <v/>
      </c>
      <c r="H44" s="59">
        <f>IF('[12]سجل المستخلصات'!$I$25="","",'[12]سجل المستخلصات'!$I$25)</f>
        <v/>
      </c>
      <c r="I44" s="59">
        <f>IF('[12]سجل المستخلصات'!$J$25="","",'[12]سجل المستخلصات'!$J$25)</f>
        <v/>
      </c>
      <c r="J44" s="59">
        <f>IF('[12]سجل المستخلصات'!$K$25="","",'[12]سجل المستخلصات'!$K$25)</f>
        <v/>
      </c>
      <c r="K44" s="60">
        <f>IF('[12]سجل المستخلصات'!$L$25="","",'[12]سجل المستخلصات'!$L$25)</f>
        <v/>
      </c>
      <c r="L44" s="60">
        <f>IF('[12]سجل المستخلصات'!$M$25="","",'[12]سجل المستخلصات'!$M$25)</f>
        <v/>
      </c>
      <c r="M44" s="60">
        <f>IF('[12]سجل المستخلصات'!$N$25="","",'[12]سجل المستخلصات'!$N$25)</f>
        <v/>
      </c>
      <c r="N44" s="59">
        <f>IF('[12]سجل المستخلصات'!$O$25="","",'[12]سجل المستخلصات'!$O$25)</f>
        <v/>
      </c>
      <c r="O44" s="59">
        <f>IF('[12]سجل المستخلصات'!$R$25="","",'[12]سجل المستخلصات'!$R$25)</f>
        <v/>
      </c>
      <c r="P44" s="59">
        <f>IF('[12]سجل المستخلصات'!$S$25="","",'[12]سجل المستخلصات'!$S$25)</f>
        <v/>
      </c>
      <c r="Q44" s="59">
        <f>IF('[12]سجل المستخلصات'!$T$25="","",'[12]سجل المستخلصات'!$T$25)</f>
        <v/>
      </c>
      <c r="R44" s="59">
        <f>IF('[12]سجل المستخلصات'!$V$25="","",'[12]سجل المستخلصات'!$V$25)</f>
        <v/>
      </c>
      <c r="S44" s="59">
        <f>IF('[12]سجل المستخلصات'!$W$25="","",'[12]سجل المستخلصات'!$W$25)</f>
        <v/>
      </c>
      <c r="T44" s="61">
        <f>IF('[12]سجل المستخلصات'!$X$25="","",'[12]سجل المستخلصات'!$X$25)</f>
        <v/>
      </c>
      <c r="U44" s="61">
        <f>IF('[12]سجل المستخلصات'!$Z$25="","",'[12]سجل المستخلصات'!$Z$25)</f>
        <v/>
      </c>
      <c r="V44" s="59">
        <f>IF('[12]سجل المستخلصات'!$AA$25="","",'[12]سجل المستخلصات'!$AA$25)</f>
        <v/>
      </c>
      <c r="W44" s="59">
        <f>IF('[12]سجل المستخلصات'!$AC$25="","",'[12]سجل المستخلصات'!$AC$25)</f>
        <v/>
      </c>
      <c r="X44" s="62">
        <f>IF('[12]سجل المستخلصات'!$AD$25="","",'[12]سجل المستخلصات'!$AD$25)</f>
        <v/>
      </c>
      <c r="Y44" s="58">
        <f>IF('[12]سجل المستخلصات'!$AE$25="","",'[12]سجل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IF('[12]سجل المستخلصات'!$B$32="","",'[12]سجل المستخلصات'!$B$32)</f>
        <v/>
      </c>
      <c r="C50" s="69" t="n"/>
      <c r="D50" s="69" t="n"/>
      <c r="E50" s="59">
        <f>N('[12]سجل المستخلصات'!$E$32)</f>
        <v/>
      </c>
      <c r="F50" s="59">
        <f>N('[12]سجل المستخلصات'!$F$32)</f>
        <v/>
      </c>
      <c r="G50" s="70">
        <f>IF(E50&gt;0,F50/E50,0)</f>
        <v/>
      </c>
    </row>
    <row r="51">
      <c r="B51" s="69">
        <f>IF('[12]سجل المستخلصات'!$B$33="","",'[12]سجل المستخلصات'!$B$33)</f>
        <v/>
      </c>
      <c r="C51" s="69" t="n"/>
      <c r="D51" s="69" t="n"/>
      <c r="E51" s="59">
        <f>N('[12]سجل المستخلصات'!$E$33)</f>
        <v/>
      </c>
      <c r="F51" s="59">
        <f>N('[12]سجل المستخلصات'!$F$33)</f>
        <v/>
      </c>
      <c r="G51" s="70">
        <f>IF(E51&gt;0,F51/E51,0)</f>
        <v/>
      </c>
    </row>
    <row r="52">
      <c r="B52" s="69">
        <f>IF('[12]سجل المستخلصات'!$B$34="","",'[12]سجل المستخلصات'!$B$34)</f>
        <v/>
      </c>
      <c r="C52" s="69" t="n"/>
      <c r="D52" s="69" t="n"/>
      <c r="E52" s="59">
        <f>N('[12]سجل المستخلصات'!$E$34)</f>
        <v/>
      </c>
      <c r="F52" s="59">
        <f>N('[12]سجل المستخلصات'!$F$34)</f>
        <v/>
      </c>
      <c r="G52" s="70">
        <f>IF(E52&gt;0,F52/E52,0)</f>
        <v/>
      </c>
    </row>
    <row r="53">
      <c r="B53" s="69">
        <f>IF('[12]سجل المستخلصات'!$B$35="","",'[12]سجل المستخلصات'!$B$35)</f>
        <v/>
      </c>
      <c r="C53" s="69" t="n"/>
      <c r="D53" s="69" t="n"/>
      <c r="E53" s="59">
        <f>N('[12]سجل المستخلصات'!$E$35)</f>
        <v/>
      </c>
      <c r="F53" s="59">
        <f>N('[12]سجل المستخلصات'!$F$35)</f>
        <v/>
      </c>
      <c r="G53" s="70">
        <f>IF(E53&gt;0,F53/E53,0)</f>
        <v/>
      </c>
    </row>
    <row r="54">
      <c r="B54" s="69">
        <f>IF('[12]سجل المستخلصات'!$B$36="","",'[12]سجل المستخلصات'!$B$36)</f>
        <v/>
      </c>
      <c r="C54" s="69" t="n"/>
      <c r="D54" s="69" t="n"/>
      <c r="E54" s="59">
        <f>N('[12]سجل المستخلصات'!$E$36)</f>
        <v/>
      </c>
      <c r="F54" s="59">
        <f>N('[12]سجل المستخلصات'!$F$36)</f>
        <v/>
      </c>
      <c r="G54" s="70">
        <f>IF(E54&gt;0,F54/E54,0)</f>
        <v/>
      </c>
    </row>
    <row r="55">
      <c r="B55" s="69">
        <f>IF('[12]سجل المستخلصات'!$B$37="","",'[12]سجل المستخلصات'!$B$37)</f>
        <v/>
      </c>
      <c r="C55" s="69" t="n"/>
      <c r="D55" s="69" t="n"/>
      <c r="E55" s="59">
        <f>N('[12]سجل المستخلصات'!$E$37)</f>
        <v/>
      </c>
      <c r="F55" s="59">
        <f>N('[12]سجل المستخلصات'!$F$37)</f>
        <v/>
      </c>
      <c r="G55" s="70">
        <f>IF(E55&gt;0,F55/E55,0)</f>
        <v/>
      </c>
    </row>
    <row r="56">
      <c r="B56" s="69">
        <f>IF('[12]سجل المستخلصات'!$B$38="","",'[12]سجل المستخلصات'!$B$38)</f>
        <v/>
      </c>
      <c r="C56" s="69" t="n"/>
      <c r="D56" s="69" t="n"/>
      <c r="E56" s="59">
        <f>N('[12]سجل المستخلصات'!$E$38)</f>
        <v/>
      </c>
      <c r="F56" s="59">
        <f>N('[12]سجل المستخلصات'!$F$38)</f>
        <v/>
      </c>
      <c r="G56" s="70">
        <f>IF(E56&gt;0,F56/E56,0)</f>
        <v/>
      </c>
    </row>
    <row r="57">
      <c r="B57" s="69">
        <f>IF('[12]سجل المستخلصات'!$B$39="","",'[12]سجل المستخلصات'!$B$39)</f>
        <v/>
      </c>
      <c r="C57" s="69" t="n"/>
      <c r="D57" s="69" t="n"/>
      <c r="E57" s="59">
        <f>N('[12]سجل المستخلصات'!$E$39)</f>
        <v/>
      </c>
      <c r="F57" s="59">
        <f>N('[12]سجل المستخلصات'!$F$39)</f>
        <v/>
      </c>
      <c r="G57" s="70">
        <f>IF(E57&gt;0,F57/E57,0)</f>
        <v/>
      </c>
    </row>
    <row r="58">
      <c r="B58" s="69">
        <f>IF('[12]سجل المستخلصات'!$B$40="","",'[12]سجل المستخلصات'!$B$40)</f>
        <v/>
      </c>
      <c r="C58" s="69" t="n"/>
      <c r="D58" s="69" t="n"/>
      <c r="E58" s="59">
        <f>N('[12]سجل المستخلصات'!$E$40)</f>
        <v/>
      </c>
      <c r="F58" s="59">
        <f>N('[12]سجل المستخلصات'!$F$40)</f>
        <v/>
      </c>
      <c r="G58" s="70">
        <f>IF(E58&gt;0,F58/E58,0)</f>
        <v/>
      </c>
    </row>
    <row r="59">
      <c r="B59" s="69">
        <f>IF('[12]سجل المستخلصات'!$B$41="","",'[12]سجل المستخلصات'!$B$41)</f>
        <v/>
      </c>
      <c r="C59" s="69" t="n"/>
      <c r="D59" s="69" t="n"/>
      <c r="E59" s="59">
        <f>N('[12]سجل المستخلصات'!$E$41)</f>
        <v/>
      </c>
      <c r="F59" s="59">
        <f>N('[12]سجل المستخلصات'!$F$41)</f>
        <v/>
      </c>
      <c r="G59" s="70">
        <f>IF(E59&gt;0,F59/E59,0)</f>
        <v/>
      </c>
    </row>
    <row r="60">
      <c r="B60" s="69">
        <f>IF('[12]سجل المستخلصات'!$B$42="","",'[12]سجل المستخلصات'!$B$42)</f>
        <v/>
      </c>
      <c r="C60" s="69" t="n"/>
      <c r="D60" s="69" t="n"/>
      <c r="E60" s="59">
        <f>N('[12]سجل المستخلصات'!$E$42)</f>
        <v/>
      </c>
      <c r="F60" s="59">
        <f>N('[12]سجل المستخلصات'!$F$42)</f>
        <v/>
      </c>
      <c r="G60" s="70">
        <f>IF(E60&gt;0,F60/E60,0)</f>
        <v/>
      </c>
    </row>
    <row r="61">
      <c r="B61" s="69">
        <f>IF('[12]سجل المستخلصات'!$B$43="","",'[12]سجل المستخلصات'!$B$43)</f>
        <v/>
      </c>
      <c r="C61" s="69" t="n"/>
      <c r="D61" s="69" t="n"/>
      <c r="E61" s="59">
        <f>N('[12]سجل المستخلصات'!$E$43)</f>
        <v/>
      </c>
      <c r="F61" s="59">
        <f>N('[12]سجل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11'!A1" display="◄ المشروع السابق"/>
    <hyperlink ref="D3" location="'مشروع 13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"&amp;IF('[13]بيانات العقد'!$C$5="","مشروع رقم 13 — غير مُفعّل",'[13]بيانات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Project_13/IPC_Project_13.xlsx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IF('[13]بيانات العقد'!$C$5="","",'[13]بيانات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IF('[13]بيانات العقد'!$C$6="","",'[13]بيانات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IF('[13]بيانات العقد'!$C$7="","",'[13]بيانات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IF('[13]بيانات العقد'!$C$8="","",'[13]بيانات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N('[13]بيانات العقد'!$C$16)</f>
        <v/>
      </c>
    </row>
    <row r="6" ht="22" customHeight="1">
      <c r="B6" s="11" t="inlineStr">
        <is>
          <t>المقاول</t>
        </is>
      </c>
      <c r="C6" s="14">
        <f>IF('[13]بيانات العقد'!$C$9="","",'[13]بيانات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IF('[13]بيانات العقد'!$C$11="","",'[13]بيانات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IF('[13]بيانات العقد'!$C$13="","",'[13]بيانات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IF('[13]بيانات العقد'!$C$14="","",'[13]بيانات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N('[13]بيانات العقد'!$C$17)</f>
        <v/>
      </c>
    </row>
    <row r="7">
      <c r="AA7" s="15" t="inlineStr">
        <is>
          <t>قيمة العقد المعدلة</t>
        </is>
      </c>
      <c r="AB7" s="16">
        <f>N('[13]بيانات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N('[13]بيانات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N('[13]بيانات العقد'!$C$21)</f>
        <v/>
      </c>
    </row>
    <row r="10">
      <c r="AA10" s="15" t="inlineStr">
        <is>
          <t>نسبة ضمان الأعمال</t>
        </is>
      </c>
      <c r="AB10" s="23">
        <f>N('[13]بيانات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N('[13]بيانات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N('[13]بيانات العقد'!$C$31)</f>
        <v/>
      </c>
    </row>
    <row r="13">
      <c r="AA13" s="15" t="inlineStr">
        <is>
          <t>ضريبة الاستقطاع (غير المقيم)</t>
        </is>
      </c>
      <c r="AB13" s="23">
        <f>N('[13]بيانات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IF('[13]بيانات العقد'!$C$11="","",'[13]بيانات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IF('[13]بيانات العقد'!$C$13="","",'[13]بيانات العقد'!$C$13)</f>
        <v/>
      </c>
    </row>
    <row r="16">
      <c r="AA16" s="15" t="inlineStr">
        <is>
          <t>المدة (شهر)</t>
        </is>
      </c>
      <c r="AB16" s="43">
        <f>IF('[13]بيانات العقد'!$C$12="","",'[13]بيانات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IF('[13]بيانات العقد'!$C$36="","",'[13]بيانات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IF('[13]بيانات العقد'!$C$37="","",'[13]بيانات العقد'!$C$37)</f>
        <v/>
      </c>
    </row>
    <row r="19">
      <c r="AA19" s="15" t="inlineStr">
        <is>
          <t>الرقم الضريبي لصاحب العمل</t>
        </is>
      </c>
      <c r="AB19" s="48">
        <f>IF('[13]بيانات العقد'!$C$39="","",'[13]بيانات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IF('[13]بيانات العقد'!$C$42="","",'[13]بيانات العقد'!$C$42)</f>
        <v/>
      </c>
    </row>
    <row r="21" ht="32" customHeight="1">
      <c r="B21" s="50">
        <f>N('[13]الموازنة والتكاليف'!$D$66)</f>
        <v/>
      </c>
      <c r="C21" s="50" t="n"/>
      <c r="D21" s="50" t="n"/>
      <c r="E21" s="50" t="n"/>
      <c r="F21" s="50">
        <f>N('[13]الموازنة والتكاليف'!$D$70)</f>
        <v/>
      </c>
      <c r="G21" s="50" t="n"/>
      <c r="H21" s="50" t="n"/>
      <c r="I21" s="50" t="n"/>
      <c r="J21" s="50">
        <f>N('[13]الموازنة والتكاليف'!$D$72)</f>
        <v/>
      </c>
      <c r="K21" s="50" t="n"/>
      <c r="L21" s="50" t="n"/>
      <c r="M21" s="50" t="n"/>
      <c r="N21" s="51">
        <f>N('[13]الموازنة والتكاليف'!$D$73)</f>
        <v/>
      </c>
      <c r="O21" s="51" t="n"/>
      <c r="P21" s="51" t="n"/>
      <c r="Q21" s="51" t="n"/>
      <c r="R21" s="52">
        <f>N('[13]الموازنة والتكاليف'!$D$74)</f>
        <v/>
      </c>
      <c r="S21" s="52" t="n"/>
      <c r="T21" s="52" t="n"/>
      <c r="U21" s="52" t="n"/>
      <c r="V21" s="50">
        <f>N('[13]الموازنة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IF('[13]بيانات العقد'!$C$43="","",'[13]بيانات العقد'!$C$43)</f>
        <v/>
      </c>
    </row>
    <row r="22">
      <c r="AA22" s="15" t="inlineStr">
        <is>
          <t>حالة غرامات التأخير</t>
        </is>
      </c>
      <c r="AB22" s="45">
        <f>IF('[13]بيانات العقد'!$C$47="","",'[13]بيانات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IF('[13]سجل المستخلصات'!$C$6="","",'[13]سجل المستخلصات'!$C$6)</f>
        <v/>
      </c>
      <c r="D25" s="57">
        <f>IF('[13]سجل المستخلصات'!$E$6="","",'[13]سجل المستخلصات'!$E$6)</f>
        <v/>
      </c>
      <c r="E25" s="58">
        <f>IF('[13]سجل المستخلصات'!$F$6="","",'[13]سجل المستخلصات'!$F$6)</f>
        <v/>
      </c>
      <c r="F25" s="59">
        <f>IF('[13]سجل المستخلصات'!$H$6="","",'[13]سجل المستخلصات'!$H$6)</f>
        <v/>
      </c>
      <c r="G25" s="59">
        <f>IF('[13]سجل المستخلصات'!$G$6="","",'[13]سجل المستخلصات'!$G$6)</f>
        <v/>
      </c>
      <c r="H25" s="59">
        <f>IF('[13]سجل المستخلصات'!$I$6="","",'[13]سجل المستخلصات'!$I$6)</f>
        <v/>
      </c>
      <c r="I25" s="59">
        <f>IF('[13]سجل المستخلصات'!$J$6="","",'[13]سجل المستخلصات'!$J$6)</f>
        <v/>
      </c>
      <c r="J25" s="59">
        <f>IF('[13]سجل المستخلصات'!$K$6="","",'[13]سجل المستخلصات'!$K$6)</f>
        <v/>
      </c>
      <c r="K25" s="60">
        <f>IF('[13]سجل المستخلصات'!$L$6="","",'[13]سجل المستخلصات'!$L$6)</f>
        <v/>
      </c>
      <c r="L25" s="60">
        <f>IF('[13]سجل المستخلصات'!$M$6="","",'[13]سجل المستخلصات'!$M$6)</f>
        <v/>
      </c>
      <c r="M25" s="60">
        <f>IF('[13]سجل المستخلصات'!$N$6="","",'[13]سجل المستخلصات'!$N$6)</f>
        <v/>
      </c>
      <c r="N25" s="59">
        <f>IF('[13]سجل المستخلصات'!$O$6="","",'[13]سجل المستخلصات'!$O$6)</f>
        <v/>
      </c>
      <c r="O25" s="59">
        <f>IF('[13]سجل المستخلصات'!$R$6="","",'[13]سجل المستخلصات'!$R$6)</f>
        <v/>
      </c>
      <c r="P25" s="59">
        <f>IF('[13]سجل المستخلصات'!$S$6="","",'[13]سجل المستخلصات'!$S$6)</f>
        <v/>
      </c>
      <c r="Q25" s="59">
        <f>IF('[13]سجل المستخلصات'!$T$6="","",'[13]سجل المستخلصات'!$T$6)</f>
        <v/>
      </c>
      <c r="R25" s="59">
        <f>IF('[13]سجل المستخلصات'!$V$6="","",'[13]سجل المستخلصات'!$V$6)</f>
        <v/>
      </c>
      <c r="S25" s="59">
        <f>IF('[13]سجل المستخلصات'!$W$6="","",'[13]سجل المستخلصات'!$W$6)</f>
        <v/>
      </c>
      <c r="T25" s="61">
        <f>IF('[13]سجل المستخلصات'!$X$6="","",'[13]سجل المستخلصات'!$X$6)</f>
        <v/>
      </c>
      <c r="U25" s="61">
        <f>IF('[13]سجل المستخلصات'!$Z$6="","",'[13]سجل المستخلصات'!$Z$6)</f>
        <v/>
      </c>
      <c r="V25" s="59">
        <f>IF('[13]سجل المستخلصات'!$AA$6="","",'[13]سجل المستخلصات'!$AA$6)</f>
        <v/>
      </c>
      <c r="W25" s="59">
        <f>IF('[13]سجل المستخلصات'!$AC$6="","",'[13]سجل المستخلصات'!$AC$6)</f>
        <v/>
      </c>
      <c r="X25" s="62">
        <f>IF('[13]سجل المستخلصات'!$AD$6="","",'[13]سجل المستخلصات'!$AD$6)</f>
        <v/>
      </c>
      <c r="Y25" s="58">
        <f>IF('[13]سجل المستخلصات'!$AE$6="","",'[13]سجل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IF('[13]سجل المستخلصات'!$C$7="","",'[13]سجل المستخلصات'!$C$7)</f>
        <v/>
      </c>
      <c r="D26" s="57">
        <f>IF('[13]سجل المستخلصات'!$E$7="","",'[13]سجل المستخلصات'!$E$7)</f>
        <v/>
      </c>
      <c r="E26" s="58">
        <f>IF('[13]سجل المستخلصات'!$F$7="","",'[13]سجل المستخلصات'!$F$7)</f>
        <v/>
      </c>
      <c r="F26" s="59">
        <f>IF('[13]سجل المستخلصات'!$H$7="","",'[13]سجل المستخلصات'!$H$7)</f>
        <v/>
      </c>
      <c r="G26" s="59">
        <f>IF('[13]سجل المستخلصات'!$G$7="","",'[13]سجل المستخلصات'!$G$7)</f>
        <v/>
      </c>
      <c r="H26" s="59">
        <f>IF('[13]سجل المستخلصات'!$I$7="","",'[13]سجل المستخلصات'!$I$7)</f>
        <v/>
      </c>
      <c r="I26" s="59">
        <f>IF('[13]سجل المستخلصات'!$J$7="","",'[13]سجل المستخلصات'!$J$7)</f>
        <v/>
      </c>
      <c r="J26" s="59">
        <f>IF('[13]سجل المستخلصات'!$K$7="","",'[13]سجل المستخلصات'!$K$7)</f>
        <v/>
      </c>
      <c r="K26" s="60">
        <f>IF('[13]سجل المستخلصات'!$L$7="","",'[13]سجل المستخلصات'!$L$7)</f>
        <v/>
      </c>
      <c r="L26" s="60">
        <f>IF('[13]سجل المستخلصات'!$M$7="","",'[13]سجل المستخلصات'!$M$7)</f>
        <v/>
      </c>
      <c r="M26" s="60">
        <f>IF('[13]سجل المستخلصات'!$N$7="","",'[13]سجل المستخلصات'!$N$7)</f>
        <v/>
      </c>
      <c r="N26" s="59">
        <f>IF('[13]سجل المستخلصات'!$O$7="","",'[13]سجل المستخلصات'!$O$7)</f>
        <v/>
      </c>
      <c r="O26" s="59">
        <f>IF('[13]سجل المستخلصات'!$R$7="","",'[13]سجل المستخلصات'!$R$7)</f>
        <v/>
      </c>
      <c r="P26" s="59">
        <f>IF('[13]سجل المستخلصات'!$S$7="","",'[13]سجل المستخلصات'!$S$7)</f>
        <v/>
      </c>
      <c r="Q26" s="59">
        <f>IF('[13]سجل المستخلصات'!$T$7="","",'[13]سجل المستخلصات'!$T$7)</f>
        <v/>
      </c>
      <c r="R26" s="59">
        <f>IF('[13]سجل المستخلصات'!$V$7="","",'[13]سجل المستخلصات'!$V$7)</f>
        <v/>
      </c>
      <c r="S26" s="59">
        <f>IF('[13]سجل المستخلصات'!$W$7="","",'[13]سجل المستخلصات'!$W$7)</f>
        <v/>
      </c>
      <c r="T26" s="61">
        <f>IF('[13]سجل المستخلصات'!$X$7="","",'[13]سجل المستخلصات'!$X$7)</f>
        <v/>
      </c>
      <c r="U26" s="61">
        <f>IF('[13]سجل المستخلصات'!$Z$7="","",'[13]سجل المستخلصات'!$Z$7)</f>
        <v/>
      </c>
      <c r="V26" s="59">
        <f>IF('[13]سجل المستخلصات'!$AA$7="","",'[13]سجل المستخلصات'!$AA$7)</f>
        <v/>
      </c>
      <c r="W26" s="59">
        <f>IF('[13]سجل المستخلصات'!$AC$7="","",'[13]سجل المستخلصات'!$AC$7)</f>
        <v/>
      </c>
      <c r="X26" s="62">
        <f>IF('[13]سجل المستخلصات'!$AD$7="","",'[13]سجل المستخلصات'!$AD$7)</f>
        <v/>
      </c>
      <c r="Y26" s="58">
        <f>IF('[13]سجل المستخلصات'!$AE$7="","",'[13]سجل المستخلصات'!$AE$7)</f>
        <v/>
      </c>
      <c r="AA26" s="63" t="n"/>
      <c r="AB26" s="63" t="n"/>
    </row>
    <row r="27">
      <c r="B27" s="56" t="n">
        <v>3</v>
      </c>
      <c r="C27" s="57">
        <f>IF('[13]سجل المستخلصات'!$C$8="","",'[13]سجل المستخلصات'!$C$8)</f>
        <v/>
      </c>
      <c r="D27" s="57">
        <f>IF('[13]سجل المستخلصات'!$E$8="","",'[13]سجل المستخلصات'!$E$8)</f>
        <v/>
      </c>
      <c r="E27" s="58">
        <f>IF('[13]سجل المستخلصات'!$F$8="","",'[13]سجل المستخلصات'!$F$8)</f>
        <v/>
      </c>
      <c r="F27" s="59">
        <f>IF('[13]سجل المستخلصات'!$H$8="","",'[13]سجل المستخلصات'!$H$8)</f>
        <v/>
      </c>
      <c r="G27" s="59">
        <f>IF('[13]سجل المستخلصات'!$G$8="","",'[13]سجل المستخلصات'!$G$8)</f>
        <v/>
      </c>
      <c r="H27" s="59">
        <f>IF('[13]سجل المستخلصات'!$I$8="","",'[13]سجل المستخلصات'!$I$8)</f>
        <v/>
      </c>
      <c r="I27" s="59">
        <f>IF('[13]سجل المستخلصات'!$J$8="","",'[13]سجل المستخلصات'!$J$8)</f>
        <v/>
      </c>
      <c r="J27" s="59">
        <f>IF('[13]سجل المستخلصات'!$K$8="","",'[13]سجل المستخلصات'!$K$8)</f>
        <v/>
      </c>
      <c r="K27" s="60">
        <f>IF('[13]سجل المستخلصات'!$L$8="","",'[13]سجل المستخلصات'!$L$8)</f>
        <v/>
      </c>
      <c r="L27" s="60">
        <f>IF('[13]سجل المستخلصات'!$M$8="","",'[13]سجل المستخلصات'!$M$8)</f>
        <v/>
      </c>
      <c r="M27" s="60">
        <f>IF('[13]سجل المستخلصات'!$N$8="","",'[13]سجل المستخلصات'!$N$8)</f>
        <v/>
      </c>
      <c r="N27" s="59">
        <f>IF('[13]سجل المستخلصات'!$O$8="","",'[13]سجل المستخلصات'!$O$8)</f>
        <v/>
      </c>
      <c r="O27" s="59">
        <f>IF('[13]سجل المستخلصات'!$R$8="","",'[13]سجل المستخلصات'!$R$8)</f>
        <v/>
      </c>
      <c r="P27" s="59">
        <f>IF('[13]سجل المستخلصات'!$S$8="","",'[13]سجل المستخلصات'!$S$8)</f>
        <v/>
      </c>
      <c r="Q27" s="59">
        <f>IF('[13]سجل المستخلصات'!$T$8="","",'[13]سجل المستخلصات'!$T$8)</f>
        <v/>
      </c>
      <c r="R27" s="59">
        <f>IF('[13]سجل المستخلصات'!$V$8="","",'[13]سجل المستخلصات'!$V$8)</f>
        <v/>
      </c>
      <c r="S27" s="59">
        <f>IF('[13]سجل المستخلصات'!$W$8="","",'[13]سجل المستخلصات'!$W$8)</f>
        <v/>
      </c>
      <c r="T27" s="61">
        <f>IF('[13]سجل المستخلصات'!$X$8="","",'[13]سجل المستخلصات'!$X$8)</f>
        <v/>
      </c>
      <c r="U27" s="61">
        <f>IF('[13]سجل المستخلصات'!$Z$8="","",'[13]سجل المستخلصات'!$Z$8)</f>
        <v/>
      </c>
      <c r="V27" s="59">
        <f>IF('[13]سجل المستخلصات'!$AA$8="","",'[13]سجل المستخلصات'!$AA$8)</f>
        <v/>
      </c>
      <c r="W27" s="59">
        <f>IF('[13]سجل المستخلصات'!$AC$8="","",'[13]سجل المستخلصات'!$AC$8)</f>
        <v/>
      </c>
      <c r="X27" s="62">
        <f>IF('[13]سجل المستخلصات'!$AD$8="","",'[13]سجل المستخلصات'!$AD$8)</f>
        <v/>
      </c>
      <c r="Y27" s="58">
        <f>IF('[13]سجل المستخلصات'!$AE$8="","",'[13]سجل المستخلصات'!$AE$8)</f>
        <v/>
      </c>
      <c r="AA27" s="63" t="n"/>
      <c r="AB27" s="63" t="n"/>
    </row>
    <row r="28">
      <c r="B28" s="56" t="n">
        <v>4</v>
      </c>
      <c r="C28" s="57">
        <f>IF('[13]سجل المستخلصات'!$C$9="","",'[13]سجل المستخلصات'!$C$9)</f>
        <v/>
      </c>
      <c r="D28" s="57">
        <f>IF('[13]سجل المستخلصات'!$E$9="","",'[13]سجل المستخلصات'!$E$9)</f>
        <v/>
      </c>
      <c r="E28" s="58">
        <f>IF('[13]سجل المستخلصات'!$F$9="","",'[13]سجل المستخلصات'!$F$9)</f>
        <v/>
      </c>
      <c r="F28" s="59">
        <f>IF('[13]سجل المستخلصات'!$H$9="","",'[13]سجل المستخلصات'!$H$9)</f>
        <v/>
      </c>
      <c r="G28" s="59">
        <f>IF('[13]سجل المستخلصات'!$G$9="","",'[13]سجل المستخلصات'!$G$9)</f>
        <v/>
      </c>
      <c r="H28" s="59">
        <f>IF('[13]سجل المستخلصات'!$I$9="","",'[13]سجل المستخلصات'!$I$9)</f>
        <v/>
      </c>
      <c r="I28" s="59">
        <f>IF('[13]سجل المستخلصات'!$J$9="","",'[13]سجل المستخلصات'!$J$9)</f>
        <v/>
      </c>
      <c r="J28" s="59">
        <f>IF('[13]سجل المستخلصات'!$K$9="","",'[13]سجل المستخلصات'!$K$9)</f>
        <v/>
      </c>
      <c r="K28" s="60">
        <f>IF('[13]سجل المستخلصات'!$L$9="","",'[13]سجل المستخلصات'!$L$9)</f>
        <v/>
      </c>
      <c r="L28" s="60">
        <f>IF('[13]سجل المستخلصات'!$M$9="","",'[13]سجل المستخلصات'!$M$9)</f>
        <v/>
      </c>
      <c r="M28" s="60">
        <f>IF('[13]سجل المستخلصات'!$N$9="","",'[13]سجل المستخلصات'!$N$9)</f>
        <v/>
      </c>
      <c r="N28" s="59">
        <f>IF('[13]سجل المستخلصات'!$O$9="","",'[13]سجل المستخلصات'!$O$9)</f>
        <v/>
      </c>
      <c r="O28" s="59">
        <f>IF('[13]سجل المستخلصات'!$R$9="","",'[13]سجل المستخلصات'!$R$9)</f>
        <v/>
      </c>
      <c r="P28" s="59">
        <f>IF('[13]سجل المستخلصات'!$S$9="","",'[13]سجل المستخلصات'!$S$9)</f>
        <v/>
      </c>
      <c r="Q28" s="59">
        <f>IF('[13]سجل المستخلصات'!$T$9="","",'[13]سجل المستخلصات'!$T$9)</f>
        <v/>
      </c>
      <c r="R28" s="59">
        <f>IF('[13]سجل المستخلصات'!$V$9="","",'[13]سجل المستخلصات'!$V$9)</f>
        <v/>
      </c>
      <c r="S28" s="59">
        <f>IF('[13]سجل المستخلصات'!$W$9="","",'[13]سجل المستخلصات'!$W$9)</f>
        <v/>
      </c>
      <c r="T28" s="61">
        <f>IF('[13]سجل المستخلصات'!$X$9="","",'[13]سجل المستخلصات'!$X$9)</f>
        <v/>
      </c>
      <c r="U28" s="61">
        <f>IF('[13]سجل المستخلصات'!$Z$9="","",'[13]سجل المستخلصات'!$Z$9)</f>
        <v/>
      </c>
      <c r="V28" s="59">
        <f>IF('[13]سجل المستخلصات'!$AA$9="","",'[13]سجل المستخلصات'!$AA$9)</f>
        <v/>
      </c>
      <c r="W28" s="59">
        <f>IF('[13]سجل المستخلصات'!$AC$9="","",'[13]سجل المستخلصات'!$AC$9)</f>
        <v/>
      </c>
      <c r="X28" s="62">
        <f>IF('[13]سجل المستخلصات'!$AD$9="","",'[13]سجل المستخلصات'!$AD$9)</f>
        <v/>
      </c>
      <c r="Y28" s="58">
        <f>IF('[13]سجل المستخلصات'!$AE$9="","",'[13]سجل المستخلصات'!$AE$9)</f>
        <v/>
      </c>
      <c r="AA28" s="63" t="n"/>
      <c r="AB28" s="63" t="n"/>
    </row>
    <row r="29">
      <c r="B29" s="56" t="n">
        <v>5</v>
      </c>
      <c r="C29" s="57">
        <f>IF('[13]سجل المستخلصات'!$C$10="","",'[13]سجل المستخلصات'!$C$10)</f>
        <v/>
      </c>
      <c r="D29" s="57">
        <f>IF('[13]سجل المستخلصات'!$E$10="","",'[13]سجل المستخلصات'!$E$10)</f>
        <v/>
      </c>
      <c r="E29" s="58">
        <f>IF('[13]سجل المستخلصات'!$F$10="","",'[13]سجل المستخلصات'!$F$10)</f>
        <v/>
      </c>
      <c r="F29" s="59">
        <f>IF('[13]سجل المستخلصات'!$H$10="","",'[13]سجل المستخلصات'!$H$10)</f>
        <v/>
      </c>
      <c r="G29" s="59">
        <f>IF('[13]سجل المستخلصات'!$G$10="","",'[13]سجل المستخلصات'!$G$10)</f>
        <v/>
      </c>
      <c r="H29" s="59">
        <f>IF('[13]سجل المستخلصات'!$I$10="","",'[13]سجل المستخلصات'!$I$10)</f>
        <v/>
      </c>
      <c r="I29" s="59">
        <f>IF('[13]سجل المستخلصات'!$J$10="","",'[13]سجل المستخلصات'!$J$10)</f>
        <v/>
      </c>
      <c r="J29" s="59">
        <f>IF('[13]سجل المستخلصات'!$K$10="","",'[13]سجل المستخلصات'!$K$10)</f>
        <v/>
      </c>
      <c r="K29" s="60">
        <f>IF('[13]سجل المستخلصات'!$L$10="","",'[13]سجل المستخلصات'!$L$10)</f>
        <v/>
      </c>
      <c r="L29" s="60">
        <f>IF('[13]سجل المستخلصات'!$M$10="","",'[13]سجل المستخلصات'!$M$10)</f>
        <v/>
      </c>
      <c r="M29" s="60">
        <f>IF('[13]سجل المستخلصات'!$N$10="","",'[13]سجل المستخلصات'!$N$10)</f>
        <v/>
      </c>
      <c r="N29" s="59">
        <f>IF('[13]سجل المستخلصات'!$O$10="","",'[13]سجل المستخلصات'!$O$10)</f>
        <v/>
      </c>
      <c r="O29" s="59">
        <f>IF('[13]سجل المستخلصات'!$R$10="","",'[13]سجل المستخلصات'!$R$10)</f>
        <v/>
      </c>
      <c r="P29" s="59">
        <f>IF('[13]سجل المستخلصات'!$S$10="","",'[13]سجل المستخلصات'!$S$10)</f>
        <v/>
      </c>
      <c r="Q29" s="59">
        <f>IF('[13]سجل المستخلصات'!$T$10="","",'[13]سجل المستخلصات'!$T$10)</f>
        <v/>
      </c>
      <c r="R29" s="59">
        <f>IF('[13]سجل المستخلصات'!$V$10="","",'[13]سجل المستخلصات'!$V$10)</f>
        <v/>
      </c>
      <c r="S29" s="59">
        <f>IF('[13]سجل المستخلصات'!$W$10="","",'[13]سجل المستخلصات'!$W$10)</f>
        <v/>
      </c>
      <c r="T29" s="61">
        <f>IF('[13]سجل المستخلصات'!$X$10="","",'[13]سجل المستخلصات'!$X$10)</f>
        <v/>
      </c>
      <c r="U29" s="61">
        <f>IF('[13]سجل المستخلصات'!$Z$10="","",'[13]سجل المستخلصات'!$Z$10)</f>
        <v/>
      </c>
      <c r="V29" s="59">
        <f>IF('[13]سجل المستخلصات'!$AA$10="","",'[13]سجل المستخلصات'!$AA$10)</f>
        <v/>
      </c>
      <c r="W29" s="59">
        <f>IF('[13]سجل المستخلصات'!$AC$10="","",'[13]سجل المستخلصات'!$AC$10)</f>
        <v/>
      </c>
      <c r="X29" s="62">
        <f>IF('[13]سجل المستخلصات'!$AD$10="","",'[13]سجل المستخلصات'!$AD$10)</f>
        <v/>
      </c>
      <c r="Y29" s="58">
        <f>IF('[13]سجل المستخلصات'!$AE$10="","",'[13]سجل المستخلصات'!$AE$10)</f>
        <v/>
      </c>
    </row>
    <row r="30">
      <c r="B30" s="56" t="n">
        <v>6</v>
      </c>
      <c r="C30" s="57">
        <f>IF('[13]سجل المستخلصات'!$C$11="","",'[13]سجل المستخلصات'!$C$11)</f>
        <v/>
      </c>
      <c r="D30" s="57">
        <f>IF('[13]سجل المستخلصات'!$E$11="","",'[13]سجل المستخلصات'!$E$11)</f>
        <v/>
      </c>
      <c r="E30" s="58">
        <f>IF('[13]سجل المستخلصات'!$F$11="","",'[13]سجل المستخلصات'!$F$11)</f>
        <v/>
      </c>
      <c r="F30" s="59">
        <f>IF('[13]سجل المستخلصات'!$H$11="","",'[13]سجل المستخلصات'!$H$11)</f>
        <v/>
      </c>
      <c r="G30" s="59">
        <f>IF('[13]سجل المستخلصات'!$G$11="","",'[13]سجل المستخلصات'!$G$11)</f>
        <v/>
      </c>
      <c r="H30" s="59">
        <f>IF('[13]سجل المستخلصات'!$I$11="","",'[13]سجل المستخلصات'!$I$11)</f>
        <v/>
      </c>
      <c r="I30" s="59">
        <f>IF('[13]سجل المستخلصات'!$J$11="","",'[13]سجل المستخلصات'!$J$11)</f>
        <v/>
      </c>
      <c r="J30" s="59">
        <f>IF('[13]سجل المستخلصات'!$K$11="","",'[13]سجل المستخلصات'!$K$11)</f>
        <v/>
      </c>
      <c r="K30" s="60">
        <f>IF('[13]سجل المستخلصات'!$L$11="","",'[13]سجل المستخلصات'!$L$11)</f>
        <v/>
      </c>
      <c r="L30" s="60">
        <f>IF('[13]سجل المستخلصات'!$M$11="","",'[13]سجل المستخلصات'!$M$11)</f>
        <v/>
      </c>
      <c r="M30" s="60">
        <f>IF('[13]سجل المستخلصات'!$N$11="","",'[13]سجل المستخلصات'!$N$11)</f>
        <v/>
      </c>
      <c r="N30" s="59">
        <f>IF('[13]سجل المستخلصات'!$O$11="","",'[13]سجل المستخلصات'!$O$11)</f>
        <v/>
      </c>
      <c r="O30" s="59">
        <f>IF('[13]سجل المستخلصات'!$R$11="","",'[13]سجل المستخلصات'!$R$11)</f>
        <v/>
      </c>
      <c r="P30" s="59">
        <f>IF('[13]سجل المستخلصات'!$S$11="","",'[13]سجل المستخلصات'!$S$11)</f>
        <v/>
      </c>
      <c r="Q30" s="59">
        <f>IF('[13]سجل المستخلصات'!$T$11="","",'[13]سجل المستخلصات'!$T$11)</f>
        <v/>
      </c>
      <c r="R30" s="59">
        <f>IF('[13]سجل المستخلصات'!$V$11="","",'[13]سجل المستخلصات'!$V$11)</f>
        <v/>
      </c>
      <c r="S30" s="59">
        <f>IF('[13]سجل المستخلصات'!$W$11="","",'[13]سجل المستخلصات'!$W$11)</f>
        <v/>
      </c>
      <c r="T30" s="61">
        <f>IF('[13]سجل المستخلصات'!$X$11="","",'[13]سجل المستخلصات'!$X$11)</f>
        <v/>
      </c>
      <c r="U30" s="61">
        <f>IF('[13]سجل المستخلصات'!$Z$11="","",'[13]سجل المستخلصات'!$Z$11)</f>
        <v/>
      </c>
      <c r="V30" s="59">
        <f>IF('[13]سجل المستخلصات'!$AA$11="","",'[13]سجل المستخلصات'!$AA$11)</f>
        <v/>
      </c>
      <c r="W30" s="59">
        <f>IF('[13]سجل المستخلصات'!$AC$11="","",'[13]سجل المستخلصات'!$AC$11)</f>
        <v/>
      </c>
      <c r="X30" s="62">
        <f>IF('[13]سجل المستخلصات'!$AD$11="","",'[13]سجل المستخلصات'!$AD$11)</f>
        <v/>
      </c>
      <c r="Y30" s="58">
        <f>IF('[13]سجل المستخلصات'!$AE$11="","",'[13]سجل المستخلصات'!$AE$11)</f>
        <v/>
      </c>
    </row>
    <row r="31">
      <c r="B31" s="56" t="n">
        <v>7</v>
      </c>
      <c r="C31" s="57">
        <f>IF('[13]سجل المستخلصات'!$C$12="","",'[13]سجل المستخلصات'!$C$12)</f>
        <v/>
      </c>
      <c r="D31" s="57">
        <f>IF('[13]سجل المستخلصات'!$E$12="","",'[13]سجل المستخلصات'!$E$12)</f>
        <v/>
      </c>
      <c r="E31" s="58">
        <f>IF('[13]سجل المستخلصات'!$F$12="","",'[13]سجل المستخلصات'!$F$12)</f>
        <v/>
      </c>
      <c r="F31" s="59">
        <f>IF('[13]سجل المستخلصات'!$H$12="","",'[13]سجل المستخلصات'!$H$12)</f>
        <v/>
      </c>
      <c r="G31" s="59">
        <f>IF('[13]سجل المستخلصات'!$G$12="","",'[13]سجل المستخلصات'!$G$12)</f>
        <v/>
      </c>
      <c r="H31" s="59">
        <f>IF('[13]سجل المستخلصات'!$I$12="","",'[13]سجل المستخلصات'!$I$12)</f>
        <v/>
      </c>
      <c r="I31" s="59">
        <f>IF('[13]سجل المستخلصات'!$J$12="","",'[13]سجل المستخلصات'!$J$12)</f>
        <v/>
      </c>
      <c r="J31" s="59">
        <f>IF('[13]سجل المستخلصات'!$K$12="","",'[13]سجل المستخلصات'!$K$12)</f>
        <v/>
      </c>
      <c r="K31" s="60">
        <f>IF('[13]سجل المستخلصات'!$L$12="","",'[13]سجل المستخلصات'!$L$12)</f>
        <v/>
      </c>
      <c r="L31" s="60">
        <f>IF('[13]سجل المستخلصات'!$M$12="","",'[13]سجل المستخلصات'!$M$12)</f>
        <v/>
      </c>
      <c r="M31" s="60">
        <f>IF('[13]سجل المستخلصات'!$N$12="","",'[13]سجل المستخلصات'!$N$12)</f>
        <v/>
      </c>
      <c r="N31" s="59">
        <f>IF('[13]سجل المستخلصات'!$O$12="","",'[13]سجل المستخلصات'!$O$12)</f>
        <v/>
      </c>
      <c r="O31" s="59">
        <f>IF('[13]سجل المستخلصات'!$R$12="","",'[13]سجل المستخلصات'!$R$12)</f>
        <v/>
      </c>
      <c r="P31" s="59">
        <f>IF('[13]سجل المستخلصات'!$S$12="","",'[13]سجل المستخلصات'!$S$12)</f>
        <v/>
      </c>
      <c r="Q31" s="59">
        <f>IF('[13]سجل المستخلصات'!$T$12="","",'[13]سجل المستخلصات'!$T$12)</f>
        <v/>
      </c>
      <c r="R31" s="59">
        <f>IF('[13]سجل المستخلصات'!$V$12="","",'[13]سجل المستخلصات'!$V$12)</f>
        <v/>
      </c>
      <c r="S31" s="59">
        <f>IF('[13]سجل المستخلصات'!$W$12="","",'[13]سجل المستخلصات'!$W$12)</f>
        <v/>
      </c>
      <c r="T31" s="61">
        <f>IF('[13]سجل المستخلصات'!$X$12="","",'[13]سجل المستخلصات'!$X$12)</f>
        <v/>
      </c>
      <c r="U31" s="61">
        <f>IF('[13]سجل المستخلصات'!$Z$12="","",'[13]سجل المستخلصات'!$Z$12)</f>
        <v/>
      </c>
      <c r="V31" s="59">
        <f>IF('[13]سجل المستخلصات'!$AA$12="","",'[13]سجل المستخلصات'!$AA$12)</f>
        <v/>
      </c>
      <c r="W31" s="59">
        <f>IF('[13]سجل المستخلصات'!$AC$12="","",'[13]سجل المستخلصات'!$AC$12)</f>
        <v/>
      </c>
      <c r="X31" s="62">
        <f>IF('[13]سجل المستخلصات'!$AD$12="","",'[13]سجل المستخلصات'!$AD$12)</f>
        <v/>
      </c>
      <c r="Y31" s="58">
        <f>IF('[13]سجل المستخلصات'!$AE$12="","",'[13]سجل المستخلصات'!$AE$12)</f>
        <v/>
      </c>
    </row>
    <row r="32">
      <c r="B32" s="56" t="n">
        <v>8</v>
      </c>
      <c r="C32" s="57">
        <f>IF('[13]سجل المستخلصات'!$C$13="","",'[13]سجل المستخلصات'!$C$13)</f>
        <v/>
      </c>
      <c r="D32" s="57">
        <f>IF('[13]سجل المستخلصات'!$E$13="","",'[13]سجل المستخلصات'!$E$13)</f>
        <v/>
      </c>
      <c r="E32" s="58">
        <f>IF('[13]سجل المستخلصات'!$F$13="","",'[13]سجل المستخلصات'!$F$13)</f>
        <v/>
      </c>
      <c r="F32" s="59">
        <f>IF('[13]سجل المستخلصات'!$H$13="","",'[13]سجل المستخلصات'!$H$13)</f>
        <v/>
      </c>
      <c r="G32" s="59">
        <f>IF('[13]سجل المستخلصات'!$G$13="","",'[13]سجل المستخلصات'!$G$13)</f>
        <v/>
      </c>
      <c r="H32" s="59">
        <f>IF('[13]سجل المستخلصات'!$I$13="","",'[13]سجل المستخلصات'!$I$13)</f>
        <v/>
      </c>
      <c r="I32" s="59">
        <f>IF('[13]سجل المستخلصات'!$J$13="","",'[13]سجل المستخلصات'!$J$13)</f>
        <v/>
      </c>
      <c r="J32" s="59">
        <f>IF('[13]سجل المستخلصات'!$K$13="","",'[13]سجل المستخلصات'!$K$13)</f>
        <v/>
      </c>
      <c r="K32" s="60">
        <f>IF('[13]سجل المستخلصات'!$L$13="","",'[13]سجل المستخلصات'!$L$13)</f>
        <v/>
      </c>
      <c r="L32" s="60">
        <f>IF('[13]سجل المستخلصات'!$M$13="","",'[13]سجل المستخلصات'!$M$13)</f>
        <v/>
      </c>
      <c r="M32" s="60">
        <f>IF('[13]سجل المستخلصات'!$N$13="","",'[13]سجل المستخلصات'!$N$13)</f>
        <v/>
      </c>
      <c r="N32" s="59">
        <f>IF('[13]سجل المستخلصات'!$O$13="","",'[13]سجل المستخلصات'!$O$13)</f>
        <v/>
      </c>
      <c r="O32" s="59">
        <f>IF('[13]سجل المستخلصات'!$R$13="","",'[13]سجل المستخلصات'!$R$13)</f>
        <v/>
      </c>
      <c r="P32" s="59">
        <f>IF('[13]سجل المستخلصات'!$S$13="","",'[13]سجل المستخلصات'!$S$13)</f>
        <v/>
      </c>
      <c r="Q32" s="59">
        <f>IF('[13]سجل المستخلصات'!$T$13="","",'[13]سجل المستخلصات'!$T$13)</f>
        <v/>
      </c>
      <c r="R32" s="59">
        <f>IF('[13]سجل المستخلصات'!$V$13="","",'[13]سجل المستخلصات'!$V$13)</f>
        <v/>
      </c>
      <c r="S32" s="59">
        <f>IF('[13]سجل المستخلصات'!$W$13="","",'[13]سجل المستخلصات'!$W$13)</f>
        <v/>
      </c>
      <c r="T32" s="61">
        <f>IF('[13]سجل المستخلصات'!$X$13="","",'[13]سجل المستخلصات'!$X$13)</f>
        <v/>
      </c>
      <c r="U32" s="61">
        <f>IF('[13]سجل المستخلصات'!$Z$13="","",'[13]سجل المستخلصات'!$Z$13)</f>
        <v/>
      </c>
      <c r="V32" s="59">
        <f>IF('[13]سجل المستخلصات'!$AA$13="","",'[13]سجل المستخلصات'!$AA$13)</f>
        <v/>
      </c>
      <c r="W32" s="59">
        <f>IF('[13]سجل المستخلصات'!$AC$13="","",'[13]سجل المستخلصات'!$AC$13)</f>
        <v/>
      </c>
      <c r="X32" s="62">
        <f>IF('[13]سجل المستخلصات'!$AD$13="","",'[13]سجل المستخلصات'!$AD$13)</f>
        <v/>
      </c>
      <c r="Y32" s="58">
        <f>IF('[13]سجل المستخلصات'!$AE$13="","",'[13]سجل المستخلصات'!$AE$13)</f>
        <v/>
      </c>
    </row>
    <row r="33">
      <c r="B33" s="56" t="n">
        <v>9</v>
      </c>
      <c r="C33" s="57">
        <f>IF('[13]سجل المستخلصات'!$C$14="","",'[13]سجل المستخلصات'!$C$14)</f>
        <v/>
      </c>
      <c r="D33" s="57">
        <f>IF('[13]سجل المستخلصات'!$E$14="","",'[13]سجل المستخلصات'!$E$14)</f>
        <v/>
      </c>
      <c r="E33" s="58">
        <f>IF('[13]سجل المستخلصات'!$F$14="","",'[13]سجل المستخلصات'!$F$14)</f>
        <v/>
      </c>
      <c r="F33" s="59">
        <f>IF('[13]سجل المستخلصات'!$H$14="","",'[13]سجل المستخلصات'!$H$14)</f>
        <v/>
      </c>
      <c r="G33" s="59">
        <f>IF('[13]سجل المستخلصات'!$G$14="","",'[13]سجل المستخلصات'!$G$14)</f>
        <v/>
      </c>
      <c r="H33" s="59">
        <f>IF('[13]سجل المستخلصات'!$I$14="","",'[13]سجل المستخلصات'!$I$14)</f>
        <v/>
      </c>
      <c r="I33" s="59">
        <f>IF('[13]سجل المستخلصات'!$J$14="","",'[13]سجل المستخلصات'!$J$14)</f>
        <v/>
      </c>
      <c r="J33" s="59">
        <f>IF('[13]سجل المستخلصات'!$K$14="","",'[13]سجل المستخلصات'!$K$14)</f>
        <v/>
      </c>
      <c r="K33" s="60">
        <f>IF('[13]سجل المستخلصات'!$L$14="","",'[13]سجل المستخلصات'!$L$14)</f>
        <v/>
      </c>
      <c r="L33" s="60">
        <f>IF('[13]سجل المستخلصات'!$M$14="","",'[13]سجل المستخلصات'!$M$14)</f>
        <v/>
      </c>
      <c r="M33" s="60">
        <f>IF('[13]سجل المستخلصات'!$N$14="","",'[13]سجل المستخلصات'!$N$14)</f>
        <v/>
      </c>
      <c r="N33" s="59">
        <f>IF('[13]سجل المستخلصات'!$O$14="","",'[13]سجل المستخلصات'!$O$14)</f>
        <v/>
      </c>
      <c r="O33" s="59">
        <f>IF('[13]سجل المستخلصات'!$R$14="","",'[13]سجل المستخلصات'!$R$14)</f>
        <v/>
      </c>
      <c r="P33" s="59">
        <f>IF('[13]سجل المستخلصات'!$S$14="","",'[13]سجل المستخلصات'!$S$14)</f>
        <v/>
      </c>
      <c r="Q33" s="59">
        <f>IF('[13]سجل المستخلصات'!$T$14="","",'[13]سجل المستخلصات'!$T$14)</f>
        <v/>
      </c>
      <c r="R33" s="59">
        <f>IF('[13]سجل المستخلصات'!$V$14="","",'[13]سجل المستخلصات'!$V$14)</f>
        <v/>
      </c>
      <c r="S33" s="59">
        <f>IF('[13]سجل المستخلصات'!$W$14="","",'[13]سجل المستخلصات'!$W$14)</f>
        <v/>
      </c>
      <c r="T33" s="61">
        <f>IF('[13]سجل المستخلصات'!$X$14="","",'[13]سجل المستخلصات'!$X$14)</f>
        <v/>
      </c>
      <c r="U33" s="61">
        <f>IF('[13]سجل المستخلصات'!$Z$14="","",'[13]سجل المستخلصات'!$Z$14)</f>
        <v/>
      </c>
      <c r="V33" s="59">
        <f>IF('[13]سجل المستخلصات'!$AA$14="","",'[13]سجل المستخلصات'!$AA$14)</f>
        <v/>
      </c>
      <c r="W33" s="59">
        <f>IF('[13]سجل المستخلصات'!$AC$14="","",'[13]سجل المستخلصات'!$AC$14)</f>
        <v/>
      </c>
      <c r="X33" s="62">
        <f>IF('[13]سجل المستخلصات'!$AD$14="","",'[13]سجل المستخلصات'!$AD$14)</f>
        <v/>
      </c>
      <c r="Y33" s="58">
        <f>IF('[13]سجل المستخلصات'!$AE$14="","",'[13]سجل المستخلصات'!$AE$14)</f>
        <v/>
      </c>
    </row>
    <row r="34">
      <c r="B34" s="56" t="n">
        <v>10</v>
      </c>
      <c r="C34" s="57">
        <f>IF('[13]سجل المستخلصات'!$C$15="","",'[13]سجل المستخلصات'!$C$15)</f>
        <v/>
      </c>
      <c r="D34" s="57">
        <f>IF('[13]سجل المستخلصات'!$E$15="","",'[13]سجل المستخلصات'!$E$15)</f>
        <v/>
      </c>
      <c r="E34" s="58">
        <f>IF('[13]سجل المستخلصات'!$F$15="","",'[13]سجل المستخلصات'!$F$15)</f>
        <v/>
      </c>
      <c r="F34" s="59">
        <f>IF('[13]سجل المستخلصات'!$H$15="","",'[13]سجل المستخلصات'!$H$15)</f>
        <v/>
      </c>
      <c r="G34" s="59">
        <f>IF('[13]سجل المستخلصات'!$G$15="","",'[13]سجل المستخلصات'!$G$15)</f>
        <v/>
      </c>
      <c r="H34" s="59">
        <f>IF('[13]سجل المستخلصات'!$I$15="","",'[13]سجل المستخلصات'!$I$15)</f>
        <v/>
      </c>
      <c r="I34" s="59">
        <f>IF('[13]سجل المستخلصات'!$J$15="","",'[13]سجل المستخلصات'!$J$15)</f>
        <v/>
      </c>
      <c r="J34" s="59">
        <f>IF('[13]سجل المستخلصات'!$K$15="","",'[13]سجل المستخلصات'!$K$15)</f>
        <v/>
      </c>
      <c r="K34" s="60">
        <f>IF('[13]سجل المستخلصات'!$L$15="","",'[13]سجل المستخلصات'!$L$15)</f>
        <v/>
      </c>
      <c r="L34" s="60">
        <f>IF('[13]سجل المستخلصات'!$M$15="","",'[13]سجل المستخلصات'!$M$15)</f>
        <v/>
      </c>
      <c r="M34" s="60">
        <f>IF('[13]سجل المستخلصات'!$N$15="","",'[13]سجل المستخلصات'!$N$15)</f>
        <v/>
      </c>
      <c r="N34" s="59">
        <f>IF('[13]سجل المستخلصات'!$O$15="","",'[13]سجل المستخلصات'!$O$15)</f>
        <v/>
      </c>
      <c r="O34" s="59">
        <f>IF('[13]سجل المستخلصات'!$R$15="","",'[13]سجل المستخلصات'!$R$15)</f>
        <v/>
      </c>
      <c r="P34" s="59">
        <f>IF('[13]سجل المستخلصات'!$S$15="","",'[13]سجل المستخلصات'!$S$15)</f>
        <v/>
      </c>
      <c r="Q34" s="59">
        <f>IF('[13]سجل المستخلصات'!$T$15="","",'[13]سجل المستخلصات'!$T$15)</f>
        <v/>
      </c>
      <c r="R34" s="59">
        <f>IF('[13]سجل المستخلصات'!$V$15="","",'[13]سجل المستخلصات'!$V$15)</f>
        <v/>
      </c>
      <c r="S34" s="59">
        <f>IF('[13]سجل المستخلصات'!$W$15="","",'[13]سجل المستخلصات'!$W$15)</f>
        <v/>
      </c>
      <c r="T34" s="61">
        <f>IF('[13]سجل المستخلصات'!$X$15="","",'[13]سجل المستخلصات'!$X$15)</f>
        <v/>
      </c>
      <c r="U34" s="61">
        <f>IF('[13]سجل المستخلصات'!$Z$15="","",'[13]سجل المستخلصات'!$Z$15)</f>
        <v/>
      </c>
      <c r="V34" s="59">
        <f>IF('[13]سجل المستخلصات'!$AA$15="","",'[13]سجل المستخلصات'!$AA$15)</f>
        <v/>
      </c>
      <c r="W34" s="59">
        <f>IF('[13]سجل المستخلصات'!$AC$15="","",'[13]سجل المستخلصات'!$AC$15)</f>
        <v/>
      </c>
      <c r="X34" s="62">
        <f>IF('[13]سجل المستخلصات'!$AD$15="","",'[13]سجل المستخلصات'!$AD$15)</f>
        <v/>
      </c>
      <c r="Y34" s="58">
        <f>IF('[13]سجل المستخلصات'!$AE$15="","",'[13]سجل المستخلصات'!$AE$15)</f>
        <v/>
      </c>
    </row>
    <row r="35">
      <c r="B35" s="56" t="n">
        <v>11</v>
      </c>
      <c r="C35" s="57">
        <f>IF('[13]سجل المستخلصات'!$C$16="","",'[13]سجل المستخلصات'!$C$16)</f>
        <v/>
      </c>
      <c r="D35" s="57">
        <f>IF('[13]سجل المستخلصات'!$E$16="","",'[13]سجل المستخلصات'!$E$16)</f>
        <v/>
      </c>
      <c r="E35" s="58">
        <f>IF('[13]سجل المستخلصات'!$F$16="","",'[13]سجل المستخلصات'!$F$16)</f>
        <v/>
      </c>
      <c r="F35" s="59">
        <f>IF('[13]سجل المستخلصات'!$H$16="","",'[13]سجل المستخلصات'!$H$16)</f>
        <v/>
      </c>
      <c r="G35" s="59">
        <f>IF('[13]سجل المستخلصات'!$G$16="","",'[13]سجل المستخلصات'!$G$16)</f>
        <v/>
      </c>
      <c r="H35" s="59">
        <f>IF('[13]سجل المستخلصات'!$I$16="","",'[13]سجل المستخلصات'!$I$16)</f>
        <v/>
      </c>
      <c r="I35" s="59">
        <f>IF('[13]سجل المستخلصات'!$J$16="","",'[13]سجل المستخلصات'!$J$16)</f>
        <v/>
      </c>
      <c r="J35" s="59">
        <f>IF('[13]سجل المستخلصات'!$K$16="","",'[13]سجل المستخلصات'!$K$16)</f>
        <v/>
      </c>
      <c r="K35" s="60">
        <f>IF('[13]سجل المستخلصات'!$L$16="","",'[13]سجل المستخلصات'!$L$16)</f>
        <v/>
      </c>
      <c r="L35" s="60">
        <f>IF('[13]سجل المستخلصات'!$M$16="","",'[13]سجل المستخلصات'!$M$16)</f>
        <v/>
      </c>
      <c r="M35" s="60">
        <f>IF('[13]سجل المستخلصات'!$N$16="","",'[13]سجل المستخلصات'!$N$16)</f>
        <v/>
      </c>
      <c r="N35" s="59">
        <f>IF('[13]سجل المستخلصات'!$O$16="","",'[13]سجل المستخلصات'!$O$16)</f>
        <v/>
      </c>
      <c r="O35" s="59">
        <f>IF('[13]سجل المستخلصات'!$R$16="","",'[13]سجل المستخلصات'!$R$16)</f>
        <v/>
      </c>
      <c r="P35" s="59">
        <f>IF('[13]سجل المستخلصات'!$S$16="","",'[13]سجل المستخلصات'!$S$16)</f>
        <v/>
      </c>
      <c r="Q35" s="59">
        <f>IF('[13]سجل المستخلصات'!$T$16="","",'[13]سجل المستخلصات'!$T$16)</f>
        <v/>
      </c>
      <c r="R35" s="59">
        <f>IF('[13]سجل المستخلصات'!$V$16="","",'[13]سجل المستخلصات'!$V$16)</f>
        <v/>
      </c>
      <c r="S35" s="59">
        <f>IF('[13]سجل المستخلصات'!$W$16="","",'[13]سجل المستخلصات'!$W$16)</f>
        <v/>
      </c>
      <c r="T35" s="61">
        <f>IF('[13]سجل المستخلصات'!$X$16="","",'[13]سجل المستخلصات'!$X$16)</f>
        <v/>
      </c>
      <c r="U35" s="61">
        <f>IF('[13]سجل المستخلصات'!$Z$16="","",'[13]سجل المستخلصات'!$Z$16)</f>
        <v/>
      </c>
      <c r="V35" s="59">
        <f>IF('[13]سجل المستخلصات'!$AA$16="","",'[13]سجل المستخلصات'!$AA$16)</f>
        <v/>
      </c>
      <c r="W35" s="59">
        <f>IF('[13]سجل المستخلصات'!$AC$16="","",'[13]سجل المستخلصات'!$AC$16)</f>
        <v/>
      </c>
      <c r="X35" s="62">
        <f>IF('[13]سجل المستخلصات'!$AD$16="","",'[13]سجل المستخلصات'!$AD$16)</f>
        <v/>
      </c>
      <c r="Y35" s="58">
        <f>IF('[13]سجل المستخلصات'!$AE$16="","",'[13]سجل المستخلصات'!$AE$16)</f>
        <v/>
      </c>
    </row>
    <row r="36">
      <c r="B36" s="56" t="n">
        <v>12</v>
      </c>
      <c r="C36" s="57">
        <f>IF('[13]سجل المستخلصات'!$C$17="","",'[13]سجل المستخلصات'!$C$17)</f>
        <v/>
      </c>
      <c r="D36" s="57">
        <f>IF('[13]سجل المستخلصات'!$E$17="","",'[13]سجل المستخلصات'!$E$17)</f>
        <v/>
      </c>
      <c r="E36" s="58">
        <f>IF('[13]سجل المستخلصات'!$F$17="","",'[13]سجل المستخلصات'!$F$17)</f>
        <v/>
      </c>
      <c r="F36" s="59">
        <f>IF('[13]سجل المستخلصات'!$H$17="","",'[13]سجل المستخلصات'!$H$17)</f>
        <v/>
      </c>
      <c r="G36" s="59">
        <f>IF('[13]سجل المستخلصات'!$G$17="","",'[13]سجل المستخلصات'!$G$17)</f>
        <v/>
      </c>
      <c r="H36" s="59">
        <f>IF('[13]سجل المستخلصات'!$I$17="","",'[13]سجل المستخلصات'!$I$17)</f>
        <v/>
      </c>
      <c r="I36" s="59">
        <f>IF('[13]سجل المستخلصات'!$J$17="","",'[13]سجل المستخلصات'!$J$17)</f>
        <v/>
      </c>
      <c r="J36" s="59">
        <f>IF('[13]سجل المستخلصات'!$K$17="","",'[13]سجل المستخلصات'!$K$17)</f>
        <v/>
      </c>
      <c r="K36" s="60">
        <f>IF('[13]سجل المستخلصات'!$L$17="","",'[13]سجل المستخلصات'!$L$17)</f>
        <v/>
      </c>
      <c r="L36" s="60">
        <f>IF('[13]سجل المستخلصات'!$M$17="","",'[13]سجل المستخلصات'!$M$17)</f>
        <v/>
      </c>
      <c r="M36" s="60">
        <f>IF('[13]سجل المستخلصات'!$N$17="","",'[13]سجل المستخلصات'!$N$17)</f>
        <v/>
      </c>
      <c r="N36" s="59">
        <f>IF('[13]سجل المستخلصات'!$O$17="","",'[13]سجل المستخلصات'!$O$17)</f>
        <v/>
      </c>
      <c r="O36" s="59">
        <f>IF('[13]سجل المستخلصات'!$R$17="","",'[13]سجل المستخلصات'!$R$17)</f>
        <v/>
      </c>
      <c r="P36" s="59">
        <f>IF('[13]سجل المستخلصات'!$S$17="","",'[13]سجل المستخلصات'!$S$17)</f>
        <v/>
      </c>
      <c r="Q36" s="59">
        <f>IF('[13]سجل المستخلصات'!$T$17="","",'[13]سجل المستخلصات'!$T$17)</f>
        <v/>
      </c>
      <c r="R36" s="59">
        <f>IF('[13]سجل المستخلصات'!$V$17="","",'[13]سجل المستخلصات'!$V$17)</f>
        <v/>
      </c>
      <c r="S36" s="59">
        <f>IF('[13]سجل المستخلصات'!$W$17="","",'[13]سجل المستخلصات'!$W$17)</f>
        <v/>
      </c>
      <c r="T36" s="61">
        <f>IF('[13]سجل المستخلصات'!$X$17="","",'[13]سجل المستخلصات'!$X$17)</f>
        <v/>
      </c>
      <c r="U36" s="61">
        <f>IF('[13]سجل المستخلصات'!$Z$17="","",'[13]سجل المستخلصات'!$Z$17)</f>
        <v/>
      </c>
      <c r="V36" s="59">
        <f>IF('[13]سجل المستخلصات'!$AA$17="","",'[13]سجل المستخلصات'!$AA$17)</f>
        <v/>
      </c>
      <c r="W36" s="59">
        <f>IF('[13]سجل المستخلصات'!$AC$17="","",'[13]سجل المستخلصات'!$AC$17)</f>
        <v/>
      </c>
      <c r="X36" s="62">
        <f>IF('[13]سجل المستخلصات'!$AD$17="","",'[13]سجل المستخلصات'!$AD$17)</f>
        <v/>
      </c>
      <c r="Y36" s="58">
        <f>IF('[13]سجل المستخلصات'!$AE$17="","",'[13]سجل المستخلصات'!$AE$17)</f>
        <v/>
      </c>
    </row>
    <row r="37">
      <c r="B37" s="56" t="n">
        <v>13</v>
      </c>
      <c r="C37" s="57">
        <f>IF('[13]سجل المستخلصات'!$C$18="","",'[13]سجل المستخلصات'!$C$18)</f>
        <v/>
      </c>
      <c r="D37" s="57">
        <f>IF('[13]سجل المستخلصات'!$E$18="","",'[13]سجل المستخلصات'!$E$18)</f>
        <v/>
      </c>
      <c r="E37" s="58">
        <f>IF('[13]سجل المستخلصات'!$F$18="","",'[13]سجل المستخلصات'!$F$18)</f>
        <v/>
      </c>
      <c r="F37" s="59">
        <f>IF('[13]سجل المستخلصات'!$H$18="","",'[13]سجل المستخلصات'!$H$18)</f>
        <v/>
      </c>
      <c r="G37" s="59">
        <f>IF('[13]سجل المستخلصات'!$G$18="","",'[13]سجل المستخلصات'!$G$18)</f>
        <v/>
      </c>
      <c r="H37" s="59">
        <f>IF('[13]سجل المستخلصات'!$I$18="","",'[13]سجل المستخلصات'!$I$18)</f>
        <v/>
      </c>
      <c r="I37" s="59">
        <f>IF('[13]سجل المستخلصات'!$J$18="","",'[13]سجل المستخلصات'!$J$18)</f>
        <v/>
      </c>
      <c r="J37" s="59">
        <f>IF('[13]سجل المستخلصات'!$K$18="","",'[13]سجل المستخلصات'!$K$18)</f>
        <v/>
      </c>
      <c r="K37" s="60">
        <f>IF('[13]سجل المستخلصات'!$L$18="","",'[13]سجل المستخلصات'!$L$18)</f>
        <v/>
      </c>
      <c r="L37" s="60">
        <f>IF('[13]سجل المستخلصات'!$M$18="","",'[13]سجل المستخلصات'!$M$18)</f>
        <v/>
      </c>
      <c r="M37" s="60">
        <f>IF('[13]سجل المستخلصات'!$N$18="","",'[13]سجل المستخلصات'!$N$18)</f>
        <v/>
      </c>
      <c r="N37" s="59">
        <f>IF('[13]سجل المستخلصات'!$O$18="","",'[13]سجل المستخلصات'!$O$18)</f>
        <v/>
      </c>
      <c r="O37" s="59">
        <f>IF('[13]سجل المستخلصات'!$R$18="","",'[13]سجل المستخلصات'!$R$18)</f>
        <v/>
      </c>
      <c r="P37" s="59">
        <f>IF('[13]سجل المستخلصات'!$S$18="","",'[13]سجل المستخلصات'!$S$18)</f>
        <v/>
      </c>
      <c r="Q37" s="59">
        <f>IF('[13]سجل المستخلصات'!$T$18="","",'[13]سجل المستخلصات'!$T$18)</f>
        <v/>
      </c>
      <c r="R37" s="59">
        <f>IF('[13]سجل المستخلصات'!$V$18="","",'[13]سجل المستخلصات'!$V$18)</f>
        <v/>
      </c>
      <c r="S37" s="59">
        <f>IF('[13]سجل المستخلصات'!$W$18="","",'[13]سجل المستخلصات'!$W$18)</f>
        <v/>
      </c>
      <c r="T37" s="61">
        <f>IF('[13]سجل المستخلصات'!$X$18="","",'[13]سجل المستخلصات'!$X$18)</f>
        <v/>
      </c>
      <c r="U37" s="61">
        <f>IF('[13]سجل المستخلصات'!$Z$18="","",'[13]سجل المستخلصات'!$Z$18)</f>
        <v/>
      </c>
      <c r="V37" s="59">
        <f>IF('[13]سجل المستخلصات'!$AA$18="","",'[13]سجل المستخلصات'!$AA$18)</f>
        <v/>
      </c>
      <c r="W37" s="59">
        <f>IF('[13]سجل المستخلصات'!$AC$18="","",'[13]سجل المستخلصات'!$AC$18)</f>
        <v/>
      </c>
      <c r="X37" s="62">
        <f>IF('[13]سجل المستخلصات'!$AD$18="","",'[13]سجل المستخلصات'!$AD$18)</f>
        <v/>
      </c>
      <c r="Y37" s="58">
        <f>IF('[13]سجل المستخلصات'!$AE$18="","",'[13]سجل المستخلصات'!$AE$18)</f>
        <v/>
      </c>
    </row>
    <row r="38">
      <c r="B38" s="56" t="n">
        <v>14</v>
      </c>
      <c r="C38" s="57">
        <f>IF('[13]سجل المستخلصات'!$C$19="","",'[13]سجل المستخلصات'!$C$19)</f>
        <v/>
      </c>
      <c r="D38" s="57">
        <f>IF('[13]سجل المستخلصات'!$E$19="","",'[13]سجل المستخلصات'!$E$19)</f>
        <v/>
      </c>
      <c r="E38" s="58">
        <f>IF('[13]سجل المستخلصات'!$F$19="","",'[13]سجل المستخلصات'!$F$19)</f>
        <v/>
      </c>
      <c r="F38" s="59">
        <f>IF('[13]سجل المستخلصات'!$H$19="","",'[13]سجل المستخلصات'!$H$19)</f>
        <v/>
      </c>
      <c r="G38" s="59">
        <f>IF('[13]سجل المستخلصات'!$G$19="","",'[13]سجل المستخلصات'!$G$19)</f>
        <v/>
      </c>
      <c r="H38" s="59">
        <f>IF('[13]سجل المستخلصات'!$I$19="","",'[13]سجل المستخلصات'!$I$19)</f>
        <v/>
      </c>
      <c r="I38" s="59">
        <f>IF('[13]سجل المستخلصات'!$J$19="","",'[13]سجل المستخلصات'!$J$19)</f>
        <v/>
      </c>
      <c r="J38" s="59">
        <f>IF('[13]سجل المستخلصات'!$K$19="","",'[13]سجل المستخلصات'!$K$19)</f>
        <v/>
      </c>
      <c r="K38" s="60">
        <f>IF('[13]سجل المستخلصات'!$L$19="","",'[13]سجل المستخلصات'!$L$19)</f>
        <v/>
      </c>
      <c r="L38" s="60">
        <f>IF('[13]سجل المستخلصات'!$M$19="","",'[13]سجل المستخلصات'!$M$19)</f>
        <v/>
      </c>
      <c r="M38" s="60">
        <f>IF('[13]سجل المستخلصات'!$N$19="","",'[13]سجل المستخلصات'!$N$19)</f>
        <v/>
      </c>
      <c r="N38" s="59">
        <f>IF('[13]سجل المستخلصات'!$O$19="","",'[13]سجل المستخلصات'!$O$19)</f>
        <v/>
      </c>
      <c r="O38" s="59">
        <f>IF('[13]سجل المستخلصات'!$R$19="","",'[13]سجل المستخلصات'!$R$19)</f>
        <v/>
      </c>
      <c r="P38" s="59">
        <f>IF('[13]سجل المستخلصات'!$S$19="","",'[13]سجل المستخلصات'!$S$19)</f>
        <v/>
      </c>
      <c r="Q38" s="59">
        <f>IF('[13]سجل المستخلصات'!$T$19="","",'[13]سجل المستخلصات'!$T$19)</f>
        <v/>
      </c>
      <c r="R38" s="59">
        <f>IF('[13]سجل المستخلصات'!$V$19="","",'[13]سجل المستخلصات'!$V$19)</f>
        <v/>
      </c>
      <c r="S38" s="59">
        <f>IF('[13]سجل المستخلصات'!$W$19="","",'[13]سجل المستخلصات'!$W$19)</f>
        <v/>
      </c>
      <c r="T38" s="61">
        <f>IF('[13]سجل المستخلصات'!$X$19="","",'[13]سجل المستخلصات'!$X$19)</f>
        <v/>
      </c>
      <c r="U38" s="61">
        <f>IF('[13]سجل المستخلصات'!$Z$19="","",'[13]سجل المستخلصات'!$Z$19)</f>
        <v/>
      </c>
      <c r="V38" s="59">
        <f>IF('[13]سجل المستخلصات'!$AA$19="","",'[13]سجل المستخلصات'!$AA$19)</f>
        <v/>
      </c>
      <c r="W38" s="59">
        <f>IF('[13]سجل المستخلصات'!$AC$19="","",'[13]سجل المستخلصات'!$AC$19)</f>
        <v/>
      </c>
      <c r="X38" s="62">
        <f>IF('[13]سجل المستخلصات'!$AD$19="","",'[13]سجل المستخلصات'!$AD$19)</f>
        <v/>
      </c>
      <c r="Y38" s="58">
        <f>IF('[13]سجل المستخلصات'!$AE$19="","",'[13]سجل المستخلصات'!$AE$19)</f>
        <v/>
      </c>
    </row>
    <row r="39">
      <c r="B39" s="56" t="n">
        <v>15</v>
      </c>
      <c r="C39" s="57">
        <f>IF('[13]سجل المستخلصات'!$C$20="","",'[13]سجل المستخلصات'!$C$20)</f>
        <v/>
      </c>
      <c r="D39" s="57">
        <f>IF('[13]سجل المستخلصات'!$E$20="","",'[13]سجل المستخلصات'!$E$20)</f>
        <v/>
      </c>
      <c r="E39" s="58">
        <f>IF('[13]سجل المستخلصات'!$F$20="","",'[13]سجل المستخلصات'!$F$20)</f>
        <v/>
      </c>
      <c r="F39" s="59">
        <f>IF('[13]سجل المستخلصات'!$H$20="","",'[13]سجل المستخلصات'!$H$20)</f>
        <v/>
      </c>
      <c r="G39" s="59">
        <f>IF('[13]سجل المستخلصات'!$G$20="","",'[13]سجل المستخلصات'!$G$20)</f>
        <v/>
      </c>
      <c r="H39" s="59">
        <f>IF('[13]سجل المستخلصات'!$I$20="","",'[13]سجل المستخلصات'!$I$20)</f>
        <v/>
      </c>
      <c r="I39" s="59">
        <f>IF('[13]سجل المستخلصات'!$J$20="","",'[13]سجل المستخلصات'!$J$20)</f>
        <v/>
      </c>
      <c r="J39" s="59">
        <f>IF('[13]سجل المستخلصات'!$K$20="","",'[13]سجل المستخلصات'!$K$20)</f>
        <v/>
      </c>
      <c r="K39" s="60">
        <f>IF('[13]سجل المستخلصات'!$L$20="","",'[13]سجل المستخلصات'!$L$20)</f>
        <v/>
      </c>
      <c r="L39" s="60">
        <f>IF('[13]سجل المستخلصات'!$M$20="","",'[13]سجل المستخلصات'!$M$20)</f>
        <v/>
      </c>
      <c r="M39" s="60">
        <f>IF('[13]سجل المستخلصات'!$N$20="","",'[13]سجل المستخلصات'!$N$20)</f>
        <v/>
      </c>
      <c r="N39" s="59">
        <f>IF('[13]سجل المستخلصات'!$O$20="","",'[13]سجل المستخلصات'!$O$20)</f>
        <v/>
      </c>
      <c r="O39" s="59">
        <f>IF('[13]سجل المستخلصات'!$R$20="","",'[13]سجل المستخلصات'!$R$20)</f>
        <v/>
      </c>
      <c r="P39" s="59">
        <f>IF('[13]سجل المستخلصات'!$S$20="","",'[13]سجل المستخلصات'!$S$20)</f>
        <v/>
      </c>
      <c r="Q39" s="59">
        <f>IF('[13]سجل المستخلصات'!$T$20="","",'[13]سجل المستخلصات'!$T$20)</f>
        <v/>
      </c>
      <c r="R39" s="59">
        <f>IF('[13]سجل المستخلصات'!$V$20="","",'[13]سجل المستخلصات'!$V$20)</f>
        <v/>
      </c>
      <c r="S39" s="59">
        <f>IF('[13]سجل المستخلصات'!$W$20="","",'[13]سجل المستخلصات'!$W$20)</f>
        <v/>
      </c>
      <c r="T39" s="61">
        <f>IF('[13]سجل المستخلصات'!$X$20="","",'[13]سجل المستخلصات'!$X$20)</f>
        <v/>
      </c>
      <c r="U39" s="61">
        <f>IF('[13]سجل المستخلصات'!$Z$20="","",'[13]سجل المستخلصات'!$Z$20)</f>
        <v/>
      </c>
      <c r="V39" s="59">
        <f>IF('[13]سجل المستخلصات'!$AA$20="","",'[13]سجل المستخلصات'!$AA$20)</f>
        <v/>
      </c>
      <c r="W39" s="59">
        <f>IF('[13]سجل المستخلصات'!$AC$20="","",'[13]سجل المستخلصات'!$AC$20)</f>
        <v/>
      </c>
      <c r="X39" s="62">
        <f>IF('[13]سجل المستخلصات'!$AD$20="","",'[13]سجل المستخلصات'!$AD$20)</f>
        <v/>
      </c>
      <c r="Y39" s="58">
        <f>IF('[13]سجل المستخلصات'!$AE$20="","",'[13]سجل المستخلصات'!$AE$20)</f>
        <v/>
      </c>
    </row>
    <row r="40">
      <c r="B40" s="56" t="n">
        <v>16</v>
      </c>
      <c r="C40" s="57">
        <f>IF('[13]سجل المستخلصات'!$C$21="","",'[13]سجل المستخلصات'!$C$21)</f>
        <v/>
      </c>
      <c r="D40" s="57">
        <f>IF('[13]سجل المستخلصات'!$E$21="","",'[13]سجل المستخلصات'!$E$21)</f>
        <v/>
      </c>
      <c r="E40" s="58">
        <f>IF('[13]سجل المستخلصات'!$F$21="","",'[13]سجل المستخلصات'!$F$21)</f>
        <v/>
      </c>
      <c r="F40" s="59">
        <f>IF('[13]سجل المستخلصات'!$H$21="","",'[13]سجل المستخلصات'!$H$21)</f>
        <v/>
      </c>
      <c r="G40" s="59">
        <f>IF('[13]سجل المستخلصات'!$G$21="","",'[13]سجل المستخلصات'!$G$21)</f>
        <v/>
      </c>
      <c r="H40" s="59">
        <f>IF('[13]سجل المستخلصات'!$I$21="","",'[13]سجل المستخلصات'!$I$21)</f>
        <v/>
      </c>
      <c r="I40" s="59">
        <f>IF('[13]سجل المستخلصات'!$J$21="","",'[13]سجل المستخلصات'!$J$21)</f>
        <v/>
      </c>
      <c r="J40" s="59">
        <f>IF('[13]سجل المستخلصات'!$K$21="","",'[13]سجل المستخلصات'!$K$21)</f>
        <v/>
      </c>
      <c r="K40" s="60">
        <f>IF('[13]سجل المستخلصات'!$L$21="","",'[13]سجل المستخلصات'!$L$21)</f>
        <v/>
      </c>
      <c r="L40" s="60">
        <f>IF('[13]سجل المستخلصات'!$M$21="","",'[13]سجل المستخلصات'!$M$21)</f>
        <v/>
      </c>
      <c r="M40" s="60">
        <f>IF('[13]سجل المستخلصات'!$N$21="","",'[13]سجل المستخلصات'!$N$21)</f>
        <v/>
      </c>
      <c r="N40" s="59">
        <f>IF('[13]سجل المستخلصات'!$O$21="","",'[13]سجل المستخلصات'!$O$21)</f>
        <v/>
      </c>
      <c r="O40" s="59">
        <f>IF('[13]سجل المستخلصات'!$R$21="","",'[13]سجل المستخلصات'!$R$21)</f>
        <v/>
      </c>
      <c r="P40" s="59">
        <f>IF('[13]سجل المستخلصات'!$S$21="","",'[13]سجل المستخلصات'!$S$21)</f>
        <v/>
      </c>
      <c r="Q40" s="59">
        <f>IF('[13]سجل المستخلصات'!$T$21="","",'[13]سجل المستخلصات'!$T$21)</f>
        <v/>
      </c>
      <c r="R40" s="59">
        <f>IF('[13]سجل المستخلصات'!$V$21="","",'[13]سجل المستخلصات'!$V$21)</f>
        <v/>
      </c>
      <c r="S40" s="59">
        <f>IF('[13]سجل المستخلصات'!$W$21="","",'[13]سجل المستخلصات'!$W$21)</f>
        <v/>
      </c>
      <c r="T40" s="61">
        <f>IF('[13]سجل المستخلصات'!$X$21="","",'[13]سجل المستخلصات'!$X$21)</f>
        <v/>
      </c>
      <c r="U40" s="61">
        <f>IF('[13]سجل المستخلصات'!$Z$21="","",'[13]سجل المستخلصات'!$Z$21)</f>
        <v/>
      </c>
      <c r="V40" s="59">
        <f>IF('[13]سجل المستخلصات'!$AA$21="","",'[13]سجل المستخلصات'!$AA$21)</f>
        <v/>
      </c>
      <c r="W40" s="59">
        <f>IF('[13]سجل المستخلصات'!$AC$21="","",'[13]سجل المستخلصات'!$AC$21)</f>
        <v/>
      </c>
      <c r="X40" s="62">
        <f>IF('[13]سجل المستخلصات'!$AD$21="","",'[13]سجل المستخلصات'!$AD$21)</f>
        <v/>
      </c>
      <c r="Y40" s="58">
        <f>IF('[13]سجل المستخلصات'!$AE$21="","",'[13]سجل المستخلصات'!$AE$21)</f>
        <v/>
      </c>
    </row>
    <row r="41">
      <c r="B41" s="56" t="n">
        <v>17</v>
      </c>
      <c r="C41" s="57">
        <f>IF('[13]سجل المستخلصات'!$C$22="","",'[13]سجل المستخلصات'!$C$22)</f>
        <v/>
      </c>
      <c r="D41" s="57">
        <f>IF('[13]سجل المستخلصات'!$E$22="","",'[13]سجل المستخلصات'!$E$22)</f>
        <v/>
      </c>
      <c r="E41" s="58">
        <f>IF('[13]سجل المستخلصات'!$F$22="","",'[13]سجل المستخلصات'!$F$22)</f>
        <v/>
      </c>
      <c r="F41" s="59">
        <f>IF('[13]سجل المستخلصات'!$H$22="","",'[13]سجل المستخلصات'!$H$22)</f>
        <v/>
      </c>
      <c r="G41" s="59">
        <f>IF('[13]سجل المستخلصات'!$G$22="","",'[13]سجل المستخلصات'!$G$22)</f>
        <v/>
      </c>
      <c r="H41" s="59">
        <f>IF('[13]سجل المستخلصات'!$I$22="","",'[13]سجل المستخلصات'!$I$22)</f>
        <v/>
      </c>
      <c r="I41" s="59">
        <f>IF('[13]سجل المستخلصات'!$J$22="","",'[13]سجل المستخلصات'!$J$22)</f>
        <v/>
      </c>
      <c r="J41" s="59">
        <f>IF('[13]سجل المستخلصات'!$K$22="","",'[13]سجل المستخلصات'!$K$22)</f>
        <v/>
      </c>
      <c r="K41" s="60">
        <f>IF('[13]سجل المستخلصات'!$L$22="","",'[13]سجل المستخلصات'!$L$22)</f>
        <v/>
      </c>
      <c r="L41" s="60">
        <f>IF('[13]سجل المستخلصات'!$M$22="","",'[13]سجل المستخلصات'!$M$22)</f>
        <v/>
      </c>
      <c r="M41" s="60">
        <f>IF('[13]سجل المستخلصات'!$N$22="","",'[13]سجل المستخلصات'!$N$22)</f>
        <v/>
      </c>
      <c r="N41" s="59">
        <f>IF('[13]سجل المستخلصات'!$O$22="","",'[13]سجل المستخلصات'!$O$22)</f>
        <v/>
      </c>
      <c r="O41" s="59">
        <f>IF('[13]سجل المستخلصات'!$R$22="","",'[13]سجل المستخلصات'!$R$22)</f>
        <v/>
      </c>
      <c r="P41" s="59">
        <f>IF('[13]سجل المستخلصات'!$S$22="","",'[13]سجل المستخلصات'!$S$22)</f>
        <v/>
      </c>
      <c r="Q41" s="59">
        <f>IF('[13]سجل المستخلصات'!$T$22="","",'[13]سجل المستخلصات'!$T$22)</f>
        <v/>
      </c>
      <c r="R41" s="59">
        <f>IF('[13]سجل المستخلصات'!$V$22="","",'[13]سجل المستخلصات'!$V$22)</f>
        <v/>
      </c>
      <c r="S41" s="59">
        <f>IF('[13]سجل المستخلصات'!$W$22="","",'[13]سجل المستخلصات'!$W$22)</f>
        <v/>
      </c>
      <c r="T41" s="61">
        <f>IF('[13]سجل المستخلصات'!$X$22="","",'[13]سجل المستخلصات'!$X$22)</f>
        <v/>
      </c>
      <c r="U41" s="61">
        <f>IF('[13]سجل المستخلصات'!$Z$22="","",'[13]سجل المستخلصات'!$Z$22)</f>
        <v/>
      </c>
      <c r="V41" s="59">
        <f>IF('[13]سجل المستخلصات'!$AA$22="","",'[13]سجل المستخلصات'!$AA$22)</f>
        <v/>
      </c>
      <c r="W41" s="59">
        <f>IF('[13]سجل المستخلصات'!$AC$22="","",'[13]سجل المستخلصات'!$AC$22)</f>
        <v/>
      </c>
      <c r="X41" s="62">
        <f>IF('[13]سجل المستخلصات'!$AD$22="","",'[13]سجل المستخلصات'!$AD$22)</f>
        <v/>
      </c>
      <c r="Y41" s="58">
        <f>IF('[13]سجل المستخلصات'!$AE$22="","",'[13]سجل المستخلصات'!$AE$22)</f>
        <v/>
      </c>
    </row>
    <row r="42">
      <c r="B42" s="56" t="n">
        <v>18</v>
      </c>
      <c r="C42" s="57">
        <f>IF('[13]سجل المستخلصات'!$C$23="","",'[13]سجل المستخلصات'!$C$23)</f>
        <v/>
      </c>
      <c r="D42" s="57">
        <f>IF('[13]سجل المستخلصات'!$E$23="","",'[13]سجل المستخلصات'!$E$23)</f>
        <v/>
      </c>
      <c r="E42" s="58">
        <f>IF('[13]سجل المستخلصات'!$F$23="","",'[13]سجل المستخلصات'!$F$23)</f>
        <v/>
      </c>
      <c r="F42" s="59">
        <f>IF('[13]سجل المستخلصات'!$H$23="","",'[13]سجل المستخلصات'!$H$23)</f>
        <v/>
      </c>
      <c r="G42" s="59">
        <f>IF('[13]سجل المستخلصات'!$G$23="","",'[13]سجل المستخلصات'!$G$23)</f>
        <v/>
      </c>
      <c r="H42" s="59">
        <f>IF('[13]سجل المستخلصات'!$I$23="","",'[13]سجل المستخلصات'!$I$23)</f>
        <v/>
      </c>
      <c r="I42" s="59">
        <f>IF('[13]سجل المستخلصات'!$J$23="","",'[13]سجل المستخلصات'!$J$23)</f>
        <v/>
      </c>
      <c r="J42" s="59">
        <f>IF('[13]سجل المستخلصات'!$K$23="","",'[13]سجل المستخلصات'!$K$23)</f>
        <v/>
      </c>
      <c r="K42" s="60">
        <f>IF('[13]سجل المستخلصات'!$L$23="","",'[13]سجل المستخلصات'!$L$23)</f>
        <v/>
      </c>
      <c r="L42" s="60">
        <f>IF('[13]سجل المستخلصات'!$M$23="","",'[13]سجل المستخلصات'!$M$23)</f>
        <v/>
      </c>
      <c r="M42" s="60">
        <f>IF('[13]سجل المستخلصات'!$N$23="","",'[13]سجل المستخلصات'!$N$23)</f>
        <v/>
      </c>
      <c r="N42" s="59">
        <f>IF('[13]سجل المستخلصات'!$O$23="","",'[13]سجل المستخلصات'!$O$23)</f>
        <v/>
      </c>
      <c r="O42" s="59">
        <f>IF('[13]سجل المستخلصات'!$R$23="","",'[13]سجل المستخلصات'!$R$23)</f>
        <v/>
      </c>
      <c r="P42" s="59">
        <f>IF('[13]سجل المستخلصات'!$S$23="","",'[13]سجل المستخلصات'!$S$23)</f>
        <v/>
      </c>
      <c r="Q42" s="59">
        <f>IF('[13]سجل المستخلصات'!$T$23="","",'[13]سجل المستخلصات'!$T$23)</f>
        <v/>
      </c>
      <c r="R42" s="59">
        <f>IF('[13]سجل المستخلصات'!$V$23="","",'[13]سجل المستخلصات'!$V$23)</f>
        <v/>
      </c>
      <c r="S42" s="59">
        <f>IF('[13]سجل المستخلصات'!$W$23="","",'[13]سجل المستخلصات'!$W$23)</f>
        <v/>
      </c>
      <c r="T42" s="61">
        <f>IF('[13]سجل المستخلصات'!$X$23="","",'[13]سجل المستخلصات'!$X$23)</f>
        <v/>
      </c>
      <c r="U42" s="61">
        <f>IF('[13]سجل المستخلصات'!$Z$23="","",'[13]سجل المستخلصات'!$Z$23)</f>
        <v/>
      </c>
      <c r="V42" s="59">
        <f>IF('[13]سجل المستخلصات'!$AA$23="","",'[13]سجل المستخلصات'!$AA$23)</f>
        <v/>
      </c>
      <c r="W42" s="59">
        <f>IF('[13]سجل المستخلصات'!$AC$23="","",'[13]سجل المستخلصات'!$AC$23)</f>
        <v/>
      </c>
      <c r="X42" s="62">
        <f>IF('[13]سجل المستخلصات'!$AD$23="","",'[13]سجل المستخلصات'!$AD$23)</f>
        <v/>
      </c>
      <c r="Y42" s="58">
        <f>IF('[13]سجل المستخلصات'!$AE$23="","",'[13]سجل المستخلصات'!$AE$23)</f>
        <v/>
      </c>
    </row>
    <row r="43">
      <c r="B43" s="56" t="n">
        <v>19</v>
      </c>
      <c r="C43" s="57">
        <f>IF('[13]سجل المستخلصات'!$C$24="","",'[13]سجل المستخلصات'!$C$24)</f>
        <v/>
      </c>
      <c r="D43" s="57">
        <f>IF('[13]سجل المستخلصات'!$E$24="","",'[13]سجل المستخلصات'!$E$24)</f>
        <v/>
      </c>
      <c r="E43" s="58">
        <f>IF('[13]سجل المستخلصات'!$F$24="","",'[13]سجل المستخلصات'!$F$24)</f>
        <v/>
      </c>
      <c r="F43" s="59">
        <f>IF('[13]سجل المستخلصات'!$H$24="","",'[13]سجل المستخلصات'!$H$24)</f>
        <v/>
      </c>
      <c r="G43" s="59">
        <f>IF('[13]سجل المستخلصات'!$G$24="","",'[13]سجل المستخلصات'!$G$24)</f>
        <v/>
      </c>
      <c r="H43" s="59">
        <f>IF('[13]سجل المستخلصات'!$I$24="","",'[13]سجل المستخلصات'!$I$24)</f>
        <v/>
      </c>
      <c r="I43" s="59">
        <f>IF('[13]سجل المستخلصات'!$J$24="","",'[13]سجل المستخلصات'!$J$24)</f>
        <v/>
      </c>
      <c r="J43" s="59">
        <f>IF('[13]سجل المستخلصات'!$K$24="","",'[13]سجل المستخلصات'!$K$24)</f>
        <v/>
      </c>
      <c r="K43" s="60">
        <f>IF('[13]سجل المستخلصات'!$L$24="","",'[13]سجل المستخلصات'!$L$24)</f>
        <v/>
      </c>
      <c r="L43" s="60">
        <f>IF('[13]سجل المستخلصات'!$M$24="","",'[13]سجل المستخلصات'!$M$24)</f>
        <v/>
      </c>
      <c r="M43" s="60">
        <f>IF('[13]سجل المستخلصات'!$N$24="","",'[13]سجل المستخلصات'!$N$24)</f>
        <v/>
      </c>
      <c r="N43" s="59">
        <f>IF('[13]سجل المستخلصات'!$O$24="","",'[13]سجل المستخلصات'!$O$24)</f>
        <v/>
      </c>
      <c r="O43" s="59">
        <f>IF('[13]سجل المستخلصات'!$R$24="","",'[13]سجل المستخلصات'!$R$24)</f>
        <v/>
      </c>
      <c r="P43" s="59">
        <f>IF('[13]سجل المستخلصات'!$S$24="","",'[13]سجل المستخلصات'!$S$24)</f>
        <v/>
      </c>
      <c r="Q43" s="59">
        <f>IF('[13]سجل المستخلصات'!$T$24="","",'[13]سجل المستخلصات'!$T$24)</f>
        <v/>
      </c>
      <c r="R43" s="59">
        <f>IF('[13]سجل المستخلصات'!$V$24="","",'[13]سجل المستخلصات'!$V$24)</f>
        <v/>
      </c>
      <c r="S43" s="59">
        <f>IF('[13]سجل المستخلصات'!$W$24="","",'[13]سجل المستخلصات'!$W$24)</f>
        <v/>
      </c>
      <c r="T43" s="61">
        <f>IF('[13]سجل المستخلصات'!$X$24="","",'[13]سجل المستخلصات'!$X$24)</f>
        <v/>
      </c>
      <c r="U43" s="61">
        <f>IF('[13]سجل المستخلصات'!$Z$24="","",'[13]سجل المستخلصات'!$Z$24)</f>
        <v/>
      </c>
      <c r="V43" s="59">
        <f>IF('[13]سجل المستخلصات'!$AA$24="","",'[13]سجل المستخلصات'!$AA$24)</f>
        <v/>
      </c>
      <c r="W43" s="59">
        <f>IF('[13]سجل المستخلصات'!$AC$24="","",'[13]سجل المستخلصات'!$AC$24)</f>
        <v/>
      </c>
      <c r="X43" s="62">
        <f>IF('[13]سجل المستخلصات'!$AD$24="","",'[13]سجل المستخلصات'!$AD$24)</f>
        <v/>
      </c>
      <c r="Y43" s="58">
        <f>IF('[13]سجل المستخلصات'!$AE$24="","",'[13]سجل المستخلصات'!$AE$24)</f>
        <v/>
      </c>
    </row>
    <row r="44">
      <c r="B44" s="56" t="n">
        <v>20</v>
      </c>
      <c r="C44" s="57">
        <f>IF('[13]سجل المستخلصات'!$C$25="","",'[13]سجل المستخلصات'!$C$25)</f>
        <v/>
      </c>
      <c r="D44" s="57">
        <f>IF('[13]سجل المستخلصات'!$E$25="","",'[13]سجل المستخلصات'!$E$25)</f>
        <v/>
      </c>
      <c r="E44" s="58">
        <f>IF('[13]سجل المستخلصات'!$F$25="","",'[13]سجل المستخلصات'!$F$25)</f>
        <v/>
      </c>
      <c r="F44" s="59">
        <f>IF('[13]سجل المستخلصات'!$H$25="","",'[13]سجل المستخلصات'!$H$25)</f>
        <v/>
      </c>
      <c r="G44" s="59">
        <f>IF('[13]سجل المستخلصات'!$G$25="","",'[13]سجل المستخلصات'!$G$25)</f>
        <v/>
      </c>
      <c r="H44" s="59">
        <f>IF('[13]سجل المستخلصات'!$I$25="","",'[13]سجل المستخلصات'!$I$25)</f>
        <v/>
      </c>
      <c r="I44" s="59">
        <f>IF('[13]سجل المستخلصات'!$J$25="","",'[13]سجل المستخلصات'!$J$25)</f>
        <v/>
      </c>
      <c r="J44" s="59">
        <f>IF('[13]سجل المستخلصات'!$K$25="","",'[13]سجل المستخلصات'!$K$25)</f>
        <v/>
      </c>
      <c r="K44" s="60">
        <f>IF('[13]سجل المستخلصات'!$L$25="","",'[13]سجل المستخلصات'!$L$25)</f>
        <v/>
      </c>
      <c r="L44" s="60">
        <f>IF('[13]سجل المستخلصات'!$M$25="","",'[13]سجل المستخلصات'!$M$25)</f>
        <v/>
      </c>
      <c r="M44" s="60">
        <f>IF('[13]سجل المستخلصات'!$N$25="","",'[13]سجل المستخلصات'!$N$25)</f>
        <v/>
      </c>
      <c r="N44" s="59">
        <f>IF('[13]سجل المستخلصات'!$O$25="","",'[13]سجل المستخلصات'!$O$25)</f>
        <v/>
      </c>
      <c r="O44" s="59">
        <f>IF('[13]سجل المستخلصات'!$R$25="","",'[13]سجل المستخلصات'!$R$25)</f>
        <v/>
      </c>
      <c r="P44" s="59">
        <f>IF('[13]سجل المستخلصات'!$S$25="","",'[13]سجل المستخلصات'!$S$25)</f>
        <v/>
      </c>
      <c r="Q44" s="59">
        <f>IF('[13]سجل المستخلصات'!$T$25="","",'[13]سجل المستخلصات'!$T$25)</f>
        <v/>
      </c>
      <c r="R44" s="59">
        <f>IF('[13]سجل المستخلصات'!$V$25="","",'[13]سجل المستخلصات'!$V$25)</f>
        <v/>
      </c>
      <c r="S44" s="59">
        <f>IF('[13]سجل المستخلصات'!$W$25="","",'[13]سجل المستخلصات'!$W$25)</f>
        <v/>
      </c>
      <c r="T44" s="61">
        <f>IF('[13]سجل المستخلصات'!$X$25="","",'[13]سجل المستخلصات'!$X$25)</f>
        <v/>
      </c>
      <c r="U44" s="61">
        <f>IF('[13]سجل المستخلصات'!$Z$25="","",'[13]سجل المستخلصات'!$Z$25)</f>
        <v/>
      </c>
      <c r="V44" s="59">
        <f>IF('[13]سجل المستخلصات'!$AA$25="","",'[13]سجل المستخلصات'!$AA$25)</f>
        <v/>
      </c>
      <c r="W44" s="59">
        <f>IF('[13]سجل المستخلصات'!$AC$25="","",'[13]سجل المستخلصات'!$AC$25)</f>
        <v/>
      </c>
      <c r="X44" s="62">
        <f>IF('[13]سجل المستخلصات'!$AD$25="","",'[13]سجل المستخلصات'!$AD$25)</f>
        <v/>
      </c>
      <c r="Y44" s="58">
        <f>IF('[13]سجل المستخلصات'!$AE$25="","",'[13]سجل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IF('[13]سجل المستخلصات'!$B$32="","",'[13]سجل المستخلصات'!$B$32)</f>
        <v/>
      </c>
      <c r="C50" s="69" t="n"/>
      <c r="D50" s="69" t="n"/>
      <c r="E50" s="59">
        <f>N('[13]سجل المستخلصات'!$E$32)</f>
        <v/>
      </c>
      <c r="F50" s="59">
        <f>N('[13]سجل المستخلصات'!$F$32)</f>
        <v/>
      </c>
      <c r="G50" s="70">
        <f>IF(E50&gt;0,F50/E50,0)</f>
        <v/>
      </c>
    </row>
    <row r="51">
      <c r="B51" s="69">
        <f>IF('[13]سجل المستخلصات'!$B$33="","",'[13]سجل المستخلصات'!$B$33)</f>
        <v/>
      </c>
      <c r="C51" s="69" t="n"/>
      <c r="D51" s="69" t="n"/>
      <c r="E51" s="59">
        <f>N('[13]سجل المستخلصات'!$E$33)</f>
        <v/>
      </c>
      <c r="F51" s="59">
        <f>N('[13]سجل المستخلصات'!$F$33)</f>
        <v/>
      </c>
      <c r="G51" s="70">
        <f>IF(E51&gt;0,F51/E51,0)</f>
        <v/>
      </c>
    </row>
    <row r="52">
      <c r="B52" s="69">
        <f>IF('[13]سجل المستخلصات'!$B$34="","",'[13]سجل المستخلصات'!$B$34)</f>
        <v/>
      </c>
      <c r="C52" s="69" t="n"/>
      <c r="D52" s="69" t="n"/>
      <c r="E52" s="59">
        <f>N('[13]سجل المستخلصات'!$E$34)</f>
        <v/>
      </c>
      <c r="F52" s="59">
        <f>N('[13]سجل المستخلصات'!$F$34)</f>
        <v/>
      </c>
      <c r="G52" s="70">
        <f>IF(E52&gt;0,F52/E52,0)</f>
        <v/>
      </c>
    </row>
    <row r="53">
      <c r="B53" s="69">
        <f>IF('[13]سجل المستخلصات'!$B$35="","",'[13]سجل المستخلصات'!$B$35)</f>
        <v/>
      </c>
      <c r="C53" s="69" t="n"/>
      <c r="D53" s="69" t="n"/>
      <c r="E53" s="59">
        <f>N('[13]سجل المستخلصات'!$E$35)</f>
        <v/>
      </c>
      <c r="F53" s="59">
        <f>N('[13]سجل المستخلصات'!$F$35)</f>
        <v/>
      </c>
      <c r="G53" s="70">
        <f>IF(E53&gt;0,F53/E53,0)</f>
        <v/>
      </c>
    </row>
    <row r="54">
      <c r="B54" s="69">
        <f>IF('[13]سجل المستخلصات'!$B$36="","",'[13]سجل المستخلصات'!$B$36)</f>
        <v/>
      </c>
      <c r="C54" s="69" t="n"/>
      <c r="D54" s="69" t="n"/>
      <c r="E54" s="59">
        <f>N('[13]سجل المستخلصات'!$E$36)</f>
        <v/>
      </c>
      <c r="F54" s="59">
        <f>N('[13]سجل المستخلصات'!$F$36)</f>
        <v/>
      </c>
      <c r="G54" s="70">
        <f>IF(E54&gt;0,F54/E54,0)</f>
        <v/>
      </c>
    </row>
    <row r="55">
      <c r="B55" s="69">
        <f>IF('[13]سجل المستخلصات'!$B$37="","",'[13]سجل المستخلصات'!$B$37)</f>
        <v/>
      </c>
      <c r="C55" s="69" t="n"/>
      <c r="D55" s="69" t="n"/>
      <c r="E55" s="59">
        <f>N('[13]سجل المستخلصات'!$E$37)</f>
        <v/>
      </c>
      <c r="F55" s="59">
        <f>N('[13]سجل المستخلصات'!$F$37)</f>
        <v/>
      </c>
      <c r="G55" s="70">
        <f>IF(E55&gt;0,F55/E55,0)</f>
        <v/>
      </c>
    </row>
    <row r="56">
      <c r="B56" s="69">
        <f>IF('[13]سجل المستخلصات'!$B$38="","",'[13]سجل المستخلصات'!$B$38)</f>
        <v/>
      </c>
      <c r="C56" s="69" t="n"/>
      <c r="D56" s="69" t="n"/>
      <c r="E56" s="59">
        <f>N('[13]سجل المستخلصات'!$E$38)</f>
        <v/>
      </c>
      <c r="F56" s="59">
        <f>N('[13]سجل المستخلصات'!$F$38)</f>
        <v/>
      </c>
      <c r="G56" s="70">
        <f>IF(E56&gt;0,F56/E56,0)</f>
        <v/>
      </c>
    </row>
    <row r="57">
      <c r="B57" s="69">
        <f>IF('[13]سجل المستخلصات'!$B$39="","",'[13]سجل المستخلصات'!$B$39)</f>
        <v/>
      </c>
      <c r="C57" s="69" t="n"/>
      <c r="D57" s="69" t="n"/>
      <c r="E57" s="59">
        <f>N('[13]سجل المستخلصات'!$E$39)</f>
        <v/>
      </c>
      <c r="F57" s="59">
        <f>N('[13]سجل المستخلصات'!$F$39)</f>
        <v/>
      </c>
      <c r="G57" s="70">
        <f>IF(E57&gt;0,F57/E57,0)</f>
        <v/>
      </c>
    </row>
    <row r="58">
      <c r="B58" s="69">
        <f>IF('[13]سجل المستخلصات'!$B$40="","",'[13]سجل المستخلصات'!$B$40)</f>
        <v/>
      </c>
      <c r="C58" s="69" t="n"/>
      <c r="D58" s="69" t="n"/>
      <c r="E58" s="59">
        <f>N('[13]سجل المستخلصات'!$E$40)</f>
        <v/>
      </c>
      <c r="F58" s="59">
        <f>N('[13]سجل المستخلصات'!$F$40)</f>
        <v/>
      </c>
      <c r="G58" s="70">
        <f>IF(E58&gt;0,F58/E58,0)</f>
        <v/>
      </c>
    </row>
    <row r="59">
      <c r="B59" s="69">
        <f>IF('[13]سجل المستخلصات'!$B$41="","",'[13]سجل المستخلصات'!$B$41)</f>
        <v/>
      </c>
      <c r="C59" s="69" t="n"/>
      <c r="D59" s="69" t="n"/>
      <c r="E59" s="59">
        <f>N('[13]سجل المستخلصات'!$E$41)</f>
        <v/>
      </c>
      <c r="F59" s="59">
        <f>N('[13]سجل المستخلصات'!$F$41)</f>
        <v/>
      </c>
      <c r="G59" s="70">
        <f>IF(E59&gt;0,F59/E59,0)</f>
        <v/>
      </c>
    </row>
    <row r="60">
      <c r="B60" s="69">
        <f>IF('[13]سجل المستخلصات'!$B$42="","",'[13]سجل المستخلصات'!$B$42)</f>
        <v/>
      </c>
      <c r="C60" s="69" t="n"/>
      <c r="D60" s="69" t="n"/>
      <c r="E60" s="59">
        <f>N('[13]سجل المستخلصات'!$E$42)</f>
        <v/>
      </c>
      <c r="F60" s="59">
        <f>N('[13]سجل المستخلصات'!$F$42)</f>
        <v/>
      </c>
      <c r="G60" s="70">
        <f>IF(E60&gt;0,F60/E60,0)</f>
        <v/>
      </c>
    </row>
    <row r="61">
      <c r="B61" s="69">
        <f>IF('[13]سجل المستخلصات'!$B$43="","",'[13]سجل المستخلصات'!$B$43)</f>
        <v/>
      </c>
      <c r="C61" s="69" t="n"/>
      <c r="D61" s="69" t="n"/>
      <c r="E61" s="59">
        <f>N('[13]سجل المستخلصات'!$E$43)</f>
        <v/>
      </c>
      <c r="F61" s="59">
        <f>N('[13]سجل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12'!A1" display="◄ المشروع السابق"/>
    <hyperlink ref="D3" location="'مشروع 14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"&amp;IF('[14]بيانات العقد'!$C$5="","مشروع رقم 14 — غير مُفعّل",'[14]بيانات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Project_14/IPC_Project_14.xlsx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IF('[14]بيانات العقد'!$C$5="","",'[14]بيانات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IF('[14]بيانات العقد'!$C$6="","",'[14]بيانات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IF('[14]بيانات العقد'!$C$7="","",'[14]بيانات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IF('[14]بيانات العقد'!$C$8="","",'[14]بيانات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N('[14]بيانات العقد'!$C$16)</f>
        <v/>
      </c>
    </row>
    <row r="6" ht="22" customHeight="1">
      <c r="B6" s="11" t="inlineStr">
        <is>
          <t>المقاول</t>
        </is>
      </c>
      <c r="C6" s="14">
        <f>IF('[14]بيانات العقد'!$C$9="","",'[14]بيانات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IF('[14]بيانات العقد'!$C$11="","",'[14]بيانات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IF('[14]بيانات العقد'!$C$13="","",'[14]بيانات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IF('[14]بيانات العقد'!$C$14="","",'[14]بيانات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N('[14]بيانات العقد'!$C$17)</f>
        <v/>
      </c>
    </row>
    <row r="7">
      <c r="AA7" s="15" t="inlineStr">
        <is>
          <t>قيمة العقد المعدلة</t>
        </is>
      </c>
      <c r="AB7" s="16">
        <f>N('[14]بيانات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N('[14]بيانات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N('[14]بيانات العقد'!$C$21)</f>
        <v/>
      </c>
    </row>
    <row r="10">
      <c r="AA10" s="15" t="inlineStr">
        <is>
          <t>نسبة ضمان الأعمال</t>
        </is>
      </c>
      <c r="AB10" s="23">
        <f>N('[14]بيانات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N('[14]بيانات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N('[14]بيانات العقد'!$C$31)</f>
        <v/>
      </c>
    </row>
    <row r="13">
      <c r="AA13" s="15" t="inlineStr">
        <is>
          <t>ضريبة الاستقطاع (غير المقيم)</t>
        </is>
      </c>
      <c r="AB13" s="23">
        <f>N('[14]بيانات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IF('[14]بيانات العقد'!$C$11="","",'[14]بيانات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IF('[14]بيانات العقد'!$C$13="","",'[14]بيانات العقد'!$C$13)</f>
        <v/>
      </c>
    </row>
    <row r="16">
      <c r="AA16" s="15" t="inlineStr">
        <is>
          <t>المدة (شهر)</t>
        </is>
      </c>
      <c r="AB16" s="43">
        <f>IF('[14]بيانات العقد'!$C$12="","",'[14]بيانات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IF('[14]بيانات العقد'!$C$36="","",'[14]بيانات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IF('[14]بيانات العقد'!$C$37="","",'[14]بيانات العقد'!$C$37)</f>
        <v/>
      </c>
    </row>
    <row r="19">
      <c r="AA19" s="15" t="inlineStr">
        <is>
          <t>الرقم الضريبي لصاحب العمل</t>
        </is>
      </c>
      <c r="AB19" s="48">
        <f>IF('[14]بيانات العقد'!$C$39="","",'[14]بيانات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IF('[14]بيانات العقد'!$C$42="","",'[14]بيانات العقد'!$C$42)</f>
        <v/>
      </c>
    </row>
    <row r="21" ht="32" customHeight="1">
      <c r="B21" s="50">
        <f>N('[14]الموازنة والتكاليف'!$D$66)</f>
        <v/>
      </c>
      <c r="C21" s="50" t="n"/>
      <c r="D21" s="50" t="n"/>
      <c r="E21" s="50" t="n"/>
      <c r="F21" s="50">
        <f>N('[14]الموازنة والتكاليف'!$D$70)</f>
        <v/>
      </c>
      <c r="G21" s="50" t="n"/>
      <c r="H21" s="50" t="n"/>
      <c r="I21" s="50" t="n"/>
      <c r="J21" s="50">
        <f>N('[14]الموازنة والتكاليف'!$D$72)</f>
        <v/>
      </c>
      <c r="K21" s="50" t="n"/>
      <c r="L21" s="50" t="n"/>
      <c r="M21" s="50" t="n"/>
      <c r="N21" s="51">
        <f>N('[14]الموازنة والتكاليف'!$D$73)</f>
        <v/>
      </c>
      <c r="O21" s="51" t="n"/>
      <c r="P21" s="51" t="n"/>
      <c r="Q21" s="51" t="n"/>
      <c r="R21" s="52">
        <f>N('[14]الموازنة والتكاليف'!$D$74)</f>
        <v/>
      </c>
      <c r="S21" s="52" t="n"/>
      <c r="T21" s="52" t="n"/>
      <c r="U21" s="52" t="n"/>
      <c r="V21" s="50">
        <f>N('[14]الموازنة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IF('[14]بيانات العقد'!$C$43="","",'[14]بيانات العقد'!$C$43)</f>
        <v/>
      </c>
    </row>
    <row r="22">
      <c r="AA22" s="15" t="inlineStr">
        <is>
          <t>حالة غرامات التأخير</t>
        </is>
      </c>
      <c r="AB22" s="45">
        <f>IF('[14]بيانات العقد'!$C$47="","",'[14]بيانات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IF('[14]سجل المستخلصات'!$C$6="","",'[14]سجل المستخلصات'!$C$6)</f>
        <v/>
      </c>
      <c r="D25" s="57">
        <f>IF('[14]سجل المستخلصات'!$E$6="","",'[14]سجل المستخلصات'!$E$6)</f>
        <v/>
      </c>
      <c r="E25" s="58">
        <f>IF('[14]سجل المستخلصات'!$F$6="","",'[14]سجل المستخلصات'!$F$6)</f>
        <v/>
      </c>
      <c r="F25" s="59">
        <f>IF('[14]سجل المستخلصات'!$H$6="","",'[14]سجل المستخلصات'!$H$6)</f>
        <v/>
      </c>
      <c r="G25" s="59">
        <f>IF('[14]سجل المستخلصات'!$G$6="","",'[14]سجل المستخلصات'!$G$6)</f>
        <v/>
      </c>
      <c r="H25" s="59">
        <f>IF('[14]سجل المستخلصات'!$I$6="","",'[14]سجل المستخلصات'!$I$6)</f>
        <v/>
      </c>
      <c r="I25" s="59">
        <f>IF('[14]سجل المستخلصات'!$J$6="","",'[14]سجل المستخلصات'!$J$6)</f>
        <v/>
      </c>
      <c r="J25" s="59">
        <f>IF('[14]سجل المستخلصات'!$K$6="","",'[14]سجل المستخلصات'!$K$6)</f>
        <v/>
      </c>
      <c r="K25" s="60">
        <f>IF('[14]سجل المستخلصات'!$L$6="","",'[14]سجل المستخلصات'!$L$6)</f>
        <v/>
      </c>
      <c r="L25" s="60">
        <f>IF('[14]سجل المستخلصات'!$M$6="","",'[14]سجل المستخلصات'!$M$6)</f>
        <v/>
      </c>
      <c r="M25" s="60">
        <f>IF('[14]سجل المستخلصات'!$N$6="","",'[14]سجل المستخلصات'!$N$6)</f>
        <v/>
      </c>
      <c r="N25" s="59">
        <f>IF('[14]سجل المستخلصات'!$O$6="","",'[14]سجل المستخلصات'!$O$6)</f>
        <v/>
      </c>
      <c r="O25" s="59">
        <f>IF('[14]سجل المستخلصات'!$R$6="","",'[14]سجل المستخلصات'!$R$6)</f>
        <v/>
      </c>
      <c r="P25" s="59">
        <f>IF('[14]سجل المستخلصات'!$S$6="","",'[14]سجل المستخلصات'!$S$6)</f>
        <v/>
      </c>
      <c r="Q25" s="59">
        <f>IF('[14]سجل المستخلصات'!$T$6="","",'[14]سجل المستخلصات'!$T$6)</f>
        <v/>
      </c>
      <c r="R25" s="59">
        <f>IF('[14]سجل المستخلصات'!$V$6="","",'[14]سجل المستخلصات'!$V$6)</f>
        <v/>
      </c>
      <c r="S25" s="59">
        <f>IF('[14]سجل المستخلصات'!$W$6="","",'[14]سجل المستخلصات'!$W$6)</f>
        <v/>
      </c>
      <c r="T25" s="61">
        <f>IF('[14]سجل المستخلصات'!$X$6="","",'[14]سجل المستخلصات'!$X$6)</f>
        <v/>
      </c>
      <c r="U25" s="61">
        <f>IF('[14]سجل المستخلصات'!$Z$6="","",'[14]سجل المستخلصات'!$Z$6)</f>
        <v/>
      </c>
      <c r="V25" s="59">
        <f>IF('[14]سجل المستخلصات'!$AA$6="","",'[14]سجل المستخلصات'!$AA$6)</f>
        <v/>
      </c>
      <c r="W25" s="59">
        <f>IF('[14]سجل المستخلصات'!$AC$6="","",'[14]سجل المستخلصات'!$AC$6)</f>
        <v/>
      </c>
      <c r="X25" s="62">
        <f>IF('[14]سجل المستخلصات'!$AD$6="","",'[14]سجل المستخلصات'!$AD$6)</f>
        <v/>
      </c>
      <c r="Y25" s="58">
        <f>IF('[14]سجل المستخلصات'!$AE$6="","",'[14]سجل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IF('[14]سجل المستخلصات'!$C$7="","",'[14]سجل المستخلصات'!$C$7)</f>
        <v/>
      </c>
      <c r="D26" s="57">
        <f>IF('[14]سجل المستخلصات'!$E$7="","",'[14]سجل المستخلصات'!$E$7)</f>
        <v/>
      </c>
      <c r="E26" s="58">
        <f>IF('[14]سجل المستخلصات'!$F$7="","",'[14]سجل المستخلصات'!$F$7)</f>
        <v/>
      </c>
      <c r="F26" s="59">
        <f>IF('[14]سجل المستخلصات'!$H$7="","",'[14]سجل المستخلصات'!$H$7)</f>
        <v/>
      </c>
      <c r="G26" s="59">
        <f>IF('[14]سجل المستخلصات'!$G$7="","",'[14]سجل المستخلصات'!$G$7)</f>
        <v/>
      </c>
      <c r="H26" s="59">
        <f>IF('[14]سجل المستخلصات'!$I$7="","",'[14]سجل المستخلصات'!$I$7)</f>
        <v/>
      </c>
      <c r="I26" s="59">
        <f>IF('[14]سجل المستخلصات'!$J$7="","",'[14]سجل المستخلصات'!$J$7)</f>
        <v/>
      </c>
      <c r="J26" s="59">
        <f>IF('[14]سجل المستخلصات'!$K$7="","",'[14]سجل المستخلصات'!$K$7)</f>
        <v/>
      </c>
      <c r="K26" s="60">
        <f>IF('[14]سجل المستخلصات'!$L$7="","",'[14]سجل المستخلصات'!$L$7)</f>
        <v/>
      </c>
      <c r="L26" s="60">
        <f>IF('[14]سجل المستخلصات'!$M$7="","",'[14]سجل المستخلصات'!$M$7)</f>
        <v/>
      </c>
      <c r="M26" s="60">
        <f>IF('[14]سجل المستخلصات'!$N$7="","",'[14]سجل المستخلصات'!$N$7)</f>
        <v/>
      </c>
      <c r="N26" s="59">
        <f>IF('[14]سجل المستخلصات'!$O$7="","",'[14]سجل المستخلصات'!$O$7)</f>
        <v/>
      </c>
      <c r="O26" s="59">
        <f>IF('[14]سجل المستخلصات'!$R$7="","",'[14]سجل المستخلصات'!$R$7)</f>
        <v/>
      </c>
      <c r="P26" s="59">
        <f>IF('[14]سجل المستخلصات'!$S$7="","",'[14]سجل المستخلصات'!$S$7)</f>
        <v/>
      </c>
      <c r="Q26" s="59">
        <f>IF('[14]سجل المستخلصات'!$T$7="","",'[14]سجل المستخلصات'!$T$7)</f>
        <v/>
      </c>
      <c r="R26" s="59">
        <f>IF('[14]سجل المستخلصات'!$V$7="","",'[14]سجل المستخلصات'!$V$7)</f>
        <v/>
      </c>
      <c r="S26" s="59">
        <f>IF('[14]سجل المستخلصات'!$W$7="","",'[14]سجل المستخلصات'!$W$7)</f>
        <v/>
      </c>
      <c r="T26" s="61">
        <f>IF('[14]سجل المستخلصات'!$X$7="","",'[14]سجل المستخلصات'!$X$7)</f>
        <v/>
      </c>
      <c r="U26" s="61">
        <f>IF('[14]سجل المستخلصات'!$Z$7="","",'[14]سجل المستخلصات'!$Z$7)</f>
        <v/>
      </c>
      <c r="V26" s="59">
        <f>IF('[14]سجل المستخلصات'!$AA$7="","",'[14]سجل المستخلصات'!$AA$7)</f>
        <v/>
      </c>
      <c r="W26" s="59">
        <f>IF('[14]سجل المستخلصات'!$AC$7="","",'[14]سجل المستخلصات'!$AC$7)</f>
        <v/>
      </c>
      <c r="X26" s="62">
        <f>IF('[14]سجل المستخلصات'!$AD$7="","",'[14]سجل المستخلصات'!$AD$7)</f>
        <v/>
      </c>
      <c r="Y26" s="58">
        <f>IF('[14]سجل المستخلصات'!$AE$7="","",'[14]سجل المستخلصات'!$AE$7)</f>
        <v/>
      </c>
      <c r="AA26" s="63" t="n"/>
      <c r="AB26" s="63" t="n"/>
    </row>
    <row r="27">
      <c r="B27" s="56" t="n">
        <v>3</v>
      </c>
      <c r="C27" s="57">
        <f>IF('[14]سجل المستخلصات'!$C$8="","",'[14]سجل المستخلصات'!$C$8)</f>
        <v/>
      </c>
      <c r="D27" s="57">
        <f>IF('[14]سجل المستخلصات'!$E$8="","",'[14]سجل المستخلصات'!$E$8)</f>
        <v/>
      </c>
      <c r="E27" s="58">
        <f>IF('[14]سجل المستخلصات'!$F$8="","",'[14]سجل المستخلصات'!$F$8)</f>
        <v/>
      </c>
      <c r="F27" s="59">
        <f>IF('[14]سجل المستخلصات'!$H$8="","",'[14]سجل المستخلصات'!$H$8)</f>
        <v/>
      </c>
      <c r="G27" s="59">
        <f>IF('[14]سجل المستخلصات'!$G$8="","",'[14]سجل المستخلصات'!$G$8)</f>
        <v/>
      </c>
      <c r="H27" s="59">
        <f>IF('[14]سجل المستخلصات'!$I$8="","",'[14]سجل المستخلصات'!$I$8)</f>
        <v/>
      </c>
      <c r="I27" s="59">
        <f>IF('[14]سجل المستخلصات'!$J$8="","",'[14]سجل المستخلصات'!$J$8)</f>
        <v/>
      </c>
      <c r="J27" s="59">
        <f>IF('[14]سجل المستخلصات'!$K$8="","",'[14]سجل المستخلصات'!$K$8)</f>
        <v/>
      </c>
      <c r="K27" s="60">
        <f>IF('[14]سجل المستخلصات'!$L$8="","",'[14]سجل المستخلصات'!$L$8)</f>
        <v/>
      </c>
      <c r="L27" s="60">
        <f>IF('[14]سجل المستخلصات'!$M$8="","",'[14]سجل المستخلصات'!$M$8)</f>
        <v/>
      </c>
      <c r="M27" s="60">
        <f>IF('[14]سجل المستخلصات'!$N$8="","",'[14]سجل المستخلصات'!$N$8)</f>
        <v/>
      </c>
      <c r="N27" s="59">
        <f>IF('[14]سجل المستخلصات'!$O$8="","",'[14]سجل المستخلصات'!$O$8)</f>
        <v/>
      </c>
      <c r="O27" s="59">
        <f>IF('[14]سجل المستخلصات'!$R$8="","",'[14]سجل المستخلصات'!$R$8)</f>
        <v/>
      </c>
      <c r="P27" s="59">
        <f>IF('[14]سجل المستخلصات'!$S$8="","",'[14]سجل المستخلصات'!$S$8)</f>
        <v/>
      </c>
      <c r="Q27" s="59">
        <f>IF('[14]سجل المستخلصات'!$T$8="","",'[14]سجل المستخلصات'!$T$8)</f>
        <v/>
      </c>
      <c r="R27" s="59">
        <f>IF('[14]سجل المستخلصات'!$V$8="","",'[14]سجل المستخلصات'!$V$8)</f>
        <v/>
      </c>
      <c r="S27" s="59">
        <f>IF('[14]سجل المستخلصات'!$W$8="","",'[14]سجل المستخلصات'!$W$8)</f>
        <v/>
      </c>
      <c r="T27" s="61">
        <f>IF('[14]سجل المستخلصات'!$X$8="","",'[14]سجل المستخلصات'!$X$8)</f>
        <v/>
      </c>
      <c r="U27" s="61">
        <f>IF('[14]سجل المستخلصات'!$Z$8="","",'[14]سجل المستخلصات'!$Z$8)</f>
        <v/>
      </c>
      <c r="V27" s="59">
        <f>IF('[14]سجل المستخلصات'!$AA$8="","",'[14]سجل المستخلصات'!$AA$8)</f>
        <v/>
      </c>
      <c r="W27" s="59">
        <f>IF('[14]سجل المستخلصات'!$AC$8="","",'[14]سجل المستخلصات'!$AC$8)</f>
        <v/>
      </c>
      <c r="X27" s="62">
        <f>IF('[14]سجل المستخلصات'!$AD$8="","",'[14]سجل المستخلصات'!$AD$8)</f>
        <v/>
      </c>
      <c r="Y27" s="58">
        <f>IF('[14]سجل المستخلصات'!$AE$8="","",'[14]سجل المستخلصات'!$AE$8)</f>
        <v/>
      </c>
      <c r="AA27" s="63" t="n"/>
      <c r="AB27" s="63" t="n"/>
    </row>
    <row r="28">
      <c r="B28" s="56" t="n">
        <v>4</v>
      </c>
      <c r="C28" s="57">
        <f>IF('[14]سجل المستخلصات'!$C$9="","",'[14]سجل المستخلصات'!$C$9)</f>
        <v/>
      </c>
      <c r="D28" s="57">
        <f>IF('[14]سجل المستخلصات'!$E$9="","",'[14]سجل المستخلصات'!$E$9)</f>
        <v/>
      </c>
      <c r="E28" s="58">
        <f>IF('[14]سجل المستخلصات'!$F$9="","",'[14]سجل المستخلصات'!$F$9)</f>
        <v/>
      </c>
      <c r="F28" s="59">
        <f>IF('[14]سجل المستخلصات'!$H$9="","",'[14]سجل المستخلصات'!$H$9)</f>
        <v/>
      </c>
      <c r="G28" s="59">
        <f>IF('[14]سجل المستخلصات'!$G$9="","",'[14]سجل المستخلصات'!$G$9)</f>
        <v/>
      </c>
      <c r="H28" s="59">
        <f>IF('[14]سجل المستخلصات'!$I$9="","",'[14]سجل المستخلصات'!$I$9)</f>
        <v/>
      </c>
      <c r="I28" s="59">
        <f>IF('[14]سجل المستخلصات'!$J$9="","",'[14]سجل المستخلصات'!$J$9)</f>
        <v/>
      </c>
      <c r="J28" s="59">
        <f>IF('[14]سجل المستخلصات'!$K$9="","",'[14]سجل المستخلصات'!$K$9)</f>
        <v/>
      </c>
      <c r="K28" s="60">
        <f>IF('[14]سجل المستخلصات'!$L$9="","",'[14]سجل المستخلصات'!$L$9)</f>
        <v/>
      </c>
      <c r="L28" s="60">
        <f>IF('[14]سجل المستخلصات'!$M$9="","",'[14]سجل المستخلصات'!$M$9)</f>
        <v/>
      </c>
      <c r="M28" s="60">
        <f>IF('[14]سجل المستخلصات'!$N$9="","",'[14]سجل المستخلصات'!$N$9)</f>
        <v/>
      </c>
      <c r="N28" s="59">
        <f>IF('[14]سجل المستخلصات'!$O$9="","",'[14]سجل المستخلصات'!$O$9)</f>
        <v/>
      </c>
      <c r="O28" s="59">
        <f>IF('[14]سجل المستخلصات'!$R$9="","",'[14]سجل المستخلصات'!$R$9)</f>
        <v/>
      </c>
      <c r="P28" s="59">
        <f>IF('[14]سجل المستخلصات'!$S$9="","",'[14]سجل المستخلصات'!$S$9)</f>
        <v/>
      </c>
      <c r="Q28" s="59">
        <f>IF('[14]سجل المستخلصات'!$T$9="","",'[14]سجل المستخلصات'!$T$9)</f>
        <v/>
      </c>
      <c r="R28" s="59">
        <f>IF('[14]سجل المستخلصات'!$V$9="","",'[14]سجل المستخلصات'!$V$9)</f>
        <v/>
      </c>
      <c r="S28" s="59">
        <f>IF('[14]سجل المستخلصات'!$W$9="","",'[14]سجل المستخلصات'!$W$9)</f>
        <v/>
      </c>
      <c r="T28" s="61">
        <f>IF('[14]سجل المستخلصات'!$X$9="","",'[14]سجل المستخلصات'!$X$9)</f>
        <v/>
      </c>
      <c r="U28" s="61">
        <f>IF('[14]سجل المستخلصات'!$Z$9="","",'[14]سجل المستخلصات'!$Z$9)</f>
        <v/>
      </c>
      <c r="V28" s="59">
        <f>IF('[14]سجل المستخلصات'!$AA$9="","",'[14]سجل المستخلصات'!$AA$9)</f>
        <v/>
      </c>
      <c r="W28" s="59">
        <f>IF('[14]سجل المستخلصات'!$AC$9="","",'[14]سجل المستخلصات'!$AC$9)</f>
        <v/>
      </c>
      <c r="X28" s="62">
        <f>IF('[14]سجل المستخلصات'!$AD$9="","",'[14]سجل المستخلصات'!$AD$9)</f>
        <v/>
      </c>
      <c r="Y28" s="58">
        <f>IF('[14]سجل المستخلصات'!$AE$9="","",'[14]سجل المستخلصات'!$AE$9)</f>
        <v/>
      </c>
      <c r="AA28" s="63" t="n"/>
      <c r="AB28" s="63" t="n"/>
    </row>
    <row r="29">
      <c r="B29" s="56" t="n">
        <v>5</v>
      </c>
      <c r="C29" s="57">
        <f>IF('[14]سجل المستخلصات'!$C$10="","",'[14]سجل المستخلصات'!$C$10)</f>
        <v/>
      </c>
      <c r="D29" s="57">
        <f>IF('[14]سجل المستخلصات'!$E$10="","",'[14]سجل المستخلصات'!$E$10)</f>
        <v/>
      </c>
      <c r="E29" s="58">
        <f>IF('[14]سجل المستخلصات'!$F$10="","",'[14]سجل المستخلصات'!$F$10)</f>
        <v/>
      </c>
      <c r="F29" s="59">
        <f>IF('[14]سجل المستخلصات'!$H$10="","",'[14]سجل المستخلصات'!$H$10)</f>
        <v/>
      </c>
      <c r="G29" s="59">
        <f>IF('[14]سجل المستخلصات'!$G$10="","",'[14]سجل المستخلصات'!$G$10)</f>
        <v/>
      </c>
      <c r="H29" s="59">
        <f>IF('[14]سجل المستخلصات'!$I$10="","",'[14]سجل المستخلصات'!$I$10)</f>
        <v/>
      </c>
      <c r="I29" s="59">
        <f>IF('[14]سجل المستخلصات'!$J$10="","",'[14]سجل المستخلصات'!$J$10)</f>
        <v/>
      </c>
      <c r="J29" s="59">
        <f>IF('[14]سجل المستخلصات'!$K$10="","",'[14]سجل المستخلصات'!$K$10)</f>
        <v/>
      </c>
      <c r="K29" s="60">
        <f>IF('[14]سجل المستخلصات'!$L$10="","",'[14]سجل المستخلصات'!$L$10)</f>
        <v/>
      </c>
      <c r="L29" s="60">
        <f>IF('[14]سجل المستخلصات'!$M$10="","",'[14]سجل المستخلصات'!$M$10)</f>
        <v/>
      </c>
      <c r="M29" s="60">
        <f>IF('[14]سجل المستخلصات'!$N$10="","",'[14]سجل المستخلصات'!$N$10)</f>
        <v/>
      </c>
      <c r="N29" s="59">
        <f>IF('[14]سجل المستخلصات'!$O$10="","",'[14]سجل المستخلصات'!$O$10)</f>
        <v/>
      </c>
      <c r="O29" s="59">
        <f>IF('[14]سجل المستخلصات'!$R$10="","",'[14]سجل المستخلصات'!$R$10)</f>
        <v/>
      </c>
      <c r="P29" s="59">
        <f>IF('[14]سجل المستخلصات'!$S$10="","",'[14]سجل المستخلصات'!$S$10)</f>
        <v/>
      </c>
      <c r="Q29" s="59">
        <f>IF('[14]سجل المستخلصات'!$T$10="","",'[14]سجل المستخلصات'!$T$10)</f>
        <v/>
      </c>
      <c r="R29" s="59">
        <f>IF('[14]سجل المستخلصات'!$V$10="","",'[14]سجل المستخلصات'!$V$10)</f>
        <v/>
      </c>
      <c r="S29" s="59">
        <f>IF('[14]سجل المستخلصات'!$W$10="","",'[14]سجل المستخلصات'!$W$10)</f>
        <v/>
      </c>
      <c r="T29" s="61">
        <f>IF('[14]سجل المستخلصات'!$X$10="","",'[14]سجل المستخلصات'!$X$10)</f>
        <v/>
      </c>
      <c r="U29" s="61">
        <f>IF('[14]سجل المستخلصات'!$Z$10="","",'[14]سجل المستخلصات'!$Z$10)</f>
        <v/>
      </c>
      <c r="V29" s="59">
        <f>IF('[14]سجل المستخلصات'!$AA$10="","",'[14]سجل المستخلصات'!$AA$10)</f>
        <v/>
      </c>
      <c r="W29" s="59">
        <f>IF('[14]سجل المستخلصات'!$AC$10="","",'[14]سجل المستخلصات'!$AC$10)</f>
        <v/>
      </c>
      <c r="X29" s="62">
        <f>IF('[14]سجل المستخلصات'!$AD$10="","",'[14]سجل المستخلصات'!$AD$10)</f>
        <v/>
      </c>
      <c r="Y29" s="58">
        <f>IF('[14]سجل المستخلصات'!$AE$10="","",'[14]سجل المستخلصات'!$AE$10)</f>
        <v/>
      </c>
    </row>
    <row r="30">
      <c r="B30" s="56" t="n">
        <v>6</v>
      </c>
      <c r="C30" s="57">
        <f>IF('[14]سجل المستخلصات'!$C$11="","",'[14]سجل المستخلصات'!$C$11)</f>
        <v/>
      </c>
      <c r="D30" s="57">
        <f>IF('[14]سجل المستخلصات'!$E$11="","",'[14]سجل المستخلصات'!$E$11)</f>
        <v/>
      </c>
      <c r="E30" s="58">
        <f>IF('[14]سجل المستخلصات'!$F$11="","",'[14]سجل المستخلصات'!$F$11)</f>
        <v/>
      </c>
      <c r="F30" s="59">
        <f>IF('[14]سجل المستخلصات'!$H$11="","",'[14]سجل المستخلصات'!$H$11)</f>
        <v/>
      </c>
      <c r="G30" s="59">
        <f>IF('[14]سجل المستخلصات'!$G$11="","",'[14]سجل المستخلصات'!$G$11)</f>
        <v/>
      </c>
      <c r="H30" s="59">
        <f>IF('[14]سجل المستخلصات'!$I$11="","",'[14]سجل المستخلصات'!$I$11)</f>
        <v/>
      </c>
      <c r="I30" s="59">
        <f>IF('[14]سجل المستخلصات'!$J$11="","",'[14]سجل المستخلصات'!$J$11)</f>
        <v/>
      </c>
      <c r="J30" s="59">
        <f>IF('[14]سجل المستخلصات'!$K$11="","",'[14]سجل المستخلصات'!$K$11)</f>
        <v/>
      </c>
      <c r="K30" s="60">
        <f>IF('[14]سجل المستخلصات'!$L$11="","",'[14]سجل المستخلصات'!$L$11)</f>
        <v/>
      </c>
      <c r="L30" s="60">
        <f>IF('[14]سجل المستخلصات'!$M$11="","",'[14]سجل المستخلصات'!$M$11)</f>
        <v/>
      </c>
      <c r="M30" s="60">
        <f>IF('[14]سجل المستخلصات'!$N$11="","",'[14]سجل المستخلصات'!$N$11)</f>
        <v/>
      </c>
      <c r="N30" s="59">
        <f>IF('[14]سجل المستخلصات'!$O$11="","",'[14]سجل المستخلصات'!$O$11)</f>
        <v/>
      </c>
      <c r="O30" s="59">
        <f>IF('[14]سجل المستخلصات'!$R$11="","",'[14]سجل المستخلصات'!$R$11)</f>
        <v/>
      </c>
      <c r="P30" s="59">
        <f>IF('[14]سجل المستخلصات'!$S$11="","",'[14]سجل المستخلصات'!$S$11)</f>
        <v/>
      </c>
      <c r="Q30" s="59">
        <f>IF('[14]سجل المستخلصات'!$T$11="","",'[14]سجل المستخلصات'!$T$11)</f>
        <v/>
      </c>
      <c r="R30" s="59">
        <f>IF('[14]سجل المستخلصات'!$V$11="","",'[14]سجل المستخلصات'!$V$11)</f>
        <v/>
      </c>
      <c r="S30" s="59">
        <f>IF('[14]سجل المستخلصات'!$W$11="","",'[14]سجل المستخلصات'!$W$11)</f>
        <v/>
      </c>
      <c r="T30" s="61">
        <f>IF('[14]سجل المستخلصات'!$X$11="","",'[14]سجل المستخلصات'!$X$11)</f>
        <v/>
      </c>
      <c r="U30" s="61">
        <f>IF('[14]سجل المستخلصات'!$Z$11="","",'[14]سجل المستخلصات'!$Z$11)</f>
        <v/>
      </c>
      <c r="V30" s="59">
        <f>IF('[14]سجل المستخلصات'!$AA$11="","",'[14]سجل المستخلصات'!$AA$11)</f>
        <v/>
      </c>
      <c r="W30" s="59">
        <f>IF('[14]سجل المستخلصات'!$AC$11="","",'[14]سجل المستخلصات'!$AC$11)</f>
        <v/>
      </c>
      <c r="X30" s="62">
        <f>IF('[14]سجل المستخلصات'!$AD$11="","",'[14]سجل المستخلصات'!$AD$11)</f>
        <v/>
      </c>
      <c r="Y30" s="58">
        <f>IF('[14]سجل المستخلصات'!$AE$11="","",'[14]سجل المستخلصات'!$AE$11)</f>
        <v/>
      </c>
    </row>
    <row r="31">
      <c r="B31" s="56" t="n">
        <v>7</v>
      </c>
      <c r="C31" s="57">
        <f>IF('[14]سجل المستخلصات'!$C$12="","",'[14]سجل المستخلصات'!$C$12)</f>
        <v/>
      </c>
      <c r="D31" s="57">
        <f>IF('[14]سجل المستخلصات'!$E$12="","",'[14]سجل المستخلصات'!$E$12)</f>
        <v/>
      </c>
      <c r="E31" s="58">
        <f>IF('[14]سجل المستخلصات'!$F$12="","",'[14]سجل المستخلصات'!$F$12)</f>
        <v/>
      </c>
      <c r="F31" s="59">
        <f>IF('[14]سجل المستخلصات'!$H$12="","",'[14]سجل المستخلصات'!$H$12)</f>
        <v/>
      </c>
      <c r="G31" s="59">
        <f>IF('[14]سجل المستخلصات'!$G$12="","",'[14]سجل المستخلصات'!$G$12)</f>
        <v/>
      </c>
      <c r="H31" s="59">
        <f>IF('[14]سجل المستخلصات'!$I$12="","",'[14]سجل المستخلصات'!$I$12)</f>
        <v/>
      </c>
      <c r="I31" s="59">
        <f>IF('[14]سجل المستخلصات'!$J$12="","",'[14]سجل المستخلصات'!$J$12)</f>
        <v/>
      </c>
      <c r="J31" s="59">
        <f>IF('[14]سجل المستخلصات'!$K$12="","",'[14]سجل المستخلصات'!$K$12)</f>
        <v/>
      </c>
      <c r="K31" s="60">
        <f>IF('[14]سجل المستخلصات'!$L$12="","",'[14]سجل المستخلصات'!$L$12)</f>
        <v/>
      </c>
      <c r="L31" s="60">
        <f>IF('[14]سجل المستخلصات'!$M$12="","",'[14]سجل المستخلصات'!$M$12)</f>
        <v/>
      </c>
      <c r="M31" s="60">
        <f>IF('[14]سجل المستخلصات'!$N$12="","",'[14]سجل المستخلصات'!$N$12)</f>
        <v/>
      </c>
      <c r="N31" s="59">
        <f>IF('[14]سجل المستخلصات'!$O$12="","",'[14]سجل المستخلصات'!$O$12)</f>
        <v/>
      </c>
      <c r="O31" s="59">
        <f>IF('[14]سجل المستخلصات'!$R$12="","",'[14]سجل المستخلصات'!$R$12)</f>
        <v/>
      </c>
      <c r="P31" s="59">
        <f>IF('[14]سجل المستخلصات'!$S$12="","",'[14]سجل المستخلصات'!$S$12)</f>
        <v/>
      </c>
      <c r="Q31" s="59">
        <f>IF('[14]سجل المستخلصات'!$T$12="","",'[14]سجل المستخلصات'!$T$12)</f>
        <v/>
      </c>
      <c r="R31" s="59">
        <f>IF('[14]سجل المستخلصات'!$V$12="","",'[14]سجل المستخلصات'!$V$12)</f>
        <v/>
      </c>
      <c r="S31" s="59">
        <f>IF('[14]سجل المستخلصات'!$W$12="","",'[14]سجل المستخلصات'!$W$12)</f>
        <v/>
      </c>
      <c r="T31" s="61">
        <f>IF('[14]سجل المستخلصات'!$X$12="","",'[14]سجل المستخلصات'!$X$12)</f>
        <v/>
      </c>
      <c r="U31" s="61">
        <f>IF('[14]سجل المستخلصات'!$Z$12="","",'[14]سجل المستخلصات'!$Z$12)</f>
        <v/>
      </c>
      <c r="V31" s="59">
        <f>IF('[14]سجل المستخلصات'!$AA$12="","",'[14]سجل المستخلصات'!$AA$12)</f>
        <v/>
      </c>
      <c r="W31" s="59">
        <f>IF('[14]سجل المستخلصات'!$AC$12="","",'[14]سجل المستخلصات'!$AC$12)</f>
        <v/>
      </c>
      <c r="X31" s="62">
        <f>IF('[14]سجل المستخلصات'!$AD$12="","",'[14]سجل المستخلصات'!$AD$12)</f>
        <v/>
      </c>
      <c r="Y31" s="58">
        <f>IF('[14]سجل المستخلصات'!$AE$12="","",'[14]سجل المستخلصات'!$AE$12)</f>
        <v/>
      </c>
    </row>
    <row r="32">
      <c r="B32" s="56" t="n">
        <v>8</v>
      </c>
      <c r="C32" s="57">
        <f>IF('[14]سجل المستخلصات'!$C$13="","",'[14]سجل المستخلصات'!$C$13)</f>
        <v/>
      </c>
      <c r="D32" s="57">
        <f>IF('[14]سجل المستخلصات'!$E$13="","",'[14]سجل المستخلصات'!$E$13)</f>
        <v/>
      </c>
      <c r="E32" s="58">
        <f>IF('[14]سجل المستخلصات'!$F$13="","",'[14]سجل المستخلصات'!$F$13)</f>
        <v/>
      </c>
      <c r="F32" s="59">
        <f>IF('[14]سجل المستخلصات'!$H$13="","",'[14]سجل المستخلصات'!$H$13)</f>
        <v/>
      </c>
      <c r="G32" s="59">
        <f>IF('[14]سجل المستخلصات'!$G$13="","",'[14]سجل المستخلصات'!$G$13)</f>
        <v/>
      </c>
      <c r="H32" s="59">
        <f>IF('[14]سجل المستخلصات'!$I$13="","",'[14]سجل المستخلصات'!$I$13)</f>
        <v/>
      </c>
      <c r="I32" s="59">
        <f>IF('[14]سجل المستخلصات'!$J$13="","",'[14]سجل المستخلصات'!$J$13)</f>
        <v/>
      </c>
      <c r="J32" s="59">
        <f>IF('[14]سجل المستخلصات'!$K$13="","",'[14]سجل المستخلصات'!$K$13)</f>
        <v/>
      </c>
      <c r="K32" s="60">
        <f>IF('[14]سجل المستخلصات'!$L$13="","",'[14]سجل المستخلصات'!$L$13)</f>
        <v/>
      </c>
      <c r="L32" s="60">
        <f>IF('[14]سجل المستخلصات'!$M$13="","",'[14]سجل المستخلصات'!$M$13)</f>
        <v/>
      </c>
      <c r="M32" s="60">
        <f>IF('[14]سجل المستخلصات'!$N$13="","",'[14]سجل المستخلصات'!$N$13)</f>
        <v/>
      </c>
      <c r="N32" s="59">
        <f>IF('[14]سجل المستخلصات'!$O$13="","",'[14]سجل المستخلصات'!$O$13)</f>
        <v/>
      </c>
      <c r="O32" s="59">
        <f>IF('[14]سجل المستخلصات'!$R$13="","",'[14]سجل المستخلصات'!$R$13)</f>
        <v/>
      </c>
      <c r="P32" s="59">
        <f>IF('[14]سجل المستخلصات'!$S$13="","",'[14]سجل المستخلصات'!$S$13)</f>
        <v/>
      </c>
      <c r="Q32" s="59">
        <f>IF('[14]سجل المستخلصات'!$T$13="","",'[14]سجل المستخلصات'!$T$13)</f>
        <v/>
      </c>
      <c r="R32" s="59">
        <f>IF('[14]سجل المستخلصات'!$V$13="","",'[14]سجل المستخلصات'!$V$13)</f>
        <v/>
      </c>
      <c r="S32" s="59">
        <f>IF('[14]سجل المستخلصات'!$W$13="","",'[14]سجل المستخلصات'!$W$13)</f>
        <v/>
      </c>
      <c r="T32" s="61">
        <f>IF('[14]سجل المستخلصات'!$X$13="","",'[14]سجل المستخلصات'!$X$13)</f>
        <v/>
      </c>
      <c r="U32" s="61">
        <f>IF('[14]سجل المستخلصات'!$Z$13="","",'[14]سجل المستخلصات'!$Z$13)</f>
        <v/>
      </c>
      <c r="V32" s="59">
        <f>IF('[14]سجل المستخلصات'!$AA$13="","",'[14]سجل المستخلصات'!$AA$13)</f>
        <v/>
      </c>
      <c r="W32" s="59">
        <f>IF('[14]سجل المستخلصات'!$AC$13="","",'[14]سجل المستخلصات'!$AC$13)</f>
        <v/>
      </c>
      <c r="X32" s="62">
        <f>IF('[14]سجل المستخلصات'!$AD$13="","",'[14]سجل المستخلصات'!$AD$13)</f>
        <v/>
      </c>
      <c r="Y32" s="58">
        <f>IF('[14]سجل المستخلصات'!$AE$13="","",'[14]سجل المستخلصات'!$AE$13)</f>
        <v/>
      </c>
    </row>
    <row r="33">
      <c r="B33" s="56" t="n">
        <v>9</v>
      </c>
      <c r="C33" s="57">
        <f>IF('[14]سجل المستخلصات'!$C$14="","",'[14]سجل المستخلصات'!$C$14)</f>
        <v/>
      </c>
      <c r="D33" s="57">
        <f>IF('[14]سجل المستخلصات'!$E$14="","",'[14]سجل المستخلصات'!$E$14)</f>
        <v/>
      </c>
      <c r="E33" s="58">
        <f>IF('[14]سجل المستخلصات'!$F$14="","",'[14]سجل المستخلصات'!$F$14)</f>
        <v/>
      </c>
      <c r="F33" s="59">
        <f>IF('[14]سجل المستخلصات'!$H$14="","",'[14]سجل المستخلصات'!$H$14)</f>
        <v/>
      </c>
      <c r="G33" s="59">
        <f>IF('[14]سجل المستخلصات'!$G$14="","",'[14]سجل المستخلصات'!$G$14)</f>
        <v/>
      </c>
      <c r="H33" s="59">
        <f>IF('[14]سجل المستخلصات'!$I$14="","",'[14]سجل المستخلصات'!$I$14)</f>
        <v/>
      </c>
      <c r="I33" s="59">
        <f>IF('[14]سجل المستخلصات'!$J$14="","",'[14]سجل المستخلصات'!$J$14)</f>
        <v/>
      </c>
      <c r="J33" s="59">
        <f>IF('[14]سجل المستخلصات'!$K$14="","",'[14]سجل المستخلصات'!$K$14)</f>
        <v/>
      </c>
      <c r="K33" s="60">
        <f>IF('[14]سجل المستخلصات'!$L$14="","",'[14]سجل المستخلصات'!$L$14)</f>
        <v/>
      </c>
      <c r="L33" s="60">
        <f>IF('[14]سجل المستخلصات'!$M$14="","",'[14]سجل المستخلصات'!$M$14)</f>
        <v/>
      </c>
      <c r="M33" s="60">
        <f>IF('[14]سجل المستخلصات'!$N$14="","",'[14]سجل المستخلصات'!$N$14)</f>
        <v/>
      </c>
      <c r="N33" s="59">
        <f>IF('[14]سجل المستخلصات'!$O$14="","",'[14]سجل المستخلصات'!$O$14)</f>
        <v/>
      </c>
      <c r="O33" s="59">
        <f>IF('[14]سجل المستخلصات'!$R$14="","",'[14]سجل المستخلصات'!$R$14)</f>
        <v/>
      </c>
      <c r="P33" s="59">
        <f>IF('[14]سجل المستخلصات'!$S$14="","",'[14]سجل المستخلصات'!$S$14)</f>
        <v/>
      </c>
      <c r="Q33" s="59">
        <f>IF('[14]سجل المستخلصات'!$T$14="","",'[14]سجل المستخلصات'!$T$14)</f>
        <v/>
      </c>
      <c r="R33" s="59">
        <f>IF('[14]سجل المستخلصات'!$V$14="","",'[14]سجل المستخلصات'!$V$14)</f>
        <v/>
      </c>
      <c r="S33" s="59">
        <f>IF('[14]سجل المستخلصات'!$W$14="","",'[14]سجل المستخلصات'!$W$14)</f>
        <v/>
      </c>
      <c r="T33" s="61">
        <f>IF('[14]سجل المستخلصات'!$X$14="","",'[14]سجل المستخلصات'!$X$14)</f>
        <v/>
      </c>
      <c r="U33" s="61">
        <f>IF('[14]سجل المستخلصات'!$Z$14="","",'[14]سجل المستخلصات'!$Z$14)</f>
        <v/>
      </c>
      <c r="V33" s="59">
        <f>IF('[14]سجل المستخلصات'!$AA$14="","",'[14]سجل المستخلصات'!$AA$14)</f>
        <v/>
      </c>
      <c r="W33" s="59">
        <f>IF('[14]سجل المستخلصات'!$AC$14="","",'[14]سجل المستخلصات'!$AC$14)</f>
        <v/>
      </c>
      <c r="X33" s="62">
        <f>IF('[14]سجل المستخلصات'!$AD$14="","",'[14]سجل المستخلصات'!$AD$14)</f>
        <v/>
      </c>
      <c r="Y33" s="58">
        <f>IF('[14]سجل المستخلصات'!$AE$14="","",'[14]سجل المستخلصات'!$AE$14)</f>
        <v/>
      </c>
    </row>
    <row r="34">
      <c r="B34" s="56" t="n">
        <v>10</v>
      </c>
      <c r="C34" s="57">
        <f>IF('[14]سجل المستخلصات'!$C$15="","",'[14]سجل المستخلصات'!$C$15)</f>
        <v/>
      </c>
      <c r="D34" s="57">
        <f>IF('[14]سجل المستخلصات'!$E$15="","",'[14]سجل المستخلصات'!$E$15)</f>
        <v/>
      </c>
      <c r="E34" s="58">
        <f>IF('[14]سجل المستخلصات'!$F$15="","",'[14]سجل المستخلصات'!$F$15)</f>
        <v/>
      </c>
      <c r="F34" s="59">
        <f>IF('[14]سجل المستخلصات'!$H$15="","",'[14]سجل المستخلصات'!$H$15)</f>
        <v/>
      </c>
      <c r="G34" s="59">
        <f>IF('[14]سجل المستخلصات'!$G$15="","",'[14]سجل المستخلصات'!$G$15)</f>
        <v/>
      </c>
      <c r="H34" s="59">
        <f>IF('[14]سجل المستخلصات'!$I$15="","",'[14]سجل المستخلصات'!$I$15)</f>
        <v/>
      </c>
      <c r="I34" s="59">
        <f>IF('[14]سجل المستخلصات'!$J$15="","",'[14]سجل المستخلصات'!$J$15)</f>
        <v/>
      </c>
      <c r="J34" s="59">
        <f>IF('[14]سجل المستخلصات'!$K$15="","",'[14]سجل المستخلصات'!$K$15)</f>
        <v/>
      </c>
      <c r="K34" s="60">
        <f>IF('[14]سجل المستخلصات'!$L$15="","",'[14]سجل المستخلصات'!$L$15)</f>
        <v/>
      </c>
      <c r="L34" s="60">
        <f>IF('[14]سجل المستخلصات'!$M$15="","",'[14]سجل المستخلصات'!$M$15)</f>
        <v/>
      </c>
      <c r="M34" s="60">
        <f>IF('[14]سجل المستخلصات'!$N$15="","",'[14]سجل المستخلصات'!$N$15)</f>
        <v/>
      </c>
      <c r="N34" s="59">
        <f>IF('[14]سجل المستخلصات'!$O$15="","",'[14]سجل المستخلصات'!$O$15)</f>
        <v/>
      </c>
      <c r="O34" s="59">
        <f>IF('[14]سجل المستخلصات'!$R$15="","",'[14]سجل المستخلصات'!$R$15)</f>
        <v/>
      </c>
      <c r="P34" s="59">
        <f>IF('[14]سجل المستخلصات'!$S$15="","",'[14]سجل المستخلصات'!$S$15)</f>
        <v/>
      </c>
      <c r="Q34" s="59">
        <f>IF('[14]سجل المستخلصات'!$T$15="","",'[14]سجل المستخلصات'!$T$15)</f>
        <v/>
      </c>
      <c r="R34" s="59">
        <f>IF('[14]سجل المستخلصات'!$V$15="","",'[14]سجل المستخلصات'!$V$15)</f>
        <v/>
      </c>
      <c r="S34" s="59">
        <f>IF('[14]سجل المستخلصات'!$W$15="","",'[14]سجل المستخلصات'!$W$15)</f>
        <v/>
      </c>
      <c r="T34" s="61">
        <f>IF('[14]سجل المستخلصات'!$X$15="","",'[14]سجل المستخلصات'!$X$15)</f>
        <v/>
      </c>
      <c r="U34" s="61">
        <f>IF('[14]سجل المستخلصات'!$Z$15="","",'[14]سجل المستخلصات'!$Z$15)</f>
        <v/>
      </c>
      <c r="V34" s="59">
        <f>IF('[14]سجل المستخلصات'!$AA$15="","",'[14]سجل المستخلصات'!$AA$15)</f>
        <v/>
      </c>
      <c r="W34" s="59">
        <f>IF('[14]سجل المستخلصات'!$AC$15="","",'[14]سجل المستخلصات'!$AC$15)</f>
        <v/>
      </c>
      <c r="X34" s="62">
        <f>IF('[14]سجل المستخلصات'!$AD$15="","",'[14]سجل المستخلصات'!$AD$15)</f>
        <v/>
      </c>
      <c r="Y34" s="58">
        <f>IF('[14]سجل المستخلصات'!$AE$15="","",'[14]سجل المستخلصات'!$AE$15)</f>
        <v/>
      </c>
    </row>
    <row r="35">
      <c r="B35" s="56" t="n">
        <v>11</v>
      </c>
      <c r="C35" s="57">
        <f>IF('[14]سجل المستخلصات'!$C$16="","",'[14]سجل المستخلصات'!$C$16)</f>
        <v/>
      </c>
      <c r="D35" s="57">
        <f>IF('[14]سجل المستخلصات'!$E$16="","",'[14]سجل المستخلصات'!$E$16)</f>
        <v/>
      </c>
      <c r="E35" s="58">
        <f>IF('[14]سجل المستخلصات'!$F$16="","",'[14]سجل المستخلصات'!$F$16)</f>
        <v/>
      </c>
      <c r="F35" s="59">
        <f>IF('[14]سجل المستخلصات'!$H$16="","",'[14]سجل المستخلصات'!$H$16)</f>
        <v/>
      </c>
      <c r="G35" s="59">
        <f>IF('[14]سجل المستخلصات'!$G$16="","",'[14]سجل المستخلصات'!$G$16)</f>
        <v/>
      </c>
      <c r="H35" s="59">
        <f>IF('[14]سجل المستخلصات'!$I$16="","",'[14]سجل المستخلصات'!$I$16)</f>
        <v/>
      </c>
      <c r="I35" s="59">
        <f>IF('[14]سجل المستخلصات'!$J$16="","",'[14]سجل المستخلصات'!$J$16)</f>
        <v/>
      </c>
      <c r="J35" s="59">
        <f>IF('[14]سجل المستخلصات'!$K$16="","",'[14]سجل المستخلصات'!$K$16)</f>
        <v/>
      </c>
      <c r="K35" s="60">
        <f>IF('[14]سجل المستخلصات'!$L$16="","",'[14]سجل المستخلصات'!$L$16)</f>
        <v/>
      </c>
      <c r="L35" s="60">
        <f>IF('[14]سجل المستخلصات'!$M$16="","",'[14]سجل المستخلصات'!$M$16)</f>
        <v/>
      </c>
      <c r="M35" s="60">
        <f>IF('[14]سجل المستخلصات'!$N$16="","",'[14]سجل المستخلصات'!$N$16)</f>
        <v/>
      </c>
      <c r="N35" s="59">
        <f>IF('[14]سجل المستخلصات'!$O$16="","",'[14]سجل المستخلصات'!$O$16)</f>
        <v/>
      </c>
      <c r="O35" s="59">
        <f>IF('[14]سجل المستخلصات'!$R$16="","",'[14]سجل المستخلصات'!$R$16)</f>
        <v/>
      </c>
      <c r="P35" s="59">
        <f>IF('[14]سجل المستخلصات'!$S$16="","",'[14]سجل المستخلصات'!$S$16)</f>
        <v/>
      </c>
      <c r="Q35" s="59">
        <f>IF('[14]سجل المستخلصات'!$T$16="","",'[14]سجل المستخلصات'!$T$16)</f>
        <v/>
      </c>
      <c r="R35" s="59">
        <f>IF('[14]سجل المستخلصات'!$V$16="","",'[14]سجل المستخلصات'!$V$16)</f>
        <v/>
      </c>
      <c r="S35" s="59">
        <f>IF('[14]سجل المستخلصات'!$W$16="","",'[14]سجل المستخلصات'!$W$16)</f>
        <v/>
      </c>
      <c r="T35" s="61">
        <f>IF('[14]سجل المستخلصات'!$X$16="","",'[14]سجل المستخلصات'!$X$16)</f>
        <v/>
      </c>
      <c r="U35" s="61">
        <f>IF('[14]سجل المستخلصات'!$Z$16="","",'[14]سجل المستخلصات'!$Z$16)</f>
        <v/>
      </c>
      <c r="V35" s="59">
        <f>IF('[14]سجل المستخلصات'!$AA$16="","",'[14]سجل المستخلصات'!$AA$16)</f>
        <v/>
      </c>
      <c r="W35" s="59">
        <f>IF('[14]سجل المستخلصات'!$AC$16="","",'[14]سجل المستخلصات'!$AC$16)</f>
        <v/>
      </c>
      <c r="X35" s="62">
        <f>IF('[14]سجل المستخلصات'!$AD$16="","",'[14]سجل المستخلصات'!$AD$16)</f>
        <v/>
      </c>
      <c r="Y35" s="58">
        <f>IF('[14]سجل المستخلصات'!$AE$16="","",'[14]سجل المستخلصات'!$AE$16)</f>
        <v/>
      </c>
    </row>
    <row r="36">
      <c r="B36" s="56" t="n">
        <v>12</v>
      </c>
      <c r="C36" s="57">
        <f>IF('[14]سجل المستخلصات'!$C$17="","",'[14]سجل المستخلصات'!$C$17)</f>
        <v/>
      </c>
      <c r="D36" s="57">
        <f>IF('[14]سجل المستخلصات'!$E$17="","",'[14]سجل المستخلصات'!$E$17)</f>
        <v/>
      </c>
      <c r="E36" s="58">
        <f>IF('[14]سجل المستخلصات'!$F$17="","",'[14]سجل المستخلصات'!$F$17)</f>
        <v/>
      </c>
      <c r="F36" s="59">
        <f>IF('[14]سجل المستخلصات'!$H$17="","",'[14]سجل المستخلصات'!$H$17)</f>
        <v/>
      </c>
      <c r="G36" s="59">
        <f>IF('[14]سجل المستخلصات'!$G$17="","",'[14]سجل المستخلصات'!$G$17)</f>
        <v/>
      </c>
      <c r="H36" s="59">
        <f>IF('[14]سجل المستخلصات'!$I$17="","",'[14]سجل المستخلصات'!$I$17)</f>
        <v/>
      </c>
      <c r="I36" s="59">
        <f>IF('[14]سجل المستخلصات'!$J$17="","",'[14]سجل المستخلصات'!$J$17)</f>
        <v/>
      </c>
      <c r="J36" s="59">
        <f>IF('[14]سجل المستخلصات'!$K$17="","",'[14]سجل المستخلصات'!$K$17)</f>
        <v/>
      </c>
      <c r="K36" s="60">
        <f>IF('[14]سجل المستخلصات'!$L$17="","",'[14]سجل المستخلصات'!$L$17)</f>
        <v/>
      </c>
      <c r="L36" s="60">
        <f>IF('[14]سجل المستخلصات'!$M$17="","",'[14]سجل المستخلصات'!$M$17)</f>
        <v/>
      </c>
      <c r="M36" s="60">
        <f>IF('[14]سجل المستخلصات'!$N$17="","",'[14]سجل المستخلصات'!$N$17)</f>
        <v/>
      </c>
      <c r="N36" s="59">
        <f>IF('[14]سجل المستخلصات'!$O$17="","",'[14]سجل المستخلصات'!$O$17)</f>
        <v/>
      </c>
      <c r="O36" s="59">
        <f>IF('[14]سجل المستخلصات'!$R$17="","",'[14]سجل المستخلصات'!$R$17)</f>
        <v/>
      </c>
      <c r="P36" s="59">
        <f>IF('[14]سجل المستخلصات'!$S$17="","",'[14]سجل المستخلصات'!$S$17)</f>
        <v/>
      </c>
      <c r="Q36" s="59">
        <f>IF('[14]سجل المستخلصات'!$T$17="","",'[14]سجل المستخلصات'!$T$17)</f>
        <v/>
      </c>
      <c r="R36" s="59">
        <f>IF('[14]سجل المستخلصات'!$V$17="","",'[14]سجل المستخلصات'!$V$17)</f>
        <v/>
      </c>
      <c r="S36" s="59">
        <f>IF('[14]سجل المستخلصات'!$W$17="","",'[14]سجل المستخلصات'!$W$17)</f>
        <v/>
      </c>
      <c r="T36" s="61">
        <f>IF('[14]سجل المستخلصات'!$X$17="","",'[14]سجل المستخلصات'!$X$17)</f>
        <v/>
      </c>
      <c r="U36" s="61">
        <f>IF('[14]سجل المستخلصات'!$Z$17="","",'[14]سجل المستخلصات'!$Z$17)</f>
        <v/>
      </c>
      <c r="V36" s="59">
        <f>IF('[14]سجل المستخلصات'!$AA$17="","",'[14]سجل المستخلصات'!$AA$17)</f>
        <v/>
      </c>
      <c r="W36" s="59">
        <f>IF('[14]سجل المستخلصات'!$AC$17="","",'[14]سجل المستخلصات'!$AC$17)</f>
        <v/>
      </c>
      <c r="X36" s="62">
        <f>IF('[14]سجل المستخلصات'!$AD$17="","",'[14]سجل المستخلصات'!$AD$17)</f>
        <v/>
      </c>
      <c r="Y36" s="58">
        <f>IF('[14]سجل المستخلصات'!$AE$17="","",'[14]سجل المستخلصات'!$AE$17)</f>
        <v/>
      </c>
    </row>
    <row r="37">
      <c r="B37" s="56" t="n">
        <v>13</v>
      </c>
      <c r="C37" s="57">
        <f>IF('[14]سجل المستخلصات'!$C$18="","",'[14]سجل المستخلصات'!$C$18)</f>
        <v/>
      </c>
      <c r="D37" s="57">
        <f>IF('[14]سجل المستخلصات'!$E$18="","",'[14]سجل المستخلصات'!$E$18)</f>
        <v/>
      </c>
      <c r="E37" s="58">
        <f>IF('[14]سجل المستخلصات'!$F$18="","",'[14]سجل المستخلصات'!$F$18)</f>
        <v/>
      </c>
      <c r="F37" s="59">
        <f>IF('[14]سجل المستخلصات'!$H$18="","",'[14]سجل المستخلصات'!$H$18)</f>
        <v/>
      </c>
      <c r="G37" s="59">
        <f>IF('[14]سجل المستخلصات'!$G$18="","",'[14]سجل المستخلصات'!$G$18)</f>
        <v/>
      </c>
      <c r="H37" s="59">
        <f>IF('[14]سجل المستخلصات'!$I$18="","",'[14]سجل المستخلصات'!$I$18)</f>
        <v/>
      </c>
      <c r="I37" s="59">
        <f>IF('[14]سجل المستخلصات'!$J$18="","",'[14]سجل المستخلصات'!$J$18)</f>
        <v/>
      </c>
      <c r="J37" s="59">
        <f>IF('[14]سجل المستخلصات'!$K$18="","",'[14]سجل المستخلصات'!$K$18)</f>
        <v/>
      </c>
      <c r="K37" s="60">
        <f>IF('[14]سجل المستخلصات'!$L$18="","",'[14]سجل المستخلصات'!$L$18)</f>
        <v/>
      </c>
      <c r="L37" s="60">
        <f>IF('[14]سجل المستخلصات'!$M$18="","",'[14]سجل المستخلصات'!$M$18)</f>
        <v/>
      </c>
      <c r="M37" s="60">
        <f>IF('[14]سجل المستخلصات'!$N$18="","",'[14]سجل المستخلصات'!$N$18)</f>
        <v/>
      </c>
      <c r="N37" s="59">
        <f>IF('[14]سجل المستخلصات'!$O$18="","",'[14]سجل المستخلصات'!$O$18)</f>
        <v/>
      </c>
      <c r="O37" s="59">
        <f>IF('[14]سجل المستخلصات'!$R$18="","",'[14]سجل المستخلصات'!$R$18)</f>
        <v/>
      </c>
      <c r="P37" s="59">
        <f>IF('[14]سجل المستخلصات'!$S$18="","",'[14]سجل المستخلصات'!$S$18)</f>
        <v/>
      </c>
      <c r="Q37" s="59">
        <f>IF('[14]سجل المستخلصات'!$T$18="","",'[14]سجل المستخلصات'!$T$18)</f>
        <v/>
      </c>
      <c r="R37" s="59">
        <f>IF('[14]سجل المستخلصات'!$V$18="","",'[14]سجل المستخلصات'!$V$18)</f>
        <v/>
      </c>
      <c r="S37" s="59">
        <f>IF('[14]سجل المستخلصات'!$W$18="","",'[14]سجل المستخلصات'!$W$18)</f>
        <v/>
      </c>
      <c r="T37" s="61">
        <f>IF('[14]سجل المستخلصات'!$X$18="","",'[14]سجل المستخلصات'!$X$18)</f>
        <v/>
      </c>
      <c r="U37" s="61">
        <f>IF('[14]سجل المستخلصات'!$Z$18="","",'[14]سجل المستخلصات'!$Z$18)</f>
        <v/>
      </c>
      <c r="V37" s="59">
        <f>IF('[14]سجل المستخلصات'!$AA$18="","",'[14]سجل المستخلصات'!$AA$18)</f>
        <v/>
      </c>
      <c r="W37" s="59">
        <f>IF('[14]سجل المستخلصات'!$AC$18="","",'[14]سجل المستخلصات'!$AC$18)</f>
        <v/>
      </c>
      <c r="X37" s="62">
        <f>IF('[14]سجل المستخلصات'!$AD$18="","",'[14]سجل المستخلصات'!$AD$18)</f>
        <v/>
      </c>
      <c r="Y37" s="58">
        <f>IF('[14]سجل المستخلصات'!$AE$18="","",'[14]سجل المستخلصات'!$AE$18)</f>
        <v/>
      </c>
    </row>
    <row r="38">
      <c r="B38" s="56" t="n">
        <v>14</v>
      </c>
      <c r="C38" s="57">
        <f>IF('[14]سجل المستخلصات'!$C$19="","",'[14]سجل المستخلصات'!$C$19)</f>
        <v/>
      </c>
      <c r="D38" s="57">
        <f>IF('[14]سجل المستخلصات'!$E$19="","",'[14]سجل المستخلصات'!$E$19)</f>
        <v/>
      </c>
      <c r="E38" s="58">
        <f>IF('[14]سجل المستخلصات'!$F$19="","",'[14]سجل المستخلصات'!$F$19)</f>
        <v/>
      </c>
      <c r="F38" s="59">
        <f>IF('[14]سجل المستخلصات'!$H$19="","",'[14]سجل المستخلصات'!$H$19)</f>
        <v/>
      </c>
      <c r="G38" s="59">
        <f>IF('[14]سجل المستخلصات'!$G$19="","",'[14]سجل المستخلصات'!$G$19)</f>
        <v/>
      </c>
      <c r="H38" s="59">
        <f>IF('[14]سجل المستخلصات'!$I$19="","",'[14]سجل المستخلصات'!$I$19)</f>
        <v/>
      </c>
      <c r="I38" s="59">
        <f>IF('[14]سجل المستخلصات'!$J$19="","",'[14]سجل المستخلصات'!$J$19)</f>
        <v/>
      </c>
      <c r="J38" s="59">
        <f>IF('[14]سجل المستخلصات'!$K$19="","",'[14]سجل المستخلصات'!$K$19)</f>
        <v/>
      </c>
      <c r="K38" s="60">
        <f>IF('[14]سجل المستخلصات'!$L$19="","",'[14]سجل المستخلصات'!$L$19)</f>
        <v/>
      </c>
      <c r="L38" s="60">
        <f>IF('[14]سجل المستخلصات'!$M$19="","",'[14]سجل المستخلصات'!$M$19)</f>
        <v/>
      </c>
      <c r="M38" s="60">
        <f>IF('[14]سجل المستخلصات'!$N$19="","",'[14]سجل المستخلصات'!$N$19)</f>
        <v/>
      </c>
      <c r="N38" s="59">
        <f>IF('[14]سجل المستخلصات'!$O$19="","",'[14]سجل المستخلصات'!$O$19)</f>
        <v/>
      </c>
      <c r="O38" s="59">
        <f>IF('[14]سجل المستخلصات'!$R$19="","",'[14]سجل المستخلصات'!$R$19)</f>
        <v/>
      </c>
      <c r="P38" s="59">
        <f>IF('[14]سجل المستخلصات'!$S$19="","",'[14]سجل المستخلصات'!$S$19)</f>
        <v/>
      </c>
      <c r="Q38" s="59">
        <f>IF('[14]سجل المستخلصات'!$T$19="","",'[14]سجل المستخلصات'!$T$19)</f>
        <v/>
      </c>
      <c r="R38" s="59">
        <f>IF('[14]سجل المستخلصات'!$V$19="","",'[14]سجل المستخلصات'!$V$19)</f>
        <v/>
      </c>
      <c r="S38" s="59">
        <f>IF('[14]سجل المستخلصات'!$W$19="","",'[14]سجل المستخلصات'!$W$19)</f>
        <v/>
      </c>
      <c r="T38" s="61">
        <f>IF('[14]سجل المستخلصات'!$X$19="","",'[14]سجل المستخلصات'!$X$19)</f>
        <v/>
      </c>
      <c r="U38" s="61">
        <f>IF('[14]سجل المستخلصات'!$Z$19="","",'[14]سجل المستخلصات'!$Z$19)</f>
        <v/>
      </c>
      <c r="V38" s="59">
        <f>IF('[14]سجل المستخلصات'!$AA$19="","",'[14]سجل المستخلصات'!$AA$19)</f>
        <v/>
      </c>
      <c r="W38" s="59">
        <f>IF('[14]سجل المستخلصات'!$AC$19="","",'[14]سجل المستخلصات'!$AC$19)</f>
        <v/>
      </c>
      <c r="X38" s="62">
        <f>IF('[14]سجل المستخلصات'!$AD$19="","",'[14]سجل المستخلصات'!$AD$19)</f>
        <v/>
      </c>
      <c r="Y38" s="58">
        <f>IF('[14]سجل المستخلصات'!$AE$19="","",'[14]سجل المستخلصات'!$AE$19)</f>
        <v/>
      </c>
    </row>
    <row r="39">
      <c r="B39" s="56" t="n">
        <v>15</v>
      </c>
      <c r="C39" s="57">
        <f>IF('[14]سجل المستخلصات'!$C$20="","",'[14]سجل المستخلصات'!$C$20)</f>
        <v/>
      </c>
      <c r="D39" s="57">
        <f>IF('[14]سجل المستخلصات'!$E$20="","",'[14]سجل المستخلصات'!$E$20)</f>
        <v/>
      </c>
      <c r="E39" s="58">
        <f>IF('[14]سجل المستخلصات'!$F$20="","",'[14]سجل المستخلصات'!$F$20)</f>
        <v/>
      </c>
      <c r="F39" s="59">
        <f>IF('[14]سجل المستخلصات'!$H$20="","",'[14]سجل المستخلصات'!$H$20)</f>
        <v/>
      </c>
      <c r="G39" s="59">
        <f>IF('[14]سجل المستخلصات'!$G$20="","",'[14]سجل المستخلصات'!$G$20)</f>
        <v/>
      </c>
      <c r="H39" s="59">
        <f>IF('[14]سجل المستخلصات'!$I$20="","",'[14]سجل المستخلصات'!$I$20)</f>
        <v/>
      </c>
      <c r="I39" s="59">
        <f>IF('[14]سجل المستخلصات'!$J$20="","",'[14]سجل المستخلصات'!$J$20)</f>
        <v/>
      </c>
      <c r="J39" s="59">
        <f>IF('[14]سجل المستخلصات'!$K$20="","",'[14]سجل المستخلصات'!$K$20)</f>
        <v/>
      </c>
      <c r="K39" s="60">
        <f>IF('[14]سجل المستخلصات'!$L$20="","",'[14]سجل المستخلصات'!$L$20)</f>
        <v/>
      </c>
      <c r="L39" s="60">
        <f>IF('[14]سجل المستخلصات'!$M$20="","",'[14]سجل المستخلصات'!$M$20)</f>
        <v/>
      </c>
      <c r="M39" s="60">
        <f>IF('[14]سجل المستخلصات'!$N$20="","",'[14]سجل المستخلصات'!$N$20)</f>
        <v/>
      </c>
      <c r="N39" s="59">
        <f>IF('[14]سجل المستخلصات'!$O$20="","",'[14]سجل المستخلصات'!$O$20)</f>
        <v/>
      </c>
      <c r="O39" s="59">
        <f>IF('[14]سجل المستخلصات'!$R$20="","",'[14]سجل المستخلصات'!$R$20)</f>
        <v/>
      </c>
      <c r="P39" s="59">
        <f>IF('[14]سجل المستخلصات'!$S$20="","",'[14]سجل المستخلصات'!$S$20)</f>
        <v/>
      </c>
      <c r="Q39" s="59">
        <f>IF('[14]سجل المستخلصات'!$T$20="","",'[14]سجل المستخلصات'!$T$20)</f>
        <v/>
      </c>
      <c r="R39" s="59">
        <f>IF('[14]سجل المستخلصات'!$V$20="","",'[14]سجل المستخلصات'!$V$20)</f>
        <v/>
      </c>
      <c r="S39" s="59">
        <f>IF('[14]سجل المستخلصات'!$W$20="","",'[14]سجل المستخلصات'!$W$20)</f>
        <v/>
      </c>
      <c r="T39" s="61">
        <f>IF('[14]سجل المستخلصات'!$X$20="","",'[14]سجل المستخلصات'!$X$20)</f>
        <v/>
      </c>
      <c r="U39" s="61">
        <f>IF('[14]سجل المستخلصات'!$Z$20="","",'[14]سجل المستخلصات'!$Z$20)</f>
        <v/>
      </c>
      <c r="V39" s="59">
        <f>IF('[14]سجل المستخلصات'!$AA$20="","",'[14]سجل المستخلصات'!$AA$20)</f>
        <v/>
      </c>
      <c r="W39" s="59">
        <f>IF('[14]سجل المستخلصات'!$AC$20="","",'[14]سجل المستخلصات'!$AC$20)</f>
        <v/>
      </c>
      <c r="X39" s="62">
        <f>IF('[14]سجل المستخلصات'!$AD$20="","",'[14]سجل المستخلصات'!$AD$20)</f>
        <v/>
      </c>
      <c r="Y39" s="58">
        <f>IF('[14]سجل المستخلصات'!$AE$20="","",'[14]سجل المستخلصات'!$AE$20)</f>
        <v/>
      </c>
    </row>
    <row r="40">
      <c r="B40" s="56" t="n">
        <v>16</v>
      </c>
      <c r="C40" s="57">
        <f>IF('[14]سجل المستخلصات'!$C$21="","",'[14]سجل المستخلصات'!$C$21)</f>
        <v/>
      </c>
      <c r="D40" s="57">
        <f>IF('[14]سجل المستخلصات'!$E$21="","",'[14]سجل المستخلصات'!$E$21)</f>
        <v/>
      </c>
      <c r="E40" s="58">
        <f>IF('[14]سجل المستخلصات'!$F$21="","",'[14]سجل المستخلصات'!$F$21)</f>
        <v/>
      </c>
      <c r="F40" s="59">
        <f>IF('[14]سجل المستخلصات'!$H$21="","",'[14]سجل المستخلصات'!$H$21)</f>
        <v/>
      </c>
      <c r="G40" s="59">
        <f>IF('[14]سجل المستخلصات'!$G$21="","",'[14]سجل المستخلصات'!$G$21)</f>
        <v/>
      </c>
      <c r="H40" s="59">
        <f>IF('[14]سجل المستخلصات'!$I$21="","",'[14]سجل المستخلصات'!$I$21)</f>
        <v/>
      </c>
      <c r="I40" s="59">
        <f>IF('[14]سجل المستخلصات'!$J$21="","",'[14]سجل المستخلصات'!$J$21)</f>
        <v/>
      </c>
      <c r="J40" s="59">
        <f>IF('[14]سجل المستخلصات'!$K$21="","",'[14]سجل المستخلصات'!$K$21)</f>
        <v/>
      </c>
      <c r="K40" s="60">
        <f>IF('[14]سجل المستخلصات'!$L$21="","",'[14]سجل المستخلصات'!$L$21)</f>
        <v/>
      </c>
      <c r="L40" s="60">
        <f>IF('[14]سجل المستخلصات'!$M$21="","",'[14]سجل المستخلصات'!$M$21)</f>
        <v/>
      </c>
      <c r="M40" s="60">
        <f>IF('[14]سجل المستخلصات'!$N$21="","",'[14]سجل المستخلصات'!$N$21)</f>
        <v/>
      </c>
      <c r="N40" s="59">
        <f>IF('[14]سجل المستخلصات'!$O$21="","",'[14]سجل المستخلصات'!$O$21)</f>
        <v/>
      </c>
      <c r="O40" s="59">
        <f>IF('[14]سجل المستخلصات'!$R$21="","",'[14]سجل المستخلصات'!$R$21)</f>
        <v/>
      </c>
      <c r="P40" s="59">
        <f>IF('[14]سجل المستخلصات'!$S$21="","",'[14]سجل المستخلصات'!$S$21)</f>
        <v/>
      </c>
      <c r="Q40" s="59">
        <f>IF('[14]سجل المستخلصات'!$T$21="","",'[14]سجل المستخلصات'!$T$21)</f>
        <v/>
      </c>
      <c r="R40" s="59">
        <f>IF('[14]سجل المستخلصات'!$V$21="","",'[14]سجل المستخلصات'!$V$21)</f>
        <v/>
      </c>
      <c r="S40" s="59">
        <f>IF('[14]سجل المستخلصات'!$W$21="","",'[14]سجل المستخلصات'!$W$21)</f>
        <v/>
      </c>
      <c r="T40" s="61">
        <f>IF('[14]سجل المستخلصات'!$X$21="","",'[14]سجل المستخلصات'!$X$21)</f>
        <v/>
      </c>
      <c r="U40" s="61">
        <f>IF('[14]سجل المستخلصات'!$Z$21="","",'[14]سجل المستخلصات'!$Z$21)</f>
        <v/>
      </c>
      <c r="V40" s="59">
        <f>IF('[14]سجل المستخلصات'!$AA$21="","",'[14]سجل المستخلصات'!$AA$21)</f>
        <v/>
      </c>
      <c r="W40" s="59">
        <f>IF('[14]سجل المستخلصات'!$AC$21="","",'[14]سجل المستخلصات'!$AC$21)</f>
        <v/>
      </c>
      <c r="X40" s="62">
        <f>IF('[14]سجل المستخلصات'!$AD$21="","",'[14]سجل المستخلصات'!$AD$21)</f>
        <v/>
      </c>
      <c r="Y40" s="58">
        <f>IF('[14]سجل المستخلصات'!$AE$21="","",'[14]سجل المستخلصات'!$AE$21)</f>
        <v/>
      </c>
    </row>
    <row r="41">
      <c r="B41" s="56" t="n">
        <v>17</v>
      </c>
      <c r="C41" s="57">
        <f>IF('[14]سجل المستخلصات'!$C$22="","",'[14]سجل المستخلصات'!$C$22)</f>
        <v/>
      </c>
      <c r="D41" s="57">
        <f>IF('[14]سجل المستخلصات'!$E$22="","",'[14]سجل المستخلصات'!$E$22)</f>
        <v/>
      </c>
      <c r="E41" s="58">
        <f>IF('[14]سجل المستخلصات'!$F$22="","",'[14]سجل المستخلصات'!$F$22)</f>
        <v/>
      </c>
      <c r="F41" s="59">
        <f>IF('[14]سجل المستخلصات'!$H$22="","",'[14]سجل المستخلصات'!$H$22)</f>
        <v/>
      </c>
      <c r="G41" s="59">
        <f>IF('[14]سجل المستخلصات'!$G$22="","",'[14]سجل المستخلصات'!$G$22)</f>
        <v/>
      </c>
      <c r="H41" s="59">
        <f>IF('[14]سجل المستخلصات'!$I$22="","",'[14]سجل المستخلصات'!$I$22)</f>
        <v/>
      </c>
      <c r="I41" s="59">
        <f>IF('[14]سجل المستخلصات'!$J$22="","",'[14]سجل المستخلصات'!$J$22)</f>
        <v/>
      </c>
      <c r="J41" s="59">
        <f>IF('[14]سجل المستخلصات'!$K$22="","",'[14]سجل المستخلصات'!$K$22)</f>
        <v/>
      </c>
      <c r="K41" s="60">
        <f>IF('[14]سجل المستخلصات'!$L$22="","",'[14]سجل المستخلصات'!$L$22)</f>
        <v/>
      </c>
      <c r="L41" s="60">
        <f>IF('[14]سجل المستخلصات'!$M$22="","",'[14]سجل المستخلصات'!$M$22)</f>
        <v/>
      </c>
      <c r="M41" s="60">
        <f>IF('[14]سجل المستخلصات'!$N$22="","",'[14]سجل المستخلصات'!$N$22)</f>
        <v/>
      </c>
      <c r="N41" s="59">
        <f>IF('[14]سجل المستخلصات'!$O$22="","",'[14]سجل المستخلصات'!$O$22)</f>
        <v/>
      </c>
      <c r="O41" s="59">
        <f>IF('[14]سجل المستخلصات'!$R$22="","",'[14]سجل المستخلصات'!$R$22)</f>
        <v/>
      </c>
      <c r="P41" s="59">
        <f>IF('[14]سجل المستخلصات'!$S$22="","",'[14]سجل المستخلصات'!$S$22)</f>
        <v/>
      </c>
      <c r="Q41" s="59">
        <f>IF('[14]سجل المستخلصات'!$T$22="","",'[14]سجل المستخلصات'!$T$22)</f>
        <v/>
      </c>
      <c r="R41" s="59">
        <f>IF('[14]سجل المستخلصات'!$V$22="","",'[14]سجل المستخلصات'!$V$22)</f>
        <v/>
      </c>
      <c r="S41" s="59">
        <f>IF('[14]سجل المستخلصات'!$W$22="","",'[14]سجل المستخلصات'!$W$22)</f>
        <v/>
      </c>
      <c r="T41" s="61">
        <f>IF('[14]سجل المستخلصات'!$X$22="","",'[14]سجل المستخلصات'!$X$22)</f>
        <v/>
      </c>
      <c r="U41" s="61">
        <f>IF('[14]سجل المستخلصات'!$Z$22="","",'[14]سجل المستخلصات'!$Z$22)</f>
        <v/>
      </c>
      <c r="V41" s="59">
        <f>IF('[14]سجل المستخلصات'!$AA$22="","",'[14]سجل المستخلصات'!$AA$22)</f>
        <v/>
      </c>
      <c r="W41" s="59">
        <f>IF('[14]سجل المستخلصات'!$AC$22="","",'[14]سجل المستخلصات'!$AC$22)</f>
        <v/>
      </c>
      <c r="X41" s="62">
        <f>IF('[14]سجل المستخلصات'!$AD$22="","",'[14]سجل المستخلصات'!$AD$22)</f>
        <v/>
      </c>
      <c r="Y41" s="58">
        <f>IF('[14]سجل المستخلصات'!$AE$22="","",'[14]سجل المستخلصات'!$AE$22)</f>
        <v/>
      </c>
    </row>
    <row r="42">
      <c r="B42" s="56" t="n">
        <v>18</v>
      </c>
      <c r="C42" s="57">
        <f>IF('[14]سجل المستخلصات'!$C$23="","",'[14]سجل المستخلصات'!$C$23)</f>
        <v/>
      </c>
      <c r="D42" s="57">
        <f>IF('[14]سجل المستخلصات'!$E$23="","",'[14]سجل المستخلصات'!$E$23)</f>
        <v/>
      </c>
      <c r="E42" s="58">
        <f>IF('[14]سجل المستخلصات'!$F$23="","",'[14]سجل المستخلصات'!$F$23)</f>
        <v/>
      </c>
      <c r="F42" s="59">
        <f>IF('[14]سجل المستخلصات'!$H$23="","",'[14]سجل المستخلصات'!$H$23)</f>
        <v/>
      </c>
      <c r="G42" s="59">
        <f>IF('[14]سجل المستخلصات'!$G$23="","",'[14]سجل المستخلصات'!$G$23)</f>
        <v/>
      </c>
      <c r="H42" s="59">
        <f>IF('[14]سجل المستخلصات'!$I$23="","",'[14]سجل المستخلصات'!$I$23)</f>
        <v/>
      </c>
      <c r="I42" s="59">
        <f>IF('[14]سجل المستخلصات'!$J$23="","",'[14]سجل المستخلصات'!$J$23)</f>
        <v/>
      </c>
      <c r="J42" s="59">
        <f>IF('[14]سجل المستخلصات'!$K$23="","",'[14]سجل المستخلصات'!$K$23)</f>
        <v/>
      </c>
      <c r="K42" s="60">
        <f>IF('[14]سجل المستخلصات'!$L$23="","",'[14]سجل المستخلصات'!$L$23)</f>
        <v/>
      </c>
      <c r="L42" s="60">
        <f>IF('[14]سجل المستخلصات'!$M$23="","",'[14]سجل المستخلصات'!$M$23)</f>
        <v/>
      </c>
      <c r="M42" s="60">
        <f>IF('[14]سجل المستخلصات'!$N$23="","",'[14]سجل المستخلصات'!$N$23)</f>
        <v/>
      </c>
      <c r="N42" s="59">
        <f>IF('[14]سجل المستخلصات'!$O$23="","",'[14]سجل المستخلصات'!$O$23)</f>
        <v/>
      </c>
      <c r="O42" s="59">
        <f>IF('[14]سجل المستخلصات'!$R$23="","",'[14]سجل المستخلصات'!$R$23)</f>
        <v/>
      </c>
      <c r="P42" s="59">
        <f>IF('[14]سجل المستخلصات'!$S$23="","",'[14]سجل المستخلصات'!$S$23)</f>
        <v/>
      </c>
      <c r="Q42" s="59">
        <f>IF('[14]سجل المستخلصات'!$T$23="","",'[14]سجل المستخلصات'!$T$23)</f>
        <v/>
      </c>
      <c r="R42" s="59">
        <f>IF('[14]سجل المستخلصات'!$V$23="","",'[14]سجل المستخلصات'!$V$23)</f>
        <v/>
      </c>
      <c r="S42" s="59">
        <f>IF('[14]سجل المستخلصات'!$W$23="","",'[14]سجل المستخلصات'!$W$23)</f>
        <v/>
      </c>
      <c r="T42" s="61">
        <f>IF('[14]سجل المستخلصات'!$X$23="","",'[14]سجل المستخلصات'!$X$23)</f>
        <v/>
      </c>
      <c r="U42" s="61">
        <f>IF('[14]سجل المستخلصات'!$Z$23="","",'[14]سجل المستخلصات'!$Z$23)</f>
        <v/>
      </c>
      <c r="V42" s="59">
        <f>IF('[14]سجل المستخلصات'!$AA$23="","",'[14]سجل المستخلصات'!$AA$23)</f>
        <v/>
      </c>
      <c r="W42" s="59">
        <f>IF('[14]سجل المستخلصات'!$AC$23="","",'[14]سجل المستخلصات'!$AC$23)</f>
        <v/>
      </c>
      <c r="X42" s="62">
        <f>IF('[14]سجل المستخلصات'!$AD$23="","",'[14]سجل المستخلصات'!$AD$23)</f>
        <v/>
      </c>
      <c r="Y42" s="58">
        <f>IF('[14]سجل المستخلصات'!$AE$23="","",'[14]سجل المستخلصات'!$AE$23)</f>
        <v/>
      </c>
    </row>
    <row r="43">
      <c r="B43" s="56" t="n">
        <v>19</v>
      </c>
      <c r="C43" s="57">
        <f>IF('[14]سجل المستخلصات'!$C$24="","",'[14]سجل المستخلصات'!$C$24)</f>
        <v/>
      </c>
      <c r="D43" s="57">
        <f>IF('[14]سجل المستخلصات'!$E$24="","",'[14]سجل المستخلصات'!$E$24)</f>
        <v/>
      </c>
      <c r="E43" s="58">
        <f>IF('[14]سجل المستخلصات'!$F$24="","",'[14]سجل المستخلصات'!$F$24)</f>
        <v/>
      </c>
      <c r="F43" s="59">
        <f>IF('[14]سجل المستخلصات'!$H$24="","",'[14]سجل المستخلصات'!$H$24)</f>
        <v/>
      </c>
      <c r="G43" s="59">
        <f>IF('[14]سجل المستخلصات'!$G$24="","",'[14]سجل المستخلصات'!$G$24)</f>
        <v/>
      </c>
      <c r="H43" s="59">
        <f>IF('[14]سجل المستخلصات'!$I$24="","",'[14]سجل المستخلصات'!$I$24)</f>
        <v/>
      </c>
      <c r="I43" s="59">
        <f>IF('[14]سجل المستخلصات'!$J$24="","",'[14]سجل المستخلصات'!$J$24)</f>
        <v/>
      </c>
      <c r="J43" s="59">
        <f>IF('[14]سجل المستخلصات'!$K$24="","",'[14]سجل المستخلصات'!$K$24)</f>
        <v/>
      </c>
      <c r="K43" s="60">
        <f>IF('[14]سجل المستخلصات'!$L$24="","",'[14]سجل المستخلصات'!$L$24)</f>
        <v/>
      </c>
      <c r="L43" s="60">
        <f>IF('[14]سجل المستخلصات'!$M$24="","",'[14]سجل المستخلصات'!$M$24)</f>
        <v/>
      </c>
      <c r="M43" s="60">
        <f>IF('[14]سجل المستخلصات'!$N$24="","",'[14]سجل المستخلصات'!$N$24)</f>
        <v/>
      </c>
      <c r="N43" s="59">
        <f>IF('[14]سجل المستخلصات'!$O$24="","",'[14]سجل المستخلصات'!$O$24)</f>
        <v/>
      </c>
      <c r="O43" s="59">
        <f>IF('[14]سجل المستخلصات'!$R$24="","",'[14]سجل المستخلصات'!$R$24)</f>
        <v/>
      </c>
      <c r="P43" s="59">
        <f>IF('[14]سجل المستخلصات'!$S$24="","",'[14]سجل المستخلصات'!$S$24)</f>
        <v/>
      </c>
      <c r="Q43" s="59">
        <f>IF('[14]سجل المستخلصات'!$T$24="","",'[14]سجل المستخلصات'!$T$24)</f>
        <v/>
      </c>
      <c r="R43" s="59">
        <f>IF('[14]سجل المستخلصات'!$V$24="","",'[14]سجل المستخلصات'!$V$24)</f>
        <v/>
      </c>
      <c r="S43" s="59">
        <f>IF('[14]سجل المستخلصات'!$W$24="","",'[14]سجل المستخلصات'!$W$24)</f>
        <v/>
      </c>
      <c r="T43" s="61">
        <f>IF('[14]سجل المستخلصات'!$X$24="","",'[14]سجل المستخلصات'!$X$24)</f>
        <v/>
      </c>
      <c r="U43" s="61">
        <f>IF('[14]سجل المستخلصات'!$Z$24="","",'[14]سجل المستخلصات'!$Z$24)</f>
        <v/>
      </c>
      <c r="V43" s="59">
        <f>IF('[14]سجل المستخلصات'!$AA$24="","",'[14]سجل المستخلصات'!$AA$24)</f>
        <v/>
      </c>
      <c r="W43" s="59">
        <f>IF('[14]سجل المستخلصات'!$AC$24="","",'[14]سجل المستخلصات'!$AC$24)</f>
        <v/>
      </c>
      <c r="X43" s="62">
        <f>IF('[14]سجل المستخلصات'!$AD$24="","",'[14]سجل المستخلصات'!$AD$24)</f>
        <v/>
      </c>
      <c r="Y43" s="58">
        <f>IF('[14]سجل المستخلصات'!$AE$24="","",'[14]سجل المستخلصات'!$AE$24)</f>
        <v/>
      </c>
    </row>
    <row r="44">
      <c r="B44" s="56" t="n">
        <v>20</v>
      </c>
      <c r="C44" s="57">
        <f>IF('[14]سجل المستخلصات'!$C$25="","",'[14]سجل المستخلصات'!$C$25)</f>
        <v/>
      </c>
      <c r="D44" s="57">
        <f>IF('[14]سجل المستخلصات'!$E$25="","",'[14]سجل المستخلصات'!$E$25)</f>
        <v/>
      </c>
      <c r="E44" s="58">
        <f>IF('[14]سجل المستخلصات'!$F$25="","",'[14]سجل المستخلصات'!$F$25)</f>
        <v/>
      </c>
      <c r="F44" s="59">
        <f>IF('[14]سجل المستخلصات'!$H$25="","",'[14]سجل المستخلصات'!$H$25)</f>
        <v/>
      </c>
      <c r="G44" s="59">
        <f>IF('[14]سجل المستخلصات'!$G$25="","",'[14]سجل المستخلصات'!$G$25)</f>
        <v/>
      </c>
      <c r="H44" s="59">
        <f>IF('[14]سجل المستخلصات'!$I$25="","",'[14]سجل المستخلصات'!$I$25)</f>
        <v/>
      </c>
      <c r="I44" s="59">
        <f>IF('[14]سجل المستخلصات'!$J$25="","",'[14]سجل المستخلصات'!$J$25)</f>
        <v/>
      </c>
      <c r="J44" s="59">
        <f>IF('[14]سجل المستخلصات'!$K$25="","",'[14]سجل المستخلصات'!$K$25)</f>
        <v/>
      </c>
      <c r="K44" s="60">
        <f>IF('[14]سجل المستخلصات'!$L$25="","",'[14]سجل المستخلصات'!$L$25)</f>
        <v/>
      </c>
      <c r="L44" s="60">
        <f>IF('[14]سجل المستخلصات'!$M$25="","",'[14]سجل المستخلصات'!$M$25)</f>
        <v/>
      </c>
      <c r="M44" s="60">
        <f>IF('[14]سجل المستخلصات'!$N$25="","",'[14]سجل المستخلصات'!$N$25)</f>
        <v/>
      </c>
      <c r="N44" s="59">
        <f>IF('[14]سجل المستخلصات'!$O$25="","",'[14]سجل المستخلصات'!$O$25)</f>
        <v/>
      </c>
      <c r="O44" s="59">
        <f>IF('[14]سجل المستخلصات'!$R$25="","",'[14]سجل المستخلصات'!$R$25)</f>
        <v/>
      </c>
      <c r="P44" s="59">
        <f>IF('[14]سجل المستخلصات'!$S$25="","",'[14]سجل المستخلصات'!$S$25)</f>
        <v/>
      </c>
      <c r="Q44" s="59">
        <f>IF('[14]سجل المستخلصات'!$T$25="","",'[14]سجل المستخلصات'!$T$25)</f>
        <v/>
      </c>
      <c r="R44" s="59">
        <f>IF('[14]سجل المستخلصات'!$V$25="","",'[14]سجل المستخلصات'!$V$25)</f>
        <v/>
      </c>
      <c r="S44" s="59">
        <f>IF('[14]سجل المستخلصات'!$W$25="","",'[14]سجل المستخلصات'!$W$25)</f>
        <v/>
      </c>
      <c r="T44" s="61">
        <f>IF('[14]سجل المستخلصات'!$X$25="","",'[14]سجل المستخلصات'!$X$25)</f>
        <v/>
      </c>
      <c r="U44" s="61">
        <f>IF('[14]سجل المستخلصات'!$Z$25="","",'[14]سجل المستخلصات'!$Z$25)</f>
        <v/>
      </c>
      <c r="V44" s="59">
        <f>IF('[14]سجل المستخلصات'!$AA$25="","",'[14]سجل المستخلصات'!$AA$25)</f>
        <v/>
      </c>
      <c r="W44" s="59">
        <f>IF('[14]سجل المستخلصات'!$AC$25="","",'[14]سجل المستخلصات'!$AC$25)</f>
        <v/>
      </c>
      <c r="X44" s="62">
        <f>IF('[14]سجل المستخلصات'!$AD$25="","",'[14]سجل المستخلصات'!$AD$25)</f>
        <v/>
      </c>
      <c r="Y44" s="58">
        <f>IF('[14]سجل المستخلصات'!$AE$25="","",'[14]سجل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IF('[14]سجل المستخلصات'!$B$32="","",'[14]سجل المستخلصات'!$B$32)</f>
        <v/>
      </c>
      <c r="C50" s="69" t="n"/>
      <c r="D50" s="69" t="n"/>
      <c r="E50" s="59">
        <f>N('[14]سجل المستخلصات'!$E$32)</f>
        <v/>
      </c>
      <c r="F50" s="59">
        <f>N('[14]سجل المستخلصات'!$F$32)</f>
        <v/>
      </c>
      <c r="G50" s="70">
        <f>IF(E50&gt;0,F50/E50,0)</f>
        <v/>
      </c>
    </row>
    <row r="51">
      <c r="B51" s="69">
        <f>IF('[14]سجل المستخلصات'!$B$33="","",'[14]سجل المستخلصات'!$B$33)</f>
        <v/>
      </c>
      <c r="C51" s="69" t="n"/>
      <c r="D51" s="69" t="n"/>
      <c r="E51" s="59">
        <f>N('[14]سجل المستخلصات'!$E$33)</f>
        <v/>
      </c>
      <c r="F51" s="59">
        <f>N('[14]سجل المستخلصات'!$F$33)</f>
        <v/>
      </c>
      <c r="G51" s="70">
        <f>IF(E51&gt;0,F51/E51,0)</f>
        <v/>
      </c>
    </row>
    <row r="52">
      <c r="B52" s="69">
        <f>IF('[14]سجل المستخلصات'!$B$34="","",'[14]سجل المستخلصات'!$B$34)</f>
        <v/>
      </c>
      <c r="C52" s="69" t="n"/>
      <c r="D52" s="69" t="n"/>
      <c r="E52" s="59">
        <f>N('[14]سجل المستخلصات'!$E$34)</f>
        <v/>
      </c>
      <c r="F52" s="59">
        <f>N('[14]سجل المستخلصات'!$F$34)</f>
        <v/>
      </c>
      <c r="G52" s="70">
        <f>IF(E52&gt;0,F52/E52,0)</f>
        <v/>
      </c>
    </row>
    <row r="53">
      <c r="B53" s="69">
        <f>IF('[14]سجل المستخلصات'!$B$35="","",'[14]سجل المستخلصات'!$B$35)</f>
        <v/>
      </c>
      <c r="C53" s="69" t="n"/>
      <c r="D53" s="69" t="n"/>
      <c r="E53" s="59">
        <f>N('[14]سجل المستخلصات'!$E$35)</f>
        <v/>
      </c>
      <c r="F53" s="59">
        <f>N('[14]سجل المستخلصات'!$F$35)</f>
        <v/>
      </c>
      <c r="G53" s="70">
        <f>IF(E53&gt;0,F53/E53,0)</f>
        <v/>
      </c>
    </row>
    <row r="54">
      <c r="B54" s="69">
        <f>IF('[14]سجل المستخلصات'!$B$36="","",'[14]سجل المستخلصات'!$B$36)</f>
        <v/>
      </c>
      <c r="C54" s="69" t="n"/>
      <c r="D54" s="69" t="n"/>
      <c r="E54" s="59">
        <f>N('[14]سجل المستخلصات'!$E$36)</f>
        <v/>
      </c>
      <c r="F54" s="59">
        <f>N('[14]سجل المستخلصات'!$F$36)</f>
        <v/>
      </c>
      <c r="G54" s="70">
        <f>IF(E54&gt;0,F54/E54,0)</f>
        <v/>
      </c>
    </row>
    <row r="55">
      <c r="B55" s="69">
        <f>IF('[14]سجل المستخلصات'!$B$37="","",'[14]سجل المستخلصات'!$B$37)</f>
        <v/>
      </c>
      <c r="C55" s="69" t="n"/>
      <c r="D55" s="69" t="n"/>
      <c r="E55" s="59">
        <f>N('[14]سجل المستخلصات'!$E$37)</f>
        <v/>
      </c>
      <c r="F55" s="59">
        <f>N('[14]سجل المستخلصات'!$F$37)</f>
        <v/>
      </c>
      <c r="G55" s="70">
        <f>IF(E55&gt;0,F55/E55,0)</f>
        <v/>
      </c>
    </row>
    <row r="56">
      <c r="B56" s="69">
        <f>IF('[14]سجل المستخلصات'!$B$38="","",'[14]سجل المستخلصات'!$B$38)</f>
        <v/>
      </c>
      <c r="C56" s="69" t="n"/>
      <c r="D56" s="69" t="n"/>
      <c r="E56" s="59">
        <f>N('[14]سجل المستخلصات'!$E$38)</f>
        <v/>
      </c>
      <c r="F56" s="59">
        <f>N('[14]سجل المستخلصات'!$F$38)</f>
        <v/>
      </c>
      <c r="G56" s="70">
        <f>IF(E56&gt;0,F56/E56,0)</f>
        <v/>
      </c>
    </row>
    <row r="57">
      <c r="B57" s="69">
        <f>IF('[14]سجل المستخلصات'!$B$39="","",'[14]سجل المستخلصات'!$B$39)</f>
        <v/>
      </c>
      <c r="C57" s="69" t="n"/>
      <c r="D57" s="69" t="n"/>
      <c r="E57" s="59">
        <f>N('[14]سجل المستخلصات'!$E$39)</f>
        <v/>
      </c>
      <c r="F57" s="59">
        <f>N('[14]سجل المستخلصات'!$F$39)</f>
        <v/>
      </c>
      <c r="G57" s="70">
        <f>IF(E57&gt;0,F57/E57,0)</f>
        <v/>
      </c>
    </row>
    <row r="58">
      <c r="B58" s="69">
        <f>IF('[14]سجل المستخلصات'!$B$40="","",'[14]سجل المستخلصات'!$B$40)</f>
        <v/>
      </c>
      <c r="C58" s="69" t="n"/>
      <c r="D58" s="69" t="n"/>
      <c r="E58" s="59">
        <f>N('[14]سجل المستخلصات'!$E$40)</f>
        <v/>
      </c>
      <c r="F58" s="59">
        <f>N('[14]سجل المستخلصات'!$F$40)</f>
        <v/>
      </c>
      <c r="G58" s="70">
        <f>IF(E58&gt;0,F58/E58,0)</f>
        <v/>
      </c>
    </row>
    <row r="59">
      <c r="B59" s="69">
        <f>IF('[14]سجل المستخلصات'!$B$41="","",'[14]سجل المستخلصات'!$B$41)</f>
        <v/>
      </c>
      <c r="C59" s="69" t="n"/>
      <c r="D59" s="69" t="n"/>
      <c r="E59" s="59">
        <f>N('[14]سجل المستخلصات'!$E$41)</f>
        <v/>
      </c>
      <c r="F59" s="59">
        <f>N('[14]سجل المستخلصات'!$F$41)</f>
        <v/>
      </c>
      <c r="G59" s="70">
        <f>IF(E59&gt;0,F59/E59,0)</f>
        <v/>
      </c>
    </row>
    <row r="60">
      <c r="B60" s="69">
        <f>IF('[14]سجل المستخلصات'!$B$42="","",'[14]سجل المستخلصات'!$B$42)</f>
        <v/>
      </c>
      <c r="C60" s="69" t="n"/>
      <c r="D60" s="69" t="n"/>
      <c r="E60" s="59">
        <f>N('[14]سجل المستخلصات'!$E$42)</f>
        <v/>
      </c>
      <c r="F60" s="59">
        <f>N('[14]سجل المستخلصات'!$F$42)</f>
        <v/>
      </c>
      <c r="G60" s="70">
        <f>IF(E60&gt;0,F60/E60,0)</f>
        <v/>
      </c>
    </row>
    <row r="61">
      <c r="B61" s="69">
        <f>IF('[14]سجل المستخلصات'!$B$43="","",'[14]سجل المستخلصات'!$B$43)</f>
        <v/>
      </c>
      <c r="C61" s="69" t="n"/>
      <c r="D61" s="69" t="n"/>
      <c r="E61" s="59">
        <f>N('[14]سجل المستخلصات'!$E$43)</f>
        <v/>
      </c>
      <c r="F61" s="59">
        <f>N('[14]سجل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13'!A1" display="◄ المشروع السابق"/>
    <hyperlink ref="D3" location="'مشروع 15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"&amp;IF('[15]بيانات العقد'!$C$5="","مشروع رقم 15 — غير مُفعّل",'[15]بيانات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Project_15/IPC_Project_15.xlsx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IF('[15]بيانات العقد'!$C$5="","",'[15]بيانات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IF('[15]بيانات العقد'!$C$6="","",'[15]بيانات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IF('[15]بيانات العقد'!$C$7="","",'[15]بيانات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IF('[15]بيانات العقد'!$C$8="","",'[15]بيانات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N('[15]بيانات العقد'!$C$16)</f>
        <v/>
      </c>
    </row>
    <row r="6" ht="22" customHeight="1">
      <c r="B6" s="11" t="inlineStr">
        <is>
          <t>المقاول</t>
        </is>
      </c>
      <c r="C6" s="14">
        <f>IF('[15]بيانات العقد'!$C$9="","",'[15]بيانات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IF('[15]بيانات العقد'!$C$11="","",'[15]بيانات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IF('[15]بيانات العقد'!$C$13="","",'[15]بيانات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IF('[15]بيانات العقد'!$C$14="","",'[15]بيانات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N('[15]بيانات العقد'!$C$17)</f>
        <v/>
      </c>
    </row>
    <row r="7">
      <c r="AA7" s="15" t="inlineStr">
        <is>
          <t>قيمة العقد المعدلة</t>
        </is>
      </c>
      <c r="AB7" s="16">
        <f>N('[15]بيانات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N('[15]بيانات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N('[15]بيانات العقد'!$C$21)</f>
        <v/>
      </c>
    </row>
    <row r="10">
      <c r="AA10" s="15" t="inlineStr">
        <is>
          <t>نسبة ضمان الأعمال</t>
        </is>
      </c>
      <c r="AB10" s="23">
        <f>N('[15]بيانات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N('[15]بيانات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N('[15]بيانات العقد'!$C$31)</f>
        <v/>
      </c>
    </row>
    <row r="13">
      <c r="AA13" s="15" t="inlineStr">
        <is>
          <t>ضريبة الاستقطاع (غير المقيم)</t>
        </is>
      </c>
      <c r="AB13" s="23">
        <f>N('[15]بيانات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IF('[15]بيانات العقد'!$C$11="","",'[15]بيانات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IF('[15]بيانات العقد'!$C$13="","",'[15]بيانات العقد'!$C$13)</f>
        <v/>
      </c>
    </row>
    <row r="16">
      <c r="AA16" s="15" t="inlineStr">
        <is>
          <t>المدة (شهر)</t>
        </is>
      </c>
      <c r="AB16" s="43">
        <f>IF('[15]بيانات العقد'!$C$12="","",'[15]بيانات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IF('[15]بيانات العقد'!$C$36="","",'[15]بيانات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IF('[15]بيانات العقد'!$C$37="","",'[15]بيانات العقد'!$C$37)</f>
        <v/>
      </c>
    </row>
    <row r="19">
      <c r="AA19" s="15" t="inlineStr">
        <is>
          <t>الرقم الضريبي لصاحب العمل</t>
        </is>
      </c>
      <c r="AB19" s="48">
        <f>IF('[15]بيانات العقد'!$C$39="","",'[15]بيانات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IF('[15]بيانات العقد'!$C$42="","",'[15]بيانات العقد'!$C$42)</f>
        <v/>
      </c>
    </row>
    <row r="21" ht="32" customHeight="1">
      <c r="B21" s="50">
        <f>N('[15]الموازنة والتكاليف'!$D$66)</f>
        <v/>
      </c>
      <c r="C21" s="50" t="n"/>
      <c r="D21" s="50" t="n"/>
      <c r="E21" s="50" t="n"/>
      <c r="F21" s="50">
        <f>N('[15]الموازنة والتكاليف'!$D$70)</f>
        <v/>
      </c>
      <c r="G21" s="50" t="n"/>
      <c r="H21" s="50" t="n"/>
      <c r="I21" s="50" t="n"/>
      <c r="J21" s="50">
        <f>N('[15]الموازنة والتكاليف'!$D$72)</f>
        <v/>
      </c>
      <c r="K21" s="50" t="n"/>
      <c r="L21" s="50" t="n"/>
      <c r="M21" s="50" t="n"/>
      <c r="N21" s="51">
        <f>N('[15]الموازنة والتكاليف'!$D$73)</f>
        <v/>
      </c>
      <c r="O21" s="51" t="n"/>
      <c r="P21" s="51" t="n"/>
      <c r="Q21" s="51" t="n"/>
      <c r="R21" s="52">
        <f>N('[15]الموازنة والتكاليف'!$D$74)</f>
        <v/>
      </c>
      <c r="S21" s="52" t="n"/>
      <c r="T21" s="52" t="n"/>
      <c r="U21" s="52" t="n"/>
      <c r="V21" s="50">
        <f>N('[15]الموازنة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IF('[15]بيانات العقد'!$C$43="","",'[15]بيانات العقد'!$C$43)</f>
        <v/>
      </c>
    </row>
    <row r="22">
      <c r="AA22" s="15" t="inlineStr">
        <is>
          <t>حالة غرامات التأخير</t>
        </is>
      </c>
      <c r="AB22" s="45">
        <f>IF('[15]بيانات العقد'!$C$47="","",'[15]بيانات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IF('[15]سجل المستخلصات'!$C$6="","",'[15]سجل المستخلصات'!$C$6)</f>
        <v/>
      </c>
      <c r="D25" s="57">
        <f>IF('[15]سجل المستخلصات'!$E$6="","",'[15]سجل المستخلصات'!$E$6)</f>
        <v/>
      </c>
      <c r="E25" s="58">
        <f>IF('[15]سجل المستخلصات'!$F$6="","",'[15]سجل المستخلصات'!$F$6)</f>
        <v/>
      </c>
      <c r="F25" s="59">
        <f>IF('[15]سجل المستخلصات'!$H$6="","",'[15]سجل المستخلصات'!$H$6)</f>
        <v/>
      </c>
      <c r="G25" s="59">
        <f>IF('[15]سجل المستخلصات'!$G$6="","",'[15]سجل المستخلصات'!$G$6)</f>
        <v/>
      </c>
      <c r="H25" s="59">
        <f>IF('[15]سجل المستخلصات'!$I$6="","",'[15]سجل المستخلصات'!$I$6)</f>
        <v/>
      </c>
      <c r="I25" s="59">
        <f>IF('[15]سجل المستخلصات'!$J$6="","",'[15]سجل المستخلصات'!$J$6)</f>
        <v/>
      </c>
      <c r="J25" s="59">
        <f>IF('[15]سجل المستخلصات'!$K$6="","",'[15]سجل المستخلصات'!$K$6)</f>
        <v/>
      </c>
      <c r="K25" s="60">
        <f>IF('[15]سجل المستخلصات'!$L$6="","",'[15]سجل المستخلصات'!$L$6)</f>
        <v/>
      </c>
      <c r="L25" s="60">
        <f>IF('[15]سجل المستخلصات'!$M$6="","",'[15]سجل المستخلصات'!$M$6)</f>
        <v/>
      </c>
      <c r="M25" s="60">
        <f>IF('[15]سجل المستخلصات'!$N$6="","",'[15]سجل المستخلصات'!$N$6)</f>
        <v/>
      </c>
      <c r="N25" s="59">
        <f>IF('[15]سجل المستخلصات'!$O$6="","",'[15]سجل المستخلصات'!$O$6)</f>
        <v/>
      </c>
      <c r="O25" s="59">
        <f>IF('[15]سجل المستخلصات'!$R$6="","",'[15]سجل المستخلصات'!$R$6)</f>
        <v/>
      </c>
      <c r="P25" s="59">
        <f>IF('[15]سجل المستخلصات'!$S$6="","",'[15]سجل المستخلصات'!$S$6)</f>
        <v/>
      </c>
      <c r="Q25" s="59">
        <f>IF('[15]سجل المستخلصات'!$T$6="","",'[15]سجل المستخلصات'!$T$6)</f>
        <v/>
      </c>
      <c r="R25" s="59">
        <f>IF('[15]سجل المستخلصات'!$V$6="","",'[15]سجل المستخلصات'!$V$6)</f>
        <v/>
      </c>
      <c r="S25" s="59">
        <f>IF('[15]سجل المستخلصات'!$W$6="","",'[15]سجل المستخلصات'!$W$6)</f>
        <v/>
      </c>
      <c r="T25" s="61">
        <f>IF('[15]سجل المستخلصات'!$X$6="","",'[15]سجل المستخلصات'!$X$6)</f>
        <v/>
      </c>
      <c r="U25" s="61">
        <f>IF('[15]سجل المستخلصات'!$Z$6="","",'[15]سجل المستخلصات'!$Z$6)</f>
        <v/>
      </c>
      <c r="V25" s="59">
        <f>IF('[15]سجل المستخلصات'!$AA$6="","",'[15]سجل المستخلصات'!$AA$6)</f>
        <v/>
      </c>
      <c r="W25" s="59">
        <f>IF('[15]سجل المستخلصات'!$AC$6="","",'[15]سجل المستخلصات'!$AC$6)</f>
        <v/>
      </c>
      <c r="X25" s="62">
        <f>IF('[15]سجل المستخلصات'!$AD$6="","",'[15]سجل المستخلصات'!$AD$6)</f>
        <v/>
      </c>
      <c r="Y25" s="58">
        <f>IF('[15]سجل المستخلصات'!$AE$6="","",'[15]سجل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IF('[15]سجل المستخلصات'!$C$7="","",'[15]سجل المستخلصات'!$C$7)</f>
        <v/>
      </c>
      <c r="D26" s="57">
        <f>IF('[15]سجل المستخلصات'!$E$7="","",'[15]سجل المستخلصات'!$E$7)</f>
        <v/>
      </c>
      <c r="E26" s="58">
        <f>IF('[15]سجل المستخلصات'!$F$7="","",'[15]سجل المستخلصات'!$F$7)</f>
        <v/>
      </c>
      <c r="F26" s="59">
        <f>IF('[15]سجل المستخلصات'!$H$7="","",'[15]سجل المستخلصات'!$H$7)</f>
        <v/>
      </c>
      <c r="G26" s="59">
        <f>IF('[15]سجل المستخلصات'!$G$7="","",'[15]سجل المستخلصات'!$G$7)</f>
        <v/>
      </c>
      <c r="H26" s="59">
        <f>IF('[15]سجل المستخلصات'!$I$7="","",'[15]سجل المستخلصات'!$I$7)</f>
        <v/>
      </c>
      <c r="I26" s="59">
        <f>IF('[15]سجل المستخلصات'!$J$7="","",'[15]سجل المستخلصات'!$J$7)</f>
        <v/>
      </c>
      <c r="J26" s="59">
        <f>IF('[15]سجل المستخلصات'!$K$7="","",'[15]سجل المستخلصات'!$K$7)</f>
        <v/>
      </c>
      <c r="K26" s="60">
        <f>IF('[15]سجل المستخلصات'!$L$7="","",'[15]سجل المستخلصات'!$L$7)</f>
        <v/>
      </c>
      <c r="L26" s="60">
        <f>IF('[15]سجل المستخلصات'!$M$7="","",'[15]سجل المستخلصات'!$M$7)</f>
        <v/>
      </c>
      <c r="M26" s="60">
        <f>IF('[15]سجل المستخلصات'!$N$7="","",'[15]سجل المستخلصات'!$N$7)</f>
        <v/>
      </c>
      <c r="N26" s="59">
        <f>IF('[15]سجل المستخلصات'!$O$7="","",'[15]سجل المستخلصات'!$O$7)</f>
        <v/>
      </c>
      <c r="O26" s="59">
        <f>IF('[15]سجل المستخلصات'!$R$7="","",'[15]سجل المستخلصات'!$R$7)</f>
        <v/>
      </c>
      <c r="P26" s="59">
        <f>IF('[15]سجل المستخلصات'!$S$7="","",'[15]سجل المستخلصات'!$S$7)</f>
        <v/>
      </c>
      <c r="Q26" s="59">
        <f>IF('[15]سجل المستخلصات'!$T$7="","",'[15]سجل المستخلصات'!$T$7)</f>
        <v/>
      </c>
      <c r="R26" s="59">
        <f>IF('[15]سجل المستخلصات'!$V$7="","",'[15]سجل المستخلصات'!$V$7)</f>
        <v/>
      </c>
      <c r="S26" s="59">
        <f>IF('[15]سجل المستخلصات'!$W$7="","",'[15]سجل المستخلصات'!$W$7)</f>
        <v/>
      </c>
      <c r="T26" s="61">
        <f>IF('[15]سجل المستخلصات'!$X$7="","",'[15]سجل المستخلصات'!$X$7)</f>
        <v/>
      </c>
      <c r="U26" s="61">
        <f>IF('[15]سجل المستخلصات'!$Z$7="","",'[15]سجل المستخلصات'!$Z$7)</f>
        <v/>
      </c>
      <c r="V26" s="59">
        <f>IF('[15]سجل المستخلصات'!$AA$7="","",'[15]سجل المستخلصات'!$AA$7)</f>
        <v/>
      </c>
      <c r="W26" s="59">
        <f>IF('[15]سجل المستخلصات'!$AC$7="","",'[15]سجل المستخلصات'!$AC$7)</f>
        <v/>
      </c>
      <c r="X26" s="62">
        <f>IF('[15]سجل المستخلصات'!$AD$7="","",'[15]سجل المستخلصات'!$AD$7)</f>
        <v/>
      </c>
      <c r="Y26" s="58">
        <f>IF('[15]سجل المستخلصات'!$AE$7="","",'[15]سجل المستخلصات'!$AE$7)</f>
        <v/>
      </c>
      <c r="AA26" s="63" t="n"/>
      <c r="AB26" s="63" t="n"/>
    </row>
    <row r="27">
      <c r="B27" s="56" t="n">
        <v>3</v>
      </c>
      <c r="C27" s="57">
        <f>IF('[15]سجل المستخلصات'!$C$8="","",'[15]سجل المستخلصات'!$C$8)</f>
        <v/>
      </c>
      <c r="D27" s="57">
        <f>IF('[15]سجل المستخلصات'!$E$8="","",'[15]سجل المستخلصات'!$E$8)</f>
        <v/>
      </c>
      <c r="E27" s="58">
        <f>IF('[15]سجل المستخلصات'!$F$8="","",'[15]سجل المستخلصات'!$F$8)</f>
        <v/>
      </c>
      <c r="F27" s="59">
        <f>IF('[15]سجل المستخلصات'!$H$8="","",'[15]سجل المستخلصات'!$H$8)</f>
        <v/>
      </c>
      <c r="G27" s="59">
        <f>IF('[15]سجل المستخلصات'!$G$8="","",'[15]سجل المستخلصات'!$G$8)</f>
        <v/>
      </c>
      <c r="H27" s="59">
        <f>IF('[15]سجل المستخلصات'!$I$8="","",'[15]سجل المستخلصات'!$I$8)</f>
        <v/>
      </c>
      <c r="I27" s="59">
        <f>IF('[15]سجل المستخلصات'!$J$8="","",'[15]سجل المستخلصات'!$J$8)</f>
        <v/>
      </c>
      <c r="J27" s="59">
        <f>IF('[15]سجل المستخلصات'!$K$8="","",'[15]سجل المستخلصات'!$K$8)</f>
        <v/>
      </c>
      <c r="K27" s="60">
        <f>IF('[15]سجل المستخلصات'!$L$8="","",'[15]سجل المستخلصات'!$L$8)</f>
        <v/>
      </c>
      <c r="L27" s="60">
        <f>IF('[15]سجل المستخلصات'!$M$8="","",'[15]سجل المستخلصات'!$M$8)</f>
        <v/>
      </c>
      <c r="M27" s="60">
        <f>IF('[15]سجل المستخلصات'!$N$8="","",'[15]سجل المستخلصات'!$N$8)</f>
        <v/>
      </c>
      <c r="N27" s="59">
        <f>IF('[15]سجل المستخلصات'!$O$8="","",'[15]سجل المستخلصات'!$O$8)</f>
        <v/>
      </c>
      <c r="O27" s="59">
        <f>IF('[15]سجل المستخلصات'!$R$8="","",'[15]سجل المستخلصات'!$R$8)</f>
        <v/>
      </c>
      <c r="P27" s="59">
        <f>IF('[15]سجل المستخلصات'!$S$8="","",'[15]سجل المستخلصات'!$S$8)</f>
        <v/>
      </c>
      <c r="Q27" s="59">
        <f>IF('[15]سجل المستخلصات'!$T$8="","",'[15]سجل المستخلصات'!$T$8)</f>
        <v/>
      </c>
      <c r="R27" s="59">
        <f>IF('[15]سجل المستخلصات'!$V$8="","",'[15]سجل المستخلصات'!$V$8)</f>
        <v/>
      </c>
      <c r="S27" s="59">
        <f>IF('[15]سجل المستخلصات'!$W$8="","",'[15]سجل المستخلصات'!$W$8)</f>
        <v/>
      </c>
      <c r="T27" s="61">
        <f>IF('[15]سجل المستخلصات'!$X$8="","",'[15]سجل المستخلصات'!$X$8)</f>
        <v/>
      </c>
      <c r="U27" s="61">
        <f>IF('[15]سجل المستخلصات'!$Z$8="","",'[15]سجل المستخلصات'!$Z$8)</f>
        <v/>
      </c>
      <c r="V27" s="59">
        <f>IF('[15]سجل المستخلصات'!$AA$8="","",'[15]سجل المستخلصات'!$AA$8)</f>
        <v/>
      </c>
      <c r="W27" s="59">
        <f>IF('[15]سجل المستخلصات'!$AC$8="","",'[15]سجل المستخلصات'!$AC$8)</f>
        <v/>
      </c>
      <c r="X27" s="62">
        <f>IF('[15]سجل المستخلصات'!$AD$8="","",'[15]سجل المستخلصات'!$AD$8)</f>
        <v/>
      </c>
      <c r="Y27" s="58">
        <f>IF('[15]سجل المستخلصات'!$AE$8="","",'[15]سجل المستخلصات'!$AE$8)</f>
        <v/>
      </c>
      <c r="AA27" s="63" t="n"/>
      <c r="AB27" s="63" t="n"/>
    </row>
    <row r="28">
      <c r="B28" s="56" t="n">
        <v>4</v>
      </c>
      <c r="C28" s="57">
        <f>IF('[15]سجل المستخلصات'!$C$9="","",'[15]سجل المستخلصات'!$C$9)</f>
        <v/>
      </c>
      <c r="D28" s="57">
        <f>IF('[15]سجل المستخلصات'!$E$9="","",'[15]سجل المستخلصات'!$E$9)</f>
        <v/>
      </c>
      <c r="E28" s="58">
        <f>IF('[15]سجل المستخلصات'!$F$9="","",'[15]سجل المستخلصات'!$F$9)</f>
        <v/>
      </c>
      <c r="F28" s="59">
        <f>IF('[15]سجل المستخلصات'!$H$9="","",'[15]سجل المستخلصات'!$H$9)</f>
        <v/>
      </c>
      <c r="G28" s="59">
        <f>IF('[15]سجل المستخلصات'!$G$9="","",'[15]سجل المستخلصات'!$G$9)</f>
        <v/>
      </c>
      <c r="H28" s="59">
        <f>IF('[15]سجل المستخلصات'!$I$9="","",'[15]سجل المستخلصات'!$I$9)</f>
        <v/>
      </c>
      <c r="I28" s="59">
        <f>IF('[15]سجل المستخلصات'!$J$9="","",'[15]سجل المستخلصات'!$J$9)</f>
        <v/>
      </c>
      <c r="J28" s="59">
        <f>IF('[15]سجل المستخلصات'!$K$9="","",'[15]سجل المستخلصات'!$K$9)</f>
        <v/>
      </c>
      <c r="K28" s="60">
        <f>IF('[15]سجل المستخلصات'!$L$9="","",'[15]سجل المستخلصات'!$L$9)</f>
        <v/>
      </c>
      <c r="L28" s="60">
        <f>IF('[15]سجل المستخلصات'!$M$9="","",'[15]سجل المستخلصات'!$M$9)</f>
        <v/>
      </c>
      <c r="M28" s="60">
        <f>IF('[15]سجل المستخلصات'!$N$9="","",'[15]سجل المستخلصات'!$N$9)</f>
        <v/>
      </c>
      <c r="N28" s="59">
        <f>IF('[15]سجل المستخلصات'!$O$9="","",'[15]سجل المستخلصات'!$O$9)</f>
        <v/>
      </c>
      <c r="O28" s="59">
        <f>IF('[15]سجل المستخلصات'!$R$9="","",'[15]سجل المستخلصات'!$R$9)</f>
        <v/>
      </c>
      <c r="P28" s="59">
        <f>IF('[15]سجل المستخلصات'!$S$9="","",'[15]سجل المستخلصات'!$S$9)</f>
        <v/>
      </c>
      <c r="Q28" s="59">
        <f>IF('[15]سجل المستخلصات'!$T$9="","",'[15]سجل المستخلصات'!$T$9)</f>
        <v/>
      </c>
      <c r="R28" s="59">
        <f>IF('[15]سجل المستخلصات'!$V$9="","",'[15]سجل المستخلصات'!$V$9)</f>
        <v/>
      </c>
      <c r="S28" s="59">
        <f>IF('[15]سجل المستخلصات'!$W$9="","",'[15]سجل المستخلصات'!$W$9)</f>
        <v/>
      </c>
      <c r="T28" s="61">
        <f>IF('[15]سجل المستخلصات'!$X$9="","",'[15]سجل المستخلصات'!$X$9)</f>
        <v/>
      </c>
      <c r="U28" s="61">
        <f>IF('[15]سجل المستخلصات'!$Z$9="","",'[15]سجل المستخلصات'!$Z$9)</f>
        <v/>
      </c>
      <c r="V28" s="59">
        <f>IF('[15]سجل المستخلصات'!$AA$9="","",'[15]سجل المستخلصات'!$AA$9)</f>
        <v/>
      </c>
      <c r="W28" s="59">
        <f>IF('[15]سجل المستخلصات'!$AC$9="","",'[15]سجل المستخلصات'!$AC$9)</f>
        <v/>
      </c>
      <c r="X28" s="62">
        <f>IF('[15]سجل المستخلصات'!$AD$9="","",'[15]سجل المستخلصات'!$AD$9)</f>
        <v/>
      </c>
      <c r="Y28" s="58">
        <f>IF('[15]سجل المستخلصات'!$AE$9="","",'[15]سجل المستخلصات'!$AE$9)</f>
        <v/>
      </c>
      <c r="AA28" s="63" t="n"/>
      <c r="AB28" s="63" t="n"/>
    </row>
    <row r="29">
      <c r="B29" s="56" t="n">
        <v>5</v>
      </c>
      <c r="C29" s="57">
        <f>IF('[15]سجل المستخلصات'!$C$10="","",'[15]سجل المستخلصات'!$C$10)</f>
        <v/>
      </c>
      <c r="D29" s="57">
        <f>IF('[15]سجل المستخلصات'!$E$10="","",'[15]سجل المستخلصات'!$E$10)</f>
        <v/>
      </c>
      <c r="E29" s="58">
        <f>IF('[15]سجل المستخلصات'!$F$10="","",'[15]سجل المستخلصات'!$F$10)</f>
        <v/>
      </c>
      <c r="F29" s="59">
        <f>IF('[15]سجل المستخلصات'!$H$10="","",'[15]سجل المستخلصات'!$H$10)</f>
        <v/>
      </c>
      <c r="G29" s="59">
        <f>IF('[15]سجل المستخلصات'!$G$10="","",'[15]سجل المستخلصات'!$G$10)</f>
        <v/>
      </c>
      <c r="H29" s="59">
        <f>IF('[15]سجل المستخلصات'!$I$10="","",'[15]سجل المستخلصات'!$I$10)</f>
        <v/>
      </c>
      <c r="I29" s="59">
        <f>IF('[15]سجل المستخلصات'!$J$10="","",'[15]سجل المستخلصات'!$J$10)</f>
        <v/>
      </c>
      <c r="J29" s="59">
        <f>IF('[15]سجل المستخلصات'!$K$10="","",'[15]سجل المستخلصات'!$K$10)</f>
        <v/>
      </c>
      <c r="K29" s="60">
        <f>IF('[15]سجل المستخلصات'!$L$10="","",'[15]سجل المستخلصات'!$L$10)</f>
        <v/>
      </c>
      <c r="L29" s="60">
        <f>IF('[15]سجل المستخلصات'!$M$10="","",'[15]سجل المستخلصات'!$M$10)</f>
        <v/>
      </c>
      <c r="M29" s="60">
        <f>IF('[15]سجل المستخلصات'!$N$10="","",'[15]سجل المستخلصات'!$N$10)</f>
        <v/>
      </c>
      <c r="N29" s="59">
        <f>IF('[15]سجل المستخلصات'!$O$10="","",'[15]سجل المستخلصات'!$O$10)</f>
        <v/>
      </c>
      <c r="O29" s="59">
        <f>IF('[15]سجل المستخلصات'!$R$10="","",'[15]سجل المستخلصات'!$R$10)</f>
        <v/>
      </c>
      <c r="P29" s="59">
        <f>IF('[15]سجل المستخلصات'!$S$10="","",'[15]سجل المستخلصات'!$S$10)</f>
        <v/>
      </c>
      <c r="Q29" s="59">
        <f>IF('[15]سجل المستخلصات'!$T$10="","",'[15]سجل المستخلصات'!$T$10)</f>
        <v/>
      </c>
      <c r="R29" s="59">
        <f>IF('[15]سجل المستخلصات'!$V$10="","",'[15]سجل المستخلصات'!$V$10)</f>
        <v/>
      </c>
      <c r="S29" s="59">
        <f>IF('[15]سجل المستخلصات'!$W$10="","",'[15]سجل المستخلصات'!$W$10)</f>
        <v/>
      </c>
      <c r="T29" s="61">
        <f>IF('[15]سجل المستخلصات'!$X$10="","",'[15]سجل المستخلصات'!$X$10)</f>
        <v/>
      </c>
      <c r="U29" s="61">
        <f>IF('[15]سجل المستخلصات'!$Z$10="","",'[15]سجل المستخلصات'!$Z$10)</f>
        <v/>
      </c>
      <c r="V29" s="59">
        <f>IF('[15]سجل المستخلصات'!$AA$10="","",'[15]سجل المستخلصات'!$AA$10)</f>
        <v/>
      </c>
      <c r="W29" s="59">
        <f>IF('[15]سجل المستخلصات'!$AC$10="","",'[15]سجل المستخلصات'!$AC$10)</f>
        <v/>
      </c>
      <c r="X29" s="62">
        <f>IF('[15]سجل المستخلصات'!$AD$10="","",'[15]سجل المستخلصات'!$AD$10)</f>
        <v/>
      </c>
      <c r="Y29" s="58">
        <f>IF('[15]سجل المستخلصات'!$AE$10="","",'[15]سجل المستخلصات'!$AE$10)</f>
        <v/>
      </c>
    </row>
    <row r="30">
      <c r="B30" s="56" t="n">
        <v>6</v>
      </c>
      <c r="C30" s="57">
        <f>IF('[15]سجل المستخلصات'!$C$11="","",'[15]سجل المستخلصات'!$C$11)</f>
        <v/>
      </c>
      <c r="D30" s="57">
        <f>IF('[15]سجل المستخلصات'!$E$11="","",'[15]سجل المستخلصات'!$E$11)</f>
        <v/>
      </c>
      <c r="E30" s="58">
        <f>IF('[15]سجل المستخلصات'!$F$11="","",'[15]سجل المستخلصات'!$F$11)</f>
        <v/>
      </c>
      <c r="F30" s="59">
        <f>IF('[15]سجل المستخلصات'!$H$11="","",'[15]سجل المستخلصات'!$H$11)</f>
        <v/>
      </c>
      <c r="G30" s="59">
        <f>IF('[15]سجل المستخلصات'!$G$11="","",'[15]سجل المستخلصات'!$G$11)</f>
        <v/>
      </c>
      <c r="H30" s="59">
        <f>IF('[15]سجل المستخلصات'!$I$11="","",'[15]سجل المستخلصات'!$I$11)</f>
        <v/>
      </c>
      <c r="I30" s="59">
        <f>IF('[15]سجل المستخلصات'!$J$11="","",'[15]سجل المستخلصات'!$J$11)</f>
        <v/>
      </c>
      <c r="J30" s="59">
        <f>IF('[15]سجل المستخلصات'!$K$11="","",'[15]سجل المستخلصات'!$K$11)</f>
        <v/>
      </c>
      <c r="K30" s="60">
        <f>IF('[15]سجل المستخلصات'!$L$11="","",'[15]سجل المستخلصات'!$L$11)</f>
        <v/>
      </c>
      <c r="L30" s="60">
        <f>IF('[15]سجل المستخلصات'!$M$11="","",'[15]سجل المستخلصات'!$M$11)</f>
        <v/>
      </c>
      <c r="M30" s="60">
        <f>IF('[15]سجل المستخلصات'!$N$11="","",'[15]سجل المستخلصات'!$N$11)</f>
        <v/>
      </c>
      <c r="N30" s="59">
        <f>IF('[15]سجل المستخلصات'!$O$11="","",'[15]سجل المستخلصات'!$O$11)</f>
        <v/>
      </c>
      <c r="O30" s="59">
        <f>IF('[15]سجل المستخلصات'!$R$11="","",'[15]سجل المستخلصات'!$R$11)</f>
        <v/>
      </c>
      <c r="P30" s="59">
        <f>IF('[15]سجل المستخلصات'!$S$11="","",'[15]سجل المستخلصات'!$S$11)</f>
        <v/>
      </c>
      <c r="Q30" s="59">
        <f>IF('[15]سجل المستخلصات'!$T$11="","",'[15]سجل المستخلصات'!$T$11)</f>
        <v/>
      </c>
      <c r="R30" s="59">
        <f>IF('[15]سجل المستخلصات'!$V$11="","",'[15]سجل المستخلصات'!$V$11)</f>
        <v/>
      </c>
      <c r="S30" s="59">
        <f>IF('[15]سجل المستخلصات'!$W$11="","",'[15]سجل المستخلصات'!$W$11)</f>
        <v/>
      </c>
      <c r="T30" s="61">
        <f>IF('[15]سجل المستخلصات'!$X$11="","",'[15]سجل المستخلصات'!$X$11)</f>
        <v/>
      </c>
      <c r="U30" s="61">
        <f>IF('[15]سجل المستخلصات'!$Z$11="","",'[15]سجل المستخلصات'!$Z$11)</f>
        <v/>
      </c>
      <c r="V30" s="59">
        <f>IF('[15]سجل المستخلصات'!$AA$11="","",'[15]سجل المستخلصات'!$AA$11)</f>
        <v/>
      </c>
      <c r="W30" s="59">
        <f>IF('[15]سجل المستخلصات'!$AC$11="","",'[15]سجل المستخلصات'!$AC$11)</f>
        <v/>
      </c>
      <c r="X30" s="62">
        <f>IF('[15]سجل المستخلصات'!$AD$11="","",'[15]سجل المستخلصات'!$AD$11)</f>
        <v/>
      </c>
      <c r="Y30" s="58">
        <f>IF('[15]سجل المستخلصات'!$AE$11="","",'[15]سجل المستخلصات'!$AE$11)</f>
        <v/>
      </c>
    </row>
    <row r="31">
      <c r="B31" s="56" t="n">
        <v>7</v>
      </c>
      <c r="C31" s="57">
        <f>IF('[15]سجل المستخلصات'!$C$12="","",'[15]سجل المستخلصات'!$C$12)</f>
        <v/>
      </c>
      <c r="D31" s="57">
        <f>IF('[15]سجل المستخلصات'!$E$12="","",'[15]سجل المستخلصات'!$E$12)</f>
        <v/>
      </c>
      <c r="E31" s="58">
        <f>IF('[15]سجل المستخلصات'!$F$12="","",'[15]سجل المستخلصات'!$F$12)</f>
        <v/>
      </c>
      <c r="F31" s="59">
        <f>IF('[15]سجل المستخلصات'!$H$12="","",'[15]سجل المستخلصات'!$H$12)</f>
        <v/>
      </c>
      <c r="G31" s="59">
        <f>IF('[15]سجل المستخلصات'!$G$12="","",'[15]سجل المستخلصات'!$G$12)</f>
        <v/>
      </c>
      <c r="H31" s="59">
        <f>IF('[15]سجل المستخلصات'!$I$12="","",'[15]سجل المستخلصات'!$I$12)</f>
        <v/>
      </c>
      <c r="I31" s="59">
        <f>IF('[15]سجل المستخلصات'!$J$12="","",'[15]سجل المستخلصات'!$J$12)</f>
        <v/>
      </c>
      <c r="J31" s="59">
        <f>IF('[15]سجل المستخلصات'!$K$12="","",'[15]سجل المستخلصات'!$K$12)</f>
        <v/>
      </c>
      <c r="K31" s="60">
        <f>IF('[15]سجل المستخلصات'!$L$12="","",'[15]سجل المستخلصات'!$L$12)</f>
        <v/>
      </c>
      <c r="L31" s="60">
        <f>IF('[15]سجل المستخلصات'!$M$12="","",'[15]سجل المستخلصات'!$M$12)</f>
        <v/>
      </c>
      <c r="M31" s="60">
        <f>IF('[15]سجل المستخلصات'!$N$12="","",'[15]سجل المستخلصات'!$N$12)</f>
        <v/>
      </c>
      <c r="N31" s="59">
        <f>IF('[15]سجل المستخلصات'!$O$12="","",'[15]سجل المستخلصات'!$O$12)</f>
        <v/>
      </c>
      <c r="O31" s="59">
        <f>IF('[15]سجل المستخلصات'!$R$12="","",'[15]سجل المستخلصات'!$R$12)</f>
        <v/>
      </c>
      <c r="P31" s="59">
        <f>IF('[15]سجل المستخلصات'!$S$12="","",'[15]سجل المستخلصات'!$S$12)</f>
        <v/>
      </c>
      <c r="Q31" s="59">
        <f>IF('[15]سجل المستخلصات'!$T$12="","",'[15]سجل المستخلصات'!$T$12)</f>
        <v/>
      </c>
      <c r="R31" s="59">
        <f>IF('[15]سجل المستخلصات'!$V$12="","",'[15]سجل المستخلصات'!$V$12)</f>
        <v/>
      </c>
      <c r="S31" s="59">
        <f>IF('[15]سجل المستخلصات'!$W$12="","",'[15]سجل المستخلصات'!$W$12)</f>
        <v/>
      </c>
      <c r="T31" s="61">
        <f>IF('[15]سجل المستخلصات'!$X$12="","",'[15]سجل المستخلصات'!$X$12)</f>
        <v/>
      </c>
      <c r="U31" s="61">
        <f>IF('[15]سجل المستخلصات'!$Z$12="","",'[15]سجل المستخلصات'!$Z$12)</f>
        <v/>
      </c>
      <c r="V31" s="59">
        <f>IF('[15]سجل المستخلصات'!$AA$12="","",'[15]سجل المستخلصات'!$AA$12)</f>
        <v/>
      </c>
      <c r="W31" s="59">
        <f>IF('[15]سجل المستخلصات'!$AC$12="","",'[15]سجل المستخلصات'!$AC$12)</f>
        <v/>
      </c>
      <c r="X31" s="62">
        <f>IF('[15]سجل المستخلصات'!$AD$12="","",'[15]سجل المستخلصات'!$AD$12)</f>
        <v/>
      </c>
      <c r="Y31" s="58">
        <f>IF('[15]سجل المستخلصات'!$AE$12="","",'[15]سجل المستخلصات'!$AE$12)</f>
        <v/>
      </c>
    </row>
    <row r="32">
      <c r="B32" s="56" t="n">
        <v>8</v>
      </c>
      <c r="C32" s="57">
        <f>IF('[15]سجل المستخلصات'!$C$13="","",'[15]سجل المستخلصات'!$C$13)</f>
        <v/>
      </c>
      <c r="D32" s="57">
        <f>IF('[15]سجل المستخلصات'!$E$13="","",'[15]سجل المستخلصات'!$E$13)</f>
        <v/>
      </c>
      <c r="E32" s="58">
        <f>IF('[15]سجل المستخلصات'!$F$13="","",'[15]سجل المستخلصات'!$F$13)</f>
        <v/>
      </c>
      <c r="F32" s="59">
        <f>IF('[15]سجل المستخلصات'!$H$13="","",'[15]سجل المستخلصات'!$H$13)</f>
        <v/>
      </c>
      <c r="G32" s="59">
        <f>IF('[15]سجل المستخلصات'!$G$13="","",'[15]سجل المستخلصات'!$G$13)</f>
        <v/>
      </c>
      <c r="H32" s="59">
        <f>IF('[15]سجل المستخلصات'!$I$13="","",'[15]سجل المستخلصات'!$I$13)</f>
        <v/>
      </c>
      <c r="I32" s="59">
        <f>IF('[15]سجل المستخلصات'!$J$13="","",'[15]سجل المستخلصات'!$J$13)</f>
        <v/>
      </c>
      <c r="J32" s="59">
        <f>IF('[15]سجل المستخلصات'!$K$13="","",'[15]سجل المستخلصات'!$K$13)</f>
        <v/>
      </c>
      <c r="K32" s="60">
        <f>IF('[15]سجل المستخلصات'!$L$13="","",'[15]سجل المستخلصات'!$L$13)</f>
        <v/>
      </c>
      <c r="L32" s="60">
        <f>IF('[15]سجل المستخلصات'!$M$13="","",'[15]سجل المستخلصات'!$M$13)</f>
        <v/>
      </c>
      <c r="M32" s="60">
        <f>IF('[15]سجل المستخلصات'!$N$13="","",'[15]سجل المستخلصات'!$N$13)</f>
        <v/>
      </c>
      <c r="N32" s="59">
        <f>IF('[15]سجل المستخلصات'!$O$13="","",'[15]سجل المستخلصات'!$O$13)</f>
        <v/>
      </c>
      <c r="O32" s="59">
        <f>IF('[15]سجل المستخلصات'!$R$13="","",'[15]سجل المستخلصات'!$R$13)</f>
        <v/>
      </c>
      <c r="P32" s="59">
        <f>IF('[15]سجل المستخلصات'!$S$13="","",'[15]سجل المستخلصات'!$S$13)</f>
        <v/>
      </c>
      <c r="Q32" s="59">
        <f>IF('[15]سجل المستخلصات'!$T$13="","",'[15]سجل المستخلصات'!$T$13)</f>
        <v/>
      </c>
      <c r="R32" s="59">
        <f>IF('[15]سجل المستخلصات'!$V$13="","",'[15]سجل المستخلصات'!$V$13)</f>
        <v/>
      </c>
      <c r="S32" s="59">
        <f>IF('[15]سجل المستخلصات'!$W$13="","",'[15]سجل المستخلصات'!$W$13)</f>
        <v/>
      </c>
      <c r="T32" s="61">
        <f>IF('[15]سجل المستخلصات'!$X$13="","",'[15]سجل المستخلصات'!$X$13)</f>
        <v/>
      </c>
      <c r="U32" s="61">
        <f>IF('[15]سجل المستخلصات'!$Z$13="","",'[15]سجل المستخلصات'!$Z$13)</f>
        <v/>
      </c>
      <c r="V32" s="59">
        <f>IF('[15]سجل المستخلصات'!$AA$13="","",'[15]سجل المستخلصات'!$AA$13)</f>
        <v/>
      </c>
      <c r="W32" s="59">
        <f>IF('[15]سجل المستخلصات'!$AC$13="","",'[15]سجل المستخلصات'!$AC$13)</f>
        <v/>
      </c>
      <c r="X32" s="62">
        <f>IF('[15]سجل المستخلصات'!$AD$13="","",'[15]سجل المستخلصات'!$AD$13)</f>
        <v/>
      </c>
      <c r="Y32" s="58">
        <f>IF('[15]سجل المستخلصات'!$AE$13="","",'[15]سجل المستخلصات'!$AE$13)</f>
        <v/>
      </c>
    </row>
    <row r="33">
      <c r="B33" s="56" t="n">
        <v>9</v>
      </c>
      <c r="C33" s="57">
        <f>IF('[15]سجل المستخلصات'!$C$14="","",'[15]سجل المستخلصات'!$C$14)</f>
        <v/>
      </c>
      <c r="D33" s="57">
        <f>IF('[15]سجل المستخلصات'!$E$14="","",'[15]سجل المستخلصات'!$E$14)</f>
        <v/>
      </c>
      <c r="E33" s="58">
        <f>IF('[15]سجل المستخلصات'!$F$14="","",'[15]سجل المستخلصات'!$F$14)</f>
        <v/>
      </c>
      <c r="F33" s="59">
        <f>IF('[15]سجل المستخلصات'!$H$14="","",'[15]سجل المستخلصات'!$H$14)</f>
        <v/>
      </c>
      <c r="G33" s="59">
        <f>IF('[15]سجل المستخلصات'!$G$14="","",'[15]سجل المستخلصات'!$G$14)</f>
        <v/>
      </c>
      <c r="H33" s="59">
        <f>IF('[15]سجل المستخلصات'!$I$14="","",'[15]سجل المستخلصات'!$I$14)</f>
        <v/>
      </c>
      <c r="I33" s="59">
        <f>IF('[15]سجل المستخلصات'!$J$14="","",'[15]سجل المستخلصات'!$J$14)</f>
        <v/>
      </c>
      <c r="J33" s="59">
        <f>IF('[15]سجل المستخلصات'!$K$14="","",'[15]سجل المستخلصات'!$K$14)</f>
        <v/>
      </c>
      <c r="K33" s="60">
        <f>IF('[15]سجل المستخلصات'!$L$14="","",'[15]سجل المستخلصات'!$L$14)</f>
        <v/>
      </c>
      <c r="L33" s="60">
        <f>IF('[15]سجل المستخلصات'!$M$14="","",'[15]سجل المستخلصات'!$M$14)</f>
        <v/>
      </c>
      <c r="M33" s="60">
        <f>IF('[15]سجل المستخلصات'!$N$14="","",'[15]سجل المستخلصات'!$N$14)</f>
        <v/>
      </c>
      <c r="N33" s="59">
        <f>IF('[15]سجل المستخلصات'!$O$14="","",'[15]سجل المستخلصات'!$O$14)</f>
        <v/>
      </c>
      <c r="O33" s="59">
        <f>IF('[15]سجل المستخلصات'!$R$14="","",'[15]سجل المستخلصات'!$R$14)</f>
        <v/>
      </c>
      <c r="P33" s="59">
        <f>IF('[15]سجل المستخلصات'!$S$14="","",'[15]سجل المستخلصات'!$S$14)</f>
        <v/>
      </c>
      <c r="Q33" s="59">
        <f>IF('[15]سجل المستخلصات'!$T$14="","",'[15]سجل المستخلصات'!$T$14)</f>
        <v/>
      </c>
      <c r="R33" s="59">
        <f>IF('[15]سجل المستخلصات'!$V$14="","",'[15]سجل المستخلصات'!$V$14)</f>
        <v/>
      </c>
      <c r="S33" s="59">
        <f>IF('[15]سجل المستخلصات'!$W$14="","",'[15]سجل المستخلصات'!$W$14)</f>
        <v/>
      </c>
      <c r="T33" s="61">
        <f>IF('[15]سجل المستخلصات'!$X$14="","",'[15]سجل المستخلصات'!$X$14)</f>
        <v/>
      </c>
      <c r="U33" s="61">
        <f>IF('[15]سجل المستخلصات'!$Z$14="","",'[15]سجل المستخلصات'!$Z$14)</f>
        <v/>
      </c>
      <c r="V33" s="59">
        <f>IF('[15]سجل المستخلصات'!$AA$14="","",'[15]سجل المستخلصات'!$AA$14)</f>
        <v/>
      </c>
      <c r="W33" s="59">
        <f>IF('[15]سجل المستخلصات'!$AC$14="","",'[15]سجل المستخلصات'!$AC$14)</f>
        <v/>
      </c>
      <c r="X33" s="62">
        <f>IF('[15]سجل المستخلصات'!$AD$14="","",'[15]سجل المستخلصات'!$AD$14)</f>
        <v/>
      </c>
      <c r="Y33" s="58">
        <f>IF('[15]سجل المستخلصات'!$AE$14="","",'[15]سجل المستخلصات'!$AE$14)</f>
        <v/>
      </c>
    </row>
    <row r="34">
      <c r="B34" s="56" t="n">
        <v>10</v>
      </c>
      <c r="C34" s="57">
        <f>IF('[15]سجل المستخلصات'!$C$15="","",'[15]سجل المستخلصات'!$C$15)</f>
        <v/>
      </c>
      <c r="D34" s="57">
        <f>IF('[15]سجل المستخلصات'!$E$15="","",'[15]سجل المستخلصات'!$E$15)</f>
        <v/>
      </c>
      <c r="E34" s="58">
        <f>IF('[15]سجل المستخلصات'!$F$15="","",'[15]سجل المستخلصات'!$F$15)</f>
        <v/>
      </c>
      <c r="F34" s="59">
        <f>IF('[15]سجل المستخلصات'!$H$15="","",'[15]سجل المستخلصات'!$H$15)</f>
        <v/>
      </c>
      <c r="G34" s="59">
        <f>IF('[15]سجل المستخلصات'!$G$15="","",'[15]سجل المستخلصات'!$G$15)</f>
        <v/>
      </c>
      <c r="H34" s="59">
        <f>IF('[15]سجل المستخلصات'!$I$15="","",'[15]سجل المستخلصات'!$I$15)</f>
        <v/>
      </c>
      <c r="I34" s="59">
        <f>IF('[15]سجل المستخلصات'!$J$15="","",'[15]سجل المستخلصات'!$J$15)</f>
        <v/>
      </c>
      <c r="J34" s="59">
        <f>IF('[15]سجل المستخلصات'!$K$15="","",'[15]سجل المستخلصات'!$K$15)</f>
        <v/>
      </c>
      <c r="K34" s="60">
        <f>IF('[15]سجل المستخلصات'!$L$15="","",'[15]سجل المستخلصات'!$L$15)</f>
        <v/>
      </c>
      <c r="L34" s="60">
        <f>IF('[15]سجل المستخلصات'!$M$15="","",'[15]سجل المستخلصات'!$M$15)</f>
        <v/>
      </c>
      <c r="M34" s="60">
        <f>IF('[15]سجل المستخلصات'!$N$15="","",'[15]سجل المستخلصات'!$N$15)</f>
        <v/>
      </c>
      <c r="N34" s="59">
        <f>IF('[15]سجل المستخلصات'!$O$15="","",'[15]سجل المستخلصات'!$O$15)</f>
        <v/>
      </c>
      <c r="O34" s="59">
        <f>IF('[15]سجل المستخلصات'!$R$15="","",'[15]سجل المستخلصات'!$R$15)</f>
        <v/>
      </c>
      <c r="P34" s="59">
        <f>IF('[15]سجل المستخلصات'!$S$15="","",'[15]سجل المستخلصات'!$S$15)</f>
        <v/>
      </c>
      <c r="Q34" s="59">
        <f>IF('[15]سجل المستخلصات'!$T$15="","",'[15]سجل المستخلصات'!$T$15)</f>
        <v/>
      </c>
      <c r="R34" s="59">
        <f>IF('[15]سجل المستخلصات'!$V$15="","",'[15]سجل المستخلصات'!$V$15)</f>
        <v/>
      </c>
      <c r="S34" s="59">
        <f>IF('[15]سجل المستخلصات'!$W$15="","",'[15]سجل المستخلصات'!$W$15)</f>
        <v/>
      </c>
      <c r="T34" s="61">
        <f>IF('[15]سجل المستخلصات'!$X$15="","",'[15]سجل المستخلصات'!$X$15)</f>
        <v/>
      </c>
      <c r="U34" s="61">
        <f>IF('[15]سجل المستخلصات'!$Z$15="","",'[15]سجل المستخلصات'!$Z$15)</f>
        <v/>
      </c>
      <c r="V34" s="59">
        <f>IF('[15]سجل المستخلصات'!$AA$15="","",'[15]سجل المستخلصات'!$AA$15)</f>
        <v/>
      </c>
      <c r="W34" s="59">
        <f>IF('[15]سجل المستخلصات'!$AC$15="","",'[15]سجل المستخلصات'!$AC$15)</f>
        <v/>
      </c>
      <c r="X34" s="62">
        <f>IF('[15]سجل المستخلصات'!$AD$15="","",'[15]سجل المستخلصات'!$AD$15)</f>
        <v/>
      </c>
      <c r="Y34" s="58">
        <f>IF('[15]سجل المستخلصات'!$AE$15="","",'[15]سجل المستخلصات'!$AE$15)</f>
        <v/>
      </c>
    </row>
    <row r="35">
      <c r="B35" s="56" t="n">
        <v>11</v>
      </c>
      <c r="C35" s="57">
        <f>IF('[15]سجل المستخلصات'!$C$16="","",'[15]سجل المستخلصات'!$C$16)</f>
        <v/>
      </c>
      <c r="D35" s="57">
        <f>IF('[15]سجل المستخلصات'!$E$16="","",'[15]سجل المستخلصات'!$E$16)</f>
        <v/>
      </c>
      <c r="E35" s="58">
        <f>IF('[15]سجل المستخلصات'!$F$16="","",'[15]سجل المستخلصات'!$F$16)</f>
        <v/>
      </c>
      <c r="F35" s="59">
        <f>IF('[15]سجل المستخلصات'!$H$16="","",'[15]سجل المستخلصات'!$H$16)</f>
        <v/>
      </c>
      <c r="G35" s="59">
        <f>IF('[15]سجل المستخلصات'!$G$16="","",'[15]سجل المستخلصات'!$G$16)</f>
        <v/>
      </c>
      <c r="H35" s="59">
        <f>IF('[15]سجل المستخلصات'!$I$16="","",'[15]سجل المستخلصات'!$I$16)</f>
        <v/>
      </c>
      <c r="I35" s="59">
        <f>IF('[15]سجل المستخلصات'!$J$16="","",'[15]سجل المستخلصات'!$J$16)</f>
        <v/>
      </c>
      <c r="J35" s="59">
        <f>IF('[15]سجل المستخلصات'!$K$16="","",'[15]سجل المستخلصات'!$K$16)</f>
        <v/>
      </c>
      <c r="K35" s="60">
        <f>IF('[15]سجل المستخلصات'!$L$16="","",'[15]سجل المستخلصات'!$L$16)</f>
        <v/>
      </c>
      <c r="L35" s="60">
        <f>IF('[15]سجل المستخلصات'!$M$16="","",'[15]سجل المستخلصات'!$M$16)</f>
        <v/>
      </c>
      <c r="M35" s="60">
        <f>IF('[15]سجل المستخلصات'!$N$16="","",'[15]سجل المستخلصات'!$N$16)</f>
        <v/>
      </c>
      <c r="N35" s="59">
        <f>IF('[15]سجل المستخلصات'!$O$16="","",'[15]سجل المستخلصات'!$O$16)</f>
        <v/>
      </c>
      <c r="O35" s="59">
        <f>IF('[15]سجل المستخلصات'!$R$16="","",'[15]سجل المستخلصات'!$R$16)</f>
        <v/>
      </c>
      <c r="P35" s="59">
        <f>IF('[15]سجل المستخلصات'!$S$16="","",'[15]سجل المستخلصات'!$S$16)</f>
        <v/>
      </c>
      <c r="Q35" s="59">
        <f>IF('[15]سجل المستخلصات'!$T$16="","",'[15]سجل المستخلصات'!$T$16)</f>
        <v/>
      </c>
      <c r="R35" s="59">
        <f>IF('[15]سجل المستخلصات'!$V$16="","",'[15]سجل المستخلصات'!$V$16)</f>
        <v/>
      </c>
      <c r="S35" s="59">
        <f>IF('[15]سجل المستخلصات'!$W$16="","",'[15]سجل المستخلصات'!$W$16)</f>
        <v/>
      </c>
      <c r="T35" s="61">
        <f>IF('[15]سجل المستخلصات'!$X$16="","",'[15]سجل المستخلصات'!$X$16)</f>
        <v/>
      </c>
      <c r="U35" s="61">
        <f>IF('[15]سجل المستخلصات'!$Z$16="","",'[15]سجل المستخلصات'!$Z$16)</f>
        <v/>
      </c>
      <c r="V35" s="59">
        <f>IF('[15]سجل المستخلصات'!$AA$16="","",'[15]سجل المستخلصات'!$AA$16)</f>
        <v/>
      </c>
      <c r="W35" s="59">
        <f>IF('[15]سجل المستخلصات'!$AC$16="","",'[15]سجل المستخلصات'!$AC$16)</f>
        <v/>
      </c>
      <c r="X35" s="62">
        <f>IF('[15]سجل المستخلصات'!$AD$16="","",'[15]سجل المستخلصات'!$AD$16)</f>
        <v/>
      </c>
      <c r="Y35" s="58">
        <f>IF('[15]سجل المستخلصات'!$AE$16="","",'[15]سجل المستخلصات'!$AE$16)</f>
        <v/>
      </c>
    </row>
    <row r="36">
      <c r="B36" s="56" t="n">
        <v>12</v>
      </c>
      <c r="C36" s="57">
        <f>IF('[15]سجل المستخلصات'!$C$17="","",'[15]سجل المستخلصات'!$C$17)</f>
        <v/>
      </c>
      <c r="D36" s="57">
        <f>IF('[15]سجل المستخلصات'!$E$17="","",'[15]سجل المستخلصات'!$E$17)</f>
        <v/>
      </c>
      <c r="E36" s="58">
        <f>IF('[15]سجل المستخلصات'!$F$17="","",'[15]سجل المستخلصات'!$F$17)</f>
        <v/>
      </c>
      <c r="F36" s="59">
        <f>IF('[15]سجل المستخلصات'!$H$17="","",'[15]سجل المستخلصات'!$H$17)</f>
        <v/>
      </c>
      <c r="G36" s="59">
        <f>IF('[15]سجل المستخلصات'!$G$17="","",'[15]سجل المستخلصات'!$G$17)</f>
        <v/>
      </c>
      <c r="H36" s="59">
        <f>IF('[15]سجل المستخلصات'!$I$17="","",'[15]سجل المستخلصات'!$I$17)</f>
        <v/>
      </c>
      <c r="I36" s="59">
        <f>IF('[15]سجل المستخلصات'!$J$17="","",'[15]سجل المستخلصات'!$J$17)</f>
        <v/>
      </c>
      <c r="J36" s="59">
        <f>IF('[15]سجل المستخلصات'!$K$17="","",'[15]سجل المستخلصات'!$K$17)</f>
        <v/>
      </c>
      <c r="K36" s="60">
        <f>IF('[15]سجل المستخلصات'!$L$17="","",'[15]سجل المستخلصات'!$L$17)</f>
        <v/>
      </c>
      <c r="L36" s="60">
        <f>IF('[15]سجل المستخلصات'!$M$17="","",'[15]سجل المستخلصات'!$M$17)</f>
        <v/>
      </c>
      <c r="M36" s="60">
        <f>IF('[15]سجل المستخلصات'!$N$17="","",'[15]سجل المستخلصات'!$N$17)</f>
        <v/>
      </c>
      <c r="N36" s="59">
        <f>IF('[15]سجل المستخلصات'!$O$17="","",'[15]سجل المستخلصات'!$O$17)</f>
        <v/>
      </c>
      <c r="O36" s="59">
        <f>IF('[15]سجل المستخلصات'!$R$17="","",'[15]سجل المستخلصات'!$R$17)</f>
        <v/>
      </c>
      <c r="P36" s="59">
        <f>IF('[15]سجل المستخلصات'!$S$17="","",'[15]سجل المستخلصات'!$S$17)</f>
        <v/>
      </c>
      <c r="Q36" s="59">
        <f>IF('[15]سجل المستخلصات'!$T$17="","",'[15]سجل المستخلصات'!$T$17)</f>
        <v/>
      </c>
      <c r="R36" s="59">
        <f>IF('[15]سجل المستخلصات'!$V$17="","",'[15]سجل المستخلصات'!$V$17)</f>
        <v/>
      </c>
      <c r="S36" s="59">
        <f>IF('[15]سجل المستخلصات'!$W$17="","",'[15]سجل المستخلصات'!$W$17)</f>
        <v/>
      </c>
      <c r="T36" s="61">
        <f>IF('[15]سجل المستخلصات'!$X$17="","",'[15]سجل المستخلصات'!$X$17)</f>
        <v/>
      </c>
      <c r="U36" s="61">
        <f>IF('[15]سجل المستخلصات'!$Z$17="","",'[15]سجل المستخلصات'!$Z$17)</f>
        <v/>
      </c>
      <c r="V36" s="59">
        <f>IF('[15]سجل المستخلصات'!$AA$17="","",'[15]سجل المستخلصات'!$AA$17)</f>
        <v/>
      </c>
      <c r="W36" s="59">
        <f>IF('[15]سجل المستخلصات'!$AC$17="","",'[15]سجل المستخلصات'!$AC$17)</f>
        <v/>
      </c>
      <c r="X36" s="62">
        <f>IF('[15]سجل المستخلصات'!$AD$17="","",'[15]سجل المستخلصات'!$AD$17)</f>
        <v/>
      </c>
      <c r="Y36" s="58">
        <f>IF('[15]سجل المستخلصات'!$AE$17="","",'[15]سجل المستخلصات'!$AE$17)</f>
        <v/>
      </c>
    </row>
    <row r="37">
      <c r="B37" s="56" t="n">
        <v>13</v>
      </c>
      <c r="C37" s="57">
        <f>IF('[15]سجل المستخلصات'!$C$18="","",'[15]سجل المستخلصات'!$C$18)</f>
        <v/>
      </c>
      <c r="D37" s="57">
        <f>IF('[15]سجل المستخلصات'!$E$18="","",'[15]سجل المستخلصات'!$E$18)</f>
        <v/>
      </c>
      <c r="E37" s="58">
        <f>IF('[15]سجل المستخلصات'!$F$18="","",'[15]سجل المستخلصات'!$F$18)</f>
        <v/>
      </c>
      <c r="F37" s="59">
        <f>IF('[15]سجل المستخلصات'!$H$18="","",'[15]سجل المستخلصات'!$H$18)</f>
        <v/>
      </c>
      <c r="G37" s="59">
        <f>IF('[15]سجل المستخلصات'!$G$18="","",'[15]سجل المستخلصات'!$G$18)</f>
        <v/>
      </c>
      <c r="H37" s="59">
        <f>IF('[15]سجل المستخلصات'!$I$18="","",'[15]سجل المستخلصات'!$I$18)</f>
        <v/>
      </c>
      <c r="I37" s="59">
        <f>IF('[15]سجل المستخلصات'!$J$18="","",'[15]سجل المستخلصات'!$J$18)</f>
        <v/>
      </c>
      <c r="J37" s="59">
        <f>IF('[15]سجل المستخلصات'!$K$18="","",'[15]سجل المستخلصات'!$K$18)</f>
        <v/>
      </c>
      <c r="K37" s="60">
        <f>IF('[15]سجل المستخلصات'!$L$18="","",'[15]سجل المستخلصات'!$L$18)</f>
        <v/>
      </c>
      <c r="L37" s="60">
        <f>IF('[15]سجل المستخلصات'!$M$18="","",'[15]سجل المستخلصات'!$M$18)</f>
        <v/>
      </c>
      <c r="M37" s="60">
        <f>IF('[15]سجل المستخلصات'!$N$18="","",'[15]سجل المستخلصات'!$N$18)</f>
        <v/>
      </c>
      <c r="N37" s="59">
        <f>IF('[15]سجل المستخلصات'!$O$18="","",'[15]سجل المستخلصات'!$O$18)</f>
        <v/>
      </c>
      <c r="O37" s="59">
        <f>IF('[15]سجل المستخلصات'!$R$18="","",'[15]سجل المستخلصات'!$R$18)</f>
        <v/>
      </c>
      <c r="P37" s="59">
        <f>IF('[15]سجل المستخلصات'!$S$18="","",'[15]سجل المستخلصات'!$S$18)</f>
        <v/>
      </c>
      <c r="Q37" s="59">
        <f>IF('[15]سجل المستخلصات'!$T$18="","",'[15]سجل المستخلصات'!$T$18)</f>
        <v/>
      </c>
      <c r="R37" s="59">
        <f>IF('[15]سجل المستخلصات'!$V$18="","",'[15]سجل المستخلصات'!$V$18)</f>
        <v/>
      </c>
      <c r="S37" s="59">
        <f>IF('[15]سجل المستخلصات'!$W$18="","",'[15]سجل المستخلصات'!$W$18)</f>
        <v/>
      </c>
      <c r="T37" s="61">
        <f>IF('[15]سجل المستخلصات'!$X$18="","",'[15]سجل المستخلصات'!$X$18)</f>
        <v/>
      </c>
      <c r="U37" s="61">
        <f>IF('[15]سجل المستخلصات'!$Z$18="","",'[15]سجل المستخلصات'!$Z$18)</f>
        <v/>
      </c>
      <c r="V37" s="59">
        <f>IF('[15]سجل المستخلصات'!$AA$18="","",'[15]سجل المستخلصات'!$AA$18)</f>
        <v/>
      </c>
      <c r="W37" s="59">
        <f>IF('[15]سجل المستخلصات'!$AC$18="","",'[15]سجل المستخلصات'!$AC$18)</f>
        <v/>
      </c>
      <c r="X37" s="62">
        <f>IF('[15]سجل المستخلصات'!$AD$18="","",'[15]سجل المستخلصات'!$AD$18)</f>
        <v/>
      </c>
      <c r="Y37" s="58">
        <f>IF('[15]سجل المستخلصات'!$AE$18="","",'[15]سجل المستخلصات'!$AE$18)</f>
        <v/>
      </c>
    </row>
    <row r="38">
      <c r="B38" s="56" t="n">
        <v>14</v>
      </c>
      <c r="C38" s="57">
        <f>IF('[15]سجل المستخلصات'!$C$19="","",'[15]سجل المستخلصات'!$C$19)</f>
        <v/>
      </c>
      <c r="D38" s="57">
        <f>IF('[15]سجل المستخلصات'!$E$19="","",'[15]سجل المستخلصات'!$E$19)</f>
        <v/>
      </c>
      <c r="E38" s="58">
        <f>IF('[15]سجل المستخلصات'!$F$19="","",'[15]سجل المستخلصات'!$F$19)</f>
        <v/>
      </c>
      <c r="F38" s="59">
        <f>IF('[15]سجل المستخلصات'!$H$19="","",'[15]سجل المستخلصات'!$H$19)</f>
        <v/>
      </c>
      <c r="G38" s="59">
        <f>IF('[15]سجل المستخلصات'!$G$19="","",'[15]سجل المستخلصات'!$G$19)</f>
        <v/>
      </c>
      <c r="H38" s="59">
        <f>IF('[15]سجل المستخلصات'!$I$19="","",'[15]سجل المستخلصات'!$I$19)</f>
        <v/>
      </c>
      <c r="I38" s="59">
        <f>IF('[15]سجل المستخلصات'!$J$19="","",'[15]سجل المستخلصات'!$J$19)</f>
        <v/>
      </c>
      <c r="J38" s="59">
        <f>IF('[15]سجل المستخلصات'!$K$19="","",'[15]سجل المستخلصات'!$K$19)</f>
        <v/>
      </c>
      <c r="K38" s="60">
        <f>IF('[15]سجل المستخلصات'!$L$19="","",'[15]سجل المستخلصات'!$L$19)</f>
        <v/>
      </c>
      <c r="L38" s="60">
        <f>IF('[15]سجل المستخلصات'!$M$19="","",'[15]سجل المستخلصات'!$M$19)</f>
        <v/>
      </c>
      <c r="M38" s="60">
        <f>IF('[15]سجل المستخلصات'!$N$19="","",'[15]سجل المستخلصات'!$N$19)</f>
        <v/>
      </c>
      <c r="N38" s="59">
        <f>IF('[15]سجل المستخلصات'!$O$19="","",'[15]سجل المستخلصات'!$O$19)</f>
        <v/>
      </c>
      <c r="O38" s="59">
        <f>IF('[15]سجل المستخلصات'!$R$19="","",'[15]سجل المستخلصات'!$R$19)</f>
        <v/>
      </c>
      <c r="P38" s="59">
        <f>IF('[15]سجل المستخلصات'!$S$19="","",'[15]سجل المستخلصات'!$S$19)</f>
        <v/>
      </c>
      <c r="Q38" s="59">
        <f>IF('[15]سجل المستخلصات'!$T$19="","",'[15]سجل المستخلصات'!$T$19)</f>
        <v/>
      </c>
      <c r="R38" s="59">
        <f>IF('[15]سجل المستخلصات'!$V$19="","",'[15]سجل المستخلصات'!$V$19)</f>
        <v/>
      </c>
      <c r="S38" s="59">
        <f>IF('[15]سجل المستخلصات'!$W$19="","",'[15]سجل المستخلصات'!$W$19)</f>
        <v/>
      </c>
      <c r="T38" s="61">
        <f>IF('[15]سجل المستخلصات'!$X$19="","",'[15]سجل المستخلصات'!$X$19)</f>
        <v/>
      </c>
      <c r="U38" s="61">
        <f>IF('[15]سجل المستخلصات'!$Z$19="","",'[15]سجل المستخلصات'!$Z$19)</f>
        <v/>
      </c>
      <c r="V38" s="59">
        <f>IF('[15]سجل المستخلصات'!$AA$19="","",'[15]سجل المستخلصات'!$AA$19)</f>
        <v/>
      </c>
      <c r="W38" s="59">
        <f>IF('[15]سجل المستخلصات'!$AC$19="","",'[15]سجل المستخلصات'!$AC$19)</f>
        <v/>
      </c>
      <c r="X38" s="62">
        <f>IF('[15]سجل المستخلصات'!$AD$19="","",'[15]سجل المستخلصات'!$AD$19)</f>
        <v/>
      </c>
      <c r="Y38" s="58">
        <f>IF('[15]سجل المستخلصات'!$AE$19="","",'[15]سجل المستخلصات'!$AE$19)</f>
        <v/>
      </c>
    </row>
    <row r="39">
      <c r="B39" s="56" t="n">
        <v>15</v>
      </c>
      <c r="C39" s="57">
        <f>IF('[15]سجل المستخلصات'!$C$20="","",'[15]سجل المستخلصات'!$C$20)</f>
        <v/>
      </c>
      <c r="D39" s="57">
        <f>IF('[15]سجل المستخلصات'!$E$20="","",'[15]سجل المستخلصات'!$E$20)</f>
        <v/>
      </c>
      <c r="E39" s="58">
        <f>IF('[15]سجل المستخلصات'!$F$20="","",'[15]سجل المستخلصات'!$F$20)</f>
        <v/>
      </c>
      <c r="F39" s="59">
        <f>IF('[15]سجل المستخلصات'!$H$20="","",'[15]سجل المستخلصات'!$H$20)</f>
        <v/>
      </c>
      <c r="G39" s="59">
        <f>IF('[15]سجل المستخلصات'!$G$20="","",'[15]سجل المستخلصات'!$G$20)</f>
        <v/>
      </c>
      <c r="H39" s="59">
        <f>IF('[15]سجل المستخلصات'!$I$20="","",'[15]سجل المستخلصات'!$I$20)</f>
        <v/>
      </c>
      <c r="I39" s="59">
        <f>IF('[15]سجل المستخلصات'!$J$20="","",'[15]سجل المستخلصات'!$J$20)</f>
        <v/>
      </c>
      <c r="J39" s="59">
        <f>IF('[15]سجل المستخلصات'!$K$20="","",'[15]سجل المستخلصات'!$K$20)</f>
        <v/>
      </c>
      <c r="K39" s="60">
        <f>IF('[15]سجل المستخلصات'!$L$20="","",'[15]سجل المستخلصات'!$L$20)</f>
        <v/>
      </c>
      <c r="L39" s="60">
        <f>IF('[15]سجل المستخلصات'!$M$20="","",'[15]سجل المستخلصات'!$M$20)</f>
        <v/>
      </c>
      <c r="M39" s="60">
        <f>IF('[15]سجل المستخلصات'!$N$20="","",'[15]سجل المستخلصات'!$N$20)</f>
        <v/>
      </c>
      <c r="N39" s="59">
        <f>IF('[15]سجل المستخلصات'!$O$20="","",'[15]سجل المستخلصات'!$O$20)</f>
        <v/>
      </c>
      <c r="O39" s="59">
        <f>IF('[15]سجل المستخلصات'!$R$20="","",'[15]سجل المستخلصات'!$R$20)</f>
        <v/>
      </c>
      <c r="P39" s="59">
        <f>IF('[15]سجل المستخلصات'!$S$20="","",'[15]سجل المستخلصات'!$S$20)</f>
        <v/>
      </c>
      <c r="Q39" s="59">
        <f>IF('[15]سجل المستخلصات'!$T$20="","",'[15]سجل المستخلصات'!$T$20)</f>
        <v/>
      </c>
      <c r="R39" s="59">
        <f>IF('[15]سجل المستخلصات'!$V$20="","",'[15]سجل المستخلصات'!$V$20)</f>
        <v/>
      </c>
      <c r="S39" s="59">
        <f>IF('[15]سجل المستخلصات'!$W$20="","",'[15]سجل المستخلصات'!$W$20)</f>
        <v/>
      </c>
      <c r="T39" s="61">
        <f>IF('[15]سجل المستخلصات'!$X$20="","",'[15]سجل المستخلصات'!$X$20)</f>
        <v/>
      </c>
      <c r="U39" s="61">
        <f>IF('[15]سجل المستخلصات'!$Z$20="","",'[15]سجل المستخلصات'!$Z$20)</f>
        <v/>
      </c>
      <c r="V39" s="59">
        <f>IF('[15]سجل المستخلصات'!$AA$20="","",'[15]سجل المستخلصات'!$AA$20)</f>
        <v/>
      </c>
      <c r="W39" s="59">
        <f>IF('[15]سجل المستخلصات'!$AC$20="","",'[15]سجل المستخلصات'!$AC$20)</f>
        <v/>
      </c>
      <c r="X39" s="62">
        <f>IF('[15]سجل المستخلصات'!$AD$20="","",'[15]سجل المستخلصات'!$AD$20)</f>
        <v/>
      </c>
      <c r="Y39" s="58">
        <f>IF('[15]سجل المستخلصات'!$AE$20="","",'[15]سجل المستخلصات'!$AE$20)</f>
        <v/>
      </c>
    </row>
    <row r="40">
      <c r="B40" s="56" t="n">
        <v>16</v>
      </c>
      <c r="C40" s="57">
        <f>IF('[15]سجل المستخلصات'!$C$21="","",'[15]سجل المستخلصات'!$C$21)</f>
        <v/>
      </c>
      <c r="D40" s="57">
        <f>IF('[15]سجل المستخلصات'!$E$21="","",'[15]سجل المستخلصات'!$E$21)</f>
        <v/>
      </c>
      <c r="E40" s="58">
        <f>IF('[15]سجل المستخلصات'!$F$21="","",'[15]سجل المستخلصات'!$F$21)</f>
        <v/>
      </c>
      <c r="F40" s="59">
        <f>IF('[15]سجل المستخلصات'!$H$21="","",'[15]سجل المستخلصات'!$H$21)</f>
        <v/>
      </c>
      <c r="G40" s="59">
        <f>IF('[15]سجل المستخلصات'!$G$21="","",'[15]سجل المستخلصات'!$G$21)</f>
        <v/>
      </c>
      <c r="H40" s="59">
        <f>IF('[15]سجل المستخلصات'!$I$21="","",'[15]سجل المستخلصات'!$I$21)</f>
        <v/>
      </c>
      <c r="I40" s="59">
        <f>IF('[15]سجل المستخلصات'!$J$21="","",'[15]سجل المستخلصات'!$J$21)</f>
        <v/>
      </c>
      <c r="J40" s="59">
        <f>IF('[15]سجل المستخلصات'!$K$21="","",'[15]سجل المستخلصات'!$K$21)</f>
        <v/>
      </c>
      <c r="K40" s="60">
        <f>IF('[15]سجل المستخلصات'!$L$21="","",'[15]سجل المستخلصات'!$L$21)</f>
        <v/>
      </c>
      <c r="L40" s="60">
        <f>IF('[15]سجل المستخلصات'!$M$21="","",'[15]سجل المستخلصات'!$M$21)</f>
        <v/>
      </c>
      <c r="M40" s="60">
        <f>IF('[15]سجل المستخلصات'!$N$21="","",'[15]سجل المستخلصات'!$N$21)</f>
        <v/>
      </c>
      <c r="N40" s="59">
        <f>IF('[15]سجل المستخلصات'!$O$21="","",'[15]سجل المستخلصات'!$O$21)</f>
        <v/>
      </c>
      <c r="O40" s="59">
        <f>IF('[15]سجل المستخلصات'!$R$21="","",'[15]سجل المستخلصات'!$R$21)</f>
        <v/>
      </c>
      <c r="P40" s="59">
        <f>IF('[15]سجل المستخلصات'!$S$21="","",'[15]سجل المستخلصات'!$S$21)</f>
        <v/>
      </c>
      <c r="Q40" s="59">
        <f>IF('[15]سجل المستخلصات'!$T$21="","",'[15]سجل المستخلصات'!$T$21)</f>
        <v/>
      </c>
      <c r="R40" s="59">
        <f>IF('[15]سجل المستخلصات'!$V$21="","",'[15]سجل المستخلصات'!$V$21)</f>
        <v/>
      </c>
      <c r="S40" s="59">
        <f>IF('[15]سجل المستخلصات'!$W$21="","",'[15]سجل المستخلصات'!$W$21)</f>
        <v/>
      </c>
      <c r="T40" s="61">
        <f>IF('[15]سجل المستخلصات'!$X$21="","",'[15]سجل المستخلصات'!$X$21)</f>
        <v/>
      </c>
      <c r="U40" s="61">
        <f>IF('[15]سجل المستخلصات'!$Z$21="","",'[15]سجل المستخلصات'!$Z$21)</f>
        <v/>
      </c>
      <c r="V40" s="59">
        <f>IF('[15]سجل المستخلصات'!$AA$21="","",'[15]سجل المستخلصات'!$AA$21)</f>
        <v/>
      </c>
      <c r="W40" s="59">
        <f>IF('[15]سجل المستخلصات'!$AC$21="","",'[15]سجل المستخلصات'!$AC$21)</f>
        <v/>
      </c>
      <c r="X40" s="62">
        <f>IF('[15]سجل المستخلصات'!$AD$21="","",'[15]سجل المستخلصات'!$AD$21)</f>
        <v/>
      </c>
      <c r="Y40" s="58">
        <f>IF('[15]سجل المستخلصات'!$AE$21="","",'[15]سجل المستخلصات'!$AE$21)</f>
        <v/>
      </c>
    </row>
    <row r="41">
      <c r="B41" s="56" t="n">
        <v>17</v>
      </c>
      <c r="C41" s="57">
        <f>IF('[15]سجل المستخلصات'!$C$22="","",'[15]سجل المستخلصات'!$C$22)</f>
        <v/>
      </c>
      <c r="D41" s="57">
        <f>IF('[15]سجل المستخلصات'!$E$22="","",'[15]سجل المستخلصات'!$E$22)</f>
        <v/>
      </c>
      <c r="E41" s="58">
        <f>IF('[15]سجل المستخلصات'!$F$22="","",'[15]سجل المستخلصات'!$F$22)</f>
        <v/>
      </c>
      <c r="F41" s="59">
        <f>IF('[15]سجل المستخلصات'!$H$22="","",'[15]سجل المستخلصات'!$H$22)</f>
        <v/>
      </c>
      <c r="G41" s="59">
        <f>IF('[15]سجل المستخلصات'!$G$22="","",'[15]سجل المستخلصات'!$G$22)</f>
        <v/>
      </c>
      <c r="H41" s="59">
        <f>IF('[15]سجل المستخلصات'!$I$22="","",'[15]سجل المستخلصات'!$I$22)</f>
        <v/>
      </c>
      <c r="I41" s="59">
        <f>IF('[15]سجل المستخلصات'!$J$22="","",'[15]سجل المستخلصات'!$J$22)</f>
        <v/>
      </c>
      <c r="J41" s="59">
        <f>IF('[15]سجل المستخلصات'!$K$22="","",'[15]سجل المستخلصات'!$K$22)</f>
        <v/>
      </c>
      <c r="K41" s="60">
        <f>IF('[15]سجل المستخلصات'!$L$22="","",'[15]سجل المستخلصات'!$L$22)</f>
        <v/>
      </c>
      <c r="L41" s="60">
        <f>IF('[15]سجل المستخلصات'!$M$22="","",'[15]سجل المستخلصات'!$M$22)</f>
        <v/>
      </c>
      <c r="M41" s="60">
        <f>IF('[15]سجل المستخلصات'!$N$22="","",'[15]سجل المستخلصات'!$N$22)</f>
        <v/>
      </c>
      <c r="N41" s="59">
        <f>IF('[15]سجل المستخلصات'!$O$22="","",'[15]سجل المستخلصات'!$O$22)</f>
        <v/>
      </c>
      <c r="O41" s="59">
        <f>IF('[15]سجل المستخلصات'!$R$22="","",'[15]سجل المستخلصات'!$R$22)</f>
        <v/>
      </c>
      <c r="P41" s="59">
        <f>IF('[15]سجل المستخلصات'!$S$22="","",'[15]سجل المستخلصات'!$S$22)</f>
        <v/>
      </c>
      <c r="Q41" s="59">
        <f>IF('[15]سجل المستخلصات'!$T$22="","",'[15]سجل المستخلصات'!$T$22)</f>
        <v/>
      </c>
      <c r="R41" s="59">
        <f>IF('[15]سجل المستخلصات'!$V$22="","",'[15]سجل المستخلصات'!$V$22)</f>
        <v/>
      </c>
      <c r="S41" s="59">
        <f>IF('[15]سجل المستخلصات'!$W$22="","",'[15]سجل المستخلصات'!$W$22)</f>
        <v/>
      </c>
      <c r="T41" s="61">
        <f>IF('[15]سجل المستخلصات'!$X$22="","",'[15]سجل المستخلصات'!$X$22)</f>
        <v/>
      </c>
      <c r="U41" s="61">
        <f>IF('[15]سجل المستخلصات'!$Z$22="","",'[15]سجل المستخلصات'!$Z$22)</f>
        <v/>
      </c>
      <c r="V41" s="59">
        <f>IF('[15]سجل المستخلصات'!$AA$22="","",'[15]سجل المستخلصات'!$AA$22)</f>
        <v/>
      </c>
      <c r="W41" s="59">
        <f>IF('[15]سجل المستخلصات'!$AC$22="","",'[15]سجل المستخلصات'!$AC$22)</f>
        <v/>
      </c>
      <c r="X41" s="62">
        <f>IF('[15]سجل المستخلصات'!$AD$22="","",'[15]سجل المستخلصات'!$AD$22)</f>
        <v/>
      </c>
      <c r="Y41" s="58">
        <f>IF('[15]سجل المستخلصات'!$AE$22="","",'[15]سجل المستخلصات'!$AE$22)</f>
        <v/>
      </c>
    </row>
    <row r="42">
      <c r="B42" s="56" t="n">
        <v>18</v>
      </c>
      <c r="C42" s="57">
        <f>IF('[15]سجل المستخلصات'!$C$23="","",'[15]سجل المستخلصات'!$C$23)</f>
        <v/>
      </c>
      <c r="D42" s="57">
        <f>IF('[15]سجل المستخلصات'!$E$23="","",'[15]سجل المستخلصات'!$E$23)</f>
        <v/>
      </c>
      <c r="E42" s="58">
        <f>IF('[15]سجل المستخلصات'!$F$23="","",'[15]سجل المستخلصات'!$F$23)</f>
        <v/>
      </c>
      <c r="F42" s="59">
        <f>IF('[15]سجل المستخلصات'!$H$23="","",'[15]سجل المستخلصات'!$H$23)</f>
        <v/>
      </c>
      <c r="G42" s="59">
        <f>IF('[15]سجل المستخلصات'!$G$23="","",'[15]سجل المستخلصات'!$G$23)</f>
        <v/>
      </c>
      <c r="H42" s="59">
        <f>IF('[15]سجل المستخلصات'!$I$23="","",'[15]سجل المستخلصات'!$I$23)</f>
        <v/>
      </c>
      <c r="I42" s="59">
        <f>IF('[15]سجل المستخلصات'!$J$23="","",'[15]سجل المستخلصات'!$J$23)</f>
        <v/>
      </c>
      <c r="J42" s="59">
        <f>IF('[15]سجل المستخلصات'!$K$23="","",'[15]سجل المستخلصات'!$K$23)</f>
        <v/>
      </c>
      <c r="K42" s="60">
        <f>IF('[15]سجل المستخلصات'!$L$23="","",'[15]سجل المستخلصات'!$L$23)</f>
        <v/>
      </c>
      <c r="L42" s="60">
        <f>IF('[15]سجل المستخلصات'!$M$23="","",'[15]سجل المستخلصات'!$M$23)</f>
        <v/>
      </c>
      <c r="M42" s="60">
        <f>IF('[15]سجل المستخلصات'!$N$23="","",'[15]سجل المستخلصات'!$N$23)</f>
        <v/>
      </c>
      <c r="N42" s="59">
        <f>IF('[15]سجل المستخلصات'!$O$23="","",'[15]سجل المستخلصات'!$O$23)</f>
        <v/>
      </c>
      <c r="O42" s="59">
        <f>IF('[15]سجل المستخلصات'!$R$23="","",'[15]سجل المستخلصات'!$R$23)</f>
        <v/>
      </c>
      <c r="P42" s="59">
        <f>IF('[15]سجل المستخلصات'!$S$23="","",'[15]سجل المستخلصات'!$S$23)</f>
        <v/>
      </c>
      <c r="Q42" s="59">
        <f>IF('[15]سجل المستخلصات'!$T$23="","",'[15]سجل المستخلصات'!$T$23)</f>
        <v/>
      </c>
      <c r="R42" s="59">
        <f>IF('[15]سجل المستخلصات'!$V$23="","",'[15]سجل المستخلصات'!$V$23)</f>
        <v/>
      </c>
      <c r="S42" s="59">
        <f>IF('[15]سجل المستخلصات'!$W$23="","",'[15]سجل المستخلصات'!$W$23)</f>
        <v/>
      </c>
      <c r="T42" s="61">
        <f>IF('[15]سجل المستخلصات'!$X$23="","",'[15]سجل المستخلصات'!$X$23)</f>
        <v/>
      </c>
      <c r="U42" s="61">
        <f>IF('[15]سجل المستخلصات'!$Z$23="","",'[15]سجل المستخلصات'!$Z$23)</f>
        <v/>
      </c>
      <c r="V42" s="59">
        <f>IF('[15]سجل المستخلصات'!$AA$23="","",'[15]سجل المستخلصات'!$AA$23)</f>
        <v/>
      </c>
      <c r="W42" s="59">
        <f>IF('[15]سجل المستخلصات'!$AC$23="","",'[15]سجل المستخلصات'!$AC$23)</f>
        <v/>
      </c>
      <c r="X42" s="62">
        <f>IF('[15]سجل المستخلصات'!$AD$23="","",'[15]سجل المستخلصات'!$AD$23)</f>
        <v/>
      </c>
      <c r="Y42" s="58">
        <f>IF('[15]سجل المستخلصات'!$AE$23="","",'[15]سجل المستخلصات'!$AE$23)</f>
        <v/>
      </c>
    </row>
    <row r="43">
      <c r="B43" s="56" t="n">
        <v>19</v>
      </c>
      <c r="C43" s="57">
        <f>IF('[15]سجل المستخلصات'!$C$24="","",'[15]سجل المستخلصات'!$C$24)</f>
        <v/>
      </c>
      <c r="D43" s="57">
        <f>IF('[15]سجل المستخلصات'!$E$24="","",'[15]سجل المستخلصات'!$E$24)</f>
        <v/>
      </c>
      <c r="E43" s="58">
        <f>IF('[15]سجل المستخلصات'!$F$24="","",'[15]سجل المستخلصات'!$F$24)</f>
        <v/>
      </c>
      <c r="F43" s="59">
        <f>IF('[15]سجل المستخلصات'!$H$24="","",'[15]سجل المستخلصات'!$H$24)</f>
        <v/>
      </c>
      <c r="G43" s="59">
        <f>IF('[15]سجل المستخلصات'!$G$24="","",'[15]سجل المستخلصات'!$G$24)</f>
        <v/>
      </c>
      <c r="H43" s="59">
        <f>IF('[15]سجل المستخلصات'!$I$24="","",'[15]سجل المستخلصات'!$I$24)</f>
        <v/>
      </c>
      <c r="I43" s="59">
        <f>IF('[15]سجل المستخلصات'!$J$24="","",'[15]سجل المستخلصات'!$J$24)</f>
        <v/>
      </c>
      <c r="J43" s="59">
        <f>IF('[15]سجل المستخلصات'!$K$24="","",'[15]سجل المستخلصات'!$K$24)</f>
        <v/>
      </c>
      <c r="K43" s="60">
        <f>IF('[15]سجل المستخلصات'!$L$24="","",'[15]سجل المستخلصات'!$L$24)</f>
        <v/>
      </c>
      <c r="L43" s="60">
        <f>IF('[15]سجل المستخلصات'!$M$24="","",'[15]سجل المستخلصات'!$M$24)</f>
        <v/>
      </c>
      <c r="M43" s="60">
        <f>IF('[15]سجل المستخلصات'!$N$24="","",'[15]سجل المستخلصات'!$N$24)</f>
        <v/>
      </c>
      <c r="N43" s="59">
        <f>IF('[15]سجل المستخلصات'!$O$24="","",'[15]سجل المستخلصات'!$O$24)</f>
        <v/>
      </c>
      <c r="O43" s="59">
        <f>IF('[15]سجل المستخلصات'!$R$24="","",'[15]سجل المستخلصات'!$R$24)</f>
        <v/>
      </c>
      <c r="P43" s="59">
        <f>IF('[15]سجل المستخلصات'!$S$24="","",'[15]سجل المستخلصات'!$S$24)</f>
        <v/>
      </c>
      <c r="Q43" s="59">
        <f>IF('[15]سجل المستخلصات'!$T$24="","",'[15]سجل المستخلصات'!$T$24)</f>
        <v/>
      </c>
      <c r="R43" s="59">
        <f>IF('[15]سجل المستخلصات'!$V$24="","",'[15]سجل المستخلصات'!$V$24)</f>
        <v/>
      </c>
      <c r="S43" s="59">
        <f>IF('[15]سجل المستخلصات'!$W$24="","",'[15]سجل المستخلصات'!$W$24)</f>
        <v/>
      </c>
      <c r="T43" s="61">
        <f>IF('[15]سجل المستخلصات'!$X$24="","",'[15]سجل المستخلصات'!$X$24)</f>
        <v/>
      </c>
      <c r="U43" s="61">
        <f>IF('[15]سجل المستخلصات'!$Z$24="","",'[15]سجل المستخلصات'!$Z$24)</f>
        <v/>
      </c>
      <c r="V43" s="59">
        <f>IF('[15]سجل المستخلصات'!$AA$24="","",'[15]سجل المستخلصات'!$AA$24)</f>
        <v/>
      </c>
      <c r="W43" s="59">
        <f>IF('[15]سجل المستخلصات'!$AC$24="","",'[15]سجل المستخلصات'!$AC$24)</f>
        <v/>
      </c>
      <c r="X43" s="62">
        <f>IF('[15]سجل المستخلصات'!$AD$24="","",'[15]سجل المستخلصات'!$AD$24)</f>
        <v/>
      </c>
      <c r="Y43" s="58">
        <f>IF('[15]سجل المستخلصات'!$AE$24="","",'[15]سجل المستخلصات'!$AE$24)</f>
        <v/>
      </c>
    </row>
    <row r="44">
      <c r="B44" s="56" t="n">
        <v>20</v>
      </c>
      <c r="C44" s="57">
        <f>IF('[15]سجل المستخلصات'!$C$25="","",'[15]سجل المستخلصات'!$C$25)</f>
        <v/>
      </c>
      <c r="D44" s="57">
        <f>IF('[15]سجل المستخلصات'!$E$25="","",'[15]سجل المستخلصات'!$E$25)</f>
        <v/>
      </c>
      <c r="E44" s="58">
        <f>IF('[15]سجل المستخلصات'!$F$25="","",'[15]سجل المستخلصات'!$F$25)</f>
        <v/>
      </c>
      <c r="F44" s="59">
        <f>IF('[15]سجل المستخلصات'!$H$25="","",'[15]سجل المستخلصات'!$H$25)</f>
        <v/>
      </c>
      <c r="G44" s="59">
        <f>IF('[15]سجل المستخلصات'!$G$25="","",'[15]سجل المستخلصات'!$G$25)</f>
        <v/>
      </c>
      <c r="H44" s="59">
        <f>IF('[15]سجل المستخلصات'!$I$25="","",'[15]سجل المستخلصات'!$I$25)</f>
        <v/>
      </c>
      <c r="I44" s="59">
        <f>IF('[15]سجل المستخلصات'!$J$25="","",'[15]سجل المستخلصات'!$J$25)</f>
        <v/>
      </c>
      <c r="J44" s="59">
        <f>IF('[15]سجل المستخلصات'!$K$25="","",'[15]سجل المستخلصات'!$K$25)</f>
        <v/>
      </c>
      <c r="K44" s="60">
        <f>IF('[15]سجل المستخلصات'!$L$25="","",'[15]سجل المستخلصات'!$L$25)</f>
        <v/>
      </c>
      <c r="L44" s="60">
        <f>IF('[15]سجل المستخلصات'!$M$25="","",'[15]سجل المستخلصات'!$M$25)</f>
        <v/>
      </c>
      <c r="M44" s="60">
        <f>IF('[15]سجل المستخلصات'!$N$25="","",'[15]سجل المستخلصات'!$N$25)</f>
        <v/>
      </c>
      <c r="N44" s="59">
        <f>IF('[15]سجل المستخلصات'!$O$25="","",'[15]سجل المستخلصات'!$O$25)</f>
        <v/>
      </c>
      <c r="O44" s="59">
        <f>IF('[15]سجل المستخلصات'!$R$25="","",'[15]سجل المستخلصات'!$R$25)</f>
        <v/>
      </c>
      <c r="P44" s="59">
        <f>IF('[15]سجل المستخلصات'!$S$25="","",'[15]سجل المستخلصات'!$S$25)</f>
        <v/>
      </c>
      <c r="Q44" s="59">
        <f>IF('[15]سجل المستخلصات'!$T$25="","",'[15]سجل المستخلصات'!$T$25)</f>
        <v/>
      </c>
      <c r="R44" s="59">
        <f>IF('[15]سجل المستخلصات'!$V$25="","",'[15]سجل المستخلصات'!$V$25)</f>
        <v/>
      </c>
      <c r="S44" s="59">
        <f>IF('[15]سجل المستخلصات'!$W$25="","",'[15]سجل المستخلصات'!$W$25)</f>
        <v/>
      </c>
      <c r="T44" s="61">
        <f>IF('[15]سجل المستخلصات'!$X$25="","",'[15]سجل المستخلصات'!$X$25)</f>
        <v/>
      </c>
      <c r="U44" s="61">
        <f>IF('[15]سجل المستخلصات'!$Z$25="","",'[15]سجل المستخلصات'!$Z$25)</f>
        <v/>
      </c>
      <c r="V44" s="59">
        <f>IF('[15]سجل المستخلصات'!$AA$25="","",'[15]سجل المستخلصات'!$AA$25)</f>
        <v/>
      </c>
      <c r="W44" s="59">
        <f>IF('[15]سجل المستخلصات'!$AC$25="","",'[15]سجل المستخلصات'!$AC$25)</f>
        <v/>
      </c>
      <c r="X44" s="62">
        <f>IF('[15]سجل المستخلصات'!$AD$25="","",'[15]سجل المستخلصات'!$AD$25)</f>
        <v/>
      </c>
      <c r="Y44" s="58">
        <f>IF('[15]سجل المستخلصات'!$AE$25="","",'[15]سجل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IF('[15]سجل المستخلصات'!$B$32="","",'[15]سجل المستخلصات'!$B$32)</f>
        <v/>
      </c>
      <c r="C50" s="69" t="n"/>
      <c r="D50" s="69" t="n"/>
      <c r="E50" s="59">
        <f>N('[15]سجل المستخلصات'!$E$32)</f>
        <v/>
      </c>
      <c r="F50" s="59">
        <f>N('[15]سجل المستخلصات'!$F$32)</f>
        <v/>
      </c>
      <c r="G50" s="70">
        <f>IF(E50&gt;0,F50/E50,0)</f>
        <v/>
      </c>
    </row>
    <row r="51">
      <c r="B51" s="69">
        <f>IF('[15]سجل المستخلصات'!$B$33="","",'[15]سجل المستخلصات'!$B$33)</f>
        <v/>
      </c>
      <c r="C51" s="69" t="n"/>
      <c r="D51" s="69" t="n"/>
      <c r="E51" s="59">
        <f>N('[15]سجل المستخلصات'!$E$33)</f>
        <v/>
      </c>
      <c r="F51" s="59">
        <f>N('[15]سجل المستخلصات'!$F$33)</f>
        <v/>
      </c>
      <c r="G51" s="70">
        <f>IF(E51&gt;0,F51/E51,0)</f>
        <v/>
      </c>
    </row>
    <row r="52">
      <c r="B52" s="69">
        <f>IF('[15]سجل المستخلصات'!$B$34="","",'[15]سجل المستخلصات'!$B$34)</f>
        <v/>
      </c>
      <c r="C52" s="69" t="n"/>
      <c r="D52" s="69" t="n"/>
      <c r="E52" s="59">
        <f>N('[15]سجل المستخلصات'!$E$34)</f>
        <v/>
      </c>
      <c r="F52" s="59">
        <f>N('[15]سجل المستخلصات'!$F$34)</f>
        <v/>
      </c>
      <c r="G52" s="70">
        <f>IF(E52&gt;0,F52/E52,0)</f>
        <v/>
      </c>
    </row>
    <row r="53">
      <c r="B53" s="69">
        <f>IF('[15]سجل المستخلصات'!$B$35="","",'[15]سجل المستخلصات'!$B$35)</f>
        <v/>
      </c>
      <c r="C53" s="69" t="n"/>
      <c r="D53" s="69" t="n"/>
      <c r="E53" s="59">
        <f>N('[15]سجل المستخلصات'!$E$35)</f>
        <v/>
      </c>
      <c r="F53" s="59">
        <f>N('[15]سجل المستخلصات'!$F$35)</f>
        <v/>
      </c>
      <c r="G53" s="70">
        <f>IF(E53&gt;0,F53/E53,0)</f>
        <v/>
      </c>
    </row>
    <row r="54">
      <c r="B54" s="69">
        <f>IF('[15]سجل المستخلصات'!$B$36="","",'[15]سجل المستخلصات'!$B$36)</f>
        <v/>
      </c>
      <c r="C54" s="69" t="n"/>
      <c r="D54" s="69" t="n"/>
      <c r="E54" s="59">
        <f>N('[15]سجل المستخلصات'!$E$36)</f>
        <v/>
      </c>
      <c r="F54" s="59">
        <f>N('[15]سجل المستخلصات'!$F$36)</f>
        <v/>
      </c>
      <c r="G54" s="70">
        <f>IF(E54&gt;0,F54/E54,0)</f>
        <v/>
      </c>
    </row>
    <row r="55">
      <c r="B55" s="69">
        <f>IF('[15]سجل المستخلصات'!$B$37="","",'[15]سجل المستخلصات'!$B$37)</f>
        <v/>
      </c>
      <c r="C55" s="69" t="n"/>
      <c r="D55" s="69" t="n"/>
      <c r="E55" s="59">
        <f>N('[15]سجل المستخلصات'!$E$37)</f>
        <v/>
      </c>
      <c r="F55" s="59">
        <f>N('[15]سجل المستخلصات'!$F$37)</f>
        <v/>
      </c>
      <c r="G55" s="70">
        <f>IF(E55&gt;0,F55/E55,0)</f>
        <v/>
      </c>
    </row>
    <row r="56">
      <c r="B56" s="69">
        <f>IF('[15]سجل المستخلصات'!$B$38="","",'[15]سجل المستخلصات'!$B$38)</f>
        <v/>
      </c>
      <c r="C56" s="69" t="n"/>
      <c r="D56" s="69" t="n"/>
      <c r="E56" s="59">
        <f>N('[15]سجل المستخلصات'!$E$38)</f>
        <v/>
      </c>
      <c r="F56" s="59">
        <f>N('[15]سجل المستخلصات'!$F$38)</f>
        <v/>
      </c>
      <c r="G56" s="70">
        <f>IF(E56&gt;0,F56/E56,0)</f>
        <v/>
      </c>
    </row>
    <row r="57">
      <c r="B57" s="69">
        <f>IF('[15]سجل المستخلصات'!$B$39="","",'[15]سجل المستخلصات'!$B$39)</f>
        <v/>
      </c>
      <c r="C57" s="69" t="n"/>
      <c r="D57" s="69" t="n"/>
      <c r="E57" s="59">
        <f>N('[15]سجل المستخلصات'!$E$39)</f>
        <v/>
      </c>
      <c r="F57" s="59">
        <f>N('[15]سجل المستخلصات'!$F$39)</f>
        <v/>
      </c>
      <c r="G57" s="70">
        <f>IF(E57&gt;0,F57/E57,0)</f>
        <v/>
      </c>
    </row>
    <row r="58">
      <c r="B58" s="69">
        <f>IF('[15]سجل المستخلصات'!$B$40="","",'[15]سجل المستخلصات'!$B$40)</f>
        <v/>
      </c>
      <c r="C58" s="69" t="n"/>
      <c r="D58" s="69" t="n"/>
      <c r="E58" s="59">
        <f>N('[15]سجل المستخلصات'!$E$40)</f>
        <v/>
      </c>
      <c r="F58" s="59">
        <f>N('[15]سجل المستخلصات'!$F$40)</f>
        <v/>
      </c>
      <c r="G58" s="70">
        <f>IF(E58&gt;0,F58/E58,0)</f>
        <v/>
      </c>
    </row>
    <row r="59">
      <c r="B59" s="69">
        <f>IF('[15]سجل المستخلصات'!$B$41="","",'[15]سجل المستخلصات'!$B$41)</f>
        <v/>
      </c>
      <c r="C59" s="69" t="n"/>
      <c r="D59" s="69" t="n"/>
      <c r="E59" s="59">
        <f>N('[15]سجل المستخلصات'!$E$41)</f>
        <v/>
      </c>
      <c r="F59" s="59">
        <f>N('[15]سجل المستخلصات'!$F$41)</f>
        <v/>
      </c>
      <c r="G59" s="70">
        <f>IF(E59&gt;0,F59/E59,0)</f>
        <v/>
      </c>
    </row>
    <row r="60">
      <c r="B60" s="69">
        <f>IF('[15]سجل المستخلصات'!$B$42="","",'[15]سجل المستخلصات'!$B$42)</f>
        <v/>
      </c>
      <c r="C60" s="69" t="n"/>
      <c r="D60" s="69" t="n"/>
      <c r="E60" s="59">
        <f>N('[15]سجل المستخلصات'!$E$42)</f>
        <v/>
      </c>
      <c r="F60" s="59">
        <f>N('[15]سجل المستخلصات'!$F$42)</f>
        <v/>
      </c>
      <c r="G60" s="70">
        <f>IF(E60&gt;0,F60/E60,0)</f>
        <v/>
      </c>
    </row>
    <row r="61">
      <c r="B61" s="69">
        <f>IF('[15]سجل المستخلصات'!$B$43="","",'[15]سجل المستخلصات'!$B$43)</f>
        <v/>
      </c>
      <c r="C61" s="69" t="n"/>
      <c r="D61" s="69" t="n"/>
      <c r="E61" s="59">
        <f>N('[15]سجل المستخلصات'!$E$43)</f>
        <v/>
      </c>
      <c r="F61" s="59">
        <f>N('[15]سجل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14'!A1" display="◄ المشروع السابق"/>
    <hyperlink ref="D3" location="'مشروع 16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"&amp;IF('[16]بيانات العقد'!$C$5="","مشروع رقم 16 — غير مُفعّل",'[16]بيانات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Project_16/IPC_Project_16.xlsx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IF('[16]بيانات العقد'!$C$5="","",'[16]بيانات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IF('[16]بيانات العقد'!$C$6="","",'[16]بيانات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IF('[16]بيانات العقد'!$C$7="","",'[16]بيانات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IF('[16]بيانات العقد'!$C$8="","",'[16]بيانات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N('[16]بيانات العقد'!$C$16)</f>
        <v/>
      </c>
    </row>
    <row r="6" ht="22" customHeight="1">
      <c r="B6" s="11" t="inlineStr">
        <is>
          <t>المقاول</t>
        </is>
      </c>
      <c r="C6" s="14">
        <f>IF('[16]بيانات العقد'!$C$9="","",'[16]بيانات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IF('[16]بيانات العقد'!$C$11="","",'[16]بيانات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IF('[16]بيانات العقد'!$C$13="","",'[16]بيانات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IF('[16]بيانات العقد'!$C$14="","",'[16]بيانات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N('[16]بيانات العقد'!$C$17)</f>
        <v/>
      </c>
    </row>
    <row r="7">
      <c r="AA7" s="15" t="inlineStr">
        <is>
          <t>قيمة العقد المعدلة</t>
        </is>
      </c>
      <c r="AB7" s="16">
        <f>N('[16]بيانات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N('[16]بيانات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N('[16]بيانات العقد'!$C$21)</f>
        <v/>
      </c>
    </row>
    <row r="10">
      <c r="AA10" s="15" t="inlineStr">
        <is>
          <t>نسبة ضمان الأعمال</t>
        </is>
      </c>
      <c r="AB10" s="23">
        <f>N('[16]بيانات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N('[16]بيانات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N('[16]بيانات العقد'!$C$31)</f>
        <v/>
      </c>
    </row>
    <row r="13">
      <c r="AA13" s="15" t="inlineStr">
        <is>
          <t>ضريبة الاستقطاع (غير المقيم)</t>
        </is>
      </c>
      <c r="AB13" s="23">
        <f>N('[16]بيانات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IF('[16]بيانات العقد'!$C$11="","",'[16]بيانات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IF('[16]بيانات العقد'!$C$13="","",'[16]بيانات العقد'!$C$13)</f>
        <v/>
      </c>
    </row>
    <row r="16">
      <c r="AA16" s="15" t="inlineStr">
        <is>
          <t>المدة (شهر)</t>
        </is>
      </c>
      <c r="AB16" s="43">
        <f>IF('[16]بيانات العقد'!$C$12="","",'[16]بيانات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IF('[16]بيانات العقد'!$C$36="","",'[16]بيانات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IF('[16]بيانات العقد'!$C$37="","",'[16]بيانات العقد'!$C$37)</f>
        <v/>
      </c>
    </row>
    <row r="19">
      <c r="AA19" s="15" t="inlineStr">
        <is>
          <t>الرقم الضريبي لصاحب العمل</t>
        </is>
      </c>
      <c r="AB19" s="48">
        <f>IF('[16]بيانات العقد'!$C$39="","",'[16]بيانات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IF('[16]بيانات العقد'!$C$42="","",'[16]بيانات العقد'!$C$42)</f>
        <v/>
      </c>
    </row>
    <row r="21" ht="32" customHeight="1">
      <c r="B21" s="50">
        <f>N('[16]الموازنة والتكاليف'!$D$66)</f>
        <v/>
      </c>
      <c r="C21" s="50" t="n"/>
      <c r="D21" s="50" t="n"/>
      <c r="E21" s="50" t="n"/>
      <c r="F21" s="50">
        <f>N('[16]الموازنة والتكاليف'!$D$70)</f>
        <v/>
      </c>
      <c r="G21" s="50" t="n"/>
      <c r="H21" s="50" t="n"/>
      <c r="I21" s="50" t="n"/>
      <c r="J21" s="50">
        <f>N('[16]الموازنة والتكاليف'!$D$72)</f>
        <v/>
      </c>
      <c r="K21" s="50" t="n"/>
      <c r="L21" s="50" t="n"/>
      <c r="M21" s="50" t="n"/>
      <c r="N21" s="51">
        <f>N('[16]الموازنة والتكاليف'!$D$73)</f>
        <v/>
      </c>
      <c r="O21" s="51" t="n"/>
      <c r="P21" s="51" t="n"/>
      <c r="Q21" s="51" t="n"/>
      <c r="R21" s="52">
        <f>N('[16]الموازنة والتكاليف'!$D$74)</f>
        <v/>
      </c>
      <c r="S21" s="52" t="n"/>
      <c r="T21" s="52" t="n"/>
      <c r="U21" s="52" t="n"/>
      <c r="V21" s="50">
        <f>N('[16]الموازنة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IF('[16]بيانات العقد'!$C$43="","",'[16]بيانات العقد'!$C$43)</f>
        <v/>
      </c>
    </row>
    <row r="22">
      <c r="AA22" s="15" t="inlineStr">
        <is>
          <t>حالة غرامات التأخير</t>
        </is>
      </c>
      <c r="AB22" s="45">
        <f>IF('[16]بيانات العقد'!$C$47="","",'[16]بيانات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IF('[16]سجل المستخلصات'!$C$6="","",'[16]سجل المستخلصات'!$C$6)</f>
        <v/>
      </c>
      <c r="D25" s="57">
        <f>IF('[16]سجل المستخلصات'!$E$6="","",'[16]سجل المستخلصات'!$E$6)</f>
        <v/>
      </c>
      <c r="E25" s="58">
        <f>IF('[16]سجل المستخلصات'!$F$6="","",'[16]سجل المستخلصات'!$F$6)</f>
        <v/>
      </c>
      <c r="F25" s="59">
        <f>IF('[16]سجل المستخلصات'!$H$6="","",'[16]سجل المستخلصات'!$H$6)</f>
        <v/>
      </c>
      <c r="G25" s="59">
        <f>IF('[16]سجل المستخلصات'!$G$6="","",'[16]سجل المستخلصات'!$G$6)</f>
        <v/>
      </c>
      <c r="H25" s="59">
        <f>IF('[16]سجل المستخلصات'!$I$6="","",'[16]سجل المستخلصات'!$I$6)</f>
        <v/>
      </c>
      <c r="I25" s="59">
        <f>IF('[16]سجل المستخلصات'!$J$6="","",'[16]سجل المستخلصات'!$J$6)</f>
        <v/>
      </c>
      <c r="J25" s="59">
        <f>IF('[16]سجل المستخلصات'!$K$6="","",'[16]سجل المستخلصات'!$K$6)</f>
        <v/>
      </c>
      <c r="K25" s="60">
        <f>IF('[16]سجل المستخلصات'!$L$6="","",'[16]سجل المستخلصات'!$L$6)</f>
        <v/>
      </c>
      <c r="L25" s="60">
        <f>IF('[16]سجل المستخلصات'!$M$6="","",'[16]سجل المستخلصات'!$M$6)</f>
        <v/>
      </c>
      <c r="M25" s="60">
        <f>IF('[16]سجل المستخلصات'!$N$6="","",'[16]سجل المستخلصات'!$N$6)</f>
        <v/>
      </c>
      <c r="N25" s="59">
        <f>IF('[16]سجل المستخلصات'!$O$6="","",'[16]سجل المستخلصات'!$O$6)</f>
        <v/>
      </c>
      <c r="O25" s="59">
        <f>IF('[16]سجل المستخلصات'!$R$6="","",'[16]سجل المستخلصات'!$R$6)</f>
        <v/>
      </c>
      <c r="P25" s="59">
        <f>IF('[16]سجل المستخلصات'!$S$6="","",'[16]سجل المستخلصات'!$S$6)</f>
        <v/>
      </c>
      <c r="Q25" s="59">
        <f>IF('[16]سجل المستخلصات'!$T$6="","",'[16]سجل المستخلصات'!$T$6)</f>
        <v/>
      </c>
      <c r="R25" s="59">
        <f>IF('[16]سجل المستخلصات'!$V$6="","",'[16]سجل المستخلصات'!$V$6)</f>
        <v/>
      </c>
      <c r="S25" s="59">
        <f>IF('[16]سجل المستخلصات'!$W$6="","",'[16]سجل المستخلصات'!$W$6)</f>
        <v/>
      </c>
      <c r="T25" s="61">
        <f>IF('[16]سجل المستخلصات'!$X$6="","",'[16]سجل المستخلصات'!$X$6)</f>
        <v/>
      </c>
      <c r="U25" s="61">
        <f>IF('[16]سجل المستخلصات'!$Z$6="","",'[16]سجل المستخلصات'!$Z$6)</f>
        <v/>
      </c>
      <c r="V25" s="59">
        <f>IF('[16]سجل المستخلصات'!$AA$6="","",'[16]سجل المستخلصات'!$AA$6)</f>
        <v/>
      </c>
      <c r="W25" s="59">
        <f>IF('[16]سجل المستخلصات'!$AC$6="","",'[16]سجل المستخلصات'!$AC$6)</f>
        <v/>
      </c>
      <c r="X25" s="62">
        <f>IF('[16]سجل المستخلصات'!$AD$6="","",'[16]سجل المستخلصات'!$AD$6)</f>
        <v/>
      </c>
      <c r="Y25" s="58">
        <f>IF('[16]سجل المستخلصات'!$AE$6="","",'[16]سجل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IF('[16]سجل المستخلصات'!$C$7="","",'[16]سجل المستخلصات'!$C$7)</f>
        <v/>
      </c>
      <c r="D26" s="57">
        <f>IF('[16]سجل المستخلصات'!$E$7="","",'[16]سجل المستخلصات'!$E$7)</f>
        <v/>
      </c>
      <c r="E26" s="58">
        <f>IF('[16]سجل المستخلصات'!$F$7="","",'[16]سجل المستخلصات'!$F$7)</f>
        <v/>
      </c>
      <c r="F26" s="59">
        <f>IF('[16]سجل المستخلصات'!$H$7="","",'[16]سجل المستخلصات'!$H$7)</f>
        <v/>
      </c>
      <c r="G26" s="59">
        <f>IF('[16]سجل المستخلصات'!$G$7="","",'[16]سجل المستخلصات'!$G$7)</f>
        <v/>
      </c>
      <c r="H26" s="59">
        <f>IF('[16]سجل المستخلصات'!$I$7="","",'[16]سجل المستخلصات'!$I$7)</f>
        <v/>
      </c>
      <c r="I26" s="59">
        <f>IF('[16]سجل المستخلصات'!$J$7="","",'[16]سجل المستخلصات'!$J$7)</f>
        <v/>
      </c>
      <c r="J26" s="59">
        <f>IF('[16]سجل المستخلصات'!$K$7="","",'[16]سجل المستخلصات'!$K$7)</f>
        <v/>
      </c>
      <c r="K26" s="60">
        <f>IF('[16]سجل المستخلصات'!$L$7="","",'[16]سجل المستخلصات'!$L$7)</f>
        <v/>
      </c>
      <c r="L26" s="60">
        <f>IF('[16]سجل المستخلصات'!$M$7="","",'[16]سجل المستخلصات'!$M$7)</f>
        <v/>
      </c>
      <c r="M26" s="60">
        <f>IF('[16]سجل المستخلصات'!$N$7="","",'[16]سجل المستخلصات'!$N$7)</f>
        <v/>
      </c>
      <c r="N26" s="59">
        <f>IF('[16]سجل المستخلصات'!$O$7="","",'[16]سجل المستخلصات'!$O$7)</f>
        <v/>
      </c>
      <c r="O26" s="59">
        <f>IF('[16]سجل المستخلصات'!$R$7="","",'[16]سجل المستخلصات'!$R$7)</f>
        <v/>
      </c>
      <c r="P26" s="59">
        <f>IF('[16]سجل المستخلصات'!$S$7="","",'[16]سجل المستخلصات'!$S$7)</f>
        <v/>
      </c>
      <c r="Q26" s="59">
        <f>IF('[16]سجل المستخلصات'!$T$7="","",'[16]سجل المستخلصات'!$T$7)</f>
        <v/>
      </c>
      <c r="R26" s="59">
        <f>IF('[16]سجل المستخلصات'!$V$7="","",'[16]سجل المستخلصات'!$V$7)</f>
        <v/>
      </c>
      <c r="S26" s="59">
        <f>IF('[16]سجل المستخلصات'!$W$7="","",'[16]سجل المستخلصات'!$W$7)</f>
        <v/>
      </c>
      <c r="T26" s="61">
        <f>IF('[16]سجل المستخلصات'!$X$7="","",'[16]سجل المستخلصات'!$X$7)</f>
        <v/>
      </c>
      <c r="U26" s="61">
        <f>IF('[16]سجل المستخلصات'!$Z$7="","",'[16]سجل المستخلصات'!$Z$7)</f>
        <v/>
      </c>
      <c r="V26" s="59">
        <f>IF('[16]سجل المستخلصات'!$AA$7="","",'[16]سجل المستخلصات'!$AA$7)</f>
        <v/>
      </c>
      <c r="W26" s="59">
        <f>IF('[16]سجل المستخلصات'!$AC$7="","",'[16]سجل المستخلصات'!$AC$7)</f>
        <v/>
      </c>
      <c r="X26" s="62">
        <f>IF('[16]سجل المستخلصات'!$AD$7="","",'[16]سجل المستخلصات'!$AD$7)</f>
        <v/>
      </c>
      <c r="Y26" s="58">
        <f>IF('[16]سجل المستخلصات'!$AE$7="","",'[16]سجل المستخلصات'!$AE$7)</f>
        <v/>
      </c>
      <c r="AA26" s="63" t="n"/>
      <c r="AB26" s="63" t="n"/>
    </row>
    <row r="27">
      <c r="B27" s="56" t="n">
        <v>3</v>
      </c>
      <c r="C27" s="57">
        <f>IF('[16]سجل المستخلصات'!$C$8="","",'[16]سجل المستخلصات'!$C$8)</f>
        <v/>
      </c>
      <c r="D27" s="57">
        <f>IF('[16]سجل المستخلصات'!$E$8="","",'[16]سجل المستخلصات'!$E$8)</f>
        <v/>
      </c>
      <c r="E27" s="58">
        <f>IF('[16]سجل المستخلصات'!$F$8="","",'[16]سجل المستخلصات'!$F$8)</f>
        <v/>
      </c>
      <c r="F27" s="59">
        <f>IF('[16]سجل المستخلصات'!$H$8="","",'[16]سجل المستخلصات'!$H$8)</f>
        <v/>
      </c>
      <c r="G27" s="59">
        <f>IF('[16]سجل المستخلصات'!$G$8="","",'[16]سجل المستخلصات'!$G$8)</f>
        <v/>
      </c>
      <c r="H27" s="59">
        <f>IF('[16]سجل المستخلصات'!$I$8="","",'[16]سجل المستخلصات'!$I$8)</f>
        <v/>
      </c>
      <c r="I27" s="59">
        <f>IF('[16]سجل المستخلصات'!$J$8="","",'[16]سجل المستخلصات'!$J$8)</f>
        <v/>
      </c>
      <c r="J27" s="59">
        <f>IF('[16]سجل المستخلصات'!$K$8="","",'[16]سجل المستخلصات'!$K$8)</f>
        <v/>
      </c>
      <c r="K27" s="60">
        <f>IF('[16]سجل المستخلصات'!$L$8="","",'[16]سجل المستخلصات'!$L$8)</f>
        <v/>
      </c>
      <c r="L27" s="60">
        <f>IF('[16]سجل المستخلصات'!$M$8="","",'[16]سجل المستخلصات'!$M$8)</f>
        <v/>
      </c>
      <c r="M27" s="60">
        <f>IF('[16]سجل المستخلصات'!$N$8="","",'[16]سجل المستخلصات'!$N$8)</f>
        <v/>
      </c>
      <c r="N27" s="59">
        <f>IF('[16]سجل المستخلصات'!$O$8="","",'[16]سجل المستخلصات'!$O$8)</f>
        <v/>
      </c>
      <c r="O27" s="59">
        <f>IF('[16]سجل المستخلصات'!$R$8="","",'[16]سجل المستخلصات'!$R$8)</f>
        <v/>
      </c>
      <c r="P27" s="59">
        <f>IF('[16]سجل المستخلصات'!$S$8="","",'[16]سجل المستخلصات'!$S$8)</f>
        <v/>
      </c>
      <c r="Q27" s="59">
        <f>IF('[16]سجل المستخلصات'!$T$8="","",'[16]سجل المستخلصات'!$T$8)</f>
        <v/>
      </c>
      <c r="R27" s="59">
        <f>IF('[16]سجل المستخلصات'!$V$8="","",'[16]سجل المستخلصات'!$V$8)</f>
        <v/>
      </c>
      <c r="S27" s="59">
        <f>IF('[16]سجل المستخلصات'!$W$8="","",'[16]سجل المستخلصات'!$W$8)</f>
        <v/>
      </c>
      <c r="T27" s="61">
        <f>IF('[16]سجل المستخلصات'!$X$8="","",'[16]سجل المستخلصات'!$X$8)</f>
        <v/>
      </c>
      <c r="U27" s="61">
        <f>IF('[16]سجل المستخلصات'!$Z$8="","",'[16]سجل المستخلصات'!$Z$8)</f>
        <v/>
      </c>
      <c r="V27" s="59">
        <f>IF('[16]سجل المستخلصات'!$AA$8="","",'[16]سجل المستخلصات'!$AA$8)</f>
        <v/>
      </c>
      <c r="W27" s="59">
        <f>IF('[16]سجل المستخلصات'!$AC$8="","",'[16]سجل المستخلصات'!$AC$8)</f>
        <v/>
      </c>
      <c r="X27" s="62">
        <f>IF('[16]سجل المستخلصات'!$AD$8="","",'[16]سجل المستخلصات'!$AD$8)</f>
        <v/>
      </c>
      <c r="Y27" s="58">
        <f>IF('[16]سجل المستخلصات'!$AE$8="","",'[16]سجل المستخلصات'!$AE$8)</f>
        <v/>
      </c>
      <c r="AA27" s="63" t="n"/>
      <c r="AB27" s="63" t="n"/>
    </row>
    <row r="28">
      <c r="B28" s="56" t="n">
        <v>4</v>
      </c>
      <c r="C28" s="57">
        <f>IF('[16]سجل المستخلصات'!$C$9="","",'[16]سجل المستخلصات'!$C$9)</f>
        <v/>
      </c>
      <c r="D28" s="57">
        <f>IF('[16]سجل المستخلصات'!$E$9="","",'[16]سجل المستخلصات'!$E$9)</f>
        <v/>
      </c>
      <c r="E28" s="58">
        <f>IF('[16]سجل المستخلصات'!$F$9="","",'[16]سجل المستخلصات'!$F$9)</f>
        <v/>
      </c>
      <c r="F28" s="59">
        <f>IF('[16]سجل المستخلصات'!$H$9="","",'[16]سجل المستخلصات'!$H$9)</f>
        <v/>
      </c>
      <c r="G28" s="59">
        <f>IF('[16]سجل المستخلصات'!$G$9="","",'[16]سجل المستخلصات'!$G$9)</f>
        <v/>
      </c>
      <c r="H28" s="59">
        <f>IF('[16]سجل المستخلصات'!$I$9="","",'[16]سجل المستخلصات'!$I$9)</f>
        <v/>
      </c>
      <c r="I28" s="59">
        <f>IF('[16]سجل المستخلصات'!$J$9="","",'[16]سجل المستخلصات'!$J$9)</f>
        <v/>
      </c>
      <c r="J28" s="59">
        <f>IF('[16]سجل المستخلصات'!$K$9="","",'[16]سجل المستخلصات'!$K$9)</f>
        <v/>
      </c>
      <c r="K28" s="60">
        <f>IF('[16]سجل المستخلصات'!$L$9="","",'[16]سجل المستخلصات'!$L$9)</f>
        <v/>
      </c>
      <c r="L28" s="60">
        <f>IF('[16]سجل المستخلصات'!$M$9="","",'[16]سجل المستخلصات'!$M$9)</f>
        <v/>
      </c>
      <c r="M28" s="60">
        <f>IF('[16]سجل المستخلصات'!$N$9="","",'[16]سجل المستخلصات'!$N$9)</f>
        <v/>
      </c>
      <c r="N28" s="59">
        <f>IF('[16]سجل المستخلصات'!$O$9="","",'[16]سجل المستخلصات'!$O$9)</f>
        <v/>
      </c>
      <c r="O28" s="59">
        <f>IF('[16]سجل المستخلصات'!$R$9="","",'[16]سجل المستخلصات'!$R$9)</f>
        <v/>
      </c>
      <c r="P28" s="59">
        <f>IF('[16]سجل المستخلصات'!$S$9="","",'[16]سجل المستخلصات'!$S$9)</f>
        <v/>
      </c>
      <c r="Q28" s="59">
        <f>IF('[16]سجل المستخلصات'!$T$9="","",'[16]سجل المستخلصات'!$T$9)</f>
        <v/>
      </c>
      <c r="R28" s="59">
        <f>IF('[16]سجل المستخلصات'!$V$9="","",'[16]سجل المستخلصات'!$V$9)</f>
        <v/>
      </c>
      <c r="S28" s="59">
        <f>IF('[16]سجل المستخلصات'!$W$9="","",'[16]سجل المستخلصات'!$W$9)</f>
        <v/>
      </c>
      <c r="T28" s="61">
        <f>IF('[16]سجل المستخلصات'!$X$9="","",'[16]سجل المستخلصات'!$X$9)</f>
        <v/>
      </c>
      <c r="U28" s="61">
        <f>IF('[16]سجل المستخلصات'!$Z$9="","",'[16]سجل المستخلصات'!$Z$9)</f>
        <v/>
      </c>
      <c r="V28" s="59">
        <f>IF('[16]سجل المستخلصات'!$AA$9="","",'[16]سجل المستخلصات'!$AA$9)</f>
        <v/>
      </c>
      <c r="W28" s="59">
        <f>IF('[16]سجل المستخلصات'!$AC$9="","",'[16]سجل المستخلصات'!$AC$9)</f>
        <v/>
      </c>
      <c r="X28" s="62">
        <f>IF('[16]سجل المستخلصات'!$AD$9="","",'[16]سجل المستخلصات'!$AD$9)</f>
        <v/>
      </c>
      <c r="Y28" s="58">
        <f>IF('[16]سجل المستخلصات'!$AE$9="","",'[16]سجل المستخلصات'!$AE$9)</f>
        <v/>
      </c>
      <c r="AA28" s="63" t="n"/>
      <c r="AB28" s="63" t="n"/>
    </row>
    <row r="29">
      <c r="B29" s="56" t="n">
        <v>5</v>
      </c>
      <c r="C29" s="57">
        <f>IF('[16]سجل المستخلصات'!$C$10="","",'[16]سجل المستخلصات'!$C$10)</f>
        <v/>
      </c>
      <c r="D29" s="57">
        <f>IF('[16]سجل المستخلصات'!$E$10="","",'[16]سجل المستخلصات'!$E$10)</f>
        <v/>
      </c>
      <c r="E29" s="58">
        <f>IF('[16]سجل المستخلصات'!$F$10="","",'[16]سجل المستخلصات'!$F$10)</f>
        <v/>
      </c>
      <c r="F29" s="59">
        <f>IF('[16]سجل المستخلصات'!$H$10="","",'[16]سجل المستخلصات'!$H$10)</f>
        <v/>
      </c>
      <c r="G29" s="59">
        <f>IF('[16]سجل المستخلصات'!$G$10="","",'[16]سجل المستخلصات'!$G$10)</f>
        <v/>
      </c>
      <c r="H29" s="59">
        <f>IF('[16]سجل المستخلصات'!$I$10="","",'[16]سجل المستخلصات'!$I$10)</f>
        <v/>
      </c>
      <c r="I29" s="59">
        <f>IF('[16]سجل المستخلصات'!$J$10="","",'[16]سجل المستخلصات'!$J$10)</f>
        <v/>
      </c>
      <c r="J29" s="59">
        <f>IF('[16]سجل المستخلصات'!$K$10="","",'[16]سجل المستخلصات'!$K$10)</f>
        <v/>
      </c>
      <c r="K29" s="60">
        <f>IF('[16]سجل المستخلصات'!$L$10="","",'[16]سجل المستخلصات'!$L$10)</f>
        <v/>
      </c>
      <c r="L29" s="60">
        <f>IF('[16]سجل المستخلصات'!$M$10="","",'[16]سجل المستخلصات'!$M$10)</f>
        <v/>
      </c>
      <c r="M29" s="60">
        <f>IF('[16]سجل المستخلصات'!$N$10="","",'[16]سجل المستخلصات'!$N$10)</f>
        <v/>
      </c>
      <c r="N29" s="59">
        <f>IF('[16]سجل المستخلصات'!$O$10="","",'[16]سجل المستخلصات'!$O$10)</f>
        <v/>
      </c>
      <c r="O29" s="59">
        <f>IF('[16]سجل المستخلصات'!$R$10="","",'[16]سجل المستخلصات'!$R$10)</f>
        <v/>
      </c>
      <c r="P29" s="59">
        <f>IF('[16]سجل المستخلصات'!$S$10="","",'[16]سجل المستخلصات'!$S$10)</f>
        <v/>
      </c>
      <c r="Q29" s="59">
        <f>IF('[16]سجل المستخلصات'!$T$10="","",'[16]سجل المستخلصات'!$T$10)</f>
        <v/>
      </c>
      <c r="R29" s="59">
        <f>IF('[16]سجل المستخلصات'!$V$10="","",'[16]سجل المستخلصات'!$V$10)</f>
        <v/>
      </c>
      <c r="S29" s="59">
        <f>IF('[16]سجل المستخلصات'!$W$10="","",'[16]سجل المستخلصات'!$W$10)</f>
        <v/>
      </c>
      <c r="T29" s="61">
        <f>IF('[16]سجل المستخلصات'!$X$10="","",'[16]سجل المستخلصات'!$X$10)</f>
        <v/>
      </c>
      <c r="U29" s="61">
        <f>IF('[16]سجل المستخلصات'!$Z$10="","",'[16]سجل المستخلصات'!$Z$10)</f>
        <v/>
      </c>
      <c r="V29" s="59">
        <f>IF('[16]سجل المستخلصات'!$AA$10="","",'[16]سجل المستخلصات'!$AA$10)</f>
        <v/>
      </c>
      <c r="W29" s="59">
        <f>IF('[16]سجل المستخلصات'!$AC$10="","",'[16]سجل المستخلصات'!$AC$10)</f>
        <v/>
      </c>
      <c r="X29" s="62">
        <f>IF('[16]سجل المستخلصات'!$AD$10="","",'[16]سجل المستخلصات'!$AD$10)</f>
        <v/>
      </c>
      <c r="Y29" s="58">
        <f>IF('[16]سجل المستخلصات'!$AE$10="","",'[16]سجل المستخلصات'!$AE$10)</f>
        <v/>
      </c>
    </row>
    <row r="30">
      <c r="B30" s="56" t="n">
        <v>6</v>
      </c>
      <c r="C30" s="57">
        <f>IF('[16]سجل المستخلصات'!$C$11="","",'[16]سجل المستخلصات'!$C$11)</f>
        <v/>
      </c>
      <c r="D30" s="57">
        <f>IF('[16]سجل المستخلصات'!$E$11="","",'[16]سجل المستخلصات'!$E$11)</f>
        <v/>
      </c>
      <c r="E30" s="58">
        <f>IF('[16]سجل المستخلصات'!$F$11="","",'[16]سجل المستخلصات'!$F$11)</f>
        <v/>
      </c>
      <c r="F30" s="59">
        <f>IF('[16]سجل المستخلصات'!$H$11="","",'[16]سجل المستخلصات'!$H$11)</f>
        <v/>
      </c>
      <c r="G30" s="59">
        <f>IF('[16]سجل المستخلصات'!$G$11="","",'[16]سجل المستخلصات'!$G$11)</f>
        <v/>
      </c>
      <c r="H30" s="59">
        <f>IF('[16]سجل المستخلصات'!$I$11="","",'[16]سجل المستخلصات'!$I$11)</f>
        <v/>
      </c>
      <c r="I30" s="59">
        <f>IF('[16]سجل المستخلصات'!$J$11="","",'[16]سجل المستخلصات'!$J$11)</f>
        <v/>
      </c>
      <c r="J30" s="59">
        <f>IF('[16]سجل المستخلصات'!$K$11="","",'[16]سجل المستخلصات'!$K$11)</f>
        <v/>
      </c>
      <c r="K30" s="60">
        <f>IF('[16]سجل المستخلصات'!$L$11="","",'[16]سجل المستخلصات'!$L$11)</f>
        <v/>
      </c>
      <c r="L30" s="60">
        <f>IF('[16]سجل المستخلصات'!$M$11="","",'[16]سجل المستخلصات'!$M$11)</f>
        <v/>
      </c>
      <c r="M30" s="60">
        <f>IF('[16]سجل المستخلصات'!$N$11="","",'[16]سجل المستخلصات'!$N$11)</f>
        <v/>
      </c>
      <c r="N30" s="59">
        <f>IF('[16]سجل المستخلصات'!$O$11="","",'[16]سجل المستخلصات'!$O$11)</f>
        <v/>
      </c>
      <c r="O30" s="59">
        <f>IF('[16]سجل المستخلصات'!$R$11="","",'[16]سجل المستخلصات'!$R$11)</f>
        <v/>
      </c>
      <c r="P30" s="59">
        <f>IF('[16]سجل المستخلصات'!$S$11="","",'[16]سجل المستخلصات'!$S$11)</f>
        <v/>
      </c>
      <c r="Q30" s="59">
        <f>IF('[16]سجل المستخلصات'!$T$11="","",'[16]سجل المستخلصات'!$T$11)</f>
        <v/>
      </c>
      <c r="R30" s="59">
        <f>IF('[16]سجل المستخلصات'!$V$11="","",'[16]سجل المستخلصات'!$V$11)</f>
        <v/>
      </c>
      <c r="S30" s="59">
        <f>IF('[16]سجل المستخلصات'!$W$11="","",'[16]سجل المستخلصات'!$W$11)</f>
        <v/>
      </c>
      <c r="T30" s="61">
        <f>IF('[16]سجل المستخلصات'!$X$11="","",'[16]سجل المستخلصات'!$X$11)</f>
        <v/>
      </c>
      <c r="U30" s="61">
        <f>IF('[16]سجل المستخلصات'!$Z$11="","",'[16]سجل المستخلصات'!$Z$11)</f>
        <v/>
      </c>
      <c r="V30" s="59">
        <f>IF('[16]سجل المستخلصات'!$AA$11="","",'[16]سجل المستخلصات'!$AA$11)</f>
        <v/>
      </c>
      <c r="W30" s="59">
        <f>IF('[16]سجل المستخلصات'!$AC$11="","",'[16]سجل المستخلصات'!$AC$11)</f>
        <v/>
      </c>
      <c r="X30" s="62">
        <f>IF('[16]سجل المستخلصات'!$AD$11="","",'[16]سجل المستخلصات'!$AD$11)</f>
        <v/>
      </c>
      <c r="Y30" s="58">
        <f>IF('[16]سجل المستخلصات'!$AE$11="","",'[16]سجل المستخلصات'!$AE$11)</f>
        <v/>
      </c>
    </row>
    <row r="31">
      <c r="B31" s="56" t="n">
        <v>7</v>
      </c>
      <c r="C31" s="57">
        <f>IF('[16]سجل المستخلصات'!$C$12="","",'[16]سجل المستخلصات'!$C$12)</f>
        <v/>
      </c>
      <c r="D31" s="57">
        <f>IF('[16]سجل المستخلصات'!$E$12="","",'[16]سجل المستخلصات'!$E$12)</f>
        <v/>
      </c>
      <c r="E31" s="58">
        <f>IF('[16]سجل المستخلصات'!$F$12="","",'[16]سجل المستخلصات'!$F$12)</f>
        <v/>
      </c>
      <c r="F31" s="59">
        <f>IF('[16]سجل المستخلصات'!$H$12="","",'[16]سجل المستخلصات'!$H$12)</f>
        <v/>
      </c>
      <c r="G31" s="59">
        <f>IF('[16]سجل المستخلصات'!$G$12="","",'[16]سجل المستخلصات'!$G$12)</f>
        <v/>
      </c>
      <c r="H31" s="59">
        <f>IF('[16]سجل المستخلصات'!$I$12="","",'[16]سجل المستخلصات'!$I$12)</f>
        <v/>
      </c>
      <c r="I31" s="59">
        <f>IF('[16]سجل المستخلصات'!$J$12="","",'[16]سجل المستخلصات'!$J$12)</f>
        <v/>
      </c>
      <c r="J31" s="59">
        <f>IF('[16]سجل المستخلصات'!$K$12="","",'[16]سجل المستخلصات'!$K$12)</f>
        <v/>
      </c>
      <c r="K31" s="60">
        <f>IF('[16]سجل المستخلصات'!$L$12="","",'[16]سجل المستخلصات'!$L$12)</f>
        <v/>
      </c>
      <c r="L31" s="60">
        <f>IF('[16]سجل المستخلصات'!$M$12="","",'[16]سجل المستخلصات'!$M$12)</f>
        <v/>
      </c>
      <c r="M31" s="60">
        <f>IF('[16]سجل المستخلصات'!$N$12="","",'[16]سجل المستخلصات'!$N$12)</f>
        <v/>
      </c>
      <c r="N31" s="59">
        <f>IF('[16]سجل المستخلصات'!$O$12="","",'[16]سجل المستخلصات'!$O$12)</f>
        <v/>
      </c>
      <c r="O31" s="59">
        <f>IF('[16]سجل المستخلصات'!$R$12="","",'[16]سجل المستخلصات'!$R$12)</f>
        <v/>
      </c>
      <c r="P31" s="59">
        <f>IF('[16]سجل المستخلصات'!$S$12="","",'[16]سجل المستخلصات'!$S$12)</f>
        <v/>
      </c>
      <c r="Q31" s="59">
        <f>IF('[16]سجل المستخلصات'!$T$12="","",'[16]سجل المستخلصات'!$T$12)</f>
        <v/>
      </c>
      <c r="R31" s="59">
        <f>IF('[16]سجل المستخلصات'!$V$12="","",'[16]سجل المستخلصات'!$V$12)</f>
        <v/>
      </c>
      <c r="S31" s="59">
        <f>IF('[16]سجل المستخلصات'!$W$12="","",'[16]سجل المستخلصات'!$W$12)</f>
        <v/>
      </c>
      <c r="T31" s="61">
        <f>IF('[16]سجل المستخلصات'!$X$12="","",'[16]سجل المستخلصات'!$X$12)</f>
        <v/>
      </c>
      <c r="U31" s="61">
        <f>IF('[16]سجل المستخلصات'!$Z$12="","",'[16]سجل المستخلصات'!$Z$12)</f>
        <v/>
      </c>
      <c r="V31" s="59">
        <f>IF('[16]سجل المستخلصات'!$AA$12="","",'[16]سجل المستخلصات'!$AA$12)</f>
        <v/>
      </c>
      <c r="W31" s="59">
        <f>IF('[16]سجل المستخلصات'!$AC$12="","",'[16]سجل المستخلصات'!$AC$12)</f>
        <v/>
      </c>
      <c r="X31" s="62">
        <f>IF('[16]سجل المستخلصات'!$AD$12="","",'[16]سجل المستخلصات'!$AD$12)</f>
        <v/>
      </c>
      <c r="Y31" s="58">
        <f>IF('[16]سجل المستخلصات'!$AE$12="","",'[16]سجل المستخلصات'!$AE$12)</f>
        <v/>
      </c>
    </row>
    <row r="32">
      <c r="B32" s="56" t="n">
        <v>8</v>
      </c>
      <c r="C32" s="57">
        <f>IF('[16]سجل المستخلصات'!$C$13="","",'[16]سجل المستخلصات'!$C$13)</f>
        <v/>
      </c>
      <c r="D32" s="57">
        <f>IF('[16]سجل المستخلصات'!$E$13="","",'[16]سجل المستخلصات'!$E$13)</f>
        <v/>
      </c>
      <c r="E32" s="58">
        <f>IF('[16]سجل المستخلصات'!$F$13="","",'[16]سجل المستخلصات'!$F$13)</f>
        <v/>
      </c>
      <c r="F32" s="59">
        <f>IF('[16]سجل المستخلصات'!$H$13="","",'[16]سجل المستخلصات'!$H$13)</f>
        <v/>
      </c>
      <c r="G32" s="59">
        <f>IF('[16]سجل المستخلصات'!$G$13="","",'[16]سجل المستخلصات'!$G$13)</f>
        <v/>
      </c>
      <c r="H32" s="59">
        <f>IF('[16]سجل المستخلصات'!$I$13="","",'[16]سجل المستخلصات'!$I$13)</f>
        <v/>
      </c>
      <c r="I32" s="59">
        <f>IF('[16]سجل المستخلصات'!$J$13="","",'[16]سجل المستخلصات'!$J$13)</f>
        <v/>
      </c>
      <c r="J32" s="59">
        <f>IF('[16]سجل المستخلصات'!$K$13="","",'[16]سجل المستخلصات'!$K$13)</f>
        <v/>
      </c>
      <c r="K32" s="60">
        <f>IF('[16]سجل المستخلصات'!$L$13="","",'[16]سجل المستخلصات'!$L$13)</f>
        <v/>
      </c>
      <c r="L32" s="60">
        <f>IF('[16]سجل المستخلصات'!$M$13="","",'[16]سجل المستخلصات'!$M$13)</f>
        <v/>
      </c>
      <c r="M32" s="60">
        <f>IF('[16]سجل المستخلصات'!$N$13="","",'[16]سجل المستخلصات'!$N$13)</f>
        <v/>
      </c>
      <c r="N32" s="59">
        <f>IF('[16]سجل المستخلصات'!$O$13="","",'[16]سجل المستخلصات'!$O$13)</f>
        <v/>
      </c>
      <c r="O32" s="59">
        <f>IF('[16]سجل المستخلصات'!$R$13="","",'[16]سجل المستخلصات'!$R$13)</f>
        <v/>
      </c>
      <c r="P32" s="59">
        <f>IF('[16]سجل المستخلصات'!$S$13="","",'[16]سجل المستخلصات'!$S$13)</f>
        <v/>
      </c>
      <c r="Q32" s="59">
        <f>IF('[16]سجل المستخلصات'!$T$13="","",'[16]سجل المستخلصات'!$T$13)</f>
        <v/>
      </c>
      <c r="R32" s="59">
        <f>IF('[16]سجل المستخلصات'!$V$13="","",'[16]سجل المستخلصات'!$V$13)</f>
        <v/>
      </c>
      <c r="S32" s="59">
        <f>IF('[16]سجل المستخلصات'!$W$13="","",'[16]سجل المستخلصات'!$W$13)</f>
        <v/>
      </c>
      <c r="T32" s="61">
        <f>IF('[16]سجل المستخلصات'!$X$13="","",'[16]سجل المستخلصات'!$X$13)</f>
        <v/>
      </c>
      <c r="U32" s="61">
        <f>IF('[16]سجل المستخلصات'!$Z$13="","",'[16]سجل المستخلصات'!$Z$13)</f>
        <v/>
      </c>
      <c r="V32" s="59">
        <f>IF('[16]سجل المستخلصات'!$AA$13="","",'[16]سجل المستخلصات'!$AA$13)</f>
        <v/>
      </c>
      <c r="W32" s="59">
        <f>IF('[16]سجل المستخلصات'!$AC$13="","",'[16]سجل المستخلصات'!$AC$13)</f>
        <v/>
      </c>
      <c r="X32" s="62">
        <f>IF('[16]سجل المستخلصات'!$AD$13="","",'[16]سجل المستخلصات'!$AD$13)</f>
        <v/>
      </c>
      <c r="Y32" s="58">
        <f>IF('[16]سجل المستخلصات'!$AE$13="","",'[16]سجل المستخلصات'!$AE$13)</f>
        <v/>
      </c>
    </row>
    <row r="33">
      <c r="B33" s="56" t="n">
        <v>9</v>
      </c>
      <c r="C33" s="57">
        <f>IF('[16]سجل المستخلصات'!$C$14="","",'[16]سجل المستخلصات'!$C$14)</f>
        <v/>
      </c>
      <c r="D33" s="57">
        <f>IF('[16]سجل المستخلصات'!$E$14="","",'[16]سجل المستخلصات'!$E$14)</f>
        <v/>
      </c>
      <c r="E33" s="58">
        <f>IF('[16]سجل المستخلصات'!$F$14="","",'[16]سجل المستخلصات'!$F$14)</f>
        <v/>
      </c>
      <c r="F33" s="59">
        <f>IF('[16]سجل المستخلصات'!$H$14="","",'[16]سجل المستخلصات'!$H$14)</f>
        <v/>
      </c>
      <c r="G33" s="59">
        <f>IF('[16]سجل المستخلصات'!$G$14="","",'[16]سجل المستخلصات'!$G$14)</f>
        <v/>
      </c>
      <c r="H33" s="59">
        <f>IF('[16]سجل المستخلصات'!$I$14="","",'[16]سجل المستخلصات'!$I$14)</f>
        <v/>
      </c>
      <c r="I33" s="59">
        <f>IF('[16]سجل المستخلصات'!$J$14="","",'[16]سجل المستخلصات'!$J$14)</f>
        <v/>
      </c>
      <c r="J33" s="59">
        <f>IF('[16]سجل المستخلصات'!$K$14="","",'[16]سجل المستخلصات'!$K$14)</f>
        <v/>
      </c>
      <c r="K33" s="60">
        <f>IF('[16]سجل المستخلصات'!$L$14="","",'[16]سجل المستخلصات'!$L$14)</f>
        <v/>
      </c>
      <c r="L33" s="60">
        <f>IF('[16]سجل المستخلصات'!$M$14="","",'[16]سجل المستخلصات'!$M$14)</f>
        <v/>
      </c>
      <c r="M33" s="60">
        <f>IF('[16]سجل المستخلصات'!$N$14="","",'[16]سجل المستخلصات'!$N$14)</f>
        <v/>
      </c>
      <c r="N33" s="59">
        <f>IF('[16]سجل المستخلصات'!$O$14="","",'[16]سجل المستخلصات'!$O$14)</f>
        <v/>
      </c>
      <c r="O33" s="59">
        <f>IF('[16]سجل المستخلصات'!$R$14="","",'[16]سجل المستخلصات'!$R$14)</f>
        <v/>
      </c>
      <c r="P33" s="59">
        <f>IF('[16]سجل المستخلصات'!$S$14="","",'[16]سجل المستخلصات'!$S$14)</f>
        <v/>
      </c>
      <c r="Q33" s="59">
        <f>IF('[16]سجل المستخلصات'!$T$14="","",'[16]سجل المستخلصات'!$T$14)</f>
        <v/>
      </c>
      <c r="R33" s="59">
        <f>IF('[16]سجل المستخلصات'!$V$14="","",'[16]سجل المستخلصات'!$V$14)</f>
        <v/>
      </c>
      <c r="S33" s="59">
        <f>IF('[16]سجل المستخلصات'!$W$14="","",'[16]سجل المستخلصات'!$W$14)</f>
        <v/>
      </c>
      <c r="T33" s="61">
        <f>IF('[16]سجل المستخلصات'!$X$14="","",'[16]سجل المستخلصات'!$X$14)</f>
        <v/>
      </c>
      <c r="U33" s="61">
        <f>IF('[16]سجل المستخلصات'!$Z$14="","",'[16]سجل المستخلصات'!$Z$14)</f>
        <v/>
      </c>
      <c r="V33" s="59">
        <f>IF('[16]سجل المستخلصات'!$AA$14="","",'[16]سجل المستخلصات'!$AA$14)</f>
        <v/>
      </c>
      <c r="W33" s="59">
        <f>IF('[16]سجل المستخلصات'!$AC$14="","",'[16]سجل المستخلصات'!$AC$14)</f>
        <v/>
      </c>
      <c r="X33" s="62">
        <f>IF('[16]سجل المستخلصات'!$AD$14="","",'[16]سجل المستخلصات'!$AD$14)</f>
        <v/>
      </c>
      <c r="Y33" s="58">
        <f>IF('[16]سجل المستخلصات'!$AE$14="","",'[16]سجل المستخلصات'!$AE$14)</f>
        <v/>
      </c>
    </row>
    <row r="34">
      <c r="B34" s="56" t="n">
        <v>10</v>
      </c>
      <c r="C34" s="57">
        <f>IF('[16]سجل المستخلصات'!$C$15="","",'[16]سجل المستخلصات'!$C$15)</f>
        <v/>
      </c>
      <c r="D34" s="57">
        <f>IF('[16]سجل المستخلصات'!$E$15="","",'[16]سجل المستخلصات'!$E$15)</f>
        <v/>
      </c>
      <c r="E34" s="58">
        <f>IF('[16]سجل المستخلصات'!$F$15="","",'[16]سجل المستخلصات'!$F$15)</f>
        <v/>
      </c>
      <c r="F34" s="59">
        <f>IF('[16]سجل المستخلصات'!$H$15="","",'[16]سجل المستخلصات'!$H$15)</f>
        <v/>
      </c>
      <c r="G34" s="59">
        <f>IF('[16]سجل المستخلصات'!$G$15="","",'[16]سجل المستخلصات'!$G$15)</f>
        <v/>
      </c>
      <c r="H34" s="59">
        <f>IF('[16]سجل المستخلصات'!$I$15="","",'[16]سجل المستخلصات'!$I$15)</f>
        <v/>
      </c>
      <c r="I34" s="59">
        <f>IF('[16]سجل المستخلصات'!$J$15="","",'[16]سجل المستخلصات'!$J$15)</f>
        <v/>
      </c>
      <c r="J34" s="59">
        <f>IF('[16]سجل المستخلصات'!$K$15="","",'[16]سجل المستخلصات'!$K$15)</f>
        <v/>
      </c>
      <c r="K34" s="60">
        <f>IF('[16]سجل المستخلصات'!$L$15="","",'[16]سجل المستخلصات'!$L$15)</f>
        <v/>
      </c>
      <c r="L34" s="60">
        <f>IF('[16]سجل المستخلصات'!$M$15="","",'[16]سجل المستخلصات'!$M$15)</f>
        <v/>
      </c>
      <c r="M34" s="60">
        <f>IF('[16]سجل المستخلصات'!$N$15="","",'[16]سجل المستخلصات'!$N$15)</f>
        <v/>
      </c>
      <c r="N34" s="59">
        <f>IF('[16]سجل المستخلصات'!$O$15="","",'[16]سجل المستخلصات'!$O$15)</f>
        <v/>
      </c>
      <c r="O34" s="59">
        <f>IF('[16]سجل المستخلصات'!$R$15="","",'[16]سجل المستخلصات'!$R$15)</f>
        <v/>
      </c>
      <c r="P34" s="59">
        <f>IF('[16]سجل المستخلصات'!$S$15="","",'[16]سجل المستخلصات'!$S$15)</f>
        <v/>
      </c>
      <c r="Q34" s="59">
        <f>IF('[16]سجل المستخلصات'!$T$15="","",'[16]سجل المستخلصات'!$T$15)</f>
        <v/>
      </c>
      <c r="R34" s="59">
        <f>IF('[16]سجل المستخلصات'!$V$15="","",'[16]سجل المستخلصات'!$V$15)</f>
        <v/>
      </c>
      <c r="S34" s="59">
        <f>IF('[16]سجل المستخلصات'!$W$15="","",'[16]سجل المستخلصات'!$W$15)</f>
        <v/>
      </c>
      <c r="T34" s="61">
        <f>IF('[16]سجل المستخلصات'!$X$15="","",'[16]سجل المستخلصات'!$X$15)</f>
        <v/>
      </c>
      <c r="U34" s="61">
        <f>IF('[16]سجل المستخلصات'!$Z$15="","",'[16]سجل المستخلصات'!$Z$15)</f>
        <v/>
      </c>
      <c r="V34" s="59">
        <f>IF('[16]سجل المستخلصات'!$AA$15="","",'[16]سجل المستخلصات'!$AA$15)</f>
        <v/>
      </c>
      <c r="W34" s="59">
        <f>IF('[16]سجل المستخلصات'!$AC$15="","",'[16]سجل المستخلصات'!$AC$15)</f>
        <v/>
      </c>
      <c r="X34" s="62">
        <f>IF('[16]سجل المستخلصات'!$AD$15="","",'[16]سجل المستخلصات'!$AD$15)</f>
        <v/>
      </c>
      <c r="Y34" s="58">
        <f>IF('[16]سجل المستخلصات'!$AE$15="","",'[16]سجل المستخلصات'!$AE$15)</f>
        <v/>
      </c>
    </row>
    <row r="35">
      <c r="B35" s="56" t="n">
        <v>11</v>
      </c>
      <c r="C35" s="57">
        <f>IF('[16]سجل المستخلصات'!$C$16="","",'[16]سجل المستخلصات'!$C$16)</f>
        <v/>
      </c>
      <c r="D35" s="57">
        <f>IF('[16]سجل المستخلصات'!$E$16="","",'[16]سجل المستخلصات'!$E$16)</f>
        <v/>
      </c>
      <c r="E35" s="58">
        <f>IF('[16]سجل المستخلصات'!$F$16="","",'[16]سجل المستخلصات'!$F$16)</f>
        <v/>
      </c>
      <c r="F35" s="59">
        <f>IF('[16]سجل المستخلصات'!$H$16="","",'[16]سجل المستخلصات'!$H$16)</f>
        <v/>
      </c>
      <c r="G35" s="59">
        <f>IF('[16]سجل المستخلصات'!$G$16="","",'[16]سجل المستخلصات'!$G$16)</f>
        <v/>
      </c>
      <c r="H35" s="59">
        <f>IF('[16]سجل المستخلصات'!$I$16="","",'[16]سجل المستخلصات'!$I$16)</f>
        <v/>
      </c>
      <c r="I35" s="59">
        <f>IF('[16]سجل المستخلصات'!$J$16="","",'[16]سجل المستخلصات'!$J$16)</f>
        <v/>
      </c>
      <c r="J35" s="59">
        <f>IF('[16]سجل المستخلصات'!$K$16="","",'[16]سجل المستخلصات'!$K$16)</f>
        <v/>
      </c>
      <c r="K35" s="60">
        <f>IF('[16]سجل المستخلصات'!$L$16="","",'[16]سجل المستخلصات'!$L$16)</f>
        <v/>
      </c>
      <c r="L35" s="60">
        <f>IF('[16]سجل المستخلصات'!$M$16="","",'[16]سجل المستخلصات'!$M$16)</f>
        <v/>
      </c>
      <c r="M35" s="60">
        <f>IF('[16]سجل المستخلصات'!$N$16="","",'[16]سجل المستخلصات'!$N$16)</f>
        <v/>
      </c>
      <c r="N35" s="59">
        <f>IF('[16]سجل المستخلصات'!$O$16="","",'[16]سجل المستخلصات'!$O$16)</f>
        <v/>
      </c>
      <c r="O35" s="59">
        <f>IF('[16]سجل المستخلصات'!$R$16="","",'[16]سجل المستخلصات'!$R$16)</f>
        <v/>
      </c>
      <c r="P35" s="59">
        <f>IF('[16]سجل المستخلصات'!$S$16="","",'[16]سجل المستخلصات'!$S$16)</f>
        <v/>
      </c>
      <c r="Q35" s="59">
        <f>IF('[16]سجل المستخلصات'!$T$16="","",'[16]سجل المستخلصات'!$T$16)</f>
        <v/>
      </c>
      <c r="R35" s="59">
        <f>IF('[16]سجل المستخلصات'!$V$16="","",'[16]سجل المستخلصات'!$V$16)</f>
        <v/>
      </c>
      <c r="S35" s="59">
        <f>IF('[16]سجل المستخلصات'!$W$16="","",'[16]سجل المستخلصات'!$W$16)</f>
        <v/>
      </c>
      <c r="T35" s="61">
        <f>IF('[16]سجل المستخلصات'!$X$16="","",'[16]سجل المستخلصات'!$X$16)</f>
        <v/>
      </c>
      <c r="U35" s="61">
        <f>IF('[16]سجل المستخلصات'!$Z$16="","",'[16]سجل المستخلصات'!$Z$16)</f>
        <v/>
      </c>
      <c r="V35" s="59">
        <f>IF('[16]سجل المستخلصات'!$AA$16="","",'[16]سجل المستخلصات'!$AA$16)</f>
        <v/>
      </c>
      <c r="W35" s="59">
        <f>IF('[16]سجل المستخلصات'!$AC$16="","",'[16]سجل المستخلصات'!$AC$16)</f>
        <v/>
      </c>
      <c r="X35" s="62">
        <f>IF('[16]سجل المستخلصات'!$AD$16="","",'[16]سجل المستخلصات'!$AD$16)</f>
        <v/>
      </c>
      <c r="Y35" s="58">
        <f>IF('[16]سجل المستخلصات'!$AE$16="","",'[16]سجل المستخلصات'!$AE$16)</f>
        <v/>
      </c>
    </row>
    <row r="36">
      <c r="B36" s="56" t="n">
        <v>12</v>
      </c>
      <c r="C36" s="57">
        <f>IF('[16]سجل المستخلصات'!$C$17="","",'[16]سجل المستخلصات'!$C$17)</f>
        <v/>
      </c>
      <c r="D36" s="57">
        <f>IF('[16]سجل المستخلصات'!$E$17="","",'[16]سجل المستخلصات'!$E$17)</f>
        <v/>
      </c>
      <c r="E36" s="58">
        <f>IF('[16]سجل المستخلصات'!$F$17="","",'[16]سجل المستخلصات'!$F$17)</f>
        <v/>
      </c>
      <c r="F36" s="59">
        <f>IF('[16]سجل المستخلصات'!$H$17="","",'[16]سجل المستخلصات'!$H$17)</f>
        <v/>
      </c>
      <c r="G36" s="59">
        <f>IF('[16]سجل المستخلصات'!$G$17="","",'[16]سجل المستخلصات'!$G$17)</f>
        <v/>
      </c>
      <c r="H36" s="59">
        <f>IF('[16]سجل المستخلصات'!$I$17="","",'[16]سجل المستخلصات'!$I$17)</f>
        <v/>
      </c>
      <c r="I36" s="59">
        <f>IF('[16]سجل المستخلصات'!$J$17="","",'[16]سجل المستخلصات'!$J$17)</f>
        <v/>
      </c>
      <c r="J36" s="59">
        <f>IF('[16]سجل المستخلصات'!$K$17="","",'[16]سجل المستخلصات'!$K$17)</f>
        <v/>
      </c>
      <c r="K36" s="60">
        <f>IF('[16]سجل المستخلصات'!$L$17="","",'[16]سجل المستخلصات'!$L$17)</f>
        <v/>
      </c>
      <c r="L36" s="60">
        <f>IF('[16]سجل المستخلصات'!$M$17="","",'[16]سجل المستخلصات'!$M$17)</f>
        <v/>
      </c>
      <c r="M36" s="60">
        <f>IF('[16]سجل المستخلصات'!$N$17="","",'[16]سجل المستخلصات'!$N$17)</f>
        <v/>
      </c>
      <c r="N36" s="59">
        <f>IF('[16]سجل المستخلصات'!$O$17="","",'[16]سجل المستخلصات'!$O$17)</f>
        <v/>
      </c>
      <c r="O36" s="59">
        <f>IF('[16]سجل المستخلصات'!$R$17="","",'[16]سجل المستخلصات'!$R$17)</f>
        <v/>
      </c>
      <c r="P36" s="59">
        <f>IF('[16]سجل المستخلصات'!$S$17="","",'[16]سجل المستخلصات'!$S$17)</f>
        <v/>
      </c>
      <c r="Q36" s="59">
        <f>IF('[16]سجل المستخلصات'!$T$17="","",'[16]سجل المستخلصات'!$T$17)</f>
        <v/>
      </c>
      <c r="R36" s="59">
        <f>IF('[16]سجل المستخلصات'!$V$17="","",'[16]سجل المستخلصات'!$V$17)</f>
        <v/>
      </c>
      <c r="S36" s="59">
        <f>IF('[16]سجل المستخلصات'!$W$17="","",'[16]سجل المستخلصات'!$W$17)</f>
        <v/>
      </c>
      <c r="T36" s="61">
        <f>IF('[16]سجل المستخلصات'!$X$17="","",'[16]سجل المستخلصات'!$X$17)</f>
        <v/>
      </c>
      <c r="U36" s="61">
        <f>IF('[16]سجل المستخلصات'!$Z$17="","",'[16]سجل المستخلصات'!$Z$17)</f>
        <v/>
      </c>
      <c r="V36" s="59">
        <f>IF('[16]سجل المستخلصات'!$AA$17="","",'[16]سجل المستخلصات'!$AA$17)</f>
        <v/>
      </c>
      <c r="W36" s="59">
        <f>IF('[16]سجل المستخلصات'!$AC$17="","",'[16]سجل المستخلصات'!$AC$17)</f>
        <v/>
      </c>
      <c r="X36" s="62">
        <f>IF('[16]سجل المستخلصات'!$AD$17="","",'[16]سجل المستخلصات'!$AD$17)</f>
        <v/>
      </c>
      <c r="Y36" s="58">
        <f>IF('[16]سجل المستخلصات'!$AE$17="","",'[16]سجل المستخلصات'!$AE$17)</f>
        <v/>
      </c>
    </row>
    <row r="37">
      <c r="B37" s="56" t="n">
        <v>13</v>
      </c>
      <c r="C37" s="57">
        <f>IF('[16]سجل المستخلصات'!$C$18="","",'[16]سجل المستخلصات'!$C$18)</f>
        <v/>
      </c>
      <c r="D37" s="57">
        <f>IF('[16]سجل المستخلصات'!$E$18="","",'[16]سجل المستخلصات'!$E$18)</f>
        <v/>
      </c>
      <c r="E37" s="58">
        <f>IF('[16]سجل المستخلصات'!$F$18="","",'[16]سجل المستخلصات'!$F$18)</f>
        <v/>
      </c>
      <c r="F37" s="59">
        <f>IF('[16]سجل المستخلصات'!$H$18="","",'[16]سجل المستخلصات'!$H$18)</f>
        <v/>
      </c>
      <c r="G37" s="59">
        <f>IF('[16]سجل المستخلصات'!$G$18="","",'[16]سجل المستخلصات'!$G$18)</f>
        <v/>
      </c>
      <c r="H37" s="59">
        <f>IF('[16]سجل المستخلصات'!$I$18="","",'[16]سجل المستخلصات'!$I$18)</f>
        <v/>
      </c>
      <c r="I37" s="59">
        <f>IF('[16]سجل المستخلصات'!$J$18="","",'[16]سجل المستخلصات'!$J$18)</f>
        <v/>
      </c>
      <c r="J37" s="59">
        <f>IF('[16]سجل المستخلصات'!$K$18="","",'[16]سجل المستخلصات'!$K$18)</f>
        <v/>
      </c>
      <c r="K37" s="60">
        <f>IF('[16]سجل المستخلصات'!$L$18="","",'[16]سجل المستخلصات'!$L$18)</f>
        <v/>
      </c>
      <c r="L37" s="60">
        <f>IF('[16]سجل المستخلصات'!$M$18="","",'[16]سجل المستخلصات'!$M$18)</f>
        <v/>
      </c>
      <c r="M37" s="60">
        <f>IF('[16]سجل المستخلصات'!$N$18="","",'[16]سجل المستخلصات'!$N$18)</f>
        <v/>
      </c>
      <c r="N37" s="59">
        <f>IF('[16]سجل المستخلصات'!$O$18="","",'[16]سجل المستخلصات'!$O$18)</f>
        <v/>
      </c>
      <c r="O37" s="59">
        <f>IF('[16]سجل المستخلصات'!$R$18="","",'[16]سجل المستخلصات'!$R$18)</f>
        <v/>
      </c>
      <c r="P37" s="59">
        <f>IF('[16]سجل المستخلصات'!$S$18="","",'[16]سجل المستخلصات'!$S$18)</f>
        <v/>
      </c>
      <c r="Q37" s="59">
        <f>IF('[16]سجل المستخلصات'!$T$18="","",'[16]سجل المستخلصات'!$T$18)</f>
        <v/>
      </c>
      <c r="R37" s="59">
        <f>IF('[16]سجل المستخلصات'!$V$18="","",'[16]سجل المستخلصات'!$V$18)</f>
        <v/>
      </c>
      <c r="S37" s="59">
        <f>IF('[16]سجل المستخلصات'!$W$18="","",'[16]سجل المستخلصات'!$W$18)</f>
        <v/>
      </c>
      <c r="T37" s="61">
        <f>IF('[16]سجل المستخلصات'!$X$18="","",'[16]سجل المستخلصات'!$X$18)</f>
        <v/>
      </c>
      <c r="U37" s="61">
        <f>IF('[16]سجل المستخلصات'!$Z$18="","",'[16]سجل المستخلصات'!$Z$18)</f>
        <v/>
      </c>
      <c r="V37" s="59">
        <f>IF('[16]سجل المستخلصات'!$AA$18="","",'[16]سجل المستخلصات'!$AA$18)</f>
        <v/>
      </c>
      <c r="W37" s="59">
        <f>IF('[16]سجل المستخلصات'!$AC$18="","",'[16]سجل المستخلصات'!$AC$18)</f>
        <v/>
      </c>
      <c r="X37" s="62">
        <f>IF('[16]سجل المستخلصات'!$AD$18="","",'[16]سجل المستخلصات'!$AD$18)</f>
        <v/>
      </c>
      <c r="Y37" s="58">
        <f>IF('[16]سجل المستخلصات'!$AE$18="","",'[16]سجل المستخلصات'!$AE$18)</f>
        <v/>
      </c>
    </row>
    <row r="38">
      <c r="B38" s="56" t="n">
        <v>14</v>
      </c>
      <c r="C38" s="57">
        <f>IF('[16]سجل المستخلصات'!$C$19="","",'[16]سجل المستخلصات'!$C$19)</f>
        <v/>
      </c>
      <c r="D38" s="57">
        <f>IF('[16]سجل المستخلصات'!$E$19="","",'[16]سجل المستخلصات'!$E$19)</f>
        <v/>
      </c>
      <c r="E38" s="58">
        <f>IF('[16]سجل المستخلصات'!$F$19="","",'[16]سجل المستخلصات'!$F$19)</f>
        <v/>
      </c>
      <c r="F38" s="59">
        <f>IF('[16]سجل المستخلصات'!$H$19="","",'[16]سجل المستخلصات'!$H$19)</f>
        <v/>
      </c>
      <c r="G38" s="59">
        <f>IF('[16]سجل المستخلصات'!$G$19="","",'[16]سجل المستخلصات'!$G$19)</f>
        <v/>
      </c>
      <c r="H38" s="59">
        <f>IF('[16]سجل المستخلصات'!$I$19="","",'[16]سجل المستخلصات'!$I$19)</f>
        <v/>
      </c>
      <c r="I38" s="59">
        <f>IF('[16]سجل المستخلصات'!$J$19="","",'[16]سجل المستخلصات'!$J$19)</f>
        <v/>
      </c>
      <c r="J38" s="59">
        <f>IF('[16]سجل المستخلصات'!$K$19="","",'[16]سجل المستخلصات'!$K$19)</f>
        <v/>
      </c>
      <c r="K38" s="60">
        <f>IF('[16]سجل المستخلصات'!$L$19="","",'[16]سجل المستخلصات'!$L$19)</f>
        <v/>
      </c>
      <c r="L38" s="60">
        <f>IF('[16]سجل المستخلصات'!$M$19="","",'[16]سجل المستخلصات'!$M$19)</f>
        <v/>
      </c>
      <c r="M38" s="60">
        <f>IF('[16]سجل المستخلصات'!$N$19="","",'[16]سجل المستخلصات'!$N$19)</f>
        <v/>
      </c>
      <c r="N38" s="59">
        <f>IF('[16]سجل المستخلصات'!$O$19="","",'[16]سجل المستخلصات'!$O$19)</f>
        <v/>
      </c>
      <c r="O38" s="59">
        <f>IF('[16]سجل المستخلصات'!$R$19="","",'[16]سجل المستخلصات'!$R$19)</f>
        <v/>
      </c>
      <c r="P38" s="59">
        <f>IF('[16]سجل المستخلصات'!$S$19="","",'[16]سجل المستخلصات'!$S$19)</f>
        <v/>
      </c>
      <c r="Q38" s="59">
        <f>IF('[16]سجل المستخلصات'!$T$19="","",'[16]سجل المستخلصات'!$T$19)</f>
        <v/>
      </c>
      <c r="R38" s="59">
        <f>IF('[16]سجل المستخلصات'!$V$19="","",'[16]سجل المستخلصات'!$V$19)</f>
        <v/>
      </c>
      <c r="S38" s="59">
        <f>IF('[16]سجل المستخلصات'!$W$19="","",'[16]سجل المستخلصات'!$W$19)</f>
        <v/>
      </c>
      <c r="T38" s="61">
        <f>IF('[16]سجل المستخلصات'!$X$19="","",'[16]سجل المستخلصات'!$X$19)</f>
        <v/>
      </c>
      <c r="U38" s="61">
        <f>IF('[16]سجل المستخلصات'!$Z$19="","",'[16]سجل المستخلصات'!$Z$19)</f>
        <v/>
      </c>
      <c r="V38" s="59">
        <f>IF('[16]سجل المستخلصات'!$AA$19="","",'[16]سجل المستخلصات'!$AA$19)</f>
        <v/>
      </c>
      <c r="W38" s="59">
        <f>IF('[16]سجل المستخلصات'!$AC$19="","",'[16]سجل المستخلصات'!$AC$19)</f>
        <v/>
      </c>
      <c r="X38" s="62">
        <f>IF('[16]سجل المستخلصات'!$AD$19="","",'[16]سجل المستخلصات'!$AD$19)</f>
        <v/>
      </c>
      <c r="Y38" s="58">
        <f>IF('[16]سجل المستخلصات'!$AE$19="","",'[16]سجل المستخلصات'!$AE$19)</f>
        <v/>
      </c>
    </row>
    <row r="39">
      <c r="B39" s="56" t="n">
        <v>15</v>
      </c>
      <c r="C39" s="57">
        <f>IF('[16]سجل المستخلصات'!$C$20="","",'[16]سجل المستخلصات'!$C$20)</f>
        <v/>
      </c>
      <c r="D39" s="57">
        <f>IF('[16]سجل المستخلصات'!$E$20="","",'[16]سجل المستخلصات'!$E$20)</f>
        <v/>
      </c>
      <c r="E39" s="58">
        <f>IF('[16]سجل المستخلصات'!$F$20="","",'[16]سجل المستخلصات'!$F$20)</f>
        <v/>
      </c>
      <c r="F39" s="59">
        <f>IF('[16]سجل المستخلصات'!$H$20="","",'[16]سجل المستخلصات'!$H$20)</f>
        <v/>
      </c>
      <c r="G39" s="59">
        <f>IF('[16]سجل المستخلصات'!$G$20="","",'[16]سجل المستخلصات'!$G$20)</f>
        <v/>
      </c>
      <c r="H39" s="59">
        <f>IF('[16]سجل المستخلصات'!$I$20="","",'[16]سجل المستخلصات'!$I$20)</f>
        <v/>
      </c>
      <c r="I39" s="59">
        <f>IF('[16]سجل المستخلصات'!$J$20="","",'[16]سجل المستخلصات'!$J$20)</f>
        <v/>
      </c>
      <c r="J39" s="59">
        <f>IF('[16]سجل المستخلصات'!$K$20="","",'[16]سجل المستخلصات'!$K$20)</f>
        <v/>
      </c>
      <c r="K39" s="60">
        <f>IF('[16]سجل المستخلصات'!$L$20="","",'[16]سجل المستخلصات'!$L$20)</f>
        <v/>
      </c>
      <c r="L39" s="60">
        <f>IF('[16]سجل المستخلصات'!$M$20="","",'[16]سجل المستخلصات'!$M$20)</f>
        <v/>
      </c>
      <c r="M39" s="60">
        <f>IF('[16]سجل المستخلصات'!$N$20="","",'[16]سجل المستخلصات'!$N$20)</f>
        <v/>
      </c>
      <c r="N39" s="59">
        <f>IF('[16]سجل المستخلصات'!$O$20="","",'[16]سجل المستخلصات'!$O$20)</f>
        <v/>
      </c>
      <c r="O39" s="59">
        <f>IF('[16]سجل المستخلصات'!$R$20="","",'[16]سجل المستخلصات'!$R$20)</f>
        <v/>
      </c>
      <c r="P39" s="59">
        <f>IF('[16]سجل المستخلصات'!$S$20="","",'[16]سجل المستخلصات'!$S$20)</f>
        <v/>
      </c>
      <c r="Q39" s="59">
        <f>IF('[16]سجل المستخلصات'!$T$20="","",'[16]سجل المستخلصات'!$T$20)</f>
        <v/>
      </c>
      <c r="R39" s="59">
        <f>IF('[16]سجل المستخلصات'!$V$20="","",'[16]سجل المستخلصات'!$V$20)</f>
        <v/>
      </c>
      <c r="S39" s="59">
        <f>IF('[16]سجل المستخلصات'!$W$20="","",'[16]سجل المستخلصات'!$W$20)</f>
        <v/>
      </c>
      <c r="T39" s="61">
        <f>IF('[16]سجل المستخلصات'!$X$20="","",'[16]سجل المستخلصات'!$X$20)</f>
        <v/>
      </c>
      <c r="U39" s="61">
        <f>IF('[16]سجل المستخلصات'!$Z$20="","",'[16]سجل المستخلصات'!$Z$20)</f>
        <v/>
      </c>
      <c r="V39" s="59">
        <f>IF('[16]سجل المستخلصات'!$AA$20="","",'[16]سجل المستخلصات'!$AA$20)</f>
        <v/>
      </c>
      <c r="W39" s="59">
        <f>IF('[16]سجل المستخلصات'!$AC$20="","",'[16]سجل المستخلصات'!$AC$20)</f>
        <v/>
      </c>
      <c r="X39" s="62">
        <f>IF('[16]سجل المستخلصات'!$AD$20="","",'[16]سجل المستخلصات'!$AD$20)</f>
        <v/>
      </c>
      <c r="Y39" s="58">
        <f>IF('[16]سجل المستخلصات'!$AE$20="","",'[16]سجل المستخلصات'!$AE$20)</f>
        <v/>
      </c>
    </row>
    <row r="40">
      <c r="B40" s="56" t="n">
        <v>16</v>
      </c>
      <c r="C40" s="57">
        <f>IF('[16]سجل المستخلصات'!$C$21="","",'[16]سجل المستخلصات'!$C$21)</f>
        <v/>
      </c>
      <c r="D40" s="57">
        <f>IF('[16]سجل المستخلصات'!$E$21="","",'[16]سجل المستخلصات'!$E$21)</f>
        <v/>
      </c>
      <c r="E40" s="58">
        <f>IF('[16]سجل المستخلصات'!$F$21="","",'[16]سجل المستخلصات'!$F$21)</f>
        <v/>
      </c>
      <c r="F40" s="59">
        <f>IF('[16]سجل المستخلصات'!$H$21="","",'[16]سجل المستخلصات'!$H$21)</f>
        <v/>
      </c>
      <c r="G40" s="59">
        <f>IF('[16]سجل المستخلصات'!$G$21="","",'[16]سجل المستخلصات'!$G$21)</f>
        <v/>
      </c>
      <c r="H40" s="59">
        <f>IF('[16]سجل المستخلصات'!$I$21="","",'[16]سجل المستخلصات'!$I$21)</f>
        <v/>
      </c>
      <c r="I40" s="59">
        <f>IF('[16]سجل المستخلصات'!$J$21="","",'[16]سجل المستخلصات'!$J$21)</f>
        <v/>
      </c>
      <c r="J40" s="59">
        <f>IF('[16]سجل المستخلصات'!$K$21="","",'[16]سجل المستخلصات'!$K$21)</f>
        <v/>
      </c>
      <c r="K40" s="60">
        <f>IF('[16]سجل المستخلصات'!$L$21="","",'[16]سجل المستخلصات'!$L$21)</f>
        <v/>
      </c>
      <c r="L40" s="60">
        <f>IF('[16]سجل المستخلصات'!$M$21="","",'[16]سجل المستخلصات'!$M$21)</f>
        <v/>
      </c>
      <c r="M40" s="60">
        <f>IF('[16]سجل المستخلصات'!$N$21="","",'[16]سجل المستخلصات'!$N$21)</f>
        <v/>
      </c>
      <c r="N40" s="59">
        <f>IF('[16]سجل المستخلصات'!$O$21="","",'[16]سجل المستخلصات'!$O$21)</f>
        <v/>
      </c>
      <c r="O40" s="59">
        <f>IF('[16]سجل المستخلصات'!$R$21="","",'[16]سجل المستخلصات'!$R$21)</f>
        <v/>
      </c>
      <c r="P40" s="59">
        <f>IF('[16]سجل المستخلصات'!$S$21="","",'[16]سجل المستخلصات'!$S$21)</f>
        <v/>
      </c>
      <c r="Q40" s="59">
        <f>IF('[16]سجل المستخلصات'!$T$21="","",'[16]سجل المستخلصات'!$T$21)</f>
        <v/>
      </c>
      <c r="R40" s="59">
        <f>IF('[16]سجل المستخلصات'!$V$21="","",'[16]سجل المستخلصات'!$V$21)</f>
        <v/>
      </c>
      <c r="S40" s="59">
        <f>IF('[16]سجل المستخلصات'!$W$21="","",'[16]سجل المستخلصات'!$W$21)</f>
        <v/>
      </c>
      <c r="T40" s="61">
        <f>IF('[16]سجل المستخلصات'!$X$21="","",'[16]سجل المستخلصات'!$X$21)</f>
        <v/>
      </c>
      <c r="U40" s="61">
        <f>IF('[16]سجل المستخلصات'!$Z$21="","",'[16]سجل المستخلصات'!$Z$21)</f>
        <v/>
      </c>
      <c r="V40" s="59">
        <f>IF('[16]سجل المستخلصات'!$AA$21="","",'[16]سجل المستخلصات'!$AA$21)</f>
        <v/>
      </c>
      <c r="W40" s="59">
        <f>IF('[16]سجل المستخلصات'!$AC$21="","",'[16]سجل المستخلصات'!$AC$21)</f>
        <v/>
      </c>
      <c r="X40" s="62">
        <f>IF('[16]سجل المستخلصات'!$AD$21="","",'[16]سجل المستخلصات'!$AD$21)</f>
        <v/>
      </c>
      <c r="Y40" s="58">
        <f>IF('[16]سجل المستخلصات'!$AE$21="","",'[16]سجل المستخلصات'!$AE$21)</f>
        <v/>
      </c>
    </row>
    <row r="41">
      <c r="B41" s="56" t="n">
        <v>17</v>
      </c>
      <c r="C41" s="57">
        <f>IF('[16]سجل المستخلصات'!$C$22="","",'[16]سجل المستخلصات'!$C$22)</f>
        <v/>
      </c>
      <c r="D41" s="57">
        <f>IF('[16]سجل المستخلصات'!$E$22="","",'[16]سجل المستخلصات'!$E$22)</f>
        <v/>
      </c>
      <c r="E41" s="58">
        <f>IF('[16]سجل المستخلصات'!$F$22="","",'[16]سجل المستخلصات'!$F$22)</f>
        <v/>
      </c>
      <c r="F41" s="59">
        <f>IF('[16]سجل المستخلصات'!$H$22="","",'[16]سجل المستخلصات'!$H$22)</f>
        <v/>
      </c>
      <c r="G41" s="59">
        <f>IF('[16]سجل المستخلصات'!$G$22="","",'[16]سجل المستخلصات'!$G$22)</f>
        <v/>
      </c>
      <c r="H41" s="59">
        <f>IF('[16]سجل المستخلصات'!$I$22="","",'[16]سجل المستخلصات'!$I$22)</f>
        <v/>
      </c>
      <c r="I41" s="59">
        <f>IF('[16]سجل المستخلصات'!$J$22="","",'[16]سجل المستخلصات'!$J$22)</f>
        <v/>
      </c>
      <c r="J41" s="59">
        <f>IF('[16]سجل المستخلصات'!$K$22="","",'[16]سجل المستخلصات'!$K$22)</f>
        <v/>
      </c>
      <c r="K41" s="60">
        <f>IF('[16]سجل المستخلصات'!$L$22="","",'[16]سجل المستخلصات'!$L$22)</f>
        <v/>
      </c>
      <c r="L41" s="60">
        <f>IF('[16]سجل المستخلصات'!$M$22="","",'[16]سجل المستخلصات'!$M$22)</f>
        <v/>
      </c>
      <c r="M41" s="60">
        <f>IF('[16]سجل المستخلصات'!$N$22="","",'[16]سجل المستخلصات'!$N$22)</f>
        <v/>
      </c>
      <c r="N41" s="59">
        <f>IF('[16]سجل المستخلصات'!$O$22="","",'[16]سجل المستخلصات'!$O$22)</f>
        <v/>
      </c>
      <c r="O41" s="59">
        <f>IF('[16]سجل المستخلصات'!$R$22="","",'[16]سجل المستخلصات'!$R$22)</f>
        <v/>
      </c>
      <c r="P41" s="59">
        <f>IF('[16]سجل المستخلصات'!$S$22="","",'[16]سجل المستخلصات'!$S$22)</f>
        <v/>
      </c>
      <c r="Q41" s="59">
        <f>IF('[16]سجل المستخلصات'!$T$22="","",'[16]سجل المستخلصات'!$T$22)</f>
        <v/>
      </c>
      <c r="R41" s="59">
        <f>IF('[16]سجل المستخلصات'!$V$22="","",'[16]سجل المستخلصات'!$V$22)</f>
        <v/>
      </c>
      <c r="S41" s="59">
        <f>IF('[16]سجل المستخلصات'!$W$22="","",'[16]سجل المستخلصات'!$W$22)</f>
        <v/>
      </c>
      <c r="T41" s="61">
        <f>IF('[16]سجل المستخلصات'!$X$22="","",'[16]سجل المستخلصات'!$X$22)</f>
        <v/>
      </c>
      <c r="U41" s="61">
        <f>IF('[16]سجل المستخلصات'!$Z$22="","",'[16]سجل المستخلصات'!$Z$22)</f>
        <v/>
      </c>
      <c r="V41" s="59">
        <f>IF('[16]سجل المستخلصات'!$AA$22="","",'[16]سجل المستخلصات'!$AA$22)</f>
        <v/>
      </c>
      <c r="W41" s="59">
        <f>IF('[16]سجل المستخلصات'!$AC$22="","",'[16]سجل المستخلصات'!$AC$22)</f>
        <v/>
      </c>
      <c r="X41" s="62">
        <f>IF('[16]سجل المستخلصات'!$AD$22="","",'[16]سجل المستخلصات'!$AD$22)</f>
        <v/>
      </c>
      <c r="Y41" s="58">
        <f>IF('[16]سجل المستخلصات'!$AE$22="","",'[16]سجل المستخلصات'!$AE$22)</f>
        <v/>
      </c>
    </row>
    <row r="42">
      <c r="B42" s="56" t="n">
        <v>18</v>
      </c>
      <c r="C42" s="57">
        <f>IF('[16]سجل المستخلصات'!$C$23="","",'[16]سجل المستخلصات'!$C$23)</f>
        <v/>
      </c>
      <c r="D42" s="57">
        <f>IF('[16]سجل المستخلصات'!$E$23="","",'[16]سجل المستخلصات'!$E$23)</f>
        <v/>
      </c>
      <c r="E42" s="58">
        <f>IF('[16]سجل المستخلصات'!$F$23="","",'[16]سجل المستخلصات'!$F$23)</f>
        <v/>
      </c>
      <c r="F42" s="59">
        <f>IF('[16]سجل المستخلصات'!$H$23="","",'[16]سجل المستخلصات'!$H$23)</f>
        <v/>
      </c>
      <c r="G42" s="59">
        <f>IF('[16]سجل المستخلصات'!$G$23="","",'[16]سجل المستخلصات'!$G$23)</f>
        <v/>
      </c>
      <c r="H42" s="59">
        <f>IF('[16]سجل المستخلصات'!$I$23="","",'[16]سجل المستخلصات'!$I$23)</f>
        <v/>
      </c>
      <c r="I42" s="59">
        <f>IF('[16]سجل المستخلصات'!$J$23="","",'[16]سجل المستخلصات'!$J$23)</f>
        <v/>
      </c>
      <c r="J42" s="59">
        <f>IF('[16]سجل المستخلصات'!$K$23="","",'[16]سجل المستخلصات'!$K$23)</f>
        <v/>
      </c>
      <c r="K42" s="60">
        <f>IF('[16]سجل المستخلصات'!$L$23="","",'[16]سجل المستخلصات'!$L$23)</f>
        <v/>
      </c>
      <c r="L42" s="60">
        <f>IF('[16]سجل المستخلصات'!$M$23="","",'[16]سجل المستخلصات'!$M$23)</f>
        <v/>
      </c>
      <c r="M42" s="60">
        <f>IF('[16]سجل المستخلصات'!$N$23="","",'[16]سجل المستخلصات'!$N$23)</f>
        <v/>
      </c>
      <c r="N42" s="59">
        <f>IF('[16]سجل المستخلصات'!$O$23="","",'[16]سجل المستخلصات'!$O$23)</f>
        <v/>
      </c>
      <c r="O42" s="59">
        <f>IF('[16]سجل المستخلصات'!$R$23="","",'[16]سجل المستخلصات'!$R$23)</f>
        <v/>
      </c>
      <c r="P42" s="59">
        <f>IF('[16]سجل المستخلصات'!$S$23="","",'[16]سجل المستخلصات'!$S$23)</f>
        <v/>
      </c>
      <c r="Q42" s="59">
        <f>IF('[16]سجل المستخلصات'!$T$23="","",'[16]سجل المستخلصات'!$T$23)</f>
        <v/>
      </c>
      <c r="R42" s="59">
        <f>IF('[16]سجل المستخلصات'!$V$23="","",'[16]سجل المستخلصات'!$V$23)</f>
        <v/>
      </c>
      <c r="S42" s="59">
        <f>IF('[16]سجل المستخلصات'!$W$23="","",'[16]سجل المستخلصات'!$W$23)</f>
        <v/>
      </c>
      <c r="T42" s="61">
        <f>IF('[16]سجل المستخلصات'!$X$23="","",'[16]سجل المستخلصات'!$X$23)</f>
        <v/>
      </c>
      <c r="U42" s="61">
        <f>IF('[16]سجل المستخلصات'!$Z$23="","",'[16]سجل المستخلصات'!$Z$23)</f>
        <v/>
      </c>
      <c r="V42" s="59">
        <f>IF('[16]سجل المستخلصات'!$AA$23="","",'[16]سجل المستخلصات'!$AA$23)</f>
        <v/>
      </c>
      <c r="W42" s="59">
        <f>IF('[16]سجل المستخلصات'!$AC$23="","",'[16]سجل المستخلصات'!$AC$23)</f>
        <v/>
      </c>
      <c r="X42" s="62">
        <f>IF('[16]سجل المستخلصات'!$AD$23="","",'[16]سجل المستخلصات'!$AD$23)</f>
        <v/>
      </c>
      <c r="Y42" s="58">
        <f>IF('[16]سجل المستخلصات'!$AE$23="","",'[16]سجل المستخلصات'!$AE$23)</f>
        <v/>
      </c>
    </row>
    <row r="43">
      <c r="B43" s="56" t="n">
        <v>19</v>
      </c>
      <c r="C43" s="57">
        <f>IF('[16]سجل المستخلصات'!$C$24="","",'[16]سجل المستخلصات'!$C$24)</f>
        <v/>
      </c>
      <c r="D43" s="57">
        <f>IF('[16]سجل المستخلصات'!$E$24="","",'[16]سجل المستخلصات'!$E$24)</f>
        <v/>
      </c>
      <c r="E43" s="58">
        <f>IF('[16]سجل المستخلصات'!$F$24="","",'[16]سجل المستخلصات'!$F$24)</f>
        <v/>
      </c>
      <c r="F43" s="59">
        <f>IF('[16]سجل المستخلصات'!$H$24="","",'[16]سجل المستخلصات'!$H$24)</f>
        <v/>
      </c>
      <c r="G43" s="59">
        <f>IF('[16]سجل المستخلصات'!$G$24="","",'[16]سجل المستخلصات'!$G$24)</f>
        <v/>
      </c>
      <c r="H43" s="59">
        <f>IF('[16]سجل المستخلصات'!$I$24="","",'[16]سجل المستخلصات'!$I$24)</f>
        <v/>
      </c>
      <c r="I43" s="59">
        <f>IF('[16]سجل المستخلصات'!$J$24="","",'[16]سجل المستخلصات'!$J$24)</f>
        <v/>
      </c>
      <c r="J43" s="59">
        <f>IF('[16]سجل المستخلصات'!$K$24="","",'[16]سجل المستخلصات'!$K$24)</f>
        <v/>
      </c>
      <c r="K43" s="60">
        <f>IF('[16]سجل المستخلصات'!$L$24="","",'[16]سجل المستخلصات'!$L$24)</f>
        <v/>
      </c>
      <c r="L43" s="60">
        <f>IF('[16]سجل المستخلصات'!$M$24="","",'[16]سجل المستخلصات'!$M$24)</f>
        <v/>
      </c>
      <c r="M43" s="60">
        <f>IF('[16]سجل المستخلصات'!$N$24="","",'[16]سجل المستخلصات'!$N$24)</f>
        <v/>
      </c>
      <c r="N43" s="59">
        <f>IF('[16]سجل المستخلصات'!$O$24="","",'[16]سجل المستخلصات'!$O$24)</f>
        <v/>
      </c>
      <c r="O43" s="59">
        <f>IF('[16]سجل المستخلصات'!$R$24="","",'[16]سجل المستخلصات'!$R$24)</f>
        <v/>
      </c>
      <c r="P43" s="59">
        <f>IF('[16]سجل المستخلصات'!$S$24="","",'[16]سجل المستخلصات'!$S$24)</f>
        <v/>
      </c>
      <c r="Q43" s="59">
        <f>IF('[16]سجل المستخلصات'!$T$24="","",'[16]سجل المستخلصات'!$T$24)</f>
        <v/>
      </c>
      <c r="R43" s="59">
        <f>IF('[16]سجل المستخلصات'!$V$24="","",'[16]سجل المستخلصات'!$V$24)</f>
        <v/>
      </c>
      <c r="S43" s="59">
        <f>IF('[16]سجل المستخلصات'!$W$24="","",'[16]سجل المستخلصات'!$W$24)</f>
        <v/>
      </c>
      <c r="T43" s="61">
        <f>IF('[16]سجل المستخلصات'!$X$24="","",'[16]سجل المستخلصات'!$X$24)</f>
        <v/>
      </c>
      <c r="U43" s="61">
        <f>IF('[16]سجل المستخلصات'!$Z$24="","",'[16]سجل المستخلصات'!$Z$24)</f>
        <v/>
      </c>
      <c r="V43" s="59">
        <f>IF('[16]سجل المستخلصات'!$AA$24="","",'[16]سجل المستخلصات'!$AA$24)</f>
        <v/>
      </c>
      <c r="W43" s="59">
        <f>IF('[16]سجل المستخلصات'!$AC$24="","",'[16]سجل المستخلصات'!$AC$24)</f>
        <v/>
      </c>
      <c r="X43" s="62">
        <f>IF('[16]سجل المستخلصات'!$AD$24="","",'[16]سجل المستخلصات'!$AD$24)</f>
        <v/>
      </c>
      <c r="Y43" s="58">
        <f>IF('[16]سجل المستخلصات'!$AE$24="","",'[16]سجل المستخلصات'!$AE$24)</f>
        <v/>
      </c>
    </row>
    <row r="44">
      <c r="B44" s="56" t="n">
        <v>20</v>
      </c>
      <c r="C44" s="57">
        <f>IF('[16]سجل المستخلصات'!$C$25="","",'[16]سجل المستخلصات'!$C$25)</f>
        <v/>
      </c>
      <c r="D44" s="57">
        <f>IF('[16]سجل المستخلصات'!$E$25="","",'[16]سجل المستخلصات'!$E$25)</f>
        <v/>
      </c>
      <c r="E44" s="58">
        <f>IF('[16]سجل المستخلصات'!$F$25="","",'[16]سجل المستخلصات'!$F$25)</f>
        <v/>
      </c>
      <c r="F44" s="59">
        <f>IF('[16]سجل المستخلصات'!$H$25="","",'[16]سجل المستخلصات'!$H$25)</f>
        <v/>
      </c>
      <c r="G44" s="59">
        <f>IF('[16]سجل المستخلصات'!$G$25="","",'[16]سجل المستخلصات'!$G$25)</f>
        <v/>
      </c>
      <c r="H44" s="59">
        <f>IF('[16]سجل المستخلصات'!$I$25="","",'[16]سجل المستخلصات'!$I$25)</f>
        <v/>
      </c>
      <c r="I44" s="59">
        <f>IF('[16]سجل المستخلصات'!$J$25="","",'[16]سجل المستخلصات'!$J$25)</f>
        <v/>
      </c>
      <c r="J44" s="59">
        <f>IF('[16]سجل المستخلصات'!$K$25="","",'[16]سجل المستخلصات'!$K$25)</f>
        <v/>
      </c>
      <c r="K44" s="60">
        <f>IF('[16]سجل المستخلصات'!$L$25="","",'[16]سجل المستخلصات'!$L$25)</f>
        <v/>
      </c>
      <c r="L44" s="60">
        <f>IF('[16]سجل المستخلصات'!$M$25="","",'[16]سجل المستخلصات'!$M$25)</f>
        <v/>
      </c>
      <c r="M44" s="60">
        <f>IF('[16]سجل المستخلصات'!$N$25="","",'[16]سجل المستخلصات'!$N$25)</f>
        <v/>
      </c>
      <c r="N44" s="59">
        <f>IF('[16]سجل المستخلصات'!$O$25="","",'[16]سجل المستخلصات'!$O$25)</f>
        <v/>
      </c>
      <c r="O44" s="59">
        <f>IF('[16]سجل المستخلصات'!$R$25="","",'[16]سجل المستخلصات'!$R$25)</f>
        <v/>
      </c>
      <c r="P44" s="59">
        <f>IF('[16]سجل المستخلصات'!$S$25="","",'[16]سجل المستخلصات'!$S$25)</f>
        <v/>
      </c>
      <c r="Q44" s="59">
        <f>IF('[16]سجل المستخلصات'!$T$25="","",'[16]سجل المستخلصات'!$T$25)</f>
        <v/>
      </c>
      <c r="R44" s="59">
        <f>IF('[16]سجل المستخلصات'!$V$25="","",'[16]سجل المستخلصات'!$V$25)</f>
        <v/>
      </c>
      <c r="S44" s="59">
        <f>IF('[16]سجل المستخلصات'!$W$25="","",'[16]سجل المستخلصات'!$W$25)</f>
        <v/>
      </c>
      <c r="T44" s="61">
        <f>IF('[16]سجل المستخلصات'!$X$25="","",'[16]سجل المستخلصات'!$X$25)</f>
        <v/>
      </c>
      <c r="U44" s="61">
        <f>IF('[16]سجل المستخلصات'!$Z$25="","",'[16]سجل المستخلصات'!$Z$25)</f>
        <v/>
      </c>
      <c r="V44" s="59">
        <f>IF('[16]سجل المستخلصات'!$AA$25="","",'[16]سجل المستخلصات'!$AA$25)</f>
        <v/>
      </c>
      <c r="W44" s="59">
        <f>IF('[16]سجل المستخلصات'!$AC$25="","",'[16]سجل المستخلصات'!$AC$25)</f>
        <v/>
      </c>
      <c r="X44" s="62">
        <f>IF('[16]سجل المستخلصات'!$AD$25="","",'[16]سجل المستخلصات'!$AD$25)</f>
        <v/>
      </c>
      <c r="Y44" s="58">
        <f>IF('[16]سجل المستخلصات'!$AE$25="","",'[16]سجل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IF('[16]سجل المستخلصات'!$B$32="","",'[16]سجل المستخلصات'!$B$32)</f>
        <v/>
      </c>
      <c r="C50" s="69" t="n"/>
      <c r="D50" s="69" t="n"/>
      <c r="E50" s="59">
        <f>N('[16]سجل المستخلصات'!$E$32)</f>
        <v/>
      </c>
      <c r="F50" s="59">
        <f>N('[16]سجل المستخلصات'!$F$32)</f>
        <v/>
      </c>
      <c r="G50" s="70">
        <f>IF(E50&gt;0,F50/E50,0)</f>
        <v/>
      </c>
    </row>
    <row r="51">
      <c r="B51" s="69">
        <f>IF('[16]سجل المستخلصات'!$B$33="","",'[16]سجل المستخلصات'!$B$33)</f>
        <v/>
      </c>
      <c r="C51" s="69" t="n"/>
      <c r="D51" s="69" t="n"/>
      <c r="E51" s="59">
        <f>N('[16]سجل المستخلصات'!$E$33)</f>
        <v/>
      </c>
      <c r="F51" s="59">
        <f>N('[16]سجل المستخلصات'!$F$33)</f>
        <v/>
      </c>
      <c r="G51" s="70">
        <f>IF(E51&gt;0,F51/E51,0)</f>
        <v/>
      </c>
    </row>
    <row r="52">
      <c r="B52" s="69">
        <f>IF('[16]سجل المستخلصات'!$B$34="","",'[16]سجل المستخلصات'!$B$34)</f>
        <v/>
      </c>
      <c r="C52" s="69" t="n"/>
      <c r="D52" s="69" t="n"/>
      <c r="E52" s="59">
        <f>N('[16]سجل المستخلصات'!$E$34)</f>
        <v/>
      </c>
      <c r="F52" s="59">
        <f>N('[16]سجل المستخلصات'!$F$34)</f>
        <v/>
      </c>
      <c r="G52" s="70">
        <f>IF(E52&gt;0,F52/E52,0)</f>
        <v/>
      </c>
    </row>
    <row r="53">
      <c r="B53" s="69">
        <f>IF('[16]سجل المستخلصات'!$B$35="","",'[16]سجل المستخلصات'!$B$35)</f>
        <v/>
      </c>
      <c r="C53" s="69" t="n"/>
      <c r="D53" s="69" t="n"/>
      <c r="E53" s="59">
        <f>N('[16]سجل المستخلصات'!$E$35)</f>
        <v/>
      </c>
      <c r="F53" s="59">
        <f>N('[16]سجل المستخلصات'!$F$35)</f>
        <v/>
      </c>
      <c r="G53" s="70">
        <f>IF(E53&gt;0,F53/E53,0)</f>
        <v/>
      </c>
    </row>
    <row r="54">
      <c r="B54" s="69">
        <f>IF('[16]سجل المستخلصات'!$B$36="","",'[16]سجل المستخلصات'!$B$36)</f>
        <v/>
      </c>
      <c r="C54" s="69" t="n"/>
      <c r="D54" s="69" t="n"/>
      <c r="E54" s="59">
        <f>N('[16]سجل المستخلصات'!$E$36)</f>
        <v/>
      </c>
      <c r="F54" s="59">
        <f>N('[16]سجل المستخلصات'!$F$36)</f>
        <v/>
      </c>
      <c r="G54" s="70">
        <f>IF(E54&gt;0,F54/E54,0)</f>
        <v/>
      </c>
    </row>
    <row r="55">
      <c r="B55" s="69">
        <f>IF('[16]سجل المستخلصات'!$B$37="","",'[16]سجل المستخلصات'!$B$37)</f>
        <v/>
      </c>
      <c r="C55" s="69" t="n"/>
      <c r="D55" s="69" t="n"/>
      <c r="E55" s="59">
        <f>N('[16]سجل المستخلصات'!$E$37)</f>
        <v/>
      </c>
      <c r="F55" s="59">
        <f>N('[16]سجل المستخلصات'!$F$37)</f>
        <v/>
      </c>
      <c r="G55" s="70">
        <f>IF(E55&gt;0,F55/E55,0)</f>
        <v/>
      </c>
    </row>
    <row r="56">
      <c r="B56" s="69">
        <f>IF('[16]سجل المستخلصات'!$B$38="","",'[16]سجل المستخلصات'!$B$38)</f>
        <v/>
      </c>
      <c r="C56" s="69" t="n"/>
      <c r="D56" s="69" t="n"/>
      <c r="E56" s="59">
        <f>N('[16]سجل المستخلصات'!$E$38)</f>
        <v/>
      </c>
      <c r="F56" s="59">
        <f>N('[16]سجل المستخلصات'!$F$38)</f>
        <v/>
      </c>
      <c r="G56" s="70">
        <f>IF(E56&gt;0,F56/E56,0)</f>
        <v/>
      </c>
    </row>
    <row r="57">
      <c r="B57" s="69">
        <f>IF('[16]سجل المستخلصات'!$B$39="","",'[16]سجل المستخلصات'!$B$39)</f>
        <v/>
      </c>
      <c r="C57" s="69" t="n"/>
      <c r="D57" s="69" t="n"/>
      <c r="E57" s="59">
        <f>N('[16]سجل المستخلصات'!$E$39)</f>
        <v/>
      </c>
      <c r="F57" s="59">
        <f>N('[16]سجل المستخلصات'!$F$39)</f>
        <v/>
      </c>
      <c r="G57" s="70">
        <f>IF(E57&gt;0,F57/E57,0)</f>
        <v/>
      </c>
    </row>
    <row r="58">
      <c r="B58" s="69">
        <f>IF('[16]سجل المستخلصات'!$B$40="","",'[16]سجل المستخلصات'!$B$40)</f>
        <v/>
      </c>
      <c r="C58" s="69" t="n"/>
      <c r="D58" s="69" t="n"/>
      <c r="E58" s="59">
        <f>N('[16]سجل المستخلصات'!$E$40)</f>
        <v/>
      </c>
      <c r="F58" s="59">
        <f>N('[16]سجل المستخلصات'!$F$40)</f>
        <v/>
      </c>
      <c r="G58" s="70">
        <f>IF(E58&gt;0,F58/E58,0)</f>
        <v/>
      </c>
    </row>
    <row r="59">
      <c r="B59" s="69">
        <f>IF('[16]سجل المستخلصات'!$B$41="","",'[16]سجل المستخلصات'!$B$41)</f>
        <v/>
      </c>
      <c r="C59" s="69" t="n"/>
      <c r="D59" s="69" t="n"/>
      <c r="E59" s="59">
        <f>N('[16]سجل المستخلصات'!$E$41)</f>
        <v/>
      </c>
      <c r="F59" s="59">
        <f>N('[16]سجل المستخلصات'!$F$41)</f>
        <v/>
      </c>
      <c r="G59" s="70">
        <f>IF(E59&gt;0,F59/E59,0)</f>
        <v/>
      </c>
    </row>
    <row r="60">
      <c r="B60" s="69">
        <f>IF('[16]سجل المستخلصات'!$B$42="","",'[16]سجل المستخلصات'!$B$42)</f>
        <v/>
      </c>
      <c r="C60" s="69" t="n"/>
      <c r="D60" s="69" t="n"/>
      <c r="E60" s="59">
        <f>N('[16]سجل المستخلصات'!$E$42)</f>
        <v/>
      </c>
      <c r="F60" s="59">
        <f>N('[16]سجل المستخلصات'!$F$42)</f>
        <v/>
      </c>
      <c r="G60" s="70">
        <f>IF(E60&gt;0,F60/E60,0)</f>
        <v/>
      </c>
    </row>
    <row r="61">
      <c r="B61" s="69">
        <f>IF('[16]سجل المستخلصات'!$B$43="","",'[16]سجل المستخلصات'!$B$43)</f>
        <v/>
      </c>
      <c r="C61" s="69" t="n"/>
      <c r="D61" s="69" t="n"/>
      <c r="E61" s="59">
        <f>N('[16]سجل المستخلصات'!$E$43)</f>
        <v/>
      </c>
      <c r="F61" s="59">
        <f>N('[16]سجل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15'!A1" display="◄ المشروع السابق"/>
    <hyperlink ref="D3" location="'مشروع 17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"&amp;IF('[17]بيانات العقد'!$C$5="","مشروع رقم 17 — غير مُفعّل",'[17]بيانات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Project_17/IPC_Project_17.xlsx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IF('[17]بيانات العقد'!$C$5="","",'[17]بيانات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IF('[17]بيانات العقد'!$C$6="","",'[17]بيانات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IF('[17]بيانات العقد'!$C$7="","",'[17]بيانات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IF('[17]بيانات العقد'!$C$8="","",'[17]بيانات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N('[17]بيانات العقد'!$C$16)</f>
        <v/>
      </c>
    </row>
    <row r="6" ht="22" customHeight="1">
      <c r="B6" s="11" t="inlineStr">
        <is>
          <t>المقاول</t>
        </is>
      </c>
      <c r="C6" s="14">
        <f>IF('[17]بيانات العقد'!$C$9="","",'[17]بيانات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IF('[17]بيانات العقد'!$C$11="","",'[17]بيانات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IF('[17]بيانات العقد'!$C$13="","",'[17]بيانات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IF('[17]بيانات العقد'!$C$14="","",'[17]بيانات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N('[17]بيانات العقد'!$C$17)</f>
        <v/>
      </c>
    </row>
    <row r="7">
      <c r="AA7" s="15" t="inlineStr">
        <is>
          <t>قيمة العقد المعدلة</t>
        </is>
      </c>
      <c r="AB7" s="16">
        <f>N('[17]بيانات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N('[17]بيانات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N('[17]بيانات العقد'!$C$21)</f>
        <v/>
      </c>
    </row>
    <row r="10">
      <c r="AA10" s="15" t="inlineStr">
        <is>
          <t>نسبة ضمان الأعمال</t>
        </is>
      </c>
      <c r="AB10" s="23">
        <f>N('[17]بيانات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N('[17]بيانات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N('[17]بيانات العقد'!$C$31)</f>
        <v/>
      </c>
    </row>
    <row r="13">
      <c r="AA13" s="15" t="inlineStr">
        <is>
          <t>ضريبة الاستقطاع (غير المقيم)</t>
        </is>
      </c>
      <c r="AB13" s="23">
        <f>N('[17]بيانات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IF('[17]بيانات العقد'!$C$11="","",'[17]بيانات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IF('[17]بيانات العقد'!$C$13="","",'[17]بيانات العقد'!$C$13)</f>
        <v/>
      </c>
    </row>
    <row r="16">
      <c r="AA16" s="15" t="inlineStr">
        <is>
          <t>المدة (شهر)</t>
        </is>
      </c>
      <c r="AB16" s="43">
        <f>IF('[17]بيانات العقد'!$C$12="","",'[17]بيانات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IF('[17]بيانات العقد'!$C$36="","",'[17]بيانات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IF('[17]بيانات العقد'!$C$37="","",'[17]بيانات العقد'!$C$37)</f>
        <v/>
      </c>
    </row>
    <row r="19">
      <c r="AA19" s="15" t="inlineStr">
        <is>
          <t>الرقم الضريبي لصاحب العمل</t>
        </is>
      </c>
      <c r="AB19" s="48">
        <f>IF('[17]بيانات العقد'!$C$39="","",'[17]بيانات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IF('[17]بيانات العقد'!$C$42="","",'[17]بيانات العقد'!$C$42)</f>
        <v/>
      </c>
    </row>
    <row r="21" ht="32" customHeight="1">
      <c r="B21" s="50">
        <f>N('[17]الموازنة والتكاليف'!$D$66)</f>
        <v/>
      </c>
      <c r="C21" s="50" t="n"/>
      <c r="D21" s="50" t="n"/>
      <c r="E21" s="50" t="n"/>
      <c r="F21" s="50">
        <f>N('[17]الموازنة والتكاليف'!$D$70)</f>
        <v/>
      </c>
      <c r="G21" s="50" t="n"/>
      <c r="H21" s="50" t="n"/>
      <c r="I21" s="50" t="n"/>
      <c r="J21" s="50">
        <f>N('[17]الموازنة والتكاليف'!$D$72)</f>
        <v/>
      </c>
      <c r="K21" s="50" t="n"/>
      <c r="L21" s="50" t="n"/>
      <c r="M21" s="50" t="n"/>
      <c r="N21" s="51">
        <f>N('[17]الموازنة والتكاليف'!$D$73)</f>
        <v/>
      </c>
      <c r="O21" s="51" t="n"/>
      <c r="P21" s="51" t="n"/>
      <c r="Q21" s="51" t="n"/>
      <c r="R21" s="52">
        <f>N('[17]الموازنة والتكاليف'!$D$74)</f>
        <v/>
      </c>
      <c r="S21" s="52" t="n"/>
      <c r="T21" s="52" t="n"/>
      <c r="U21" s="52" t="n"/>
      <c r="V21" s="50">
        <f>N('[17]الموازنة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IF('[17]بيانات العقد'!$C$43="","",'[17]بيانات العقد'!$C$43)</f>
        <v/>
      </c>
    </row>
    <row r="22">
      <c r="AA22" s="15" t="inlineStr">
        <is>
          <t>حالة غرامات التأخير</t>
        </is>
      </c>
      <c r="AB22" s="45">
        <f>IF('[17]بيانات العقد'!$C$47="","",'[17]بيانات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IF('[17]سجل المستخلصات'!$C$6="","",'[17]سجل المستخلصات'!$C$6)</f>
        <v/>
      </c>
      <c r="D25" s="57">
        <f>IF('[17]سجل المستخلصات'!$E$6="","",'[17]سجل المستخلصات'!$E$6)</f>
        <v/>
      </c>
      <c r="E25" s="58">
        <f>IF('[17]سجل المستخلصات'!$F$6="","",'[17]سجل المستخلصات'!$F$6)</f>
        <v/>
      </c>
      <c r="F25" s="59">
        <f>IF('[17]سجل المستخلصات'!$H$6="","",'[17]سجل المستخلصات'!$H$6)</f>
        <v/>
      </c>
      <c r="G25" s="59">
        <f>IF('[17]سجل المستخلصات'!$G$6="","",'[17]سجل المستخلصات'!$G$6)</f>
        <v/>
      </c>
      <c r="H25" s="59">
        <f>IF('[17]سجل المستخلصات'!$I$6="","",'[17]سجل المستخلصات'!$I$6)</f>
        <v/>
      </c>
      <c r="I25" s="59">
        <f>IF('[17]سجل المستخلصات'!$J$6="","",'[17]سجل المستخلصات'!$J$6)</f>
        <v/>
      </c>
      <c r="J25" s="59">
        <f>IF('[17]سجل المستخلصات'!$K$6="","",'[17]سجل المستخلصات'!$K$6)</f>
        <v/>
      </c>
      <c r="K25" s="60">
        <f>IF('[17]سجل المستخلصات'!$L$6="","",'[17]سجل المستخلصات'!$L$6)</f>
        <v/>
      </c>
      <c r="L25" s="60">
        <f>IF('[17]سجل المستخلصات'!$M$6="","",'[17]سجل المستخلصات'!$M$6)</f>
        <v/>
      </c>
      <c r="M25" s="60">
        <f>IF('[17]سجل المستخلصات'!$N$6="","",'[17]سجل المستخلصات'!$N$6)</f>
        <v/>
      </c>
      <c r="N25" s="59">
        <f>IF('[17]سجل المستخلصات'!$O$6="","",'[17]سجل المستخلصات'!$O$6)</f>
        <v/>
      </c>
      <c r="O25" s="59">
        <f>IF('[17]سجل المستخلصات'!$R$6="","",'[17]سجل المستخلصات'!$R$6)</f>
        <v/>
      </c>
      <c r="P25" s="59">
        <f>IF('[17]سجل المستخلصات'!$S$6="","",'[17]سجل المستخلصات'!$S$6)</f>
        <v/>
      </c>
      <c r="Q25" s="59">
        <f>IF('[17]سجل المستخلصات'!$T$6="","",'[17]سجل المستخلصات'!$T$6)</f>
        <v/>
      </c>
      <c r="R25" s="59">
        <f>IF('[17]سجل المستخلصات'!$V$6="","",'[17]سجل المستخلصات'!$V$6)</f>
        <v/>
      </c>
      <c r="S25" s="59">
        <f>IF('[17]سجل المستخلصات'!$W$6="","",'[17]سجل المستخلصات'!$W$6)</f>
        <v/>
      </c>
      <c r="T25" s="61">
        <f>IF('[17]سجل المستخلصات'!$X$6="","",'[17]سجل المستخلصات'!$X$6)</f>
        <v/>
      </c>
      <c r="U25" s="61">
        <f>IF('[17]سجل المستخلصات'!$Z$6="","",'[17]سجل المستخلصات'!$Z$6)</f>
        <v/>
      </c>
      <c r="V25" s="59">
        <f>IF('[17]سجل المستخلصات'!$AA$6="","",'[17]سجل المستخلصات'!$AA$6)</f>
        <v/>
      </c>
      <c r="W25" s="59">
        <f>IF('[17]سجل المستخلصات'!$AC$6="","",'[17]سجل المستخلصات'!$AC$6)</f>
        <v/>
      </c>
      <c r="X25" s="62">
        <f>IF('[17]سجل المستخلصات'!$AD$6="","",'[17]سجل المستخلصات'!$AD$6)</f>
        <v/>
      </c>
      <c r="Y25" s="58">
        <f>IF('[17]سجل المستخلصات'!$AE$6="","",'[17]سجل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IF('[17]سجل المستخلصات'!$C$7="","",'[17]سجل المستخلصات'!$C$7)</f>
        <v/>
      </c>
      <c r="D26" s="57">
        <f>IF('[17]سجل المستخلصات'!$E$7="","",'[17]سجل المستخلصات'!$E$7)</f>
        <v/>
      </c>
      <c r="E26" s="58">
        <f>IF('[17]سجل المستخلصات'!$F$7="","",'[17]سجل المستخلصات'!$F$7)</f>
        <v/>
      </c>
      <c r="F26" s="59">
        <f>IF('[17]سجل المستخلصات'!$H$7="","",'[17]سجل المستخلصات'!$H$7)</f>
        <v/>
      </c>
      <c r="G26" s="59">
        <f>IF('[17]سجل المستخلصات'!$G$7="","",'[17]سجل المستخلصات'!$G$7)</f>
        <v/>
      </c>
      <c r="H26" s="59">
        <f>IF('[17]سجل المستخلصات'!$I$7="","",'[17]سجل المستخلصات'!$I$7)</f>
        <v/>
      </c>
      <c r="I26" s="59">
        <f>IF('[17]سجل المستخلصات'!$J$7="","",'[17]سجل المستخلصات'!$J$7)</f>
        <v/>
      </c>
      <c r="J26" s="59">
        <f>IF('[17]سجل المستخلصات'!$K$7="","",'[17]سجل المستخلصات'!$K$7)</f>
        <v/>
      </c>
      <c r="K26" s="60">
        <f>IF('[17]سجل المستخلصات'!$L$7="","",'[17]سجل المستخلصات'!$L$7)</f>
        <v/>
      </c>
      <c r="L26" s="60">
        <f>IF('[17]سجل المستخلصات'!$M$7="","",'[17]سجل المستخلصات'!$M$7)</f>
        <v/>
      </c>
      <c r="M26" s="60">
        <f>IF('[17]سجل المستخلصات'!$N$7="","",'[17]سجل المستخلصات'!$N$7)</f>
        <v/>
      </c>
      <c r="N26" s="59">
        <f>IF('[17]سجل المستخلصات'!$O$7="","",'[17]سجل المستخلصات'!$O$7)</f>
        <v/>
      </c>
      <c r="O26" s="59">
        <f>IF('[17]سجل المستخلصات'!$R$7="","",'[17]سجل المستخلصات'!$R$7)</f>
        <v/>
      </c>
      <c r="P26" s="59">
        <f>IF('[17]سجل المستخلصات'!$S$7="","",'[17]سجل المستخلصات'!$S$7)</f>
        <v/>
      </c>
      <c r="Q26" s="59">
        <f>IF('[17]سجل المستخلصات'!$T$7="","",'[17]سجل المستخلصات'!$T$7)</f>
        <v/>
      </c>
      <c r="R26" s="59">
        <f>IF('[17]سجل المستخلصات'!$V$7="","",'[17]سجل المستخلصات'!$V$7)</f>
        <v/>
      </c>
      <c r="S26" s="59">
        <f>IF('[17]سجل المستخلصات'!$W$7="","",'[17]سجل المستخلصات'!$W$7)</f>
        <v/>
      </c>
      <c r="T26" s="61">
        <f>IF('[17]سجل المستخلصات'!$X$7="","",'[17]سجل المستخلصات'!$X$7)</f>
        <v/>
      </c>
      <c r="U26" s="61">
        <f>IF('[17]سجل المستخلصات'!$Z$7="","",'[17]سجل المستخلصات'!$Z$7)</f>
        <v/>
      </c>
      <c r="V26" s="59">
        <f>IF('[17]سجل المستخلصات'!$AA$7="","",'[17]سجل المستخلصات'!$AA$7)</f>
        <v/>
      </c>
      <c r="W26" s="59">
        <f>IF('[17]سجل المستخلصات'!$AC$7="","",'[17]سجل المستخلصات'!$AC$7)</f>
        <v/>
      </c>
      <c r="X26" s="62">
        <f>IF('[17]سجل المستخلصات'!$AD$7="","",'[17]سجل المستخلصات'!$AD$7)</f>
        <v/>
      </c>
      <c r="Y26" s="58">
        <f>IF('[17]سجل المستخلصات'!$AE$7="","",'[17]سجل المستخلصات'!$AE$7)</f>
        <v/>
      </c>
      <c r="AA26" s="63" t="n"/>
      <c r="AB26" s="63" t="n"/>
    </row>
    <row r="27">
      <c r="B27" s="56" t="n">
        <v>3</v>
      </c>
      <c r="C27" s="57">
        <f>IF('[17]سجل المستخلصات'!$C$8="","",'[17]سجل المستخلصات'!$C$8)</f>
        <v/>
      </c>
      <c r="D27" s="57">
        <f>IF('[17]سجل المستخلصات'!$E$8="","",'[17]سجل المستخلصات'!$E$8)</f>
        <v/>
      </c>
      <c r="E27" s="58">
        <f>IF('[17]سجل المستخلصات'!$F$8="","",'[17]سجل المستخلصات'!$F$8)</f>
        <v/>
      </c>
      <c r="F27" s="59">
        <f>IF('[17]سجل المستخلصات'!$H$8="","",'[17]سجل المستخلصات'!$H$8)</f>
        <v/>
      </c>
      <c r="G27" s="59">
        <f>IF('[17]سجل المستخلصات'!$G$8="","",'[17]سجل المستخلصات'!$G$8)</f>
        <v/>
      </c>
      <c r="H27" s="59">
        <f>IF('[17]سجل المستخلصات'!$I$8="","",'[17]سجل المستخلصات'!$I$8)</f>
        <v/>
      </c>
      <c r="I27" s="59">
        <f>IF('[17]سجل المستخلصات'!$J$8="","",'[17]سجل المستخلصات'!$J$8)</f>
        <v/>
      </c>
      <c r="J27" s="59">
        <f>IF('[17]سجل المستخلصات'!$K$8="","",'[17]سجل المستخلصات'!$K$8)</f>
        <v/>
      </c>
      <c r="K27" s="60">
        <f>IF('[17]سجل المستخلصات'!$L$8="","",'[17]سجل المستخلصات'!$L$8)</f>
        <v/>
      </c>
      <c r="L27" s="60">
        <f>IF('[17]سجل المستخلصات'!$M$8="","",'[17]سجل المستخلصات'!$M$8)</f>
        <v/>
      </c>
      <c r="M27" s="60">
        <f>IF('[17]سجل المستخلصات'!$N$8="","",'[17]سجل المستخلصات'!$N$8)</f>
        <v/>
      </c>
      <c r="N27" s="59">
        <f>IF('[17]سجل المستخلصات'!$O$8="","",'[17]سجل المستخلصات'!$O$8)</f>
        <v/>
      </c>
      <c r="O27" s="59">
        <f>IF('[17]سجل المستخلصات'!$R$8="","",'[17]سجل المستخلصات'!$R$8)</f>
        <v/>
      </c>
      <c r="P27" s="59">
        <f>IF('[17]سجل المستخلصات'!$S$8="","",'[17]سجل المستخلصات'!$S$8)</f>
        <v/>
      </c>
      <c r="Q27" s="59">
        <f>IF('[17]سجل المستخلصات'!$T$8="","",'[17]سجل المستخلصات'!$T$8)</f>
        <v/>
      </c>
      <c r="R27" s="59">
        <f>IF('[17]سجل المستخلصات'!$V$8="","",'[17]سجل المستخلصات'!$V$8)</f>
        <v/>
      </c>
      <c r="S27" s="59">
        <f>IF('[17]سجل المستخلصات'!$W$8="","",'[17]سجل المستخلصات'!$W$8)</f>
        <v/>
      </c>
      <c r="T27" s="61">
        <f>IF('[17]سجل المستخلصات'!$X$8="","",'[17]سجل المستخلصات'!$X$8)</f>
        <v/>
      </c>
      <c r="U27" s="61">
        <f>IF('[17]سجل المستخلصات'!$Z$8="","",'[17]سجل المستخلصات'!$Z$8)</f>
        <v/>
      </c>
      <c r="V27" s="59">
        <f>IF('[17]سجل المستخلصات'!$AA$8="","",'[17]سجل المستخلصات'!$AA$8)</f>
        <v/>
      </c>
      <c r="W27" s="59">
        <f>IF('[17]سجل المستخلصات'!$AC$8="","",'[17]سجل المستخلصات'!$AC$8)</f>
        <v/>
      </c>
      <c r="X27" s="62">
        <f>IF('[17]سجل المستخلصات'!$AD$8="","",'[17]سجل المستخلصات'!$AD$8)</f>
        <v/>
      </c>
      <c r="Y27" s="58">
        <f>IF('[17]سجل المستخلصات'!$AE$8="","",'[17]سجل المستخلصات'!$AE$8)</f>
        <v/>
      </c>
      <c r="AA27" s="63" t="n"/>
      <c r="AB27" s="63" t="n"/>
    </row>
    <row r="28">
      <c r="B28" s="56" t="n">
        <v>4</v>
      </c>
      <c r="C28" s="57">
        <f>IF('[17]سجل المستخلصات'!$C$9="","",'[17]سجل المستخلصات'!$C$9)</f>
        <v/>
      </c>
      <c r="D28" s="57">
        <f>IF('[17]سجل المستخلصات'!$E$9="","",'[17]سجل المستخلصات'!$E$9)</f>
        <v/>
      </c>
      <c r="E28" s="58">
        <f>IF('[17]سجل المستخلصات'!$F$9="","",'[17]سجل المستخلصات'!$F$9)</f>
        <v/>
      </c>
      <c r="F28" s="59">
        <f>IF('[17]سجل المستخلصات'!$H$9="","",'[17]سجل المستخلصات'!$H$9)</f>
        <v/>
      </c>
      <c r="G28" s="59">
        <f>IF('[17]سجل المستخلصات'!$G$9="","",'[17]سجل المستخلصات'!$G$9)</f>
        <v/>
      </c>
      <c r="H28" s="59">
        <f>IF('[17]سجل المستخلصات'!$I$9="","",'[17]سجل المستخلصات'!$I$9)</f>
        <v/>
      </c>
      <c r="I28" s="59">
        <f>IF('[17]سجل المستخلصات'!$J$9="","",'[17]سجل المستخلصات'!$J$9)</f>
        <v/>
      </c>
      <c r="J28" s="59">
        <f>IF('[17]سجل المستخلصات'!$K$9="","",'[17]سجل المستخلصات'!$K$9)</f>
        <v/>
      </c>
      <c r="K28" s="60">
        <f>IF('[17]سجل المستخلصات'!$L$9="","",'[17]سجل المستخلصات'!$L$9)</f>
        <v/>
      </c>
      <c r="L28" s="60">
        <f>IF('[17]سجل المستخلصات'!$M$9="","",'[17]سجل المستخلصات'!$M$9)</f>
        <v/>
      </c>
      <c r="M28" s="60">
        <f>IF('[17]سجل المستخلصات'!$N$9="","",'[17]سجل المستخلصات'!$N$9)</f>
        <v/>
      </c>
      <c r="N28" s="59">
        <f>IF('[17]سجل المستخلصات'!$O$9="","",'[17]سجل المستخلصات'!$O$9)</f>
        <v/>
      </c>
      <c r="O28" s="59">
        <f>IF('[17]سجل المستخلصات'!$R$9="","",'[17]سجل المستخلصات'!$R$9)</f>
        <v/>
      </c>
      <c r="P28" s="59">
        <f>IF('[17]سجل المستخلصات'!$S$9="","",'[17]سجل المستخلصات'!$S$9)</f>
        <v/>
      </c>
      <c r="Q28" s="59">
        <f>IF('[17]سجل المستخلصات'!$T$9="","",'[17]سجل المستخلصات'!$T$9)</f>
        <v/>
      </c>
      <c r="R28" s="59">
        <f>IF('[17]سجل المستخلصات'!$V$9="","",'[17]سجل المستخلصات'!$V$9)</f>
        <v/>
      </c>
      <c r="S28" s="59">
        <f>IF('[17]سجل المستخلصات'!$W$9="","",'[17]سجل المستخلصات'!$W$9)</f>
        <v/>
      </c>
      <c r="T28" s="61">
        <f>IF('[17]سجل المستخلصات'!$X$9="","",'[17]سجل المستخلصات'!$X$9)</f>
        <v/>
      </c>
      <c r="U28" s="61">
        <f>IF('[17]سجل المستخلصات'!$Z$9="","",'[17]سجل المستخلصات'!$Z$9)</f>
        <v/>
      </c>
      <c r="V28" s="59">
        <f>IF('[17]سجل المستخلصات'!$AA$9="","",'[17]سجل المستخلصات'!$AA$9)</f>
        <v/>
      </c>
      <c r="W28" s="59">
        <f>IF('[17]سجل المستخلصات'!$AC$9="","",'[17]سجل المستخلصات'!$AC$9)</f>
        <v/>
      </c>
      <c r="X28" s="62">
        <f>IF('[17]سجل المستخلصات'!$AD$9="","",'[17]سجل المستخلصات'!$AD$9)</f>
        <v/>
      </c>
      <c r="Y28" s="58">
        <f>IF('[17]سجل المستخلصات'!$AE$9="","",'[17]سجل المستخلصات'!$AE$9)</f>
        <v/>
      </c>
      <c r="AA28" s="63" t="n"/>
      <c r="AB28" s="63" t="n"/>
    </row>
    <row r="29">
      <c r="B29" s="56" t="n">
        <v>5</v>
      </c>
      <c r="C29" s="57">
        <f>IF('[17]سجل المستخلصات'!$C$10="","",'[17]سجل المستخلصات'!$C$10)</f>
        <v/>
      </c>
      <c r="D29" s="57">
        <f>IF('[17]سجل المستخلصات'!$E$10="","",'[17]سجل المستخلصات'!$E$10)</f>
        <v/>
      </c>
      <c r="E29" s="58">
        <f>IF('[17]سجل المستخلصات'!$F$10="","",'[17]سجل المستخلصات'!$F$10)</f>
        <v/>
      </c>
      <c r="F29" s="59">
        <f>IF('[17]سجل المستخلصات'!$H$10="","",'[17]سجل المستخلصات'!$H$10)</f>
        <v/>
      </c>
      <c r="G29" s="59">
        <f>IF('[17]سجل المستخلصات'!$G$10="","",'[17]سجل المستخلصات'!$G$10)</f>
        <v/>
      </c>
      <c r="H29" s="59">
        <f>IF('[17]سجل المستخلصات'!$I$10="","",'[17]سجل المستخلصات'!$I$10)</f>
        <v/>
      </c>
      <c r="I29" s="59">
        <f>IF('[17]سجل المستخلصات'!$J$10="","",'[17]سجل المستخلصات'!$J$10)</f>
        <v/>
      </c>
      <c r="J29" s="59">
        <f>IF('[17]سجل المستخلصات'!$K$10="","",'[17]سجل المستخلصات'!$K$10)</f>
        <v/>
      </c>
      <c r="K29" s="60">
        <f>IF('[17]سجل المستخلصات'!$L$10="","",'[17]سجل المستخلصات'!$L$10)</f>
        <v/>
      </c>
      <c r="L29" s="60">
        <f>IF('[17]سجل المستخلصات'!$M$10="","",'[17]سجل المستخلصات'!$M$10)</f>
        <v/>
      </c>
      <c r="M29" s="60">
        <f>IF('[17]سجل المستخلصات'!$N$10="","",'[17]سجل المستخلصات'!$N$10)</f>
        <v/>
      </c>
      <c r="N29" s="59">
        <f>IF('[17]سجل المستخلصات'!$O$10="","",'[17]سجل المستخلصات'!$O$10)</f>
        <v/>
      </c>
      <c r="O29" s="59">
        <f>IF('[17]سجل المستخلصات'!$R$10="","",'[17]سجل المستخلصات'!$R$10)</f>
        <v/>
      </c>
      <c r="P29" s="59">
        <f>IF('[17]سجل المستخلصات'!$S$10="","",'[17]سجل المستخلصات'!$S$10)</f>
        <v/>
      </c>
      <c r="Q29" s="59">
        <f>IF('[17]سجل المستخلصات'!$T$10="","",'[17]سجل المستخلصات'!$T$10)</f>
        <v/>
      </c>
      <c r="R29" s="59">
        <f>IF('[17]سجل المستخلصات'!$V$10="","",'[17]سجل المستخلصات'!$V$10)</f>
        <v/>
      </c>
      <c r="S29" s="59">
        <f>IF('[17]سجل المستخلصات'!$W$10="","",'[17]سجل المستخلصات'!$W$10)</f>
        <v/>
      </c>
      <c r="T29" s="61">
        <f>IF('[17]سجل المستخلصات'!$X$10="","",'[17]سجل المستخلصات'!$X$10)</f>
        <v/>
      </c>
      <c r="U29" s="61">
        <f>IF('[17]سجل المستخلصات'!$Z$10="","",'[17]سجل المستخلصات'!$Z$10)</f>
        <v/>
      </c>
      <c r="V29" s="59">
        <f>IF('[17]سجل المستخلصات'!$AA$10="","",'[17]سجل المستخلصات'!$AA$10)</f>
        <v/>
      </c>
      <c r="W29" s="59">
        <f>IF('[17]سجل المستخلصات'!$AC$10="","",'[17]سجل المستخلصات'!$AC$10)</f>
        <v/>
      </c>
      <c r="X29" s="62">
        <f>IF('[17]سجل المستخلصات'!$AD$10="","",'[17]سجل المستخلصات'!$AD$10)</f>
        <v/>
      </c>
      <c r="Y29" s="58">
        <f>IF('[17]سجل المستخلصات'!$AE$10="","",'[17]سجل المستخلصات'!$AE$10)</f>
        <v/>
      </c>
    </row>
    <row r="30">
      <c r="B30" s="56" t="n">
        <v>6</v>
      </c>
      <c r="C30" s="57">
        <f>IF('[17]سجل المستخلصات'!$C$11="","",'[17]سجل المستخلصات'!$C$11)</f>
        <v/>
      </c>
      <c r="D30" s="57">
        <f>IF('[17]سجل المستخلصات'!$E$11="","",'[17]سجل المستخلصات'!$E$11)</f>
        <v/>
      </c>
      <c r="E30" s="58">
        <f>IF('[17]سجل المستخلصات'!$F$11="","",'[17]سجل المستخلصات'!$F$11)</f>
        <v/>
      </c>
      <c r="F30" s="59">
        <f>IF('[17]سجل المستخلصات'!$H$11="","",'[17]سجل المستخلصات'!$H$11)</f>
        <v/>
      </c>
      <c r="G30" s="59">
        <f>IF('[17]سجل المستخلصات'!$G$11="","",'[17]سجل المستخلصات'!$G$11)</f>
        <v/>
      </c>
      <c r="H30" s="59">
        <f>IF('[17]سجل المستخلصات'!$I$11="","",'[17]سجل المستخلصات'!$I$11)</f>
        <v/>
      </c>
      <c r="I30" s="59">
        <f>IF('[17]سجل المستخلصات'!$J$11="","",'[17]سجل المستخلصات'!$J$11)</f>
        <v/>
      </c>
      <c r="J30" s="59">
        <f>IF('[17]سجل المستخلصات'!$K$11="","",'[17]سجل المستخلصات'!$K$11)</f>
        <v/>
      </c>
      <c r="K30" s="60">
        <f>IF('[17]سجل المستخلصات'!$L$11="","",'[17]سجل المستخلصات'!$L$11)</f>
        <v/>
      </c>
      <c r="L30" s="60">
        <f>IF('[17]سجل المستخلصات'!$M$11="","",'[17]سجل المستخلصات'!$M$11)</f>
        <v/>
      </c>
      <c r="M30" s="60">
        <f>IF('[17]سجل المستخلصات'!$N$11="","",'[17]سجل المستخلصات'!$N$11)</f>
        <v/>
      </c>
      <c r="N30" s="59">
        <f>IF('[17]سجل المستخلصات'!$O$11="","",'[17]سجل المستخلصات'!$O$11)</f>
        <v/>
      </c>
      <c r="O30" s="59">
        <f>IF('[17]سجل المستخلصات'!$R$11="","",'[17]سجل المستخلصات'!$R$11)</f>
        <v/>
      </c>
      <c r="P30" s="59">
        <f>IF('[17]سجل المستخلصات'!$S$11="","",'[17]سجل المستخلصات'!$S$11)</f>
        <v/>
      </c>
      <c r="Q30" s="59">
        <f>IF('[17]سجل المستخلصات'!$T$11="","",'[17]سجل المستخلصات'!$T$11)</f>
        <v/>
      </c>
      <c r="R30" s="59">
        <f>IF('[17]سجل المستخلصات'!$V$11="","",'[17]سجل المستخلصات'!$V$11)</f>
        <v/>
      </c>
      <c r="S30" s="59">
        <f>IF('[17]سجل المستخلصات'!$W$11="","",'[17]سجل المستخلصات'!$W$11)</f>
        <v/>
      </c>
      <c r="T30" s="61">
        <f>IF('[17]سجل المستخلصات'!$X$11="","",'[17]سجل المستخلصات'!$X$11)</f>
        <v/>
      </c>
      <c r="U30" s="61">
        <f>IF('[17]سجل المستخلصات'!$Z$11="","",'[17]سجل المستخلصات'!$Z$11)</f>
        <v/>
      </c>
      <c r="V30" s="59">
        <f>IF('[17]سجل المستخلصات'!$AA$11="","",'[17]سجل المستخلصات'!$AA$11)</f>
        <v/>
      </c>
      <c r="W30" s="59">
        <f>IF('[17]سجل المستخلصات'!$AC$11="","",'[17]سجل المستخلصات'!$AC$11)</f>
        <v/>
      </c>
      <c r="X30" s="62">
        <f>IF('[17]سجل المستخلصات'!$AD$11="","",'[17]سجل المستخلصات'!$AD$11)</f>
        <v/>
      </c>
      <c r="Y30" s="58">
        <f>IF('[17]سجل المستخلصات'!$AE$11="","",'[17]سجل المستخلصات'!$AE$11)</f>
        <v/>
      </c>
    </row>
    <row r="31">
      <c r="B31" s="56" t="n">
        <v>7</v>
      </c>
      <c r="C31" s="57">
        <f>IF('[17]سجل المستخلصات'!$C$12="","",'[17]سجل المستخلصات'!$C$12)</f>
        <v/>
      </c>
      <c r="D31" s="57">
        <f>IF('[17]سجل المستخلصات'!$E$12="","",'[17]سجل المستخلصات'!$E$12)</f>
        <v/>
      </c>
      <c r="E31" s="58">
        <f>IF('[17]سجل المستخلصات'!$F$12="","",'[17]سجل المستخلصات'!$F$12)</f>
        <v/>
      </c>
      <c r="F31" s="59">
        <f>IF('[17]سجل المستخلصات'!$H$12="","",'[17]سجل المستخلصات'!$H$12)</f>
        <v/>
      </c>
      <c r="G31" s="59">
        <f>IF('[17]سجل المستخلصات'!$G$12="","",'[17]سجل المستخلصات'!$G$12)</f>
        <v/>
      </c>
      <c r="H31" s="59">
        <f>IF('[17]سجل المستخلصات'!$I$12="","",'[17]سجل المستخلصات'!$I$12)</f>
        <v/>
      </c>
      <c r="I31" s="59">
        <f>IF('[17]سجل المستخلصات'!$J$12="","",'[17]سجل المستخلصات'!$J$12)</f>
        <v/>
      </c>
      <c r="J31" s="59">
        <f>IF('[17]سجل المستخلصات'!$K$12="","",'[17]سجل المستخلصات'!$K$12)</f>
        <v/>
      </c>
      <c r="K31" s="60">
        <f>IF('[17]سجل المستخلصات'!$L$12="","",'[17]سجل المستخلصات'!$L$12)</f>
        <v/>
      </c>
      <c r="L31" s="60">
        <f>IF('[17]سجل المستخلصات'!$M$12="","",'[17]سجل المستخلصات'!$M$12)</f>
        <v/>
      </c>
      <c r="M31" s="60">
        <f>IF('[17]سجل المستخلصات'!$N$12="","",'[17]سجل المستخلصات'!$N$12)</f>
        <v/>
      </c>
      <c r="N31" s="59">
        <f>IF('[17]سجل المستخلصات'!$O$12="","",'[17]سجل المستخلصات'!$O$12)</f>
        <v/>
      </c>
      <c r="O31" s="59">
        <f>IF('[17]سجل المستخلصات'!$R$12="","",'[17]سجل المستخلصات'!$R$12)</f>
        <v/>
      </c>
      <c r="P31" s="59">
        <f>IF('[17]سجل المستخلصات'!$S$12="","",'[17]سجل المستخلصات'!$S$12)</f>
        <v/>
      </c>
      <c r="Q31" s="59">
        <f>IF('[17]سجل المستخلصات'!$T$12="","",'[17]سجل المستخلصات'!$T$12)</f>
        <v/>
      </c>
      <c r="R31" s="59">
        <f>IF('[17]سجل المستخلصات'!$V$12="","",'[17]سجل المستخلصات'!$V$12)</f>
        <v/>
      </c>
      <c r="S31" s="59">
        <f>IF('[17]سجل المستخلصات'!$W$12="","",'[17]سجل المستخلصات'!$W$12)</f>
        <v/>
      </c>
      <c r="T31" s="61">
        <f>IF('[17]سجل المستخلصات'!$X$12="","",'[17]سجل المستخلصات'!$X$12)</f>
        <v/>
      </c>
      <c r="U31" s="61">
        <f>IF('[17]سجل المستخلصات'!$Z$12="","",'[17]سجل المستخلصات'!$Z$12)</f>
        <v/>
      </c>
      <c r="V31" s="59">
        <f>IF('[17]سجل المستخلصات'!$AA$12="","",'[17]سجل المستخلصات'!$AA$12)</f>
        <v/>
      </c>
      <c r="W31" s="59">
        <f>IF('[17]سجل المستخلصات'!$AC$12="","",'[17]سجل المستخلصات'!$AC$12)</f>
        <v/>
      </c>
      <c r="X31" s="62">
        <f>IF('[17]سجل المستخلصات'!$AD$12="","",'[17]سجل المستخلصات'!$AD$12)</f>
        <v/>
      </c>
      <c r="Y31" s="58">
        <f>IF('[17]سجل المستخلصات'!$AE$12="","",'[17]سجل المستخلصات'!$AE$12)</f>
        <v/>
      </c>
    </row>
    <row r="32">
      <c r="B32" s="56" t="n">
        <v>8</v>
      </c>
      <c r="C32" s="57">
        <f>IF('[17]سجل المستخلصات'!$C$13="","",'[17]سجل المستخلصات'!$C$13)</f>
        <v/>
      </c>
      <c r="D32" s="57">
        <f>IF('[17]سجل المستخلصات'!$E$13="","",'[17]سجل المستخلصات'!$E$13)</f>
        <v/>
      </c>
      <c r="E32" s="58">
        <f>IF('[17]سجل المستخلصات'!$F$13="","",'[17]سجل المستخلصات'!$F$13)</f>
        <v/>
      </c>
      <c r="F32" s="59">
        <f>IF('[17]سجل المستخلصات'!$H$13="","",'[17]سجل المستخلصات'!$H$13)</f>
        <v/>
      </c>
      <c r="G32" s="59">
        <f>IF('[17]سجل المستخلصات'!$G$13="","",'[17]سجل المستخلصات'!$G$13)</f>
        <v/>
      </c>
      <c r="H32" s="59">
        <f>IF('[17]سجل المستخلصات'!$I$13="","",'[17]سجل المستخلصات'!$I$13)</f>
        <v/>
      </c>
      <c r="I32" s="59">
        <f>IF('[17]سجل المستخلصات'!$J$13="","",'[17]سجل المستخلصات'!$J$13)</f>
        <v/>
      </c>
      <c r="J32" s="59">
        <f>IF('[17]سجل المستخلصات'!$K$13="","",'[17]سجل المستخلصات'!$K$13)</f>
        <v/>
      </c>
      <c r="K32" s="60">
        <f>IF('[17]سجل المستخلصات'!$L$13="","",'[17]سجل المستخلصات'!$L$13)</f>
        <v/>
      </c>
      <c r="L32" s="60">
        <f>IF('[17]سجل المستخلصات'!$M$13="","",'[17]سجل المستخلصات'!$M$13)</f>
        <v/>
      </c>
      <c r="M32" s="60">
        <f>IF('[17]سجل المستخلصات'!$N$13="","",'[17]سجل المستخلصات'!$N$13)</f>
        <v/>
      </c>
      <c r="N32" s="59">
        <f>IF('[17]سجل المستخلصات'!$O$13="","",'[17]سجل المستخلصات'!$O$13)</f>
        <v/>
      </c>
      <c r="O32" s="59">
        <f>IF('[17]سجل المستخلصات'!$R$13="","",'[17]سجل المستخلصات'!$R$13)</f>
        <v/>
      </c>
      <c r="P32" s="59">
        <f>IF('[17]سجل المستخلصات'!$S$13="","",'[17]سجل المستخلصات'!$S$13)</f>
        <v/>
      </c>
      <c r="Q32" s="59">
        <f>IF('[17]سجل المستخلصات'!$T$13="","",'[17]سجل المستخلصات'!$T$13)</f>
        <v/>
      </c>
      <c r="R32" s="59">
        <f>IF('[17]سجل المستخلصات'!$V$13="","",'[17]سجل المستخلصات'!$V$13)</f>
        <v/>
      </c>
      <c r="S32" s="59">
        <f>IF('[17]سجل المستخلصات'!$W$13="","",'[17]سجل المستخلصات'!$W$13)</f>
        <v/>
      </c>
      <c r="T32" s="61">
        <f>IF('[17]سجل المستخلصات'!$X$13="","",'[17]سجل المستخلصات'!$X$13)</f>
        <v/>
      </c>
      <c r="U32" s="61">
        <f>IF('[17]سجل المستخلصات'!$Z$13="","",'[17]سجل المستخلصات'!$Z$13)</f>
        <v/>
      </c>
      <c r="V32" s="59">
        <f>IF('[17]سجل المستخلصات'!$AA$13="","",'[17]سجل المستخلصات'!$AA$13)</f>
        <v/>
      </c>
      <c r="W32" s="59">
        <f>IF('[17]سجل المستخلصات'!$AC$13="","",'[17]سجل المستخلصات'!$AC$13)</f>
        <v/>
      </c>
      <c r="X32" s="62">
        <f>IF('[17]سجل المستخلصات'!$AD$13="","",'[17]سجل المستخلصات'!$AD$13)</f>
        <v/>
      </c>
      <c r="Y32" s="58">
        <f>IF('[17]سجل المستخلصات'!$AE$13="","",'[17]سجل المستخلصات'!$AE$13)</f>
        <v/>
      </c>
    </row>
    <row r="33">
      <c r="B33" s="56" t="n">
        <v>9</v>
      </c>
      <c r="C33" s="57">
        <f>IF('[17]سجل المستخلصات'!$C$14="","",'[17]سجل المستخلصات'!$C$14)</f>
        <v/>
      </c>
      <c r="D33" s="57">
        <f>IF('[17]سجل المستخلصات'!$E$14="","",'[17]سجل المستخلصات'!$E$14)</f>
        <v/>
      </c>
      <c r="E33" s="58">
        <f>IF('[17]سجل المستخلصات'!$F$14="","",'[17]سجل المستخلصات'!$F$14)</f>
        <v/>
      </c>
      <c r="F33" s="59">
        <f>IF('[17]سجل المستخلصات'!$H$14="","",'[17]سجل المستخلصات'!$H$14)</f>
        <v/>
      </c>
      <c r="G33" s="59">
        <f>IF('[17]سجل المستخلصات'!$G$14="","",'[17]سجل المستخلصات'!$G$14)</f>
        <v/>
      </c>
      <c r="H33" s="59">
        <f>IF('[17]سجل المستخلصات'!$I$14="","",'[17]سجل المستخلصات'!$I$14)</f>
        <v/>
      </c>
      <c r="I33" s="59">
        <f>IF('[17]سجل المستخلصات'!$J$14="","",'[17]سجل المستخلصات'!$J$14)</f>
        <v/>
      </c>
      <c r="J33" s="59">
        <f>IF('[17]سجل المستخلصات'!$K$14="","",'[17]سجل المستخلصات'!$K$14)</f>
        <v/>
      </c>
      <c r="K33" s="60">
        <f>IF('[17]سجل المستخلصات'!$L$14="","",'[17]سجل المستخلصات'!$L$14)</f>
        <v/>
      </c>
      <c r="L33" s="60">
        <f>IF('[17]سجل المستخلصات'!$M$14="","",'[17]سجل المستخلصات'!$M$14)</f>
        <v/>
      </c>
      <c r="M33" s="60">
        <f>IF('[17]سجل المستخلصات'!$N$14="","",'[17]سجل المستخلصات'!$N$14)</f>
        <v/>
      </c>
      <c r="N33" s="59">
        <f>IF('[17]سجل المستخلصات'!$O$14="","",'[17]سجل المستخلصات'!$O$14)</f>
        <v/>
      </c>
      <c r="O33" s="59">
        <f>IF('[17]سجل المستخلصات'!$R$14="","",'[17]سجل المستخلصات'!$R$14)</f>
        <v/>
      </c>
      <c r="P33" s="59">
        <f>IF('[17]سجل المستخلصات'!$S$14="","",'[17]سجل المستخلصات'!$S$14)</f>
        <v/>
      </c>
      <c r="Q33" s="59">
        <f>IF('[17]سجل المستخلصات'!$T$14="","",'[17]سجل المستخلصات'!$T$14)</f>
        <v/>
      </c>
      <c r="R33" s="59">
        <f>IF('[17]سجل المستخلصات'!$V$14="","",'[17]سجل المستخلصات'!$V$14)</f>
        <v/>
      </c>
      <c r="S33" s="59">
        <f>IF('[17]سجل المستخلصات'!$W$14="","",'[17]سجل المستخلصات'!$W$14)</f>
        <v/>
      </c>
      <c r="T33" s="61">
        <f>IF('[17]سجل المستخلصات'!$X$14="","",'[17]سجل المستخلصات'!$X$14)</f>
        <v/>
      </c>
      <c r="U33" s="61">
        <f>IF('[17]سجل المستخلصات'!$Z$14="","",'[17]سجل المستخلصات'!$Z$14)</f>
        <v/>
      </c>
      <c r="V33" s="59">
        <f>IF('[17]سجل المستخلصات'!$AA$14="","",'[17]سجل المستخلصات'!$AA$14)</f>
        <v/>
      </c>
      <c r="W33" s="59">
        <f>IF('[17]سجل المستخلصات'!$AC$14="","",'[17]سجل المستخلصات'!$AC$14)</f>
        <v/>
      </c>
      <c r="X33" s="62">
        <f>IF('[17]سجل المستخلصات'!$AD$14="","",'[17]سجل المستخلصات'!$AD$14)</f>
        <v/>
      </c>
      <c r="Y33" s="58">
        <f>IF('[17]سجل المستخلصات'!$AE$14="","",'[17]سجل المستخلصات'!$AE$14)</f>
        <v/>
      </c>
    </row>
    <row r="34">
      <c r="B34" s="56" t="n">
        <v>10</v>
      </c>
      <c r="C34" s="57">
        <f>IF('[17]سجل المستخلصات'!$C$15="","",'[17]سجل المستخلصات'!$C$15)</f>
        <v/>
      </c>
      <c r="D34" s="57">
        <f>IF('[17]سجل المستخلصات'!$E$15="","",'[17]سجل المستخلصات'!$E$15)</f>
        <v/>
      </c>
      <c r="E34" s="58">
        <f>IF('[17]سجل المستخلصات'!$F$15="","",'[17]سجل المستخلصات'!$F$15)</f>
        <v/>
      </c>
      <c r="F34" s="59">
        <f>IF('[17]سجل المستخلصات'!$H$15="","",'[17]سجل المستخلصات'!$H$15)</f>
        <v/>
      </c>
      <c r="G34" s="59">
        <f>IF('[17]سجل المستخلصات'!$G$15="","",'[17]سجل المستخلصات'!$G$15)</f>
        <v/>
      </c>
      <c r="H34" s="59">
        <f>IF('[17]سجل المستخلصات'!$I$15="","",'[17]سجل المستخلصات'!$I$15)</f>
        <v/>
      </c>
      <c r="I34" s="59">
        <f>IF('[17]سجل المستخلصات'!$J$15="","",'[17]سجل المستخلصات'!$J$15)</f>
        <v/>
      </c>
      <c r="J34" s="59">
        <f>IF('[17]سجل المستخلصات'!$K$15="","",'[17]سجل المستخلصات'!$K$15)</f>
        <v/>
      </c>
      <c r="K34" s="60">
        <f>IF('[17]سجل المستخلصات'!$L$15="","",'[17]سجل المستخلصات'!$L$15)</f>
        <v/>
      </c>
      <c r="L34" s="60">
        <f>IF('[17]سجل المستخلصات'!$M$15="","",'[17]سجل المستخلصات'!$M$15)</f>
        <v/>
      </c>
      <c r="M34" s="60">
        <f>IF('[17]سجل المستخلصات'!$N$15="","",'[17]سجل المستخلصات'!$N$15)</f>
        <v/>
      </c>
      <c r="N34" s="59">
        <f>IF('[17]سجل المستخلصات'!$O$15="","",'[17]سجل المستخلصات'!$O$15)</f>
        <v/>
      </c>
      <c r="O34" s="59">
        <f>IF('[17]سجل المستخلصات'!$R$15="","",'[17]سجل المستخلصات'!$R$15)</f>
        <v/>
      </c>
      <c r="P34" s="59">
        <f>IF('[17]سجل المستخلصات'!$S$15="","",'[17]سجل المستخلصات'!$S$15)</f>
        <v/>
      </c>
      <c r="Q34" s="59">
        <f>IF('[17]سجل المستخلصات'!$T$15="","",'[17]سجل المستخلصات'!$T$15)</f>
        <v/>
      </c>
      <c r="R34" s="59">
        <f>IF('[17]سجل المستخلصات'!$V$15="","",'[17]سجل المستخلصات'!$V$15)</f>
        <v/>
      </c>
      <c r="S34" s="59">
        <f>IF('[17]سجل المستخلصات'!$W$15="","",'[17]سجل المستخلصات'!$W$15)</f>
        <v/>
      </c>
      <c r="T34" s="61">
        <f>IF('[17]سجل المستخلصات'!$X$15="","",'[17]سجل المستخلصات'!$X$15)</f>
        <v/>
      </c>
      <c r="U34" s="61">
        <f>IF('[17]سجل المستخلصات'!$Z$15="","",'[17]سجل المستخلصات'!$Z$15)</f>
        <v/>
      </c>
      <c r="V34" s="59">
        <f>IF('[17]سجل المستخلصات'!$AA$15="","",'[17]سجل المستخلصات'!$AA$15)</f>
        <v/>
      </c>
      <c r="W34" s="59">
        <f>IF('[17]سجل المستخلصات'!$AC$15="","",'[17]سجل المستخلصات'!$AC$15)</f>
        <v/>
      </c>
      <c r="X34" s="62">
        <f>IF('[17]سجل المستخلصات'!$AD$15="","",'[17]سجل المستخلصات'!$AD$15)</f>
        <v/>
      </c>
      <c r="Y34" s="58">
        <f>IF('[17]سجل المستخلصات'!$AE$15="","",'[17]سجل المستخلصات'!$AE$15)</f>
        <v/>
      </c>
    </row>
    <row r="35">
      <c r="B35" s="56" t="n">
        <v>11</v>
      </c>
      <c r="C35" s="57">
        <f>IF('[17]سجل المستخلصات'!$C$16="","",'[17]سجل المستخلصات'!$C$16)</f>
        <v/>
      </c>
      <c r="D35" s="57">
        <f>IF('[17]سجل المستخلصات'!$E$16="","",'[17]سجل المستخلصات'!$E$16)</f>
        <v/>
      </c>
      <c r="E35" s="58">
        <f>IF('[17]سجل المستخلصات'!$F$16="","",'[17]سجل المستخلصات'!$F$16)</f>
        <v/>
      </c>
      <c r="F35" s="59">
        <f>IF('[17]سجل المستخلصات'!$H$16="","",'[17]سجل المستخلصات'!$H$16)</f>
        <v/>
      </c>
      <c r="G35" s="59">
        <f>IF('[17]سجل المستخلصات'!$G$16="","",'[17]سجل المستخلصات'!$G$16)</f>
        <v/>
      </c>
      <c r="H35" s="59">
        <f>IF('[17]سجل المستخلصات'!$I$16="","",'[17]سجل المستخلصات'!$I$16)</f>
        <v/>
      </c>
      <c r="I35" s="59">
        <f>IF('[17]سجل المستخلصات'!$J$16="","",'[17]سجل المستخلصات'!$J$16)</f>
        <v/>
      </c>
      <c r="J35" s="59">
        <f>IF('[17]سجل المستخلصات'!$K$16="","",'[17]سجل المستخلصات'!$K$16)</f>
        <v/>
      </c>
      <c r="K35" s="60">
        <f>IF('[17]سجل المستخلصات'!$L$16="","",'[17]سجل المستخلصات'!$L$16)</f>
        <v/>
      </c>
      <c r="L35" s="60">
        <f>IF('[17]سجل المستخلصات'!$M$16="","",'[17]سجل المستخلصات'!$M$16)</f>
        <v/>
      </c>
      <c r="M35" s="60">
        <f>IF('[17]سجل المستخلصات'!$N$16="","",'[17]سجل المستخلصات'!$N$16)</f>
        <v/>
      </c>
      <c r="N35" s="59">
        <f>IF('[17]سجل المستخلصات'!$O$16="","",'[17]سجل المستخلصات'!$O$16)</f>
        <v/>
      </c>
      <c r="O35" s="59">
        <f>IF('[17]سجل المستخلصات'!$R$16="","",'[17]سجل المستخلصات'!$R$16)</f>
        <v/>
      </c>
      <c r="P35" s="59">
        <f>IF('[17]سجل المستخلصات'!$S$16="","",'[17]سجل المستخلصات'!$S$16)</f>
        <v/>
      </c>
      <c r="Q35" s="59">
        <f>IF('[17]سجل المستخلصات'!$T$16="","",'[17]سجل المستخلصات'!$T$16)</f>
        <v/>
      </c>
      <c r="R35" s="59">
        <f>IF('[17]سجل المستخلصات'!$V$16="","",'[17]سجل المستخلصات'!$V$16)</f>
        <v/>
      </c>
      <c r="S35" s="59">
        <f>IF('[17]سجل المستخلصات'!$W$16="","",'[17]سجل المستخلصات'!$W$16)</f>
        <v/>
      </c>
      <c r="T35" s="61">
        <f>IF('[17]سجل المستخلصات'!$X$16="","",'[17]سجل المستخلصات'!$X$16)</f>
        <v/>
      </c>
      <c r="U35" s="61">
        <f>IF('[17]سجل المستخلصات'!$Z$16="","",'[17]سجل المستخلصات'!$Z$16)</f>
        <v/>
      </c>
      <c r="V35" s="59">
        <f>IF('[17]سجل المستخلصات'!$AA$16="","",'[17]سجل المستخلصات'!$AA$16)</f>
        <v/>
      </c>
      <c r="W35" s="59">
        <f>IF('[17]سجل المستخلصات'!$AC$16="","",'[17]سجل المستخلصات'!$AC$16)</f>
        <v/>
      </c>
      <c r="X35" s="62">
        <f>IF('[17]سجل المستخلصات'!$AD$16="","",'[17]سجل المستخلصات'!$AD$16)</f>
        <v/>
      </c>
      <c r="Y35" s="58">
        <f>IF('[17]سجل المستخلصات'!$AE$16="","",'[17]سجل المستخلصات'!$AE$16)</f>
        <v/>
      </c>
    </row>
    <row r="36">
      <c r="B36" s="56" t="n">
        <v>12</v>
      </c>
      <c r="C36" s="57">
        <f>IF('[17]سجل المستخلصات'!$C$17="","",'[17]سجل المستخلصات'!$C$17)</f>
        <v/>
      </c>
      <c r="D36" s="57">
        <f>IF('[17]سجل المستخلصات'!$E$17="","",'[17]سجل المستخلصات'!$E$17)</f>
        <v/>
      </c>
      <c r="E36" s="58">
        <f>IF('[17]سجل المستخلصات'!$F$17="","",'[17]سجل المستخلصات'!$F$17)</f>
        <v/>
      </c>
      <c r="F36" s="59">
        <f>IF('[17]سجل المستخلصات'!$H$17="","",'[17]سجل المستخلصات'!$H$17)</f>
        <v/>
      </c>
      <c r="G36" s="59">
        <f>IF('[17]سجل المستخلصات'!$G$17="","",'[17]سجل المستخلصات'!$G$17)</f>
        <v/>
      </c>
      <c r="H36" s="59">
        <f>IF('[17]سجل المستخلصات'!$I$17="","",'[17]سجل المستخلصات'!$I$17)</f>
        <v/>
      </c>
      <c r="I36" s="59">
        <f>IF('[17]سجل المستخلصات'!$J$17="","",'[17]سجل المستخلصات'!$J$17)</f>
        <v/>
      </c>
      <c r="J36" s="59">
        <f>IF('[17]سجل المستخلصات'!$K$17="","",'[17]سجل المستخلصات'!$K$17)</f>
        <v/>
      </c>
      <c r="K36" s="60">
        <f>IF('[17]سجل المستخلصات'!$L$17="","",'[17]سجل المستخلصات'!$L$17)</f>
        <v/>
      </c>
      <c r="L36" s="60">
        <f>IF('[17]سجل المستخلصات'!$M$17="","",'[17]سجل المستخلصات'!$M$17)</f>
        <v/>
      </c>
      <c r="M36" s="60">
        <f>IF('[17]سجل المستخلصات'!$N$17="","",'[17]سجل المستخلصات'!$N$17)</f>
        <v/>
      </c>
      <c r="N36" s="59">
        <f>IF('[17]سجل المستخلصات'!$O$17="","",'[17]سجل المستخلصات'!$O$17)</f>
        <v/>
      </c>
      <c r="O36" s="59">
        <f>IF('[17]سجل المستخلصات'!$R$17="","",'[17]سجل المستخلصات'!$R$17)</f>
        <v/>
      </c>
      <c r="P36" s="59">
        <f>IF('[17]سجل المستخلصات'!$S$17="","",'[17]سجل المستخلصات'!$S$17)</f>
        <v/>
      </c>
      <c r="Q36" s="59">
        <f>IF('[17]سجل المستخلصات'!$T$17="","",'[17]سجل المستخلصات'!$T$17)</f>
        <v/>
      </c>
      <c r="R36" s="59">
        <f>IF('[17]سجل المستخلصات'!$V$17="","",'[17]سجل المستخلصات'!$V$17)</f>
        <v/>
      </c>
      <c r="S36" s="59">
        <f>IF('[17]سجل المستخلصات'!$W$17="","",'[17]سجل المستخلصات'!$W$17)</f>
        <v/>
      </c>
      <c r="T36" s="61">
        <f>IF('[17]سجل المستخلصات'!$X$17="","",'[17]سجل المستخلصات'!$X$17)</f>
        <v/>
      </c>
      <c r="U36" s="61">
        <f>IF('[17]سجل المستخلصات'!$Z$17="","",'[17]سجل المستخلصات'!$Z$17)</f>
        <v/>
      </c>
      <c r="V36" s="59">
        <f>IF('[17]سجل المستخلصات'!$AA$17="","",'[17]سجل المستخلصات'!$AA$17)</f>
        <v/>
      </c>
      <c r="W36" s="59">
        <f>IF('[17]سجل المستخلصات'!$AC$17="","",'[17]سجل المستخلصات'!$AC$17)</f>
        <v/>
      </c>
      <c r="X36" s="62">
        <f>IF('[17]سجل المستخلصات'!$AD$17="","",'[17]سجل المستخلصات'!$AD$17)</f>
        <v/>
      </c>
      <c r="Y36" s="58">
        <f>IF('[17]سجل المستخلصات'!$AE$17="","",'[17]سجل المستخلصات'!$AE$17)</f>
        <v/>
      </c>
    </row>
    <row r="37">
      <c r="B37" s="56" t="n">
        <v>13</v>
      </c>
      <c r="C37" s="57">
        <f>IF('[17]سجل المستخلصات'!$C$18="","",'[17]سجل المستخلصات'!$C$18)</f>
        <v/>
      </c>
      <c r="D37" s="57">
        <f>IF('[17]سجل المستخلصات'!$E$18="","",'[17]سجل المستخلصات'!$E$18)</f>
        <v/>
      </c>
      <c r="E37" s="58">
        <f>IF('[17]سجل المستخلصات'!$F$18="","",'[17]سجل المستخلصات'!$F$18)</f>
        <v/>
      </c>
      <c r="F37" s="59">
        <f>IF('[17]سجل المستخلصات'!$H$18="","",'[17]سجل المستخلصات'!$H$18)</f>
        <v/>
      </c>
      <c r="G37" s="59">
        <f>IF('[17]سجل المستخلصات'!$G$18="","",'[17]سجل المستخلصات'!$G$18)</f>
        <v/>
      </c>
      <c r="H37" s="59">
        <f>IF('[17]سجل المستخلصات'!$I$18="","",'[17]سجل المستخلصات'!$I$18)</f>
        <v/>
      </c>
      <c r="I37" s="59">
        <f>IF('[17]سجل المستخلصات'!$J$18="","",'[17]سجل المستخلصات'!$J$18)</f>
        <v/>
      </c>
      <c r="J37" s="59">
        <f>IF('[17]سجل المستخلصات'!$K$18="","",'[17]سجل المستخلصات'!$K$18)</f>
        <v/>
      </c>
      <c r="K37" s="60">
        <f>IF('[17]سجل المستخلصات'!$L$18="","",'[17]سجل المستخلصات'!$L$18)</f>
        <v/>
      </c>
      <c r="L37" s="60">
        <f>IF('[17]سجل المستخلصات'!$M$18="","",'[17]سجل المستخلصات'!$M$18)</f>
        <v/>
      </c>
      <c r="M37" s="60">
        <f>IF('[17]سجل المستخلصات'!$N$18="","",'[17]سجل المستخلصات'!$N$18)</f>
        <v/>
      </c>
      <c r="N37" s="59">
        <f>IF('[17]سجل المستخلصات'!$O$18="","",'[17]سجل المستخلصات'!$O$18)</f>
        <v/>
      </c>
      <c r="O37" s="59">
        <f>IF('[17]سجل المستخلصات'!$R$18="","",'[17]سجل المستخلصات'!$R$18)</f>
        <v/>
      </c>
      <c r="P37" s="59">
        <f>IF('[17]سجل المستخلصات'!$S$18="","",'[17]سجل المستخلصات'!$S$18)</f>
        <v/>
      </c>
      <c r="Q37" s="59">
        <f>IF('[17]سجل المستخلصات'!$T$18="","",'[17]سجل المستخلصات'!$T$18)</f>
        <v/>
      </c>
      <c r="R37" s="59">
        <f>IF('[17]سجل المستخلصات'!$V$18="","",'[17]سجل المستخلصات'!$V$18)</f>
        <v/>
      </c>
      <c r="S37" s="59">
        <f>IF('[17]سجل المستخلصات'!$W$18="","",'[17]سجل المستخلصات'!$W$18)</f>
        <v/>
      </c>
      <c r="T37" s="61">
        <f>IF('[17]سجل المستخلصات'!$X$18="","",'[17]سجل المستخلصات'!$X$18)</f>
        <v/>
      </c>
      <c r="U37" s="61">
        <f>IF('[17]سجل المستخلصات'!$Z$18="","",'[17]سجل المستخلصات'!$Z$18)</f>
        <v/>
      </c>
      <c r="V37" s="59">
        <f>IF('[17]سجل المستخلصات'!$AA$18="","",'[17]سجل المستخلصات'!$AA$18)</f>
        <v/>
      </c>
      <c r="W37" s="59">
        <f>IF('[17]سجل المستخلصات'!$AC$18="","",'[17]سجل المستخلصات'!$AC$18)</f>
        <v/>
      </c>
      <c r="X37" s="62">
        <f>IF('[17]سجل المستخلصات'!$AD$18="","",'[17]سجل المستخلصات'!$AD$18)</f>
        <v/>
      </c>
      <c r="Y37" s="58">
        <f>IF('[17]سجل المستخلصات'!$AE$18="","",'[17]سجل المستخلصات'!$AE$18)</f>
        <v/>
      </c>
    </row>
    <row r="38">
      <c r="B38" s="56" t="n">
        <v>14</v>
      </c>
      <c r="C38" s="57">
        <f>IF('[17]سجل المستخلصات'!$C$19="","",'[17]سجل المستخلصات'!$C$19)</f>
        <v/>
      </c>
      <c r="D38" s="57">
        <f>IF('[17]سجل المستخلصات'!$E$19="","",'[17]سجل المستخلصات'!$E$19)</f>
        <v/>
      </c>
      <c r="E38" s="58">
        <f>IF('[17]سجل المستخلصات'!$F$19="","",'[17]سجل المستخلصات'!$F$19)</f>
        <v/>
      </c>
      <c r="F38" s="59">
        <f>IF('[17]سجل المستخلصات'!$H$19="","",'[17]سجل المستخلصات'!$H$19)</f>
        <v/>
      </c>
      <c r="G38" s="59">
        <f>IF('[17]سجل المستخلصات'!$G$19="","",'[17]سجل المستخلصات'!$G$19)</f>
        <v/>
      </c>
      <c r="H38" s="59">
        <f>IF('[17]سجل المستخلصات'!$I$19="","",'[17]سجل المستخلصات'!$I$19)</f>
        <v/>
      </c>
      <c r="I38" s="59">
        <f>IF('[17]سجل المستخلصات'!$J$19="","",'[17]سجل المستخلصات'!$J$19)</f>
        <v/>
      </c>
      <c r="J38" s="59">
        <f>IF('[17]سجل المستخلصات'!$K$19="","",'[17]سجل المستخلصات'!$K$19)</f>
        <v/>
      </c>
      <c r="K38" s="60">
        <f>IF('[17]سجل المستخلصات'!$L$19="","",'[17]سجل المستخلصات'!$L$19)</f>
        <v/>
      </c>
      <c r="L38" s="60">
        <f>IF('[17]سجل المستخلصات'!$M$19="","",'[17]سجل المستخلصات'!$M$19)</f>
        <v/>
      </c>
      <c r="M38" s="60">
        <f>IF('[17]سجل المستخلصات'!$N$19="","",'[17]سجل المستخلصات'!$N$19)</f>
        <v/>
      </c>
      <c r="N38" s="59">
        <f>IF('[17]سجل المستخلصات'!$O$19="","",'[17]سجل المستخلصات'!$O$19)</f>
        <v/>
      </c>
      <c r="O38" s="59">
        <f>IF('[17]سجل المستخلصات'!$R$19="","",'[17]سجل المستخلصات'!$R$19)</f>
        <v/>
      </c>
      <c r="P38" s="59">
        <f>IF('[17]سجل المستخلصات'!$S$19="","",'[17]سجل المستخلصات'!$S$19)</f>
        <v/>
      </c>
      <c r="Q38" s="59">
        <f>IF('[17]سجل المستخلصات'!$T$19="","",'[17]سجل المستخلصات'!$T$19)</f>
        <v/>
      </c>
      <c r="R38" s="59">
        <f>IF('[17]سجل المستخلصات'!$V$19="","",'[17]سجل المستخلصات'!$V$19)</f>
        <v/>
      </c>
      <c r="S38" s="59">
        <f>IF('[17]سجل المستخلصات'!$W$19="","",'[17]سجل المستخلصات'!$W$19)</f>
        <v/>
      </c>
      <c r="T38" s="61">
        <f>IF('[17]سجل المستخلصات'!$X$19="","",'[17]سجل المستخلصات'!$X$19)</f>
        <v/>
      </c>
      <c r="U38" s="61">
        <f>IF('[17]سجل المستخلصات'!$Z$19="","",'[17]سجل المستخلصات'!$Z$19)</f>
        <v/>
      </c>
      <c r="V38" s="59">
        <f>IF('[17]سجل المستخلصات'!$AA$19="","",'[17]سجل المستخلصات'!$AA$19)</f>
        <v/>
      </c>
      <c r="W38" s="59">
        <f>IF('[17]سجل المستخلصات'!$AC$19="","",'[17]سجل المستخلصات'!$AC$19)</f>
        <v/>
      </c>
      <c r="X38" s="62">
        <f>IF('[17]سجل المستخلصات'!$AD$19="","",'[17]سجل المستخلصات'!$AD$19)</f>
        <v/>
      </c>
      <c r="Y38" s="58">
        <f>IF('[17]سجل المستخلصات'!$AE$19="","",'[17]سجل المستخلصات'!$AE$19)</f>
        <v/>
      </c>
    </row>
    <row r="39">
      <c r="B39" s="56" t="n">
        <v>15</v>
      </c>
      <c r="C39" s="57">
        <f>IF('[17]سجل المستخلصات'!$C$20="","",'[17]سجل المستخلصات'!$C$20)</f>
        <v/>
      </c>
      <c r="D39" s="57">
        <f>IF('[17]سجل المستخلصات'!$E$20="","",'[17]سجل المستخلصات'!$E$20)</f>
        <v/>
      </c>
      <c r="E39" s="58">
        <f>IF('[17]سجل المستخلصات'!$F$20="","",'[17]سجل المستخلصات'!$F$20)</f>
        <v/>
      </c>
      <c r="F39" s="59">
        <f>IF('[17]سجل المستخلصات'!$H$20="","",'[17]سجل المستخلصات'!$H$20)</f>
        <v/>
      </c>
      <c r="G39" s="59">
        <f>IF('[17]سجل المستخلصات'!$G$20="","",'[17]سجل المستخلصات'!$G$20)</f>
        <v/>
      </c>
      <c r="H39" s="59">
        <f>IF('[17]سجل المستخلصات'!$I$20="","",'[17]سجل المستخلصات'!$I$20)</f>
        <v/>
      </c>
      <c r="I39" s="59">
        <f>IF('[17]سجل المستخلصات'!$J$20="","",'[17]سجل المستخلصات'!$J$20)</f>
        <v/>
      </c>
      <c r="J39" s="59">
        <f>IF('[17]سجل المستخلصات'!$K$20="","",'[17]سجل المستخلصات'!$K$20)</f>
        <v/>
      </c>
      <c r="K39" s="60">
        <f>IF('[17]سجل المستخلصات'!$L$20="","",'[17]سجل المستخلصات'!$L$20)</f>
        <v/>
      </c>
      <c r="L39" s="60">
        <f>IF('[17]سجل المستخلصات'!$M$20="","",'[17]سجل المستخلصات'!$M$20)</f>
        <v/>
      </c>
      <c r="M39" s="60">
        <f>IF('[17]سجل المستخلصات'!$N$20="","",'[17]سجل المستخلصات'!$N$20)</f>
        <v/>
      </c>
      <c r="N39" s="59">
        <f>IF('[17]سجل المستخلصات'!$O$20="","",'[17]سجل المستخلصات'!$O$20)</f>
        <v/>
      </c>
      <c r="O39" s="59">
        <f>IF('[17]سجل المستخلصات'!$R$20="","",'[17]سجل المستخلصات'!$R$20)</f>
        <v/>
      </c>
      <c r="P39" s="59">
        <f>IF('[17]سجل المستخلصات'!$S$20="","",'[17]سجل المستخلصات'!$S$20)</f>
        <v/>
      </c>
      <c r="Q39" s="59">
        <f>IF('[17]سجل المستخلصات'!$T$20="","",'[17]سجل المستخلصات'!$T$20)</f>
        <v/>
      </c>
      <c r="R39" s="59">
        <f>IF('[17]سجل المستخلصات'!$V$20="","",'[17]سجل المستخلصات'!$V$20)</f>
        <v/>
      </c>
      <c r="S39" s="59">
        <f>IF('[17]سجل المستخلصات'!$W$20="","",'[17]سجل المستخلصات'!$W$20)</f>
        <v/>
      </c>
      <c r="T39" s="61">
        <f>IF('[17]سجل المستخلصات'!$X$20="","",'[17]سجل المستخلصات'!$X$20)</f>
        <v/>
      </c>
      <c r="U39" s="61">
        <f>IF('[17]سجل المستخلصات'!$Z$20="","",'[17]سجل المستخلصات'!$Z$20)</f>
        <v/>
      </c>
      <c r="V39" s="59">
        <f>IF('[17]سجل المستخلصات'!$AA$20="","",'[17]سجل المستخلصات'!$AA$20)</f>
        <v/>
      </c>
      <c r="W39" s="59">
        <f>IF('[17]سجل المستخلصات'!$AC$20="","",'[17]سجل المستخلصات'!$AC$20)</f>
        <v/>
      </c>
      <c r="X39" s="62">
        <f>IF('[17]سجل المستخلصات'!$AD$20="","",'[17]سجل المستخلصات'!$AD$20)</f>
        <v/>
      </c>
      <c r="Y39" s="58">
        <f>IF('[17]سجل المستخلصات'!$AE$20="","",'[17]سجل المستخلصات'!$AE$20)</f>
        <v/>
      </c>
    </row>
    <row r="40">
      <c r="B40" s="56" t="n">
        <v>16</v>
      </c>
      <c r="C40" s="57">
        <f>IF('[17]سجل المستخلصات'!$C$21="","",'[17]سجل المستخلصات'!$C$21)</f>
        <v/>
      </c>
      <c r="D40" s="57">
        <f>IF('[17]سجل المستخلصات'!$E$21="","",'[17]سجل المستخلصات'!$E$21)</f>
        <v/>
      </c>
      <c r="E40" s="58">
        <f>IF('[17]سجل المستخلصات'!$F$21="","",'[17]سجل المستخلصات'!$F$21)</f>
        <v/>
      </c>
      <c r="F40" s="59">
        <f>IF('[17]سجل المستخلصات'!$H$21="","",'[17]سجل المستخلصات'!$H$21)</f>
        <v/>
      </c>
      <c r="G40" s="59">
        <f>IF('[17]سجل المستخلصات'!$G$21="","",'[17]سجل المستخلصات'!$G$21)</f>
        <v/>
      </c>
      <c r="H40" s="59">
        <f>IF('[17]سجل المستخلصات'!$I$21="","",'[17]سجل المستخلصات'!$I$21)</f>
        <v/>
      </c>
      <c r="I40" s="59">
        <f>IF('[17]سجل المستخلصات'!$J$21="","",'[17]سجل المستخلصات'!$J$21)</f>
        <v/>
      </c>
      <c r="J40" s="59">
        <f>IF('[17]سجل المستخلصات'!$K$21="","",'[17]سجل المستخلصات'!$K$21)</f>
        <v/>
      </c>
      <c r="K40" s="60">
        <f>IF('[17]سجل المستخلصات'!$L$21="","",'[17]سجل المستخلصات'!$L$21)</f>
        <v/>
      </c>
      <c r="L40" s="60">
        <f>IF('[17]سجل المستخلصات'!$M$21="","",'[17]سجل المستخلصات'!$M$21)</f>
        <v/>
      </c>
      <c r="M40" s="60">
        <f>IF('[17]سجل المستخلصات'!$N$21="","",'[17]سجل المستخلصات'!$N$21)</f>
        <v/>
      </c>
      <c r="N40" s="59">
        <f>IF('[17]سجل المستخلصات'!$O$21="","",'[17]سجل المستخلصات'!$O$21)</f>
        <v/>
      </c>
      <c r="O40" s="59">
        <f>IF('[17]سجل المستخلصات'!$R$21="","",'[17]سجل المستخلصات'!$R$21)</f>
        <v/>
      </c>
      <c r="P40" s="59">
        <f>IF('[17]سجل المستخلصات'!$S$21="","",'[17]سجل المستخلصات'!$S$21)</f>
        <v/>
      </c>
      <c r="Q40" s="59">
        <f>IF('[17]سجل المستخلصات'!$T$21="","",'[17]سجل المستخلصات'!$T$21)</f>
        <v/>
      </c>
      <c r="R40" s="59">
        <f>IF('[17]سجل المستخلصات'!$V$21="","",'[17]سجل المستخلصات'!$V$21)</f>
        <v/>
      </c>
      <c r="S40" s="59">
        <f>IF('[17]سجل المستخلصات'!$W$21="","",'[17]سجل المستخلصات'!$W$21)</f>
        <v/>
      </c>
      <c r="T40" s="61">
        <f>IF('[17]سجل المستخلصات'!$X$21="","",'[17]سجل المستخلصات'!$X$21)</f>
        <v/>
      </c>
      <c r="U40" s="61">
        <f>IF('[17]سجل المستخلصات'!$Z$21="","",'[17]سجل المستخلصات'!$Z$21)</f>
        <v/>
      </c>
      <c r="V40" s="59">
        <f>IF('[17]سجل المستخلصات'!$AA$21="","",'[17]سجل المستخلصات'!$AA$21)</f>
        <v/>
      </c>
      <c r="W40" s="59">
        <f>IF('[17]سجل المستخلصات'!$AC$21="","",'[17]سجل المستخلصات'!$AC$21)</f>
        <v/>
      </c>
      <c r="X40" s="62">
        <f>IF('[17]سجل المستخلصات'!$AD$21="","",'[17]سجل المستخلصات'!$AD$21)</f>
        <v/>
      </c>
      <c r="Y40" s="58">
        <f>IF('[17]سجل المستخلصات'!$AE$21="","",'[17]سجل المستخلصات'!$AE$21)</f>
        <v/>
      </c>
    </row>
    <row r="41">
      <c r="B41" s="56" t="n">
        <v>17</v>
      </c>
      <c r="C41" s="57">
        <f>IF('[17]سجل المستخلصات'!$C$22="","",'[17]سجل المستخلصات'!$C$22)</f>
        <v/>
      </c>
      <c r="D41" s="57">
        <f>IF('[17]سجل المستخلصات'!$E$22="","",'[17]سجل المستخلصات'!$E$22)</f>
        <v/>
      </c>
      <c r="E41" s="58">
        <f>IF('[17]سجل المستخلصات'!$F$22="","",'[17]سجل المستخلصات'!$F$22)</f>
        <v/>
      </c>
      <c r="F41" s="59">
        <f>IF('[17]سجل المستخلصات'!$H$22="","",'[17]سجل المستخلصات'!$H$22)</f>
        <v/>
      </c>
      <c r="G41" s="59">
        <f>IF('[17]سجل المستخلصات'!$G$22="","",'[17]سجل المستخلصات'!$G$22)</f>
        <v/>
      </c>
      <c r="H41" s="59">
        <f>IF('[17]سجل المستخلصات'!$I$22="","",'[17]سجل المستخلصات'!$I$22)</f>
        <v/>
      </c>
      <c r="I41" s="59">
        <f>IF('[17]سجل المستخلصات'!$J$22="","",'[17]سجل المستخلصات'!$J$22)</f>
        <v/>
      </c>
      <c r="J41" s="59">
        <f>IF('[17]سجل المستخلصات'!$K$22="","",'[17]سجل المستخلصات'!$K$22)</f>
        <v/>
      </c>
      <c r="K41" s="60">
        <f>IF('[17]سجل المستخلصات'!$L$22="","",'[17]سجل المستخلصات'!$L$22)</f>
        <v/>
      </c>
      <c r="L41" s="60">
        <f>IF('[17]سجل المستخلصات'!$M$22="","",'[17]سجل المستخلصات'!$M$22)</f>
        <v/>
      </c>
      <c r="M41" s="60">
        <f>IF('[17]سجل المستخلصات'!$N$22="","",'[17]سجل المستخلصات'!$N$22)</f>
        <v/>
      </c>
      <c r="N41" s="59">
        <f>IF('[17]سجل المستخلصات'!$O$22="","",'[17]سجل المستخلصات'!$O$22)</f>
        <v/>
      </c>
      <c r="O41" s="59">
        <f>IF('[17]سجل المستخلصات'!$R$22="","",'[17]سجل المستخلصات'!$R$22)</f>
        <v/>
      </c>
      <c r="P41" s="59">
        <f>IF('[17]سجل المستخلصات'!$S$22="","",'[17]سجل المستخلصات'!$S$22)</f>
        <v/>
      </c>
      <c r="Q41" s="59">
        <f>IF('[17]سجل المستخلصات'!$T$22="","",'[17]سجل المستخلصات'!$T$22)</f>
        <v/>
      </c>
      <c r="R41" s="59">
        <f>IF('[17]سجل المستخلصات'!$V$22="","",'[17]سجل المستخلصات'!$V$22)</f>
        <v/>
      </c>
      <c r="S41" s="59">
        <f>IF('[17]سجل المستخلصات'!$W$22="","",'[17]سجل المستخلصات'!$W$22)</f>
        <v/>
      </c>
      <c r="T41" s="61">
        <f>IF('[17]سجل المستخلصات'!$X$22="","",'[17]سجل المستخلصات'!$X$22)</f>
        <v/>
      </c>
      <c r="U41" s="61">
        <f>IF('[17]سجل المستخلصات'!$Z$22="","",'[17]سجل المستخلصات'!$Z$22)</f>
        <v/>
      </c>
      <c r="V41" s="59">
        <f>IF('[17]سجل المستخلصات'!$AA$22="","",'[17]سجل المستخلصات'!$AA$22)</f>
        <v/>
      </c>
      <c r="W41" s="59">
        <f>IF('[17]سجل المستخلصات'!$AC$22="","",'[17]سجل المستخلصات'!$AC$22)</f>
        <v/>
      </c>
      <c r="X41" s="62">
        <f>IF('[17]سجل المستخلصات'!$AD$22="","",'[17]سجل المستخلصات'!$AD$22)</f>
        <v/>
      </c>
      <c r="Y41" s="58">
        <f>IF('[17]سجل المستخلصات'!$AE$22="","",'[17]سجل المستخلصات'!$AE$22)</f>
        <v/>
      </c>
    </row>
    <row r="42">
      <c r="B42" s="56" t="n">
        <v>18</v>
      </c>
      <c r="C42" s="57">
        <f>IF('[17]سجل المستخلصات'!$C$23="","",'[17]سجل المستخلصات'!$C$23)</f>
        <v/>
      </c>
      <c r="D42" s="57">
        <f>IF('[17]سجل المستخلصات'!$E$23="","",'[17]سجل المستخلصات'!$E$23)</f>
        <v/>
      </c>
      <c r="E42" s="58">
        <f>IF('[17]سجل المستخلصات'!$F$23="","",'[17]سجل المستخلصات'!$F$23)</f>
        <v/>
      </c>
      <c r="F42" s="59">
        <f>IF('[17]سجل المستخلصات'!$H$23="","",'[17]سجل المستخلصات'!$H$23)</f>
        <v/>
      </c>
      <c r="G42" s="59">
        <f>IF('[17]سجل المستخلصات'!$G$23="","",'[17]سجل المستخلصات'!$G$23)</f>
        <v/>
      </c>
      <c r="H42" s="59">
        <f>IF('[17]سجل المستخلصات'!$I$23="","",'[17]سجل المستخلصات'!$I$23)</f>
        <v/>
      </c>
      <c r="I42" s="59">
        <f>IF('[17]سجل المستخلصات'!$J$23="","",'[17]سجل المستخلصات'!$J$23)</f>
        <v/>
      </c>
      <c r="J42" s="59">
        <f>IF('[17]سجل المستخلصات'!$K$23="","",'[17]سجل المستخلصات'!$K$23)</f>
        <v/>
      </c>
      <c r="K42" s="60">
        <f>IF('[17]سجل المستخلصات'!$L$23="","",'[17]سجل المستخلصات'!$L$23)</f>
        <v/>
      </c>
      <c r="L42" s="60">
        <f>IF('[17]سجل المستخلصات'!$M$23="","",'[17]سجل المستخلصات'!$M$23)</f>
        <v/>
      </c>
      <c r="M42" s="60">
        <f>IF('[17]سجل المستخلصات'!$N$23="","",'[17]سجل المستخلصات'!$N$23)</f>
        <v/>
      </c>
      <c r="N42" s="59">
        <f>IF('[17]سجل المستخلصات'!$O$23="","",'[17]سجل المستخلصات'!$O$23)</f>
        <v/>
      </c>
      <c r="O42" s="59">
        <f>IF('[17]سجل المستخلصات'!$R$23="","",'[17]سجل المستخلصات'!$R$23)</f>
        <v/>
      </c>
      <c r="P42" s="59">
        <f>IF('[17]سجل المستخلصات'!$S$23="","",'[17]سجل المستخلصات'!$S$23)</f>
        <v/>
      </c>
      <c r="Q42" s="59">
        <f>IF('[17]سجل المستخلصات'!$T$23="","",'[17]سجل المستخلصات'!$T$23)</f>
        <v/>
      </c>
      <c r="R42" s="59">
        <f>IF('[17]سجل المستخلصات'!$V$23="","",'[17]سجل المستخلصات'!$V$23)</f>
        <v/>
      </c>
      <c r="S42" s="59">
        <f>IF('[17]سجل المستخلصات'!$W$23="","",'[17]سجل المستخلصات'!$W$23)</f>
        <v/>
      </c>
      <c r="T42" s="61">
        <f>IF('[17]سجل المستخلصات'!$X$23="","",'[17]سجل المستخلصات'!$X$23)</f>
        <v/>
      </c>
      <c r="U42" s="61">
        <f>IF('[17]سجل المستخلصات'!$Z$23="","",'[17]سجل المستخلصات'!$Z$23)</f>
        <v/>
      </c>
      <c r="V42" s="59">
        <f>IF('[17]سجل المستخلصات'!$AA$23="","",'[17]سجل المستخلصات'!$AA$23)</f>
        <v/>
      </c>
      <c r="W42" s="59">
        <f>IF('[17]سجل المستخلصات'!$AC$23="","",'[17]سجل المستخلصات'!$AC$23)</f>
        <v/>
      </c>
      <c r="X42" s="62">
        <f>IF('[17]سجل المستخلصات'!$AD$23="","",'[17]سجل المستخلصات'!$AD$23)</f>
        <v/>
      </c>
      <c r="Y42" s="58">
        <f>IF('[17]سجل المستخلصات'!$AE$23="","",'[17]سجل المستخلصات'!$AE$23)</f>
        <v/>
      </c>
    </row>
    <row r="43">
      <c r="B43" s="56" t="n">
        <v>19</v>
      </c>
      <c r="C43" s="57">
        <f>IF('[17]سجل المستخلصات'!$C$24="","",'[17]سجل المستخلصات'!$C$24)</f>
        <v/>
      </c>
      <c r="D43" s="57">
        <f>IF('[17]سجل المستخلصات'!$E$24="","",'[17]سجل المستخلصات'!$E$24)</f>
        <v/>
      </c>
      <c r="E43" s="58">
        <f>IF('[17]سجل المستخلصات'!$F$24="","",'[17]سجل المستخلصات'!$F$24)</f>
        <v/>
      </c>
      <c r="F43" s="59">
        <f>IF('[17]سجل المستخلصات'!$H$24="","",'[17]سجل المستخلصات'!$H$24)</f>
        <v/>
      </c>
      <c r="G43" s="59">
        <f>IF('[17]سجل المستخلصات'!$G$24="","",'[17]سجل المستخلصات'!$G$24)</f>
        <v/>
      </c>
      <c r="H43" s="59">
        <f>IF('[17]سجل المستخلصات'!$I$24="","",'[17]سجل المستخلصات'!$I$24)</f>
        <v/>
      </c>
      <c r="I43" s="59">
        <f>IF('[17]سجل المستخلصات'!$J$24="","",'[17]سجل المستخلصات'!$J$24)</f>
        <v/>
      </c>
      <c r="J43" s="59">
        <f>IF('[17]سجل المستخلصات'!$K$24="","",'[17]سجل المستخلصات'!$K$24)</f>
        <v/>
      </c>
      <c r="K43" s="60">
        <f>IF('[17]سجل المستخلصات'!$L$24="","",'[17]سجل المستخلصات'!$L$24)</f>
        <v/>
      </c>
      <c r="L43" s="60">
        <f>IF('[17]سجل المستخلصات'!$M$24="","",'[17]سجل المستخلصات'!$M$24)</f>
        <v/>
      </c>
      <c r="M43" s="60">
        <f>IF('[17]سجل المستخلصات'!$N$24="","",'[17]سجل المستخلصات'!$N$24)</f>
        <v/>
      </c>
      <c r="N43" s="59">
        <f>IF('[17]سجل المستخلصات'!$O$24="","",'[17]سجل المستخلصات'!$O$24)</f>
        <v/>
      </c>
      <c r="O43" s="59">
        <f>IF('[17]سجل المستخلصات'!$R$24="","",'[17]سجل المستخلصات'!$R$24)</f>
        <v/>
      </c>
      <c r="P43" s="59">
        <f>IF('[17]سجل المستخلصات'!$S$24="","",'[17]سجل المستخلصات'!$S$24)</f>
        <v/>
      </c>
      <c r="Q43" s="59">
        <f>IF('[17]سجل المستخلصات'!$T$24="","",'[17]سجل المستخلصات'!$T$24)</f>
        <v/>
      </c>
      <c r="R43" s="59">
        <f>IF('[17]سجل المستخلصات'!$V$24="","",'[17]سجل المستخلصات'!$V$24)</f>
        <v/>
      </c>
      <c r="S43" s="59">
        <f>IF('[17]سجل المستخلصات'!$W$24="","",'[17]سجل المستخلصات'!$W$24)</f>
        <v/>
      </c>
      <c r="T43" s="61">
        <f>IF('[17]سجل المستخلصات'!$X$24="","",'[17]سجل المستخلصات'!$X$24)</f>
        <v/>
      </c>
      <c r="U43" s="61">
        <f>IF('[17]سجل المستخلصات'!$Z$24="","",'[17]سجل المستخلصات'!$Z$24)</f>
        <v/>
      </c>
      <c r="V43" s="59">
        <f>IF('[17]سجل المستخلصات'!$AA$24="","",'[17]سجل المستخلصات'!$AA$24)</f>
        <v/>
      </c>
      <c r="W43" s="59">
        <f>IF('[17]سجل المستخلصات'!$AC$24="","",'[17]سجل المستخلصات'!$AC$24)</f>
        <v/>
      </c>
      <c r="X43" s="62">
        <f>IF('[17]سجل المستخلصات'!$AD$24="","",'[17]سجل المستخلصات'!$AD$24)</f>
        <v/>
      </c>
      <c r="Y43" s="58">
        <f>IF('[17]سجل المستخلصات'!$AE$24="","",'[17]سجل المستخلصات'!$AE$24)</f>
        <v/>
      </c>
    </row>
    <row r="44">
      <c r="B44" s="56" t="n">
        <v>20</v>
      </c>
      <c r="C44" s="57">
        <f>IF('[17]سجل المستخلصات'!$C$25="","",'[17]سجل المستخلصات'!$C$25)</f>
        <v/>
      </c>
      <c r="D44" s="57">
        <f>IF('[17]سجل المستخلصات'!$E$25="","",'[17]سجل المستخلصات'!$E$25)</f>
        <v/>
      </c>
      <c r="E44" s="58">
        <f>IF('[17]سجل المستخلصات'!$F$25="","",'[17]سجل المستخلصات'!$F$25)</f>
        <v/>
      </c>
      <c r="F44" s="59">
        <f>IF('[17]سجل المستخلصات'!$H$25="","",'[17]سجل المستخلصات'!$H$25)</f>
        <v/>
      </c>
      <c r="G44" s="59">
        <f>IF('[17]سجل المستخلصات'!$G$25="","",'[17]سجل المستخلصات'!$G$25)</f>
        <v/>
      </c>
      <c r="H44" s="59">
        <f>IF('[17]سجل المستخلصات'!$I$25="","",'[17]سجل المستخلصات'!$I$25)</f>
        <v/>
      </c>
      <c r="I44" s="59">
        <f>IF('[17]سجل المستخلصات'!$J$25="","",'[17]سجل المستخلصات'!$J$25)</f>
        <v/>
      </c>
      <c r="J44" s="59">
        <f>IF('[17]سجل المستخلصات'!$K$25="","",'[17]سجل المستخلصات'!$K$25)</f>
        <v/>
      </c>
      <c r="K44" s="60">
        <f>IF('[17]سجل المستخلصات'!$L$25="","",'[17]سجل المستخلصات'!$L$25)</f>
        <v/>
      </c>
      <c r="L44" s="60">
        <f>IF('[17]سجل المستخلصات'!$M$25="","",'[17]سجل المستخلصات'!$M$25)</f>
        <v/>
      </c>
      <c r="M44" s="60">
        <f>IF('[17]سجل المستخلصات'!$N$25="","",'[17]سجل المستخلصات'!$N$25)</f>
        <v/>
      </c>
      <c r="N44" s="59">
        <f>IF('[17]سجل المستخلصات'!$O$25="","",'[17]سجل المستخلصات'!$O$25)</f>
        <v/>
      </c>
      <c r="O44" s="59">
        <f>IF('[17]سجل المستخلصات'!$R$25="","",'[17]سجل المستخلصات'!$R$25)</f>
        <v/>
      </c>
      <c r="P44" s="59">
        <f>IF('[17]سجل المستخلصات'!$S$25="","",'[17]سجل المستخلصات'!$S$25)</f>
        <v/>
      </c>
      <c r="Q44" s="59">
        <f>IF('[17]سجل المستخلصات'!$T$25="","",'[17]سجل المستخلصات'!$T$25)</f>
        <v/>
      </c>
      <c r="R44" s="59">
        <f>IF('[17]سجل المستخلصات'!$V$25="","",'[17]سجل المستخلصات'!$V$25)</f>
        <v/>
      </c>
      <c r="S44" s="59">
        <f>IF('[17]سجل المستخلصات'!$W$25="","",'[17]سجل المستخلصات'!$W$25)</f>
        <v/>
      </c>
      <c r="T44" s="61">
        <f>IF('[17]سجل المستخلصات'!$X$25="","",'[17]سجل المستخلصات'!$X$25)</f>
        <v/>
      </c>
      <c r="U44" s="61">
        <f>IF('[17]سجل المستخلصات'!$Z$25="","",'[17]سجل المستخلصات'!$Z$25)</f>
        <v/>
      </c>
      <c r="V44" s="59">
        <f>IF('[17]سجل المستخلصات'!$AA$25="","",'[17]سجل المستخلصات'!$AA$25)</f>
        <v/>
      </c>
      <c r="W44" s="59">
        <f>IF('[17]سجل المستخلصات'!$AC$25="","",'[17]سجل المستخلصات'!$AC$25)</f>
        <v/>
      </c>
      <c r="X44" s="62">
        <f>IF('[17]سجل المستخلصات'!$AD$25="","",'[17]سجل المستخلصات'!$AD$25)</f>
        <v/>
      </c>
      <c r="Y44" s="58">
        <f>IF('[17]سجل المستخلصات'!$AE$25="","",'[17]سجل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IF('[17]سجل المستخلصات'!$B$32="","",'[17]سجل المستخلصات'!$B$32)</f>
        <v/>
      </c>
      <c r="C50" s="69" t="n"/>
      <c r="D50" s="69" t="n"/>
      <c r="E50" s="59">
        <f>N('[17]سجل المستخلصات'!$E$32)</f>
        <v/>
      </c>
      <c r="F50" s="59">
        <f>N('[17]سجل المستخلصات'!$F$32)</f>
        <v/>
      </c>
      <c r="G50" s="70">
        <f>IF(E50&gt;0,F50/E50,0)</f>
        <v/>
      </c>
    </row>
    <row r="51">
      <c r="B51" s="69">
        <f>IF('[17]سجل المستخلصات'!$B$33="","",'[17]سجل المستخلصات'!$B$33)</f>
        <v/>
      </c>
      <c r="C51" s="69" t="n"/>
      <c r="D51" s="69" t="n"/>
      <c r="E51" s="59">
        <f>N('[17]سجل المستخلصات'!$E$33)</f>
        <v/>
      </c>
      <c r="F51" s="59">
        <f>N('[17]سجل المستخلصات'!$F$33)</f>
        <v/>
      </c>
      <c r="G51" s="70">
        <f>IF(E51&gt;0,F51/E51,0)</f>
        <v/>
      </c>
    </row>
    <row r="52">
      <c r="B52" s="69">
        <f>IF('[17]سجل المستخلصات'!$B$34="","",'[17]سجل المستخلصات'!$B$34)</f>
        <v/>
      </c>
      <c r="C52" s="69" t="n"/>
      <c r="D52" s="69" t="n"/>
      <c r="E52" s="59">
        <f>N('[17]سجل المستخلصات'!$E$34)</f>
        <v/>
      </c>
      <c r="F52" s="59">
        <f>N('[17]سجل المستخلصات'!$F$34)</f>
        <v/>
      </c>
      <c r="G52" s="70">
        <f>IF(E52&gt;0,F52/E52,0)</f>
        <v/>
      </c>
    </row>
    <row r="53">
      <c r="B53" s="69">
        <f>IF('[17]سجل المستخلصات'!$B$35="","",'[17]سجل المستخلصات'!$B$35)</f>
        <v/>
      </c>
      <c r="C53" s="69" t="n"/>
      <c r="D53" s="69" t="n"/>
      <c r="E53" s="59">
        <f>N('[17]سجل المستخلصات'!$E$35)</f>
        <v/>
      </c>
      <c r="F53" s="59">
        <f>N('[17]سجل المستخلصات'!$F$35)</f>
        <v/>
      </c>
      <c r="G53" s="70">
        <f>IF(E53&gt;0,F53/E53,0)</f>
        <v/>
      </c>
    </row>
    <row r="54">
      <c r="B54" s="69">
        <f>IF('[17]سجل المستخلصات'!$B$36="","",'[17]سجل المستخلصات'!$B$36)</f>
        <v/>
      </c>
      <c r="C54" s="69" t="n"/>
      <c r="D54" s="69" t="n"/>
      <c r="E54" s="59">
        <f>N('[17]سجل المستخلصات'!$E$36)</f>
        <v/>
      </c>
      <c r="F54" s="59">
        <f>N('[17]سجل المستخلصات'!$F$36)</f>
        <v/>
      </c>
      <c r="G54" s="70">
        <f>IF(E54&gt;0,F54/E54,0)</f>
        <v/>
      </c>
    </row>
    <row r="55">
      <c r="B55" s="69">
        <f>IF('[17]سجل المستخلصات'!$B$37="","",'[17]سجل المستخلصات'!$B$37)</f>
        <v/>
      </c>
      <c r="C55" s="69" t="n"/>
      <c r="D55" s="69" t="n"/>
      <c r="E55" s="59">
        <f>N('[17]سجل المستخلصات'!$E$37)</f>
        <v/>
      </c>
      <c r="F55" s="59">
        <f>N('[17]سجل المستخلصات'!$F$37)</f>
        <v/>
      </c>
      <c r="G55" s="70">
        <f>IF(E55&gt;0,F55/E55,0)</f>
        <v/>
      </c>
    </row>
    <row r="56">
      <c r="B56" s="69">
        <f>IF('[17]سجل المستخلصات'!$B$38="","",'[17]سجل المستخلصات'!$B$38)</f>
        <v/>
      </c>
      <c r="C56" s="69" t="n"/>
      <c r="D56" s="69" t="n"/>
      <c r="E56" s="59">
        <f>N('[17]سجل المستخلصات'!$E$38)</f>
        <v/>
      </c>
      <c r="F56" s="59">
        <f>N('[17]سجل المستخلصات'!$F$38)</f>
        <v/>
      </c>
      <c r="G56" s="70">
        <f>IF(E56&gt;0,F56/E56,0)</f>
        <v/>
      </c>
    </row>
    <row r="57">
      <c r="B57" s="69">
        <f>IF('[17]سجل المستخلصات'!$B$39="","",'[17]سجل المستخلصات'!$B$39)</f>
        <v/>
      </c>
      <c r="C57" s="69" t="n"/>
      <c r="D57" s="69" t="n"/>
      <c r="E57" s="59">
        <f>N('[17]سجل المستخلصات'!$E$39)</f>
        <v/>
      </c>
      <c r="F57" s="59">
        <f>N('[17]سجل المستخلصات'!$F$39)</f>
        <v/>
      </c>
      <c r="G57" s="70">
        <f>IF(E57&gt;0,F57/E57,0)</f>
        <v/>
      </c>
    </row>
    <row r="58">
      <c r="B58" s="69">
        <f>IF('[17]سجل المستخلصات'!$B$40="","",'[17]سجل المستخلصات'!$B$40)</f>
        <v/>
      </c>
      <c r="C58" s="69" t="n"/>
      <c r="D58" s="69" t="n"/>
      <c r="E58" s="59">
        <f>N('[17]سجل المستخلصات'!$E$40)</f>
        <v/>
      </c>
      <c r="F58" s="59">
        <f>N('[17]سجل المستخلصات'!$F$40)</f>
        <v/>
      </c>
      <c r="G58" s="70">
        <f>IF(E58&gt;0,F58/E58,0)</f>
        <v/>
      </c>
    </row>
    <row r="59">
      <c r="B59" s="69">
        <f>IF('[17]سجل المستخلصات'!$B$41="","",'[17]سجل المستخلصات'!$B$41)</f>
        <v/>
      </c>
      <c r="C59" s="69" t="n"/>
      <c r="D59" s="69" t="n"/>
      <c r="E59" s="59">
        <f>N('[17]سجل المستخلصات'!$E$41)</f>
        <v/>
      </c>
      <c r="F59" s="59">
        <f>N('[17]سجل المستخلصات'!$F$41)</f>
        <v/>
      </c>
      <c r="G59" s="70">
        <f>IF(E59&gt;0,F59/E59,0)</f>
        <v/>
      </c>
    </row>
    <row r="60">
      <c r="B60" s="69">
        <f>IF('[17]سجل المستخلصات'!$B$42="","",'[17]سجل المستخلصات'!$B$42)</f>
        <v/>
      </c>
      <c r="C60" s="69" t="n"/>
      <c r="D60" s="69" t="n"/>
      <c r="E60" s="59">
        <f>N('[17]سجل المستخلصات'!$E$42)</f>
        <v/>
      </c>
      <c r="F60" s="59">
        <f>N('[17]سجل المستخلصات'!$F$42)</f>
        <v/>
      </c>
      <c r="G60" s="70">
        <f>IF(E60&gt;0,F60/E60,0)</f>
        <v/>
      </c>
    </row>
    <row r="61">
      <c r="B61" s="69">
        <f>IF('[17]سجل المستخلصات'!$B$43="","",'[17]سجل المستخلصات'!$B$43)</f>
        <v/>
      </c>
      <c r="C61" s="69" t="n"/>
      <c r="D61" s="69" t="n"/>
      <c r="E61" s="59">
        <f>N('[17]سجل المستخلصات'!$E$43)</f>
        <v/>
      </c>
      <c r="F61" s="59">
        <f>N('[17]سجل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16'!A1" display="◄ المشروع السابق"/>
    <hyperlink ref="D3" location="'مشروع 18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"&amp;IF('[18]بيانات العقد'!$C$5="","مشروع رقم 18 — غير مُفعّل",'[18]بيانات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Project_18/IPC_Project_18.xlsx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IF('[18]بيانات العقد'!$C$5="","",'[18]بيانات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IF('[18]بيانات العقد'!$C$6="","",'[18]بيانات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IF('[18]بيانات العقد'!$C$7="","",'[18]بيانات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IF('[18]بيانات العقد'!$C$8="","",'[18]بيانات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N('[18]بيانات العقد'!$C$16)</f>
        <v/>
      </c>
    </row>
    <row r="6" ht="22" customHeight="1">
      <c r="B6" s="11" t="inlineStr">
        <is>
          <t>المقاول</t>
        </is>
      </c>
      <c r="C6" s="14">
        <f>IF('[18]بيانات العقد'!$C$9="","",'[18]بيانات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IF('[18]بيانات العقد'!$C$11="","",'[18]بيانات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IF('[18]بيانات العقد'!$C$13="","",'[18]بيانات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IF('[18]بيانات العقد'!$C$14="","",'[18]بيانات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N('[18]بيانات العقد'!$C$17)</f>
        <v/>
      </c>
    </row>
    <row r="7">
      <c r="AA7" s="15" t="inlineStr">
        <is>
          <t>قيمة العقد المعدلة</t>
        </is>
      </c>
      <c r="AB7" s="16">
        <f>N('[18]بيانات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N('[18]بيانات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N('[18]بيانات العقد'!$C$21)</f>
        <v/>
      </c>
    </row>
    <row r="10">
      <c r="AA10" s="15" t="inlineStr">
        <is>
          <t>نسبة ضمان الأعمال</t>
        </is>
      </c>
      <c r="AB10" s="23">
        <f>N('[18]بيانات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N('[18]بيانات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N('[18]بيانات العقد'!$C$31)</f>
        <v/>
      </c>
    </row>
    <row r="13">
      <c r="AA13" s="15" t="inlineStr">
        <is>
          <t>ضريبة الاستقطاع (غير المقيم)</t>
        </is>
      </c>
      <c r="AB13" s="23">
        <f>N('[18]بيانات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IF('[18]بيانات العقد'!$C$11="","",'[18]بيانات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IF('[18]بيانات العقد'!$C$13="","",'[18]بيانات العقد'!$C$13)</f>
        <v/>
      </c>
    </row>
    <row r="16">
      <c r="AA16" s="15" t="inlineStr">
        <is>
          <t>المدة (شهر)</t>
        </is>
      </c>
      <c r="AB16" s="43">
        <f>IF('[18]بيانات العقد'!$C$12="","",'[18]بيانات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IF('[18]بيانات العقد'!$C$36="","",'[18]بيانات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IF('[18]بيانات العقد'!$C$37="","",'[18]بيانات العقد'!$C$37)</f>
        <v/>
      </c>
    </row>
    <row r="19">
      <c r="AA19" s="15" t="inlineStr">
        <is>
          <t>الرقم الضريبي لصاحب العمل</t>
        </is>
      </c>
      <c r="AB19" s="48">
        <f>IF('[18]بيانات العقد'!$C$39="","",'[18]بيانات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IF('[18]بيانات العقد'!$C$42="","",'[18]بيانات العقد'!$C$42)</f>
        <v/>
      </c>
    </row>
    <row r="21" ht="32" customHeight="1">
      <c r="B21" s="50">
        <f>N('[18]الموازنة والتكاليف'!$D$66)</f>
        <v/>
      </c>
      <c r="C21" s="50" t="n"/>
      <c r="D21" s="50" t="n"/>
      <c r="E21" s="50" t="n"/>
      <c r="F21" s="50">
        <f>N('[18]الموازنة والتكاليف'!$D$70)</f>
        <v/>
      </c>
      <c r="G21" s="50" t="n"/>
      <c r="H21" s="50" t="n"/>
      <c r="I21" s="50" t="n"/>
      <c r="J21" s="50">
        <f>N('[18]الموازنة والتكاليف'!$D$72)</f>
        <v/>
      </c>
      <c r="K21" s="50" t="n"/>
      <c r="L21" s="50" t="n"/>
      <c r="M21" s="50" t="n"/>
      <c r="N21" s="51">
        <f>N('[18]الموازنة والتكاليف'!$D$73)</f>
        <v/>
      </c>
      <c r="O21" s="51" t="n"/>
      <c r="P21" s="51" t="n"/>
      <c r="Q21" s="51" t="n"/>
      <c r="R21" s="52">
        <f>N('[18]الموازنة والتكاليف'!$D$74)</f>
        <v/>
      </c>
      <c r="S21" s="52" t="n"/>
      <c r="T21" s="52" t="n"/>
      <c r="U21" s="52" t="n"/>
      <c r="V21" s="50">
        <f>N('[18]الموازنة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IF('[18]بيانات العقد'!$C$43="","",'[18]بيانات العقد'!$C$43)</f>
        <v/>
      </c>
    </row>
    <row r="22">
      <c r="AA22" s="15" t="inlineStr">
        <is>
          <t>حالة غرامات التأخير</t>
        </is>
      </c>
      <c r="AB22" s="45">
        <f>IF('[18]بيانات العقد'!$C$47="","",'[18]بيانات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IF('[18]سجل المستخلصات'!$C$6="","",'[18]سجل المستخلصات'!$C$6)</f>
        <v/>
      </c>
      <c r="D25" s="57">
        <f>IF('[18]سجل المستخلصات'!$E$6="","",'[18]سجل المستخلصات'!$E$6)</f>
        <v/>
      </c>
      <c r="E25" s="58">
        <f>IF('[18]سجل المستخلصات'!$F$6="","",'[18]سجل المستخلصات'!$F$6)</f>
        <v/>
      </c>
      <c r="F25" s="59">
        <f>IF('[18]سجل المستخلصات'!$H$6="","",'[18]سجل المستخلصات'!$H$6)</f>
        <v/>
      </c>
      <c r="G25" s="59">
        <f>IF('[18]سجل المستخلصات'!$G$6="","",'[18]سجل المستخلصات'!$G$6)</f>
        <v/>
      </c>
      <c r="H25" s="59">
        <f>IF('[18]سجل المستخلصات'!$I$6="","",'[18]سجل المستخلصات'!$I$6)</f>
        <v/>
      </c>
      <c r="I25" s="59">
        <f>IF('[18]سجل المستخلصات'!$J$6="","",'[18]سجل المستخلصات'!$J$6)</f>
        <v/>
      </c>
      <c r="J25" s="59">
        <f>IF('[18]سجل المستخلصات'!$K$6="","",'[18]سجل المستخلصات'!$K$6)</f>
        <v/>
      </c>
      <c r="K25" s="60">
        <f>IF('[18]سجل المستخلصات'!$L$6="","",'[18]سجل المستخلصات'!$L$6)</f>
        <v/>
      </c>
      <c r="L25" s="60">
        <f>IF('[18]سجل المستخلصات'!$M$6="","",'[18]سجل المستخلصات'!$M$6)</f>
        <v/>
      </c>
      <c r="M25" s="60">
        <f>IF('[18]سجل المستخلصات'!$N$6="","",'[18]سجل المستخلصات'!$N$6)</f>
        <v/>
      </c>
      <c r="N25" s="59">
        <f>IF('[18]سجل المستخلصات'!$O$6="","",'[18]سجل المستخلصات'!$O$6)</f>
        <v/>
      </c>
      <c r="O25" s="59">
        <f>IF('[18]سجل المستخلصات'!$R$6="","",'[18]سجل المستخلصات'!$R$6)</f>
        <v/>
      </c>
      <c r="P25" s="59">
        <f>IF('[18]سجل المستخلصات'!$S$6="","",'[18]سجل المستخلصات'!$S$6)</f>
        <v/>
      </c>
      <c r="Q25" s="59">
        <f>IF('[18]سجل المستخلصات'!$T$6="","",'[18]سجل المستخلصات'!$T$6)</f>
        <v/>
      </c>
      <c r="R25" s="59">
        <f>IF('[18]سجل المستخلصات'!$V$6="","",'[18]سجل المستخلصات'!$V$6)</f>
        <v/>
      </c>
      <c r="S25" s="59">
        <f>IF('[18]سجل المستخلصات'!$W$6="","",'[18]سجل المستخلصات'!$W$6)</f>
        <v/>
      </c>
      <c r="T25" s="61">
        <f>IF('[18]سجل المستخلصات'!$X$6="","",'[18]سجل المستخلصات'!$X$6)</f>
        <v/>
      </c>
      <c r="U25" s="61">
        <f>IF('[18]سجل المستخلصات'!$Z$6="","",'[18]سجل المستخلصات'!$Z$6)</f>
        <v/>
      </c>
      <c r="V25" s="59">
        <f>IF('[18]سجل المستخلصات'!$AA$6="","",'[18]سجل المستخلصات'!$AA$6)</f>
        <v/>
      </c>
      <c r="W25" s="59">
        <f>IF('[18]سجل المستخلصات'!$AC$6="","",'[18]سجل المستخلصات'!$AC$6)</f>
        <v/>
      </c>
      <c r="X25" s="62">
        <f>IF('[18]سجل المستخلصات'!$AD$6="","",'[18]سجل المستخلصات'!$AD$6)</f>
        <v/>
      </c>
      <c r="Y25" s="58">
        <f>IF('[18]سجل المستخلصات'!$AE$6="","",'[18]سجل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IF('[18]سجل المستخلصات'!$C$7="","",'[18]سجل المستخلصات'!$C$7)</f>
        <v/>
      </c>
      <c r="D26" s="57">
        <f>IF('[18]سجل المستخلصات'!$E$7="","",'[18]سجل المستخلصات'!$E$7)</f>
        <v/>
      </c>
      <c r="E26" s="58">
        <f>IF('[18]سجل المستخلصات'!$F$7="","",'[18]سجل المستخلصات'!$F$7)</f>
        <v/>
      </c>
      <c r="F26" s="59">
        <f>IF('[18]سجل المستخلصات'!$H$7="","",'[18]سجل المستخلصات'!$H$7)</f>
        <v/>
      </c>
      <c r="G26" s="59">
        <f>IF('[18]سجل المستخلصات'!$G$7="","",'[18]سجل المستخلصات'!$G$7)</f>
        <v/>
      </c>
      <c r="H26" s="59">
        <f>IF('[18]سجل المستخلصات'!$I$7="","",'[18]سجل المستخلصات'!$I$7)</f>
        <v/>
      </c>
      <c r="I26" s="59">
        <f>IF('[18]سجل المستخلصات'!$J$7="","",'[18]سجل المستخلصات'!$J$7)</f>
        <v/>
      </c>
      <c r="J26" s="59">
        <f>IF('[18]سجل المستخلصات'!$K$7="","",'[18]سجل المستخلصات'!$K$7)</f>
        <v/>
      </c>
      <c r="K26" s="60">
        <f>IF('[18]سجل المستخلصات'!$L$7="","",'[18]سجل المستخلصات'!$L$7)</f>
        <v/>
      </c>
      <c r="L26" s="60">
        <f>IF('[18]سجل المستخلصات'!$M$7="","",'[18]سجل المستخلصات'!$M$7)</f>
        <v/>
      </c>
      <c r="M26" s="60">
        <f>IF('[18]سجل المستخلصات'!$N$7="","",'[18]سجل المستخلصات'!$N$7)</f>
        <v/>
      </c>
      <c r="N26" s="59">
        <f>IF('[18]سجل المستخلصات'!$O$7="","",'[18]سجل المستخلصات'!$O$7)</f>
        <v/>
      </c>
      <c r="O26" s="59">
        <f>IF('[18]سجل المستخلصات'!$R$7="","",'[18]سجل المستخلصات'!$R$7)</f>
        <v/>
      </c>
      <c r="P26" s="59">
        <f>IF('[18]سجل المستخلصات'!$S$7="","",'[18]سجل المستخلصات'!$S$7)</f>
        <v/>
      </c>
      <c r="Q26" s="59">
        <f>IF('[18]سجل المستخلصات'!$T$7="","",'[18]سجل المستخلصات'!$T$7)</f>
        <v/>
      </c>
      <c r="R26" s="59">
        <f>IF('[18]سجل المستخلصات'!$V$7="","",'[18]سجل المستخلصات'!$V$7)</f>
        <v/>
      </c>
      <c r="S26" s="59">
        <f>IF('[18]سجل المستخلصات'!$W$7="","",'[18]سجل المستخلصات'!$W$7)</f>
        <v/>
      </c>
      <c r="T26" s="61">
        <f>IF('[18]سجل المستخلصات'!$X$7="","",'[18]سجل المستخلصات'!$X$7)</f>
        <v/>
      </c>
      <c r="U26" s="61">
        <f>IF('[18]سجل المستخلصات'!$Z$7="","",'[18]سجل المستخلصات'!$Z$7)</f>
        <v/>
      </c>
      <c r="V26" s="59">
        <f>IF('[18]سجل المستخلصات'!$AA$7="","",'[18]سجل المستخلصات'!$AA$7)</f>
        <v/>
      </c>
      <c r="W26" s="59">
        <f>IF('[18]سجل المستخلصات'!$AC$7="","",'[18]سجل المستخلصات'!$AC$7)</f>
        <v/>
      </c>
      <c r="X26" s="62">
        <f>IF('[18]سجل المستخلصات'!$AD$7="","",'[18]سجل المستخلصات'!$AD$7)</f>
        <v/>
      </c>
      <c r="Y26" s="58">
        <f>IF('[18]سجل المستخلصات'!$AE$7="","",'[18]سجل المستخلصات'!$AE$7)</f>
        <v/>
      </c>
      <c r="AA26" s="63" t="n"/>
      <c r="AB26" s="63" t="n"/>
    </row>
    <row r="27">
      <c r="B27" s="56" t="n">
        <v>3</v>
      </c>
      <c r="C27" s="57">
        <f>IF('[18]سجل المستخلصات'!$C$8="","",'[18]سجل المستخلصات'!$C$8)</f>
        <v/>
      </c>
      <c r="D27" s="57">
        <f>IF('[18]سجل المستخلصات'!$E$8="","",'[18]سجل المستخلصات'!$E$8)</f>
        <v/>
      </c>
      <c r="E27" s="58">
        <f>IF('[18]سجل المستخلصات'!$F$8="","",'[18]سجل المستخلصات'!$F$8)</f>
        <v/>
      </c>
      <c r="F27" s="59">
        <f>IF('[18]سجل المستخلصات'!$H$8="","",'[18]سجل المستخلصات'!$H$8)</f>
        <v/>
      </c>
      <c r="G27" s="59">
        <f>IF('[18]سجل المستخلصات'!$G$8="","",'[18]سجل المستخلصات'!$G$8)</f>
        <v/>
      </c>
      <c r="H27" s="59">
        <f>IF('[18]سجل المستخلصات'!$I$8="","",'[18]سجل المستخلصات'!$I$8)</f>
        <v/>
      </c>
      <c r="I27" s="59">
        <f>IF('[18]سجل المستخلصات'!$J$8="","",'[18]سجل المستخلصات'!$J$8)</f>
        <v/>
      </c>
      <c r="J27" s="59">
        <f>IF('[18]سجل المستخلصات'!$K$8="","",'[18]سجل المستخلصات'!$K$8)</f>
        <v/>
      </c>
      <c r="K27" s="60">
        <f>IF('[18]سجل المستخلصات'!$L$8="","",'[18]سجل المستخلصات'!$L$8)</f>
        <v/>
      </c>
      <c r="L27" s="60">
        <f>IF('[18]سجل المستخلصات'!$M$8="","",'[18]سجل المستخلصات'!$M$8)</f>
        <v/>
      </c>
      <c r="M27" s="60">
        <f>IF('[18]سجل المستخلصات'!$N$8="","",'[18]سجل المستخلصات'!$N$8)</f>
        <v/>
      </c>
      <c r="N27" s="59">
        <f>IF('[18]سجل المستخلصات'!$O$8="","",'[18]سجل المستخلصات'!$O$8)</f>
        <v/>
      </c>
      <c r="O27" s="59">
        <f>IF('[18]سجل المستخلصات'!$R$8="","",'[18]سجل المستخلصات'!$R$8)</f>
        <v/>
      </c>
      <c r="P27" s="59">
        <f>IF('[18]سجل المستخلصات'!$S$8="","",'[18]سجل المستخلصات'!$S$8)</f>
        <v/>
      </c>
      <c r="Q27" s="59">
        <f>IF('[18]سجل المستخلصات'!$T$8="","",'[18]سجل المستخلصات'!$T$8)</f>
        <v/>
      </c>
      <c r="R27" s="59">
        <f>IF('[18]سجل المستخلصات'!$V$8="","",'[18]سجل المستخلصات'!$V$8)</f>
        <v/>
      </c>
      <c r="S27" s="59">
        <f>IF('[18]سجل المستخلصات'!$W$8="","",'[18]سجل المستخلصات'!$W$8)</f>
        <v/>
      </c>
      <c r="T27" s="61">
        <f>IF('[18]سجل المستخلصات'!$X$8="","",'[18]سجل المستخلصات'!$X$8)</f>
        <v/>
      </c>
      <c r="U27" s="61">
        <f>IF('[18]سجل المستخلصات'!$Z$8="","",'[18]سجل المستخلصات'!$Z$8)</f>
        <v/>
      </c>
      <c r="V27" s="59">
        <f>IF('[18]سجل المستخلصات'!$AA$8="","",'[18]سجل المستخلصات'!$AA$8)</f>
        <v/>
      </c>
      <c r="W27" s="59">
        <f>IF('[18]سجل المستخلصات'!$AC$8="","",'[18]سجل المستخلصات'!$AC$8)</f>
        <v/>
      </c>
      <c r="X27" s="62">
        <f>IF('[18]سجل المستخلصات'!$AD$8="","",'[18]سجل المستخلصات'!$AD$8)</f>
        <v/>
      </c>
      <c r="Y27" s="58">
        <f>IF('[18]سجل المستخلصات'!$AE$8="","",'[18]سجل المستخلصات'!$AE$8)</f>
        <v/>
      </c>
      <c r="AA27" s="63" t="n"/>
      <c r="AB27" s="63" t="n"/>
    </row>
    <row r="28">
      <c r="B28" s="56" t="n">
        <v>4</v>
      </c>
      <c r="C28" s="57">
        <f>IF('[18]سجل المستخلصات'!$C$9="","",'[18]سجل المستخلصات'!$C$9)</f>
        <v/>
      </c>
      <c r="D28" s="57">
        <f>IF('[18]سجل المستخلصات'!$E$9="","",'[18]سجل المستخلصات'!$E$9)</f>
        <v/>
      </c>
      <c r="E28" s="58">
        <f>IF('[18]سجل المستخلصات'!$F$9="","",'[18]سجل المستخلصات'!$F$9)</f>
        <v/>
      </c>
      <c r="F28" s="59">
        <f>IF('[18]سجل المستخلصات'!$H$9="","",'[18]سجل المستخلصات'!$H$9)</f>
        <v/>
      </c>
      <c r="G28" s="59">
        <f>IF('[18]سجل المستخلصات'!$G$9="","",'[18]سجل المستخلصات'!$G$9)</f>
        <v/>
      </c>
      <c r="H28" s="59">
        <f>IF('[18]سجل المستخلصات'!$I$9="","",'[18]سجل المستخلصات'!$I$9)</f>
        <v/>
      </c>
      <c r="I28" s="59">
        <f>IF('[18]سجل المستخلصات'!$J$9="","",'[18]سجل المستخلصات'!$J$9)</f>
        <v/>
      </c>
      <c r="J28" s="59">
        <f>IF('[18]سجل المستخلصات'!$K$9="","",'[18]سجل المستخلصات'!$K$9)</f>
        <v/>
      </c>
      <c r="K28" s="60">
        <f>IF('[18]سجل المستخلصات'!$L$9="","",'[18]سجل المستخلصات'!$L$9)</f>
        <v/>
      </c>
      <c r="L28" s="60">
        <f>IF('[18]سجل المستخلصات'!$M$9="","",'[18]سجل المستخلصات'!$M$9)</f>
        <v/>
      </c>
      <c r="M28" s="60">
        <f>IF('[18]سجل المستخلصات'!$N$9="","",'[18]سجل المستخلصات'!$N$9)</f>
        <v/>
      </c>
      <c r="N28" s="59">
        <f>IF('[18]سجل المستخلصات'!$O$9="","",'[18]سجل المستخلصات'!$O$9)</f>
        <v/>
      </c>
      <c r="O28" s="59">
        <f>IF('[18]سجل المستخلصات'!$R$9="","",'[18]سجل المستخلصات'!$R$9)</f>
        <v/>
      </c>
      <c r="P28" s="59">
        <f>IF('[18]سجل المستخلصات'!$S$9="","",'[18]سجل المستخلصات'!$S$9)</f>
        <v/>
      </c>
      <c r="Q28" s="59">
        <f>IF('[18]سجل المستخلصات'!$T$9="","",'[18]سجل المستخلصات'!$T$9)</f>
        <v/>
      </c>
      <c r="R28" s="59">
        <f>IF('[18]سجل المستخلصات'!$V$9="","",'[18]سجل المستخلصات'!$V$9)</f>
        <v/>
      </c>
      <c r="S28" s="59">
        <f>IF('[18]سجل المستخلصات'!$W$9="","",'[18]سجل المستخلصات'!$W$9)</f>
        <v/>
      </c>
      <c r="T28" s="61">
        <f>IF('[18]سجل المستخلصات'!$X$9="","",'[18]سجل المستخلصات'!$X$9)</f>
        <v/>
      </c>
      <c r="U28" s="61">
        <f>IF('[18]سجل المستخلصات'!$Z$9="","",'[18]سجل المستخلصات'!$Z$9)</f>
        <v/>
      </c>
      <c r="V28" s="59">
        <f>IF('[18]سجل المستخلصات'!$AA$9="","",'[18]سجل المستخلصات'!$AA$9)</f>
        <v/>
      </c>
      <c r="W28" s="59">
        <f>IF('[18]سجل المستخلصات'!$AC$9="","",'[18]سجل المستخلصات'!$AC$9)</f>
        <v/>
      </c>
      <c r="X28" s="62">
        <f>IF('[18]سجل المستخلصات'!$AD$9="","",'[18]سجل المستخلصات'!$AD$9)</f>
        <v/>
      </c>
      <c r="Y28" s="58">
        <f>IF('[18]سجل المستخلصات'!$AE$9="","",'[18]سجل المستخلصات'!$AE$9)</f>
        <v/>
      </c>
      <c r="AA28" s="63" t="n"/>
      <c r="AB28" s="63" t="n"/>
    </row>
    <row r="29">
      <c r="B29" s="56" t="n">
        <v>5</v>
      </c>
      <c r="C29" s="57">
        <f>IF('[18]سجل المستخلصات'!$C$10="","",'[18]سجل المستخلصات'!$C$10)</f>
        <v/>
      </c>
      <c r="D29" s="57">
        <f>IF('[18]سجل المستخلصات'!$E$10="","",'[18]سجل المستخلصات'!$E$10)</f>
        <v/>
      </c>
      <c r="E29" s="58">
        <f>IF('[18]سجل المستخلصات'!$F$10="","",'[18]سجل المستخلصات'!$F$10)</f>
        <v/>
      </c>
      <c r="F29" s="59">
        <f>IF('[18]سجل المستخلصات'!$H$10="","",'[18]سجل المستخلصات'!$H$10)</f>
        <v/>
      </c>
      <c r="G29" s="59">
        <f>IF('[18]سجل المستخلصات'!$G$10="","",'[18]سجل المستخلصات'!$G$10)</f>
        <v/>
      </c>
      <c r="H29" s="59">
        <f>IF('[18]سجل المستخلصات'!$I$10="","",'[18]سجل المستخلصات'!$I$10)</f>
        <v/>
      </c>
      <c r="I29" s="59">
        <f>IF('[18]سجل المستخلصات'!$J$10="","",'[18]سجل المستخلصات'!$J$10)</f>
        <v/>
      </c>
      <c r="J29" s="59">
        <f>IF('[18]سجل المستخلصات'!$K$10="","",'[18]سجل المستخلصات'!$K$10)</f>
        <v/>
      </c>
      <c r="K29" s="60">
        <f>IF('[18]سجل المستخلصات'!$L$10="","",'[18]سجل المستخلصات'!$L$10)</f>
        <v/>
      </c>
      <c r="L29" s="60">
        <f>IF('[18]سجل المستخلصات'!$M$10="","",'[18]سجل المستخلصات'!$M$10)</f>
        <v/>
      </c>
      <c r="M29" s="60">
        <f>IF('[18]سجل المستخلصات'!$N$10="","",'[18]سجل المستخلصات'!$N$10)</f>
        <v/>
      </c>
      <c r="N29" s="59">
        <f>IF('[18]سجل المستخلصات'!$O$10="","",'[18]سجل المستخلصات'!$O$10)</f>
        <v/>
      </c>
      <c r="O29" s="59">
        <f>IF('[18]سجل المستخلصات'!$R$10="","",'[18]سجل المستخلصات'!$R$10)</f>
        <v/>
      </c>
      <c r="P29" s="59">
        <f>IF('[18]سجل المستخلصات'!$S$10="","",'[18]سجل المستخلصات'!$S$10)</f>
        <v/>
      </c>
      <c r="Q29" s="59">
        <f>IF('[18]سجل المستخلصات'!$T$10="","",'[18]سجل المستخلصات'!$T$10)</f>
        <v/>
      </c>
      <c r="R29" s="59">
        <f>IF('[18]سجل المستخلصات'!$V$10="","",'[18]سجل المستخلصات'!$V$10)</f>
        <v/>
      </c>
      <c r="S29" s="59">
        <f>IF('[18]سجل المستخلصات'!$W$10="","",'[18]سجل المستخلصات'!$W$10)</f>
        <v/>
      </c>
      <c r="T29" s="61">
        <f>IF('[18]سجل المستخلصات'!$X$10="","",'[18]سجل المستخلصات'!$X$10)</f>
        <v/>
      </c>
      <c r="U29" s="61">
        <f>IF('[18]سجل المستخلصات'!$Z$10="","",'[18]سجل المستخلصات'!$Z$10)</f>
        <v/>
      </c>
      <c r="V29" s="59">
        <f>IF('[18]سجل المستخلصات'!$AA$10="","",'[18]سجل المستخلصات'!$AA$10)</f>
        <v/>
      </c>
      <c r="W29" s="59">
        <f>IF('[18]سجل المستخلصات'!$AC$10="","",'[18]سجل المستخلصات'!$AC$10)</f>
        <v/>
      </c>
      <c r="X29" s="62">
        <f>IF('[18]سجل المستخلصات'!$AD$10="","",'[18]سجل المستخلصات'!$AD$10)</f>
        <v/>
      </c>
      <c r="Y29" s="58">
        <f>IF('[18]سجل المستخلصات'!$AE$10="","",'[18]سجل المستخلصات'!$AE$10)</f>
        <v/>
      </c>
    </row>
    <row r="30">
      <c r="B30" s="56" t="n">
        <v>6</v>
      </c>
      <c r="C30" s="57">
        <f>IF('[18]سجل المستخلصات'!$C$11="","",'[18]سجل المستخلصات'!$C$11)</f>
        <v/>
      </c>
      <c r="D30" s="57">
        <f>IF('[18]سجل المستخلصات'!$E$11="","",'[18]سجل المستخلصات'!$E$11)</f>
        <v/>
      </c>
      <c r="E30" s="58">
        <f>IF('[18]سجل المستخلصات'!$F$11="","",'[18]سجل المستخلصات'!$F$11)</f>
        <v/>
      </c>
      <c r="F30" s="59">
        <f>IF('[18]سجل المستخلصات'!$H$11="","",'[18]سجل المستخلصات'!$H$11)</f>
        <v/>
      </c>
      <c r="G30" s="59">
        <f>IF('[18]سجل المستخلصات'!$G$11="","",'[18]سجل المستخلصات'!$G$11)</f>
        <v/>
      </c>
      <c r="H30" s="59">
        <f>IF('[18]سجل المستخلصات'!$I$11="","",'[18]سجل المستخلصات'!$I$11)</f>
        <v/>
      </c>
      <c r="I30" s="59">
        <f>IF('[18]سجل المستخلصات'!$J$11="","",'[18]سجل المستخلصات'!$J$11)</f>
        <v/>
      </c>
      <c r="J30" s="59">
        <f>IF('[18]سجل المستخلصات'!$K$11="","",'[18]سجل المستخلصات'!$K$11)</f>
        <v/>
      </c>
      <c r="K30" s="60">
        <f>IF('[18]سجل المستخلصات'!$L$11="","",'[18]سجل المستخلصات'!$L$11)</f>
        <v/>
      </c>
      <c r="L30" s="60">
        <f>IF('[18]سجل المستخلصات'!$M$11="","",'[18]سجل المستخلصات'!$M$11)</f>
        <v/>
      </c>
      <c r="M30" s="60">
        <f>IF('[18]سجل المستخلصات'!$N$11="","",'[18]سجل المستخلصات'!$N$11)</f>
        <v/>
      </c>
      <c r="N30" s="59">
        <f>IF('[18]سجل المستخلصات'!$O$11="","",'[18]سجل المستخلصات'!$O$11)</f>
        <v/>
      </c>
      <c r="O30" s="59">
        <f>IF('[18]سجل المستخلصات'!$R$11="","",'[18]سجل المستخلصات'!$R$11)</f>
        <v/>
      </c>
      <c r="P30" s="59">
        <f>IF('[18]سجل المستخلصات'!$S$11="","",'[18]سجل المستخلصات'!$S$11)</f>
        <v/>
      </c>
      <c r="Q30" s="59">
        <f>IF('[18]سجل المستخلصات'!$T$11="","",'[18]سجل المستخلصات'!$T$11)</f>
        <v/>
      </c>
      <c r="R30" s="59">
        <f>IF('[18]سجل المستخلصات'!$V$11="","",'[18]سجل المستخلصات'!$V$11)</f>
        <v/>
      </c>
      <c r="S30" s="59">
        <f>IF('[18]سجل المستخلصات'!$W$11="","",'[18]سجل المستخلصات'!$W$11)</f>
        <v/>
      </c>
      <c r="T30" s="61">
        <f>IF('[18]سجل المستخلصات'!$X$11="","",'[18]سجل المستخلصات'!$X$11)</f>
        <v/>
      </c>
      <c r="U30" s="61">
        <f>IF('[18]سجل المستخلصات'!$Z$11="","",'[18]سجل المستخلصات'!$Z$11)</f>
        <v/>
      </c>
      <c r="V30" s="59">
        <f>IF('[18]سجل المستخلصات'!$AA$11="","",'[18]سجل المستخلصات'!$AA$11)</f>
        <v/>
      </c>
      <c r="W30" s="59">
        <f>IF('[18]سجل المستخلصات'!$AC$11="","",'[18]سجل المستخلصات'!$AC$11)</f>
        <v/>
      </c>
      <c r="X30" s="62">
        <f>IF('[18]سجل المستخلصات'!$AD$11="","",'[18]سجل المستخلصات'!$AD$11)</f>
        <v/>
      </c>
      <c r="Y30" s="58">
        <f>IF('[18]سجل المستخلصات'!$AE$11="","",'[18]سجل المستخلصات'!$AE$11)</f>
        <v/>
      </c>
    </row>
    <row r="31">
      <c r="B31" s="56" t="n">
        <v>7</v>
      </c>
      <c r="C31" s="57">
        <f>IF('[18]سجل المستخلصات'!$C$12="","",'[18]سجل المستخلصات'!$C$12)</f>
        <v/>
      </c>
      <c r="D31" s="57">
        <f>IF('[18]سجل المستخلصات'!$E$12="","",'[18]سجل المستخلصات'!$E$12)</f>
        <v/>
      </c>
      <c r="E31" s="58">
        <f>IF('[18]سجل المستخلصات'!$F$12="","",'[18]سجل المستخلصات'!$F$12)</f>
        <v/>
      </c>
      <c r="F31" s="59">
        <f>IF('[18]سجل المستخلصات'!$H$12="","",'[18]سجل المستخلصات'!$H$12)</f>
        <v/>
      </c>
      <c r="G31" s="59">
        <f>IF('[18]سجل المستخلصات'!$G$12="","",'[18]سجل المستخلصات'!$G$12)</f>
        <v/>
      </c>
      <c r="H31" s="59">
        <f>IF('[18]سجل المستخلصات'!$I$12="","",'[18]سجل المستخلصات'!$I$12)</f>
        <v/>
      </c>
      <c r="I31" s="59">
        <f>IF('[18]سجل المستخلصات'!$J$12="","",'[18]سجل المستخلصات'!$J$12)</f>
        <v/>
      </c>
      <c r="J31" s="59">
        <f>IF('[18]سجل المستخلصات'!$K$12="","",'[18]سجل المستخلصات'!$K$12)</f>
        <v/>
      </c>
      <c r="K31" s="60">
        <f>IF('[18]سجل المستخلصات'!$L$12="","",'[18]سجل المستخلصات'!$L$12)</f>
        <v/>
      </c>
      <c r="L31" s="60">
        <f>IF('[18]سجل المستخلصات'!$M$12="","",'[18]سجل المستخلصات'!$M$12)</f>
        <v/>
      </c>
      <c r="M31" s="60">
        <f>IF('[18]سجل المستخلصات'!$N$12="","",'[18]سجل المستخلصات'!$N$12)</f>
        <v/>
      </c>
      <c r="N31" s="59">
        <f>IF('[18]سجل المستخلصات'!$O$12="","",'[18]سجل المستخلصات'!$O$12)</f>
        <v/>
      </c>
      <c r="O31" s="59">
        <f>IF('[18]سجل المستخلصات'!$R$12="","",'[18]سجل المستخلصات'!$R$12)</f>
        <v/>
      </c>
      <c r="P31" s="59">
        <f>IF('[18]سجل المستخلصات'!$S$12="","",'[18]سجل المستخلصات'!$S$12)</f>
        <v/>
      </c>
      <c r="Q31" s="59">
        <f>IF('[18]سجل المستخلصات'!$T$12="","",'[18]سجل المستخلصات'!$T$12)</f>
        <v/>
      </c>
      <c r="R31" s="59">
        <f>IF('[18]سجل المستخلصات'!$V$12="","",'[18]سجل المستخلصات'!$V$12)</f>
        <v/>
      </c>
      <c r="S31" s="59">
        <f>IF('[18]سجل المستخلصات'!$W$12="","",'[18]سجل المستخلصات'!$W$12)</f>
        <v/>
      </c>
      <c r="T31" s="61">
        <f>IF('[18]سجل المستخلصات'!$X$12="","",'[18]سجل المستخلصات'!$X$12)</f>
        <v/>
      </c>
      <c r="U31" s="61">
        <f>IF('[18]سجل المستخلصات'!$Z$12="","",'[18]سجل المستخلصات'!$Z$12)</f>
        <v/>
      </c>
      <c r="V31" s="59">
        <f>IF('[18]سجل المستخلصات'!$AA$12="","",'[18]سجل المستخلصات'!$AA$12)</f>
        <v/>
      </c>
      <c r="W31" s="59">
        <f>IF('[18]سجل المستخلصات'!$AC$12="","",'[18]سجل المستخلصات'!$AC$12)</f>
        <v/>
      </c>
      <c r="X31" s="62">
        <f>IF('[18]سجل المستخلصات'!$AD$12="","",'[18]سجل المستخلصات'!$AD$12)</f>
        <v/>
      </c>
      <c r="Y31" s="58">
        <f>IF('[18]سجل المستخلصات'!$AE$12="","",'[18]سجل المستخلصات'!$AE$12)</f>
        <v/>
      </c>
    </row>
    <row r="32">
      <c r="B32" s="56" t="n">
        <v>8</v>
      </c>
      <c r="C32" s="57">
        <f>IF('[18]سجل المستخلصات'!$C$13="","",'[18]سجل المستخلصات'!$C$13)</f>
        <v/>
      </c>
      <c r="D32" s="57">
        <f>IF('[18]سجل المستخلصات'!$E$13="","",'[18]سجل المستخلصات'!$E$13)</f>
        <v/>
      </c>
      <c r="E32" s="58">
        <f>IF('[18]سجل المستخلصات'!$F$13="","",'[18]سجل المستخلصات'!$F$13)</f>
        <v/>
      </c>
      <c r="F32" s="59">
        <f>IF('[18]سجل المستخلصات'!$H$13="","",'[18]سجل المستخلصات'!$H$13)</f>
        <v/>
      </c>
      <c r="G32" s="59">
        <f>IF('[18]سجل المستخلصات'!$G$13="","",'[18]سجل المستخلصات'!$G$13)</f>
        <v/>
      </c>
      <c r="H32" s="59">
        <f>IF('[18]سجل المستخلصات'!$I$13="","",'[18]سجل المستخلصات'!$I$13)</f>
        <v/>
      </c>
      <c r="I32" s="59">
        <f>IF('[18]سجل المستخلصات'!$J$13="","",'[18]سجل المستخلصات'!$J$13)</f>
        <v/>
      </c>
      <c r="J32" s="59">
        <f>IF('[18]سجل المستخلصات'!$K$13="","",'[18]سجل المستخلصات'!$K$13)</f>
        <v/>
      </c>
      <c r="K32" s="60">
        <f>IF('[18]سجل المستخلصات'!$L$13="","",'[18]سجل المستخلصات'!$L$13)</f>
        <v/>
      </c>
      <c r="L32" s="60">
        <f>IF('[18]سجل المستخلصات'!$M$13="","",'[18]سجل المستخلصات'!$M$13)</f>
        <v/>
      </c>
      <c r="M32" s="60">
        <f>IF('[18]سجل المستخلصات'!$N$13="","",'[18]سجل المستخلصات'!$N$13)</f>
        <v/>
      </c>
      <c r="N32" s="59">
        <f>IF('[18]سجل المستخلصات'!$O$13="","",'[18]سجل المستخلصات'!$O$13)</f>
        <v/>
      </c>
      <c r="O32" s="59">
        <f>IF('[18]سجل المستخلصات'!$R$13="","",'[18]سجل المستخلصات'!$R$13)</f>
        <v/>
      </c>
      <c r="P32" s="59">
        <f>IF('[18]سجل المستخلصات'!$S$13="","",'[18]سجل المستخلصات'!$S$13)</f>
        <v/>
      </c>
      <c r="Q32" s="59">
        <f>IF('[18]سجل المستخلصات'!$T$13="","",'[18]سجل المستخلصات'!$T$13)</f>
        <v/>
      </c>
      <c r="R32" s="59">
        <f>IF('[18]سجل المستخلصات'!$V$13="","",'[18]سجل المستخلصات'!$V$13)</f>
        <v/>
      </c>
      <c r="S32" s="59">
        <f>IF('[18]سجل المستخلصات'!$W$13="","",'[18]سجل المستخلصات'!$W$13)</f>
        <v/>
      </c>
      <c r="T32" s="61">
        <f>IF('[18]سجل المستخلصات'!$X$13="","",'[18]سجل المستخلصات'!$X$13)</f>
        <v/>
      </c>
      <c r="U32" s="61">
        <f>IF('[18]سجل المستخلصات'!$Z$13="","",'[18]سجل المستخلصات'!$Z$13)</f>
        <v/>
      </c>
      <c r="V32" s="59">
        <f>IF('[18]سجل المستخلصات'!$AA$13="","",'[18]سجل المستخلصات'!$AA$13)</f>
        <v/>
      </c>
      <c r="W32" s="59">
        <f>IF('[18]سجل المستخلصات'!$AC$13="","",'[18]سجل المستخلصات'!$AC$13)</f>
        <v/>
      </c>
      <c r="X32" s="62">
        <f>IF('[18]سجل المستخلصات'!$AD$13="","",'[18]سجل المستخلصات'!$AD$13)</f>
        <v/>
      </c>
      <c r="Y32" s="58">
        <f>IF('[18]سجل المستخلصات'!$AE$13="","",'[18]سجل المستخلصات'!$AE$13)</f>
        <v/>
      </c>
    </row>
    <row r="33">
      <c r="B33" s="56" t="n">
        <v>9</v>
      </c>
      <c r="C33" s="57">
        <f>IF('[18]سجل المستخلصات'!$C$14="","",'[18]سجل المستخلصات'!$C$14)</f>
        <v/>
      </c>
      <c r="D33" s="57">
        <f>IF('[18]سجل المستخلصات'!$E$14="","",'[18]سجل المستخلصات'!$E$14)</f>
        <v/>
      </c>
      <c r="E33" s="58">
        <f>IF('[18]سجل المستخلصات'!$F$14="","",'[18]سجل المستخلصات'!$F$14)</f>
        <v/>
      </c>
      <c r="F33" s="59">
        <f>IF('[18]سجل المستخلصات'!$H$14="","",'[18]سجل المستخلصات'!$H$14)</f>
        <v/>
      </c>
      <c r="G33" s="59">
        <f>IF('[18]سجل المستخلصات'!$G$14="","",'[18]سجل المستخلصات'!$G$14)</f>
        <v/>
      </c>
      <c r="H33" s="59">
        <f>IF('[18]سجل المستخلصات'!$I$14="","",'[18]سجل المستخلصات'!$I$14)</f>
        <v/>
      </c>
      <c r="I33" s="59">
        <f>IF('[18]سجل المستخلصات'!$J$14="","",'[18]سجل المستخلصات'!$J$14)</f>
        <v/>
      </c>
      <c r="J33" s="59">
        <f>IF('[18]سجل المستخلصات'!$K$14="","",'[18]سجل المستخلصات'!$K$14)</f>
        <v/>
      </c>
      <c r="K33" s="60">
        <f>IF('[18]سجل المستخلصات'!$L$14="","",'[18]سجل المستخلصات'!$L$14)</f>
        <v/>
      </c>
      <c r="L33" s="60">
        <f>IF('[18]سجل المستخلصات'!$M$14="","",'[18]سجل المستخلصات'!$M$14)</f>
        <v/>
      </c>
      <c r="M33" s="60">
        <f>IF('[18]سجل المستخلصات'!$N$14="","",'[18]سجل المستخلصات'!$N$14)</f>
        <v/>
      </c>
      <c r="N33" s="59">
        <f>IF('[18]سجل المستخلصات'!$O$14="","",'[18]سجل المستخلصات'!$O$14)</f>
        <v/>
      </c>
      <c r="O33" s="59">
        <f>IF('[18]سجل المستخلصات'!$R$14="","",'[18]سجل المستخلصات'!$R$14)</f>
        <v/>
      </c>
      <c r="P33" s="59">
        <f>IF('[18]سجل المستخلصات'!$S$14="","",'[18]سجل المستخلصات'!$S$14)</f>
        <v/>
      </c>
      <c r="Q33" s="59">
        <f>IF('[18]سجل المستخلصات'!$T$14="","",'[18]سجل المستخلصات'!$T$14)</f>
        <v/>
      </c>
      <c r="R33" s="59">
        <f>IF('[18]سجل المستخلصات'!$V$14="","",'[18]سجل المستخلصات'!$V$14)</f>
        <v/>
      </c>
      <c r="S33" s="59">
        <f>IF('[18]سجل المستخلصات'!$W$14="","",'[18]سجل المستخلصات'!$W$14)</f>
        <v/>
      </c>
      <c r="T33" s="61">
        <f>IF('[18]سجل المستخلصات'!$X$14="","",'[18]سجل المستخلصات'!$X$14)</f>
        <v/>
      </c>
      <c r="U33" s="61">
        <f>IF('[18]سجل المستخلصات'!$Z$14="","",'[18]سجل المستخلصات'!$Z$14)</f>
        <v/>
      </c>
      <c r="V33" s="59">
        <f>IF('[18]سجل المستخلصات'!$AA$14="","",'[18]سجل المستخلصات'!$AA$14)</f>
        <v/>
      </c>
      <c r="W33" s="59">
        <f>IF('[18]سجل المستخلصات'!$AC$14="","",'[18]سجل المستخلصات'!$AC$14)</f>
        <v/>
      </c>
      <c r="X33" s="62">
        <f>IF('[18]سجل المستخلصات'!$AD$14="","",'[18]سجل المستخلصات'!$AD$14)</f>
        <v/>
      </c>
      <c r="Y33" s="58">
        <f>IF('[18]سجل المستخلصات'!$AE$14="","",'[18]سجل المستخلصات'!$AE$14)</f>
        <v/>
      </c>
    </row>
    <row r="34">
      <c r="B34" s="56" t="n">
        <v>10</v>
      </c>
      <c r="C34" s="57">
        <f>IF('[18]سجل المستخلصات'!$C$15="","",'[18]سجل المستخلصات'!$C$15)</f>
        <v/>
      </c>
      <c r="D34" s="57">
        <f>IF('[18]سجل المستخلصات'!$E$15="","",'[18]سجل المستخلصات'!$E$15)</f>
        <v/>
      </c>
      <c r="E34" s="58">
        <f>IF('[18]سجل المستخلصات'!$F$15="","",'[18]سجل المستخلصات'!$F$15)</f>
        <v/>
      </c>
      <c r="F34" s="59">
        <f>IF('[18]سجل المستخلصات'!$H$15="","",'[18]سجل المستخلصات'!$H$15)</f>
        <v/>
      </c>
      <c r="G34" s="59">
        <f>IF('[18]سجل المستخلصات'!$G$15="","",'[18]سجل المستخلصات'!$G$15)</f>
        <v/>
      </c>
      <c r="H34" s="59">
        <f>IF('[18]سجل المستخلصات'!$I$15="","",'[18]سجل المستخلصات'!$I$15)</f>
        <v/>
      </c>
      <c r="I34" s="59">
        <f>IF('[18]سجل المستخلصات'!$J$15="","",'[18]سجل المستخلصات'!$J$15)</f>
        <v/>
      </c>
      <c r="J34" s="59">
        <f>IF('[18]سجل المستخلصات'!$K$15="","",'[18]سجل المستخلصات'!$K$15)</f>
        <v/>
      </c>
      <c r="K34" s="60">
        <f>IF('[18]سجل المستخلصات'!$L$15="","",'[18]سجل المستخلصات'!$L$15)</f>
        <v/>
      </c>
      <c r="L34" s="60">
        <f>IF('[18]سجل المستخلصات'!$M$15="","",'[18]سجل المستخلصات'!$M$15)</f>
        <v/>
      </c>
      <c r="M34" s="60">
        <f>IF('[18]سجل المستخلصات'!$N$15="","",'[18]سجل المستخلصات'!$N$15)</f>
        <v/>
      </c>
      <c r="N34" s="59">
        <f>IF('[18]سجل المستخلصات'!$O$15="","",'[18]سجل المستخلصات'!$O$15)</f>
        <v/>
      </c>
      <c r="O34" s="59">
        <f>IF('[18]سجل المستخلصات'!$R$15="","",'[18]سجل المستخلصات'!$R$15)</f>
        <v/>
      </c>
      <c r="P34" s="59">
        <f>IF('[18]سجل المستخلصات'!$S$15="","",'[18]سجل المستخلصات'!$S$15)</f>
        <v/>
      </c>
      <c r="Q34" s="59">
        <f>IF('[18]سجل المستخلصات'!$T$15="","",'[18]سجل المستخلصات'!$T$15)</f>
        <v/>
      </c>
      <c r="R34" s="59">
        <f>IF('[18]سجل المستخلصات'!$V$15="","",'[18]سجل المستخلصات'!$V$15)</f>
        <v/>
      </c>
      <c r="S34" s="59">
        <f>IF('[18]سجل المستخلصات'!$W$15="","",'[18]سجل المستخلصات'!$W$15)</f>
        <v/>
      </c>
      <c r="T34" s="61">
        <f>IF('[18]سجل المستخلصات'!$X$15="","",'[18]سجل المستخلصات'!$X$15)</f>
        <v/>
      </c>
      <c r="U34" s="61">
        <f>IF('[18]سجل المستخلصات'!$Z$15="","",'[18]سجل المستخلصات'!$Z$15)</f>
        <v/>
      </c>
      <c r="V34" s="59">
        <f>IF('[18]سجل المستخلصات'!$AA$15="","",'[18]سجل المستخلصات'!$AA$15)</f>
        <v/>
      </c>
      <c r="W34" s="59">
        <f>IF('[18]سجل المستخلصات'!$AC$15="","",'[18]سجل المستخلصات'!$AC$15)</f>
        <v/>
      </c>
      <c r="X34" s="62">
        <f>IF('[18]سجل المستخلصات'!$AD$15="","",'[18]سجل المستخلصات'!$AD$15)</f>
        <v/>
      </c>
      <c r="Y34" s="58">
        <f>IF('[18]سجل المستخلصات'!$AE$15="","",'[18]سجل المستخلصات'!$AE$15)</f>
        <v/>
      </c>
    </row>
    <row r="35">
      <c r="B35" s="56" t="n">
        <v>11</v>
      </c>
      <c r="C35" s="57">
        <f>IF('[18]سجل المستخلصات'!$C$16="","",'[18]سجل المستخلصات'!$C$16)</f>
        <v/>
      </c>
      <c r="D35" s="57">
        <f>IF('[18]سجل المستخلصات'!$E$16="","",'[18]سجل المستخلصات'!$E$16)</f>
        <v/>
      </c>
      <c r="E35" s="58">
        <f>IF('[18]سجل المستخلصات'!$F$16="","",'[18]سجل المستخلصات'!$F$16)</f>
        <v/>
      </c>
      <c r="F35" s="59">
        <f>IF('[18]سجل المستخلصات'!$H$16="","",'[18]سجل المستخلصات'!$H$16)</f>
        <v/>
      </c>
      <c r="G35" s="59">
        <f>IF('[18]سجل المستخلصات'!$G$16="","",'[18]سجل المستخلصات'!$G$16)</f>
        <v/>
      </c>
      <c r="H35" s="59">
        <f>IF('[18]سجل المستخلصات'!$I$16="","",'[18]سجل المستخلصات'!$I$16)</f>
        <v/>
      </c>
      <c r="I35" s="59">
        <f>IF('[18]سجل المستخلصات'!$J$16="","",'[18]سجل المستخلصات'!$J$16)</f>
        <v/>
      </c>
      <c r="J35" s="59">
        <f>IF('[18]سجل المستخلصات'!$K$16="","",'[18]سجل المستخلصات'!$K$16)</f>
        <v/>
      </c>
      <c r="K35" s="60">
        <f>IF('[18]سجل المستخلصات'!$L$16="","",'[18]سجل المستخلصات'!$L$16)</f>
        <v/>
      </c>
      <c r="L35" s="60">
        <f>IF('[18]سجل المستخلصات'!$M$16="","",'[18]سجل المستخلصات'!$M$16)</f>
        <v/>
      </c>
      <c r="M35" s="60">
        <f>IF('[18]سجل المستخلصات'!$N$16="","",'[18]سجل المستخلصات'!$N$16)</f>
        <v/>
      </c>
      <c r="N35" s="59">
        <f>IF('[18]سجل المستخلصات'!$O$16="","",'[18]سجل المستخلصات'!$O$16)</f>
        <v/>
      </c>
      <c r="O35" s="59">
        <f>IF('[18]سجل المستخلصات'!$R$16="","",'[18]سجل المستخلصات'!$R$16)</f>
        <v/>
      </c>
      <c r="P35" s="59">
        <f>IF('[18]سجل المستخلصات'!$S$16="","",'[18]سجل المستخلصات'!$S$16)</f>
        <v/>
      </c>
      <c r="Q35" s="59">
        <f>IF('[18]سجل المستخلصات'!$T$16="","",'[18]سجل المستخلصات'!$T$16)</f>
        <v/>
      </c>
      <c r="R35" s="59">
        <f>IF('[18]سجل المستخلصات'!$V$16="","",'[18]سجل المستخلصات'!$V$16)</f>
        <v/>
      </c>
      <c r="S35" s="59">
        <f>IF('[18]سجل المستخلصات'!$W$16="","",'[18]سجل المستخلصات'!$W$16)</f>
        <v/>
      </c>
      <c r="T35" s="61">
        <f>IF('[18]سجل المستخلصات'!$X$16="","",'[18]سجل المستخلصات'!$X$16)</f>
        <v/>
      </c>
      <c r="U35" s="61">
        <f>IF('[18]سجل المستخلصات'!$Z$16="","",'[18]سجل المستخلصات'!$Z$16)</f>
        <v/>
      </c>
      <c r="V35" s="59">
        <f>IF('[18]سجل المستخلصات'!$AA$16="","",'[18]سجل المستخلصات'!$AA$16)</f>
        <v/>
      </c>
      <c r="W35" s="59">
        <f>IF('[18]سجل المستخلصات'!$AC$16="","",'[18]سجل المستخلصات'!$AC$16)</f>
        <v/>
      </c>
      <c r="X35" s="62">
        <f>IF('[18]سجل المستخلصات'!$AD$16="","",'[18]سجل المستخلصات'!$AD$16)</f>
        <v/>
      </c>
      <c r="Y35" s="58">
        <f>IF('[18]سجل المستخلصات'!$AE$16="","",'[18]سجل المستخلصات'!$AE$16)</f>
        <v/>
      </c>
    </row>
    <row r="36">
      <c r="B36" s="56" t="n">
        <v>12</v>
      </c>
      <c r="C36" s="57">
        <f>IF('[18]سجل المستخلصات'!$C$17="","",'[18]سجل المستخلصات'!$C$17)</f>
        <v/>
      </c>
      <c r="D36" s="57">
        <f>IF('[18]سجل المستخلصات'!$E$17="","",'[18]سجل المستخلصات'!$E$17)</f>
        <v/>
      </c>
      <c r="E36" s="58">
        <f>IF('[18]سجل المستخلصات'!$F$17="","",'[18]سجل المستخلصات'!$F$17)</f>
        <v/>
      </c>
      <c r="F36" s="59">
        <f>IF('[18]سجل المستخلصات'!$H$17="","",'[18]سجل المستخلصات'!$H$17)</f>
        <v/>
      </c>
      <c r="G36" s="59">
        <f>IF('[18]سجل المستخلصات'!$G$17="","",'[18]سجل المستخلصات'!$G$17)</f>
        <v/>
      </c>
      <c r="H36" s="59">
        <f>IF('[18]سجل المستخلصات'!$I$17="","",'[18]سجل المستخلصات'!$I$17)</f>
        <v/>
      </c>
      <c r="I36" s="59">
        <f>IF('[18]سجل المستخلصات'!$J$17="","",'[18]سجل المستخلصات'!$J$17)</f>
        <v/>
      </c>
      <c r="J36" s="59">
        <f>IF('[18]سجل المستخلصات'!$K$17="","",'[18]سجل المستخلصات'!$K$17)</f>
        <v/>
      </c>
      <c r="K36" s="60">
        <f>IF('[18]سجل المستخلصات'!$L$17="","",'[18]سجل المستخلصات'!$L$17)</f>
        <v/>
      </c>
      <c r="L36" s="60">
        <f>IF('[18]سجل المستخلصات'!$M$17="","",'[18]سجل المستخلصات'!$M$17)</f>
        <v/>
      </c>
      <c r="M36" s="60">
        <f>IF('[18]سجل المستخلصات'!$N$17="","",'[18]سجل المستخلصات'!$N$17)</f>
        <v/>
      </c>
      <c r="N36" s="59">
        <f>IF('[18]سجل المستخلصات'!$O$17="","",'[18]سجل المستخلصات'!$O$17)</f>
        <v/>
      </c>
      <c r="O36" s="59">
        <f>IF('[18]سجل المستخلصات'!$R$17="","",'[18]سجل المستخلصات'!$R$17)</f>
        <v/>
      </c>
      <c r="P36" s="59">
        <f>IF('[18]سجل المستخلصات'!$S$17="","",'[18]سجل المستخلصات'!$S$17)</f>
        <v/>
      </c>
      <c r="Q36" s="59">
        <f>IF('[18]سجل المستخلصات'!$T$17="","",'[18]سجل المستخلصات'!$T$17)</f>
        <v/>
      </c>
      <c r="R36" s="59">
        <f>IF('[18]سجل المستخلصات'!$V$17="","",'[18]سجل المستخلصات'!$V$17)</f>
        <v/>
      </c>
      <c r="S36" s="59">
        <f>IF('[18]سجل المستخلصات'!$W$17="","",'[18]سجل المستخلصات'!$W$17)</f>
        <v/>
      </c>
      <c r="T36" s="61">
        <f>IF('[18]سجل المستخلصات'!$X$17="","",'[18]سجل المستخلصات'!$X$17)</f>
        <v/>
      </c>
      <c r="U36" s="61">
        <f>IF('[18]سجل المستخلصات'!$Z$17="","",'[18]سجل المستخلصات'!$Z$17)</f>
        <v/>
      </c>
      <c r="V36" s="59">
        <f>IF('[18]سجل المستخلصات'!$AA$17="","",'[18]سجل المستخلصات'!$AA$17)</f>
        <v/>
      </c>
      <c r="W36" s="59">
        <f>IF('[18]سجل المستخلصات'!$AC$17="","",'[18]سجل المستخلصات'!$AC$17)</f>
        <v/>
      </c>
      <c r="X36" s="62">
        <f>IF('[18]سجل المستخلصات'!$AD$17="","",'[18]سجل المستخلصات'!$AD$17)</f>
        <v/>
      </c>
      <c r="Y36" s="58">
        <f>IF('[18]سجل المستخلصات'!$AE$17="","",'[18]سجل المستخلصات'!$AE$17)</f>
        <v/>
      </c>
    </row>
    <row r="37">
      <c r="B37" s="56" t="n">
        <v>13</v>
      </c>
      <c r="C37" s="57">
        <f>IF('[18]سجل المستخلصات'!$C$18="","",'[18]سجل المستخلصات'!$C$18)</f>
        <v/>
      </c>
      <c r="D37" s="57">
        <f>IF('[18]سجل المستخلصات'!$E$18="","",'[18]سجل المستخلصات'!$E$18)</f>
        <v/>
      </c>
      <c r="E37" s="58">
        <f>IF('[18]سجل المستخلصات'!$F$18="","",'[18]سجل المستخلصات'!$F$18)</f>
        <v/>
      </c>
      <c r="F37" s="59">
        <f>IF('[18]سجل المستخلصات'!$H$18="","",'[18]سجل المستخلصات'!$H$18)</f>
        <v/>
      </c>
      <c r="G37" s="59">
        <f>IF('[18]سجل المستخلصات'!$G$18="","",'[18]سجل المستخلصات'!$G$18)</f>
        <v/>
      </c>
      <c r="H37" s="59">
        <f>IF('[18]سجل المستخلصات'!$I$18="","",'[18]سجل المستخلصات'!$I$18)</f>
        <v/>
      </c>
      <c r="I37" s="59">
        <f>IF('[18]سجل المستخلصات'!$J$18="","",'[18]سجل المستخلصات'!$J$18)</f>
        <v/>
      </c>
      <c r="J37" s="59">
        <f>IF('[18]سجل المستخلصات'!$K$18="","",'[18]سجل المستخلصات'!$K$18)</f>
        <v/>
      </c>
      <c r="K37" s="60">
        <f>IF('[18]سجل المستخلصات'!$L$18="","",'[18]سجل المستخلصات'!$L$18)</f>
        <v/>
      </c>
      <c r="L37" s="60">
        <f>IF('[18]سجل المستخلصات'!$M$18="","",'[18]سجل المستخلصات'!$M$18)</f>
        <v/>
      </c>
      <c r="M37" s="60">
        <f>IF('[18]سجل المستخلصات'!$N$18="","",'[18]سجل المستخلصات'!$N$18)</f>
        <v/>
      </c>
      <c r="N37" s="59">
        <f>IF('[18]سجل المستخلصات'!$O$18="","",'[18]سجل المستخلصات'!$O$18)</f>
        <v/>
      </c>
      <c r="O37" s="59">
        <f>IF('[18]سجل المستخلصات'!$R$18="","",'[18]سجل المستخلصات'!$R$18)</f>
        <v/>
      </c>
      <c r="P37" s="59">
        <f>IF('[18]سجل المستخلصات'!$S$18="","",'[18]سجل المستخلصات'!$S$18)</f>
        <v/>
      </c>
      <c r="Q37" s="59">
        <f>IF('[18]سجل المستخلصات'!$T$18="","",'[18]سجل المستخلصات'!$T$18)</f>
        <v/>
      </c>
      <c r="R37" s="59">
        <f>IF('[18]سجل المستخلصات'!$V$18="","",'[18]سجل المستخلصات'!$V$18)</f>
        <v/>
      </c>
      <c r="S37" s="59">
        <f>IF('[18]سجل المستخلصات'!$W$18="","",'[18]سجل المستخلصات'!$W$18)</f>
        <v/>
      </c>
      <c r="T37" s="61">
        <f>IF('[18]سجل المستخلصات'!$X$18="","",'[18]سجل المستخلصات'!$X$18)</f>
        <v/>
      </c>
      <c r="U37" s="61">
        <f>IF('[18]سجل المستخلصات'!$Z$18="","",'[18]سجل المستخلصات'!$Z$18)</f>
        <v/>
      </c>
      <c r="V37" s="59">
        <f>IF('[18]سجل المستخلصات'!$AA$18="","",'[18]سجل المستخلصات'!$AA$18)</f>
        <v/>
      </c>
      <c r="W37" s="59">
        <f>IF('[18]سجل المستخلصات'!$AC$18="","",'[18]سجل المستخلصات'!$AC$18)</f>
        <v/>
      </c>
      <c r="X37" s="62">
        <f>IF('[18]سجل المستخلصات'!$AD$18="","",'[18]سجل المستخلصات'!$AD$18)</f>
        <v/>
      </c>
      <c r="Y37" s="58">
        <f>IF('[18]سجل المستخلصات'!$AE$18="","",'[18]سجل المستخلصات'!$AE$18)</f>
        <v/>
      </c>
    </row>
    <row r="38">
      <c r="B38" s="56" t="n">
        <v>14</v>
      </c>
      <c r="C38" s="57">
        <f>IF('[18]سجل المستخلصات'!$C$19="","",'[18]سجل المستخلصات'!$C$19)</f>
        <v/>
      </c>
      <c r="D38" s="57">
        <f>IF('[18]سجل المستخلصات'!$E$19="","",'[18]سجل المستخلصات'!$E$19)</f>
        <v/>
      </c>
      <c r="E38" s="58">
        <f>IF('[18]سجل المستخلصات'!$F$19="","",'[18]سجل المستخلصات'!$F$19)</f>
        <v/>
      </c>
      <c r="F38" s="59">
        <f>IF('[18]سجل المستخلصات'!$H$19="","",'[18]سجل المستخلصات'!$H$19)</f>
        <v/>
      </c>
      <c r="G38" s="59">
        <f>IF('[18]سجل المستخلصات'!$G$19="","",'[18]سجل المستخلصات'!$G$19)</f>
        <v/>
      </c>
      <c r="H38" s="59">
        <f>IF('[18]سجل المستخلصات'!$I$19="","",'[18]سجل المستخلصات'!$I$19)</f>
        <v/>
      </c>
      <c r="I38" s="59">
        <f>IF('[18]سجل المستخلصات'!$J$19="","",'[18]سجل المستخلصات'!$J$19)</f>
        <v/>
      </c>
      <c r="J38" s="59">
        <f>IF('[18]سجل المستخلصات'!$K$19="","",'[18]سجل المستخلصات'!$K$19)</f>
        <v/>
      </c>
      <c r="K38" s="60">
        <f>IF('[18]سجل المستخلصات'!$L$19="","",'[18]سجل المستخلصات'!$L$19)</f>
        <v/>
      </c>
      <c r="L38" s="60">
        <f>IF('[18]سجل المستخلصات'!$M$19="","",'[18]سجل المستخلصات'!$M$19)</f>
        <v/>
      </c>
      <c r="M38" s="60">
        <f>IF('[18]سجل المستخلصات'!$N$19="","",'[18]سجل المستخلصات'!$N$19)</f>
        <v/>
      </c>
      <c r="N38" s="59">
        <f>IF('[18]سجل المستخلصات'!$O$19="","",'[18]سجل المستخلصات'!$O$19)</f>
        <v/>
      </c>
      <c r="O38" s="59">
        <f>IF('[18]سجل المستخلصات'!$R$19="","",'[18]سجل المستخلصات'!$R$19)</f>
        <v/>
      </c>
      <c r="P38" s="59">
        <f>IF('[18]سجل المستخلصات'!$S$19="","",'[18]سجل المستخلصات'!$S$19)</f>
        <v/>
      </c>
      <c r="Q38" s="59">
        <f>IF('[18]سجل المستخلصات'!$T$19="","",'[18]سجل المستخلصات'!$T$19)</f>
        <v/>
      </c>
      <c r="R38" s="59">
        <f>IF('[18]سجل المستخلصات'!$V$19="","",'[18]سجل المستخلصات'!$V$19)</f>
        <v/>
      </c>
      <c r="S38" s="59">
        <f>IF('[18]سجل المستخلصات'!$W$19="","",'[18]سجل المستخلصات'!$W$19)</f>
        <v/>
      </c>
      <c r="T38" s="61">
        <f>IF('[18]سجل المستخلصات'!$X$19="","",'[18]سجل المستخلصات'!$X$19)</f>
        <v/>
      </c>
      <c r="U38" s="61">
        <f>IF('[18]سجل المستخلصات'!$Z$19="","",'[18]سجل المستخلصات'!$Z$19)</f>
        <v/>
      </c>
      <c r="V38" s="59">
        <f>IF('[18]سجل المستخلصات'!$AA$19="","",'[18]سجل المستخلصات'!$AA$19)</f>
        <v/>
      </c>
      <c r="W38" s="59">
        <f>IF('[18]سجل المستخلصات'!$AC$19="","",'[18]سجل المستخلصات'!$AC$19)</f>
        <v/>
      </c>
      <c r="X38" s="62">
        <f>IF('[18]سجل المستخلصات'!$AD$19="","",'[18]سجل المستخلصات'!$AD$19)</f>
        <v/>
      </c>
      <c r="Y38" s="58">
        <f>IF('[18]سجل المستخلصات'!$AE$19="","",'[18]سجل المستخلصات'!$AE$19)</f>
        <v/>
      </c>
    </row>
    <row r="39">
      <c r="B39" s="56" t="n">
        <v>15</v>
      </c>
      <c r="C39" s="57">
        <f>IF('[18]سجل المستخلصات'!$C$20="","",'[18]سجل المستخلصات'!$C$20)</f>
        <v/>
      </c>
      <c r="D39" s="57">
        <f>IF('[18]سجل المستخلصات'!$E$20="","",'[18]سجل المستخلصات'!$E$20)</f>
        <v/>
      </c>
      <c r="E39" s="58">
        <f>IF('[18]سجل المستخلصات'!$F$20="","",'[18]سجل المستخلصات'!$F$20)</f>
        <v/>
      </c>
      <c r="F39" s="59">
        <f>IF('[18]سجل المستخلصات'!$H$20="","",'[18]سجل المستخلصات'!$H$20)</f>
        <v/>
      </c>
      <c r="G39" s="59">
        <f>IF('[18]سجل المستخلصات'!$G$20="","",'[18]سجل المستخلصات'!$G$20)</f>
        <v/>
      </c>
      <c r="H39" s="59">
        <f>IF('[18]سجل المستخلصات'!$I$20="","",'[18]سجل المستخلصات'!$I$20)</f>
        <v/>
      </c>
      <c r="I39" s="59">
        <f>IF('[18]سجل المستخلصات'!$J$20="","",'[18]سجل المستخلصات'!$J$20)</f>
        <v/>
      </c>
      <c r="J39" s="59">
        <f>IF('[18]سجل المستخلصات'!$K$20="","",'[18]سجل المستخلصات'!$K$20)</f>
        <v/>
      </c>
      <c r="K39" s="60">
        <f>IF('[18]سجل المستخلصات'!$L$20="","",'[18]سجل المستخلصات'!$L$20)</f>
        <v/>
      </c>
      <c r="L39" s="60">
        <f>IF('[18]سجل المستخلصات'!$M$20="","",'[18]سجل المستخلصات'!$M$20)</f>
        <v/>
      </c>
      <c r="M39" s="60">
        <f>IF('[18]سجل المستخلصات'!$N$20="","",'[18]سجل المستخلصات'!$N$20)</f>
        <v/>
      </c>
      <c r="N39" s="59">
        <f>IF('[18]سجل المستخلصات'!$O$20="","",'[18]سجل المستخلصات'!$O$20)</f>
        <v/>
      </c>
      <c r="O39" s="59">
        <f>IF('[18]سجل المستخلصات'!$R$20="","",'[18]سجل المستخلصات'!$R$20)</f>
        <v/>
      </c>
      <c r="P39" s="59">
        <f>IF('[18]سجل المستخلصات'!$S$20="","",'[18]سجل المستخلصات'!$S$20)</f>
        <v/>
      </c>
      <c r="Q39" s="59">
        <f>IF('[18]سجل المستخلصات'!$T$20="","",'[18]سجل المستخلصات'!$T$20)</f>
        <v/>
      </c>
      <c r="R39" s="59">
        <f>IF('[18]سجل المستخلصات'!$V$20="","",'[18]سجل المستخلصات'!$V$20)</f>
        <v/>
      </c>
      <c r="S39" s="59">
        <f>IF('[18]سجل المستخلصات'!$W$20="","",'[18]سجل المستخلصات'!$W$20)</f>
        <v/>
      </c>
      <c r="T39" s="61">
        <f>IF('[18]سجل المستخلصات'!$X$20="","",'[18]سجل المستخلصات'!$X$20)</f>
        <v/>
      </c>
      <c r="U39" s="61">
        <f>IF('[18]سجل المستخلصات'!$Z$20="","",'[18]سجل المستخلصات'!$Z$20)</f>
        <v/>
      </c>
      <c r="V39" s="59">
        <f>IF('[18]سجل المستخلصات'!$AA$20="","",'[18]سجل المستخلصات'!$AA$20)</f>
        <v/>
      </c>
      <c r="W39" s="59">
        <f>IF('[18]سجل المستخلصات'!$AC$20="","",'[18]سجل المستخلصات'!$AC$20)</f>
        <v/>
      </c>
      <c r="X39" s="62">
        <f>IF('[18]سجل المستخلصات'!$AD$20="","",'[18]سجل المستخلصات'!$AD$20)</f>
        <v/>
      </c>
      <c r="Y39" s="58">
        <f>IF('[18]سجل المستخلصات'!$AE$20="","",'[18]سجل المستخلصات'!$AE$20)</f>
        <v/>
      </c>
    </row>
    <row r="40">
      <c r="B40" s="56" t="n">
        <v>16</v>
      </c>
      <c r="C40" s="57">
        <f>IF('[18]سجل المستخلصات'!$C$21="","",'[18]سجل المستخلصات'!$C$21)</f>
        <v/>
      </c>
      <c r="D40" s="57">
        <f>IF('[18]سجل المستخلصات'!$E$21="","",'[18]سجل المستخلصات'!$E$21)</f>
        <v/>
      </c>
      <c r="E40" s="58">
        <f>IF('[18]سجل المستخلصات'!$F$21="","",'[18]سجل المستخلصات'!$F$21)</f>
        <v/>
      </c>
      <c r="F40" s="59">
        <f>IF('[18]سجل المستخلصات'!$H$21="","",'[18]سجل المستخلصات'!$H$21)</f>
        <v/>
      </c>
      <c r="G40" s="59">
        <f>IF('[18]سجل المستخلصات'!$G$21="","",'[18]سجل المستخلصات'!$G$21)</f>
        <v/>
      </c>
      <c r="H40" s="59">
        <f>IF('[18]سجل المستخلصات'!$I$21="","",'[18]سجل المستخلصات'!$I$21)</f>
        <v/>
      </c>
      <c r="I40" s="59">
        <f>IF('[18]سجل المستخلصات'!$J$21="","",'[18]سجل المستخلصات'!$J$21)</f>
        <v/>
      </c>
      <c r="J40" s="59">
        <f>IF('[18]سجل المستخلصات'!$K$21="","",'[18]سجل المستخلصات'!$K$21)</f>
        <v/>
      </c>
      <c r="K40" s="60">
        <f>IF('[18]سجل المستخلصات'!$L$21="","",'[18]سجل المستخلصات'!$L$21)</f>
        <v/>
      </c>
      <c r="L40" s="60">
        <f>IF('[18]سجل المستخلصات'!$M$21="","",'[18]سجل المستخلصات'!$M$21)</f>
        <v/>
      </c>
      <c r="M40" s="60">
        <f>IF('[18]سجل المستخلصات'!$N$21="","",'[18]سجل المستخلصات'!$N$21)</f>
        <v/>
      </c>
      <c r="N40" s="59">
        <f>IF('[18]سجل المستخلصات'!$O$21="","",'[18]سجل المستخلصات'!$O$21)</f>
        <v/>
      </c>
      <c r="O40" s="59">
        <f>IF('[18]سجل المستخلصات'!$R$21="","",'[18]سجل المستخلصات'!$R$21)</f>
        <v/>
      </c>
      <c r="P40" s="59">
        <f>IF('[18]سجل المستخلصات'!$S$21="","",'[18]سجل المستخلصات'!$S$21)</f>
        <v/>
      </c>
      <c r="Q40" s="59">
        <f>IF('[18]سجل المستخلصات'!$T$21="","",'[18]سجل المستخلصات'!$T$21)</f>
        <v/>
      </c>
      <c r="R40" s="59">
        <f>IF('[18]سجل المستخلصات'!$V$21="","",'[18]سجل المستخلصات'!$V$21)</f>
        <v/>
      </c>
      <c r="S40" s="59">
        <f>IF('[18]سجل المستخلصات'!$W$21="","",'[18]سجل المستخلصات'!$W$21)</f>
        <v/>
      </c>
      <c r="T40" s="61">
        <f>IF('[18]سجل المستخلصات'!$X$21="","",'[18]سجل المستخلصات'!$X$21)</f>
        <v/>
      </c>
      <c r="U40" s="61">
        <f>IF('[18]سجل المستخلصات'!$Z$21="","",'[18]سجل المستخلصات'!$Z$21)</f>
        <v/>
      </c>
      <c r="V40" s="59">
        <f>IF('[18]سجل المستخلصات'!$AA$21="","",'[18]سجل المستخلصات'!$AA$21)</f>
        <v/>
      </c>
      <c r="W40" s="59">
        <f>IF('[18]سجل المستخلصات'!$AC$21="","",'[18]سجل المستخلصات'!$AC$21)</f>
        <v/>
      </c>
      <c r="X40" s="62">
        <f>IF('[18]سجل المستخلصات'!$AD$21="","",'[18]سجل المستخلصات'!$AD$21)</f>
        <v/>
      </c>
      <c r="Y40" s="58">
        <f>IF('[18]سجل المستخلصات'!$AE$21="","",'[18]سجل المستخلصات'!$AE$21)</f>
        <v/>
      </c>
    </row>
    <row r="41">
      <c r="B41" s="56" t="n">
        <v>17</v>
      </c>
      <c r="C41" s="57">
        <f>IF('[18]سجل المستخلصات'!$C$22="","",'[18]سجل المستخلصات'!$C$22)</f>
        <v/>
      </c>
      <c r="D41" s="57">
        <f>IF('[18]سجل المستخلصات'!$E$22="","",'[18]سجل المستخلصات'!$E$22)</f>
        <v/>
      </c>
      <c r="E41" s="58">
        <f>IF('[18]سجل المستخلصات'!$F$22="","",'[18]سجل المستخلصات'!$F$22)</f>
        <v/>
      </c>
      <c r="F41" s="59">
        <f>IF('[18]سجل المستخلصات'!$H$22="","",'[18]سجل المستخلصات'!$H$22)</f>
        <v/>
      </c>
      <c r="G41" s="59">
        <f>IF('[18]سجل المستخلصات'!$G$22="","",'[18]سجل المستخلصات'!$G$22)</f>
        <v/>
      </c>
      <c r="H41" s="59">
        <f>IF('[18]سجل المستخلصات'!$I$22="","",'[18]سجل المستخلصات'!$I$22)</f>
        <v/>
      </c>
      <c r="I41" s="59">
        <f>IF('[18]سجل المستخلصات'!$J$22="","",'[18]سجل المستخلصات'!$J$22)</f>
        <v/>
      </c>
      <c r="J41" s="59">
        <f>IF('[18]سجل المستخلصات'!$K$22="","",'[18]سجل المستخلصات'!$K$22)</f>
        <v/>
      </c>
      <c r="K41" s="60">
        <f>IF('[18]سجل المستخلصات'!$L$22="","",'[18]سجل المستخلصات'!$L$22)</f>
        <v/>
      </c>
      <c r="L41" s="60">
        <f>IF('[18]سجل المستخلصات'!$M$22="","",'[18]سجل المستخلصات'!$M$22)</f>
        <v/>
      </c>
      <c r="M41" s="60">
        <f>IF('[18]سجل المستخلصات'!$N$22="","",'[18]سجل المستخلصات'!$N$22)</f>
        <v/>
      </c>
      <c r="N41" s="59">
        <f>IF('[18]سجل المستخلصات'!$O$22="","",'[18]سجل المستخلصات'!$O$22)</f>
        <v/>
      </c>
      <c r="O41" s="59">
        <f>IF('[18]سجل المستخلصات'!$R$22="","",'[18]سجل المستخلصات'!$R$22)</f>
        <v/>
      </c>
      <c r="P41" s="59">
        <f>IF('[18]سجل المستخلصات'!$S$22="","",'[18]سجل المستخلصات'!$S$22)</f>
        <v/>
      </c>
      <c r="Q41" s="59">
        <f>IF('[18]سجل المستخلصات'!$T$22="","",'[18]سجل المستخلصات'!$T$22)</f>
        <v/>
      </c>
      <c r="R41" s="59">
        <f>IF('[18]سجل المستخلصات'!$V$22="","",'[18]سجل المستخلصات'!$V$22)</f>
        <v/>
      </c>
      <c r="S41" s="59">
        <f>IF('[18]سجل المستخلصات'!$W$22="","",'[18]سجل المستخلصات'!$W$22)</f>
        <v/>
      </c>
      <c r="T41" s="61">
        <f>IF('[18]سجل المستخلصات'!$X$22="","",'[18]سجل المستخلصات'!$X$22)</f>
        <v/>
      </c>
      <c r="U41" s="61">
        <f>IF('[18]سجل المستخلصات'!$Z$22="","",'[18]سجل المستخلصات'!$Z$22)</f>
        <v/>
      </c>
      <c r="V41" s="59">
        <f>IF('[18]سجل المستخلصات'!$AA$22="","",'[18]سجل المستخلصات'!$AA$22)</f>
        <v/>
      </c>
      <c r="W41" s="59">
        <f>IF('[18]سجل المستخلصات'!$AC$22="","",'[18]سجل المستخلصات'!$AC$22)</f>
        <v/>
      </c>
      <c r="X41" s="62">
        <f>IF('[18]سجل المستخلصات'!$AD$22="","",'[18]سجل المستخلصات'!$AD$22)</f>
        <v/>
      </c>
      <c r="Y41" s="58">
        <f>IF('[18]سجل المستخلصات'!$AE$22="","",'[18]سجل المستخلصات'!$AE$22)</f>
        <v/>
      </c>
    </row>
    <row r="42">
      <c r="B42" s="56" t="n">
        <v>18</v>
      </c>
      <c r="C42" s="57">
        <f>IF('[18]سجل المستخلصات'!$C$23="","",'[18]سجل المستخلصات'!$C$23)</f>
        <v/>
      </c>
      <c r="D42" s="57">
        <f>IF('[18]سجل المستخلصات'!$E$23="","",'[18]سجل المستخلصات'!$E$23)</f>
        <v/>
      </c>
      <c r="E42" s="58">
        <f>IF('[18]سجل المستخلصات'!$F$23="","",'[18]سجل المستخلصات'!$F$23)</f>
        <v/>
      </c>
      <c r="F42" s="59">
        <f>IF('[18]سجل المستخلصات'!$H$23="","",'[18]سجل المستخلصات'!$H$23)</f>
        <v/>
      </c>
      <c r="G42" s="59">
        <f>IF('[18]سجل المستخلصات'!$G$23="","",'[18]سجل المستخلصات'!$G$23)</f>
        <v/>
      </c>
      <c r="H42" s="59">
        <f>IF('[18]سجل المستخلصات'!$I$23="","",'[18]سجل المستخلصات'!$I$23)</f>
        <v/>
      </c>
      <c r="I42" s="59">
        <f>IF('[18]سجل المستخلصات'!$J$23="","",'[18]سجل المستخلصات'!$J$23)</f>
        <v/>
      </c>
      <c r="J42" s="59">
        <f>IF('[18]سجل المستخلصات'!$K$23="","",'[18]سجل المستخلصات'!$K$23)</f>
        <v/>
      </c>
      <c r="K42" s="60">
        <f>IF('[18]سجل المستخلصات'!$L$23="","",'[18]سجل المستخلصات'!$L$23)</f>
        <v/>
      </c>
      <c r="L42" s="60">
        <f>IF('[18]سجل المستخلصات'!$M$23="","",'[18]سجل المستخلصات'!$M$23)</f>
        <v/>
      </c>
      <c r="M42" s="60">
        <f>IF('[18]سجل المستخلصات'!$N$23="","",'[18]سجل المستخلصات'!$N$23)</f>
        <v/>
      </c>
      <c r="N42" s="59">
        <f>IF('[18]سجل المستخلصات'!$O$23="","",'[18]سجل المستخلصات'!$O$23)</f>
        <v/>
      </c>
      <c r="O42" s="59">
        <f>IF('[18]سجل المستخلصات'!$R$23="","",'[18]سجل المستخلصات'!$R$23)</f>
        <v/>
      </c>
      <c r="P42" s="59">
        <f>IF('[18]سجل المستخلصات'!$S$23="","",'[18]سجل المستخلصات'!$S$23)</f>
        <v/>
      </c>
      <c r="Q42" s="59">
        <f>IF('[18]سجل المستخلصات'!$T$23="","",'[18]سجل المستخلصات'!$T$23)</f>
        <v/>
      </c>
      <c r="R42" s="59">
        <f>IF('[18]سجل المستخلصات'!$V$23="","",'[18]سجل المستخلصات'!$V$23)</f>
        <v/>
      </c>
      <c r="S42" s="59">
        <f>IF('[18]سجل المستخلصات'!$W$23="","",'[18]سجل المستخلصات'!$W$23)</f>
        <v/>
      </c>
      <c r="T42" s="61">
        <f>IF('[18]سجل المستخلصات'!$X$23="","",'[18]سجل المستخلصات'!$X$23)</f>
        <v/>
      </c>
      <c r="U42" s="61">
        <f>IF('[18]سجل المستخلصات'!$Z$23="","",'[18]سجل المستخلصات'!$Z$23)</f>
        <v/>
      </c>
      <c r="V42" s="59">
        <f>IF('[18]سجل المستخلصات'!$AA$23="","",'[18]سجل المستخلصات'!$AA$23)</f>
        <v/>
      </c>
      <c r="W42" s="59">
        <f>IF('[18]سجل المستخلصات'!$AC$23="","",'[18]سجل المستخلصات'!$AC$23)</f>
        <v/>
      </c>
      <c r="X42" s="62">
        <f>IF('[18]سجل المستخلصات'!$AD$23="","",'[18]سجل المستخلصات'!$AD$23)</f>
        <v/>
      </c>
      <c r="Y42" s="58">
        <f>IF('[18]سجل المستخلصات'!$AE$23="","",'[18]سجل المستخلصات'!$AE$23)</f>
        <v/>
      </c>
    </row>
    <row r="43">
      <c r="B43" s="56" t="n">
        <v>19</v>
      </c>
      <c r="C43" s="57">
        <f>IF('[18]سجل المستخلصات'!$C$24="","",'[18]سجل المستخلصات'!$C$24)</f>
        <v/>
      </c>
      <c r="D43" s="57">
        <f>IF('[18]سجل المستخلصات'!$E$24="","",'[18]سجل المستخلصات'!$E$24)</f>
        <v/>
      </c>
      <c r="E43" s="58">
        <f>IF('[18]سجل المستخلصات'!$F$24="","",'[18]سجل المستخلصات'!$F$24)</f>
        <v/>
      </c>
      <c r="F43" s="59">
        <f>IF('[18]سجل المستخلصات'!$H$24="","",'[18]سجل المستخلصات'!$H$24)</f>
        <v/>
      </c>
      <c r="G43" s="59">
        <f>IF('[18]سجل المستخلصات'!$G$24="","",'[18]سجل المستخلصات'!$G$24)</f>
        <v/>
      </c>
      <c r="H43" s="59">
        <f>IF('[18]سجل المستخلصات'!$I$24="","",'[18]سجل المستخلصات'!$I$24)</f>
        <v/>
      </c>
      <c r="I43" s="59">
        <f>IF('[18]سجل المستخلصات'!$J$24="","",'[18]سجل المستخلصات'!$J$24)</f>
        <v/>
      </c>
      <c r="J43" s="59">
        <f>IF('[18]سجل المستخلصات'!$K$24="","",'[18]سجل المستخلصات'!$K$24)</f>
        <v/>
      </c>
      <c r="K43" s="60">
        <f>IF('[18]سجل المستخلصات'!$L$24="","",'[18]سجل المستخلصات'!$L$24)</f>
        <v/>
      </c>
      <c r="L43" s="60">
        <f>IF('[18]سجل المستخلصات'!$M$24="","",'[18]سجل المستخلصات'!$M$24)</f>
        <v/>
      </c>
      <c r="M43" s="60">
        <f>IF('[18]سجل المستخلصات'!$N$24="","",'[18]سجل المستخلصات'!$N$24)</f>
        <v/>
      </c>
      <c r="N43" s="59">
        <f>IF('[18]سجل المستخلصات'!$O$24="","",'[18]سجل المستخلصات'!$O$24)</f>
        <v/>
      </c>
      <c r="O43" s="59">
        <f>IF('[18]سجل المستخلصات'!$R$24="","",'[18]سجل المستخلصات'!$R$24)</f>
        <v/>
      </c>
      <c r="P43" s="59">
        <f>IF('[18]سجل المستخلصات'!$S$24="","",'[18]سجل المستخلصات'!$S$24)</f>
        <v/>
      </c>
      <c r="Q43" s="59">
        <f>IF('[18]سجل المستخلصات'!$T$24="","",'[18]سجل المستخلصات'!$T$24)</f>
        <v/>
      </c>
      <c r="R43" s="59">
        <f>IF('[18]سجل المستخلصات'!$V$24="","",'[18]سجل المستخلصات'!$V$24)</f>
        <v/>
      </c>
      <c r="S43" s="59">
        <f>IF('[18]سجل المستخلصات'!$W$24="","",'[18]سجل المستخلصات'!$W$24)</f>
        <v/>
      </c>
      <c r="T43" s="61">
        <f>IF('[18]سجل المستخلصات'!$X$24="","",'[18]سجل المستخلصات'!$X$24)</f>
        <v/>
      </c>
      <c r="U43" s="61">
        <f>IF('[18]سجل المستخلصات'!$Z$24="","",'[18]سجل المستخلصات'!$Z$24)</f>
        <v/>
      </c>
      <c r="V43" s="59">
        <f>IF('[18]سجل المستخلصات'!$AA$24="","",'[18]سجل المستخلصات'!$AA$24)</f>
        <v/>
      </c>
      <c r="W43" s="59">
        <f>IF('[18]سجل المستخلصات'!$AC$24="","",'[18]سجل المستخلصات'!$AC$24)</f>
        <v/>
      </c>
      <c r="X43" s="62">
        <f>IF('[18]سجل المستخلصات'!$AD$24="","",'[18]سجل المستخلصات'!$AD$24)</f>
        <v/>
      </c>
      <c r="Y43" s="58">
        <f>IF('[18]سجل المستخلصات'!$AE$24="","",'[18]سجل المستخلصات'!$AE$24)</f>
        <v/>
      </c>
    </row>
    <row r="44">
      <c r="B44" s="56" t="n">
        <v>20</v>
      </c>
      <c r="C44" s="57">
        <f>IF('[18]سجل المستخلصات'!$C$25="","",'[18]سجل المستخلصات'!$C$25)</f>
        <v/>
      </c>
      <c r="D44" s="57">
        <f>IF('[18]سجل المستخلصات'!$E$25="","",'[18]سجل المستخلصات'!$E$25)</f>
        <v/>
      </c>
      <c r="E44" s="58">
        <f>IF('[18]سجل المستخلصات'!$F$25="","",'[18]سجل المستخلصات'!$F$25)</f>
        <v/>
      </c>
      <c r="F44" s="59">
        <f>IF('[18]سجل المستخلصات'!$H$25="","",'[18]سجل المستخلصات'!$H$25)</f>
        <v/>
      </c>
      <c r="G44" s="59">
        <f>IF('[18]سجل المستخلصات'!$G$25="","",'[18]سجل المستخلصات'!$G$25)</f>
        <v/>
      </c>
      <c r="H44" s="59">
        <f>IF('[18]سجل المستخلصات'!$I$25="","",'[18]سجل المستخلصات'!$I$25)</f>
        <v/>
      </c>
      <c r="I44" s="59">
        <f>IF('[18]سجل المستخلصات'!$J$25="","",'[18]سجل المستخلصات'!$J$25)</f>
        <v/>
      </c>
      <c r="J44" s="59">
        <f>IF('[18]سجل المستخلصات'!$K$25="","",'[18]سجل المستخلصات'!$K$25)</f>
        <v/>
      </c>
      <c r="K44" s="60">
        <f>IF('[18]سجل المستخلصات'!$L$25="","",'[18]سجل المستخلصات'!$L$25)</f>
        <v/>
      </c>
      <c r="L44" s="60">
        <f>IF('[18]سجل المستخلصات'!$M$25="","",'[18]سجل المستخلصات'!$M$25)</f>
        <v/>
      </c>
      <c r="M44" s="60">
        <f>IF('[18]سجل المستخلصات'!$N$25="","",'[18]سجل المستخلصات'!$N$25)</f>
        <v/>
      </c>
      <c r="N44" s="59">
        <f>IF('[18]سجل المستخلصات'!$O$25="","",'[18]سجل المستخلصات'!$O$25)</f>
        <v/>
      </c>
      <c r="O44" s="59">
        <f>IF('[18]سجل المستخلصات'!$R$25="","",'[18]سجل المستخلصات'!$R$25)</f>
        <v/>
      </c>
      <c r="P44" s="59">
        <f>IF('[18]سجل المستخلصات'!$S$25="","",'[18]سجل المستخلصات'!$S$25)</f>
        <v/>
      </c>
      <c r="Q44" s="59">
        <f>IF('[18]سجل المستخلصات'!$T$25="","",'[18]سجل المستخلصات'!$T$25)</f>
        <v/>
      </c>
      <c r="R44" s="59">
        <f>IF('[18]سجل المستخلصات'!$V$25="","",'[18]سجل المستخلصات'!$V$25)</f>
        <v/>
      </c>
      <c r="S44" s="59">
        <f>IF('[18]سجل المستخلصات'!$W$25="","",'[18]سجل المستخلصات'!$W$25)</f>
        <v/>
      </c>
      <c r="T44" s="61">
        <f>IF('[18]سجل المستخلصات'!$X$25="","",'[18]سجل المستخلصات'!$X$25)</f>
        <v/>
      </c>
      <c r="U44" s="61">
        <f>IF('[18]سجل المستخلصات'!$Z$25="","",'[18]سجل المستخلصات'!$Z$25)</f>
        <v/>
      </c>
      <c r="V44" s="59">
        <f>IF('[18]سجل المستخلصات'!$AA$25="","",'[18]سجل المستخلصات'!$AA$25)</f>
        <v/>
      </c>
      <c r="W44" s="59">
        <f>IF('[18]سجل المستخلصات'!$AC$25="","",'[18]سجل المستخلصات'!$AC$25)</f>
        <v/>
      </c>
      <c r="X44" s="62">
        <f>IF('[18]سجل المستخلصات'!$AD$25="","",'[18]سجل المستخلصات'!$AD$25)</f>
        <v/>
      </c>
      <c r="Y44" s="58">
        <f>IF('[18]سجل المستخلصات'!$AE$25="","",'[18]سجل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IF('[18]سجل المستخلصات'!$B$32="","",'[18]سجل المستخلصات'!$B$32)</f>
        <v/>
      </c>
      <c r="C50" s="69" t="n"/>
      <c r="D50" s="69" t="n"/>
      <c r="E50" s="59">
        <f>N('[18]سجل المستخلصات'!$E$32)</f>
        <v/>
      </c>
      <c r="F50" s="59">
        <f>N('[18]سجل المستخلصات'!$F$32)</f>
        <v/>
      </c>
      <c r="G50" s="70">
        <f>IF(E50&gt;0,F50/E50,0)</f>
        <v/>
      </c>
    </row>
    <row r="51">
      <c r="B51" s="69">
        <f>IF('[18]سجل المستخلصات'!$B$33="","",'[18]سجل المستخلصات'!$B$33)</f>
        <v/>
      </c>
      <c r="C51" s="69" t="n"/>
      <c r="D51" s="69" t="n"/>
      <c r="E51" s="59">
        <f>N('[18]سجل المستخلصات'!$E$33)</f>
        <v/>
      </c>
      <c r="F51" s="59">
        <f>N('[18]سجل المستخلصات'!$F$33)</f>
        <v/>
      </c>
      <c r="G51" s="70">
        <f>IF(E51&gt;0,F51/E51,0)</f>
        <v/>
      </c>
    </row>
    <row r="52">
      <c r="B52" s="69">
        <f>IF('[18]سجل المستخلصات'!$B$34="","",'[18]سجل المستخلصات'!$B$34)</f>
        <v/>
      </c>
      <c r="C52" s="69" t="n"/>
      <c r="D52" s="69" t="n"/>
      <c r="E52" s="59">
        <f>N('[18]سجل المستخلصات'!$E$34)</f>
        <v/>
      </c>
      <c r="F52" s="59">
        <f>N('[18]سجل المستخلصات'!$F$34)</f>
        <v/>
      </c>
      <c r="G52" s="70">
        <f>IF(E52&gt;0,F52/E52,0)</f>
        <v/>
      </c>
    </row>
    <row r="53">
      <c r="B53" s="69">
        <f>IF('[18]سجل المستخلصات'!$B$35="","",'[18]سجل المستخلصات'!$B$35)</f>
        <v/>
      </c>
      <c r="C53" s="69" t="n"/>
      <c r="D53" s="69" t="n"/>
      <c r="E53" s="59">
        <f>N('[18]سجل المستخلصات'!$E$35)</f>
        <v/>
      </c>
      <c r="F53" s="59">
        <f>N('[18]سجل المستخلصات'!$F$35)</f>
        <v/>
      </c>
      <c r="G53" s="70">
        <f>IF(E53&gt;0,F53/E53,0)</f>
        <v/>
      </c>
    </row>
    <row r="54">
      <c r="B54" s="69">
        <f>IF('[18]سجل المستخلصات'!$B$36="","",'[18]سجل المستخلصات'!$B$36)</f>
        <v/>
      </c>
      <c r="C54" s="69" t="n"/>
      <c r="D54" s="69" t="n"/>
      <c r="E54" s="59">
        <f>N('[18]سجل المستخلصات'!$E$36)</f>
        <v/>
      </c>
      <c r="F54" s="59">
        <f>N('[18]سجل المستخلصات'!$F$36)</f>
        <v/>
      </c>
      <c r="G54" s="70">
        <f>IF(E54&gt;0,F54/E54,0)</f>
        <v/>
      </c>
    </row>
    <row r="55">
      <c r="B55" s="69">
        <f>IF('[18]سجل المستخلصات'!$B$37="","",'[18]سجل المستخلصات'!$B$37)</f>
        <v/>
      </c>
      <c r="C55" s="69" t="n"/>
      <c r="D55" s="69" t="n"/>
      <c r="E55" s="59">
        <f>N('[18]سجل المستخلصات'!$E$37)</f>
        <v/>
      </c>
      <c r="F55" s="59">
        <f>N('[18]سجل المستخلصات'!$F$37)</f>
        <v/>
      </c>
      <c r="G55" s="70">
        <f>IF(E55&gt;0,F55/E55,0)</f>
        <v/>
      </c>
    </row>
    <row r="56">
      <c r="B56" s="69">
        <f>IF('[18]سجل المستخلصات'!$B$38="","",'[18]سجل المستخلصات'!$B$38)</f>
        <v/>
      </c>
      <c r="C56" s="69" t="n"/>
      <c r="D56" s="69" t="n"/>
      <c r="E56" s="59">
        <f>N('[18]سجل المستخلصات'!$E$38)</f>
        <v/>
      </c>
      <c r="F56" s="59">
        <f>N('[18]سجل المستخلصات'!$F$38)</f>
        <v/>
      </c>
      <c r="G56" s="70">
        <f>IF(E56&gt;0,F56/E56,0)</f>
        <v/>
      </c>
    </row>
    <row r="57">
      <c r="B57" s="69">
        <f>IF('[18]سجل المستخلصات'!$B$39="","",'[18]سجل المستخلصات'!$B$39)</f>
        <v/>
      </c>
      <c r="C57" s="69" t="n"/>
      <c r="D57" s="69" t="n"/>
      <c r="E57" s="59">
        <f>N('[18]سجل المستخلصات'!$E$39)</f>
        <v/>
      </c>
      <c r="F57" s="59">
        <f>N('[18]سجل المستخلصات'!$F$39)</f>
        <v/>
      </c>
      <c r="G57" s="70">
        <f>IF(E57&gt;0,F57/E57,0)</f>
        <v/>
      </c>
    </row>
    <row r="58">
      <c r="B58" s="69">
        <f>IF('[18]سجل المستخلصات'!$B$40="","",'[18]سجل المستخلصات'!$B$40)</f>
        <v/>
      </c>
      <c r="C58" s="69" t="n"/>
      <c r="D58" s="69" t="n"/>
      <c r="E58" s="59">
        <f>N('[18]سجل المستخلصات'!$E$40)</f>
        <v/>
      </c>
      <c r="F58" s="59">
        <f>N('[18]سجل المستخلصات'!$F$40)</f>
        <v/>
      </c>
      <c r="G58" s="70">
        <f>IF(E58&gt;0,F58/E58,0)</f>
        <v/>
      </c>
    </row>
    <row r="59">
      <c r="B59" s="69">
        <f>IF('[18]سجل المستخلصات'!$B$41="","",'[18]سجل المستخلصات'!$B$41)</f>
        <v/>
      </c>
      <c r="C59" s="69" t="n"/>
      <c r="D59" s="69" t="n"/>
      <c r="E59" s="59">
        <f>N('[18]سجل المستخلصات'!$E$41)</f>
        <v/>
      </c>
      <c r="F59" s="59">
        <f>N('[18]سجل المستخلصات'!$F$41)</f>
        <v/>
      </c>
      <c r="G59" s="70">
        <f>IF(E59&gt;0,F59/E59,0)</f>
        <v/>
      </c>
    </row>
    <row r="60">
      <c r="B60" s="69">
        <f>IF('[18]سجل المستخلصات'!$B$42="","",'[18]سجل المستخلصات'!$B$42)</f>
        <v/>
      </c>
      <c r="C60" s="69" t="n"/>
      <c r="D60" s="69" t="n"/>
      <c r="E60" s="59">
        <f>N('[18]سجل المستخلصات'!$E$42)</f>
        <v/>
      </c>
      <c r="F60" s="59">
        <f>N('[18]سجل المستخلصات'!$F$42)</f>
        <v/>
      </c>
      <c r="G60" s="70">
        <f>IF(E60&gt;0,F60/E60,0)</f>
        <v/>
      </c>
    </row>
    <row r="61">
      <c r="B61" s="69">
        <f>IF('[18]سجل المستخلصات'!$B$43="","",'[18]سجل المستخلصات'!$B$43)</f>
        <v/>
      </c>
      <c r="C61" s="69" t="n"/>
      <c r="D61" s="69" t="n"/>
      <c r="E61" s="59">
        <f>N('[18]سجل المستخلصات'!$E$43)</f>
        <v/>
      </c>
      <c r="F61" s="59">
        <f>N('[18]سجل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17'!A1" display="◄ المشروع السابق"/>
    <hyperlink ref="D3" location="'مشروع 19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"&amp;IF('[19]بيانات العقد'!$C$5="","مشروع رقم 19 — غير مُفعّل",'[19]بيانات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Project_19/IPC_Project_19.xlsx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IF('[19]بيانات العقد'!$C$5="","",'[19]بيانات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IF('[19]بيانات العقد'!$C$6="","",'[19]بيانات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IF('[19]بيانات العقد'!$C$7="","",'[19]بيانات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IF('[19]بيانات العقد'!$C$8="","",'[19]بيانات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N('[19]بيانات العقد'!$C$16)</f>
        <v/>
      </c>
    </row>
    <row r="6" ht="22" customHeight="1">
      <c r="B6" s="11" t="inlineStr">
        <is>
          <t>المقاول</t>
        </is>
      </c>
      <c r="C6" s="14">
        <f>IF('[19]بيانات العقد'!$C$9="","",'[19]بيانات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IF('[19]بيانات العقد'!$C$11="","",'[19]بيانات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IF('[19]بيانات العقد'!$C$13="","",'[19]بيانات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IF('[19]بيانات العقد'!$C$14="","",'[19]بيانات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N('[19]بيانات العقد'!$C$17)</f>
        <v/>
      </c>
    </row>
    <row r="7">
      <c r="AA7" s="15" t="inlineStr">
        <is>
          <t>قيمة العقد المعدلة</t>
        </is>
      </c>
      <c r="AB7" s="16">
        <f>N('[19]بيانات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N('[19]بيانات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N('[19]بيانات العقد'!$C$21)</f>
        <v/>
      </c>
    </row>
    <row r="10">
      <c r="AA10" s="15" t="inlineStr">
        <is>
          <t>نسبة ضمان الأعمال</t>
        </is>
      </c>
      <c r="AB10" s="23">
        <f>N('[19]بيانات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N('[19]بيانات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N('[19]بيانات العقد'!$C$31)</f>
        <v/>
      </c>
    </row>
    <row r="13">
      <c r="AA13" s="15" t="inlineStr">
        <is>
          <t>ضريبة الاستقطاع (غير المقيم)</t>
        </is>
      </c>
      <c r="AB13" s="23">
        <f>N('[19]بيانات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IF('[19]بيانات العقد'!$C$11="","",'[19]بيانات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IF('[19]بيانات العقد'!$C$13="","",'[19]بيانات العقد'!$C$13)</f>
        <v/>
      </c>
    </row>
    <row r="16">
      <c r="AA16" s="15" t="inlineStr">
        <is>
          <t>المدة (شهر)</t>
        </is>
      </c>
      <c r="AB16" s="43">
        <f>IF('[19]بيانات العقد'!$C$12="","",'[19]بيانات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IF('[19]بيانات العقد'!$C$36="","",'[19]بيانات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IF('[19]بيانات العقد'!$C$37="","",'[19]بيانات العقد'!$C$37)</f>
        <v/>
      </c>
    </row>
    <row r="19">
      <c r="AA19" s="15" t="inlineStr">
        <is>
          <t>الرقم الضريبي لصاحب العمل</t>
        </is>
      </c>
      <c r="AB19" s="48">
        <f>IF('[19]بيانات العقد'!$C$39="","",'[19]بيانات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IF('[19]بيانات العقد'!$C$42="","",'[19]بيانات العقد'!$C$42)</f>
        <v/>
      </c>
    </row>
    <row r="21" ht="32" customHeight="1">
      <c r="B21" s="50">
        <f>N('[19]الموازنة والتكاليف'!$D$66)</f>
        <v/>
      </c>
      <c r="C21" s="50" t="n"/>
      <c r="D21" s="50" t="n"/>
      <c r="E21" s="50" t="n"/>
      <c r="F21" s="50">
        <f>N('[19]الموازنة والتكاليف'!$D$70)</f>
        <v/>
      </c>
      <c r="G21" s="50" t="n"/>
      <c r="H21" s="50" t="n"/>
      <c r="I21" s="50" t="n"/>
      <c r="J21" s="50">
        <f>N('[19]الموازنة والتكاليف'!$D$72)</f>
        <v/>
      </c>
      <c r="K21" s="50" t="n"/>
      <c r="L21" s="50" t="n"/>
      <c r="M21" s="50" t="n"/>
      <c r="N21" s="51">
        <f>N('[19]الموازنة والتكاليف'!$D$73)</f>
        <v/>
      </c>
      <c r="O21" s="51" t="n"/>
      <c r="P21" s="51" t="n"/>
      <c r="Q21" s="51" t="n"/>
      <c r="R21" s="52">
        <f>N('[19]الموازنة والتكاليف'!$D$74)</f>
        <v/>
      </c>
      <c r="S21" s="52" t="n"/>
      <c r="T21" s="52" t="n"/>
      <c r="U21" s="52" t="n"/>
      <c r="V21" s="50">
        <f>N('[19]الموازنة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IF('[19]بيانات العقد'!$C$43="","",'[19]بيانات العقد'!$C$43)</f>
        <v/>
      </c>
    </row>
    <row r="22">
      <c r="AA22" s="15" t="inlineStr">
        <is>
          <t>حالة غرامات التأخير</t>
        </is>
      </c>
      <c r="AB22" s="45">
        <f>IF('[19]بيانات العقد'!$C$47="","",'[19]بيانات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IF('[19]سجل المستخلصات'!$C$6="","",'[19]سجل المستخلصات'!$C$6)</f>
        <v/>
      </c>
      <c r="D25" s="57">
        <f>IF('[19]سجل المستخلصات'!$E$6="","",'[19]سجل المستخلصات'!$E$6)</f>
        <v/>
      </c>
      <c r="E25" s="58">
        <f>IF('[19]سجل المستخلصات'!$F$6="","",'[19]سجل المستخلصات'!$F$6)</f>
        <v/>
      </c>
      <c r="F25" s="59">
        <f>IF('[19]سجل المستخلصات'!$H$6="","",'[19]سجل المستخلصات'!$H$6)</f>
        <v/>
      </c>
      <c r="G25" s="59">
        <f>IF('[19]سجل المستخلصات'!$G$6="","",'[19]سجل المستخلصات'!$G$6)</f>
        <v/>
      </c>
      <c r="H25" s="59">
        <f>IF('[19]سجل المستخلصات'!$I$6="","",'[19]سجل المستخلصات'!$I$6)</f>
        <v/>
      </c>
      <c r="I25" s="59">
        <f>IF('[19]سجل المستخلصات'!$J$6="","",'[19]سجل المستخلصات'!$J$6)</f>
        <v/>
      </c>
      <c r="J25" s="59">
        <f>IF('[19]سجل المستخلصات'!$K$6="","",'[19]سجل المستخلصات'!$K$6)</f>
        <v/>
      </c>
      <c r="K25" s="60">
        <f>IF('[19]سجل المستخلصات'!$L$6="","",'[19]سجل المستخلصات'!$L$6)</f>
        <v/>
      </c>
      <c r="L25" s="60">
        <f>IF('[19]سجل المستخلصات'!$M$6="","",'[19]سجل المستخلصات'!$M$6)</f>
        <v/>
      </c>
      <c r="M25" s="60">
        <f>IF('[19]سجل المستخلصات'!$N$6="","",'[19]سجل المستخلصات'!$N$6)</f>
        <v/>
      </c>
      <c r="N25" s="59">
        <f>IF('[19]سجل المستخلصات'!$O$6="","",'[19]سجل المستخلصات'!$O$6)</f>
        <v/>
      </c>
      <c r="O25" s="59">
        <f>IF('[19]سجل المستخلصات'!$R$6="","",'[19]سجل المستخلصات'!$R$6)</f>
        <v/>
      </c>
      <c r="P25" s="59">
        <f>IF('[19]سجل المستخلصات'!$S$6="","",'[19]سجل المستخلصات'!$S$6)</f>
        <v/>
      </c>
      <c r="Q25" s="59">
        <f>IF('[19]سجل المستخلصات'!$T$6="","",'[19]سجل المستخلصات'!$T$6)</f>
        <v/>
      </c>
      <c r="R25" s="59">
        <f>IF('[19]سجل المستخلصات'!$V$6="","",'[19]سجل المستخلصات'!$V$6)</f>
        <v/>
      </c>
      <c r="S25" s="59">
        <f>IF('[19]سجل المستخلصات'!$W$6="","",'[19]سجل المستخلصات'!$W$6)</f>
        <v/>
      </c>
      <c r="T25" s="61">
        <f>IF('[19]سجل المستخلصات'!$X$6="","",'[19]سجل المستخلصات'!$X$6)</f>
        <v/>
      </c>
      <c r="U25" s="61">
        <f>IF('[19]سجل المستخلصات'!$Z$6="","",'[19]سجل المستخلصات'!$Z$6)</f>
        <v/>
      </c>
      <c r="V25" s="59">
        <f>IF('[19]سجل المستخلصات'!$AA$6="","",'[19]سجل المستخلصات'!$AA$6)</f>
        <v/>
      </c>
      <c r="W25" s="59">
        <f>IF('[19]سجل المستخلصات'!$AC$6="","",'[19]سجل المستخلصات'!$AC$6)</f>
        <v/>
      </c>
      <c r="X25" s="62">
        <f>IF('[19]سجل المستخلصات'!$AD$6="","",'[19]سجل المستخلصات'!$AD$6)</f>
        <v/>
      </c>
      <c r="Y25" s="58">
        <f>IF('[19]سجل المستخلصات'!$AE$6="","",'[19]سجل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IF('[19]سجل المستخلصات'!$C$7="","",'[19]سجل المستخلصات'!$C$7)</f>
        <v/>
      </c>
      <c r="D26" s="57">
        <f>IF('[19]سجل المستخلصات'!$E$7="","",'[19]سجل المستخلصات'!$E$7)</f>
        <v/>
      </c>
      <c r="E26" s="58">
        <f>IF('[19]سجل المستخلصات'!$F$7="","",'[19]سجل المستخلصات'!$F$7)</f>
        <v/>
      </c>
      <c r="F26" s="59">
        <f>IF('[19]سجل المستخلصات'!$H$7="","",'[19]سجل المستخلصات'!$H$7)</f>
        <v/>
      </c>
      <c r="G26" s="59">
        <f>IF('[19]سجل المستخلصات'!$G$7="","",'[19]سجل المستخلصات'!$G$7)</f>
        <v/>
      </c>
      <c r="H26" s="59">
        <f>IF('[19]سجل المستخلصات'!$I$7="","",'[19]سجل المستخلصات'!$I$7)</f>
        <v/>
      </c>
      <c r="I26" s="59">
        <f>IF('[19]سجل المستخلصات'!$J$7="","",'[19]سجل المستخلصات'!$J$7)</f>
        <v/>
      </c>
      <c r="J26" s="59">
        <f>IF('[19]سجل المستخلصات'!$K$7="","",'[19]سجل المستخلصات'!$K$7)</f>
        <v/>
      </c>
      <c r="K26" s="60">
        <f>IF('[19]سجل المستخلصات'!$L$7="","",'[19]سجل المستخلصات'!$L$7)</f>
        <v/>
      </c>
      <c r="L26" s="60">
        <f>IF('[19]سجل المستخلصات'!$M$7="","",'[19]سجل المستخلصات'!$M$7)</f>
        <v/>
      </c>
      <c r="M26" s="60">
        <f>IF('[19]سجل المستخلصات'!$N$7="","",'[19]سجل المستخلصات'!$N$7)</f>
        <v/>
      </c>
      <c r="N26" s="59">
        <f>IF('[19]سجل المستخلصات'!$O$7="","",'[19]سجل المستخلصات'!$O$7)</f>
        <v/>
      </c>
      <c r="O26" s="59">
        <f>IF('[19]سجل المستخلصات'!$R$7="","",'[19]سجل المستخلصات'!$R$7)</f>
        <v/>
      </c>
      <c r="P26" s="59">
        <f>IF('[19]سجل المستخلصات'!$S$7="","",'[19]سجل المستخلصات'!$S$7)</f>
        <v/>
      </c>
      <c r="Q26" s="59">
        <f>IF('[19]سجل المستخلصات'!$T$7="","",'[19]سجل المستخلصات'!$T$7)</f>
        <v/>
      </c>
      <c r="R26" s="59">
        <f>IF('[19]سجل المستخلصات'!$V$7="","",'[19]سجل المستخلصات'!$V$7)</f>
        <v/>
      </c>
      <c r="S26" s="59">
        <f>IF('[19]سجل المستخلصات'!$W$7="","",'[19]سجل المستخلصات'!$W$7)</f>
        <v/>
      </c>
      <c r="T26" s="61">
        <f>IF('[19]سجل المستخلصات'!$X$7="","",'[19]سجل المستخلصات'!$X$7)</f>
        <v/>
      </c>
      <c r="U26" s="61">
        <f>IF('[19]سجل المستخلصات'!$Z$7="","",'[19]سجل المستخلصات'!$Z$7)</f>
        <v/>
      </c>
      <c r="V26" s="59">
        <f>IF('[19]سجل المستخلصات'!$AA$7="","",'[19]سجل المستخلصات'!$AA$7)</f>
        <v/>
      </c>
      <c r="W26" s="59">
        <f>IF('[19]سجل المستخلصات'!$AC$7="","",'[19]سجل المستخلصات'!$AC$7)</f>
        <v/>
      </c>
      <c r="X26" s="62">
        <f>IF('[19]سجل المستخلصات'!$AD$7="","",'[19]سجل المستخلصات'!$AD$7)</f>
        <v/>
      </c>
      <c r="Y26" s="58">
        <f>IF('[19]سجل المستخلصات'!$AE$7="","",'[19]سجل المستخلصات'!$AE$7)</f>
        <v/>
      </c>
      <c r="AA26" s="63" t="n"/>
      <c r="AB26" s="63" t="n"/>
    </row>
    <row r="27">
      <c r="B27" s="56" t="n">
        <v>3</v>
      </c>
      <c r="C27" s="57">
        <f>IF('[19]سجل المستخلصات'!$C$8="","",'[19]سجل المستخلصات'!$C$8)</f>
        <v/>
      </c>
      <c r="D27" s="57">
        <f>IF('[19]سجل المستخلصات'!$E$8="","",'[19]سجل المستخلصات'!$E$8)</f>
        <v/>
      </c>
      <c r="E27" s="58">
        <f>IF('[19]سجل المستخلصات'!$F$8="","",'[19]سجل المستخلصات'!$F$8)</f>
        <v/>
      </c>
      <c r="F27" s="59">
        <f>IF('[19]سجل المستخلصات'!$H$8="","",'[19]سجل المستخلصات'!$H$8)</f>
        <v/>
      </c>
      <c r="G27" s="59">
        <f>IF('[19]سجل المستخلصات'!$G$8="","",'[19]سجل المستخلصات'!$G$8)</f>
        <v/>
      </c>
      <c r="H27" s="59">
        <f>IF('[19]سجل المستخلصات'!$I$8="","",'[19]سجل المستخلصات'!$I$8)</f>
        <v/>
      </c>
      <c r="I27" s="59">
        <f>IF('[19]سجل المستخلصات'!$J$8="","",'[19]سجل المستخلصات'!$J$8)</f>
        <v/>
      </c>
      <c r="J27" s="59">
        <f>IF('[19]سجل المستخلصات'!$K$8="","",'[19]سجل المستخلصات'!$K$8)</f>
        <v/>
      </c>
      <c r="K27" s="60">
        <f>IF('[19]سجل المستخلصات'!$L$8="","",'[19]سجل المستخلصات'!$L$8)</f>
        <v/>
      </c>
      <c r="L27" s="60">
        <f>IF('[19]سجل المستخلصات'!$M$8="","",'[19]سجل المستخلصات'!$M$8)</f>
        <v/>
      </c>
      <c r="M27" s="60">
        <f>IF('[19]سجل المستخلصات'!$N$8="","",'[19]سجل المستخلصات'!$N$8)</f>
        <v/>
      </c>
      <c r="N27" s="59">
        <f>IF('[19]سجل المستخلصات'!$O$8="","",'[19]سجل المستخلصات'!$O$8)</f>
        <v/>
      </c>
      <c r="O27" s="59">
        <f>IF('[19]سجل المستخلصات'!$R$8="","",'[19]سجل المستخلصات'!$R$8)</f>
        <v/>
      </c>
      <c r="P27" s="59">
        <f>IF('[19]سجل المستخلصات'!$S$8="","",'[19]سجل المستخلصات'!$S$8)</f>
        <v/>
      </c>
      <c r="Q27" s="59">
        <f>IF('[19]سجل المستخلصات'!$T$8="","",'[19]سجل المستخلصات'!$T$8)</f>
        <v/>
      </c>
      <c r="R27" s="59">
        <f>IF('[19]سجل المستخلصات'!$V$8="","",'[19]سجل المستخلصات'!$V$8)</f>
        <v/>
      </c>
      <c r="S27" s="59">
        <f>IF('[19]سجل المستخلصات'!$W$8="","",'[19]سجل المستخلصات'!$W$8)</f>
        <v/>
      </c>
      <c r="T27" s="61">
        <f>IF('[19]سجل المستخلصات'!$X$8="","",'[19]سجل المستخلصات'!$X$8)</f>
        <v/>
      </c>
      <c r="U27" s="61">
        <f>IF('[19]سجل المستخلصات'!$Z$8="","",'[19]سجل المستخلصات'!$Z$8)</f>
        <v/>
      </c>
      <c r="V27" s="59">
        <f>IF('[19]سجل المستخلصات'!$AA$8="","",'[19]سجل المستخلصات'!$AA$8)</f>
        <v/>
      </c>
      <c r="W27" s="59">
        <f>IF('[19]سجل المستخلصات'!$AC$8="","",'[19]سجل المستخلصات'!$AC$8)</f>
        <v/>
      </c>
      <c r="X27" s="62">
        <f>IF('[19]سجل المستخلصات'!$AD$8="","",'[19]سجل المستخلصات'!$AD$8)</f>
        <v/>
      </c>
      <c r="Y27" s="58">
        <f>IF('[19]سجل المستخلصات'!$AE$8="","",'[19]سجل المستخلصات'!$AE$8)</f>
        <v/>
      </c>
      <c r="AA27" s="63" t="n"/>
      <c r="AB27" s="63" t="n"/>
    </row>
    <row r="28">
      <c r="B28" s="56" t="n">
        <v>4</v>
      </c>
      <c r="C28" s="57">
        <f>IF('[19]سجل المستخلصات'!$C$9="","",'[19]سجل المستخلصات'!$C$9)</f>
        <v/>
      </c>
      <c r="D28" s="57">
        <f>IF('[19]سجل المستخلصات'!$E$9="","",'[19]سجل المستخلصات'!$E$9)</f>
        <v/>
      </c>
      <c r="E28" s="58">
        <f>IF('[19]سجل المستخلصات'!$F$9="","",'[19]سجل المستخلصات'!$F$9)</f>
        <v/>
      </c>
      <c r="F28" s="59">
        <f>IF('[19]سجل المستخلصات'!$H$9="","",'[19]سجل المستخلصات'!$H$9)</f>
        <v/>
      </c>
      <c r="G28" s="59">
        <f>IF('[19]سجل المستخلصات'!$G$9="","",'[19]سجل المستخلصات'!$G$9)</f>
        <v/>
      </c>
      <c r="H28" s="59">
        <f>IF('[19]سجل المستخلصات'!$I$9="","",'[19]سجل المستخلصات'!$I$9)</f>
        <v/>
      </c>
      <c r="I28" s="59">
        <f>IF('[19]سجل المستخلصات'!$J$9="","",'[19]سجل المستخلصات'!$J$9)</f>
        <v/>
      </c>
      <c r="J28" s="59">
        <f>IF('[19]سجل المستخلصات'!$K$9="","",'[19]سجل المستخلصات'!$K$9)</f>
        <v/>
      </c>
      <c r="K28" s="60">
        <f>IF('[19]سجل المستخلصات'!$L$9="","",'[19]سجل المستخلصات'!$L$9)</f>
        <v/>
      </c>
      <c r="L28" s="60">
        <f>IF('[19]سجل المستخلصات'!$M$9="","",'[19]سجل المستخلصات'!$M$9)</f>
        <v/>
      </c>
      <c r="M28" s="60">
        <f>IF('[19]سجل المستخلصات'!$N$9="","",'[19]سجل المستخلصات'!$N$9)</f>
        <v/>
      </c>
      <c r="N28" s="59">
        <f>IF('[19]سجل المستخلصات'!$O$9="","",'[19]سجل المستخلصات'!$O$9)</f>
        <v/>
      </c>
      <c r="O28" s="59">
        <f>IF('[19]سجل المستخلصات'!$R$9="","",'[19]سجل المستخلصات'!$R$9)</f>
        <v/>
      </c>
      <c r="P28" s="59">
        <f>IF('[19]سجل المستخلصات'!$S$9="","",'[19]سجل المستخلصات'!$S$9)</f>
        <v/>
      </c>
      <c r="Q28" s="59">
        <f>IF('[19]سجل المستخلصات'!$T$9="","",'[19]سجل المستخلصات'!$T$9)</f>
        <v/>
      </c>
      <c r="R28" s="59">
        <f>IF('[19]سجل المستخلصات'!$V$9="","",'[19]سجل المستخلصات'!$V$9)</f>
        <v/>
      </c>
      <c r="S28" s="59">
        <f>IF('[19]سجل المستخلصات'!$W$9="","",'[19]سجل المستخلصات'!$W$9)</f>
        <v/>
      </c>
      <c r="T28" s="61">
        <f>IF('[19]سجل المستخلصات'!$X$9="","",'[19]سجل المستخلصات'!$X$9)</f>
        <v/>
      </c>
      <c r="U28" s="61">
        <f>IF('[19]سجل المستخلصات'!$Z$9="","",'[19]سجل المستخلصات'!$Z$9)</f>
        <v/>
      </c>
      <c r="V28" s="59">
        <f>IF('[19]سجل المستخلصات'!$AA$9="","",'[19]سجل المستخلصات'!$AA$9)</f>
        <v/>
      </c>
      <c r="W28" s="59">
        <f>IF('[19]سجل المستخلصات'!$AC$9="","",'[19]سجل المستخلصات'!$AC$9)</f>
        <v/>
      </c>
      <c r="X28" s="62">
        <f>IF('[19]سجل المستخلصات'!$AD$9="","",'[19]سجل المستخلصات'!$AD$9)</f>
        <v/>
      </c>
      <c r="Y28" s="58">
        <f>IF('[19]سجل المستخلصات'!$AE$9="","",'[19]سجل المستخلصات'!$AE$9)</f>
        <v/>
      </c>
      <c r="AA28" s="63" t="n"/>
      <c r="AB28" s="63" t="n"/>
    </row>
    <row r="29">
      <c r="B29" s="56" t="n">
        <v>5</v>
      </c>
      <c r="C29" s="57">
        <f>IF('[19]سجل المستخلصات'!$C$10="","",'[19]سجل المستخلصات'!$C$10)</f>
        <v/>
      </c>
      <c r="D29" s="57">
        <f>IF('[19]سجل المستخلصات'!$E$10="","",'[19]سجل المستخلصات'!$E$10)</f>
        <v/>
      </c>
      <c r="E29" s="58">
        <f>IF('[19]سجل المستخلصات'!$F$10="","",'[19]سجل المستخلصات'!$F$10)</f>
        <v/>
      </c>
      <c r="F29" s="59">
        <f>IF('[19]سجل المستخلصات'!$H$10="","",'[19]سجل المستخلصات'!$H$10)</f>
        <v/>
      </c>
      <c r="G29" s="59">
        <f>IF('[19]سجل المستخلصات'!$G$10="","",'[19]سجل المستخلصات'!$G$10)</f>
        <v/>
      </c>
      <c r="H29" s="59">
        <f>IF('[19]سجل المستخلصات'!$I$10="","",'[19]سجل المستخلصات'!$I$10)</f>
        <v/>
      </c>
      <c r="I29" s="59">
        <f>IF('[19]سجل المستخلصات'!$J$10="","",'[19]سجل المستخلصات'!$J$10)</f>
        <v/>
      </c>
      <c r="J29" s="59">
        <f>IF('[19]سجل المستخلصات'!$K$10="","",'[19]سجل المستخلصات'!$K$10)</f>
        <v/>
      </c>
      <c r="K29" s="60">
        <f>IF('[19]سجل المستخلصات'!$L$10="","",'[19]سجل المستخلصات'!$L$10)</f>
        <v/>
      </c>
      <c r="L29" s="60">
        <f>IF('[19]سجل المستخلصات'!$M$10="","",'[19]سجل المستخلصات'!$M$10)</f>
        <v/>
      </c>
      <c r="M29" s="60">
        <f>IF('[19]سجل المستخلصات'!$N$10="","",'[19]سجل المستخلصات'!$N$10)</f>
        <v/>
      </c>
      <c r="N29" s="59">
        <f>IF('[19]سجل المستخلصات'!$O$10="","",'[19]سجل المستخلصات'!$O$10)</f>
        <v/>
      </c>
      <c r="O29" s="59">
        <f>IF('[19]سجل المستخلصات'!$R$10="","",'[19]سجل المستخلصات'!$R$10)</f>
        <v/>
      </c>
      <c r="P29" s="59">
        <f>IF('[19]سجل المستخلصات'!$S$10="","",'[19]سجل المستخلصات'!$S$10)</f>
        <v/>
      </c>
      <c r="Q29" s="59">
        <f>IF('[19]سجل المستخلصات'!$T$10="","",'[19]سجل المستخلصات'!$T$10)</f>
        <v/>
      </c>
      <c r="R29" s="59">
        <f>IF('[19]سجل المستخلصات'!$V$10="","",'[19]سجل المستخلصات'!$V$10)</f>
        <v/>
      </c>
      <c r="S29" s="59">
        <f>IF('[19]سجل المستخلصات'!$W$10="","",'[19]سجل المستخلصات'!$W$10)</f>
        <v/>
      </c>
      <c r="T29" s="61">
        <f>IF('[19]سجل المستخلصات'!$X$10="","",'[19]سجل المستخلصات'!$X$10)</f>
        <v/>
      </c>
      <c r="U29" s="61">
        <f>IF('[19]سجل المستخلصات'!$Z$10="","",'[19]سجل المستخلصات'!$Z$10)</f>
        <v/>
      </c>
      <c r="V29" s="59">
        <f>IF('[19]سجل المستخلصات'!$AA$10="","",'[19]سجل المستخلصات'!$AA$10)</f>
        <v/>
      </c>
      <c r="W29" s="59">
        <f>IF('[19]سجل المستخلصات'!$AC$10="","",'[19]سجل المستخلصات'!$AC$10)</f>
        <v/>
      </c>
      <c r="X29" s="62">
        <f>IF('[19]سجل المستخلصات'!$AD$10="","",'[19]سجل المستخلصات'!$AD$10)</f>
        <v/>
      </c>
      <c r="Y29" s="58">
        <f>IF('[19]سجل المستخلصات'!$AE$10="","",'[19]سجل المستخلصات'!$AE$10)</f>
        <v/>
      </c>
    </row>
    <row r="30">
      <c r="B30" s="56" t="n">
        <v>6</v>
      </c>
      <c r="C30" s="57">
        <f>IF('[19]سجل المستخلصات'!$C$11="","",'[19]سجل المستخلصات'!$C$11)</f>
        <v/>
      </c>
      <c r="D30" s="57">
        <f>IF('[19]سجل المستخلصات'!$E$11="","",'[19]سجل المستخلصات'!$E$11)</f>
        <v/>
      </c>
      <c r="E30" s="58">
        <f>IF('[19]سجل المستخلصات'!$F$11="","",'[19]سجل المستخلصات'!$F$11)</f>
        <v/>
      </c>
      <c r="F30" s="59">
        <f>IF('[19]سجل المستخلصات'!$H$11="","",'[19]سجل المستخلصات'!$H$11)</f>
        <v/>
      </c>
      <c r="G30" s="59">
        <f>IF('[19]سجل المستخلصات'!$G$11="","",'[19]سجل المستخلصات'!$G$11)</f>
        <v/>
      </c>
      <c r="H30" s="59">
        <f>IF('[19]سجل المستخلصات'!$I$11="","",'[19]سجل المستخلصات'!$I$11)</f>
        <v/>
      </c>
      <c r="I30" s="59">
        <f>IF('[19]سجل المستخلصات'!$J$11="","",'[19]سجل المستخلصات'!$J$11)</f>
        <v/>
      </c>
      <c r="J30" s="59">
        <f>IF('[19]سجل المستخلصات'!$K$11="","",'[19]سجل المستخلصات'!$K$11)</f>
        <v/>
      </c>
      <c r="K30" s="60">
        <f>IF('[19]سجل المستخلصات'!$L$11="","",'[19]سجل المستخلصات'!$L$11)</f>
        <v/>
      </c>
      <c r="L30" s="60">
        <f>IF('[19]سجل المستخلصات'!$M$11="","",'[19]سجل المستخلصات'!$M$11)</f>
        <v/>
      </c>
      <c r="M30" s="60">
        <f>IF('[19]سجل المستخلصات'!$N$11="","",'[19]سجل المستخلصات'!$N$11)</f>
        <v/>
      </c>
      <c r="N30" s="59">
        <f>IF('[19]سجل المستخلصات'!$O$11="","",'[19]سجل المستخلصات'!$O$11)</f>
        <v/>
      </c>
      <c r="O30" s="59">
        <f>IF('[19]سجل المستخلصات'!$R$11="","",'[19]سجل المستخلصات'!$R$11)</f>
        <v/>
      </c>
      <c r="P30" s="59">
        <f>IF('[19]سجل المستخلصات'!$S$11="","",'[19]سجل المستخلصات'!$S$11)</f>
        <v/>
      </c>
      <c r="Q30" s="59">
        <f>IF('[19]سجل المستخلصات'!$T$11="","",'[19]سجل المستخلصات'!$T$11)</f>
        <v/>
      </c>
      <c r="R30" s="59">
        <f>IF('[19]سجل المستخلصات'!$V$11="","",'[19]سجل المستخلصات'!$V$11)</f>
        <v/>
      </c>
      <c r="S30" s="59">
        <f>IF('[19]سجل المستخلصات'!$W$11="","",'[19]سجل المستخلصات'!$W$11)</f>
        <v/>
      </c>
      <c r="T30" s="61">
        <f>IF('[19]سجل المستخلصات'!$X$11="","",'[19]سجل المستخلصات'!$X$11)</f>
        <v/>
      </c>
      <c r="U30" s="61">
        <f>IF('[19]سجل المستخلصات'!$Z$11="","",'[19]سجل المستخلصات'!$Z$11)</f>
        <v/>
      </c>
      <c r="V30" s="59">
        <f>IF('[19]سجل المستخلصات'!$AA$11="","",'[19]سجل المستخلصات'!$AA$11)</f>
        <v/>
      </c>
      <c r="W30" s="59">
        <f>IF('[19]سجل المستخلصات'!$AC$11="","",'[19]سجل المستخلصات'!$AC$11)</f>
        <v/>
      </c>
      <c r="X30" s="62">
        <f>IF('[19]سجل المستخلصات'!$AD$11="","",'[19]سجل المستخلصات'!$AD$11)</f>
        <v/>
      </c>
      <c r="Y30" s="58">
        <f>IF('[19]سجل المستخلصات'!$AE$11="","",'[19]سجل المستخلصات'!$AE$11)</f>
        <v/>
      </c>
    </row>
    <row r="31">
      <c r="B31" s="56" t="n">
        <v>7</v>
      </c>
      <c r="C31" s="57">
        <f>IF('[19]سجل المستخلصات'!$C$12="","",'[19]سجل المستخلصات'!$C$12)</f>
        <v/>
      </c>
      <c r="D31" s="57">
        <f>IF('[19]سجل المستخلصات'!$E$12="","",'[19]سجل المستخلصات'!$E$12)</f>
        <v/>
      </c>
      <c r="E31" s="58">
        <f>IF('[19]سجل المستخلصات'!$F$12="","",'[19]سجل المستخلصات'!$F$12)</f>
        <v/>
      </c>
      <c r="F31" s="59">
        <f>IF('[19]سجل المستخلصات'!$H$12="","",'[19]سجل المستخلصات'!$H$12)</f>
        <v/>
      </c>
      <c r="G31" s="59">
        <f>IF('[19]سجل المستخلصات'!$G$12="","",'[19]سجل المستخلصات'!$G$12)</f>
        <v/>
      </c>
      <c r="H31" s="59">
        <f>IF('[19]سجل المستخلصات'!$I$12="","",'[19]سجل المستخلصات'!$I$12)</f>
        <v/>
      </c>
      <c r="I31" s="59">
        <f>IF('[19]سجل المستخلصات'!$J$12="","",'[19]سجل المستخلصات'!$J$12)</f>
        <v/>
      </c>
      <c r="J31" s="59">
        <f>IF('[19]سجل المستخلصات'!$K$12="","",'[19]سجل المستخلصات'!$K$12)</f>
        <v/>
      </c>
      <c r="K31" s="60">
        <f>IF('[19]سجل المستخلصات'!$L$12="","",'[19]سجل المستخلصات'!$L$12)</f>
        <v/>
      </c>
      <c r="L31" s="60">
        <f>IF('[19]سجل المستخلصات'!$M$12="","",'[19]سجل المستخلصات'!$M$12)</f>
        <v/>
      </c>
      <c r="M31" s="60">
        <f>IF('[19]سجل المستخلصات'!$N$12="","",'[19]سجل المستخلصات'!$N$12)</f>
        <v/>
      </c>
      <c r="N31" s="59">
        <f>IF('[19]سجل المستخلصات'!$O$12="","",'[19]سجل المستخلصات'!$O$12)</f>
        <v/>
      </c>
      <c r="O31" s="59">
        <f>IF('[19]سجل المستخلصات'!$R$12="","",'[19]سجل المستخلصات'!$R$12)</f>
        <v/>
      </c>
      <c r="P31" s="59">
        <f>IF('[19]سجل المستخلصات'!$S$12="","",'[19]سجل المستخلصات'!$S$12)</f>
        <v/>
      </c>
      <c r="Q31" s="59">
        <f>IF('[19]سجل المستخلصات'!$T$12="","",'[19]سجل المستخلصات'!$T$12)</f>
        <v/>
      </c>
      <c r="R31" s="59">
        <f>IF('[19]سجل المستخلصات'!$V$12="","",'[19]سجل المستخلصات'!$V$12)</f>
        <v/>
      </c>
      <c r="S31" s="59">
        <f>IF('[19]سجل المستخلصات'!$W$12="","",'[19]سجل المستخلصات'!$W$12)</f>
        <v/>
      </c>
      <c r="T31" s="61">
        <f>IF('[19]سجل المستخلصات'!$X$12="","",'[19]سجل المستخلصات'!$X$12)</f>
        <v/>
      </c>
      <c r="U31" s="61">
        <f>IF('[19]سجل المستخلصات'!$Z$12="","",'[19]سجل المستخلصات'!$Z$12)</f>
        <v/>
      </c>
      <c r="V31" s="59">
        <f>IF('[19]سجل المستخلصات'!$AA$12="","",'[19]سجل المستخلصات'!$AA$12)</f>
        <v/>
      </c>
      <c r="W31" s="59">
        <f>IF('[19]سجل المستخلصات'!$AC$12="","",'[19]سجل المستخلصات'!$AC$12)</f>
        <v/>
      </c>
      <c r="X31" s="62">
        <f>IF('[19]سجل المستخلصات'!$AD$12="","",'[19]سجل المستخلصات'!$AD$12)</f>
        <v/>
      </c>
      <c r="Y31" s="58">
        <f>IF('[19]سجل المستخلصات'!$AE$12="","",'[19]سجل المستخلصات'!$AE$12)</f>
        <v/>
      </c>
    </row>
    <row r="32">
      <c r="B32" s="56" t="n">
        <v>8</v>
      </c>
      <c r="C32" s="57">
        <f>IF('[19]سجل المستخلصات'!$C$13="","",'[19]سجل المستخلصات'!$C$13)</f>
        <v/>
      </c>
      <c r="D32" s="57">
        <f>IF('[19]سجل المستخلصات'!$E$13="","",'[19]سجل المستخلصات'!$E$13)</f>
        <v/>
      </c>
      <c r="E32" s="58">
        <f>IF('[19]سجل المستخلصات'!$F$13="","",'[19]سجل المستخلصات'!$F$13)</f>
        <v/>
      </c>
      <c r="F32" s="59">
        <f>IF('[19]سجل المستخلصات'!$H$13="","",'[19]سجل المستخلصات'!$H$13)</f>
        <v/>
      </c>
      <c r="G32" s="59">
        <f>IF('[19]سجل المستخلصات'!$G$13="","",'[19]سجل المستخلصات'!$G$13)</f>
        <v/>
      </c>
      <c r="H32" s="59">
        <f>IF('[19]سجل المستخلصات'!$I$13="","",'[19]سجل المستخلصات'!$I$13)</f>
        <v/>
      </c>
      <c r="I32" s="59">
        <f>IF('[19]سجل المستخلصات'!$J$13="","",'[19]سجل المستخلصات'!$J$13)</f>
        <v/>
      </c>
      <c r="J32" s="59">
        <f>IF('[19]سجل المستخلصات'!$K$13="","",'[19]سجل المستخلصات'!$K$13)</f>
        <v/>
      </c>
      <c r="K32" s="60">
        <f>IF('[19]سجل المستخلصات'!$L$13="","",'[19]سجل المستخلصات'!$L$13)</f>
        <v/>
      </c>
      <c r="L32" s="60">
        <f>IF('[19]سجل المستخلصات'!$M$13="","",'[19]سجل المستخلصات'!$M$13)</f>
        <v/>
      </c>
      <c r="M32" s="60">
        <f>IF('[19]سجل المستخلصات'!$N$13="","",'[19]سجل المستخلصات'!$N$13)</f>
        <v/>
      </c>
      <c r="N32" s="59">
        <f>IF('[19]سجل المستخلصات'!$O$13="","",'[19]سجل المستخلصات'!$O$13)</f>
        <v/>
      </c>
      <c r="O32" s="59">
        <f>IF('[19]سجل المستخلصات'!$R$13="","",'[19]سجل المستخلصات'!$R$13)</f>
        <v/>
      </c>
      <c r="P32" s="59">
        <f>IF('[19]سجل المستخلصات'!$S$13="","",'[19]سجل المستخلصات'!$S$13)</f>
        <v/>
      </c>
      <c r="Q32" s="59">
        <f>IF('[19]سجل المستخلصات'!$T$13="","",'[19]سجل المستخلصات'!$T$13)</f>
        <v/>
      </c>
      <c r="R32" s="59">
        <f>IF('[19]سجل المستخلصات'!$V$13="","",'[19]سجل المستخلصات'!$V$13)</f>
        <v/>
      </c>
      <c r="S32" s="59">
        <f>IF('[19]سجل المستخلصات'!$W$13="","",'[19]سجل المستخلصات'!$W$13)</f>
        <v/>
      </c>
      <c r="T32" s="61">
        <f>IF('[19]سجل المستخلصات'!$X$13="","",'[19]سجل المستخلصات'!$X$13)</f>
        <v/>
      </c>
      <c r="U32" s="61">
        <f>IF('[19]سجل المستخلصات'!$Z$13="","",'[19]سجل المستخلصات'!$Z$13)</f>
        <v/>
      </c>
      <c r="V32" s="59">
        <f>IF('[19]سجل المستخلصات'!$AA$13="","",'[19]سجل المستخلصات'!$AA$13)</f>
        <v/>
      </c>
      <c r="W32" s="59">
        <f>IF('[19]سجل المستخلصات'!$AC$13="","",'[19]سجل المستخلصات'!$AC$13)</f>
        <v/>
      </c>
      <c r="X32" s="62">
        <f>IF('[19]سجل المستخلصات'!$AD$13="","",'[19]سجل المستخلصات'!$AD$13)</f>
        <v/>
      </c>
      <c r="Y32" s="58">
        <f>IF('[19]سجل المستخلصات'!$AE$13="","",'[19]سجل المستخلصات'!$AE$13)</f>
        <v/>
      </c>
    </row>
    <row r="33">
      <c r="B33" s="56" t="n">
        <v>9</v>
      </c>
      <c r="C33" s="57">
        <f>IF('[19]سجل المستخلصات'!$C$14="","",'[19]سجل المستخلصات'!$C$14)</f>
        <v/>
      </c>
      <c r="D33" s="57">
        <f>IF('[19]سجل المستخلصات'!$E$14="","",'[19]سجل المستخلصات'!$E$14)</f>
        <v/>
      </c>
      <c r="E33" s="58">
        <f>IF('[19]سجل المستخلصات'!$F$14="","",'[19]سجل المستخلصات'!$F$14)</f>
        <v/>
      </c>
      <c r="F33" s="59">
        <f>IF('[19]سجل المستخلصات'!$H$14="","",'[19]سجل المستخلصات'!$H$14)</f>
        <v/>
      </c>
      <c r="G33" s="59">
        <f>IF('[19]سجل المستخلصات'!$G$14="","",'[19]سجل المستخلصات'!$G$14)</f>
        <v/>
      </c>
      <c r="H33" s="59">
        <f>IF('[19]سجل المستخلصات'!$I$14="","",'[19]سجل المستخلصات'!$I$14)</f>
        <v/>
      </c>
      <c r="I33" s="59">
        <f>IF('[19]سجل المستخلصات'!$J$14="","",'[19]سجل المستخلصات'!$J$14)</f>
        <v/>
      </c>
      <c r="J33" s="59">
        <f>IF('[19]سجل المستخلصات'!$K$14="","",'[19]سجل المستخلصات'!$K$14)</f>
        <v/>
      </c>
      <c r="K33" s="60">
        <f>IF('[19]سجل المستخلصات'!$L$14="","",'[19]سجل المستخلصات'!$L$14)</f>
        <v/>
      </c>
      <c r="L33" s="60">
        <f>IF('[19]سجل المستخلصات'!$M$14="","",'[19]سجل المستخلصات'!$M$14)</f>
        <v/>
      </c>
      <c r="M33" s="60">
        <f>IF('[19]سجل المستخلصات'!$N$14="","",'[19]سجل المستخلصات'!$N$14)</f>
        <v/>
      </c>
      <c r="N33" s="59">
        <f>IF('[19]سجل المستخلصات'!$O$14="","",'[19]سجل المستخلصات'!$O$14)</f>
        <v/>
      </c>
      <c r="O33" s="59">
        <f>IF('[19]سجل المستخلصات'!$R$14="","",'[19]سجل المستخلصات'!$R$14)</f>
        <v/>
      </c>
      <c r="P33" s="59">
        <f>IF('[19]سجل المستخلصات'!$S$14="","",'[19]سجل المستخلصات'!$S$14)</f>
        <v/>
      </c>
      <c r="Q33" s="59">
        <f>IF('[19]سجل المستخلصات'!$T$14="","",'[19]سجل المستخلصات'!$T$14)</f>
        <v/>
      </c>
      <c r="R33" s="59">
        <f>IF('[19]سجل المستخلصات'!$V$14="","",'[19]سجل المستخلصات'!$V$14)</f>
        <v/>
      </c>
      <c r="S33" s="59">
        <f>IF('[19]سجل المستخلصات'!$W$14="","",'[19]سجل المستخلصات'!$W$14)</f>
        <v/>
      </c>
      <c r="T33" s="61">
        <f>IF('[19]سجل المستخلصات'!$X$14="","",'[19]سجل المستخلصات'!$X$14)</f>
        <v/>
      </c>
      <c r="U33" s="61">
        <f>IF('[19]سجل المستخلصات'!$Z$14="","",'[19]سجل المستخلصات'!$Z$14)</f>
        <v/>
      </c>
      <c r="V33" s="59">
        <f>IF('[19]سجل المستخلصات'!$AA$14="","",'[19]سجل المستخلصات'!$AA$14)</f>
        <v/>
      </c>
      <c r="W33" s="59">
        <f>IF('[19]سجل المستخلصات'!$AC$14="","",'[19]سجل المستخلصات'!$AC$14)</f>
        <v/>
      </c>
      <c r="X33" s="62">
        <f>IF('[19]سجل المستخلصات'!$AD$14="","",'[19]سجل المستخلصات'!$AD$14)</f>
        <v/>
      </c>
      <c r="Y33" s="58">
        <f>IF('[19]سجل المستخلصات'!$AE$14="","",'[19]سجل المستخلصات'!$AE$14)</f>
        <v/>
      </c>
    </row>
    <row r="34">
      <c r="B34" s="56" t="n">
        <v>10</v>
      </c>
      <c r="C34" s="57">
        <f>IF('[19]سجل المستخلصات'!$C$15="","",'[19]سجل المستخلصات'!$C$15)</f>
        <v/>
      </c>
      <c r="D34" s="57">
        <f>IF('[19]سجل المستخلصات'!$E$15="","",'[19]سجل المستخلصات'!$E$15)</f>
        <v/>
      </c>
      <c r="E34" s="58">
        <f>IF('[19]سجل المستخلصات'!$F$15="","",'[19]سجل المستخلصات'!$F$15)</f>
        <v/>
      </c>
      <c r="F34" s="59">
        <f>IF('[19]سجل المستخلصات'!$H$15="","",'[19]سجل المستخلصات'!$H$15)</f>
        <v/>
      </c>
      <c r="G34" s="59">
        <f>IF('[19]سجل المستخلصات'!$G$15="","",'[19]سجل المستخلصات'!$G$15)</f>
        <v/>
      </c>
      <c r="H34" s="59">
        <f>IF('[19]سجل المستخلصات'!$I$15="","",'[19]سجل المستخلصات'!$I$15)</f>
        <v/>
      </c>
      <c r="I34" s="59">
        <f>IF('[19]سجل المستخلصات'!$J$15="","",'[19]سجل المستخلصات'!$J$15)</f>
        <v/>
      </c>
      <c r="J34" s="59">
        <f>IF('[19]سجل المستخلصات'!$K$15="","",'[19]سجل المستخلصات'!$K$15)</f>
        <v/>
      </c>
      <c r="K34" s="60">
        <f>IF('[19]سجل المستخلصات'!$L$15="","",'[19]سجل المستخلصات'!$L$15)</f>
        <v/>
      </c>
      <c r="L34" s="60">
        <f>IF('[19]سجل المستخلصات'!$M$15="","",'[19]سجل المستخلصات'!$M$15)</f>
        <v/>
      </c>
      <c r="M34" s="60">
        <f>IF('[19]سجل المستخلصات'!$N$15="","",'[19]سجل المستخلصات'!$N$15)</f>
        <v/>
      </c>
      <c r="N34" s="59">
        <f>IF('[19]سجل المستخلصات'!$O$15="","",'[19]سجل المستخلصات'!$O$15)</f>
        <v/>
      </c>
      <c r="O34" s="59">
        <f>IF('[19]سجل المستخلصات'!$R$15="","",'[19]سجل المستخلصات'!$R$15)</f>
        <v/>
      </c>
      <c r="P34" s="59">
        <f>IF('[19]سجل المستخلصات'!$S$15="","",'[19]سجل المستخلصات'!$S$15)</f>
        <v/>
      </c>
      <c r="Q34" s="59">
        <f>IF('[19]سجل المستخلصات'!$T$15="","",'[19]سجل المستخلصات'!$T$15)</f>
        <v/>
      </c>
      <c r="R34" s="59">
        <f>IF('[19]سجل المستخلصات'!$V$15="","",'[19]سجل المستخلصات'!$V$15)</f>
        <v/>
      </c>
      <c r="S34" s="59">
        <f>IF('[19]سجل المستخلصات'!$W$15="","",'[19]سجل المستخلصات'!$W$15)</f>
        <v/>
      </c>
      <c r="T34" s="61">
        <f>IF('[19]سجل المستخلصات'!$X$15="","",'[19]سجل المستخلصات'!$X$15)</f>
        <v/>
      </c>
      <c r="U34" s="61">
        <f>IF('[19]سجل المستخلصات'!$Z$15="","",'[19]سجل المستخلصات'!$Z$15)</f>
        <v/>
      </c>
      <c r="V34" s="59">
        <f>IF('[19]سجل المستخلصات'!$AA$15="","",'[19]سجل المستخلصات'!$AA$15)</f>
        <v/>
      </c>
      <c r="W34" s="59">
        <f>IF('[19]سجل المستخلصات'!$AC$15="","",'[19]سجل المستخلصات'!$AC$15)</f>
        <v/>
      </c>
      <c r="X34" s="62">
        <f>IF('[19]سجل المستخلصات'!$AD$15="","",'[19]سجل المستخلصات'!$AD$15)</f>
        <v/>
      </c>
      <c r="Y34" s="58">
        <f>IF('[19]سجل المستخلصات'!$AE$15="","",'[19]سجل المستخلصات'!$AE$15)</f>
        <v/>
      </c>
    </row>
    <row r="35">
      <c r="B35" s="56" t="n">
        <v>11</v>
      </c>
      <c r="C35" s="57">
        <f>IF('[19]سجل المستخلصات'!$C$16="","",'[19]سجل المستخلصات'!$C$16)</f>
        <v/>
      </c>
      <c r="D35" s="57">
        <f>IF('[19]سجل المستخلصات'!$E$16="","",'[19]سجل المستخلصات'!$E$16)</f>
        <v/>
      </c>
      <c r="E35" s="58">
        <f>IF('[19]سجل المستخلصات'!$F$16="","",'[19]سجل المستخلصات'!$F$16)</f>
        <v/>
      </c>
      <c r="F35" s="59">
        <f>IF('[19]سجل المستخلصات'!$H$16="","",'[19]سجل المستخلصات'!$H$16)</f>
        <v/>
      </c>
      <c r="G35" s="59">
        <f>IF('[19]سجل المستخلصات'!$G$16="","",'[19]سجل المستخلصات'!$G$16)</f>
        <v/>
      </c>
      <c r="H35" s="59">
        <f>IF('[19]سجل المستخلصات'!$I$16="","",'[19]سجل المستخلصات'!$I$16)</f>
        <v/>
      </c>
      <c r="I35" s="59">
        <f>IF('[19]سجل المستخلصات'!$J$16="","",'[19]سجل المستخلصات'!$J$16)</f>
        <v/>
      </c>
      <c r="J35" s="59">
        <f>IF('[19]سجل المستخلصات'!$K$16="","",'[19]سجل المستخلصات'!$K$16)</f>
        <v/>
      </c>
      <c r="K35" s="60">
        <f>IF('[19]سجل المستخلصات'!$L$16="","",'[19]سجل المستخلصات'!$L$16)</f>
        <v/>
      </c>
      <c r="L35" s="60">
        <f>IF('[19]سجل المستخلصات'!$M$16="","",'[19]سجل المستخلصات'!$M$16)</f>
        <v/>
      </c>
      <c r="M35" s="60">
        <f>IF('[19]سجل المستخلصات'!$N$16="","",'[19]سجل المستخلصات'!$N$16)</f>
        <v/>
      </c>
      <c r="N35" s="59">
        <f>IF('[19]سجل المستخلصات'!$O$16="","",'[19]سجل المستخلصات'!$O$16)</f>
        <v/>
      </c>
      <c r="O35" s="59">
        <f>IF('[19]سجل المستخلصات'!$R$16="","",'[19]سجل المستخلصات'!$R$16)</f>
        <v/>
      </c>
      <c r="P35" s="59">
        <f>IF('[19]سجل المستخلصات'!$S$16="","",'[19]سجل المستخلصات'!$S$16)</f>
        <v/>
      </c>
      <c r="Q35" s="59">
        <f>IF('[19]سجل المستخلصات'!$T$16="","",'[19]سجل المستخلصات'!$T$16)</f>
        <v/>
      </c>
      <c r="R35" s="59">
        <f>IF('[19]سجل المستخلصات'!$V$16="","",'[19]سجل المستخلصات'!$V$16)</f>
        <v/>
      </c>
      <c r="S35" s="59">
        <f>IF('[19]سجل المستخلصات'!$W$16="","",'[19]سجل المستخلصات'!$W$16)</f>
        <v/>
      </c>
      <c r="T35" s="61">
        <f>IF('[19]سجل المستخلصات'!$X$16="","",'[19]سجل المستخلصات'!$X$16)</f>
        <v/>
      </c>
      <c r="U35" s="61">
        <f>IF('[19]سجل المستخلصات'!$Z$16="","",'[19]سجل المستخلصات'!$Z$16)</f>
        <v/>
      </c>
      <c r="V35" s="59">
        <f>IF('[19]سجل المستخلصات'!$AA$16="","",'[19]سجل المستخلصات'!$AA$16)</f>
        <v/>
      </c>
      <c r="W35" s="59">
        <f>IF('[19]سجل المستخلصات'!$AC$16="","",'[19]سجل المستخلصات'!$AC$16)</f>
        <v/>
      </c>
      <c r="X35" s="62">
        <f>IF('[19]سجل المستخلصات'!$AD$16="","",'[19]سجل المستخلصات'!$AD$16)</f>
        <v/>
      </c>
      <c r="Y35" s="58">
        <f>IF('[19]سجل المستخلصات'!$AE$16="","",'[19]سجل المستخلصات'!$AE$16)</f>
        <v/>
      </c>
    </row>
    <row r="36">
      <c r="B36" s="56" t="n">
        <v>12</v>
      </c>
      <c r="C36" s="57">
        <f>IF('[19]سجل المستخلصات'!$C$17="","",'[19]سجل المستخلصات'!$C$17)</f>
        <v/>
      </c>
      <c r="D36" s="57">
        <f>IF('[19]سجل المستخلصات'!$E$17="","",'[19]سجل المستخلصات'!$E$17)</f>
        <v/>
      </c>
      <c r="E36" s="58">
        <f>IF('[19]سجل المستخلصات'!$F$17="","",'[19]سجل المستخلصات'!$F$17)</f>
        <v/>
      </c>
      <c r="F36" s="59">
        <f>IF('[19]سجل المستخلصات'!$H$17="","",'[19]سجل المستخلصات'!$H$17)</f>
        <v/>
      </c>
      <c r="G36" s="59">
        <f>IF('[19]سجل المستخلصات'!$G$17="","",'[19]سجل المستخلصات'!$G$17)</f>
        <v/>
      </c>
      <c r="H36" s="59">
        <f>IF('[19]سجل المستخلصات'!$I$17="","",'[19]سجل المستخلصات'!$I$17)</f>
        <v/>
      </c>
      <c r="I36" s="59">
        <f>IF('[19]سجل المستخلصات'!$J$17="","",'[19]سجل المستخلصات'!$J$17)</f>
        <v/>
      </c>
      <c r="J36" s="59">
        <f>IF('[19]سجل المستخلصات'!$K$17="","",'[19]سجل المستخلصات'!$K$17)</f>
        <v/>
      </c>
      <c r="K36" s="60">
        <f>IF('[19]سجل المستخلصات'!$L$17="","",'[19]سجل المستخلصات'!$L$17)</f>
        <v/>
      </c>
      <c r="L36" s="60">
        <f>IF('[19]سجل المستخلصات'!$M$17="","",'[19]سجل المستخلصات'!$M$17)</f>
        <v/>
      </c>
      <c r="M36" s="60">
        <f>IF('[19]سجل المستخلصات'!$N$17="","",'[19]سجل المستخلصات'!$N$17)</f>
        <v/>
      </c>
      <c r="N36" s="59">
        <f>IF('[19]سجل المستخلصات'!$O$17="","",'[19]سجل المستخلصات'!$O$17)</f>
        <v/>
      </c>
      <c r="O36" s="59">
        <f>IF('[19]سجل المستخلصات'!$R$17="","",'[19]سجل المستخلصات'!$R$17)</f>
        <v/>
      </c>
      <c r="P36" s="59">
        <f>IF('[19]سجل المستخلصات'!$S$17="","",'[19]سجل المستخلصات'!$S$17)</f>
        <v/>
      </c>
      <c r="Q36" s="59">
        <f>IF('[19]سجل المستخلصات'!$T$17="","",'[19]سجل المستخلصات'!$T$17)</f>
        <v/>
      </c>
      <c r="R36" s="59">
        <f>IF('[19]سجل المستخلصات'!$V$17="","",'[19]سجل المستخلصات'!$V$17)</f>
        <v/>
      </c>
      <c r="S36" s="59">
        <f>IF('[19]سجل المستخلصات'!$W$17="","",'[19]سجل المستخلصات'!$W$17)</f>
        <v/>
      </c>
      <c r="T36" s="61">
        <f>IF('[19]سجل المستخلصات'!$X$17="","",'[19]سجل المستخلصات'!$X$17)</f>
        <v/>
      </c>
      <c r="U36" s="61">
        <f>IF('[19]سجل المستخلصات'!$Z$17="","",'[19]سجل المستخلصات'!$Z$17)</f>
        <v/>
      </c>
      <c r="V36" s="59">
        <f>IF('[19]سجل المستخلصات'!$AA$17="","",'[19]سجل المستخلصات'!$AA$17)</f>
        <v/>
      </c>
      <c r="W36" s="59">
        <f>IF('[19]سجل المستخلصات'!$AC$17="","",'[19]سجل المستخلصات'!$AC$17)</f>
        <v/>
      </c>
      <c r="X36" s="62">
        <f>IF('[19]سجل المستخلصات'!$AD$17="","",'[19]سجل المستخلصات'!$AD$17)</f>
        <v/>
      </c>
      <c r="Y36" s="58">
        <f>IF('[19]سجل المستخلصات'!$AE$17="","",'[19]سجل المستخلصات'!$AE$17)</f>
        <v/>
      </c>
    </row>
    <row r="37">
      <c r="B37" s="56" t="n">
        <v>13</v>
      </c>
      <c r="C37" s="57">
        <f>IF('[19]سجل المستخلصات'!$C$18="","",'[19]سجل المستخلصات'!$C$18)</f>
        <v/>
      </c>
      <c r="D37" s="57">
        <f>IF('[19]سجل المستخلصات'!$E$18="","",'[19]سجل المستخلصات'!$E$18)</f>
        <v/>
      </c>
      <c r="E37" s="58">
        <f>IF('[19]سجل المستخلصات'!$F$18="","",'[19]سجل المستخلصات'!$F$18)</f>
        <v/>
      </c>
      <c r="F37" s="59">
        <f>IF('[19]سجل المستخلصات'!$H$18="","",'[19]سجل المستخلصات'!$H$18)</f>
        <v/>
      </c>
      <c r="G37" s="59">
        <f>IF('[19]سجل المستخلصات'!$G$18="","",'[19]سجل المستخلصات'!$G$18)</f>
        <v/>
      </c>
      <c r="H37" s="59">
        <f>IF('[19]سجل المستخلصات'!$I$18="","",'[19]سجل المستخلصات'!$I$18)</f>
        <v/>
      </c>
      <c r="I37" s="59">
        <f>IF('[19]سجل المستخلصات'!$J$18="","",'[19]سجل المستخلصات'!$J$18)</f>
        <v/>
      </c>
      <c r="J37" s="59">
        <f>IF('[19]سجل المستخلصات'!$K$18="","",'[19]سجل المستخلصات'!$K$18)</f>
        <v/>
      </c>
      <c r="K37" s="60">
        <f>IF('[19]سجل المستخلصات'!$L$18="","",'[19]سجل المستخلصات'!$L$18)</f>
        <v/>
      </c>
      <c r="L37" s="60">
        <f>IF('[19]سجل المستخلصات'!$M$18="","",'[19]سجل المستخلصات'!$M$18)</f>
        <v/>
      </c>
      <c r="M37" s="60">
        <f>IF('[19]سجل المستخلصات'!$N$18="","",'[19]سجل المستخلصات'!$N$18)</f>
        <v/>
      </c>
      <c r="N37" s="59">
        <f>IF('[19]سجل المستخلصات'!$O$18="","",'[19]سجل المستخلصات'!$O$18)</f>
        <v/>
      </c>
      <c r="O37" s="59">
        <f>IF('[19]سجل المستخلصات'!$R$18="","",'[19]سجل المستخلصات'!$R$18)</f>
        <v/>
      </c>
      <c r="P37" s="59">
        <f>IF('[19]سجل المستخلصات'!$S$18="","",'[19]سجل المستخلصات'!$S$18)</f>
        <v/>
      </c>
      <c r="Q37" s="59">
        <f>IF('[19]سجل المستخلصات'!$T$18="","",'[19]سجل المستخلصات'!$T$18)</f>
        <v/>
      </c>
      <c r="R37" s="59">
        <f>IF('[19]سجل المستخلصات'!$V$18="","",'[19]سجل المستخلصات'!$V$18)</f>
        <v/>
      </c>
      <c r="S37" s="59">
        <f>IF('[19]سجل المستخلصات'!$W$18="","",'[19]سجل المستخلصات'!$W$18)</f>
        <v/>
      </c>
      <c r="T37" s="61">
        <f>IF('[19]سجل المستخلصات'!$X$18="","",'[19]سجل المستخلصات'!$X$18)</f>
        <v/>
      </c>
      <c r="U37" s="61">
        <f>IF('[19]سجل المستخلصات'!$Z$18="","",'[19]سجل المستخلصات'!$Z$18)</f>
        <v/>
      </c>
      <c r="V37" s="59">
        <f>IF('[19]سجل المستخلصات'!$AA$18="","",'[19]سجل المستخلصات'!$AA$18)</f>
        <v/>
      </c>
      <c r="W37" s="59">
        <f>IF('[19]سجل المستخلصات'!$AC$18="","",'[19]سجل المستخلصات'!$AC$18)</f>
        <v/>
      </c>
      <c r="X37" s="62">
        <f>IF('[19]سجل المستخلصات'!$AD$18="","",'[19]سجل المستخلصات'!$AD$18)</f>
        <v/>
      </c>
      <c r="Y37" s="58">
        <f>IF('[19]سجل المستخلصات'!$AE$18="","",'[19]سجل المستخلصات'!$AE$18)</f>
        <v/>
      </c>
    </row>
    <row r="38">
      <c r="B38" s="56" t="n">
        <v>14</v>
      </c>
      <c r="C38" s="57">
        <f>IF('[19]سجل المستخلصات'!$C$19="","",'[19]سجل المستخلصات'!$C$19)</f>
        <v/>
      </c>
      <c r="D38" s="57">
        <f>IF('[19]سجل المستخلصات'!$E$19="","",'[19]سجل المستخلصات'!$E$19)</f>
        <v/>
      </c>
      <c r="E38" s="58">
        <f>IF('[19]سجل المستخلصات'!$F$19="","",'[19]سجل المستخلصات'!$F$19)</f>
        <v/>
      </c>
      <c r="F38" s="59">
        <f>IF('[19]سجل المستخلصات'!$H$19="","",'[19]سجل المستخلصات'!$H$19)</f>
        <v/>
      </c>
      <c r="G38" s="59">
        <f>IF('[19]سجل المستخلصات'!$G$19="","",'[19]سجل المستخلصات'!$G$19)</f>
        <v/>
      </c>
      <c r="H38" s="59">
        <f>IF('[19]سجل المستخلصات'!$I$19="","",'[19]سجل المستخلصات'!$I$19)</f>
        <v/>
      </c>
      <c r="I38" s="59">
        <f>IF('[19]سجل المستخلصات'!$J$19="","",'[19]سجل المستخلصات'!$J$19)</f>
        <v/>
      </c>
      <c r="J38" s="59">
        <f>IF('[19]سجل المستخلصات'!$K$19="","",'[19]سجل المستخلصات'!$K$19)</f>
        <v/>
      </c>
      <c r="K38" s="60">
        <f>IF('[19]سجل المستخلصات'!$L$19="","",'[19]سجل المستخلصات'!$L$19)</f>
        <v/>
      </c>
      <c r="L38" s="60">
        <f>IF('[19]سجل المستخلصات'!$M$19="","",'[19]سجل المستخلصات'!$M$19)</f>
        <v/>
      </c>
      <c r="M38" s="60">
        <f>IF('[19]سجل المستخلصات'!$N$19="","",'[19]سجل المستخلصات'!$N$19)</f>
        <v/>
      </c>
      <c r="N38" s="59">
        <f>IF('[19]سجل المستخلصات'!$O$19="","",'[19]سجل المستخلصات'!$O$19)</f>
        <v/>
      </c>
      <c r="O38" s="59">
        <f>IF('[19]سجل المستخلصات'!$R$19="","",'[19]سجل المستخلصات'!$R$19)</f>
        <v/>
      </c>
      <c r="P38" s="59">
        <f>IF('[19]سجل المستخلصات'!$S$19="","",'[19]سجل المستخلصات'!$S$19)</f>
        <v/>
      </c>
      <c r="Q38" s="59">
        <f>IF('[19]سجل المستخلصات'!$T$19="","",'[19]سجل المستخلصات'!$T$19)</f>
        <v/>
      </c>
      <c r="R38" s="59">
        <f>IF('[19]سجل المستخلصات'!$V$19="","",'[19]سجل المستخلصات'!$V$19)</f>
        <v/>
      </c>
      <c r="S38" s="59">
        <f>IF('[19]سجل المستخلصات'!$W$19="","",'[19]سجل المستخلصات'!$W$19)</f>
        <v/>
      </c>
      <c r="T38" s="61">
        <f>IF('[19]سجل المستخلصات'!$X$19="","",'[19]سجل المستخلصات'!$X$19)</f>
        <v/>
      </c>
      <c r="U38" s="61">
        <f>IF('[19]سجل المستخلصات'!$Z$19="","",'[19]سجل المستخلصات'!$Z$19)</f>
        <v/>
      </c>
      <c r="V38" s="59">
        <f>IF('[19]سجل المستخلصات'!$AA$19="","",'[19]سجل المستخلصات'!$AA$19)</f>
        <v/>
      </c>
      <c r="W38" s="59">
        <f>IF('[19]سجل المستخلصات'!$AC$19="","",'[19]سجل المستخلصات'!$AC$19)</f>
        <v/>
      </c>
      <c r="X38" s="62">
        <f>IF('[19]سجل المستخلصات'!$AD$19="","",'[19]سجل المستخلصات'!$AD$19)</f>
        <v/>
      </c>
      <c r="Y38" s="58">
        <f>IF('[19]سجل المستخلصات'!$AE$19="","",'[19]سجل المستخلصات'!$AE$19)</f>
        <v/>
      </c>
    </row>
    <row r="39">
      <c r="B39" s="56" t="n">
        <v>15</v>
      </c>
      <c r="C39" s="57">
        <f>IF('[19]سجل المستخلصات'!$C$20="","",'[19]سجل المستخلصات'!$C$20)</f>
        <v/>
      </c>
      <c r="D39" s="57">
        <f>IF('[19]سجل المستخلصات'!$E$20="","",'[19]سجل المستخلصات'!$E$20)</f>
        <v/>
      </c>
      <c r="E39" s="58">
        <f>IF('[19]سجل المستخلصات'!$F$20="","",'[19]سجل المستخلصات'!$F$20)</f>
        <v/>
      </c>
      <c r="F39" s="59">
        <f>IF('[19]سجل المستخلصات'!$H$20="","",'[19]سجل المستخلصات'!$H$20)</f>
        <v/>
      </c>
      <c r="G39" s="59">
        <f>IF('[19]سجل المستخلصات'!$G$20="","",'[19]سجل المستخلصات'!$G$20)</f>
        <v/>
      </c>
      <c r="H39" s="59">
        <f>IF('[19]سجل المستخلصات'!$I$20="","",'[19]سجل المستخلصات'!$I$20)</f>
        <v/>
      </c>
      <c r="I39" s="59">
        <f>IF('[19]سجل المستخلصات'!$J$20="","",'[19]سجل المستخلصات'!$J$20)</f>
        <v/>
      </c>
      <c r="J39" s="59">
        <f>IF('[19]سجل المستخلصات'!$K$20="","",'[19]سجل المستخلصات'!$K$20)</f>
        <v/>
      </c>
      <c r="K39" s="60">
        <f>IF('[19]سجل المستخلصات'!$L$20="","",'[19]سجل المستخلصات'!$L$20)</f>
        <v/>
      </c>
      <c r="L39" s="60">
        <f>IF('[19]سجل المستخلصات'!$M$20="","",'[19]سجل المستخلصات'!$M$20)</f>
        <v/>
      </c>
      <c r="M39" s="60">
        <f>IF('[19]سجل المستخلصات'!$N$20="","",'[19]سجل المستخلصات'!$N$20)</f>
        <v/>
      </c>
      <c r="N39" s="59">
        <f>IF('[19]سجل المستخلصات'!$O$20="","",'[19]سجل المستخلصات'!$O$20)</f>
        <v/>
      </c>
      <c r="O39" s="59">
        <f>IF('[19]سجل المستخلصات'!$R$20="","",'[19]سجل المستخلصات'!$R$20)</f>
        <v/>
      </c>
      <c r="P39" s="59">
        <f>IF('[19]سجل المستخلصات'!$S$20="","",'[19]سجل المستخلصات'!$S$20)</f>
        <v/>
      </c>
      <c r="Q39" s="59">
        <f>IF('[19]سجل المستخلصات'!$T$20="","",'[19]سجل المستخلصات'!$T$20)</f>
        <v/>
      </c>
      <c r="R39" s="59">
        <f>IF('[19]سجل المستخلصات'!$V$20="","",'[19]سجل المستخلصات'!$V$20)</f>
        <v/>
      </c>
      <c r="S39" s="59">
        <f>IF('[19]سجل المستخلصات'!$W$20="","",'[19]سجل المستخلصات'!$W$20)</f>
        <v/>
      </c>
      <c r="T39" s="61">
        <f>IF('[19]سجل المستخلصات'!$X$20="","",'[19]سجل المستخلصات'!$X$20)</f>
        <v/>
      </c>
      <c r="U39" s="61">
        <f>IF('[19]سجل المستخلصات'!$Z$20="","",'[19]سجل المستخلصات'!$Z$20)</f>
        <v/>
      </c>
      <c r="V39" s="59">
        <f>IF('[19]سجل المستخلصات'!$AA$20="","",'[19]سجل المستخلصات'!$AA$20)</f>
        <v/>
      </c>
      <c r="W39" s="59">
        <f>IF('[19]سجل المستخلصات'!$AC$20="","",'[19]سجل المستخلصات'!$AC$20)</f>
        <v/>
      </c>
      <c r="X39" s="62">
        <f>IF('[19]سجل المستخلصات'!$AD$20="","",'[19]سجل المستخلصات'!$AD$20)</f>
        <v/>
      </c>
      <c r="Y39" s="58">
        <f>IF('[19]سجل المستخلصات'!$AE$20="","",'[19]سجل المستخلصات'!$AE$20)</f>
        <v/>
      </c>
    </row>
    <row r="40">
      <c r="B40" s="56" t="n">
        <v>16</v>
      </c>
      <c r="C40" s="57">
        <f>IF('[19]سجل المستخلصات'!$C$21="","",'[19]سجل المستخلصات'!$C$21)</f>
        <v/>
      </c>
      <c r="D40" s="57">
        <f>IF('[19]سجل المستخلصات'!$E$21="","",'[19]سجل المستخلصات'!$E$21)</f>
        <v/>
      </c>
      <c r="E40" s="58">
        <f>IF('[19]سجل المستخلصات'!$F$21="","",'[19]سجل المستخلصات'!$F$21)</f>
        <v/>
      </c>
      <c r="F40" s="59">
        <f>IF('[19]سجل المستخلصات'!$H$21="","",'[19]سجل المستخلصات'!$H$21)</f>
        <v/>
      </c>
      <c r="G40" s="59">
        <f>IF('[19]سجل المستخلصات'!$G$21="","",'[19]سجل المستخلصات'!$G$21)</f>
        <v/>
      </c>
      <c r="H40" s="59">
        <f>IF('[19]سجل المستخلصات'!$I$21="","",'[19]سجل المستخلصات'!$I$21)</f>
        <v/>
      </c>
      <c r="I40" s="59">
        <f>IF('[19]سجل المستخلصات'!$J$21="","",'[19]سجل المستخلصات'!$J$21)</f>
        <v/>
      </c>
      <c r="J40" s="59">
        <f>IF('[19]سجل المستخلصات'!$K$21="","",'[19]سجل المستخلصات'!$K$21)</f>
        <v/>
      </c>
      <c r="K40" s="60">
        <f>IF('[19]سجل المستخلصات'!$L$21="","",'[19]سجل المستخلصات'!$L$21)</f>
        <v/>
      </c>
      <c r="L40" s="60">
        <f>IF('[19]سجل المستخلصات'!$M$21="","",'[19]سجل المستخلصات'!$M$21)</f>
        <v/>
      </c>
      <c r="M40" s="60">
        <f>IF('[19]سجل المستخلصات'!$N$21="","",'[19]سجل المستخلصات'!$N$21)</f>
        <v/>
      </c>
      <c r="N40" s="59">
        <f>IF('[19]سجل المستخلصات'!$O$21="","",'[19]سجل المستخلصات'!$O$21)</f>
        <v/>
      </c>
      <c r="O40" s="59">
        <f>IF('[19]سجل المستخلصات'!$R$21="","",'[19]سجل المستخلصات'!$R$21)</f>
        <v/>
      </c>
      <c r="P40" s="59">
        <f>IF('[19]سجل المستخلصات'!$S$21="","",'[19]سجل المستخلصات'!$S$21)</f>
        <v/>
      </c>
      <c r="Q40" s="59">
        <f>IF('[19]سجل المستخلصات'!$T$21="","",'[19]سجل المستخلصات'!$T$21)</f>
        <v/>
      </c>
      <c r="R40" s="59">
        <f>IF('[19]سجل المستخلصات'!$V$21="","",'[19]سجل المستخلصات'!$V$21)</f>
        <v/>
      </c>
      <c r="S40" s="59">
        <f>IF('[19]سجل المستخلصات'!$W$21="","",'[19]سجل المستخلصات'!$W$21)</f>
        <v/>
      </c>
      <c r="T40" s="61">
        <f>IF('[19]سجل المستخلصات'!$X$21="","",'[19]سجل المستخلصات'!$X$21)</f>
        <v/>
      </c>
      <c r="U40" s="61">
        <f>IF('[19]سجل المستخلصات'!$Z$21="","",'[19]سجل المستخلصات'!$Z$21)</f>
        <v/>
      </c>
      <c r="V40" s="59">
        <f>IF('[19]سجل المستخلصات'!$AA$21="","",'[19]سجل المستخلصات'!$AA$21)</f>
        <v/>
      </c>
      <c r="W40" s="59">
        <f>IF('[19]سجل المستخلصات'!$AC$21="","",'[19]سجل المستخلصات'!$AC$21)</f>
        <v/>
      </c>
      <c r="X40" s="62">
        <f>IF('[19]سجل المستخلصات'!$AD$21="","",'[19]سجل المستخلصات'!$AD$21)</f>
        <v/>
      </c>
      <c r="Y40" s="58">
        <f>IF('[19]سجل المستخلصات'!$AE$21="","",'[19]سجل المستخلصات'!$AE$21)</f>
        <v/>
      </c>
    </row>
    <row r="41">
      <c r="B41" s="56" t="n">
        <v>17</v>
      </c>
      <c r="C41" s="57">
        <f>IF('[19]سجل المستخلصات'!$C$22="","",'[19]سجل المستخلصات'!$C$22)</f>
        <v/>
      </c>
      <c r="D41" s="57">
        <f>IF('[19]سجل المستخلصات'!$E$22="","",'[19]سجل المستخلصات'!$E$22)</f>
        <v/>
      </c>
      <c r="E41" s="58">
        <f>IF('[19]سجل المستخلصات'!$F$22="","",'[19]سجل المستخلصات'!$F$22)</f>
        <v/>
      </c>
      <c r="F41" s="59">
        <f>IF('[19]سجل المستخلصات'!$H$22="","",'[19]سجل المستخلصات'!$H$22)</f>
        <v/>
      </c>
      <c r="G41" s="59">
        <f>IF('[19]سجل المستخلصات'!$G$22="","",'[19]سجل المستخلصات'!$G$22)</f>
        <v/>
      </c>
      <c r="H41" s="59">
        <f>IF('[19]سجل المستخلصات'!$I$22="","",'[19]سجل المستخلصات'!$I$22)</f>
        <v/>
      </c>
      <c r="I41" s="59">
        <f>IF('[19]سجل المستخلصات'!$J$22="","",'[19]سجل المستخلصات'!$J$22)</f>
        <v/>
      </c>
      <c r="J41" s="59">
        <f>IF('[19]سجل المستخلصات'!$K$22="","",'[19]سجل المستخلصات'!$K$22)</f>
        <v/>
      </c>
      <c r="K41" s="60">
        <f>IF('[19]سجل المستخلصات'!$L$22="","",'[19]سجل المستخلصات'!$L$22)</f>
        <v/>
      </c>
      <c r="L41" s="60">
        <f>IF('[19]سجل المستخلصات'!$M$22="","",'[19]سجل المستخلصات'!$M$22)</f>
        <v/>
      </c>
      <c r="M41" s="60">
        <f>IF('[19]سجل المستخلصات'!$N$22="","",'[19]سجل المستخلصات'!$N$22)</f>
        <v/>
      </c>
      <c r="N41" s="59">
        <f>IF('[19]سجل المستخلصات'!$O$22="","",'[19]سجل المستخلصات'!$O$22)</f>
        <v/>
      </c>
      <c r="O41" s="59">
        <f>IF('[19]سجل المستخلصات'!$R$22="","",'[19]سجل المستخلصات'!$R$22)</f>
        <v/>
      </c>
      <c r="P41" s="59">
        <f>IF('[19]سجل المستخلصات'!$S$22="","",'[19]سجل المستخلصات'!$S$22)</f>
        <v/>
      </c>
      <c r="Q41" s="59">
        <f>IF('[19]سجل المستخلصات'!$T$22="","",'[19]سجل المستخلصات'!$T$22)</f>
        <v/>
      </c>
      <c r="R41" s="59">
        <f>IF('[19]سجل المستخلصات'!$V$22="","",'[19]سجل المستخلصات'!$V$22)</f>
        <v/>
      </c>
      <c r="S41" s="59">
        <f>IF('[19]سجل المستخلصات'!$W$22="","",'[19]سجل المستخلصات'!$W$22)</f>
        <v/>
      </c>
      <c r="T41" s="61">
        <f>IF('[19]سجل المستخلصات'!$X$22="","",'[19]سجل المستخلصات'!$X$22)</f>
        <v/>
      </c>
      <c r="U41" s="61">
        <f>IF('[19]سجل المستخلصات'!$Z$22="","",'[19]سجل المستخلصات'!$Z$22)</f>
        <v/>
      </c>
      <c r="V41" s="59">
        <f>IF('[19]سجل المستخلصات'!$AA$22="","",'[19]سجل المستخلصات'!$AA$22)</f>
        <v/>
      </c>
      <c r="W41" s="59">
        <f>IF('[19]سجل المستخلصات'!$AC$22="","",'[19]سجل المستخلصات'!$AC$22)</f>
        <v/>
      </c>
      <c r="X41" s="62">
        <f>IF('[19]سجل المستخلصات'!$AD$22="","",'[19]سجل المستخلصات'!$AD$22)</f>
        <v/>
      </c>
      <c r="Y41" s="58">
        <f>IF('[19]سجل المستخلصات'!$AE$22="","",'[19]سجل المستخلصات'!$AE$22)</f>
        <v/>
      </c>
    </row>
    <row r="42">
      <c r="B42" s="56" t="n">
        <v>18</v>
      </c>
      <c r="C42" s="57">
        <f>IF('[19]سجل المستخلصات'!$C$23="","",'[19]سجل المستخلصات'!$C$23)</f>
        <v/>
      </c>
      <c r="D42" s="57">
        <f>IF('[19]سجل المستخلصات'!$E$23="","",'[19]سجل المستخلصات'!$E$23)</f>
        <v/>
      </c>
      <c r="E42" s="58">
        <f>IF('[19]سجل المستخلصات'!$F$23="","",'[19]سجل المستخلصات'!$F$23)</f>
        <v/>
      </c>
      <c r="F42" s="59">
        <f>IF('[19]سجل المستخلصات'!$H$23="","",'[19]سجل المستخلصات'!$H$23)</f>
        <v/>
      </c>
      <c r="G42" s="59">
        <f>IF('[19]سجل المستخلصات'!$G$23="","",'[19]سجل المستخلصات'!$G$23)</f>
        <v/>
      </c>
      <c r="H42" s="59">
        <f>IF('[19]سجل المستخلصات'!$I$23="","",'[19]سجل المستخلصات'!$I$23)</f>
        <v/>
      </c>
      <c r="I42" s="59">
        <f>IF('[19]سجل المستخلصات'!$J$23="","",'[19]سجل المستخلصات'!$J$23)</f>
        <v/>
      </c>
      <c r="J42" s="59">
        <f>IF('[19]سجل المستخلصات'!$K$23="","",'[19]سجل المستخلصات'!$K$23)</f>
        <v/>
      </c>
      <c r="K42" s="60">
        <f>IF('[19]سجل المستخلصات'!$L$23="","",'[19]سجل المستخلصات'!$L$23)</f>
        <v/>
      </c>
      <c r="L42" s="60">
        <f>IF('[19]سجل المستخلصات'!$M$23="","",'[19]سجل المستخلصات'!$M$23)</f>
        <v/>
      </c>
      <c r="M42" s="60">
        <f>IF('[19]سجل المستخلصات'!$N$23="","",'[19]سجل المستخلصات'!$N$23)</f>
        <v/>
      </c>
      <c r="N42" s="59">
        <f>IF('[19]سجل المستخلصات'!$O$23="","",'[19]سجل المستخلصات'!$O$23)</f>
        <v/>
      </c>
      <c r="O42" s="59">
        <f>IF('[19]سجل المستخلصات'!$R$23="","",'[19]سجل المستخلصات'!$R$23)</f>
        <v/>
      </c>
      <c r="P42" s="59">
        <f>IF('[19]سجل المستخلصات'!$S$23="","",'[19]سجل المستخلصات'!$S$23)</f>
        <v/>
      </c>
      <c r="Q42" s="59">
        <f>IF('[19]سجل المستخلصات'!$T$23="","",'[19]سجل المستخلصات'!$T$23)</f>
        <v/>
      </c>
      <c r="R42" s="59">
        <f>IF('[19]سجل المستخلصات'!$V$23="","",'[19]سجل المستخلصات'!$V$23)</f>
        <v/>
      </c>
      <c r="S42" s="59">
        <f>IF('[19]سجل المستخلصات'!$W$23="","",'[19]سجل المستخلصات'!$W$23)</f>
        <v/>
      </c>
      <c r="T42" s="61">
        <f>IF('[19]سجل المستخلصات'!$X$23="","",'[19]سجل المستخلصات'!$X$23)</f>
        <v/>
      </c>
      <c r="U42" s="61">
        <f>IF('[19]سجل المستخلصات'!$Z$23="","",'[19]سجل المستخلصات'!$Z$23)</f>
        <v/>
      </c>
      <c r="V42" s="59">
        <f>IF('[19]سجل المستخلصات'!$AA$23="","",'[19]سجل المستخلصات'!$AA$23)</f>
        <v/>
      </c>
      <c r="W42" s="59">
        <f>IF('[19]سجل المستخلصات'!$AC$23="","",'[19]سجل المستخلصات'!$AC$23)</f>
        <v/>
      </c>
      <c r="X42" s="62">
        <f>IF('[19]سجل المستخلصات'!$AD$23="","",'[19]سجل المستخلصات'!$AD$23)</f>
        <v/>
      </c>
      <c r="Y42" s="58">
        <f>IF('[19]سجل المستخلصات'!$AE$23="","",'[19]سجل المستخلصات'!$AE$23)</f>
        <v/>
      </c>
    </row>
    <row r="43">
      <c r="B43" s="56" t="n">
        <v>19</v>
      </c>
      <c r="C43" s="57">
        <f>IF('[19]سجل المستخلصات'!$C$24="","",'[19]سجل المستخلصات'!$C$24)</f>
        <v/>
      </c>
      <c r="D43" s="57">
        <f>IF('[19]سجل المستخلصات'!$E$24="","",'[19]سجل المستخلصات'!$E$24)</f>
        <v/>
      </c>
      <c r="E43" s="58">
        <f>IF('[19]سجل المستخلصات'!$F$24="","",'[19]سجل المستخلصات'!$F$24)</f>
        <v/>
      </c>
      <c r="F43" s="59">
        <f>IF('[19]سجل المستخلصات'!$H$24="","",'[19]سجل المستخلصات'!$H$24)</f>
        <v/>
      </c>
      <c r="G43" s="59">
        <f>IF('[19]سجل المستخلصات'!$G$24="","",'[19]سجل المستخلصات'!$G$24)</f>
        <v/>
      </c>
      <c r="H43" s="59">
        <f>IF('[19]سجل المستخلصات'!$I$24="","",'[19]سجل المستخلصات'!$I$24)</f>
        <v/>
      </c>
      <c r="I43" s="59">
        <f>IF('[19]سجل المستخلصات'!$J$24="","",'[19]سجل المستخلصات'!$J$24)</f>
        <v/>
      </c>
      <c r="J43" s="59">
        <f>IF('[19]سجل المستخلصات'!$K$24="","",'[19]سجل المستخلصات'!$K$24)</f>
        <v/>
      </c>
      <c r="K43" s="60">
        <f>IF('[19]سجل المستخلصات'!$L$24="","",'[19]سجل المستخلصات'!$L$24)</f>
        <v/>
      </c>
      <c r="L43" s="60">
        <f>IF('[19]سجل المستخلصات'!$M$24="","",'[19]سجل المستخلصات'!$M$24)</f>
        <v/>
      </c>
      <c r="M43" s="60">
        <f>IF('[19]سجل المستخلصات'!$N$24="","",'[19]سجل المستخلصات'!$N$24)</f>
        <v/>
      </c>
      <c r="N43" s="59">
        <f>IF('[19]سجل المستخلصات'!$O$24="","",'[19]سجل المستخلصات'!$O$24)</f>
        <v/>
      </c>
      <c r="O43" s="59">
        <f>IF('[19]سجل المستخلصات'!$R$24="","",'[19]سجل المستخلصات'!$R$24)</f>
        <v/>
      </c>
      <c r="P43" s="59">
        <f>IF('[19]سجل المستخلصات'!$S$24="","",'[19]سجل المستخلصات'!$S$24)</f>
        <v/>
      </c>
      <c r="Q43" s="59">
        <f>IF('[19]سجل المستخلصات'!$T$24="","",'[19]سجل المستخلصات'!$T$24)</f>
        <v/>
      </c>
      <c r="R43" s="59">
        <f>IF('[19]سجل المستخلصات'!$V$24="","",'[19]سجل المستخلصات'!$V$24)</f>
        <v/>
      </c>
      <c r="S43" s="59">
        <f>IF('[19]سجل المستخلصات'!$W$24="","",'[19]سجل المستخلصات'!$W$24)</f>
        <v/>
      </c>
      <c r="T43" s="61">
        <f>IF('[19]سجل المستخلصات'!$X$24="","",'[19]سجل المستخلصات'!$X$24)</f>
        <v/>
      </c>
      <c r="U43" s="61">
        <f>IF('[19]سجل المستخلصات'!$Z$24="","",'[19]سجل المستخلصات'!$Z$24)</f>
        <v/>
      </c>
      <c r="V43" s="59">
        <f>IF('[19]سجل المستخلصات'!$AA$24="","",'[19]سجل المستخلصات'!$AA$24)</f>
        <v/>
      </c>
      <c r="W43" s="59">
        <f>IF('[19]سجل المستخلصات'!$AC$24="","",'[19]سجل المستخلصات'!$AC$24)</f>
        <v/>
      </c>
      <c r="X43" s="62">
        <f>IF('[19]سجل المستخلصات'!$AD$24="","",'[19]سجل المستخلصات'!$AD$24)</f>
        <v/>
      </c>
      <c r="Y43" s="58">
        <f>IF('[19]سجل المستخلصات'!$AE$24="","",'[19]سجل المستخلصات'!$AE$24)</f>
        <v/>
      </c>
    </row>
    <row r="44">
      <c r="B44" s="56" t="n">
        <v>20</v>
      </c>
      <c r="C44" s="57">
        <f>IF('[19]سجل المستخلصات'!$C$25="","",'[19]سجل المستخلصات'!$C$25)</f>
        <v/>
      </c>
      <c r="D44" s="57">
        <f>IF('[19]سجل المستخلصات'!$E$25="","",'[19]سجل المستخلصات'!$E$25)</f>
        <v/>
      </c>
      <c r="E44" s="58">
        <f>IF('[19]سجل المستخلصات'!$F$25="","",'[19]سجل المستخلصات'!$F$25)</f>
        <v/>
      </c>
      <c r="F44" s="59">
        <f>IF('[19]سجل المستخلصات'!$H$25="","",'[19]سجل المستخلصات'!$H$25)</f>
        <v/>
      </c>
      <c r="G44" s="59">
        <f>IF('[19]سجل المستخلصات'!$G$25="","",'[19]سجل المستخلصات'!$G$25)</f>
        <v/>
      </c>
      <c r="H44" s="59">
        <f>IF('[19]سجل المستخلصات'!$I$25="","",'[19]سجل المستخلصات'!$I$25)</f>
        <v/>
      </c>
      <c r="I44" s="59">
        <f>IF('[19]سجل المستخلصات'!$J$25="","",'[19]سجل المستخلصات'!$J$25)</f>
        <v/>
      </c>
      <c r="J44" s="59">
        <f>IF('[19]سجل المستخلصات'!$K$25="","",'[19]سجل المستخلصات'!$K$25)</f>
        <v/>
      </c>
      <c r="K44" s="60">
        <f>IF('[19]سجل المستخلصات'!$L$25="","",'[19]سجل المستخلصات'!$L$25)</f>
        <v/>
      </c>
      <c r="L44" s="60">
        <f>IF('[19]سجل المستخلصات'!$M$25="","",'[19]سجل المستخلصات'!$M$25)</f>
        <v/>
      </c>
      <c r="M44" s="60">
        <f>IF('[19]سجل المستخلصات'!$N$25="","",'[19]سجل المستخلصات'!$N$25)</f>
        <v/>
      </c>
      <c r="N44" s="59">
        <f>IF('[19]سجل المستخلصات'!$O$25="","",'[19]سجل المستخلصات'!$O$25)</f>
        <v/>
      </c>
      <c r="O44" s="59">
        <f>IF('[19]سجل المستخلصات'!$R$25="","",'[19]سجل المستخلصات'!$R$25)</f>
        <v/>
      </c>
      <c r="P44" s="59">
        <f>IF('[19]سجل المستخلصات'!$S$25="","",'[19]سجل المستخلصات'!$S$25)</f>
        <v/>
      </c>
      <c r="Q44" s="59">
        <f>IF('[19]سجل المستخلصات'!$T$25="","",'[19]سجل المستخلصات'!$T$25)</f>
        <v/>
      </c>
      <c r="R44" s="59">
        <f>IF('[19]سجل المستخلصات'!$V$25="","",'[19]سجل المستخلصات'!$V$25)</f>
        <v/>
      </c>
      <c r="S44" s="59">
        <f>IF('[19]سجل المستخلصات'!$W$25="","",'[19]سجل المستخلصات'!$W$25)</f>
        <v/>
      </c>
      <c r="T44" s="61">
        <f>IF('[19]سجل المستخلصات'!$X$25="","",'[19]سجل المستخلصات'!$X$25)</f>
        <v/>
      </c>
      <c r="U44" s="61">
        <f>IF('[19]سجل المستخلصات'!$Z$25="","",'[19]سجل المستخلصات'!$Z$25)</f>
        <v/>
      </c>
      <c r="V44" s="59">
        <f>IF('[19]سجل المستخلصات'!$AA$25="","",'[19]سجل المستخلصات'!$AA$25)</f>
        <v/>
      </c>
      <c r="W44" s="59">
        <f>IF('[19]سجل المستخلصات'!$AC$25="","",'[19]سجل المستخلصات'!$AC$25)</f>
        <v/>
      </c>
      <c r="X44" s="62">
        <f>IF('[19]سجل المستخلصات'!$AD$25="","",'[19]سجل المستخلصات'!$AD$25)</f>
        <v/>
      </c>
      <c r="Y44" s="58">
        <f>IF('[19]سجل المستخلصات'!$AE$25="","",'[19]سجل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IF('[19]سجل المستخلصات'!$B$32="","",'[19]سجل المستخلصات'!$B$32)</f>
        <v/>
      </c>
      <c r="C50" s="69" t="n"/>
      <c r="D50" s="69" t="n"/>
      <c r="E50" s="59">
        <f>N('[19]سجل المستخلصات'!$E$32)</f>
        <v/>
      </c>
      <c r="F50" s="59">
        <f>N('[19]سجل المستخلصات'!$F$32)</f>
        <v/>
      </c>
      <c r="G50" s="70">
        <f>IF(E50&gt;0,F50/E50,0)</f>
        <v/>
      </c>
    </row>
    <row r="51">
      <c r="B51" s="69">
        <f>IF('[19]سجل المستخلصات'!$B$33="","",'[19]سجل المستخلصات'!$B$33)</f>
        <v/>
      </c>
      <c r="C51" s="69" t="n"/>
      <c r="D51" s="69" t="n"/>
      <c r="E51" s="59">
        <f>N('[19]سجل المستخلصات'!$E$33)</f>
        <v/>
      </c>
      <c r="F51" s="59">
        <f>N('[19]سجل المستخلصات'!$F$33)</f>
        <v/>
      </c>
      <c r="G51" s="70">
        <f>IF(E51&gt;0,F51/E51,0)</f>
        <v/>
      </c>
    </row>
    <row r="52">
      <c r="B52" s="69">
        <f>IF('[19]سجل المستخلصات'!$B$34="","",'[19]سجل المستخلصات'!$B$34)</f>
        <v/>
      </c>
      <c r="C52" s="69" t="n"/>
      <c r="D52" s="69" t="n"/>
      <c r="E52" s="59">
        <f>N('[19]سجل المستخلصات'!$E$34)</f>
        <v/>
      </c>
      <c r="F52" s="59">
        <f>N('[19]سجل المستخلصات'!$F$34)</f>
        <v/>
      </c>
      <c r="G52" s="70">
        <f>IF(E52&gt;0,F52/E52,0)</f>
        <v/>
      </c>
    </row>
    <row r="53">
      <c r="B53" s="69">
        <f>IF('[19]سجل المستخلصات'!$B$35="","",'[19]سجل المستخلصات'!$B$35)</f>
        <v/>
      </c>
      <c r="C53" s="69" t="n"/>
      <c r="D53" s="69" t="n"/>
      <c r="E53" s="59">
        <f>N('[19]سجل المستخلصات'!$E$35)</f>
        <v/>
      </c>
      <c r="F53" s="59">
        <f>N('[19]سجل المستخلصات'!$F$35)</f>
        <v/>
      </c>
      <c r="G53" s="70">
        <f>IF(E53&gt;0,F53/E53,0)</f>
        <v/>
      </c>
    </row>
    <row r="54">
      <c r="B54" s="69">
        <f>IF('[19]سجل المستخلصات'!$B$36="","",'[19]سجل المستخلصات'!$B$36)</f>
        <v/>
      </c>
      <c r="C54" s="69" t="n"/>
      <c r="D54" s="69" t="n"/>
      <c r="E54" s="59">
        <f>N('[19]سجل المستخلصات'!$E$36)</f>
        <v/>
      </c>
      <c r="F54" s="59">
        <f>N('[19]سجل المستخلصات'!$F$36)</f>
        <v/>
      </c>
      <c r="G54" s="70">
        <f>IF(E54&gt;0,F54/E54,0)</f>
        <v/>
      </c>
    </row>
    <row r="55">
      <c r="B55" s="69">
        <f>IF('[19]سجل المستخلصات'!$B$37="","",'[19]سجل المستخلصات'!$B$37)</f>
        <v/>
      </c>
      <c r="C55" s="69" t="n"/>
      <c r="D55" s="69" t="n"/>
      <c r="E55" s="59">
        <f>N('[19]سجل المستخلصات'!$E$37)</f>
        <v/>
      </c>
      <c r="F55" s="59">
        <f>N('[19]سجل المستخلصات'!$F$37)</f>
        <v/>
      </c>
      <c r="G55" s="70">
        <f>IF(E55&gt;0,F55/E55,0)</f>
        <v/>
      </c>
    </row>
    <row r="56">
      <c r="B56" s="69">
        <f>IF('[19]سجل المستخلصات'!$B$38="","",'[19]سجل المستخلصات'!$B$38)</f>
        <v/>
      </c>
      <c r="C56" s="69" t="n"/>
      <c r="D56" s="69" t="n"/>
      <c r="E56" s="59">
        <f>N('[19]سجل المستخلصات'!$E$38)</f>
        <v/>
      </c>
      <c r="F56" s="59">
        <f>N('[19]سجل المستخلصات'!$F$38)</f>
        <v/>
      </c>
      <c r="G56" s="70">
        <f>IF(E56&gt;0,F56/E56,0)</f>
        <v/>
      </c>
    </row>
    <row r="57">
      <c r="B57" s="69">
        <f>IF('[19]سجل المستخلصات'!$B$39="","",'[19]سجل المستخلصات'!$B$39)</f>
        <v/>
      </c>
      <c r="C57" s="69" t="n"/>
      <c r="D57" s="69" t="n"/>
      <c r="E57" s="59">
        <f>N('[19]سجل المستخلصات'!$E$39)</f>
        <v/>
      </c>
      <c r="F57" s="59">
        <f>N('[19]سجل المستخلصات'!$F$39)</f>
        <v/>
      </c>
      <c r="G57" s="70">
        <f>IF(E57&gt;0,F57/E57,0)</f>
        <v/>
      </c>
    </row>
    <row r="58">
      <c r="B58" s="69">
        <f>IF('[19]سجل المستخلصات'!$B$40="","",'[19]سجل المستخلصات'!$B$40)</f>
        <v/>
      </c>
      <c r="C58" s="69" t="n"/>
      <c r="D58" s="69" t="n"/>
      <c r="E58" s="59">
        <f>N('[19]سجل المستخلصات'!$E$40)</f>
        <v/>
      </c>
      <c r="F58" s="59">
        <f>N('[19]سجل المستخلصات'!$F$40)</f>
        <v/>
      </c>
      <c r="G58" s="70">
        <f>IF(E58&gt;0,F58/E58,0)</f>
        <v/>
      </c>
    </row>
    <row r="59">
      <c r="B59" s="69">
        <f>IF('[19]سجل المستخلصات'!$B$41="","",'[19]سجل المستخلصات'!$B$41)</f>
        <v/>
      </c>
      <c r="C59" s="69" t="n"/>
      <c r="D59" s="69" t="n"/>
      <c r="E59" s="59">
        <f>N('[19]سجل المستخلصات'!$E$41)</f>
        <v/>
      </c>
      <c r="F59" s="59">
        <f>N('[19]سجل المستخلصات'!$F$41)</f>
        <v/>
      </c>
      <c r="G59" s="70">
        <f>IF(E59&gt;0,F59/E59,0)</f>
        <v/>
      </c>
    </row>
    <row r="60">
      <c r="B60" s="69">
        <f>IF('[19]سجل المستخلصات'!$B$42="","",'[19]سجل المستخلصات'!$B$42)</f>
        <v/>
      </c>
      <c r="C60" s="69" t="n"/>
      <c r="D60" s="69" t="n"/>
      <c r="E60" s="59">
        <f>N('[19]سجل المستخلصات'!$E$42)</f>
        <v/>
      </c>
      <c r="F60" s="59">
        <f>N('[19]سجل المستخلصات'!$F$42)</f>
        <v/>
      </c>
      <c r="G60" s="70">
        <f>IF(E60&gt;0,F60/E60,0)</f>
        <v/>
      </c>
    </row>
    <row r="61">
      <c r="B61" s="69">
        <f>IF('[19]سجل المستخلصات'!$B$43="","",'[19]سجل المستخلصات'!$B$43)</f>
        <v/>
      </c>
      <c r="C61" s="69" t="n"/>
      <c r="D61" s="69" t="n"/>
      <c r="E61" s="59">
        <f>N('[19]سجل المستخلصات'!$E$43)</f>
        <v/>
      </c>
      <c r="F61" s="59">
        <f>N('[19]سجل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18'!A1" display="◄ المشروع السابق"/>
    <hyperlink ref="D3" location="'مشروع 20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"&amp;IF('[20]بيانات العقد'!$C$5="","مشروع رقم 20 — غير مُفعّل",'[20]بيانات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Project_20/IPC_Project_20.xlsx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IF('[20]بيانات العقد'!$C$5="","",'[20]بيانات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IF('[20]بيانات العقد'!$C$6="","",'[20]بيانات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IF('[20]بيانات العقد'!$C$7="","",'[20]بيانات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IF('[20]بيانات العقد'!$C$8="","",'[20]بيانات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N('[20]بيانات العقد'!$C$16)</f>
        <v/>
      </c>
    </row>
    <row r="6" ht="22" customHeight="1">
      <c r="B6" s="11" t="inlineStr">
        <is>
          <t>المقاول</t>
        </is>
      </c>
      <c r="C6" s="14">
        <f>IF('[20]بيانات العقد'!$C$9="","",'[20]بيانات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IF('[20]بيانات العقد'!$C$11="","",'[20]بيانات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IF('[20]بيانات العقد'!$C$13="","",'[20]بيانات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IF('[20]بيانات العقد'!$C$14="","",'[20]بيانات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N('[20]بيانات العقد'!$C$17)</f>
        <v/>
      </c>
    </row>
    <row r="7">
      <c r="AA7" s="15" t="inlineStr">
        <is>
          <t>قيمة العقد المعدلة</t>
        </is>
      </c>
      <c r="AB7" s="16">
        <f>N('[20]بيانات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N('[20]بيانات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N('[20]بيانات العقد'!$C$21)</f>
        <v/>
      </c>
    </row>
    <row r="10">
      <c r="AA10" s="15" t="inlineStr">
        <is>
          <t>نسبة ضمان الأعمال</t>
        </is>
      </c>
      <c r="AB10" s="23">
        <f>N('[20]بيانات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N('[20]بيانات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N('[20]بيانات العقد'!$C$31)</f>
        <v/>
      </c>
    </row>
    <row r="13">
      <c r="AA13" s="15" t="inlineStr">
        <is>
          <t>ضريبة الاستقطاع (غير المقيم)</t>
        </is>
      </c>
      <c r="AB13" s="23">
        <f>N('[20]بيانات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IF('[20]بيانات العقد'!$C$11="","",'[20]بيانات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IF('[20]بيانات العقد'!$C$13="","",'[20]بيانات العقد'!$C$13)</f>
        <v/>
      </c>
    </row>
    <row r="16">
      <c r="AA16" s="15" t="inlineStr">
        <is>
          <t>المدة (شهر)</t>
        </is>
      </c>
      <c r="AB16" s="43">
        <f>IF('[20]بيانات العقد'!$C$12="","",'[20]بيانات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IF('[20]بيانات العقد'!$C$36="","",'[20]بيانات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IF('[20]بيانات العقد'!$C$37="","",'[20]بيانات العقد'!$C$37)</f>
        <v/>
      </c>
    </row>
    <row r="19">
      <c r="AA19" s="15" t="inlineStr">
        <is>
          <t>الرقم الضريبي لصاحب العمل</t>
        </is>
      </c>
      <c r="AB19" s="48">
        <f>IF('[20]بيانات العقد'!$C$39="","",'[20]بيانات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IF('[20]بيانات العقد'!$C$42="","",'[20]بيانات العقد'!$C$42)</f>
        <v/>
      </c>
    </row>
    <row r="21" ht="32" customHeight="1">
      <c r="B21" s="50">
        <f>N('[20]الموازنة والتكاليف'!$D$66)</f>
        <v/>
      </c>
      <c r="C21" s="50" t="n"/>
      <c r="D21" s="50" t="n"/>
      <c r="E21" s="50" t="n"/>
      <c r="F21" s="50">
        <f>N('[20]الموازنة والتكاليف'!$D$70)</f>
        <v/>
      </c>
      <c r="G21" s="50" t="n"/>
      <c r="H21" s="50" t="n"/>
      <c r="I21" s="50" t="n"/>
      <c r="J21" s="50">
        <f>N('[20]الموازنة والتكاليف'!$D$72)</f>
        <v/>
      </c>
      <c r="K21" s="50" t="n"/>
      <c r="L21" s="50" t="n"/>
      <c r="M21" s="50" t="n"/>
      <c r="N21" s="51">
        <f>N('[20]الموازنة والتكاليف'!$D$73)</f>
        <v/>
      </c>
      <c r="O21" s="51" t="n"/>
      <c r="P21" s="51" t="n"/>
      <c r="Q21" s="51" t="n"/>
      <c r="R21" s="52">
        <f>N('[20]الموازنة والتكاليف'!$D$74)</f>
        <v/>
      </c>
      <c r="S21" s="52" t="n"/>
      <c r="T21" s="52" t="n"/>
      <c r="U21" s="52" t="n"/>
      <c r="V21" s="50">
        <f>N('[20]الموازنة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IF('[20]بيانات العقد'!$C$43="","",'[20]بيانات العقد'!$C$43)</f>
        <v/>
      </c>
    </row>
    <row r="22">
      <c r="AA22" s="15" t="inlineStr">
        <is>
          <t>حالة غرامات التأخير</t>
        </is>
      </c>
      <c r="AB22" s="45">
        <f>IF('[20]بيانات العقد'!$C$47="","",'[20]بيانات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IF('[20]سجل المستخلصات'!$C$6="","",'[20]سجل المستخلصات'!$C$6)</f>
        <v/>
      </c>
      <c r="D25" s="57">
        <f>IF('[20]سجل المستخلصات'!$E$6="","",'[20]سجل المستخلصات'!$E$6)</f>
        <v/>
      </c>
      <c r="E25" s="58">
        <f>IF('[20]سجل المستخلصات'!$F$6="","",'[20]سجل المستخلصات'!$F$6)</f>
        <v/>
      </c>
      <c r="F25" s="59">
        <f>IF('[20]سجل المستخلصات'!$H$6="","",'[20]سجل المستخلصات'!$H$6)</f>
        <v/>
      </c>
      <c r="G25" s="59">
        <f>IF('[20]سجل المستخلصات'!$G$6="","",'[20]سجل المستخلصات'!$G$6)</f>
        <v/>
      </c>
      <c r="H25" s="59">
        <f>IF('[20]سجل المستخلصات'!$I$6="","",'[20]سجل المستخلصات'!$I$6)</f>
        <v/>
      </c>
      <c r="I25" s="59">
        <f>IF('[20]سجل المستخلصات'!$J$6="","",'[20]سجل المستخلصات'!$J$6)</f>
        <v/>
      </c>
      <c r="J25" s="59">
        <f>IF('[20]سجل المستخلصات'!$K$6="","",'[20]سجل المستخلصات'!$K$6)</f>
        <v/>
      </c>
      <c r="K25" s="60">
        <f>IF('[20]سجل المستخلصات'!$L$6="","",'[20]سجل المستخلصات'!$L$6)</f>
        <v/>
      </c>
      <c r="L25" s="60">
        <f>IF('[20]سجل المستخلصات'!$M$6="","",'[20]سجل المستخلصات'!$M$6)</f>
        <v/>
      </c>
      <c r="M25" s="60">
        <f>IF('[20]سجل المستخلصات'!$N$6="","",'[20]سجل المستخلصات'!$N$6)</f>
        <v/>
      </c>
      <c r="N25" s="59">
        <f>IF('[20]سجل المستخلصات'!$O$6="","",'[20]سجل المستخلصات'!$O$6)</f>
        <v/>
      </c>
      <c r="O25" s="59">
        <f>IF('[20]سجل المستخلصات'!$R$6="","",'[20]سجل المستخلصات'!$R$6)</f>
        <v/>
      </c>
      <c r="P25" s="59">
        <f>IF('[20]سجل المستخلصات'!$S$6="","",'[20]سجل المستخلصات'!$S$6)</f>
        <v/>
      </c>
      <c r="Q25" s="59">
        <f>IF('[20]سجل المستخلصات'!$T$6="","",'[20]سجل المستخلصات'!$T$6)</f>
        <v/>
      </c>
      <c r="R25" s="59">
        <f>IF('[20]سجل المستخلصات'!$V$6="","",'[20]سجل المستخلصات'!$V$6)</f>
        <v/>
      </c>
      <c r="S25" s="59">
        <f>IF('[20]سجل المستخلصات'!$W$6="","",'[20]سجل المستخلصات'!$W$6)</f>
        <v/>
      </c>
      <c r="T25" s="61">
        <f>IF('[20]سجل المستخلصات'!$X$6="","",'[20]سجل المستخلصات'!$X$6)</f>
        <v/>
      </c>
      <c r="U25" s="61">
        <f>IF('[20]سجل المستخلصات'!$Z$6="","",'[20]سجل المستخلصات'!$Z$6)</f>
        <v/>
      </c>
      <c r="V25" s="59">
        <f>IF('[20]سجل المستخلصات'!$AA$6="","",'[20]سجل المستخلصات'!$AA$6)</f>
        <v/>
      </c>
      <c r="W25" s="59">
        <f>IF('[20]سجل المستخلصات'!$AC$6="","",'[20]سجل المستخلصات'!$AC$6)</f>
        <v/>
      </c>
      <c r="X25" s="62">
        <f>IF('[20]سجل المستخلصات'!$AD$6="","",'[20]سجل المستخلصات'!$AD$6)</f>
        <v/>
      </c>
      <c r="Y25" s="58">
        <f>IF('[20]سجل المستخلصات'!$AE$6="","",'[20]سجل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IF('[20]سجل المستخلصات'!$C$7="","",'[20]سجل المستخلصات'!$C$7)</f>
        <v/>
      </c>
      <c r="D26" s="57">
        <f>IF('[20]سجل المستخلصات'!$E$7="","",'[20]سجل المستخلصات'!$E$7)</f>
        <v/>
      </c>
      <c r="E26" s="58">
        <f>IF('[20]سجل المستخلصات'!$F$7="","",'[20]سجل المستخلصات'!$F$7)</f>
        <v/>
      </c>
      <c r="F26" s="59">
        <f>IF('[20]سجل المستخلصات'!$H$7="","",'[20]سجل المستخلصات'!$H$7)</f>
        <v/>
      </c>
      <c r="G26" s="59">
        <f>IF('[20]سجل المستخلصات'!$G$7="","",'[20]سجل المستخلصات'!$G$7)</f>
        <v/>
      </c>
      <c r="H26" s="59">
        <f>IF('[20]سجل المستخلصات'!$I$7="","",'[20]سجل المستخلصات'!$I$7)</f>
        <v/>
      </c>
      <c r="I26" s="59">
        <f>IF('[20]سجل المستخلصات'!$J$7="","",'[20]سجل المستخلصات'!$J$7)</f>
        <v/>
      </c>
      <c r="J26" s="59">
        <f>IF('[20]سجل المستخلصات'!$K$7="","",'[20]سجل المستخلصات'!$K$7)</f>
        <v/>
      </c>
      <c r="K26" s="60">
        <f>IF('[20]سجل المستخلصات'!$L$7="","",'[20]سجل المستخلصات'!$L$7)</f>
        <v/>
      </c>
      <c r="L26" s="60">
        <f>IF('[20]سجل المستخلصات'!$M$7="","",'[20]سجل المستخلصات'!$M$7)</f>
        <v/>
      </c>
      <c r="M26" s="60">
        <f>IF('[20]سجل المستخلصات'!$N$7="","",'[20]سجل المستخلصات'!$N$7)</f>
        <v/>
      </c>
      <c r="N26" s="59">
        <f>IF('[20]سجل المستخلصات'!$O$7="","",'[20]سجل المستخلصات'!$O$7)</f>
        <v/>
      </c>
      <c r="O26" s="59">
        <f>IF('[20]سجل المستخلصات'!$R$7="","",'[20]سجل المستخلصات'!$R$7)</f>
        <v/>
      </c>
      <c r="P26" s="59">
        <f>IF('[20]سجل المستخلصات'!$S$7="","",'[20]سجل المستخلصات'!$S$7)</f>
        <v/>
      </c>
      <c r="Q26" s="59">
        <f>IF('[20]سجل المستخلصات'!$T$7="","",'[20]سجل المستخلصات'!$T$7)</f>
        <v/>
      </c>
      <c r="R26" s="59">
        <f>IF('[20]سجل المستخلصات'!$V$7="","",'[20]سجل المستخلصات'!$V$7)</f>
        <v/>
      </c>
      <c r="S26" s="59">
        <f>IF('[20]سجل المستخلصات'!$W$7="","",'[20]سجل المستخلصات'!$W$7)</f>
        <v/>
      </c>
      <c r="T26" s="61">
        <f>IF('[20]سجل المستخلصات'!$X$7="","",'[20]سجل المستخلصات'!$X$7)</f>
        <v/>
      </c>
      <c r="U26" s="61">
        <f>IF('[20]سجل المستخلصات'!$Z$7="","",'[20]سجل المستخلصات'!$Z$7)</f>
        <v/>
      </c>
      <c r="V26" s="59">
        <f>IF('[20]سجل المستخلصات'!$AA$7="","",'[20]سجل المستخلصات'!$AA$7)</f>
        <v/>
      </c>
      <c r="W26" s="59">
        <f>IF('[20]سجل المستخلصات'!$AC$7="","",'[20]سجل المستخلصات'!$AC$7)</f>
        <v/>
      </c>
      <c r="X26" s="62">
        <f>IF('[20]سجل المستخلصات'!$AD$7="","",'[20]سجل المستخلصات'!$AD$7)</f>
        <v/>
      </c>
      <c r="Y26" s="58">
        <f>IF('[20]سجل المستخلصات'!$AE$7="","",'[20]سجل المستخلصات'!$AE$7)</f>
        <v/>
      </c>
      <c r="AA26" s="63" t="n"/>
      <c r="AB26" s="63" t="n"/>
    </row>
    <row r="27">
      <c r="B27" s="56" t="n">
        <v>3</v>
      </c>
      <c r="C27" s="57">
        <f>IF('[20]سجل المستخلصات'!$C$8="","",'[20]سجل المستخلصات'!$C$8)</f>
        <v/>
      </c>
      <c r="D27" s="57">
        <f>IF('[20]سجل المستخلصات'!$E$8="","",'[20]سجل المستخلصات'!$E$8)</f>
        <v/>
      </c>
      <c r="E27" s="58">
        <f>IF('[20]سجل المستخلصات'!$F$8="","",'[20]سجل المستخلصات'!$F$8)</f>
        <v/>
      </c>
      <c r="F27" s="59">
        <f>IF('[20]سجل المستخلصات'!$H$8="","",'[20]سجل المستخلصات'!$H$8)</f>
        <v/>
      </c>
      <c r="G27" s="59">
        <f>IF('[20]سجل المستخلصات'!$G$8="","",'[20]سجل المستخلصات'!$G$8)</f>
        <v/>
      </c>
      <c r="H27" s="59">
        <f>IF('[20]سجل المستخلصات'!$I$8="","",'[20]سجل المستخلصات'!$I$8)</f>
        <v/>
      </c>
      <c r="I27" s="59">
        <f>IF('[20]سجل المستخلصات'!$J$8="","",'[20]سجل المستخلصات'!$J$8)</f>
        <v/>
      </c>
      <c r="J27" s="59">
        <f>IF('[20]سجل المستخلصات'!$K$8="","",'[20]سجل المستخلصات'!$K$8)</f>
        <v/>
      </c>
      <c r="K27" s="60">
        <f>IF('[20]سجل المستخلصات'!$L$8="","",'[20]سجل المستخلصات'!$L$8)</f>
        <v/>
      </c>
      <c r="L27" s="60">
        <f>IF('[20]سجل المستخلصات'!$M$8="","",'[20]سجل المستخلصات'!$M$8)</f>
        <v/>
      </c>
      <c r="M27" s="60">
        <f>IF('[20]سجل المستخلصات'!$N$8="","",'[20]سجل المستخلصات'!$N$8)</f>
        <v/>
      </c>
      <c r="N27" s="59">
        <f>IF('[20]سجل المستخلصات'!$O$8="","",'[20]سجل المستخلصات'!$O$8)</f>
        <v/>
      </c>
      <c r="O27" s="59">
        <f>IF('[20]سجل المستخلصات'!$R$8="","",'[20]سجل المستخلصات'!$R$8)</f>
        <v/>
      </c>
      <c r="P27" s="59">
        <f>IF('[20]سجل المستخلصات'!$S$8="","",'[20]سجل المستخلصات'!$S$8)</f>
        <v/>
      </c>
      <c r="Q27" s="59">
        <f>IF('[20]سجل المستخلصات'!$T$8="","",'[20]سجل المستخلصات'!$T$8)</f>
        <v/>
      </c>
      <c r="R27" s="59">
        <f>IF('[20]سجل المستخلصات'!$V$8="","",'[20]سجل المستخلصات'!$V$8)</f>
        <v/>
      </c>
      <c r="S27" s="59">
        <f>IF('[20]سجل المستخلصات'!$W$8="","",'[20]سجل المستخلصات'!$W$8)</f>
        <v/>
      </c>
      <c r="T27" s="61">
        <f>IF('[20]سجل المستخلصات'!$X$8="","",'[20]سجل المستخلصات'!$X$8)</f>
        <v/>
      </c>
      <c r="U27" s="61">
        <f>IF('[20]سجل المستخلصات'!$Z$8="","",'[20]سجل المستخلصات'!$Z$8)</f>
        <v/>
      </c>
      <c r="V27" s="59">
        <f>IF('[20]سجل المستخلصات'!$AA$8="","",'[20]سجل المستخلصات'!$AA$8)</f>
        <v/>
      </c>
      <c r="W27" s="59">
        <f>IF('[20]سجل المستخلصات'!$AC$8="","",'[20]سجل المستخلصات'!$AC$8)</f>
        <v/>
      </c>
      <c r="X27" s="62">
        <f>IF('[20]سجل المستخلصات'!$AD$8="","",'[20]سجل المستخلصات'!$AD$8)</f>
        <v/>
      </c>
      <c r="Y27" s="58">
        <f>IF('[20]سجل المستخلصات'!$AE$8="","",'[20]سجل المستخلصات'!$AE$8)</f>
        <v/>
      </c>
      <c r="AA27" s="63" t="n"/>
      <c r="AB27" s="63" t="n"/>
    </row>
    <row r="28">
      <c r="B28" s="56" t="n">
        <v>4</v>
      </c>
      <c r="C28" s="57">
        <f>IF('[20]سجل المستخلصات'!$C$9="","",'[20]سجل المستخلصات'!$C$9)</f>
        <v/>
      </c>
      <c r="D28" s="57">
        <f>IF('[20]سجل المستخلصات'!$E$9="","",'[20]سجل المستخلصات'!$E$9)</f>
        <v/>
      </c>
      <c r="E28" s="58">
        <f>IF('[20]سجل المستخلصات'!$F$9="","",'[20]سجل المستخلصات'!$F$9)</f>
        <v/>
      </c>
      <c r="F28" s="59">
        <f>IF('[20]سجل المستخلصات'!$H$9="","",'[20]سجل المستخلصات'!$H$9)</f>
        <v/>
      </c>
      <c r="G28" s="59">
        <f>IF('[20]سجل المستخلصات'!$G$9="","",'[20]سجل المستخلصات'!$G$9)</f>
        <v/>
      </c>
      <c r="H28" s="59">
        <f>IF('[20]سجل المستخلصات'!$I$9="","",'[20]سجل المستخلصات'!$I$9)</f>
        <v/>
      </c>
      <c r="I28" s="59">
        <f>IF('[20]سجل المستخلصات'!$J$9="","",'[20]سجل المستخلصات'!$J$9)</f>
        <v/>
      </c>
      <c r="J28" s="59">
        <f>IF('[20]سجل المستخلصات'!$K$9="","",'[20]سجل المستخلصات'!$K$9)</f>
        <v/>
      </c>
      <c r="K28" s="60">
        <f>IF('[20]سجل المستخلصات'!$L$9="","",'[20]سجل المستخلصات'!$L$9)</f>
        <v/>
      </c>
      <c r="L28" s="60">
        <f>IF('[20]سجل المستخلصات'!$M$9="","",'[20]سجل المستخلصات'!$M$9)</f>
        <v/>
      </c>
      <c r="M28" s="60">
        <f>IF('[20]سجل المستخلصات'!$N$9="","",'[20]سجل المستخلصات'!$N$9)</f>
        <v/>
      </c>
      <c r="N28" s="59">
        <f>IF('[20]سجل المستخلصات'!$O$9="","",'[20]سجل المستخلصات'!$O$9)</f>
        <v/>
      </c>
      <c r="O28" s="59">
        <f>IF('[20]سجل المستخلصات'!$R$9="","",'[20]سجل المستخلصات'!$R$9)</f>
        <v/>
      </c>
      <c r="P28" s="59">
        <f>IF('[20]سجل المستخلصات'!$S$9="","",'[20]سجل المستخلصات'!$S$9)</f>
        <v/>
      </c>
      <c r="Q28" s="59">
        <f>IF('[20]سجل المستخلصات'!$T$9="","",'[20]سجل المستخلصات'!$T$9)</f>
        <v/>
      </c>
      <c r="R28" s="59">
        <f>IF('[20]سجل المستخلصات'!$V$9="","",'[20]سجل المستخلصات'!$V$9)</f>
        <v/>
      </c>
      <c r="S28" s="59">
        <f>IF('[20]سجل المستخلصات'!$W$9="","",'[20]سجل المستخلصات'!$W$9)</f>
        <v/>
      </c>
      <c r="T28" s="61">
        <f>IF('[20]سجل المستخلصات'!$X$9="","",'[20]سجل المستخلصات'!$X$9)</f>
        <v/>
      </c>
      <c r="U28" s="61">
        <f>IF('[20]سجل المستخلصات'!$Z$9="","",'[20]سجل المستخلصات'!$Z$9)</f>
        <v/>
      </c>
      <c r="V28" s="59">
        <f>IF('[20]سجل المستخلصات'!$AA$9="","",'[20]سجل المستخلصات'!$AA$9)</f>
        <v/>
      </c>
      <c r="W28" s="59">
        <f>IF('[20]سجل المستخلصات'!$AC$9="","",'[20]سجل المستخلصات'!$AC$9)</f>
        <v/>
      </c>
      <c r="X28" s="62">
        <f>IF('[20]سجل المستخلصات'!$AD$9="","",'[20]سجل المستخلصات'!$AD$9)</f>
        <v/>
      </c>
      <c r="Y28" s="58">
        <f>IF('[20]سجل المستخلصات'!$AE$9="","",'[20]سجل المستخلصات'!$AE$9)</f>
        <v/>
      </c>
      <c r="AA28" s="63" t="n"/>
      <c r="AB28" s="63" t="n"/>
    </row>
    <row r="29">
      <c r="B29" s="56" t="n">
        <v>5</v>
      </c>
      <c r="C29" s="57">
        <f>IF('[20]سجل المستخلصات'!$C$10="","",'[20]سجل المستخلصات'!$C$10)</f>
        <v/>
      </c>
      <c r="D29" s="57">
        <f>IF('[20]سجل المستخلصات'!$E$10="","",'[20]سجل المستخلصات'!$E$10)</f>
        <v/>
      </c>
      <c r="E29" s="58">
        <f>IF('[20]سجل المستخلصات'!$F$10="","",'[20]سجل المستخلصات'!$F$10)</f>
        <v/>
      </c>
      <c r="F29" s="59">
        <f>IF('[20]سجل المستخلصات'!$H$10="","",'[20]سجل المستخلصات'!$H$10)</f>
        <v/>
      </c>
      <c r="G29" s="59">
        <f>IF('[20]سجل المستخلصات'!$G$10="","",'[20]سجل المستخلصات'!$G$10)</f>
        <v/>
      </c>
      <c r="H29" s="59">
        <f>IF('[20]سجل المستخلصات'!$I$10="","",'[20]سجل المستخلصات'!$I$10)</f>
        <v/>
      </c>
      <c r="I29" s="59">
        <f>IF('[20]سجل المستخلصات'!$J$10="","",'[20]سجل المستخلصات'!$J$10)</f>
        <v/>
      </c>
      <c r="J29" s="59">
        <f>IF('[20]سجل المستخلصات'!$K$10="","",'[20]سجل المستخلصات'!$K$10)</f>
        <v/>
      </c>
      <c r="K29" s="60">
        <f>IF('[20]سجل المستخلصات'!$L$10="","",'[20]سجل المستخلصات'!$L$10)</f>
        <v/>
      </c>
      <c r="L29" s="60">
        <f>IF('[20]سجل المستخلصات'!$M$10="","",'[20]سجل المستخلصات'!$M$10)</f>
        <v/>
      </c>
      <c r="M29" s="60">
        <f>IF('[20]سجل المستخلصات'!$N$10="","",'[20]سجل المستخلصات'!$N$10)</f>
        <v/>
      </c>
      <c r="N29" s="59">
        <f>IF('[20]سجل المستخلصات'!$O$10="","",'[20]سجل المستخلصات'!$O$10)</f>
        <v/>
      </c>
      <c r="O29" s="59">
        <f>IF('[20]سجل المستخلصات'!$R$10="","",'[20]سجل المستخلصات'!$R$10)</f>
        <v/>
      </c>
      <c r="P29" s="59">
        <f>IF('[20]سجل المستخلصات'!$S$10="","",'[20]سجل المستخلصات'!$S$10)</f>
        <v/>
      </c>
      <c r="Q29" s="59">
        <f>IF('[20]سجل المستخلصات'!$T$10="","",'[20]سجل المستخلصات'!$T$10)</f>
        <v/>
      </c>
      <c r="R29" s="59">
        <f>IF('[20]سجل المستخلصات'!$V$10="","",'[20]سجل المستخلصات'!$V$10)</f>
        <v/>
      </c>
      <c r="S29" s="59">
        <f>IF('[20]سجل المستخلصات'!$W$10="","",'[20]سجل المستخلصات'!$W$10)</f>
        <v/>
      </c>
      <c r="T29" s="61">
        <f>IF('[20]سجل المستخلصات'!$X$10="","",'[20]سجل المستخلصات'!$X$10)</f>
        <v/>
      </c>
      <c r="U29" s="61">
        <f>IF('[20]سجل المستخلصات'!$Z$10="","",'[20]سجل المستخلصات'!$Z$10)</f>
        <v/>
      </c>
      <c r="V29" s="59">
        <f>IF('[20]سجل المستخلصات'!$AA$10="","",'[20]سجل المستخلصات'!$AA$10)</f>
        <v/>
      </c>
      <c r="W29" s="59">
        <f>IF('[20]سجل المستخلصات'!$AC$10="","",'[20]سجل المستخلصات'!$AC$10)</f>
        <v/>
      </c>
      <c r="X29" s="62">
        <f>IF('[20]سجل المستخلصات'!$AD$10="","",'[20]سجل المستخلصات'!$AD$10)</f>
        <v/>
      </c>
      <c r="Y29" s="58">
        <f>IF('[20]سجل المستخلصات'!$AE$10="","",'[20]سجل المستخلصات'!$AE$10)</f>
        <v/>
      </c>
    </row>
    <row r="30">
      <c r="B30" s="56" t="n">
        <v>6</v>
      </c>
      <c r="C30" s="57">
        <f>IF('[20]سجل المستخلصات'!$C$11="","",'[20]سجل المستخلصات'!$C$11)</f>
        <v/>
      </c>
      <c r="D30" s="57">
        <f>IF('[20]سجل المستخلصات'!$E$11="","",'[20]سجل المستخلصات'!$E$11)</f>
        <v/>
      </c>
      <c r="E30" s="58">
        <f>IF('[20]سجل المستخلصات'!$F$11="","",'[20]سجل المستخلصات'!$F$11)</f>
        <v/>
      </c>
      <c r="F30" s="59">
        <f>IF('[20]سجل المستخلصات'!$H$11="","",'[20]سجل المستخلصات'!$H$11)</f>
        <v/>
      </c>
      <c r="G30" s="59">
        <f>IF('[20]سجل المستخلصات'!$G$11="","",'[20]سجل المستخلصات'!$G$11)</f>
        <v/>
      </c>
      <c r="H30" s="59">
        <f>IF('[20]سجل المستخلصات'!$I$11="","",'[20]سجل المستخلصات'!$I$11)</f>
        <v/>
      </c>
      <c r="I30" s="59">
        <f>IF('[20]سجل المستخلصات'!$J$11="","",'[20]سجل المستخلصات'!$J$11)</f>
        <v/>
      </c>
      <c r="J30" s="59">
        <f>IF('[20]سجل المستخلصات'!$K$11="","",'[20]سجل المستخلصات'!$K$11)</f>
        <v/>
      </c>
      <c r="K30" s="60">
        <f>IF('[20]سجل المستخلصات'!$L$11="","",'[20]سجل المستخلصات'!$L$11)</f>
        <v/>
      </c>
      <c r="L30" s="60">
        <f>IF('[20]سجل المستخلصات'!$M$11="","",'[20]سجل المستخلصات'!$M$11)</f>
        <v/>
      </c>
      <c r="M30" s="60">
        <f>IF('[20]سجل المستخلصات'!$N$11="","",'[20]سجل المستخلصات'!$N$11)</f>
        <v/>
      </c>
      <c r="N30" s="59">
        <f>IF('[20]سجل المستخلصات'!$O$11="","",'[20]سجل المستخلصات'!$O$11)</f>
        <v/>
      </c>
      <c r="O30" s="59">
        <f>IF('[20]سجل المستخلصات'!$R$11="","",'[20]سجل المستخلصات'!$R$11)</f>
        <v/>
      </c>
      <c r="P30" s="59">
        <f>IF('[20]سجل المستخلصات'!$S$11="","",'[20]سجل المستخلصات'!$S$11)</f>
        <v/>
      </c>
      <c r="Q30" s="59">
        <f>IF('[20]سجل المستخلصات'!$T$11="","",'[20]سجل المستخلصات'!$T$11)</f>
        <v/>
      </c>
      <c r="R30" s="59">
        <f>IF('[20]سجل المستخلصات'!$V$11="","",'[20]سجل المستخلصات'!$V$11)</f>
        <v/>
      </c>
      <c r="S30" s="59">
        <f>IF('[20]سجل المستخلصات'!$W$11="","",'[20]سجل المستخلصات'!$W$11)</f>
        <v/>
      </c>
      <c r="T30" s="61">
        <f>IF('[20]سجل المستخلصات'!$X$11="","",'[20]سجل المستخلصات'!$X$11)</f>
        <v/>
      </c>
      <c r="U30" s="61">
        <f>IF('[20]سجل المستخلصات'!$Z$11="","",'[20]سجل المستخلصات'!$Z$11)</f>
        <v/>
      </c>
      <c r="V30" s="59">
        <f>IF('[20]سجل المستخلصات'!$AA$11="","",'[20]سجل المستخلصات'!$AA$11)</f>
        <v/>
      </c>
      <c r="W30" s="59">
        <f>IF('[20]سجل المستخلصات'!$AC$11="","",'[20]سجل المستخلصات'!$AC$11)</f>
        <v/>
      </c>
      <c r="X30" s="62">
        <f>IF('[20]سجل المستخلصات'!$AD$11="","",'[20]سجل المستخلصات'!$AD$11)</f>
        <v/>
      </c>
      <c r="Y30" s="58">
        <f>IF('[20]سجل المستخلصات'!$AE$11="","",'[20]سجل المستخلصات'!$AE$11)</f>
        <v/>
      </c>
    </row>
    <row r="31">
      <c r="B31" s="56" t="n">
        <v>7</v>
      </c>
      <c r="C31" s="57">
        <f>IF('[20]سجل المستخلصات'!$C$12="","",'[20]سجل المستخلصات'!$C$12)</f>
        <v/>
      </c>
      <c r="D31" s="57">
        <f>IF('[20]سجل المستخلصات'!$E$12="","",'[20]سجل المستخلصات'!$E$12)</f>
        <v/>
      </c>
      <c r="E31" s="58">
        <f>IF('[20]سجل المستخلصات'!$F$12="","",'[20]سجل المستخلصات'!$F$12)</f>
        <v/>
      </c>
      <c r="F31" s="59">
        <f>IF('[20]سجل المستخلصات'!$H$12="","",'[20]سجل المستخلصات'!$H$12)</f>
        <v/>
      </c>
      <c r="G31" s="59">
        <f>IF('[20]سجل المستخلصات'!$G$12="","",'[20]سجل المستخلصات'!$G$12)</f>
        <v/>
      </c>
      <c r="H31" s="59">
        <f>IF('[20]سجل المستخلصات'!$I$12="","",'[20]سجل المستخلصات'!$I$12)</f>
        <v/>
      </c>
      <c r="I31" s="59">
        <f>IF('[20]سجل المستخلصات'!$J$12="","",'[20]سجل المستخلصات'!$J$12)</f>
        <v/>
      </c>
      <c r="J31" s="59">
        <f>IF('[20]سجل المستخلصات'!$K$12="","",'[20]سجل المستخلصات'!$K$12)</f>
        <v/>
      </c>
      <c r="K31" s="60">
        <f>IF('[20]سجل المستخلصات'!$L$12="","",'[20]سجل المستخلصات'!$L$12)</f>
        <v/>
      </c>
      <c r="L31" s="60">
        <f>IF('[20]سجل المستخلصات'!$M$12="","",'[20]سجل المستخلصات'!$M$12)</f>
        <v/>
      </c>
      <c r="M31" s="60">
        <f>IF('[20]سجل المستخلصات'!$N$12="","",'[20]سجل المستخلصات'!$N$12)</f>
        <v/>
      </c>
      <c r="N31" s="59">
        <f>IF('[20]سجل المستخلصات'!$O$12="","",'[20]سجل المستخلصات'!$O$12)</f>
        <v/>
      </c>
      <c r="O31" s="59">
        <f>IF('[20]سجل المستخلصات'!$R$12="","",'[20]سجل المستخلصات'!$R$12)</f>
        <v/>
      </c>
      <c r="P31" s="59">
        <f>IF('[20]سجل المستخلصات'!$S$12="","",'[20]سجل المستخلصات'!$S$12)</f>
        <v/>
      </c>
      <c r="Q31" s="59">
        <f>IF('[20]سجل المستخلصات'!$T$12="","",'[20]سجل المستخلصات'!$T$12)</f>
        <v/>
      </c>
      <c r="R31" s="59">
        <f>IF('[20]سجل المستخلصات'!$V$12="","",'[20]سجل المستخلصات'!$V$12)</f>
        <v/>
      </c>
      <c r="S31" s="59">
        <f>IF('[20]سجل المستخلصات'!$W$12="","",'[20]سجل المستخلصات'!$W$12)</f>
        <v/>
      </c>
      <c r="T31" s="61">
        <f>IF('[20]سجل المستخلصات'!$X$12="","",'[20]سجل المستخلصات'!$X$12)</f>
        <v/>
      </c>
      <c r="U31" s="61">
        <f>IF('[20]سجل المستخلصات'!$Z$12="","",'[20]سجل المستخلصات'!$Z$12)</f>
        <v/>
      </c>
      <c r="V31" s="59">
        <f>IF('[20]سجل المستخلصات'!$AA$12="","",'[20]سجل المستخلصات'!$AA$12)</f>
        <v/>
      </c>
      <c r="W31" s="59">
        <f>IF('[20]سجل المستخلصات'!$AC$12="","",'[20]سجل المستخلصات'!$AC$12)</f>
        <v/>
      </c>
      <c r="X31" s="62">
        <f>IF('[20]سجل المستخلصات'!$AD$12="","",'[20]سجل المستخلصات'!$AD$12)</f>
        <v/>
      </c>
      <c r="Y31" s="58">
        <f>IF('[20]سجل المستخلصات'!$AE$12="","",'[20]سجل المستخلصات'!$AE$12)</f>
        <v/>
      </c>
    </row>
    <row r="32">
      <c r="B32" s="56" t="n">
        <v>8</v>
      </c>
      <c r="C32" s="57">
        <f>IF('[20]سجل المستخلصات'!$C$13="","",'[20]سجل المستخلصات'!$C$13)</f>
        <v/>
      </c>
      <c r="D32" s="57">
        <f>IF('[20]سجل المستخلصات'!$E$13="","",'[20]سجل المستخلصات'!$E$13)</f>
        <v/>
      </c>
      <c r="E32" s="58">
        <f>IF('[20]سجل المستخلصات'!$F$13="","",'[20]سجل المستخلصات'!$F$13)</f>
        <v/>
      </c>
      <c r="F32" s="59">
        <f>IF('[20]سجل المستخلصات'!$H$13="","",'[20]سجل المستخلصات'!$H$13)</f>
        <v/>
      </c>
      <c r="G32" s="59">
        <f>IF('[20]سجل المستخلصات'!$G$13="","",'[20]سجل المستخلصات'!$G$13)</f>
        <v/>
      </c>
      <c r="H32" s="59">
        <f>IF('[20]سجل المستخلصات'!$I$13="","",'[20]سجل المستخلصات'!$I$13)</f>
        <v/>
      </c>
      <c r="I32" s="59">
        <f>IF('[20]سجل المستخلصات'!$J$13="","",'[20]سجل المستخلصات'!$J$13)</f>
        <v/>
      </c>
      <c r="J32" s="59">
        <f>IF('[20]سجل المستخلصات'!$K$13="","",'[20]سجل المستخلصات'!$K$13)</f>
        <v/>
      </c>
      <c r="K32" s="60">
        <f>IF('[20]سجل المستخلصات'!$L$13="","",'[20]سجل المستخلصات'!$L$13)</f>
        <v/>
      </c>
      <c r="L32" s="60">
        <f>IF('[20]سجل المستخلصات'!$M$13="","",'[20]سجل المستخلصات'!$M$13)</f>
        <v/>
      </c>
      <c r="M32" s="60">
        <f>IF('[20]سجل المستخلصات'!$N$13="","",'[20]سجل المستخلصات'!$N$13)</f>
        <v/>
      </c>
      <c r="N32" s="59">
        <f>IF('[20]سجل المستخلصات'!$O$13="","",'[20]سجل المستخلصات'!$O$13)</f>
        <v/>
      </c>
      <c r="O32" s="59">
        <f>IF('[20]سجل المستخلصات'!$R$13="","",'[20]سجل المستخلصات'!$R$13)</f>
        <v/>
      </c>
      <c r="P32" s="59">
        <f>IF('[20]سجل المستخلصات'!$S$13="","",'[20]سجل المستخلصات'!$S$13)</f>
        <v/>
      </c>
      <c r="Q32" s="59">
        <f>IF('[20]سجل المستخلصات'!$T$13="","",'[20]سجل المستخلصات'!$T$13)</f>
        <v/>
      </c>
      <c r="R32" s="59">
        <f>IF('[20]سجل المستخلصات'!$V$13="","",'[20]سجل المستخلصات'!$V$13)</f>
        <v/>
      </c>
      <c r="S32" s="59">
        <f>IF('[20]سجل المستخلصات'!$W$13="","",'[20]سجل المستخلصات'!$W$13)</f>
        <v/>
      </c>
      <c r="T32" s="61">
        <f>IF('[20]سجل المستخلصات'!$X$13="","",'[20]سجل المستخلصات'!$X$13)</f>
        <v/>
      </c>
      <c r="U32" s="61">
        <f>IF('[20]سجل المستخلصات'!$Z$13="","",'[20]سجل المستخلصات'!$Z$13)</f>
        <v/>
      </c>
      <c r="V32" s="59">
        <f>IF('[20]سجل المستخلصات'!$AA$13="","",'[20]سجل المستخلصات'!$AA$13)</f>
        <v/>
      </c>
      <c r="W32" s="59">
        <f>IF('[20]سجل المستخلصات'!$AC$13="","",'[20]سجل المستخلصات'!$AC$13)</f>
        <v/>
      </c>
      <c r="X32" s="62">
        <f>IF('[20]سجل المستخلصات'!$AD$13="","",'[20]سجل المستخلصات'!$AD$13)</f>
        <v/>
      </c>
      <c r="Y32" s="58">
        <f>IF('[20]سجل المستخلصات'!$AE$13="","",'[20]سجل المستخلصات'!$AE$13)</f>
        <v/>
      </c>
    </row>
    <row r="33">
      <c r="B33" s="56" t="n">
        <v>9</v>
      </c>
      <c r="C33" s="57">
        <f>IF('[20]سجل المستخلصات'!$C$14="","",'[20]سجل المستخلصات'!$C$14)</f>
        <v/>
      </c>
      <c r="D33" s="57">
        <f>IF('[20]سجل المستخلصات'!$E$14="","",'[20]سجل المستخلصات'!$E$14)</f>
        <v/>
      </c>
      <c r="E33" s="58">
        <f>IF('[20]سجل المستخلصات'!$F$14="","",'[20]سجل المستخلصات'!$F$14)</f>
        <v/>
      </c>
      <c r="F33" s="59">
        <f>IF('[20]سجل المستخلصات'!$H$14="","",'[20]سجل المستخلصات'!$H$14)</f>
        <v/>
      </c>
      <c r="G33" s="59">
        <f>IF('[20]سجل المستخلصات'!$G$14="","",'[20]سجل المستخلصات'!$G$14)</f>
        <v/>
      </c>
      <c r="H33" s="59">
        <f>IF('[20]سجل المستخلصات'!$I$14="","",'[20]سجل المستخلصات'!$I$14)</f>
        <v/>
      </c>
      <c r="I33" s="59">
        <f>IF('[20]سجل المستخلصات'!$J$14="","",'[20]سجل المستخلصات'!$J$14)</f>
        <v/>
      </c>
      <c r="J33" s="59">
        <f>IF('[20]سجل المستخلصات'!$K$14="","",'[20]سجل المستخلصات'!$K$14)</f>
        <v/>
      </c>
      <c r="K33" s="60">
        <f>IF('[20]سجل المستخلصات'!$L$14="","",'[20]سجل المستخلصات'!$L$14)</f>
        <v/>
      </c>
      <c r="L33" s="60">
        <f>IF('[20]سجل المستخلصات'!$M$14="","",'[20]سجل المستخلصات'!$M$14)</f>
        <v/>
      </c>
      <c r="M33" s="60">
        <f>IF('[20]سجل المستخلصات'!$N$14="","",'[20]سجل المستخلصات'!$N$14)</f>
        <v/>
      </c>
      <c r="N33" s="59">
        <f>IF('[20]سجل المستخلصات'!$O$14="","",'[20]سجل المستخلصات'!$O$14)</f>
        <v/>
      </c>
      <c r="O33" s="59">
        <f>IF('[20]سجل المستخلصات'!$R$14="","",'[20]سجل المستخلصات'!$R$14)</f>
        <v/>
      </c>
      <c r="P33" s="59">
        <f>IF('[20]سجل المستخلصات'!$S$14="","",'[20]سجل المستخلصات'!$S$14)</f>
        <v/>
      </c>
      <c r="Q33" s="59">
        <f>IF('[20]سجل المستخلصات'!$T$14="","",'[20]سجل المستخلصات'!$T$14)</f>
        <v/>
      </c>
      <c r="R33" s="59">
        <f>IF('[20]سجل المستخلصات'!$V$14="","",'[20]سجل المستخلصات'!$V$14)</f>
        <v/>
      </c>
      <c r="S33" s="59">
        <f>IF('[20]سجل المستخلصات'!$W$14="","",'[20]سجل المستخلصات'!$W$14)</f>
        <v/>
      </c>
      <c r="T33" s="61">
        <f>IF('[20]سجل المستخلصات'!$X$14="","",'[20]سجل المستخلصات'!$X$14)</f>
        <v/>
      </c>
      <c r="U33" s="61">
        <f>IF('[20]سجل المستخلصات'!$Z$14="","",'[20]سجل المستخلصات'!$Z$14)</f>
        <v/>
      </c>
      <c r="V33" s="59">
        <f>IF('[20]سجل المستخلصات'!$AA$14="","",'[20]سجل المستخلصات'!$AA$14)</f>
        <v/>
      </c>
      <c r="W33" s="59">
        <f>IF('[20]سجل المستخلصات'!$AC$14="","",'[20]سجل المستخلصات'!$AC$14)</f>
        <v/>
      </c>
      <c r="X33" s="62">
        <f>IF('[20]سجل المستخلصات'!$AD$14="","",'[20]سجل المستخلصات'!$AD$14)</f>
        <v/>
      </c>
      <c r="Y33" s="58">
        <f>IF('[20]سجل المستخلصات'!$AE$14="","",'[20]سجل المستخلصات'!$AE$14)</f>
        <v/>
      </c>
    </row>
    <row r="34">
      <c r="B34" s="56" t="n">
        <v>10</v>
      </c>
      <c r="C34" s="57">
        <f>IF('[20]سجل المستخلصات'!$C$15="","",'[20]سجل المستخلصات'!$C$15)</f>
        <v/>
      </c>
      <c r="D34" s="57">
        <f>IF('[20]سجل المستخلصات'!$E$15="","",'[20]سجل المستخلصات'!$E$15)</f>
        <v/>
      </c>
      <c r="E34" s="58">
        <f>IF('[20]سجل المستخلصات'!$F$15="","",'[20]سجل المستخلصات'!$F$15)</f>
        <v/>
      </c>
      <c r="F34" s="59">
        <f>IF('[20]سجل المستخلصات'!$H$15="","",'[20]سجل المستخلصات'!$H$15)</f>
        <v/>
      </c>
      <c r="G34" s="59">
        <f>IF('[20]سجل المستخلصات'!$G$15="","",'[20]سجل المستخلصات'!$G$15)</f>
        <v/>
      </c>
      <c r="H34" s="59">
        <f>IF('[20]سجل المستخلصات'!$I$15="","",'[20]سجل المستخلصات'!$I$15)</f>
        <v/>
      </c>
      <c r="I34" s="59">
        <f>IF('[20]سجل المستخلصات'!$J$15="","",'[20]سجل المستخلصات'!$J$15)</f>
        <v/>
      </c>
      <c r="J34" s="59">
        <f>IF('[20]سجل المستخلصات'!$K$15="","",'[20]سجل المستخلصات'!$K$15)</f>
        <v/>
      </c>
      <c r="K34" s="60">
        <f>IF('[20]سجل المستخلصات'!$L$15="","",'[20]سجل المستخلصات'!$L$15)</f>
        <v/>
      </c>
      <c r="L34" s="60">
        <f>IF('[20]سجل المستخلصات'!$M$15="","",'[20]سجل المستخلصات'!$M$15)</f>
        <v/>
      </c>
      <c r="M34" s="60">
        <f>IF('[20]سجل المستخلصات'!$N$15="","",'[20]سجل المستخلصات'!$N$15)</f>
        <v/>
      </c>
      <c r="N34" s="59">
        <f>IF('[20]سجل المستخلصات'!$O$15="","",'[20]سجل المستخلصات'!$O$15)</f>
        <v/>
      </c>
      <c r="O34" s="59">
        <f>IF('[20]سجل المستخلصات'!$R$15="","",'[20]سجل المستخلصات'!$R$15)</f>
        <v/>
      </c>
      <c r="P34" s="59">
        <f>IF('[20]سجل المستخلصات'!$S$15="","",'[20]سجل المستخلصات'!$S$15)</f>
        <v/>
      </c>
      <c r="Q34" s="59">
        <f>IF('[20]سجل المستخلصات'!$T$15="","",'[20]سجل المستخلصات'!$T$15)</f>
        <v/>
      </c>
      <c r="R34" s="59">
        <f>IF('[20]سجل المستخلصات'!$V$15="","",'[20]سجل المستخلصات'!$V$15)</f>
        <v/>
      </c>
      <c r="S34" s="59">
        <f>IF('[20]سجل المستخلصات'!$W$15="","",'[20]سجل المستخلصات'!$W$15)</f>
        <v/>
      </c>
      <c r="T34" s="61">
        <f>IF('[20]سجل المستخلصات'!$X$15="","",'[20]سجل المستخلصات'!$X$15)</f>
        <v/>
      </c>
      <c r="U34" s="61">
        <f>IF('[20]سجل المستخلصات'!$Z$15="","",'[20]سجل المستخلصات'!$Z$15)</f>
        <v/>
      </c>
      <c r="V34" s="59">
        <f>IF('[20]سجل المستخلصات'!$AA$15="","",'[20]سجل المستخلصات'!$AA$15)</f>
        <v/>
      </c>
      <c r="W34" s="59">
        <f>IF('[20]سجل المستخلصات'!$AC$15="","",'[20]سجل المستخلصات'!$AC$15)</f>
        <v/>
      </c>
      <c r="X34" s="62">
        <f>IF('[20]سجل المستخلصات'!$AD$15="","",'[20]سجل المستخلصات'!$AD$15)</f>
        <v/>
      </c>
      <c r="Y34" s="58">
        <f>IF('[20]سجل المستخلصات'!$AE$15="","",'[20]سجل المستخلصات'!$AE$15)</f>
        <v/>
      </c>
    </row>
    <row r="35">
      <c r="B35" s="56" t="n">
        <v>11</v>
      </c>
      <c r="C35" s="57">
        <f>IF('[20]سجل المستخلصات'!$C$16="","",'[20]سجل المستخلصات'!$C$16)</f>
        <v/>
      </c>
      <c r="D35" s="57">
        <f>IF('[20]سجل المستخلصات'!$E$16="","",'[20]سجل المستخلصات'!$E$16)</f>
        <v/>
      </c>
      <c r="E35" s="58">
        <f>IF('[20]سجل المستخلصات'!$F$16="","",'[20]سجل المستخلصات'!$F$16)</f>
        <v/>
      </c>
      <c r="F35" s="59">
        <f>IF('[20]سجل المستخلصات'!$H$16="","",'[20]سجل المستخلصات'!$H$16)</f>
        <v/>
      </c>
      <c r="G35" s="59">
        <f>IF('[20]سجل المستخلصات'!$G$16="","",'[20]سجل المستخلصات'!$G$16)</f>
        <v/>
      </c>
      <c r="H35" s="59">
        <f>IF('[20]سجل المستخلصات'!$I$16="","",'[20]سجل المستخلصات'!$I$16)</f>
        <v/>
      </c>
      <c r="I35" s="59">
        <f>IF('[20]سجل المستخلصات'!$J$16="","",'[20]سجل المستخلصات'!$J$16)</f>
        <v/>
      </c>
      <c r="J35" s="59">
        <f>IF('[20]سجل المستخلصات'!$K$16="","",'[20]سجل المستخلصات'!$K$16)</f>
        <v/>
      </c>
      <c r="K35" s="60">
        <f>IF('[20]سجل المستخلصات'!$L$16="","",'[20]سجل المستخلصات'!$L$16)</f>
        <v/>
      </c>
      <c r="L35" s="60">
        <f>IF('[20]سجل المستخلصات'!$M$16="","",'[20]سجل المستخلصات'!$M$16)</f>
        <v/>
      </c>
      <c r="M35" s="60">
        <f>IF('[20]سجل المستخلصات'!$N$16="","",'[20]سجل المستخلصات'!$N$16)</f>
        <v/>
      </c>
      <c r="N35" s="59">
        <f>IF('[20]سجل المستخلصات'!$O$16="","",'[20]سجل المستخلصات'!$O$16)</f>
        <v/>
      </c>
      <c r="O35" s="59">
        <f>IF('[20]سجل المستخلصات'!$R$16="","",'[20]سجل المستخلصات'!$R$16)</f>
        <v/>
      </c>
      <c r="P35" s="59">
        <f>IF('[20]سجل المستخلصات'!$S$16="","",'[20]سجل المستخلصات'!$S$16)</f>
        <v/>
      </c>
      <c r="Q35" s="59">
        <f>IF('[20]سجل المستخلصات'!$T$16="","",'[20]سجل المستخلصات'!$T$16)</f>
        <v/>
      </c>
      <c r="R35" s="59">
        <f>IF('[20]سجل المستخلصات'!$V$16="","",'[20]سجل المستخلصات'!$V$16)</f>
        <v/>
      </c>
      <c r="S35" s="59">
        <f>IF('[20]سجل المستخلصات'!$W$16="","",'[20]سجل المستخلصات'!$W$16)</f>
        <v/>
      </c>
      <c r="T35" s="61">
        <f>IF('[20]سجل المستخلصات'!$X$16="","",'[20]سجل المستخلصات'!$X$16)</f>
        <v/>
      </c>
      <c r="U35" s="61">
        <f>IF('[20]سجل المستخلصات'!$Z$16="","",'[20]سجل المستخلصات'!$Z$16)</f>
        <v/>
      </c>
      <c r="V35" s="59">
        <f>IF('[20]سجل المستخلصات'!$AA$16="","",'[20]سجل المستخلصات'!$AA$16)</f>
        <v/>
      </c>
      <c r="W35" s="59">
        <f>IF('[20]سجل المستخلصات'!$AC$16="","",'[20]سجل المستخلصات'!$AC$16)</f>
        <v/>
      </c>
      <c r="X35" s="62">
        <f>IF('[20]سجل المستخلصات'!$AD$16="","",'[20]سجل المستخلصات'!$AD$16)</f>
        <v/>
      </c>
      <c r="Y35" s="58">
        <f>IF('[20]سجل المستخلصات'!$AE$16="","",'[20]سجل المستخلصات'!$AE$16)</f>
        <v/>
      </c>
    </row>
    <row r="36">
      <c r="B36" s="56" t="n">
        <v>12</v>
      </c>
      <c r="C36" s="57">
        <f>IF('[20]سجل المستخلصات'!$C$17="","",'[20]سجل المستخلصات'!$C$17)</f>
        <v/>
      </c>
      <c r="D36" s="57">
        <f>IF('[20]سجل المستخلصات'!$E$17="","",'[20]سجل المستخلصات'!$E$17)</f>
        <v/>
      </c>
      <c r="E36" s="58">
        <f>IF('[20]سجل المستخلصات'!$F$17="","",'[20]سجل المستخلصات'!$F$17)</f>
        <v/>
      </c>
      <c r="F36" s="59">
        <f>IF('[20]سجل المستخلصات'!$H$17="","",'[20]سجل المستخلصات'!$H$17)</f>
        <v/>
      </c>
      <c r="G36" s="59">
        <f>IF('[20]سجل المستخلصات'!$G$17="","",'[20]سجل المستخلصات'!$G$17)</f>
        <v/>
      </c>
      <c r="H36" s="59">
        <f>IF('[20]سجل المستخلصات'!$I$17="","",'[20]سجل المستخلصات'!$I$17)</f>
        <v/>
      </c>
      <c r="I36" s="59">
        <f>IF('[20]سجل المستخلصات'!$J$17="","",'[20]سجل المستخلصات'!$J$17)</f>
        <v/>
      </c>
      <c r="J36" s="59">
        <f>IF('[20]سجل المستخلصات'!$K$17="","",'[20]سجل المستخلصات'!$K$17)</f>
        <v/>
      </c>
      <c r="K36" s="60">
        <f>IF('[20]سجل المستخلصات'!$L$17="","",'[20]سجل المستخلصات'!$L$17)</f>
        <v/>
      </c>
      <c r="L36" s="60">
        <f>IF('[20]سجل المستخلصات'!$M$17="","",'[20]سجل المستخلصات'!$M$17)</f>
        <v/>
      </c>
      <c r="M36" s="60">
        <f>IF('[20]سجل المستخلصات'!$N$17="","",'[20]سجل المستخلصات'!$N$17)</f>
        <v/>
      </c>
      <c r="N36" s="59">
        <f>IF('[20]سجل المستخلصات'!$O$17="","",'[20]سجل المستخلصات'!$O$17)</f>
        <v/>
      </c>
      <c r="O36" s="59">
        <f>IF('[20]سجل المستخلصات'!$R$17="","",'[20]سجل المستخلصات'!$R$17)</f>
        <v/>
      </c>
      <c r="P36" s="59">
        <f>IF('[20]سجل المستخلصات'!$S$17="","",'[20]سجل المستخلصات'!$S$17)</f>
        <v/>
      </c>
      <c r="Q36" s="59">
        <f>IF('[20]سجل المستخلصات'!$T$17="","",'[20]سجل المستخلصات'!$T$17)</f>
        <v/>
      </c>
      <c r="R36" s="59">
        <f>IF('[20]سجل المستخلصات'!$V$17="","",'[20]سجل المستخلصات'!$V$17)</f>
        <v/>
      </c>
      <c r="S36" s="59">
        <f>IF('[20]سجل المستخلصات'!$W$17="","",'[20]سجل المستخلصات'!$W$17)</f>
        <v/>
      </c>
      <c r="T36" s="61">
        <f>IF('[20]سجل المستخلصات'!$X$17="","",'[20]سجل المستخلصات'!$X$17)</f>
        <v/>
      </c>
      <c r="U36" s="61">
        <f>IF('[20]سجل المستخلصات'!$Z$17="","",'[20]سجل المستخلصات'!$Z$17)</f>
        <v/>
      </c>
      <c r="V36" s="59">
        <f>IF('[20]سجل المستخلصات'!$AA$17="","",'[20]سجل المستخلصات'!$AA$17)</f>
        <v/>
      </c>
      <c r="W36" s="59">
        <f>IF('[20]سجل المستخلصات'!$AC$17="","",'[20]سجل المستخلصات'!$AC$17)</f>
        <v/>
      </c>
      <c r="X36" s="62">
        <f>IF('[20]سجل المستخلصات'!$AD$17="","",'[20]سجل المستخلصات'!$AD$17)</f>
        <v/>
      </c>
      <c r="Y36" s="58">
        <f>IF('[20]سجل المستخلصات'!$AE$17="","",'[20]سجل المستخلصات'!$AE$17)</f>
        <v/>
      </c>
    </row>
    <row r="37">
      <c r="B37" s="56" t="n">
        <v>13</v>
      </c>
      <c r="C37" s="57">
        <f>IF('[20]سجل المستخلصات'!$C$18="","",'[20]سجل المستخلصات'!$C$18)</f>
        <v/>
      </c>
      <c r="D37" s="57">
        <f>IF('[20]سجل المستخلصات'!$E$18="","",'[20]سجل المستخلصات'!$E$18)</f>
        <v/>
      </c>
      <c r="E37" s="58">
        <f>IF('[20]سجل المستخلصات'!$F$18="","",'[20]سجل المستخلصات'!$F$18)</f>
        <v/>
      </c>
      <c r="F37" s="59">
        <f>IF('[20]سجل المستخلصات'!$H$18="","",'[20]سجل المستخلصات'!$H$18)</f>
        <v/>
      </c>
      <c r="G37" s="59">
        <f>IF('[20]سجل المستخلصات'!$G$18="","",'[20]سجل المستخلصات'!$G$18)</f>
        <v/>
      </c>
      <c r="H37" s="59">
        <f>IF('[20]سجل المستخلصات'!$I$18="","",'[20]سجل المستخلصات'!$I$18)</f>
        <v/>
      </c>
      <c r="I37" s="59">
        <f>IF('[20]سجل المستخلصات'!$J$18="","",'[20]سجل المستخلصات'!$J$18)</f>
        <v/>
      </c>
      <c r="J37" s="59">
        <f>IF('[20]سجل المستخلصات'!$K$18="","",'[20]سجل المستخلصات'!$K$18)</f>
        <v/>
      </c>
      <c r="K37" s="60">
        <f>IF('[20]سجل المستخلصات'!$L$18="","",'[20]سجل المستخلصات'!$L$18)</f>
        <v/>
      </c>
      <c r="L37" s="60">
        <f>IF('[20]سجل المستخلصات'!$M$18="","",'[20]سجل المستخلصات'!$M$18)</f>
        <v/>
      </c>
      <c r="M37" s="60">
        <f>IF('[20]سجل المستخلصات'!$N$18="","",'[20]سجل المستخلصات'!$N$18)</f>
        <v/>
      </c>
      <c r="N37" s="59">
        <f>IF('[20]سجل المستخلصات'!$O$18="","",'[20]سجل المستخلصات'!$O$18)</f>
        <v/>
      </c>
      <c r="O37" s="59">
        <f>IF('[20]سجل المستخلصات'!$R$18="","",'[20]سجل المستخلصات'!$R$18)</f>
        <v/>
      </c>
      <c r="P37" s="59">
        <f>IF('[20]سجل المستخلصات'!$S$18="","",'[20]سجل المستخلصات'!$S$18)</f>
        <v/>
      </c>
      <c r="Q37" s="59">
        <f>IF('[20]سجل المستخلصات'!$T$18="","",'[20]سجل المستخلصات'!$T$18)</f>
        <v/>
      </c>
      <c r="R37" s="59">
        <f>IF('[20]سجل المستخلصات'!$V$18="","",'[20]سجل المستخلصات'!$V$18)</f>
        <v/>
      </c>
      <c r="S37" s="59">
        <f>IF('[20]سجل المستخلصات'!$W$18="","",'[20]سجل المستخلصات'!$W$18)</f>
        <v/>
      </c>
      <c r="T37" s="61">
        <f>IF('[20]سجل المستخلصات'!$X$18="","",'[20]سجل المستخلصات'!$X$18)</f>
        <v/>
      </c>
      <c r="U37" s="61">
        <f>IF('[20]سجل المستخلصات'!$Z$18="","",'[20]سجل المستخلصات'!$Z$18)</f>
        <v/>
      </c>
      <c r="V37" s="59">
        <f>IF('[20]سجل المستخلصات'!$AA$18="","",'[20]سجل المستخلصات'!$AA$18)</f>
        <v/>
      </c>
      <c r="W37" s="59">
        <f>IF('[20]سجل المستخلصات'!$AC$18="","",'[20]سجل المستخلصات'!$AC$18)</f>
        <v/>
      </c>
      <c r="X37" s="62">
        <f>IF('[20]سجل المستخلصات'!$AD$18="","",'[20]سجل المستخلصات'!$AD$18)</f>
        <v/>
      </c>
      <c r="Y37" s="58">
        <f>IF('[20]سجل المستخلصات'!$AE$18="","",'[20]سجل المستخلصات'!$AE$18)</f>
        <v/>
      </c>
    </row>
    <row r="38">
      <c r="B38" s="56" t="n">
        <v>14</v>
      </c>
      <c r="C38" s="57">
        <f>IF('[20]سجل المستخلصات'!$C$19="","",'[20]سجل المستخلصات'!$C$19)</f>
        <v/>
      </c>
      <c r="D38" s="57">
        <f>IF('[20]سجل المستخلصات'!$E$19="","",'[20]سجل المستخلصات'!$E$19)</f>
        <v/>
      </c>
      <c r="E38" s="58">
        <f>IF('[20]سجل المستخلصات'!$F$19="","",'[20]سجل المستخلصات'!$F$19)</f>
        <v/>
      </c>
      <c r="F38" s="59">
        <f>IF('[20]سجل المستخلصات'!$H$19="","",'[20]سجل المستخلصات'!$H$19)</f>
        <v/>
      </c>
      <c r="G38" s="59">
        <f>IF('[20]سجل المستخلصات'!$G$19="","",'[20]سجل المستخلصات'!$G$19)</f>
        <v/>
      </c>
      <c r="H38" s="59">
        <f>IF('[20]سجل المستخلصات'!$I$19="","",'[20]سجل المستخلصات'!$I$19)</f>
        <v/>
      </c>
      <c r="I38" s="59">
        <f>IF('[20]سجل المستخلصات'!$J$19="","",'[20]سجل المستخلصات'!$J$19)</f>
        <v/>
      </c>
      <c r="J38" s="59">
        <f>IF('[20]سجل المستخلصات'!$K$19="","",'[20]سجل المستخلصات'!$K$19)</f>
        <v/>
      </c>
      <c r="K38" s="60">
        <f>IF('[20]سجل المستخلصات'!$L$19="","",'[20]سجل المستخلصات'!$L$19)</f>
        <v/>
      </c>
      <c r="L38" s="60">
        <f>IF('[20]سجل المستخلصات'!$M$19="","",'[20]سجل المستخلصات'!$M$19)</f>
        <v/>
      </c>
      <c r="M38" s="60">
        <f>IF('[20]سجل المستخلصات'!$N$19="","",'[20]سجل المستخلصات'!$N$19)</f>
        <v/>
      </c>
      <c r="N38" s="59">
        <f>IF('[20]سجل المستخلصات'!$O$19="","",'[20]سجل المستخلصات'!$O$19)</f>
        <v/>
      </c>
      <c r="O38" s="59">
        <f>IF('[20]سجل المستخلصات'!$R$19="","",'[20]سجل المستخلصات'!$R$19)</f>
        <v/>
      </c>
      <c r="P38" s="59">
        <f>IF('[20]سجل المستخلصات'!$S$19="","",'[20]سجل المستخلصات'!$S$19)</f>
        <v/>
      </c>
      <c r="Q38" s="59">
        <f>IF('[20]سجل المستخلصات'!$T$19="","",'[20]سجل المستخلصات'!$T$19)</f>
        <v/>
      </c>
      <c r="R38" s="59">
        <f>IF('[20]سجل المستخلصات'!$V$19="","",'[20]سجل المستخلصات'!$V$19)</f>
        <v/>
      </c>
      <c r="S38" s="59">
        <f>IF('[20]سجل المستخلصات'!$W$19="","",'[20]سجل المستخلصات'!$W$19)</f>
        <v/>
      </c>
      <c r="T38" s="61">
        <f>IF('[20]سجل المستخلصات'!$X$19="","",'[20]سجل المستخلصات'!$X$19)</f>
        <v/>
      </c>
      <c r="U38" s="61">
        <f>IF('[20]سجل المستخلصات'!$Z$19="","",'[20]سجل المستخلصات'!$Z$19)</f>
        <v/>
      </c>
      <c r="V38" s="59">
        <f>IF('[20]سجل المستخلصات'!$AA$19="","",'[20]سجل المستخلصات'!$AA$19)</f>
        <v/>
      </c>
      <c r="W38" s="59">
        <f>IF('[20]سجل المستخلصات'!$AC$19="","",'[20]سجل المستخلصات'!$AC$19)</f>
        <v/>
      </c>
      <c r="X38" s="62">
        <f>IF('[20]سجل المستخلصات'!$AD$19="","",'[20]سجل المستخلصات'!$AD$19)</f>
        <v/>
      </c>
      <c r="Y38" s="58">
        <f>IF('[20]سجل المستخلصات'!$AE$19="","",'[20]سجل المستخلصات'!$AE$19)</f>
        <v/>
      </c>
    </row>
    <row r="39">
      <c r="B39" s="56" t="n">
        <v>15</v>
      </c>
      <c r="C39" s="57">
        <f>IF('[20]سجل المستخلصات'!$C$20="","",'[20]سجل المستخلصات'!$C$20)</f>
        <v/>
      </c>
      <c r="D39" s="57">
        <f>IF('[20]سجل المستخلصات'!$E$20="","",'[20]سجل المستخلصات'!$E$20)</f>
        <v/>
      </c>
      <c r="E39" s="58">
        <f>IF('[20]سجل المستخلصات'!$F$20="","",'[20]سجل المستخلصات'!$F$20)</f>
        <v/>
      </c>
      <c r="F39" s="59">
        <f>IF('[20]سجل المستخلصات'!$H$20="","",'[20]سجل المستخلصات'!$H$20)</f>
        <v/>
      </c>
      <c r="G39" s="59">
        <f>IF('[20]سجل المستخلصات'!$G$20="","",'[20]سجل المستخلصات'!$G$20)</f>
        <v/>
      </c>
      <c r="H39" s="59">
        <f>IF('[20]سجل المستخلصات'!$I$20="","",'[20]سجل المستخلصات'!$I$20)</f>
        <v/>
      </c>
      <c r="I39" s="59">
        <f>IF('[20]سجل المستخلصات'!$J$20="","",'[20]سجل المستخلصات'!$J$20)</f>
        <v/>
      </c>
      <c r="J39" s="59">
        <f>IF('[20]سجل المستخلصات'!$K$20="","",'[20]سجل المستخلصات'!$K$20)</f>
        <v/>
      </c>
      <c r="K39" s="60">
        <f>IF('[20]سجل المستخلصات'!$L$20="","",'[20]سجل المستخلصات'!$L$20)</f>
        <v/>
      </c>
      <c r="L39" s="60">
        <f>IF('[20]سجل المستخلصات'!$M$20="","",'[20]سجل المستخلصات'!$M$20)</f>
        <v/>
      </c>
      <c r="M39" s="60">
        <f>IF('[20]سجل المستخلصات'!$N$20="","",'[20]سجل المستخلصات'!$N$20)</f>
        <v/>
      </c>
      <c r="N39" s="59">
        <f>IF('[20]سجل المستخلصات'!$O$20="","",'[20]سجل المستخلصات'!$O$20)</f>
        <v/>
      </c>
      <c r="O39" s="59">
        <f>IF('[20]سجل المستخلصات'!$R$20="","",'[20]سجل المستخلصات'!$R$20)</f>
        <v/>
      </c>
      <c r="P39" s="59">
        <f>IF('[20]سجل المستخلصات'!$S$20="","",'[20]سجل المستخلصات'!$S$20)</f>
        <v/>
      </c>
      <c r="Q39" s="59">
        <f>IF('[20]سجل المستخلصات'!$T$20="","",'[20]سجل المستخلصات'!$T$20)</f>
        <v/>
      </c>
      <c r="R39" s="59">
        <f>IF('[20]سجل المستخلصات'!$V$20="","",'[20]سجل المستخلصات'!$V$20)</f>
        <v/>
      </c>
      <c r="S39" s="59">
        <f>IF('[20]سجل المستخلصات'!$W$20="","",'[20]سجل المستخلصات'!$W$20)</f>
        <v/>
      </c>
      <c r="T39" s="61">
        <f>IF('[20]سجل المستخلصات'!$X$20="","",'[20]سجل المستخلصات'!$X$20)</f>
        <v/>
      </c>
      <c r="U39" s="61">
        <f>IF('[20]سجل المستخلصات'!$Z$20="","",'[20]سجل المستخلصات'!$Z$20)</f>
        <v/>
      </c>
      <c r="V39" s="59">
        <f>IF('[20]سجل المستخلصات'!$AA$20="","",'[20]سجل المستخلصات'!$AA$20)</f>
        <v/>
      </c>
      <c r="W39" s="59">
        <f>IF('[20]سجل المستخلصات'!$AC$20="","",'[20]سجل المستخلصات'!$AC$20)</f>
        <v/>
      </c>
      <c r="X39" s="62">
        <f>IF('[20]سجل المستخلصات'!$AD$20="","",'[20]سجل المستخلصات'!$AD$20)</f>
        <v/>
      </c>
      <c r="Y39" s="58">
        <f>IF('[20]سجل المستخلصات'!$AE$20="","",'[20]سجل المستخلصات'!$AE$20)</f>
        <v/>
      </c>
    </row>
    <row r="40">
      <c r="B40" s="56" t="n">
        <v>16</v>
      </c>
      <c r="C40" s="57">
        <f>IF('[20]سجل المستخلصات'!$C$21="","",'[20]سجل المستخلصات'!$C$21)</f>
        <v/>
      </c>
      <c r="D40" s="57">
        <f>IF('[20]سجل المستخلصات'!$E$21="","",'[20]سجل المستخلصات'!$E$21)</f>
        <v/>
      </c>
      <c r="E40" s="58">
        <f>IF('[20]سجل المستخلصات'!$F$21="","",'[20]سجل المستخلصات'!$F$21)</f>
        <v/>
      </c>
      <c r="F40" s="59">
        <f>IF('[20]سجل المستخلصات'!$H$21="","",'[20]سجل المستخلصات'!$H$21)</f>
        <v/>
      </c>
      <c r="G40" s="59">
        <f>IF('[20]سجل المستخلصات'!$G$21="","",'[20]سجل المستخلصات'!$G$21)</f>
        <v/>
      </c>
      <c r="H40" s="59">
        <f>IF('[20]سجل المستخلصات'!$I$21="","",'[20]سجل المستخلصات'!$I$21)</f>
        <v/>
      </c>
      <c r="I40" s="59">
        <f>IF('[20]سجل المستخلصات'!$J$21="","",'[20]سجل المستخلصات'!$J$21)</f>
        <v/>
      </c>
      <c r="J40" s="59">
        <f>IF('[20]سجل المستخلصات'!$K$21="","",'[20]سجل المستخلصات'!$K$21)</f>
        <v/>
      </c>
      <c r="K40" s="60">
        <f>IF('[20]سجل المستخلصات'!$L$21="","",'[20]سجل المستخلصات'!$L$21)</f>
        <v/>
      </c>
      <c r="L40" s="60">
        <f>IF('[20]سجل المستخلصات'!$M$21="","",'[20]سجل المستخلصات'!$M$21)</f>
        <v/>
      </c>
      <c r="M40" s="60">
        <f>IF('[20]سجل المستخلصات'!$N$21="","",'[20]سجل المستخلصات'!$N$21)</f>
        <v/>
      </c>
      <c r="N40" s="59">
        <f>IF('[20]سجل المستخلصات'!$O$21="","",'[20]سجل المستخلصات'!$O$21)</f>
        <v/>
      </c>
      <c r="O40" s="59">
        <f>IF('[20]سجل المستخلصات'!$R$21="","",'[20]سجل المستخلصات'!$R$21)</f>
        <v/>
      </c>
      <c r="P40" s="59">
        <f>IF('[20]سجل المستخلصات'!$S$21="","",'[20]سجل المستخلصات'!$S$21)</f>
        <v/>
      </c>
      <c r="Q40" s="59">
        <f>IF('[20]سجل المستخلصات'!$T$21="","",'[20]سجل المستخلصات'!$T$21)</f>
        <v/>
      </c>
      <c r="R40" s="59">
        <f>IF('[20]سجل المستخلصات'!$V$21="","",'[20]سجل المستخلصات'!$V$21)</f>
        <v/>
      </c>
      <c r="S40" s="59">
        <f>IF('[20]سجل المستخلصات'!$W$21="","",'[20]سجل المستخلصات'!$W$21)</f>
        <v/>
      </c>
      <c r="T40" s="61">
        <f>IF('[20]سجل المستخلصات'!$X$21="","",'[20]سجل المستخلصات'!$X$21)</f>
        <v/>
      </c>
      <c r="U40" s="61">
        <f>IF('[20]سجل المستخلصات'!$Z$21="","",'[20]سجل المستخلصات'!$Z$21)</f>
        <v/>
      </c>
      <c r="V40" s="59">
        <f>IF('[20]سجل المستخلصات'!$AA$21="","",'[20]سجل المستخلصات'!$AA$21)</f>
        <v/>
      </c>
      <c r="W40" s="59">
        <f>IF('[20]سجل المستخلصات'!$AC$21="","",'[20]سجل المستخلصات'!$AC$21)</f>
        <v/>
      </c>
      <c r="X40" s="62">
        <f>IF('[20]سجل المستخلصات'!$AD$21="","",'[20]سجل المستخلصات'!$AD$21)</f>
        <v/>
      </c>
      <c r="Y40" s="58">
        <f>IF('[20]سجل المستخلصات'!$AE$21="","",'[20]سجل المستخلصات'!$AE$21)</f>
        <v/>
      </c>
    </row>
    <row r="41">
      <c r="B41" s="56" t="n">
        <v>17</v>
      </c>
      <c r="C41" s="57">
        <f>IF('[20]سجل المستخلصات'!$C$22="","",'[20]سجل المستخلصات'!$C$22)</f>
        <v/>
      </c>
      <c r="D41" s="57">
        <f>IF('[20]سجل المستخلصات'!$E$22="","",'[20]سجل المستخلصات'!$E$22)</f>
        <v/>
      </c>
      <c r="E41" s="58">
        <f>IF('[20]سجل المستخلصات'!$F$22="","",'[20]سجل المستخلصات'!$F$22)</f>
        <v/>
      </c>
      <c r="F41" s="59">
        <f>IF('[20]سجل المستخلصات'!$H$22="","",'[20]سجل المستخلصات'!$H$22)</f>
        <v/>
      </c>
      <c r="G41" s="59">
        <f>IF('[20]سجل المستخلصات'!$G$22="","",'[20]سجل المستخلصات'!$G$22)</f>
        <v/>
      </c>
      <c r="H41" s="59">
        <f>IF('[20]سجل المستخلصات'!$I$22="","",'[20]سجل المستخلصات'!$I$22)</f>
        <v/>
      </c>
      <c r="I41" s="59">
        <f>IF('[20]سجل المستخلصات'!$J$22="","",'[20]سجل المستخلصات'!$J$22)</f>
        <v/>
      </c>
      <c r="J41" s="59">
        <f>IF('[20]سجل المستخلصات'!$K$22="","",'[20]سجل المستخلصات'!$K$22)</f>
        <v/>
      </c>
      <c r="K41" s="60">
        <f>IF('[20]سجل المستخلصات'!$L$22="","",'[20]سجل المستخلصات'!$L$22)</f>
        <v/>
      </c>
      <c r="L41" s="60">
        <f>IF('[20]سجل المستخلصات'!$M$22="","",'[20]سجل المستخلصات'!$M$22)</f>
        <v/>
      </c>
      <c r="M41" s="60">
        <f>IF('[20]سجل المستخلصات'!$N$22="","",'[20]سجل المستخلصات'!$N$22)</f>
        <v/>
      </c>
      <c r="N41" s="59">
        <f>IF('[20]سجل المستخلصات'!$O$22="","",'[20]سجل المستخلصات'!$O$22)</f>
        <v/>
      </c>
      <c r="O41" s="59">
        <f>IF('[20]سجل المستخلصات'!$R$22="","",'[20]سجل المستخلصات'!$R$22)</f>
        <v/>
      </c>
      <c r="P41" s="59">
        <f>IF('[20]سجل المستخلصات'!$S$22="","",'[20]سجل المستخلصات'!$S$22)</f>
        <v/>
      </c>
      <c r="Q41" s="59">
        <f>IF('[20]سجل المستخلصات'!$T$22="","",'[20]سجل المستخلصات'!$T$22)</f>
        <v/>
      </c>
      <c r="R41" s="59">
        <f>IF('[20]سجل المستخلصات'!$V$22="","",'[20]سجل المستخلصات'!$V$22)</f>
        <v/>
      </c>
      <c r="S41" s="59">
        <f>IF('[20]سجل المستخلصات'!$W$22="","",'[20]سجل المستخلصات'!$W$22)</f>
        <v/>
      </c>
      <c r="T41" s="61">
        <f>IF('[20]سجل المستخلصات'!$X$22="","",'[20]سجل المستخلصات'!$X$22)</f>
        <v/>
      </c>
      <c r="U41" s="61">
        <f>IF('[20]سجل المستخلصات'!$Z$22="","",'[20]سجل المستخلصات'!$Z$22)</f>
        <v/>
      </c>
      <c r="V41" s="59">
        <f>IF('[20]سجل المستخلصات'!$AA$22="","",'[20]سجل المستخلصات'!$AA$22)</f>
        <v/>
      </c>
      <c r="W41" s="59">
        <f>IF('[20]سجل المستخلصات'!$AC$22="","",'[20]سجل المستخلصات'!$AC$22)</f>
        <v/>
      </c>
      <c r="X41" s="62">
        <f>IF('[20]سجل المستخلصات'!$AD$22="","",'[20]سجل المستخلصات'!$AD$22)</f>
        <v/>
      </c>
      <c r="Y41" s="58">
        <f>IF('[20]سجل المستخلصات'!$AE$22="","",'[20]سجل المستخلصات'!$AE$22)</f>
        <v/>
      </c>
    </row>
    <row r="42">
      <c r="B42" s="56" t="n">
        <v>18</v>
      </c>
      <c r="C42" s="57">
        <f>IF('[20]سجل المستخلصات'!$C$23="","",'[20]سجل المستخلصات'!$C$23)</f>
        <v/>
      </c>
      <c r="D42" s="57">
        <f>IF('[20]سجل المستخلصات'!$E$23="","",'[20]سجل المستخلصات'!$E$23)</f>
        <v/>
      </c>
      <c r="E42" s="58">
        <f>IF('[20]سجل المستخلصات'!$F$23="","",'[20]سجل المستخلصات'!$F$23)</f>
        <v/>
      </c>
      <c r="F42" s="59">
        <f>IF('[20]سجل المستخلصات'!$H$23="","",'[20]سجل المستخلصات'!$H$23)</f>
        <v/>
      </c>
      <c r="G42" s="59">
        <f>IF('[20]سجل المستخلصات'!$G$23="","",'[20]سجل المستخلصات'!$G$23)</f>
        <v/>
      </c>
      <c r="H42" s="59">
        <f>IF('[20]سجل المستخلصات'!$I$23="","",'[20]سجل المستخلصات'!$I$23)</f>
        <v/>
      </c>
      <c r="I42" s="59">
        <f>IF('[20]سجل المستخلصات'!$J$23="","",'[20]سجل المستخلصات'!$J$23)</f>
        <v/>
      </c>
      <c r="J42" s="59">
        <f>IF('[20]سجل المستخلصات'!$K$23="","",'[20]سجل المستخلصات'!$K$23)</f>
        <v/>
      </c>
      <c r="K42" s="60">
        <f>IF('[20]سجل المستخلصات'!$L$23="","",'[20]سجل المستخلصات'!$L$23)</f>
        <v/>
      </c>
      <c r="L42" s="60">
        <f>IF('[20]سجل المستخلصات'!$M$23="","",'[20]سجل المستخلصات'!$M$23)</f>
        <v/>
      </c>
      <c r="M42" s="60">
        <f>IF('[20]سجل المستخلصات'!$N$23="","",'[20]سجل المستخلصات'!$N$23)</f>
        <v/>
      </c>
      <c r="N42" s="59">
        <f>IF('[20]سجل المستخلصات'!$O$23="","",'[20]سجل المستخلصات'!$O$23)</f>
        <v/>
      </c>
      <c r="O42" s="59">
        <f>IF('[20]سجل المستخلصات'!$R$23="","",'[20]سجل المستخلصات'!$R$23)</f>
        <v/>
      </c>
      <c r="P42" s="59">
        <f>IF('[20]سجل المستخلصات'!$S$23="","",'[20]سجل المستخلصات'!$S$23)</f>
        <v/>
      </c>
      <c r="Q42" s="59">
        <f>IF('[20]سجل المستخلصات'!$T$23="","",'[20]سجل المستخلصات'!$T$23)</f>
        <v/>
      </c>
      <c r="R42" s="59">
        <f>IF('[20]سجل المستخلصات'!$V$23="","",'[20]سجل المستخلصات'!$V$23)</f>
        <v/>
      </c>
      <c r="S42" s="59">
        <f>IF('[20]سجل المستخلصات'!$W$23="","",'[20]سجل المستخلصات'!$W$23)</f>
        <v/>
      </c>
      <c r="T42" s="61">
        <f>IF('[20]سجل المستخلصات'!$X$23="","",'[20]سجل المستخلصات'!$X$23)</f>
        <v/>
      </c>
      <c r="U42" s="61">
        <f>IF('[20]سجل المستخلصات'!$Z$23="","",'[20]سجل المستخلصات'!$Z$23)</f>
        <v/>
      </c>
      <c r="V42" s="59">
        <f>IF('[20]سجل المستخلصات'!$AA$23="","",'[20]سجل المستخلصات'!$AA$23)</f>
        <v/>
      </c>
      <c r="W42" s="59">
        <f>IF('[20]سجل المستخلصات'!$AC$23="","",'[20]سجل المستخلصات'!$AC$23)</f>
        <v/>
      </c>
      <c r="X42" s="62">
        <f>IF('[20]سجل المستخلصات'!$AD$23="","",'[20]سجل المستخلصات'!$AD$23)</f>
        <v/>
      </c>
      <c r="Y42" s="58">
        <f>IF('[20]سجل المستخلصات'!$AE$23="","",'[20]سجل المستخلصات'!$AE$23)</f>
        <v/>
      </c>
    </row>
    <row r="43">
      <c r="B43" s="56" t="n">
        <v>19</v>
      </c>
      <c r="C43" s="57">
        <f>IF('[20]سجل المستخلصات'!$C$24="","",'[20]سجل المستخلصات'!$C$24)</f>
        <v/>
      </c>
      <c r="D43" s="57">
        <f>IF('[20]سجل المستخلصات'!$E$24="","",'[20]سجل المستخلصات'!$E$24)</f>
        <v/>
      </c>
      <c r="E43" s="58">
        <f>IF('[20]سجل المستخلصات'!$F$24="","",'[20]سجل المستخلصات'!$F$24)</f>
        <v/>
      </c>
      <c r="F43" s="59">
        <f>IF('[20]سجل المستخلصات'!$H$24="","",'[20]سجل المستخلصات'!$H$24)</f>
        <v/>
      </c>
      <c r="G43" s="59">
        <f>IF('[20]سجل المستخلصات'!$G$24="","",'[20]سجل المستخلصات'!$G$24)</f>
        <v/>
      </c>
      <c r="H43" s="59">
        <f>IF('[20]سجل المستخلصات'!$I$24="","",'[20]سجل المستخلصات'!$I$24)</f>
        <v/>
      </c>
      <c r="I43" s="59">
        <f>IF('[20]سجل المستخلصات'!$J$24="","",'[20]سجل المستخلصات'!$J$24)</f>
        <v/>
      </c>
      <c r="J43" s="59">
        <f>IF('[20]سجل المستخلصات'!$K$24="","",'[20]سجل المستخلصات'!$K$24)</f>
        <v/>
      </c>
      <c r="K43" s="60">
        <f>IF('[20]سجل المستخلصات'!$L$24="","",'[20]سجل المستخلصات'!$L$24)</f>
        <v/>
      </c>
      <c r="L43" s="60">
        <f>IF('[20]سجل المستخلصات'!$M$24="","",'[20]سجل المستخلصات'!$M$24)</f>
        <v/>
      </c>
      <c r="M43" s="60">
        <f>IF('[20]سجل المستخلصات'!$N$24="","",'[20]سجل المستخلصات'!$N$24)</f>
        <v/>
      </c>
      <c r="N43" s="59">
        <f>IF('[20]سجل المستخلصات'!$O$24="","",'[20]سجل المستخلصات'!$O$24)</f>
        <v/>
      </c>
      <c r="O43" s="59">
        <f>IF('[20]سجل المستخلصات'!$R$24="","",'[20]سجل المستخلصات'!$R$24)</f>
        <v/>
      </c>
      <c r="P43" s="59">
        <f>IF('[20]سجل المستخلصات'!$S$24="","",'[20]سجل المستخلصات'!$S$24)</f>
        <v/>
      </c>
      <c r="Q43" s="59">
        <f>IF('[20]سجل المستخلصات'!$T$24="","",'[20]سجل المستخلصات'!$T$24)</f>
        <v/>
      </c>
      <c r="R43" s="59">
        <f>IF('[20]سجل المستخلصات'!$V$24="","",'[20]سجل المستخلصات'!$V$24)</f>
        <v/>
      </c>
      <c r="S43" s="59">
        <f>IF('[20]سجل المستخلصات'!$W$24="","",'[20]سجل المستخلصات'!$W$24)</f>
        <v/>
      </c>
      <c r="T43" s="61">
        <f>IF('[20]سجل المستخلصات'!$X$24="","",'[20]سجل المستخلصات'!$X$24)</f>
        <v/>
      </c>
      <c r="U43" s="61">
        <f>IF('[20]سجل المستخلصات'!$Z$24="","",'[20]سجل المستخلصات'!$Z$24)</f>
        <v/>
      </c>
      <c r="V43" s="59">
        <f>IF('[20]سجل المستخلصات'!$AA$24="","",'[20]سجل المستخلصات'!$AA$24)</f>
        <v/>
      </c>
      <c r="W43" s="59">
        <f>IF('[20]سجل المستخلصات'!$AC$24="","",'[20]سجل المستخلصات'!$AC$24)</f>
        <v/>
      </c>
      <c r="X43" s="62">
        <f>IF('[20]سجل المستخلصات'!$AD$24="","",'[20]سجل المستخلصات'!$AD$24)</f>
        <v/>
      </c>
      <c r="Y43" s="58">
        <f>IF('[20]سجل المستخلصات'!$AE$24="","",'[20]سجل المستخلصات'!$AE$24)</f>
        <v/>
      </c>
    </row>
    <row r="44">
      <c r="B44" s="56" t="n">
        <v>20</v>
      </c>
      <c r="C44" s="57">
        <f>IF('[20]سجل المستخلصات'!$C$25="","",'[20]سجل المستخلصات'!$C$25)</f>
        <v/>
      </c>
      <c r="D44" s="57">
        <f>IF('[20]سجل المستخلصات'!$E$25="","",'[20]سجل المستخلصات'!$E$25)</f>
        <v/>
      </c>
      <c r="E44" s="58">
        <f>IF('[20]سجل المستخلصات'!$F$25="","",'[20]سجل المستخلصات'!$F$25)</f>
        <v/>
      </c>
      <c r="F44" s="59">
        <f>IF('[20]سجل المستخلصات'!$H$25="","",'[20]سجل المستخلصات'!$H$25)</f>
        <v/>
      </c>
      <c r="G44" s="59">
        <f>IF('[20]سجل المستخلصات'!$G$25="","",'[20]سجل المستخلصات'!$G$25)</f>
        <v/>
      </c>
      <c r="H44" s="59">
        <f>IF('[20]سجل المستخلصات'!$I$25="","",'[20]سجل المستخلصات'!$I$25)</f>
        <v/>
      </c>
      <c r="I44" s="59">
        <f>IF('[20]سجل المستخلصات'!$J$25="","",'[20]سجل المستخلصات'!$J$25)</f>
        <v/>
      </c>
      <c r="J44" s="59">
        <f>IF('[20]سجل المستخلصات'!$K$25="","",'[20]سجل المستخلصات'!$K$25)</f>
        <v/>
      </c>
      <c r="K44" s="60">
        <f>IF('[20]سجل المستخلصات'!$L$25="","",'[20]سجل المستخلصات'!$L$25)</f>
        <v/>
      </c>
      <c r="L44" s="60">
        <f>IF('[20]سجل المستخلصات'!$M$25="","",'[20]سجل المستخلصات'!$M$25)</f>
        <v/>
      </c>
      <c r="M44" s="60">
        <f>IF('[20]سجل المستخلصات'!$N$25="","",'[20]سجل المستخلصات'!$N$25)</f>
        <v/>
      </c>
      <c r="N44" s="59">
        <f>IF('[20]سجل المستخلصات'!$O$25="","",'[20]سجل المستخلصات'!$O$25)</f>
        <v/>
      </c>
      <c r="O44" s="59">
        <f>IF('[20]سجل المستخلصات'!$R$25="","",'[20]سجل المستخلصات'!$R$25)</f>
        <v/>
      </c>
      <c r="P44" s="59">
        <f>IF('[20]سجل المستخلصات'!$S$25="","",'[20]سجل المستخلصات'!$S$25)</f>
        <v/>
      </c>
      <c r="Q44" s="59">
        <f>IF('[20]سجل المستخلصات'!$T$25="","",'[20]سجل المستخلصات'!$T$25)</f>
        <v/>
      </c>
      <c r="R44" s="59">
        <f>IF('[20]سجل المستخلصات'!$V$25="","",'[20]سجل المستخلصات'!$V$25)</f>
        <v/>
      </c>
      <c r="S44" s="59">
        <f>IF('[20]سجل المستخلصات'!$W$25="","",'[20]سجل المستخلصات'!$W$25)</f>
        <v/>
      </c>
      <c r="T44" s="61">
        <f>IF('[20]سجل المستخلصات'!$X$25="","",'[20]سجل المستخلصات'!$X$25)</f>
        <v/>
      </c>
      <c r="U44" s="61">
        <f>IF('[20]سجل المستخلصات'!$Z$25="","",'[20]سجل المستخلصات'!$Z$25)</f>
        <v/>
      </c>
      <c r="V44" s="59">
        <f>IF('[20]سجل المستخلصات'!$AA$25="","",'[20]سجل المستخلصات'!$AA$25)</f>
        <v/>
      </c>
      <c r="W44" s="59">
        <f>IF('[20]سجل المستخلصات'!$AC$25="","",'[20]سجل المستخلصات'!$AC$25)</f>
        <v/>
      </c>
      <c r="X44" s="62">
        <f>IF('[20]سجل المستخلصات'!$AD$25="","",'[20]سجل المستخلصات'!$AD$25)</f>
        <v/>
      </c>
      <c r="Y44" s="58">
        <f>IF('[20]سجل المستخلصات'!$AE$25="","",'[20]سجل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IF('[20]سجل المستخلصات'!$B$32="","",'[20]سجل المستخلصات'!$B$32)</f>
        <v/>
      </c>
      <c r="C50" s="69" t="n"/>
      <c r="D50" s="69" t="n"/>
      <c r="E50" s="59">
        <f>N('[20]سجل المستخلصات'!$E$32)</f>
        <v/>
      </c>
      <c r="F50" s="59">
        <f>N('[20]سجل المستخلصات'!$F$32)</f>
        <v/>
      </c>
      <c r="G50" s="70">
        <f>IF(E50&gt;0,F50/E50,0)</f>
        <v/>
      </c>
    </row>
    <row r="51">
      <c r="B51" s="69">
        <f>IF('[20]سجل المستخلصات'!$B$33="","",'[20]سجل المستخلصات'!$B$33)</f>
        <v/>
      </c>
      <c r="C51" s="69" t="n"/>
      <c r="D51" s="69" t="n"/>
      <c r="E51" s="59">
        <f>N('[20]سجل المستخلصات'!$E$33)</f>
        <v/>
      </c>
      <c r="F51" s="59">
        <f>N('[20]سجل المستخلصات'!$F$33)</f>
        <v/>
      </c>
      <c r="G51" s="70">
        <f>IF(E51&gt;0,F51/E51,0)</f>
        <v/>
      </c>
    </row>
    <row r="52">
      <c r="B52" s="69">
        <f>IF('[20]سجل المستخلصات'!$B$34="","",'[20]سجل المستخلصات'!$B$34)</f>
        <v/>
      </c>
      <c r="C52" s="69" t="n"/>
      <c r="D52" s="69" t="n"/>
      <c r="E52" s="59">
        <f>N('[20]سجل المستخلصات'!$E$34)</f>
        <v/>
      </c>
      <c r="F52" s="59">
        <f>N('[20]سجل المستخلصات'!$F$34)</f>
        <v/>
      </c>
      <c r="G52" s="70">
        <f>IF(E52&gt;0,F52/E52,0)</f>
        <v/>
      </c>
    </row>
    <row r="53">
      <c r="B53" s="69">
        <f>IF('[20]سجل المستخلصات'!$B$35="","",'[20]سجل المستخلصات'!$B$35)</f>
        <v/>
      </c>
      <c r="C53" s="69" t="n"/>
      <c r="D53" s="69" t="n"/>
      <c r="E53" s="59">
        <f>N('[20]سجل المستخلصات'!$E$35)</f>
        <v/>
      </c>
      <c r="F53" s="59">
        <f>N('[20]سجل المستخلصات'!$F$35)</f>
        <v/>
      </c>
      <c r="G53" s="70">
        <f>IF(E53&gt;0,F53/E53,0)</f>
        <v/>
      </c>
    </row>
    <row r="54">
      <c r="B54" s="69">
        <f>IF('[20]سجل المستخلصات'!$B$36="","",'[20]سجل المستخلصات'!$B$36)</f>
        <v/>
      </c>
      <c r="C54" s="69" t="n"/>
      <c r="D54" s="69" t="n"/>
      <c r="E54" s="59">
        <f>N('[20]سجل المستخلصات'!$E$36)</f>
        <v/>
      </c>
      <c r="F54" s="59">
        <f>N('[20]سجل المستخلصات'!$F$36)</f>
        <v/>
      </c>
      <c r="G54" s="70">
        <f>IF(E54&gt;0,F54/E54,0)</f>
        <v/>
      </c>
    </row>
    <row r="55">
      <c r="B55" s="69">
        <f>IF('[20]سجل المستخلصات'!$B$37="","",'[20]سجل المستخلصات'!$B$37)</f>
        <v/>
      </c>
      <c r="C55" s="69" t="n"/>
      <c r="D55" s="69" t="n"/>
      <c r="E55" s="59">
        <f>N('[20]سجل المستخلصات'!$E$37)</f>
        <v/>
      </c>
      <c r="F55" s="59">
        <f>N('[20]سجل المستخلصات'!$F$37)</f>
        <v/>
      </c>
      <c r="G55" s="70">
        <f>IF(E55&gt;0,F55/E55,0)</f>
        <v/>
      </c>
    </row>
    <row r="56">
      <c r="B56" s="69">
        <f>IF('[20]سجل المستخلصات'!$B$38="","",'[20]سجل المستخلصات'!$B$38)</f>
        <v/>
      </c>
      <c r="C56" s="69" t="n"/>
      <c r="D56" s="69" t="n"/>
      <c r="E56" s="59">
        <f>N('[20]سجل المستخلصات'!$E$38)</f>
        <v/>
      </c>
      <c r="F56" s="59">
        <f>N('[20]سجل المستخلصات'!$F$38)</f>
        <v/>
      </c>
      <c r="G56" s="70">
        <f>IF(E56&gt;0,F56/E56,0)</f>
        <v/>
      </c>
    </row>
    <row r="57">
      <c r="B57" s="69">
        <f>IF('[20]سجل المستخلصات'!$B$39="","",'[20]سجل المستخلصات'!$B$39)</f>
        <v/>
      </c>
      <c r="C57" s="69" t="n"/>
      <c r="D57" s="69" t="n"/>
      <c r="E57" s="59">
        <f>N('[20]سجل المستخلصات'!$E$39)</f>
        <v/>
      </c>
      <c r="F57" s="59">
        <f>N('[20]سجل المستخلصات'!$F$39)</f>
        <v/>
      </c>
      <c r="G57" s="70">
        <f>IF(E57&gt;0,F57/E57,0)</f>
        <v/>
      </c>
    </row>
    <row r="58">
      <c r="B58" s="69">
        <f>IF('[20]سجل المستخلصات'!$B$40="","",'[20]سجل المستخلصات'!$B$40)</f>
        <v/>
      </c>
      <c r="C58" s="69" t="n"/>
      <c r="D58" s="69" t="n"/>
      <c r="E58" s="59">
        <f>N('[20]سجل المستخلصات'!$E$40)</f>
        <v/>
      </c>
      <c r="F58" s="59">
        <f>N('[20]سجل المستخلصات'!$F$40)</f>
        <v/>
      </c>
      <c r="G58" s="70">
        <f>IF(E58&gt;0,F58/E58,0)</f>
        <v/>
      </c>
    </row>
    <row r="59">
      <c r="B59" s="69">
        <f>IF('[20]سجل المستخلصات'!$B$41="","",'[20]سجل المستخلصات'!$B$41)</f>
        <v/>
      </c>
      <c r="C59" s="69" t="n"/>
      <c r="D59" s="69" t="n"/>
      <c r="E59" s="59">
        <f>N('[20]سجل المستخلصات'!$E$41)</f>
        <v/>
      </c>
      <c r="F59" s="59">
        <f>N('[20]سجل المستخلصات'!$F$41)</f>
        <v/>
      </c>
      <c r="G59" s="70">
        <f>IF(E59&gt;0,F59/E59,0)</f>
        <v/>
      </c>
    </row>
    <row r="60">
      <c r="B60" s="69">
        <f>IF('[20]سجل المستخلصات'!$B$42="","",'[20]سجل المستخلصات'!$B$42)</f>
        <v/>
      </c>
      <c r="C60" s="69" t="n"/>
      <c r="D60" s="69" t="n"/>
      <c r="E60" s="59">
        <f>N('[20]سجل المستخلصات'!$E$42)</f>
        <v/>
      </c>
      <c r="F60" s="59">
        <f>N('[20]سجل المستخلصات'!$F$42)</f>
        <v/>
      </c>
      <c r="G60" s="70">
        <f>IF(E60&gt;0,F60/E60,0)</f>
        <v/>
      </c>
    </row>
    <row r="61">
      <c r="B61" s="69">
        <f>IF('[20]سجل المستخلصات'!$B$43="","",'[20]سجل المستخلصات'!$B$43)</f>
        <v/>
      </c>
      <c r="C61" s="69" t="n"/>
      <c r="D61" s="69" t="n"/>
      <c r="E61" s="59">
        <f>N('[20]سجل المستخلصات'!$E$43)</f>
        <v/>
      </c>
      <c r="F61" s="59">
        <f>N('[20]سجل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19'!A1" display="◄ المشروع السابق"/>
    <hyperlink ref="D3" location="'مشروع 21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"&amp;IF('[21]بيانات العقد'!$C$5="","مشروع رقم 21 — غير مُفعّل",'[21]بيانات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Project_21/IPC_Project_21.xlsx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IF('[21]بيانات العقد'!$C$5="","",'[21]بيانات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IF('[21]بيانات العقد'!$C$6="","",'[21]بيانات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IF('[21]بيانات العقد'!$C$7="","",'[21]بيانات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IF('[21]بيانات العقد'!$C$8="","",'[21]بيانات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N('[21]بيانات العقد'!$C$16)</f>
        <v/>
      </c>
    </row>
    <row r="6" ht="22" customHeight="1">
      <c r="B6" s="11" t="inlineStr">
        <is>
          <t>المقاول</t>
        </is>
      </c>
      <c r="C6" s="14">
        <f>IF('[21]بيانات العقد'!$C$9="","",'[21]بيانات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IF('[21]بيانات العقد'!$C$11="","",'[21]بيانات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IF('[21]بيانات العقد'!$C$13="","",'[21]بيانات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IF('[21]بيانات العقد'!$C$14="","",'[21]بيانات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N('[21]بيانات العقد'!$C$17)</f>
        <v/>
      </c>
    </row>
    <row r="7">
      <c r="AA7" s="15" t="inlineStr">
        <is>
          <t>قيمة العقد المعدلة</t>
        </is>
      </c>
      <c r="AB7" s="16">
        <f>N('[21]بيانات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N('[21]بيانات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N('[21]بيانات العقد'!$C$21)</f>
        <v/>
      </c>
    </row>
    <row r="10">
      <c r="AA10" s="15" t="inlineStr">
        <is>
          <t>نسبة ضمان الأعمال</t>
        </is>
      </c>
      <c r="AB10" s="23">
        <f>N('[21]بيانات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N('[21]بيانات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N('[21]بيانات العقد'!$C$31)</f>
        <v/>
      </c>
    </row>
    <row r="13">
      <c r="AA13" s="15" t="inlineStr">
        <is>
          <t>ضريبة الاستقطاع (غير المقيم)</t>
        </is>
      </c>
      <c r="AB13" s="23">
        <f>N('[21]بيانات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IF('[21]بيانات العقد'!$C$11="","",'[21]بيانات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IF('[21]بيانات العقد'!$C$13="","",'[21]بيانات العقد'!$C$13)</f>
        <v/>
      </c>
    </row>
    <row r="16">
      <c r="AA16" s="15" t="inlineStr">
        <is>
          <t>المدة (شهر)</t>
        </is>
      </c>
      <c r="AB16" s="43">
        <f>IF('[21]بيانات العقد'!$C$12="","",'[21]بيانات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IF('[21]بيانات العقد'!$C$36="","",'[21]بيانات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IF('[21]بيانات العقد'!$C$37="","",'[21]بيانات العقد'!$C$37)</f>
        <v/>
      </c>
    </row>
    <row r="19">
      <c r="AA19" s="15" t="inlineStr">
        <is>
          <t>الرقم الضريبي لصاحب العمل</t>
        </is>
      </c>
      <c r="AB19" s="48">
        <f>IF('[21]بيانات العقد'!$C$39="","",'[21]بيانات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IF('[21]بيانات العقد'!$C$42="","",'[21]بيانات العقد'!$C$42)</f>
        <v/>
      </c>
    </row>
    <row r="21" ht="32" customHeight="1">
      <c r="B21" s="50">
        <f>N('[21]الموازنة والتكاليف'!$D$66)</f>
        <v/>
      </c>
      <c r="C21" s="50" t="n"/>
      <c r="D21" s="50" t="n"/>
      <c r="E21" s="50" t="n"/>
      <c r="F21" s="50">
        <f>N('[21]الموازنة والتكاليف'!$D$70)</f>
        <v/>
      </c>
      <c r="G21" s="50" t="n"/>
      <c r="H21" s="50" t="n"/>
      <c r="I21" s="50" t="n"/>
      <c r="J21" s="50">
        <f>N('[21]الموازنة والتكاليف'!$D$72)</f>
        <v/>
      </c>
      <c r="K21" s="50" t="n"/>
      <c r="L21" s="50" t="n"/>
      <c r="M21" s="50" t="n"/>
      <c r="N21" s="51">
        <f>N('[21]الموازنة والتكاليف'!$D$73)</f>
        <v/>
      </c>
      <c r="O21" s="51" t="n"/>
      <c r="P21" s="51" t="n"/>
      <c r="Q21" s="51" t="n"/>
      <c r="R21" s="52">
        <f>N('[21]الموازنة والتكاليف'!$D$74)</f>
        <v/>
      </c>
      <c r="S21" s="52" t="n"/>
      <c r="T21" s="52" t="n"/>
      <c r="U21" s="52" t="n"/>
      <c r="V21" s="50">
        <f>N('[21]الموازنة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IF('[21]بيانات العقد'!$C$43="","",'[21]بيانات العقد'!$C$43)</f>
        <v/>
      </c>
    </row>
    <row r="22">
      <c r="AA22" s="15" t="inlineStr">
        <is>
          <t>حالة غرامات التأخير</t>
        </is>
      </c>
      <c r="AB22" s="45">
        <f>IF('[21]بيانات العقد'!$C$47="","",'[21]بيانات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IF('[21]سجل المستخلصات'!$C$6="","",'[21]سجل المستخلصات'!$C$6)</f>
        <v/>
      </c>
      <c r="D25" s="57">
        <f>IF('[21]سجل المستخلصات'!$E$6="","",'[21]سجل المستخلصات'!$E$6)</f>
        <v/>
      </c>
      <c r="E25" s="58">
        <f>IF('[21]سجل المستخلصات'!$F$6="","",'[21]سجل المستخلصات'!$F$6)</f>
        <v/>
      </c>
      <c r="F25" s="59">
        <f>IF('[21]سجل المستخلصات'!$H$6="","",'[21]سجل المستخلصات'!$H$6)</f>
        <v/>
      </c>
      <c r="G25" s="59">
        <f>IF('[21]سجل المستخلصات'!$G$6="","",'[21]سجل المستخلصات'!$G$6)</f>
        <v/>
      </c>
      <c r="H25" s="59">
        <f>IF('[21]سجل المستخلصات'!$I$6="","",'[21]سجل المستخلصات'!$I$6)</f>
        <v/>
      </c>
      <c r="I25" s="59">
        <f>IF('[21]سجل المستخلصات'!$J$6="","",'[21]سجل المستخلصات'!$J$6)</f>
        <v/>
      </c>
      <c r="J25" s="59">
        <f>IF('[21]سجل المستخلصات'!$K$6="","",'[21]سجل المستخلصات'!$K$6)</f>
        <v/>
      </c>
      <c r="K25" s="60">
        <f>IF('[21]سجل المستخلصات'!$L$6="","",'[21]سجل المستخلصات'!$L$6)</f>
        <v/>
      </c>
      <c r="L25" s="60">
        <f>IF('[21]سجل المستخلصات'!$M$6="","",'[21]سجل المستخلصات'!$M$6)</f>
        <v/>
      </c>
      <c r="M25" s="60">
        <f>IF('[21]سجل المستخلصات'!$N$6="","",'[21]سجل المستخلصات'!$N$6)</f>
        <v/>
      </c>
      <c r="N25" s="59">
        <f>IF('[21]سجل المستخلصات'!$O$6="","",'[21]سجل المستخلصات'!$O$6)</f>
        <v/>
      </c>
      <c r="O25" s="59">
        <f>IF('[21]سجل المستخلصات'!$R$6="","",'[21]سجل المستخلصات'!$R$6)</f>
        <v/>
      </c>
      <c r="P25" s="59">
        <f>IF('[21]سجل المستخلصات'!$S$6="","",'[21]سجل المستخلصات'!$S$6)</f>
        <v/>
      </c>
      <c r="Q25" s="59">
        <f>IF('[21]سجل المستخلصات'!$T$6="","",'[21]سجل المستخلصات'!$T$6)</f>
        <v/>
      </c>
      <c r="R25" s="59">
        <f>IF('[21]سجل المستخلصات'!$V$6="","",'[21]سجل المستخلصات'!$V$6)</f>
        <v/>
      </c>
      <c r="S25" s="59">
        <f>IF('[21]سجل المستخلصات'!$W$6="","",'[21]سجل المستخلصات'!$W$6)</f>
        <v/>
      </c>
      <c r="T25" s="61">
        <f>IF('[21]سجل المستخلصات'!$X$6="","",'[21]سجل المستخلصات'!$X$6)</f>
        <v/>
      </c>
      <c r="U25" s="61">
        <f>IF('[21]سجل المستخلصات'!$Z$6="","",'[21]سجل المستخلصات'!$Z$6)</f>
        <v/>
      </c>
      <c r="V25" s="59">
        <f>IF('[21]سجل المستخلصات'!$AA$6="","",'[21]سجل المستخلصات'!$AA$6)</f>
        <v/>
      </c>
      <c r="W25" s="59">
        <f>IF('[21]سجل المستخلصات'!$AC$6="","",'[21]سجل المستخلصات'!$AC$6)</f>
        <v/>
      </c>
      <c r="X25" s="62">
        <f>IF('[21]سجل المستخلصات'!$AD$6="","",'[21]سجل المستخلصات'!$AD$6)</f>
        <v/>
      </c>
      <c r="Y25" s="58">
        <f>IF('[21]سجل المستخلصات'!$AE$6="","",'[21]سجل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IF('[21]سجل المستخلصات'!$C$7="","",'[21]سجل المستخلصات'!$C$7)</f>
        <v/>
      </c>
      <c r="D26" s="57">
        <f>IF('[21]سجل المستخلصات'!$E$7="","",'[21]سجل المستخلصات'!$E$7)</f>
        <v/>
      </c>
      <c r="E26" s="58">
        <f>IF('[21]سجل المستخلصات'!$F$7="","",'[21]سجل المستخلصات'!$F$7)</f>
        <v/>
      </c>
      <c r="F26" s="59">
        <f>IF('[21]سجل المستخلصات'!$H$7="","",'[21]سجل المستخلصات'!$H$7)</f>
        <v/>
      </c>
      <c r="G26" s="59">
        <f>IF('[21]سجل المستخلصات'!$G$7="","",'[21]سجل المستخلصات'!$G$7)</f>
        <v/>
      </c>
      <c r="H26" s="59">
        <f>IF('[21]سجل المستخلصات'!$I$7="","",'[21]سجل المستخلصات'!$I$7)</f>
        <v/>
      </c>
      <c r="I26" s="59">
        <f>IF('[21]سجل المستخلصات'!$J$7="","",'[21]سجل المستخلصات'!$J$7)</f>
        <v/>
      </c>
      <c r="J26" s="59">
        <f>IF('[21]سجل المستخلصات'!$K$7="","",'[21]سجل المستخلصات'!$K$7)</f>
        <v/>
      </c>
      <c r="K26" s="60">
        <f>IF('[21]سجل المستخلصات'!$L$7="","",'[21]سجل المستخلصات'!$L$7)</f>
        <v/>
      </c>
      <c r="L26" s="60">
        <f>IF('[21]سجل المستخلصات'!$M$7="","",'[21]سجل المستخلصات'!$M$7)</f>
        <v/>
      </c>
      <c r="M26" s="60">
        <f>IF('[21]سجل المستخلصات'!$N$7="","",'[21]سجل المستخلصات'!$N$7)</f>
        <v/>
      </c>
      <c r="N26" s="59">
        <f>IF('[21]سجل المستخلصات'!$O$7="","",'[21]سجل المستخلصات'!$O$7)</f>
        <v/>
      </c>
      <c r="O26" s="59">
        <f>IF('[21]سجل المستخلصات'!$R$7="","",'[21]سجل المستخلصات'!$R$7)</f>
        <v/>
      </c>
      <c r="P26" s="59">
        <f>IF('[21]سجل المستخلصات'!$S$7="","",'[21]سجل المستخلصات'!$S$7)</f>
        <v/>
      </c>
      <c r="Q26" s="59">
        <f>IF('[21]سجل المستخلصات'!$T$7="","",'[21]سجل المستخلصات'!$T$7)</f>
        <v/>
      </c>
      <c r="R26" s="59">
        <f>IF('[21]سجل المستخلصات'!$V$7="","",'[21]سجل المستخلصات'!$V$7)</f>
        <v/>
      </c>
      <c r="S26" s="59">
        <f>IF('[21]سجل المستخلصات'!$W$7="","",'[21]سجل المستخلصات'!$W$7)</f>
        <v/>
      </c>
      <c r="T26" s="61">
        <f>IF('[21]سجل المستخلصات'!$X$7="","",'[21]سجل المستخلصات'!$X$7)</f>
        <v/>
      </c>
      <c r="U26" s="61">
        <f>IF('[21]سجل المستخلصات'!$Z$7="","",'[21]سجل المستخلصات'!$Z$7)</f>
        <v/>
      </c>
      <c r="V26" s="59">
        <f>IF('[21]سجل المستخلصات'!$AA$7="","",'[21]سجل المستخلصات'!$AA$7)</f>
        <v/>
      </c>
      <c r="W26" s="59">
        <f>IF('[21]سجل المستخلصات'!$AC$7="","",'[21]سجل المستخلصات'!$AC$7)</f>
        <v/>
      </c>
      <c r="X26" s="62">
        <f>IF('[21]سجل المستخلصات'!$AD$7="","",'[21]سجل المستخلصات'!$AD$7)</f>
        <v/>
      </c>
      <c r="Y26" s="58">
        <f>IF('[21]سجل المستخلصات'!$AE$7="","",'[21]سجل المستخلصات'!$AE$7)</f>
        <v/>
      </c>
      <c r="AA26" s="63" t="n"/>
      <c r="AB26" s="63" t="n"/>
    </row>
    <row r="27">
      <c r="B27" s="56" t="n">
        <v>3</v>
      </c>
      <c r="C27" s="57">
        <f>IF('[21]سجل المستخلصات'!$C$8="","",'[21]سجل المستخلصات'!$C$8)</f>
        <v/>
      </c>
      <c r="D27" s="57">
        <f>IF('[21]سجل المستخلصات'!$E$8="","",'[21]سجل المستخلصات'!$E$8)</f>
        <v/>
      </c>
      <c r="E27" s="58">
        <f>IF('[21]سجل المستخلصات'!$F$8="","",'[21]سجل المستخلصات'!$F$8)</f>
        <v/>
      </c>
      <c r="F27" s="59">
        <f>IF('[21]سجل المستخلصات'!$H$8="","",'[21]سجل المستخلصات'!$H$8)</f>
        <v/>
      </c>
      <c r="G27" s="59">
        <f>IF('[21]سجل المستخلصات'!$G$8="","",'[21]سجل المستخلصات'!$G$8)</f>
        <v/>
      </c>
      <c r="H27" s="59">
        <f>IF('[21]سجل المستخلصات'!$I$8="","",'[21]سجل المستخلصات'!$I$8)</f>
        <v/>
      </c>
      <c r="I27" s="59">
        <f>IF('[21]سجل المستخلصات'!$J$8="","",'[21]سجل المستخلصات'!$J$8)</f>
        <v/>
      </c>
      <c r="J27" s="59">
        <f>IF('[21]سجل المستخلصات'!$K$8="","",'[21]سجل المستخلصات'!$K$8)</f>
        <v/>
      </c>
      <c r="K27" s="60">
        <f>IF('[21]سجل المستخلصات'!$L$8="","",'[21]سجل المستخلصات'!$L$8)</f>
        <v/>
      </c>
      <c r="L27" s="60">
        <f>IF('[21]سجل المستخلصات'!$M$8="","",'[21]سجل المستخلصات'!$M$8)</f>
        <v/>
      </c>
      <c r="M27" s="60">
        <f>IF('[21]سجل المستخلصات'!$N$8="","",'[21]سجل المستخلصات'!$N$8)</f>
        <v/>
      </c>
      <c r="N27" s="59">
        <f>IF('[21]سجل المستخلصات'!$O$8="","",'[21]سجل المستخلصات'!$O$8)</f>
        <v/>
      </c>
      <c r="O27" s="59">
        <f>IF('[21]سجل المستخلصات'!$R$8="","",'[21]سجل المستخلصات'!$R$8)</f>
        <v/>
      </c>
      <c r="P27" s="59">
        <f>IF('[21]سجل المستخلصات'!$S$8="","",'[21]سجل المستخلصات'!$S$8)</f>
        <v/>
      </c>
      <c r="Q27" s="59">
        <f>IF('[21]سجل المستخلصات'!$T$8="","",'[21]سجل المستخلصات'!$T$8)</f>
        <v/>
      </c>
      <c r="R27" s="59">
        <f>IF('[21]سجل المستخلصات'!$V$8="","",'[21]سجل المستخلصات'!$V$8)</f>
        <v/>
      </c>
      <c r="S27" s="59">
        <f>IF('[21]سجل المستخلصات'!$W$8="","",'[21]سجل المستخلصات'!$W$8)</f>
        <v/>
      </c>
      <c r="T27" s="61">
        <f>IF('[21]سجل المستخلصات'!$X$8="","",'[21]سجل المستخلصات'!$X$8)</f>
        <v/>
      </c>
      <c r="U27" s="61">
        <f>IF('[21]سجل المستخلصات'!$Z$8="","",'[21]سجل المستخلصات'!$Z$8)</f>
        <v/>
      </c>
      <c r="V27" s="59">
        <f>IF('[21]سجل المستخلصات'!$AA$8="","",'[21]سجل المستخلصات'!$AA$8)</f>
        <v/>
      </c>
      <c r="W27" s="59">
        <f>IF('[21]سجل المستخلصات'!$AC$8="","",'[21]سجل المستخلصات'!$AC$8)</f>
        <v/>
      </c>
      <c r="X27" s="62">
        <f>IF('[21]سجل المستخلصات'!$AD$8="","",'[21]سجل المستخلصات'!$AD$8)</f>
        <v/>
      </c>
      <c r="Y27" s="58">
        <f>IF('[21]سجل المستخلصات'!$AE$8="","",'[21]سجل المستخلصات'!$AE$8)</f>
        <v/>
      </c>
      <c r="AA27" s="63" t="n"/>
      <c r="AB27" s="63" t="n"/>
    </row>
    <row r="28">
      <c r="B28" s="56" t="n">
        <v>4</v>
      </c>
      <c r="C28" s="57">
        <f>IF('[21]سجل المستخلصات'!$C$9="","",'[21]سجل المستخلصات'!$C$9)</f>
        <v/>
      </c>
      <c r="D28" s="57">
        <f>IF('[21]سجل المستخلصات'!$E$9="","",'[21]سجل المستخلصات'!$E$9)</f>
        <v/>
      </c>
      <c r="E28" s="58">
        <f>IF('[21]سجل المستخلصات'!$F$9="","",'[21]سجل المستخلصات'!$F$9)</f>
        <v/>
      </c>
      <c r="F28" s="59">
        <f>IF('[21]سجل المستخلصات'!$H$9="","",'[21]سجل المستخلصات'!$H$9)</f>
        <v/>
      </c>
      <c r="G28" s="59">
        <f>IF('[21]سجل المستخلصات'!$G$9="","",'[21]سجل المستخلصات'!$G$9)</f>
        <v/>
      </c>
      <c r="H28" s="59">
        <f>IF('[21]سجل المستخلصات'!$I$9="","",'[21]سجل المستخلصات'!$I$9)</f>
        <v/>
      </c>
      <c r="I28" s="59">
        <f>IF('[21]سجل المستخلصات'!$J$9="","",'[21]سجل المستخلصات'!$J$9)</f>
        <v/>
      </c>
      <c r="J28" s="59">
        <f>IF('[21]سجل المستخلصات'!$K$9="","",'[21]سجل المستخلصات'!$K$9)</f>
        <v/>
      </c>
      <c r="K28" s="60">
        <f>IF('[21]سجل المستخلصات'!$L$9="","",'[21]سجل المستخلصات'!$L$9)</f>
        <v/>
      </c>
      <c r="L28" s="60">
        <f>IF('[21]سجل المستخلصات'!$M$9="","",'[21]سجل المستخلصات'!$M$9)</f>
        <v/>
      </c>
      <c r="M28" s="60">
        <f>IF('[21]سجل المستخلصات'!$N$9="","",'[21]سجل المستخلصات'!$N$9)</f>
        <v/>
      </c>
      <c r="N28" s="59">
        <f>IF('[21]سجل المستخلصات'!$O$9="","",'[21]سجل المستخلصات'!$O$9)</f>
        <v/>
      </c>
      <c r="O28" s="59">
        <f>IF('[21]سجل المستخلصات'!$R$9="","",'[21]سجل المستخلصات'!$R$9)</f>
        <v/>
      </c>
      <c r="P28" s="59">
        <f>IF('[21]سجل المستخلصات'!$S$9="","",'[21]سجل المستخلصات'!$S$9)</f>
        <v/>
      </c>
      <c r="Q28" s="59">
        <f>IF('[21]سجل المستخلصات'!$T$9="","",'[21]سجل المستخلصات'!$T$9)</f>
        <v/>
      </c>
      <c r="R28" s="59">
        <f>IF('[21]سجل المستخلصات'!$V$9="","",'[21]سجل المستخلصات'!$V$9)</f>
        <v/>
      </c>
      <c r="S28" s="59">
        <f>IF('[21]سجل المستخلصات'!$W$9="","",'[21]سجل المستخلصات'!$W$9)</f>
        <v/>
      </c>
      <c r="T28" s="61">
        <f>IF('[21]سجل المستخلصات'!$X$9="","",'[21]سجل المستخلصات'!$X$9)</f>
        <v/>
      </c>
      <c r="U28" s="61">
        <f>IF('[21]سجل المستخلصات'!$Z$9="","",'[21]سجل المستخلصات'!$Z$9)</f>
        <v/>
      </c>
      <c r="V28" s="59">
        <f>IF('[21]سجل المستخلصات'!$AA$9="","",'[21]سجل المستخلصات'!$AA$9)</f>
        <v/>
      </c>
      <c r="W28" s="59">
        <f>IF('[21]سجل المستخلصات'!$AC$9="","",'[21]سجل المستخلصات'!$AC$9)</f>
        <v/>
      </c>
      <c r="X28" s="62">
        <f>IF('[21]سجل المستخلصات'!$AD$9="","",'[21]سجل المستخلصات'!$AD$9)</f>
        <v/>
      </c>
      <c r="Y28" s="58">
        <f>IF('[21]سجل المستخلصات'!$AE$9="","",'[21]سجل المستخلصات'!$AE$9)</f>
        <v/>
      </c>
      <c r="AA28" s="63" t="n"/>
      <c r="AB28" s="63" t="n"/>
    </row>
    <row r="29">
      <c r="B29" s="56" t="n">
        <v>5</v>
      </c>
      <c r="C29" s="57">
        <f>IF('[21]سجل المستخلصات'!$C$10="","",'[21]سجل المستخلصات'!$C$10)</f>
        <v/>
      </c>
      <c r="D29" s="57">
        <f>IF('[21]سجل المستخلصات'!$E$10="","",'[21]سجل المستخلصات'!$E$10)</f>
        <v/>
      </c>
      <c r="E29" s="58">
        <f>IF('[21]سجل المستخلصات'!$F$10="","",'[21]سجل المستخلصات'!$F$10)</f>
        <v/>
      </c>
      <c r="F29" s="59">
        <f>IF('[21]سجل المستخلصات'!$H$10="","",'[21]سجل المستخلصات'!$H$10)</f>
        <v/>
      </c>
      <c r="G29" s="59">
        <f>IF('[21]سجل المستخلصات'!$G$10="","",'[21]سجل المستخلصات'!$G$10)</f>
        <v/>
      </c>
      <c r="H29" s="59">
        <f>IF('[21]سجل المستخلصات'!$I$10="","",'[21]سجل المستخلصات'!$I$10)</f>
        <v/>
      </c>
      <c r="I29" s="59">
        <f>IF('[21]سجل المستخلصات'!$J$10="","",'[21]سجل المستخلصات'!$J$10)</f>
        <v/>
      </c>
      <c r="J29" s="59">
        <f>IF('[21]سجل المستخلصات'!$K$10="","",'[21]سجل المستخلصات'!$K$10)</f>
        <v/>
      </c>
      <c r="K29" s="60">
        <f>IF('[21]سجل المستخلصات'!$L$10="","",'[21]سجل المستخلصات'!$L$10)</f>
        <v/>
      </c>
      <c r="L29" s="60">
        <f>IF('[21]سجل المستخلصات'!$M$10="","",'[21]سجل المستخلصات'!$M$10)</f>
        <v/>
      </c>
      <c r="M29" s="60">
        <f>IF('[21]سجل المستخلصات'!$N$10="","",'[21]سجل المستخلصات'!$N$10)</f>
        <v/>
      </c>
      <c r="N29" s="59">
        <f>IF('[21]سجل المستخلصات'!$O$10="","",'[21]سجل المستخلصات'!$O$10)</f>
        <v/>
      </c>
      <c r="O29" s="59">
        <f>IF('[21]سجل المستخلصات'!$R$10="","",'[21]سجل المستخلصات'!$R$10)</f>
        <v/>
      </c>
      <c r="P29" s="59">
        <f>IF('[21]سجل المستخلصات'!$S$10="","",'[21]سجل المستخلصات'!$S$10)</f>
        <v/>
      </c>
      <c r="Q29" s="59">
        <f>IF('[21]سجل المستخلصات'!$T$10="","",'[21]سجل المستخلصات'!$T$10)</f>
        <v/>
      </c>
      <c r="R29" s="59">
        <f>IF('[21]سجل المستخلصات'!$V$10="","",'[21]سجل المستخلصات'!$V$10)</f>
        <v/>
      </c>
      <c r="S29" s="59">
        <f>IF('[21]سجل المستخلصات'!$W$10="","",'[21]سجل المستخلصات'!$W$10)</f>
        <v/>
      </c>
      <c r="T29" s="61">
        <f>IF('[21]سجل المستخلصات'!$X$10="","",'[21]سجل المستخلصات'!$X$10)</f>
        <v/>
      </c>
      <c r="U29" s="61">
        <f>IF('[21]سجل المستخلصات'!$Z$10="","",'[21]سجل المستخلصات'!$Z$10)</f>
        <v/>
      </c>
      <c r="V29" s="59">
        <f>IF('[21]سجل المستخلصات'!$AA$10="","",'[21]سجل المستخلصات'!$AA$10)</f>
        <v/>
      </c>
      <c r="W29" s="59">
        <f>IF('[21]سجل المستخلصات'!$AC$10="","",'[21]سجل المستخلصات'!$AC$10)</f>
        <v/>
      </c>
      <c r="X29" s="62">
        <f>IF('[21]سجل المستخلصات'!$AD$10="","",'[21]سجل المستخلصات'!$AD$10)</f>
        <v/>
      </c>
      <c r="Y29" s="58">
        <f>IF('[21]سجل المستخلصات'!$AE$10="","",'[21]سجل المستخلصات'!$AE$10)</f>
        <v/>
      </c>
    </row>
    <row r="30">
      <c r="B30" s="56" t="n">
        <v>6</v>
      </c>
      <c r="C30" s="57">
        <f>IF('[21]سجل المستخلصات'!$C$11="","",'[21]سجل المستخلصات'!$C$11)</f>
        <v/>
      </c>
      <c r="D30" s="57">
        <f>IF('[21]سجل المستخلصات'!$E$11="","",'[21]سجل المستخلصات'!$E$11)</f>
        <v/>
      </c>
      <c r="E30" s="58">
        <f>IF('[21]سجل المستخلصات'!$F$11="","",'[21]سجل المستخلصات'!$F$11)</f>
        <v/>
      </c>
      <c r="F30" s="59">
        <f>IF('[21]سجل المستخلصات'!$H$11="","",'[21]سجل المستخلصات'!$H$11)</f>
        <v/>
      </c>
      <c r="G30" s="59">
        <f>IF('[21]سجل المستخلصات'!$G$11="","",'[21]سجل المستخلصات'!$G$11)</f>
        <v/>
      </c>
      <c r="H30" s="59">
        <f>IF('[21]سجل المستخلصات'!$I$11="","",'[21]سجل المستخلصات'!$I$11)</f>
        <v/>
      </c>
      <c r="I30" s="59">
        <f>IF('[21]سجل المستخلصات'!$J$11="","",'[21]سجل المستخلصات'!$J$11)</f>
        <v/>
      </c>
      <c r="J30" s="59">
        <f>IF('[21]سجل المستخلصات'!$K$11="","",'[21]سجل المستخلصات'!$K$11)</f>
        <v/>
      </c>
      <c r="K30" s="60">
        <f>IF('[21]سجل المستخلصات'!$L$11="","",'[21]سجل المستخلصات'!$L$11)</f>
        <v/>
      </c>
      <c r="L30" s="60">
        <f>IF('[21]سجل المستخلصات'!$M$11="","",'[21]سجل المستخلصات'!$M$11)</f>
        <v/>
      </c>
      <c r="M30" s="60">
        <f>IF('[21]سجل المستخلصات'!$N$11="","",'[21]سجل المستخلصات'!$N$11)</f>
        <v/>
      </c>
      <c r="N30" s="59">
        <f>IF('[21]سجل المستخلصات'!$O$11="","",'[21]سجل المستخلصات'!$O$11)</f>
        <v/>
      </c>
      <c r="O30" s="59">
        <f>IF('[21]سجل المستخلصات'!$R$11="","",'[21]سجل المستخلصات'!$R$11)</f>
        <v/>
      </c>
      <c r="P30" s="59">
        <f>IF('[21]سجل المستخلصات'!$S$11="","",'[21]سجل المستخلصات'!$S$11)</f>
        <v/>
      </c>
      <c r="Q30" s="59">
        <f>IF('[21]سجل المستخلصات'!$T$11="","",'[21]سجل المستخلصات'!$T$11)</f>
        <v/>
      </c>
      <c r="R30" s="59">
        <f>IF('[21]سجل المستخلصات'!$V$11="","",'[21]سجل المستخلصات'!$V$11)</f>
        <v/>
      </c>
      <c r="S30" s="59">
        <f>IF('[21]سجل المستخلصات'!$W$11="","",'[21]سجل المستخلصات'!$W$11)</f>
        <v/>
      </c>
      <c r="T30" s="61">
        <f>IF('[21]سجل المستخلصات'!$X$11="","",'[21]سجل المستخلصات'!$X$11)</f>
        <v/>
      </c>
      <c r="U30" s="61">
        <f>IF('[21]سجل المستخلصات'!$Z$11="","",'[21]سجل المستخلصات'!$Z$11)</f>
        <v/>
      </c>
      <c r="V30" s="59">
        <f>IF('[21]سجل المستخلصات'!$AA$11="","",'[21]سجل المستخلصات'!$AA$11)</f>
        <v/>
      </c>
      <c r="W30" s="59">
        <f>IF('[21]سجل المستخلصات'!$AC$11="","",'[21]سجل المستخلصات'!$AC$11)</f>
        <v/>
      </c>
      <c r="X30" s="62">
        <f>IF('[21]سجل المستخلصات'!$AD$11="","",'[21]سجل المستخلصات'!$AD$11)</f>
        <v/>
      </c>
      <c r="Y30" s="58">
        <f>IF('[21]سجل المستخلصات'!$AE$11="","",'[21]سجل المستخلصات'!$AE$11)</f>
        <v/>
      </c>
    </row>
    <row r="31">
      <c r="B31" s="56" t="n">
        <v>7</v>
      </c>
      <c r="C31" s="57">
        <f>IF('[21]سجل المستخلصات'!$C$12="","",'[21]سجل المستخلصات'!$C$12)</f>
        <v/>
      </c>
      <c r="D31" s="57">
        <f>IF('[21]سجل المستخلصات'!$E$12="","",'[21]سجل المستخلصات'!$E$12)</f>
        <v/>
      </c>
      <c r="E31" s="58">
        <f>IF('[21]سجل المستخلصات'!$F$12="","",'[21]سجل المستخلصات'!$F$12)</f>
        <v/>
      </c>
      <c r="F31" s="59">
        <f>IF('[21]سجل المستخلصات'!$H$12="","",'[21]سجل المستخلصات'!$H$12)</f>
        <v/>
      </c>
      <c r="G31" s="59">
        <f>IF('[21]سجل المستخلصات'!$G$12="","",'[21]سجل المستخلصات'!$G$12)</f>
        <v/>
      </c>
      <c r="H31" s="59">
        <f>IF('[21]سجل المستخلصات'!$I$12="","",'[21]سجل المستخلصات'!$I$12)</f>
        <v/>
      </c>
      <c r="I31" s="59">
        <f>IF('[21]سجل المستخلصات'!$J$12="","",'[21]سجل المستخلصات'!$J$12)</f>
        <v/>
      </c>
      <c r="J31" s="59">
        <f>IF('[21]سجل المستخلصات'!$K$12="","",'[21]سجل المستخلصات'!$K$12)</f>
        <v/>
      </c>
      <c r="K31" s="60">
        <f>IF('[21]سجل المستخلصات'!$L$12="","",'[21]سجل المستخلصات'!$L$12)</f>
        <v/>
      </c>
      <c r="L31" s="60">
        <f>IF('[21]سجل المستخلصات'!$M$12="","",'[21]سجل المستخلصات'!$M$12)</f>
        <v/>
      </c>
      <c r="M31" s="60">
        <f>IF('[21]سجل المستخلصات'!$N$12="","",'[21]سجل المستخلصات'!$N$12)</f>
        <v/>
      </c>
      <c r="N31" s="59">
        <f>IF('[21]سجل المستخلصات'!$O$12="","",'[21]سجل المستخلصات'!$O$12)</f>
        <v/>
      </c>
      <c r="O31" s="59">
        <f>IF('[21]سجل المستخلصات'!$R$12="","",'[21]سجل المستخلصات'!$R$12)</f>
        <v/>
      </c>
      <c r="P31" s="59">
        <f>IF('[21]سجل المستخلصات'!$S$12="","",'[21]سجل المستخلصات'!$S$12)</f>
        <v/>
      </c>
      <c r="Q31" s="59">
        <f>IF('[21]سجل المستخلصات'!$T$12="","",'[21]سجل المستخلصات'!$T$12)</f>
        <v/>
      </c>
      <c r="R31" s="59">
        <f>IF('[21]سجل المستخلصات'!$V$12="","",'[21]سجل المستخلصات'!$V$12)</f>
        <v/>
      </c>
      <c r="S31" s="59">
        <f>IF('[21]سجل المستخلصات'!$W$12="","",'[21]سجل المستخلصات'!$W$12)</f>
        <v/>
      </c>
      <c r="T31" s="61">
        <f>IF('[21]سجل المستخلصات'!$X$12="","",'[21]سجل المستخلصات'!$X$12)</f>
        <v/>
      </c>
      <c r="U31" s="61">
        <f>IF('[21]سجل المستخلصات'!$Z$12="","",'[21]سجل المستخلصات'!$Z$12)</f>
        <v/>
      </c>
      <c r="V31" s="59">
        <f>IF('[21]سجل المستخلصات'!$AA$12="","",'[21]سجل المستخلصات'!$AA$12)</f>
        <v/>
      </c>
      <c r="W31" s="59">
        <f>IF('[21]سجل المستخلصات'!$AC$12="","",'[21]سجل المستخلصات'!$AC$12)</f>
        <v/>
      </c>
      <c r="X31" s="62">
        <f>IF('[21]سجل المستخلصات'!$AD$12="","",'[21]سجل المستخلصات'!$AD$12)</f>
        <v/>
      </c>
      <c r="Y31" s="58">
        <f>IF('[21]سجل المستخلصات'!$AE$12="","",'[21]سجل المستخلصات'!$AE$12)</f>
        <v/>
      </c>
    </row>
    <row r="32">
      <c r="B32" s="56" t="n">
        <v>8</v>
      </c>
      <c r="C32" s="57">
        <f>IF('[21]سجل المستخلصات'!$C$13="","",'[21]سجل المستخلصات'!$C$13)</f>
        <v/>
      </c>
      <c r="D32" s="57">
        <f>IF('[21]سجل المستخلصات'!$E$13="","",'[21]سجل المستخلصات'!$E$13)</f>
        <v/>
      </c>
      <c r="E32" s="58">
        <f>IF('[21]سجل المستخلصات'!$F$13="","",'[21]سجل المستخلصات'!$F$13)</f>
        <v/>
      </c>
      <c r="F32" s="59">
        <f>IF('[21]سجل المستخلصات'!$H$13="","",'[21]سجل المستخلصات'!$H$13)</f>
        <v/>
      </c>
      <c r="G32" s="59">
        <f>IF('[21]سجل المستخلصات'!$G$13="","",'[21]سجل المستخلصات'!$G$13)</f>
        <v/>
      </c>
      <c r="H32" s="59">
        <f>IF('[21]سجل المستخلصات'!$I$13="","",'[21]سجل المستخلصات'!$I$13)</f>
        <v/>
      </c>
      <c r="I32" s="59">
        <f>IF('[21]سجل المستخلصات'!$J$13="","",'[21]سجل المستخلصات'!$J$13)</f>
        <v/>
      </c>
      <c r="J32" s="59">
        <f>IF('[21]سجل المستخلصات'!$K$13="","",'[21]سجل المستخلصات'!$K$13)</f>
        <v/>
      </c>
      <c r="K32" s="60">
        <f>IF('[21]سجل المستخلصات'!$L$13="","",'[21]سجل المستخلصات'!$L$13)</f>
        <v/>
      </c>
      <c r="L32" s="60">
        <f>IF('[21]سجل المستخلصات'!$M$13="","",'[21]سجل المستخلصات'!$M$13)</f>
        <v/>
      </c>
      <c r="M32" s="60">
        <f>IF('[21]سجل المستخلصات'!$N$13="","",'[21]سجل المستخلصات'!$N$13)</f>
        <v/>
      </c>
      <c r="N32" s="59">
        <f>IF('[21]سجل المستخلصات'!$O$13="","",'[21]سجل المستخلصات'!$O$13)</f>
        <v/>
      </c>
      <c r="O32" s="59">
        <f>IF('[21]سجل المستخلصات'!$R$13="","",'[21]سجل المستخلصات'!$R$13)</f>
        <v/>
      </c>
      <c r="P32" s="59">
        <f>IF('[21]سجل المستخلصات'!$S$13="","",'[21]سجل المستخلصات'!$S$13)</f>
        <v/>
      </c>
      <c r="Q32" s="59">
        <f>IF('[21]سجل المستخلصات'!$T$13="","",'[21]سجل المستخلصات'!$T$13)</f>
        <v/>
      </c>
      <c r="R32" s="59">
        <f>IF('[21]سجل المستخلصات'!$V$13="","",'[21]سجل المستخلصات'!$V$13)</f>
        <v/>
      </c>
      <c r="S32" s="59">
        <f>IF('[21]سجل المستخلصات'!$W$13="","",'[21]سجل المستخلصات'!$W$13)</f>
        <v/>
      </c>
      <c r="T32" s="61">
        <f>IF('[21]سجل المستخلصات'!$X$13="","",'[21]سجل المستخلصات'!$X$13)</f>
        <v/>
      </c>
      <c r="U32" s="61">
        <f>IF('[21]سجل المستخلصات'!$Z$13="","",'[21]سجل المستخلصات'!$Z$13)</f>
        <v/>
      </c>
      <c r="V32" s="59">
        <f>IF('[21]سجل المستخلصات'!$AA$13="","",'[21]سجل المستخلصات'!$AA$13)</f>
        <v/>
      </c>
      <c r="W32" s="59">
        <f>IF('[21]سجل المستخلصات'!$AC$13="","",'[21]سجل المستخلصات'!$AC$13)</f>
        <v/>
      </c>
      <c r="X32" s="62">
        <f>IF('[21]سجل المستخلصات'!$AD$13="","",'[21]سجل المستخلصات'!$AD$13)</f>
        <v/>
      </c>
      <c r="Y32" s="58">
        <f>IF('[21]سجل المستخلصات'!$AE$13="","",'[21]سجل المستخلصات'!$AE$13)</f>
        <v/>
      </c>
    </row>
    <row r="33">
      <c r="B33" s="56" t="n">
        <v>9</v>
      </c>
      <c r="C33" s="57">
        <f>IF('[21]سجل المستخلصات'!$C$14="","",'[21]سجل المستخلصات'!$C$14)</f>
        <v/>
      </c>
      <c r="D33" s="57">
        <f>IF('[21]سجل المستخلصات'!$E$14="","",'[21]سجل المستخلصات'!$E$14)</f>
        <v/>
      </c>
      <c r="E33" s="58">
        <f>IF('[21]سجل المستخلصات'!$F$14="","",'[21]سجل المستخلصات'!$F$14)</f>
        <v/>
      </c>
      <c r="F33" s="59">
        <f>IF('[21]سجل المستخلصات'!$H$14="","",'[21]سجل المستخلصات'!$H$14)</f>
        <v/>
      </c>
      <c r="G33" s="59">
        <f>IF('[21]سجل المستخلصات'!$G$14="","",'[21]سجل المستخلصات'!$G$14)</f>
        <v/>
      </c>
      <c r="H33" s="59">
        <f>IF('[21]سجل المستخلصات'!$I$14="","",'[21]سجل المستخلصات'!$I$14)</f>
        <v/>
      </c>
      <c r="I33" s="59">
        <f>IF('[21]سجل المستخلصات'!$J$14="","",'[21]سجل المستخلصات'!$J$14)</f>
        <v/>
      </c>
      <c r="J33" s="59">
        <f>IF('[21]سجل المستخلصات'!$K$14="","",'[21]سجل المستخلصات'!$K$14)</f>
        <v/>
      </c>
      <c r="K33" s="60">
        <f>IF('[21]سجل المستخلصات'!$L$14="","",'[21]سجل المستخلصات'!$L$14)</f>
        <v/>
      </c>
      <c r="L33" s="60">
        <f>IF('[21]سجل المستخلصات'!$M$14="","",'[21]سجل المستخلصات'!$M$14)</f>
        <v/>
      </c>
      <c r="M33" s="60">
        <f>IF('[21]سجل المستخلصات'!$N$14="","",'[21]سجل المستخلصات'!$N$14)</f>
        <v/>
      </c>
      <c r="N33" s="59">
        <f>IF('[21]سجل المستخلصات'!$O$14="","",'[21]سجل المستخلصات'!$O$14)</f>
        <v/>
      </c>
      <c r="O33" s="59">
        <f>IF('[21]سجل المستخلصات'!$R$14="","",'[21]سجل المستخلصات'!$R$14)</f>
        <v/>
      </c>
      <c r="P33" s="59">
        <f>IF('[21]سجل المستخلصات'!$S$14="","",'[21]سجل المستخلصات'!$S$14)</f>
        <v/>
      </c>
      <c r="Q33" s="59">
        <f>IF('[21]سجل المستخلصات'!$T$14="","",'[21]سجل المستخلصات'!$T$14)</f>
        <v/>
      </c>
      <c r="R33" s="59">
        <f>IF('[21]سجل المستخلصات'!$V$14="","",'[21]سجل المستخلصات'!$V$14)</f>
        <v/>
      </c>
      <c r="S33" s="59">
        <f>IF('[21]سجل المستخلصات'!$W$14="","",'[21]سجل المستخلصات'!$W$14)</f>
        <v/>
      </c>
      <c r="T33" s="61">
        <f>IF('[21]سجل المستخلصات'!$X$14="","",'[21]سجل المستخلصات'!$X$14)</f>
        <v/>
      </c>
      <c r="U33" s="61">
        <f>IF('[21]سجل المستخلصات'!$Z$14="","",'[21]سجل المستخلصات'!$Z$14)</f>
        <v/>
      </c>
      <c r="V33" s="59">
        <f>IF('[21]سجل المستخلصات'!$AA$14="","",'[21]سجل المستخلصات'!$AA$14)</f>
        <v/>
      </c>
      <c r="W33" s="59">
        <f>IF('[21]سجل المستخلصات'!$AC$14="","",'[21]سجل المستخلصات'!$AC$14)</f>
        <v/>
      </c>
      <c r="X33" s="62">
        <f>IF('[21]سجل المستخلصات'!$AD$14="","",'[21]سجل المستخلصات'!$AD$14)</f>
        <v/>
      </c>
      <c r="Y33" s="58">
        <f>IF('[21]سجل المستخلصات'!$AE$14="","",'[21]سجل المستخلصات'!$AE$14)</f>
        <v/>
      </c>
    </row>
    <row r="34">
      <c r="B34" s="56" t="n">
        <v>10</v>
      </c>
      <c r="C34" s="57">
        <f>IF('[21]سجل المستخلصات'!$C$15="","",'[21]سجل المستخلصات'!$C$15)</f>
        <v/>
      </c>
      <c r="D34" s="57">
        <f>IF('[21]سجل المستخلصات'!$E$15="","",'[21]سجل المستخلصات'!$E$15)</f>
        <v/>
      </c>
      <c r="E34" s="58">
        <f>IF('[21]سجل المستخلصات'!$F$15="","",'[21]سجل المستخلصات'!$F$15)</f>
        <v/>
      </c>
      <c r="F34" s="59">
        <f>IF('[21]سجل المستخلصات'!$H$15="","",'[21]سجل المستخلصات'!$H$15)</f>
        <v/>
      </c>
      <c r="G34" s="59">
        <f>IF('[21]سجل المستخلصات'!$G$15="","",'[21]سجل المستخلصات'!$G$15)</f>
        <v/>
      </c>
      <c r="H34" s="59">
        <f>IF('[21]سجل المستخلصات'!$I$15="","",'[21]سجل المستخلصات'!$I$15)</f>
        <v/>
      </c>
      <c r="I34" s="59">
        <f>IF('[21]سجل المستخلصات'!$J$15="","",'[21]سجل المستخلصات'!$J$15)</f>
        <v/>
      </c>
      <c r="J34" s="59">
        <f>IF('[21]سجل المستخلصات'!$K$15="","",'[21]سجل المستخلصات'!$K$15)</f>
        <v/>
      </c>
      <c r="K34" s="60">
        <f>IF('[21]سجل المستخلصات'!$L$15="","",'[21]سجل المستخلصات'!$L$15)</f>
        <v/>
      </c>
      <c r="L34" s="60">
        <f>IF('[21]سجل المستخلصات'!$M$15="","",'[21]سجل المستخلصات'!$M$15)</f>
        <v/>
      </c>
      <c r="M34" s="60">
        <f>IF('[21]سجل المستخلصات'!$N$15="","",'[21]سجل المستخلصات'!$N$15)</f>
        <v/>
      </c>
      <c r="N34" s="59">
        <f>IF('[21]سجل المستخلصات'!$O$15="","",'[21]سجل المستخلصات'!$O$15)</f>
        <v/>
      </c>
      <c r="O34" s="59">
        <f>IF('[21]سجل المستخلصات'!$R$15="","",'[21]سجل المستخلصات'!$R$15)</f>
        <v/>
      </c>
      <c r="P34" s="59">
        <f>IF('[21]سجل المستخلصات'!$S$15="","",'[21]سجل المستخلصات'!$S$15)</f>
        <v/>
      </c>
      <c r="Q34" s="59">
        <f>IF('[21]سجل المستخلصات'!$T$15="","",'[21]سجل المستخلصات'!$T$15)</f>
        <v/>
      </c>
      <c r="R34" s="59">
        <f>IF('[21]سجل المستخلصات'!$V$15="","",'[21]سجل المستخلصات'!$V$15)</f>
        <v/>
      </c>
      <c r="S34" s="59">
        <f>IF('[21]سجل المستخلصات'!$W$15="","",'[21]سجل المستخلصات'!$W$15)</f>
        <v/>
      </c>
      <c r="T34" s="61">
        <f>IF('[21]سجل المستخلصات'!$X$15="","",'[21]سجل المستخلصات'!$X$15)</f>
        <v/>
      </c>
      <c r="U34" s="61">
        <f>IF('[21]سجل المستخلصات'!$Z$15="","",'[21]سجل المستخلصات'!$Z$15)</f>
        <v/>
      </c>
      <c r="V34" s="59">
        <f>IF('[21]سجل المستخلصات'!$AA$15="","",'[21]سجل المستخلصات'!$AA$15)</f>
        <v/>
      </c>
      <c r="W34" s="59">
        <f>IF('[21]سجل المستخلصات'!$AC$15="","",'[21]سجل المستخلصات'!$AC$15)</f>
        <v/>
      </c>
      <c r="X34" s="62">
        <f>IF('[21]سجل المستخلصات'!$AD$15="","",'[21]سجل المستخلصات'!$AD$15)</f>
        <v/>
      </c>
      <c r="Y34" s="58">
        <f>IF('[21]سجل المستخلصات'!$AE$15="","",'[21]سجل المستخلصات'!$AE$15)</f>
        <v/>
      </c>
    </row>
    <row r="35">
      <c r="B35" s="56" t="n">
        <v>11</v>
      </c>
      <c r="C35" s="57">
        <f>IF('[21]سجل المستخلصات'!$C$16="","",'[21]سجل المستخلصات'!$C$16)</f>
        <v/>
      </c>
      <c r="D35" s="57">
        <f>IF('[21]سجل المستخلصات'!$E$16="","",'[21]سجل المستخلصات'!$E$16)</f>
        <v/>
      </c>
      <c r="E35" s="58">
        <f>IF('[21]سجل المستخلصات'!$F$16="","",'[21]سجل المستخلصات'!$F$16)</f>
        <v/>
      </c>
      <c r="F35" s="59">
        <f>IF('[21]سجل المستخلصات'!$H$16="","",'[21]سجل المستخلصات'!$H$16)</f>
        <v/>
      </c>
      <c r="G35" s="59">
        <f>IF('[21]سجل المستخلصات'!$G$16="","",'[21]سجل المستخلصات'!$G$16)</f>
        <v/>
      </c>
      <c r="H35" s="59">
        <f>IF('[21]سجل المستخلصات'!$I$16="","",'[21]سجل المستخلصات'!$I$16)</f>
        <v/>
      </c>
      <c r="I35" s="59">
        <f>IF('[21]سجل المستخلصات'!$J$16="","",'[21]سجل المستخلصات'!$J$16)</f>
        <v/>
      </c>
      <c r="J35" s="59">
        <f>IF('[21]سجل المستخلصات'!$K$16="","",'[21]سجل المستخلصات'!$K$16)</f>
        <v/>
      </c>
      <c r="K35" s="60">
        <f>IF('[21]سجل المستخلصات'!$L$16="","",'[21]سجل المستخلصات'!$L$16)</f>
        <v/>
      </c>
      <c r="L35" s="60">
        <f>IF('[21]سجل المستخلصات'!$M$16="","",'[21]سجل المستخلصات'!$M$16)</f>
        <v/>
      </c>
      <c r="M35" s="60">
        <f>IF('[21]سجل المستخلصات'!$N$16="","",'[21]سجل المستخلصات'!$N$16)</f>
        <v/>
      </c>
      <c r="N35" s="59">
        <f>IF('[21]سجل المستخلصات'!$O$16="","",'[21]سجل المستخلصات'!$O$16)</f>
        <v/>
      </c>
      <c r="O35" s="59">
        <f>IF('[21]سجل المستخلصات'!$R$16="","",'[21]سجل المستخلصات'!$R$16)</f>
        <v/>
      </c>
      <c r="P35" s="59">
        <f>IF('[21]سجل المستخلصات'!$S$16="","",'[21]سجل المستخلصات'!$S$16)</f>
        <v/>
      </c>
      <c r="Q35" s="59">
        <f>IF('[21]سجل المستخلصات'!$T$16="","",'[21]سجل المستخلصات'!$T$16)</f>
        <v/>
      </c>
      <c r="R35" s="59">
        <f>IF('[21]سجل المستخلصات'!$V$16="","",'[21]سجل المستخلصات'!$V$16)</f>
        <v/>
      </c>
      <c r="S35" s="59">
        <f>IF('[21]سجل المستخلصات'!$W$16="","",'[21]سجل المستخلصات'!$W$16)</f>
        <v/>
      </c>
      <c r="T35" s="61">
        <f>IF('[21]سجل المستخلصات'!$X$16="","",'[21]سجل المستخلصات'!$X$16)</f>
        <v/>
      </c>
      <c r="U35" s="61">
        <f>IF('[21]سجل المستخلصات'!$Z$16="","",'[21]سجل المستخلصات'!$Z$16)</f>
        <v/>
      </c>
      <c r="V35" s="59">
        <f>IF('[21]سجل المستخلصات'!$AA$16="","",'[21]سجل المستخلصات'!$AA$16)</f>
        <v/>
      </c>
      <c r="W35" s="59">
        <f>IF('[21]سجل المستخلصات'!$AC$16="","",'[21]سجل المستخلصات'!$AC$16)</f>
        <v/>
      </c>
      <c r="X35" s="62">
        <f>IF('[21]سجل المستخلصات'!$AD$16="","",'[21]سجل المستخلصات'!$AD$16)</f>
        <v/>
      </c>
      <c r="Y35" s="58">
        <f>IF('[21]سجل المستخلصات'!$AE$16="","",'[21]سجل المستخلصات'!$AE$16)</f>
        <v/>
      </c>
    </row>
    <row r="36">
      <c r="B36" s="56" t="n">
        <v>12</v>
      </c>
      <c r="C36" s="57">
        <f>IF('[21]سجل المستخلصات'!$C$17="","",'[21]سجل المستخلصات'!$C$17)</f>
        <v/>
      </c>
      <c r="D36" s="57">
        <f>IF('[21]سجل المستخلصات'!$E$17="","",'[21]سجل المستخلصات'!$E$17)</f>
        <v/>
      </c>
      <c r="E36" s="58">
        <f>IF('[21]سجل المستخلصات'!$F$17="","",'[21]سجل المستخلصات'!$F$17)</f>
        <v/>
      </c>
      <c r="F36" s="59">
        <f>IF('[21]سجل المستخلصات'!$H$17="","",'[21]سجل المستخلصات'!$H$17)</f>
        <v/>
      </c>
      <c r="G36" s="59">
        <f>IF('[21]سجل المستخلصات'!$G$17="","",'[21]سجل المستخلصات'!$G$17)</f>
        <v/>
      </c>
      <c r="H36" s="59">
        <f>IF('[21]سجل المستخلصات'!$I$17="","",'[21]سجل المستخلصات'!$I$17)</f>
        <v/>
      </c>
      <c r="I36" s="59">
        <f>IF('[21]سجل المستخلصات'!$J$17="","",'[21]سجل المستخلصات'!$J$17)</f>
        <v/>
      </c>
      <c r="J36" s="59">
        <f>IF('[21]سجل المستخلصات'!$K$17="","",'[21]سجل المستخلصات'!$K$17)</f>
        <v/>
      </c>
      <c r="K36" s="60">
        <f>IF('[21]سجل المستخلصات'!$L$17="","",'[21]سجل المستخلصات'!$L$17)</f>
        <v/>
      </c>
      <c r="L36" s="60">
        <f>IF('[21]سجل المستخلصات'!$M$17="","",'[21]سجل المستخلصات'!$M$17)</f>
        <v/>
      </c>
      <c r="M36" s="60">
        <f>IF('[21]سجل المستخلصات'!$N$17="","",'[21]سجل المستخلصات'!$N$17)</f>
        <v/>
      </c>
      <c r="N36" s="59">
        <f>IF('[21]سجل المستخلصات'!$O$17="","",'[21]سجل المستخلصات'!$O$17)</f>
        <v/>
      </c>
      <c r="O36" s="59">
        <f>IF('[21]سجل المستخلصات'!$R$17="","",'[21]سجل المستخلصات'!$R$17)</f>
        <v/>
      </c>
      <c r="P36" s="59">
        <f>IF('[21]سجل المستخلصات'!$S$17="","",'[21]سجل المستخلصات'!$S$17)</f>
        <v/>
      </c>
      <c r="Q36" s="59">
        <f>IF('[21]سجل المستخلصات'!$T$17="","",'[21]سجل المستخلصات'!$T$17)</f>
        <v/>
      </c>
      <c r="R36" s="59">
        <f>IF('[21]سجل المستخلصات'!$V$17="","",'[21]سجل المستخلصات'!$V$17)</f>
        <v/>
      </c>
      <c r="S36" s="59">
        <f>IF('[21]سجل المستخلصات'!$W$17="","",'[21]سجل المستخلصات'!$W$17)</f>
        <v/>
      </c>
      <c r="T36" s="61">
        <f>IF('[21]سجل المستخلصات'!$X$17="","",'[21]سجل المستخلصات'!$X$17)</f>
        <v/>
      </c>
      <c r="U36" s="61">
        <f>IF('[21]سجل المستخلصات'!$Z$17="","",'[21]سجل المستخلصات'!$Z$17)</f>
        <v/>
      </c>
      <c r="V36" s="59">
        <f>IF('[21]سجل المستخلصات'!$AA$17="","",'[21]سجل المستخلصات'!$AA$17)</f>
        <v/>
      </c>
      <c r="W36" s="59">
        <f>IF('[21]سجل المستخلصات'!$AC$17="","",'[21]سجل المستخلصات'!$AC$17)</f>
        <v/>
      </c>
      <c r="X36" s="62">
        <f>IF('[21]سجل المستخلصات'!$AD$17="","",'[21]سجل المستخلصات'!$AD$17)</f>
        <v/>
      </c>
      <c r="Y36" s="58">
        <f>IF('[21]سجل المستخلصات'!$AE$17="","",'[21]سجل المستخلصات'!$AE$17)</f>
        <v/>
      </c>
    </row>
    <row r="37">
      <c r="B37" s="56" t="n">
        <v>13</v>
      </c>
      <c r="C37" s="57">
        <f>IF('[21]سجل المستخلصات'!$C$18="","",'[21]سجل المستخلصات'!$C$18)</f>
        <v/>
      </c>
      <c r="D37" s="57">
        <f>IF('[21]سجل المستخلصات'!$E$18="","",'[21]سجل المستخلصات'!$E$18)</f>
        <v/>
      </c>
      <c r="E37" s="58">
        <f>IF('[21]سجل المستخلصات'!$F$18="","",'[21]سجل المستخلصات'!$F$18)</f>
        <v/>
      </c>
      <c r="F37" s="59">
        <f>IF('[21]سجل المستخلصات'!$H$18="","",'[21]سجل المستخلصات'!$H$18)</f>
        <v/>
      </c>
      <c r="G37" s="59">
        <f>IF('[21]سجل المستخلصات'!$G$18="","",'[21]سجل المستخلصات'!$G$18)</f>
        <v/>
      </c>
      <c r="H37" s="59">
        <f>IF('[21]سجل المستخلصات'!$I$18="","",'[21]سجل المستخلصات'!$I$18)</f>
        <v/>
      </c>
      <c r="I37" s="59">
        <f>IF('[21]سجل المستخلصات'!$J$18="","",'[21]سجل المستخلصات'!$J$18)</f>
        <v/>
      </c>
      <c r="J37" s="59">
        <f>IF('[21]سجل المستخلصات'!$K$18="","",'[21]سجل المستخلصات'!$K$18)</f>
        <v/>
      </c>
      <c r="K37" s="60">
        <f>IF('[21]سجل المستخلصات'!$L$18="","",'[21]سجل المستخلصات'!$L$18)</f>
        <v/>
      </c>
      <c r="L37" s="60">
        <f>IF('[21]سجل المستخلصات'!$M$18="","",'[21]سجل المستخلصات'!$M$18)</f>
        <v/>
      </c>
      <c r="M37" s="60">
        <f>IF('[21]سجل المستخلصات'!$N$18="","",'[21]سجل المستخلصات'!$N$18)</f>
        <v/>
      </c>
      <c r="N37" s="59">
        <f>IF('[21]سجل المستخلصات'!$O$18="","",'[21]سجل المستخلصات'!$O$18)</f>
        <v/>
      </c>
      <c r="O37" s="59">
        <f>IF('[21]سجل المستخلصات'!$R$18="","",'[21]سجل المستخلصات'!$R$18)</f>
        <v/>
      </c>
      <c r="P37" s="59">
        <f>IF('[21]سجل المستخلصات'!$S$18="","",'[21]سجل المستخلصات'!$S$18)</f>
        <v/>
      </c>
      <c r="Q37" s="59">
        <f>IF('[21]سجل المستخلصات'!$T$18="","",'[21]سجل المستخلصات'!$T$18)</f>
        <v/>
      </c>
      <c r="R37" s="59">
        <f>IF('[21]سجل المستخلصات'!$V$18="","",'[21]سجل المستخلصات'!$V$18)</f>
        <v/>
      </c>
      <c r="S37" s="59">
        <f>IF('[21]سجل المستخلصات'!$W$18="","",'[21]سجل المستخلصات'!$W$18)</f>
        <v/>
      </c>
      <c r="T37" s="61">
        <f>IF('[21]سجل المستخلصات'!$X$18="","",'[21]سجل المستخلصات'!$X$18)</f>
        <v/>
      </c>
      <c r="U37" s="61">
        <f>IF('[21]سجل المستخلصات'!$Z$18="","",'[21]سجل المستخلصات'!$Z$18)</f>
        <v/>
      </c>
      <c r="V37" s="59">
        <f>IF('[21]سجل المستخلصات'!$AA$18="","",'[21]سجل المستخلصات'!$AA$18)</f>
        <v/>
      </c>
      <c r="W37" s="59">
        <f>IF('[21]سجل المستخلصات'!$AC$18="","",'[21]سجل المستخلصات'!$AC$18)</f>
        <v/>
      </c>
      <c r="X37" s="62">
        <f>IF('[21]سجل المستخلصات'!$AD$18="","",'[21]سجل المستخلصات'!$AD$18)</f>
        <v/>
      </c>
      <c r="Y37" s="58">
        <f>IF('[21]سجل المستخلصات'!$AE$18="","",'[21]سجل المستخلصات'!$AE$18)</f>
        <v/>
      </c>
    </row>
    <row r="38">
      <c r="B38" s="56" t="n">
        <v>14</v>
      </c>
      <c r="C38" s="57">
        <f>IF('[21]سجل المستخلصات'!$C$19="","",'[21]سجل المستخلصات'!$C$19)</f>
        <v/>
      </c>
      <c r="D38" s="57">
        <f>IF('[21]سجل المستخلصات'!$E$19="","",'[21]سجل المستخلصات'!$E$19)</f>
        <v/>
      </c>
      <c r="E38" s="58">
        <f>IF('[21]سجل المستخلصات'!$F$19="","",'[21]سجل المستخلصات'!$F$19)</f>
        <v/>
      </c>
      <c r="F38" s="59">
        <f>IF('[21]سجل المستخلصات'!$H$19="","",'[21]سجل المستخلصات'!$H$19)</f>
        <v/>
      </c>
      <c r="G38" s="59">
        <f>IF('[21]سجل المستخلصات'!$G$19="","",'[21]سجل المستخلصات'!$G$19)</f>
        <v/>
      </c>
      <c r="H38" s="59">
        <f>IF('[21]سجل المستخلصات'!$I$19="","",'[21]سجل المستخلصات'!$I$19)</f>
        <v/>
      </c>
      <c r="I38" s="59">
        <f>IF('[21]سجل المستخلصات'!$J$19="","",'[21]سجل المستخلصات'!$J$19)</f>
        <v/>
      </c>
      <c r="J38" s="59">
        <f>IF('[21]سجل المستخلصات'!$K$19="","",'[21]سجل المستخلصات'!$K$19)</f>
        <v/>
      </c>
      <c r="K38" s="60">
        <f>IF('[21]سجل المستخلصات'!$L$19="","",'[21]سجل المستخلصات'!$L$19)</f>
        <v/>
      </c>
      <c r="L38" s="60">
        <f>IF('[21]سجل المستخلصات'!$M$19="","",'[21]سجل المستخلصات'!$M$19)</f>
        <v/>
      </c>
      <c r="M38" s="60">
        <f>IF('[21]سجل المستخلصات'!$N$19="","",'[21]سجل المستخلصات'!$N$19)</f>
        <v/>
      </c>
      <c r="N38" s="59">
        <f>IF('[21]سجل المستخلصات'!$O$19="","",'[21]سجل المستخلصات'!$O$19)</f>
        <v/>
      </c>
      <c r="O38" s="59">
        <f>IF('[21]سجل المستخلصات'!$R$19="","",'[21]سجل المستخلصات'!$R$19)</f>
        <v/>
      </c>
      <c r="P38" s="59">
        <f>IF('[21]سجل المستخلصات'!$S$19="","",'[21]سجل المستخلصات'!$S$19)</f>
        <v/>
      </c>
      <c r="Q38" s="59">
        <f>IF('[21]سجل المستخلصات'!$T$19="","",'[21]سجل المستخلصات'!$T$19)</f>
        <v/>
      </c>
      <c r="R38" s="59">
        <f>IF('[21]سجل المستخلصات'!$V$19="","",'[21]سجل المستخلصات'!$V$19)</f>
        <v/>
      </c>
      <c r="S38" s="59">
        <f>IF('[21]سجل المستخلصات'!$W$19="","",'[21]سجل المستخلصات'!$W$19)</f>
        <v/>
      </c>
      <c r="T38" s="61">
        <f>IF('[21]سجل المستخلصات'!$X$19="","",'[21]سجل المستخلصات'!$X$19)</f>
        <v/>
      </c>
      <c r="U38" s="61">
        <f>IF('[21]سجل المستخلصات'!$Z$19="","",'[21]سجل المستخلصات'!$Z$19)</f>
        <v/>
      </c>
      <c r="V38" s="59">
        <f>IF('[21]سجل المستخلصات'!$AA$19="","",'[21]سجل المستخلصات'!$AA$19)</f>
        <v/>
      </c>
      <c r="W38" s="59">
        <f>IF('[21]سجل المستخلصات'!$AC$19="","",'[21]سجل المستخلصات'!$AC$19)</f>
        <v/>
      </c>
      <c r="X38" s="62">
        <f>IF('[21]سجل المستخلصات'!$AD$19="","",'[21]سجل المستخلصات'!$AD$19)</f>
        <v/>
      </c>
      <c r="Y38" s="58">
        <f>IF('[21]سجل المستخلصات'!$AE$19="","",'[21]سجل المستخلصات'!$AE$19)</f>
        <v/>
      </c>
    </row>
    <row r="39">
      <c r="B39" s="56" t="n">
        <v>15</v>
      </c>
      <c r="C39" s="57">
        <f>IF('[21]سجل المستخلصات'!$C$20="","",'[21]سجل المستخلصات'!$C$20)</f>
        <v/>
      </c>
      <c r="D39" s="57">
        <f>IF('[21]سجل المستخلصات'!$E$20="","",'[21]سجل المستخلصات'!$E$20)</f>
        <v/>
      </c>
      <c r="E39" s="58">
        <f>IF('[21]سجل المستخلصات'!$F$20="","",'[21]سجل المستخلصات'!$F$20)</f>
        <v/>
      </c>
      <c r="F39" s="59">
        <f>IF('[21]سجل المستخلصات'!$H$20="","",'[21]سجل المستخلصات'!$H$20)</f>
        <v/>
      </c>
      <c r="G39" s="59">
        <f>IF('[21]سجل المستخلصات'!$G$20="","",'[21]سجل المستخلصات'!$G$20)</f>
        <v/>
      </c>
      <c r="H39" s="59">
        <f>IF('[21]سجل المستخلصات'!$I$20="","",'[21]سجل المستخلصات'!$I$20)</f>
        <v/>
      </c>
      <c r="I39" s="59">
        <f>IF('[21]سجل المستخلصات'!$J$20="","",'[21]سجل المستخلصات'!$J$20)</f>
        <v/>
      </c>
      <c r="J39" s="59">
        <f>IF('[21]سجل المستخلصات'!$K$20="","",'[21]سجل المستخلصات'!$K$20)</f>
        <v/>
      </c>
      <c r="K39" s="60">
        <f>IF('[21]سجل المستخلصات'!$L$20="","",'[21]سجل المستخلصات'!$L$20)</f>
        <v/>
      </c>
      <c r="L39" s="60">
        <f>IF('[21]سجل المستخلصات'!$M$20="","",'[21]سجل المستخلصات'!$M$20)</f>
        <v/>
      </c>
      <c r="M39" s="60">
        <f>IF('[21]سجل المستخلصات'!$N$20="","",'[21]سجل المستخلصات'!$N$20)</f>
        <v/>
      </c>
      <c r="N39" s="59">
        <f>IF('[21]سجل المستخلصات'!$O$20="","",'[21]سجل المستخلصات'!$O$20)</f>
        <v/>
      </c>
      <c r="O39" s="59">
        <f>IF('[21]سجل المستخلصات'!$R$20="","",'[21]سجل المستخلصات'!$R$20)</f>
        <v/>
      </c>
      <c r="P39" s="59">
        <f>IF('[21]سجل المستخلصات'!$S$20="","",'[21]سجل المستخلصات'!$S$20)</f>
        <v/>
      </c>
      <c r="Q39" s="59">
        <f>IF('[21]سجل المستخلصات'!$T$20="","",'[21]سجل المستخلصات'!$T$20)</f>
        <v/>
      </c>
      <c r="R39" s="59">
        <f>IF('[21]سجل المستخلصات'!$V$20="","",'[21]سجل المستخلصات'!$V$20)</f>
        <v/>
      </c>
      <c r="S39" s="59">
        <f>IF('[21]سجل المستخلصات'!$W$20="","",'[21]سجل المستخلصات'!$W$20)</f>
        <v/>
      </c>
      <c r="T39" s="61">
        <f>IF('[21]سجل المستخلصات'!$X$20="","",'[21]سجل المستخلصات'!$X$20)</f>
        <v/>
      </c>
      <c r="U39" s="61">
        <f>IF('[21]سجل المستخلصات'!$Z$20="","",'[21]سجل المستخلصات'!$Z$20)</f>
        <v/>
      </c>
      <c r="V39" s="59">
        <f>IF('[21]سجل المستخلصات'!$AA$20="","",'[21]سجل المستخلصات'!$AA$20)</f>
        <v/>
      </c>
      <c r="W39" s="59">
        <f>IF('[21]سجل المستخلصات'!$AC$20="","",'[21]سجل المستخلصات'!$AC$20)</f>
        <v/>
      </c>
      <c r="X39" s="62">
        <f>IF('[21]سجل المستخلصات'!$AD$20="","",'[21]سجل المستخلصات'!$AD$20)</f>
        <v/>
      </c>
      <c r="Y39" s="58">
        <f>IF('[21]سجل المستخلصات'!$AE$20="","",'[21]سجل المستخلصات'!$AE$20)</f>
        <v/>
      </c>
    </row>
    <row r="40">
      <c r="B40" s="56" t="n">
        <v>16</v>
      </c>
      <c r="C40" s="57">
        <f>IF('[21]سجل المستخلصات'!$C$21="","",'[21]سجل المستخلصات'!$C$21)</f>
        <v/>
      </c>
      <c r="D40" s="57">
        <f>IF('[21]سجل المستخلصات'!$E$21="","",'[21]سجل المستخلصات'!$E$21)</f>
        <v/>
      </c>
      <c r="E40" s="58">
        <f>IF('[21]سجل المستخلصات'!$F$21="","",'[21]سجل المستخلصات'!$F$21)</f>
        <v/>
      </c>
      <c r="F40" s="59">
        <f>IF('[21]سجل المستخلصات'!$H$21="","",'[21]سجل المستخلصات'!$H$21)</f>
        <v/>
      </c>
      <c r="G40" s="59">
        <f>IF('[21]سجل المستخلصات'!$G$21="","",'[21]سجل المستخلصات'!$G$21)</f>
        <v/>
      </c>
      <c r="H40" s="59">
        <f>IF('[21]سجل المستخلصات'!$I$21="","",'[21]سجل المستخلصات'!$I$21)</f>
        <v/>
      </c>
      <c r="I40" s="59">
        <f>IF('[21]سجل المستخلصات'!$J$21="","",'[21]سجل المستخلصات'!$J$21)</f>
        <v/>
      </c>
      <c r="J40" s="59">
        <f>IF('[21]سجل المستخلصات'!$K$21="","",'[21]سجل المستخلصات'!$K$21)</f>
        <v/>
      </c>
      <c r="K40" s="60">
        <f>IF('[21]سجل المستخلصات'!$L$21="","",'[21]سجل المستخلصات'!$L$21)</f>
        <v/>
      </c>
      <c r="L40" s="60">
        <f>IF('[21]سجل المستخلصات'!$M$21="","",'[21]سجل المستخلصات'!$M$21)</f>
        <v/>
      </c>
      <c r="M40" s="60">
        <f>IF('[21]سجل المستخلصات'!$N$21="","",'[21]سجل المستخلصات'!$N$21)</f>
        <v/>
      </c>
      <c r="N40" s="59">
        <f>IF('[21]سجل المستخلصات'!$O$21="","",'[21]سجل المستخلصات'!$O$21)</f>
        <v/>
      </c>
      <c r="O40" s="59">
        <f>IF('[21]سجل المستخلصات'!$R$21="","",'[21]سجل المستخلصات'!$R$21)</f>
        <v/>
      </c>
      <c r="P40" s="59">
        <f>IF('[21]سجل المستخلصات'!$S$21="","",'[21]سجل المستخلصات'!$S$21)</f>
        <v/>
      </c>
      <c r="Q40" s="59">
        <f>IF('[21]سجل المستخلصات'!$T$21="","",'[21]سجل المستخلصات'!$T$21)</f>
        <v/>
      </c>
      <c r="R40" s="59">
        <f>IF('[21]سجل المستخلصات'!$V$21="","",'[21]سجل المستخلصات'!$V$21)</f>
        <v/>
      </c>
      <c r="S40" s="59">
        <f>IF('[21]سجل المستخلصات'!$W$21="","",'[21]سجل المستخلصات'!$W$21)</f>
        <v/>
      </c>
      <c r="T40" s="61">
        <f>IF('[21]سجل المستخلصات'!$X$21="","",'[21]سجل المستخلصات'!$X$21)</f>
        <v/>
      </c>
      <c r="U40" s="61">
        <f>IF('[21]سجل المستخلصات'!$Z$21="","",'[21]سجل المستخلصات'!$Z$21)</f>
        <v/>
      </c>
      <c r="V40" s="59">
        <f>IF('[21]سجل المستخلصات'!$AA$21="","",'[21]سجل المستخلصات'!$AA$21)</f>
        <v/>
      </c>
      <c r="W40" s="59">
        <f>IF('[21]سجل المستخلصات'!$AC$21="","",'[21]سجل المستخلصات'!$AC$21)</f>
        <v/>
      </c>
      <c r="X40" s="62">
        <f>IF('[21]سجل المستخلصات'!$AD$21="","",'[21]سجل المستخلصات'!$AD$21)</f>
        <v/>
      </c>
      <c r="Y40" s="58">
        <f>IF('[21]سجل المستخلصات'!$AE$21="","",'[21]سجل المستخلصات'!$AE$21)</f>
        <v/>
      </c>
    </row>
    <row r="41">
      <c r="B41" s="56" t="n">
        <v>17</v>
      </c>
      <c r="C41" s="57">
        <f>IF('[21]سجل المستخلصات'!$C$22="","",'[21]سجل المستخلصات'!$C$22)</f>
        <v/>
      </c>
      <c r="D41" s="57">
        <f>IF('[21]سجل المستخلصات'!$E$22="","",'[21]سجل المستخلصات'!$E$22)</f>
        <v/>
      </c>
      <c r="E41" s="58">
        <f>IF('[21]سجل المستخلصات'!$F$22="","",'[21]سجل المستخلصات'!$F$22)</f>
        <v/>
      </c>
      <c r="F41" s="59">
        <f>IF('[21]سجل المستخلصات'!$H$22="","",'[21]سجل المستخلصات'!$H$22)</f>
        <v/>
      </c>
      <c r="G41" s="59">
        <f>IF('[21]سجل المستخلصات'!$G$22="","",'[21]سجل المستخلصات'!$G$22)</f>
        <v/>
      </c>
      <c r="H41" s="59">
        <f>IF('[21]سجل المستخلصات'!$I$22="","",'[21]سجل المستخلصات'!$I$22)</f>
        <v/>
      </c>
      <c r="I41" s="59">
        <f>IF('[21]سجل المستخلصات'!$J$22="","",'[21]سجل المستخلصات'!$J$22)</f>
        <v/>
      </c>
      <c r="J41" s="59">
        <f>IF('[21]سجل المستخلصات'!$K$22="","",'[21]سجل المستخلصات'!$K$22)</f>
        <v/>
      </c>
      <c r="K41" s="60">
        <f>IF('[21]سجل المستخلصات'!$L$22="","",'[21]سجل المستخلصات'!$L$22)</f>
        <v/>
      </c>
      <c r="L41" s="60">
        <f>IF('[21]سجل المستخلصات'!$M$22="","",'[21]سجل المستخلصات'!$M$22)</f>
        <v/>
      </c>
      <c r="M41" s="60">
        <f>IF('[21]سجل المستخلصات'!$N$22="","",'[21]سجل المستخلصات'!$N$22)</f>
        <v/>
      </c>
      <c r="N41" s="59">
        <f>IF('[21]سجل المستخلصات'!$O$22="","",'[21]سجل المستخلصات'!$O$22)</f>
        <v/>
      </c>
      <c r="O41" s="59">
        <f>IF('[21]سجل المستخلصات'!$R$22="","",'[21]سجل المستخلصات'!$R$22)</f>
        <v/>
      </c>
      <c r="P41" s="59">
        <f>IF('[21]سجل المستخلصات'!$S$22="","",'[21]سجل المستخلصات'!$S$22)</f>
        <v/>
      </c>
      <c r="Q41" s="59">
        <f>IF('[21]سجل المستخلصات'!$T$22="","",'[21]سجل المستخلصات'!$T$22)</f>
        <v/>
      </c>
      <c r="R41" s="59">
        <f>IF('[21]سجل المستخلصات'!$V$22="","",'[21]سجل المستخلصات'!$V$22)</f>
        <v/>
      </c>
      <c r="S41" s="59">
        <f>IF('[21]سجل المستخلصات'!$W$22="","",'[21]سجل المستخلصات'!$W$22)</f>
        <v/>
      </c>
      <c r="T41" s="61">
        <f>IF('[21]سجل المستخلصات'!$X$22="","",'[21]سجل المستخلصات'!$X$22)</f>
        <v/>
      </c>
      <c r="U41" s="61">
        <f>IF('[21]سجل المستخلصات'!$Z$22="","",'[21]سجل المستخلصات'!$Z$22)</f>
        <v/>
      </c>
      <c r="V41" s="59">
        <f>IF('[21]سجل المستخلصات'!$AA$22="","",'[21]سجل المستخلصات'!$AA$22)</f>
        <v/>
      </c>
      <c r="W41" s="59">
        <f>IF('[21]سجل المستخلصات'!$AC$22="","",'[21]سجل المستخلصات'!$AC$22)</f>
        <v/>
      </c>
      <c r="X41" s="62">
        <f>IF('[21]سجل المستخلصات'!$AD$22="","",'[21]سجل المستخلصات'!$AD$22)</f>
        <v/>
      </c>
      <c r="Y41" s="58">
        <f>IF('[21]سجل المستخلصات'!$AE$22="","",'[21]سجل المستخلصات'!$AE$22)</f>
        <v/>
      </c>
    </row>
    <row r="42">
      <c r="B42" s="56" t="n">
        <v>18</v>
      </c>
      <c r="C42" s="57">
        <f>IF('[21]سجل المستخلصات'!$C$23="","",'[21]سجل المستخلصات'!$C$23)</f>
        <v/>
      </c>
      <c r="D42" s="57">
        <f>IF('[21]سجل المستخلصات'!$E$23="","",'[21]سجل المستخلصات'!$E$23)</f>
        <v/>
      </c>
      <c r="E42" s="58">
        <f>IF('[21]سجل المستخلصات'!$F$23="","",'[21]سجل المستخلصات'!$F$23)</f>
        <v/>
      </c>
      <c r="F42" s="59">
        <f>IF('[21]سجل المستخلصات'!$H$23="","",'[21]سجل المستخلصات'!$H$23)</f>
        <v/>
      </c>
      <c r="G42" s="59">
        <f>IF('[21]سجل المستخلصات'!$G$23="","",'[21]سجل المستخلصات'!$G$23)</f>
        <v/>
      </c>
      <c r="H42" s="59">
        <f>IF('[21]سجل المستخلصات'!$I$23="","",'[21]سجل المستخلصات'!$I$23)</f>
        <v/>
      </c>
      <c r="I42" s="59">
        <f>IF('[21]سجل المستخلصات'!$J$23="","",'[21]سجل المستخلصات'!$J$23)</f>
        <v/>
      </c>
      <c r="J42" s="59">
        <f>IF('[21]سجل المستخلصات'!$K$23="","",'[21]سجل المستخلصات'!$K$23)</f>
        <v/>
      </c>
      <c r="K42" s="60">
        <f>IF('[21]سجل المستخلصات'!$L$23="","",'[21]سجل المستخلصات'!$L$23)</f>
        <v/>
      </c>
      <c r="L42" s="60">
        <f>IF('[21]سجل المستخلصات'!$M$23="","",'[21]سجل المستخلصات'!$M$23)</f>
        <v/>
      </c>
      <c r="M42" s="60">
        <f>IF('[21]سجل المستخلصات'!$N$23="","",'[21]سجل المستخلصات'!$N$23)</f>
        <v/>
      </c>
      <c r="N42" s="59">
        <f>IF('[21]سجل المستخلصات'!$O$23="","",'[21]سجل المستخلصات'!$O$23)</f>
        <v/>
      </c>
      <c r="O42" s="59">
        <f>IF('[21]سجل المستخلصات'!$R$23="","",'[21]سجل المستخلصات'!$R$23)</f>
        <v/>
      </c>
      <c r="P42" s="59">
        <f>IF('[21]سجل المستخلصات'!$S$23="","",'[21]سجل المستخلصات'!$S$23)</f>
        <v/>
      </c>
      <c r="Q42" s="59">
        <f>IF('[21]سجل المستخلصات'!$T$23="","",'[21]سجل المستخلصات'!$T$23)</f>
        <v/>
      </c>
      <c r="R42" s="59">
        <f>IF('[21]سجل المستخلصات'!$V$23="","",'[21]سجل المستخلصات'!$V$23)</f>
        <v/>
      </c>
      <c r="S42" s="59">
        <f>IF('[21]سجل المستخلصات'!$W$23="","",'[21]سجل المستخلصات'!$W$23)</f>
        <v/>
      </c>
      <c r="T42" s="61">
        <f>IF('[21]سجل المستخلصات'!$X$23="","",'[21]سجل المستخلصات'!$X$23)</f>
        <v/>
      </c>
      <c r="U42" s="61">
        <f>IF('[21]سجل المستخلصات'!$Z$23="","",'[21]سجل المستخلصات'!$Z$23)</f>
        <v/>
      </c>
      <c r="V42" s="59">
        <f>IF('[21]سجل المستخلصات'!$AA$23="","",'[21]سجل المستخلصات'!$AA$23)</f>
        <v/>
      </c>
      <c r="W42" s="59">
        <f>IF('[21]سجل المستخلصات'!$AC$23="","",'[21]سجل المستخلصات'!$AC$23)</f>
        <v/>
      </c>
      <c r="X42" s="62">
        <f>IF('[21]سجل المستخلصات'!$AD$23="","",'[21]سجل المستخلصات'!$AD$23)</f>
        <v/>
      </c>
      <c r="Y42" s="58">
        <f>IF('[21]سجل المستخلصات'!$AE$23="","",'[21]سجل المستخلصات'!$AE$23)</f>
        <v/>
      </c>
    </row>
    <row r="43">
      <c r="B43" s="56" t="n">
        <v>19</v>
      </c>
      <c r="C43" s="57">
        <f>IF('[21]سجل المستخلصات'!$C$24="","",'[21]سجل المستخلصات'!$C$24)</f>
        <v/>
      </c>
      <c r="D43" s="57">
        <f>IF('[21]سجل المستخلصات'!$E$24="","",'[21]سجل المستخلصات'!$E$24)</f>
        <v/>
      </c>
      <c r="E43" s="58">
        <f>IF('[21]سجل المستخلصات'!$F$24="","",'[21]سجل المستخلصات'!$F$24)</f>
        <v/>
      </c>
      <c r="F43" s="59">
        <f>IF('[21]سجل المستخلصات'!$H$24="","",'[21]سجل المستخلصات'!$H$24)</f>
        <v/>
      </c>
      <c r="G43" s="59">
        <f>IF('[21]سجل المستخلصات'!$G$24="","",'[21]سجل المستخلصات'!$G$24)</f>
        <v/>
      </c>
      <c r="H43" s="59">
        <f>IF('[21]سجل المستخلصات'!$I$24="","",'[21]سجل المستخلصات'!$I$24)</f>
        <v/>
      </c>
      <c r="I43" s="59">
        <f>IF('[21]سجل المستخلصات'!$J$24="","",'[21]سجل المستخلصات'!$J$24)</f>
        <v/>
      </c>
      <c r="J43" s="59">
        <f>IF('[21]سجل المستخلصات'!$K$24="","",'[21]سجل المستخلصات'!$K$24)</f>
        <v/>
      </c>
      <c r="K43" s="60">
        <f>IF('[21]سجل المستخلصات'!$L$24="","",'[21]سجل المستخلصات'!$L$24)</f>
        <v/>
      </c>
      <c r="L43" s="60">
        <f>IF('[21]سجل المستخلصات'!$M$24="","",'[21]سجل المستخلصات'!$M$24)</f>
        <v/>
      </c>
      <c r="M43" s="60">
        <f>IF('[21]سجل المستخلصات'!$N$24="","",'[21]سجل المستخلصات'!$N$24)</f>
        <v/>
      </c>
      <c r="N43" s="59">
        <f>IF('[21]سجل المستخلصات'!$O$24="","",'[21]سجل المستخلصات'!$O$24)</f>
        <v/>
      </c>
      <c r="O43" s="59">
        <f>IF('[21]سجل المستخلصات'!$R$24="","",'[21]سجل المستخلصات'!$R$24)</f>
        <v/>
      </c>
      <c r="P43" s="59">
        <f>IF('[21]سجل المستخلصات'!$S$24="","",'[21]سجل المستخلصات'!$S$24)</f>
        <v/>
      </c>
      <c r="Q43" s="59">
        <f>IF('[21]سجل المستخلصات'!$T$24="","",'[21]سجل المستخلصات'!$T$24)</f>
        <v/>
      </c>
      <c r="R43" s="59">
        <f>IF('[21]سجل المستخلصات'!$V$24="","",'[21]سجل المستخلصات'!$V$24)</f>
        <v/>
      </c>
      <c r="S43" s="59">
        <f>IF('[21]سجل المستخلصات'!$W$24="","",'[21]سجل المستخلصات'!$W$24)</f>
        <v/>
      </c>
      <c r="T43" s="61">
        <f>IF('[21]سجل المستخلصات'!$X$24="","",'[21]سجل المستخلصات'!$X$24)</f>
        <v/>
      </c>
      <c r="U43" s="61">
        <f>IF('[21]سجل المستخلصات'!$Z$24="","",'[21]سجل المستخلصات'!$Z$24)</f>
        <v/>
      </c>
      <c r="V43" s="59">
        <f>IF('[21]سجل المستخلصات'!$AA$24="","",'[21]سجل المستخلصات'!$AA$24)</f>
        <v/>
      </c>
      <c r="W43" s="59">
        <f>IF('[21]سجل المستخلصات'!$AC$24="","",'[21]سجل المستخلصات'!$AC$24)</f>
        <v/>
      </c>
      <c r="X43" s="62">
        <f>IF('[21]سجل المستخلصات'!$AD$24="","",'[21]سجل المستخلصات'!$AD$24)</f>
        <v/>
      </c>
      <c r="Y43" s="58">
        <f>IF('[21]سجل المستخلصات'!$AE$24="","",'[21]سجل المستخلصات'!$AE$24)</f>
        <v/>
      </c>
    </row>
    <row r="44">
      <c r="B44" s="56" t="n">
        <v>20</v>
      </c>
      <c r="C44" s="57">
        <f>IF('[21]سجل المستخلصات'!$C$25="","",'[21]سجل المستخلصات'!$C$25)</f>
        <v/>
      </c>
      <c r="D44" s="57">
        <f>IF('[21]سجل المستخلصات'!$E$25="","",'[21]سجل المستخلصات'!$E$25)</f>
        <v/>
      </c>
      <c r="E44" s="58">
        <f>IF('[21]سجل المستخلصات'!$F$25="","",'[21]سجل المستخلصات'!$F$25)</f>
        <v/>
      </c>
      <c r="F44" s="59">
        <f>IF('[21]سجل المستخلصات'!$H$25="","",'[21]سجل المستخلصات'!$H$25)</f>
        <v/>
      </c>
      <c r="G44" s="59">
        <f>IF('[21]سجل المستخلصات'!$G$25="","",'[21]سجل المستخلصات'!$G$25)</f>
        <v/>
      </c>
      <c r="H44" s="59">
        <f>IF('[21]سجل المستخلصات'!$I$25="","",'[21]سجل المستخلصات'!$I$25)</f>
        <v/>
      </c>
      <c r="I44" s="59">
        <f>IF('[21]سجل المستخلصات'!$J$25="","",'[21]سجل المستخلصات'!$J$25)</f>
        <v/>
      </c>
      <c r="J44" s="59">
        <f>IF('[21]سجل المستخلصات'!$K$25="","",'[21]سجل المستخلصات'!$K$25)</f>
        <v/>
      </c>
      <c r="K44" s="60">
        <f>IF('[21]سجل المستخلصات'!$L$25="","",'[21]سجل المستخلصات'!$L$25)</f>
        <v/>
      </c>
      <c r="L44" s="60">
        <f>IF('[21]سجل المستخلصات'!$M$25="","",'[21]سجل المستخلصات'!$M$25)</f>
        <v/>
      </c>
      <c r="M44" s="60">
        <f>IF('[21]سجل المستخلصات'!$N$25="","",'[21]سجل المستخلصات'!$N$25)</f>
        <v/>
      </c>
      <c r="N44" s="59">
        <f>IF('[21]سجل المستخلصات'!$O$25="","",'[21]سجل المستخلصات'!$O$25)</f>
        <v/>
      </c>
      <c r="O44" s="59">
        <f>IF('[21]سجل المستخلصات'!$R$25="","",'[21]سجل المستخلصات'!$R$25)</f>
        <v/>
      </c>
      <c r="P44" s="59">
        <f>IF('[21]سجل المستخلصات'!$S$25="","",'[21]سجل المستخلصات'!$S$25)</f>
        <v/>
      </c>
      <c r="Q44" s="59">
        <f>IF('[21]سجل المستخلصات'!$T$25="","",'[21]سجل المستخلصات'!$T$25)</f>
        <v/>
      </c>
      <c r="R44" s="59">
        <f>IF('[21]سجل المستخلصات'!$V$25="","",'[21]سجل المستخلصات'!$V$25)</f>
        <v/>
      </c>
      <c r="S44" s="59">
        <f>IF('[21]سجل المستخلصات'!$W$25="","",'[21]سجل المستخلصات'!$W$25)</f>
        <v/>
      </c>
      <c r="T44" s="61">
        <f>IF('[21]سجل المستخلصات'!$X$25="","",'[21]سجل المستخلصات'!$X$25)</f>
        <v/>
      </c>
      <c r="U44" s="61">
        <f>IF('[21]سجل المستخلصات'!$Z$25="","",'[21]سجل المستخلصات'!$Z$25)</f>
        <v/>
      </c>
      <c r="V44" s="59">
        <f>IF('[21]سجل المستخلصات'!$AA$25="","",'[21]سجل المستخلصات'!$AA$25)</f>
        <v/>
      </c>
      <c r="W44" s="59">
        <f>IF('[21]سجل المستخلصات'!$AC$25="","",'[21]سجل المستخلصات'!$AC$25)</f>
        <v/>
      </c>
      <c r="X44" s="62">
        <f>IF('[21]سجل المستخلصات'!$AD$25="","",'[21]سجل المستخلصات'!$AD$25)</f>
        <v/>
      </c>
      <c r="Y44" s="58">
        <f>IF('[21]سجل المستخلصات'!$AE$25="","",'[21]سجل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IF('[21]سجل المستخلصات'!$B$32="","",'[21]سجل المستخلصات'!$B$32)</f>
        <v/>
      </c>
      <c r="C50" s="69" t="n"/>
      <c r="D50" s="69" t="n"/>
      <c r="E50" s="59">
        <f>N('[21]سجل المستخلصات'!$E$32)</f>
        <v/>
      </c>
      <c r="F50" s="59">
        <f>N('[21]سجل المستخلصات'!$F$32)</f>
        <v/>
      </c>
      <c r="G50" s="70">
        <f>IF(E50&gt;0,F50/E50,0)</f>
        <v/>
      </c>
    </row>
    <row r="51">
      <c r="B51" s="69">
        <f>IF('[21]سجل المستخلصات'!$B$33="","",'[21]سجل المستخلصات'!$B$33)</f>
        <v/>
      </c>
      <c r="C51" s="69" t="n"/>
      <c r="D51" s="69" t="n"/>
      <c r="E51" s="59">
        <f>N('[21]سجل المستخلصات'!$E$33)</f>
        <v/>
      </c>
      <c r="F51" s="59">
        <f>N('[21]سجل المستخلصات'!$F$33)</f>
        <v/>
      </c>
      <c r="G51" s="70">
        <f>IF(E51&gt;0,F51/E51,0)</f>
        <v/>
      </c>
    </row>
    <row r="52">
      <c r="B52" s="69">
        <f>IF('[21]سجل المستخلصات'!$B$34="","",'[21]سجل المستخلصات'!$B$34)</f>
        <v/>
      </c>
      <c r="C52" s="69" t="n"/>
      <c r="D52" s="69" t="n"/>
      <c r="E52" s="59">
        <f>N('[21]سجل المستخلصات'!$E$34)</f>
        <v/>
      </c>
      <c r="F52" s="59">
        <f>N('[21]سجل المستخلصات'!$F$34)</f>
        <v/>
      </c>
      <c r="G52" s="70">
        <f>IF(E52&gt;0,F52/E52,0)</f>
        <v/>
      </c>
    </row>
    <row r="53">
      <c r="B53" s="69">
        <f>IF('[21]سجل المستخلصات'!$B$35="","",'[21]سجل المستخلصات'!$B$35)</f>
        <v/>
      </c>
      <c r="C53" s="69" t="n"/>
      <c r="D53" s="69" t="n"/>
      <c r="E53" s="59">
        <f>N('[21]سجل المستخلصات'!$E$35)</f>
        <v/>
      </c>
      <c r="F53" s="59">
        <f>N('[21]سجل المستخلصات'!$F$35)</f>
        <v/>
      </c>
      <c r="G53" s="70">
        <f>IF(E53&gt;0,F53/E53,0)</f>
        <v/>
      </c>
    </row>
    <row r="54">
      <c r="B54" s="69">
        <f>IF('[21]سجل المستخلصات'!$B$36="","",'[21]سجل المستخلصات'!$B$36)</f>
        <v/>
      </c>
      <c r="C54" s="69" t="n"/>
      <c r="D54" s="69" t="n"/>
      <c r="E54" s="59">
        <f>N('[21]سجل المستخلصات'!$E$36)</f>
        <v/>
      </c>
      <c r="F54" s="59">
        <f>N('[21]سجل المستخلصات'!$F$36)</f>
        <v/>
      </c>
      <c r="G54" s="70">
        <f>IF(E54&gt;0,F54/E54,0)</f>
        <v/>
      </c>
    </row>
    <row r="55">
      <c r="B55" s="69">
        <f>IF('[21]سجل المستخلصات'!$B$37="","",'[21]سجل المستخلصات'!$B$37)</f>
        <v/>
      </c>
      <c r="C55" s="69" t="n"/>
      <c r="D55" s="69" t="n"/>
      <c r="E55" s="59">
        <f>N('[21]سجل المستخلصات'!$E$37)</f>
        <v/>
      </c>
      <c r="F55" s="59">
        <f>N('[21]سجل المستخلصات'!$F$37)</f>
        <v/>
      </c>
      <c r="G55" s="70">
        <f>IF(E55&gt;0,F55/E55,0)</f>
        <v/>
      </c>
    </row>
    <row r="56">
      <c r="B56" s="69">
        <f>IF('[21]سجل المستخلصات'!$B$38="","",'[21]سجل المستخلصات'!$B$38)</f>
        <v/>
      </c>
      <c r="C56" s="69" t="n"/>
      <c r="D56" s="69" t="n"/>
      <c r="E56" s="59">
        <f>N('[21]سجل المستخلصات'!$E$38)</f>
        <v/>
      </c>
      <c r="F56" s="59">
        <f>N('[21]سجل المستخلصات'!$F$38)</f>
        <v/>
      </c>
      <c r="G56" s="70">
        <f>IF(E56&gt;0,F56/E56,0)</f>
        <v/>
      </c>
    </row>
    <row r="57">
      <c r="B57" s="69">
        <f>IF('[21]سجل المستخلصات'!$B$39="","",'[21]سجل المستخلصات'!$B$39)</f>
        <v/>
      </c>
      <c r="C57" s="69" t="n"/>
      <c r="D57" s="69" t="n"/>
      <c r="E57" s="59">
        <f>N('[21]سجل المستخلصات'!$E$39)</f>
        <v/>
      </c>
      <c r="F57" s="59">
        <f>N('[21]سجل المستخلصات'!$F$39)</f>
        <v/>
      </c>
      <c r="G57" s="70">
        <f>IF(E57&gt;0,F57/E57,0)</f>
        <v/>
      </c>
    </row>
    <row r="58">
      <c r="B58" s="69">
        <f>IF('[21]سجل المستخلصات'!$B$40="","",'[21]سجل المستخلصات'!$B$40)</f>
        <v/>
      </c>
      <c r="C58" s="69" t="n"/>
      <c r="D58" s="69" t="n"/>
      <c r="E58" s="59">
        <f>N('[21]سجل المستخلصات'!$E$40)</f>
        <v/>
      </c>
      <c r="F58" s="59">
        <f>N('[21]سجل المستخلصات'!$F$40)</f>
        <v/>
      </c>
      <c r="G58" s="70">
        <f>IF(E58&gt;0,F58/E58,0)</f>
        <v/>
      </c>
    </row>
    <row r="59">
      <c r="B59" s="69">
        <f>IF('[21]سجل المستخلصات'!$B$41="","",'[21]سجل المستخلصات'!$B$41)</f>
        <v/>
      </c>
      <c r="C59" s="69" t="n"/>
      <c r="D59" s="69" t="n"/>
      <c r="E59" s="59">
        <f>N('[21]سجل المستخلصات'!$E$41)</f>
        <v/>
      </c>
      <c r="F59" s="59">
        <f>N('[21]سجل المستخلصات'!$F$41)</f>
        <v/>
      </c>
      <c r="G59" s="70">
        <f>IF(E59&gt;0,F59/E59,0)</f>
        <v/>
      </c>
    </row>
    <row r="60">
      <c r="B60" s="69">
        <f>IF('[21]سجل المستخلصات'!$B$42="","",'[21]سجل المستخلصات'!$B$42)</f>
        <v/>
      </c>
      <c r="C60" s="69" t="n"/>
      <c r="D60" s="69" t="n"/>
      <c r="E60" s="59">
        <f>N('[21]سجل المستخلصات'!$E$42)</f>
        <v/>
      </c>
      <c r="F60" s="59">
        <f>N('[21]سجل المستخلصات'!$F$42)</f>
        <v/>
      </c>
      <c r="G60" s="70">
        <f>IF(E60&gt;0,F60/E60,0)</f>
        <v/>
      </c>
    </row>
    <row r="61">
      <c r="B61" s="69">
        <f>IF('[21]سجل المستخلصات'!$B$43="","",'[21]سجل المستخلصات'!$B$43)</f>
        <v/>
      </c>
      <c r="C61" s="69" t="n"/>
      <c r="D61" s="69" t="n"/>
      <c r="E61" s="59">
        <f>N('[21]سجل المستخلصات'!$E$43)</f>
        <v/>
      </c>
      <c r="F61" s="59">
        <f>N('[21]سجل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20'!A1" display="◄ المشروع السابق"/>
    <hyperlink ref="D3" location="'مشروع 22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"&amp;IF('[22]بيانات العقد'!$C$5="","مشروع رقم 22 — غير مُفعّل",'[22]بيانات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Project_22/IPC_Project_22.xlsx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IF('[22]بيانات العقد'!$C$5="","",'[22]بيانات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IF('[22]بيانات العقد'!$C$6="","",'[22]بيانات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IF('[22]بيانات العقد'!$C$7="","",'[22]بيانات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IF('[22]بيانات العقد'!$C$8="","",'[22]بيانات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N('[22]بيانات العقد'!$C$16)</f>
        <v/>
      </c>
    </row>
    <row r="6" ht="22" customHeight="1">
      <c r="B6" s="11" t="inlineStr">
        <is>
          <t>المقاول</t>
        </is>
      </c>
      <c r="C6" s="14">
        <f>IF('[22]بيانات العقد'!$C$9="","",'[22]بيانات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IF('[22]بيانات العقد'!$C$11="","",'[22]بيانات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IF('[22]بيانات العقد'!$C$13="","",'[22]بيانات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IF('[22]بيانات العقد'!$C$14="","",'[22]بيانات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N('[22]بيانات العقد'!$C$17)</f>
        <v/>
      </c>
    </row>
    <row r="7">
      <c r="AA7" s="15" t="inlineStr">
        <is>
          <t>قيمة العقد المعدلة</t>
        </is>
      </c>
      <c r="AB7" s="16">
        <f>N('[22]بيانات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N('[22]بيانات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N('[22]بيانات العقد'!$C$21)</f>
        <v/>
      </c>
    </row>
    <row r="10">
      <c r="AA10" s="15" t="inlineStr">
        <is>
          <t>نسبة ضمان الأعمال</t>
        </is>
      </c>
      <c r="AB10" s="23">
        <f>N('[22]بيانات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N('[22]بيانات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N('[22]بيانات العقد'!$C$31)</f>
        <v/>
      </c>
    </row>
    <row r="13">
      <c r="AA13" s="15" t="inlineStr">
        <is>
          <t>ضريبة الاستقطاع (غير المقيم)</t>
        </is>
      </c>
      <c r="AB13" s="23">
        <f>N('[22]بيانات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IF('[22]بيانات العقد'!$C$11="","",'[22]بيانات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IF('[22]بيانات العقد'!$C$13="","",'[22]بيانات العقد'!$C$13)</f>
        <v/>
      </c>
    </row>
    <row r="16">
      <c r="AA16" s="15" t="inlineStr">
        <is>
          <t>المدة (شهر)</t>
        </is>
      </c>
      <c r="AB16" s="43">
        <f>IF('[22]بيانات العقد'!$C$12="","",'[22]بيانات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IF('[22]بيانات العقد'!$C$36="","",'[22]بيانات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IF('[22]بيانات العقد'!$C$37="","",'[22]بيانات العقد'!$C$37)</f>
        <v/>
      </c>
    </row>
    <row r="19">
      <c r="AA19" s="15" t="inlineStr">
        <is>
          <t>الرقم الضريبي لصاحب العمل</t>
        </is>
      </c>
      <c r="AB19" s="48">
        <f>IF('[22]بيانات العقد'!$C$39="","",'[22]بيانات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IF('[22]بيانات العقد'!$C$42="","",'[22]بيانات العقد'!$C$42)</f>
        <v/>
      </c>
    </row>
    <row r="21" ht="32" customHeight="1">
      <c r="B21" s="50">
        <f>N('[22]الموازنة والتكاليف'!$D$66)</f>
        <v/>
      </c>
      <c r="C21" s="50" t="n"/>
      <c r="D21" s="50" t="n"/>
      <c r="E21" s="50" t="n"/>
      <c r="F21" s="50">
        <f>N('[22]الموازنة والتكاليف'!$D$70)</f>
        <v/>
      </c>
      <c r="G21" s="50" t="n"/>
      <c r="H21" s="50" t="n"/>
      <c r="I21" s="50" t="n"/>
      <c r="J21" s="50">
        <f>N('[22]الموازنة والتكاليف'!$D$72)</f>
        <v/>
      </c>
      <c r="K21" s="50" t="n"/>
      <c r="L21" s="50" t="n"/>
      <c r="M21" s="50" t="n"/>
      <c r="N21" s="51">
        <f>N('[22]الموازنة والتكاليف'!$D$73)</f>
        <v/>
      </c>
      <c r="O21" s="51" t="n"/>
      <c r="P21" s="51" t="n"/>
      <c r="Q21" s="51" t="n"/>
      <c r="R21" s="52">
        <f>N('[22]الموازنة والتكاليف'!$D$74)</f>
        <v/>
      </c>
      <c r="S21" s="52" t="n"/>
      <c r="T21" s="52" t="n"/>
      <c r="U21" s="52" t="n"/>
      <c r="V21" s="50">
        <f>N('[22]الموازنة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IF('[22]بيانات العقد'!$C$43="","",'[22]بيانات العقد'!$C$43)</f>
        <v/>
      </c>
    </row>
    <row r="22">
      <c r="AA22" s="15" t="inlineStr">
        <is>
          <t>حالة غرامات التأخير</t>
        </is>
      </c>
      <c r="AB22" s="45">
        <f>IF('[22]بيانات العقد'!$C$47="","",'[22]بيانات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IF('[22]سجل المستخلصات'!$C$6="","",'[22]سجل المستخلصات'!$C$6)</f>
        <v/>
      </c>
      <c r="D25" s="57">
        <f>IF('[22]سجل المستخلصات'!$E$6="","",'[22]سجل المستخلصات'!$E$6)</f>
        <v/>
      </c>
      <c r="E25" s="58">
        <f>IF('[22]سجل المستخلصات'!$F$6="","",'[22]سجل المستخلصات'!$F$6)</f>
        <v/>
      </c>
      <c r="F25" s="59">
        <f>IF('[22]سجل المستخلصات'!$H$6="","",'[22]سجل المستخلصات'!$H$6)</f>
        <v/>
      </c>
      <c r="G25" s="59">
        <f>IF('[22]سجل المستخلصات'!$G$6="","",'[22]سجل المستخلصات'!$G$6)</f>
        <v/>
      </c>
      <c r="H25" s="59">
        <f>IF('[22]سجل المستخلصات'!$I$6="","",'[22]سجل المستخلصات'!$I$6)</f>
        <v/>
      </c>
      <c r="I25" s="59">
        <f>IF('[22]سجل المستخلصات'!$J$6="","",'[22]سجل المستخلصات'!$J$6)</f>
        <v/>
      </c>
      <c r="J25" s="59">
        <f>IF('[22]سجل المستخلصات'!$K$6="","",'[22]سجل المستخلصات'!$K$6)</f>
        <v/>
      </c>
      <c r="K25" s="60">
        <f>IF('[22]سجل المستخلصات'!$L$6="","",'[22]سجل المستخلصات'!$L$6)</f>
        <v/>
      </c>
      <c r="L25" s="60">
        <f>IF('[22]سجل المستخلصات'!$M$6="","",'[22]سجل المستخلصات'!$M$6)</f>
        <v/>
      </c>
      <c r="M25" s="60">
        <f>IF('[22]سجل المستخلصات'!$N$6="","",'[22]سجل المستخلصات'!$N$6)</f>
        <v/>
      </c>
      <c r="N25" s="59">
        <f>IF('[22]سجل المستخلصات'!$O$6="","",'[22]سجل المستخلصات'!$O$6)</f>
        <v/>
      </c>
      <c r="O25" s="59">
        <f>IF('[22]سجل المستخلصات'!$R$6="","",'[22]سجل المستخلصات'!$R$6)</f>
        <v/>
      </c>
      <c r="P25" s="59">
        <f>IF('[22]سجل المستخلصات'!$S$6="","",'[22]سجل المستخلصات'!$S$6)</f>
        <v/>
      </c>
      <c r="Q25" s="59">
        <f>IF('[22]سجل المستخلصات'!$T$6="","",'[22]سجل المستخلصات'!$T$6)</f>
        <v/>
      </c>
      <c r="R25" s="59">
        <f>IF('[22]سجل المستخلصات'!$V$6="","",'[22]سجل المستخلصات'!$V$6)</f>
        <v/>
      </c>
      <c r="S25" s="59">
        <f>IF('[22]سجل المستخلصات'!$W$6="","",'[22]سجل المستخلصات'!$W$6)</f>
        <v/>
      </c>
      <c r="T25" s="61">
        <f>IF('[22]سجل المستخلصات'!$X$6="","",'[22]سجل المستخلصات'!$X$6)</f>
        <v/>
      </c>
      <c r="U25" s="61">
        <f>IF('[22]سجل المستخلصات'!$Z$6="","",'[22]سجل المستخلصات'!$Z$6)</f>
        <v/>
      </c>
      <c r="V25" s="59">
        <f>IF('[22]سجل المستخلصات'!$AA$6="","",'[22]سجل المستخلصات'!$AA$6)</f>
        <v/>
      </c>
      <c r="W25" s="59">
        <f>IF('[22]سجل المستخلصات'!$AC$6="","",'[22]سجل المستخلصات'!$AC$6)</f>
        <v/>
      </c>
      <c r="X25" s="62">
        <f>IF('[22]سجل المستخلصات'!$AD$6="","",'[22]سجل المستخلصات'!$AD$6)</f>
        <v/>
      </c>
      <c r="Y25" s="58">
        <f>IF('[22]سجل المستخلصات'!$AE$6="","",'[22]سجل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IF('[22]سجل المستخلصات'!$C$7="","",'[22]سجل المستخلصات'!$C$7)</f>
        <v/>
      </c>
      <c r="D26" s="57">
        <f>IF('[22]سجل المستخلصات'!$E$7="","",'[22]سجل المستخلصات'!$E$7)</f>
        <v/>
      </c>
      <c r="E26" s="58">
        <f>IF('[22]سجل المستخلصات'!$F$7="","",'[22]سجل المستخلصات'!$F$7)</f>
        <v/>
      </c>
      <c r="F26" s="59">
        <f>IF('[22]سجل المستخلصات'!$H$7="","",'[22]سجل المستخلصات'!$H$7)</f>
        <v/>
      </c>
      <c r="G26" s="59">
        <f>IF('[22]سجل المستخلصات'!$G$7="","",'[22]سجل المستخلصات'!$G$7)</f>
        <v/>
      </c>
      <c r="H26" s="59">
        <f>IF('[22]سجل المستخلصات'!$I$7="","",'[22]سجل المستخلصات'!$I$7)</f>
        <v/>
      </c>
      <c r="I26" s="59">
        <f>IF('[22]سجل المستخلصات'!$J$7="","",'[22]سجل المستخلصات'!$J$7)</f>
        <v/>
      </c>
      <c r="J26" s="59">
        <f>IF('[22]سجل المستخلصات'!$K$7="","",'[22]سجل المستخلصات'!$K$7)</f>
        <v/>
      </c>
      <c r="K26" s="60">
        <f>IF('[22]سجل المستخلصات'!$L$7="","",'[22]سجل المستخلصات'!$L$7)</f>
        <v/>
      </c>
      <c r="L26" s="60">
        <f>IF('[22]سجل المستخلصات'!$M$7="","",'[22]سجل المستخلصات'!$M$7)</f>
        <v/>
      </c>
      <c r="M26" s="60">
        <f>IF('[22]سجل المستخلصات'!$N$7="","",'[22]سجل المستخلصات'!$N$7)</f>
        <v/>
      </c>
      <c r="N26" s="59">
        <f>IF('[22]سجل المستخلصات'!$O$7="","",'[22]سجل المستخلصات'!$O$7)</f>
        <v/>
      </c>
      <c r="O26" s="59">
        <f>IF('[22]سجل المستخلصات'!$R$7="","",'[22]سجل المستخلصات'!$R$7)</f>
        <v/>
      </c>
      <c r="P26" s="59">
        <f>IF('[22]سجل المستخلصات'!$S$7="","",'[22]سجل المستخلصات'!$S$7)</f>
        <v/>
      </c>
      <c r="Q26" s="59">
        <f>IF('[22]سجل المستخلصات'!$T$7="","",'[22]سجل المستخلصات'!$T$7)</f>
        <v/>
      </c>
      <c r="R26" s="59">
        <f>IF('[22]سجل المستخلصات'!$V$7="","",'[22]سجل المستخلصات'!$V$7)</f>
        <v/>
      </c>
      <c r="S26" s="59">
        <f>IF('[22]سجل المستخلصات'!$W$7="","",'[22]سجل المستخلصات'!$W$7)</f>
        <v/>
      </c>
      <c r="T26" s="61">
        <f>IF('[22]سجل المستخلصات'!$X$7="","",'[22]سجل المستخلصات'!$X$7)</f>
        <v/>
      </c>
      <c r="U26" s="61">
        <f>IF('[22]سجل المستخلصات'!$Z$7="","",'[22]سجل المستخلصات'!$Z$7)</f>
        <v/>
      </c>
      <c r="V26" s="59">
        <f>IF('[22]سجل المستخلصات'!$AA$7="","",'[22]سجل المستخلصات'!$AA$7)</f>
        <v/>
      </c>
      <c r="W26" s="59">
        <f>IF('[22]سجل المستخلصات'!$AC$7="","",'[22]سجل المستخلصات'!$AC$7)</f>
        <v/>
      </c>
      <c r="X26" s="62">
        <f>IF('[22]سجل المستخلصات'!$AD$7="","",'[22]سجل المستخلصات'!$AD$7)</f>
        <v/>
      </c>
      <c r="Y26" s="58">
        <f>IF('[22]سجل المستخلصات'!$AE$7="","",'[22]سجل المستخلصات'!$AE$7)</f>
        <v/>
      </c>
      <c r="AA26" s="63" t="n"/>
      <c r="AB26" s="63" t="n"/>
    </row>
    <row r="27">
      <c r="B27" s="56" t="n">
        <v>3</v>
      </c>
      <c r="C27" s="57">
        <f>IF('[22]سجل المستخلصات'!$C$8="","",'[22]سجل المستخلصات'!$C$8)</f>
        <v/>
      </c>
      <c r="D27" s="57">
        <f>IF('[22]سجل المستخلصات'!$E$8="","",'[22]سجل المستخلصات'!$E$8)</f>
        <v/>
      </c>
      <c r="E27" s="58">
        <f>IF('[22]سجل المستخلصات'!$F$8="","",'[22]سجل المستخلصات'!$F$8)</f>
        <v/>
      </c>
      <c r="F27" s="59">
        <f>IF('[22]سجل المستخلصات'!$H$8="","",'[22]سجل المستخلصات'!$H$8)</f>
        <v/>
      </c>
      <c r="G27" s="59">
        <f>IF('[22]سجل المستخلصات'!$G$8="","",'[22]سجل المستخلصات'!$G$8)</f>
        <v/>
      </c>
      <c r="H27" s="59">
        <f>IF('[22]سجل المستخلصات'!$I$8="","",'[22]سجل المستخلصات'!$I$8)</f>
        <v/>
      </c>
      <c r="I27" s="59">
        <f>IF('[22]سجل المستخلصات'!$J$8="","",'[22]سجل المستخلصات'!$J$8)</f>
        <v/>
      </c>
      <c r="J27" s="59">
        <f>IF('[22]سجل المستخلصات'!$K$8="","",'[22]سجل المستخلصات'!$K$8)</f>
        <v/>
      </c>
      <c r="K27" s="60">
        <f>IF('[22]سجل المستخلصات'!$L$8="","",'[22]سجل المستخلصات'!$L$8)</f>
        <v/>
      </c>
      <c r="L27" s="60">
        <f>IF('[22]سجل المستخلصات'!$M$8="","",'[22]سجل المستخلصات'!$M$8)</f>
        <v/>
      </c>
      <c r="M27" s="60">
        <f>IF('[22]سجل المستخلصات'!$N$8="","",'[22]سجل المستخلصات'!$N$8)</f>
        <v/>
      </c>
      <c r="N27" s="59">
        <f>IF('[22]سجل المستخلصات'!$O$8="","",'[22]سجل المستخلصات'!$O$8)</f>
        <v/>
      </c>
      <c r="O27" s="59">
        <f>IF('[22]سجل المستخلصات'!$R$8="","",'[22]سجل المستخلصات'!$R$8)</f>
        <v/>
      </c>
      <c r="P27" s="59">
        <f>IF('[22]سجل المستخلصات'!$S$8="","",'[22]سجل المستخلصات'!$S$8)</f>
        <v/>
      </c>
      <c r="Q27" s="59">
        <f>IF('[22]سجل المستخلصات'!$T$8="","",'[22]سجل المستخلصات'!$T$8)</f>
        <v/>
      </c>
      <c r="R27" s="59">
        <f>IF('[22]سجل المستخلصات'!$V$8="","",'[22]سجل المستخلصات'!$V$8)</f>
        <v/>
      </c>
      <c r="S27" s="59">
        <f>IF('[22]سجل المستخلصات'!$W$8="","",'[22]سجل المستخلصات'!$W$8)</f>
        <v/>
      </c>
      <c r="T27" s="61">
        <f>IF('[22]سجل المستخلصات'!$X$8="","",'[22]سجل المستخلصات'!$X$8)</f>
        <v/>
      </c>
      <c r="U27" s="61">
        <f>IF('[22]سجل المستخلصات'!$Z$8="","",'[22]سجل المستخلصات'!$Z$8)</f>
        <v/>
      </c>
      <c r="V27" s="59">
        <f>IF('[22]سجل المستخلصات'!$AA$8="","",'[22]سجل المستخلصات'!$AA$8)</f>
        <v/>
      </c>
      <c r="W27" s="59">
        <f>IF('[22]سجل المستخلصات'!$AC$8="","",'[22]سجل المستخلصات'!$AC$8)</f>
        <v/>
      </c>
      <c r="X27" s="62">
        <f>IF('[22]سجل المستخلصات'!$AD$8="","",'[22]سجل المستخلصات'!$AD$8)</f>
        <v/>
      </c>
      <c r="Y27" s="58">
        <f>IF('[22]سجل المستخلصات'!$AE$8="","",'[22]سجل المستخلصات'!$AE$8)</f>
        <v/>
      </c>
      <c r="AA27" s="63" t="n"/>
      <c r="AB27" s="63" t="n"/>
    </row>
    <row r="28">
      <c r="B28" s="56" t="n">
        <v>4</v>
      </c>
      <c r="C28" s="57">
        <f>IF('[22]سجل المستخلصات'!$C$9="","",'[22]سجل المستخلصات'!$C$9)</f>
        <v/>
      </c>
      <c r="D28" s="57">
        <f>IF('[22]سجل المستخلصات'!$E$9="","",'[22]سجل المستخلصات'!$E$9)</f>
        <v/>
      </c>
      <c r="E28" s="58">
        <f>IF('[22]سجل المستخلصات'!$F$9="","",'[22]سجل المستخلصات'!$F$9)</f>
        <v/>
      </c>
      <c r="F28" s="59">
        <f>IF('[22]سجل المستخلصات'!$H$9="","",'[22]سجل المستخلصات'!$H$9)</f>
        <v/>
      </c>
      <c r="G28" s="59">
        <f>IF('[22]سجل المستخلصات'!$G$9="","",'[22]سجل المستخلصات'!$G$9)</f>
        <v/>
      </c>
      <c r="H28" s="59">
        <f>IF('[22]سجل المستخلصات'!$I$9="","",'[22]سجل المستخلصات'!$I$9)</f>
        <v/>
      </c>
      <c r="I28" s="59">
        <f>IF('[22]سجل المستخلصات'!$J$9="","",'[22]سجل المستخلصات'!$J$9)</f>
        <v/>
      </c>
      <c r="J28" s="59">
        <f>IF('[22]سجل المستخلصات'!$K$9="","",'[22]سجل المستخلصات'!$K$9)</f>
        <v/>
      </c>
      <c r="K28" s="60">
        <f>IF('[22]سجل المستخلصات'!$L$9="","",'[22]سجل المستخلصات'!$L$9)</f>
        <v/>
      </c>
      <c r="L28" s="60">
        <f>IF('[22]سجل المستخلصات'!$M$9="","",'[22]سجل المستخلصات'!$M$9)</f>
        <v/>
      </c>
      <c r="M28" s="60">
        <f>IF('[22]سجل المستخلصات'!$N$9="","",'[22]سجل المستخلصات'!$N$9)</f>
        <v/>
      </c>
      <c r="N28" s="59">
        <f>IF('[22]سجل المستخلصات'!$O$9="","",'[22]سجل المستخلصات'!$O$9)</f>
        <v/>
      </c>
      <c r="O28" s="59">
        <f>IF('[22]سجل المستخلصات'!$R$9="","",'[22]سجل المستخلصات'!$R$9)</f>
        <v/>
      </c>
      <c r="P28" s="59">
        <f>IF('[22]سجل المستخلصات'!$S$9="","",'[22]سجل المستخلصات'!$S$9)</f>
        <v/>
      </c>
      <c r="Q28" s="59">
        <f>IF('[22]سجل المستخلصات'!$T$9="","",'[22]سجل المستخلصات'!$T$9)</f>
        <v/>
      </c>
      <c r="R28" s="59">
        <f>IF('[22]سجل المستخلصات'!$V$9="","",'[22]سجل المستخلصات'!$V$9)</f>
        <v/>
      </c>
      <c r="S28" s="59">
        <f>IF('[22]سجل المستخلصات'!$W$9="","",'[22]سجل المستخلصات'!$W$9)</f>
        <v/>
      </c>
      <c r="T28" s="61">
        <f>IF('[22]سجل المستخلصات'!$X$9="","",'[22]سجل المستخلصات'!$X$9)</f>
        <v/>
      </c>
      <c r="U28" s="61">
        <f>IF('[22]سجل المستخلصات'!$Z$9="","",'[22]سجل المستخلصات'!$Z$9)</f>
        <v/>
      </c>
      <c r="V28" s="59">
        <f>IF('[22]سجل المستخلصات'!$AA$9="","",'[22]سجل المستخلصات'!$AA$9)</f>
        <v/>
      </c>
      <c r="W28" s="59">
        <f>IF('[22]سجل المستخلصات'!$AC$9="","",'[22]سجل المستخلصات'!$AC$9)</f>
        <v/>
      </c>
      <c r="X28" s="62">
        <f>IF('[22]سجل المستخلصات'!$AD$9="","",'[22]سجل المستخلصات'!$AD$9)</f>
        <v/>
      </c>
      <c r="Y28" s="58">
        <f>IF('[22]سجل المستخلصات'!$AE$9="","",'[22]سجل المستخلصات'!$AE$9)</f>
        <v/>
      </c>
      <c r="AA28" s="63" t="n"/>
      <c r="AB28" s="63" t="n"/>
    </row>
    <row r="29">
      <c r="B29" s="56" t="n">
        <v>5</v>
      </c>
      <c r="C29" s="57">
        <f>IF('[22]سجل المستخلصات'!$C$10="","",'[22]سجل المستخلصات'!$C$10)</f>
        <v/>
      </c>
      <c r="D29" s="57">
        <f>IF('[22]سجل المستخلصات'!$E$10="","",'[22]سجل المستخلصات'!$E$10)</f>
        <v/>
      </c>
      <c r="E29" s="58">
        <f>IF('[22]سجل المستخلصات'!$F$10="","",'[22]سجل المستخلصات'!$F$10)</f>
        <v/>
      </c>
      <c r="F29" s="59">
        <f>IF('[22]سجل المستخلصات'!$H$10="","",'[22]سجل المستخلصات'!$H$10)</f>
        <v/>
      </c>
      <c r="G29" s="59">
        <f>IF('[22]سجل المستخلصات'!$G$10="","",'[22]سجل المستخلصات'!$G$10)</f>
        <v/>
      </c>
      <c r="H29" s="59">
        <f>IF('[22]سجل المستخلصات'!$I$10="","",'[22]سجل المستخلصات'!$I$10)</f>
        <v/>
      </c>
      <c r="I29" s="59">
        <f>IF('[22]سجل المستخلصات'!$J$10="","",'[22]سجل المستخلصات'!$J$10)</f>
        <v/>
      </c>
      <c r="J29" s="59">
        <f>IF('[22]سجل المستخلصات'!$K$10="","",'[22]سجل المستخلصات'!$K$10)</f>
        <v/>
      </c>
      <c r="K29" s="60">
        <f>IF('[22]سجل المستخلصات'!$L$10="","",'[22]سجل المستخلصات'!$L$10)</f>
        <v/>
      </c>
      <c r="L29" s="60">
        <f>IF('[22]سجل المستخلصات'!$M$10="","",'[22]سجل المستخلصات'!$M$10)</f>
        <v/>
      </c>
      <c r="M29" s="60">
        <f>IF('[22]سجل المستخلصات'!$N$10="","",'[22]سجل المستخلصات'!$N$10)</f>
        <v/>
      </c>
      <c r="N29" s="59">
        <f>IF('[22]سجل المستخلصات'!$O$10="","",'[22]سجل المستخلصات'!$O$10)</f>
        <v/>
      </c>
      <c r="O29" s="59">
        <f>IF('[22]سجل المستخلصات'!$R$10="","",'[22]سجل المستخلصات'!$R$10)</f>
        <v/>
      </c>
      <c r="P29" s="59">
        <f>IF('[22]سجل المستخلصات'!$S$10="","",'[22]سجل المستخلصات'!$S$10)</f>
        <v/>
      </c>
      <c r="Q29" s="59">
        <f>IF('[22]سجل المستخلصات'!$T$10="","",'[22]سجل المستخلصات'!$T$10)</f>
        <v/>
      </c>
      <c r="R29" s="59">
        <f>IF('[22]سجل المستخلصات'!$V$10="","",'[22]سجل المستخلصات'!$V$10)</f>
        <v/>
      </c>
      <c r="S29" s="59">
        <f>IF('[22]سجل المستخلصات'!$W$10="","",'[22]سجل المستخلصات'!$W$10)</f>
        <v/>
      </c>
      <c r="T29" s="61">
        <f>IF('[22]سجل المستخلصات'!$X$10="","",'[22]سجل المستخلصات'!$X$10)</f>
        <v/>
      </c>
      <c r="U29" s="61">
        <f>IF('[22]سجل المستخلصات'!$Z$10="","",'[22]سجل المستخلصات'!$Z$10)</f>
        <v/>
      </c>
      <c r="V29" s="59">
        <f>IF('[22]سجل المستخلصات'!$AA$10="","",'[22]سجل المستخلصات'!$AA$10)</f>
        <v/>
      </c>
      <c r="W29" s="59">
        <f>IF('[22]سجل المستخلصات'!$AC$10="","",'[22]سجل المستخلصات'!$AC$10)</f>
        <v/>
      </c>
      <c r="X29" s="62">
        <f>IF('[22]سجل المستخلصات'!$AD$10="","",'[22]سجل المستخلصات'!$AD$10)</f>
        <v/>
      </c>
      <c r="Y29" s="58">
        <f>IF('[22]سجل المستخلصات'!$AE$10="","",'[22]سجل المستخلصات'!$AE$10)</f>
        <v/>
      </c>
    </row>
    <row r="30">
      <c r="B30" s="56" t="n">
        <v>6</v>
      </c>
      <c r="C30" s="57">
        <f>IF('[22]سجل المستخلصات'!$C$11="","",'[22]سجل المستخلصات'!$C$11)</f>
        <v/>
      </c>
      <c r="D30" s="57">
        <f>IF('[22]سجل المستخلصات'!$E$11="","",'[22]سجل المستخلصات'!$E$11)</f>
        <v/>
      </c>
      <c r="E30" s="58">
        <f>IF('[22]سجل المستخلصات'!$F$11="","",'[22]سجل المستخلصات'!$F$11)</f>
        <v/>
      </c>
      <c r="F30" s="59">
        <f>IF('[22]سجل المستخلصات'!$H$11="","",'[22]سجل المستخلصات'!$H$11)</f>
        <v/>
      </c>
      <c r="G30" s="59">
        <f>IF('[22]سجل المستخلصات'!$G$11="","",'[22]سجل المستخلصات'!$G$11)</f>
        <v/>
      </c>
      <c r="H30" s="59">
        <f>IF('[22]سجل المستخلصات'!$I$11="","",'[22]سجل المستخلصات'!$I$11)</f>
        <v/>
      </c>
      <c r="I30" s="59">
        <f>IF('[22]سجل المستخلصات'!$J$11="","",'[22]سجل المستخلصات'!$J$11)</f>
        <v/>
      </c>
      <c r="J30" s="59">
        <f>IF('[22]سجل المستخلصات'!$K$11="","",'[22]سجل المستخلصات'!$K$11)</f>
        <v/>
      </c>
      <c r="K30" s="60">
        <f>IF('[22]سجل المستخلصات'!$L$11="","",'[22]سجل المستخلصات'!$L$11)</f>
        <v/>
      </c>
      <c r="L30" s="60">
        <f>IF('[22]سجل المستخلصات'!$M$11="","",'[22]سجل المستخلصات'!$M$11)</f>
        <v/>
      </c>
      <c r="M30" s="60">
        <f>IF('[22]سجل المستخلصات'!$N$11="","",'[22]سجل المستخلصات'!$N$11)</f>
        <v/>
      </c>
      <c r="N30" s="59">
        <f>IF('[22]سجل المستخلصات'!$O$11="","",'[22]سجل المستخلصات'!$O$11)</f>
        <v/>
      </c>
      <c r="O30" s="59">
        <f>IF('[22]سجل المستخلصات'!$R$11="","",'[22]سجل المستخلصات'!$R$11)</f>
        <v/>
      </c>
      <c r="P30" s="59">
        <f>IF('[22]سجل المستخلصات'!$S$11="","",'[22]سجل المستخلصات'!$S$11)</f>
        <v/>
      </c>
      <c r="Q30" s="59">
        <f>IF('[22]سجل المستخلصات'!$T$11="","",'[22]سجل المستخلصات'!$T$11)</f>
        <v/>
      </c>
      <c r="R30" s="59">
        <f>IF('[22]سجل المستخلصات'!$V$11="","",'[22]سجل المستخلصات'!$V$11)</f>
        <v/>
      </c>
      <c r="S30" s="59">
        <f>IF('[22]سجل المستخلصات'!$W$11="","",'[22]سجل المستخلصات'!$W$11)</f>
        <v/>
      </c>
      <c r="T30" s="61">
        <f>IF('[22]سجل المستخلصات'!$X$11="","",'[22]سجل المستخلصات'!$X$11)</f>
        <v/>
      </c>
      <c r="U30" s="61">
        <f>IF('[22]سجل المستخلصات'!$Z$11="","",'[22]سجل المستخلصات'!$Z$11)</f>
        <v/>
      </c>
      <c r="V30" s="59">
        <f>IF('[22]سجل المستخلصات'!$AA$11="","",'[22]سجل المستخلصات'!$AA$11)</f>
        <v/>
      </c>
      <c r="W30" s="59">
        <f>IF('[22]سجل المستخلصات'!$AC$11="","",'[22]سجل المستخلصات'!$AC$11)</f>
        <v/>
      </c>
      <c r="X30" s="62">
        <f>IF('[22]سجل المستخلصات'!$AD$11="","",'[22]سجل المستخلصات'!$AD$11)</f>
        <v/>
      </c>
      <c r="Y30" s="58">
        <f>IF('[22]سجل المستخلصات'!$AE$11="","",'[22]سجل المستخلصات'!$AE$11)</f>
        <v/>
      </c>
    </row>
    <row r="31">
      <c r="B31" s="56" t="n">
        <v>7</v>
      </c>
      <c r="C31" s="57">
        <f>IF('[22]سجل المستخلصات'!$C$12="","",'[22]سجل المستخلصات'!$C$12)</f>
        <v/>
      </c>
      <c r="D31" s="57">
        <f>IF('[22]سجل المستخلصات'!$E$12="","",'[22]سجل المستخلصات'!$E$12)</f>
        <v/>
      </c>
      <c r="E31" s="58">
        <f>IF('[22]سجل المستخلصات'!$F$12="","",'[22]سجل المستخلصات'!$F$12)</f>
        <v/>
      </c>
      <c r="F31" s="59">
        <f>IF('[22]سجل المستخلصات'!$H$12="","",'[22]سجل المستخلصات'!$H$12)</f>
        <v/>
      </c>
      <c r="G31" s="59">
        <f>IF('[22]سجل المستخلصات'!$G$12="","",'[22]سجل المستخلصات'!$G$12)</f>
        <v/>
      </c>
      <c r="H31" s="59">
        <f>IF('[22]سجل المستخلصات'!$I$12="","",'[22]سجل المستخلصات'!$I$12)</f>
        <v/>
      </c>
      <c r="I31" s="59">
        <f>IF('[22]سجل المستخلصات'!$J$12="","",'[22]سجل المستخلصات'!$J$12)</f>
        <v/>
      </c>
      <c r="J31" s="59">
        <f>IF('[22]سجل المستخلصات'!$K$12="","",'[22]سجل المستخلصات'!$K$12)</f>
        <v/>
      </c>
      <c r="K31" s="60">
        <f>IF('[22]سجل المستخلصات'!$L$12="","",'[22]سجل المستخلصات'!$L$12)</f>
        <v/>
      </c>
      <c r="L31" s="60">
        <f>IF('[22]سجل المستخلصات'!$M$12="","",'[22]سجل المستخلصات'!$M$12)</f>
        <v/>
      </c>
      <c r="M31" s="60">
        <f>IF('[22]سجل المستخلصات'!$N$12="","",'[22]سجل المستخلصات'!$N$12)</f>
        <v/>
      </c>
      <c r="N31" s="59">
        <f>IF('[22]سجل المستخلصات'!$O$12="","",'[22]سجل المستخلصات'!$O$12)</f>
        <v/>
      </c>
      <c r="O31" s="59">
        <f>IF('[22]سجل المستخلصات'!$R$12="","",'[22]سجل المستخلصات'!$R$12)</f>
        <v/>
      </c>
      <c r="P31" s="59">
        <f>IF('[22]سجل المستخلصات'!$S$12="","",'[22]سجل المستخلصات'!$S$12)</f>
        <v/>
      </c>
      <c r="Q31" s="59">
        <f>IF('[22]سجل المستخلصات'!$T$12="","",'[22]سجل المستخلصات'!$T$12)</f>
        <v/>
      </c>
      <c r="R31" s="59">
        <f>IF('[22]سجل المستخلصات'!$V$12="","",'[22]سجل المستخلصات'!$V$12)</f>
        <v/>
      </c>
      <c r="S31" s="59">
        <f>IF('[22]سجل المستخلصات'!$W$12="","",'[22]سجل المستخلصات'!$W$12)</f>
        <v/>
      </c>
      <c r="T31" s="61">
        <f>IF('[22]سجل المستخلصات'!$X$12="","",'[22]سجل المستخلصات'!$X$12)</f>
        <v/>
      </c>
      <c r="U31" s="61">
        <f>IF('[22]سجل المستخلصات'!$Z$12="","",'[22]سجل المستخلصات'!$Z$12)</f>
        <v/>
      </c>
      <c r="V31" s="59">
        <f>IF('[22]سجل المستخلصات'!$AA$12="","",'[22]سجل المستخلصات'!$AA$12)</f>
        <v/>
      </c>
      <c r="W31" s="59">
        <f>IF('[22]سجل المستخلصات'!$AC$12="","",'[22]سجل المستخلصات'!$AC$12)</f>
        <v/>
      </c>
      <c r="X31" s="62">
        <f>IF('[22]سجل المستخلصات'!$AD$12="","",'[22]سجل المستخلصات'!$AD$12)</f>
        <v/>
      </c>
      <c r="Y31" s="58">
        <f>IF('[22]سجل المستخلصات'!$AE$12="","",'[22]سجل المستخلصات'!$AE$12)</f>
        <v/>
      </c>
    </row>
    <row r="32">
      <c r="B32" s="56" t="n">
        <v>8</v>
      </c>
      <c r="C32" s="57">
        <f>IF('[22]سجل المستخلصات'!$C$13="","",'[22]سجل المستخلصات'!$C$13)</f>
        <v/>
      </c>
      <c r="D32" s="57">
        <f>IF('[22]سجل المستخلصات'!$E$13="","",'[22]سجل المستخلصات'!$E$13)</f>
        <v/>
      </c>
      <c r="E32" s="58">
        <f>IF('[22]سجل المستخلصات'!$F$13="","",'[22]سجل المستخلصات'!$F$13)</f>
        <v/>
      </c>
      <c r="F32" s="59">
        <f>IF('[22]سجل المستخلصات'!$H$13="","",'[22]سجل المستخلصات'!$H$13)</f>
        <v/>
      </c>
      <c r="G32" s="59">
        <f>IF('[22]سجل المستخلصات'!$G$13="","",'[22]سجل المستخلصات'!$G$13)</f>
        <v/>
      </c>
      <c r="H32" s="59">
        <f>IF('[22]سجل المستخلصات'!$I$13="","",'[22]سجل المستخلصات'!$I$13)</f>
        <v/>
      </c>
      <c r="I32" s="59">
        <f>IF('[22]سجل المستخلصات'!$J$13="","",'[22]سجل المستخلصات'!$J$13)</f>
        <v/>
      </c>
      <c r="J32" s="59">
        <f>IF('[22]سجل المستخلصات'!$K$13="","",'[22]سجل المستخلصات'!$K$13)</f>
        <v/>
      </c>
      <c r="K32" s="60">
        <f>IF('[22]سجل المستخلصات'!$L$13="","",'[22]سجل المستخلصات'!$L$13)</f>
        <v/>
      </c>
      <c r="L32" s="60">
        <f>IF('[22]سجل المستخلصات'!$M$13="","",'[22]سجل المستخلصات'!$M$13)</f>
        <v/>
      </c>
      <c r="M32" s="60">
        <f>IF('[22]سجل المستخلصات'!$N$13="","",'[22]سجل المستخلصات'!$N$13)</f>
        <v/>
      </c>
      <c r="N32" s="59">
        <f>IF('[22]سجل المستخلصات'!$O$13="","",'[22]سجل المستخلصات'!$O$13)</f>
        <v/>
      </c>
      <c r="O32" s="59">
        <f>IF('[22]سجل المستخلصات'!$R$13="","",'[22]سجل المستخلصات'!$R$13)</f>
        <v/>
      </c>
      <c r="P32" s="59">
        <f>IF('[22]سجل المستخلصات'!$S$13="","",'[22]سجل المستخلصات'!$S$13)</f>
        <v/>
      </c>
      <c r="Q32" s="59">
        <f>IF('[22]سجل المستخلصات'!$T$13="","",'[22]سجل المستخلصات'!$T$13)</f>
        <v/>
      </c>
      <c r="R32" s="59">
        <f>IF('[22]سجل المستخلصات'!$V$13="","",'[22]سجل المستخلصات'!$V$13)</f>
        <v/>
      </c>
      <c r="S32" s="59">
        <f>IF('[22]سجل المستخلصات'!$W$13="","",'[22]سجل المستخلصات'!$W$13)</f>
        <v/>
      </c>
      <c r="T32" s="61">
        <f>IF('[22]سجل المستخلصات'!$X$13="","",'[22]سجل المستخلصات'!$X$13)</f>
        <v/>
      </c>
      <c r="U32" s="61">
        <f>IF('[22]سجل المستخلصات'!$Z$13="","",'[22]سجل المستخلصات'!$Z$13)</f>
        <v/>
      </c>
      <c r="V32" s="59">
        <f>IF('[22]سجل المستخلصات'!$AA$13="","",'[22]سجل المستخلصات'!$AA$13)</f>
        <v/>
      </c>
      <c r="W32" s="59">
        <f>IF('[22]سجل المستخلصات'!$AC$13="","",'[22]سجل المستخلصات'!$AC$13)</f>
        <v/>
      </c>
      <c r="X32" s="62">
        <f>IF('[22]سجل المستخلصات'!$AD$13="","",'[22]سجل المستخلصات'!$AD$13)</f>
        <v/>
      </c>
      <c r="Y32" s="58">
        <f>IF('[22]سجل المستخلصات'!$AE$13="","",'[22]سجل المستخلصات'!$AE$13)</f>
        <v/>
      </c>
    </row>
    <row r="33">
      <c r="B33" s="56" t="n">
        <v>9</v>
      </c>
      <c r="C33" s="57">
        <f>IF('[22]سجل المستخلصات'!$C$14="","",'[22]سجل المستخلصات'!$C$14)</f>
        <v/>
      </c>
      <c r="D33" s="57">
        <f>IF('[22]سجل المستخلصات'!$E$14="","",'[22]سجل المستخلصات'!$E$14)</f>
        <v/>
      </c>
      <c r="E33" s="58">
        <f>IF('[22]سجل المستخلصات'!$F$14="","",'[22]سجل المستخلصات'!$F$14)</f>
        <v/>
      </c>
      <c r="F33" s="59">
        <f>IF('[22]سجل المستخلصات'!$H$14="","",'[22]سجل المستخلصات'!$H$14)</f>
        <v/>
      </c>
      <c r="G33" s="59">
        <f>IF('[22]سجل المستخلصات'!$G$14="","",'[22]سجل المستخلصات'!$G$14)</f>
        <v/>
      </c>
      <c r="H33" s="59">
        <f>IF('[22]سجل المستخلصات'!$I$14="","",'[22]سجل المستخلصات'!$I$14)</f>
        <v/>
      </c>
      <c r="I33" s="59">
        <f>IF('[22]سجل المستخلصات'!$J$14="","",'[22]سجل المستخلصات'!$J$14)</f>
        <v/>
      </c>
      <c r="J33" s="59">
        <f>IF('[22]سجل المستخلصات'!$K$14="","",'[22]سجل المستخلصات'!$K$14)</f>
        <v/>
      </c>
      <c r="K33" s="60">
        <f>IF('[22]سجل المستخلصات'!$L$14="","",'[22]سجل المستخلصات'!$L$14)</f>
        <v/>
      </c>
      <c r="L33" s="60">
        <f>IF('[22]سجل المستخلصات'!$M$14="","",'[22]سجل المستخلصات'!$M$14)</f>
        <v/>
      </c>
      <c r="M33" s="60">
        <f>IF('[22]سجل المستخلصات'!$N$14="","",'[22]سجل المستخلصات'!$N$14)</f>
        <v/>
      </c>
      <c r="N33" s="59">
        <f>IF('[22]سجل المستخلصات'!$O$14="","",'[22]سجل المستخلصات'!$O$14)</f>
        <v/>
      </c>
      <c r="O33" s="59">
        <f>IF('[22]سجل المستخلصات'!$R$14="","",'[22]سجل المستخلصات'!$R$14)</f>
        <v/>
      </c>
      <c r="P33" s="59">
        <f>IF('[22]سجل المستخلصات'!$S$14="","",'[22]سجل المستخلصات'!$S$14)</f>
        <v/>
      </c>
      <c r="Q33" s="59">
        <f>IF('[22]سجل المستخلصات'!$T$14="","",'[22]سجل المستخلصات'!$T$14)</f>
        <v/>
      </c>
      <c r="R33" s="59">
        <f>IF('[22]سجل المستخلصات'!$V$14="","",'[22]سجل المستخلصات'!$V$14)</f>
        <v/>
      </c>
      <c r="S33" s="59">
        <f>IF('[22]سجل المستخلصات'!$W$14="","",'[22]سجل المستخلصات'!$W$14)</f>
        <v/>
      </c>
      <c r="T33" s="61">
        <f>IF('[22]سجل المستخلصات'!$X$14="","",'[22]سجل المستخلصات'!$X$14)</f>
        <v/>
      </c>
      <c r="U33" s="61">
        <f>IF('[22]سجل المستخلصات'!$Z$14="","",'[22]سجل المستخلصات'!$Z$14)</f>
        <v/>
      </c>
      <c r="V33" s="59">
        <f>IF('[22]سجل المستخلصات'!$AA$14="","",'[22]سجل المستخلصات'!$AA$14)</f>
        <v/>
      </c>
      <c r="W33" s="59">
        <f>IF('[22]سجل المستخلصات'!$AC$14="","",'[22]سجل المستخلصات'!$AC$14)</f>
        <v/>
      </c>
      <c r="X33" s="62">
        <f>IF('[22]سجل المستخلصات'!$AD$14="","",'[22]سجل المستخلصات'!$AD$14)</f>
        <v/>
      </c>
      <c r="Y33" s="58">
        <f>IF('[22]سجل المستخلصات'!$AE$14="","",'[22]سجل المستخلصات'!$AE$14)</f>
        <v/>
      </c>
    </row>
    <row r="34">
      <c r="B34" s="56" t="n">
        <v>10</v>
      </c>
      <c r="C34" s="57">
        <f>IF('[22]سجل المستخلصات'!$C$15="","",'[22]سجل المستخلصات'!$C$15)</f>
        <v/>
      </c>
      <c r="D34" s="57">
        <f>IF('[22]سجل المستخلصات'!$E$15="","",'[22]سجل المستخلصات'!$E$15)</f>
        <v/>
      </c>
      <c r="E34" s="58">
        <f>IF('[22]سجل المستخلصات'!$F$15="","",'[22]سجل المستخلصات'!$F$15)</f>
        <v/>
      </c>
      <c r="F34" s="59">
        <f>IF('[22]سجل المستخلصات'!$H$15="","",'[22]سجل المستخلصات'!$H$15)</f>
        <v/>
      </c>
      <c r="G34" s="59">
        <f>IF('[22]سجل المستخلصات'!$G$15="","",'[22]سجل المستخلصات'!$G$15)</f>
        <v/>
      </c>
      <c r="H34" s="59">
        <f>IF('[22]سجل المستخلصات'!$I$15="","",'[22]سجل المستخلصات'!$I$15)</f>
        <v/>
      </c>
      <c r="I34" s="59">
        <f>IF('[22]سجل المستخلصات'!$J$15="","",'[22]سجل المستخلصات'!$J$15)</f>
        <v/>
      </c>
      <c r="J34" s="59">
        <f>IF('[22]سجل المستخلصات'!$K$15="","",'[22]سجل المستخلصات'!$K$15)</f>
        <v/>
      </c>
      <c r="K34" s="60">
        <f>IF('[22]سجل المستخلصات'!$L$15="","",'[22]سجل المستخلصات'!$L$15)</f>
        <v/>
      </c>
      <c r="L34" s="60">
        <f>IF('[22]سجل المستخلصات'!$M$15="","",'[22]سجل المستخلصات'!$M$15)</f>
        <v/>
      </c>
      <c r="M34" s="60">
        <f>IF('[22]سجل المستخلصات'!$N$15="","",'[22]سجل المستخلصات'!$N$15)</f>
        <v/>
      </c>
      <c r="N34" s="59">
        <f>IF('[22]سجل المستخلصات'!$O$15="","",'[22]سجل المستخلصات'!$O$15)</f>
        <v/>
      </c>
      <c r="O34" s="59">
        <f>IF('[22]سجل المستخلصات'!$R$15="","",'[22]سجل المستخلصات'!$R$15)</f>
        <v/>
      </c>
      <c r="P34" s="59">
        <f>IF('[22]سجل المستخلصات'!$S$15="","",'[22]سجل المستخلصات'!$S$15)</f>
        <v/>
      </c>
      <c r="Q34" s="59">
        <f>IF('[22]سجل المستخلصات'!$T$15="","",'[22]سجل المستخلصات'!$T$15)</f>
        <v/>
      </c>
      <c r="R34" s="59">
        <f>IF('[22]سجل المستخلصات'!$V$15="","",'[22]سجل المستخلصات'!$V$15)</f>
        <v/>
      </c>
      <c r="S34" s="59">
        <f>IF('[22]سجل المستخلصات'!$W$15="","",'[22]سجل المستخلصات'!$W$15)</f>
        <v/>
      </c>
      <c r="T34" s="61">
        <f>IF('[22]سجل المستخلصات'!$X$15="","",'[22]سجل المستخلصات'!$X$15)</f>
        <v/>
      </c>
      <c r="U34" s="61">
        <f>IF('[22]سجل المستخلصات'!$Z$15="","",'[22]سجل المستخلصات'!$Z$15)</f>
        <v/>
      </c>
      <c r="V34" s="59">
        <f>IF('[22]سجل المستخلصات'!$AA$15="","",'[22]سجل المستخلصات'!$AA$15)</f>
        <v/>
      </c>
      <c r="W34" s="59">
        <f>IF('[22]سجل المستخلصات'!$AC$15="","",'[22]سجل المستخلصات'!$AC$15)</f>
        <v/>
      </c>
      <c r="X34" s="62">
        <f>IF('[22]سجل المستخلصات'!$AD$15="","",'[22]سجل المستخلصات'!$AD$15)</f>
        <v/>
      </c>
      <c r="Y34" s="58">
        <f>IF('[22]سجل المستخلصات'!$AE$15="","",'[22]سجل المستخلصات'!$AE$15)</f>
        <v/>
      </c>
    </row>
    <row r="35">
      <c r="B35" s="56" t="n">
        <v>11</v>
      </c>
      <c r="C35" s="57">
        <f>IF('[22]سجل المستخلصات'!$C$16="","",'[22]سجل المستخلصات'!$C$16)</f>
        <v/>
      </c>
      <c r="D35" s="57">
        <f>IF('[22]سجل المستخلصات'!$E$16="","",'[22]سجل المستخلصات'!$E$16)</f>
        <v/>
      </c>
      <c r="E35" s="58">
        <f>IF('[22]سجل المستخلصات'!$F$16="","",'[22]سجل المستخلصات'!$F$16)</f>
        <v/>
      </c>
      <c r="F35" s="59">
        <f>IF('[22]سجل المستخلصات'!$H$16="","",'[22]سجل المستخلصات'!$H$16)</f>
        <v/>
      </c>
      <c r="G35" s="59">
        <f>IF('[22]سجل المستخلصات'!$G$16="","",'[22]سجل المستخلصات'!$G$16)</f>
        <v/>
      </c>
      <c r="H35" s="59">
        <f>IF('[22]سجل المستخلصات'!$I$16="","",'[22]سجل المستخلصات'!$I$16)</f>
        <v/>
      </c>
      <c r="I35" s="59">
        <f>IF('[22]سجل المستخلصات'!$J$16="","",'[22]سجل المستخلصات'!$J$16)</f>
        <v/>
      </c>
      <c r="J35" s="59">
        <f>IF('[22]سجل المستخلصات'!$K$16="","",'[22]سجل المستخلصات'!$K$16)</f>
        <v/>
      </c>
      <c r="K35" s="60">
        <f>IF('[22]سجل المستخلصات'!$L$16="","",'[22]سجل المستخلصات'!$L$16)</f>
        <v/>
      </c>
      <c r="L35" s="60">
        <f>IF('[22]سجل المستخلصات'!$M$16="","",'[22]سجل المستخلصات'!$M$16)</f>
        <v/>
      </c>
      <c r="M35" s="60">
        <f>IF('[22]سجل المستخلصات'!$N$16="","",'[22]سجل المستخلصات'!$N$16)</f>
        <v/>
      </c>
      <c r="N35" s="59">
        <f>IF('[22]سجل المستخلصات'!$O$16="","",'[22]سجل المستخلصات'!$O$16)</f>
        <v/>
      </c>
      <c r="O35" s="59">
        <f>IF('[22]سجل المستخلصات'!$R$16="","",'[22]سجل المستخلصات'!$R$16)</f>
        <v/>
      </c>
      <c r="P35" s="59">
        <f>IF('[22]سجل المستخلصات'!$S$16="","",'[22]سجل المستخلصات'!$S$16)</f>
        <v/>
      </c>
      <c r="Q35" s="59">
        <f>IF('[22]سجل المستخلصات'!$T$16="","",'[22]سجل المستخلصات'!$T$16)</f>
        <v/>
      </c>
      <c r="R35" s="59">
        <f>IF('[22]سجل المستخلصات'!$V$16="","",'[22]سجل المستخلصات'!$V$16)</f>
        <v/>
      </c>
      <c r="S35" s="59">
        <f>IF('[22]سجل المستخلصات'!$W$16="","",'[22]سجل المستخلصات'!$W$16)</f>
        <v/>
      </c>
      <c r="T35" s="61">
        <f>IF('[22]سجل المستخلصات'!$X$16="","",'[22]سجل المستخلصات'!$X$16)</f>
        <v/>
      </c>
      <c r="U35" s="61">
        <f>IF('[22]سجل المستخلصات'!$Z$16="","",'[22]سجل المستخلصات'!$Z$16)</f>
        <v/>
      </c>
      <c r="V35" s="59">
        <f>IF('[22]سجل المستخلصات'!$AA$16="","",'[22]سجل المستخلصات'!$AA$16)</f>
        <v/>
      </c>
      <c r="W35" s="59">
        <f>IF('[22]سجل المستخلصات'!$AC$16="","",'[22]سجل المستخلصات'!$AC$16)</f>
        <v/>
      </c>
      <c r="X35" s="62">
        <f>IF('[22]سجل المستخلصات'!$AD$16="","",'[22]سجل المستخلصات'!$AD$16)</f>
        <v/>
      </c>
      <c r="Y35" s="58">
        <f>IF('[22]سجل المستخلصات'!$AE$16="","",'[22]سجل المستخلصات'!$AE$16)</f>
        <v/>
      </c>
    </row>
    <row r="36">
      <c r="B36" s="56" t="n">
        <v>12</v>
      </c>
      <c r="C36" s="57">
        <f>IF('[22]سجل المستخلصات'!$C$17="","",'[22]سجل المستخلصات'!$C$17)</f>
        <v/>
      </c>
      <c r="D36" s="57">
        <f>IF('[22]سجل المستخلصات'!$E$17="","",'[22]سجل المستخلصات'!$E$17)</f>
        <v/>
      </c>
      <c r="E36" s="58">
        <f>IF('[22]سجل المستخلصات'!$F$17="","",'[22]سجل المستخلصات'!$F$17)</f>
        <v/>
      </c>
      <c r="F36" s="59">
        <f>IF('[22]سجل المستخلصات'!$H$17="","",'[22]سجل المستخلصات'!$H$17)</f>
        <v/>
      </c>
      <c r="G36" s="59">
        <f>IF('[22]سجل المستخلصات'!$G$17="","",'[22]سجل المستخلصات'!$G$17)</f>
        <v/>
      </c>
      <c r="H36" s="59">
        <f>IF('[22]سجل المستخلصات'!$I$17="","",'[22]سجل المستخلصات'!$I$17)</f>
        <v/>
      </c>
      <c r="I36" s="59">
        <f>IF('[22]سجل المستخلصات'!$J$17="","",'[22]سجل المستخلصات'!$J$17)</f>
        <v/>
      </c>
      <c r="J36" s="59">
        <f>IF('[22]سجل المستخلصات'!$K$17="","",'[22]سجل المستخلصات'!$K$17)</f>
        <v/>
      </c>
      <c r="K36" s="60">
        <f>IF('[22]سجل المستخلصات'!$L$17="","",'[22]سجل المستخلصات'!$L$17)</f>
        <v/>
      </c>
      <c r="L36" s="60">
        <f>IF('[22]سجل المستخلصات'!$M$17="","",'[22]سجل المستخلصات'!$M$17)</f>
        <v/>
      </c>
      <c r="M36" s="60">
        <f>IF('[22]سجل المستخلصات'!$N$17="","",'[22]سجل المستخلصات'!$N$17)</f>
        <v/>
      </c>
      <c r="N36" s="59">
        <f>IF('[22]سجل المستخلصات'!$O$17="","",'[22]سجل المستخلصات'!$O$17)</f>
        <v/>
      </c>
      <c r="O36" s="59">
        <f>IF('[22]سجل المستخلصات'!$R$17="","",'[22]سجل المستخلصات'!$R$17)</f>
        <v/>
      </c>
      <c r="P36" s="59">
        <f>IF('[22]سجل المستخلصات'!$S$17="","",'[22]سجل المستخلصات'!$S$17)</f>
        <v/>
      </c>
      <c r="Q36" s="59">
        <f>IF('[22]سجل المستخلصات'!$T$17="","",'[22]سجل المستخلصات'!$T$17)</f>
        <v/>
      </c>
      <c r="R36" s="59">
        <f>IF('[22]سجل المستخلصات'!$V$17="","",'[22]سجل المستخلصات'!$V$17)</f>
        <v/>
      </c>
      <c r="S36" s="59">
        <f>IF('[22]سجل المستخلصات'!$W$17="","",'[22]سجل المستخلصات'!$W$17)</f>
        <v/>
      </c>
      <c r="T36" s="61">
        <f>IF('[22]سجل المستخلصات'!$X$17="","",'[22]سجل المستخلصات'!$X$17)</f>
        <v/>
      </c>
      <c r="U36" s="61">
        <f>IF('[22]سجل المستخلصات'!$Z$17="","",'[22]سجل المستخلصات'!$Z$17)</f>
        <v/>
      </c>
      <c r="V36" s="59">
        <f>IF('[22]سجل المستخلصات'!$AA$17="","",'[22]سجل المستخلصات'!$AA$17)</f>
        <v/>
      </c>
      <c r="W36" s="59">
        <f>IF('[22]سجل المستخلصات'!$AC$17="","",'[22]سجل المستخلصات'!$AC$17)</f>
        <v/>
      </c>
      <c r="X36" s="62">
        <f>IF('[22]سجل المستخلصات'!$AD$17="","",'[22]سجل المستخلصات'!$AD$17)</f>
        <v/>
      </c>
      <c r="Y36" s="58">
        <f>IF('[22]سجل المستخلصات'!$AE$17="","",'[22]سجل المستخلصات'!$AE$17)</f>
        <v/>
      </c>
    </row>
    <row r="37">
      <c r="B37" s="56" t="n">
        <v>13</v>
      </c>
      <c r="C37" s="57">
        <f>IF('[22]سجل المستخلصات'!$C$18="","",'[22]سجل المستخلصات'!$C$18)</f>
        <v/>
      </c>
      <c r="D37" s="57">
        <f>IF('[22]سجل المستخلصات'!$E$18="","",'[22]سجل المستخلصات'!$E$18)</f>
        <v/>
      </c>
      <c r="E37" s="58">
        <f>IF('[22]سجل المستخلصات'!$F$18="","",'[22]سجل المستخلصات'!$F$18)</f>
        <v/>
      </c>
      <c r="F37" s="59">
        <f>IF('[22]سجل المستخلصات'!$H$18="","",'[22]سجل المستخلصات'!$H$18)</f>
        <v/>
      </c>
      <c r="G37" s="59">
        <f>IF('[22]سجل المستخلصات'!$G$18="","",'[22]سجل المستخلصات'!$G$18)</f>
        <v/>
      </c>
      <c r="H37" s="59">
        <f>IF('[22]سجل المستخلصات'!$I$18="","",'[22]سجل المستخلصات'!$I$18)</f>
        <v/>
      </c>
      <c r="I37" s="59">
        <f>IF('[22]سجل المستخلصات'!$J$18="","",'[22]سجل المستخلصات'!$J$18)</f>
        <v/>
      </c>
      <c r="J37" s="59">
        <f>IF('[22]سجل المستخلصات'!$K$18="","",'[22]سجل المستخلصات'!$K$18)</f>
        <v/>
      </c>
      <c r="K37" s="60">
        <f>IF('[22]سجل المستخلصات'!$L$18="","",'[22]سجل المستخلصات'!$L$18)</f>
        <v/>
      </c>
      <c r="L37" s="60">
        <f>IF('[22]سجل المستخلصات'!$M$18="","",'[22]سجل المستخلصات'!$M$18)</f>
        <v/>
      </c>
      <c r="M37" s="60">
        <f>IF('[22]سجل المستخلصات'!$N$18="","",'[22]سجل المستخلصات'!$N$18)</f>
        <v/>
      </c>
      <c r="N37" s="59">
        <f>IF('[22]سجل المستخلصات'!$O$18="","",'[22]سجل المستخلصات'!$O$18)</f>
        <v/>
      </c>
      <c r="O37" s="59">
        <f>IF('[22]سجل المستخلصات'!$R$18="","",'[22]سجل المستخلصات'!$R$18)</f>
        <v/>
      </c>
      <c r="P37" s="59">
        <f>IF('[22]سجل المستخلصات'!$S$18="","",'[22]سجل المستخلصات'!$S$18)</f>
        <v/>
      </c>
      <c r="Q37" s="59">
        <f>IF('[22]سجل المستخلصات'!$T$18="","",'[22]سجل المستخلصات'!$T$18)</f>
        <v/>
      </c>
      <c r="R37" s="59">
        <f>IF('[22]سجل المستخلصات'!$V$18="","",'[22]سجل المستخلصات'!$V$18)</f>
        <v/>
      </c>
      <c r="S37" s="59">
        <f>IF('[22]سجل المستخلصات'!$W$18="","",'[22]سجل المستخلصات'!$W$18)</f>
        <v/>
      </c>
      <c r="T37" s="61">
        <f>IF('[22]سجل المستخلصات'!$X$18="","",'[22]سجل المستخلصات'!$X$18)</f>
        <v/>
      </c>
      <c r="U37" s="61">
        <f>IF('[22]سجل المستخلصات'!$Z$18="","",'[22]سجل المستخلصات'!$Z$18)</f>
        <v/>
      </c>
      <c r="V37" s="59">
        <f>IF('[22]سجل المستخلصات'!$AA$18="","",'[22]سجل المستخلصات'!$AA$18)</f>
        <v/>
      </c>
      <c r="W37" s="59">
        <f>IF('[22]سجل المستخلصات'!$AC$18="","",'[22]سجل المستخلصات'!$AC$18)</f>
        <v/>
      </c>
      <c r="X37" s="62">
        <f>IF('[22]سجل المستخلصات'!$AD$18="","",'[22]سجل المستخلصات'!$AD$18)</f>
        <v/>
      </c>
      <c r="Y37" s="58">
        <f>IF('[22]سجل المستخلصات'!$AE$18="","",'[22]سجل المستخلصات'!$AE$18)</f>
        <v/>
      </c>
    </row>
    <row r="38">
      <c r="B38" s="56" t="n">
        <v>14</v>
      </c>
      <c r="C38" s="57">
        <f>IF('[22]سجل المستخلصات'!$C$19="","",'[22]سجل المستخلصات'!$C$19)</f>
        <v/>
      </c>
      <c r="D38" s="57">
        <f>IF('[22]سجل المستخلصات'!$E$19="","",'[22]سجل المستخلصات'!$E$19)</f>
        <v/>
      </c>
      <c r="E38" s="58">
        <f>IF('[22]سجل المستخلصات'!$F$19="","",'[22]سجل المستخلصات'!$F$19)</f>
        <v/>
      </c>
      <c r="F38" s="59">
        <f>IF('[22]سجل المستخلصات'!$H$19="","",'[22]سجل المستخلصات'!$H$19)</f>
        <v/>
      </c>
      <c r="G38" s="59">
        <f>IF('[22]سجل المستخلصات'!$G$19="","",'[22]سجل المستخلصات'!$G$19)</f>
        <v/>
      </c>
      <c r="H38" s="59">
        <f>IF('[22]سجل المستخلصات'!$I$19="","",'[22]سجل المستخلصات'!$I$19)</f>
        <v/>
      </c>
      <c r="I38" s="59">
        <f>IF('[22]سجل المستخلصات'!$J$19="","",'[22]سجل المستخلصات'!$J$19)</f>
        <v/>
      </c>
      <c r="J38" s="59">
        <f>IF('[22]سجل المستخلصات'!$K$19="","",'[22]سجل المستخلصات'!$K$19)</f>
        <v/>
      </c>
      <c r="K38" s="60">
        <f>IF('[22]سجل المستخلصات'!$L$19="","",'[22]سجل المستخلصات'!$L$19)</f>
        <v/>
      </c>
      <c r="L38" s="60">
        <f>IF('[22]سجل المستخلصات'!$M$19="","",'[22]سجل المستخلصات'!$M$19)</f>
        <v/>
      </c>
      <c r="M38" s="60">
        <f>IF('[22]سجل المستخلصات'!$N$19="","",'[22]سجل المستخلصات'!$N$19)</f>
        <v/>
      </c>
      <c r="N38" s="59">
        <f>IF('[22]سجل المستخلصات'!$O$19="","",'[22]سجل المستخلصات'!$O$19)</f>
        <v/>
      </c>
      <c r="O38" s="59">
        <f>IF('[22]سجل المستخلصات'!$R$19="","",'[22]سجل المستخلصات'!$R$19)</f>
        <v/>
      </c>
      <c r="P38" s="59">
        <f>IF('[22]سجل المستخلصات'!$S$19="","",'[22]سجل المستخلصات'!$S$19)</f>
        <v/>
      </c>
      <c r="Q38" s="59">
        <f>IF('[22]سجل المستخلصات'!$T$19="","",'[22]سجل المستخلصات'!$T$19)</f>
        <v/>
      </c>
      <c r="R38" s="59">
        <f>IF('[22]سجل المستخلصات'!$V$19="","",'[22]سجل المستخلصات'!$V$19)</f>
        <v/>
      </c>
      <c r="S38" s="59">
        <f>IF('[22]سجل المستخلصات'!$W$19="","",'[22]سجل المستخلصات'!$W$19)</f>
        <v/>
      </c>
      <c r="T38" s="61">
        <f>IF('[22]سجل المستخلصات'!$X$19="","",'[22]سجل المستخلصات'!$X$19)</f>
        <v/>
      </c>
      <c r="U38" s="61">
        <f>IF('[22]سجل المستخلصات'!$Z$19="","",'[22]سجل المستخلصات'!$Z$19)</f>
        <v/>
      </c>
      <c r="V38" s="59">
        <f>IF('[22]سجل المستخلصات'!$AA$19="","",'[22]سجل المستخلصات'!$AA$19)</f>
        <v/>
      </c>
      <c r="W38" s="59">
        <f>IF('[22]سجل المستخلصات'!$AC$19="","",'[22]سجل المستخلصات'!$AC$19)</f>
        <v/>
      </c>
      <c r="X38" s="62">
        <f>IF('[22]سجل المستخلصات'!$AD$19="","",'[22]سجل المستخلصات'!$AD$19)</f>
        <v/>
      </c>
      <c r="Y38" s="58">
        <f>IF('[22]سجل المستخلصات'!$AE$19="","",'[22]سجل المستخلصات'!$AE$19)</f>
        <v/>
      </c>
    </row>
    <row r="39">
      <c r="B39" s="56" t="n">
        <v>15</v>
      </c>
      <c r="C39" s="57">
        <f>IF('[22]سجل المستخلصات'!$C$20="","",'[22]سجل المستخلصات'!$C$20)</f>
        <v/>
      </c>
      <c r="D39" s="57">
        <f>IF('[22]سجل المستخلصات'!$E$20="","",'[22]سجل المستخلصات'!$E$20)</f>
        <v/>
      </c>
      <c r="E39" s="58">
        <f>IF('[22]سجل المستخلصات'!$F$20="","",'[22]سجل المستخلصات'!$F$20)</f>
        <v/>
      </c>
      <c r="F39" s="59">
        <f>IF('[22]سجل المستخلصات'!$H$20="","",'[22]سجل المستخلصات'!$H$20)</f>
        <v/>
      </c>
      <c r="G39" s="59">
        <f>IF('[22]سجل المستخلصات'!$G$20="","",'[22]سجل المستخلصات'!$G$20)</f>
        <v/>
      </c>
      <c r="H39" s="59">
        <f>IF('[22]سجل المستخلصات'!$I$20="","",'[22]سجل المستخلصات'!$I$20)</f>
        <v/>
      </c>
      <c r="I39" s="59">
        <f>IF('[22]سجل المستخلصات'!$J$20="","",'[22]سجل المستخلصات'!$J$20)</f>
        <v/>
      </c>
      <c r="J39" s="59">
        <f>IF('[22]سجل المستخلصات'!$K$20="","",'[22]سجل المستخلصات'!$K$20)</f>
        <v/>
      </c>
      <c r="K39" s="60">
        <f>IF('[22]سجل المستخلصات'!$L$20="","",'[22]سجل المستخلصات'!$L$20)</f>
        <v/>
      </c>
      <c r="L39" s="60">
        <f>IF('[22]سجل المستخلصات'!$M$20="","",'[22]سجل المستخلصات'!$M$20)</f>
        <v/>
      </c>
      <c r="M39" s="60">
        <f>IF('[22]سجل المستخلصات'!$N$20="","",'[22]سجل المستخلصات'!$N$20)</f>
        <v/>
      </c>
      <c r="N39" s="59">
        <f>IF('[22]سجل المستخلصات'!$O$20="","",'[22]سجل المستخلصات'!$O$20)</f>
        <v/>
      </c>
      <c r="O39" s="59">
        <f>IF('[22]سجل المستخلصات'!$R$20="","",'[22]سجل المستخلصات'!$R$20)</f>
        <v/>
      </c>
      <c r="P39" s="59">
        <f>IF('[22]سجل المستخلصات'!$S$20="","",'[22]سجل المستخلصات'!$S$20)</f>
        <v/>
      </c>
      <c r="Q39" s="59">
        <f>IF('[22]سجل المستخلصات'!$T$20="","",'[22]سجل المستخلصات'!$T$20)</f>
        <v/>
      </c>
      <c r="R39" s="59">
        <f>IF('[22]سجل المستخلصات'!$V$20="","",'[22]سجل المستخلصات'!$V$20)</f>
        <v/>
      </c>
      <c r="S39" s="59">
        <f>IF('[22]سجل المستخلصات'!$W$20="","",'[22]سجل المستخلصات'!$W$20)</f>
        <v/>
      </c>
      <c r="T39" s="61">
        <f>IF('[22]سجل المستخلصات'!$X$20="","",'[22]سجل المستخلصات'!$X$20)</f>
        <v/>
      </c>
      <c r="U39" s="61">
        <f>IF('[22]سجل المستخلصات'!$Z$20="","",'[22]سجل المستخلصات'!$Z$20)</f>
        <v/>
      </c>
      <c r="V39" s="59">
        <f>IF('[22]سجل المستخلصات'!$AA$20="","",'[22]سجل المستخلصات'!$AA$20)</f>
        <v/>
      </c>
      <c r="W39" s="59">
        <f>IF('[22]سجل المستخلصات'!$AC$20="","",'[22]سجل المستخلصات'!$AC$20)</f>
        <v/>
      </c>
      <c r="X39" s="62">
        <f>IF('[22]سجل المستخلصات'!$AD$20="","",'[22]سجل المستخلصات'!$AD$20)</f>
        <v/>
      </c>
      <c r="Y39" s="58">
        <f>IF('[22]سجل المستخلصات'!$AE$20="","",'[22]سجل المستخلصات'!$AE$20)</f>
        <v/>
      </c>
    </row>
    <row r="40">
      <c r="B40" s="56" t="n">
        <v>16</v>
      </c>
      <c r="C40" s="57">
        <f>IF('[22]سجل المستخلصات'!$C$21="","",'[22]سجل المستخلصات'!$C$21)</f>
        <v/>
      </c>
      <c r="D40" s="57">
        <f>IF('[22]سجل المستخلصات'!$E$21="","",'[22]سجل المستخلصات'!$E$21)</f>
        <v/>
      </c>
      <c r="E40" s="58">
        <f>IF('[22]سجل المستخلصات'!$F$21="","",'[22]سجل المستخلصات'!$F$21)</f>
        <v/>
      </c>
      <c r="F40" s="59">
        <f>IF('[22]سجل المستخلصات'!$H$21="","",'[22]سجل المستخلصات'!$H$21)</f>
        <v/>
      </c>
      <c r="G40" s="59">
        <f>IF('[22]سجل المستخلصات'!$G$21="","",'[22]سجل المستخلصات'!$G$21)</f>
        <v/>
      </c>
      <c r="H40" s="59">
        <f>IF('[22]سجل المستخلصات'!$I$21="","",'[22]سجل المستخلصات'!$I$21)</f>
        <v/>
      </c>
      <c r="I40" s="59">
        <f>IF('[22]سجل المستخلصات'!$J$21="","",'[22]سجل المستخلصات'!$J$21)</f>
        <v/>
      </c>
      <c r="J40" s="59">
        <f>IF('[22]سجل المستخلصات'!$K$21="","",'[22]سجل المستخلصات'!$K$21)</f>
        <v/>
      </c>
      <c r="K40" s="60">
        <f>IF('[22]سجل المستخلصات'!$L$21="","",'[22]سجل المستخلصات'!$L$21)</f>
        <v/>
      </c>
      <c r="L40" s="60">
        <f>IF('[22]سجل المستخلصات'!$M$21="","",'[22]سجل المستخلصات'!$M$21)</f>
        <v/>
      </c>
      <c r="M40" s="60">
        <f>IF('[22]سجل المستخلصات'!$N$21="","",'[22]سجل المستخلصات'!$N$21)</f>
        <v/>
      </c>
      <c r="N40" s="59">
        <f>IF('[22]سجل المستخلصات'!$O$21="","",'[22]سجل المستخلصات'!$O$21)</f>
        <v/>
      </c>
      <c r="O40" s="59">
        <f>IF('[22]سجل المستخلصات'!$R$21="","",'[22]سجل المستخلصات'!$R$21)</f>
        <v/>
      </c>
      <c r="P40" s="59">
        <f>IF('[22]سجل المستخلصات'!$S$21="","",'[22]سجل المستخلصات'!$S$21)</f>
        <v/>
      </c>
      <c r="Q40" s="59">
        <f>IF('[22]سجل المستخلصات'!$T$21="","",'[22]سجل المستخلصات'!$T$21)</f>
        <v/>
      </c>
      <c r="R40" s="59">
        <f>IF('[22]سجل المستخلصات'!$V$21="","",'[22]سجل المستخلصات'!$V$21)</f>
        <v/>
      </c>
      <c r="S40" s="59">
        <f>IF('[22]سجل المستخلصات'!$W$21="","",'[22]سجل المستخلصات'!$W$21)</f>
        <v/>
      </c>
      <c r="T40" s="61">
        <f>IF('[22]سجل المستخلصات'!$X$21="","",'[22]سجل المستخلصات'!$X$21)</f>
        <v/>
      </c>
      <c r="U40" s="61">
        <f>IF('[22]سجل المستخلصات'!$Z$21="","",'[22]سجل المستخلصات'!$Z$21)</f>
        <v/>
      </c>
      <c r="V40" s="59">
        <f>IF('[22]سجل المستخلصات'!$AA$21="","",'[22]سجل المستخلصات'!$AA$21)</f>
        <v/>
      </c>
      <c r="W40" s="59">
        <f>IF('[22]سجل المستخلصات'!$AC$21="","",'[22]سجل المستخلصات'!$AC$21)</f>
        <v/>
      </c>
      <c r="X40" s="62">
        <f>IF('[22]سجل المستخلصات'!$AD$21="","",'[22]سجل المستخلصات'!$AD$21)</f>
        <v/>
      </c>
      <c r="Y40" s="58">
        <f>IF('[22]سجل المستخلصات'!$AE$21="","",'[22]سجل المستخلصات'!$AE$21)</f>
        <v/>
      </c>
    </row>
    <row r="41">
      <c r="B41" s="56" t="n">
        <v>17</v>
      </c>
      <c r="C41" s="57">
        <f>IF('[22]سجل المستخلصات'!$C$22="","",'[22]سجل المستخلصات'!$C$22)</f>
        <v/>
      </c>
      <c r="D41" s="57">
        <f>IF('[22]سجل المستخلصات'!$E$22="","",'[22]سجل المستخلصات'!$E$22)</f>
        <v/>
      </c>
      <c r="E41" s="58">
        <f>IF('[22]سجل المستخلصات'!$F$22="","",'[22]سجل المستخلصات'!$F$22)</f>
        <v/>
      </c>
      <c r="F41" s="59">
        <f>IF('[22]سجل المستخلصات'!$H$22="","",'[22]سجل المستخلصات'!$H$22)</f>
        <v/>
      </c>
      <c r="G41" s="59">
        <f>IF('[22]سجل المستخلصات'!$G$22="","",'[22]سجل المستخلصات'!$G$22)</f>
        <v/>
      </c>
      <c r="H41" s="59">
        <f>IF('[22]سجل المستخلصات'!$I$22="","",'[22]سجل المستخلصات'!$I$22)</f>
        <v/>
      </c>
      <c r="I41" s="59">
        <f>IF('[22]سجل المستخلصات'!$J$22="","",'[22]سجل المستخلصات'!$J$22)</f>
        <v/>
      </c>
      <c r="J41" s="59">
        <f>IF('[22]سجل المستخلصات'!$K$22="","",'[22]سجل المستخلصات'!$K$22)</f>
        <v/>
      </c>
      <c r="K41" s="60">
        <f>IF('[22]سجل المستخلصات'!$L$22="","",'[22]سجل المستخلصات'!$L$22)</f>
        <v/>
      </c>
      <c r="L41" s="60">
        <f>IF('[22]سجل المستخلصات'!$M$22="","",'[22]سجل المستخلصات'!$M$22)</f>
        <v/>
      </c>
      <c r="M41" s="60">
        <f>IF('[22]سجل المستخلصات'!$N$22="","",'[22]سجل المستخلصات'!$N$22)</f>
        <v/>
      </c>
      <c r="N41" s="59">
        <f>IF('[22]سجل المستخلصات'!$O$22="","",'[22]سجل المستخلصات'!$O$22)</f>
        <v/>
      </c>
      <c r="O41" s="59">
        <f>IF('[22]سجل المستخلصات'!$R$22="","",'[22]سجل المستخلصات'!$R$22)</f>
        <v/>
      </c>
      <c r="P41" s="59">
        <f>IF('[22]سجل المستخلصات'!$S$22="","",'[22]سجل المستخلصات'!$S$22)</f>
        <v/>
      </c>
      <c r="Q41" s="59">
        <f>IF('[22]سجل المستخلصات'!$T$22="","",'[22]سجل المستخلصات'!$T$22)</f>
        <v/>
      </c>
      <c r="R41" s="59">
        <f>IF('[22]سجل المستخلصات'!$V$22="","",'[22]سجل المستخلصات'!$V$22)</f>
        <v/>
      </c>
      <c r="S41" s="59">
        <f>IF('[22]سجل المستخلصات'!$W$22="","",'[22]سجل المستخلصات'!$W$22)</f>
        <v/>
      </c>
      <c r="T41" s="61">
        <f>IF('[22]سجل المستخلصات'!$X$22="","",'[22]سجل المستخلصات'!$X$22)</f>
        <v/>
      </c>
      <c r="U41" s="61">
        <f>IF('[22]سجل المستخلصات'!$Z$22="","",'[22]سجل المستخلصات'!$Z$22)</f>
        <v/>
      </c>
      <c r="V41" s="59">
        <f>IF('[22]سجل المستخلصات'!$AA$22="","",'[22]سجل المستخلصات'!$AA$22)</f>
        <v/>
      </c>
      <c r="W41" s="59">
        <f>IF('[22]سجل المستخلصات'!$AC$22="","",'[22]سجل المستخلصات'!$AC$22)</f>
        <v/>
      </c>
      <c r="X41" s="62">
        <f>IF('[22]سجل المستخلصات'!$AD$22="","",'[22]سجل المستخلصات'!$AD$22)</f>
        <v/>
      </c>
      <c r="Y41" s="58">
        <f>IF('[22]سجل المستخلصات'!$AE$22="","",'[22]سجل المستخلصات'!$AE$22)</f>
        <v/>
      </c>
    </row>
    <row r="42">
      <c r="B42" s="56" t="n">
        <v>18</v>
      </c>
      <c r="C42" s="57">
        <f>IF('[22]سجل المستخلصات'!$C$23="","",'[22]سجل المستخلصات'!$C$23)</f>
        <v/>
      </c>
      <c r="D42" s="57">
        <f>IF('[22]سجل المستخلصات'!$E$23="","",'[22]سجل المستخلصات'!$E$23)</f>
        <v/>
      </c>
      <c r="E42" s="58">
        <f>IF('[22]سجل المستخلصات'!$F$23="","",'[22]سجل المستخلصات'!$F$23)</f>
        <v/>
      </c>
      <c r="F42" s="59">
        <f>IF('[22]سجل المستخلصات'!$H$23="","",'[22]سجل المستخلصات'!$H$23)</f>
        <v/>
      </c>
      <c r="G42" s="59">
        <f>IF('[22]سجل المستخلصات'!$G$23="","",'[22]سجل المستخلصات'!$G$23)</f>
        <v/>
      </c>
      <c r="H42" s="59">
        <f>IF('[22]سجل المستخلصات'!$I$23="","",'[22]سجل المستخلصات'!$I$23)</f>
        <v/>
      </c>
      <c r="I42" s="59">
        <f>IF('[22]سجل المستخلصات'!$J$23="","",'[22]سجل المستخلصات'!$J$23)</f>
        <v/>
      </c>
      <c r="J42" s="59">
        <f>IF('[22]سجل المستخلصات'!$K$23="","",'[22]سجل المستخلصات'!$K$23)</f>
        <v/>
      </c>
      <c r="K42" s="60">
        <f>IF('[22]سجل المستخلصات'!$L$23="","",'[22]سجل المستخلصات'!$L$23)</f>
        <v/>
      </c>
      <c r="L42" s="60">
        <f>IF('[22]سجل المستخلصات'!$M$23="","",'[22]سجل المستخلصات'!$M$23)</f>
        <v/>
      </c>
      <c r="M42" s="60">
        <f>IF('[22]سجل المستخلصات'!$N$23="","",'[22]سجل المستخلصات'!$N$23)</f>
        <v/>
      </c>
      <c r="N42" s="59">
        <f>IF('[22]سجل المستخلصات'!$O$23="","",'[22]سجل المستخلصات'!$O$23)</f>
        <v/>
      </c>
      <c r="O42" s="59">
        <f>IF('[22]سجل المستخلصات'!$R$23="","",'[22]سجل المستخلصات'!$R$23)</f>
        <v/>
      </c>
      <c r="P42" s="59">
        <f>IF('[22]سجل المستخلصات'!$S$23="","",'[22]سجل المستخلصات'!$S$23)</f>
        <v/>
      </c>
      <c r="Q42" s="59">
        <f>IF('[22]سجل المستخلصات'!$T$23="","",'[22]سجل المستخلصات'!$T$23)</f>
        <v/>
      </c>
      <c r="R42" s="59">
        <f>IF('[22]سجل المستخلصات'!$V$23="","",'[22]سجل المستخلصات'!$V$23)</f>
        <v/>
      </c>
      <c r="S42" s="59">
        <f>IF('[22]سجل المستخلصات'!$W$23="","",'[22]سجل المستخلصات'!$W$23)</f>
        <v/>
      </c>
      <c r="T42" s="61">
        <f>IF('[22]سجل المستخلصات'!$X$23="","",'[22]سجل المستخلصات'!$X$23)</f>
        <v/>
      </c>
      <c r="U42" s="61">
        <f>IF('[22]سجل المستخلصات'!$Z$23="","",'[22]سجل المستخلصات'!$Z$23)</f>
        <v/>
      </c>
      <c r="V42" s="59">
        <f>IF('[22]سجل المستخلصات'!$AA$23="","",'[22]سجل المستخلصات'!$AA$23)</f>
        <v/>
      </c>
      <c r="W42" s="59">
        <f>IF('[22]سجل المستخلصات'!$AC$23="","",'[22]سجل المستخلصات'!$AC$23)</f>
        <v/>
      </c>
      <c r="X42" s="62">
        <f>IF('[22]سجل المستخلصات'!$AD$23="","",'[22]سجل المستخلصات'!$AD$23)</f>
        <v/>
      </c>
      <c r="Y42" s="58">
        <f>IF('[22]سجل المستخلصات'!$AE$23="","",'[22]سجل المستخلصات'!$AE$23)</f>
        <v/>
      </c>
    </row>
    <row r="43">
      <c r="B43" s="56" t="n">
        <v>19</v>
      </c>
      <c r="C43" s="57">
        <f>IF('[22]سجل المستخلصات'!$C$24="","",'[22]سجل المستخلصات'!$C$24)</f>
        <v/>
      </c>
      <c r="D43" s="57">
        <f>IF('[22]سجل المستخلصات'!$E$24="","",'[22]سجل المستخلصات'!$E$24)</f>
        <v/>
      </c>
      <c r="E43" s="58">
        <f>IF('[22]سجل المستخلصات'!$F$24="","",'[22]سجل المستخلصات'!$F$24)</f>
        <v/>
      </c>
      <c r="F43" s="59">
        <f>IF('[22]سجل المستخلصات'!$H$24="","",'[22]سجل المستخلصات'!$H$24)</f>
        <v/>
      </c>
      <c r="G43" s="59">
        <f>IF('[22]سجل المستخلصات'!$G$24="","",'[22]سجل المستخلصات'!$G$24)</f>
        <v/>
      </c>
      <c r="H43" s="59">
        <f>IF('[22]سجل المستخلصات'!$I$24="","",'[22]سجل المستخلصات'!$I$24)</f>
        <v/>
      </c>
      <c r="I43" s="59">
        <f>IF('[22]سجل المستخلصات'!$J$24="","",'[22]سجل المستخلصات'!$J$24)</f>
        <v/>
      </c>
      <c r="J43" s="59">
        <f>IF('[22]سجل المستخلصات'!$K$24="","",'[22]سجل المستخلصات'!$K$24)</f>
        <v/>
      </c>
      <c r="K43" s="60">
        <f>IF('[22]سجل المستخلصات'!$L$24="","",'[22]سجل المستخلصات'!$L$24)</f>
        <v/>
      </c>
      <c r="L43" s="60">
        <f>IF('[22]سجل المستخلصات'!$M$24="","",'[22]سجل المستخلصات'!$M$24)</f>
        <v/>
      </c>
      <c r="M43" s="60">
        <f>IF('[22]سجل المستخلصات'!$N$24="","",'[22]سجل المستخلصات'!$N$24)</f>
        <v/>
      </c>
      <c r="N43" s="59">
        <f>IF('[22]سجل المستخلصات'!$O$24="","",'[22]سجل المستخلصات'!$O$24)</f>
        <v/>
      </c>
      <c r="O43" s="59">
        <f>IF('[22]سجل المستخلصات'!$R$24="","",'[22]سجل المستخلصات'!$R$24)</f>
        <v/>
      </c>
      <c r="P43" s="59">
        <f>IF('[22]سجل المستخلصات'!$S$24="","",'[22]سجل المستخلصات'!$S$24)</f>
        <v/>
      </c>
      <c r="Q43" s="59">
        <f>IF('[22]سجل المستخلصات'!$T$24="","",'[22]سجل المستخلصات'!$T$24)</f>
        <v/>
      </c>
      <c r="R43" s="59">
        <f>IF('[22]سجل المستخلصات'!$V$24="","",'[22]سجل المستخلصات'!$V$24)</f>
        <v/>
      </c>
      <c r="S43" s="59">
        <f>IF('[22]سجل المستخلصات'!$W$24="","",'[22]سجل المستخلصات'!$W$24)</f>
        <v/>
      </c>
      <c r="T43" s="61">
        <f>IF('[22]سجل المستخلصات'!$X$24="","",'[22]سجل المستخلصات'!$X$24)</f>
        <v/>
      </c>
      <c r="U43" s="61">
        <f>IF('[22]سجل المستخلصات'!$Z$24="","",'[22]سجل المستخلصات'!$Z$24)</f>
        <v/>
      </c>
      <c r="V43" s="59">
        <f>IF('[22]سجل المستخلصات'!$AA$24="","",'[22]سجل المستخلصات'!$AA$24)</f>
        <v/>
      </c>
      <c r="W43" s="59">
        <f>IF('[22]سجل المستخلصات'!$AC$24="","",'[22]سجل المستخلصات'!$AC$24)</f>
        <v/>
      </c>
      <c r="X43" s="62">
        <f>IF('[22]سجل المستخلصات'!$AD$24="","",'[22]سجل المستخلصات'!$AD$24)</f>
        <v/>
      </c>
      <c r="Y43" s="58">
        <f>IF('[22]سجل المستخلصات'!$AE$24="","",'[22]سجل المستخلصات'!$AE$24)</f>
        <v/>
      </c>
    </row>
    <row r="44">
      <c r="B44" s="56" t="n">
        <v>20</v>
      </c>
      <c r="C44" s="57">
        <f>IF('[22]سجل المستخلصات'!$C$25="","",'[22]سجل المستخلصات'!$C$25)</f>
        <v/>
      </c>
      <c r="D44" s="57">
        <f>IF('[22]سجل المستخلصات'!$E$25="","",'[22]سجل المستخلصات'!$E$25)</f>
        <v/>
      </c>
      <c r="E44" s="58">
        <f>IF('[22]سجل المستخلصات'!$F$25="","",'[22]سجل المستخلصات'!$F$25)</f>
        <v/>
      </c>
      <c r="F44" s="59">
        <f>IF('[22]سجل المستخلصات'!$H$25="","",'[22]سجل المستخلصات'!$H$25)</f>
        <v/>
      </c>
      <c r="G44" s="59">
        <f>IF('[22]سجل المستخلصات'!$G$25="","",'[22]سجل المستخلصات'!$G$25)</f>
        <v/>
      </c>
      <c r="H44" s="59">
        <f>IF('[22]سجل المستخلصات'!$I$25="","",'[22]سجل المستخلصات'!$I$25)</f>
        <v/>
      </c>
      <c r="I44" s="59">
        <f>IF('[22]سجل المستخلصات'!$J$25="","",'[22]سجل المستخلصات'!$J$25)</f>
        <v/>
      </c>
      <c r="J44" s="59">
        <f>IF('[22]سجل المستخلصات'!$K$25="","",'[22]سجل المستخلصات'!$K$25)</f>
        <v/>
      </c>
      <c r="K44" s="60">
        <f>IF('[22]سجل المستخلصات'!$L$25="","",'[22]سجل المستخلصات'!$L$25)</f>
        <v/>
      </c>
      <c r="L44" s="60">
        <f>IF('[22]سجل المستخلصات'!$M$25="","",'[22]سجل المستخلصات'!$M$25)</f>
        <v/>
      </c>
      <c r="M44" s="60">
        <f>IF('[22]سجل المستخلصات'!$N$25="","",'[22]سجل المستخلصات'!$N$25)</f>
        <v/>
      </c>
      <c r="N44" s="59">
        <f>IF('[22]سجل المستخلصات'!$O$25="","",'[22]سجل المستخلصات'!$O$25)</f>
        <v/>
      </c>
      <c r="O44" s="59">
        <f>IF('[22]سجل المستخلصات'!$R$25="","",'[22]سجل المستخلصات'!$R$25)</f>
        <v/>
      </c>
      <c r="P44" s="59">
        <f>IF('[22]سجل المستخلصات'!$S$25="","",'[22]سجل المستخلصات'!$S$25)</f>
        <v/>
      </c>
      <c r="Q44" s="59">
        <f>IF('[22]سجل المستخلصات'!$T$25="","",'[22]سجل المستخلصات'!$T$25)</f>
        <v/>
      </c>
      <c r="R44" s="59">
        <f>IF('[22]سجل المستخلصات'!$V$25="","",'[22]سجل المستخلصات'!$V$25)</f>
        <v/>
      </c>
      <c r="S44" s="59">
        <f>IF('[22]سجل المستخلصات'!$W$25="","",'[22]سجل المستخلصات'!$W$25)</f>
        <v/>
      </c>
      <c r="T44" s="61">
        <f>IF('[22]سجل المستخلصات'!$X$25="","",'[22]سجل المستخلصات'!$X$25)</f>
        <v/>
      </c>
      <c r="U44" s="61">
        <f>IF('[22]سجل المستخلصات'!$Z$25="","",'[22]سجل المستخلصات'!$Z$25)</f>
        <v/>
      </c>
      <c r="V44" s="59">
        <f>IF('[22]سجل المستخلصات'!$AA$25="","",'[22]سجل المستخلصات'!$AA$25)</f>
        <v/>
      </c>
      <c r="W44" s="59">
        <f>IF('[22]سجل المستخلصات'!$AC$25="","",'[22]سجل المستخلصات'!$AC$25)</f>
        <v/>
      </c>
      <c r="X44" s="62">
        <f>IF('[22]سجل المستخلصات'!$AD$25="","",'[22]سجل المستخلصات'!$AD$25)</f>
        <v/>
      </c>
      <c r="Y44" s="58">
        <f>IF('[22]سجل المستخلصات'!$AE$25="","",'[22]سجل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IF('[22]سجل المستخلصات'!$B$32="","",'[22]سجل المستخلصات'!$B$32)</f>
        <v/>
      </c>
      <c r="C50" s="69" t="n"/>
      <c r="D50" s="69" t="n"/>
      <c r="E50" s="59">
        <f>N('[22]سجل المستخلصات'!$E$32)</f>
        <v/>
      </c>
      <c r="F50" s="59">
        <f>N('[22]سجل المستخلصات'!$F$32)</f>
        <v/>
      </c>
      <c r="G50" s="70">
        <f>IF(E50&gt;0,F50/E50,0)</f>
        <v/>
      </c>
    </row>
    <row r="51">
      <c r="B51" s="69">
        <f>IF('[22]سجل المستخلصات'!$B$33="","",'[22]سجل المستخلصات'!$B$33)</f>
        <v/>
      </c>
      <c r="C51" s="69" t="n"/>
      <c r="D51" s="69" t="n"/>
      <c r="E51" s="59">
        <f>N('[22]سجل المستخلصات'!$E$33)</f>
        <v/>
      </c>
      <c r="F51" s="59">
        <f>N('[22]سجل المستخلصات'!$F$33)</f>
        <v/>
      </c>
      <c r="G51" s="70">
        <f>IF(E51&gt;0,F51/E51,0)</f>
        <v/>
      </c>
    </row>
    <row r="52">
      <c r="B52" s="69">
        <f>IF('[22]سجل المستخلصات'!$B$34="","",'[22]سجل المستخلصات'!$B$34)</f>
        <v/>
      </c>
      <c r="C52" s="69" t="n"/>
      <c r="D52" s="69" t="n"/>
      <c r="E52" s="59">
        <f>N('[22]سجل المستخلصات'!$E$34)</f>
        <v/>
      </c>
      <c r="F52" s="59">
        <f>N('[22]سجل المستخلصات'!$F$34)</f>
        <v/>
      </c>
      <c r="G52" s="70">
        <f>IF(E52&gt;0,F52/E52,0)</f>
        <v/>
      </c>
    </row>
    <row r="53">
      <c r="B53" s="69">
        <f>IF('[22]سجل المستخلصات'!$B$35="","",'[22]سجل المستخلصات'!$B$35)</f>
        <v/>
      </c>
      <c r="C53" s="69" t="n"/>
      <c r="D53" s="69" t="n"/>
      <c r="E53" s="59">
        <f>N('[22]سجل المستخلصات'!$E$35)</f>
        <v/>
      </c>
      <c r="F53" s="59">
        <f>N('[22]سجل المستخلصات'!$F$35)</f>
        <v/>
      </c>
      <c r="G53" s="70">
        <f>IF(E53&gt;0,F53/E53,0)</f>
        <v/>
      </c>
    </row>
    <row r="54">
      <c r="B54" s="69">
        <f>IF('[22]سجل المستخلصات'!$B$36="","",'[22]سجل المستخلصات'!$B$36)</f>
        <v/>
      </c>
      <c r="C54" s="69" t="n"/>
      <c r="D54" s="69" t="n"/>
      <c r="E54" s="59">
        <f>N('[22]سجل المستخلصات'!$E$36)</f>
        <v/>
      </c>
      <c r="F54" s="59">
        <f>N('[22]سجل المستخلصات'!$F$36)</f>
        <v/>
      </c>
      <c r="G54" s="70">
        <f>IF(E54&gt;0,F54/E54,0)</f>
        <v/>
      </c>
    </row>
    <row r="55">
      <c r="B55" s="69">
        <f>IF('[22]سجل المستخلصات'!$B$37="","",'[22]سجل المستخلصات'!$B$37)</f>
        <v/>
      </c>
      <c r="C55" s="69" t="n"/>
      <c r="D55" s="69" t="n"/>
      <c r="E55" s="59">
        <f>N('[22]سجل المستخلصات'!$E$37)</f>
        <v/>
      </c>
      <c r="F55" s="59">
        <f>N('[22]سجل المستخلصات'!$F$37)</f>
        <v/>
      </c>
      <c r="G55" s="70">
        <f>IF(E55&gt;0,F55/E55,0)</f>
        <v/>
      </c>
    </row>
    <row r="56">
      <c r="B56" s="69">
        <f>IF('[22]سجل المستخلصات'!$B$38="","",'[22]سجل المستخلصات'!$B$38)</f>
        <v/>
      </c>
      <c r="C56" s="69" t="n"/>
      <c r="D56" s="69" t="n"/>
      <c r="E56" s="59">
        <f>N('[22]سجل المستخلصات'!$E$38)</f>
        <v/>
      </c>
      <c r="F56" s="59">
        <f>N('[22]سجل المستخلصات'!$F$38)</f>
        <v/>
      </c>
      <c r="G56" s="70">
        <f>IF(E56&gt;0,F56/E56,0)</f>
        <v/>
      </c>
    </row>
    <row r="57">
      <c r="B57" s="69">
        <f>IF('[22]سجل المستخلصات'!$B$39="","",'[22]سجل المستخلصات'!$B$39)</f>
        <v/>
      </c>
      <c r="C57" s="69" t="n"/>
      <c r="D57" s="69" t="n"/>
      <c r="E57" s="59">
        <f>N('[22]سجل المستخلصات'!$E$39)</f>
        <v/>
      </c>
      <c r="F57" s="59">
        <f>N('[22]سجل المستخلصات'!$F$39)</f>
        <v/>
      </c>
      <c r="G57" s="70">
        <f>IF(E57&gt;0,F57/E57,0)</f>
        <v/>
      </c>
    </row>
    <row r="58">
      <c r="B58" s="69">
        <f>IF('[22]سجل المستخلصات'!$B$40="","",'[22]سجل المستخلصات'!$B$40)</f>
        <v/>
      </c>
      <c r="C58" s="69" t="n"/>
      <c r="D58" s="69" t="n"/>
      <c r="E58" s="59">
        <f>N('[22]سجل المستخلصات'!$E$40)</f>
        <v/>
      </c>
      <c r="F58" s="59">
        <f>N('[22]سجل المستخلصات'!$F$40)</f>
        <v/>
      </c>
      <c r="G58" s="70">
        <f>IF(E58&gt;0,F58/E58,0)</f>
        <v/>
      </c>
    </row>
    <row r="59">
      <c r="B59" s="69">
        <f>IF('[22]سجل المستخلصات'!$B$41="","",'[22]سجل المستخلصات'!$B$41)</f>
        <v/>
      </c>
      <c r="C59" s="69" t="n"/>
      <c r="D59" s="69" t="n"/>
      <c r="E59" s="59">
        <f>N('[22]سجل المستخلصات'!$E$41)</f>
        <v/>
      </c>
      <c r="F59" s="59">
        <f>N('[22]سجل المستخلصات'!$F$41)</f>
        <v/>
      </c>
      <c r="G59" s="70">
        <f>IF(E59&gt;0,F59/E59,0)</f>
        <v/>
      </c>
    </row>
    <row r="60">
      <c r="B60" s="69">
        <f>IF('[22]سجل المستخلصات'!$B$42="","",'[22]سجل المستخلصات'!$B$42)</f>
        <v/>
      </c>
      <c r="C60" s="69" t="n"/>
      <c r="D60" s="69" t="n"/>
      <c r="E60" s="59">
        <f>N('[22]سجل المستخلصات'!$E$42)</f>
        <v/>
      </c>
      <c r="F60" s="59">
        <f>N('[22]سجل المستخلصات'!$F$42)</f>
        <v/>
      </c>
      <c r="G60" s="70">
        <f>IF(E60&gt;0,F60/E60,0)</f>
        <v/>
      </c>
    </row>
    <row r="61">
      <c r="B61" s="69">
        <f>IF('[22]سجل المستخلصات'!$B$43="","",'[22]سجل المستخلصات'!$B$43)</f>
        <v/>
      </c>
      <c r="C61" s="69" t="n"/>
      <c r="D61" s="69" t="n"/>
      <c r="E61" s="59">
        <f>N('[22]سجل المستخلصات'!$E$43)</f>
        <v/>
      </c>
      <c r="F61" s="59">
        <f>N('[22]سجل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21'!A1" display="◄ المشروع السابق"/>
    <hyperlink ref="D3" location="'مشروع 23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"&amp;IF('[23]بيانات العقد'!$C$5="","مشروع رقم 23 — غير مُفعّل",'[23]بيانات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Project_23/IPC_Project_23.xlsx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IF('[23]بيانات العقد'!$C$5="","",'[23]بيانات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IF('[23]بيانات العقد'!$C$6="","",'[23]بيانات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IF('[23]بيانات العقد'!$C$7="","",'[23]بيانات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IF('[23]بيانات العقد'!$C$8="","",'[23]بيانات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N('[23]بيانات العقد'!$C$16)</f>
        <v/>
      </c>
    </row>
    <row r="6" ht="22" customHeight="1">
      <c r="B6" s="11" t="inlineStr">
        <is>
          <t>المقاول</t>
        </is>
      </c>
      <c r="C6" s="14">
        <f>IF('[23]بيانات العقد'!$C$9="","",'[23]بيانات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IF('[23]بيانات العقد'!$C$11="","",'[23]بيانات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IF('[23]بيانات العقد'!$C$13="","",'[23]بيانات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IF('[23]بيانات العقد'!$C$14="","",'[23]بيانات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N('[23]بيانات العقد'!$C$17)</f>
        <v/>
      </c>
    </row>
    <row r="7">
      <c r="AA7" s="15" t="inlineStr">
        <is>
          <t>قيمة العقد المعدلة</t>
        </is>
      </c>
      <c r="AB7" s="16">
        <f>N('[23]بيانات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N('[23]بيانات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N('[23]بيانات العقد'!$C$21)</f>
        <v/>
      </c>
    </row>
    <row r="10">
      <c r="AA10" s="15" t="inlineStr">
        <is>
          <t>نسبة ضمان الأعمال</t>
        </is>
      </c>
      <c r="AB10" s="23">
        <f>N('[23]بيانات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N('[23]بيانات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N('[23]بيانات العقد'!$C$31)</f>
        <v/>
      </c>
    </row>
    <row r="13">
      <c r="AA13" s="15" t="inlineStr">
        <is>
          <t>ضريبة الاستقطاع (غير المقيم)</t>
        </is>
      </c>
      <c r="AB13" s="23">
        <f>N('[23]بيانات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IF('[23]بيانات العقد'!$C$11="","",'[23]بيانات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IF('[23]بيانات العقد'!$C$13="","",'[23]بيانات العقد'!$C$13)</f>
        <v/>
      </c>
    </row>
    <row r="16">
      <c r="AA16" s="15" t="inlineStr">
        <is>
          <t>المدة (شهر)</t>
        </is>
      </c>
      <c r="AB16" s="43">
        <f>IF('[23]بيانات العقد'!$C$12="","",'[23]بيانات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IF('[23]بيانات العقد'!$C$36="","",'[23]بيانات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IF('[23]بيانات العقد'!$C$37="","",'[23]بيانات العقد'!$C$37)</f>
        <v/>
      </c>
    </row>
    <row r="19">
      <c r="AA19" s="15" t="inlineStr">
        <is>
          <t>الرقم الضريبي لصاحب العمل</t>
        </is>
      </c>
      <c r="AB19" s="48">
        <f>IF('[23]بيانات العقد'!$C$39="","",'[23]بيانات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IF('[23]بيانات العقد'!$C$42="","",'[23]بيانات العقد'!$C$42)</f>
        <v/>
      </c>
    </row>
    <row r="21" ht="32" customHeight="1">
      <c r="B21" s="50">
        <f>N('[23]الموازنة والتكاليف'!$D$66)</f>
        <v/>
      </c>
      <c r="C21" s="50" t="n"/>
      <c r="D21" s="50" t="n"/>
      <c r="E21" s="50" t="n"/>
      <c r="F21" s="50">
        <f>N('[23]الموازنة والتكاليف'!$D$70)</f>
        <v/>
      </c>
      <c r="G21" s="50" t="n"/>
      <c r="H21" s="50" t="n"/>
      <c r="I21" s="50" t="n"/>
      <c r="J21" s="50">
        <f>N('[23]الموازنة والتكاليف'!$D$72)</f>
        <v/>
      </c>
      <c r="K21" s="50" t="n"/>
      <c r="L21" s="50" t="n"/>
      <c r="M21" s="50" t="n"/>
      <c r="N21" s="51">
        <f>N('[23]الموازنة والتكاليف'!$D$73)</f>
        <v/>
      </c>
      <c r="O21" s="51" t="n"/>
      <c r="P21" s="51" t="n"/>
      <c r="Q21" s="51" t="n"/>
      <c r="R21" s="52">
        <f>N('[23]الموازنة والتكاليف'!$D$74)</f>
        <v/>
      </c>
      <c r="S21" s="52" t="n"/>
      <c r="T21" s="52" t="n"/>
      <c r="U21" s="52" t="n"/>
      <c r="V21" s="50">
        <f>N('[23]الموازنة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IF('[23]بيانات العقد'!$C$43="","",'[23]بيانات العقد'!$C$43)</f>
        <v/>
      </c>
    </row>
    <row r="22">
      <c r="AA22" s="15" t="inlineStr">
        <is>
          <t>حالة غرامات التأخير</t>
        </is>
      </c>
      <c r="AB22" s="45">
        <f>IF('[23]بيانات العقد'!$C$47="","",'[23]بيانات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IF('[23]سجل المستخلصات'!$C$6="","",'[23]سجل المستخلصات'!$C$6)</f>
        <v/>
      </c>
      <c r="D25" s="57">
        <f>IF('[23]سجل المستخلصات'!$E$6="","",'[23]سجل المستخلصات'!$E$6)</f>
        <v/>
      </c>
      <c r="E25" s="58">
        <f>IF('[23]سجل المستخلصات'!$F$6="","",'[23]سجل المستخلصات'!$F$6)</f>
        <v/>
      </c>
      <c r="F25" s="59">
        <f>IF('[23]سجل المستخلصات'!$H$6="","",'[23]سجل المستخلصات'!$H$6)</f>
        <v/>
      </c>
      <c r="G25" s="59">
        <f>IF('[23]سجل المستخلصات'!$G$6="","",'[23]سجل المستخلصات'!$G$6)</f>
        <v/>
      </c>
      <c r="H25" s="59">
        <f>IF('[23]سجل المستخلصات'!$I$6="","",'[23]سجل المستخلصات'!$I$6)</f>
        <v/>
      </c>
      <c r="I25" s="59">
        <f>IF('[23]سجل المستخلصات'!$J$6="","",'[23]سجل المستخلصات'!$J$6)</f>
        <v/>
      </c>
      <c r="J25" s="59">
        <f>IF('[23]سجل المستخلصات'!$K$6="","",'[23]سجل المستخلصات'!$K$6)</f>
        <v/>
      </c>
      <c r="K25" s="60">
        <f>IF('[23]سجل المستخلصات'!$L$6="","",'[23]سجل المستخلصات'!$L$6)</f>
        <v/>
      </c>
      <c r="L25" s="60">
        <f>IF('[23]سجل المستخلصات'!$M$6="","",'[23]سجل المستخلصات'!$M$6)</f>
        <v/>
      </c>
      <c r="M25" s="60">
        <f>IF('[23]سجل المستخلصات'!$N$6="","",'[23]سجل المستخلصات'!$N$6)</f>
        <v/>
      </c>
      <c r="N25" s="59">
        <f>IF('[23]سجل المستخلصات'!$O$6="","",'[23]سجل المستخلصات'!$O$6)</f>
        <v/>
      </c>
      <c r="O25" s="59">
        <f>IF('[23]سجل المستخلصات'!$R$6="","",'[23]سجل المستخلصات'!$R$6)</f>
        <v/>
      </c>
      <c r="P25" s="59">
        <f>IF('[23]سجل المستخلصات'!$S$6="","",'[23]سجل المستخلصات'!$S$6)</f>
        <v/>
      </c>
      <c r="Q25" s="59">
        <f>IF('[23]سجل المستخلصات'!$T$6="","",'[23]سجل المستخلصات'!$T$6)</f>
        <v/>
      </c>
      <c r="R25" s="59">
        <f>IF('[23]سجل المستخلصات'!$V$6="","",'[23]سجل المستخلصات'!$V$6)</f>
        <v/>
      </c>
      <c r="S25" s="59">
        <f>IF('[23]سجل المستخلصات'!$W$6="","",'[23]سجل المستخلصات'!$W$6)</f>
        <v/>
      </c>
      <c r="T25" s="61">
        <f>IF('[23]سجل المستخلصات'!$X$6="","",'[23]سجل المستخلصات'!$X$6)</f>
        <v/>
      </c>
      <c r="U25" s="61">
        <f>IF('[23]سجل المستخلصات'!$Z$6="","",'[23]سجل المستخلصات'!$Z$6)</f>
        <v/>
      </c>
      <c r="V25" s="59">
        <f>IF('[23]سجل المستخلصات'!$AA$6="","",'[23]سجل المستخلصات'!$AA$6)</f>
        <v/>
      </c>
      <c r="W25" s="59">
        <f>IF('[23]سجل المستخلصات'!$AC$6="","",'[23]سجل المستخلصات'!$AC$6)</f>
        <v/>
      </c>
      <c r="X25" s="62">
        <f>IF('[23]سجل المستخلصات'!$AD$6="","",'[23]سجل المستخلصات'!$AD$6)</f>
        <v/>
      </c>
      <c r="Y25" s="58">
        <f>IF('[23]سجل المستخلصات'!$AE$6="","",'[23]سجل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IF('[23]سجل المستخلصات'!$C$7="","",'[23]سجل المستخلصات'!$C$7)</f>
        <v/>
      </c>
      <c r="D26" s="57">
        <f>IF('[23]سجل المستخلصات'!$E$7="","",'[23]سجل المستخلصات'!$E$7)</f>
        <v/>
      </c>
      <c r="E26" s="58">
        <f>IF('[23]سجل المستخلصات'!$F$7="","",'[23]سجل المستخلصات'!$F$7)</f>
        <v/>
      </c>
      <c r="F26" s="59">
        <f>IF('[23]سجل المستخلصات'!$H$7="","",'[23]سجل المستخلصات'!$H$7)</f>
        <v/>
      </c>
      <c r="G26" s="59">
        <f>IF('[23]سجل المستخلصات'!$G$7="","",'[23]سجل المستخلصات'!$G$7)</f>
        <v/>
      </c>
      <c r="H26" s="59">
        <f>IF('[23]سجل المستخلصات'!$I$7="","",'[23]سجل المستخلصات'!$I$7)</f>
        <v/>
      </c>
      <c r="I26" s="59">
        <f>IF('[23]سجل المستخلصات'!$J$7="","",'[23]سجل المستخلصات'!$J$7)</f>
        <v/>
      </c>
      <c r="J26" s="59">
        <f>IF('[23]سجل المستخلصات'!$K$7="","",'[23]سجل المستخلصات'!$K$7)</f>
        <v/>
      </c>
      <c r="K26" s="60">
        <f>IF('[23]سجل المستخلصات'!$L$7="","",'[23]سجل المستخلصات'!$L$7)</f>
        <v/>
      </c>
      <c r="L26" s="60">
        <f>IF('[23]سجل المستخلصات'!$M$7="","",'[23]سجل المستخلصات'!$M$7)</f>
        <v/>
      </c>
      <c r="M26" s="60">
        <f>IF('[23]سجل المستخلصات'!$N$7="","",'[23]سجل المستخلصات'!$N$7)</f>
        <v/>
      </c>
      <c r="N26" s="59">
        <f>IF('[23]سجل المستخلصات'!$O$7="","",'[23]سجل المستخلصات'!$O$7)</f>
        <v/>
      </c>
      <c r="O26" s="59">
        <f>IF('[23]سجل المستخلصات'!$R$7="","",'[23]سجل المستخلصات'!$R$7)</f>
        <v/>
      </c>
      <c r="P26" s="59">
        <f>IF('[23]سجل المستخلصات'!$S$7="","",'[23]سجل المستخلصات'!$S$7)</f>
        <v/>
      </c>
      <c r="Q26" s="59">
        <f>IF('[23]سجل المستخلصات'!$T$7="","",'[23]سجل المستخلصات'!$T$7)</f>
        <v/>
      </c>
      <c r="R26" s="59">
        <f>IF('[23]سجل المستخلصات'!$V$7="","",'[23]سجل المستخلصات'!$V$7)</f>
        <v/>
      </c>
      <c r="S26" s="59">
        <f>IF('[23]سجل المستخلصات'!$W$7="","",'[23]سجل المستخلصات'!$W$7)</f>
        <v/>
      </c>
      <c r="T26" s="61">
        <f>IF('[23]سجل المستخلصات'!$X$7="","",'[23]سجل المستخلصات'!$X$7)</f>
        <v/>
      </c>
      <c r="U26" s="61">
        <f>IF('[23]سجل المستخلصات'!$Z$7="","",'[23]سجل المستخلصات'!$Z$7)</f>
        <v/>
      </c>
      <c r="V26" s="59">
        <f>IF('[23]سجل المستخلصات'!$AA$7="","",'[23]سجل المستخلصات'!$AA$7)</f>
        <v/>
      </c>
      <c r="W26" s="59">
        <f>IF('[23]سجل المستخلصات'!$AC$7="","",'[23]سجل المستخلصات'!$AC$7)</f>
        <v/>
      </c>
      <c r="X26" s="62">
        <f>IF('[23]سجل المستخلصات'!$AD$7="","",'[23]سجل المستخلصات'!$AD$7)</f>
        <v/>
      </c>
      <c r="Y26" s="58">
        <f>IF('[23]سجل المستخلصات'!$AE$7="","",'[23]سجل المستخلصات'!$AE$7)</f>
        <v/>
      </c>
      <c r="AA26" s="63" t="n"/>
      <c r="AB26" s="63" t="n"/>
    </row>
    <row r="27">
      <c r="B27" s="56" t="n">
        <v>3</v>
      </c>
      <c r="C27" s="57">
        <f>IF('[23]سجل المستخلصات'!$C$8="","",'[23]سجل المستخلصات'!$C$8)</f>
        <v/>
      </c>
      <c r="D27" s="57">
        <f>IF('[23]سجل المستخلصات'!$E$8="","",'[23]سجل المستخلصات'!$E$8)</f>
        <v/>
      </c>
      <c r="E27" s="58">
        <f>IF('[23]سجل المستخلصات'!$F$8="","",'[23]سجل المستخلصات'!$F$8)</f>
        <v/>
      </c>
      <c r="F27" s="59">
        <f>IF('[23]سجل المستخلصات'!$H$8="","",'[23]سجل المستخلصات'!$H$8)</f>
        <v/>
      </c>
      <c r="G27" s="59">
        <f>IF('[23]سجل المستخلصات'!$G$8="","",'[23]سجل المستخلصات'!$G$8)</f>
        <v/>
      </c>
      <c r="H27" s="59">
        <f>IF('[23]سجل المستخلصات'!$I$8="","",'[23]سجل المستخلصات'!$I$8)</f>
        <v/>
      </c>
      <c r="I27" s="59">
        <f>IF('[23]سجل المستخلصات'!$J$8="","",'[23]سجل المستخلصات'!$J$8)</f>
        <v/>
      </c>
      <c r="J27" s="59">
        <f>IF('[23]سجل المستخلصات'!$K$8="","",'[23]سجل المستخلصات'!$K$8)</f>
        <v/>
      </c>
      <c r="K27" s="60">
        <f>IF('[23]سجل المستخلصات'!$L$8="","",'[23]سجل المستخلصات'!$L$8)</f>
        <v/>
      </c>
      <c r="L27" s="60">
        <f>IF('[23]سجل المستخلصات'!$M$8="","",'[23]سجل المستخلصات'!$M$8)</f>
        <v/>
      </c>
      <c r="M27" s="60">
        <f>IF('[23]سجل المستخلصات'!$N$8="","",'[23]سجل المستخلصات'!$N$8)</f>
        <v/>
      </c>
      <c r="N27" s="59">
        <f>IF('[23]سجل المستخلصات'!$O$8="","",'[23]سجل المستخلصات'!$O$8)</f>
        <v/>
      </c>
      <c r="O27" s="59">
        <f>IF('[23]سجل المستخلصات'!$R$8="","",'[23]سجل المستخلصات'!$R$8)</f>
        <v/>
      </c>
      <c r="P27" s="59">
        <f>IF('[23]سجل المستخلصات'!$S$8="","",'[23]سجل المستخلصات'!$S$8)</f>
        <v/>
      </c>
      <c r="Q27" s="59">
        <f>IF('[23]سجل المستخلصات'!$T$8="","",'[23]سجل المستخلصات'!$T$8)</f>
        <v/>
      </c>
      <c r="R27" s="59">
        <f>IF('[23]سجل المستخلصات'!$V$8="","",'[23]سجل المستخلصات'!$V$8)</f>
        <v/>
      </c>
      <c r="S27" s="59">
        <f>IF('[23]سجل المستخلصات'!$W$8="","",'[23]سجل المستخلصات'!$W$8)</f>
        <v/>
      </c>
      <c r="T27" s="61">
        <f>IF('[23]سجل المستخلصات'!$X$8="","",'[23]سجل المستخلصات'!$X$8)</f>
        <v/>
      </c>
      <c r="U27" s="61">
        <f>IF('[23]سجل المستخلصات'!$Z$8="","",'[23]سجل المستخلصات'!$Z$8)</f>
        <v/>
      </c>
      <c r="V27" s="59">
        <f>IF('[23]سجل المستخلصات'!$AA$8="","",'[23]سجل المستخلصات'!$AA$8)</f>
        <v/>
      </c>
      <c r="W27" s="59">
        <f>IF('[23]سجل المستخلصات'!$AC$8="","",'[23]سجل المستخلصات'!$AC$8)</f>
        <v/>
      </c>
      <c r="X27" s="62">
        <f>IF('[23]سجل المستخلصات'!$AD$8="","",'[23]سجل المستخلصات'!$AD$8)</f>
        <v/>
      </c>
      <c r="Y27" s="58">
        <f>IF('[23]سجل المستخلصات'!$AE$8="","",'[23]سجل المستخلصات'!$AE$8)</f>
        <v/>
      </c>
      <c r="AA27" s="63" t="n"/>
      <c r="AB27" s="63" t="n"/>
    </row>
    <row r="28">
      <c r="B28" s="56" t="n">
        <v>4</v>
      </c>
      <c r="C28" s="57">
        <f>IF('[23]سجل المستخلصات'!$C$9="","",'[23]سجل المستخلصات'!$C$9)</f>
        <v/>
      </c>
      <c r="D28" s="57">
        <f>IF('[23]سجل المستخلصات'!$E$9="","",'[23]سجل المستخلصات'!$E$9)</f>
        <v/>
      </c>
      <c r="E28" s="58">
        <f>IF('[23]سجل المستخلصات'!$F$9="","",'[23]سجل المستخلصات'!$F$9)</f>
        <v/>
      </c>
      <c r="F28" s="59">
        <f>IF('[23]سجل المستخلصات'!$H$9="","",'[23]سجل المستخلصات'!$H$9)</f>
        <v/>
      </c>
      <c r="G28" s="59">
        <f>IF('[23]سجل المستخلصات'!$G$9="","",'[23]سجل المستخلصات'!$G$9)</f>
        <v/>
      </c>
      <c r="H28" s="59">
        <f>IF('[23]سجل المستخلصات'!$I$9="","",'[23]سجل المستخلصات'!$I$9)</f>
        <v/>
      </c>
      <c r="I28" s="59">
        <f>IF('[23]سجل المستخلصات'!$J$9="","",'[23]سجل المستخلصات'!$J$9)</f>
        <v/>
      </c>
      <c r="J28" s="59">
        <f>IF('[23]سجل المستخلصات'!$K$9="","",'[23]سجل المستخلصات'!$K$9)</f>
        <v/>
      </c>
      <c r="K28" s="60">
        <f>IF('[23]سجل المستخلصات'!$L$9="","",'[23]سجل المستخلصات'!$L$9)</f>
        <v/>
      </c>
      <c r="L28" s="60">
        <f>IF('[23]سجل المستخلصات'!$M$9="","",'[23]سجل المستخلصات'!$M$9)</f>
        <v/>
      </c>
      <c r="M28" s="60">
        <f>IF('[23]سجل المستخلصات'!$N$9="","",'[23]سجل المستخلصات'!$N$9)</f>
        <v/>
      </c>
      <c r="N28" s="59">
        <f>IF('[23]سجل المستخلصات'!$O$9="","",'[23]سجل المستخلصات'!$O$9)</f>
        <v/>
      </c>
      <c r="O28" s="59">
        <f>IF('[23]سجل المستخلصات'!$R$9="","",'[23]سجل المستخلصات'!$R$9)</f>
        <v/>
      </c>
      <c r="P28" s="59">
        <f>IF('[23]سجل المستخلصات'!$S$9="","",'[23]سجل المستخلصات'!$S$9)</f>
        <v/>
      </c>
      <c r="Q28" s="59">
        <f>IF('[23]سجل المستخلصات'!$T$9="","",'[23]سجل المستخلصات'!$T$9)</f>
        <v/>
      </c>
      <c r="R28" s="59">
        <f>IF('[23]سجل المستخلصات'!$V$9="","",'[23]سجل المستخلصات'!$V$9)</f>
        <v/>
      </c>
      <c r="S28" s="59">
        <f>IF('[23]سجل المستخلصات'!$W$9="","",'[23]سجل المستخلصات'!$W$9)</f>
        <v/>
      </c>
      <c r="T28" s="61">
        <f>IF('[23]سجل المستخلصات'!$X$9="","",'[23]سجل المستخلصات'!$X$9)</f>
        <v/>
      </c>
      <c r="U28" s="61">
        <f>IF('[23]سجل المستخلصات'!$Z$9="","",'[23]سجل المستخلصات'!$Z$9)</f>
        <v/>
      </c>
      <c r="V28" s="59">
        <f>IF('[23]سجل المستخلصات'!$AA$9="","",'[23]سجل المستخلصات'!$AA$9)</f>
        <v/>
      </c>
      <c r="W28" s="59">
        <f>IF('[23]سجل المستخلصات'!$AC$9="","",'[23]سجل المستخلصات'!$AC$9)</f>
        <v/>
      </c>
      <c r="X28" s="62">
        <f>IF('[23]سجل المستخلصات'!$AD$9="","",'[23]سجل المستخلصات'!$AD$9)</f>
        <v/>
      </c>
      <c r="Y28" s="58">
        <f>IF('[23]سجل المستخلصات'!$AE$9="","",'[23]سجل المستخلصات'!$AE$9)</f>
        <v/>
      </c>
      <c r="AA28" s="63" t="n"/>
      <c r="AB28" s="63" t="n"/>
    </row>
    <row r="29">
      <c r="B29" s="56" t="n">
        <v>5</v>
      </c>
      <c r="C29" s="57">
        <f>IF('[23]سجل المستخلصات'!$C$10="","",'[23]سجل المستخلصات'!$C$10)</f>
        <v/>
      </c>
      <c r="D29" s="57">
        <f>IF('[23]سجل المستخلصات'!$E$10="","",'[23]سجل المستخلصات'!$E$10)</f>
        <v/>
      </c>
      <c r="E29" s="58">
        <f>IF('[23]سجل المستخلصات'!$F$10="","",'[23]سجل المستخلصات'!$F$10)</f>
        <v/>
      </c>
      <c r="F29" s="59">
        <f>IF('[23]سجل المستخلصات'!$H$10="","",'[23]سجل المستخلصات'!$H$10)</f>
        <v/>
      </c>
      <c r="G29" s="59">
        <f>IF('[23]سجل المستخلصات'!$G$10="","",'[23]سجل المستخلصات'!$G$10)</f>
        <v/>
      </c>
      <c r="H29" s="59">
        <f>IF('[23]سجل المستخلصات'!$I$10="","",'[23]سجل المستخلصات'!$I$10)</f>
        <v/>
      </c>
      <c r="I29" s="59">
        <f>IF('[23]سجل المستخلصات'!$J$10="","",'[23]سجل المستخلصات'!$J$10)</f>
        <v/>
      </c>
      <c r="J29" s="59">
        <f>IF('[23]سجل المستخلصات'!$K$10="","",'[23]سجل المستخلصات'!$K$10)</f>
        <v/>
      </c>
      <c r="K29" s="60">
        <f>IF('[23]سجل المستخلصات'!$L$10="","",'[23]سجل المستخلصات'!$L$10)</f>
        <v/>
      </c>
      <c r="L29" s="60">
        <f>IF('[23]سجل المستخلصات'!$M$10="","",'[23]سجل المستخلصات'!$M$10)</f>
        <v/>
      </c>
      <c r="M29" s="60">
        <f>IF('[23]سجل المستخلصات'!$N$10="","",'[23]سجل المستخلصات'!$N$10)</f>
        <v/>
      </c>
      <c r="N29" s="59">
        <f>IF('[23]سجل المستخلصات'!$O$10="","",'[23]سجل المستخلصات'!$O$10)</f>
        <v/>
      </c>
      <c r="O29" s="59">
        <f>IF('[23]سجل المستخلصات'!$R$10="","",'[23]سجل المستخلصات'!$R$10)</f>
        <v/>
      </c>
      <c r="P29" s="59">
        <f>IF('[23]سجل المستخلصات'!$S$10="","",'[23]سجل المستخلصات'!$S$10)</f>
        <v/>
      </c>
      <c r="Q29" s="59">
        <f>IF('[23]سجل المستخلصات'!$T$10="","",'[23]سجل المستخلصات'!$T$10)</f>
        <v/>
      </c>
      <c r="R29" s="59">
        <f>IF('[23]سجل المستخلصات'!$V$10="","",'[23]سجل المستخلصات'!$V$10)</f>
        <v/>
      </c>
      <c r="S29" s="59">
        <f>IF('[23]سجل المستخلصات'!$W$10="","",'[23]سجل المستخلصات'!$W$10)</f>
        <v/>
      </c>
      <c r="T29" s="61">
        <f>IF('[23]سجل المستخلصات'!$X$10="","",'[23]سجل المستخلصات'!$X$10)</f>
        <v/>
      </c>
      <c r="U29" s="61">
        <f>IF('[23]سجل المستخلصات'!$Z$10="","",'[23]سجل المستخلصات'!$Z$10)</f>
        <v/>
      </c>
      <c r="V29" s="59">
        <f>IF('[23]سجل المستخلصات'!$AA$10="","",'[23]سجل المستخلصات'!$AA$10)</f>
        <v/>
      </c>
      <c r="W29" s="59">
        <f>IF('[23]سجل المستخلصات'!$AC$10="","",'[23]سجل المستخلصات'!$AC$10)</f>
        <v/>
      </c>
      <c r="X29" s="62">
        <f>IF('[23]سجل المستخلصات'!$AD$10="","",'[23]سجل المستخلصات'!$AD$10)</f>
        <v/>
      </c>
      <c r="Y29" s="58">
        <f>IF('[23]سجل المستخلصات'!$AE$10="","",'[23]سجل المستخلصات'!$AE$10)</f>
        <v/>
      </c>
    </row>
    <row r="30">
      <c r="B30" s="56" t="n">
        <v>6</v>
      </c>
      <c r="C30" s="57">
        <f>IF('[23]سجل المستخلصات'!$C$11="","",'[23]سجل المستخلصات'!$C$11)</f>
        <v/>
      </c>
      <c r="D30" s="57">
        <f>IF('[23]سجل المستخلصات'!$E$11="","",'[23]سجل المستخلصات'!$E$11)</f>
        <v/>
      </c>
      <c r="E30" s="58">
        <f>IF('[23]سجل المستخلصات'!$F$11="","",'[23]سجل المستخلصات'!$F$11)</f>
        <v/>
      </c>
      <c r="F30" s="59">
        <f>IF('[23]سجل المستخلصات'!$H$11="","",'[23]سجل المستخلصات'!$H$11)</f>
        <v/>
      </c>
      <c r="G30" s="59">
        <f>IF('[23]سجل المستخلصات'!$G$11="","",'[23]سجل المستخلصات'!$G$11)</f>
        <v/>
      </c>
      <c r="H30" s="59">
        <f>IF('[23]سجل المستخلصات'!$I$11="","",'[23]سجل المستخلصات'!$I$11)</f>
        <v/>
      </c>
      <c r="I30" s="59">
        <f>IF('[23]سجل المستخلصات'!$J$11="","",'[23]سجل المستخلصات'!$J$11)</f>
        <v/>
      </c>
      <c r="J30" s="59">
        <f>IF('[23]سجل المستخلصات'!$K$11="","",'[23]سجل المستخلصات'!$K$11)</f>
        <v/>
      </c>
      <c r="K30" s="60">
        <f>IF('[23]سجل المستخلصات'!$L$11="","",'[23]سجل المستخلصات'!$L$11)</f>
        <v/>
      </c>
      <c r="L30" s="60">
        <f>IF('[23]سجل المستخلصات'!$M$11="","",'[23]سجل المستخلصات'!$M$11)</f>
        <v/>
      </c>
      <c r="M30" s="60">
        <f>IF('[23]سجل المستخلصات'!$N$11="","",'[23]سجل المستخلصات'!$N$11)</f>
        <v/>
      </c>
      <c r="N30" s="59">
        <f>IF('[23]سجل المستخلصات'!$O$11="","",'[23]سجل المستخلصات'!$O$11)</f>
        <v/>
      </c>
      <c r="O30" s="59">
        <f>IF('[23]سجل المستخلصات'!$R$11="","",'[23]سجل المستخلصات'!$R$11)</f>
        <v/>
      </c>
      <c r="P30" s="59">
        <f>IF('[23]سجل المستخلصات'!$S$11="","",'[23]سجل المستخلصات'!$S$11)</f>
        <v/>
      </c>
      <c r="Q30" s="59">
        <f>IF('[23]سجل المستخلصات'!$T$11="","",'[23]سجل المستخلصات'!$T$11)</f>
        <v/>
      </c>
      <c r="R30" s="59">
        <f>IF('[23]سجل المستخلصات'!$V$11="","",'[23]سجل المستخلصات'!$V$11)</f>
        <v/>
      </c>
      <c r="S30" s="59">
        <f>IF('[23]سجل المستخلصات'!$W$11="","",'[23]سجل المستخلصات'!$W$11)</f>
        <v/>
      </c>
      <c r="T30" s="61">
        <f>IF('[23]سجل المستخلصات'!$X$11="","",'[23]سجل المستخلصات'!$X$11)</f>
        <v/>
      </c>
      <c r="U30" s="61">
        <f>IF('[23]سجل المستخلصات'!$Z$11="","",'[23]سجل المستخلصات'!$Z$11)</f>
        <v/>
      </c>
      <c r="V30" s="59">
        <f>IF('[23]سجل المستخلصات'!$AA$11="","",'[23]سجل المستخلصات'!$AA$11)</f>
        <v/>
      </c>
      <c r="W30" s="59">
        <f>IF('[23]سجل المستخلصات'!$AC$11="","",'[23]سجل المستخلصات'!$AC$11)</f>
        <v/>
      </c>
      <c r="X30" s="62">
        <f>IF('[23]سجل المستخلصات'!$AD$11="","",'[23]سجل المستخلصات'!$AD$11)</f>
        <v/>
      </c>
      <c r="Y30" s="58">
        <f>IF('[23]سجل المستخلصات'!$AE$11="","",'[23]سجل المستخلصات'!$AE$11)</f>
        <v/>
      </c>
    </row>
    <row r="31">
      <c r="B31" s="56" t="n">
        <v>7</v>
      </c>
      <c r="C31" s="57">
        <f>IF('[23]سجل المستخلصات'!$C$12="","",'[23]سجل المستخلصات'!$C$12)</f>
        <v/>
      </c>
      <c r="D31" s="57">
        <f>IF('[23]سجل المستخلصات'!$E$12="","",'[23]سجل المستخلصات'!$E$12)</f>
        <v/>
      </c>
      <c r="E31" s="58">
        <f>IF('[23]سجل المستخلصات'!$F$12="","",'[23]سجل المستخلصات'!$F$12)</f>
        <v/>
      </c>
      <c r="F31" s="59">
        <f>IF('[23]سجل المستخلصات'!$H$12="","",'[23]سجل المستخلصات'!$H$12)</f>
        <v/>
      </c>
      <c r="G31" s="59">
        <f>IF('[23]سجل المستخلصات'!$G$12="","",'[23]سجل المستخلصات'!$G$12)</f>
        <v/>
      </c>
      <c r="H31" s="59">
        <f>IF('[23]سجل المستخلصات'!$I$12="","",'[23]سجل المستخلصات'!$I$12)</f>
        <v/>
      </c>
      <c r="I31" s="59">
        <f>IF('[23]سجل المستخلصات'!$J$12="","",'[23]سجل المستخلصات'!$J$12)</f>
        <v/>
      </c>
      <c r="J31" s="59">
        <f>IF('[23]سجل المستخلصات'!$K$12="","",'[23]سجل المستخلصات'!$K$12)</f>
        <v/>
      </c>
      <c r="K31" s="60">
        <f>IF('[23]سجل المستخلصات'!$L$12="","",'[23]سجل المستخلصات'!$L$12)</f>
        <v/>
      </c>
      <c r="L31" s="60">
        <f>IF('[23]سجل المستخلصات'!$M$12="","",'[23]سجل المستخلصات'!$M$12)</f>
        <v/>
      </c>
      <c r="M31" s="60">
        <f>IF('[23]سجل المستخلصات'!$N$12="","",'[23]سجل المستخلصات'!$N$12)</f>
        <v/>
      </c>
      <c r="N31" s="59">
        <f>IF('[23]سجل المستخلصات'!$O$12="","",'[23]سجل المستخلصات'!$O$12)</f>
        <v/>
      </c>
      <c r="O31" s="59">
        <f>IF('[23]سجل المستخلصات'!$R$12="","",'[23]سجل المستخلصات'!$R$12)</f>
        <v/>
      </c>
      <c r="P31" s="59">
        <f>IF('[23]سجل المستخلصات'!$S$12="","",'[23]سجل المستخلصات'!$S$12)</f>
        <v/>
      </c>
      <c r="Q31" s="59">
        <f>IF('[23]سجل المستخلصات'!$T$12="","",'[23]سجل المستخلصات'!$T$12)</f>
        <v/>
      </c>
      <c r="R31" s="59">
        <f>IF('[23]سجل المستخلصات'!$V$12="","",'[23]سجل المستخلصات'!$V$12)</f>
        <v/>
      </c>
      <c r="S31" s="59">
        <f>IF('[23]سجل المستخلصات'!$W$12="","",'[23]سجل المستخلصات'!$W$12)</f>
        <v/>
      </c>
      <c r="T31" s="61">
        <f>IF('[23]سجل المستخلصات'!$X$12="","",'[23]سجل المستخلصات'!$X$12)</f>
        <v/>
      </c>
      <c r="U31" s="61">
        <f>IF('[23]سجل المستخلصات'!$Z$12="","",'[23]سجل المستخلصات'!$Z$12)</f>
        <v/>
      </c>
      <c r="V31" s="59">
        <f>IF('[23]سجل المستخلصات'!$AA$12="","",'[23]سجل المستخلصات'!$AA$12)</f>
        <v/>
      </c>
      <c r="W31" s="59">
        <f>IF('[23]سجل المستخلصات'!$AC$12="","",'[23]سجل المستخلصات'!$AC$12)</f>
        <v/>
      </c>
      <c r="X31" s="62">
        <f>IF('[23]سجل المستخلصات'!$AD$12="","",'[23]سجل المستخلصات'!$AD$12)</f>
        <v/>
      </c>
      <c r="Y31" s="58">
        <f>IF('[23]سجل المستخلصات'!$AE$12="","",'[23]سجل المستخلصات'!$AE$12)</f>
        <v/>
      </c>
    </row>
    <row r="32">
      <c r="B32" s="56" t="n">
        <v>8</v>
      </c>
      <c r="C32" s="57">
        <f>IF('[23]سجل المستخلصات'!$C$13="","",'[23]سجل المستخلصات'!$C$13)</f>
        <v/>
      </c>
      <c r="D32" s="57">
        <f>IF('[23]سجل المستخلصات'!$E$13="","",'[23]سجل المستخلصات'!$E$13)</f>
        <v/>
      </c>
      <c r="E32" s="58">
        <f>IF('[23]سجل المستخلصات'!$F$13="","",'[23]سجل المستخلصات'!$F$13)</f>
        <v/>
      </c>
      <c r="F32" s="59">
        <f>IF('[23]سجل المستخلصات'!$H$13="","",'[23]سجل المستخلصات'!$H$13)</f>
        <v/>
      </c>
      <c r="G32" s="59">
        <f>IF('[23]سجل المستخلصات'!$G$13="","",'[23]سجل المستخلصات'!$G$13)</f>
        <v/>
      </c>
      <c r="H32" s="59">
        <f>IF('[23]سجل المستخلصات'!$I$13="","",'[23]سجل المستخلصات'!$I$13)</f>
        <v/>
      </c>
      <c r="I32" s="59">
        <f>IF('[23]سجل المستخلصات'!$J$13="","",'[23]سجل المستخلصات'!$J$13)</f>
        <v/>
      </c>
      <c r="J32" s="59">
        <f>IF('[23]سجل المستخلصات'!$K$13="","",'[23]سجل المستخلصات'!$K$13)</f>
        <v/>
      </c>
      <c r="K32" s="60">
        <f>IF('[23]سجل المستخلصات'!$L$13="","",'[23]سجل المستخلصات'!$L$13)</f>
        <v/>
      </c>
      <c r="L32" s="60">
        <f>IF('[23]سجل المستخلصات'!$M$13="","",'[23]سجل المستخلصات'!$M$13)</f>
        <v/>
      </c>
      <c r="M32" s="60">
        <f>IF('[23]سجل المستخلصات'!$N$13="","",'[23]سجل المستخلصات'!$N$13)</f>
        <v/>
      </c>
      <c r="N32" s="59">
        <f>IF('[23]سجل المستخلصات'!$O$13="","",'[23]سجل المستخلصات'!$O$13)</f>
        <v/>
      </c>
      <c r="O32" s="59">
        <f>IF('[23]سجل المستخلصات'!$R$13="","",'[23]سجل المستخلصات'!$R$13)</f>
        <v/>
      </c>
      <c r="P32" s="59">
        <f>IF('[23]سجل المستخلصات'!$S$13="","",'[23]سجل المستخلصات'!$S$13)</f>
        <v/>
      </c>
      <c r="Q32" s="59">
        <f>IF('[23]سجل المستخلصات'!$T$13="","",'[23]سجل المستخلصات'!$T$13)</f>
        <v/>
      </c>
      <c r="R32" s="59">
        <f>IF('[23]سجل المستخلصات'!$V$13="","",'[23]سجل المستخلصات'!$V$13)</f>
        <v/>
      </c>
      <c r="S32" s="59">
        <f>IF('[23]سجل المستخلصات'!$W$13="","",'[23]سجل المستخلصات'!$W$13)</f>
        <v/>
      </c>
      <c r="T32" s="61">
        <f>IF('[23]سجل المستخلصات'!$X$13="","",'[23]سجل المستخلصات'!$X$13)</f>
        <v/>
      </c>
      <c r="U32" s="61">
        <f>IF('[23]سجل المستخلصات'!$Z$13="","",'[23]سجل المستخلصات'!$Z$13)</f>
        <v/>
      </c>
      <c r="V32" s="59">
        <f>IF('[23]سجل المستخلصات'!$AA$13="","",'[23]سجل المستخلصات'!$AA$13)</f>
        <v/>
      </c>
      <c r="W32" s="59">
        <f>IF('[23]سجل المستخلصات'!$AC$13="","",'[23]سجل المستخلصات'!$AC$13)</f>
        <v/>
      </c>
      <c r="X32" s="62">
        <f>IF('[23]سجل المستخلصات'!$AD$13="","",'[23]سجل المستخلصات'!$AD$13)</f>
        <v/>
      </c>
      <c r="Y32" s="58">
        <f>IF('[23]سجل المستخلصات'!$AE$13="","",'[23]سجل المستخلصات'!$AE$13)</f>
        <v/>
      </c>
    </row>
    <row r="33">
      <c r="B33" s="56" t="n">
        <v>9</v>
      </c>
      <c r="C33" s="57">
        <f>IF('[23]سجل المستخلصات'!$C$14="","",'[23]سجل المستخلصات'!$C$14)</f>
        <v/>
      </c>
      <c r="D33" s="57">
        <f>IF('[23]سجل المستخلصات'!$E$14="","",'[23]سجل المستخلصات'!$E$14)</f>
        <v/>
      </c>
      <c r="E33" s="58">
        <f>IF('[23]سجل المستخلصات'!$F$14="","",'[23]سجل المستخلصات'!$F$14)</f>
        <v/>
      </c>
      <c r="F33" s="59">
        <f>IF('[23]سجل المستخلصات'!$H$14="","",'[23]سجل المستخلصات'!$H$14)</f>
        <v/>
      </c>
      <c r="G33" s="59">
        <f>IF('[23]سجل المستخلصات'!$G$14="","",'[23]سجل المستخلصات'!$G$14)</f>
        <v/>
      </c>
      <c r="H33" s="59">
        <f>IF('[23]سجل المستخلصات'!$I$14="","",'[23]سجل المستخلصات'!$I$14)</f>
        <v/>
      </c>
      <c r="I33" s="59">
        <f>IF('[23]سجل المستخلصات'!$J$14="","",'[23]سجل المستخلصات'!$J$14)</f>
        <v/>
      </c>
      <c r="J33" s="59">
        <f>IF('[23]سجل المستخلصات'!$K$14="","",'[23]سجل المستخلصات'!$K$14)</f>
        <v/>
      </c>
      <c r="K33" s="60">
        <f>IF('[23]سجل المستخلصات'!$L$14="","",'[23]سجل المستخلصات'!$L$14)</f>
        <v/>
      </c>
      <c r="L33" s="60">
        <f>IF('[23]سجل المستخلصات'!$M$14="","",'[23]سجل المستخلصات'!$M$14)</f>
        <v/>
      </c>
      <c r="M33" s="60">
        <f>IF('[23]سجل المستخلصات'!$N$14="","",'[23]سجل المستخلصات'!$N$14)</f>
        <v/>
      </c>
      <c r="N33" s="59">
        <f>IF('[23]سجل المستخلصات'!$O$14="","",'[23]سجل المستخلصات'!$O$14)</f>
        <v/>
      </c>
      <c r="O33" s="59">
        <f>IF('[23]سجل المستخلصات'!$R$14="","",'[23]سجل المستخلصات'!$R$14)</f>
        <v/>
      </c>
      <c r="P33" s="59">
        <f>IF('[23]سجل المستخلصات'!$S$14="","",'[23]سجل المستخلصات'!$S$14)</f>
        <v/>
      </c>
      <c r="Q33" s="59">
        <f>IF('[23]سجل المستخلصات'!$T$14="","",'[23]سجل المستخلصات'!$T$14)</f>
        <v/>
      </c>
      <c r="R33" s="59">
        <f>IF('[23]سجل المستخلصات'!$V$14="","",'[23]سجل المستخلصات'!$V$14)</f>
        <v/>
      </c>
      <c r="S33" s="59">
        <f>IF('[23]سجل المستخلصات'!$W$14="","",'[23]سجل المستخلصات'!$W$14)</f>
        <v/>
      </c>
      <c r="T33" s="61">
        <f>IF('[23]سجل المستخلصات'!$X$14="","",'[23]سجل المستخلصات'!$X$14)</f>
        <v/>
      </c>
      <c r="U33" s="61">
        <f>IF('[23]سجل المستخلصات'!$Z$14="","",'[23]سجل المستخلصات'!$Z$14)</f>
        <v/>
      </c>
      <c r="V33" s="59">
        <f>IF('[23]سجل المستخلصات'!$AA$14="","",'[23]سجل المستخلصات'!$AA$14)</f>
        <v/>
      </c>
      <c r="W33" s="59">
        <f>IF('[23]سجل المستخلصات'!$AC$14="","",'[23]سجل المستخلصات'!$AC$14)</f>
        <v/>
      </c>
      <c r="X33" s="62">
        <f>IF('[23]سجل المستخلصات'!$AD$14="","",'[23]سجل المستخلصات'!$AD$14)</f>
        <v/>
      </c>
      <c r="Y33" s="58">
        <f>IF('[23]سجل المستخلصات'!$AE$14="","",'[23]سجل المستخلصات'!$AE$14)</f>
        <v/>
      </c>
    </row>
    <row r="34">
      <c r="B34" s="56" t="n">
        <v>10</v>
      </c>
      <c r="C34" s="57">
        <f>IF('[23]سجل المستخلصات'!$C$15="","",'[23]سجل المستخلصات'!$C$15)</f>
        <v/>
      </c>
      <c r="D34" s="57">
        <f>IF('[23]سجل المستخلصات'!$E$15="","",'[23]سجل المستخلصات'!$E$15)</f>
        <v/>
      </c>
      <c r="E34" s="58">
        <f>IF('[23]سجل المستخلصات'!$F$15="","",'[23]سجل المستخلصات'!$F$15)</f>
        <v/>
      </c>
      <c r="F34" s="59">
        <f>IF('[23]سجل المستخلصات'!$H$15="","",'[23]سجل المستخلصات'!$H$15)</f>
        <v/>
      </c>
      <c r="G34" s="59">
        <f>IF('[23]سجل المستخلصات'!$G$15="","",'[23]سجل المستخلصات'!$G$15)</f>
        <v/>
      </c>
      <c r="H34" s="59">
        <f>IF('[23]سجل المستخلصات'!$I$15="","",'[23]سجل المستخلصات'!$I$15)</f>
        <v/>
      </c>
      <c r="I34" s="59">
        <f>IF('[23]سجل المستخلصات'!$J$15="","",'[23]سجل المستخلصات'!$J$15)</f>
        <v/>
      </c>
      <c r="J34" s="59">
        <f>IF('[23]سجل المستخلصات'!$K$15="","",'[23]سجل المستخلصات'!$K$15)</f>
        <v/>
      </c>
      <c r="K34" s="60">
        <f>IF('[23]سجل المستخلصات'!$L$15="","",'[23]سجل المستخلصات'!$L$15)</f>
        <v/>
      </c>
      <c r="L34" s="60">
        <f>IF('[23]سجل المستخلصات'!$M$15="","",'[23]سجل المستخلصات'!$M$15)</f>
        <v/>
      </c>
      <c r="M34" s="60">
        <f>IF('[23]سجل المستخلصات'!$N$15="","",'[23]سجل المستخلصات'!$N$15)</f>
        <v/>
      </c>
      <c r="N34" s="59">
        <f>IF('[23]سجل المستخلصات'!$O$15="","",'[23]سجل المستخلصات'!$O$15)</f>
        <v/>
      </c>
      <c r="O34" s="59">
        <f>IF('[23]سجل المستخلصات'!$R$15="","",'[23]سجل المستخلصات'!$R$15)</f>
        <v/>
      </c>
      <c r="P34" s="59">
        <f>IF('[23]سجل المستخلصات'!$S$15="","",'[23]سجل المستخلصات'!$S$15)</f>
        <v/>
      </c>
      <c r="Q34" s="59">
        <f>IF('[23]سجل المستخلصات'!$T$15="","",'[23]سجل المستخلصات'!$T$15)</f>
        <v/>
      </c>
      <c r="R34" s="59">
        <f>IF('[23]سجل المستخلصات'!$V$15="","",'[23]سجل المستخلصات'!$V$15)</f>
        <v/>
      </c>
      <c r="S34" s="59">
        <f>IF('[23]سجل المستخلصات'!$W$15="","",'[23]سجل المستخلصات'!$W$15)</f>
        <v/>
      </c>
      <c r="T34" s="61">
        <f>IF('[23]سجل المستخلصات'!$X$15="","",'[23]سجل المستخلصات'!$X$15)</f>
        <v/>
      </c>
      <c r="U34" s="61">
        <f>IF('[23]سجل المستخلصات'!$Z$15="","",'[23]سجل المستخلصات'!$Z$15)</f>
        <v/>
      </c>
      <c r="V34" s="59">
        <f>IF('[23]سجل المستخلصات'!$AA$15="","",'[23]سجل المستخلصات'!$AA$15)</f>
        <v/>
      </c>
      <c r="W34" s="59">
        <f>IF('[23]سجل المستخلصات'!$AC$15="","",'[23]سجل المستخلصات'!$AC$15)</f>
        <v/>
      </c>
      <c r="X34" s="62">
        <f>IF('[23]سجل المستخلصات'!$AD$15="","",'[23]سجل المستخلصات'!$AD$15)</f>
        <v/>
      </c>
      <c r="Y34" s="58">
        <f>IF('[23]سجل المستخلصات'!$AE$15="","",'[23]سجل المستخلصات'!$AE$15)</f>
        <v/>
      </c>
    </row>
    <row r="35">
      <c r="B35" s="56" t="n">
        <v>11</v>
      </c>
      <c r="C35" s="57">
        <f>IF('[23]سجل المستخلصات'!$C$16="","",'[23]سجل المستخلصات'!$C$16)</f>
        <v/>
      </c>
      <c r="D35" s="57">
        <f>IF('[23]سجل المستخلصات'!$E$16="","",'[23]سجل المستخلصات'!$E$16)</f>
        <v/>
      </c>
      <c r="E35" s="58">
        <f>IF('[23]سجل المستخلصات'!$F$16="","",'[23]سجل المستخلصات'!$F$16)</f>
        <v/>
      </c>
      <c r="F35" s="59">
        <f>IF('[23]سجل المستخلصات'!$H$16="","",'[23]سجل المستخلصات'!$H$16)</f>
        <v/>
      </c>
      <c r="G35" s="59">
        <f>IF('[23]سجل المستخلصات'!$G$16="","",'[23]سجل المستخلصات'!$G$16)</f>
        <v/>
      </c>
      <c r="H35" s="59">
        <f>IF('[23]سجل المستخلصات'!$I$16="","",'[23]سجل المستخلصات'!$I$16)</f>
        <v/>
      </c>
      <c r="I35" s="59">
        <f>IF('[23]سجل المستخلصات'!$J$16="","",'[23]سجل المستخلصات'!$J$16)</f>
        <v/>
      </c>
      <c r="J35" s="59">
        <f>IF('[23]سجل المستخلصات'!$K$16="","",'[23]سجل المستخلصات'!$K$16)</f>
        <v/>
      </c>
      <c r="K35" s="60">
        <f>IF('[23]سجل المستخلصات'!$L$16="","",'[23]سجل المستخلصات'!$L$16)</f>
        <v/>
      </c>
      <c r="L35" s="60">
        <f>IF('[23]سجل المستخلصات'!$M$16="","",'[23]سجل المستخلصات'!$M$16)</f>
        <v/>
      </c>
      <c r="M35" s="60">
        <f>IF('[23]سجل المستخلصات'!$N$16="","",'[23]سجل المستخلصات'!$N$16)</f>
        <v/>
      </c>
      <c r="N35" s="59">
        <f>IF('[23]سجل المستخلصات'!$O$16="","",'[23]سجل المستخلصات'!$O$16)</f>
        <v/>
      </c>
      <c r="O35" s="59">
        <f>IF('[23]سجل المستخلصات'!$R$16="","",'[23]سجل المستخلصات'!$R$16)</f>
        <v/>
      </c>
      <c r="P35" s="59">
        <f>IF('[23]سجل المستخلصات'!$S$16="","",'[23]سجل المستخلصات'!$S$16)</f>
        <v/>
      </c>
      <c r="Q35" s="59">
        <f>IF('[23]سجل المستخلصات'!$T$16="","",'[23]سجل المستخلصات'!$T$16)</f>
        <v/>
      </c>
      <c r="R35" s="59">
        <f>IF('[23]سجل المستخلصات'!$V$16="","",'[23]سجل المستخلصات'!$V$16)</f>
        <v/>
      </c>
      <c r="S35" s="59">
        <f>IF('[23]سجل المستخلصات'!$W$16="","",'[23]سجل المستخلصات'!$W$16)</f>
        <v/>
      </c>
      <c r="T35" s="61">
        <f>IF('[23]سجل المستخلصات'!$X$16="","",'[23]سجل المستخلصات'!$X$16)</f>
        <v/>
      </c>
      <c r="U35" s="61">
        <f>IF('[23]سجل المستخلصات'!$Z$16="","",'[23]سجل المستخلصات'!$Z$16)</f>
        <v/>
      </c>
      <c r="V35" s="59">
        <f>IF('[23]سجل المستخلصات'!$AA$16="","",'[23]سجل المستخلصات'!$AA$16)</f>
        <v/>
      </c>
      <c r="W35" s="59">
        <f>IF('[23]سجل المستخلصات'!$AC$16="","",'[23]سجل المستخلصات'!$AC$16)</f>
        <v/>
      </c>
      <c r="X35" s="62">
        <f>IF('[23]سجل المستخلصات'!$AD$16="","",'[23]سجل المستخلصات'!$AD$16)</f>
        <v/>
      </c>
      <c r="Y35" s="58">
        <f>IF('[23]سجل المستخلصات'!$AE$16="","",'[23]سجل المستخلصات'!$AE$16)</f>
        <v/>
      </c>
    </row>
    <row r="36">
      <c r="B36" s="56" t="n">
        <v>12</v>
      </c>
      <c r="C36" s="57">
        <f>IF('[23]سجل المستخلصات'!$C$17="","",'[23]سجل المستخلصات'!$C$17)</f>
        <v/>
      </c>
      <c r="D36" s="57">
        <f>IF('[23]سجل المستخلصات'!$E$17="","",'[23]سجل المستخلصات'!$E$17)</f>
        <v/>
      </c>
      <c r="E36" s="58">
        <f>IF('[23]سجل المستخلصات'!$F$17="","",'[23]سجل المستخلصات'!$F$17)</f>
        <v/>
      </c>
      <c r="F36" s="59">
        <f>IF('[23]سجل المستخلصات'!$H$17="","",'[23]سجل المستخلصات'!$H$17)</f>
        <v/>
      </c>
      <c r="G36" s="59">
        <f>IF('[23]سجل المستخلصات'!$G$17="","",'[23]سجل المستخلصات'!$G$17)</f>
        <v/>
      </c>
      <c r="H36" s="59">
        <f>IF('[23]سجل المستخلصات'!$I$17="","",'[23]سجل المستخلصات'!$I$17)</f>
        <v/>
      </c>
      <c r="I36" s="59">
        <f>IF('[23]سجل المستخلصات'!$J$17="","",'[23]سجل المستخلصات'!$J$17)</f>
        <v/>
      </c>
      <c r="J36" s="59">
        <f>IF('[23]سجل المستخلصات'!$K$17="","",'[23]سجل المستخلصات'!$K$17)</f>
        <v/>
      </c>
      <c r="K36" s="60">
        <f>IF('[23]سجل المستخلصات'!$L$17="","",'[23]سجل المستخلصات'!$L$17)</f>
        <v/>
      </c>
      <c r="L36" s="60">
        <f>IF('[23]سجل المستخلصات'!$M$17="","",'[23]سجل المستخلصات'!$M$17)</f>
        <v/>
      </c>
      <c r="M36" s="60">
        <f>IF('[23]سجل المستخلصات'!$N$17="","",'[23]سجل المستخلصات'!$N$17)</f>
        <v/>
      </c>
      <c r="N36" s="59">
        <f>IF('[23]سجل المستخلصات'!$O$17="","",'[23]سجل المستخلصات'!$O$17)</f>
        <v/>
      </c>
      <c r="O36" s="59">
        <f>IF('[23]سجل المستخلصات'!$R$17="","",'[23]سجل المستخلصات'!$R$17)</f>
        <v/>
      </c>
      <c r="P36" s="59">
        <f>IF('[23]سجل المستخلصات'!$S$17="","",'[23]سجل المستخلصات'!$S$17)</f>
        <v/>
      </c>
      <c r="Q36" s="59">
        <f>IF('[23]سجل المستخلصات'!$T$17="","",'[23]سجل المستخلصات'!$T$17)</f>
        <v/>
      </c>
      <c r="R36" s="59">
        <f>IF('[23]سجل المستخلصات'!$V$17="","",'[23]سجل المستخلصات'!$V$17)</f>
        <v/>
      </c>
      <c r="S36" s="59">
        <f>IF('[23]سجل المستخلصات'!$W$17="","",'[23]سجل المستخلصات'!$W$17)</f>
        <v/>
      </c>
      <c r="T36" s="61">
        <f>IF('[23]سجل المستخلصات'!$X$17="","",'[23]سجل المستخلصات'!$X$17)</f>
        <v/>
      </c>
      <c r="U36" s="61">
        <f>IF('[23]سجل المستخلصات'!$Z$17="","",'[23]سجل المستخلصات'!$Z$17)</f>
        <v/>
      </c>
      <c r="V36" s="59">
        <f>IF('[23]سجل المستخلصات'!$AA$17="","",'[23]سجل المستخلصات'!$AA$17)</f>
        <v/>
      </c>
      <c r="W36" s="59">
        <f>IF('[23]سجل المستخلصات'!$AC$17="","",'[23]سجل المستخلصات'!$AC$17)</f>
        <v/>
      </c>
      <c r="X36" s="62">
        <f>IF('[23]سجل المستخلصات'!$AD$17="","",'[23]سجل المستخلصات'!$AD$17)</f>
        <v/>
      </c>
      <c r="Y36" s="58">
        <f>IF('[23]سجل المستخلصات'!$AE$17="","",'[23]سجل المستخلصات'!$AE$17)</f>
        <v/>
      </c>
    </row>
    <row r="37">
      <c r="B37" s="56" t="n">
        <v>13</v>
      </c>
      <c r="C37" s="57">
        <f>IF('[23]سجل المستخلصات'!$C$18="","",'[23]سجل المستخلصات'!$C$18)</f>
        <v/>
      </c>
      <c r="D37" s="57">
        <f>IF('[23]سجل المستخلصات'!$E$18="","",'[23]سجل المستخلصات'!$E$18)</f>
        <v/>
      </c>
      <c r="E37" s="58">
        <f>IF('[23]سجل المستخلصات'!$F$18="","",'[23]سجل المستخلصات'!$F$18)</f>
        <v/>
      </c>
      <c r="F37" s="59">
        <f>IF('[23]سجل المستخلصات'!$H$18="","",'[23]سجل المستخلصات'!$H$18)</f>
        <v/>
      </c>
      <c r="G37" s="59">
        <f>IF('[23]سجل المستخلصات'!$G$18="","",'[23]سجل المستخلصات'!$G$18)</f>
        <v/>
      </c>
      <c r="H37" s="59">
        <f>IF('[23]سجل المستخلصات'!$I$18="","",'[23]سجل المستخلصات'!$I$18)</f>
        <v/>
      </c>
      <c r="I37" s="59">
        <f>IF('[23]سجل المستخلصات'!$J$18="","",'[23]سجل المستخلصات'!$J$18)</f>
        <v/>
      </c>
      <c r="J37" s="59">
        <f>IF('[23]سجل المستخلصات'!$K$18="","",'[23]سجل المستخلصات'!$K$18)</f>
        <v/>
      </c>
      <c r="K37" s="60">
        <f>IF('[23]سجل المستخلصات'!$L$18="","",'[23]سجل المستخلصات'!$L$18)</f>
        <v/>
      </c>
      <c r="L37" s="60">
        <f>IF('[23]سجل المستخلصات'!$M$18="","",'[23]سجل المستخلصات'!$M$18)</f>
        <v/>
      </c>
      <c r="M37" s="60">
        <f>IF('[23]سجل المستخلصات'!$N$18="","",'[23]سجل المستخلصات'!$N$18)</f>
        <v/>
      </c>
      <c r="N37" s="59">
        <f>IF('[23]سجل المستخلصات'!$O$18="","",'[23]سجل المستخلصات'!$O$18)</f>
        <v/>
      </c>
      <c r="O37" s="59">
        <f>IF('[23]سجل المستخلصات'!$R$18="","",'[23]سجل المستخلصات'!$R$18)</f>
        <v/>
      </c>
      <c r="P37" s="59">
        <f>IF('[23]سجل المستخلصات'!$S$18="","",'[23]سجل المستخلصات'!$S$18)</f>
        <v/>
      </c>
      <c r="Q37" s="59">
        <f>IF('[23]سجل المستخلصات'!$T$18="","",'[23]سجل المستخلصات'!$T$18)</f>
        <v/>
      </c>
      <c r="R37" s="59">
        <f>IF('[23]سجل المستخلصات'!$V$18="","",'[23]سجل المستخلصات'!$V$18)</f>
        <v/>
      </c>
      <c r="S37" s="59">
        <f>IF('[23]سجل المستخلصات'!$W$18="","",'[23]سجل المستخلصات'!$W$18)</f>
        <v/>
      </c>
      <c r="T37" s="61">
        <f>IF('[23]سجل المستخلصات'!$X$18="","",'[23]سجل المستخلصات'!$X$18)</f>
        <v/>
      </c>
      <c r="U37" s="61">
        <f>IF('[23]سجل المستخلصات'!$Z$18="","",'[23]سجل المستخلصات'!$Z$18)</f>
        <v/>
      </c>
      <c r="V37" s="59">
        <f>IF('[23]سجل المستخلصات'!$AA$18="","",'[23]سجل المستخلصات'!$AA$18)</f>
        <v/>
      </c>
      <c r="W37" s="59">
        <f>IF('[23]سجل المستخلصات'!$AC$18="","",'[23]سجل المستخلصات'!$AC$18)</f>
        <v/>
      </c>
      <c r="X37" s="62">
        <f>IF('[23]سجل المستخلصات'!$AD$18="","",'[23]سجل المستخلصات'!$AD$18)</f>
        <v/>
      </c>
      <c r="Y37" s="58">
        <f>IF('[23]سجل المستخلصات'!$AE$18="","",'[23]سجل المستخلصات'!$AE$18)</f>
        <v/>
      </c>
    </row>
    <row r="38">
      <c r="B38" s="56" t="n">
        <v>14</v>
      </c>
      <c r="C38" s="57">
        <f>IF('[23]سجل المستخلصات'!$C$19="","",'[23]سجل المستخلصات'!$C$19)</f>
        <v/>
      </c>
      <c r="D38" s="57">
        <f>IF('[23]سجل المستخلصات'!$E$19="","",'[23]سجل المستخلصات'!$E$19)</f>
        <v/>
      </c>
      <c r="E38" s="58">
        <f>IF('[23]سجل المستخلصات'!$F$19="","",'[23]سجل المستخلصات'!$F$19)</f>
        <v/>
      </c>
      <c r="F38" s="59">
        <f>IF('[23]سجل المستخلصات'!$H$19="","",'[23]سجل المستخلصات'!$H$19)</f>
        <v/>
      </c>
      <c r="G38" s="59">
        <f>IF('[23]سجل المستخلصات'!$G$19="","",'[23]سجل المستخلصات'!$G$19)</f>
        <v/>
      </c>
      <c r="H38" s="59">
        <f>IF('[23]سجل المستخلصات'!$I$19="","",'[23]سجل المستخلصات'!$I$19)</f>
        <v/>
      </c>
      <c r="I38" s="59">
        <f>IF('[23]سجل المستخلصات'!$J$19="","",'[23]سجل المستخلصات'!$J$19)</f>
        <v/>
      </c>
      <c r="J38" s="59">
        <f>IF('[23]سجل المستخلصات'!$K$19="","",'[23]سجل المستخلصات'!$K$19)</f>
        <v/>
      </c>
      <c r="K38" s="60">
        <f>IF('[23]سجل المستخلصات'!$L$19="","",'[23]سجل المستخلصات'!$L$19)</f>
        <v/>
      </c>
      <c r="L38" s="60">
        <f>IF('[23]سجل المستخلصات'!$M$19="","",'[23]سجل المستخلصات'!$M$19)</f>
        <v/>
      </c>
      <c r="M38" s="60">
        <f>IF('[23]سجل المستخلصات'!$N$19="","",'[23]سجل المستخلصات'!$N$19)</f>
        <v/>
      </c>
      <c r="N38" s="59">
        <f>IF('[23]سجل المستخلصات'!$O$19="","",'[23]سجل المستخلصات'!$O$19)</f>
        <v/>
      </c>
      <c r="O38" s="59">
        <f>IF('[23]سجل المستخلصات'!$R$19="","",'[23]سجل المستخلصات'!$R$19)</f>
        <v/>
      </c>
      <c r="P38" s="59">
        <f>IF('[23]سجل المستخلصات'!$S$19="","",'[23]سجل المستخلصات'!$S$19)</f>
        <v/>
      </c>
      <c r="Q38" s="59">
        <f>IF('[23]سجل المستخلصات'!$T$19="","",'[23]سجل المستخلصات'!$T$19)</f>
        <v/>
      </c>
      <c r="R38" s="59">
        <f>IF('[23]سجل المستخلصات'!$V$19="","",'[23]سجل المستخلصات'!$V$19)</f>
        <v/>
      </c>
      <c r="S38" s="59">
        <f>IF('[23]سجل المستخلصات'!$W$19="","",'[23]سجل المستخلصات'!$W$19)</f>
        <v/>
      </c>
      <c r="T38" s="61">
        <f>IF('[23]سجل المستخلصات'!$X$19="","",'[23]سجل المستخلصات'!$X$19)</f>
        <v/>
      </c>
      <c r="U38" s="61">
        <f>IF('[23]سجل المستخلصات'!$Z$19="","",'[23]سجل المستخلصات'!$Z$19)</f>
        <v/>
      </c>
      <c r="V38" s="59">
        <f>IF('[23]سجل المستخلصات'!$AA$19="","",'[23]سجل المستخلصات'!$AA$19)</f>
        <v/>
      </c>
      <c r="W38" s="59">
        <f>IF('[23]سجل المستخلصات'!$AC$19="","",'[23]سجل المستخلصات'!$AC$19)</f>
        <v/>
      </c>
      <c r="X38" s="62">
        <f>IF('[23]سجل المستخلصات'!$AD$19="","",'[23]سجل المستخلصات'!$AD$19)</f>
        <v/>
      </c>
      <c r="Y38" s="58">
        <f>IF('[23]سجل المستخلصات'!$AE$19="","",'[23]سجل المستخلصات'!$AE$19)</f>
        <v/>
      </c>
    </row>
    <row r="39">
      <c r="B39" s="56" t="n">
        <v>15</v>
      </c>
      <c r="C39" s="57">
        <f>IF('[23]سجل المستخلصات'!$C$20="","",'[23]سجل المستخلصات'!$C$20)</f>
        <v/>
      </c>
      <c r="D39" s="57">
        <f>IF('[23]سجل المستخلصات'!$E$20="","",'[23]سجل المستخلصات'!$E$20)</f>
        <v/>
      </c>
      <c r="E39" s="58">
        <f>IF('[23]سجل المستخلصات'!$F$20="","",'[23]سجل المستخلصات'!$F$20)</f>
        <v/>
      </c>
      <c r="F39" s="59">
        <f>IF('[23]سجل المستخلصات'!$H$20="","",'[23]سجل المستخلصات'!$H$20)</f>
        <v/>
      </c>
      <c r="G39" s="59">
        <f>IF('[23]سجل المستخلصات'!$G$20="","",'[23]سجل المستخلصات'!$G$20)</f>
        <v/>
      </c>
      <c r="H39" s="59">
        <f>IF('[23]سجل المستخلصات'!$I$20="","",'[23]سجل المستخلصات'!$I$20)</f>
        <v/>
      </c>
      <c r="I39" s="59">
        <f>IF('[23]سجل المستخلصات'!$J$20="","",'[23]سجل المستخلصات'!$J$20)</f>
        <v/>
      </c>
      <c r="J39" s="59">
        <f>IF('[23]سجل المستخلصات'!$K$20="","",'[23]سجل المستخلصات'!$K$20)</f>
        <v/>
      </c>
      <c r="K39" s="60">
        <f>IF('[23]سجل المستخلصات'!$L$20="","",'[23]سجل المستخلصات'!$L$20)</f>
        <v/>
      </c>
      <c r="L39" s="60">
        <f>IF('[23]سجل المستخلصات'!$M$20="","",'[23]سجل المستخلصات'!$M$20)</f>
        <v/>
      </c>
      <c r="M39" s="60">
        <f>IF('[23]سجل المستخلصات'!$N$20="","",'[23]سجل المستخلصات'!$N$20)</f>
        <v/>
      </c>
      <c r="N39" s="59">
        <f>IF('[23]سجل المستخلصات'!$O$20="","",'[23]سجل المستخلصات'!$O$20)</f>
        <v/>
      </c>
      <c r="O39" s="59">
        <f>IF('[23]سجل المستخلصات'!$R$20="","",'[23]سجل المستخلصات'!$R$20)</f>
        <v/>
      </c>
      <c r="P39" s="59">
        <f>IF('[23]سجل المستخلصات'!$S$20="","",'[23]سجل المستخلصات'!$S$20)</f>
        <v/>
      </c>
      <c r="Q39" s="59">
        <f>IF('[23]سجل المستخلصات'!$T$20="","",'[23]سجل المستخلصات'!$T$20)</f>
        <v/>
      </c>
      <c r="R39" s="59">
        <f>IF('[23]سجل المستخلصات'!$V$20="","",'[23]سجل المستخلصات'!$V$20)</f>
        <v/>
      </c>
      <c r="S39" s="59">
        <f>IF('[23]سجل المستخلصات'!$W$20="","",'[23]سجل المستخلصات'!$W$20)</f>
        <v/>
      </c>
      <c r="T39" s="61">
        <f>IF('[23]سجل المستخلصات'!$X$20="","",'[23]سجل المستخلصات'!$X$20)</f>
        <v/>
      </c>
      <c r="U39" s="61">
        <f>IF('[23]سجل المستخلصات'!$Z$20="","",'[23]سجل المستخلصات'!$Z$20)</f>
        <v/>
      </c>
      <c r="V39" s="59">
        <f>IF('[23]سجل المستخلصات'!$AA$20="","",'[23]سجل المستخلصات'!$AA$20)</f>
        <v/>
      </c>
      <c r="W39" s="59">
        <f>IF('[23]سجل المستخلصات'!$AC$20="","",'[23]سجل المستخلصات'!$AC$20)</f>
        <v/>
      </c>
      <c r="X39" s="62">
        <f>IF('[23]سجل المستخلصات'!$AD$20="","",'[23]سجل المستخلصات'!$AD$20)</f>
        <v/>
      </c>
      <c r="Y39" s="58">
        <f>IF('[23]سجل المستخلصات'!$AE$20="","",'[23]سجل المستخلصات'!$AE$20)</f>
        <v/>
      </c>
    </row>
    <row r="40">
      <c r="B40" s="56" t="n">
        <v>16</v>
      </c>
      <c r="C40" s="57">
        <f>IF('[23]سجل المستخلصات'!$C$21="","",'[23]سجل المستخلصات'!$C$21)</f>
        <v/>
      </c>
      <c r="D40" s="57">
        <f>IF('[23]سجل المستخلصات'!$E$21="","",'[23]سجل المستخلصات'!$E$21)</f>
        <v/>
      </c>
      <c r="E40" s="58">
        <f>IF('[23]سجل المستخلصات'!$F$21="","",'[23]سجل المستخلصات'!$F$21)</f>
        <v/>
      </c>
      <c r="F40" s="59">
        <f>IF('[23]سجل المستخلصات'!$H$21="","",'[23]سجل المستخلصات'!$H$21)</f>
        <v/>
      </c>
      <c r="G40" s="59">
        <f>IF('[23]سجل المستخلصات'!$G$21="","",'[23]سجل المستخلصات'!$G$21)</f>
        <v/>
      </c>
      <c r="H40" s="59">
        <f>IF('[23]سجل المستخلصات'!$I$21="","",'[23]سجل المستخلصات'!$I$21)</f>
        <v/>
      </c>
      <c r="I40" s="59">
        <f>IF('[23]سجل المستخلصات'!$J$21="","",'[23]سجل المستخلصات'!$J$21)</f>
        <v/>
      </c>
      <c r="J40" s="59">
        <f>IF('[23]سجل المستخلصات'!$K$21="","",'[23]سجل المستخلصات'!$K$21)</f>
        <v/>
      </c>
      <c r="K40" s="60">
        <f>IF('[23]سجل المستخلصات'!$L$21="","",'[23]سجل المستخلصات'!$L$21)</f>
        <v/>
      </c>
      <c r="L40" s="60">
        <f>IF('[23]سجل المستخلصات'!$M$21="","",'[23]سجل المستخلصات'!$M$21)</f>
        <v/>
      </c>
      <c r="M40" s="60">
        <f>IF('[23]سجل المستخلصات'!$N$21="","",'[23]سجل المستخلصات'!$N$21)</f>
        <v/>
      </c>
      <c r="N40" s="59">
        <f>IF('[23]سجل المستخلصات'!$O$21="","",'[23]سجل المستخلصات'!$O$21)</f>
        <v/>
      </c>
      <c r="O40" s="59">
        <f>IF('[23]سجل المستخلصات'!$R$21="","",'[23]سجل المستخلصات'!$R$21)</f>
        <v/>
      </c>
      <c r="P40" s="59">
        <f>IF('[23]سجل المستخلصات'!$S$21="","",'[23]سجل المستخلصات'!$S$21)</f>
        <v/>
      </c>
      <c r="Q40" s="59">
        <f>IF('[23]سجل المستخلصات'!$T$21="","",'[23]سجل المستخلصات'!$T$21)</f>
        <v/>
      </c>
      <c r="R40" s="59">
        <f>IF('[23]سجل المستخلصات'!$V$21="","",'[23]سجل المستخلصات'!$V$21)</f>
        <v/>
      </c>
      <c r="S40" s="59">
        <f>IF('[23]سجل المستخلصات'!$W$21="","",'[23]سجل المستخلصات'!$W$21)</f>
        <v/>
      </c>
      <c r="T40" s="61">
        <f>IF('[23]سجل المستخلصات'!$X$21="","",'[23]سجل المستخلصات'!$X$21)</f>
        <v/>
      </c>
      <c r="U40" s="61">
        <f>IF('[23]سجل المستخلصات'!$Z$21="","",'[23]سجل المستخلصات'!$Z$21)</f>
        <v/>
      </c>
      <c r="V40" s="59">
        <f>IF('[23]سجل المستخلصات'!$AA$21="","",'[23]سجل المستخلصات'!$AA$21)</f>
        <v/>
      </c>
      <c r="W40" s="59">
        <f>IF('[23]سجل المستخلصات'!$AC$21="","",'[23]سجل المستخلصات'!$AC$21)</f>
        <v/>
      </c>
      <c r="X40" s="62">
        <f>IF('[23]سجل المستخلصات'!$AD$21="","",'[23]سجل المستخلصات'!$AD$21)</f>
        <v/>
      </c>
      <c r="Y40" s="58">
        <f>IF('[23]سجل المستخلصات'!$AE$21="","",'[23]سجل المستخلصات'!$AE$21)</f>
        <v/>
      </c>
    </row>
    <row r="41">
      <c r="B41" s="56" t="n">
        <v>17</v>
      </c>
      <c r="C41" s="57">
        <f>IF('[23]سجل المستخلصات'!$C$22="","",'[23]سجل المستخلصات'!$C$22)</f>
        <v/>
      </c>
      <c r="D41" s="57">
        <f>IF('[23]سجل المستخلصات'!$E$22="","",'[23]سجل المستخلصات'!$E$22)</f>
        <v/>
      </c>
      <c r="E41" s="58">
        <f>IF('[23]سجل المستخلصات'!$F$22="","",'[23]سجل المستخلصات'!$F$22)</f>
        <v/>
      </c>
      <c r="F41" s="59">
        <f>IF('[23]سجل المستخلصات'!$H$22="","",'[23]سجل المستخلصات'!$H$22)</f>
        <v/>
      </c>
      <c r="G41" s="59">
        <f>IF('[23]سجل المستخلصات'!$G$22="","",'[23]سجل المستخلصات'!$G$22)</f>
        <v/>
      </c>
      <c r="H41" s="59">
        <f>IF('[23]سجل المستخلصات'!$I$22="","",'[23]سجل المستخلصات'!$I$22)</f>
        <v/>
      </c>
      <c r="I41" s="59">
        <f>IF('[23]سجل المستخلصات'!$J$22="","",'[23]سجل المستخلصات'!$J$22)</f>
        <v/>
      </c>
      <c r="J41" s="59">
        <f>IF('[23]سجل المستخلصات'!$K$22="","",'[23]سجل المستخلصات'!$K$22)</f>
        <v/>
      </c>
      <c r="K41" s="60">
        <f>IF('[23]سجل المستخلصات'!$L$22="","",'[23]سجل المستخلصات'!$L$22)</f>
        <v/>
      </c>
      <c r="L41" s="60">
        <f>IF('[23]سجل المستخلصات'!$M$22="","",'[23]سجل المستخلصات'!$M$22)</f>
        <v/>
      </c>
      <c r="M41" s="60">
        <f>IF('[23]سجل المستخلصات'!$N$22="","",'[23]سجل المستخلصات'!$N$22)</f>
        <v/>
      </c>
      <c r="N41" s="59">
        <f>IF('[23]سجل المستخلصات'!$O$22="","",'[23]سجل المستخلصات'!$O$22)</f>
        <v/>
      </c>
      <c r="O41" s="59">
        <f>IF('[23]سجل المستخلصات'!$R$22="","",'[23]سجل المستخلصات'!$R$22)</f>
        <v/>
      </c>
      <c r="P41" s="59">
        <f>IF('[23]سجل المستخلصات'!$S$22="","",'[23]سجل المستخلصات'!$S$22)</f>
        <v/>
      </c>
      <c r="Q41" s="59">
        <f>IF('[23]سجل المستخلصات'!$T$22="","",'[23]سجل المستخلصات'!$T$22)</f>
        <v/>
      </c>
      <c r="R41" s="59">
        <f>IF('[23]سجل المستخلصات'!$V$22="","",'[23]سجل المستخلصات'!$V$22)</f>
        <v/>
      </c>
      <c r="S41" s="59">
        <f>IF('[23]سجل المستخلصات'!$W$22="","",'[23]سجل المستخلصات'!$W$22)</f>
        <v/>
      </c>
      <c r="T41" s="61">
        <f>IF('[23]سجل المستخلصات'!$X$22="","",'[23]سجل المستخلصات'!$X$22)</f>
        <v/>
      </c>
      <c r="U41" s="61">
        <f>IF('[23]سجل المستخلصات'!$Z$22="","",'[23]سجل المستخلصات'!$Z$22)</f>
        <v/>
      </c>
      <c r="V41" s="59">
        <f>IF('[23]سجل المستخلصات'!$AA$22="","",'[23]سجل المستخلصات'!$AA$22)</f>
        <v/>
      </c>
      <c r="W41" s="59">
        <f>IF('[23]سجل المستخلصات'!$AC$22="","",'[23]سجل المستخلصات'!$AC$22)</f>
        <v/>
      </c>
      <c r="X41" s="62">
        <f>IF('[23]سجل المستخلصات'!$AD$22="","",'[23]سجل المستخلصات'!$AD$22)</f>
        <v/>
      </c>
      <c r="Y41" s="58">
        <f>IF('[23]سجل المستخلصات'!$AE$22="","",'[23]سجل المستخلصات'!$AE$22)</f>
        <v/>
      </c>
    </row>
    <row r="42">
      <c r="B42" s="56" t="n">
        <v>18</v>
      </c>
      <c r="C42" s="57">
        <f>IF('[23]سجل المستخلصات'!$C$23="","",'[23]سجل المستخلصات'!$C$23)</f>
        <v/>
      </c>
      <c r="D42" s="57">
        <f>IF('[23]سجل المستخلصات'!$E$23="","",'[23]سجل المستخلصات'!$E$23)</f>
        <v/>
      </c>
      <c r="E42" s="58">
        <f>IF('[23]سجل المستخلصات'!$F$23="","",'[23]سجل المستخلصات'!$F$23)</f>
        <v/>
      </c>
      <c r="F42" s="59">
        <f>IF('[23]سجل المستخلصات'!$H$23="","",'[23]سجل المستخلصات'!$H$23)</f>
        <v/>
      </c>
      <c r="G42" s="59">
        <f>IF('[23]سجل المستخلصات'!$G$23="","",'[23]سجل المستخلصات'!$G$23)</f>
        <v/>
      </c>
      <c r="H42" s="59">
        <f>IF('[23]سجل المستخلصات'!$I$23="","",'[23]سجل المستخلصات'!$I$23)</f>
        <v/>
      </c>
      <c r="I42" s="59">
        <f>IF('[23]سجل المستخلصات'!$J$23="","",'[23]سجل المستخلصات'!$J$23)</f>
        <v/>
      </c>
      <c r="J42" s="59">
        <f>IF('[23]سجل المستخلصات'!$K$23="","",'[23]سجل المستخلصات'!$K$23)</f>
        <v/>
      </c>
      <c r="K42" s="60">
        <f>IF('[23]سجل المستخلصات'!$L$23="","",'[23]سجل المستخلصات'!$L$23)</f>
        <v/>
      </c>
      <c r="L42" s="60">
        <f>IF('[23]سجل المستخلصات'!$M$23="","",'[23]سجل المستخلصات'!$M$23)</f>
        <v/>
      </c>
      <c r="M42" s="60">
        <f>IF('[23]سجل المستخلصات'!$N$23="","",'[23]سجل المستخلصات'!$N$23)</f>
        <v/>
      </c>
      <c r="N42" s="59">
        <f>IF('[23]سجل المستخلصات'!$O$23="","",'[23]سجل المستخلصات'!$O$23)</f>
        <v/>
      </c>
      <c r="O42" s="59">
        <f>IF('[23]سجل المستخلصات'!$R$23="","",'[23]سجل المستخلصات'!$R$23)</f>
        <v/>
      </c>
      <c r="P42" s="59">
        <f>IF('[23]سجل المستخلصات'!$S$23="","",'[23]سجل المستخلصات'!$S$23)</f>
        <v/>
      </c>
      <c r="Q42" s="59">
        <f>IF('[23]سجل المستخلصات'!$T$23="","",'[23]سجل المستخلصات'!$T$23)</f>
        <v/>
      </c>
      <c r="R42" s="59">
        <f>IF('[23]سجل المستخلصات'!$V$23="","",'[23]سجل المستخلصات'!$V$23)</f>
        <v/>
      </c>
      <c r="S42" s="59">
        <f>IF('[23]سجل المستخلصات'!$W$23="","",'[23]سجل المستخلصات'!$W$23)</f>
        <v/>
      </c>
      <c r="T42" s="61">
        <f>IF('[23]سجل المستخلصات'!$X$23="","",'[23]سجل المستخلصات'!$X$23)</f>
        <v/>
      </c>
      <c r="U42" s="61">
        <f>IF('[23]سجل المستخلصات'!$Z$23="","",'[23]سجل المستخلصات'!$Z$23)</f>
        <v/>
      </c>
      <c r="V42" s="59">
        <f>IF('[23]سجل المستخلصات'!$AA$23="","",'[23]سجل المستخلصات'!$AA$23)</f>
        <v/>
      </c>
      <c r="W42" s="59">
        <f>IF('[23]سجل المستخلصات'!$AC$23="","",'[23]سجل المستخلصات'!$AC$23)</f>
        <v/>
      </c>
      <c r="X42" s="62">
        <f>IF('[23]سجل المستخلصات'!$AD$23="","",'[23]سجل المستخلصات'!$AD$23)</f>
        <v/>
      </c>
      <c r="Y42" s="58">
        <f>IF('[23]سجل المستخلصات'!$AE$23="","",'[23]سجل المستخلصات'!$AE$23)</f>
        <v/>
      </c>
    </row>
    <row r="43">
      <c r="B43" s="56" t="n">
        <v>19</v>
      </c>
      <c r="C43" s="57">
        <f>IF('[23]سجل المستخلصات'!$C$24="","",'[23]سجل المستخلصات'!$C$24)</f>
        <v/>
      </c>
      <c r="D43" s="57">
        <f>IF('[23]سجل المستخلصات'!$E$24="","",'[23]سجل المستخلصات'!$E$24)</f>
        <v/>
      </c>
      <c r="E43" s="58">
        <f>IF('[23]سجل المستخلصات'!$F$24="","",'[23]سجل المستخلصات'!$F$24)</f>
        <v/>
      </c>
      <c r="F43" s="59">
        <f>IF('[23]سجل المستخلصات'!$H$24="","",'[23]سجل المستخلصات'!$H$24)</f>
        <v/>
      </c>
      <c r="G43" s="59">
        <f>IF('[23]سجل المستخلصات'!$G$24="","",'[23]سجل المستخلصات'!$G$24)</f>
        <v/>
      </c>
      <c r="H43" s="59">
        <f>IF('[23]سجل المستخلصات'!$I$24="","",'[23]سجل المستخلصات'!$I$24)</f>
        <v/>
      </c>
      <c r="I43" s="59">
        <f>IF('[23]سجل المستخلصات'!$J$24="","",'[23]سجل المستخلصات'!$J$24)</f>
        <v/>
      </c>
      <c r="J43" s="59">
        <f>IF('[23]سجل المستخلصات'!$K$24="","",'[23]سجل المستخلصات'!$K$24)</f>
        <v/>
      </c>
      <c r="K43" s="60">
        <f>IF('[23]سجل المستخلصات'!$L$24="","",'[23]سجل المستخلصات'!$L$24)</f>
        <v/>
      </c>
      <c r="L43" s="60">
        <f>IF('[23]سجل المستخلصات'!$M$24="","",'[23]سجل المستخلصات'!$M$24)</f>
        <v/>
      </c>
      <c r="M43" s="60">
        <f>IF('[23]سجل المستخلصات'!$N$24="","",'[23]سجل المستخلصات'!$N$24)</f>
        <v/>
      </c>
      <c r="N43" s="59">
        <f>IF('[23]سجل المستخلصات'!$O$24="","",'[23]سجل المستخلصات'!$O$24)</f>
        <v/>
      </c>
      <c r="O43" s="59">
        <f>IF('[23]سجل المستخلصات'!$R$24="","",'[23]سجل المستخلصات'!$R$24)</f>
        <v/>
      </c>
      <c r="P43" s="59">
        <f>IF('[23]سجل المستخلصات'!$S$24="","",'[23]سجل المستخلصات'!$S$24)</f>
        <v/>
      </c>
      <c r="Q43" s="59">
        <f>IF('[23]سجل المستخلصات'!$T$24="","",'[23]سجل المستخلصات'!$T$24)</f>
        <v/>
      </c>
      <c r="R43" s="59">
        <f>IF('[23]سجل المستخلصات'!$V$24="","",'[23]سجل المستخلصات'!$V$24)</f>
        <v/>
      </c>
      <c r="S43" s="59">
        <f>IF('[23]سجل المستخلصات'!$W$24="","",'[23]سجل المستخلصات'!$W$24)</f>
        <v/>
      </c>
      <c r="T43" s="61">
        <f>IF('[23]سجل المستخلصات'!$X$24="","",'[23]سجل المستخلصات'!$X$24)</f>
        <v/>
      </c>
      <c r="U43" s="61">
        <f>IF('[23]سجل المستخلصات'!$Z$24="","",'[23]سجل المستخلصات'!$Z$24)</f>
        <v/>
      </c>
      <c r="V43" s="59">
        <f>IF('[23]سجل المستخلصات'!$AA$24="","",'[23]سجل المستخلصات'!$AA$24)</f>
        <v/>
      </c>
      <c r="W43" s="59">
        <f>IF('[23]سجل المستخلصات'!$AC$24="","",'[23]سجل المستخلصات'!$AC$24)</f>
        <v/>
      </c>
      <c r="X43" s="62">
        <f>IF('[23]سجل المستخلصات'!$AD$24="","",'[23]سجل المستخلصات'!$AD$24)</f>
        <v/>
      </c>
      <c r="Y43" s="58">
        <f>IF('[23]سجل المستخلصات'!$AE$24="","",'[23]سجل المستخلصات'!$AE$24)</f>
        <v/>
      </c>
    </row>
    <row r="44">
      <c r="B44" s="56" t="n">
        <v>20</v>
      </c>
      <c r="C44" s="57">
        <f>IF('[23]سجل المستخلصات'!$C$25="","",'[23]سجل المستخلصات'!$C$25)</f>
        <v/>
      </c>
      <c r="D44" s="57">
        <f>IF('[23]سجل المستخلصات'!$E$25="","",'[23]سجل المستخلصات'!$E$25)</f>
        <v/>
      </c>
      <c r="E44" s="58">
        <f>IF('[23]سجل المستخلصات'!$F$25="","",'[23]سجل المستخلصات'!$F$25)</f>
        <v/>
      </c>
      <c r="F44" s="59">
        <f>IF('[23]سجل المستخلصات'!$H$25="","",'[23]سجل المستخلصات'!$H$25)</f>
        <v/>
      </c>
      <c r="G44" s="59">
        <f>IF('[23]سجل المستخلصات'!$G$25="","",'[23]سجل المستخلصات'!$G$25)</f>
        <v/>
      </c>
      <c r="H44" s="59">
        <f>IF('[23]سجل المستخلصات'!$I$25="","",'[23]سجل المستخلصات'!$I$25)</f>
        <v/>
      </c>
      <c r="I44" s="59">
        <f>IF('[23]سجل المستخلصات'!$J$25="","",'[23]سجل المستخلصات'!$J$25)</f>
        <v/>
      </c>
      <c r="J44" s="59">
        <f>IF('[23]سجل المستخلصات'!$K$25="","",'[23]سجل المستخلصات'!$K$25)</f>
        <v/>
      </c>
      <c r="K44" s="60">
        <f>IF('[23]سجل المستخلصات'!$L$25="","",'[23]سجل المستخلصات'!$L$25)</f>
        <v/>
      </c>
      <c r="L44" s="60">
        <f>IF('[23]سجل المستخلصات'!$M$25="","",'[23]سجل المستخلصات'!$M$25)</f>
        <v/>
      </c>
      <c r="M44" s="60">
        <f>IF('[23]سجل المستخلصات'!$N$25="","",'[23]سجل المستخلصات'!$N$25)</f>
        <v/>
      </c>
      <c r="N44" s="59">
        <f>IF('[23]سجل المستخلصات'!$O$25="","",'[23]سجل المستخلصات'!$O$25)</f>
        <v/>
      </c>
      <c r="O44" s="59">
        <f>IF('[23]سجل المستخلصات'!$R$25="","",'[23]سجل المستخلصات'!$R$25)</f>
        <v/>
      </c>
      <c r="P44" s="59">
        <f>IF('[23]سجل المستخلصات'!$S$25="","",'[23]سجل المستخلصات'!$S$25)</f>
        <v/>
      </c>
      <c r="Q44" s="59">
        <f>IF('[23]سجل المستخلصات'!$T$25="","",'[23]سجل المستخلصات'!$T$25)</f>
        <v/>
      </c>
      <c r="R44" s="59">
        <f>IF('[23]سجل المستخلصات'!$V$25="","",'[23]سجل المستخلصات'!$V$25)</f>
        <v/>
      </c>
      <c r="S44" s="59">
        <f>IF('[23]سجل المستخلصات'!$W$25="","",'[23]سجل المستخلصات'!$W$25)</f>
        <v/>
      </c>
      <c r="T44" s="61">
        <f>IF('[23]سجل المستخلصات'!$X$25="","",'[23]سجل المستخلصات'!$X$25)</f>
        <v/>
      </c>
      <c r="U44" s="61">
        <f>IF('[23]سجل المستخلصات'!$Z$25="","",'[23]سجل المستخلصات'!$Z$25)</f>
        <v/>
      </c>
      <c r="V44" s="59">
        <f>IF('[23]سجل المستخلصات'!$AA$25="","",'[23]سجل المستخلصات'!$AA$25)</f>
        <v/>
      </c>
      <c r="W44" s="59">
        <f>IF('[23]سجل المستخلصات'!$AC$25="","",'[23]سجل المستخلصات'!$AC$25)</f>
        <v/>
      </c>
      <c r="X44" s="62">
        <f>IF('[23]سجل المستخلصات'!$AD$25="","",'[23]سجل المستخلصات'!$AD$25)</f>
        <v/>
      </c>
      <c r="Y44" s="58">
        <f>IF('[23]سجل المستخلصات'!$AE$25="","",'[23]سجل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IF('[23]سجل المستخلصات'!$B$32="","",'[23]سجل المستخلصات'!$B$32)</f>
        <v/>
      </c>
      <c r="C50" s="69" t="n"/>
      <c r="D50" s="69" t="n"/>
      <c r="E50" s="59">
        <f>N('[23]سجل المستخلصات'!$E$32)</f>
        <v/>
      </c>
      <c r="F50" s="59">
        <f>N('[23]سجل المستخلصات'!$F$32)</f>
        <v/>
      </c>
      <c r="G50" s="70">
        <f>IF(E50&gt;0,F50/E50,0)</f>
        <v/>
      </c>
    </row>
    <row r="51">
      <c r="B51" s="69">
        <f>IF('[23]سجل المستخلصات'!$B$33="","",'[23]سجل المستخلصات'!$B$33)</f>
        <v/>
      </c>
      <c r="C51" s="69" t="n"/>
      <c r="D51" s="69" t="n"/>
      <c r="E51" s="59">
        <f>N('[23]سجل المستخلصات'!$E$33)</f>
        <v/>
      </c>
      <c r="F51" s="59">
        <f>N('[23]سجل المستخلصات'!$F$33)</f>
        <v/>
      </c>
      <c r="G51" s="70">
        <f>IF(E51&gt;0,F51/E51,0)</f>
        <v/>
      </c>
    </row>
    <row r="52">
      <c r="B52" s="69">
        <f>IF('[23]سجل المستخلصات'!$B$34="","",'[23]سجل المستخلصات'!$B$34)</f>
        <v/>
      </c>
      <c r="C52" s="69" t="n"/>
      <c r="D52" s="69" t="n"/>
      <c r="E52" s="59">
        <f>N('[23]سجل المستخلصات'!$E$34)</f>
        <v/>
      </c>
      <c r="F52" s="59">
        <f>N('[23]سجل المستخلصات'!$F$34)</f>
        <v/>
      </c>
      <c r="G52" s="70">
        <f>IF(E52&gt;0,F52/E52,0)</f>
        <v/>
      </c>
    </row>
    <row r="53">
      <c r="B53" s="69">
        <f>IF('[23]سجل المستخلصات'!$B$35="","",'[23]سجل المستخلصات'!$B$35)</f>
        <v/>
      </c>
      <c r="C53" s="69" t="n"/>
      <c r="D53" s="69" t="n"/>
      <c r="E53" s="59">
        <f>N('[23]سجل المستخلصات'!$E$35)</f>
        <v/>
      </c>
      <c r="F53" s="59">
        <f>N('[23]سجل المستخلصات'!$F$35)</f>
        <v/>
      </c>
      <c r="G53" s="70">
        <f>IF(E53&gt;0,F53/E53,0)</f>
        <v/>
      </c>
    </row>
    <row r="54">
      <c r="B54" s="69">
        <f>IF('[23]سجل المستخلصات'!$B$36="","",'[23]سجل المستخلصات'!$B$36)</f>
        <v/>
      </c>
      <c r="C54" s="69" t="n"/>
      <c r="D54" s="69" t="n"/>
      <c r="E54" s="59">
        <f>N('[23]سجل المستخلصات'!$E$36)</f>
        <v/>
      </c>
      <c r="F54" s="59">
        <f>N('[23]سجل المستخلصات'!$F$36)</f>
        <v/>
      </c>
      <c r="G54" s="70">
        <f>IF(E54&gt;0,F54/E54,0)</f>
        <v/>
      </c>
    </row>
    <row r="55">
      <c r="B55" s="69">
        <f>IF('[23]سجل المستخلصات'!$B$37="","",'[23]سجل المستخلصات'!$B$37)</f>
        <v/>
      </c>
      <c r="C55" s="69" t="n"/>
      <c r="D55" s="69" t="n"/>
      <c r="E55" s="59">
        <f>N('[23]سجل المستخلصات'!$E$37)</f>
        <v/>
      </c>
      <c r="F55" s="59">
        <f>N('[23]سجل المستخلصات'!$F$37)</f>
        <v/>
      </c>
      <c r="G55" s="70">
        <f>IF(E55&gt;0,F55/E55,0)</f>
        <v/>
      </c>
    </row>
    <row r="56">
      <c r="B56" s="69">
        <f>IF('[23]سجل المستخلصات'!$B$38="","",'[23]سجل المستخلصات'!$B$38)</f>
        <v/>
      </c>
      <c r="C56" s="69" t="n"/>
      <c r="D56" s="69" t="n"/>
      <c r="E56" s="59">
        <f>N('[23]سجل المستخلصات'!$E$38)</f>
        <v/>
      </c>
      <c r="F56" s="59">
        <f>N('[23]سجل المستخلصات'!$F$38)</f>
        <v/>
      </c>
      <c r="G56" s="70">
        <f>IF(E56&gt;0,F56/E56,0)</f>
        <v/>
      </c>
    </row>
    <row r="57">
      <c r="B57" s="69">
        <f>IF('[23]سجل المستخلصات'!$B$39="","",'[23]سجل المستخلصات'!$B$39)</f>
        <v/>
      </c>
      <c r="C57" s="69" t="n"/>
      <c r="D57" s="69" t="n"/>
      <c r="E57" s="59">
        <f>N('[23]سجل المستخلصات'!$E$39)</f>
        <v/>
      </c>
      <c r="F57" s="59">
        <f>N('[23]سجل المستخلصات'!$F$39)</f>
        <v/>
      </c>
      <c r="G57" s="70">
        <f>IF(E57&gt;0,F57/E57,0)</f>
        <v/>
      </c>
    </row>
    <row r="58">
      <c r="B58" s="69">
        <f>IF('[23]سجل المستخلصات'!$B$40="","",'[23]سجل المستخلصات'!$B$40)</f>
        <v/>
      </c>
      <c r="C58" s="69" t="n"/>
      <c r="D58" s="69" t="n"/>
      <c r="E58" s="59">
        <f>N('[23]سجل المستخلصات'!$E$40)</f>
        <v/>
      </c>
      <c r="F58" s="59">
        <f>N('[23]سجل المستخلصات'!$F$40)</f>
        <v/>
      </c>
      <c r="G58" s="70">
        <f>IF(E58&gt;0,F58/E58,0)</f>
        <v/>
      </c>
    </row>
    <row r="59">
      <c r="B59" s="69">
        <f>IF('[23]سجل المستخلصات'!$B$41="","",'[23]سجل المستخلصات'!$B$41)</f>
        <v/>
      </c>
      <c r="C59" s="69" t="n"/>
      <c r="D59" s="69" t="n"/>
      <c r="E59" s="59">
        <f>N('[23]سجل المستخلصات'!$E$41)</f>
        <v/>
      </c>
      <c r="F59" s="59">
        <f>N('[23]سجل المستخلصات'!$F$41)</f>
        <v/>
      </c>
      <c r="G59" s="70">
        <f>IF(E59&gt;0,F59/E59,0)</f>
        <v/>
      </c>
    </row>
    <row r="60">
      <c r="B60" s="69">
        <f>IF('[23]سجل المستخلصات'!$B$42="","",'[23]سجل المستخلصات'!$B$42)</f>
        <v/>
      </c>
      <c r="C60" s="69" t="n"/>
      <c r="D60" s="69" t="n"/>
      <c r="E60" s="59">
        <f>N('[23]سجل المستخلصات'!$E$42)</f>
        <v/>
      </c>
      <c r="F60" s="59">
        <f>N('[23]سجل المستخلصات'!$F$42)</f>
        <v/>
      </c>
      <c r="G60" s="70">
        <f>IF(E60&gt;0,F60/E60,0)</f>
        <v/>
      </c>
    </row>
    <row r="61">
      <c r="B61" s="69">
        <f>IF('[23]سجل المستخلصات'!$B$43="","",'[23]سجل المستخلصات'!$B$43)</f>
        <v/>
      </c>
      <c r="C61" s="69" t="n"/>
      <c r="D61" s="69" t="n"/>
      <c r="E61" s="59">
        <f>N('[23]سجل المستخلصات'!$E$43)</f>
        <v/>
      </c>
      <c r="F61" s="59">
        <f>N('[23]سجل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22'!A1" display="◄ المشروع السابق"/>
    <hyperlink ref="D3" location="'مشروع 24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"&amp;IF('[24]بيانات العقد'!$C$5="","مشروع رقم 24 — غير مُفعّل",'[24]بيانات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Project_24/IPC_Project_24.xlsx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IF('[24]بيانات العقد'!$C$5="","",'[24]بيانات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IF('[24]بيانات العقد'!$C$6="","",'[24]بيانات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IF('[24]بيانات العقد'!$C$7="","",'[24]بيانات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IF('[24]بيانات العقد'!$C$8="","",'[24]بيانات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N('[24]بيانات العقد'!$C$16)</f>
        <v/>
      </c>
    </row>
    <row r="6" ht="22" customHeight="1">
      <c r="B6" s="11" t="inlineStr">
        <is>
          <t>المقاول</t>
        </is>
      </c>
      <c r="C6" s="14">
        <f>IF('[24]بيانات العقد'!$C$9="","",'[24]بيانات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IF('[24]بيانات العقد'!$C$11="","",'[24]بيانات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IF('[24]بيانات العقد'!$C$13="","",'[24]بيانات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IF('[24]بيانات العقد'!$C$14="","",'[24]بيانات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N('[24]بيانات العقد'!$C$17)</f>
        <v/>
      </c>
    </row>
    <row r="7">
      <c r="AA7" s="15" t="inlineStr">
        <is>
          <t>قيمة العقد المعدلة</t>
        </is>
      </c>
      <c r="AB7" s="16">
        <f>N('[24]بيانات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N('[24]بيانات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N('[24]بيانات العقد'!$C$21)</f>
        <v/>
      </c>
    </row>
    <row r="10">
      <c r="AA10" s="15" t="inlineStr">
        <is>
          <t>نسبة ضمان الأعمال</t>
        </is>
      </c>
      <c r="AB10" s="23">
        <f>N('[24]بيانات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N('[24]بيانات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N('[24]بيانات العقد'!$C$31)</f>
        <v/>
      </c>
    </row>
    <row r="13">
      <c r="AA13" s="15" t="inlineStr">
        <is>
          <t>ضريبة الاستقطاع (غير المقيم)</t>
        </is>
      </c>
      <c r="AB13" s="23">
        <f>N('[24]بيانات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IF('[24]بيانات العقد'!$C$11="","",'[24]بيانات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IF('[24]بيانات العقد'!$C$13="","",'[24]بيانات العقد'!$C$13)</f>
        <v/>
      </c>
    </row>
    <row r="16">
      <c r="AA16" s="15" t="inlineStr">
        <is>
          <t>المدة (شهر)</t>
        </is>
      </c>
      <c r="AB16" s="43">
        <f>IF('[24]بيانات العقد'!$C$12="","",'[24]بيانات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IF('[24]بيانات العقد'!$C$36="","",'[24]بيانات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IF('[24]بيانات العقد'!$C$37="","",'[24]بيانات العقد'!$C$37)</f>
        <v/>
      </c>
    </row>
    <row r="19">
      <c r="AA19" s="15" t="inlineStr">
        <is>
          <t>الرقم الضريبي لصاحب العمل</t>
        </is>
      </c>
      <c r="AB19" s="48">
        <f>IF('[24]بيانات العقد'!$C$39="","",'[24]بيانات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IF('[24]بيانات العقد'!$C$42="","",'[24]بيانات العقد'!$C$42)</f>
        <v/>
      </c>
    </row>
    <row r="21" ht="32" customHeight="1">
      <c r="B21" s="50">
        <f>N('[24]الموازنة والتكاليف'!$D$66)</f>
        <v/>
      </c>
      <c r="C21" s="50" t="n"/>
      <c r="D21" s="50" t="n"/>
      <c r="E21" s="50" t="n"/>
      <c r="F21" s="50">
        <f>N('[24]الموازنة والتكاليف'!$D$70)</f>
        <v/>
      </c>
      <c r="G21" s="50" t="n"/>
      <c r="H21" s="50" t="n"/>
      <c r="I21" s="50" t="n"/>
      <c r="J21" s="50">
        <f>N('[24]الموازنة والتكاليف'!$D$72)</f>
        <v/>
      </c>
      <c r="K21" s="50" t="n"/>
      <c r="L21" s="50" t="n"/>
      <c r="M21" s="50" t="n"/>
      <c r="N21" s="51">
        <f>N('[24]الموازنة والتكاليف'!$D$73)</f>
        <v/>
      </c>
      <c r="O21" s="51" t="n"/>
      <c r="P21" s="51" t="n"/>
      <c r="Q21" s="51" t="n"/>
      <c r="R21" s="52">
        <f>N('[24]الموازنة والتكاليف'!$D$74)</f>
        <v/>
      </c>
      <c r="S21" s="52" t="n"/>
      <c r="T21" s="52" t="n"/>
      <c r="U21" s="52" t="n"/>
      <c r="V21" s="50">
        <f>N('[24]الموازنة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IF('[24]بيانات العقد'!$C$43="","",'[24]بيانات العقد'!$C$43)</f>
        <v/>
      </c>
    </row>
    <row r="22">
      <c r="AA22" s="15" t="inlineStr">
        <is>
          <t>حالة غرامات التأخير</t>
        </is>
      </c>
      <c r="AB22" s="45">
        <f>IF('[24]بيانات العقد'!$C$47="","",'[24]بيانات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IF('[24]سجل المستخلصات'!$C$6="","",'[24]سجل المستخلصات'!$C$6)</f>
        <v/>
      </c>
      <c r="D25" s="57">
        <f>IF('[24]سجل المستخلصات'!$E$6="","",'[24]سجل المستخلصات'!$E$6)</f>
        <v/>
      </c>
      <c r="E25" s="58">
        <f>IF('[24]سجل المستخلصات'!$F$6="","",'[24]سجل المستخلصات'!$F$6)</f>
        <v/>
      </c>
      <c r="F25" s="59">
        <f>IF('[24]سجل المستخلصات'!$H$6="","",'[24]سجل المستخلصات'!$H$6)</f>
        <v/>
      </c>
      <c r="G25" s="59">
        <f>IF('[24]سجل المستخلصات'!$G$6="","",'[24]سجل المستخلصات'!$G$6)</f>
        <v/>
      </c>
      <c r="H25" s="59">
        <f>IF('[24]سجل المستخلصات'!$I$6="","",'[24]سجل المستخلصات'!$I$6)</f>
        <v/>
      </c>
      <c r="I25" s="59">
        <f>IF('[24]سجل المستخلصات'!$J$6="","",'[24]سجل المستخلصات'!$J$6)</f>
        <v/>
      </c>
      <c r="J25" s="59">
        <f>IF('[24]سجل المستخلصات'!$K$6="","",'[24]سجل المستخلصات'!$K$6)</f>
        <v/>
      </c>
      <c r="K25" s="60">
        <f>IF('[24]سجل المستخلصات'!$L$6="","",'[24]سجل المستخلصات'!$L$6)</f>
        <v/>
      </c>
      <c r="L25" s="60">
        <f>IF('[24]سجل المستخلصات'!$M$6="","",'[24]سجل المستخلصات'!$M$6)</f>
        <v/>
      </c>
      <c r="M25" s="60">
        <f>IF('[24]سجل المستخلصات'!$N$6="","",'[24]سجل المستخلصات'!$N$6)</f>
        <v/>
      </c>
      <c r="N25" s="59">
        <f>IF('[24]سجل المستخلصات'!$O$6="","",'[24]سجل المستخلصات'!$O$6)</f>
        <v/>
      </c>
      <c r="O25" s="59">
        <f>IF('[24]سجل المستخلصات'!$R$6="","",'[24]سجل المستخلصات'!$R$6)</f>
        <v/>
      </c>
      <c r="P25" s="59">
        <f>IF('[24]سجل المستخلصات'!$S$6="","",'[24]سجل المستخلصات'!$S$6)</f>
        <v/>
      </c>
      <c r="Q25" s="59">
        <f>IF('[24]سجل المستخلصات'!$T$6="","",'[24]سجل المستخلصات'!$T$6)</f>
        <v/>
      </c>
      <c r="R25" s="59">
        <f>IF('[24]سجل المستخلصات'!$V$6="","",'[24]سجل المستخلصات'!$V$6)</f>
        <v/>
      </c>
      <c r="S25" s="59">
        <f>IF('[24]سجل المستخلصات'!$W$6="","",'[24]سجل المستخلصات'!$W$6)</f>
        <v/>
      </c>
      <c r="T25" s="61">
        <f>IF('[24]سجل المستخلصات'!$X$6="","",'[24]سجل المستخلصات'!$X$6)</f>
        <v/>
      </c>
      <c r="U25" s="61">
        <f>IF('[24]سجل المستخلصات'!$Z$6="","",'[24]سجل المستخلصات'!$Z$6)</f>
        <v/>
      </c>
      <c r="V25" s="59">
        <f>IF('[24]سجل المستخلصات'!$AA$6="","",'[24]سجل المستخلصات'!$AA$6)</f>
        <v/>
      </c>
      <c r="W25" s="59">
        <f>IF('[24]سجل المستخلصات'!$AC$6="","",'[24]سجل المستخلصات'!$AC$6)</f>
        <v/>
      </c>
      <c r="X25" s="62">
        <f>IF('[24]سجل المستخلصات'!$AD$6="","",'[24]سجل المستخلصات'!$AD$6)</f>
        <v/>
      </c>
      <c r="Y25" s="58">
        <f>IF('[24]سجل المستخلصات'!$AE$6="","",'[24]سجل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IF('[24]سجل المستخلصات'!$C$7="","",'[24]سجل المستخلصات'!$C$7)</f>
        <v/>
      </c>
      <c r="D26" s="57">
        <f>IF('[24]سجل المستخلصات'!$E$7="","",'[24]سجل المستخلصات'!$E$7)</f>
        <v/>
      </c>
      <c r="E26" s="58">
        <f>IF('[24]سجل المستخلصات'!$F$7="","",'[24]سجل المستخلصات'!$F$7)</f>
        <v/>
      </c>
      <c r="F26" s="59">
        <f>IF('[24]سجل المستخلصات'!$H$7="","",'[24]سجل المستخلصات'!$H$7)</f>
        <v/>
      </c>
      <c r="G26" s="59">
        <f>IF('[24]سجل المستخلصات'!$G$7="","",'[24]سجل المستخلصات'!$G$7)</f>
        <v/>
      </c>
      <c r="H26" s="59">
        <f>IF('[24]سجل المستخلصات'!$I$7="","",'[24]سجل المستخلصات'!$I$7)</f>
        <v/>
      </c>
      <c r="I26" s="59">
        <f>IF('[24]سجل المستخلصات'!$J$7="","",'[24]سجل المستخلصات'!$J$7)</f>
        <v/>
      </c>
      <c r="J26" s="59">
        <f>IF('[24]سجل المستخلصات'!$K$7="","",'[24]سجل المستخلصات'!$K$7)</f>
        <v/>
      </c>
      <c r="K26" s="60">
        <f>IF('[24]سجل المستخلصات'!$L$7="","",'[24]سجل المستخلصات'!$L$7)</f>
        <v/>
      </c>
      <c r="L26" s="60">
        <f>IF('[24]سجل المستخلصات'!$M$7="","",'[24]سجل المستخلصات'!$M$7)</f>
        <v/>
      </c>
      <c r="M26" s="60">
        <f>IF('[24]سجل المستخلصات'!$N$7="","",'[24]سجل المستخلصات'!$N$7)</f>
        <v/>
      </c>
      <c r="N26" s="59">
        <f>IF('[24]سجل المستخلصات'!$O$7="","",'[24]سجل المستخلصات'!$O$7)</f>
        <v/>
      </c>
      <c r="O26" s="59">
        <f>IF('[24]سجل المستخلصات'!$R$7="","",'[24]سجل المستخلصات'!$R$7)</f>
        <v/>
      </c>
      <c r="P26" s="59">
        <f>IF('[24]سجل المستخلصات'!$S$7="","",'[24]سجل المستخلصات'!$S$7)</f>
        <v/>
      </c>
      <c r="Q26" s="59">
        <f>IF('[24]سجل المستخلصات'!$T$7="","",'[24]سجل المستخلصات'!$T$7)</f>
        <v/>
      </c>
      <c r="R26" s="59">
        <f>IF('[24]سجل المستخلصات'!$V$7="","",'[24]سجل المستخلصات'!$V$7)</f>
        <v/>
      </c>
      <c r="S26" s="59">
        <f>IF('[24]سجل المستخلصات'!$W$7="","",'[24]سجل المستخلصات'!$W$7)</f>
        <v/>
      </c>
      <c r="T26" s="61">
        <f>IF('[24]سجل المستخلصات'!$X$7="","",'[24]سجل المستخلصات'!$X$7)</f>
        <v/>
      </c>
      <c r="U26" s="61">
        <f>IF('[24]سجل المستخلصات'!$Z$7="","",'[24]سجل المستخلصات'!$Z$7)</f>
        <v/>
      </c>
      <c r="V26" s="59">
        <f>IF('[24]سجل المستخلصات'!$AA$7="","",'[24]سجل المستخلصات'!$AA$7)</f>
        <v/>
      </c>
      <c r="W26" s="59">
        <f>IF('[24]سجل المستخلصات'!$AC$7="","",'[24]سجل المستخلصات'!$AC$7)</f>
        <v/>
      </c>
      <c r="X26" s="62">
        <f>IF('[24]سجل المستخلصات'!$AD$7="","",'[24]سجل المستخلصات'!$AD$7)</f>
        <v/>
      </c>
      <c r="Y26" s="58">
        <f>IF('[24]سجل المستخلصات'!$AE$7="","",'[24]سجل المستخلصات'!$AE$7)</f>
        <v/>
      </c>
      <c r="AA26" s="63" t="n"/>
      <c r="AB26" s="63" t="n"/>
    </row>
    <row r="27">
      <c r="B27" s="56" t="n">
        <v>3</v>
      </c>
      <c r="C27" s="57">
        <f>IF('[24]سجل المستخلصات'!$C$8="","",'[24]سجل المستخلصات'!$C$8)</f>
        <v/>
      </c>
      <c r="D27" s="57">
        <f>IF('[24]سجل المستخلصات'!$E$8="","",'[24]سجل المستخلصات'!$E$8)</f>
        <v/>
      </c>
      <c r="E27" s="58">
        <f>IF('[24]سجل المستخلصات'!$F$8="","",'[24]سجل المستخلصات'!$F$8)</f>
        <v/>
      </c>
      <c r="F27" s="59">
        <f>IF('[24]سجل المستخلصات'!$H$8="","",'[24]سجل المستخلصات'!$H$8)</f>
        <v/>
      </c>
      <c r="G27" s="59">
        <f>IF('[24]سجل المستخلصات'!$G$8="","",'[24]سجل المستخلصات'!$G$8)</f>
        <v/>
      </c>
      <c r="H27" s="59">
        <f>IF('[24]سجل المستخلصات'!$I$8="","",'[24]سجل المستخلصات'!$I$8)</f>
        <v/>
      </c>
      <c r="I27" s="59">
        <f>IF('[24]سجل المستخلصات'!$J$8="","",'[24]سجل المستخلصات'!$J$8)</f>
        <v/>
      </c>
      <c r="J27" s="59">
        <f>IF('[24]سجل المستخلصات'!$K$8="","",'[24]سجل المستخلصات'!$K$8)</f>
        <v/>
      </c>
      <c r="K27" s="60">
        <f>IF('[24]سجل المستخلصات'!$L$8="","",'[24]سجل المستخلصات'!$L$8)</f>
        <v/>
      </c>
      <c r="L27" s="60">
        <f>IF('[24]سجل المستخلصات'!$M$8="","",'[24]سجل المستخلصات'!$M$8)</f>
        <v/>
      </c>
      <c r="M27" s="60">
        <f>IF('[24]سجل المستخلصات'!$N$8="","",'[24]سجل المستخلصات'!$N$8)</f>
        <v/>
      </c>
      <c r="N27" s="59">
        <f>IF('[24]سجل المستخلصات'!$O$8="","",'[24]سجل المستخلصات'!$O$8)</f>
        <v/>
      </c>
      <c r="O27" s="59">
        <f>IF('[24]سجل المستخلصات'!$R$8="","",'[24]سجل المستخلصات'!$R$8)</f>
        <v/>
      </c>
      <c r="P27" s="59">
        <f>IF('[24]سجل المستخلصات'!$S$8="","",'[24]سجل المستخلصات'!$S$8)</f>
        <v/>
      </c>
      <c r="Q27" s="59">
        <f>IF('[24]سجل المستخلصات'!$T$8="","",'[24]سجل المستخلصات'!$T$8)</f>
        <v/>
      </c>
      <c r="R27" s="59">
        <f>IF('[24]سجل المستخلصات'!$V$8="","",'[24]سجل المستخلصات'!$V$8)</f>
        <v/>
      </c>
      <c r="S27" s="59">
        <f>IF('[24]سجل المستخلصات'!$W$8="","",'[24]سجل المستخلصات'!$W$8)</f>
        <v/>
      </c>
      <c r="T27" s="61">
        <f>IF('[24]سجل المستخلصات'!$X$8="","",'[24]سجل المستخلصات'!$X$8)</f>
        <v/>
      </c>
      <c r="U27" s="61">
        <f>IF('[24]سجل المستخلصات'!$Z$8="","",'[24]سجل المستخلصات'!$Z$8)</f>
        <v/>
      </c>
      <c r="V27" s="59">
        <f>IF('[24]سجل المستخلصات'!$AA$8="","",'[24]سجل المستخلصات'!$AA$8)</f>
        <v/>
      </c>
      <c r="W27" s="59">
        <f>IF('[24]سجل المستخلصات'!$AC$8="","",'[24]سجل المستخلصات'!$AC$8)</f>
        <v/>
      </c>
      <c r="X27" s="62">
        <f>IF('[24]سجل المستخلصات'!$AD$8="","",'[24]سجل المستخلصات'!$AD$8)</f>
        <v/>
      </c>
      <c r="Y27" s="58">
        <f>IF('[24]سجل المستخلصات'!$AE$8="","",'[24]سجل المستخلصات'!$AE$8)</f>
        <v/>
      </c>
      <c r="AA27" s="63" t="n"/>
      <c r="AB27" s="63" t="n"/>
    </row>
    <row r="28">
      <c r="B28" s="56" t="n">
        <v>4</v>
      </c>
      <c r="C28" s="57">
        <f>IF('[24]سجل المستخلصات'!$C$9="","",'[24]سجل المستخلصات'!$C$9)</f>
        <v/>
      </c>
      <c r="D28" s="57">
        <f>IF('[24]سجل المستخلصات'!$E$9="","",'[24]سجل المستخلصات'!$E$9)</f>
        <v/>
      </c>
      <c r="E28" s="58">
        <f>IF('[24]سجل المستخلصات'!$F$9="","",'[24]سجل المستخلصات'!$F$9)</f>
        <v/>
      </c>
      <c r="F28" s="59">
        <f>IF('[24]سجل المستخلصات'!$H$9="","",'[24]سجل المستخلصات'!$H$9)</f>
        <v/>
      </c>
      <c r="G28" s="59">
        <f>IF('[24]سجل المستخلصات'!$G$9="","",'[24]سجل المستخلصات'!$G$9)</f>
        <v/>
      </c>
      <c r="H28" s="59">
        <f>IF('[24]سجل المستخلصات'!$I$9="","",'[24]سجل المستخلصات'!$I$9)</f>
        <v/>
      </c>
      <c r="I28" s="59">
        <f>IF('[24]سجل المستخلصات'!$J$9="","",'[24]سجل المستخلصات'!$J$9)</f>
        <v/>
      </c>
      <c r="J28" s="59">
        <f>IF('[24]سجل المستخلصات'!$K$9="","",'[24]سجل المستخلصات'!$K$9)</f>
        <v/>
      </c>
      <c r="K28" s="60">
        <f>IF('[24]سجل المستخلصات'!$L$9="","",'[24]سجل المستخلصات'!$L$9)</f>
        <v/>
      </c>
      <c r="L28" s="60">
        <f>IF('[24]سجل المستخلصات'!$M$9="","",'[24]سجل المستخلصات'!$M$9)</f>
        <v/>
      </c>
      <c r="M28" s="60">
        <f>IF('[24]سجل المستخلصات'!$N$9="","",'[24]سجل المستخلصات'!$N$9)</f>
        <v/>
      </c>
      <c r="N28" s="59">
        <f>IF('[24]سجل المستخلصات'!$O$9="","",'[24]سجل المستخلصات'!$O$9)</f>
        <v/>
      </c>
      <c r="O28" s="59">
        <f>IF('[24]سجل المستخلصات'!$R$9="","",'[24]سجل المستخلصات'!$R$9)</f>
        <v/>
      </c>
      <c r="P28" s="59">
        <f>IF('[24]سجل المستخلصات'!$S$9="","",'[24]سجل المستخلصات'!$S$9)</f>
        <v/>
      </c>
      <c r="Q28" s="59">
        <f>IF('[24]سجل المستخلصات'!$T$9="","",'[24]سجل المستخلصات'!$T$9)</f>
        <v/>
      </c>
      <c r="R28" s="59">
        <f>IF('[24]سجل المستخلصات'!$V$9="","",'[24]سجل المستخلصات'!$V$9)</f>
        <v/>
      </c>
      <c r="S28" s="59">
        <f>IF('[24]سجل المستخلصات'!$W$9="","",'[24]سجل المستخلصات'!$W$9)</f>
        <v/>
      </c>
      <c r="T28" s="61">
        <f>IF('[24]سجل المستخلصات'!$X$9="","",'[24]سجل المستخلصات'!$X$9)</f>
        <v/>
      </c>
      <c r="U28" s="61">
        <f>IF('[24]سجل المستخلصات'!$Z$9="","",'[24]سجل المستخلصات'!$Z$9)</f>
        <v/>
      </c>
      <c r="V28" s="59">
        <f>IF('[24]سجل المستخلصات'!$AA$9="","",'[24]سجل المستخلصات'!$AA$9)</f>
        <v/>
      </c>
      <c r="W28" s="59">
        <f>IF('[24]سجل المستخلصات'!$AC$9="","",'[24]سجل المستخلصات'!$AC$9)</f>
        <v/>
      </c>
      <c r="X28" s="62">
        <f>IF('[24]سجل المستخلصات'!$AD$9="","",'[24]سجل المستخلصات'!$AD$9)</f>
        <v/>
      </c>
      <c r="Y28" s="58">
        <f>IF('[24]سجل المستخلصات'!$AE$9="","",'[24]سجل المستخلصات'!$AE$9)</f>
        <v/>
      </c>
      <c r="AA28" s="63" t="n"/>
      <c r="AB28" s="63" t="n"/>
    </row>
    <row r="29">
      <c r="B29" s="56" t="n">
        <v>5</v>
      </c>
      <c r="C29" s="57">
        <f>IF('[24]سجل المستخلصات'!$C$10="","",'[24]سجل المستخلصات'!$C$10)</f>
        <v/>
      </c>
      <c r="D29" s="57">
        <f>IF('[24]سجل المستخلصات'!$E$10="","",'[24]سجل المستخلصات'!$E$10)</f>
        <v/>
      </c>
      <c r="E29" s="58">
        <f>IF('[24]سجل المستخلصات'!$F$10="","",'[24]سجل المستخلصات'!$F$10)</f>
        <v/>
      </c>
      <c r="F29" s="59">
        <f>IF('[24]سجل المستخلصات'!$H$10="","",'[24]سجل المستخلصات'!$H$10)</f>
        <v/>
      </c>
      <c r="G29" s="59">
        <f>IF('[24]سجل المستخلصات'!$G$10="","",'[24]سجل المستخلصات'!$G$10)</f>
        <v/>
      </c>
      <c r="H29" s="59">
        <f>IF('[24]سجل المستخلصات'!$I$10="","",'[24]سجل المستخلصات'!$I$10)</f>
        <v/>
      </c>
      <c r="I29" s="59">
        <f>IF('[24]سجل المستخلصات'!$J$10="","",'[24]سجل المستخلصات'!$J$10)</f>
        <v/>
      </c>
      <c r="J29" s="59">
        <f>IF('[24]سجل المستخلصات'!$K$10="","",'[24]سجل المستخلصات'!$K$10)</f>
        <v/>
      </c>
      <c r="K29" s="60">
        <f>IF('[24]سجل المستخلصات'!$L$10="","",'[24]سجل المستخلصات'!$L$10)</f>
        <v/>
      </c>
      <c r="L29" s="60">
        <f>IF('[24]سجل المستخلصات'!$M$10="","",'[24]سجل المستخلصات'!$M$10)</f>
        <v/>
      </c>
      <c r="M29" s="60">
        <f>IF('[24]سجل المستخلصات'!$N$10="","",'[24]سجل المستخلصات'!$N$10)</f>
        <v/>
      </c>
      <c r="N29" s="59">
        <f>IF('[24]سجل المستخلصات'!$O$10="","",'[24]سجل المستخلصات'!$O$10)</f>
        <v/>
      </c>
      <c r="O29" s="59">
        <f>IF('[24]سجل المستخلصات'!$R$10="","",'[24]سجل المستخلصات'!$R$10)</f>
        <v/>
      </c>
      <c r="P29" s="59">
        <f>IF('[24]سجل المستخلصات'!$S$10="","",'[24]سجل المستخلصات'!$S$10)</f>
        <v/>
      </c>
      <c r="Q29" s="59">
        <f>IF('[24]سجل المستخلصات'!$T$10="","",'[24]سجل المستخلصات'!$T$10)</f>
        <v/>
      </c>
      <c r="R29" s="59">
        <f>IF('[24]سجل المستخلصات'!$V$10="","",'[24]سجل المستخلصات'!$V$10)</f>
        <v/>
      </c>
      <c r="S29" s="59">
        <f>IF('[24]سجل المستخلصات'!$W$10="","",'[24]سجل المستخلصات'!$W$10)</f>
        <v/>
      </c>
      <c r="T29" s="61">
        <f>IF('[24]سجل المستخلصات'!$X$10="","",'[24]سجل المستخلصات'!$X$10)</f>
        <v/>
      </c>
      <c r="U29" s="61">
        <f>IF('[24]سجل المستخلصات'!$Z$10="","",'[24]سجل المستخلصات'!$Z$10)</f>
        <v/>
      </c>
      <c r="V29" s="59">
        <f>IF('[24]سجل المستخلصات'!$AA$10="","",'[24]سجل المستخلصات'!$AA$10)</f>
        <v/>
      </c>
      <c r="W29" s="59">
        <f>IF('[24]سجل المستخلصات'!$AC$10="","",'[24]سجل المستخلصات'!$AC$10)</f>
        <v/>
      </c>
      <c r="X29" s="62">
        <f>IF('[24]سجل المستخلصات'!$AD$10="","",'[24]سجل المستخلصات'!$AD$10)</f>
        <v/>
      </c>
      <c r="Y29" s="58">
        <f>IF('[24]سجل المستخلصات'!$AE$10="","",'[24]سجل المستخلصات'!$AE$10)</f>
        <v/>
      </c>
    </row>
    <row r="30">
      <c r="B30" s="56" t="n">
        <v>6</v>
      </c>
      <c r="C30" s="57">
        <f>IF('[24]سجل المستخلصات'!$C$11="","",'[24]سجل المستخلصات'!$C$11)</f>
        <v/>
      </c>
      <c r="D30" s="57">
        <f>IF('[24]سجل المستخلصات'!$E$11="","",'[24]سجل المستخلصات'!$E$11)</f>
        <v/>
      </c>
      <c r="E30" s="58">
        <f>IF('[24]سجل المستخلصات'!$F$11="","",'[24]سجل المستخلصات'!$F$11)</f>
        <v/>
      </c>
      <c r="F30" s="59">
        <f>IF('[24]سجل المستخلصات'!$H$11="","",'[24]سجل المستخلصات'!$H$11)</f>
        <v/>
      </c>
      <c r="G30" s="59">
        <f>IF('[24]سجل المستخلصات'!$G$11="","",'[24]سجل المستخلصات'!$G$11)</f>
        <v/>
      </c>
      <c r="H30" s="59">
        <f>IF('[24]سجل المستخلصات'!$I$11="","",'[24]سجل المستخلصات'!$I$11)</f>
        <v/>
      </c>
      <c r="I30" s="59">
        <f>IF('[24]سجل المستخلصات'!$J$11="","",'[24]سجل المستخلصات'!$J$11)</f>
        <v/>
      </c>
      <c r="J30" s="59">
        <f>IF('[24]سجل المستخلصات'!$K$11="","",'[24]سجل المستخلصات'!$K$11)</f>
        <v/>
      </c>
      <c r="K30" s="60">
        <f>IF('[24]سجل المستخلصات'!$L$11="","",'[24]سجل المستخلصات'!$L$11)</f>
        <v/>
      </c>
      <c r="L30" s="60">
        <f>IF('[24]سجل المستخلصات'!$M$11="","",'[24]سجل المستخلصات'!$M$11)</f>
        <v/>
      </c>
      <c r="M30" s="60">
        <f>IF('[24]سجل المستخلصات'!$N$11="","",'[24]سجل المستخلصات'!$N$11)</f>
        <v/>
      </c>
      <c r="N30" s="59">
        <f>IF('[24]سجل المستخلصات'!$O$11="","",'[24]سجل المستخلصات'!$O$11)</f>
        <v/>
      </c>
      <c r="O30" s="59">
        <f>IF('[24]سجل المستخلصات'!$R$11="","",'[24]سجل المستخلصات'!$R$11)</f>
        <v/>
      </c>
      <c r="P30" s="59">
        <f>IF('[24]سجل المستخلصات'!$S$11="","",'[24]سجل المستخلصات'!$S$11)</f>
        <v/>
      </c>
      <c r="Q30" s="59">
        <f>IF('[24]سجل المستخلصات'!$T$11="","",'[24]سجل المستخلصات'!$T$11)</f>
        <v/>
      </c>
      <c r="R30" s="59">
        <f>IF('[24]سجل المستخلصات'!$V$11="","",'[24]سجل المستخلصات'!$V$11)</f>
        <v/>
      </c>
      <c r="S30" s="59">
        <f>IF('[24]سجل المستخلصات'!$W$11="","",'[24]سجل المستخلصات'!$W$11)</f>
        <v/>
      </c>
      <c r="T30" s="61">
        <f>IF('[24]سجل المستخلصات'!$X$11="","",'[24]سجل المستخلصات'!$X$11)</f>
        <v/>
      </c>
      <c r="U30" s="61">
        <f>IF('[24]سجل المستخلصات'!$Z$11="","",'[24]سجل المستخلصات'!$Z$11)</f>
        <v/>
      </c>
      <c r="V30" s="59">
        <f>IF('[24]سجل المستخلصات'!$AA$11="","",'[24]سجل المستخلصات'!$AA$11)</f>
        <v/>
      </c>
      <c r="W30" s="59">
        <f>IF('[24]سجل المستخلصات'!$AC$11="","",'[24]سجل المستخلصات'!$AC$11)</f>
        <v/>
      </c>
      <c r="X30" s="62">
        <f>IF('[24]سجل المستخلصات'!$AD$11="","",'[24]سجل المستخلصات'!$AD$11)</f>
        <v/>
      </c>
      <c r="Y30" s="58">
        <f>IF('[24]سجل المستخلصات'!$AE$11="","",'[24]سجل المستخلصات'!$AE$11)</f>
        <v/>
      </c>
    </row>
    <row r="31">
      <c r="B31" s="56" t="n">
        <v>7</v>
      </c>
      <c r="C31" s="57">
        <f>IF('[24]سجل المستخلصات'!$C$12="","",'[24]سجل المستخلصات'!$C$12)</f>
        <v/>
      </c>
      <c r="D31" s="57">
        <f>IF('[24]سجل المستخلصات'!$E$12="","",'[24]سجل المستخلصات'!$E$12)</f>
        <v/>
      </c>
      <c r="E31" s="58">
        <f>IF('[24]سجل المستخلصات'!$F$12="","",'[24]سجل المستخلصات'!$F$12)</f>
        <v/>
      </c>
      <c r="F31" s="59">
        <f>IF('[24]سجل المستخلصات'!$H$12="","",'[24]سجل المستخلصات'!$H$12)</f>
        <v/>
      </c>
      <c r="G31" s="59">
        <f>IF('[24]سجل المستخلصات'!$G$12="","",'[24]سجل المستخلصات'!$G$12)</f>
        <v/>
      </c>
      <c r="H31" s="59">
        <f>IF('[24]سجل المستخلصات'!$I$12="","",'[24]سجل المستخلصات'!$I$12)</f>
        <v/>
      </c>
      <c r="I31" s="59">
        <f>IF('[24]سجل المستخلصات'!$J$12="","",'[24]سجل المستخلصات'!$J$12)</f>
        <v/>
      </c>
      <c r="J31" s="59">
        <f>IF('[24]سجل المستخلصات'!$K$12="","",'[24]سجل المستخلصات'!$K$12)</f>
        <v/>
      </c>
      <c r="K31" s="60">
        <f>IF('[24]سجل المستخلصات'!$L$12="","",'[24]سجل المستخلصات'!$L$12)</f>
        <v/>
      </c>
      <c r="L31" s="60">
        <f>IF('[24]سجل المستخلصات'!$M$12="","",'[24]سجل المستخلصات'!$M$12)</f>
        <v/>
      </c>
      <c r="M31" s="60">
        <f>IF('[24]سجل المستخلصات'!$N$12="","",'[24]سجل المستخلصات'!$N$12)</f>
        <v/>
      </c>
      <c r="N31" s="59">
        <f>IF('[24]سجل المستخلصات'!$O$12="","",'[24]سجل المستخلصات'!$O$12)</f>
        <v/>
      </c>
      <c r="O31" s="59">
        <f>IF('[24]سجل المستخلصات'!$R$12="","",'[24]سجل المستخلصات'!$R$12)</f>
        <v/>
      </c>
      <c r="P31" s="59">
        <f>IF('[24]سجل المستخلصات'!$S$12="","",'[24]سجل المستخلصات'!$S$12)</f>
        <v/>
      </c>
      <c r="Q31" s="59">
        <f>IF('[24]سجل المستخلصات'!$T$12="","",'[24]سجل المستخلصات'!$T$12)</f>
        <v/>
      </c>
      <c r="R31" s="59">
        <f>IF('[24]سجل المستخلصات'!$V$12="","",'[24]سجل المستخلصات'!$V$12)</f>
        <v/>
      </c>
      <c r="S31" s="59">
        <f>IF('[24]سجل المستخلصات'!$W$12="","",'[24]سجل المستخلصات'!$W$12)</f>
        <v/>
      </c>
      <c r="T31" s="61">
        <f>IF('[24]سجل المستخلصات'!$X$12="","",'[24]سجل المستخلصات'!$X$12)</f>
        <v/>
      </c>
      <c r="U31" s="61">
        <f>IF('[24]سجل المستخلصات'!$Z$12="","",'[24]سجل المستخلصات'!$Z$12)</f>
        <v/>
      </c>
      <c r="V31" s="59">
        <f>IF('[24]سجل المستخلصات'!$AA$12="","",'[24]سجل المستخلصات'!$AA$12)</f>
        <v/>
      </c>
      <c r="W31" s="59">
        <f>IF('[24]سجل المستخلصات'!$AC$12="","",'[24]سجل المستخلصات'!$AC$12)</f>
        <v/>
      </c>
      <c r="X31" s="62">
        <f>IF('[24]سجل المستخلصات'!$AD$12="","",'[24]سجل المستخلصات'!$AD$12)</f>
        <v/>
      </c>
      <c r="Y31" s="58">
        <f>IF('[24]سجل المستخلصات'!$AE$12="","",'[24]سجل المستخلصات'!$AE$12)</f>
        <v/>
      </c>
    </row>
    <row r="32">
      <c r="B32" s="56" t="n">
        <v>8</v>
      </c>
      <c r="C32" s="57">
        <f>IF('[24]سجل المستخلصات'!$C$13="","",'[24]سجل المستخلصات'!$C$13)</f>
        <v/>
      </c>
      <c r="D32" s="57">
        <f>IF('[24]سجل المستخلصات'!$E$13="","",'[24]سجل المستخلصات'!$E$13)</f>
        <v/>
      </c>
      <c r="E32" s="58">
        <f>IF('[24]سجل المستخلصات'!$F$13="","",'[24]سجل المستخلصات'!$F$13)</f>
        <v/>
      </c>
      <c r="F32" s="59">
        <f>IF('[24]سجل المستخلصات'!$H$13="","",'[24]سجل المستخلصات'!$H$13)</f>
        <v/>
      </c>
      <c r="G32" s="59">
        <f>IF('[24]سجل المستخلصات'!$G$13="","",'[24]سجل المستخلصات'!$G$13)</f>
        <v/>
      </c>
      <c r="H32" s="59">
        <f>IF('[24]سجل المستخلصات'!$I$13="","",'[24]سجل المستخلصات'!$I$13)</f>
        <v/>
      </c>
      <c r="I32" s="59">
        <f>IF('[24]سجل المستخلصات'!$J$13="","",'[24]سجل المستخلصات'!$J$13)</f>
        <v/>
      </c>
      <c r="J32" s="59">
        <f>IF('[24]سجل المستخلصات'!$K$13="","",'[24]سجل المستخلصات'!$K$13)</f>
        <v/>
      </c>
      <c r="K32" s="60">
        <f>IF('[24]سجل المستخلصات'!$L$13="","",'[24]سجل المستخلصات'!$L$13)</f>
        <v/>
      </c>
      <c r="L32" s="60">
        <f>IF('[24]سجل المستخلصات'!$M$13="","",'[24]سجل المستخلصات'!$M$13)</f>
        <v/>
      </c>
      <c r="M32" s="60">
        <f>IF('[24]سجل المستخلصات'!$N$13="","",'[24]سجل المستخلصات'!$N$13)</f>
        <v/>
      </c>
      <c r="N32" s="59">
        <f>IF('[24]سجل المستخلصات'!$O$13="","",'[24]سجل المستخلصات'!$O$13)</f>
        <v/>
      </c>
      <c r="O32" s="59">
        <f>IF('[24]سجل المستخلصات'!$R$13="","",'[24]سجل المستخلصات'!$R$13)</f>
        <v/>
      </c>
      <c r="P32" s="59">
        <f>IF('[24]سجل المستخلصات'!$S$13="","",'[24]سجل المستخلصات'!$S$13)</f>
        <v/>
      </c>
      <c r="Q32" s="59">
        <f>IF('[24]سجل المستخلصات'!$T$13="","",'[24]سجل المستخلصات'!$T$13)</f>
        <v/>
      </c>
      <c r="R32" s="59">
        <f>IF('[24]سجل المستخلصات'!$V$13="","",'[24]سجل المستخلصات'!$V$13)</f>
        <v/>
      </c>
      <c r="S32" s="59">
        <f>IF('[24]سجل المستخلصات'!$W$13="","",'[24]سجل المستخلصات'!$W$13)</f>
        <v/>
      </c>
      <c r="T32" s="61">
        <f>IF('[24]سجل المستخلصات'!$X$13="","",'[24]سجل المستخلصات'!$X$13)</f>
        <v/>
      </c>
      <c r="U32" s="61">
        <f>IF('[24]سجل المستخلصات'!$Z$13="","",'[24]سجل المستخلصات'!$Z$13)</f>
        <v/>
      </c>
      <c r="V32" s="59">
        <f>IF('[24]سجل المستخلصات'!$AA$13="","",'[24]سجل المستخلصات'!$AA$13)</f>
        <v/>
      </c>
      <c r="W32" s="59">
        <f>IF('[24]سجل المستخلصات'!$AC$13="","",'[24]سجل المستخلصات'!$AC$13)</f>
        <v/>
      </c>
      <c r="X32" s="62">
        <f>IF('[24]سجل المستخلصات'!$AD$13="","",'[24]سجل المستخلصات'!$AD$13)</f>
        <v/>
      </c>
      <c r="Y32" s="58">
        <f>IF('[24]سجل المستخلصات'!$AE$13="","",'[24]سجل المستخلصات'!$AE$13)</f>
        <v/>
      </c>
    </row>
    <row r="33">
      <c r="B33" s="56" t="n">
        <v>9</v>
      </c>
      <c r="C33" s="57">
        <f>IF('[24]سجل المستخلصات'!$C$14="","",'[24]سجل المستخلصات'!$C$14)</f>
        <v/>
      </c>
      <c r="D33" s="57">
        <f>IF('[24]سجل المستخلصات'!$E$14="","",'[24]سجل المستخلصات'!$E$14)</f>
        <v/>
      </c>
      <c r="E33" s="58">
        <f>IF('[24]سجل المستخلصات'!$F$14="","",'[24]سجل المستخلصات'!$F$14)</f>
        <v/>
      </c>
      <c r="F33" s="59">
        <f>IF('[24]سجل المستخلصات'!$H$14="","",'[24]سجل المستخلصات'!$H$14)</f>
        <v/>
      </c>
      <c r="G33" s="59">
        <f>IF('[24]سجل المستخلصات'!$G$14="","",'[24]سجل المستخلصات'!$G$14)</f>
        <v/>
      </c>
      <c r="H33" s="59">
        <f>IF('[24]سجل المستخلصات'!$I$14="","",'[24]سجل المستخلصات'!$I$14)</f>
        <v/>
      </c>
      <c r="I33" s="59">
        <f>IF('[24]سجل المستخلصات'!$J$14="","",'[24]سجل المستخلصات'!$J$14)</f>
        <v/>
      </c>
      <c r="J33" s="59">
        <f>IF('[24]سجل المستخلصات'!$K$14="","",'[24]سجل المستخلصات'!$K$14)</f>
        <v/>
      </c>
      <c r="K33" s="60">
        <f>IF('[24]سجل المستخلصات'!$L$14="","",'[24]سجل المستخلصات'!$L$14)</f>
        <v/>
      </c>
      <c r="L33" s="60">
        <f>IF('[24]سجل المستخلصات'!$M$14="","",'[24]سجل المستخلصات'!$M$14)</f>
        <v/>
      </c>
      <c r="M33" s="60">
        <f>IF('[24]سجل المستخلصات'!$N$14="","",'[24]سجل المستخلصات'!$N$14)</f>
        <v/>
      </c>
      <c r="N33" s="59">
        <f>IF('[24]سجل المستخلصات'!$O$14="","",'[24]سجل المستخلصات'!$O$14)</f>
        <v/>
      </c>
      <c r="O33" s="59">
        <f>IF('[24]سجل المستخلصات'!$R$14="","",'[24]سجل المستخلصات'!$R$14)</f>
        <v/>
      </c>
      <c r="P33" s="59">
        <f>IF('[24]سجل المستخلصات'!$S$14="","",'[24]سجل المستخلصات'!$S$14)</f>
        <v/>
      </c>
      <c r="Q33" s="59">
        <f>IF('[24]سجل المستخلصات'!$T$14="","",'[24]سجل المستخلصات'!$T$14)</f>
        <v/>
      </c>
      <c r="R33" s="59">
        <f>IF('[24]سجل المستخلصات'!$V$14="","",'[24]سجل المستخلصات'!$V$14)</f>
        <v/>
      </c>
      <c r="S33" s="59">
        <f>IF('[24]سجل المستخلصات'!$W$14="","",'[24]سجل المستخلصات'!$W$14)</f>
        <v/>
      </c>
      <c r="T33" s="61">
        <f>IF('[24]سجل المستخلصات'!$X$14="","",'[24]سجل المستخلصات'!$X$14)</f>
        <v/>
      </c>
      <c r="U33" s="61">
        <f>IF('[24]سجل المستخلصات'!$Z$14="","",'[24]سجل المستخلصات'!$Z$14)</f>
        <v/>
      </c>
      <c r="V33" s="59">
        <f>IF('[24]سجل المستخلصات'!$AA$14="","",'[24]سجل المستخلصات'!$AA$14)</f>
        <v/>
      </c>
      <c r="W33" s="59">
        <f>IF('[24]سجل المستخلصات'!$AC$14="","",'[24]سجل المستخلصات'!$AC$14)</f>
        <v/>
      </c>
      <c r="X33" s="62">
        <f>IF('[24]سجل المستخلصات'!$AD$14="","",'[24]سجل المستخلصات'!$AD$14)</f>
        <v/>
      </c>
      <c r="Y33" s="58">
        <f>IF('[24]سجل المستخلصات'!$AE$14="","",'[24]سجل المستخلصات'!$AE$14)</f>
        <v/>
      </c>
    </row>
    <row r="34">
      <c r="B34" s="56" t="n">
        <v>10</v>
      </c>
      <c r="C34" s="57">
        <f>IF('[24]سجل المستخلصات'!$C$15="","",'[24]سجل المستخلصات'!$C$15)</f>
        <v/>
      </c>
      <c r="D34" s="57">
        <f>IF('[24]سجل المستخلصات'!$E$15="","",'[24]سجل المستخلصات'!$E$15)</f>
        <v/>
      </c>
      <c r="E34" s="58">
        <f>IF('[24]سجل المستخلصات'!$F$15="","",'[24]سجل المستخلصات'!$F$15)</f>
        <v/>
      </c>
      <c r="F34" s="59">
        <f>IF('[24]سجل المستخلصات'!$H$15="","",'[24]سجل المستخلصات'!$H$15)</f>
        <v/>
      </c>
      <c r="G34" s="59">
        <f>IF('[24]سجل المستخلصات'!$G$15="","",'[24]سجل المستخلصات'!$G$15)</f>
        <v/>
      </c>
      <c r="H34" s="59">
        <f>IF('[24]سجل المستخلصات'!$I$15="","",'[24]سجل المستخلصات'!$I$15)</f>
        <v/>
      </c>
      <c r="I34" s="59">
        <f>IF('[24]سجل المستخلصات'!$J$15="","",'[24]سجل المستخلصات'!$J$15)</f>
        <v/>
      </c>
      <c r="J34" s="59">
        <f>IF('[24]سجل المستخلصات'!$K$15="","",'[24]سجل المستخلصات'!$K$15)</f>
        <v/>
      </c>
      <c r="K34" s="60">
        <f>IF('[24]سجل المستخلصات'!$L$15="","",'[24]سجل المستخلصات'!$L$15)</f>
        <v/>
      </c>
      <c r="L34" s="60">
        <f>IF('[24]سجل المستخلصات'!$M$15="","",'[24]سجل المستخلصات'!$M$15)</f>
        <v/>
      </c>
      <c r="M34" s="60">
        <f>IF('[24]سجل المستخلصات'!$N$15="","",'[24]سجل المستخلصات'!$N$15)</f>
        <v/>
      </c>
      <c r="N34" s="59">
        <f>IF('[24]سجل المستخلصات'!$O$15="","",'[24]سجل المستخلصات'!$O$15)</f>
        <v/>
      </c>
      <c r="O34" s="59">
        <f>IF('[24]سجل المستخلصات'!$R$15="","",'[24]سجل المستخلصات'!$R$15)</f>
        <v/>
      </c>
      <c r="P34" s="59">
        <f>IF('[24]سجل المستخلصات'!$S$15="","",'[24]سجل المستخلصات'!$S$15)</f>
        <v/>
      </c>
      <c r="Q34" s="59">
        <f>IF('[24]سجل المستخلصات'!$T$15="","",'[24]سجل المستخلصات'!$T$15)</f>
        <v/>
      </c>
      <c r="R34" s="59">
        <f>IF('[24]سجل المستخلصات'!$V$15="","",'[24]سجل المستخلصات'!$V$15)</f>
        <v/>
      </c>
      <c r="S34" s="59">
        <f>IF('[24]سجل المستخلصات'!$W$15="","",'[24]سجل المستخلصات'!$W$15)</f>
        <v/>
      </c>
      <c r="T34" s="61">
        <f>IF('[24]سجل المستخلصات'!$X$15="","",'[24]سجل المستخلصات'!$X$15)</f>
        <v/>
      </c>
      <c r="U34" s="61">
        <f>IF('[24]سجل المستخلصات'!$Z$15="","",'[24]سجل المستخلصات'!$Z$15)</f>
        <v/>
      </c>
      <c r="V34" s="59">
        <f>IF('[24]سجل المستخلصات'!$AA$15="","",'[24]سجل المستخلصات'!$AA$15)</f>
        <v/>
      </c>
      <c r="W34" s="59">
        <f>IF('[24]سجل المستخلصات'!$AC$15="","",'[24]سجل المستخلصات'!$AC$15)</f>
        <v/>
      </c>
      <c r="X34" s="62">
        <f>IF('[24]سجل المستخلصات'!$AD$15="","",'[24]سجل المستخلصات'!$AD$15)</f>
        <v/>
      </c>
      <c r="Y34" s="58">
        <f>IF('[24]سجل المستخلصات'!$AE$15="","",'[24]سجل المستخلصات'!$AE$15)</f>
        <v/>
      </c>
    </row>
    <row r="35">
      <c r="B35" s="56" t="n">
        <v>11</v>
      </c>
      <c r="C35" s="57">
        <f>IF('[24]سجل المستخلصات'!$C$16="","",'[24]سجل المستخلصات'!$C$16)</f>
        <v/>
      </c>
      <c r="D35" s="57">
        <f>IF('[24]سجل المستخلصات'!$E$16="","",'[24]سجل المستخلصات'!$E$16)</f>
        <v/>
      </c>
      <c r="E35" s="58">
        <f>IF('[24]سجل المستخلصات'!$F$16="","",'[24]سجل المستخلصات'!$F$16)</f>
        <v/>
      </c>
      <c r="F35" s="59">
        <f>IF('[24]سجل المستخلصات'!$H$16="","",'[24]سجل المستخلصات'!$H$16)</f>
        <v/>
      </c>
      <c r="G35" s="59">
        <f>IF('[24]سجل المستخلصات'!$G$16="","",'[24]سجل المستخلصات'!$G$16)</f>
        <v/>
      </c>
      <c r="H35" s="59">
        <f>IF('[24]سجل المستخلصات'!$I$16="","",'[24]سجل المستخلصات'!$I$16)</f>
        <v/>
      </c>
      <c r="I35" s="59">
        <f>IF('[24]سجل المستخلصات'!$J$16="","",'[24]سجل المستخلصات'!$J$16)</f>
        <v/>
      </c>
      <c r="J35" s="59">
        <f>IF('[24]سجل المستخلصات'!$K$16="","",'[24]سجل المستخلصات'!$K$16)</f>
        <v/>
      </c>
      <c r="K35" s="60">
        <f>IF('[24]سجل المستخلصات'!$L$16="","",'[24]سجل المستخلصات'!$L$16)</f>
        <v/>
      </c>
      <c r="L35" s="60">
        <f>IF('[24]سجل المستخلصات'!$M$16="","",'[24]سجل المستخلصات'!$M$16)</f>
        <v/>
      </c>
      <c r="M35" s="60">
        <f>IF('[24]سجل المستخلصات'!$N$16="","",'[24]سجل المستخلصات'!$N$16)</f>
        <v/>
      </c>
      <c r="N35" s="59">
        <f>IF('[24]سجل المستخلصات'!$O$16="","",'[24]سجل المستخلصات'!$O$16)</f>
        <v/>
      </c>
      <c r="O35" s="59">
        <f>IF('[24]سجل المستخلصات'!$R$16="","",'[24]سجل المستخلصات'!$R$16)</f>
        <v/>
      </c>
      <c r="P35" s="59">
        <f>IF('[24]سجل المستخلصات'!$S$16="","",'[24]سجل المستخلصات'!$S$16)</f>
        <v/>
      </c>
      <c r="Q35" s="59">
        <f>IF('[24]سجل المستخلصات'!$T$16="","",'[24]سجل المستخلصات'!$T$16)</f>
        <v/>
      </c>
      <c r="R35" s="59">
        <f>IF('[24]سجل المستخلصات'!$V$16="","",'[24]سجل المستخلصات'!$V$16)</f>
        <v/>
      </c>
      <c r="S35" s="59">
        <f>IF('[24]سجل المستخلصات'!$W$16="","",'[24]سجل المستخلصات'!$W$16)</f>
        <v/>
      </c>
      <c r="T35" s="61">
        <f>IF('[24]سجل المستخلصات'!$X$16="","",'[24]سجل المستخلصات'!$X$16)</f>
        <v/>
      </c>
      <c r="U35" s="61">
        <f>IF('[24]سجل المستخلصات'!$Z$16="","",'[24]سجل المستخلصات'!$Z$16)</f>
        <v/>
      </c>
      <c r="V35" s="59">
        <f>IF('[24]سجل المستخلصات'!$AA$16="","",'[24]سجل المستخلصات'!$AA$16)</f>
        <v/>
      </c>
      <c r="W35" s="59">
        <f>IF('[24]سجل المستخلصات'!$AC$16="","",'[24]سجل المستخلصات'!$AC$16)</f>
        <v/>
      </c>
      <c r="X35" s="62">
        <f>IF('[24]سجل المستخلصات'!$AD$16="","",'[24]سجل المستخلصات'!$AD$16)</f>
        <v/>
      </c>
      <c r="Y35" s="58">
        <f>IF('[24]سجل المستخلصات'!$AE$16="","",'[24]سجل المستخلصات'!$AE$16)</f>
        <v/>
      </c>
    </row>
    <row r="36">
      <c r="B36" s="56" t="n">
        <v>12</v>
      </c>
      <c r="C36" s="57">
        <f>IF('[24]سجل المستخلصات'!$C$17="","",'[24]سجل المستخلصات'!$C$17)</f>
        <v/>
      </c>
      <c r="D36" s="57">
        <f>IF('[24]سجل المستخلصات'!$E$17="","",'[24]سجل المستخلصات'!$E$17)</f>
        <v/>
      </c>
      <c r="E36" s="58">
        <f>IF('[24]سجل المستخلصات'!$F$17="","",'[24]سجل المستخلصات'!$F$17)</f>
        <v/>
      </c>
      <c r="F36" s="59">
        <f>IF('[24]سجل المستخلصات'!$H$17="","",'[24]سجل المستخلصات'!$H$17)</f>
        <v/>
      </c>
      <c r="G36" s="59">
        <f>IF('[24]سجل المستخلصات'!$G$17="","",'[24]سجل المستخلصات'!$G$17)</f>
        <v/>
      </c>
      <c r="H36" s="59">
        <f>IF('[24]سجل المستخلصات'!$I$17="","",'[24]سجل المستخلصات'!$I$17)</f>
        <v/>
      </c>
      <c r="I36" s="59">
        <f>IF('[24]سجل المستخلصات'!$J$17="","",'[24]سجل المستخلصات'!$J$17)</f>
        <v/>
      </c>
      <c r="J36" s="59">
        <f>IF('[24]سجل المستخلصات'!$K$17="","",'[24]سجل المستخلصات'!$K$17)</f>
        <v/>
      </c>
      <c r="K36" s="60">
        <f>IF('[24]سجل المستخلصات'!$L$17="","",'[24]سجل المستخلصات'!$L$17)</f>
        <v/>
      </c>
      <c r="L36" s="60">
        <f>IF('[24]سجل المستخلصات'!$M$17="","",'[24]سجل المستخلصات'!$M$17)</f>
        <v/>
      </c>
      <c r="M36" s="60">
        <f>IF('[24]سجل المستخلصات'!$N$17="","",'[24]سجل المستخلصات'!$N$17)</f>
        <v/>
      </c>
      <c r="N36" s="59">
        <f>IF('[24]سجل المستخلصات'!$O$17="","",'[24]سجل المستخلصات'!$O$17)</f>
        <v/>
      </c>
      <c r="O36" s="59">
        <f>IF('[24]سجل المستخلصات'!$R$17="","",'[24]سجل المستخلصات'!$R$17)</f>
        <v/>
      </c>
      <c r="P36" s="59">
        <f>IF('[24]سجل المستخلصات'!$S$17="","",'[24]سجل المستخلصات'!$S$17)</f>
        <v/>
      </c>
      <c r="Q36" s="59">
        <f>IF('[24]سجل المستخلصات'!$T$17="","",'[24]سجل المستخلصات'!$T$17)</f>
        <v/>
      </c>
      <c r="R36" s="59">
        <f>IF('[24]سجل المستخلصات'!$V$17="","",'[24]سجل المستخلصات'!$V$17)</f>
        <v/>
      </c>
      <c r="S36" s="59">
        <f>IF('[24]سجل المستخلصات'!$W$17="","",'[24]سجل المستخلصات'!$W$17)</f>
        <v/>
      </c>
      <c r="T36" s="61">
        <f>IF('[24]سجل المستخلصات'!$X$17="","",'[24]سجل المستخلصات'!$X$17)</f>
        <v/>
      </c>
      <c r="U36" s="61">
        <f>IF('[24]سجل المستخلصات'!$Z$17="","",'[24]سجل المستخلصات'!$Z$17)</f>
        <v/>
      </c>
      <c r="V36" s="59">
        <f>IF('[24]سجل المستخلصات'!$AA$17="","",'[24]سجل المستخلصات'!$AA$17)</f>
        <v/>
      </c>
      <c r="W36" s="59">
        <f>IF('[24]سجل المستخلصات'!$AC$17="","",'[24]سجل المستخلصات'!$AC$17)</f>
        <v/>
      </c>
      <c r="X36" s="62">
        <f>IF('[24]سجل المستخلصات'!$AD$17="","",'[24]سجل المستخلصات'!$AD$17)</f>
        <v/>
      </c>
      <c r="Y36" s="58">
        <f>IF('[24]سجل المستخلصات'!$AE$17="","",'[24]سجل المستخلصات'!$AE$17)</f>
        <v/>
      </c>
    </row>
    <row r="37">
      <c r="B37" s="56" t="n">
        <v>13</v>
      </c>
      <c r="C37" s="57">
        <f>IF('[24]سجل المستخلصات'!$C$18="","",'[24]سجل المستخلصات'!$C$18)</f>
        <v/>
      </c>
      <c r="D37" s="57">
        <f>IF('[24]سجل المستخلصات'!$E$18="","",'[24]سجل المستخلصات'!$E$18)</f>
        <v/>
      </c>
      <c r="E37" s="58">
        <f>IF('[24]سجل المستخلصات'!$F$18="","",'[24]سجل المستخلصات'!$F$18)</f>
        <v/>
      </c>
      <c r="F37" s="59">
        <f>IF('[24]سجل المستخلصات'!$H$18="","",'[24]سجل المستخلصات'!$H$18)</f>
        <v/>
      </c>
      <c r="G37" s="59">
        <f>IF('[24]سجل المستخلصات'!$G$18="","",'[24]سجل المستخلصات'!$G$18)</f>
        <v/>
      </c>
      <c r="H37" s="59">
        <f>IF('[24]سجل المستخلصات'!$I$18="","",'[24]سجل المستخلصات'!$I$18)</f>
        <v/>
      </c>
      <c r="I37" s="59">
        <f>IF('[24]سجل المستخلصات'!$J$18="","",'[24]سجل المستخلصات'!$J$18)</f>
        <v/>
      </c>
      <c r="J37" s="59">
        <f>IF('[24]سجل المستخلصات'!$K$18="","",'[24]سجل المستخلصات'!$K$18)</f>
        <v/>
      </c>
      <c r="K37" s="60">
        <f>IF('[24]سجل المستخلصات'!$L$18="","",'[24]سجل المستخلصات'!$L$18)</f>
        <v/>
      </c>
      <c r="L37" s="60">
        <f>IF('[24]سجل المستخلصات'!$M$18="","",'[24]سجل المستخلصات'!$M$18)</f>
        <v/>
      </c>
      <c r="M37" s="60">
        <f>IF('[24]سجل المستخلصات'!$N$18="","",'[24]سجل المستخلصات'!$N$18)</f>
        <v/>
      </c>
      <c r="N37" s="59">
        <f>IF('[24]سجل المستخلصات'!$O$18="","",'[24]سجل المستخلصات'!$O$18)</f>
        <v/>
      </c>
      <c r="O37" s="59">
        <f>IF('[24]سجل المستخلصات'!$R$18="","",'[24]سجل المستخلصات'!$R$18)</f>
        <v/>
      </c>
      <c r="P37" s="59">
        <f>IF('[24]سجل المستخلصات'!$S$18="","",'[24]سجل المستخلصات'!$S$18)</f>
        <v/>
      </c>
      <c r="Q37" s="59">
        <f>IF('[24]سجل المستخلصات'!$T$18="","",'[24]سجل المستخلصات'!$T$18)</f>
        <v/>
      </c>
      <c r="R37" s="59">
        <f>IF('[24]سجل المستخلصات'!$V$18="","",'[24]سجل المستخلصات'!$V$18)</f>
        <v/>
      </c>
      <c r="S37" s="59">
        <f>IF('[24]سجل المستخلصات'!$W$18="","",'[24]سجل المستخلصات'!$W$18)</f>
        <v/>
      </c>
      <c r="T37" s="61">
        <f>IF('[24]سجل المستخلصات'!$X$18="","",'[24]سجل المستخلصات'!$X$18)</f>
        <v/>
      </c>
      <c r="U37" s="61">
        <f>IF('[24]سجل المستخلصات'!$Z$18="","",'[24]سجل المستخلصات'!$Z$18)</f>
        <v/>
      </c>
      <c r="V37" s="59">
        <f>IF('[24]سجل المستخلصات'!$AA$18="","",'[24]سجل المستخلصات'!$AA$18)</f>
        <v/>
      </c>
      <c r="W37" s="59">
        <f>IF('[24]سجل المستخلصات'!$AC$18="","",'[24]سجل المستخلصات'!$AC$18)</f>
        <v/>
      </c>
      <c r="X37" s="62">
        <f>IF('[24]سجل المستخلصات'!$AD$18="","",'[24]سجل المستخلصات'!$AD$18)</f>
        <v/>
      </c>
      <c r="Y37" s="58">
        <f>IF('[24]سجل المستخلصات'!$AE$18="","",'[24]سجل المستخلصات'!$AE$18)</f>
        <v/>
      </c>
    </row>
    <row r="38">
      <c r="B38" s="56" t="n">
        <v>14</v>
      </c>
      <c r="C38" s="57">
        <f>IF('[24]سجل المستخلصات'!$C$19="","",'[24]سجل المستخلصات'!$C$19)</f>
        <v/>
      </c>
      <c r="D38" s="57">
        <f>IF('[24]سجل المستخلصات'!$E$19="","",'[24]سجل المستخلصات'!$E$19)</f>
        <v/>
      </c>
      <c r="E38" s="58">
        <f>IF('[24]سجل المستخلصات'!$F$19="","",'[24]سجل المستخلصات'!$F$19)</f>
        <v/>
      </c>
      <c r="F38" s="59">
        <f>IF('[24]سجل المستخلصات'!$H$19="","",'[24]سجل المستخلصات'!$H$19)</f>
        <v/>
      </c>
      <c r="G38" s="59">
        <f>IF('[24]سجل المستخلصات'!$G$19="","",'[24]سجل المستخلصات'!$G$19)</f>
        <v/>
      </c>
      <c r="H38" s="59">
        <f>IF('[24]سجل المستخلصات'!$I$19="","",'[24]سجل المستخلصات'!$I$19)</f>
        <v/>
      </c>
      <c r="I38" s="59">
        <f>IF('[24]سجل المستخلصات'!$J$19="","",'[24]سجل المستخلصات'!$J$19)</f>
        <v/>
      </c>
      <c r="J38" s="59">
        <f>IF('[24]سجل المستخلصات'!$K$19="","",'[24]سجل المستخلصات'!$K$19)</f>
        <v/>
      </c>
      <c r="K38" s="60">
        <f>IF('[24]سجل المستخلصات'!$L$19="","",'[24]سجل المستخلصات'!$L$19)</f>
        <v/>
      </c>
      <c r="L38" s="60">
        <f>IF('[24]سجل المستخلصات'!$M$19="","",'[24]سجل المستخلصات'!$M$19)</f>
        <v/>
      </c>
      <c r="M38" s="60">
        <f>IF('[24]سجل المستخلصات'!$N$19="","",'[24]سجل المستخلصات'!$N$19)</f>
        <v/>
      </c>
      <c r="N38" s="59">
        <f>IF('[24]سجل المستخلصات'!$O$19="","",'[24]سجل المستخلصات'!$O$19)</f>
        <v/>
      </c>
      <c r="O38" s="59">
        <f>IF('[24]سجل المستخلصات'!$R$19="","",'[24]سجل المستخلصات'!$R$19)</f>
        <v/>
      </c>
      <c r="P38" s="59">
        <f>IF('[24]سجل المستخلصات'!$S$19="","",'[24]سجل المستخلصات'!$S$19)</f>
        <v/>
      </c>
      <c r="Q38" s="59">
        <f>IF('[24]سجل المستخلصات'!$T$19="","",'[24]سجل المستخلصات'!$T$19)</f>
        <v/>
      </c>
      <c r="R38" s="59">
        <f>IF('[24]سجل المستخلصات'!$V$19="","",'[24]سجل المستخلصات'!$V$19)</f>
        <v/>
      </c>
      <c r="S38" s="59">
        <f>IF('[24]سجل المستخلصات'!$W$19="","",'[24]سجل المستخلصات'!$W$19)</f>
        <v/>
      </c>
      <c r="T38" s="61">
        <f>IF('[24]سجل المستخلصات'!$X$19="","",'[24]سجل المستخلصات'!$X$19)</f>
        <v/>
      </c>
      <c r="U38" s="61">
        <f>IF('[24]سجل المستخلصات'!$Z$19="","",'[24]سجل المستخلصات'!$Z$19)</f>
        <v/>
      </c>
      <c r="V38" s="59">
        <f>IF('[24]سجل المستخلصات'!$AA$19="","",'[24]سجل المستخلصات'!$AA$19)</f>
        <v/>
      </c>
      <c r="W38" s="59">
        <f>IF('[24]سجل المستخلصات'!$AC$19="","",'[24]سجل المستخلصات'!$AC$19)</f>
        <v/>
      </c>
      <c r="X38" s="62">
        <f>IF('[24]سجل المستخلصات'!$AD$19="","",'[24]سجل المستخلصات'!$AD$19)</f>
        <v/>
      </c>
      <c r="Y38" s="58">
        <f>IF('[24]سجل المستخلصات'!$AE$19="","",'[24]سجل المستخلصات'!$AE$19)</f>
        <v/>
      </c>
    </row>
    <row r="39">
      <c r="B39" s="56" t="n">
        <v>15</v>
      </c>
      <c r="C39" s="57">
        <f>IF('[24]سجل المستخلصات'!$C$20="","",'[24]سجل المستخلصات'!$C$20)</f>
        <v/>
      </c>
      <c r="D39" s="57">
        <f>IF('[24]سجل المستخلصات'!$E$20="","",'[24]سجل المستخلصات'!$E$20)</f>
        <v/>
      </c>
      <c r="E39" s="58">
        <f>IF('[24]سجل المستخلصات'!$F$20="","",'[24]سجل المستخلصات'!$F$20)</f>
        <v/>
      </c>
      <c r="F39" s="59">
        <f>IF('[24]سجل المستخلصات'!$H$20="","",'[24]سجل المستخلصات'!$H$20)</f>
        <v/>
      </c>
      <c r="G39" s="59">
        <f>IF('[24]سجل المستخلصات'!$G$20="","",'[24]سجل المستخلصات'!$G$20)</f>
        <v/>
      </c>
      <c r="H39" s="59">
        <f>IF('[24]سجل المستخلصات'!$I$20="","",'[24]سجل المستخلصات'!$I$20)</f>
        <v/>
      </c>
      <c r="I39" s="59">
        <f>IF('[24]سجل المستخلصات'!$J$20="","",'[24]سجل المستخلصات'!$J$20)</f>
        <v/>
      </c>
      <c r="J39" s="59">
        <f>IF('[24]سجل المستخلصات'!$K$20="","",'[24]سجل المستخلصات'!$K$20)</f>
        <v/>
      </c>
      <c r="K39" s="60">
        <f>IF('[24]سجل المستخلصات'!$L$20="","",'[24]سجل المستخلصات'!$L$20)</f>
        <v/>
      </c>
      <c r="L39" s="60">
        <f>IF('[24]سجل المستخلصات'!$M$20="","",'[24]سجل المستخلصات'!$M$20)</f>
        <v/>
      </c>
      <c r="M39" s="60">
        <f>IF('[24]سجل المستخلصات'!$N$20="","",'[24]سجل المستخلصات'!$N$20)</f>
        <v/>
      </c>
      <c r="N39" s="59">
        <f>IF('[24]سجل المستخلصات'!$O$20="","",'[24]سجل المستخلصات'!$O$20)</f>
        <v/>
      </c>
      <c r="O39" s="59">
        <f>IF('[24]سجل المستخلصات'!$R$20="","",'[24]سجل المستخلصات'!$R$20)</f>
        <v/>
      </c>
      <c r="P39" s="59">
        <f>IF('[24]سجل المستخلصات'!$S$20="","",'[24]سجل المستخلصات'!$S$20)</f>
        <v/>
      </c>
      <c r="Q39" s="59">
        <f>IF('[24]سجل المستخلصات'!$T$20="","",'[24]سجل المستخلصات'!$T$20)</f>
        <v/>
      </c>
      <c r="R39" s="59">
        <f>IF('[24]سجل المستخلصات'!$V$20="","",'[24]سجل المستخلصات'!$V$20)</f>
        <v/>
      </c>
      <c r="S39" s="59">
        <f>IF('[24]سجل المستخلصات'!$W$20="","",'[24]سجل المستخلصات'!$W$20)</f>
        <v/>
      </c>
      <c r="T39" s="61">
        <f>IF('[24]سجل المستخلصات'!$X$20="","",'[24]سجل المستخلصات'!$X$20)</f>
        <v/>
      </c>
      <c r="U39" s="61">
        <f>IF('[24]سجل المستخلصات'!$Z$20="","",'[24]سجل المستخلصات'!$Z$20)</f>
        <v/>
      </c>
      <c r="V39" s="59">
        <f>IF('[24]سجل المستخلصات'!$AA$20="","",'[24]سجل المستخلصات'!$AA$20)</f>
        <v/>
      </c>
      <c r="W39" s="59">
        <f>IF('[24]سجل المستخلصات'!$AC$20="","",'[24]سجل المستخلصات'!$AC$20)</f>
        <v/>
      </c>
      <c r="X39" s="62">
        <f>IF('[24]سجل المستخلصات'!$AD$20="","",'[24]سجل المستخلصات'!$AD$20)</f>
        <v/>
      </c>
      <c r="Y39" s="58">
        <f>IF('[24]سجل المستخلصات'!$AE$20="","",'[24]سجل المستخلصات'!$AE$20)</f>
        <v/>
      </c>
    </row>
    <row r="40">
      <c r="B40" s="56" t="n">
        <v>16</v>
      </c>
      <c r="C40" s="57">
        <f>IF('[24]سجل المستخلصات'!$C$21="","",'[24]سجل المستخلصات'!$C$21)</f>
        <v/>
      </c>
      <c r="D40" s="57">
        <f>IF('[24]سجل المستخلصات'!$E$21="","",'[24]سجل المستخلصات'!$E$21)</f>
        <v/>
      </c>
      <c r="E40" s="58">
        <f>IF('[24]سجل المستخلصات'!$F$21="","",'[24]سجل المستخلصات'!$F$21)</f>
        <v/>
      </c>
      <c r="F40" s="59">
        <f>IF('[24]سجل المستخلصات'!$H$21="","",'[24]سجل المستخلصات'!$H$21)</f>
        <v/>
      </c>
      <c r="G40" s="59">
        <f>IF('[24]سجل المستخلصات'!$G$21="","",'[24]سجل المستخلصات'!$G$21)</f>
        <v/>
      </c>
      <c r="H40" s="59">
        <f>IF('[24]سجل المستخلصات'!$I$21="","",'[24]سجل المستخلصات'!$I$21)</f>
        <v/>
      </c>
      <c r="I40" s="59">
        <f>IF('[24]سجل المستخلصات'!$J$21="","",'[24]سجل المستخلصات'!$J$21)</f>
        <v/>
      </c>
      <c r="J40" s="59">
        <f>IF('[24]سجل المستخلصات'!$K$21="","",'[24]سجل المستخلصات'!$K$21)</f>
        <v/>
      </c>
      <c r="K40" s="60">
        <f>IF('[24]سجل المستخلصات'!$L$21="","",'[24]سجل المستخلصات'!$L$21)</f>
        <v/>
      </c>
      <c r="L40" s="60">
        <f>IF('[24]سجل المستخلصات'!$M$21="","",'[24]سجل المستخلصات'!$M$21)</f>
        <v/>
      </c>
      <c r="M40" s="60">
        <f>IF('[24]سجل المستخلصات'!$N$21="","",'[24]سجل المستخلصات'!$N$21)</f>
        <v/>
      </c>
      <c r="N40" s="59">
        <f>IF('[24]سجل المستخلصات'!$O$21="","",'[24]سجل المستخلصات'!$O$21)</f>
        <v/>
      </c>
      <c r="O40" s="59">
        <f>IF('[24]سجل المستخلصات'!$R$21="","",'[24]سجل المستخلصات'!$R$21)</f>
        <v/>
      </c>
      <c r="P40" s="59">
        <f>IF('[24]سجل المستخلصات'!$S$21="","",'[24]سجل المستخلصات'!$S$21)</f>
        <v/>
      </c>
      <c r="Q40" s="59">
        <f>IF('[24]سجل المستخلصات'!$T$21="","",'[24]سجل المستخلصات'!$T$21)</f>
        <v/>
      </c>
      <c r="R40" s="59">
        <f>IF('[24]سجل المستخلصات'!$V$21="","",'[24]سجل المستخلصات'!$V$21)</f>
        <v/>
      </c>
      <c r="S40" s="59">
        <f>IF('[24]سجل المستخلصات'!$W$21="","",'[24]سجل المستخلصات'!$W$21)</f>
        <v/>
      </c>
      <c r="T40" s="61">
        <f>IF('[24]سجل المستخلصات'!$X$21="","",'[24]سجل المستخلصات'!$X$21)</f>
        <v/>
      </c>
      <c r="U40" s="61">
        <f>IF('[24]سجل المستخلصات'!$Z$21="","",'[24]سجل المستخلصات'!$Z$21)</f>
        <v/>
      </c>
      <c r="V40" s="59">
        <f>IF('[24]سجل المستخلصات'!$AA$21="","",'[24]سجل المستخلصات'!$AA$21)</f>
        <v/>
      </c>
      <c r="W40" s="59">
        <f>IF('[24]سجل المستخلصات'!$AC$21="","",'[24]سجل المستخلصات'!$AC$21)</f>
        <v/>
      </c>
      <c r="X40" s="62">
        <f>IF('[24]سجل المستخلصات'!$AD$21="","",'[24]سجل المستخلصات'!$AD$21)</f>
        <v/>
      </c>
      <c r="Y40" s="58">
        <f>IF('[24]سجل المستخلصات'!$AE$21="","",'[24]سجل المستخلصات'!$AE$21)</f>
        <v/>
      </c>
    </row>
    <row r="41">
      <c r="B41" s="56" t="n">
        <v>17</v>
      </c>
      <c r="C41" s="57">
        <f>IF('[24]سجل المستخلصات'!$C$22="","",'[24]سجل المستخلصات'!$C$22)</f>
        <v/>
      </c>
      <c r="D41" s="57">
        <f>IF('[24]سجل المستخلصات'!$E$22="","",'[24]سجل المستخلصات'!$E$22)</f>
        <v/>
      </c>
      <c r="E41" s="58">
        <f>IF('[24]سجل المستخلصات'!$F$22="","",'[24]سجل المستخلصات'!$F$22)</f>
        <v/>
      </c>
      <c r="F41" s="59">
        <f>IF('[24]سجل المستخلصات'!$H$22="","",'[24]سجل المستخلصات'!$H$22)</f>
        <v/>
      </c>
      <c r="G41" s="59">
        <f>IF('[24]سجل المستخلصات'!$G$22="","",'[24]سجل المستخلصات'!$G$22)</f>
        <v/>
      </c>
      <c r="H41" s="59">
        <f>IF('[24]سجل المستخلصات'!$I$22="","",'[24]سجل المستخلصات'!$I$22)</f>
        <v/>
      </c>
      <c r="I41" s="59">
        <f>IF('[24]سجل المستخلصات'!$J$22="","",'[24]سجل المستخلصات'!$J$22)</f>
        <v/>
      </c>
      <c r="J41" s="59">
        <f>IF('[24]سجل المستخلصات'!$K$22="","",'[24]سجل المستخلصات'!$K$22)</f>
        <v/>
      </c>
      <c r="K41" s="60">
        <f>IF('[24]سجل المستخلصات'!$L$22="","",'[24]سجل المستخلصات'!$L$22)</f>
        <v/>
      </c>
      <c r="L41" s="60">
        <f>IF('[24]سجل المستخلصات'!$M$22="","",'[24]سجل المستخلصات'!$M$22)</f>
        <v/>
      </c>
      <c r="M41" s="60">
        <f>IF('[24]سجل المستخلصات'!$N$22="","",'[24]سجل المستخلصات'!$N$22)</f>
        <v/>
      </c>
      <c r="N41" s="59">
        <f>IF('[24]سجل المستخلصات'!$O$22="","",'[24]سجل المستخلصات'!$O$22)</f>
        <v/>
      </c>
      <c r="O41" s="59">
        <f>IF('[24]سجل المستخلصات'!$R$22="","",'[24]سجل المستخلصات'!$R$22)</f>
        <v/>
      </c>
      <c r="P41" s="59">
        <f>IF('[24]سجل المستخلصات'!$S$22="","",'[24]سجل المستخلصات'!$S$22)</f>
        <v/>
      </c>
      <c r="Q41" s="59">
        <f>IF('[24]سجل المستخلصات'!$T$22="","",'[24]سجل المستخلصات'!$T$22)</f>
        <v/>
      </c>
      <c r="R41" s="59">
        <f>IF('[24]سجل المستخلصات'!$V$22="","",'[24]سجل المستخلصات'!$V$22)</f>
        <v/>
      </c>
      <c r="S41" s="59">
        <f>IF('[24]سجل المستخلصات'!$W$22="","",'[24]سجل المستخلصات'!$W$22)</f>
        <v/>
      </c>
      <c r="T41" s="61">
        <f>IF('[24]سجل المستخلصات'!$X$22="","",'[24]سجل المستخلصات'!$X$22)</f>
        <v/>
      </c>
      <c r="U41" s="61">
        <f>IF('[24]سجل المستخلصات'!$Z$22="","",'[24]سجل المستخلصات'!$Z$22)</f>
        <v/>
      </c>
      <c r="V41" s="59">
        <f>IF('[24]سجل المستخلصات'!$AA$22="","",'[24]سجل المستخلصات'!$AA$22)</f>
        <v/>
      </c>
      <c r="W41" s="59">
        <f>IF('[24]سجل المستخلصات'!$AC$22="","",'[24]سجل المستخلصات'!$AC$22)</f>
        <v/>
      </c>
      <c r="X41" s="62">
        <f>IF('[24]سجل المستخلصات'!$AD$22="","",'[24]سجل المستخلصات'!$AD$22)</f>
        <v/>
      </c>
      <c r="Y41" s="58">
        <f>IF('[24]سجل المستخلصات'!$AE$22="","",'[24]سجل المستخلصات'!$AE$22)</f>
        <v/>
      </c>
    </row>
    <row r="42">
      <c r="B42" s="56" t="n">
        <v>18</v>
      </c>
      <c r="C42" s="57">
        <f>IF('[24]سجل المستخلصات'!$C$23="","",'[24]سجل المستخلصات'!$C$23)</f>
        <v/>
      </c>
      <c r="D42" s="57">
        <f>IF('[24]سجل المستخلصات'!$E$23="","",'[24]سجل المستخلصات'!$E$23)</f>
        <v/>
      </c>
      <c r="E42" s="58">
        <f>IF('[24]سجل المستخلصات'!$F$23="","",'[24]سجل المستخلصات'!$F$23)</f>
        <v/>
      </c>
      <c r="F42" s="59">
        <f>IF('[24]سجل المستخلصات'!$H$23="","",'[24]سجل المستخلصات'!$H$23)</f>
        <v/>
      </c>
      <c r="G42" s="59">
        <f>IF('[24]سجل المستخلصات'!$G$23="","",'[24]سجل المستخلصات'!$G$23)</f>
        <v/>
      </c>
      <c r="H42" s="59">
        <f>IF('[24]سجل المستخلصات'!$I$23="","",'[24]سجل المستخلصات'!$I$23)</f>
        <v/>
      </c>
      <c r="I42" s="59">
        <f>IF('[24]سجل المستخلصات'!$J$23="","",'[24]سجل المستخلصات'!$J$23)</f>
        <v/>
      </c>
      <c r="J42" s="59">
        <f>IF('[24]سجل المستخلصات'!$K$23="","",'[24]سجل المستخلصات'!$K$23)</f>
        <v/>
      </c>
      <c r="K42" s="60">
        <f>IF('[24]سجل المستخلصات'!$L$23="","",'[24]سجل المستخلصات'!$L$23)</f>
        <v/>
      </c>
      <c r="L42" s="60">
        <f>IF('[24]سجل المستخلصات'!$M$23="","",'[24]سجل المستخلصات'!$M$23)</f>
        <v/>
      </c>
      <c r="M42" s="60">
        <f>IF('[24]سجل المستخلصات'!$N$23="","",'[24]سجل المستخلصات'!$N$23)</f>
        <v/>
      </c>
      <c r="N42" s="59">
        <f>IF('[24]سجل المستخلصات'!$O$23="","",'[24]سجل المستخلصات'!$O$23)</f>
        <v/>
      </c>
      <c r="O42" s="59">
        <f>IF('[24]سجل المستخلصات'!$R$23="","",'[24]سجل المستخلصات'!$R$23)</f>
        <v/>
      </c>
      <c r="P42" s="59">
        <f>IF('[24]سجل المستخلصات'!$S$23="","",'[24]سجل المستخلصات'!$S$23)</f>
        <v/>
      </c>
      <c r="Q42" s="59">
        <f>IF('[24]سجل المستخلصات'!$T$23="","",'[24]سجل المستخلصات'!$T$23)</f>
        <v/>
      </c>
      <c r="R42" s="59">
        <f>IF('[24]سجل المستخلصات'!$V$23="","",'[24]سجل المستخلصات'!$V$23)</f>
        <v/>
      </c>
      <c r="S42" s="59">
        <f>IF('[24]سجل المستخلصات'!$W$23="","",'[24]سجل المستخلصات'!$W$23)</f>
        <v/>
      </c>
      <c r="T42" s="61">
        <f>IF('[24]سجل المستخلصات'!$X$23="","",'[24]سجل المستخلصات'!$X$23)</f>
        <v/>
      </c>
      <c r="U42" s="61">
        <f>IF('[24]سجل المستخلصات'!$Z$23="","",'[24]سجل المستخلصات'!$Z$23)</f>
        <v/>
      </c>
      <c r="V42" s="59">
        <f>IF('[24]سجل المستخلصات'!$AA$23="","",'[24]سجل المستخلصات'!$AA$23)</f>
        <v/>
      </c>
      <c r="W42" s="59">
        <f>IF('[24]سجل المستخلصات'!$AC$23="","",'[24]سجل المستخلصات'!$AC$23)</f>
        <v/>
      </c>
      <c r="X42" s="62">
        <f>IF('[24]سجل المستخلصات'!$AD$23="","",'[24]سجل المستخلصات'!$AD$23)</f>
        <v/>
      </c>
      <c r="Y42" s="58">
        <f>IF('[24]سجل المستخلصات'!$AE$23="","",'[24]سجل المستخلصات'!$AE$23)</f>
        <v/>
      </c>
    </row>
    <row r="43">
      <c r="B43" s="56" t="n">
        <v>19</v>
      </c>
      <c r="C43" s="57">
        <f>IF('[24]سجل المستخلصات'!$C$24="","",'[24]سجل المستخلصات'!$C$24)</f>
        <v/>
      </c>
      <c r="D43" s="57">
        <f>IF('[24]سجل المستخلصات'!$E$24="","",'[24]سجل المستخلصات'!$E$24)</f>
        <v/>
      </c>
      <c r="E43" s="58">
        <f>IF('[24]سجل المستخلصات'!$F$24="","",'[24]سجل المستخلصات'!$F$24)</f>
        <v/>
      </c>
      <c r="F43" s="59">
        <f>IF('[24]سجل المستخلصات'!$H$24="","",'[24]سجل المستخلصات'!$H$24)</f>
        <v/>
      </c>
      <c r="G43" s="59">
        <f>IF('[24]سجل المستخلصات'!$G$24="","",'[24]سجل المستخلصات'!$G$24)</f>
        <v/>
      </c>
      <c r="H43" s="59">
        <f>IF('[24]سجل المستخلصات'!$I$24="","",'[24]سجل المستخلصات'!$I$24)</f>
        <v/>
      </c>
      <c r="I43" s="59">
        <f>IF('[24]سجل المستخلصات'!$J$24="","",'[24]سجل المستخلصات'!$J$24)</f>
        <v/>
      </c>
      <c r="J43" s="59">
        <f>IF('[24]سجل المستخلصات'!$K$24="","",'[24]سجل المستخلصات'!$K$24)</f>
        <v/>
      </c>
      <c r="K43" s="60">
        <f>IF('[24]سجل المستخلصات'!$L$24="","",'[24]سجل المستخلصات'!$L$24)</f>
        <v/>
      </c>
      <c r="L43" s="60">
        <f>IF('[24]سجل المستخلصات'!$M$24="","",'[24]سجل المستخلصات'!$M$24)</f>
        <v/>
      </c>
      <c r="M43" s="60">
        <f>IF('[24]سجل المستخلصات'!$N$24="","",'[24]سجل المستخلصات'!$N$24)</f>
        <v/>
      </c>
      <c r="N43" s="59">
        <f>IF('[24]سجل المستخلصات'!$O$24="","",'[24]سجل المستخلصات'!$O$24)</f>
        <v/>
      </c>
      <c r="O43" s="59">
        <f>IF('[24]سجل المستخلصات'!$R$24="","",'[24]سجل المستخلصات'!$R$24)</f>
        <v/>
      </c>
      <c r="P43" s="59">
        <f>IF('[24]سجل المستخلصات'!$S$24="","",'[24]سجل المستخلصات'!$S$24)</f>
        <v/>
      </c>
      <c r="Q43" s="59">
        <f>IF('[24]سجل المستخلصات'!$T$24="","",'[24]سجل المستخلصات'!$T$24)</f>
        <v/>
      </c>
      <c r="R43" s="59">
        <f>IF('[24]سجل المستخلصات'!$V$24="","",'[24]سجل المستخلصات'!$V$24)</f>
        <v/>
      </c>
      <c r="S43" s="59">
        <f>IF('[24]سجل المستخلصات'!$W$24="","",'[24]سجل المستخلصات'!$W$24)</f>
        <v/>
      </c>
      <c r="T43" s="61">
        <f>IF('[24]سجل المستخلصات'!$X$24="","",'[24]سجل المستخلصات'!$X$24)</f>
        <v/>
      </c>
      <c r="U43" s="61">
        <f>IF('[24]سجل المستخلصات'!$Z$24="","",'[24]سجل المستخلصات'!$Z$24)</f>
        <v/>
      </c>
      <c r="V43" s="59">
        <f>IF('[24]سجل المستخلصات'!$AA$24="","",'[24]سجل المستخلصات'!$AA$24)</f>
        <v/>
      </c>
      <c r="W43" s="59">
        <f>IF('[24]سجل المستخلصات'!$AC$24="","",'[24]سجل المستخلصات'!$AC$24)</f>
        <v/>
      </c>
      <c r="X43" s="62">
        <f>IF('[24]سجل المستخلصات'!$AD$24="","",'[24]سجل المستخلصات'!$AD$24)</f>
        <v/>
      </c>
      <c r="Y43" s="58">
        <f>IF('[24]سجل المستخلصات'!$AE$24="","",'[24]سجل المستخلصات'!$AE$24)</f>
        <v/>
      </c>
    </row>
    <row r="44">
      <c r="B44" s="56" t="n">
        <v>20</v>
      </c>
      <c r="C44" s="57">
        <f>IF('[24]سجل المستخلصات'!$C$25="","",'[24]سجل المستخلصات'!$C$25)</f>
        <v/>
      </c>
      <c r="D44" s="57">
        <f>IF('[24]سجل المستخلصات'!$E$25="","",'[24]سجل المستخلصات'!$E$25)</f>
        <v/>
      </c>
      <c r="E44" s="58">
        <f>IF('[24]سجل المستخلصات'!$F$25="","",'[24]سجل المستخلصات'!$F$25)</f>
        <v/>
      </c>
      <c r="F44" s="59">
        <f>IF('[24]سجل المستخلصات'!$H$25="","",'[24]سجل المستخلصات'!$H$25)</f>
        <v/>
      </c>
      <c r="G44" s="59">
        <f>IF('[24]سجل المستخلصات'!$G$25="","",'[24]سجل المستخلصات'!$G$25)</f>
        <v/>
      </c>
      <c r="H44" s="59">
        <f>IF('[24]سجل المستخلصات'!$I$25="","",'[24]سجل المستخلصات'!$I$25)</f>
        <v/>
      </c>
      <c r="I44" s="59">
        <f>IF('[24]سجل المستخلصات'!$J$25="","",'[24]سجل المستخلصات'!$J$25)</f>
        <v/>
      </c>
      <c r="J44" s="59">
        <f>IF('[24]سجل المستخلصات'!$K$25="","",'[24]سجل المستخلصات'!$K$25)</f>
        <v/>
      </c>
      <c r="K44" s="60">
        <f>IF('[24]سجل المستخلصات'!$L$25="","",'[24]سجل المستخلصات'!$L$25)</f>
        <v/>
      </c>
      <c r="L44" s="60">
        <f>IF('[24]سجل المستخلصات'!$M$25="","",'[24]سجل المستخلصات'!$M$25)</f>
        <v/>
      </c>
      <c r="M44" s="60">
        <f>IF('[24]سجل المستخلصات'!$N$25="","",'[24]سجل المستخلصات'!$N$25)</f>
        <v/>
      </c>
      <c r="N44" s="59">
        <f>IF('[24]سجل المستخلصات'!$O$25="","",'[24]سجل المستخلصات'!$O$25)</f>
        <v/>
      </c>
      <c r="O44" s="59">
        <f>IF('[24]سجل المستخلصات'!$R$25="","",'[24]سجل المستخلصات'!$R$25)</f>
        <v/>
      </c>
      <c r="P44" s="59">
        <f>IF('[24]سجل المستخلصات'!$S$25="","",'[24]سجل المستخلصات'!$S$25)</f>
        <v/>
      </c>
      <c r="Q44" s="59">
        <f>IF('[24]سجل المستخلصات'!$T$25="","",'[24]سجل المستخلصات'!$T$25)</f>
        <v/>
      </c>
      <c r="R44" s="59">
        <f>IF('[24]سجل المستخلصات'!$V$25="","",'[24]سجل المستخلصات'!$V$25)</f>
        <v/>
      </c>
      <c r="S44" s="59">
        <f>IF('[24]سجل المستخلصات'!$W$25="","",'[24]سجل المستخلصات'!$W$25)</f>
        <v/>
      </c>
      <c r="T44" s="61">
        <f>IF('[24]سجل المستخلصات'!$X$25="","",'[24]سجل المستخلصات'!$X$25)</f>
        <v/>
      </c>
      <c r="U44" s="61">
        <f>IF('[24]سجل المستخلصات'!$Z$25="","",'[24]سجل المستخلصات'!$Z$25)</f>
        <v/>
      </c>
      <c r="V44" s="59">
        <f>IF('[24]سجل المستخلصات'!$AA$25="","",'[24]سجل المستخلصات'!$AA$25)</f>
        <v/>
      </c>
      <c r="W44" s="59">
        <f>IF('[24]سجل المستخلصات'!$AC$25="","",'[24]سجل المستخلصات'!$AC$25)</f>
        <v/>
      </c>
      <c r="X44" s="62">
        <f>IF('[24]سجل المستخلصات'!$AD$25="","",'[24]سجل المستخلصات'!$AD$25)</f>
        <v/>
      </c>
      <c r="Y44" s="58">
        <f>IF('[24]سجل المستخلصات'!$AE$25="","",'[24]سجل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IF('[24]سجل المستخلصات'!$B$32="","",'[24]سجل المستخلصات'!$B$32)</f>
        <v/>
      </c>
      <c r="C50" s="69" t="n"/>
      <c r="D50" s="69" t="n"/>
      <c r="E50" s="59">
        <f>N('[24]سجل المستخلصات'!$E$32)</f>
        <v/>
      </c>
      <c r="F50" s="59">
        <f>N('[24]سجل المستخلصات'!$F$32)</f>
        <v/>
      </c>
      <c r="G50" s="70">
        <f>IF(E50&gt;0,F50/E50,0)</f>
        <v/>
      </c>
    </row>
    <row r="51">
      <c r="B51" s="69">
        <f>IF('[24]سجل المستخلصات'!$B$33="","",'[24]سجل المستخلصات'!$B$33)</f>
        <v/>
      </c>
      <c r="C51" s="69" t="n"/>
      <c r="D51" s="69" t="n"/>
      <c r="E51" s="59">
        <f>N('[24]سجل المستخلصات'!$E$33)</f>
        <v/>
      </c>
      <c r="F51" s="59">
        <f>N('[24]سجل المستخلصات'!$F$33)</f>
        <v/>
      </c>
      <c r="G51" s="70">
        <f>IF(E51&gt;0,F51/E51,0)</f>
        <v/>
      </c>
    </row>
    <row r="52">
      <c r="B52" s="69">
        <f>IF('[24]سجل المستخلصات'!$B$34="","",'[24]سجل المستخلصات'!$B$34)</f>
        <v/>
      </c>
      <c r="C52" s="69" t="n"/>
      <c r="D52" s="69" t="n"/>
      <c r="E52" s="59">
        <f>N('[24]سجل المستخلصات'!$E$34)</f>
        <v/>
      </c>
      <c r="F52" s="59">
        <f>N('[24]سجل المستخلصات'!$F$34)</f>
        <v/>
      </c>
      <c r="G52" s="70">
        <f>IF(E52&gt;0,F52/E52,0)</f>
        <v/>
      </c>
    </row>
    <row r="53">
      <c r="B53" s="69">
        <f>IF('[24]سجل المستخلصات'!$B$35="","",'[24]سجل المستخلصات'!$B$35)</f>
        <v/>
      </c>
      <c r="C53" s="69" t="n"/>
      <c r="D53" s="69" t="n"/>
      <c r="E53" s="59">
        <f>N('[24]سجل المستخلصات'!$E$35)</f>
        <v/>
      </c>
      <c r="F53" s="59">
        <f>N('[24]سجل المستخلصات'!$F$35)</f>
        <v/>
      </c>
      <c r="G53" s="70">
        <f>IF(E53&gt;0,F53/E53,0)</f>
        <v/>
      </c>
    </row>
    <row r="54">
      <c r="B54" s="69">
        <f>IF('[24]سجل المستخلصات'!$B$36="","",'[24]سجل المستخلصات'!$B$36)</f>
        <v/>
      </c>
      <c r="C54" s="69" t="n"/>
      <c r="D54" s="69" t="n"/>
      <c r="E54" s="59">
        <f>N('[24]سجل المستخلصات'!$E$36)</f>
        <v/>
      </c>
      <c r="F54" s="59">
        <f>N('[24]سجل المستخلصات'!$F$36)</f>
        <v/>
      </c>
      <c r="G54" s="70">
        <f>IF(E54&gt;0,F54/E54,0)</f>
        <v/>
      </c>
    </row>
    <row r="55">
      <c r="B55" s="69">
        <f>IF('[24]سجل المستخلصات'!$B$37="","",'[24]سجل المستخلصات'!$B$37)</f>
        <v/>
      </c>
      <c r="C55" s="69" t="n"/>
      <c r="D55" s="69" t="n"/>
      <c r="E55" s="59">
        <f>N('[24]سجل المستخلصات'!$E$37)</f>
        <v/>
      </c>
      <c r="F55" s="59">
        <f>N('[24]سجل المستخلصات'!$F$37)</f>
        <v/>
      </c>
      <c r="G55" s="70">
        <f>IF(E55&gt;0,F55/E55,0)</f>
        <v/>
      </c>
    </row>
    <row r="56">
      <c r="B56" s="69">
        <f>IF('[24]سجل المستخلصات'!$B$38="","",'[24]سجل المستخلصات'!$B$38)</f>
        <v/>
      </c>
      <c r="C56" s="69" t="n"/>
      <c r="D56" s="69" t="n"/>
      <c r="E56" s="59">
        <f>N('[24]سجل المستخلصات'!$E$38)</f>
        <v/>
      </c>
      <c r="F56" s="59">
        <f>N('[24]سجل المستخلصات'!$F$38)</f>
        <v/>
      </c>
      <c r="G56" s="70">
        <f>IF(E56&gt;0,F56/E56,0)</f>
        <v/>
      </c>
    </row>
    <row r="57">
      <c r="B57" s="69">
        <f>IF('[24]سجل المستخلصات'!$B$39="","",'[24]سجل المستخلصات'!$B$39)</f>
        <v/>
      </c>
      <c r="C57" s="69" t="n"/>
      <c r="D57" s="69" t="n"/>
      <c r="E57" s="59">
        <f>N('[24]سجل المستخلصات'!$E$39)</f>
        <v/>
      </c>
      <c r="F57" s="59">
        <f>N('[24]سجل المستخلصات'!$F$39)</f>
        <v/>
      </c>
      <c r="G57" s="70">
        <f>IF(E57&gt;0,F57/E57,0)</f>
        <v/>
      </c>
    </row>
    <row r="58">
      <c r="B58" s="69">
        <f>IF('[24]سجل المستخلصات'!$B$40="","",'[24]سجل المستخلصات'!$B$40)</f>
        <v/>
      </c>
      <c r="C58" s="69" t="n"/>
      <c r="D58" s="69" t="n"/>
      <c r="E58" s="59">
        <f>N('[24]سجل المستخلصات'!$E$40)</f>
        <v/>
      </c>
      <c r="F58" s="59">
        <f>N('[24]سجل المستخلصات'!$F$40)</f>
        <v/>
      </c>
      <c r="G58" s="70">
        <f>IF(E58&gt;0,F58/E58,0)</f>
        <v/>
      </c>
    </row>
    <row r="59">
      <c r="B59" s="69">
        <f>IF('[24]سجل المستخلصات'!$B$41="","",'[24]سجل المستخلصات'!$B$41)</f>
        <v/>
      </c>
      <c r="C59" s="69" t="n"/>
      <c r="D59" s="69" t="n"/>
      <c r="E59" s="59">
        <f>N('[24]سجل المستخلصات'!$E$41)</f>
        <v/>
      </c>
      <c r="F59" s="59">
        <f>N('[24]سجل المستخلصات'!$F$41)</f>
        <v/>
      </c>
      <c r="G59" s="70">
        <f>IF(E59&gt;0,F59/E59,0)</f>
        <v/>
      </c>
    </row>
    <row r="60">
      <c r="B60" s="69">
        <f>IF('[24]سجل المستخلصات'!$B$42="","",'[24]سجل المستخلصات'!$B$42)</f>
        <v/>
      </c>
      <c r="C60" s="69" t="n"/>
      <c r="D60" s="69" t="n"/>
      <c r="E60" s="59">
        <f>N('[24]سجل المستخلصات'!$E$42)</f>
        <v/>
      </c>
      <c r="F60" s="59">
        <f>N('[24]سجل المستخلصات'!$F$42)</f>
        <v/>
      </c>
      <c r="G60" s="70">
        <f>IF(E60&gt;0,F60/E60,0)</f>
        <v/>
      </c>
    </row>
    <row r="61">
      <c r="B61" s="69">
        <f>IF('[24]سجل المستخلصات'!$B$43="","",'[24]سجل المستخلصات'!$B$43)</f>
        <v/>
      </c>
      <c r="C61" s="69" t="n"/>
      <c r="D61" s="69" t="n"/>
      <c r="E61" s="59">
        <f>N('[24]سجل المستخلصات'!$E$43)</f>
        <v/>
      </c>
      <c r="F61" s="59">
        <f>N('[24]سجل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23'!A1" display="◄ المشروع السابق"/>
    <hyperlink ref="D3" location="'مشروع 25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"&amp;IF('[25]بيانات العقد'!$C$5="","مشروع رقم 25 — غير مُفعّل",'[25]بيانات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Project_25/IPC_Project_25.xlsx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IF('[25]بيانات العقد'!$C$5="","",'[25]بيانات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IF('[25]بيانات العقد'!$C$6="","",'[25]بيانات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IF('[25]بيانات العقد'!$C$7="","",'[25]بيانات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IF('[25]بيانات العقد'!$C$8="","",'[25]بيانات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N('[25]بيانات العقد'!$C$16)</f>
        <v/>
      </c>
    </row>
    <row r="6" ht="22" customHeight="1">
      <c r="B6" s="11" t="inlineStr">
        <is>
          <t>المقاول</t>
        </is>
      </c>
      <c r="C6" s="14">
        <f>IF('[25]بيانات العقد'!$C$9="","",'[25]بيانات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IF('[25]بيانات العقد'!$C$11="","",'[25]بيانات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IF('[25]بيانات العقد'!$C$13="","",'[25]بيانات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IF('[25]بيانات العقد'!$C$14="","",'[25]بيانات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N('[25]بيانات العقد'!$C$17)</f>
        <v/>
      </c>
    </row>
    <row r="7">
      <c r="AA7" s="15" t="inlineStr">
        <is>
          <t>قيمة العقد المعدلة</t>
        </is>
      </c>
      <c r="AB7" s="16">
        <f>N('[25]بيانات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N('[25]بيانات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N('[25]بيانات العقد'!$C$21)</f>
        <v/>
      </c>
    </row>
    <row r="10">
      <c r="AA10" s="15" t="inlineStr">
        <is>
          <t>نسبة ضمان الأعمال</t>
        </is>
      </c>
      <c r="AB10" s="23">
        <f>N('[25]بيانات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N('[25]بيانات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N('[25]بيانات العقد'!$C$31)</f>
        <v/>
      </c>
    </row>
    <row r="13">
      <c r="AA13" s="15" t="inlineStr">
        <is>
          <t>ضريبة الاستقطاع (غير المقيم)</t>
        </is>
      </c>
      <c r="AB13" s="23">
        <f>N('[25]بيانات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IF('[25]بيانات العقد'!$C$11="","",'[25]بيانات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IF('[25]بيانات العقد'!$C$13="","",'[25]بيانات العقد'!$C$13)</f>
        <v/>
      </c>
    </row>
    <row r="16">
      <c r="AA16" s="15" t="inlineStr">
        <is>
          <t>المدة (شهر)</t>
        </is>
      </c>
      <c r="AB16" s="43">
        <f>IF('[25]بيانات العقد'!$C$12="","",'[25]بيانات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IF('[25]بيانات العقد'!$C$36="","",'[25]بيانات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IF('[25]بيانات العقد'!$C$37="","",'[25]بيانات العقد'!$C$37)</f>
        <v/>
      </c>
    </row>
    <row r="19">
      <c r="AA19" s="15" t="inlineStr">
        <is>
          <t>الرقم الضريبي لصاحب العمل</t>
        </is>
      </c>
      <c r="AB19" s="48">
        <f>IF('[25]بيانات العقد'!$C$39="","",'[25]بيانات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IF('[25]بيانات العقد'!$C$42="","",'[25]بيانات العقد'!$C$42)</f>
        <v/>
      </c>
    </row>
    <row r="21" ht="32" customHeight="1">
      <c r="B21" s="50">
        <f>N('[25]الموازنة والتكاليف'!$D$66)</f>
        <v/>
      </c>
      <c r="C21" s="50" t="n"/>
      <c r="D21" s="50" t="n"/>
      <c r="E21" s="50" t="n"/>
      <c r="F21" s="50">
        <f>N('[25]الموازنة والتكاليف'!$D$70)</f>
        <v/>
      </c>
      <c r="G21" s="50" t="n"/>
      <c r="H21" s="50" t="n"/>
      <c r="I21" s="50" t="n"/>
      <c r="J21" s="50">
        <f>N('[25]الموازنة والتكاليف'!$D$72)</f>
        <v/>
      </c>
      <c r="K21" s="50" t="n"/>
      <c r="L21" s="50" t="n"/>
      <c r="M21" s="50" t="n"/>
      <c r="N21" s="51">
        <f>N('[25]الموازنة والتكاليف'!$D$73)</f>
        <v/>
      </c>
      <c r="O21" s="51" t="n"/>
      <c r="P21" s="51" t="n"/>
      <c r="Q21" s="51" t="n"/>
      <c r="R21" s="52">
        <f>N('[25]الموازنة والتكاليف'!$D$74)</f>
        <v/>
      </c>
      <c r="S21" s="52" t="n"/>
      <c r="T21" s="52" t="n"/>
      <c r="U21" s="52" t="n"/>
      <c r="V21" s="50">
        <f>N('[25]الموازنة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IF('[25]بيانات العقد'!$C$43="","",'[25]بيانات العقد'!$C$43)</f>
        <v/>
      </c>
    </row>
    <row r="22">
      <c r="AA22" s="15" t="inlineStr">
        <is>
          <t>حالة غرامات التأخير</t>
        </is>
      </c>
      <c r="AB22" s="45">
        <f>IF('[25]بيانات العقد'!$C$47="","",'[25]بيانات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IF('[25]سجل المستخلصات'!$C$6="","",'[25]سجل المستخلصات'!$C$6)</f>
        <v/>
      </c>
      <c r="D25" s="57">
        <f>IF('[25]سجل المستخلصات'!$E$6="","",'[25]سجل المستخلصات'!$E$6)</f>
        <v/>
      </c>
      <c r="E25" s="58">
        <f>IF('[25]سجل المستخلصات'!$F$6="","",'[25]سجل المستخلصات'!$F$6)</f>
        <v/>
      </c>
      <c r="F25" s="59">
        <f>IF('[25]سجل المستخلصات'!$H$6="","",'[25]سجل المستخلصات'!$H$6)</f>
        <v/>
      </c>
      <c r="G25" s="59">
        <f>IF('[25]سجل المستخلصات'!$G$6="","",'[25]سجل المستخلصات'!$G$6)</f>
        <v/>
      </c>
      <c r="H25" s="59">
        <f>IF('[25]سجل المستخلصات'!$I$6="","",'[25]سجل المستخلصات'!$I$6)</f>
        <v/>
      </c>
      <c r="I25" s="59">
        <f>IF('[25]سجل المستخلصات'!$J$6="","",'[25]سجل المستخلصات'!$J$6)</f>
        <v/>
      </c>
      <c r="J25" s="59">
        <f>IF('[25]سجل المستخلصات'!$K$6="","",'[25]سجل المستخلصات'!$K$6)</f>
        <v/>
      </c>
      <c r="K25" s="60">
        <f>IF('[25]سجل المستخلصات'!$L$6="","",'[25]سجل المستخلصات'!$L$6)</f>
        <v/>
      </c>
      <c r="L25" s="60">
        <f>IF('[25]سجل المستخلصات'!$M$6="","",'[25]سجل المستخلصات'!$M$6)</f>
        <v/>
      </c>
      <c r="M25" s="60">
        <f>IF('[25]سجل المستخلصات'!$N$6="","",'[25]سجل المستخلصات'!$N$6)</f>
        <v/>
      </c>
      <c r="N25" s="59">
        <f>IF('[25]سجل المستخلصات'!$O$6="","",'[25]سجل المستخلصات'!$O$6)</f>
        <v/>
      </c>
      <c r="O25" s="59">
        <f>IF('[25]سجل المستخلصات'!$R$6="","",'[25]سجل المستخلصات'!$R$6)</f>
        <v/>
      </c>
      <c r="P25" s="59">
        <f>IF('[25]سجل المستخلصات'!$S$6="","",'[25]سجل المستخلصات'!$S$6)</f>
        <v/>
      </c>
      <c r="Q25" s="59">
        <f>IF('[25]سجل المستخلصات'!$T$6="","",'[25]سجل المستخلصات'!$T$6)</f>
        <v/>
      </c>
      <c r="R25" s="59">
        <f>IF('[25]سجل المستخلصات'!$V$6="","",'[25]سجل المستخلصات'!$V$6)</f>
        <v/>
      </c>
      <c r="S25" s="59">
        <f>IF('[25]سجل المستخلصات'!$W$6="","",'[25]سجل المستخلصات'!$W$6)</f>
        <v/>
      </c>
      <c r="T25" s="61">
        <f>IF('[25]سجل المستخلصات'!$X$6="","",'[25]سجل المستخلصات'!$X$6)</f>
        <v/>
      </c>
      <c r="U25" s="61">
        <f>IF('[25]سجل المستخلصات'!$Z$6="","",'[25]سجل المستخلصات'!$Z$6)</f>
        <v/>
      </c>
      <c r="V25" s="59">
        <f>IF('[25]سجل المستخلصات'!$AA$6="","",'[25]سجل المستخلصات'!$AA$6)</f>
        <v/>
      </c>
      <c r="W25" s="59">
        <f>IF('[25]سجل المستخلصات'!$AC$6="","",'[25]سجل المستخلصات'!$AC$6)</f>
        <v/>
      </c>
      <c r="X25" s="62">
        <f>IF('[25]سجل المستخلصات'!$AD$6="","",'[25]سجل المستخلصات'!$AD$6)</f>
        <v/>
      </c>
      <c r="Y25" s="58">
        <f>IF('[25]سجل المستخلصات'!$AE$6="","",'[25]سجل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IF('[25]سجل المستخلصات'!$C$7="","",'[25]سجل المستخلصات'!$C$7)</f>
        <v/>
      </c>
      <c r="D26" s="57">
        <f>IF('[25]سجل المستخلصات'!$E$7="","",'[25]سجل المستخلصات'!$E$7)</f>
        <v/>
      </c>
      <c r="E26" s="58">
        <f>IF('[25]سجل المستخلصات'!$F$7="","",'[25]سجل المستخلصات'!$F$7)</f>
        <v/>
      </c>
      <c r="F26" s="59">
        <f>IF('[25]سجل المستخلصات'!$H$7="","",'[25]سجل المستخلصات'!$H$7)</f>
        <v/>
      </c>
      <c r="G26" s="59">
        <f>IF('[25]سجل المستخلصات'!$G$7="","",'[25]سجل المستخلصات'!$G$7)</f>
        <v/>
      </c>
      <c r="H26" s="59">
        <f>IF('[25]سجل المستخلصات'!$I$7="","",'[25]سجل المستخلصات'!$I$7)</f>
        <v/>
      </c>
      <c r="I26" s="59">
        <f>IF('[25]سجل المستخلصات'!$J$7="","",'[25]سجل المستخلصات'!$J$7)</f>
        <v/>
      </c>
      <c r="J26" s="59">
        <f>IF('[25]سجل المستخلصات'!$K$7="","",'[25]سجل المستخلصات'!$K$7)</f>
        <v/>
      </c>
      <c r="K26" s="60">
        <f>IF('[25]سجل المستخلصات'!$L$7="","",'[25]سجل المستخلصات'!$L$7)</f>
        <v/>
      </c>
      <c r="L26" s="60">
        <f>IF('[25]سجل المستخلصات'!$M$7="","",'[25]سجل المستخلصات'!$M$7)</f>
        <v/>
      </c>
      <c r="M26" s="60">
        <f>IF('[25]سجل المستخلصات'!$N$7="","",'[25]سجل المستخلصات'!$N$7)</f>
        <v/>
      </c>
      <c r="N26" s="59">
        <f>IF('[25]سجل المستخلصات'!$O$7="","",'[25]سجل المستخلصات'!$O$7)</f>
        <v/>
      </c>
      <c r="O26" s="59">
        <f>IF('[25]سجل المستخلصات'!$R$7="","",'[25]سجل المستخلصات'!$R$7)</f>
        <v/>
      </c>
      <c r="P26" s="59">
        <f>IF('[25]سجل المستخلصات'!$S$7="","",'[25]سجل المستخلصات'!$S$7)</f>
        <v/>
      </c>
      <c r="Q26" s="59">
        <f>IF('[25]سجل المستخلصات'!$T$7="","",'[25]سجل المستخلصات'!$T$7)</f>
        <v/>
      </c>
      <c r="R26" s="59">
        <f>IF('[25]سجل المستخلصات'!$V$7="","",'[25]سجل المستخلصات'!$V$7)</f>
        <v/>
      </c>
      <c r="S26" s="59">
        <f>IF('[25]سجل المستخلصات'!$W$7="","",'[25]سجل المستخلصات'!$W$7)</f>
        <v/>
      </c>
      <c r="T26" s="61">
        <f>IF('[25]سجل المستخلصات'!$X$7="","",'[25]سجل المستخلصات'!$X$7)</f>
        <v/>
      </c>
      <c r="U26" s="61">
        <f>IF('[25]سجل المستخلصات'!$Z$7="","",'[25]سجل المستخلصات'!$Z$7)</f>
        <v/>
      </c>
      <c r="V26" s="59">
        <f>IF('[25]سجل المستخلصات'!$AA$7="","",'[25]سجل المستخلصات'!$AA$7)</f>
        <v/>
      </c>
      <c r="W26" s="59">
        <f>IF('[25]سجل المستخلصات'!$AC$7="","",'[25]سجل المستخلصات'!$AC$7)</f>
        <v/>
      </c>
      <c r="X26" s="62">
        <f>IF('[25]سجل المستخلصات'!$AD$7="","",'[25]سجل المستخلصات'!$AD$7)</f>
        <v/>
      </c>
      <c r="Y26" s="58">
        <f>IF('[25]سجل المستخلصات'!$AE$7="","",'[25]سجل المستخلصات'!$AE$7)</f>
        <v/>
      </c>
      <c r="AA26" s="63" t="n"/>
      <c r="AB26" s="63" t="n"/>
    </row>
    <row r="27">
      <c r="B27" s="56" t="n">
        <v>3</v>
      </c>
      <c r="C27" s="57">
        <f>IF('[25]سجل المستخلصات'!$C$8="","",'[25]سجل المستخلصات'!$C$8)</f>
        <v/>
      </c>
      <c r="D27" s="57">
        <f>IF('[25]سجل المستخلصات'!$E$8="","",'[25]سجل المستخلصات'!$E$8)</f>
        <v/>
      </c>
      <c r="E27" s="58">
        <f>IF('[25]سجل المستخلصات'!$F$8="","",'[25]سجل المستخلصات'!$F$8)</f>
        <v/>
      </c>
      <c r="F27" s="59">
        <f>IF('[25]سجل المستخلصات'!$H$8="","",'[25]سجل المستخلصات'!$H$8)</f>
        <v/>
      </c>
      <c r="G27" s="59">
        <f>IF('[25]سجل المستخلصات'!$G$8="","",'[25]سجل المستخلصات'!$G$8)</f>
        <v/>
      </c>
      <c r="H27" s="59">
        <f>IF('[25]سجل المستخلصات'!$I$8="","",'[25]سجل المستخلصات'!$I$8)</f>
        <v/>
      </c>
      <c r="I27" s="59">
        <f>IF('[25]سجل المستخلصات'!$J$8="","",'[25]سجل المستخلصات'!$J$8)</f>
        <v/>
      </c>
      <c r="J27" s="59">
        <f>IF('[25]سجل المستخلصات'!$K$8="","",'[25]سجل المستخلصات'!$K$8)</f>
        <v/>
      </c>
      <c r="K27" s="60">
        <f>IF('[25]سجل المستخلصات'!$L$8="","",'[25]سجل المستخلصات'!$L$8)</f>
        <v/>
      </c>
      <c r="L27" s="60">
        <f>IF('[25]سجل المستخلصات'!$M$8="","",'[25]سجل المستخلصات'!$M$8)</f>
        <v/>
      </c>
      <c r="M27" s="60">
        <f>IF('[25]سجل المستخلصات'!$N$8="","",'[25]سجل المستخلصات'!$N$8)</f>
        <v/>
      </c>
      <c r="N27" s="59">
        <f>IF('[25]سجل المستخلصات'!$O$8="","",'[25]سجل المستخلصات'!$O$8)</f>
        <v/>
      </c>
      <c r="O27" s="59">
        <f>IF('[25]سجل المستخلصات'!$R$8="","",'[25]سجل المستخلصات'!$R$8)</f>
        <v/>
      </c>
      <c r="P27" s="59">
        <f>IF('[25]سجل المستخلصات'!$S$8="","",'[25]سجل المستخلصات'!$S$8)</f>
        <v/>
      </c>
      <c r="Q27" s="59">
        <f>IF('[25]سجل المستخلصات'!$T$8="","",'[25]سجل المستخلصات'!$T$8)</f>
        <v/>
      </c>
      <c r="R27" s="59">
        <f>IF('[25]سجل المستخلصات'!$V$8="","",'[25]سجل المستخلصات'!$V$8)</f>
        <v/>
      </c>
      <c r="S27" s="59">
        <f>IF('[25]سجل المستخلصات'!$W$8="","",'[25]سجل المستخلصات'!$W$8)</f>
        <v/>
      </c>
      <c r="T27" s="61">
        <f>IF('[25]سجل المستخلصات'!$X$8="","",'[25]سجل المستخلصات'!$X$8)</f>
        <v/>
      </c>
      <c r="U27" s="61">
        <f>IF('[25]سجل المستخلصات'!$Z$8="","",'[25]سجل المستخلصات'!$Z$8)</f>
        <v/>
      </c>
      <c r="V27" s="59">
        <f>IF('[25]سجل المستخلصات'!$AA$8="","",'[25]سجل المستخلصات'!$AA$8)</f>
        <v/>
      </c>
      <c r="W27" s="59">
        <f>IF('[25]سجل المستخلصات'!$AC$8="","",'[25]سجل المستخلصات'!$AC$8)</f>
        <v/>
      </c>
      <c r="X27" s="62">
        <f>IF('[25]سجل المستخلصات'!$AD$8="","",'[25]سجل المستخلصات'!$AD$8)</f>
        <v/>
      </c>
      <c r="Y27" s="58">
        <f>IF('[25]سجل المستخلصات'!$AE$8="","",'[25]سجل المستخلصات'!$AE$8)</f>
        <v/>
      </c>
      <c r="AA27" s="63" t="n"/>
      <c r="AB27" s="63" t="n"/>
    </row>
    <row r="28">
      <c r="B28" s="56" t="n">
        <v>4</v>
      </c>
      <c r="C28" s="57">
        <f>IF('[25]سجل المستخلصات'!$C$9="","",'[25]سجل المستخلصات'!$C$9)</f>
        <v/>
      </c>
      <c r="D28" s="57">
        <f>IF('[25]سجل المستخلصات'!$E$9="","",'[25]سجل المستخلصات'!$E$9)</f>
        <v/>
      </c>
      <c r="E28" s="58">
        <f>IF('[25]سجل المستخلصات'!$F$9="","",'[25]سجل المستخلصات'!$F$9)</f>
        <v/>
      </c>
      <c r="F28" s="59">
        <f>IF('[25]سجل المستخلصات'!$H$9="","",'[25]سجل المستخلصات'!$H$9)</f>
        <v/>
      </c>
      <c r="G28" s="59">
        <f>IF('[25]سجل المستخلصات'!$G$9="","",'[25]سجل المستخلصات'!$G$9)</f>
        <v/>
      </c>
      <c r="H28" s="59">
        <f>IF('[25]سجل المستخلصات'!$I$9="","",'[25]سجل المستخلصات'!$I$9)</f>
        <v/>
      </c>
      <c r="I28" s="59">
        <f>IF('[25]سجل المستخلصات'!$J$9="","",'[25]سجل المستخلصات'!$J$9)</f>
        <v/>
      </c>
      <c r="J28" s="59">
        <f>IF('[25]سجل المستخلصات'!$K$9="","",'[25]سجل المستخلصات'!$K$9)</f>
        <v/>
      </c>
      <c r="K28" s="60">
        <f>IF('[25]سجل المستخلصات'!$L$9="","",'[25]سجل المستخلصات'!$L$9)</f>
        <v/>
      </c>
      <c r="L28" s="60">
        <f>IF('[25]سجل المستخلصات'!$M$9="","",'[25]سجل المستخلصات'!$M$9)</f>
        <v/>
      </c>
      <c r="M28" s="60">
        <f>IF('[25]سجل المستخلصات'!$N$9="","",'[25]سجل المستخلصات'!$N$9)</f>
        <v/>
      </c>
      <c r="N28" s="59">
        <f>IF('[25]سجل المستخلصات'!$O$9="","",'[25]سجل المستخلصات'!$O$9)</f>
        <v/>
      </c>
      <c r="O28" s="59">
        <f>IF('[25]سجل المستخلصات'!$R$9="","",'[25]سجل المستخلصات'!$R$9)</f>
        <v/>
      </c>
      <c r="P28" s="59">
        <f>IF('[25]سجل المستخلصات'!$S$9="","",'[25]سجل المستخلصات'!$S$9)</f>
        <v/>
      </c>
      <c r="Q28" s="59">
        <f>IF('[25]سجل المستخلصات'!$T$9="","",'[25]سجل المستخلصات'!$T$9)</f>
        <v/>
      </c>
      <c r="R28" s="59">
        <f>IF('[25]سجل المستخلصات'!$V$9="","",'[25]سجل المستخلصات'!$V$9)</f>
        <v/>
      </c>
      <c r="S28" s="59">
        <f>IF('[25]سجل المستخلصات'!$W$9="","",'[25]سجل المستخلصات'!$W$9)</f>
        <v/>
      </c>
      <c r="T28" s="61">
        <f>IF('[25]سجل المستخلصات'!$X$9="","",'[25]سجل المستخلصات'!$X$9)</f>
        <v/>
      </c>
      <c r="U28" s="61">
        <f>IF('[25]سجل المستخلصات'!$Z$9="","",'[25]سجل المستخلصات'!$Z$9)</f>
        <v/>
      </c>
      <c r="V28" s="59">
        <f>IF('[25]سجل المستخلصات'!$AA$9="","",'[25]سجل المستخلصات'!$AA$9)</f>
        <v/>
      </c>
      <c r="W28" s="59">
        <f>IF('[25]سجل المستخلصات'!$AC$9="","",'[25]سجل المستخلصات'!$AC$9)</f>
        <v/>
      </c>
      <c r="X28" s="62">
        <f>IF('[25]سجل المستخلصات'!$AD$9="","",'[25]سجل المستخلصات'!$AD$9)</f>
        <v/>
      </c>
      <c r="Y28" s="58">
        <f>IF('[25]سجل المستخلصات'!$AE$9="","",'[25]سجل المستخلصات'!$AE$9)</f>
        <v/>
      </c>
      <c r="AA28" s="63" t="n"/>
      <c r="AB28" s="63" t="n"/>
    </row>
    <row r="29">
      <c r="B29" s="56" t="n">
        <v>5</v>
      </c>
      <c r="C29" s="57">
        <f>IF('[25]سجل المستخلصات'!$C$10="","",'[25]سجل المستخلصات'!$C$10)</f>
        <v/>
      </c>
      <c r="D29" s="57">
        <f>IF('[25]سجل المستخلصات'!$E$10="","",'[25]سجل المستخلصات'!$E$10)</f>
        <v/>
      </c>
      <c r="E29" s="58">
        <f>IF('[25]سجل المستخلصات'!$F$10="","",'[25]سجل المستخلصات'!$F$10)</f>
        <v/>
      </c>
      <c r="F29" s="59">
        <f>IF('[25]سجل المستخلصات'!$H$10="","",'[25]سجل المستخلصات'!$H$10)</f>
        <v/>
      </c>
      <c r="G29" s="59">
        <f>IF('[25]سجل المستخلصات'!$G$10="","",'[25]سجل المستخلصات'!$G$10)</f>
        <v/>
      </c>
      <c r="H29" s="59">
        <f>IF('[25]سجل المستخلصات'!$I$10="","",'[25]سجل المستخلصات'!$I$10)</f>
        <v/>
      </c>
      <c r="I29" s="59">
        <f>IF('[25]سجل المستخلصات'!$J$10="","",'[25]سجل المستخلصات'!$J$10)</f>
        <v/>
      </c>
      <c r="J29" s="59">
        <f>IF('[25]سجل المستخلصات'!$K$10="","",'[25]سجل المستخلصات'!$K$10)</f>
        <v/>
      </c>
      <c r="K29" s="60">
        <f>IF('[25]سجل المستخلصات'!$L$10="","",'[25]سجل المستخلصات'!$L$10)</f>
        <v/>
      </c>
      <c r="L29" s="60">
        <f>IF('[25]سجل المستخلصات'!$M$10="","",'[25]سجل المستخلصات'!$M$10)</f>
        <v/>
      </c>
      <c r="M29" s="60">
        <f>IF('[25]سجل المستخلصات'!$N$10="","",'[25]سجل المستخلصات'!$N$10)</f>
        <v/>
      </c>
      <c r="N29" s="59">
        <f>IF('[25]سجل المستخلصات'!$O$10="","",'[25]سجل المستخلصات'!$O$10)</f>
        <v/>
      </c>
      <c r="O29" s="59">
        <f>IF('[25]سجل المستخلصات'!$R$10="","",'[25]سجل المستخلصات'!$R$10)</f>
        <v/>
      </c>
      <c r="P29" s="59">
        <f>IF('[25]سجل المستخلصات'!$S$10="","",'[25]سجل المستخلصات'!$S$10)</f>
        <v/>
      </c>
      <c r="Q29" s="59">
        <f>IF('[25]سجل المستخلصات'!$T$10="","",'[25]سجل المستخلصات'!$T$10)</f>
        <v/>
      </c>
      <c r="R29" s="59">
        <f>IF('[25]سجل المستخلصات'!$V$10="","",'[25]سجل المستخلصات'!$V$10)</f>
        <v/>
      </c>
      <c r="S29" s="59">
        <f>IF('[25]سجل المستخلصات'!$W$10="","",'[25]سجل المستخلصات'!$W$10)</f>
        <v/>
      </c>
      <c r="T29" s="61">
        <f>IF('[25]سجل المستخلصات'!$X$10="","",'[25]سجل المستخلصات'!$X$10)</f>
        <v/>
      </c>
      <c r="U29" s="61">
        <f>IF('[25]سجل المستخلصات'!$Z$10="","",'[25]سجل المستخلصات'!$Z$10)</f>
        <v/>
      </c>
      <c r="V29" s="59">
        <f>IF('[25]سجل المستخلصات'!$AA$10="","",'[25]سجل المستخلصات'!$AA$10)</f>
        <v/>
      </c>
      <c r="W29" s="59">
        <f>IF('[25]سجل المستخلصات'!$AC$10="","",'[25]سجل المستخلصات'!$AC$10)</f>
        <v/>
      </c>
      <c r="X29" s="62">
        <f>IF('[25]سجل المستخلصات'!$AD$10="","",'[25]سجل المستخلصات'!$AD$10)</f>
        <v/>
      </c>
      <c r="Y29" s="58">
        <f>IF('[25]سجل المستخلصات'!$AE$10="","",'[25]سجل المستخلصات'!$AE$10)</f>
        <v/>
      </c>
    </row>
    <row r="30">
      <c r="B30" s="56" t="n">
        <v>6</v>
      </c>
      <c r="C30" s="57">
        <f>IF('[25]سجل المستخلصات'!$C$11="","",'[25]سجل المستخلصات'!$C$11)</f>
        <v/>
      </c>
      <c r="D30" s="57">
        <f>IF('[25]سجل المستخلصات'!$E$11="","",'[25]سجل المستخلصات'!$E$11)</f>
        <v/>
      </c>
      <c r="E30" s="58">
        <f>IF('[25]سجل المستخلصات'!$F$11="","",'[25]سجل المستخلصات'!$F$11)</f>
        <v/>
      </c>
      <c r="F30" s="59">
        <f>IF('[25]سجل المستخلصات'!$H$11="","",'[25]سجل المستخلصات'!$H$11)</f>
        <v/>
      </c>
      <c r="G30" s="59">
        <f>IF('[25]سجل المستخلصات'!$G$11="","",'[25]سجل المستخلصات'!$G$11)</f>
        <v/>
      </c>
      <c r="H30" s="59">
        <f>IF('[25]سجل المستخلصات'!$I$11="","",'[25]سجل المستخلصات'!$I$11)</f>
        <v/>
      </c>
      <c r="I30" s="59">
        <f>IF('[25]سجل المستخلصات'!$J$11="","",'[25]سجل المستخلصات'!$J$11)</f>
        <v/>
      </c>
      <c r="J30" s="59">
        <f>IF('[25]سجل المستخلصات'!$K$11="","",'[25]سجل المستخلصات'!$K$11)</f>
        <v/>
      </c>
      <c r="K30" s="60">
        <f>IF('[25]سجل المستخلصات'!$L$11="","",'[25]سجل المستخلصات'!$L$11)</f>
        <v/>
      </c>
      <c r="L30" s="60">
        <f>IF('[25]سجل المستخلصات'!$M$11="","",'[25]سجل المستخلصات'!$M$11)</f>
        <v/>
      </c>
      <c r="M30" s="60">
        <f>IF('[25]سجل المستخلصات'!$N$11="","",'[25]سجل المستخلصات'!$N$11)</f>
        <v/>
      </c>
      <c r="N30" s="59">
        <f>IF('[25]سجل المستخلصات'!$O$11="","",'[25]سجل المستخلصات'!$O$11)</f>
        <v/>
      </c>
      <c r="O30" s="59">
        <f>IF('[25]سجل المستخلصات'!$R$11="","",'[25]سجل المستخلصات'!$R$11)</f>
        <v/>
      </c>
      <c r="P30" s="59">
        <f>IF('[25]سجل المستخلصات'!$S$11="","",'[25]سجل المستخلصات'!$S$11)</f>
        <v/>
      </c>
      <c r="Q30" s="59">
        <f>IF('[25]سجل المستخلصات'!$T$11="","",'[25]سجل المستخلصات'!$T$11)</f>
        <v/>
      </c>
      <c r="R30" s="59">
        <f>IF('[25]سجل المستخلصات'!$V$11="","",'[25]سجل المستخلصات'!$V$11)</f>
        <v/>
      </c>
      <c r="S30" s="59">
        <f>IF('[25]سجل المستخلصات'!$W$11="","",'[25]سجل المستخلصات'!$W$11)</f>
        <v/>
      </c>
      <c r="T30" s="61">
        <f>IF('[25]سجل المستخلصات'!$X$11="","",'[25]سجل المستخلصات'!$X$11)</f>
        <v/>
      </c>
      <c r="U30" s="61">
        <f>IF('[25]سجل المستخلصات'!$Z$11="","",'[25]سجل المستخلصات'!$Z$11)</f>
        <v/>
      </c>
      <c r="V30" s="59">
        <f>IF('[25]سجل المستخلصات'!$AA$11="","",'[25]سجل المستخلصات'!$AA$11)</f>
        <v/>
      </c>
      <c r="W30" s="59">
        <f>IF('[25]سجل المستخلصات'!$AC$11="","",'[25]سجل المستخلصات'!$AC$11)</f>
        <v/>
      </c>
      <c r="X30" s="62">
        <f>IF('[25]سجل المستخلصات'!$AD$11="","",'[25]سجل المستخلصات'!$AD$11)</f>
        <v/>
      </c>
      <c r="Y30" s="58">
        <f>IF('[25]سجل المستخلصات'!$AE$11="","",'[25]سجل المستخلصات'!$AE$11)</f>
        <v/>
      </c>
    </row>
    <row r="31">
      <c r="B31" s="56" t="n">
        <v>7</v>
      </c>
      <c r="C31" s="57">
        <f>IF('[25]سجل المستخلصات'!$C$12="","",'[25]سجل المستخلصات'!$C$12)</f>
        <v/>
      </c>
      <c r="D31" s="57">
        <f>IF('[25]سجل المستخلصات'!$E$12="","",'[25]سجل المستخلصات'!$E$12)</f>
        <v/>
      </c>
      <c r="E31" s="58">
        <f>IF('[25]سجل المستخلصات'!$F$12="","",'[25]سجل المستخلصات'!$F$12)</f>
        <v/>
      </c>
      <c r="F31" s="59">
        <f>IF('[25]سجل المستخلصات'!$H$12="","",'[25]سجل المستخلصات'!$H$12)</f>
        <v/>
      </c>
      <c r="G31" s="59">
        <f>IF('[25]سجل المستخلصات'!$G$12="","",'[25]سجل المستخلصات'!$G$12)</f>
        <v/>
      </c>
      <c r="H31" s="59">
        <f>IF('[25]سجل المستخلصات'!$I$12="","",'[25]سجل المستخلصات'!$I$12)</f>
        <v/>
      </c>
      <c r="I31" s="59">
        <f>IF('[25]سجل المستخلصات'!$J$12="","",'[25]سجل المستخلصات'!$J$12)</f>
        <v/>
      </c>
      <c r="J31" s="59">
        <f>IF('[25]سجل المستخلصات'!$K$12="","",'[25]سجل المستخلصات'!$K$12)</f>
        <v/>
      </c>
      <c r="K31" s="60">
        <f>IF('[25]سجل المستخلصات'!$L$12="","",'[25]سجل المستخلصات'!$L$12)</f>
        <v/>
      </c>
      <c r="L31" s="60">
        <f>IF('[25]سجل المستخلصات'!$M$12="","",'[25]سجل المستخلصات'!$M$12)</f>
        <v/>
      </c>
      <c r="M31" s="60">
        <f>IF('[25]سجل المستخلصات'!$N$12="","",'[25]سجل المستخلصات'!$N$12)</f>
        <v/>
      </c>
      <c r="N31" s="59">
        <f>IF('[25]سجل المستخلصات'!$O$12="","",'[25]سجل المستخلصات'!$O$12)</f>
        <v/>
      </c>
      <c r="O31" s="59">
        <f>IF('[25]سجل المستخلصات'!$R$12="","",'[25]سجل المستخلصات'!$R$12)</f>
        <v/>
      </c>
      <c r="P31" s="59">
        <f>IF('[25]سجل المستخلصات'!$S$12="","",'[25]سجل المستخلصات'!$S$12)</f>
        <v/>
      </c>
      <c r="Q31" s="59">
        <f>IF('[25]سجل المستخلصات'!$T$12="","",'[25]سجل المستخلصات'!$T$12)</f>
        <v/>
      </c>
      <c r="R31" s="59">
        <f>IF('[25]سجل المستخلصات'!$V$12="","",'[25]سجل المستخلصات'!$V$12)</f>
        <v/>
      </c>
      <c r="S31" s="59">
        <f>IF('[25]سجل المستخلصات'!$W$12="","",'[25]سجل المستخلصات'!$W$12)</f>
        <v/>
      </c>
      <c r="T31" s="61">
        <f>IF('[25]سجل المستخلصات'!$X$12="","",'[25]سجل المستخلصات'!$X$12)</f>
        <v/>
      </c>
      <c r="U31" s="61">
        <f>IF('[25]سجل المستخلصات'!$Z$12="","",'[25]سجل المستخلصات'!$Z$12)</f>
        <v/>
      </c>
      <c r="V31" s="59">
        <f>IF('[25]سجل المستخلصات'!$AA$12="","",'[25]سجل المستخلصات'!$AA$12)</f>
        <v/>
      </c>
      <c r="W31" s="59">
        <f>IF('[25]سجل المستخلصات'!$AC$12="","",'[25]سجل المستخلصات'!$AC$12)</f>
        <v/>
      </c>
      <c r="X31" s="62">
        <f>IF('[25]سجل المستخلصات'!$AD$12="","",'[25]سجل المستخلصات'!$AD$12)</f>
        <v/>
      </c>
      <c r="Y31" s="58">
        <f>IF('[25]سجل المستخلصات'!$AE$12="","",'[25]سجل المستخلصات'!$AE$12)</f>
        <v/>
      </c>
    </row>
    <row r="32">
      <c r="B32" s="56" t="n">
        <v>8</v>
      </c>
      <c r="C32" s="57">
        <f>IF('[25]سجل المستخلصات'!$C$13="","",'[25]سجل المستخلصات'!$C$13)</f>
        <v/>
      </c>
      <c r="D32" s="57">
        <f>IF('[25]سجل المستخلصات'!$E$13="","",'[25]سجل المستخلصات'!$E$13)</f>
        <v/>
      </c>
      <c r="E32" s="58">
        <f>IF('[25]سجل المستخلصات'!$F$13="","",'[25]سجل المستخلصات'!$F$13)</f>
        <v/>
      </c>
      <c r="F32" s="59">
        <f>IF('[25]سجل المستخلصات'!$H$13="","",'[25]سجل المستخلصات'!$H$13)</f>
        <v/>
      </c>
      <c r="G32" s="59">
        <f>IF('[25]سجل المستخلصات'!$G$13="","",'[25]سجل المستخلصات'!$G$13)</f>
        <v/>
      </c>
      <c r="H32" s="59">
        <f>IF('[25]سجل المستخلصات'!$I$13="","",'[25]سجل المستخلصات'!$I$13)</f>
        <v/>
      </c>
      <c r="I32" s="59">
        <f>IF('[25]سجل المستخلصات'!$J$13="","",'[25]سجل المستخلصات'!$J$13)</f>
        <v/>
      </c>
      <c r="J32" s="59">
        <f>IF('[25]سجل المستخلصات'!$K$13="","",'[25]سجل المستخلصات'!$K$13)</f>
        <v/>
      </c>
      <c r="K32" s="60">
        <f>IF('[25]سجل المستخلصات'!$L$13="","",'[25]سجل المستخلصات'!$L$13)</f>
        <v/>
      </c>
      <c r="L32" s="60">
        <f>IF('[25]سجل المستخلصات'!$M$13="","",'[25]سجل المستخلصات'!$M$13)</f>
        <v/>
      </c>
      <c r="M32" s="60">
        <f>IF('[25]سجل المستخلصات'!$N$13="","",'[25]سجل المستخلصات'!$N$13)</f>
        <v/>
      </c>
      <c r="N32" s="59">
        <f>IF('[25]سجل المستخلصات'!$O$13="","",'[25]سجل المستخلصات'!$O$13)</f>
        <v/>
      </c>
      <c r="O32" s="59">
        <f>IF('[25]سجل المستخلصات'!$R$13="","",'[25]سجل المستخلصات'!$R$13)</f>
        <v/>
      </c>
      <c r="P32" s="59">
        <f>IF('[25]سجل المستخلصات'!$S$13="","",'[25]سجل المستخلصات'!$S$13)</f>
        <v/>
      </c>
      <c r="Q32" s="59">
        <f>IF('[25]سجل المستخلصات'!$T$13="","",'[25]سجل المستخلصات'!$T$13)</f>
        <v/>
      </c>
      <c r="R32" s="59">
        <f>IF('[25]سجل المستخلصات'!$V$13="","",'[25]سجل المستخلصات'!$V$13)</f>
        <v/>
      </c>
      <c r="S32" s="59">
        <f>IF('[25]سجل المستخلصات'!$W$13="","",'[25]سجل المستخلصات'!$W$13)</f>
        <v/>
      </c>
      <c r="T32" s="61">
        <f>IF('[25]سجل المستخلصات'!$X$13="","",'[25]سجل المستخلصات'!$X$13)</f>
        <v/>
      </c>
      <c r="U32" s="61">
        <f>IF('[25]سجل المستخلصات'!$Z$13="","",'[25]سجل المستخلصات'!$Z$13)</f>
        <v/>
      </c>
      <c r="V32" s="59">
        <f>IF('[25]سجل المستخلصات'!$AA$13="","",'[25]سجل المستخلصات'!$AA$13)</f>
        <v/>
      </c>
      <c r="W32" s="59">
        <f>IF('[25]سجل المستخلصات'!$AC$13="","",'[25]سجل المستخلصات'!$AC$13)</f>
        <v/>
      </c>
      <c r="X32" s="62">
        <f>IF('[25]سجل المستخلصات'!$AD$13="","",'[25]سجل المستخلصات'!$AD$13)</f>
        <v/>
      </c>
      <c r="Y32" s="58">
        <f>IF('[25]سجل المستخلصات'!$AE$13="","",'[25]سجل المستخلصات'!$AE$13)</f>
        <v/>
      </c>
    </row>
    <row r="33">
      <c r="B33" s="56" t="n">
        <v>9</v>
      </c>
      <c r="C33" s="57">
        <f>IF('[25]سجل المستخلصات'!$C$14="","",'[25]سجل المستخلصات'!$C$14)</f>
        <v/>
      </c>
      <c r="D33" s="57">
        <f>IF('[25]سجل المستخلصات'!$E$14="","",'[25]سجل المستخلصات'!$E$14)</f>
        <v/>
      </c>
      <c r="E33" s="58">
        <f>IF('[25]سجل المستخلصات'!$F$14="","",'[25]سجل المستخلصات'!$F$14)</f>
        <v/>
      </c>
      <c r="F33" s="59">
        <f>IF('[25]سجل المستخلصات'!$H$14="","",'[25]سجل المستخلصات'!$H$14)</f>
        <v/>
      </c>
      <c r="G33" s="59">
        <f>IF('[25]سجل المستخلصات'!$G$14="","",'[25]سجل المستخلصات'!$G$14)</f>
        <v/>
      </c>
      <c r="H33" s="59">
        <f>IF('[25]سجل المستخلصات'!$I$14="","",'[25]سجل المستخلصات'!$I$14)</f>
        <v/>
      </c>
      <c r="I33" s="59">
        <f>IF('[25]سجل المستخلصات'!$J$14="","",'[25]سجل المستخلصات'!$J$14)</f>
        <v/>
      </c>
      <c r="J33" s="59">
        <f>IF('[25]سجل المستخلصات'!$K$14="","",'[25]سجل المستخلصات'!$K$14)</f>
        <v/>
      </c>
      <c r="K33" s="60">
        <f>IF('[25]سجل المستخلصات'!$L$14="","",'[25]سجل المستخلصات'!$L$14)</f>
        <v/>
      </c>
      <c r="L33" s="60">
        <f>IF('[25]سجل المستخلصات'!$M$14="","",'[25]سجل المستخلصات'!$M$14)</f>
        <v/>
      </c>
      <c r="M33" s="60">
        <f>IF('[25]سجل المستخلصات'!$N$14="","",'[25]سجل المستخلصات'!$N$14)</f>
        <v/>
      </c>
      <c r="N33" s="59">
        <f>IF('[25]سجل المستخلصات'!$O$14="","",'[25]سجل المستخلصات'!$O$14)</f>
        <v/>
      </c>
      <c r="O33" s="59">
        <f>IF('[25]سجل المستخلصات'!$R$14="","",'[25]سجل المستخلصات'!$R$14)</f>
        <v/>
      </c>
      <c r="P33" s="59">
        <f>IF('[25]سجل المستخلصات'!$S$14="","",'[25]سجل المستخلصات'!$S$14)</f>
        <v/>
      </c>
      <c r="Q33" s="59">
        <f>IF('[25]سجل المستخلصات'!$T$14="","",'[25]سجل المستخلصات'!$T$14)</f>
        <v/>
      </c>
      <c r="R33" s="59">
        <f>IF('[25]سجل المستخلصات'!$V$14="","",'[25]سجل المستخلصات'!$V$14)</f>
        <v/>
      </c>
      <c r="S33" s="59">
        <f>IF('[25]سجل المستخلصات'!$W$14="","",'[25]سجل المستخلصات'!$W$14)</f>
        <v/>
      </c>
      <c r="T33" s="61">
        <f>IF('[25]سجل المستخلصات'!$X$14="","",'[25]سجل المستخلصات'!$X$14)</f>
        <v/>
      </c>
      <c r="U33" s="61">
        <f>IF('[25]سجل المستخلصات'!$Z$14="","",'[25]سجل المستخلصات'!$Z$14)</f>
        <v/>
      </c>
      <c r="V33" s="59">
        <f>IF('[25]سجل المستخلصات'!$AA$14="","",'[25]سجل المستخلصات'!$AA$14)</f>
        <v/>
      </c>
      <c r="W33" s="59">
        <f>IF('[25]سجل المستخلصات'!$AC$14="","",'[25]سجل المستخلصات'!$AC$14)</f>
        <v/>
      </c>
      <c r="X33" s="62">
        <f>IF('[25]سجل المستخلصات'!$AD$14="","",'[25]سجل المستخلصات'!$AD$14)</f>
        <v/>
      </c>
      <c r="Y33" s="58">
        <f>IF('[25]سجل المستخلصات'!$AE$14="","",'[25]سجل المستخلصات'!$AE$14)</f>
        <v/>
      </c>
    </row>
    <row r="34">
      <c r="B34" s="56" t="n">
        <v>10</v>
      </c>
      <c r="C34" s="57">
        <f>IF('[25]سجل المستخلصات'!$C$15="","",'[25]سجل المستخلصات'!$C$15)</f>
        <v/>
      </c>
      <c r="D34" s="57">
        <f>IF('[25]سجل المستخلصات'!$E$15="","",'[25]سجل المستخلصات'!$E$15)</f>
        <v/>
      </c>
      <c r="E34" s="58">
        <f>IF('[25]سجل المستخلصات'!$F$15="","",'[25]سجل المستخلصات'!$F$15)</f>
        <v/>
      </c>
      <c r="F34" s="59">
        <f>IF('[25]سجل المستخلصات'!$H$15="","",'[25]سجل المستخلصات'!$H$15)</f>
        <v/>
      </c>
      <c r="G34" s="59">
        <f>IF('[25]سجل المستخلصات'!$G$15="","",'[25]سجل المستخلصات'!$G$15)</f>
        <v/>
      </c>
      <c r="H34" s="59">
        <f>IF('[25]سجل المستخلصات'!$I$15="","",'[25]سجل المستخلصات'!$I$15)</f>
        <v/>
      </c>
      <c r="I34" s="59">
        <f>IF('[25]سجل المستخلصات'!$J$15="","",'[25]سجل المستخلصات'!$J$15)</f>
        <v/>
      </c>
      <c r="J34" s="59">
        <f>IF('[25]سجل المستخلصات'!$K$15="","",'[25]سجل المستخلصات'!$K$15)</f>
        <v/>
      </c>
      <c r="K34" s="60">
        <f>IF('[25]سجل المستخلصات'!$L$15="","",'[25]سجل المستخلصات'!$L$15)</f>
        <v/>
      </c>
      <c r="L34" s="60">
        <f>IF('[25]سجل المستخلصات'!$M$15="","",'[25]سجل المستخلصات'!$M$15)</f>
        <v/>
      </c>
      <c r="M34" s="60">
        <f>IF('[25]سجل المستخلصات'!$N$15="","",'[25]سجل المستخلصات'!$N$15)</f>
        <v/>
      </c>
      <c r="N34" s="59">
        <f>IF('[25]سجل المستخلصات'!$O$15="","",'[25]سجل المستخلصات'!$O$15)</f>
        <v/>
      </c>
      <c r="O34" s="59">
        <f>IF('[25]سجل المستخلصات'!$R$15="","",'[25]سجل المستخلصات'!$R$15)</f>
        <v/>
      </c>
      <c r="P34" s="59">
        <f>IF('[25]سجل المستخلصات'!$S$15="","",'[25]سجل المستخلصات'!$S$15)</f>
        <v/>
      </c>
      <c r="Q34" s="59">
        <f>IF('[25]سجل المستخلصات'!$T$15="","",'[25]سجل المستخلصات'!$T$15)</f>
        <v/>
      </c>
      <c r="R34" s="59">
        <f>IF('[25]سجل المستخلصات'!$V$15="","",'[25]سجل المستخلصات'!$V$15)</f>
        <v/>
      </c>
      <c r="S34" s="59">
        <f>IF('[25]سجل المستخلصات'!$W$15="","",'[25]سجل المستخلصات'!$W$15)</f>
        <v/>
      </c>
      <c r="T34" s="61">
        <f>IF('[25]سجل المستخلصات'!$X$15="","",'[25]سجل المستخلصات'!$X$15)</f>
        <v/>
      </c>
      <c r="U34" s="61">
        <f>IF('[25]سجل المستخلصات'!$Z$15="","",'[25]سجل المستخلصات'!$Z$15)</f>
        <v/>
      </c>
      <c r="V34" s="59">
        <f>IF('[25]سجل المستخلصات'!$AA$15="","",'[25]سجل المستخلصات'!$AA$15)</f>
        <v/>
      </c>
      <c r="W34" s="59">
        <f>IF('[25]سجل المستخلصات'!$AC$15="","",'[25]سجل المستخلصات'!$AC$15)</f>
        <v/>
      </c>
      <c r="X34" s="62">
        <f>IF('[25]سجل المستخلصات'!$AD$15="","",'[25]سجل المستخلصات'!$AD$15)</f>
        <v/>
      </c>
      <c r="Y34" s="58">
        <f>IF('[25]سجل المستخلصات'!$AE$15="","",'[25]سجل المستخلصات'!$AE$15)</f>
        <v/>
      </c>
    </row>
    <row r="35">
      <c r="B35" s="56" t="n">
        <v>11</v>
      </c>
      <c r="C35" s="57">
        <f>IF('[25]سجل المستخلصات'!$C$16="","",'[25]سجل المستخلصات'!$C$16)</f>
        <v/>
      </c>
      <c r="D35" s="57">
        <f>IF('[25]سجل المستخلصات'!$E$16="","",'[25]سجل المستخلصات'!$E$16)</f>
        <v/>
      </c>
      <c r="E35" s="58">
        <f>IF('[25]سجل المستخلصات'!$F$16="","",'[25]سجل المستخلصات'!$F$16)</f>
        <v/>
      </c>
      <c r="F35" s="59">
        <f>IF('[25]سجل المستخلصات'!$H$16="","",'[25]سجل المستخلصات'!$H$16)</f>
        <v/>
      </c>
      <c r="G35" s="59">
        <f>IF('[25]سجل المستخلصات'!$G$16="","",'[25]سجل المستخلصات'!$G$16)</f>
        <v/>
      </c>
      <c r="H35" s="59">
        <f>IF('[25]سجل المستخلصات'!$I$16="","",'[25]سجل المستخلصات'!$I$16)</f>
        <v/>
      </c>
      <c r="I35" s="59">
        <f>IF('[25]سجل المستخلصات'!$J$16="","",'[25]سجل المستخلصات'!$J$16)</f>
        <v/>
      </c>
      <c r="J35" s="59">
        <f>IF('[25]سجل المستخلصات'!$K$16="","",'[25]سجل المستخلصات'!$K$16)</f>
        <v/>
      </c>
      <c r="K35" s="60">
        <f>IF('[25]سجل المستخلصات'!$L$16="","",'[25]سجل المستخلصات'!$L$16)</f>
        <v/>
      </c>
      <c r="L35" s="60">
        <f>IF('[25]سجل المستخلصات'!$M$16="","",'[25]سجل المستخلصات'!$M$16)</f>
        <v/>
      </c>
      <c r="M35" s="60">
        <f>IF('[25]سجل المستخلصات'!$N$16="","",'[25]سجل المستخلصات'!$N$16)</f>
        <v/>
      </c>
      <c r="N35" s="59">
        <f>IF('[25]سجل المستخلصات'!$O$16="","",'[25]سجل المستخلصات'!$O$16)</f>
        <v/>
      </c>
      <c r="O35" s="59">
        <f>IF('[25]سجل المستخلصات'!$R$16="","",'[25]سجل المستخلصات'!$R$16)</f>
        <v/>
      </c>
      <c r="P35" s="59">
        <f>IF('[25]سجل المستخلصات'!$S$16="","",'[25]سجل المستخلصات'!$S$16)</f>
        <v/>
      </c>
      <c r="Q35" s="59">
        <f>IF('[25]سجل المستخلصات'!$T$16="","",'[25]سجل المستخلصات'!$T$16)</f>
        <v/>
      </c>
      <c r="R35" s="59">
        <f>IF('[25]سجل المستخلصات'!$V$16="","",'[25]سجل المستخلصات'!$V$16)</f>
        <v/>
      </c>
      <c r="S35" s="59">
        <f>IF('[25]سجل المستخلصات'!$W$16="","",'[25]سجل المستخلصات'!$W$16)</f>
        <v/>
      </c>
      <c r="T35" s="61">
        <f>IF('[25]سجل المستخلصات'!$X$16="","",'[25]سجل المستخلصات'!$X$16)</f>
        <v/>
      </c>
      <c r="U35" s="61">
        <f>IF('[25]سجل المستخلصات'!$Z$16="","",'[25]سجل المستخلصات'!$Z$16)</f>
        <v/>
      </c>
      <c r="V35" s="59">
        <f>IF('[25]سجل المستخلصات'!$AA$16="","",'[25]سجل المستخلصات'!$AA$16)</f>
        <v/>
      </c>
      <c r="W35" s="59">
        <f>IF('[25]سجل المستخلصات'!$AC$16="","",'[25]سجل المستخلصات'!$AC$16)</f>
        <v/>
      </c>
      <c r="X35" s="62">
        <f>IF('[25]سجل المستخلصات'!$AD$16="","",'[25]سجل المستخلصات'!$AD$16)</f>
        <v/>
      </c>
      <c r="Y35" s="58">
        <f>IF('[25]سجل المستخلصات'!$AE$16="","",'[25]سجل المستخلصات'!$AE$16)</f>
        <v/>
      </c>
    </row>
    <row r="36">
      <c r="B36" s="56" t="n">
        <v>12</v>
      </c>
      <c r="C36" s="57">
        <f>IF('[25]سجل المستخلصات'!$C$17="","",'[25]سجل المستخلصات'!$C$17)</f>
        <v/>
      </c>
      <c r="D36" s="57">
        <f>IF('[25]سجل المستخلصات'!$E$17="","",'[25]سجل المستخلصات'!$E$17)</f>
        <v/>
      </c>
      <c r="E36" s="58">
        <f>IF('[25]سجل المستخلصات'!$F$17="","",'[25]سجل المستخلصات'!$F$17)</f>
        <v/>
      </c>
      <c r="F36" s="59">
        <f>IF('[25]سجل المستخلصات'!$H$17="","",'[25]سجل المستخلصات'!$H$17)</f>
        <v/>
      </c>
      <c r="G36" s="59">
        <f>IF('[25]سجل المستخلصات'!$G$17="","",'[25]سجل المستخلصات'!$G$17)</f>
        <v/>
      </c>
      <c r="H36" s="59">
        <f>IF('[25]سجل المستخلصات'!$I$17="","",'[25]سجل المستخلصات'!$I$17)</f>
        <v/>
      </c>
      <c r="I36" s="59">
        <f>IF('[25]سجل المستخلصات'!$J$17="","",'[25]سجل المستخلصات'!$J$17)</f>
        <v/>
      </c>
      <c r="J36" s="59">
        <f>IF('[25]سجل المستخلصات'!$K$17="","",'[25]سجل المستخلصات'!$K$17)</f>
        <v/>
      </c>
      <c r="K36" s="60">
        <f>IF('[25]سجل المستخلصات'!$L$17="","",'[25]سجل المستخلصات'!$L$17)</f>
        <v/>
      </c>
      <c r="L36" s="60">
        <f>IF('[25]سجل المستخلصات'!$M$17="","",'[25]سجل المستخلصات'!$M$17)</f>
        <v/>
      </c>
      <c r="M36" s="60">
        <f>IF('[25]سجل المستخلصات'!$N$17="","",'[25]سجل المستخلصات'!$N$17)</f>
        <v/>
      </c>
      <c r="N36" s="59">
        <f>IF('[25]سجل المستخلصات'!$O$17="","",'[25]سجل المستخلصات'!$O$17)</f>
        <v/>
      </c>
      <c r="O36" s="59">
        <f>IF('[25]سجل المستخلصات'!$R$17="","",'[25]سجل المستخلصات'!$R$17)</f>
        <v/>
      </c>
      <c r="P36" s="59">
        <f>IF('[25]سجل المستخلصات'!$S$17="","",'[25]سجل المستخلصات'!$S$17)</f>
        <v/>
      </c>
      <c r="Q36" s="59">
        <f>IF('[25]سجل المستخلصات'!$T$17="","",'[25]سجل المستخلصات'!$T$17)</f>
        <v/>
      </c>
      <c r="R36" s="59">
        <f>IF('[25]سجل المستخلصات'!$V$17="","",'[25]سجل المستخلصات'!$V$17)</f>
        <v/>
      </c>
      <c r="S36" s="59">
        <f>IF('[25]سجل المستخلصات'!$W$17="","",'[25]سجل المستخلصات'!$W$17)</f>
        <v/>
      </c>
      <c r="T36" s="61">
        <f>IF('[25]سجل المستخلصات'!$X$17="","",'[25]سجل المستخلصات'!$X$17)</f>
        <v/>
      </c>
      <c r="U36" s="61">
        <f>IF('[25]سجل المستخلصات'!$Z$17="","",'[25]سجل المستخلصات'!$Z$17)</f>
        <v/>
      </c>
      <c r="V36" s="59">
        <f>IF('[25]سجل المستخلصات'!$AA$17="","",'[25]سجل المستخلصات'!$AA$17)</f>
        <v/>
      </c>
      <c r="W36" s="59">
        <f>IF('[25]سجل المستخلصات'!$AC$17="","",'[25]سجل المستخلصات'!$AC$17)</f>
        <v/>
      </c>
      <c r="X36" s="62">
        <f>IF('[25]سجل المستخلصات'!$AD$17="","",'[25]سجل المستخلصات'!$AD$17)</f>
        <v/>
      </c>
      <c r="Y36" s="58">
        <f>IF('[25]سجل المستخلصات'!$AE$17="","",'[25]سجل المستخلصات'!$AE$17)</f>
        <v/>
      </c>
    </row>
    <row r="37">
      <c r="B37" s="56" t="n">
        <v>13</v>
      </c>
      <c r="C37" s="57">
        <f>IF('[25]سجل المستخلصات'!$C$18="","",'[25]سجل المستخلصات'!$C$18)</f>
        <v/>
      </c>
      <c r="D37" s="57">
        <f>IF('[25]سجل المستخلصات'!$E$18="","",'[25]سجل المستخلصات'!$E$18)</f>
        <v/>
      </c>
      <c r="E37" s="58">
        <f>IF('[25]سجل المستخلصات'!$F$18="","",'[25]سجل المستخلصات'!$F$18)</f>
        <v/>
      </c>
      <c r="F37" s="59">
        <f>IF('[25]سجل المستخلصات'!$H$18="","",'[25]سجل المستخلصات'!$H$18)</f>
        <v/>
      </c>
      <c r="G37" s="59">
        <f>IF('[25]سجل المستخلصات'!$G$18="","",'[25]سجل المستخلصات'!$G$18)</f>
        <v/>
      </c>
      <c r="H37" s="59">
        <f>IF('[25]سجل المستخلصات'!$I$18="","",'[25]سجل المستخلصات'!$I$18)</f>
        <v/>
      </c>
      <c r="I37" s="59">
        <f>IF('[25]سجل المستخلصات'!$J$18="","",'[25]سجل المستخلصات'!$J$18)</f>
        <v/>
      </c>
      <c r="J37" s="59">
        <f>IF('[25]سجل المستخلصات'!$K$18="","",'[25]سجل المستخلصات'!$K$18)</f>
        <v/>
      </c>
      <c r="K37" s="60">
        <f>IF('[25]سجل المستخلصات'!$L$18="","",'[25]سجل المستخلصات'!$L$18)</f>
        <v/>
      </c>
      <c r="L37" s="60">
        <f>IF('[25]سجل المستخلصات'!$M$18="","",'[25]سجل المستخلصات'!$M$18)</f>
        <v/>
      </c>
      <c r="M37" s="60">
        <f>IF('[25]سجل المستخلصات'!$N$18="","",'[25]سجل المستخلصات'!$N$18)</f>
        <v/>
      </c>
      <c r="N37" s="59">
        <f>IF('[25]سجل المستخلصات'!$O$18="","",'[25]سجل المستخلصات'!$O$18)</f>
        <v/>
      </c>
      <c r="O37" s="59">
        <f>IF('[25]سجل المستخلصات'!$R$18="","",'[25]سجل المستخلصات'!$R$18)</f>
        <v/>
      </c>
      <c r="P37" s="59">
        <f>IF('[25]سجل المستخلصات'!$S$18="","",'[25]سجل المستخلصات'!$S$18)</f>
        <v/>
      </c>
      <c r="Q37" s="59">
        <f>IF('[25]سجل المستخلصات'!$T$18="","",'[25]سجل المستخلصات'!$T$18)</f>
        <v/>
      </c>
      <c r="R37" s="59">
        <f>IF('[25]سجل المستخلصات'!$V$18="","",'[25]سجل المستخلصات'!$V$18)</f>
        <v/>
      </c>
      <c r="S37" s="59">
        <f>IF('[25]سجل المستخلصات'!$W$18="","",'[25]سجل المستخلصات'!$W$18)</f>
        <v/>
      </c>
      <c r="T37" s="61">
        <f>IF('[25]سجل المستخلصات'!$X$18="","",'[25]سجل المستخلصات'!$X$18)</f>
        <v/>
      </c>
      <c r="U37" s="61">
        <f>IF('[25]سجل المستخلصات'!$Z$18="","",'[25]سجل المستخلصات'!$Z$18)</f>
        <v/>
      </c>
      <c r="V37" s="59">
        <f>IF('[25]سجل المستخلصات'!$AA$18="","",'[25]سجل المستخلصات'!$AA$18)</f>
        <v/>
      </c>
      <c r="W37" s="59">
        <f>IF('[25]سجل المستخلصات'!$AC$18="","",'[25]سجل المستخلصات'!$AC$18)</f>
        <v/>
      </c>
      <c r="X37" s="62">
        <f>IF('[25]سجل المستخلصات'!$AD$18="","",'[25]سجل المستخلصات'!$AD$18)</f>
        <v/>
      </c>
      <c r="Y37" s="58">
        <f>IF('[25]سجل المستخلصات'!$AE$18="","",'[25]سجل المستخلصات'!$AE$18)</f>
        <v/>
      </c>
    </row>
    <row r="38">
      <c r="B38" s="56" t="n">
        <v>14</v>
      </c>
      <c r="C38" s="57">
        <f>IF('[25]سجل المستخلصات'!$C$19="","",'[25]سجل المستخلصات'!$C$19)</f>
        <v/>
      </c>
      <c r="D38" s="57">
        <f>IF('[25]سجل المستخلصات'!$E$19="","",'[25]سجل المستخلصات'!$E$19)</f>
        <v/>
      </c>
      <c r="E38" s="58">
        <f>IF('[25]سجل المستخلصات'!$F$19="","",'[25]سجل المستخلصات'!$F$19)</f>
        <v/>
      </c>
      <c r="F38" s="59">
        <f>IF('[25]سجل المستخلصات'!$H$19="","",'[25]سجل المستخلصات'!$H$19)</f>
        <v/>
      </c>
      <c r="G38" s="59">
        <f>IF('[25]سجل المستخلصات'!$G$19="","",'[25]سجل المستخلصات'!$G$19)</f>
        <v/>
      </c>
      <c r="H38" s="59">
        <f>IF('[25]سجل المستخلصات'!$I$19="","",'[25]سجل المستخلصات'!$I$19)</f>
        <v/>
      </c>
      <c r="I38" s="59">
        <f>IF('[25]سجل المستخلصات'!$J$19="","",'[25]سجل المستخلصات'!$J$19)</f>
        <v/>
      </c>
      <c r="J38" s="59">
        <f>IF('[25]سجل المستخلصات'!$K$19="","",'[25]سجل المستخلصات'!$K$19)</f>
        <v/>
      </c>
      <c r="K38" s="60">
        <f>IF('[25]سجل المستخلصات'!$L$19="","",'[25]سجل المستخلصات'!$L$19)</f>
        <v/>
      </c>
      <c r="L38" s="60">
        <f>IF('[25]سجل المستخلصات'!$M$19="","",'[25]سجل المستخلصات'!$M$19)</f>
        <v/>
      </c>
      <c r="M38" s="60">
        <f>IF('[25]سجل المستخلصات'!$N$19="","",'[25]سجل المستخلصات'!$N$19)</f>
        <v/>
      </c>
      <c r="N38" s="59">
        <f>IF('[25]سجل المستخلصات'!$O$19="","",'[25]سجل المستخلصات'!$O$19)</f>
        <v/>
      </c>
      <c r="O38" s="59">
        <f>IF('[25]سجل المستخلصات'!$R$19="","",'[25]سجل المستخلصات'!$R$19)</f>
        <v/>
      </c>
      <c r="P38" s="59">
        <f>IF('[25]سجل المستخلصات'!$S$19="","",'[25]سجل المستخلصات'!$S$19)</f>
        <v/>
      </c>
      <c r="Q38" s="59">
        <f>IF('[25]سجل المستخلصات'!$T$19="","",'[25]سجل المستخلصات'!$T$19)</f>
        <v/>
      </c>
      <c r="R38" s="59">
        <f>IF('[25]سجل المستخلصات'!$V$19="","",'[25]سجل المستخلصات'!$V$19)</f>
        <v/>
      </c>
      <c r="S38" s="59">
        <f>IF('[25]سجل المستخلصات'!$W$19="","",'[25]سجل المستخلصات'!$W$19)</f>
        <v/>
      </c>
      <c r="T38" s="61">
        <f>IF('[25]سجل المستخلصات'!$X$19="","",'[25]سجل المستخلصات'!$X$19)</f>
        <v/>
      </c>
      <c r="U38" s="61">
        <f>IF('[25]سجل المستخلصات'!$Z$19="","",'[25]سجل المستخلصات'!$Z$19)</f>
        <v/>
      </c>
      <c r="V38" s="59">
        <f>IF('[25]سجل المستخلصات'!$AA$19="","",'[25]سجل المستخلصات'!$AA$19)</f>
        <v/>
      </c>
      <c r="W38" s="59">
        <f>IF('[25]سجل المستخلصات'!$AC$19="","",'[25]سجل المستخلصات'!$AC$19)</f>
        <v/>
      </c>
      <c r="X38" s="62">
        <f>IF('[25]سجل المستخلصات'!$AD$19="","",'[25]سجل المستخلصات'!$AD$19)</f>
        <v/>
      </c>
      <c r="Y38" s="58">
        <f>IF('[25]سجل المستخلصات'!$AE$19="","",'[25]سجل المستخلصات'!$AE$19)</f>
        <v/>
      </c>
    </row>
    <row r="39">
      <c r="B39" s="56" t="n">
        <v>15</v>
      </c>
      <c r="C39" s="57">
        <f>IF('[25]سجل المستخلصات'!$C$20="","",'[25]سجل المستخلصات'!$C$20)</f>
        <v/>
      </c>
      <c r="D39" s="57">
        <f>IF('[25]سجل المستخلصات'!$E$20="","",'[25]سجل المستخلصات'!$E$20)</f>
        <v/>
      </c>
      <c r="E39" s="58">
        <f>IF('[25]سجل المستخلصات'!$F$20="","",'[25]سجل المستخلصات'!$F$20)</f>
        <v/>
      </c>
      <c r="F39" s="59">
        <f>IF('[25]سجل المستخلصات'!$H$20="","",'[25]سجل المستخلصات'!$H$20)</f>
        <v/>
      </c>
      <c r="G39" s="59">
        <f>IF('[25]سجل المستخلصات'!$G$20="","",'[25]سجل المستخلصات'!$G$20)</f>
        <v/>
      </c>
      <c r="H39" s="59">
        <f>IF('[25]سجل المستخلصات'!$I$20="","",'[25]سجل المستخلصات'!$I$20)</f>
        <v/>
      </c>
      <c r="I39" s="59">
        <f>IF('[25]سجل المستخلصات'!$J$20="","",'[25]سجل المستخلصات'!$J$20)</f>
        <v/>
      </c>
      <c r="J39" s="59">
        <f>IF('[25]سجل المستخلصات'!$K$20="","",'[25]سجل المستخلصات'!$K$20)</f>
        <v/>
      </c>
      <c r="K39" s="60">
        <f>IF('[25]سجل المستخلصات'!$L$20="","",'[25]سجل المستخلصات'!$L$20)</f>
        <v/>
      </c>
      <c r="L39" s="60">
        <f>IF('[25]سجل المستخلصات'!$M$20="","",'[25]سجل المستخلصات'!$M$20)</f>
        <v/>
      </c>
      <c r="M39" s="60">
        <f>IF('[25]سجل المستخلصات'!$N$20="","",'[25]سجل المستخلصات'!$N$20)</f>
        <v/>
      </c>
      <c r="N39" s="59">
        <f>IF('[25]سجل المستخلصات'!$O$20="","",'[25]سجل المستخلصات'!$O$20)</f>
        <v/>
      </c>
      <c r="O39" s="59">
        <f>IF('[25]سجل المستخلصات'!$R$20="","",'[25]سجل المستخلصات'!$R$20)</f>
        <v/>
      </c>
      <c r="P39" s="59">
        <f>IF('[25]سجل المستخلصات'!$S$20="","",'[25]سجل المستخلصات'!$S$20)</f>
        <v/>
      </c>
      <c r="Q39" s="59">
        <f>IF('[25]سجل المستخلصات'!$T$20="","",'[25]سجل المستخلصات'!$T$20)</f>
        <v/>
      </c>
      <c r="R39" s="59">
        <f>IF('[25]سجل المستخلصات'!$V$20="","",'[25]سجل المستخلصات'!$V$20)</f>
        <v/>
      </c>
      <c r="S39" s="59">
        <f>IF('[25]سجل المستخلصات'!$W$20="","",'[25]سجل المستخلصات'!$W$20)</f>
        <v/>
      </c>
      <c r="T39" s="61">
        <f>IF('[25]سجل المستخلصات'!$X$20="","",'[25]سجل المستخلصات'!$X$20)</f>
        <v/>
      </c>
      <c r="U39" s="61">
        <f>IF('[25]سجل المستخلصات'!$Z$20="","",'[25]سجل المستخلصات'!$Z$20)</f>
        <v/>
      </c>
      <c r="V39" s="59">
        <f>IF('[25]سجل المستخلصات'!$AA$20="","",'[25]سجل المستخلصات'!$AA$20)</f>
        <v/>
      </c>
      <c r="W39" s="59">
        <f>IF('[25]سجل المستخلصات'!$AC$20="","",'[25]سجل المستخلصات'!$AC$20)</f>
        <v/>
      </c>
      <c r="X39" s="62">
        <f>IF('[25]سجل المستخلصات'!$AD$20="","",'[25]سجل المستخلصات'!$AD$20)</f>
        <v/>
      </c>
      <c r="Y39" s="58">
        <f>IF('[25]سجل المستخلصات'!$AE$20="","",'[25]سجل المستخلصات'!$AE$20)</f>
        <v/>
      </c>
    </row>
    <row r="40">
      <c r="B40" s="56" t="n">
        <v>16</v>
      </c>
      <c r="C40" s="57">
        <f>IF('[25]سجل المستخلصات'!$C$21="","",'[25]سجل المستخلصات'!$C$21)</f>
        <v/>
      </c>
      <c r="D40" s="57">
        <f>IF('[25]سجل المستخلصات'!$E$21="","",'[25]سجل المستخلصات'!$E$21)</f>
        <v/>
      </c>
      <c r="E40" s="58">
        <f>IF('[25]سجل المستخلصات'!$F$21="","",'[25]سجل المستخلصات'!$F$21)</f>
        <v/>
      </c>
      <c r="F40" s="59">
        <f>IF('[25]سجل المستخلصات'!$H$21="","",'[25]سجل المستخلصات'!$H$21)</f>
        <v/>
      </c>
      <c r="G40" s="59">
        <f>IF('[25]سجل المستخلصات'!$G$21="","",'[25]سجل المستخلصات'!$G$21)</f>
        <v/>
      </c>
      <c r="H40" s="59">
        <f>IF('[25]سجل المستخلصات'!$I$21="","",'[25]سجل المستخلصات'!$I$21)</f>
        <v/>
      </c>
      <c r="I40" s="59">
        <f>IF('[25]سجل المستخلصات'!$J$21="","",'[25]سجل المستخلصات'!$J$21)</f>
        <v/>
      </c>
      <c r="J40" s="59">
        <f>IF('[25]سجل المستخلصات'!$K$21="","",'[25]سجل المستخلصات'!$K$21)</f>
        <v/>
      </c>
      <c r="K40" s="60">
        <f>IF('[25]سجل المستخلصات'!$L$21="","",'[25]سجل المستخلصات'!$L$21)</f>
        <v/>
      </c>
      <c r="L40" s="60">
        <f>IF('[25]سجل المستخلصات'!$M$21="","",'[25]سجل المستخلصات'!$M$21)</f>
        <v/>
      </c>
      <c r="M40" s="60">
        <f>IF('[25]سجل المستخلصات'!$N$21="","",'[25]سجل المستخلصات'!$N$21)</f>
        <v/>
      </c>
      <c r="N40" s="59">
        <f>IF('[25]سجل المستخلصات'!$O$21="","",'[25]سجل المستخلصات'!$O$21)</f>
        <v/>
      </c>
      <c r="O40" s="59">
        <f>IF('[25]سجل المستخلصات'!$R$21="","",'[25]سجل المستخلصات'!$R$21)</f>
        <v/>
      </c>
      <c r="P40" s="59">
        <f>IF('[25]سجل المستخلصات'!$S$21="","",'[25]سجل المستخلصات'!$S$21)</f>
        <v/>
      </c>
      <c r="Q40" s="59">
        <f>IF('[25]سجل المستخلصات'!$T$21="","",'[25]سجل المستخلصات'!$T$21)</f>
        <v/>
      </c>
      <c r="R40" s="59">
        <f>IF('[25]سجل المستخلصات'!$V$21="","",'[25]سجل المستخلصات'!$V$21)</f>
        <v/>
      </c>
      <c r="S40" s="59">
        <f>IF('[25]سجل المستخلصات'!$W$21="","",'[25]سجل المستخلصات'!$W$21)</f>
        <v/>
      </c>
      <c r="T40" s="61">
        <f>IF('[25]سجل المستخلصات'!$X$21="","",'[25]سجل المستخلصات'!$X$21)</f>
        <v/>
      </c>
      <c r="U40" s="61">
        <f>IF('[25]سجل المستخلصات'!$Z$21="","",'[25]سجل المستخلصات'!$Z$21)</f>
        <v/>
      </c>
      <c r="V40" s="59">
        <f>IF('[25]سجل المستخلصات'!$AA$21="","",'[25]سجل المستخلصات'!$AA$21)</f>
        <v/>
      </c>
      <c r="W40" s="59">
        <f>IF('[25]سجل المستخلصات'!$AC$21="","",'[25]سجل المستخلصات'!$AC$21)</f>
        <v/>
      </c>
      <c r="X40" s="62">
        <f>IF('[25]سجل المستخلصات'!$AD$21="","",'[25]سجل المستخلصات'!$AD$21)</f>
        <v/>
      </c>
      <c r="Y40" s="58">
        <f>IF('[25]سجل المستخلصات'!$AE$21="","",'[25]سجل المستخلصات'!$AE$21)</f>
        <v/>
      </c>
    </row>
    <row r="41">
      <c r="B41" s="56" t="n">
        <v>17</v>
      </c>
      <c r="C41" s="57">
        <f>IF('[25]سجل المستخلصات'!$C$22="","",'[25]سجل المستخلصات'!$C$22)</f>
        <v/>
      </c>
      <c r="D41" s="57">
        <f>IF('[25]سجل المستخلصات'!$E$22="","",'[25]سجل المستخلصات'!$E$22)</f>
        <v/>
      </c>
      <c r="E41" s="58">
        <f>IF('[25]سجل المستخلصات'!$F$22="","",'[25]سجل المستخلصات'!$F$22)</f>
        <v/>
      </c>
      <c r="F41" s="59">
        <f>IF('[25]سجل المستخلصات'!$H$22="","",'[25]سجل المستخلصات'!$H$22)</f>
        <v/>
      </c>
      <c r="G41" s="59">
        <f>IF('[25]سجل المستخلصات'!$G$22="","",'[25]سجل المستخلصات'!$G$22)</f>
        <v/>
      </c>
      <c r="H41" s="59">
        <f>IF('[25]سجل المستخلصات'!$I$22="","",'[25]سجل المستخلصات'!$I$22)</f>
        <v/>
      </c>
      <c r="I41" s="59">
        <f>IF('[25]سجل المستخلصات'!$J$22="","",'[25]سجل المستخلصات'!$J$22)</f>
        <v/>
      </c>
      <c r="J41" s="59">
        <f>IF('[25]سجل المستخلصات'!$K$22="","",'[25]سجل المستخلصات'!$K$22)</f>
        <v/>
      </c>
      <c r="K41" s="60">
        <f>IF('[25]سجل المستخلصات'!$L$22="","",'[25]سجل المستخلصات'!$L$22)</f>
        <v/>
      </c>
      <c r="L41" s="60">
        <f>IF('[25]سجل المستخلصات'!$M$22="","",'[25]سجل المستخلصات'!$M$22)</f>
        <v/>
      </c>
      <c r="M41" s="60">
        <f>IF('[25]سجل المستخلصات'!$N$22="","",'[25]سجل المستخلصات'!$N$22)</f>
        <v/>
      </c>
      <c r="N41" s="59">
        <f>IF('[25]سجل المستخلصات'!$O$22="","",'[25]سجل المستخلصات'!$O$22)</f>
        <v/>
      </c>
      <c r="O41" s="59">
        <f>IF('[25]سجل المستخلصات'!$R$22="","",'[25]سجل المستخلصات'!$R$22)</f>
        <v/>
      </c>
      <c r="P41" s="59">
        <f>IF('[25]سجل المستخلصات'!$S$22="","",'[25]سجل المستخلصات'!$S$22)</f>
        <v/>
      </c>
      <c r="Q41" s="59">
        <f>IF('[25]سجل المستخلصات'!$T$22="","",'[25]سجل المستخلصات'!$T$22)</f>
        <v/>
      </c>
      <c r="R41" s="59">
        <f>IF('[25]سجل المستخلصات'!$V$22="","",'[25]سجل المستخلصات'!$V$22)</f>
        <v/>
      </c>
      <c r="S41" s="59">
        <f>IF('[25]سجل المستخلصات'!$W$22="","",'[25]سجل المستخلصات'!$W$22)</f>
        <v/>
      </c>
      <c r="T41" s="61">
        <f>IF('[25]سجل المستخلصات'!$X$22="","",'[25]سجل المستخلصات'!$X$22)</f>
        <v/>
      </c>
      <c r="U41" s="61">
        <f>IF('[25]سجل المستخلصات'!$Z$22="","",'[25]سجل المستخلصات'!$Z$22)</f>
        <v/>
      </c>
      <c r="V41" s="59">
        <f>IF('[25]سجل المستخلصات'!$AA$22="","",'[25]سجل المستخلصات'!$AA$22)</f>
        <v/>
      </c>
      <c r="W41" s="59">
        <f>IF('[25]سجل المستخلصات'!$AC$22="","",'[25]سجل المستخلصات'!$AC$22)</f>
        <v/>
      </c>
      <c r="X41" s="62">
        <f>IF('[25]سجل المستخلصات'!$AD$22="","",'[25]سجل المستخلصات'!$AD$22)</f>
        <v/>
      </c>
      <c r="Y41" s="58">
        <f>IF('[25]سجل المستخلصات'!$AE$22="","",'[25]سجل المستخلصات'!$AE$22)</f>
        <v/>
      </c>
    </row>
    <row r="42">
      <c r="B42" s="56" t="n">
        <v>18</v>
      </c>
      <c r="C42" s="57">
        <f>IF('[25]سجل المستخلصات'!$C$23="","",'[25]سجل المستخلصات'!$C$23)</f>
        <v/>
      </c>
      <c r="D42" s="57">
        <f>IF('[25]سجل المستخلصات'!$E$23="","",'[25]سجل المستخلصات'!$E$23)</f>
        <v/>
      </c>
      <c r="E42" s="58">
        <f>IF('[25]سجل المستخلصات'!$F$23="","",'[25]سجل المستخلصات'!$F$23)</f>
        <v/>
      </c>
      <c r="F42" s="59">
        <f>IF('[25]سجل المستخلصات'!$H$23="","",'[25]سجل المستخلصات'!$H$23)</f>
        <v/>
      </c>
      <c r="G42" s="59">
        <f>IF('[25]سجل المستخلصات'!$G$23="","",'[25]سجل المستخلصات'!$G$23)</f>
        <v/>
      </c>
      <c r="H42" s="59">
        <f>IF('[25]سجل المستخلصات'!$I$23="","",'[25]سجل المستخلصات'!$I$23)</f>
        <v/>
      </c>
      <c r="I42" s="59">
        <f>IF('[25]سجل المستخلصات'!$J$23="","",'[25]سجل المستخلصات'!$J$23)</f>
        <v/>
      </c>
      <c r="J42" s="59">
        <f>IF('[25]سجل المستخلصات'!$K$23="","",'[25]سجل المستخلصات'!$K$23)</f>
        <v/>
      </c>
      <c r="K42" s="60">
        <f>IF('[25]سجل المستخلصات'!$L$23="","",'[25]سجل المستخلصات'!$L$23)</f>
        <v/>
      </c>
      <c r="L42" s="60">
        <f>IF('[25]سجل المستخلصات'!$M$23="","",'[25]سجل المستخلصات'!$M$23)</f>
        <v/>
      </c>
      <c r="M42" s="60">
        <f>IF('[25]سجل المستخلصات'!$N$23="","",'[25]سجل المستخلصات'!$N$23)</f>
        <v/>
      </c>
      <c r="N42" s="59">
        <f>IF('[25]سجل المستخلصات'!$O$23="","",'[25]سجل المستخلصات'!$O$23)</f>
        <v/>
      </c>
      <c r="O42" s="59">
        <f>IF('[25]سجل المستخلصات'!$R$23="","",'[25]سجل المستخلصات'!$R$23)</f>
        <v/>
      </c>
      <c r="P42" s="59">
        <f>IF('[25]سجل المستخلصات'!$S$23="","",'[25]سجل المستخلصات'!$S$23)</f>
        <v/>
      </c>
      <c r="Q42" s="59">
        <f>IF('[25]سجل المستخلصات'!$T$23="","",'[25]سجل المستخلصات'!$T$23)</f>
        <v/>
      </c>
      <c r="R42" s="59">
        <f>IF('[25]سجل المستخلصات'!$V$23="","",'[25]سجل المستخلصات'!$V$23)</f>
        <v/>
      </c>
      <c r="S42" s="59">
        <f>IF('[25]سجل المستخلصات'!$W$23="","",'[25]سجل المستخلصات'!$W$23)</f>
        <v/>
      </c>
      <c r="T42" s="61">
        <f>IF('[25]سجل المستخلصات'!$X$23="","",'[25]سجل المستخلصات'!$X$23)</f>
        <v/>
      </c>
      <c r="U42" s="61">
        <f>IF('[25]سجل المستخلصات'!$Z$23="","",'[25]سجل المستخلصات'!$Z$23)</f>
        <v/>
      </c>
      <c r="V42" s="59">
        <f>IF('[25]سجل المستخلصات'!$AA$23="","",'[25]سجل المستخلصات'!$AA$23)</f>
        <v/>
      </c>
      <c r="W42" s="59">
        <f>IF('[25]سجل المستخلصات'!$AC$23="","",'[25]سجل المستخلصات'!$AC$23)</f>
        <v/>
      </c>
      <c r="X42" s="62">
        <f>IF('[25]سجل المستخلصات'!$AD$23="","",'[25]سجل المستخلصات'!$AD$23)</f>
        <v/>
      </c>
      <c r="Y42" s="58">
        <f>IF('[25]سجل المستخلصات'!$AE$23="","",'[25]سجل المستخلصات'!$AE$23)</f>
        <v/>
      </c>
    </row>
    <row r="43">
      <c r="B43" s="56" t="n">
        <v>19</v>
      </c>
      <c r="C43" s="57">
        <f>IF('[25]سجل المستخلصات'!$C$24="","",'[25]سجل المستخلصات'!$C$24)</f>
        <v/>
      </c>
      <c r="D43" s="57">
        <f>IF('[25]سجل المستخلصات'!$E$24="","",'[25]سجل المستخلصات'!$E$24)</f>
        <v/>
      </c>
      <c r="E43" s="58">
        <f>IF('[25]سجل المستخلصات'!$F$24="","",'[25]سجل المستخلصات'!$F$24)</f>
        <v/>
      </c>
      <c r="F43" s="59">
        <f>IF('[25]سجل المستخلصات'!$H$24="","",'[25]سجل المستخلصات'!$H$24)</f>
        <v/>
      </c>
      <c r="G43" s="59">
        <f>IF('[25]سجل المستخلصات'!$G$24="","",'[25]سجل المستخلصات'!$G$24)</f>
        <v/>
      </c>
      <c r="H43" s="59">
        <f>IF('[25]سجل المستخلصات'!$I$24="","",'[25]سجل المستخلصات'!$I$24)</f>
        <v/>
      </c>
      <c r="I43" s="59">
        <f>IF('[25]سجل المستخلصات'!$J$24="","",'[25]سجل المستخلصات'!$J$24)</f>
        <v/>
      </c>
      <c r="J43" s="59">
        <f>IF('[25]سجل المستخلصات'!$K$24="","",'[25]سجل المستخلصات'!$K$24)</f>
        <v/>
      </c>
      <c r="K43" s="60">
        <f>IF('[25]سجل المستخلصات'!$L$24="","",'[25]سجل المستخلصات'!$L$24)</f>
        <v/>
      </c>
      <c r="L43" s="60">
        <f>IF('[25]سجل المستخلصات'!$M$24="","",'[25]سجل المستخلصات'!$M$24)</f>
        <v/>
      </c>
      <c r="M43" s="60">
        <f>IF('[25]سجل المستخلصات'!$N$24="","",'[25]سجل المستخلصات'!$N$24)</f>
        <v/>
      </c>
      <c r="N43" s="59">
        <f>IF('[25]سجل المستخلصات'!$O$24="","",'[25]سجل المستخلصات'!$O$24)</f>
        <v/>
      </c>
      <c r="O43" s="59">
        <f>IF('[25]سجل المستخلصات'!$R$24="","",'[25]سجل المستخلصات'!$R$24)</f>
        <v/>
      </c>
      <c r="P43" s="59">
        <f>IF('[25]سجل المستخلصات'!$S$24="","",'[25]سجل المستخلصات'!$S$24)</f>
        <v/>
      </c>
      <c r="Q43" s="59">
        <f>IF('[25]سجل المستخلصات'!$T$24="","",'[25]سجل المستخلصات'!$T$24)</f>
        <v/>
      </c>
      <c r="R43" s="59">
        <f>IF('[25]سجل المستخلصات'!$V$24="","",'[25]سجل المستخلصات'!$V$24)</f>
        <v/>
      </c>
      <c r="S43" s="59">
        <f>IF('[25]سجل المستخلصات'!$W$24="","",'[25]سجل المستخلصات'!$W$24)</f>
        <v/>
      </c>
      <c r="T43" s="61">
        <f>IF('[25]سجل المستخلصات'!$X$24="","",'[25]سجل المستخلصات'!$X$24)</f>
        <v/>
      </c>
      <c r="U43" s="61">
        <f>IF('[25]سجل المستخلصات'!$Z$24="","",'[25]سجل المستخلصات'!$Z$24)</f>
        <v/>
      </c>
      <c r="V43" s="59">
        <f>IF('[25]سجل المستخلصات'!$AA$24="","",'[25]سجل المستخلصات'!$AA$24)</f>
        <v/>
      </c>
      <c r="W43" s="59">
        <f>IF('[25]سجل المستخلصات'!$AC$24="","",'[25]سجل المستخلصات'!$AC$24)</f>
        <v/>
      </c>
      <c r="X43" s="62">
        <f>IF('[25]سجل المستخلصات'!$AD$24="","",'[25]سجل المستخلصات'!$AD$24)</f>
        <v/>
      </c>
      <c r="Y43" s="58">
        <f>IF('[25]سجل المستخلصات'!$AE$24="","",'[25]سجل المستخلصات'!$AE$24)</f>
        <v/>
      </c>
    </row>
    <row r="44">
      <c r="B44" s="56" t="n">
        <v>20</v>
      </c>
      <c r="C44" s="57">
        <f>IF('[25]سجل المستخلصات'!$C$25="","",'[25]سجل المستخلصات'!$C$25)</f>
        <v/>
      </c>
      <c r="D44" s="57">
        <f>IF('[25]سجل المستخلصات'!$E$25="","",'[25]سجل المستخلصات'!$E$25)</f>
        <v/>
      </c>
      <c r="E44" s="58">
        <f>IF('[25]سجل المستخلصات'!$F$25="","",'[25]سجل المستخلصات'!$F$25)</f>
        <v/>
      </c>
      <c r="F44" s="59">
        <f>IF('[25]سجل المستخلصات'!$H$25="","",'[25]سجل المستخلصات'!$H$25)</f>
        <v/>
      </c>
      <c r="G44" s="59">
        <f>IF('[25]سجل المستخلصات'!$G$25="","",'[25]سجل المستخلصات'!$G$25)</f>
        <v/>
      </c>
      <c r="H44" s="59">
        <f>IF('[25]سجل المستخلصات'!$I$25="","",'[25]سجل المستخلصات'!$I$25)</f>
        <v/>
      </c>
      <c r="I44" s="59">
        <f>IF('[25]سجل المستخلصات'!$J$25="","",'[25]سجل المستخلصات'!$J$25)</f>
        <v/>
      </c>
      <c r="J44" s="59">
        <f>IF('[25]سجل المستخلصات'!$K$25="","",'[25]سجل المستخلصات'!$K$25)</f>
        <v/>
      </c>
      <c r="K44" s="60">
        <f>IF('[25]سجل المستخلصات'!$L$25="","",'[25]سجل المستخلصات'!$L$25)</f>
        <v/>
      </c>
      <c r="L44" s="60">
        <f>IF('[25]سجل المستخلصات'!$M$25="","",'[25]سجل المستخلصات'!$M$25)</f>
        <v/>
      </c>
      <c r="M44" s="60">
        <f>IF('[25]سجل المستخلصات'!$N$25="","",'[25]سجل المستخلصات'!$N$25)</f>
        <v/>
      </c>
      <c r="N44" s="59">
        <f>IF('[25]سجل المستخلصات'!$O$25="","",'[25]سجل المستخلصات'!$O$25)</f>
        <v/>
      </c>
      <c r="O44" s="59">
        <f>IF('[25]سجل المستخلصات'!$R$25="","",'[25]سجل المستخلصات'!$R$25)</f>
        <v/>
      </c>
      <c r="P44" s="59">
        <f>IF('[25]سجل المستخلصات'!$S$25="","",'[25]سجل المستخلصات'!$S$25)</f>
        <v/>
      </c>
      <c r="Q44" s="59">
        <f>IF('[25]سجل المستخلصات'!$T$25="","",'[25]سجل المستخلصات'!$T$25)</f>
        <v/>
      </c>
      <c r="R44" s="59">
        <f>IF('[25]سجل المستخلصات'!$V$25="","",'[25]سجل المستخلصات'!$V$25)</f>
        <v/>
      </c>
      <c r="S44" s="59">
        <f>IF('[25]سجل المستخلصات'!$W$25="","",'[25]سجل المستخلصات'!$W$25)</f>
        <v/>
      </c>
      <c r="T44" s="61">
        <f>IF('[25]سجل المستخلصات'!$X$25="","",'[25]سجل المستخلصات'!$X$25)</f>
        <v/>
      </c>
      <c r="U44" s="61">
        <f>IF('[25]سجل المستخلصات'!$Z$25="","",'[25]سجل المستخلصات'!$Z$25)</f>
        <v/>
      </c>
      <c r="V44" s="59">
        <f>IF('[25]سجل المستخلصات'!$AA$25="","",'[25]سجل المستخلصات'!$AA$25)</f>
        <v/>
      </c>
      <c r="W44" s="59">
        <f>IF('[25]سجل المستخلصات'!$AC$25="","",'[25]سجل المستخلصات'!$AC$25)</f>
        <v/>
      </c>
      <c r="X44" s="62">
        <f>IF('[25]سجل المستخلصات'!$AD$25="","",'[25]سجل المستخلصات'!$AD$25)</f>
        <v/>
      </c>
      <c r="Y44" s="58">
        <f>IF('[25]سجل المستخلصات'!$AE$25="","",'[25]سجل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IF('[25]سجل المستخلصات'!$B$32="","",'[25]سجل المستخلصات'!$B$32)</f>
        <v/>
      </c>
      <c r="C50" s="69" t="n"/>
      <c r="D50" s="69" t="n"/>
      <c r="E50" s="59">
        <f>N('[25]سجل المستخلصات'!$E$32)</f>
        <v/>
      </c>
      <c r="F50" s="59">
        <f>N('[25]سجل المستخلصات'!$F$32)</f>
        <v/>
      </c>
      <c r="G50" s="70">
        <f>IF(E50&gt;0,F50/E50,0)</f>
        <v/>
      </c>
    </row>
    <row r="51">
      <c r="B51" s="69">
        <f>IF('[25]سجل المستخلصات'!$B$33="","",'[25]سجل المستخلصات'!$B$33)</f>
        <v/>
      </c>
      <c r="C51" s="69" t="n"/>
      <c r="D51" s="69" t="n"/>
      <c r="E51" s="59">
        <f>N('[25]سجل المستخلصات'!$E$33)</f>
        <v/>
      </c>
      <c r="F51" s="59">
        <f>N('[25]سجل المستخلصات'!$F$33)</f>
        <v/>
      </c>
      <c r="G51" s="70">
        <f>IF(E51&gt;0,F51/E51,0)</f>
        <v/>
      </c>
    </row>
    <row r="52">
      <c r="B52" s="69">
        <f>IF('[25]سجل المستخلصات'!$B$34="","",'[25]سجل المستخلصات'!$B$34)</f>
        <v/>
      </c>
      <c r="C52" s="69" t="n"/>
      <c r="D52" s="69" t="n"/>
      <c r="E52" s="59">
        <f>N('[25]سجل المستخلصات'!$E$34)</f>
        <v/>
      </c>
      <c r="F52" s="59">
        <f>N('[25]سجل المستخلصات'!$F$34)</f>
        <v/>
      </c>
      <c r="G52" s="70">
        <f>IF(E52&gt;0,F52/E52,0)</f>
        <v/>
      </c>
    </row>
    <row r="53">
      <c r="B53" s="69">
        <f>IF('[25]سجل المستخلصات'!$B$35="","",'[25]سجل المستخلصات'!$B$35)</f>
        <v/>
      </c>
      <c r="C53" s="69" t="n"/>
      <c r="D53" s="69" t="n"/>
      <c r="E53" s="59">
        <f>N('[25]سجل المستخلصات'!$E$35)</f>
        <v/>
      </c>
      <c r="F53" s="59">
        <f>N('[25]سجل المستخلصات'!$F$35)</f>
        <v/>
      </c>
      <c r="G53" s="70">
        <f>IF(E53&gt;0,F53/E53,0)</f>
        <v/>
      </c>
    </row>
    <row r="54">
      <c r="B54" s="69">
        <f>IF('[25]سجل المستخلصات'!$B$36="","",'[25]سجل المستخلصات'!$B$36)</f>
        <v/>
      </c>
      <c r="C54" s="69" t="n"/>
      <c r="D54" s="69" t="n"/>
      <c r="E54" s="59">
        <f>N('[25]سجل المستخلصات'!$E$36)</f>
        <v/>
      </c>
      <c r="F54" s="59">
        <f>N('[25]سجل المستخلصات'!$F$36)</f>
        <v/>
      </c>
      <c r="G54" s="70">
        <f>IF(E54&gt;0,F54/E54,0)</f>
        <v/>
      </c>
    </row>
    <row r="55">
      <c r="B55" s="69">
        <f>IF('[25]سجل المستخلصات'!$B$37="","",'[25]سجل المستخلصات'!$B$37)</f>
        <v/>
      </c>
      <c r="C55" s="69" t="n"/>
      <c r="D55" s="69" t="n"/>
      <c r="E55" s="59">
        <f>N('[25]سجل المستخلصات'!$E$37)</f>
        <v/>
      </c>
      <c r="F55" s="59">
        <f>N('[25]سجل المستخلصات'!$F$37)</f>
        <v/>
      </c>
      <c r="G55" s="70">
        <f>IF(E55&gt;0,F55/E55,0)</f>
        <v/>
      </c>
    </row>
    <row r="56">
      <c r="B56" s="69">
        <f>IF('[25]سجل المستخلصات'!$B$38="","",'[25]سجل المستخلصات'!$B$38)</f>
        <v/>
      </c>
      <c r="C56" s="69" t="n"/>
      <c r="D56" s="69" t="n"/>
      <c r="E56" s="59">
        <f>N('[25]سجل المستخلصات'!$E$38)</f>
        <v/>
      </c>
      <c r="F56" s="59">
        <f>N('[25]سجل المستخلصات'!$F$38)</f>
        <v/>
      </c>
      <c r="G56" s="70">
        <f>IF(E56&gt;0,F56/E56,0)</f>
        <v/>
      </c>
    </row>
    <row r="57">
      <c r="B57" s="69">
        <f>IF('[25]سجل المستخلصات'!$B$39="","",'[25]سجل المستخلصات'!$B$39)</f>
        <v/>
      </c>
      <c r="C57" s="69" t="n"/>
      <c r="D57" s="69" t="n"/>
      <c r="E57" s="59">
        <f>N('[25]سجل المستخلصات'!$E$39)</f>
        <v/>
      </c>
      <c r="F57" s="59">
        <f>N('[25]سجل المستخلصات'!$F$39)</f>
        <v/>
      </c>
      <c r="G57" s="70">
        <f>IF(E57&gt;0,F57/E57,0)</f>
        <v/>
      </c>
    </row>
    <row r="58">
      <c r="B58" s="69">
        <f>IF('[25]سجل المستخلصات'!$B$40="","",'[25]سجل المستخلصات'!$B$40)</f>
        <v/>
      </c>
      <c r="C58" s="69" t="n"/>
      <c r="D58" s="69" t="n"/>
      <c r="E58" s="59">
        <f>N('[25]سجل المستخلصات'!$E$40)</f>
        <v/>
      </c>
      <c r="F58" s="59">
        <f>N('[25]سجل المستخلصات'!$F$40)</f>
        <v/>
      </c>
      <c r="G58" s="70">
        <f>IF(E58&gt;0,F58/E58,0)</f>
        <v/>
      </c>
    </row>
    <row r="59">
      <c r="B59" s="69">
        <f>IF('[25]سجل المستخلصات'!$B$41="","",'[25]سجل المستخلصات'!$B$41)</f>
        <v/>
      </c>
      <c r="C59" s="69" t="n"/>
      <c r="D59" s="69" t="n"/>
      <c r="E59" s="59">
        <f>N('[25]سجل المستخلصات'!$E$41)</f>
        <v/>
      </c>
      <c r="F59" s="59">
        <f>N('[25]سجل المستخلصات'!$F$41)</f>
        <v/>
      </c>
      <c r="G59" s="70">
        <f>IF(E59&gt;0,F59/E59,0)</f>
        <v/>
      </c>
    </row>
    <row r="60">
      <c r="B60" s="69">
        <f>IF('[25]سجل المستخلصات'!$B$42="","",'[25]سجل المستخلصات'!$B$42)</f>
        <v/>
      </c>
      <c r="C60" s="69" t="n"/>
      <c r="D60" s="69" t="n"/>
      <c r="E60" s="59">
        <f>N('[25]سجل المستخلصات'!$E$42)</f>
        <v/>
      </c>
      <c r="F60" s="59">
        <f>N('[25]سجل المستخلصات'!$F$42)</f>
        <v/>
      </c>
      <c r="G60" s="70">
        <f>IF(E60&gt;0,F60/E60,0)</f>
        <v/>
      </c>
    </row>
    <row r="61">
      <c r="B61" s="69">
        <f>IF('[25]سجل المستخلصات'!$B$43="","",'[25]سجل المستخلصات'!$B$43)</f>
        <v/>
      </c>
      <c r="C61" s="69" t="n"/>
      <c r="D61" s="69" t="n"/>
      <c r="E61" s="59">
        <f>N('[25]سجل المستخلصات'!$E$43)</f>
        <v/>
      </c>
      <c r="F61" s="59">
        <f>N('[25]سجل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24'!A1" display="◄ المشروع السابق"/>
    <hyperlink ref="D3" location="'مشروع 26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2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"&amp;IF('[26]بيانات العقد'!$C$5="","مشروع رقم 26 — غير مُفعّل",'[26]بيانات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Project_26/IPC_Project_26.xlsx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IF('[26]بيانات العقد'!$C$5="","",'[26]بيانات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IF('[26]بيانات العقد'!$C$6="","",'[26]بيانات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IF('[26]بيانات العقد'!$C$7="","",'[26]بيانات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IF('[26]بيانات العقد'!$C$8="","",'[26]بيانات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N('[26]بيانات العقد'!$C$16)</f>
        <v/>
      </c>
    </row>
    <row r="6" ht="22" customHeight="1">
      <c r="B6" s="11" t="inlineStr">
        <is>
          <t>المقاول</t>
        </is>
      </c>
      <c r="C6" s="14">
        <f>IF('[26]بيانات العقد'!$C$9="","",'[26]بيانات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IF('[26]بيانات العقد'!$C$11="","",'[26]بيانات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IF('[26]بيانات العقد'!$C$13="","",'[26]بيانات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IF('[26]بيانات العقد'!$C$14="","",'[26]بيانات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N('[26]بيانات العقد'!$C$17)</f>
        <v/>
      </c>
    </row>
    <row r="7">
      <c r="AA7" s="15" t="inlineStr">
        <is>
          <t>قيمة العقد المعدلة</t>
        </is>
      </c>
      <c r="AB7" s="16">
        <f>N('[26]بيانات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N('[26]بيانات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N('[26]بيانات العقد'!$C$21)</f>
        <v/>
      </c>
    </row>
    <row r="10">
      <c r="AA10" s="15" t="inlineStr">
        <is>
          <t>نسبة ضمان الأعمال</t>
        </is>
      </c>
      <c r="AB10" s="23">
        <f>N('[26]بيانات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N('[26]بيانات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N('[26]بيانات العقد'!$C$31)</f>
        <v/>
      </c>
    </row>
    <row r="13">
      <c r="AA13" s="15" t="inlineStr">
        <is>
          <t>ضريبة الاستقطاع (غير المقيم)</t>
        </is>
      </c>
      <c r="AB13" s="23">
        <f>N('[26]بيانات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IF('[26]بيانات العقد'!$C$11="","",'[26]بيانات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IF('[26]بيانات العقد'!$C$13="","",'[26]بيانات العقد'!$C$13)</f>
        <v/>
      </c>
    </row>
    <row r="16">
      <c r="AA16" s="15" t="inlineStr">
        <is>
          <t>المدة (شهر)</t>
        </is>
      </c>
      <c r="AB16" s="43">
        <f>IF('[26]بيانات العقد'!$C$12="","",'[26]بيانات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IF('[26]بيانات العقد'!$C$36="","",'[26]بيانات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IF('[26]بيانات العقد'!$C$37="","",'[26]بيانات العقد'!$C$37)</f>
        <v/>
      </c>
    </row>
    <row r="19">
      <c r="AA19" s="15" t="inlineStr">
        <is>
          <t>الرقم الضريبي لصاحب العمل</t>
        </is>
      </c>
      <c r="AB19" s="48">
        <f>IF('[26]بيانات العقد'!$C$39="","",'[26]بيانات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IF('[26]بيانات العقد'!$C$42="","",'[26]بيانات العقد'!$C$42)</f>
        <v/>
      </c>
    </row>
    <row r="21" ht="32" customHeight="1">
      <c r="B21" s="50">
        <f>N('[26]الموازنة والتكاليف'!$D$66)</f>
        <v/>
      </c>
      <c r="C21" s="50" t="n"/>
      <c r="D21" s="50" t="n"/>
      <c r="E21" s="50" t="n"/>
      <c r="F21" s="50">
        <f>N('[26]الموازنة والتكاليف'!$D$70)</f>
        <v/>
      </c>
      <c r="G21" s="50" t="n"/>
      <c r="H21" s="50" t="n"/>
      <c r="I21" s="50" t="n"/>
      <c r="J21" s="50">
        <f>N('[26]الموازنة والتكاليف'!$D$72)</f>
        <v/>
      </c>
      <c r="K21" s="50" t="n"/>
      <c r="L21" s="50" t="n"/>
      <c r="M21" s="50" t="n"/>
      <c r="N21" s="51">
        <f>N('[26]الموازنة والتكاليف'!$D$73)</f>
        <v/>
      </c>
      <c r="O21" s="51" t="n"/>
      <c r="P21" s="51" t="n"/>
      <c r="Q21" s="51" t="n"/>
      <c r="R21" s="52">
        <f>N('[26]الموازنة والتكاليف'!$D$74)</f>
        <v/>
      </c>
      <c r="S21" s="52" t="n"/>
      <c r="T21" s="52" t="n"/>
      <c r="U21" s="52" t="n"/>
      <c r="V21" s="50">
        <f>N('[26]الموازنة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IF('[26]بيانات العقد'!$C$43="","",'[26]بيانات العقد'!$C$43)</f>
        <v/>
      </c>
    </row>
    <row r="22">
      <c r="AA22" s="15" t="inlineStr">
        <is>
          <t>حالة غرامات التأخير</t>
        </is>
      </c>
      <c r="AB22" s="45">
        <f>IF('[26]بيانات العقد'!$C$47="","",'[26]بيانات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IF('[26]سجل المستخلصات'!$C$6="","",'[26]سجل المستخلصات'!$C$6)</f>
        <v/>
      </c>
      <c r="D25" s="57">
        <f>IF('[26]سجل المستخلصات'!$E$6="","",'[26]سجل المستخلصات'!$E$6)</f>
        <v/>
      </c>
      <c r="E25" s="58">
        <f>IF('[26]سجل المستخلصات'!$F$6="","",'[26]سجل المستخلصات'!$F$6)</f>
        <v/>
      </c>
      <c r="F25" s="59">
        <f>IF('[26]سجل المستخلصات'!$H$6="","",'[26]سجل المستخلصات'!$H$6)</f>
        <v/>
      </c>
      <c r="G25" s="59">
        <f>IF('[26]سجل المستخلصات'!$G$6="","",'[26]سجل المستخلصات'!$G$6)</f>
        <v/>
      </c>
      <c r="H25" s="59">
        <f>IF('[26]سجل المستخلصات'!$I$6="","",'[26]سجل المستخلصات'!$I$6)</f>
        <v/>
      </c>
      <c r="I25" s="59">
        <f>IF('[26]سجل المستخلصات'!$J$6="","",'[26]سجل المستخلصات'!$J$6)</f>
        <v/>
      </c>
      <c r="J25" s="59">
        <f>IF('[26]سجل المستخلصات'!$K$6="","",'[26]سجل المستخلصات'!$K$6)</f>
        <v/>
      </c>
      <c r="K25" s="60">
        <f>IF('[26]سجل المستخلصات'!$L$6="","",'[26]سجل المستخلصات'!$L$6)</f>
        <v/>
      </c>
      <c r="L25" s="60">
        <f>IF('[26]سجل المستخلصات'!$M$6="","",'[26]سجل المستخلصات'!$M$6)</f>
        <v/>
      </c>
      <c r="M25" s="60">
        <f>IF('[26]سجل المستخلصات'!$N$6="","",'[26]سجل المستخلصات'!$N$6)</f>
        <v/>
      </c>
      <c r="N25" s="59">
        <f>IF('[26]سجل المستخلصات'!$O$6="","",'[26]سجل المستخلصات'!$O$6)</f>
        <v/>
      </c>
      <c r="O25" s="59">
        <f>IF('[26]سجل المستخلصات'!$R$6="","",'[26]سجل المستخلصات'!$R$6)</f>
        <v/>
      </c>
      <c r="P25" s="59">
        <f>IF('[26]سجل المستخلصات'!$S$6="","",'[26]سجل المستخلصات'!$S$6)</f>
        <v/>
      </c>
      <c r="Q25" s="59">
        <f>IF('[26]سجل المستخلصات'!$T$6="","",'[26]سجل المستخلصات'!$T$6)</f>
        <v/>
      </c>
      <c r="R25" s="59">
        <f>IF('[26]سجل المستخلصات'!$V$6="","",'[26]سجل المستخلصات'!$V$6)</f>
        <v/>
      </c>
      <c r="S25" s="59">
        <f>IF('[26]سجل المستخلصات'!$W$6="","",'[26]سجل المستخلصات'!$W$6)</f>
        <v/>
      </c>
      <c r="T25" s="61">
        <f>IF('[26]سجل المستخلصات'!$X$6="","",'[26]سجل المستخلصات'!$X$6)</f>
        <v/>
      </c>
      <c r="U25" s="61">
        <f>IF('[26]سجل المستخلصات'!$Z$6="","",'[26]سجل المستخلصات'!$Z$6)</f>
        <v/>
      </c>
      <c r="V25" s="59">
        <f>IF('[26]سجل المستخلصات'!$AA$6="","",'[26]سجل المستخلصات'!$AA$6)</f>
        <v/>
      </c>
      <c r="W25" s="59">
        <f>IF('[26]سجل المستخلصات'!$AC$6="","",'[26]سجل المستخلصات'!$AC$6)</f>
        <v/>
      </c>
      <c r="X25" s="62">
        <f>IF('[26]سجل المستخلصات'!$AD$6="","",'[26]سجل المستخلصات'!$AD$6)</f>
        <v/>
      </c>
      <c r="Y25" s="58">
        <f>IF('[26]سجل المستخلصات'!$AE$6="","",'[26]سجل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IF('[26]سجل المستخلصات'!$C$7="","",'[26]سجل المستخلصات'!$C$7)</f>
        <v/>
      </c>
      <c r="D26" s="57">
        <f>IF('[26]سجل المستخلصات'!$E$7="","",'[26]سجل المستخلصات'!$E$7)</f>
        <v/>
      </c>
      <c r="E26" s="58">
        <f>IF('[26]سجل المستخلصات'!$F$7="","",'[26]سجل المستخلصات'!$F$7)</f>
        <v/>
      </c>
      <c r="F26" s="59">
        <f>IF('[26]سجل المستخلصات'!$H$7="","",'[26]سجل المستخلصات'!$H$7)</f>
        <v/>
      </c>
      <c r="G26" s="59">
        <f>IF('[26]سجل المستخلصات'!$G$7="","",'[26]سجل المستخلصات'!$G$7)</f>
        <v/>
      </c>
      <c r="H26" s="59">
        <f>IF('[26]سجل المستخلصات'!$I$7="","",'[26]سجل المستخلصات'!$I$7)</f>
        <v/>
      </c>
      <c r="I26" s="59">
        <f>IF('[26]سجل المستخلصات'!$J$7="","",'[26]سجل المستخلصات'!$J$7)</f>
        <v/>
      </c>
      <c r="J26" s="59">
        <f>IF('[26]سجل المستخلصات'!$K$7="","",'[26]سجل المستخلصات'!$K$7)</f>
        <v/>
      </c>
      <c r="K26" s="60">
        <f>IF('[26]سجل المستخلصات'!$L$7="","",'[26]سجل المستخلصات'!$L$7)</f>
        <v/>
      </c>
      <c r="L26" s="60">
        <f>IF('[26]سجل المستخلصات'!$M$7="","",'[26]سجل المستخلصات'!$M$7)</f>
        <v/>
      </c>
      <c r="M26" s="60">
        <f>IF('[26]سجل المستخلصات'!$N$7="","",'[26]سجل المستخلصات'!$N$7)</f>
        <v/>
      </c>
      <c r="N26" s="59">
        <f>IF('[26]سجل المستخلصات'!$O$7="","",'[26]سجل المستخلصات'!$O$7)</f>
        <v/>
      </c>
      <c r="O26" s="59">
        <f>IF('[26]سجل المستخلصات'!$R$7="","",'[26]سجل المستخلصات'!$R$7)</f>
        <v/>
      </c>
      <c r="P26" s="59">
        <f>IF('[26]سجل المستخلصات'!$S$7="","",'[26]سجل المستخلصات'!$S$7)</f>
        <v/>
      </c>
      <c r="Q26" s="59">
        <f>IF('[26]سجل المستخلصات'!$T$7="","",'[26]سجل المستخلصات'!$T$7)</f>
        <v/>
      </c>
      <c r="R26" s="59">
        <f>IF('[26]سجل المستخلصات'!$V$7="","",'[26]سجل المستخلصات'!$V$7)</f>
        <v/>
      </c>
      <c r="S26" s="59">
        <f>IF('[26]سجل المستخلصات'!$W$7="","",'[26]سجل المستخلصات'!$W$7)</f>
        <v/>
      </c>
      <c r="T26" s="61">
        <f>IF('[26]سجل المستخلصات'!$X$7="","",'[26]سجل المستخلصات'!$X$7)</f>
        <v/>
      </c>
      <c r="U26" s="61">
        <f>IF('[26]سجل المستخلصات'!$Z$7="","",'[26]سجل المستخلصات'!$Z$7)</f>
        <v/>
      </c>
      <c r="V26" s="59">
        <f>IF('[26]سجل المستخلصات'!$AA$7="","",'[26]سجل المستخلصات'!$AA$7)</f>
        <v/>
      </c>
      <c r="W26" s="59">
        <f>IF('[26]سجل المستخلصات'!$AC$7="","",'[26]سجل المستخلصات'!$AC$7)</f>
        <v/>
      </c>
      <c r="X26" s="62">
        <f>IF('[26]سجل المستخلصات'!$AD$7="","",'[26]سجل المستخلصات'!$AD$7)</f>
        <v/>
      </c>
      <c r="Y26" s="58">
        <f>IF('[26]سجل المستخلصات'!$AE$7="","",'[26]سجل المستخلصات'!$AE$7)</f>
        <v/>
      </c>
      <c r="AA26" s="63" t="n"/>
      <c r="AB26" s="63" t="n"/>
    </row>
    <row r="27">
      <c r="B27" s="56" t="n">
        <v>3</v>
      </c>
      <c r="C27" s="57">
        <f>IF('[26]سجل المستخلصات'!$C$8="","",'[26]سجل المستخلصات'!$C$8)</f>
        <v/>
      </c>
      <c r="D27" s="57">
        <f>IF('[26]سجل المستخلصات'!$E$8="","",'[26]سجل المستخلصات'!$E$8)</f>
        <v/>
      </c>
      <c r="E27" s="58">
        <f>IF('[26]سجل المستخلصات'!$F$8="","",'[26]سجل المستخلصات'!$F$8)</f>
        <v/>
      </c>
      <c r="F27" s="59">
        <f>IF('[26]سجل المستخلصات'!$H$8="","",'[26]سجل المستخلصات'!$H$8)</f>
        <v/>
      </c>
      <c r="G27" s="59">
        <f>IF('[26]سجل المستخلصات'!$G$8="","",'[26]سجل المستخلصات'!$G$8)</f>
        <v/>
      </c>
      <c r="H27" s="59">
        <f>IF('[26]سجل المستخلصات'!$I$8="","",'[26]سجل المستخلصات'!$I$8)</f>
        <v/>
      </c>
      <c r="I27" s="59">
        <f>IF('[26]سجل المستخلصات'!$J$8="","",'[26]سجل المستخلصات'!$J$8)</f>
        <v/>
      </c>
      <c r="J27" s="59">
        <f>IF('[26]سجل المستخلصات'!$K$8="","",'[26]سجل المستخلصات'!$K$8)</f>
        <v/>
      </c>
      <c r="K27" s="60">
        <f>IF('[26]سجل المستخلصات'!$L$8="","",'[26]سجل المستخلصات'!$L$8)</f>
        <v/>
      </c>
      <c r="L27" s="60">
        <f>IF('[26]سجل المستخلصات'!$M$8="","",'[26]سجل المستخلصات'!$M$8)</f>
        <v/>
      </c>
      <c r="M27" s="60">
        <f>IF('[26]سجل المستخلصات'!$N$8="","",'[26]سجل المستخلصات'!$N$8)</f>
        <v/>
      </c>
      <c r="N27" s="59">
        <f>IF('[26]سجل المستخلصات'!$O$8="","",'[26]سجل المستخلصات'!$O$8)</f>
        <v/>
      </c>
      <c r="O27" s="59">
        <f>IF('[26]سجل المستخلصات'!$R$8="","",'[26]سجل المستخلصات'!$R$8)</f>
        <v/>
      </c>
      <c r="P27" s="59">
        <f>IF('[26]سجل المستخلصات'!$S$8="","",'[26]سجل المستخلصات'!$S$8)</f>
        <v/>
      </c>
      <c r="Q27" s="59">
        <f>IF('[26]سجل المستخلصات'!$T$8="","",'[26]سجل المستخلصات'!$T$8)</f>
        <v/>
      </c>
      <c r="R27" s="59">
        <f>IF('[26]سجل المستخلصات'!$V$8="","",'[26]سجل المستخلصات'!$V$8)</f>
        <v/>
      </c>
      <c r="S27" s="59">
        <f>IF('[26]سجل المستخلصات'!$W$8="","",'[26]سجل المستخلصات'!$W$8)</f>
        <v/>
      </c>
      <c r="T27" s="61">
        <f>IF('[26]سجل المستخلصات'!$X$8="","",'[26]سجل المستخلصات'!$X$8)</f>
        <v/>
      </c>
      <c r="U27" s="61">
        <f>IF('[26]سجل المستخلصات'!$Z$8="","",'[26]سجل المستخلصات'!$Z$8)</f>
        <v/>
      </c>
      <c r="V27" s="59">
        <f>IF('[26]سجل المستخلصات'!$AA$8="","",'[26]سجل المستخلصات'!$AA$8)</f>
        <v/>
      </c>
      <c r="W27" s="59">
        <f>IF('[26]سجل المستخلصات'!$AC$8="","",'[26]سجل المستخلصات'!$AC$8)</f>
        <v/>
      </c>
      <c r="X27" s="62">
        <f>IF('[26]سجل المستخلصات'!$AD$8="","",'[26]سجل المستخلصات'!$AD$8)</f>
        <v/>
      </c>
      <c r="Y27" s="58">
        <f>IF('[26]سجل المستخلصات'!$AE$8="","",'[26]سجل المستخلصات'!$AE$8)</f>
        <v/>
      </c>
      <c r="AA27" s="63" t="n"/>
      <c r="AB27" s="63" t="n"/>
    </row>
    <row r="28">
      <c r="B28" s="56" t="n">
        <v>4</v>
      </c>
      <c r="C28" s="57">
        <f>IF('[26]سجل المستخلصات'!$C$9="","",'[26]سجل المستخلصات'!$C$9)</f>
        <v/>
      </c>
      <c r="D28" s="57">
        <f>IF('[26]سجل المستخلصات'!$E$9="","",'[26]سجل المستخلصات'!$E$9)</f>
        <v/>
      </c>
      <c r="E28" s="58">
        <f>IF('[26]سجل المستخلصات'!$F$9="","",'[26]سجل المستخلصات'!$F$9)</f>
        <v/>
      </c>
      <c r="F28" s="59">
        <f>IF('[26]سجل المستخلصات'!$H$9="","",'[26]سجل المستخلصات'!$H$9)</f>
        <v/>
      </c>
      <c r="G28" s="59">
        <f>IF('[26]سجل المستخلصات'!$G$9="","",'[26]سجل المستخلصات'!$G$9)</f>
        <v/>
      </c>
      <c r="H28" s="59">
        <f>IF('[26]سجل المستخلصات'!$I$9="","",'[26]سجل المستخلصات'!$I$9)</f>
        <v/>
      </c>
      <c r="I28" s="59">
        <f>IF('[26]سجل المستخلصات'!$J$9="","",'[26]سجل المستخلصات'!$J$9)</f>
        <v/>
      </c>
      <c r="J28" s="59">
        <f>IF('[26]سجل المستخلصات'!$K$9="","",'[26]سجل المستخلصات'!$K$9)</f>
        <v/>
      </c>
      <c r="K28" s="60">
        <f>IF('[26]سجل المستخلصات'!$L$9="","",'[26]سجل المستخلصات'!$L$9)</f>
        <v/>
      </c>
      <c r="L28" s="60">
        <f>IF('[26]سجل المستخلصات'!$M$9="","",'[26]سجل المستخلصات'!$M$9)</f>
        <v/>
      </c>
      <c r="M28" s="60">
        <f>IF('[26]سجل المستخلصات'!$N$9="","",'[26]سجل المستخلصات'!$N$9)</f>
        <v/>
      </c>
      <c r="N28" s="59">
        <f>IF('[26]سجل المستخلصات'!$O$9="","",'[26]سجل المستخلصات'!$O$9)</f>
        <v/>
      </c>
      <c r="O28" s="59">
        <f>IF('[26]سجل المستخلصات'!$R$9="","",'[26]سجل المستخلصات'!$R$9)</f>
        <v/>
      </c>
      <c r="P28" s="59">
        <f>IF('[26]سجل المستخلصات'!$S$9="","",'[26]سجل المستخلصات'!$S$9)</f>
        <v/>
      </c>
      <c r="Q28" s="59">
        <f>IF('[26]سجل المستخلصات'!$T$9="","",'[26]سجل المستخلصات'!$T$9)</f>
        <v/>
      </c>
      <c r="R28" s="59">
        <f>IF('[26]سجل المستخلصات'!$V$9="","",'[26]سجل المستخلصات'!$V$9)</f>
        <v/>
      </c>
      <c r="S28" s="59">
        <f>IF('[26]سجل المستخلصات'!$W$9="","",'[26]سجل المستخلصات'!$W$9)</f>
        <v/>
      </c>
      <c r="T28" s="61">
        <f>IF('[26]سجل المستخلصات'!$X$9="","",'[26]سجل المستخلصات'!$X$9)</f>
        <v/>
      </c>
      <c r="U28" s="61">
        <f>IF('[26]سجل المستخلصات'!$Z$9="","",'[26]سجل المستخلصات'!$Z$9)</f>
        <v/>
      </c>
      <c r="V28" s="59">
        <f>IF('[26]سجل المستخلصات'!$AA$9="","",'[26]سجل المستخلصات'!$AA$9)</f>
        <v/>
      </c>
      <c r="W28" s="59">
        <f>IF('[26]سجل المستخلصات'!$AC$9="","",'[26]سجل المستخلصات'!$AC$9)</f>
        <v/>
      </c>
      <c r="X28" s="62">
        <f>IF('[26]سجل المستخلصات'!$AD$9="","",'[26]سجل المستخلصات'!$AD$9)</f>
        <v/>
      </c>
      <c r="Y28" s="58">
        <f>IF('[26]سجل المستخلصات'!$AE$9="","",'[26]سجل المستخلصات'!$AE$9)</f>
        <v/>
      </c>
      <c r="AA28" s="63" t="n"/>
      <c r="AB28" s="63" t="n"/>
    </row>
    <row r="29">
      <c r="B29" s="56" t="n">
        <v>5</v>
      </c>
      <c r="C29" s="57">
        <f>IF('[26]سجل المستخلصات'!$C$10="","",'[26]سجل المستخلصات'!$C$10)</f>
        <v/>
      </c>
      <c r="D29" s="57">
        <f>IF('[26]سجل المستخلصات'!$E$10="","",'[26]سجل المستخلصات'!$E$10)</f>
        <v/>
      </c>
      <c r="E29" s="58">
        <f>IF('[26]سجل المستخلصات'!$F$10="","",'[26]سجل المستخلصات'!$F$10)</f>
        <v/>
      </c>
      <c r="F29" s="59">
        <f>IF('[26]سجل المستخلصات'!$H$10="","",'[26]سجل المستخلصات'!$H$10)</f>
        <v/>
      </c>
      <c r="G29" s="59">
        <f>IF('[26]سجل المستخلصات'!$G$10="","",'[26]سجل المستخلصات'!$G$10)</f>
        <v/>
      </c>
      <c r="H29" s="59">
        <f>IF('[26]سجل المستخلصات'!$I$10="","",'[26]سجل المستخلصات'!$I$10)</f>
        <v/>
      </c>
      <c r="I29" s="59">
        <f>IF('[26]سجل المستخلصات'!$J$10="","",'[26]سجل المستخلصات'!$J$10)</f>
        <v/>
      </c>
      <c r="J29" s="59">
        <f>IF('[26]سجل المستخلصات'!$K$10="","",'[26]سجل المستخلصات'!$K$10)</f>
        <v/>
      </c>
      <c r="K29" s="60">
        <f>IF('[26]سجل المستخلصات'!$L$10="","",'[26]سجل المستخلصات'!$L$10)</f>
        <v/>
      </c>
      <c r="L29" s="60">
        <f>IF('[26]سجل المستخلصات'!$M$10="","",'[26]سجل المستخلصات'!$M$10)</f>
        <v/>
      </c>
      <c r="M29" s="60">
        <f>IF('[26]سجل المستخلصات'!$N$10="","",'[26]سجل المستخلصات'!$N$10)</f>
        <v/>
      </c>
      <c r="N29" s="59">
        <f>IF('[26]سجل المستخلصات'!$O$10="","",'[26]سجل المستخلصات'!$O$10)</f>
        <v/>
      </c>
      <c r="O29" s="59">
        <f>IF('[26]سجل المستخلصات'!$R$10="","",'[26]سجل المستخلصات'!$R$10)</f>
        <v/>
      </c>
      <c r="P29" s="59">
        <f>IF('[26]سجل المستخلصات'!$S$10="","",'[26]سجل المستخلصات'!$S$10)</f>
        <v/>
      </c>
      <c r="Q29" s="59">
        <f>IF('[26]سجل المستخلصات'!$T$10="","",'[26]سجل المستخلصات'!$T$10)</f>
        <v/>
      </c>
      <c r="R29" s="59">
        <f>IF('[26]سجل المستخلصات'!$V$10="","",'[26]سجل المستخلصات'!$V$10)</f>
        <v/>
      </c>
      <c r="S29" s="59">
        <f>IF('[26]سجل المستخلصات'!$W$10="","",'[26]سجل المستخلصات'!$W$10)</f>
        <v/>
      </c>
      <c r="T29" s="61">
        <f>IF('[26]سجل المستخلصات'!$X$10="","",'[26]سجل المستخلصات'!$X$10)</f>
        <v/>
      </c>
      <c r="U29" s="61">
        <f>IF('[26]سجل المستخلصات'!$Z$10="","",'[26]سجل المستخلصات'!$Z$10)</f>
        <v/>
      </c>
      <c r="V29" s="59">
        <f>IF('[26]سجل المستخلصات'!$AA$10="","",'[26]سجل المستخلصات'!$AA$10)</f>
        <v/>
      </c>
      <c r="W29" s="59">
        <f>IF('[26]سجل المستخلصات'!$AC$10="","",'[26]سجل المستخلصات'!$AC$10)</f>
        <v/>
      </c>
      <c r="X29" s="62">
        <f>IF('[26]سجل المستخلصات'!$AD$10="","",'[26]سجل المستخلصات'!$AD$10)</f>
        <v/>
      </c>
      <c r="Y29" s="58">
        <f>IF('[26]سجل المستخلصات'!$AE$10="","",'[26]سجل المستخلصات'!$AE$10)</f>
        <v/>
      </c>
    </row>
    <row r="30">
      <c r="B30" s="56" t="n">
        <v>6</v>
      </c>
      <c r="C30" s="57">
        <f>IF('[26]سجل المستخلصات'!$C$11="","",'[26]سجل المستخلصات'!$C$11)</f>
        <v/>
      </c>
      <c r="D30" s="57">
        <f>IF('[26]سجل المستخلصات'!$E$11="","",'[26]سجل المستخلصات'!$E$11)</f>
        <v/>
      </c>
      <c r="E30" s="58">
        <f>IF('[26]سجل المستخلصات'!$F$11="","",'[26]سجل المستخلصات'!$F$11)</f>
        <v/>
      </c>
      <c r="F30" s="59">
        <f>IF('[26]سجل المستخلصات'!$H$11="","",'[26]سجل المستخلصات'!$H$11)</f>
        <v/>
      </c>
      <c r="G30" s="59">
        <f>IF('[26]سجل المستخلصات'!$G$11="","",'[26]سجل المستخلصات'!$G$11)</f>
        <v/>
      </c>
      <c r="H30" s="59">
        <f>IF('[26]سجل المستخلصات'!$I$11="","",'[26]سجل المستخلصات'!$I$11)</f>
        <v/>
      </c>
      <c r="I30" s="59">
        <f>IF('[26]سجل المستخلصات'!$J$11="","",'[26]سجل المستخلصات'!$J$11)</f>
        <v/>
      </c>
      <c r="J30" s="59">
        <f>IF('[26]سجل المستخلصات'!$K$11="","",'[26]سجل المستخلصات'!$K$11)</f>
        <v/>
      </c>
      <c r="K30" s="60">
        <f>IF('[26]سجل المستخلصات'!$L$11="","",'[26]سجل المستخلصات'!$L$11)</f>
        <v/>
      </c>
      <c r="L30" s="60">
        <f>IF('[26]سجل المستخلصات'!$M$11="","",'[26]سجل المستخلصات'!$M$11)</f>
        <v/>
      </c>
      <c r="M30" s="60">
        <f>IF('[26]سجل المستخلصات'!$N$11="","",'[26]سجل المستخلصات'!$N$11)</f>
        <v/>
      </c>
      <c r="N30" s="59">
        <f>IF('[26]سجل المستخلصات'!$O$11="","",'[26]سجل المستخلصات'!$O$11)</f>
        <v/>
      </c>
      <c r="O30" s="59">
        <f>IF('[26]سجل المستخلصات'!$R$11="","",'[26]سجل المستخلصات'!$R$11)</f>
        <v/>
      </c>
      <c r="P30" s="59">
        <f>IF('[26]سجل المستخلصات'!$S$11="","",'[26]سجل المستخلصات'!$S$11)</f>
        <v/>
      </c>
      <c r="Q30" s="59">
        <f>IF('[26]سجل المستخلصات'!$T$11="","",'[26]سجل المستخلصات'!$T$11)</f>
        <v/>
      </c>
      <c r="R30" s="59">
        <f>IF('[26]سجل المستخلصات'!$V$11="","",'[26]سجل المستخلصات'!$V$11)</f>
        <v/>
      </c>
      <c r="S30" s="59">
        <f>IF('[26]سجل المستخلصات'!$W$11="","",'[26]سجل المستخلصات'!$W$11)</f>
        <v/>
      </c>
      <c r="T30" s="61">
        <f>IF('[26]سجل المستخلصات'!$X$11="","",'[26]سجل المستخلصات'!$X$11)</f>
        <v/>
      </c>
      <c r="U30" s="61">
        <f>IF('[26]سجل المستخلصات'!$Z$11="","",'[26]سجل المستخلصات'!$Z$11)</f>
        <v/>
      </c>
      <c r="V30" s="59">
        <f>IF('[26]سجل المستخلصات'!$AA$11="","",'[26]سجل المستخلصات'!$AA$11)</f>
        <v/>
      </c>
      <c r="W30" s="59">
        <f>IF('[26]سجل المستخلصات'!$AC$11="","",'[26]سجل المستخلصات'!$AC$11)</f>
        <v/>
      </c>
      <c r="X30" s="62">
        <f>IF('[26]سجل المستخلصات'!$AD$11="","",'[26]سجل المستخلصات'!$AD$11)</f>
        <v/>
      </c>
      <c r="Y30" s="58">
        <f>IF('[26]سجل المستخلصات'!$AE$11="","",'[26]سجل المستخلصات'!$AE$11)</f>
        <v/>
      </c>
    </row>
    <row r="31">
      <c r="B31" s="56" t="n">
        <v>7</v>
      </c>
      <c r="C31" s="57">
        <f>IF('[26]سجل المستخلصات'!$C$12="","",'[26]سجل المستخلصات'!$C$12)</f>
        <v/>
      </c>
      <c r="D31" s="57">
        <f>IF('[26]سجل المستخلصات'!$E$12="","",'[26]سجل المستخلصات'!$E$12)</f>
        <v/>
      </c>
      <c r="E31" s="58">
        <f>IF('[26]سجل المستخلصات'!$F$12="","",'[26]سجل المستخلصات'!$F$12)</f>
        <v/>
      </c>
      <c r="F31" s="59">
        <f>IF('[26]سجل المستخلصات'!$H$12="","",'[26]سجل المستخلصات'!$H$12)</f>
        <v/>
      </c>
      <c r="G31" s="59">
        <f>IF('[26]سجل المستخلصات'!$G$12="","",'[26]سجل المستخلصات'!$G$12)</f>
        <v/>
      </c>
      <c r="H31" s="59">
        <f>IF('[26]سجل المستخلصات'!$I$12="","",'[26]سجل المستخلصات'!$I$12)</f>
        <v/>
      </c>
      <c r="I31" s="59">
        <f>IF('[26]سجل المستخلصات'!$J$12="","",'[26]سجل المستخلصات'!$J$12)</f>
        <v/>
      </c>
      <c r="J31" s="59">
        <f>IF('[26]سجل المستخلصات'!$K$12="","",'[26]سجل المستخلصات'!$K$12)</f>
        <v/>
      </c>
      <c r="K31" s="60">
        <f>IF('[26]سجل المستخلصات'!$L$12="","",'[26]سجل المستخلصات'!$L$12)</f>
        <v/>
      </c>
      <c r="L31" s="60">
        <f>IF('[26]سجل المستخلصات'!$M$12="","",'[26]سجل المستخلصات'!$M$12)</f>
        <v/>
      </c>
      <c r="M31" s="60">
        <f>IF('[26]سجل المستخلصات'!$N$12="","",'[26]سجل المستخلصات'!$N$12)</f>
        <v/>
      </c>
      <c r="N31" s="59">
        <f>IF('[26]سجل المستخلصات'!$O$12="","",'[26]سجل المستخلصات'!$O$12)</f>
        <v/>
      </c>
      <c r="O31" s="59">
        <f>IF('[26]سجل المستخلصات'!$R$12="","",'[26]سجل المستخلصات'!$R$12)</f>
        <v/>
      </c>
      <c r="P31" s="59">
        <f>IF('[26]سجل المستخلصات'!$S$12="","",'[26]سجل المستخلصات'!$S$12)</f>
        <v/>
      </c>
      <c r="Q31" s="59">
        <f>IF('[26]سجل المستخلصات'!$T$12="","",'[26]سجل المستخلصات'!$T$12)</f>
        <v/>
      </c>
      <c r="R31" s="59">
        <f>IF('[26]سجل المستخلصات'!$V$12="","",'[26]سجل المستخلصات'!$V$12)</f>
        <v/>
      </c>
      <c r="S31" s="59">
        <f>IF('[26]سجل المستخلصات'!$W$12="","",'[26]سجل المستخلصات'!$W$12)</f>
        <v/>
      </c>
      <c r="T31" s="61">
        <f>IF('[26]سجل المستخلصات'!$X$12="","",'[26]سجل المستخلصات'!$X$12)</f>
        <v/>
      </c>
      <c r="U31" s="61">
        <f>IF('[26]سجل المستخلصات'!$Z$12="","",'[26]سجل المستخلصات'!$Z$12)</f>
        <v/>
      </c>
      <c r="V31" s="59">
        <f>IF('[26]سجل المستخلصات'!$AA$12="","",'[26]سجل المستخلصات'!$AA$12)</f>
        <v/>
      </c>
      <c r="W31" s="59">
        <f>IF('[26]سجل المستخلصات'!$AC$12="","",'[26]سجل المستخلصات'!$AC$12)</f>
        <v/>
      </c>
      <c r="X31" s="62">
        <f>IF('[26]سجل المستخلصات'!$AD$12="","",'[26]سجل المستخلصات'!$AD$12)</f>
        <v/>
      </c>
      <c r="Y31" s="58">
        <f>IF('[26]سجل المستخلصات'!$AE$12="","",'[26]سجل المستخلصات'!$AE$12)</f>
        <v/>
      </c>
    </row>
    <row r="32">
      <c r="B32" s="56" t="n">
        <v>8</v>
      </c>
      <c r="C32" s="57">
        <f>IF('[26]سجل المستخلصات'!$C$13="","",'[26]سجل المستخلصات'!$C$13)</f>
        <v/>
      </c>
      <c r="D32" s="57">
        <f>IF('[26]سجل المستخلصات'!$E$13="","",'[26]سجل المستخلصات'!$E$13)</f>
        <v/>
      </c>
      <c r="E32" s="58">
        <f>IF('[26]سجل المستخلصات'!$F$13="","",'[26]سجل المستخلصات'!$F$13)</f>
        <v/>
      </c>
      <c r="F32" s="59">
        <f>IF('[26]سجل المستخلصات'!$H$13="","",'[26]سجل المستخلصات'!$H$13)</f>
        <v/>
      </c>
      <c r="G32" s="59">
        <f>IF('[26]سجل المستخلصات'!$G$13="","",'[26]سجل المستخلصات'!$G$13)</f>
        <v/>
      </c>
      <c r="H32" s="59">
        <f>IF('[26]سجل المستخلصات'!$I$13="","",'[26]سجل المستخلصات'!$I$13)</f>
        <v/>
      </c>
      <c r="I32" s="59">
        <f>IF('[26]سجل المستخلصات'!$J$13="","",'[26]سجل المستخلصات'!$J$13)</f>
        <v/>
      </c>
      <c r="J32" s="59">
        <f>IF('[26]سجل المستخلصات'!$K$13="","",'[26]سجل المستخلصات'!$K$13)</f>
        <v/>
      </c>
      <c r="K32" s="60">
        <f>IF('[26]سجل المستخلصات'!$L$13="","",'[26]سجل المستخلصات'!$L$13)</f>
        <v/>
      </c>
      <c r="L32" s="60">
        <f>IF('[26]سجل المستخلصات'!$M$13="","",'[26]سجل المستخلصات'!$M$13)</f>
        <v/>
      </c>
      <c r="M32" s="60">
        <f>IF('[26]سجل المستخلصات'!$N$13="","",'[26]سجل المستخلصات'!$N$13)</f>
        <v/>
      </c>
      <c r="N32" s="59">
        <f>IF('[26]سجل المستخلصات'!$O$13="","",'[26]سجل المستخلصات'!$O$13)</f>
        <v/>
      </c>
      <c r="O32" s="59">
        <f>IF('[26]سجل المستخلصات'!$R$13="","",'[26]سجل المستخلصات'!$R$13)</f>
        <v/>
      </c>
      <c r="P32" s="59">
        <f>IF('[26]سجل المستخلصات'!$S$13="","",'[26]سجل المستخلصات'!$S$13)</f>
        <v/>
      </c>
      <c r="Q32" s="59">
        <f>IF('[26]سجل المستخلصات'!$T$13="","",'[26]سجل المستخلصات'!$T$13)</f>
        <v/>
      </c>
      <c r="R32" s="59">
        <f>IF('[26]سجل المستخلصات'!$V$13="","",'[26]سجل المستخلصات'!$V$13)</f>
        <v/>
      </c>
      <c r="S32" s="59">
        <f>IF('[26]سجل المستخلصات'!$W$13="","",'[26]سجل المستخلصات'!$W$13)</f>
        <v/>
      </c>
      <c r="T32" s="61">
        <f>IF('[26]سجل المستخلصات'!$X$13="","",'[26]سجل المستخلصات'!$X$13)</f>
        <v/>
      </c>
      <c r="U32" s="61">
        <f>IF('[26]سجل المستخلصات'!$Z$13="","",'[26]سجل المستخلصات'!$Z$13)</f>
        <v/>
      </c>
      <c r="V32" s="59">
        <f>IF('[26]سجل المستخلصات'!$AA$13="","",'[26]سجل المستخلصات'!$AA$13)</f>
        <v/>
      </c>
      <c r="W32" s="59">
        <f>IF('[26]سجل المستخلصات'!$AC$13="","",'[26]سجل المستخلصات'!$AC$13)</f>
        <v/>
      </c>
      <c r="X32" s="62">
        <f>IF('[26]سجل المستخلصات'!$AD$13="","",'[26]سجل المستخلصات'!$AD$13)</f>
        <v/>
      </c>
      <c r="Y32" s="58">
        <f>IF('[26]سجل المستخلصات'!$AE$13="","",'[26]سجل المستخلصات'!$AE$13)</f>
        <v/>
      </c>
    </row>
    <row r="33">
      <c r="B33" s="56" t="n">
        <v>9</v>
      </c>
      <c r="C33" s="57">
        <f>IF('[26]سجل المستخلصات'!$C$14="","",'[26]سجل المستخلصات'!$C$14)</f>
        <v/>
      </c>
      <c r="D33" s="57">
        <f>IF('[26]سجل المستخلصات'!$E$14="","",'[26]سجل المستخلصات'!$E$14)</f>
        <v/>
      </c>
      <c r="E33" s="58">
        <f>IF('[26]سجل المستخلصات'!$F$14="","",'[26]سجل المستخلصات'!$F$14)</f>
        <v/>
      </c>
      <c r="F33" s="59">
        <f>IF('[26]سجل المستخلصات'!$H$14="","",'[26]سجل المستخلصات'!$H$14)</f>
        <v/>
      </c>
      <c r="G33" s="59">
        <f>IF('[26]سجل المستخلصات'!$G$14="","",'[26]سجل المستخلصات'!$G$14)</f>
        <v/>
      </c>
      <c r="H33" s="59">
        <f>IF('[26]سجل المستخلصات'!$I$14="","",'[26]سجل المستخلصات'!$I$14)</f>
        <v/>
      </c>
      <c r="I33" s="59">
        <f>IF('[26]سجل المستخلصات'!$J$14="","",'[26]سجل المستخلصات'!$J$14)</f>
        <v/>
      </c>
      <c r="J33" s="59">
        <f>IF('[26]سجل المستخلصات'!$K$14="","",'[26]سجل المستخلصات'!$K$14)</f>
        <v/>
      </c>
      <c r="K33" s="60">
        <f>IF('[26]سجل المستخلصات'!$L$14="","",'[26]سجل المستخلصات'!$L$14)</f>
        <v/>
      </c>
      <c r="L33" s="60">
        <f>IF('[26]سجل المستخلصات'!$M$14="","",'[26]سجل المستخلصات'!$M$14)</f>
        <v/>
      </c>
      <c r="M33" s="60">
        <f>IF('[26]سجل المستخلصات'!$N$14="","",'[26]سجل المستخلصات'!$N$14)</f>
        <v/>
      </c>
      <c r="N33" s="59">
        <f>IF('[26]سجل المستخلصات'!$O$14="","",'[26]سجل المستخلصات'!$O$14)</f>
        <v/>
      </c>
      <c r="O33" s="59">
        <f>IF('[26]سجل المستخلصات'!$R$14="","",'[26]سجل المستخلصات'!$R$14)</f>
        <v/>
      </c>
      <c r="P33" s="59">
        <f>IF('[26]سجل المستخلصات'!$S$14="","",'[26]سجل المستخلصات'!$S$14)</f>
        <v/>
      </c>
      <c r="Q33" s="59">
        <f>IF('[26]سجل المستخلصات'!$T$14="","",'[26]سجل المستخلصات'!$T$14)</f>
        <v/>
      </c>
      <c r="R33" s="59">
        <f>IF('[26]سجل المستخلصات'!$V$14="","",'[26]سجل المستخلصات'!$V$14)</f>
        <v/>
      </c>
      <c r="S33" s="59">
        <f>IF('[26]سجل المستخلصات'!$W$14="","",'[26]سجل المستخلصات'!$W$14)</f>
        <v/>
      </c>
      <c r="T33" s="61">
        <f>IF('[26]سجل المستخلصات'!$X$14="","",'[26]سجل المستخلصات'!$X$14)</f>
        <v/>
      </c>
      <c r="U33" s="61">
        <f>IF('[26]سجل المستخلصات'!$Z$14="","",'[26]سجل المستخلصات'!$Z$14)</f>
        <v/>
      </c>
      <c r="V33" s="59">
        <f>IF('[26]سجل المستخلصات'!$AA$14="","",'[26]سجل المستخلصات'!$AA$14)</f>
        <v/>
      </c>
      <c r="W33" s="59">
        <f>IF('[26]سجل المستخلصات'!$AC$14="","",'[26]سجل المستخلصات'!$AC$14)</f>
        <v/>
      </c>
      <c r="X33" s="62">
        <f>IF('[26]سجل المستخلصات'!$AD$14="","",'[26]سجل المستخلصات'!$AD$14)</f>
        <v/>
      </c>
      <c r="Y33" s="58">
        <f>IF('[26]سجل المستخلصات'!$AE$14="","",'[26]سجل المستخلصات'!$AE$14)</f>
        <v/>
      </c>
    </row>
    <row r="34">
      <c r="B34" s="56" t="n">
        <v>10</v>
      </c>
      <c r="C34" s="57">
        <f>IF('[26]سجل المستخلصات'!$C$15="","",'[26]سجل المستخلصات'!$C$15)</f>
        <v/>
      </c>
      <c r="D34" s="57">
        <f>IF('[26]سجل المستخلصات'!$E$15="","",'[26]سجل المستخلصات'!$E$15)</f>
        <v/>
      </c>
      <c r="E34" s="58">
        <f>IF('[26]سجل المستخلصات'!$F$15="","",'[26]سجل المستخلصات'!$F$15)</f>
        <v/>
      </c>
      <c r="F34" s="59">
        <f>IF('[26]سجل المستخلصات'!$H$15="","",'[26]سجل المستخلصات'!$H$15)</f>
        <v/>
      </c>
      <c r="G34" s="59">
        <f>IF('[26]سجل المستخلصات'!$G$15="","",'[26]سجل المستخلصات'!$G$15)</f>
        <v/>
      </c>
      <c r="H34" s="59">
        <f>IF('[26]سجل المستخلصات'!$I$15="","",'[26]سجل المستخلصات'!$I$15)</f>
        <v/>
      </c>
      <c r="I34" s="59">
        <f>IF('[26]سجل المستخلصات'!$J$15="","",'[26]سجل المستخلصات'!$J$15)</f>
        <v/>
      </c>
      <c r="J34" s="59">
        <f>IF('[26]سجل المستخلصات'!$K$15="","",'[26]سجل المستخلصات'!$K$15)</f>
        <v/>
      </c>
      <c r="K34" s="60">
        <f>IF('[26]سجل المستخلصات'!$L$15="","",'[26]سجل المستخلصات'!$L$15)</f>
        <v/>
      </c>
      <c r="L34" s="60">
        <f>IF('[26]سجل المستخلصات'!$M$15="","",'[26]سجل المستخلصات'!$M$15)</f>
        <v/>
      </c>
      <c r="M34" s="60">
        <f>IF('[26]سجل المستخلصات'!$N$15="","",'[26]سجل المستخلصات'!$N$15)</f>
        <v/>
      </c>
      <c r="N34" s="59">
        <f>IF('[26]سجل المستخلصات'!$O$15="","",'[26]سجل المستخلصات'!$O$15)</f>
        <v/>
      </c>
      <c r="O34" s="59">
        <f>IF('[26]سجل المستخلصات'!$R$15="","",'[26]سجل المستخلصات'!$R$15)</f>
        <v/>
      </c>
      <c r="P34" s="59">
        <f>IF('[26]سجل المستخلصات'!$S$15="","",'[26]سجل المستخلصات'!$S$15)</f>
        <v/>
      </c>
      <c r="Q34" s="59">
        <f>IF('[26]سجل المستخلصات'!$T$15="","",'[26]سجل المستخلصات'!$T$15)</f>
        <v/>
      </c>
      <c r="R34" s="59">
        <f>IF('[26]سجل المستخلصات'!$V$15="","",'[26]سجل المستخلصات'!$V$15)</f>
        <v/>
      </c>
      <c r="S34" s="59">
        <f>IF('[26]سجل المستخلصات'!$W$15="","",'[26]سجل المستخلصات'!$W$15)</f>
        <v/>
      </c>
      <c r="T34" s="61">
        <f>IF('[26]سجل المستخلصات'!$X$15="","",'[26]سجل المستخلصات'!$X$15)</f>
        <v/>
      </c>
      <c r="U34" s="61">
        <f>IF('[26]سجل المستخلصات'!$Z$15="","",'[26]سجل المستخلصات'!$Z$15)</f>
        <v/>
      </c>
      <c r="V34" s="59">
        <f>IF('[26]سجل المستخلصات'!$AA$15="","",'[26]سجل المستخلصات'!$AA$15)</f>
        <v/>
      </c>
      <c r="W34" s="59">
        <f>IF('[26]سجل المستخلصات'!$AC$15="","",'[26]سجل المستخلصات'!$AC$15)</f>
        <v/>
      </c>
      <c r="X34" s="62">
        <f>IF('[26]سجل المستخلصات'!$AD$15="","",'[26]سجل المستخلصات'!$AD$15)</f>
        <v/>
      </c>
      <c r="Y34" s="58">
        <f>IF('[26]سجل المستخلصات'!$AE$15="","",'[26]سجل المستخلصات'!$AE$15)</f>
        <v/>
      </c>
    </row>
    <row r="35">
      <c r="B35" s="56" t="n">
        <v>11</v>
      </c>
      <c r="C35" s="57">
        <f>IF('[26]سجل المستخلصات'!$C$16="","",'[26]سجل المستخلصات'!$C$16)</f>
        <v/>
      </c>
      <c r="D35" s="57">
        <f>IF('[26]سجل المستخلصات'!$E$16="","",'[26]سجل المستخلصات'!$E$16)</f>
        <v/>
      </c>
      <c r="E35" s="58">
        <f>IF('[26]سجل المستخلصات'!$F$16="","",'[26]سجل المستخلصات'!$F$16)</f>
        <v/>
      </c>
      <c r="F35" s="59">
        <f>IF('[26]سجل المستخلصات'!$H$16="","",'[26]سجل المستخلصات'!$H$16)</f>
        <v/>
      </c>
      <c r="G35" s="59">
        <f>IF('[26]سجل المستخلصات'!$G$16="","",'[26]سجل المستخلصات'!$G$16)</f>
        <v/>
      </c>
      <c r="H35" s="59">
        <f>IF('[26]سجل المستخلصات'!$I$16="","",'[26]سجل المستخلصات'!$I$16)</f>
        <v/>
      </c>
      <c r="I35" s="59">
        <f>IF('[26]سجل المستخلصات'!$J$16="","",'[26]سجل المستخلصات'!$J$16)</f>
        <v/>
      </c>
      <c r="J35" s="59">
        <f>IF('[26]سجل المستخلصات'!$K$16="","",'[26]سجل المستخلصات'!$K$16)</f>
        <v/>
      </c>
      <c r="K35" s="60">
        <f>IF('[26]سجل المستخلصات'!$L$16="","",'[26]سجل المستخلصات'!$L$16)</f>
        <v/>
      </c>
      <c r="L35" s="60">
        <f>IF('[26]سجل المستخلصات'!$M$16="","",'[26]سجل المستخلصات'!$M$16)</f>
        <v/>
      </c>
      <c r="M35" s="60">
        <f>IF('[26]سجل المستخلصات'!$N$16="","",'[26]سجل المستخلصات'!$N$16)</f>
        <v/>
      </c>
      <c r="N35" s="59">
        <f>IF('[26]سجل المستخلصات'!$O$16="","",'[26]سجل المستخلصات'!$O$16)</f>
        <v/>
      </c>
      <c r="O35" s="59">
        <f>IF('[26]سجل المستخلصات'!$R$16="","",'[26]سجل المستخلصات'!$R$16)</f>
        <v/>
      </c>
      <c r="P35" s="59">
        <f>IF('[26]سجل المستخلصات'!$S$16="","",'[26]سجل المستخلصات'!$S$16)</f>
        <v/>
      </c>
      <c r="Q35" s="59">
        <f>IF('[26]سجل المستخلصات'!$T$16="","",'[26]سجل المستخلصات'!$T$16)</f>
        <v/>
      </c>
      <c r="R35" s="59">
        <f>IF('[26]سجل المستخلصات'!$V$16="","",'[26]سجل المستخلصات'!$V$16)</f>
        <v/>
      </c>
      <c r="S35" s="59">
        <f>IF('[26]سجل المستخلصات'!$W$16="","",'[26]سجل المستخلصات'!$W$16)</f>
        <v/>
      </c>
      <c r="T35" s="61">
        <f>IF('[26]سجل المستخلصات'!$X$16="","",'[26]سجل المستخلصات'!$X$16)</f>
        <v/>
      </c>
      <c r="U35" s="61">
        <f>IF('[26]سجل المستخلصات'!$Z$16="","",'[26]سجل المستخلصات'!$Z$16)</f>
        <v/>
      </c>
      <c r="V35" s="59">
        <f>IF('[26]سجل المستخلصات'!$AA$16="","",'[26]سجل المستخلصات'!$AA$16)</f>
        <v/>
      </c>
      <c r="W35" s="59">
        <f>IF('[26]سجل المستخلصات'!$AC$16="","",'[26]سجل المستخلصات'!$AC$16)</f>
        <v/>
      </c>
      <c r="X35" s="62">
        <f>IF('[26]سجل المستخلصات'!$AD$16="","",'[26]سجل المستخلصات'!$AD$16)</f>
        <v/>
      </c>
      <c r="Y35" s="58">
        <f>IF('[26]سجل المستخلصات'!$AE$16="","",'[26]سجل المستخلصات'!$AE$16)</f>
        <v/>
      </c>
    </row>
    <row r="36">
      <c r="B36" s="56" t="n">
        <v>12</v>
      </c>
      <c r="C36" s="57">
        <f>IF('[26]سجل المستخلصات'!$C$17="","",'[26]سجل المستخلصات'!$C$17)</f>
        <v/>
      </c>
      <c r="D36" s="57">
        <f>IF('[26]سجل المستخلصات'!$E$17="","",'[26]سجل المستخلصات'!$E$17)</f>
        <v/>
      </c>
      <c r="E36" s="58">
        <f>IF('[26]سجل المستخلصات'!$F$17="","",'[26]سجل المستخلصات'!$F$17)</f>
        <v/>
      </c>
      <c r="F36" s="59">
        <f>IF('[26]سجل المستخلصات'!$H$17="","",'[26]سجل المستخلصات'!$H$17)</f>
        <v/>
      </c>
      <c r="G36" s="59">
        <f>IF('[26]سجل المستخلصات'!$G$17="","",'[26]سجل المستخلصات'!$G$17)</f>
        <v/>
      </c>
      <c r="H36" s="59">
        <f>IF('[26]سجل المستخلصات'!$I$17="","",'[26]سجل المستخلصات'!$I$17)</f>
        <v/>
      </c>
      <c r="I36" s="59">
        <f>IF('[26]سجل المستخلصات'!$J$17="","",'[26]سجل المستخلصات'!$J$17)</f>
        <v/>
      </c>
      <c r="J36" s="59">
        <f>IF('[26]سجل المستخلصات'!$K$17="","",'[26]سجل المستخلصات'!$K$17)</f>
        <v/>
      </c>
      <c r="K36" s="60">
        <f>IF('[26]سجل المستخلصات'!$L$17="","",'[26]سجل المستخلصات'!$L$17)</f>
        <v/>
      </c>
      <c r="L36" s="60">
        <f>IF('[26]سجل المستخلصات'!$M$17="","",'[26]سجل المستخلصات'!$M$17)</f>
        <v/>
      </c>
      <c r="M36" s="60">
        <f>IF('[26]سجل المستخلصات'!$N$17="","",'[26]سجل المستخلصات'!$N$17)</f>
        <v/>
      </c>
      <c r="N36" s="59">
        <f>IF('[26]سجل المستخلصات'!$O$17="","",'[26]سجل المستخلصات'!$O$17)</f>
        <v/>
      </c>
      <c r="O36" s="59">
        <f>IF('[26]سجل المستخلصات'!$R$17="","",'[26]سجل المستخلصات'!$R$17)</f>
        <v/>
      </c>
      <c r="P36" s="59">
        <f>IF('[26]سجل المستخلصات'!$S$17="","",'[26]سجل المستخلصات'!$S$17)</f>
        <v/>
      </c>
      <c r="Q36" s="59">
        <f>IF('[26]سجل المستخلصات'!$T$17="","",'[26]سجل المستخلصات'!$T$17)</f>
        <v/>
      </c>
      <c r="R36" s="59">
        <f>IF('[26]سجل المستخلصات'!$V$17="","",'[26]سجل المستخلصات'!$V$17)</f>
        <v/>
      </c>
      <c r="S36" s="59">
        <f>IF('[26]سجل المستخلصات'!$W$17="","",'[26]سجل المستخلصات'!$W$17)</f>
        <v/>
      </c>
      <c r="T36" s="61">
        <f>IF('[26]سجل المستخلصات'!$X$17="","",'[26]سجل المستخلصات'!$X$17)</f>
        <v/>
      </c>
      <c r="U36" s="61">
        <f>IF('[26]سجل المستخلصات'!$Z$17="","",'[26]سجل المستخلصات'!$Z$17)</f>
        <v/>
      </c>
      <c r="V36" s="59">
        <f>IF('[26]سجل المستخلصات'!$AA$17="","",'[26]سجل المستخلصات'!$AA$17)</f>
        <v/>
      </c>
      <c r="W36" s="59">
        <f>IF('[26]سجل المستخلصات'!$AC$17="","",'[26]سجل المستخلصات'!$AC$17)</f>
        <v/>
      </c>
      <c r="X36" s="62">
        <f>IF('[26]سجل المستخلصات'!$AD$17="","",'[26]سجل المستخلصات'!$AD$17)</f>
        <v/>
      </c>
      <c r="Y36" s="58">
        <f>IF('[26]سجل المستخلصات'!$AE$17="","",'[26]سجل المستخلصات'!$AE$17)</f>
        <v/>
      </c>
    </row>
    <row r="37">
      <c r="B37" s="56" t="n">
        <v>13</v>
      </c>
      <c r="C37" s="57">
        <f>IF('[26]سجل المستخلصات'!$C$18="","",'[26]سجل المستخلصات'!$C$18)</f>
        <v/>
      </c>
      <c r="D37" s="57">
        <f>IF('[26]سجل المستخلصات'!$E$18="","",'[26]سجل المستخلصات'!$E$18)</f>
        <v/>
      </c>
      <c r="E37" s="58">
        <f>IF('[26]سجل المستخلصات'!$F$18="","",'[26]سجل المستخلصات'!$F$18)</f>
        <v/>
      </c>
      <c r="F37" s="59">
        <f>IF('[26]سجل المستخلصات'!$H$18="","",'[26]سجل المستخلصات'!$H$18)</f>
        <v/>
      </c>
      <c r="G37" s="59">
        <f>IF('[26]سجل المستخلصات'!$G$18="","",'[26]سجل المستخلصات'!$G$18)</f>
        <v/>
      </c>
      <c r="H37" s="59">
        <f>IF('[26]سجل المستخلصات'!$I$18="","",'[26]سجل المستخلصات'!$I$18)</f>
        <v/>
      </c>
      <c r="I37" s="59">
        <f>IF('[26]سجل المستخلصات'!$J$18="","",'[26]سجل المستخلصات'!$J$18)</f>
        <v/>
      </c>
      <c r="J37" s="59">
        <f>IF('[26]سجل المستخلصات'!$K$18="","",'[26]سجل المستخلصات'!$K$18)</f>
        <v/>
      </c>
      <c r="K37" s="60">
        <f>IF('[26]سجل المستخلصات'!$L$18="","",'[26]سجل المستخلصات'!$L$18)</f>
        <v/>
      </c>
      <c r="L37" s="60">
        <f>IF('[26]سجل المستخلصات'!$M$18="","",'[26]سجل المستخلصات'!$M$18)</f>
        <v/>
      </c>
      <c r="M37" s="60">
        <f>IF('[26]سجل المستخلصات'!$N$18="","",'[26]سجل المستخلصات'!$N$18)</f>
        <v/>
      </c>
      <c r="N37" s="59">
        <f>IF('[26]سجل المستخلصات'!$O$18="","",'[26]سجل المستخلصات'!$O$18)</f>
        <v/>
      </c>
      <c r="O37" s="59">
        <f>IF('[26]سجل المستخلصات'!$R$18="","",'[26]سجل المستخلصات'!$R$18)</f>
        <v/>
      </c>
      <c r="P37" s="59">
        <f>IF('[26]سجل المستخلصات'!$S$18="","",'[26]سجل المستخلصات'!$S$18)</f>
        <v/>
      </c>
      <c r="Q37" s="59">
        <f>IF('[26]سجل المستخلصات'!$T$18="","",'[26]سجل المستخلصات'!$T$18)</f>
        <v/>
      </c>
      <c r="R37" s="59">
        <f>IF('[26]سجل المستخلصات'!$V$18="","",'[26]سجل المستخلصات'!$V$18)</f>
        <v/>
      </c>
      <c r="S37" s="59">
        <f>IF('[26]سجل المستخلصات'!$W$18="","",'[26]سجل المستخلصات'!$W$18)</f>
        <v/>
      </c>
      <c r="T37" s="61">
        <f>IF('[26]سجل المستخلصات'!$X$18="","",'[26]سجل المستخلصات'!$X$18)</f>
        <v/>
      </c>
      <c r="U37" s="61">
        <f>IF('[26]سجل المستخلصات'!$Z$18="","",'[26]سجل المستخلصات'!$Z$18)</f>
        <v/>
      </c>
      <c r="V37" s="59">
        <f>IF('[26]سجل المستخلصات'!$AA$18="","",'[26]سجل المستخلصات'!$AA$18)</f>
        <v/>
      </c>
      <c r="W37" s="59">
        <f>IF('[26]سجل المستخلصات'!$AC$18="","",'[26]سجل المستخلصات'!$AC$18)</f>
        <v/>
      </c>
      <c r="X37" s="62">
        <f>IF('[26]سجل المستخلصات'!$AD$18="","",'[26]سجل المستخلصات'!$AD$18)</f>
        <v/>
      </c>
      <c r="Y37" s="58">
        <f>IF('[26]سجل المستخلصات'!$AE$18="","",'[26]سجل المستخلصات'!$AE$18)</f>
        <v/>
      </c>
    </row>
    <row r="38">
      <c r="B38" s="56" t="n">
        <v>14</v>
      </c>
      <c r="C38" s="57">
        <f>IF('[26]سجل المستخلصات'!$C$19="","",'[26]سجل المستخلصات'!$C$19)</f>
        <v/>
      </c>
      <c r="D38" s="57">
        <f>IF('[26]سجل المستخلصات'!$E$19="","",'[26]سجل المستخلصات'!$E$19)</f>
        <v/>
      </c>
      <c r="E38" s="58">
        <f>IF('[26]سجل المستخلصات'!$F$19="","",'[26]سجل المستخلصات'!$F$19)</f>
        <v/>
      </c>
      <c r="F38" s="59">
        <f>IF('[26]سجل المستخلصات'!$H$19="","",'[26]سجل المستخلصات'!$H$19)</f>
        <v/>
      </c>
      <c r="G38" s="59">
        <f>IF('[26]سجل المستخلصات'!$G$19="","",'[26]سجل المستخلصات'!$G$19)</f>
        <v/>
      </c>
      <c r="H38" s="59">
        <f>IF('[26]سجل المستخلصات'!$I$19="","",'[26]سجل المستخلصات'!$I$19)</f>
        <v/>
      </c>
      <c r="I38" s="59">
        <f>IF('[26]سجل المستخلصات'!$J$19="","",'[26]سجل المستخلصات'!$J$19)</f>
        <v/>
      </c>
      <c r="J38" s="59">
        <f>IF('[26]سجل المستخلصات'!$K$19="","",'[26]سجل المستخلصات'!$K$19)</f>
        <v/>
      </c>
      <c r="K38" s="60">
        <f>IF('[26]سجل المستخلصات'!$L$19="","",'[26]سجل المستخلصات'!$L$19)</f>
        <v/>
      </c>
      <c r="L38" s="60">
        <f>IF('[26]سجل المستخلصات'!$M$19="","",'[26]سجل المستخلصات'!$M$19)</f>
        <v/>
      </c>
      <c r="M38" s="60">
        <f>IF('[26]سجل المستخلصات'!$N$19="","",'[26]سجل المستخلصات'!$N$19)</f>
        <v/>
      </c>
      <c r="N38" s="59">
        <f>IF('[26]سجل المستخلصات'!$O$19="","",'[26]سجل المستخلصات'!$O$19)</f>
        <v/>
      </c>
      <c r="O38" s="59">
        <f>IF('[26]سجل المستخلصات'!$R$19="","",'[26]سجل المستخلصات'!$R$19)</f>
        <v/>
      </c>
      <c r="P38" s="59">
        <f>IF('[26]سجل المستخلصات'!$S$19="","",'[26]سجل المستخلصات'!$S$19)</f>
        <v/>
      </c>
      <c r="Q38" s="59">
        <f>IF('[26]سجل المستخلصات'!$T$19="","",'[26]سجل المستخلصات'!$T$19)</f>
        <v/>
      </c>
      <c r="R38" s="59">
        <f>IF('[26]سجل المستخلصات'!$V$19="","",'[26]سجل المستخلصات'!$V$19)</f>
        <v/>
      </c>
      <c r="S38" s="59">
        <f>IF('[26]سجل المستخلصات'!$W$19="","",'[26]سجل المستخلصات'!$W$19)</f>
        <v/>
      </c>
      <c r="T38" s="61">
        <f>IF('[26]سجل المستخلصات'!$X$19="","",'[26]سجل المستخلصات'!$X$19)</f>
        <v/>
      </c>
      <c r="U38" s="61">
        <f>IF('[26]سجل المستخلصات'!$Z$19="","",'[26]سجل المستخلصات'!$Z$19)</f>
        <v/>
      </c>
      <c r="V38" s="59">
        <f>IF('[26]سجل المستخلصات'!$AA$19="","",'[26]سجل المستخلصات'!$AA$19)</f>
        <v/>
      </c>
      <c r="W38" s="59">
        <f>IF('[26]سجل المستخلصات'!$AC$19="","",'[26]سجل المستخلصات'!$AC$19)</f>
        <v/>
      </c>
      <c r="X38" s="62">
        <f>IF('[26]سجل المستخلصات'!$AD$19="","",'[26]سجل المستخلصات'!$AD$19)</f>
        <v/>
      </c>
      <c r="Y38" s="58">
        <f>IF('[26]سجل المستخلصات'!$AE$19="","",'[26]سجل المستخلصات'!$AE$19)</f>
        <v/>
      </c>
    </row>
    <row r="39">
      <c r="B39" s="56" t="n">
        <v>15</v>
      </c>
      <c r="C39" s="57">
        <f>IF('[26]سجل المستخلصات'!$C$20="","",'[26]سجل المستخلصات'!$C$20)</f>
        <v/>
      </c>
      <c r="D39" s="57">
        <f>IF('[26]سجل المستخلصات'!$E$20="","",'[26]سجل المستخلصات'!$E$20)</f>
        <v/>
      </c>
      <c r="E39" s="58">
        <f>IF('[26]سجل المستخلصات'!$F$20="","",'[26]سجل المستخلصات'!$F$20)</f>
        <v/>
      </c>
      <c r="F39" s="59">
        <f>IF('[26]سجل المستخلصات'!$H$20="","",'[26]سجل المستخلصات'!$H$20)</f>
        <v/>
      </c>
      <c r="G39" s="59">
        <f>IF('[26]سجل المستخلصات'!$G$20="","",'[26]سجل المستخلصات'!$G$20)</f>
        <v/>
      </c>
      <c r="H39" s="59">
        <f>IF('[26]سجل المستخلصات'!$I$20="","",'[26]سجل المستخلصات'!$I$20)</f>
        <v/>
      </c>
      <c r="I39" s="59">
        <f>IF('[26]سجل المستخلصات'!$J$20="","",'[26]سجل المستخلصات'!$J$20)</f>
        <v/>
      </c>
      <c r="J39" s="59">
        <f>IF('[26]سجل المستخلصات'!$K$20="","",'[26]سجل المستخلصات'!$K$20)</f>
        <v/>
      </c>
      <c r="K39" s="60">
        <f>IF('[26]سجل المستخلصات'!$L$20="","",'[26]سجل المستخلصات'!$L$20)</f>
        <v/>
      </c>
      <c r="L39" s="60">
        <f>IF('[26]سجل المستخلصات'!$M$20="","",'[26]سجل المستخلصات'!$M$20)</f>
        <v/>
      </c>
      <c r="M39" s="60">
        <f>IF('[26]سجل المستخلصات'!$N$20="","",'[26]سجل المستخلصات'!$N$20)</f>
        <v/>
      </c>
      <c r="N39" s="59">
        <f>IF('[26]سجل المستخلصات'!$O$20="","",'[26]سجل المستخلصات'!$O$20)</f>
        <v/>
      </c>
      <c r="O39" s="59">
        <f>IF('[26]سجل المستخلصات'!$R$20="","",'[26]سجل المستخلصات'!$R$20)</f>
        <v/>
      </c>
      <c r="P39" s="59">
        <f>IF('[26]سجل المستخلصات'!$S$20="","",'[26]سجل المستخلصات'!$S$20)</f>
        <v/>
      </c>
      <c r="Q39" s="59">
        <f>IF('[26]سجل المستخلصات'!$T$20="","",'[26]سجل المستخلصات'!$T$20)</f>
        <v/>
      </c>
      <c r="R39" s="59">
        <f>IF('[26]سجل المستخلصات'!$V$20="","",'[26]سجل المستخلصات'!$V$20)</f>
        <v/>
      </c>
      <c r="S39" s="59">
        <f>IF('[26]سجل المستخلصات'!$W$20="","",'[26]سجل المستخلصات'!$W$20)</f>
        <v/>
      </c>
      <c r="T39" s="61">
        <f>IF('[26]سجل المستخلصات'!$X$20="","",'[26]سجل المستخلصات'!$X$20)</f>
        <v/>
      </c>
      <c r="U39" s="61">
        <f>IF('[26]سجل المستخلصات'!$Z$20="","",'[26]سجل المستخلصات'!$Z$20)</f>
        <v/>
      </c>
      <c r="V39" s="59">
        <f>IF('[26]سجل المستخلصات'!$AA$20="","",'[26]سجل المستخلصات'!$AA$20)</f>
        <v/>
      </c>
      <c r="W39" s="59">
        <f>IF('[26]سجل المستخلصات'!$AC$20="","",'[26]سجل المستخلصات'!$AC$20)</f>
        <v/>
      </c>
      <c r="X39" s="62">
        <f>IF('[26]سجل المستخلصات'!$AD$20="","",'[26]سجل المستخلصات'!$AD$20)</f>
        <v/>
      </c>
      <c r="Y39" s="58">
        <f>IF('[26]سجل المستخلصات'!$AE$20="","",'[26]سجل المستخلصات'!$AE$20)</f>
        <v/>
      </c>
    </row>
    <row r="40">
      <c r="B40" s="56" t="n">
        <v>16</v>
      </c>
      <c r="C40" s="57">
        <f>IF('[26]سجل المستخلصات'!$C$21="","",'[26]سجل المستخلصات'!$C$21)</f>
        <v/>
      </c>
      <c r="D40" s="57">
        <f>IF('[26]سجل المستخلصات'!$E$21="","",'[26]سجل المستخلصات'!$E$21)</f>
        <v/>
      </c>
      <c r="E40" s="58">
        <f>IF('[26]سجل المستخلصات'!$F$21="","",'[26]سجل المستخلصات'!$F$21)</f>
        <v/>
      </c>
      <c r="F40" s="59">
        <f>IF('[26]سجل المستخلصات'!$H$21="","",'[26]سجل المستخلصات'!$H$21)</f>
        <v/>
      </c>
      <c r="G40" s="59">
        <f>IF('[26]سجل المستخلصات'!$G$21="","",'[26]سجل المستخلصات'!$G$21)</f>
        <v/>
      </c>
      <c r="H40" s="59">
        <f>IF('[26]سجل المستخلصات'!$I$21="","",'[26]سجل المستخلصات'!$I$21)</f>
        <v/>
      </c>
      <c r="I40" s="59">
        <f>IF('[26]سجل المستخلصات'!$J$21="","",'[26]سجل المستخلصات'!$J$21)</f>
        <v/>
      </c>
      <c r="J40" s="59">
        <f>IF('[26]سجل المستخلصات'!$K$21="","",'[26]سجل المستخلصات'!$K$21)</f>
        <v/>
      </c>
      <c r="K40" s="60">
        <f>IF('[26]سجل المستخلصات'!$L$21="","",'[26]سجل المستخلصات'!$L$21)</f>
        <v/>
      </c>
      <c r="L40" s="60">
        <f>IF('[26]سجل المستخلصات'!$M$21="","",'[26]سجل المستخلصات'!$M$21)</f>
        <v/>
      </c>
      <c r="M40" s="60">
        <f>IF('[26]سجل المستخلصات'!$N$21="","",'[26]سجل المستخلصات'!$N$21)</f>
        <v/>
      </c>
      <c r="N40" s="59">
        <f>IF('[26]سجل المستخلصات'!$O$21="","",'[26]سجل المستخلصات'!$O$21)</f>
        <v/>
      </c>
      <c r="O40" s="59">
        <f>IF('[26]سجل المستخلصات'!$R$21="","",'[26]سجل المستخلصات'!$R$21)</f>
        <v/>
      </c>
      <c r="P40" s="59">
        <f>IF('[26]سجل المستخلصات'!$S$21="","",'[26]سجل المستخلصات'!$S$21)</f>
        <v/>
      </c>
      <c r="Q40" s="59">
        <f>IF('[26]سجل المستخلصات'!$T$21="","",'[26]سجل المستخلصات'!$T$21)</f>
        <v/>
      </c>
      <c r="R40" s="59">
        <f>IF('[26]سجل المستخلصات'!$V$21="","",'[26]سجل المستخلصات'!$V$21)</f>
        <v/>
      </c>
      <c r="S40" s="59">
        <f>IF('[26]سجل المستخلصات'!$W$21="","",'[26]سجل المستخلصات'!$W$21)</f>
        <v/>
      </c>
      <c r="T40" s="61">
        <f>IF('[26]سجل المستخلصات'!$X$21="","",'[26]سجل المستخلصات'!$X$21)</f>
        <v/>
      </c>
      <c r="U40" s="61">
        <f>IF('[26]سجل المستخلصات'!$Z$21="","",'[26]سجل المستخلصات'!$Z$21)</f>
        <v/>
      </c>
      <c r="V40" s="59">
        <f>IF('[26]سجل المستخلصات'!$AA$21="","",'[26]سجل المستخلصات'!$AA$21)</f>
        <v/>
      </c>
      <c r="W40" s="59">
        <f>IF('[26]سجل المستخلصات'!$AC$21="","",'[26]سجل المستخلصات'!$AC$21)</f>
        <v/>
      </c>
      <c r="X40" s="62">
        <f>IF('[26]سجل المستخلصات'!$AD$21="","",'[26]سجل المستخلصات'!$AD$21)</f>
        <v/>
      </c>
      <c r="Y40" s="58">
        <f>IF('[26]سجل المستخلصات'!$AE$21="","",'[26]سجل المستخلصات'!$AE$21)</f>
        <v/>
      </c>
    </row>
    <row r="41">
      <c r="B41" s="56" t="n">
        <v>17</v>
      </c>
      <c r="C41" s="57">
        <f>IF('[26]سجل المستخلصات'!$C$22="","",'[26]سجل المستخلصات'!$C$22)</f>
        <v/>
      </c>
      <c r="D41" s="57">
        <f>IF('[26]سجل المستخلصات'!$E$22="","",'[26]سجل المستخلصات'!$E$22)</f>
        <v/>
      </c>
      <c r="E41" s="58">
        <f>IF('[26]سجل المستخلصات'!$F$22="","",'[26]سجل المستخلصات'!$F$22)</f>
        <v/>
      </c>
      <c r="F41" s="59">
        <f>IF('[26]سجل المستخلصات'!$H$22="","",'[26]سجل المستخلصات'!$H$22)</f>
        <v/>
      </c>
      <c r="G41" s="59">
        <f>IF('[26]سجل المستخلصات'!$G$22="","",'[26]سجل المستخلصات'!$G$22)</f>
        <v/>
      </c>
      <c r="H41" s="59">
        <f>IF('[26]سجل المستخلصات'!$I$22="","",'[26]سجل المستخلصات'!$I$22)</f>
        <v/>
      </c>
      <c r="I41" s="59">
        <f>IF('[26]سجل المستخلصات'!$J$22="","",'[26]سجل المستخلصات'!$J$22)</f>
        <v/>
      </c>
      <c r="J41" s="59">
        <f>IF('[26]سجل المستخلصات'!$K$22="","",'[26]سجل المستخلصات'!$K$22)</f>
        <v/>
      </c>
      <c r="K41" s="60">
        <f>IF('[26]سجل المستخلصات'!$L$22="","",'[26]سجل المستخلصات'!$L$22)</f>
        <v/>
      </c>
      <c r="L41" s="60">
        <f>IF('[26]سجل المستخلصات'!$M$22="","",'[26]سجل المستخلصات'!$M$22)</f>
        <v/>
      </c>
      <c r="M41" s="60">
        <f>IF('[26]سجل المستخلصات'!$N$22="","",'[26]سجل المستخلصات'!$N$22)</f>
        <v/>
      </c>
      <c r="N41" s="59">
        <f>IF('[26]سجل المستخلصات'!$O$22="","",'[26]سجل المستخلصات'!$O$22)</f>
        <v/>
      </c>
      <c r="O41" s="59">
        <f>IF('[26]سجل المستخلصات'!$R$22="","",'[26]سجل المستخلصات'!$R$22)</f>
        <v/>
      </c>
      <c r="P41" s="59">
        <f>IF('[26]سجل المستخلصات'!$S$22="","",'[26]سجل المستخلصات'!$S$22)</f>
        <v/>
      </c>
      <c r="Q41" s="59">
        <f>IF('[26]سجل المستخلصات'!$T$22="","",'[26]سجل المستخلصات'!$T$22)</f>
        <v/>
      </c>
      <c r="R41" s="59">
        <f>IF('[26]سجل المستخلصات'!$V$22="","",'[26]سجل المستخلصات'!$V$22)</f>
        <v/>
      </c>
      <c r="S41" s="59">
        <f>IF('[26]سجل المستخلصات'!$W$22="","",'[26]سجل المستخلصات'!$W$22)</f>
        <v/>
      </c>
      <c r="T41" s="61">
        <f>IF('[26]سجل المستخلصات'!$X$22="","",'[26]سجل المستخلصات'!$X$22)</f>
        <v/>
      </c>
      <c r="U41" s="61">
        <f>IF('[26]سجل المستخلصات'!$Z$22="","",'[26]سجل المستخلصات'!$Z$22)</f>
        <v/>
      </c>
      <c r="V41" s="59">
        <f>IF('[26]سجل المستخلصات'!$AA$22="","",'[26]سجل المستخلصات'!$AA$22)</f>
        <v/>
      </c>
      <c r="W41" s="59">
        <f>IF('[26]سجل المستخلصات'!$AC$22="","",'[26]سجل المستخلصات'!$AC$22)</f>
        <v/>
      </c>
      <c r="X41" s="62">
        <f>IF('[26]سجل المستخلصات'!$AD$22="","",'[26]سجل المستخلصات'!$AD$22)</f>
        <v/>
      </c>
      <c r="Y41" s="58">
        <f>IF('[26]سجل المستخلصات'!$AE$22="","",'[26]سجل المستخلصات'!$AE$22)</f>
        <v/>
      </c>
    </row>
    <row r="42">
      <c r="B42" s="56" t="n">
        <v>18</v>
      </c>
      <c r="C42" s="57">
        <f>IF('[26]سجل المستخلصات'!$C$23="","",'[26]سجل المستخلصات'!$C$23)</f>
        <v/>
      </c>
      <c r="D42" s="57">
        <f>IF('[26]سجل المستخلصات'!$E$23="","",'[26]سجل المستخلصات'!$E$23)</f>
        <v/>
      </c>
      <c r="E42" s="58">
        <f>IF('[26]سجل المستخلصات'!$F$23="","",'[26]سجل المستخلصات'!$F$23)</f>
        <v/>
      </c>
      <c r="F42" s="59">
        <f>IF('[26]سجل المستخلصات'!$H$23="","",'[26]سجل المستخلصات'!$H$23)</f>
        <v/>
      </c>
      <c r="G42" s="59">
        <f>IF('[26]سجل المستخلصات'!$G$23="","",'[26]سجل المستخلصات'!$G$23)</f>
        <v/>
      </c>
      <c r="H42" s="59">
        <f>IF('[26]سجل المستخلصات'!$I$23="","",'[26]سجل المستخلصات'!$I$23)</f>
        <v/>
      </c>
      <c r="I42" s="59">
        <f>IF('[26]سجل المستخلصات'!$J$23="","",'[26]سجل المستخلصات'!$J$23)</f>
        <v/>
      </c>
      <c r="J42" s="59">
        <f>IF('[26]سجل المستخلصات'!$K$23="","",'[26]سجل المستخلصات'!$K$23)</f>
        <v/>
      </c>
      <c r="K42" s="60">
        <f>IF('[26]سجل المستخلصات'!$L$23="","",'[26]سجل المستخلصات'!$L$23)</f>
        <v/>
      </c>
      <c r="L42" s="60">
        <f>IF('[26]سجل المستخلصات'!$M$23="","",'[26]سجل المستخلصات'!$M$23)</f>
        <v/>
      </c>
      <c r="M42" s="60">
        <f>IF('[26]سجل المستخلصات'!$N$23="","",'[26]سجل المستخلصات'!$N$23)</f>
        <v/>
      </c>
      <c r="N42" s="59">
        <f>IF('[26]سجل المستخلصات'!$O$23="","",'[26]سجل المستخلصات'!$O$23)</f>
        <v/>
      </c>
      <c r="O42" s="59">
        <f>IF('[26]سجل المستخلصات'!$R$23="","",'[26]سجل المستخلصات'!$R$23)</f>
        <v/>
      </c>
      <c r="P42" s="59">
        <f>IF('[26]سجل المستخلصات'!$S$23="","",'[26]سجل المستخلصات'!$S$23)</f>
        <v/>
      </c>
      <c r="Q42" s="59">
        <f>IF('[26]سجل المستخلصات'!$T$23="","",'[26]سجل المستخلصات'!$T$23)</f>
        <v/>
      </c>
      <c r="R42" s="59">
        <f>IF('[26]سجل المستخلصات'!$V$23="","",'[26]سجل المستخلصات'!$V$23)</f>
        <v/>
      </c>
      <c r="S42" s="59">
        <f>IF('[26]سجل المستخلصات'!$W$23="","",'[26]سجل المستخلصات'!$W$23)</f>
        <v/>
      </c>
      <c r="T42" s="61">
        <f>IF('[26]سجل المستخلصات'!$X$23="","",'[26]سجل المستخلصات'!$X$23)</f>
        <v/>
      </c>
      <c r="U42" s="61">
        <f>IF('[26]سجل المستخلصات'!$Z$23="","",'[26]سجل المستخلصات'!$Z$23)</f>
        <v/>
      </c>
      <c r="V42" s="59">
        <f>IF('[26]سجل المستخلصات'!$AA$23="","",'[26]سجل المستخلصات'!$AA$23)</f>
        <v/>
      </c>
      <c r="W42" s="59">
        <f>IF('[26]سجل المستخلصات'!$AC$23="","",'[26]سجل المستخلصات'!$AC$23)</f>
        <v/>
      </c>
      <c r="X42" s="62">
        <f>IF('[26]سجل المستخلصات'!$AD$23="","",'[26]سجل المستخلصات'!$AD$23)</f>
        <v/>
      </c>
      <c r="Y42" s="58">
        <f>IF('[26]سجل المستخلصات'!$AE$23="","",'[26]سجل المستخلصات'!$AE$23)</f>
        <v/>
      </c>
    </row>
    <row r="43">
      <c r="B43" s="56" t="n">
        <v>19</v>
      </c>
      <c r="C43" s="57">
        <f>IF('[26]سجل المستخلصات'!$C$24="","",'[26]سجل المستخلصات'!$C$24)</f>
        <v/>
      </c>
      <c r="D43" s="57">
        <f>IF('[26]سجل المستخلصات'!$E$24="","",'[26]سجل المستخلصات'!$E$24)</f>
        <v/>
      </c>
      <c r="E43" s="58">
        <f>IF('[26]سجل المستخلصات'!$F$24="","",'[26]سجل المستخلصات'!$F$24)</f>
        <v/>
      </c>
      <c r="F43" s="59">
        <f>IF('[26]سجل المستخلصات'!$H$24="","",'[26]سجل المستخلصات'!$H$24)</f>
        <v/>
      </c>
      <c r="G43" s="59">
        <f>IF('[26]سجل المستخلصات'!$G$24="","",'[26]سجل المستخلصات'!$G$24)</f>
        <v/>
      </c>
      <c r="H43" s="59">
        <f>IF('[26]سجل المستخلصات'!$I$24="","",'[26]سجل المستخلصات'!$I$24)</f>
        <v/>
      </c>
      <c r="I43" s="59">
        <f>IF('[26]سجل المستخلصات'!$J$24="","",'[26]سجل المستخلصات'!$J$24)</f>
        <v/>
      </c>
      <c r="J43" s="59">
        <f>IF('[26]سجل المستخلصات'!$K$24="","",'[26]سجل المستخلصات'!$K$24)</f>
        <v/>
      </c>
      <c r="K43" s="60">
        <f>IF('[26]سجل المستخلصات'!$L$24="","",'[26]سجل المستخلصات'!$L$24)</f>
        <v/>
      </c>
      <c r="L43" s="60">
        <f>IF('[26]سجل المستخلصات'!$M$24="","",'[26]سجل المستخلصات'!$M$24)</f>
        <v/>
      </c>
      <c r="M43" s="60">
        <f>IF('[26]سجل المستخلصات'!$N$24="","",'[26]سجل المستخلصات'!$N$24)</f>
        <v/>
      </c>
      <c r="N43" s="59">
        <f>IF('[26]سجل المستخلصات'!$O$24="","",'[26]سجل المستخلصات'!$O$24)</f>
        <v/>
      </c>
      <c r="O43" s="59">
        <f>IF('[26]سجل المستخلصات'!$R$24="","",'[26]سجل المستخلصات'!$R$24)</f>
        <v/>
      </c>
      <c r="P43" s="59">
        <f>IF('[26]سجل المستخلصات'!$S$24="","",'[26]سجل المستخلصات'!$S$24)</f>
        <v/>
      </c>
      <c r="Q43" s="59">
        <f>IF('[26]سجل المستخلصات'!$T$24="","",'[26]سجل المستخلصات'!$T$24)</f>
        <v/>
      </c>
      <c r="R43" s="59">
        <f>IF('[26]سجل المستخلصات'!$V$24="","",'[26]سجل المستخلصات'!$V$24)</f>
        <v/>
      </c>
      <c r="S43" s="59">
        <f>IF('[26]سجل المستخلصات'!$W$24="","",'[26]سجل المستخلصات'!$W$24)</f>
        <v/>
      </c>
      <c r="T43" s="61">
        <f>IF('[26]سجل المستخلصات'!$X$24="","",'[26]سجل المستخلصات'!$X$24)</f>
        <v/>
      </c>
      <c r="U43" s="61">
        <f>IF('[26]سجل المستخلصات'!$Z$24="","",'[26]سجل المستخلصات'!$Z$24)</f>
        <v/>
      </c>
      <c r="V43" s="59">
        <f>IF('[26]سجل المستخلصات'!$AA$24="","",'[26]سجل المستخلصات'!$AA$24)</f>
        <v/>
      </c>
      <c r="W43" s="59">
        <f>IF('[26]سجل المستخلصات'!$AC$24="","",'[26]سجل المستخلصات'!$AC$24)</f>
        <v/>
      </c>
      <c r="X43" s="62">
        <f>IF('[26]سجل المستخلصات'!$AD$24="","",'[26]سجل المستخلصات'!$AD$24)</f>
        <v/>
      </c>
      <c r="Y43" s="58">
        <f>IF('[26]سجل المستخلصات'!$AE$24="","",'[26]سجل المستخلصات'!$AE$24)</f>
        <v/>
      </c>
    </row>
    <row r="44">
      <c r="B44" s="56" t="n">
        <v>20</v>
      </c>
      <c r="C44" s="57">
        <f>IF('[26]سجل المستخلصات'!$C$25="","",'[26]سجل المستخلصات'!$C$25)</f>
        <v/>
      </c>
      <c r="D44" s="57">
        <f>IF('[26]سجل المستخلصات'!$E$25="","",'[26]سجل المستخلصات'!$E$25)</f>
        <v/>
      </c>
      <c r="E44" s="58">
        <f>IF('[26]سجل المستخلصات'!$F$25="","",'[26]سجل المستخلصات'!$F$25)</f>
        <v/>
      </c>
      <c r="F44" s="59">
        <f>IF('[26]سجل المستخلصات'!$H$25="","",'[26]سجل المستخلصات'!$H$25)</f>
        <v/>
      </c>
      <c r="G44" s="59">
        <f>IF('[26]سجل المستخلصات'!$G$25="","",'[26]سجل المستخلصات'!$G$25)</f>
        <v/>
      </c>
      <c r="H44" s="59">
        <f>IF('[26]سجل المستخلصات'!$I$25="","",'[26]سجل المستخلصات'!$I$25)</f>
        <v/>
      </c>
      <c r="I44" s="59">
        <f>IF('[26]سجل المستخلصات'!$J$25="","",'[26]سجل المستخلصات'!$J$25)</f>
        <v/>
      </c>
      <c r="J44" s="59">
        <f>IF('[26]سجل المستخلصات'!$K$25="","",'[26]سجل المستخلصات'!$K$25)</f>
        <v/>
      </c>
      <c r="K44" s="60">
        <f>IF('[26]سجل المستخلصات'!$L$25="","",'[26]سجل المستخلصات'!$L$25)</f>
        <v/>
      </c>
      <c r="L44" s="60">
        <f>IF('[26]سجل المستخلصات'!$M$25="","",'[26]سجل المستخلصات'!$M$25)</f>
        <v/>
      </c>
      <c r="M44" s="60">
        <f>IF('[26]سجل المستخلصات'!$N$25="","",'[26]سجل المستخلصات'!$N$25)</f>
        <v/>
      </c>
      <c r="N44" s="59">
        <f>IF('[26]سجل المستخلصات'!$O$25="","",'[26]سجل المستخلصات'!$O$25)</f>
        <v/>
      </c>
      <c r="O44" s="59">
        <f>IF('[26]سجل المستخلصات'!$R$25="","",'[26]سجل المستخلصات'!$R$25)</f>
        <v/>
      </c>
      <c r="P44" s="59">
        <f>IF('[26]سجل المستخلصات'!$S$25="","",'[26]سجل المستخلصات'!$S$25)</f>
        <v/>
      </c>
      <c r="Q44" s="59">
        <f>IF('[26]سجل المستخلصات'!$T$25="","",'[26]سجل المستخلصات'!$T$25)</f>
        <v/>
      </c>
      <c r="R44" s="59">
        <f>IF('[26]سجل المستخلصات'!$V$25="","",'[26]سجل المستخلصات'!$V$25)</f>
        <v/>
      </c>
      <c r="S44" s="59">
        <f>IF('[26]سجل المستخلصات'!$W$25="","",'[26]سجل المستخلصات'!$W$25)</f>
        <v/>
      </c>
      <c r="T44" s="61">
        <f>IF('[26]سجل المستخلصات'!$X$25="","",'[26]سجل المستخلصات'!$X$25)</f>
        <v/>
      </c>
      <c r="U44" s="61">
        <f>IF('[26]سجل المستخلصات'!$Z$25="","",'[26]سجل المستخلصات'!$Z$25)</f>
        <v/>
      </c>
      <c r="V44" s="59">
        <f>IF('[26]سجل المستخلصات'!$AA$25="","",'[26]سجل المستخلصات'!$AA$25)</f>
        <v/>
      </c>
      <c r="W44" s="59">
        <f>IF('[26]سجل المستخلصات'!$AC$25="","",'[26]سجل المستخلصات'!$AC$25)</f>
        <v/>
      </c>
      <c r="X44" s="62">
        <f>IF('[26]سجل المستخلصات'!$AD$25="","",'[26]سجل المستخلصات'!$AD$25)</f>
        <v/>
      </c>
      <c r="Y44" s="58">
        <f>IF('[26]سجل المستخلصات'!$AE$25="","",'[26]سجل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IF('[26]سجل المستخلصات'!$B$32="","",'[26]سجل المستخلصات'!$B$32)</f>
        <v/>
      </c>
      <c r="C50" s="69" t="n"/>
      <c r="D50" s="69" t="n"/>
      <c r="E50" s="59">
        <f>N('[26]سجل المستخلصات'!$E$32)</f>
        <v/>
      </c>
      <c r="F50" s="59">
        <f>N('[26]سجل المستخلصات'!$F$32)</f>
        <v/>
      </c>
      <c r="G50" s="70">
        <f>IF(E50&gt;0,F50/E50,0)</f>
        <v/>
      </c>
    </row>
    <row r="51">
      <c r="B51" s="69">
        <f>IF('[26]سجل المستخلصات'!$B$33="","",'[26]سجل المستخلصات'!$B$33)</f>
        <v/>
      </c>
      <c r="C51" s="69" t="n"/>
      <c r="D51" s="69" t="n"/>
      <c r="E51" s="59">
        <f>N('[26]سجل المستخلصات'!$E$33)</f>
        <v/>
      </c>
      <c r="F51" s="59">
        <f>N('[26]سجل المستخلصات'!$F$33)</f>
        <v/>
      </c>
      <c r="G51" s="70">
        <f>IF(E51&gt;0,F51/E51,0)</f>
        <v/>
      </c>
    </row>
    <row r="52">
      <c r="B52" s="69">
        <f>IF('[26]سجل المستخلصات'!$B$34="","",'[26]سجل المستخلصات'!$B$34)</f>
        <v/>
      </c>
      <c r="C52" s="69" t="n"/>
      <c r="D52" s="69" t="n"/>
      <c r="E52" s="59">
        <f>N('[26]سجل المستخلصات'!$E$34)</f>
        <v/>
      </c>
      <c r="F52" s="59">
        <f>N('[26]سجل المستخلصات'!$F$34)</f>
        <v/>
      </c>
      <c r="G52" s="70">
        <f>IF(E52&gt;0,F52/E52,0)</f>
        <v/>
      </c>
    </row>
    <row r="53">
      <c r="B53" s="69">
        <f>IF('[26]سجل المستخلصات'!$B$35="","",'[26]سجل المستخلصات'!$B$35)</f>
        <v/>
      </c>
      <c r="C53" s="69" t="n"/>
      <c r="D53" s="69" t="n"/>
      <c r="E53" s="59">
        <f>N('[26]سجل المستخلصات'!$E$35)</f>
        <v/>
      </c>
      <c r="F53" s="59">
        <f>N('[26]سجل المستخلصات'!$F$35)</f>
        <v/>
      </c>
      <c r="G53" s="70">
        <f>IF(E53&gt;0,F53/E53,0)</f>
        <v/>
      </c>
    </row>
    <row r="54">
      <c r="B54" s="69">
        <f>IF('[26]سجل المستخلصات'!$B$36="","",'[26]سجل المستخلصات'!$B$36)</f>
        <v/>
      </c>
      <c r="C54" s="69" t="n"/>
      <c r="D54" s="69" t="n"/>
      <c r="E54" s="59">
        <f>N('[26]سجل المستخلصات'!$E$36)</f>
        <v/>
      </c>
      <c r="F54" s="59">
        <f>N('[26]سجل المستخلصات'!$F$36)</f>
        <v/>
      </c>
      <c r="G54" s="70">
        <f>IF(E54&gt;0,F54/E54,0)</f>
        <v/>
      </c>
    </row>
    <row r="55">
      <c r="B55" s="69">
        <f>IF('[26]سجل المستخلصات'!$B$37="","",'[26]سجل المستخلصات'!$B$37)</f>
        <v/>
      </c>
      <c r="C55" s="69" t="n"/>
      <c r="D55" s="69" t="n"/>
      <c r="E55" s="59">
        <f>N('[26]سجل المستخلصات'!$E$37)</f>
        <v/>
      </c>
      <c r="F55" s="59">
        <f>N('[26]سجل المستخلصات'!$F$37)</f>
        <v/>
      </c>
      <c r="G55" s="70">
        <f>IF(E55&gt;0,F55/E55,0)</f>
        <v/>
      </c>
    </row>
    <row r="56">
      <c r="B56" s="69">
        <f>IF('[26]سجل المستخلصات'!$B$38="","",'[26]سجل المستخلصات'!$B$38)</f>
        <v/>
      </c>
      <c r="C56" s="69" t="n"/>
      <c r="D56" s="69" t="n"/>
      <c r="E56" s="59">
        <f>N('[26]سجل المستخلصات'!$E$38)</f>
        <v/>
      </c>
      <c r="F56" s="59">
        <f>N('[26]سجل المستخلصات'!$F$38)</f>
        <v/>
      </c>
      <c r="G56" s="70">
        <f>IF(E56&gt;0,F56/E56,0)</f>
        <v/>
      </c>
    </row>
    <row r="57">
      <c r="B57" s="69">
        <f>IF('[26]سجل المستخلصات'!$B$39="","",'[26]سجل المستخلصات'!$B$39)</f>
        <v/>
      </c>
      <c r="C57" s="69" t="n"/>
      <c r="D57" s="69" t="n"/>
      <c r="E57" s="59">
        <f>N('[26]سجل المستخلصات'!$E$39)</f>
        <v/>
      </c>
      <c r="F57" s="59">
        <f>N('[26]سجل المستخلصات'!$F$39)</f>
        <v/>
      </c>
      <c r="G57" s="70">
        <f>IF(E57&gt;0,F57/E57,0)</f>
        <v/>
      </c>
    </row>
    <row r="58">
      <c r="B58" s="69">
        <f>IF('[26]سجل المستخلصات'!$B$40="","",'[26]سجل المستخلصات'!$B$40)</f>
        <v/>
      </c>
      <c r="C58" s="69" t="n"/>
      <c r="D58" s="69" t="n"/>
      <c r="E58" s="59">
        <f>N('[26]سجل المستخلصات'!$E$40)</f>
        <v/>
      </c>
      <c r="F58" s="59">
        <f>N('[26]سجل المستخلصات'!$F$40)</f>
        <v/>
      </c>
      <c r="G58" s="70">
        <f>IF(E58&gt;0,F58/E58,0)</f>
        <v/>
      </c>
    </row>
    <row r="59">
      <c r="B59" s="69">
        <f>IF('[26]سجل المستخلصات'!$B$41="","",'[26]سجل المستخلصات'!$B$41)</f>
        <v/>
      </c>
      <c r="C59" s="69" t="n"/>
      <c r="D59" s="69" t="n"/>
      <c r="E59" s="59">
        <f>N('[26]سجل المستخلصات'!$E$41)</f>
        <v/>
      </c>
      <c r="F59" s="59">
        <f>N('[26]سجل المستخلصات'!$F$41)</f>
        <v/>
      </c>
      <c r="G59" s="70">
        <f>IF(E59&gt;0,F59/E59,0)</f>
        <v/>
      </c>
    </row>
    <row r="60">
      <c r="B60" s="69">
        <f>IF('[26]سجل المستخلصات'!$B$42="","",'[26]سجل المستخلصات'!$B$42)</f>
        <v/>
      </c>
      <c r="C60" s="69" t="n"/>
      <c r="D60" s="69" t="n"/>
      <c r="E60" s="59">
        <f>N('[26]سجل المستخلصات'!$E$42)</f>
        <v/>
      </c>
      <c r="F60" s="59">
        <f>N('[26]سجل المستخلصات'!$F$42)</f>
        <v/>
      </c>
      <c r="G60" s="70">
        <f>IF(E60&gt;0,F60/E60,0)</f>
        <v/>
      </c>
    </row>
    <row r="61">
      <c r="B61" s="69">
        <f>IF('[26]سجل المستخلصات'!$B$43="","",'[26]سجل المستخلصات'!$B$43)</f>
        <v/>
      </c>
      <c r="C61" s="69" t="n"/>
      <c r="D61" s="69" t="n"/>
      <c r="E61" s="59">
        <f>N('[26]سجل المستخلصات'!$E$43)</f>
        <v/>
      </c>
      <c r="F61" s="59">
        <f>N('[26]سجل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25'!A1" display="◄ المشروع السابق"/>
    <hyperlink ref="D3" location="'مشروع 27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2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"&amp;IF('[27]بيانات العقد'!$C$5="","مشروع رقم 27 — غير مُفعّل",'[27]بيانات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Project_27/IPC_Project_27.xlsx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IF('[27]بيانات العقد'!$C$5="","",'[27]بيانات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IF('[27]بيانات العقد'!$C$6="","",'[27]بيانات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IF('[27]بيانات العقد'!$C$7="","",'[27]بيانات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IF('[27]بيانات العقد'!$C$8="","",'[27]بيانات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N('[27]بيانات العقد'!$C$16)</f>
        <v/>
      </c>
    </row>
    <row r="6" ht="22" customHeight="1">
      <c r="B6" s="11" t="inlineStr">
        <is>
          <t>المقاول</t>
        </is>
      </c>
      <c r="C6" s="14">
        <f>IF('[27]بيانات العقد'!$C$9="","",'[27]بيانات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IF('[27]بيانات العقد'!$C$11="","",'[27]بيانات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IF('[27]بيانات العقد'!$C$13="","",'[27]بيانات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IF('[27]بيانات العقد'!$C$14="","",'[27]بيانات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N('[27]بيانات العقد'!$C$17)</f>
        <v/>
      </c>
    </row>
    <row r="7">
      <c r="AA7" s="15" t="inlineStr">
        <is>
          <t>قيمة العقد المعدلة</t>
        </is>
      </c>
      <c r="AB7" s="16">
        <f>N('[27]بيانات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N('[27]بيانات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N('[27]بيانات العقد'!$C$21)</f>
        <v/>
      </c>
    </row>
    <row r="10">
      <c r="AA10" s="15" t="inlineStr">
        <is>
          <t>نسبة ضمان الأعمال</t>
        </is>
      </c>
      <c r="AB10" s="23">
        <f>N('[27]بيانات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N('[27]بيانات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N('[27]بيانات العقد'!$C$31)</f>
        <v/>
      </c>
    </row>
    <row r="13">
      <c r="AA13" s="15" t="inlineStr">
        <is>
          <t>ضريبة الاستقطاع (غير المقيم)</t>
        </is>
      </c>
      <c r="AB13" s="23">
        <f>N('[27]بيانات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IF('[27]بيانات العقد'!$C$11="","",'[27]بيانات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IF('[27]بيانات العقد'!$C$13="","",'[27]بيانات العقد'!$C$13)</f>
        <v/>
      </c>
    </row>
    <row r="16">
      <c r="AA16" s="15" t="inlineStr">
        <is>
          <t>المدة (شهر)</t>
        </is>
      </c>
      <c r="AB16" s="43">
        <f>IF('[27]بيانات العقد'!$C$12="","",'[27]بيانات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IF('[27]بيانات العقد'!$C$36="","",'[27]بيانات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IF('[27]بيانات العقد'!$C$37="","",'[27]بيانات العقد'!$C$37)</f>
        <v/>
      </c>
    </row>
    <row r="19">
      <c r="AA19" s="15" t="inlineStr">
        <is>
          <t>الرقم الضريبي لصاحب العمل</t>
        </is>
      </c>
      <c r="AB19" s="48">
        <f>IF('[27]بيانات العقد'!$C$39="","",'[27]بيانات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IF('[27]بيانات العقد'!$C$42="","",'[27]بيانات العقد'!$C$42)</f>
        <v/>
      </c>
    </row>
    <row r="21" ht="32" customHeight="1">
      <c r="B21" s="50">
        <f>N('[27]الموازنة والتكاليف'!$D$66)</f>
        <v/>
      </c>
      <c r="C21" s="50" t="n"/>
      <c r="D21" s="50" t="n"/>
      <c r="E21" s="50" t="n"/>
      <c r="F21" s="50">
        <f>N('[27]الموازنة والتكاليف'!$D$70)</f>
        <v/>
      </c>
      <c r="G21" s="50" t="n"/>
      <c r="H21" s="50" t="n"/>
      <c r="I21" s="50" t="n"/>
      <c r="J21" s="50">
        <f>N('[27]الموازنة والتكاليف'!$D$72)</f>
        <v/>
      </c>
      <c r="K21" s="50" t="n"/>
      <c r="L21" s="50" t="n"/>
      <c r="M21" s="50" t="n"/>
      <c r="N21" s="51">
        <f>N('[27]الموازنة والتكاليف'!$D$73)</f>
        <v/>
      </c>
      <c r="O21" s="51" t="n"/>
      <c r="P21" s="51" t="n"/>
      <c r="Q21" s="51" t="n"/>
      <c r="R21" s="52">
        <f>N('[27]الموازنة والتكاليف'!$D$74)</f>
        <v/>
      </c>
      <c r="S21" s="52" t="n"/>
      <c r="T21" s="52" t="n"/>
      <c r="U21" s="52" t="n"/>
      <c r="V21" s="50">
        <f>N('[27]الموازنة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IF('[27]بيانات العقد'!$C$43="","",'[27]بيانات العقد'!$C$43)</f>
        <v/>
      </c>
    </row>
    <row r="22">
      <c r="AA22" s="15" t="inlineStr">
        <is>
          <t>حالة غرامات التأخير</t>
        </is>
      </c>
      <c r="AB22" s="45">
        <f>IF('[27]بيانات العقد'!$C$47="","",'[27]بيانات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IF('[27]سجل المستخلصات'!$C$6="","",'[27]سجل المستخلصات'!$C$6)</f>
        <v/>
      </c>
      <c r="D25" s="57">
        <f>IF('[27]سجل المستخلصات'!$E$6="","",'[27]سجل المستخلصات'!$E$6)</f>
        <v/>
      </c>
      <c r="E25" s="58">
        <f>IF('[27]سجل المستخلصات'!$F$6="","",'[27]سجل المستخلصات'!$F$6)</f>
        <v/>
      </c>
      <c r="F25" s="59">
        <f>IF('[27]سجل المستخلصات'!$H$6="","",'[27]سجل المستخلصات'!$H$6)</f>
        <v/>
      </c>
      <c r="G25" s="59">
        <f>IF('[27]سجل المستخلصات'!$G$6="","",'[27]سجل المستخلصات'!$G$6)</f>
        <v/>
      </c>
      <c r="H25" s="59">
        <f>IF('[27]سجل المستخلصات'!$I$6="","",'[27]سجل المستخلصات'!$I$6)</f>
        <v/>
      </c>
      <c r="I25" s="59">
        <f>IF('[27]سجل المستخلصات'!$J$6="","",'[27]سجل المستخلصات'!$J$6)</f>
        <v/>
      </c>
      <c r="J25" s="59">
        <f>IF('[27]سجل المستخلصات'!$K$6="","",'[27]سجل المستخلصات'!$K$6)</f>
        <v/>
      </c>
      <c r="K25" s="60">
        <f>IF('[27]سجل المستخلصات'!$L$6="","",'[27]سجل المستخلصات'!$L$6)</f>
        <v/>
      </c>
      <c r="L25" s="60">
        <f>IF('[27]سجل المستخلصات'!$M$6="","",'[27]سجل المستخلصات'!$M$6)</f>
        <v/>
      </c>
      <c r="M25" s="60">
        <f>IF('[27]سجل المستخلصات'!$N$6="","",'[27]سجل المستخلصات'!$N$6)</f>
        <v/>
      </c>
      <c r="N25" s="59">
        <f>IF('[27]سجل المستخلصات'!$O$6="","",'[27]سجل المستخلصات'!$O$6)</f>
        <v/>
      </c>
      <c r="O25" s="59">
        <f>IF('[27]سجل المستخلصات'!$R$6="","",'[27]سجل المستخلصات'!$R$6)</f>
        <v/>
      </c>
      <c r="P25" s="59">
        <f>IF('[27]سجل المستخلصات'!$S$6="","",'[27]سجل المستخلصات'!$S$6)</f>
        <v/>
      </c>
      <c r="Q25" s="59">
        <f>IF('[27]سجل المستخلصات'!$T$6="","",'[27]سجل المستخلصات'!$T$6)</f>
        <v/>
      </c>
      <c r="R25" s="59">
        <f>IF('[27]سجل المستخلصات'!$V$6="","",'[27]سجل المستخلصات'!$V$6)</f>
        <v/>
      </c>
      <c r="S25" s="59">
        <f>IF('[27]سجل المستخلصات'!$W$6="","",'[27]سجل المستخلصات'!$W$6)</f>
        <v/>
      </c>
      <c r="T25" s="61">
        <f>IF('[27]سجل المستخلصات'!$X$6="","",'[27]سجل المستخلصات'!$X$6)</f>
        <v/>
      </c>
      <c r="U25" s="61">
        <f>IF('[27]سجل المستخلصات'!$Z$6="","",'[27]سجل المستخلصات'!$Z$6)</f>
        <v/>
      </c>
      <c r="V25" s="59">
        <f>IF('[27]سجل المستخلصات'!$AA$6="","",'[27]سجل المستخلصات'!$AA$6)</f>
        <v/>
      </c>
      <c r="W25" s="59">
        <f>IF('[27]سجل المستخلصات'!$AC$6="","",'[27]سجل المستخلصات'!$AC$6)</f>
        <v/>
      </c>
      <c r="X25" s="62">
        <f>IF('[27]سجل المستخلصات'!$AD$6="","",'[27]سجل المستخلصات'!$AD$6)</f>
        <v/>
      </c>
      <c r="Y25" s="58">
        <f>IF('[27]سجل المستخلصات'!$AE$6="","",'[27]سجل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IF('[27]سجل المستخلصات'!$C$7="","",'[27]سجل المستخلصات'!$C$7)</f>
        <v/>
      </c>
      <c r="D26" s="57">
        <f>IF('[27]سجل المستخلصات'!$E$7="","",'[27]سجل المستخلصات'!$E$7)</f>
        <v/>
      </c>
      <c r="E26" s="58">
        <f>IF('[27]سجل المستخلصات'!$F$7="","",'[27]سجل المستخلصات'!$F$7)</f>
        <v/>
      </c>
      <c r="F26" s="59">
        <f>IF('[27]سجل المستخلصات'!$H$7="","",'[27]سجل المستخلصات'!$H$7)</f>
        <v/>
      </c>
      <c r="G26" s="59">
        <f>IF('[27]سجل المستخلصات'!$G$7="","",'[27]سجل المستخلصات'!$G$7)</f>
        <v/>
      </c>
      <c r="H26" s="59">
        <f>IF('[27]سجل المستخلصات'!$I$7="","",'[27]سجل المستخلصات'!$I$7)</f>
        <v/>
      </c>
      <c r="I26" s="59">
        <f>IF('[27]سجل المستخلصات'!$J$7="","",'[27]سجل المستخلصات'!$J$7)</f>
        <v/>
      </c>
      <c r="J26" s="59">
        <f>IF('[27]سجل المستخلصات'!$K$7="","",'[27]سجل المستخلصات'!$K$7)</f>
        <v/>
      </c>
      <c r="K26" s="60">
        <f>IF('[27]سجل المستخلصات'!$L$7="","",'[27]سجل المستخلصات'!$L$7)</f>
        <v/>
      </c>
      <c r="L26" s="60">
        <f>IF('[27]سجل المستخلصات'!$M$7="","",'[27]سجل المستخلصات'!$M$7)</f>
        <v/>
      </c>
      <c r="M26" s="60">
        <f>IF('[27]سجل المستخلصات'!$N$7="","",'[27]سجل المستخلصات'!$N$7)</f>
        <v/>
      </c>
      <c r="N26" s="59">
        <f>IF('[27]سجل المستخلصات'!$O$7="","",'[27]سجل المستخلصات'!$O$7)</f>
        <v/>
      </c>
      <c r="O26" s="59">
        <f>IF('[27]سجل المستخلصات'!$R$7="","",'[27]سجل المستخلصات'!$R$7)</f>
        <v/>
      </c>
      <c r="P26" s="59">
        <f>IF('[27]سجل المستخلصات'!$S$7="","",'[27]سجل المستخلصات'!$S$7)</f>
        <v/>
      </c>
      <c r="Q26" s="59">
        <f>IF('[27]سجل المستخلصات'!$T$7="","",'[27]سجل المستخلصات'!$T$7)</f>
        <v/>
      </c>
      <c r="R26" s="59">
        <f>IF('[27]سجل المستخلصات'!$V$7="","",'[27]سجل المستخلصات'!$V$7)</f>
        <v/>
      </c>
      <c r="S26" s="59">
        <f>IF('[27]سجل المستخلصات'!$W$7="","",'[27]سجل المستخلصات'!$W$7)</f>
        <v/>
      </c>
      <c r="T26" s="61">
        <f>IF('[27]سجل المستخلصات'!$X$7="","",'[27]سجل المستخلصات'!$X$7)</f>
        <v/>
      </c>
      <c r="U26" s="61">
        <f>IF('[27]سجل المستخلصات'!$Z$7="","",'[27]سجل المستخلصات'!$Z$7)</f>
        <v/>
      </c>
      <c r="V26" s="59">
        <f>IF('[27]سجل المستخلصات'!$AA$7="","",'[27]سجل المستخلصات'!$AA$7)</f>
        <v/>
      </c>
      <c r="W26" s="59">
        <f>IF('[27]سجل المستخلصات'!$AC$7="","",'[27]سجل المستخلصات'!$AC$7)</f>
        <v/>
      </c>
      <c r="X26" s="62">
        <f>IF('[27]سجل المستخلصات'!$AD$7="","",'[27]سجل المستخلصات'!$AD$7)</f>
        <v/>
      </c>
      <c r="Y26" s="58">
        <f>IF('[27]سجل المستخلصات'!$AE$7="","",'[27]سجل المستخلصات'!$AE$7)</f>
        <v/>
      </c>
      <c r="AA26" s="63" t="n"/>
      <c r="AB26" s="63" t="n"/>
    </row>
    <row r="27">
      <c r="B27" s="56" t="n">
        <v>3</v>
      </c>
      <c r="C27" s="57">
        <f>IF('[27]سجل المستخلصات'!$C$8="","",'[27]سجل المستخلصات'!$C$8)</f>
        <v/>
      </c>
      <c r="D27" s="57">
        <f>IF('[27]سجل المستخلصات'!$E$8="","",'[27]سجل المستخلصات'!$E$8)</f>
        <v/>
      </c>
      <c r="E27" s="58">
        <f>IF('[27]سجل المستخلصات'!$F$8="","",'[27]سجل المستخلصات'!$F$8)</f>
        <v/>
      </c>
      <c r="F27" s="59">
        <f>IF('[27]سجل المستخلصات'!$H$8="","",'[27]سجل المستخلصات'!$H$8)</f>
        <v/>
      </c>
      <c r="G27" s="59">
        <f>IF('[27]سجل المستخلصات'!$G$8="","",'[27]سجل المستخلصات'!$G$8)</f>
        <v/>
      </c>
      <c r="H27" s="59">
        <f>IF('[27]سجل المستخلصات'!$I$8="","",'[27]سجل المستخلصات'!$I$8)</f>
        <v/>
      </c>
      <c r="I27" s="59">
        <f>IF('[27]سجل المستخلصات'!$J$8="","",'[27]سجل المستخلصات'!$J$8)</f>
        <v/>
      </c>
      <c r="J27" s="59">
        <f>IF('[27]سجل المستخلصات'!$K$8="","",'[27]سجل المستخلصات'!$K$8)</f>
        <v/>
      </c>
      <c r="K27" s="60">
        <f>IF('[27]سجل المستخلصات'!$L$8="","",'[27]سجل المستخلصات'!$L$8)</f>
        <v/>
      </c>
      <c r="L27" s="60">
        <f>IF('[27]سجل المستخلصات'!$M$8="","",'[27]سجل المستخلصات'!$M$8)</f>
        <v/>
      </c>
      <c r="M27" s="60">
        <f>IF('[27]سجل المستخلصات'!$N$8="","",'[27]سجل المستخلصات'!$N$8)</f>
        <v/>
      </c>
      <c r="N27" s="59">
        <f>IF('[27]سجل المستخلصات'!$O$8="","",'[27]سجل المستخلصات'!$O$8)</f>
        <v/>
      </c>
      <c r="O27" s="59">
        <f>IF('[27]سجل المستخلصات'!$R$8="","",'[27]سجل المستخلصات'!$R$8)</f>
        <v/>
      </c>
      <c r="P27" s="59">
        <f>IF('[27]سجل المستخلصات'!$S$8="","",'[27]سجل المستخلصات'!$S$8)</f>
        <v/>
      </c>
      <c r="Q27" s="59">
        <f>IF('[27]سجل المستخلصات'!$T$8="","",'[27]سجل المستخلصات'!$T$8)</f>
        <v/>
      </c>
      <c r="R27" s="59">
        <f>IF('[27]سجل المستخلصات'!$V$8="","",'[27]سجل المستخلصات'!$V$8)</f>
        <v/>
      </c>
      <c r="S27" s="59">
        <f>IF('[27]سجل المستخلصات'!$W$8="","",'[27]سجل المستخلصات'!$W$8)</f>
        <v/>
      </c>
      <c r="T27" s="61">
        <f>IF('[27]سجل المستخلصات'!$X$8="","",'[27]سجل المستخلصات'!$X$8)</f>
        <v/>
      </c>
      <c r="U27" s="61">
        <f>IF('[27]سجل المستخلصات'!$Z$8="","",'[27]سجل المستخلصات'!$Z$8)</f>
        <v/>
      </c>
      <c r="V27" s="59">
        <f>IF('[27]سجل المستخلصات'!$AA$8="","",'[27]سجل المستخلصات'!$AA$8)</f>
        <v/>
      </c>
      <c r="W27" s="59">
        <f>IF('[27]سجل المستخلصات'!$AC$8="","",'[27]سجل المستخلصات'!$AC$8)</f>
        <v/>
      </c>
      <c r="X27" s="62">
        <f>IF('[27]سجل المستخلصات'!$AD$8="","",'[27]سجل المستخلصات'!$AD$8)</f>
        <v/>
      </c>
      <c r="Y27" s="58">
        <f>IF('[27]سجل المستخلصات'!$AE$8="","",'[27]سجل المستخلصات'!$AE$8)</f>
        <v/>
      </c>
      <c r="AA27" s="63" t="n"/>
      <c r="AB27" s="63" t="n"/>
    </row>
    <row r="28">
      <c r="B28" s="56" t="n">
        <v>4</v>
      </c>
      <c r="C28" s="57">
        <f>IF('[27]سجل المستخلصات'!$C$9="","",'[27]سجل المستخلصات'!$C$9)</f>
        <v/>
      </c>
      <c r="D28" s="57">
        <f>IF('[27]سجل المستخلصات'!$E$9="","",'[27]سجل المستخلصات'!$E$9)</f>
        <v/>
      </c>
      <c r="E28" s="58">
        <f>IF('[27]سجل المستخلصات'!$F$9="","",'[27]سجل المستخلصات'!$F$9)</f>
        <v/>
      </c>
      <c r="F28" s="59">
        <f>IF('[27]سجل المستخلصات'!$H$9="","",'[27]سجل المستخلصات'!$H$9)</f>
        <v/>
      </c>
      <c r="G28" s="59">
        <f>IF('[27]سجل المستخلصات'!$G$9="","",'[27]سجل المستخلصات'!$G$9)</f>
        <v/>
      </c>
      <c r="H28" s="59">
        <f>IF('[27]سجل المستخلصات'!$I$9="","",'[27]سجل المستخلصات'!$I$9)</f>
        <v/>
      </c>
      <c r="I28" s="59">
        <f>IF('[27]سجل المستخلصات'!$J$9="","",'[27]سجل المستخلصات'!$J$9)</f>
        <v/>
      </c>
      <c r="J28" s="59">
        <f>IF('[27]سجل المستخلصات'!$K$9="","",'[27]سجل المستخلصات'!$K$9)</f>
        <v/>
      </c>
      <c r="K28" s="60">
        <f>IF('[27]سجل المستخلصات'!$L$9="","",'[27]سجل المستخلصات'!$L$9)</f>
        <v/>
      </c>
      <c r="L28" s="60">
        <f>IF('[27]سجل المستخلصات'!$M$9="","",'[27]سجل المستخلصات'!$M$9)</f>
        <v/>
      </c>
      <c r="M28" s="60">
        <f>IF('[27]سجل المستخلصات'!$N$9="","",'[27]سجل المستخلصات'!$N$9)</f>
        <v/>
      </c>
      <c r="N28" s="59">
        <f>IF('[27]سجل المستخلصات'!$O$9="","",'[27]سجل المستخلصات'!$O$9)</f>
        <v/>
      </c>
      <c r="O28" s="59">
        <f>IF('[27]سجل المستخلصات'!$R$9="","",'[27]سجل المستخلصات'!$R$9)</f>
        <v/>
      </c>
      <c r="P28" s="59">
        <f>IF('[27]سجل المستخلصات'!$S$9="","",'[27]سجل المستخلصات'!$S$9)</f>
        <v/>
      </c>
      <c r="Q28" s="59">
        <f>IF('[27]سجل المستخلصات'!$T$9="","",'[27]سجل المستخلصات'!$T$9)</f>
        <v/>
      </c>
      <c r="R28" s="59">
        <f>IF('[27]سجل المستخلصات'!$V$9="","",'[27]سجل المستخلصات'!$V$9)</f>
        <v/>
      </c>
      <c r="S28" s="59">
        <f>IF('[27]سجل المستخلصات'!$W$9="","",'[27]سجل المستخلصات'!$W$9)</f>
        <v/>
      </c>
      <c r="T28" s="61">
        <f>IF('[27]سجل المستخلصات'!$X$9="","",'[27]سجل المستخلصات'!$X$9)</f>
        <v/>
      </c>
      <c r="U28" s="61">
        <f>IF('[27]سجل المستخلصات'!$Z$9="","",'[27]سجل المستخلصات'!$Z$9)</f>
        <v/>
      </c>
      <c r="V28" s="59">
        <f>IF('[27]سجل المستخلصات'!$AA$9="","",'[27]سجل المستخلصات'!$AA$9)</f>
        <v/>
      </c>
      <c r="W28" s="59">
        <f>IF('[27]سجل المستخلصات'!$AC$9="","",'[27]سجل المستخلصات'!$AC$9)</f>
        <v/>
      </c>
      <c r="X28" s="62">
        <f>IF('[27]سجل المستخلصات'!$AD$9="","",'[27]سجل المستخلصات'!$AD$9)</f>
        <v/>
      </c>
      <c r="Y28" s="58">
        <f>IF('[27]سجل المستخلصات'!$AE$9="","",'[27]سجل المستخلصات'!$AE$9)</f>
        <v/>
      </c>
      <c r="AA28" s="63" t="n"/>
      <c r="AB28" s="63" t="n"/>
    </row>
    <row r="29">
      <c r="B29" s="56" t="n">
        <v>5</v>
      </c>
      <c r="C29" s="57">
        <f>IF('[27]سجل المستخلصات'!$C$10="","",'[27]سجل المستخلصات'!$C$10)</f>
        <v/>
      </c>
      <c r="D29" s="57">
        <f>IF('[27]سجل المستخلصات'!$E$10="","",'[27]سجل المستخلصات'!$E$10)</f>
        <v/>
      </c>
      <c r="E29" s="58">
        <f>IF('[27]سجل المستخلصات'!$F$10="","",'[27]سجل المستخلصات'!$F$10)</f>
        <v/>
      </c>
      <c r="F29" s="59">
        <f>IF('[27]سجل المستخلصات'!$H$10="","",'[27]سجل المستخلصات'!$H$10)</f>
        <v/>
      </c>
      <c r="G29" s="59">
        <f>IF('[27]سجل المستخلصات'!$G$10="","",'[27]سجل المستخلصات'!$G$10)</f>
        <v/>
      </c>
      <c r="H29" s="59">
        <f>IF('[27]سجل المستخلصات'!$I$10="","",'[27]سجل المستخلصات'!$I$10)</f>
        <v/>
      </c>
      <c r="I29" s="59">
        <f>IF('[27]سجل المستخلصات'!$J$10="","",'[27]سجل المستخلصات'!$J$10)</f>
        <v/>
      </c>
      <c r="J29" s="59">
        <f>IF('[27]سجل المستخلصات'!$K$10="","",'[27]سجل المستخلصات'!$K$10)</f>
        <v/>
      </c>
      <c r="K29" s="60">
        <f>IF('[27]سجل المستخلصات'!$L$10="","",'[27]سجل المستخلصات'!$L$10)</f>
        <v/>
      </c>
      <c r="L29" s="60">
        <f>IF('[27]سجل المستخلصات'!$M$10="","",'[27]سجل المستخلصات'!$M$10)</f>
        <v/>
      </c>
      <c r="M29" s="60">
        <f>IF('[27]سجل المستخلصات'!$N$10="","",'[27]سجل المستخلصات'!$N$10)</f>
        <v/>
      </c>
      <c r="N29" s="59">
        <f>IF('[27]سجل المستخلصات'!$O$10="","",'[27]سجل المستخلصات'!$O$10)</f>
        <v/>
      </c>
      <c r="O29" s="59">
        <f>IF('[27]سجل المستخلصات'!$R$10="","",'[27]سجل المستخلصات'!$R$10)</f>
        <v/>
      </c>
      <c r="P29" s="59">
        <f>IF('[27]سجل المستخلصات'!$S$10="","",'[27]سجل المستخلصات'!$S$10)</f>
        <v/>
      </c>
      <c r="Q29" s="59">
        <f>IF('[27]سجل المستخلصات'!$T$10="","",'[27]سجل المستخلصات'!$T$10)</f>
        <v/>
      </c>
      <c r="R29" s="59">
        <f>IF('[27]سجل المستخلصات'!$V$10="","",'[27]سجل المستخلصات'!$V$10)</f>
        <v/>
      </c>
      <c r="S29" s="59">
        <f>IF('[27]سجل المستخلصات'!$W$10="","",'[27]سجل المستخلصات'!$W$10)</f>
        <v/>
      </c>
      <c r="T29" s="61">
        <f>IF('[27]سجل المستخلصات'!$X$10="","",'[27]سجل المستخلصات'!$X$10)</f>
        <v/>
      </c>
      <c r="U29" s="61">
        <f>IF('[27]سجل المستخلصات'!$Z$10="","",'[27]سجل المستخلصات'!$Z$10)</f>
        <v/>
      </c>
      <c r="V29" s="59">
        <f>IF('[27]سجل المستخلصات'!$AA$10="","",'[27]سجل المستخلصات'!$AA$10)</f>
        <v/>
      </c>
      <c r="W29" s="59">
        <f>IF('[27]سجل المستخلصات'!$AC$10="","",'[27]سجل المستخلصات'!$AC$10)</f>
        <v/>
      </c>
      <c r="X29" s="62">
        <f>IF('[27]سجل المستخلصات'!$AD$10="","",'[27]سجل المستخلصات'!$AD$10)</f>
        <v/>
      </c>
      <c r="Y29" s="58">
        <f>IF('[27]سجل المستخلصات'!$AE$10="","",'[27]سجل المستخلصات'!$AE$10)</f>
        <v/>
      </c>
    </row>
    <row r="30">
      <c r="B30" s="56" t="n">
        <v>6</v>
      </c>
      <c r="C30" s="57">
        <f>IF('[27]سجل المستخلصات'!$C$11="","",'[27]سجل المستخلصات'!$C$11)</f>
        <v/>
      </c>
      <c r="D30" s="57">
        <f>IF('[27]سجل المستخلصات'!$E$11="","",'[27]سجل المستخلصات'!$E$11)</f>
        <v/>
      </c>
      <c r="E30" s="58">
        <f>IF('[27]سجل المستخلصات'!$F$11="","",'[27]سجل المستخلصات'!$F$11)</f>
        <v/>
      </c>
      <c r="F30" s="59">
        <f>IF('[27]سجل المستخلصات'!$H$11="","",'[27]سجل المستخلصات'!$H$11)</f>
        <v/>
      </c>
      <c r="G30" s="59">
        <f>IF('[27]سجل المستخلصات'!$G$11="","",'[27]سجل المستخلصات'!$G$11)</f>
        <v/>
      </c>
      <c r="H30" s="59">
        <f>IF('[27]سجل المستخلصات'!$I$11="","",'[27]سجل المستخلصات'!$I$11)</f>
        <v/>
      </c>
      <c r="I30" s="59">
        <f>IF('[27]سجل المستخلصات'!$J$11="","",'[27]سجل المستخلصات'!$J$11)</f>
        <v/>
      </c>
      <c r="J30" s="59">
        <f>IF('[27]سجل المستخلصات'!$K$11="","",'[27]سجل المستخلصات'!$K$11)</f>
        <v/>
      </c>
      <c r="K30" s="60">
        <f>IF('[27]سجل المستخلصات'!$L$11="","",'[27]سجل المستخلصات'!$L$11)</f>
        <v/>
      </c>
      <c r="L30" s="60">
        <f>IF('[27]سجل المستخلصات'!$M$11="","",'[27]سجل المستخلصات'!$M$11)</f>
        <v/>
      </c>
      <c r="M30" s="60">
        <f>IF('[27]سجل المستخلصات'!$N$11="","",'[27]سجل المستخلصات'!$N$11)</f>
        <v/>
      </c>
      <c r="N30" s="59">
        <f>IF('[27]سجل المستخلصات'!$O$11="","",'[27]سجل المستخلصات'!$O$11)</f>
        <v/>
      </c>
      <c r="O30" s="59">
        <f>IF('[27]سجل المستخلصات'!$R$11="","",'[27]سجل المستخلصات'!$R$11)</f>
        <v/>
      </c>
      <c r="P30" s="59">
        <f>IF('[27]سجل المستخلصات'!$S$11="","",'[27]سجل المستخلصات'!$S$11)</f>
        <v/>
      </c>
      <c r="Q30" s="59">
        <f>IF('[27]سجل المستخلصات'!$T$11="","",'[27]سجل المستخلصات'!$T$11)</f>
        <v/>
      </c>
      <c r="R30" s="59">
        <f>IF('[27]سجل المستخلصات'!$V$11="","",'[27]سجل المستخلصات'!$V$11)</f>
        <v/>
      </c>
      <c r="S30" s="59">
        <f>IF('[27]سجل المستخلصات'!$W$11="","",'[27]سجل المستخلصات'!$W$11)</f>
        <v/>
      </c>
      <c r="T30" s="61">
        <f>IF('[27]سجل المستخلصات'!$X$11="","",'[27]سجل المستخلصات'!$X$11)</f>
        <v/>
      </c>
      <c r="U30" s="61">
        <f>IF('[27]سجل المستخلصات'!$Z$11="","",'[27]سجل المستخلصات'!$Z$11)</f>
        <v/>
      </c>
      <c r="V30" s="59">
        <f>IF('[27]سجل المستخلصات'!$AA$11="","",'[27]سجل المستخلصات'!$AA$11)</f>
        <v/>
      </c>
      <c r="W30" s="59">
        <f>IF('[27]سجل المستخلصات'!$AC$11="","",'[27]سجل المستخلصات'!$AC$11)</f>
        <v/>
      </c>
      <c r="X30" s="62">
        <f>IF('[27]سجل المستخلصات'!$AD$11="","",'[27]سجل المستخلصات'!$AD$11)</f>
        <v/>
      </c>
      <c r="Y30" s="58">
        <f>IF('[27]سجل المستخلصات'!$AE$11="","",'[27]سجل المستخلصات'!$AE$11)</f>
        <v/>
      </c>
    </row>
    <row r="31">
      <c r="B31" s="56" t="n">
        <v>7</v>
      </c>
      <c r="C31" s="57">
        <f>IF('[27]سجل المستخلصات'!$C$12="","",'[27]سجل المستخلصات'!$C$12)</f>
        <v/>
      </c>
      <c r="D31" s="57">
        <f>IF('[27]سجل المستخلصات'!$E$12="","",'[27]سجل المستخلصات'!$E$12)</f>
        <v/>
      </c>
      <c r="E31" s="58">
        <f>IF('[27]سجل المستخلصات'!$F$12="","",'[27]سجل المستخلصات'!$F$12)</f>
        <v/>
      </c>
      <c r="F31" s="59">
        <f>IF('[27]سجل المستخلصات'!$H$12="","",'[27]سجل المستخلصات'!$H$12)</f>
        <v/>
      </c>
      <c r="G31" s="59">
        <f>IF('[27]سجل المستخلصات'!$G$12="","",'[27]سجل المستخلصات'!$G$12)</f>
        <v/>
      </c>
      <c r="H31" s="59">
        <f>IF('[27]سجل المستخلصات'!$I$12="","",'[27]سجل المستخلصات'!$I$12)</f>
        <v/>
      </c>
      <c r="I31" s="59">
        <f>IF('[27]سجل المستخلصات'!$J$12="","",'[27]سجل المستخلصات'!$J$12)</f>
        <v/>
      </c>
      <c r="J31" s="59">
        <f>IF('[27]سجل المستخلصات'!$K$12="","",'[27]سجل المستخلصات'!$K$12)</f>
        <v/>
      </c>
      <c r="K31" s="60">
        <f>IF('[27]سجل المستخلصات'!$L$12="","",'[27]سجل المستخلصات'!$L$12)</f>
        <v/>
      </c>
      <c r="L31" s="60">
        <f>IF('[27]سجل المستخلصات'!$M$12="","",'[27]سجل المستخلصات'!$M$12)</f>
        <v/>
      </c>
      <c r="M31" s="60">
        <f>IF('[27]سجل المستخلصات'!$N$12="","",'[27]سجل المستخلصات'!$N$12)</f>
        <v/>
      </c>
      <c r="N31" s="59">
        <f>IF('[27]سجل المستخلصات'!$O$12="","",'[27]سجل المستخلصات'!$O$12)</f>
        <v/>
      </c>
      <c r="O31" s="59">
        <f>IF('[27]سجل المستخلصات'!$R$12="","",'[27]سجل المستخلصات'!$R$12)</f>
        <v/>
      </c>
      <c r="P31" s="59">
        <f>IF('[27]سجل المستخلصات'!$S$12="","",'[27]سجل المستخلصات'!$S$12)</f>
        <v/>
      </c>
      <c r="Q31" s="59">
        <f>IF('[27]سجل المستخلصات'!$T$12="","",'[27]سجل المستخلصات'!$T$12)</f>
        <v/>
      </c>
      <c r="R31" s="59">
        <f>IF('[27]سجل المستخلصات'!$V$12="","",'[27]سجل المستخلصات'!$V$12)</f>
        <v/>
      </c>
      <c r="S31" s="59">
        <f>IF('[27]سجل المستخلصات'!$W$12="","",'[27]سجل المستخلصات'!$W$12)</f>
        <v/>
      </c>
      <c r="T31" s="61">
        <f>IF('[27]سجل المستخلصات'!$X$12="","",'[27]سجل المستخلصات'!$X$12)</f>
        <v/>
      </c>
      <c r="U31" s="61">
        <f>IF('[27]سجل المستخلصات'!$Z$12="","",'[27]سجل المستخلصات'!$Z$12)</f>
        <v/>
      </c>
      <c r="V31" s="59">
        <f>IF('[27]سجل المستخلصات'!$AA$12="","",'[27]سجل المستخلصات'!$AA$12)</f>
        <v/>
      </c>
      <c r="W31" s="59">
        <f>IF('[27]سجل المستخلصات'!$AC$12="","",'[27]سجل المستخلصات'!$AC$12)</f>
        <v/>
      </c>
      <c r="X31" s="62">
        <f>IF('[27]سجل المستخلصات'!$AD$12="","",'[27]سجل المستخلصات'!$AD$12)</f>
        <v/>
      </c>
      <c r="Y31" s="58">
        <f>IF('[27]سجل المستخلصات'!$AE$12="","",'[27]سجل المستخلصات'!$AE$12)</f>
        <v/>
      </c>
    </row>
    <row r="32">
      <c r="B32" s="56" t="n">
        <v>8</v>
      </c>
      <c r="C32" s="57">
        <f>IF('[27]سجل المستخلصات'!$C$13="","",'[27]سجل المستخلصات'!$C$13)</f>
        <v/>
      </c>
      <c r="D32" s="57">
        <f>IF('[27]سجل المستخلصات'!$E$13="","",'[27]سجل المستخلصات'!$E$13)</f>
        <v/>
      </c>
      <c r="E32" s="58">
        <f>IF('[27]سجل المستخلصات'!$F$13="","",'[27]سجل المستخلصات'!$F$13)</f>
        <v/>
      </c>
      <c r="F32" s="59">
        <f>IF('[27]سجل المستخلصات'!$H$13="","",'[27]سجل المستخلصات'!$H$13)</f>
        <v/>
      </c>
      <c r="G32" s="59">
        <f>IF('[27]سجل المستخلصات'!$G$13="","",'[27]سجل المستخلصات'!$G$13)</f>
        <v/>
      </c>
      <c r="H32" s="59">
        <f>IF('[27]سجل المستخلصات'!$I$13="","",'[27]سجل المستخلصات'!$I$13)</f>
        <v/>
      </c>
      <c r="I32" s="59">
        <f>IF('[27]سجل المستخلصات'!$J$13="","",'[27]سجل المستخلصات'!$J$13)</f>
        <v/>
      </c>
      <c r="J32" s="59">
        <f>IF('[27]سجل المستخلصات'!$K$13="","",'[27]سجل المستخلصات'!$K$13)</f>
        <v/>
      </c>
      <c r="K32" s="60">
        <f>IF('[27]سجل المستخلصات'!$L$13="","",'[27]سجل المستخلصات'!$L$13)</f>
        <v/>
      </c>
      <c r="L32" s="60">
        <f>IF('[27]سجل المستخلصات'!$M$13="","",'[27]سجل المستخلصات'!$M$13)</f>
        <v/>
      </c>
      <c r="M32" s="60">
        <f>IF('[27]سجل المستخلصات'!$N$13="","",'[27]سجل المستخلصات'!$N$13)</f>
        <v/>
      </c>
      <c r="N32" s="59">
        <f>IF('[27]سجل المستخلصات'!$O$13="","",'[27]سجل المستخلصات'!$O$13)</f>
        <v/>
      </c>
      <c r="O32" s="59">
        <f>IF('[27]سجل المستخلصات'!$R$13="","",'[27]سجل المستخلصات'!$R$13)</f>
        <v/>
      </c>
      <c r="P32" s="59">
        <f>IF('[27]سجل المستخلصات'!$S$13="","",'[27]سجل المستخلصات'!$S$13)</f>
        <v/>
      </c>
      <c r="Q32" s="59">
        <f>IF('[27]سجل المستخلصات'!$T$13="","",'[27]سجل المستخلصات'!$T$13)</f>
        <v/>
      </c>
      <c r="R32" s="59">
        <f>IF('[27]سجل المستخلصات'!$V$13="","",'[27]سجل المستخلصات'!$V$13)</f>
        <v/>
      </c>
      <c r="S32" s="59">
        <f>IF('[27]سجل المستخلصات'!$W$13="","",'[27]سجل المستخلصات'!$W$13)</f>
        <v/>
      </c>
      <c r="T32" s="61">
        <f>IF('[27]سجل المستخلصات'!$X$13="","",'[27]سجل المستخلصات'!$X$13)</f>
        <v/>
      </c>
      <c r="U32" s="61">
        <f>IF('[27]سجل المستخلصات'!$Z$13="","",'[27]سجل المستخلصات'!$Z$13)</f>
        <v/>
      </c>
      <c r="V32" s="59">
        <f>IF('[27]سجل المستخلصات'!$AA$13="","",'[27]سجل المستخلصات'!$AA$13)</f>
        <v/>
      </c>
      <c r="W32" s="59">
        <f>IF('[27]سجل المستخلصات'!$AC$13="","",'[27]سجل المستخلصات'!$AC$13)</f>
        <v/>
      </c>
      <c r="X32" s="62">
        <f>IF('[27]سجل المستخلصات'!$AD$13="","",'[27]سجل المستخلصات'!$AD$13)</f>
        <v/>
      </c>
      <c r="Y32" s="58">
        <f>IF('[27]سجل المستخلصات'!$AE$13="","",'[27]سجل المستخلصات'!$AE$13)</f>
        <v/>
      </c>
    </row>
    <row r="33">
      <c r="B33" s="56" t="n">
        <v>9</v>
      </c>
      <c r="C33" s="57">
        <f>IF('[27]سجل المستخلصات'!$C$14="","",'[27]سجل المستخلصات'!$C$14)</f>
        <v/>
      </c>
      <c r="D33" s="57">
        <f>IF('[27]سجل المستخلصات'!$E$14="","",'[27]سجل المستخلصات'!$E$14)</f>
        <v/>
      </c>
      <c r="E33" s="58">
        <f>IF('[27]سجل المستخلصات'!$F$14="","",'[27]سجل المستخلصات'!$F$14)</f>
        <v/>
      </c>
      <c r="F33" s="59">
        <f>IF('[27]سجل المستخلصات'!$H$14="","",'[27]سجل المستخلصات'!$H$14)</f>
        <v/>
      </c>
      <c r="G33" s="59">
        <f>IF('[27]سجل المستخلصات'!$G$14="","",'[27]سجل المستخلصات'!$G$14)</f>
        <v/>
      </c>
      <c r="H33" s="59">
        <f>IF('[27]سجل المستخلصات'!$I$14="","",'[27]سجل المستخلصات'!$I$14)</f>
        <v/>
      </c>
      <c r="I33" s="59">
        <f>IF('[27]سجل المستخلصات'!$J$14="","",'[27]سجل المستخلصات'!$J$14)</f>
        <v/>
      </c>
      <c r="J33" s="59">
        <f>IF('[27]سجل المستخلصات'!$K$14="","",'[27]سجل المستخلصات'!$K$14)</f>
        <v/>
      </c>
      <c r="K33" s="60">
        <f>IF('[27]سجل المستخلصات'!$L$14="","",'[27]سجل المستخلصات'!$L$14)</f>
        <v/>
      </c>
      <c r="L33" s="60">
        <f>IF('[27]سجل المستخلصات'!$M$14="","",'[27]سجل المستخلصات'!$M$14)</f>
        <v/>
      </c>
      <c r="M33" s="60">
        <f>IF('[27]سجل المستخلصات'!$N$14="","",'[27]سجل المستخلصات'!$N$14)</f>
        <v/>
      </c>
      <c r="N33" s="59">
        <f>IF('[27]سجل المستخلصات'!$O$14="","",'[27]سجل المستخلصات'!$O$14)</f>
        <v/>
      </c>
      <c r="O33" s="59">
        <f>IF('[27]سجل المستخلصات'!$R$14="","",'[27]سجل المستخلصات'!$R$14)</f>
        <v/>
      </c>
      <c r="P33" s="59">
        <f>IF('[27]سجل المستخلصات'!$S$14="","",'[27]سجل المستخلصات'!$S$14)</f>
        <v/>
      </c>
      <c r="Q33" s="59">
        <f>IF('[27]سجل المستخلصات'!$T$14="","",'[27]سجل المستخلصات'!$T$14)</f>
        <v/>
      </c>
      <c r="R33" s="59">
        <f>IF('[27]سجل المستخلصات'!$V$14="","",'[27]سجل المستخلصات'!$V$14)</f>
        <v/>
      </c>
      <c r="S33" s="59">
        <f>IF('[27]سجل المستخلصات'!$W$14="","",'[27]سجل المستخلصات'!$W$14)</f>
        <v/>
      </c>
      <c r="T33" s="61">
        <f>IF('[27]سجل المستخلصات'!$X$14="","",'[27]سجل المستخلصات'!$X$14)</f>
        <v/>
      </c>
      <c r="U33" s="61">
        <f>IF('[27]سجل المستخلصات'!$Z$14="","",'[27]سجل المستخلصات'!$Z$14)</f>
        <v/>
      </c>
      <c r="V33" s="59">
        <f>IF('[27]سجل المستخلصات'!$AA$14="","",'[27]سجل المستخلصات'!$AA$14)</f>
        <v/>
      </c>
      <c r="W33" s="59">
        <f>IF('[27]سجل المستخلصات'!$AC$14="","",'[27]سجل المستخلصات'!$AC$14)</f>
        <v/>
      </c>
      <c r="X33" s="62">
        <f>IF('[27]سجل المستخلصات'!$AD$14="","",'[27]سجل المستخلصات'!$AD$14)</f>
        <v/>
      </c>
      <c r="Y33" s="58">
        <f>IF('[27]سجل المستخلصات'!$AE$14="","",'[27]سجل المستخلصات'!$AE$14)</f>
        <v/>
      </c>
    </row>
    <row r="34">
      <c r="B34" s="56" t="n">
        <v>10</v>
      </c>
      <c r="C34" s="57">
        <f>IF('[27]سجل المستخلصات'!$C$15="","",'[27]سجل المستخلصات'!$C$15)</f>
        <v/>
      </c>
      <c r="D34" s="57">
        <f>IF('[27]سجل المستخلصات'!$E$15="","",'[27]سجل المستخلصات'!$E$15)</f>
        <v/>
      </c>
      <c r="E34" s="58">
        <f>IF('[27]سجل المستخلصات'!$F$15="","",'[27]سجل المستخلصات'!$F$15)</f>
        <v/>
      </c>
      <c r="F34" s="59">
        <f>IF('[27]سجل المستخلصات'!$H$15="","",'[27]سجل المستخلصات'!$H$15)</f>
        <v/>
      </c>
      <c r="G34" s="59">
        <f>IF('[27]سجل المستخلصات'!$G$15="","",'[27]سجل المستخلصات'!$G$15)</f>
        <v/>
      </c>
      <c r="H34" s="59">
        <f>IF('[27]سجل المستخلصات'!$I$15="","",'[27]سجل المستخلصات'!$I$15)</f>
        <v/>
      </c>
      <c r="I34" s="59">
        <f>IF('[27]سجل المستخلصات'!$J$15="","",'[27]سجل المستخلصات'!$J$15)</f>
        <v/>
      </c>
      <c r="J34" s="59">
        <f>IF('[27]سجل المستخلصات'!$K$15="","",'[27]سجل المستخلصات'!$K$15)</f>
        <v/>
      </c>
      <c r="K34" s="60">
        <f>IF('[27]سجل المستخلصات'!$L$15="","",'[27]سجل المستخلصات'!$L$15)</f>
        <v/>
      </c>
      <c r="L34" s="60">
        <f>IF('[27]سجل المستخلصات'!$M$15="","",'[27]سجل المستخلصات'!$M$15)</f>
        <v/>
      </c>
      <c r="M34" s="60">
        <f>IF('[27]سجل المستخلصات'!$N$15="","",'[27]سجل المستخلصات'!$N$15)</f>
        <v/>
      </c>
      <c r="N34" s="59">
        <f>IF('[27]سجل المستخلصات'!$O$15="","",'[27]سجل المستخلصات'!$O$15)</f>
        <v/>
      </c>
      <c r="O34" s="59">
        <f>IF('[27]سجل المستخلصات'!$R$15="","",'[27]سجل المستخلصات'!$R$15)</f>
        <v/>
      </c>
      <c r="P34" s="59">
        <f>IF('[27]سجل المستخلصات'!$S$15="","",'[27]سجل المستخلصات'!$S$15)</f>
        <v/>
      </c>
      <c r="Q34" s="59">
        <f>IF('[27]سجل المستخلصات'!$T$15="","",'[27]سجل المستخلصات'!$T$15)</f>
        <v/>
      </c>
      <c r="R34" s="59">
        <f>IF('[27]سجل المستخلصات'!$V$15="","",'[27]سجل المستخلصات'!$V$15)</f>
        <v/>
      </c>
      <c r="S34" s="59">
        <f>IF('[27]سجل المستخلصات'!$W$15="","",'[27]سجل المستخلصات'!$W$15)</f>
        <v/>
      </c>
      <c r="T34" s="61">
        <f>IF('[27]سجل المستخلصات'!$X$15="","",'[27]سجل المستخلصات'!$X$15)</f>
        <v/>
      </c>
      <c r="U34" s="61">
        <f>IF('[27]سجل المستخلصات'!$Z$15="","",'[27]سجل المستخلصات'!$Z$15)</f>
        <v/>
      </c>
      <c r="V34" s="59">
        <f>IF('[27]سجل المستخلصات'!$AA$15="","",'[27]سجل المستخلصات'!$AA$15)</f>
        <v/>
      </c>
      <c r="W34" s="59">
        <f>IF('[27]سجل المستخلصات'!$AC$15="","",'[27]سجل المستخلصات'!$AC$15)</f>
        <v/>
      </c>
      <c r="X34" s="62">
        <f>IF('[27]سجل المستخلصات'!$AD$15="","",'[27]سجل المستخلصات'!$AD$15)</f>
        <v/>
      </c>
      <c r="Y34" s="58">
        <f>IF('[27]سجل المستخلصات'!$AE$15="","",'[27]سجل المستخلصات'!$AE$15)</f>
        <v/>
      </c>
    </row>
    <row r="35">
      <c r="B35" s="56" t="n">
        <v>11</v>
      </c>
      <c r="C35" s="57">
        <f>IF('[27]سجل المستخلصات'!$C$16="","",'[27]سجل المستخلصات'!$C$16)</f>
        <v/>
      </c>
      <c r="D35" s="57">
        <f>IF('[27]سجل المستخلصات'!$E$16="","",'[27]سجل المستخلصات'!$E$16)</f>
        <v/>
      </c>
      <c r="E35" s="58">
        <f>IF('[27]سجل المستخلصات'!$F$16="","",'[27]سجل المستخلصات'!$F$16)</f>
        <v/>
      </c>
      <c r="F35" s="59">
        <f>IF('[27]سجل المستخلصات'!$H$16="","",'[27]سجل المستخلصات'!$H$16)</f>
        <v/>
      </c>
      <c r="G35" s="59">
        <f>IF('[27]سجل المستخلصات'!$G$16="","",'[27]سجل المستخلصات'!$G$16)</f>
        <v/>
      </c>
      <c r="H35" s="59">
        <f>IF('[27]سجل المستخلصات'!$I$16="","",'[27]سجل المستخلصات'!$I$16)</f>
        <v/>
      </c>
      <c r="I35" s="59">
        <f>IF('[27]سجل المستخلصات'!$J$16="","",'[27]سجل المستخلصات'!$J$16)</f>
        <v/>
      </c>
      <c r="J35" s="59">
        <f>IF('[27]سجل المستخلصات'!$K$16="","",'[27]سجل المستخلصات'!$K$16)</f>
        <v/>
      </c>
      <c r="K35" s="60">
        <f>IF('[27]سجل المستخلصات'!$L$16="","",'[27]سجل المستخلصات'!$L$16)</f>
        <v/>
      </c>
      <c r="L35" s="60">
        <f>IF('[27]سجل المستخلصات'!$M$16="","",'[27]سجل المستخلصات'!$M$16)</f>
        <v/>
      </c>
      <c r="M35" s="60">
        <f>IF('[27]سجل المستخلصات'!$N$16="","",'[27]سجل المستخلصات'!$N$16)</f>
        <v/>
      </c>
      <c r="N35" s="59">
        <f>IF('[27]سجل المستخلصات'!$O$16="","",'[27]سجل المستخلصات'!$O$16)</f>
        <v/>
      </c>
      <c r="O35" s="59">
        <f>IF('[27]سجل المستخلصات'!$R$16="","",'[27]سجل المستخلصات'!$R$16)</f>
        <v/>
      </c>
      <c r="P35" s="59">
        <f>IF('[27]سجل المستخلصات'!$S$16="","",'[27]سجل المستخلصات'!$S$16)</f>
        <v/>
      </c>
      <c r="Q35" s="59">
        <f>IF('[27]سجل المستخلصات'!$T$16="","",'[27]سجل المستخلصات'!$T$16)</f>
        <v/>
      </c>
      <c r="R35" s="59">
        <f>IF('[27]سجل المستخلصات'!$V$16="","",'[27]سجل المستخلصات'!$V$16)</f>
        <v/>
      </c>
      <c r="S35" s="59">
        <f>IF('[27]سجل المستخلصات'!$W$16="","",'[27]سجل المستخلصات'!$W$16)</f>
        <v/>
      </c>
      <c r="T35" s="61">
        <f>IF('[27]سجل المستخلصات'!$X$16="","",'[27]سجل المستخلصات'!$X$16)</f>
        <v/>
      </c>
      <c r="U35" s="61">
        <f>IF('[27]سجل المستخلصات'!$Z$16="","",'[27]سجل المستخلصات'!$Z$16)</f>
        <v/>
      </c>
      <c r="V35" s="59">
        <f>IF('[27]سجل المستخلصات'!$AA$16="","",'[27]سجل المستخلصات'!$AA$16)</f>
        <v/>
      </c>
      <c r="W35" s="59">
        <f>IF('[27]سجل المستخلصات'!$AC$16="","",'[27]سجل المستخلصات'!$AC$16)</f>
        <v/>
      </c>
      <c r="X35" s="62">
        <f>IF('[27]سجل المستخلصات'!$AD$16="","",'[27]سجل المستخلصات'!$AD$16)</f>
        <v/>
      </c>
      <c r="Y35" s="58">
        <f>IF('[27]سجل المستخلصات'!$AE$16="","",'[27]سجل المستخلصات'!$AE$16)</f>
        <v/>
      </c>
    </row>
    <row r="36">
      <c r="B36" s="56" t="n">
        <v>12</v>
      </c>
      <c r="C36" s="57">
        <f>IF('[27]سجل المستخلصات'!$C$17="","",'[27]سجل المستخلصات'!$C$17)</f>
        <v/>
      </c>
      <c r="D36" s="57">
        <f>IF('[27]سجل المستخلصات'!$E$17="","",'[27]سجل المستخلصات'!$E$17)</f>
        <v/>
      </c>
      <c r="E36" s="58">
        <f>IF('[27]سجل المستخلصات'!$F$17="","",'[27]سجل المستخلصات'!$F$17)</f>
        <v/>
      </c>
      <c r="F36" s="59">
        <f>IF('[27]سجل المستخلصات'!$H$17="","",'[27]سجل المستخلصات'!$H$17)</f>
        <v/>
      </c>
      <c r="G36" s="59">
        <f>IF('[27]سجل المستخلصات'!$G$17="","",'[27]سجل المستخلصات'!$G$17)</f>
        <v/>
      </c>
      <c r="H36" s="59">
        <f>IF('[27]سجل المستخلصات'!$I$17="","",'[27]سجل المستخلصات'!$I$17)</f>
        <v/>
      </c>
      <c r="I36" s="59">
        <f>IF('[27]سجل المستخلصات'!$J$17="","",'[27]سجل المستخلصات'!$J$17)</f>
        <v/>
      </c>
      <c r="J36" s="59">
        <f>IF('[27]سجل المستخلصات'!$K$17="","",'[27]سجل المستخلصات'!$K$17)</f>
        <v/>
      </c>
      <c r="K36" s="60">
        <f>IF('[27]سجل المستخلصات'!$L$17="","",'[27]سجل المستخلصات'!$L$17)</f>
        <v/>
      </c>
      <c r="L36" s="60">
        <f>IF('[27]سجل المستخلصات'!$M$17="","",'[27]سجل المستخلصات'!$M$17)</f>
        <v/>
      </c>
      <c r="M36" s="60">
        <f>IF('[27]سجل المستخلصات'!$N$17="","",'[27]سجل المستخلصات'!$N$17)</f>
        <v/>
      </c>
      <c r="N36" s="59">
        <f>IF('[27]سجل المستخلصات'!$O$17="","",'[27]سجل المستخلصات'!$O$17)</f>
        <v/>
      </c>
      <c r="O36" s="59">
        <f>IF('[27]سجل المستخلصات'!$R$17="","",'[27]سجل المستخلصات'!$R$17)</f>
        <v/>
      </c>
      <c r="P36" s="59">
        <f>IF('[27]سجل المستخلصات'!$S$17="","",'[27]سجل المستخلصات'!$S$17)</f>
        <v/>
      </c>
      <c r="Q36" s="59">
        <f>IF('[27]سجل المستخلصات'!$T$17="","",'[27]سجل المستخلصات'!$T$17)</f>
        <v/>
      </c>
      <c r="R36" s="59">
        <f>IF('[27]سجل المستخلصات'!$V$17="","",'[27]سجل المستخلصات'!$V$17)</f>
        <v/>
      </c>
      <c r="S36" s="59">
        <f>IF('[27]سجل المستخلصات'!$W$17="","",'[27]سجل المستخلصات'!$W$17)</f>
        <v/>
      </c>
      <c r="T36" s="61">
        <f>IF('[27]سجل المستخلصات'!$X$17="","",'[27]سجل المستخلصات'!$X$17)</f>
        <v/>
      </c>
      <c r="U36" s="61">
        <f>IF('[27]سجل المستخلصات'!$Z$17="","",'[27]سجل المستخلصات'!$Z$17)</f>
        <v/>
      </c>
      <c r="V36" s="59">
        <f>IF('[27]سجل المستخلصات'!$AA$17="","",'[27]سجل المستخلصات'!$AA$17)</f>
        <v/>
      </c>
      <c r="W36" s="59">
        <f>IF('[27]سجل المستخلصات'!$AC$17="","",'[27]سجل المستخلصات'!$AC$17)</f>
        <v/>
      </c>
      <c r="X36" s="62">
        <f>IF('[27]سجل المستخلصات'!$AD$17="","",'[27]سجل المستخلصات'!$AD$17)</f>
        <v/>
      </c>
      <c r="Y36" s="58">
        <f>IF('[27]سجل المستخلصات'!$AE$17="","",'[27]سجل المستخلصات'!$AE$17)</f>
        <v/>
      </c>
    </row>
    <row r="37">
      <c r="B37" s="56" t="n">
        <v>13</v>
      </c>
      <c r="C37" s="57">
        <f>IF('[27]سجل المستخلصات'!$C$18="","",'[27]سجل المستخلصات'!$C$18)</f>
        <v/>
      </c>
      <c r="D37" s="57">
        <f>IF('[27]سجل المستخلصات'!$E$18="","",'[27]سجل المستخلصات'!$E$18)</f>
        <v/>
      </c>
      <c r="E37" s="58">
        <f>IF('[27]سجل المستخلصات'!$F$18="","",'[27]سجل المستخلصات'!$F$18)</f>
        <v/>
      </c>
      <c r="F37" s="59">
        <f>IF('[27]سجل المستخلصات'!$H$18="","",'[27]سجل المستخلصات'!$H$18)</f>
        <v/>
      </c>
      <c r="G37" s="59">
        <f>IF('[27]سجل المستخلصات'!$G$18="","",'[27]سجل المستخلصات'!$G$18)</f>
        <v/>
      </c>
      <c r="H37" s="59">
        <f>IF('[27]سجل المستخلصات'!$I$18="","",'[27]سجل المستخلصات'!$I$18)</f>
        <v/>
      </c>
      <c r="I37" s="59">
        <f>IF('[27]سجل المستخلصات'!$J$18="","",'[27]سجل المستخلصات'!$J$18)</f>
        <v/>
      </c>
      <c r="J37" s="59">
        <f>IF('[27]سجل المستخلصات'!$K$18="","",'[27]سجل المستخلصات'!$K$18)</f>
        <v/>
      </c>
      <c r="K37" s="60">
        <f>IF('[27]سجل المستخلصات'!$L$18="","",'[27]سجل المستخلصات'!$L$18)</f>
        <v/>
      </c>
      <c r="L37" s="60">
        <f>IF('[27]سجل المستخلصات'!$M$18="","",'[27]سجل المستخلصات'!$M$18)</f>
        <v/>
      </c>
      <c r="M37" s="60">
        <f>IF('[27]سجل المستخلصات'!$N$18="","",'[27]سجل المستخلصات'!$N$18)</f>
        <v/>
      </c>
      <c r="N37" s="59">
        <f>IF('[27]سجل المستخلصات'!$O$18="","",'[27]سجل المستخلصات'!$O$18)</f>
        <v/>
      </c>
      <c r="O37" s="59">
        <f>IF('[27]سجل المستخلصات'!$R$18="","",'[27]سجل المستخلصات'!$R$18)</f>
        <v/>
      </c>
      <c r="P37" s="59">
        <f>IF('[27]سجل المستخلصات'!$S$18="","",'[27]سجل المستخلصات'!$S$18)</f>
        <v/>
      </c>
      <c r="Q37" s="59">
        <f>IF('[27]سجل المستخلصات'!$T$18="","",'[27]سجل المستخلصات'!$T$18)</f>
        <v/>
      </c>
      <c r="R37" s="59">
        <f>IF('[27]سجل المستخلصات'!$V$18="","",'[27]سجل المستخلصات'!$V$18)</f>
        <v/>
      </c>
      <c r="S37" s="59">
        <f>IF('[27]سجل المستخلصات'!$W$18="","",'[27]سجل المستخلصات'!$W$18)</f>
        <v/>
      </c>
      <c r="T37" s="61">
        <f>IF('[27]سجل المستخلصات'!$X$18="","",'[27]سجل المستخلصات'!$X$18)</f>
        <v/>
      </c>
      <c r="U37" s="61">
        <f>IF('[27]سجل المستخلصات'!$Z$18="","",'[27]سجل المستخلصات'!$Z$18)</f>
        <v/>
      </c>
      <c r="V37" s="59">
        <f>IF('[27]سجل المستخلصات'!$AA$18="","",'[27]سجل المستخلصات'!$AA$18)</f>
        <v/>
      </c>
      <c r="W37" s="59">
        <f>IF('[27]سجل المستخلصات'!$AC$18="","",'[27]سجل المستخلصات'!$AC$18)</f>
        <v/>
      </c>
      <c r="X37" s="62">
        <f>IF('[27]سجل المستخلصات'!$AD$18="","",'[27]سجل المستخلصات'!$AD$18)</f>
        <v/>
      </c>
      <c r="Y37" s="58">
        <f>IF('[27]سجل المستخلصات'!$AE$18="","",'[27]سجل المستخلصات'!$AE$18)</f>
        <v/>
      </c>
    </row>
    <row r="38">
      <c r="B38" s="56" t="n">
        <v>14</v>
      </c>
      <c r="C38" s="57">
        <f>IF('[27]سجل المستخلصات'!$C$19="","",'[27]سجل المستخلصات'!$C$19)</f>
        <v/>
      </c>
      <c r="D38" s="57">
        <f>IF('[27]سجل المستخلصات'!$E$19="","",'[27]سجل المستخلصات'!$E$19)</f>
        <v/>
      </c>
      <c r="E38" s="58">
        <f>IF('[27]سجل المستخلصات'!$F$19="","",'[27]سجل المستخلصات'!$F$19)</f>
        <v/>
      </c>
      <c r="F38" s="59">
        <f>IF('[27]سجل المستخلصات'!$H$19="","",'[27]سجل المستخلصات'!$H$19)</f>
        <v/>
      </c>
      <c r="G38" s="59">
        <f>IF('[27]سجل المستخلصات'!$G$19="","",'[27]سجل المستخلصات'!$G$19)</f>
        <v/>
      </c>
      <c r="H38" s="59">
        <f>IF('[27]سجل المستخلصات'!$I$19="","",'[27]سجل المستخلصات'!$I$19)</f>
        <v/>
      </c>
      <c r="I38" s="59">
        <f>IF('[27]سجل المستخلصات'!$J$19="","",'[27]سجل المستخلصات'!$J$19)</f>
        <v/>
      </c>
      <c r="J38" s="59">
        <f>IF('[27]سجل المستخلصات'!$K$19="","",'[27]سجل المستخلصات'!$K$19)</f>
        <v/>
      </c>
      <c r="K38" s="60">
        <f>IF('[27]سجل المستخلصات'!$L$19="","",'[27]سجل المستخلصات'!$L$19)</f>
        <v/>
      </c>
      <c r="L38" s="60">
        <f>IF('[27]سجل المستخلصات'!$M$19="","",'[27]سجل المستخلصات'!$M$19)</f>
        <v/>
      </c>
      <c r="M38" s="60">
        <f>IF('[27]سجل المستخلصات'!$N$19="","",'[27]سجل المستخلصات'!$N$19)</f>
        <v/>
      </c>
      <c r="N38" s="59">
        <f>IF('[27]سجل المستخلصات'!$O$19="","",'[27]سجل المستخلصات'!$O$19)</f>
        <v/>
      </c>
      <c r="O38" s="59">
        <f>IF('[27]سجل المستخلصات'!$R$19="","",'[27]سجل المستخلصات'!$R$19)</f>
        <v/>
      </c>
      <c r="P38" s="59">
        <f>IF('[27]سجل المستخلصات'!$S$19="","",'[27]سجل المستخلصات'!$S$19)</f>
        <v/>
      </c>
      <c r="Q38" s="59">
        <f>IF('[27]سجل المستخلصات'!$T$19="","",'[27]سجل المستخلصات'!$T$19)</f>
        <v/>
      </c>
      <c r="R38" s="59">
        <f>IF('[27]سجل المستخلصات'!$V$19="","",'[27]سجل المستخلصات'!$V$19)</f>
        <v/>
      </c>
      <c r="S38" s="59">
        <f>IF('[27]سجل المستخلصات'!$W$19="","",'[27]سجل المستخلصات'!$W$19)</f>
        <v/>
      </c>
      <c r="T38" s="61">
        <f>IF('[27]سجل المستخلصات'!$X$19="","",'[27]سجل المستخلصات'!$X$19)</f>
        <v/>
      </c>
      <c r="U38" s="61">
        <f>IF('[27]سجل المستخلصات'!$Z$19="","",'[27]سجل المستخلصات'!$Z$19)</f>
        <v/>
      </c>
      <c r="V38" s="59">
        <f>IF('[27]سجل المستخلصات'!$AA$19="","",'[27]سجل المستخلصات'!$AA$19)</f>
        <v/>
      </c>
      <c r="W38" s="59">
        <f>IF('[27]سجل المستخلصات'!$AC$19="","",'[27]سجل المستخلصات'!$AC$19)</f>
        <v/>
      </c>
      <c r="X38" s="62">
        <f>IF('[27]سجل المستخلصات'!$AD$19="","",'[27]سجل المستخلصات'!$AD$19)</f>
        <v/>
      </c>
      <c r="Y38" s="58">
        <f>IF('[27]سجل المستخلصات'!$AE$19="","",'[27]سجل المستخلصات'!$AE$19)</f>
        <v/>
      </c>
    </row>
    <row r="39">
      <c r="B39" s="56" t="n">
        <v>15</v>
      </c>
      <c r="C39" s="57">
        <f>IF('[27]سجل المستخلصات'!$C$20="","",'[27]سجل المستخلصات'!$C$20)</f>
        <v/>
      </c>
      <c r="D39" s="57">
        <f>IF('[27]سجل المستخلصات'!$E$20="","",'[27]سجل المستخلصات'!$E$20)</f>
        <v/>
      </c>
      <c r="E39" s="58">
        <f>IF('[27]سجل المستخلصات'!$F$20="","",'[27]سجل المستخلصات'!$F$20)</f>
        <v/>
      </c>
      <c r="F39" s="59">
        <f>IF('[27]سجل المستخلصات'!$H$20="","",'[27]سجل المستخلصات'!$H$20)</f>
        <v/>
      </c>
      <c r="G39" s="59">
        <f>IF('[27]سجل المستخلصات'!$G$20="","",'[27]سجل المستخلصات'!$G$20)</f>
        <v/>
      </c>
      <c r="H39" s="59">
        <f>IF('[27]سجل المستخلصات'!$I$20="","",'[27]سجل المستخلصات'!$I$20)</f>
        <v/>
      </c>
      <c r="I39" s="59">
        <f>IF('[27]سجل المستخلصات'!$J$20="","",'[27]سجل المستخلصات'!$J$20)</f>
        <v/>
      </c>
      <c r="J39" s="59">
        <f>IF('[27]سجل المستخلصات'!$K$20="","",'[27]سجل المستخلصات'!$K$20)</f>
        <v/>
      </c>
      <c r="K39" s="60">
        <f>IF('[27]سجل المستخلصات'!$L$20="","",'[27]سجل المستخلصات'!$L$20)</f>
        <v/>
      </c>
      <c r="L39" s="60">
        <f>IF('[27]سجل المستخلصات'!$M$20="","",'[27]سجل المستخلصات'!$M$20)</f>
        <v/>
      </c>
      <c r="M39" s="60">
        <f>IF('[27]سجل المستخلصات'!$N$20="","",'[27]سجل المستخلصات'!$N$20)</f>
        <v/>
      </c>
      <c r="N39" s="59">
        <f>IF('[27]سجل المستخلصات'!$O$20="","",'[27]سجل المستخلصات'!$O$20)</f>
        <v/>
      </c>
      <c r="O39" s="59">
        <f>IF('[27]سجل المستخلصات'!$R$20="","",'[27]سجل المستخلصات'!$R$20)</f>
        <v/>
      </c>
      <c r="P39" s="59">
        <f>IF('[27]سجل المستخلصات'!$S$20="","",'[27]سجل المستخلصات'!$S$20)</f>
        <v/>
      </c>
      <c r="Q39" s="59">
        <f>IF('[27]سجل المستخلصات'!$T$20="","",'[27]سجل المستخلصات'!$T$20)</f>
        <v/>
      </c>
      <c r="R39" s="59">
        <f>IF('[27]سجل المستخلصات'!$V$20="","",'[27]سجل المستخلصات'!$V$20)</f>
        <v/>
      </c>
      <c r="S39" s="59">
        <f>IF('[27]سجل المستخلصات'!$W$20="","",'[27]سجل المستخلصات'!$W$20)</f>
        <v/>
      </c>
      <c r="T39" s="61">
        <f>IF('[27]سجل المستخلصات'!$X$20="","",'[27]سجل المستخلصات'!$X$20)</f>
        <v/>
      </c>
      <c r="U39" s="61">
        <f>IF('[27]سجل المستخلصات'!$Z$20="","",'[27]سجل المستخلصات'!$Z$20)</f>
        <v/>
      </c>
      <c r="V39" s="59">
        <f>IF('[27]سجل المستخلصات'!$AA$20="","",'[27]سجل المستخلصات'!$AA$20)</f>
        <v/>
      </c>
      <c r="W39" s="59">
        <f>IF('[27]سجل المستخلصات'!$AC$20="","",'[27]سجل المستخلصات'!$AC$20)</f>
        <v/>
      </c>
      <c r="X39" s="62">
        <f>IF('[27]سجل المستخلصات'!$AD$20="","",'[27]سجل المستخلصات'!$AD$20)</f>
        <v/>
      </c>
      <c r="Y39" s="58">
        <f>IF('[27]سجل المستخلصات'!$AE$20="","",'[27]سجل المستخلصات'!$AE$20)</f>
        <v/>
      </c>
    </row>
    <row r="40">
      <c r="B40" s="56" t="n">
        <v>16</v>
      </c>
      <c r="C40" s="57">
        <f>IF('[27]سجل المستخلصات'!$C$21="","",'[27]سجل المستخلصات'!$C$21)</f>
        <v/>
      </c>
      <c r="D40" s="57">
        <f>IF('[27]سجل المستخلصات'!$E$21="","",'[27]سجل المستخلصات'!$E$21)</f>
        <v/>
      </c>
      <c r="E40" s="58">
        <f>IF('[27]سجل المستخلصات'!$F$21="","",'[27]سجل المستخلصات'!$F$21)</f>
        <v/>
      </c>
      <c r="F40" s="59">
        <f>IF('[27]سجل المستخلصات'!$H$21="","",'[27]سجل المستخلصات'!$H$21)</f>
        <v/>
      </c>
      <c r="G40" s="59">
        <f>IF('[27]سجل المستخلصات'!$G$21="","",'[27]سجل المستخلصات'!$G$21)</f>
        <v/>
      </c>
      <c r="H40" s="59">
        <f>IF('[27]سجل المستخلصات'!$I$21="","",'[27]سجل المستخلصات'!$I$21)</f>
        <v/>
      </c>
      <c r="I40" s="59">
        <f>IF('[27]سجل المستخلصات'!$J$21="","",'[27]سجل المستخلصات'!$J$21)</f>
        <v/>
      </c>
      <c r="J40" s="59">
        <f>IF('[27]سجل المستخلصات'!$K$21="","",'[27]سجل المستخلصات'!$K$21)</f>
        <v/>
      </c>
      <c r="K40" s="60">
        <f>IF('[27]سجل المستخلصات'!$L$21="","",'[27]سجل المستخلصات'!$L$21)</f>
        <v/>
      </c>
      <c r="L40" s="60">
        <f>IF('[27]سجل المستخلصات'!$M$21="","",'[27]سجل المستخلصات'!$M$21)</f>
        <v/>
      </c>
      <c r="M40" s="60">
        <f>IF('[27]سجل المستخلصات'!$N$21="","",'[27]سجل المستخلصات'!$N$21)</f>
        <v/>
      </c>
      <c r="N40" s="59">
        <f>IF('[27]سجل المستخلصات'!$O$21="","",'[27]سجل المستخلصات'!$O$21)</f>
        <v/>
      </c>
      <c r="O40" s="59">
        <f>IF('[27]سجل المستخلصات'!$R$21="","",'[27]سجل المستخلصات'!$R$21)</f>
        <v/>
      </c>
      <c r="P40" s="59">
        <f>IF('[27]سجل المستخلصات'!$S$21="","",'[27]سجل المستخلصات'!$S$21)</f>
        <v/>
      </c>
      <c r="Q40" s="59">
        <f>IF('[27]سجل المستخلصات'!$T$21="","",'[27]سجل المستخلصات'!$T$21)</f>
        <v/>
      </c>
      <c r="R40" s="59">
        <f>IF('[27]سجل المستخلصات'!$V$21="","",'[27]سجل المستخلصات'!$V$21)</f>
        <v/>
      </c>
      <c r="S40" s="59">
        <f>IF('[27]سجل المستخلصات'!$W$21="","",'[27]سجل المستخلصات'!$W$21)</f>
        <v/>
      </c>
      <c r="T40" s="61">
        <f>IF('[27]سجل المستخلصات'!$X$21="","",'[27]سجل المستخلصات'!$X$21)</f>
        <v/>
      </c>
      <c r="U40" s="61">
        <f>IF('[27]سجل المستخلصات'!$Z$21="","",'[27]سجل المستخلصات'!$Z$21)</f>
        <v/>
      </c>
      <c r="V40" s="59">
        <f>IF('[27]سجل المستخلصات'!$AA$21="","",'[27]سجل المستخلصات'!$AA$21)</f>
        <v/>
      </c>
      <c r="W40" s="59">
        <f>IF('[27]سجل المستخلصات'!$AC$21="","",'[27]سجل المستخلصات'!$AC$21)</f>
        <v/>
      </c>
      <c r="X40" s="62">
        <f>IF('[27]سجل المستخلصات'!$AD$21="","",'[27]سجل المستخلصات'!$AD$21)</f>
        <v/>
      </c>
      <c r="Y40" s="58">
        <f>IF('[27]سجل المستخلصات'!$AE$21="","",'[27]سجل المستخلصات'!$AE$21)</f>
        <v/>
      </c>
    </row>
    <row r="41">
      <c r="B41" s="56" t="n">
        <v>17</v>
      </c>
      <c r="C41" s="57">
        <f>IF('[27]سجل المستخلصات'!$C$22="","",'[27]سجل المستخلصات'!$C$22)</f>
        <v/>
      </c>
      <c r="D41" s="57">
        <f>IF('[27]سجل المستخلصات'!$E$22="","",'[27]سجل المستخلصات'!$E$22)</f>
        <v/>
      </c>
      <c r="E41" s="58">
        <f>IF('[27]سجل المستخلصات'!$F$22="","",'[27]سجل المستخلصات'!$F$22)</f>
        <v/>
      </c>
      <c r="F41" s="59">
        <f>IF('[27]سجل المستخلصات'!$H$22="","",'[27]سجل المستخلصات'!$H$22)</f>
        <v/>
      </c>
      <c r="G41" s="59">
        <f>IF('[27]سجل المستخلصات'!$G$22="","",'[27]سجل المستخلصات'!$G$22)</f>
        <v/>
      </c>
      <c r="H41" s="59">
        <f>IF('[27]سجل المستخلصات'!$I$22="","",'[27]سجل المستخلصات'!$I$22)</f>
        <v/>
      </c>
      <c r="I41" s="59">
        <f>IF('[27]سجل المستخلصات'!$J$22="","",'[27]سجل المستخلصات'!$J$22)</f>
        <v/>
      </c>
      <c r="J41" s="59">
        <f>IF('[27]سجل المستخلصات'!$K$22="","",'[27]سجل المستخلصات'!$K$22)</f>
        <v/>
      </c>
      <c r="K41" s="60">
        <f>IF('[27]سجل المستخلصات'!$L$22="","",'[27]سجل المستخلصات'!$L$22)</f>
        <v/>
      </c>
      <c r="L41" s="60">
        <f>IF('[27]سجل المستخلصات'!$M$22="","",'[27]سجل المستخلصات'!$M$22)</f>
        <v/>
      </c>
      <c r="M41" s="60">
        <f>IF('[27]سجل المستخلصات'!$N$22="","",'[27]سجل المستخلصات'!$N$22)</f>
        <v/>
      </c>
      <c r="N41" s="59">
        <f>IF('[27]سجل المستخلصات'!$O$22="","",'[27]سجل المستخلصات'!$O$22)</f>
        <v/>
      </c>
      <c r="O41" s="59">
        <f>IF('[27]سجل المستخلصات'!$R$22="","",'[27]سجل المستخلصات'!$R$22)</f>
        <v/>
      </c>
      <c r="P41" s="59">
        <f>IF('[27]سجل المستخلصات'!$S$22="","",'[27]سجل المستخلصات'!$S$22)</f>
        <v/>
      </c>
      <c r="Q41" s="59">
        <f>IF('[27]سجل المستخلصات'!$T$22="","",'[27]سجل المستخلصات'!$T$22)</f>
        <v/>
      </c>
      <c r="R41" s="59">
        <f>IF('[27]سجل المستخلصات'!$V$22="","",'[27]سجل المستخلصات'!$V$22)</f>
        <v/>
      </c>
      <c r="S41" s="59">
        <f>IF('[27]سجل المستخلصات'!$W$22="","",'[27]سجل المستخلصات'!$W$22)</f>
        <v/>
      </c>
      <c r="T41" s="61">
        <f>IF('[27]سجل المستخلصات'!$X$22="","",'[27]سجل المستخلصات'!$X$22)</f>
        <v/>
      </c>
      <c r="U41" s="61">
        <f>IF('[27]سجل المستخلصات'!$Z$22="","",'[27]سجل المستخلصات'!$Z$22)</f>
        <v/>
      </c>
      <c r="V41" s="59">
        <f>IF('[27]سجل المستخلصات'!$AA$22="","",'[27]سجل المستخلصات'!$AA$22)</f>
        <v/>
      </c>
      <c r="W41" s="59">
        <f>IF('[27]سجل المستخلصات'!$AC$22="","",'[27]سجل المستخلصات'!$AC$22)</f>
        <v/>
      </c>
      <c r="X41" s="62">
        <f>IF('[27]سجل المستخلصات'!$AD$22="","",'[27]سجل المستخلصات'!$AD$22)</f>
        <v/>
      </c>
      <c r="Y41" s="58">
        <f>IF('[27]سجل المستخلصات'!$AE$22="","",'[27]سجل المستخلصات'!$AE$22)</f>
        <v/>
      </c>
    </row>
    <row r="42">
      <c r="B42" s="56" t="n">
        <v>18</v>
      </c>
      <c r="C42" s="57">
        <f>IF('[27]سجل المستخلصات'!$C$23="","",'[27]سجل المستخلصات'!$C$23)</f>
        <v/>
      </c>
      <c r="D42" s="57">
        <f>IF('[27]سجل المستخلصات'!$E$23="","",'[27]سجل المستخلصات'!$E$23)</f>
        <v/>
      </c>
      <c r="E42" s="58">
        <f>IF('[27]سجل المستخلصات'!$F$23="","",'[27]سجل المستخلصات'!$F$23)</f>
        <v/>
      </c>
      <c r="F42" s="59">
        <f>IF('[27]سجل المستخلصات'!$H$23="","",'[27]سجل المستخلصات'!$H$23)</f>
        <v/>
      </c>
      <c r="G42" s="59">
        <f>IF('[27]سجل المستخلصات'!$G$23="","",'[27]سجل المستخلصات'!$G$23)</f>
        <v/>
      </c>
      <c r="H42" s="59">
        <f>IF('[27]سجل المستخلصات'!$I$23="","",'[27]سجل المستخلصات'!$I$23)</f>
        <v/>
      </c>
      <c r="I42" s="59">
        <f>IF('[27]سجل المستخلصات'!$J$23="","",'[27]سجل المستخلصات'!$J$23)</f>
        <v/>
      </c>
      <c r="J42" s="59">
        <f>IF('[27]سجل المستخلصات'!$K$23="","",'[27]سجل المستخلصات'!$K$23)</f>
        <v/>
      </c>
      <c r="K42" s="60">
        <f>IF('[27]سجل المستخلصات'!$L$23="","",'[27]سجل المستخلصات'!$L$23)</f>
        <v/>
      </c>
      <c r="L42" s="60">
        <f>IF('[27]سجل المستخلصات'!$M$23="","",'[27]سجل المستخلصات'!$M$23)</f>
        <v/>
      </c>
      <c r="M42" s="60">
        <f>IF('[27]سجل المستخلصات'!$N$23="","",'[27]سجل المستخلصات'!$N$23)</f>
        <v/>
      </c>
      <c r="N42" s="59">
        <f>IF('[27]سجل المستخلصات'!$O$23="","",'[27]سجل المستخلصات'!$O$23)</f>
        <v/>
      </c>
      <c r="O42" s="59">
        <f>IF('[27]سجل المستخلصات'!$R$23="","",'[27]سجل المستخلصات'!$R$23)</f>
        <v/>
      </c>
      <c r="P42" s="59">
        <f>IF('[27]سجل المستخلصات'!$S$23="","",'[27]سجل المستخلصات'!$S$23)</f>
        <v/>
      </c>
      <c r="Q42" s="59">
        <f>IF('[27]سجل المستخلصات'!$T$23="","",'[27]سجل المستخلصات'!$T$23)</f>
        <v/>
      </c>
      <c r="R42" s="59">
        <f>IF('[27]سجل المستخلصات'!$V$23="","",'[27]سجل المستخلصات'!$V$23)</f>
        <v/>
      </c>
      <c r="S42" s="59">
        <f>IF('[27]سجل المستخلصات'!$W$23="","",'[27]سجل المستخلصات'!$W$23)</f>
        <v/>
      </c>
      <c r="T42" s="61">
        <f>IF('[27]سجل المستخلصات'!$X$23="","",'[27]سجل المستخلصات'!$X$23)</f>
        <v/>
      </c>
      <c r="U42" s="61">
        <f>IF('[27]سجل المستخلصات'!$Z$23="","",'[27]سجل المستخلصات'!$Z$23)</f>
        <v/>
      </c>
      <c r="V42" s="59">
        <f>IF('[27]سجل المستخلصات'!$AA$23="","",'[27]سجل المستخلصات'!$AA$23)</f>
        <v/>
      </c>
      <c r="W42" s="59">
        <f>IF('[27]سجل المستخلصات'!$AC$23="","",'[27]سجل المستخلصات'!$AC$23)</f>
        <v/>
      </c>
      <c r="X42" s="62">
        <f>IF('[27]سجل المستخلصات'!$AD$23="","",'[27]سجل المستخلصات'!$AD$23)</f>
        <v/>
      </c>
      <c r="Y42" s="58">
        <f>IF('[27]سجل المستخلصات'!$AE$23="","",'[27]سجل المستخلصات'!$AE$23)</f>
        <v/>
      </c>
    </row>
    <row r="43">
      <c r="B43" s="56" t="n">
        <v>19</v>
      </c>
      <c r="C43" s="57">
        <f>IF('[27]سجل المستخلصات'!$C$24="","",'[27]سجل المستخلصات'!$C$24)</f>
        <v/>
      </c>
      <c r="D43" s="57">
        <f>IF('[27]سجل المستخلصات'!$E$24="","",'[27]سجل المستخلصات'!$E$24)</f>
        <v/>
      </c>
      <c r="E43" s="58">
        <f>IF('[27]سجل المستخلصات'!$F$24="","",'[27]سجل المستخلصات'!$F$24)</f>
        <v/>
      </c>
      <c r="F43" s="59">
        <f>IF('[27]سجل المستخلصات'!$H$24="","",'[27]سجل المستخلصات'!$H$24)</f>
        <v/>
      </c>
      <c r="G43" s="59">
        <f>IF('[27]سجل المستخلصات'!$G$24="","",'[27]سجل المستخلصات'!$G$24)</f>
        <v/>
      </c>
      <c r="H43" s="59">
        <f>IF('[27]سجل المستخلصات'!$I$24="","",'[27]سجل المستخلصات'!$I$24)</f>
        <v/>
      </c>
      <c r="I43" s="59">
        <f>IF('[27]سجل المستخلصات'!$J$24="","",'[27]سجل المستخلصات'!$J$24)</f>
        <v/>
      </c>
      <c r="J43" s="59">
        <f>IF('[27]سجل المستخلصات'!$K$24="","",'[27]سجل المستخلصات'!$K$24)</f>
        <v/>
      </c>
      <c r="K43" s="60">
        <f>IF('[27]سجل المستخلصات'!$L$24="","",'[27]سجل المستخلصات'!$L$24)</f>
        <v/>
      </c>
      <c r="L43" s="60">
        <f>IF('[27]سجل المستخلصات'!$M$24="","",'[27]سجل المستخلصات'!$M$24)</f>
        <v/>
      </c>
      <c r="M43" s="60">
        <f>IF('[27]سجل المستخلصات'!$N$24="","",'[27]سجل المستخلصات'!$N$24)</f>
        <v/>
      </c>
      <c r="N43" s="59">
        <f>IF('[27]سجل المستخلصات'!$O$24="","",'[27]سجل المستخلصات'!$O$24)</f>
        <v/>
      </c>
      <c r="O43" s="59">
        <f>IF('[27]سجل المستخلصات'!$R$24="","",'[27]سجل المستخلصات'!$R$24)</f>
        <v/>
      </c>
      <c r="P43" s="59">
        <f>IF('[27]سجل المستخلصات'!$S$24="","",'[27]سجل المستخلصات'!$S$24)</f>
        <v/>
      </c>
      <c r="Q43" s="59">
        <f>IF('[27]سجل المستخلصات'!$T$24="","",'[27]سجل المستخلصات'!$T$24)</f>
        <v/>
      </c>
      <c r="R43" s="59">
        <f>IF('[27]سجل المستخلصات'!$V$24="","",'[27]سجل المستخلصات'!$V$24)</f>
        <v/>
      </c>
      <c r="S43" s="59">
        <f>IF('[27]سجل المستخلصات'!$W$24="","",'[27]سجل المستخلصات'!$W$24)</f>
        <v/>
      </c>
      <c r="T43" s="61">
        <f>IF('[27]سجل المستخلصات'!$X$24="","",'[27]سجل المستخلصات'!$X$24)</f>
        <v/>
      </c>
      <c r="U43" s="61">
        <f>IF('[27]سجل المستخلصات'!$Z$24="","",'[27]سجل المستخلصات'!$Z$24)</f>
        <v/>
      </c>
      <c r="V43" s="59">
        <f>IF('[27]سجل المستخلصات'!$AA$24="","",'[27]سجل المستخلصات'!$AA$24)</f>
        <v/>
      </c>
      <c r="W43" s="59">
        <f>IF('[27]سجل المستخلصات'!$AC$24="","",'[27]سجل المستخلصات'!$AC$24)</f>
        <v/>
      </c>
      <c r="X43" s="62">
        <f>IF('[27]سجل المستخلصات'!$AD$24="","",'[27]سجل المستخلصات'!$AD$24)</f>
        <v/>
      </c>
      <c r="Y43" s="58">
        <f>IF('[27]سجل المستخلصات'!$AE$24="","",'[27]سجل المستخلصات'!$AE$24)</f>
        <v/>
      </c>
    </row>
    <row r="44">
      <c r="B44" s="56" t="n">
        <v>20</v>
      </c>
      <c r="C44" s="57">
        <f>IF('[27]سجل المستخلصات'!$C$25="","",'[27]سجل المستخلصات'!$C$25)</f>
        <v/>
      </c>
      <c r="D44" s="57">
        <f>IF('[27]سجل المستخلصات'!$E$25="","",'[27]سجل المستخلصات'!$E$25)</f>
        <v/>
      </c>
      <c r="E44" s="58">
        <f>IF('[27]سجل المستخلصات'!$F$25="","",'[27]سجل المستخلصات'!$F$25)</f>
        <v/>
      </c>
      <c r="F44" s="59">
        <f>IF('[27]سجل المستخلصات'!$H$25="","",'[27]سجل المستخلصات'!$H$25)</f>
        <v/>
      </c>
      <c r="G44" s="59">
        <f>IF('[27]سجل المستخلصات'!$G$25="","",'[27]سجل المستخلصات'!$G$25)</f>
        <v/>
      </c>
      <c r="H44" s="59">
        <f>IF('[27]سجل المستخلصات'!$I$25="","",'[27]سجل المستخلصات'!$I$25)</f>
        <v/>
      </c>
      <c r="I44" s="59">
        <f>IF('[27]سجل المستخلصات'!$J$25="","",'[27]سجل المستخلصات'!$J$25)</f>
        <v/>
      </c>
      <c r="J44" s="59">
        <f>IF('[27]سجل المستخلصات'!$K$25="","",'[27]سجل المستخلصات'!$K$25)</f>
        <v/>
      </c>
      <c r="K44" s="60">
        <f>IF('[27]سجل المستخلصات'!$L$25="","",'[27]سجل المستخلصات'!$L$25)</f>
        <v/>
      </c>
      <c r="L44" s="60">
        <f>IF('[27]سجل المستخلصات'!$M$25="","",'[27]سجل المستخلصات'!$M$25)</f>
        <v/>
      </c>
      <c r="M44" s="60">
        <f>IF('[27]سجل المستخلصات'!$N$25="","",'[27]سجل المستخلصات'!$N$25)</f>
        <v/>
      </c>
      <c r="N44" s="59">
        <f>IF('[27]سجل المستخلصات'!$O$25="","",'[27]سجل المستخلصات'!$O$25)</f>
        <v/>
      </c>
      <c r="O44" s="59">
        <f>IF('[27]سجل المستخلصات'!$R$25="","",'[27]سجل المستخلصات'!$R$25)</f>
        <v/>
      </c>
      <c r="P44" s="59">
        <f>IF('[27]سجل المستخلصات'!$S$25="","",'[27]سجل المستخلصات'!$S$25)</f>
        <v/>
      </c>
      <c r="Q44" s="59">
        <f>IF('[27]سجل المستخلصات'!$T$25="","",'[27]سجل المستخلصات'!$T$25)</f>
        <v/>
      </c>
      <c r="R44" s="59">
        <f>IF('[27]سجل المستخلصات'!$V$25="","",'[27]سجل المستخلصات'!$V$25)</f>
        <v/>
      </c>
      <c r="S44" s="59">
        <f>IF('[27]سجل المستخلصات'!$W$25="","",'[27]سجل المستخلصات'!$W$25)</f>
        <v/>
      </c>
      <c r="T44" s="61">
        <f>IF('[27]سجل المستخلصات'!$X$25="","",'[27]سجل المستخلصات'!$X$25)</f>
        <v/>
      </c>
      <c r="U44" s="61">
        <f>IF('[27]سجل المستخلصات'!$Z$25="","",'[27]سجل المستخلصات'!$Z$25)</f>
        <v/>
      </c>
      <c r="V44" s="59">
        <f>IF('[27]سجل المستخلصات'!$AA$25="","",'[27]سجل المستخلصات'!$AA$25)</f>
        <v/>
      </c>
      <c r="W44" s="59">
        <f>IF('[27]سجل المستخلصات'!$AC$25="","",'[27]سجل المستخلصات'!$AC$25)</f>
        <v/>
      </c>
      <c r="X44" s="62">
        <f>IF('[27]سجل المستخلصات'!$AD$25="","",'[27]سجل المستخلصات'!$AD$25)</f>
        <v/>
      </c>
      <c r="Y44" s="58">
        <f>IF('[27]سجل المستخلصات'!$AE$25="","",'[27]سجل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IF('[27]سجل المستخلصات'!$B$32="","",'[27]سجل المستخلصات'!$B$32)</f>
        <v/>
      </c>
      <c r="C50" s="69" t="n"/>
      <c r="D50" s="69" t="n"/>
      <c r="E50" s="59">
        <f>N('[27]سجل المستخلصات'!$E$32)</f>
        <v/>
      </c>
      <c r="F50" s="59">
        <f>N('[27]سجل المستخلصات'!$F$32)</f>
        <v/>
      </c>
      <c r="G50" s="70">
        <f>IF(E50&gt;0,F50/E50,0)</f>
        <v/>
      </c>
    </row>
    <row r="51">
      <c r="B51" s="69">
        <f>IF('[27]سجل المستخلصات'!$B$33="","",'[27]سجل المستخلصات'!$B$33)</f>
        <v/>
      </c>
      <c r="C51" s="69" t="n"/>
      <c r="D51" s="69" t="n"/>
      <c r="E51" s="59">
        <f>N('[27]سجل المستخلصات'!$E$33)</f>
        <v/>
      </c>
      <c r="F51" s="59">
        <f>N('[27]سجل المستخلصات'!$F$33)</f>
        <v/>
      </c>
      <c r="G51" s="70">
        <f>IF(E51&gt;0,F51/E51,0)</f>
        <v/>
      </c>
    </row>
    <row r="52">
      <c r="B52" s="69">
        <f>IF('[27]سجل المستخلصات'!$B$34="","",'[27]سجل المستخلصات'!$B$34)</f>
        <v/>
      </c>
      <c r="C52" s="69" t="n"/>
      <c r="D52" s="69" t="n"/>
      <c r="E52" s="59">
        <f>N('[27]سجل المستخلصات'!$E$34)</f>
        <v/>
      </c>
      <c r="F52" s="59">
        <f>N('[27]سجل المستخلصات'!$F$34)</f>
        <v/>
      </c>
      <c r="G52" s="70">
        <f>IF(E52&gt;0,F52/E52,0)</f>
        <v/>
      </c>
    </row>
    <row r="53">
      <c r="B53" s="69">
        <f>IF('[27]سجل المستخلصات'!$B$35="","",'[27]سجل المستخلصات'!$B$35)</f>
        <v/>
      </c>
      <c r="C53" s="69" t="n"/>
      <c r="D53" s="69" t="n"/>
      <c r="E53" s="59">
        <f>N('[27]سجل المستخلصات'!$E$35)</f>
        <v/>
      </c>
      <c r="F53" s="59">
        <f>N('[27]سجل المستخلصات'!$F$35)</f>
        <v/>
      </c>
      <c r="G53" s="70">
        <f>IF(E53&gt;0,F53/E53,0)</f>
        <v/>
      </c>
    </row>
    <row r="54">
      <c r="B54" s="69">
        <f>IF('[27]سجل المستخلصات'!$B$36="","",'[27]سجل المستخلصات'!$B$36)</f>
        <v/>
      </c>
      <c r="C54" s="69" t="n"/>
      <c r="D54" s="69" t="n"/>
      <c r="E54" s="59">
        <f>N('[27]سجل المستخلصات'!$E$36)</f>
        <v/>
      </c>
      <c r="F54" s="59">
        <f>N('[27]سجل المستخلصات'!$F$36)</f>
        <v/>
      </c>
      <c r="G54" s="70">
        <f>IF(E54&gt;0,F54/E54,0)</f>
        <v/>
      </c>
    </row>
    <row r="55">
      <c r="B55" s="69">
        <f>IF('[27]سجل المستخلصات'!$B$37="","",'[27]سجل المستخلصات'!$B$37)</f>
        <v/>
      </c>
      <c r="C55" s="69" t="n"/>
      <c r="D55" s="69" t="n"/>
      <c r="E55" s="59">
        <f>N('[27]سجل المستخلصات'!$E$37)</f>
        <v/>
      </c>
      <c r="F55" s="59">
        <f>N('[27]سجل المستخلصات'!$F$37)</f>
        <v/>
      </c>
      <c r="G55" s="70">
        <f>IF(E55&gt;0,F55/E55,0)</f>
        <v/>
      </c>
    </row>
    <row r="56">
      <c r="B56" s="69">
        <f>IF('[27]سجل المستخلصات'!$B$38="","",'[27]سجل المستخلصات'!$B$38)</f>
        <v/>
      </c>
      <c r="C56" s="69" t="n"/>
      <c r="D56" s="69" t="n"/>
      <c r="E56" s="59">
        <f>N('[27]سجل المستخلصات'!$E$38)</f>
        <v/>
      </c>
      <c r="F56" s="59">
        <f>N('[27]سجل المستخلصات'!$F$38)</f>
        <v/>
      </c>
      <c r="G56" s="70">
        <f>IF(E56&gt;0,F56/E56,0)</f>
        <v/>
      </c>
    </row>
    <row r="57">
      <c r="B57" s="69">
        <f>IF('[27]سجل المستخلصات'!$B$39="","",'[27]سجل المستخلصات'!$B$39)</f>
        <v/>
      </c>
      <c r="C57" s="69" t="n"/>
      <c r="D57" s="69" t="n"/>
      <c r="E57" s="59">
        <f>N('[27]سجل المستخلصات'!$E$39)</f>
        <v/>
      </c>
      <c r="F57" s="59">
        <f>N('[27]سجل المستخلصات'!$F$39)</f>
        <v/>
      </c>
      <c r="G57" s="70">
        <f>IF(E57&gt;0,F57/E57,0)</f>
        <v/>
      </c>
    </row>
    <row r="58">
      <c r="B58" s="69">
        <f>IF('[27]سجل المستخلصات'!$B$40="","",'[27]سجل المستخلصات'!$B$40)</f>
        <v/>
      </c>
      <c r="C58" s="69" t="n"/>
      <c r="D58" s="69" t="n"/>
      <c r="E58" s="59">
        <f>N('[27]سجل المستخلصات'!$E$40)</f>
        <v/>
      </c>
      <c r="F58" s="59">
        <f>N('[27]سجل المستخلصات'!$F$40)</f>
        <v/>
      </c>
      <c r="G58" s="70">
        <f>IF(E58&gt;0,F58/E58,0)</f>
        <v/>
      </c>
    </row>
    <row r="59">
      <c r="B59" s="69">
        <f>IF('[27]سجل المستخلصات'!$B$41="","",'[27]سجل المستخلصات'!$B$41)</f>
        <v/>
      </c>
      <c r="C59" s="69" t="n"/>
      <c r="D59" s="69" t="n"/>
      <c r="E59" s="59">
        <f>N('[27]سجل المستخلصات'!$E$41)</f>
        <v/>
      </c>
      <c r="F59" s="59">
        <f>N('[27]سجل المستخلصات'!$F$41)</f>
        <v/>
      </c>
      <c r="G59" s="70">
        <f>IF(E59&gt;0,F59/E59,0)</f>
        <v/>
      </c>
    </row>
    <row r="60">
      <c r="B60" s="69">
        <f>IF('[27]سجل المستخلصات'!$B$42="","",'[27]سجل المستخلصات'!$B$42)</f>
        <v/>
      </c>
      <c r="C60" s="69" t="n"/>
      <c r="D60" s="69" t="n"/>
      <c r="E60" s="59">
        <f>N('[27]سجل المستخلصات'!$E$42)</f>
        <v/>
      </c>
      <c r="F60" s="59">
        <f>N('[27]سجل المستخلصات'!$F$42)</f>
        <v/>
      </c>
      <c r="G60" s="70">
        <f>IF(E60&gt;0,F60/E60,0)</f>
        <v/>
      </c>
    </row>
    <row r="61">
      <c r="B61" s="69">
        <f>IF('[27]سجل المستخلصات'!$B$43="","",'[27]سجل المستخلصات'!$B$43)</f>
        <v/>
      </c>
      <c r="C61" s="69" t="n"/>
      <c r="D61" s="69" t="n"/>
      <c r="E61" s="59">
        <f>N('[27]سجل المستخلصات'!$E$43)</f>
        <v/>
      </c>
      <c r="F61" s="59">
        <f>N('[27]سجل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26'!A1" display="◄ المشروع السابق"/>
    <hyperlink ref="D3" location="'مشروع 28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2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"&amp;IF('[28]بيانات العقد'!$C$5="","مشروع رقم 28 — غير مُفعّل",'[28]بيانات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Project_28/IPC_Project_28.xlsx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IF('[28]بيانات العقد'!$C$5="","",'[28]بيانات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IF('[28]بيانات العقد'!$C$6="","",'[28]بيانات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IF('[28]بيانات العقد'!$C$7="","",'[28]بيانات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IF('[28]بيانات العقد'!$C$8="","",'[28]بيانات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N('[28]بيانات العقد'!$C$16)</f>
        <v/>
      </c>
    </row>
    <row r="6" ht="22" customHeight="1">
      <c r="B6" s="11" t="inlineStr">
        <is>
          <t>المقاول</t>
        </is>
      </c>
      <c r="C6" s="14">
        <f>IF('[28]بيانات العقد'!$C$9="","",'[28]بيانات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IF('[28]بيانات العقد'!$C$11="","",'[28]بيانات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IF('[28]بيانات العقد'!$C$13="","",'[28]بيانات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IF('[28]بيانات العقد'!$C$14="","",'[28]بيانات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N('[28]بيانات العقد'!$C$17)</f>
        <v/>
      </c>
    </row>
    <row r="7">
      <c r="AA7" s="15" t="inlineStr">
        <is>
          <t>قيمة العقد المعدلة</t>
        </is>
      </c>
      <c r="AB7" s="16">
        <f>N('[28]بيانات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N('[28]بيانات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N('[28]بيانات العقد'!$C$21)</f>
        <v/>
      </c>
    </row>
    <row r="10">
      <c r="AA10" s="15" t="inlineStr">
        <is>
          <t>نسبة ضمان الأعمال</t>
        </is>
      </c>
      <c r="AB10" s="23">
        <f>N('[28]بيانات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N('[28]بيانات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N('[28]بيانات العقد'!$C$31)</f>
        <v/>
      </c>
    </row>
    <row r="13">
      <c r="AA13" s="15" t="inlineStr">
        <is>
          <t>ضريبة الاستقطاع (غير المقيم)</t>
        </is>
      </c>
      <c r="AB13" s="23">
        <f>N('[28]بيانات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IF('[28]بيانات العقد'!$C$11="","",'[28]بيانات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IF('[28]بيانات العقد'!$C$13="","",'[28]بيانات العقد'!$C$13)</f>
        <v/>
      </c>
    </row>
    <row r="16">
      <c r="AA16" s="15" t="inlineStr">
        <is>
          <t>المدة (شهر)</t>
        </is>
      </c>
      <c r="AB16" s="43">
        <f>IF('[28]بيانات العقد'!$C$12="","",'[28]بيانات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IF('[28]بيانات العقد'!$C$36="","",'[28]بيانات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IF('[28]بيانات العقد'!$C$37="","",'[28]بيانات العقد'!$C$37)</f>
        <v/>
      </c>
    </row>
    <row r="19">
      <c r="AA19" s="15" t="inlineStr">
        <is>
          <t>الرقم الضريبي لصاحب العمل</t>
        </is>
      </c>
      <c r="AB19" s="48">
        <f>IF('[28]بيانات العقد'!$C$39="","",'[28]بيانات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IF('[28]بيانات العقد'!$C$42="","",'[28]بيانات العقد'!$C$42)</f>
        <v/>
      </c>
    </row>
    <row r="21" ht="32" customHeight="1">
      <c r="B21" s="50">
        <f>N('[28]الموازنة والتكاليف'!$D$66)</f>
        <v/>
      </c>
      <c r="C21" s="50" t="n"/>
      <c r="D21" s="50" t="n"/>
      <c r="E21" s="50" t="n"/>
      <c r="F21" s="50">
        <f>N('[28]الموازنة والتكاليف'!$D$70)</f>
        <v/>
      </c>
      <c r="G21" s="50" t="n"/>
      <c r="H21" s="50" t="n"/>
      <c r="I21" s="50" t="n"/>
      <c r="J21" s="50">
        <f>N('[28]الموازنة والتكاليف'!$D$72)</f>
        <v/>
      </c>
      <c r="K21" s="50" t="n"/>
      <c r="L21" s="50" t="n"/>
      <c r="M21" s="50" t="n"/>
      <c r="N21" s="51">
        <f>N('[28]الموازنة والتكاليف'!$D$73)</f>
        <v/>
      </c>
      <c r="O21" s="51" t="n"/>
      <c r="P21" s="51" t="n"/>
      <c r="Q21" s="51" t="n"/>
      <c r="R21" s="52">
        <f>N('[28]الموازنة والتكاليف'!$D$74)</f>
        <v/>
      </c>
      <c r="S21" s="52" t="n"/>
      <c r="T21" s="52" t="n"/>
      <c r="U21" s="52" t="n"/>
      <c r="V21" s="50">
        <f>N('[28]الموازنة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IF('[28]بيانات العقد'!$C$43="","",'[28]بيانات العقد'!$C$43)</f>
        <v/>
      </c>
    </row>
    <row r="22">
      <c r="AA22" s="15" t="inlineStr">
        <is>
          <t>حالة غرامات التأخير</t>
        </is>
      </c>
      <c r="AB22" s="45">
        <f>IF('[28]بيانات العقد'!$C$47="","",'[28]بيانات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IF('[28]سجل المستخلصات'!$C$6="","",'[28]سجل المستخلصات'!$C$6)</f>
        <v/>
      </c>
      <c r="D25" s="57">
        <f>IF('[28]سجل المستخلصات'!$E$6="","",'[28]سجل المستخلصات'!$E$6)</f>
        <v/>
      </c>
      <c r="E25" s="58">
        <f>IF('[28]سجل المستخلصات'!$F$6="","",'[28]سجل المستخلصات'!$F$6)</f>
        <v/>
      </c>
      <c r="F25" s="59">
        <f>IF('[28]سجل المستخلصات'!$H$6="","",'[28]سجل المستخلصات'!$H$6)</f>
        <v/>
      </c>
      <c r="G25" s="59">
        <f>IF('[28]سجل المستخلصات'!$G$6="","",'[28]سجل المستخلصات'!$G$6)</f>
        <v/>
      </c>
      <c r="H25" s="59">
        <f>IF('[28]سجل المستخلصات'!$I$6="","",'[28]سجل المستخلصات'!$I$6)</f>
        <v/>
      </c>
      <c r="I25" s="59">
        <f>IF('[28]سجل المستخلصات'!$J$6="","",'[28]سجل المستخلصات'!$J$6)</f>
        <v/>
      </c>
      <c r="J25" s="59">
        <f>IF('[28]سجل المستخلصات'!$K$6="","",'[28]سجل المستخلصات'!$K$6)</f>
        <v/>
      </c>
      <c r="K25" s="60">
        <f>IF('[28]سجل المستخلصات'!$L$6="","",'[28]سجل المستخلصات'!$L$6)</f>
        <v/>
      </c>
      <c r="L25" s="60">
        <f>IF('[28]سجل المستخلصات'!$M$6="","",'[28]سجل المستخلصات'!$M$6)</f>
        <v/>
      </c>
      <c r="M25" s="60">
        <f>IF('[28]سجل المستخلصات'!$N$6="","",'[28]سجل المستخلصات'!$N$6)</f>
        <v/>
      </c>
      <c r="N25" s="59">
        <f>IF('[28]سجل المستخلصات'!$O$6="","",'[28]سجل المستخلصات'!$O$6)</f>
        <v/>
      </c>
      <c r="O25" s="59">
        <f>IF('[28]سجل المستخلصات'!$R$6="","",'[28]سجل المستخلصات'!$R$6)</f>
        <v/>
      </c>
      <c r="P25" s="59">
        <f>IF('[28]سجل المستخلصات'!$S$6="","",'[28]سجل المستخلصات'!$S$6)</f>
        <v/>
      </c>
      <c r="Q25" s="59">
        <f>IF('[28]سجل المستخلصات'!$T$6="","",'[28]سجل المستخلصات'!$T$6)</f>
        <v/>
      </c>
      <c r="R25" s="59">
        <f>IF('[28]سجل المستخلصات'!$V$6="","",'[28]سجل المستخلصات'!$V$6)</f>
        <v/>
      </c>
      <c r="S25" s="59">
        <f>IF('[28]سجل المستخلصات'!$W$6="","",'[28]سجل المستخلصات'!$W$6)</f>
        <v/>
      </c>
      <c r="T25" s="61">
        <f>IF('[28]سجل المستخلصات'!$X$6="","",'[28]سجل المستخلصات'!$X$6)</f>
        <v/>
      </c>
      <c r="U25" s="61">
        <f>IF('[28]سجل المستخلصات'!$Z$6="","",'[28]سجل المستخلصات'!$Z$6)</f>
        <v/>
      </c>
      <c r="V25" s="59">
        <f>IF('[28]سجل المستخلصات'!$AA$6="","",'[28]سجل المستخلصات'!$AA$6)</f>
        <v/>
      </c>
      <c r="W25" s="59">
        <f>IF('[28]سجل المستخلصات'!$AC$6="","",'[28]سجل المستخلصات'!$AC$6)</f>
        <v/>
      </c>
      <c r="X25" s="62">
        <f>IF('[28]سجل المستخلصات'!$AD$6="","",'[28]سجل المستخلصات'!$AD$6)</f>
        <v/>
      </c>
      <c r="Y25" s="58">
        <f>IF('[28]سجل المستخلصات'!$AE$6="","",'[28]سجل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IF('[28]سجل المستخلصات'!$C$7="","",'[28]سجل المستخلصات'!$C$7)</f>
        <v/>
      </c>
      <c r="D26" s="57">
        <f>IF('[28]سجل المستخلصات'!$E$7="","",'[28]سجل المستخلصات'!$E$7)</f>
        <v/>
      </c>
      <c r="E26" s="58">
        <f>IF('[28]سجل المستخلصات'!$F$7="","",'[28]سجل المستخلصات'!$F$7)</f>
        <v/>
      </c>
      <c r="F26" s="59">
        <f>IF('[28]سجل المستخلصات'!$H$7="","",'[28]سجل المستخلصات'!$H$7)</f>
        <v/>
      </c>
      <c r="G26" s="59">
        <f>IF('[28]سجل المستخلصات'!$G$7="","",'[28]سجل المستخلصات'!$G$7)</f>
        <v/>
      </c>
      <c r="H26" s="59">
        <f>IF('[28]سجل المستخلصات'!$I$7="","",'[28]سجل المستخلصات'!$I$7)</f>
        <v/>
      </c>
      <c r="I26" s="59">
        <f>IF('[28]سجل المستخلصات'!$J$7="","",'[28]سجل المستخلصات'!$J$7)</f>
        <v/>
      </c>
      <c r="J26" s="59">
        <f>IF('[28]سجل المستخلصات'!$K$7="","",'[28]سجل المستخلصات'!$K$7)</f>
        <v/>
      </c>
      <c r="K26" s="60">
        <f>IF('[28]سجل المستخلصات'!$L$7="","",'[28]سجل المستخلصات'!$L$7)</f>
        <v/>
      </c>
      <c r="L26" s="60">
        <f>IF('[28]سجل المستخلصات'!$M$7="","",'[28]سجل المستخلصات'!$M$7)</f>
        <v/>
      </c>
      <c r="M26" s="60">
        <f>IF('[28]سجل المستخلصات'!$N$7="","",'[28]سجل المستخلصات'!$N$7)</f>
        <v/>
      </c>
      <c r="N26" s="59">
        <f>IF('[28]سجل المستخلصات'!$O$7="","",'[28]سجل المستخلصات'!$O$7)</f>
        <v/>
      </c>
      <c r="O26" s="59">
        <f>IF('[28]سجل المستخلصات'!$R$7="","",'[28]سجل المستخلصات'!$R$7)</f>
        <v/>
      </c>
      <c r="P26" s="59">
        <f>IF('[28]سجل المستخلصات'!$S$7="","",'[28]سجل المستخلصات'!$S$7)</f>
        <v/>
      </c>
      <c r="Q26" s="59">
        <f>IF('[28]سجل المستخلصات'!$T$7="","",'[28]سجل المستخلصات'!$T$7)</f>
        <v/>
      </c>
      <c r="R26" s="59">
        <f>IF('[28]سجل المستخلصات'!$V$7="","",'[28]سجل المستخلصات'!$V$7)</f>
        <v/>
      </c>
      <c r="S26" s="59">
        <f>IF('[28]سجل المستخلصات'!$W$7="","",'[28]سجل المستخلصات'!$W$7)</f>
        <v/>
      </c>
      <c r="T26" s="61">
        <f>IF('[28]سجل المستخلصات'!$X$7="","",'[28]سجل المستخلصات'!$X$7)</f>
        <v/>
      </c>
      <c r="U26" s="61">
        <f>IF('[28]سجل المستخلصات'!$Z$7="","",'[28]سجل المستخلصات'!$Z$7)</f>
        <v/>
      </c>
      <c r="V26" s="59">
        <f>IF('[28]سجل المستخلصات'!$AA$7="","",'[28]سجل المستخلصات'!$AA$7)</f>
        <v/>
      </c>
      <c r="W26" s="59">
        <f>IF('[28]سجل المستخلصات'!$AC$7="","",'[28]سجل المستخلصات'!$AC$7)</f>
        <v/>
      </c>
      <c r="X26" s="62">
        <f>IF('[28]سجل المستخلصات'!$AD$7="","",'[28]سجل المستخلصات'!$AD$7)</f>
        <v/>
      </c>
      <c r="Y26" s="58">
        <f>IF('[28]سجل المستخلصات'!$AE$7="","",'[28]سجل المستخلصات'!$AE$7)</f>
        <v/>
      </c>
      <c r="AA26" s="63" t="n"/>
      <c r="AB26" s="63" t="n"/>
    </row>
    <row r="27">
      <c r="B27" s="56" t="n">
        <v>3</v>
      </c>
      <c r="C27" s="57">
        <f>IF('[28]سجل المستخلصات'!$C$8="","",'[28]سجل المستخلصات'!$C$8)</f>
        <v/>
      </c>
      <c r="D27" s="57">
        <f>IF('[28]سجل المستخلصات'!$E$8="","",'[28]سجل المستخلصات'!$E$8)</f>
        <v/>
      </c>
      <c r="E27" s="58">
        <f>IF('[28]سجل المستخلصات'!$F$8="","",'[28]سجل المستخلصات'!$F$8)</f>
        <v/>
      </c>
      <c r="F27" s="59">
        <f>IF('[28]سجل المستخلصات'!$H$8="","",'[28]سجل المستخلصات'!$H$8)</f>
        <v/>
      </c>
      <c r="G27" s="59">
        <f>IF('[28]سجل المستخلصات'!$G$8="","",'[28]سجل المستخلصات'!$G$8)</f>
        <v/>
      </c>
      <c r="H27" s="59">
        <f>IF('[28]سجل المستخلصات'!$I$8="","",'[28]سجل المستخلصات'!$I$8)</f>
        <v/>
      </c>
      <c r="I27" s="59">
        <f>IF('[28]سجل المستخلصات'!$J$8="","",'[28]سجل المستخلصات'!$J$8)</f>
        <v/>
      </c>
      <c r="J27" s="59">
        <f>IF('[28]سجل المستخلصات'!$K$8="","",'[28]سجل المستخلصات'!$K$8)</f>
        <v/>
      </c>
      <c r="K27" s="60">
        <f>IF('[28]سجل المستخلصات'!$L$8="","",'[28]سجل المستخلصات'!$L$8)</f>
        <v/>
      </c>
      <c r="L27" s="60">
        <f>IF('[28]سجل المستخلصات'!$M$8="","",'[28]سجل المستخلصات'!$M$8)</f>
        <v/>
      </c>
      <c r="M27" s="60">
        <f>IF('[28]سجل المستخلصات'!$N$8="","",'[28]سجل المستخلصات'!$N$8)</f>
        <v/>
      </c>
      <c r="N27" s="59">
        <f>IF('[28]سجل المستخلصات'!$O$8="","",'[28]سجل المستخلصات'!$O$8)</f>
        <v/>
      </c>
      <c r="O27" s="59">
        <f>IF('[28]سجل المستخلصات'!$R$8="","",'[28]سجل المستخلصات'!$R$8)</f>
        <v/>
      </c>
      <c r="P27" s="59">
        <f>IF('[28]سجل المستخلصات'!$S$8="","",'[28]سجل المستخلصات'!$S$8)</f>
        <v/>
      </c>
      <c r="Q27" s="59">
        <f>IF('[28]سجل المستخلصات'!$T$8="","",'[28]سجل المستخلصات'!$T$8)</f>
        <v/>
      </c>
      <c r="R27" s="59">
        <f>IF('[28]سجل المستخلصات'!$V$8="","",'[28]سجل المستخلصات'!$V$8)</f>
        <v/>
      </c>
      <c r="S27" s="59">
        <f>IF('[28]سجل المستخلصات'!$W$8="","",'[28]سجل المستخلصات'!$W$8)</f>
        <v/>
      </c>
      <c r="T27" s="61">
        <f>IF('[28]سجل المستخلصات'!$X$8="","",'[28]سجل المستخلصات'!$X$8)</f>
        <v/>
      </c>
      <c r="U27" s="61">
        <f>IF('[28]سجل المستخلصات'!$Z$8="","",'[28]سجل المستخلصات'!$Z$8)</f>
        <v/>
      </c>
      <c r="V27" s="59">
        <f>IF('[28]سجل المستخلصات'!$AA$8="","",'[28]سجل المستخلصات'!$AA$8)</f>
        <v/>
      </c>
      <c r="W27" s="59">
        <f>IF('[28]سجل المستخلصات'!$AC$8="","",'[28]سجل المستخلصات'!$AC$8)</f>
        <v/>
      </c>
      <c r="X27" s="62">
        <f>IF('[28]سجل المستخلصات'!$AD$8="","",'[28]سجل المستخلصات'!$AD$8)</f>
        <v/>
      </c>
      <c r="Y27" s="58">
        <f>IF('[28]سجل المستخلصات'!$AE$8="","",'[28]سجل المستخلصات'!$AE$8)</f>
        <v/>
      </c>
      <c r="AA27" s="63" t="n"/>
      <c r="AB27" s="63" t="n"/>
    </row>
    <row r="28">
      <c r="B28" s="56" t="n">
        <v>4</v>
      </c>
      <c r="C28" s="57">
        <f>IF('[28]سجل المستخلصات'!$C$9="","",'[28]سجل المستخلصات'!$C$9)</f>
        <v/>
      </c>
      <c r="D28" s="57">
        <f>IF('[28]سجل المستخلصات'!$E$9="","",'[28]سجل المستخلصات'!$E$9)</f>
        <v/>
      </c>
      <c r="E28" s="58">
        <f>IF('[28]سجل المستخلصات'!$F$9="","",'[28]سجل المستخلصات'!$F$9)</f>
        <v/>
      </c>
      <c r="F28" s="59">
        <f>IF('[28]سجل المستخلصات'!$H$9="","",'[28]سجل المستخلصات'!$H$9)</f>
        <v/>
      </c>
      <c r="G28" s="59">
        <f>IF('[28]سجل المستخلصات'!$G$9="","",'[28]سجل المستخلصات'!$G$9)</f>
        <v/>
      </c>
      <c r="H28" s="59">
        <f>IF('[28]سجل المستخلصات'!$I$9="","",'[28]سجل المستخلصات'!$I$9)</f>
        <v/>
      </c>
      <c r="I28" s="59">
        <f>IF('[28]سجل المستخلصات'!$J$9="","",'[28]سجل المستخلصات'!$J$9)</f>
        <v/>
      </c>
      <c r="J28" s="59">
        <f>IF('[28]سجل المستخلصات'!$K$9="","",'[28]سجل المستخلصات'!$K$9)</f>
        <v/>
      </c>
      <c r="K28" s="60">
        <f>IF('[28]سجل المستخلصات'!$L$9="","",'[28]سجل المستخلصات'!$L$9)</f>
        <v/>
      </c>
      <c r="L28" s="60">
        <f>IF('[28]سجل المستخلصات'!$M$9="","",'[28]سجل المستخلصات'!$M$9)</f>
        <v/>
      </c>
      <c r="M28" s="60">
        <f>IF('[28]سجل المستخلصات'!$N$9="","",'[28]سجل المستخلصات'!$N$9)</f>
        <v/>
      </c>
      <c r="N28" s="59">
        <f>IF('[28]سجل المستخلصات'!$O$9="","",'[28]سجل المستخلصات'!$O$9)</f>
        <v/>
      </c>
      <c r="O28" s="59">
        <f>IF('[28]سجل المستخلصات'!$R$9="","",'[28]سجل المستخلصات'!$R$9)</f>
        <v/>
      </c>
      <c r="P28" s="59">
        <f>IF('[28]سجل المستخلصات'!$S$9="","",'[28]سجل المستخلصات'!$S$9)</f>
        <v/>
      </c>
      <c r="Q28" s="59">
        <f>IF('[28]سجل المستخلصات'!$T$9="","",'[28]سجل المستخلصات'!$T$9)</f>
        <v/>
      </c>
      <c r="R28" s="59">
        <f>IF('[28]سجل المستخلصات'!$V$9="","",'[28]سجل المستخلصات'!$V$9)</f>
        <v/>
      </c>
      <c r="S28" s="59">
        <f>IF('[28]سجل المستخلصات'!$W$9="","",'[28]سجل المستخلصات'!$W$9)</f>
        <v/>
      </c>
      <c r="T28" s="61">
        <f>IF('[28]سجل المستخلصات'!$X$9="","",'[28]سجل المستخلصات'!$X$9)</f>
        <v/>
      </c>
      <c r="U28" s="61">
        <f>IF('[28]سجل المستخلصات'!$Z$9="","",'[28]سجل المستخلصات'!$Z$9)</f>
        <v/>
      </c>
      <c r="V28" s="59">
        <f>IF('[28]سجل المستخلصات'!$AA$9="","",'[28]سجل المستخلصات'!$AA$9)</f>
        <v/>
      </c>
      <c r="W28" s="59">
        <f>IF('[28]سجل المستخلصات'!$AC$9="","",'[28]سجل المستخلصات'!$AC$9)</f>
        <v/>
      </c>
      <c r="X28" s="62">
        <f>IF('[28]سجل المستخلصات'!$AD$9="","",'[28]سجل المستخلصات'!$AD$9)</f>
        <v/>
      </c>
      <c r="Y28" s="58">
        <f>IF('[28]سجل المستخلصات'!$AE$9="","",'[28]سجل المستخلصات'!$AE$9)</f>
        <v/>
      </c>
      <c r="AA28" s="63" t="n"/>
      <c r="AB28" s="63" t="n"/>
    </row>
    <row r="29">
      <c r="B29" s="56" t="n">
        <v>5</v>
      </c>
      <c r="C29" s="57">
        <f>IF('[28]سجل المستخلصات'!$C$10="","",'[28]سجل المستخلصات'!$C$10)</f>
        <v/>
      </c>
      <c r="D29" s="57">
        <f>IF('[28]سجل المستخلصات'!$E$10="","",'[28]سجل المستخلصات'!$E$10)</f>
        <v/>
      </c>
      <c r="E29" s="58">
        <f>IF('[28]سجل المستخلصات'!$F$10="","",'[28]سجل المستخلصات'!$F$10)</f>
        <v/>
      </c>
      <c r="F29" s="59">
        <f>IF('[28]سجل المستخلصات'!$H$10="","",'[28]سجل المستخلصات'!$H$10)</f>
        <v/>
      </c>
      <c r="G29" s="59">
        <f>IF('[28]سجل المستخلصات'!$G$10="","",'[28]سجل المستخلصات'!$G$10)</f>
        <v/>
      </c>
      <c r="H29" s="59">
        <f>IF('[28]سجل المستخلصات'!$I$10="","",'[28]سجل المستخلصات'!$I$10)</f>
        <v/>
      </c>
      <c r="I29" s="59">
        <f>IF('[28]سجل المستخلصات'!$J$10="","",'[28]سجل المستخلصات'!$J$10)</f>
        <v/>
      </c>
      <c r="J29" s="59">
        <f>IF('[28]سجل المستخلصات'!$K$10="","",'[28]سجل المستخلصات'!$K$10)</f>
        <v/>
      </c>
      <c r="K29" s="60">
        <f>IF('[28]سجل المستخلصات'!$L$10="","",'[28]سجل المستخلصات'!$L$10)</f>
        <v/>
      </c>
      <c r="L29" s="60">
        <f>IF('[28]سجل المستخلصات'!$M$10="","",'[28]سجل المستخلصات'!$M$10)</f>
        <v/>
      </c>
      <c r="M29" s="60">
        <f>IF('[28]سجل المستخلصات'!$N$10="","",'[28]سجل المستخلصات'!$N$10)</f>
        <v/>
      </c>
      <c r="N29" s="59">
        <f>IF('[28]سجل المستخلصات'!$O$10="","",'[28]سجل المستخلصات'!$O$10)</f>
        <v/>
      </c>
      <c r="O29" s="59">
        <f>IF('[28]سجل المستخلصات'!$R$10="","",'[28]سجل المستخلصات'!$R$10)</f>
        <v/>
      </c>
      <c r="P29" s="59">
        <f>IF('[28]سجل المستخلصات'!$S$10="","",'[28]سجل المستخلصات'!$S$10)</f>
        <v/>
      </c>
      <c r="Q29" s="59">
        <f>IF('[28]سجل المستخلصات'!$T$10="","",'[28]سجل المستخلصات'!$T$10)</f>
        <v/>
      </c>
      <c r="R29" s="59">
        <f>IF('[28]سجل المستخلصات'!$V$10="","",'[28]سجل المستخلصات'!$V$10)</f>
        <v/>
      </c>
      <c r="S29" s="59">
        <f>IF('[28]سجل المستخلصات'!$W$10="","",'[28]سجل المستخلصات'!$W$10)</f>
        <v/>
      </c>
      <c r="T29" s="61">
        <f>IF('[28]سجل المستخلصات'!$X$10="","",'[28]سجل المستخلصات'!$X$10)</f>
        <v/>
      </c>
      <c r="U29" s="61">
        <f>IF('[28]سجل المستخلصات'!$Z$10="","",'[28]سجل المستخلصات'!$Z$10)</f>
        <v/>
      </c>
      <c r="V29" s="59">
        <f>IF('[28]سجل المستخلصات'!$AA$10="","",'[28]سجل المستخلصات'!$AA$10)</f>
        <v/>
      </c>
      <c r="W29" s="59">
        <f>IF('[28]سجل المستخلصات'!$AC$10="","",'[28]سجل المستخلصات'!$AC$10)</f>
        <v/>
      </c>
      <c r="X29" s="62">
        <f>IF('[28]سجل المستخلصات'!$AD$10="","",'[28]سجل المستخلصات'!$AD$10)</f>
        <v/>
      </c>
      <c r="Y29" s="58">
        <f>IF('[28]سجل المستخلصات'!$AE$10="","",'[28]سجل المستخلصات'!$AE$10)</f>
        <v/>
      </c>
    </row>
    <row r="30">
      <c r="B30" s="56" t="n">
        <v>6</v>
      </c>
      <c r="C30" s="57">
        <f>IF('[28]سجل المستخلصات'!$C$11="","",'[28]سجل المستخلصات'!$C$11)</f>
        <v/>
      </c>
      <c r="D30" s="57">
        <f>IF('[28]سجل المستخلصات'!$E$11="","",'[28]سجل المستخلصات'!$E$11)</f>
        <v/>
      </c>
      <c r="E30" s="58">
        <f>IF('[28]سجل المستخلصات'!$F$11="","",'[28]سجل المستخلصات'!$F$11)</f>
        <v/>
      </c>
      <c r="F30" s="59">
        <f>IF('[28]سجل المستخلصات'!$H$11="","",'[28]سجل المستخلصات'!$H$11)</f>
        <v/>
      </c>
      <c r="G30" s="59">
        <f>IF('[28]سجل المستخلصات'!$G$11="","",'[28]سجل المستخلصات'!$G$11)</f>
        <v/>
      </c>
      <c r="H30" s="59">
        <f>IF('[28]سجل المستخلصات'!$I$11="","",'[28]سجل المستخلصات'!$I$11)</f>
        <v/>
      </c>
      <c r="I30" s="59">
        <f>IF('[28]سجل المستخلصات'!$J$11="","",'[28]سجل المستخلصات'!$J$11)</f>
        <v/>
      </c>
      <c r="J30" s="59">
        <f>IF('[28]سجل المستخلصات'!$K$11="","",'[28]سجل المستخلصات'!$K$11)</f>
        <v/>
      </c>
      <c r="K30" s="60">
        <f>IF('[28]سجل المستخلصات'!$L$11="","",'[28]سجل المستخلصات'!$L$11)</f>
        <v/>
      </c>
      <c r="L30" s="60">
        <f>IF('[28]سجل المستخلصات'!$M$11="","",'[28]سجل المستخلصات'!$M$11)</f>
        <v/>
      </c>
      <c r="M30" s="60">
        <f>IF('[28]سجل المستخلصات'!$N$11="","",'[28]سجل المستخلصات'!$N$11)</f>
        <v/>
      </c>
      <c r="N30" s="59">
        <f>IF('[28]سجل المستخلصات'!$O$11="","",'[28]سجل المستخلصات'!$O$11)</f>
        <v/>
      </c>
      <c r="O30" s="59">
        <f>IF('[28]سجل المستخلصات'!$R$11="","",'[28]سجل المستخلصات'!$R$11)</f>
        <v/>
      </c>
      <c r="P30" s="59">
        <f>IF('[28]سجل المستخلصات'!$S$11="","",'[28]سجل المستخلصات'!$S$11)</f>
        <v/>
      </c>
      <c r="Q30" s="59">
        <f>IF('[28]سجل المستخلصات'!$T$11="","",'[28]سجل المستخلصات'!$T$11)</f>
        <v/>
      </c>
      <c r="R30" s="59">
        <f>IF('[28]سجل المستخلصات'!$V$11="","",'[28]سجل المستخلصات'!$V$11)</f>
        <v/>
      </c>
      <c r="S30" s="59">
        <f>IF('[28]سجل المستخلصات'!$W$11="","",'[28]سجل المستخلصات'!$W$11)</f>
        <v/>
      </c>
      <c r="T30" s="61">
        <f>IF('[28]سجل المستخلصات'!$X$11="","",'[28]سجل المستخلصات'!$X$11)</f>
        <v/>
      </c>
      <c r="U30" s="61">
        <f>IF('[28]سجل المستخلصات'!$Z$11="","",'[28]سجل المستخلصات'!$Z$11)</f>
        <v/>
      </c>
      <c r="V30" s="59">
        <f>IF('[28]سجل المستخلصات'!$AA$11="","",'[28]سجل المستخلصات'!$AA$11)</f>
        <v/>
      </c>
      <c r="W30" s="59">
        <f>IF('[28]سجل المستخلصات'!$AC$11="","",'[28]سجل المستخلصات'!$AC$11)</f>
        <v/>
      </c>
      <c r="X30" s="62">
        <f>IF('[28]سجل المستخلصات'!$AD$11="","",'[28]سجل المستخلصات'!$AD$11)</f>
        <v/>
      </c>
      <c r="Y30" s="58">
        <f>IF('[28]سجل المستخلصات'!$AE$11="","",'[28]سجل المستخلصات'!$AE$11)</f>
        <v/>
      </c>
    </row>
    <row r="31">
      <c r="B31" s="56" t="n">
        <v>7</v>
      </c>
      <c r="C31" s="57">
        <f>IF('[28]سجل المستخلصات'!$C$12="","",'[28]سجل المستخلصات'!$C$12)</f>
        <v/>
      </c>
      <c r="D31" s="57">
        <f>IF('[28]سجل المستخلصات'!$E$12="","",'[28]سجل المستخلصات'!$E$12)</f>
        <v/>
      </c>
      <c r="E31" s="58">
        <f>IF('[28]سجل المستخلصات'!$F$12="","",'[28]سجل المستخلصات'!$F$12)</f>
        <v/>
      </c>
      <c r="F31" s="59">
        <f>IF('[28]سجل المستخلصات'!$H$12="","",'[28]سجل المستخلصات'!$H$12)</f>
        <v/>
      </c>
      <c r="G31" s="59">
        <f>IF('[28]سجل المستخلصات'!$G$12="","",'[28]سجل المستخلصات'!$G$12)</f>
        <v/>
      </c>
      <c r="H31" s="59">
        <f>IF('[28]سجل المستخلصات'!$I$12="","",'[28]سجل المستخلصات'!$I$12)</f>
        <v/>
      </c>
      <c r="I31" s="59">
        <f>IF('[28]سجل المستخلصات'!$J$12="","",'[28]سجل المستخلصات'!$J$12)</f>
        <v/>
      </c>
      <c r="J31" s="59">
        <f>IF('[28]سجل المستخلصات'!$K$12="","",'[28]سجل المستخلصات'!$K$12)</f>
        <v/>
      </c>
      <c r="K31" s="60">
        <f>IF('[28]سجل المستخلصات'!$L$12="","",'[28]سجل المستخلصات'!$L$12)</f>
        <v/>
      </c>
      <c r="L31" s="60">
        <f>IF('[28]سجل المستخلصات'!$M$12="","",'[28]سجل المستخلصات'!$M$12)</f>
        <v/>
      </c>
      <c r="M31" s="60">
        <f>IF('[28]سجل المستخلصات'!$N$12="","",'[28]سجل المستخلصات'!$N$12)</f>
        <v/>
      </c>
      <c r="N31" s="59">
        <f>IF('[28]سجل المستخلصات'!$O$12="","",'[28]سجل المستخلصات'!$O$12)</f>
        <v/>
      </c>
      <c r="O31" s="59">
        <f>IF('[28]سجل المستخلصات'!$R$12="","",'[28]سجل المستخلصات'!$R$12)</f>
        <v/>
      </c>
      <c r="P31" s="59">
        <f>IF('[28]سجل المستخلصات'!$S$12="","",'[28]سجل المستخلصات'!$S$12)</f>
        <v/>
      </c>
      <c r="Q31" s="59">
        <f>IF('[28]سجل المستخلصات'!$T$12="","",'[28]سجل المستخلصات'!$T$12)</f>
        <v/>
      </c>
      <c r="R31" s="59">
        <f>IF('[28]سجل المستخلصات'!$V$12="","",'[28]سجل المستخلصات'!$V$12)</f>
        <v/>
      </c>
      <c r="S31" s="59">
        <f>IF('[28]سجل المستخلصات'!$W$12="","",'[28]سجل المستخلصات'!$W$12)</f>
        <v/>
      </c>
      <c r="T31" s="61">
        <f>IF('[28]سجل المستخلصات'!$X$12="","",'[28]سجل المستخلصات'!$X$12)</f>
        <v/>
      </c>
      <c r="U31" s="61">
        <f>IF('[28]سجل المستخلصات'!$Z$12="","",'[28]سجل المستخلصات'!$Z$12)</f>
        <v/>
      </c>
      <c r="V31" s="59">
        <f>IF('[28]سجل المستخلصات'!$AA$12="","",'[28]سجل المستخلصات'!$AA$12)</f>
        <v/>
      </c>
      <c r="W31" s="59">
        <f>IF('[28]سجل المستخلصات'!$AC$12="","",'[28]سجل المستخلصات'!$AC$12)</f>
        <v/>
      </c>
      <c r="X31" s="62">
        <f>IF('[28]سجل المستخلصات'!$AD$12="","",'[28]سجل المستخلصات'!$AD$12)</f>
        <v/>
      </c>
      <c r="Y31" s="58">
        <f>IF('[28]سجل المستخلصات'!$AE$12="","",'[28]سجل المستخلصات'!$AE$12)</f>
        <v/>
      </c>
    </row>
    <row r="32">
      <c r="B32" s="56" t="n">
        <v>8</v>
      </c>
      <c r="C32" s="57">
        <f>IF('[28]سجل المستخلصات'!$C$13="","",'[28]سجل المستخلصات'!$C$13)</f>
        <v/>
      </c>
      <c r="D32" s="57">
        <f>IF('[28]سجل المستخلصات'!$E$13="","",'[28]سجل المستخلصات'!$E$13)</f>
        <v/>
      </c>
      <c r="E32" s="58">
        <f>IF('[28]سجل المستخلصات'!$F$13="","",'[28]سجل المستخلصات'!$F$13)</f>
        <v/>
      </c>
      <c r="F32" s="59">
        <f>IF('[28]سجل المستخلصات'!$H$13="","",'[28]سجل المستخلصات'!$H$13)</f>
        <v/>
      </c>
      <c r="G32" s="59">
        <f>IF('[28]سجل المستخلصات'!$G$13="","",'[28]سجل المستخلصات'!$G$13)</f>
        <v/>
      </c>
      <c r="H32" s="59">
        <f>IF('[28]سجل المستخلصات'!$I$13="","",'[28]سجل المستخلصات'!$I$13)</f>
        <v/>
      </c>
      <c r="I32" s="59">
        <f>IF('[28]سجل المستخلصات'!$J$13="","",'[28]سجل المستخلصات'!$J$13)</f>
        <v/>
      </c>
      <c r="J32" s="59">
        <f>IF('[28]سجل المستخلصات'!$K$13="","",'[28]سجل المستخلصات'!$K$13)</f>
        <v/>
      </c>
      <c r="K32" s="60">
        <f>IF('[28]سجل المستخلصات'!$L$13="","",'[28]سجل المستخلصات'!$L$13)</f>
        <v/>
      </c>
      <c r="L32" s="60">
        <f>IF('[28]سجل المستخلصات'!$M$13="","",'[28]سجل المستخلصات'!$M$13)</f>
        <v/>
      </c>
      <c r="M32" s="60">
        <f>IF('[28]سجل المستخلصات'!$N$13="","",'[28]سجل المستخلصات'!$N$13)</f>
        <v/>
      </c>
      <c r="N32" s="59">
        <f>IF('[28]سجل المستخلصات'!$O$13="","",'[28]سجل المستخلصات'!$O$13)</f>
        <v/>
      </c>
      <c r="O32" s="59">
        <f>IF('[28]سجل المستخلصات'!$R$13="","",'[28]سجل المستخلصات'!$R$13)</f>
        <v/>
      </c>
      <c r="P32" s="59">
        <f>IF('[28]سجل المستخلصات'!$S$13="","",'[28]سجل المستخلصات'!$S$13)</f>
        <v/>
      </c>
      <c r="Q32" s="59">
        <f>IF('[28]سجل المستخلصات'!$T$13="","",'[28]سجل المستخلصات'!$T$13)</f>
        <v/>
      </c>
      <c r="R32" s="59">
        <f>IF('[28]سجل المستخلصات'!$V$13="","",'[28]سجل المستخلصات'!$V$13)</f>
        <v/>
      </c>
      <c r="S32" s="59">
        <f>IF('[28]سجل المستخلصات'!$W$13="","",'[28]سجل المستخلصات'!$W$13)</f>
        <v/>
      </c>
      <c r="T32" s="61">
        <f>IF('[28]سجل المستخلصات'!$X$13="","",'[28]سجل المستخلصات'!$X$13)</f>
        <v/>
      </c>
      <c r="U32" s="61">
        <f>IF('[28]سجل المستخلصات'!$Z$13="","",'[28]سجل المستخلصات'!$Z$13)</f>
        <v/>
      </c>
      <c r="V32" s="59">
        <f>IF('[28]سجل المستخلصات'!$AA$13="","",'[28]سجل المستخلصات'!$AA$13)</f>
        <v/>
      </c>
      <c r="W32" s="59">
        <f>IF('[28]سجل المستخلصات'!$AC$13="","",'[28]سجل المستخلصات'!$AC$13)</f>
        <v/>
      </c>
      <c r="X32" s="62">
        <f>IF('[28]سجل المستخلصات'!$AD$13="","",'[28]سجل المستخلصات'!$AD$13)</f>
        <v/>
      </c>
      <c r="Y32" s="58">
        <f>IF('[28]سجل المستخلصات'!$AE$13="","",'[28]سجل المستخلصات'!$AE$13)</f>
        <v/>
      </c>
    </row>
    <row r="33">
      <c r="B33" s="56" t="n">
        <v>9</v>
      </c>
      <c r="C33" s="57">
        <f>IF('[28]سجل المستخلصات'!$C$14="","",'[28]سجل المستخلصات'!$C$14)</f>
        <v/>
      </c>
      <c r="D33" s="57">
        <f>IF('[28]سجل المستخلصات'!$E$14="","",'[28]سجل المستخلصات'!$E$14)</f>
        <v/>
      </c>
      <c r="E33" s="58">
        <f>IF('[28]سجل المستخلصات'!$F$14="","",'[28]سجل المستخلصات'!$F$14)</f>
        <v/>
      </c>
      <c r="F33" s="59">
        <f>IF('[28]سجل المستخلصات'!$H$14="","",'[28]سجل المستخلصات'!$H$14)</f>
        <v/>
      </c>
      <c r="G33" s="59">
        <f>IF('[28]سجل المستخلصات'!$G$14="","",'[28]سجل المستخلصات'!$G$14)</f>
        <v/>
      </c>
      <c r="H33" s="59">
        <f>IF('[28]سجل المستخلصات'!$I$14="","",'[28]سجل المستخلصات'!$I$14)</f>
        <v/>
      </c>
      <c r="I33" s="59">
        <f>IF('[28]سجل المستخلصات'!$J$14="","",'[28]سجل المستخلصات'!$J$14)</f>
        <v/>
      </c>
      <c r="J33" s="59">
        <f>IF('[28]سجل المستخلصات'!$K$14="","",'[28]سجل المستخلصات'!$K$14)</f>
        <v/>
      </c>
      <c r="K33" s="60">
        <f>IF('[28]سجل المستخلصات'!$L$14="","",'[28]سجل المستخلصات'!$L$14)</f>
        <v/>
      </c>
      <c r="L33" s="60">
        <f>IF('[28]سجل المستخلصات'!$M$14="","",'[28]سجل المستخلصات'!$M$14)</f>
        <v/>
      </c>
      <c r="M33" s="60">
        <f>IF('[28]سجل المستخلصات'!$N$14="","",'[28]سجل المستخلصات'!$N$14)</f>
        <v/>
      </c>
      <c r="N33" s="59">
        <f>IF('[28]سجل المستخلصات'!$O$14="","",'[28]سجل المستخلصات'!$O$14)</f>
        <v/>
      </c>
      <c r="O33" s="59">
        <f>IF('[28]سجل المستخلصات'!$R$14="","",'[28]سجل المستخلصات'!$R$14)</f>
        <v/>
      </c>
      <c r="P33" s="59">
        <f>IF('[28]سجل المستخلصات'!$S$14="","",'[28]سجل المستخلصات'!$S$14)</f>
        <v/>
      </c>
      <c r="Q33" s="59">
        <f>IF('[28]سجل المستخلصات'!$T$14="","",'[28]سجل المستخلصات'!$T$14)</f>
        <v/>
      </c>
      <c r="R33" s="59">
        <f>IF('[28]سجل المستخلصات'!$V$14="","",'[28]سجل المستخلصات'!$V$14)</f>
        <v/>
      </c>
      <c r="S33" s="59">
        <f>IF('[28]سجل المستخلصات'!$W$14="","",'[28]سجل المستخلصات'!$W$14)</f>
        <v/>
      </c>
      <c r="T33" s="61">
        <f>IF('[28]سجل المستخلصات'!$X$14="","",'[28]سجل المستخلصات'!$X$14)</f>
        <v/>
      </c>
      <c r="U33" s="61">
        <f>IF('[28]سجل المستخلصات'!$Z$14="","",'[28]سجل المستخلصات'!$Z$14)</f>
        <v/>
      </c>
      <c r="V33" s="59">
        <f>IF('[28]سجل المستخلصات'!$AA$14="","",'[28]سجل المستخلصات'!$AA$14)</f>
        <v/>
      </c>
      <c r="W33" s="59">
        <f>IF('[28]سجل المستخلصات'!$AC$14="","",'[28]سجل المستخلصات'!$AC$14)</f>
        <v/>
      </c>
      <c r="X33" s="62">
        <f>IF('[28]سجل المستخلصات'!$AD$14="","",'[28]سجل المستخلصات'!$AD$14)</f>
        <v/>
      </c>
      <c r="Y33" s="58">
        <f>IF('[28]سجل المستخلصات'!$AE$14="","",'[28]سجل المستخلصات'!$AE$14)</f>
        <v/>
      </c>
    </row>
    <row r="34">
      <c r="B34" s="56" t="n">
        <v>10</v>
      </c>
      <c r="C34" s="57">
        <f>IF('[28]سجل المستخلصات'!$C$15="","",'[28]سجل المستخلصات'!$C$15)</f>
        <v/>
      </c>
      <c r="D34" s="57">
        <f>IF('[28]سجل المستخلصات'!$E$15="","",'[28]سجل المستخلصات'!$E$15)</f>
        <v/>
      </c>
      <c r="E34" s="58">
        <f>IF('[28]سجل المستخلصات'!$F$15="","",'[28]سجل المستخلصات'!$F$15)</f>
        <v/>
      </c>
      <c r="F34" s="59">
        <f>IF('[28]سجل المستخلصات'!$H$15="","",'[28]سجل المستخلصات'!$H$15)</f>
        <v/>
      </c>
      <c r="G34" s="59">
        <f>IF('[28]سجل المستخلصات'!$G$15="","",'[28]سجل المستخلصات'!$G$15)</f>
        <v/>
      </c>
      <c r="H34" s="59">
        <f>IF('[28]سجل المستخلصات'!$I$15="","",'[28]سجل المستخلصات'!$I$15)</f>
        <v/>
      </c>
      <c r="I34" s="59">
        <f>IF('[28]سجل المستخلصات'!$J$15="","",'[28]سجل المستخلصات'!$J$15)</f>
        <v/>
      </c>
      <c r="J34" s="59">
        <f>IF('[28]سجل المستخلصات'!$K$15="","",'[28]سجل المستخلصات'!$K$15)</f>
        <v/>
      </c>
      <c r="K34" s="60">
        <f>IF('[28]سجل المستخلصات'!$L$15="","",'[28]سجل المستخلصات'!$L$15)</f>
        <v/>
      </c>
      <c r="L34" s="60">
        <f>IF('[28]سجل المستخلصات'!$M$15="","",'[28]سجل المستخلصات'!$M$15)</f>
        <v/>
      </c>
      <c r="M34" s="60">
        <f>IF('[28]سجل المستخلصات'!$N$15="","",'[28]سجل المستخلصات'!$N$15)</f>
        <v/>
      </c>
      <c r="N34" s="59">
        <f>IF('[28]سجل المستخلصات'!$O$15="","",'[28]سجل المستخلصات'!$O$15)</f>
        <v/>
      </c>
      <c r="O34" s="59">
        <f>IF('[28]سجل المستخلصات'!$R$15="","",'[28]سجل المستخلصات'!$R$15)</f>
        <v/>
      </c>
      <c r="P34" s="59">
        <f>IF('[28]سجل المستخلصات'!$S$15="","",'[28]سجل المستخلصات'!$S$15)</f>
        <v/>
      </c>
      <c r="Q34" s="59">
        <f>IF('[28]سجل المستخلصات'!$T$15="","",'[28]سجل المستخلصات'!$T$15)</f>
        <v/>
      </c>
      <c r="R34" s="59">
        <f>IF('[28]سجل المستخلصات'!$V$15="","",'[28]سجل المستخلصات'!$V$15)</f>
        <v/>
      </c>
      <c r="S34" s="59">
        <f>IF('[28]سجل المستخلصات'!$W$15="","",'[28]سجل المستخلصات'!$W$15)</f>
        <v/>
      </c>
      <c r="T34" s="61">
        <f>IF('[28]سجل المستخلصات'!$X$15="","",'[28]سجل المستخلصات'!$X$15)</f>
        <v/>
      </c>
      <c r="U34" s="61">
        <f>IF('[28]سجل المستخلصات'!$Z$15="","",'[28]سجل المستخلصات'!$Z$15)</f>
        <v/>
      </c>
      <c r="V34" s="59">
        <f>IF('[28]سجل المستخلصات'!$AA$15="","",'[28]سجل المستخلصات'!$AA$15)</f>
        <v/>
      </c>
      <c r="W34" s="59">
        <f>IF('[28]سجل المستخلصات'!$AC$15="","",'[28]سجل المستخلصات'!$AC$15)</f>
        <v/>
      </c>
      <c r="X34" s="62">
        <f>IF('[28]سجل المستخلصات'!$AD$15="","",'[28]سجل المستخلصات'!$AD$15)</f>
        <v/>
      </c>
      <c r="Y34" s="58">
        <f>IF('[28]سجل المستخلصات'!$AE$15="","",'[28]سجل المستخلصات'!$AE$15)</f>
        <v/>
      </c>
    </row>
    <row r="35">
      <c r="B35" s="56" t="n">
        <v>11</v>
      </c>
      <c r="C35" s="57">
        <f>IF('[28]سجل المستخلصات'!$C$16="","",'[28]سجل المستخلصات'!$C$16)</f>
        <v/>
      </c>
      <c r="D35" s="57">
        <f>IF('[28]سجل المستخلصات'!$E$16="","",'[28]سجل المستخلصات'!$E$16)</f>
        <v/>
      </c>
      <c r="E35" s="58">
        <f>IF('[28]سجل المستخلصات'!$F$16="","",'[28]سجل المستخلصات'!$F$16)</f>
        <v/>
      </c>
      <c r="F35" s="59">
        <f>IF('[28]سجل المستخلصات'!$H$16="","",'[28]سجل المستخلصات'!$H$16)</f>
        <v/>
      </c>
      <c r="G35" s="59">
        <f>IF('[28]سجل المستخلصات'!$G$16="","",'[28]سجل المستخلصات'!$G$16)</f>
        <v/>
      </c>
      <c r="H35" s="59">
        <f>IF('[28]سجل المستخلصات'!$I$16="","",'[28]سجل المستخلصات'!$I$16)</f>
        <v/>
      </c>
      <c r="I35" s="59">
        <f>IF('[28]سجل المستخلصات'!$J$16="","",'[28]سجل المستخلصات'!$J$16)</f>
        <v/>
      </c>
      <c r="J35" s="59">
        <f>IF('[28]سجل المستخلصات'!$K$16="","",'[28]سجل المستخلصات'!$K$16)</f>
        <v/>
      </c>
      <c r="K35" s="60">
        <f>IF('[28]سجل المستخلصات'!$L$16="","",'[28]سجل المستخلصات'!$L$16)</f>
        <v/>
      </c>
      <c r="L35" s="60">
        <f>IF('[28]سجل المستخلصات'!$M$16="","",'[28]سجل المستخلصات'!$M$16)</f>
        <v/>
      </c>
      <c r="M35" s="60">
        <f>IF('[28]سجل المستخلصات'!$N$16="","",'[28]سجل المستخلصات'!$N$16)</f>
        <v/>
      </c>
      <c r="N35" s="59">
        <f>IF('[28]سجل المستخلصات'!$O$16="","",'[28]سجل المستخلصات'!$O$16)</f>
        <v/>
      </c>
      <c r="O35" s="59">
        <f>IF('[28]سجل المستخلصات'!$R$16="","",'[28]سجل المستخلصات'!$R$16)</f>
        <v/>
      </c>
      <c r="P35" s="59">
        <f>IF('[28]سجل المستخلصات'!$S$16="","",'[28]سجل المستخلصات'!$S$16)</f>
        <v/>
      </c>
      <c r="Q35" s="59">
        <f>IF('[28]سجل المستخلصات'!$T$16="","",'[28]سجل المستخلصات'!$T$16)</f>
        <v/>
      </c>
      <c r="R35" s="59">
        <f>IF('[28]سجل المستخلصات'!$V$16="","",'[28]سجل المستخلصات'!$V$16)</f>
        <v/>
      </c>
      <c r="S35" s="59">
        <f>IF('[28]سجل المستخلصات'!$W$16="","",'[28]سجل المستخلصات'!$W$16)</f>
        <v/>
      </c>
      <c r="T35" s="61">
        <f>IF('[28]سجل المستخلصات'!$X$16="","",'[28]سجل المستخلصات'!$X$16)</f>
        <v/>
      </c>
      <c r="U35" s="61">
        <f>IF('[28]سجل المستخلصات'!$Z$16="","",'[28]سجل المستخلصات'!$Z$16)</f>
        <v/>
      </c>
      <c r="V35" s="59">
        <f>IF('[28]سجل المستخلصات'!$AA$16="","",'[28]سجل المستخلصات'!$AA$16)</f>
        <v/>
      </c>
      <c r="W35" s="59">
        <f>IF('[28]سجل المستخلصات'!$AC$16="","",'[28]سجل المستخلصات'!$AC$16)</f>
        <v/>
      </c>
      <c r="X35" s="62">
        <f>IF('[28]سجل المستخلصات'!$AD$16="","",'[28]سجل المستخلصات'!$AD$16)</f>
        <v/>
      </c>
      <c r="Y35" s="58">
        <f>IF('[28]سجل المستخلصات'!$AE$16="","",'[28]سجل المستخلصات'!$AE$16)</f>
        <v/>
      </c>
    </row>
    <row r="36">
      <c r="B36" s="56" t="n">
        <v>12</v>
      </c>
      <c r="C36" s="57">
        <f>IF('[28]سجل المستخلصات'!$C$17="","",'[28]سجل المستخلصات'!$C$17)</f>
        <v/>
      </c>
      <c r="D36" s="57">
        <f>IF('[28]سجل المستخلصات'!$E$17="","",'[28]سجل المستخلصات'!$E$17)</f>
        <v/>
      </c>
      <c r="E36" s="58">
        <f>IF('[28]سجل المستخلصات'!$F$17="","",'[28]سجل المستخلصات'!$F$17)</f>
        <v/>
      </c>
      <c r="F36" s="59">
        <f>IF('[28]سجل المستخلصات'!$H$17="","",'[28]سجل المستخلصات'!$H$17)</f>
        <v/>
      </c>
      <c r="G36" s="59">
        <f>IF('[28]سجل المستخلصات'!$G$17="","",'[28]سجل المستخلصات'!$G$17)</f>
        <v/>
      </c>
      <c r="H36" s="59">
        <f>IF('[28]سجل المستخلصات'!$I$17="","",'[28]سجل المستخلصات'!$I$17)</f>
        <v/>
      </c>
      <c r="I36" s="59">
        <f>IF('[28]سجل المستخلصات'!$J$17="","",'[28]سجل المستخلصات'!$J$17)</f>
        <v/>
      </c>
      <c r="J36" s="59">
        <f>IF('[28]سجل المستخلصات'!$K$17="","",'[28]سجل المستخلصات'!$K$17)</f>
        <v/>
      </c>
      <c r="K36" s="60">
        <f>IF('[28]سجل المستخلصات'!$L$17="","",'[28]سجل المستخلصات'!$L$17)</f>
        <v/>
      </c>
      <c r="L36" s="60">
        <f>IF('[28]سجل المستخلصات'!$M$17="","",'[28]سجل المستخلصات'!$M$17)</f>
        <v/>
      </c>
      <c r="M36" s="60">
        <f>IF('[28]سجل المستخلصات'!$N$17="","",'[28]سجل المستخلصات'!$N$17)</f>
        <v/>
      </c>
      <c r="N36" s="59">
        <f>IF('[28]سجل المستخلصات'!$O$17="","",'[28]سجل المستخلصات'!$O$17)</f>
        <v/>
      </c>
      <c r="O36" s="59">
        <f>IF('[28]سجل المستخلصات'!$R$17="","",'[28]سجل المستخلصات'!$R$17)</f>
        <v/>
      </c>
      <c r="P36" s="59">
        <f>IF('[28]سجل المستخلصات'!$S$17="","",'[28]سجل المستخلصات'!$S$17)</f>
        <v/>
      </c>
      <c r="Q36" s="59">
        <f>IF('[28]سجل المستخلصات'!$T$17="","",'[28]سجل المستخلصات'!$T$17)</f>
        <v/>
      </c>
      <c r="R36" s="59">
        <f>IF('[28]سجل المستخلصات'!$V$17="","",'[28]سجل المستخلصات'!$V$17)</f>
        <v/>
      </c>
      <c r="S36" s="59">
        <f>IF('[28]سجل المستخلصات'!$W$17="","",'[28]سجل المستخلصات'!$W$17)</f>
        <v/>
      </c>
      <c r="T36" s="61">
        <f>IF('[28]سجل المستخلصات'!$X$17="","",'[28]سجل المستخلصات'!$X$17)</f>
        <v/>
      </c>
      <c r="U36" s="61">
        <f>IF('[28]سجل المستخلصات'!$Z$17="","",'[28]سجل المستخلصات'!$Z$17)</f>
        <v/>
      </c>
      <c r="V36" s="59">
        <f>IF('[28]سجل المستخلصات'!$AA$17="","",'[28]سجل المستخلصات'!$AA$17)</f>
        <v/>
      </c>
      <c r="W36" s="59">
        <f>IF('[28]سجل المستخلصات'!$AC$17="","",'[28]سجل المستخلصات'!$AC$17)</f>
        <v/>
      </c>
      <c r="X36" s="62">
        <f>IF('[28]سجل المستخلصات'!$AD$17="","",'[28]سجل المستخلصات'!$AD$17)</f>
        <v/>
      </c>
      <c r="Y36" s="58">
        <f>IF('[28]سجل المستخلصات'!$AE$17="","",'[28]سجل المستخلصات'!$AE$17)</f>
        <v/>
      </c>
    </row>
    <row r="37">
      <c r="B37" s="56" t="n">
        <v>13</v>
      </c>
      <c r="C37" s="57">
        <f>IF('[28]سجل المستخلصات'!$C$18="","",'[28]سجل المستخلصات'!$C$18)</f>
        <v/>
      </c>
      <c r="D37" s="57">
        <f>IF('[28]سجل المستخلصات'!$E$18="","",'[28]سجل المستخلصات'!$E$18)</f>
        <v/>
      </c>
      <c r="E37" s="58">
        <f>IF('[28]سجل المستخلصات'!$F$18="","",'[28]سجل المستخلصات'!$F$18)</f>
        <v/>
      </c>
      <c r="F37" s="59">
        <f>IF('[28]سجل المستخلصات'!$H$18="","",'[28]سجل المستخلصات'!$H$18)</f>
        <v/>
      </c>
      <c r="G37" s="59">
        <f>IF('[28]سجل المستخلصات'!$G$18="","",'[28]سجل المستخلصات'!$G$18)</f>
        <v/>
      </c>
      <c r="H37" s="59">
        <f>IF('[28]سجل المستخلصات'!$I$18="","",'[28]سجل المستخلصات'!$I$18)</f>
        <v/>
      </c>
      <c r="I37" s="59">
        <f>IF('[28]سجل المستخلصات'!$J$18="","",'[28]سجل المستخلصات'!$J$18)</f>
        <v/>
      </c>
      <c r="J37" s="59">
        <f>IF('[28]سجل المستخلصات'!$K$18="","",'[28]سجل المستخلصات'!$K$18)</f>
        <v/>
      </c>
      <c r="K37" s="60">
        <f>IF('[28]سجل المستخلصات'!$L$18="","",'[28]سجل المستخلصات'!$L$18)</f>
        <v/>
      </c>
      <c r="L37" s="60">
        <f>IF('[28]سجل المستخلصات'!$M$18="","",'[28]سجل المستخلصات'!$M$18)</f>
        <v/>
      </c>
      <c r="M37" s="60">
        <f>IF('[28]سجل المستخلصات'!$N$18="","",'[28]سجل المستخلصات'!$N$18)</f>
        <v/>
      </c>
      <c r="N37" s="59">
        <f>IF('[28]سجل المستخلصات'!$O$18="","",'[28]سجل المستخلصات'!$O$18)</f>
        <v/>
      </c>
      <c r="O37" s="59">
        <f>IF('[28]سجل المستخلصات'!$R$18="","",'[28]سجل المستخلصات'!$R$18)</f>
        <v/>
      </c>
      <c r="P37" s="59">
        <f>IF('[28]سجل المستخلصات'!$S$18="","",'[28]سجل المستخلصات'!$S$18)</f>
        <v/>
      </c>
      <c r="Q37" s="59">
        <f>IF('[28]سجل المستخلصات'!$T$18="","",'[28]سجل المستخلصات'!$T$18)</f>
        <v/>
      </c>
      <c r="R37" s="59">
        <f>IF('[28]سجل المستخلصات'!$V$18="","",'[28]سجل المستخلصات'!$V$18)</f>
        <v/>
      </c>
      <c r="S37" s="59">
        <f>IF('[28]سجل المستخلصات'!$W$18="","",'[28]سجل المستخلصات'!$W$18)</f>
        <v/>
      </c>
      <c r="T37" s="61">
        <f>IF('[28]سجل المستخلصات'!$X$18="","",'[28]سجل المستخلصات'!$X$18)</f>
        <v/>
      </c>
      <c r="U37" s="61">
        <f>IF('[28]سجل المستخلصات'!$Z$18="","",'[28]سجل المستخلصات'!$Z$18)</f>
        <v/>
      </c>
      <c r="V37" s="59">
        <f>IF('[28]سجل المستخلصات'!$AA$18="","",'[28]سجل المستخلصات'!$AA$18)</f>
        <v/>
      </c>
      <c r="W37" s="59">
        <f>IF('[28]سجل المستخلصات'!$AC$18="","",'[28]سجل المستخلصات'!$AC$18)</f>
        <v/>
      </c>
      <c r="X37" s="62">
        <f>IF('[28]سجل المستخلصات'!$AD$18="","",'[28]سجل المستخلصات'!$AD$18)</f>
        <v/>
      </c>
      <c r="Y37" s="58">
        <f>IF('[28]سجل المستخلصات'!$AE$18="","",'[28]سجل المستخلصات'!$AE$18)</f>
        <v/>
      </c>
    </row>
    <row r="38">
      <c r="B38" s="56" t="n">
        <v>14</v>
      </c>
      <c r="C38" s="57">
        <f>IF('[28]سجل المستخلصات'!$C$19="","",'[28]سجل المستخلصات'!$C$19)</f>
        <v/>
      </c>
      <c r="D38" s="57">
        <f>IF('[28]سجل المستخلصات'!$E$19="","",'[28]سجل المستخلصات'!$E$19)</f>
        <v/>
      </c>
      <c r="E38" s="58">
        <f>IF('[28]سجل المستخلصات'!$F$19="","",'[28]سجل المستخلصات'!$F$19)</f>
        <v/>
      </c>
      <c r="F38" s="59">
        <f>IF('[28]سجل المستخلصات'!$H$19="","",'[28]سجل المستخلصات'!$H$19)</f>
        <v/>
      </c>
      <c r="G38" s="59">
        <f>IF('[28]سجل المستخلصات'!$G$19="","",'[28]سجل المستخلصات'!$G$19)</f>
        <v/>
      </c>
      <c r="H38" s="59">
        <f>IF('[28]سجل المستخلصات'!$I$19="","",'[28]سجل المستخلصات'!$I$19)</f>
        <v/>
      </c>
      <c r="I38" s="59">
        <f>IF('[28]سجل المستخلصات'!$J$19="","",'[28]سجل المستخلصات'!$J$19)</f>
        <v/>
      </c>
      <c r="J38" s="59">
        <f>IF('[28]سجل المستخلصات'!$K$19="","",'[28]سجل المستخلصات'!$K$19)</f>
        <v/>
      </c>
      <c r="K38" s="60">
        <f>IF('[28]سجل المستخلصات'!$L$19="","",'[28]سجل المستخلصات'!$L$19)</f>
        <v/>
      </c>
      <c r="L38" s="60">
        <f>IF('[28]سجل المستخلصات'!$M$19="","",'[28]سجل المستخلصات'!$M$19)</f>
        <v/>
      </c>
      <c r="M38" s="60">
        <f>IF('[28]سجل المستخلصات'!$N$19="","",'[28]سجل المستخلصات'!$N$19)</f>
        <v/>
      </c>
      <c r="N38" s="59">
        <f>IF('[28]سجل المستخلصات'!$O$19="","",'[28]سجل المستخلصات'!$O$19)</f>
        <v/>
      </c>
      <c r="O38" s="59">
        <f>IF('[28]سجل المستخلصات'!$R$19="","",'[28]سجل المستخلصات'!$R$19)</f>
        <v/>
      </c>
      <c r="P38" s="59">
        <f>IF('[28]سجل المستخلصات'!$S$19="","",'[28]سجل المستخلصات'!$S$19)</f>
        <v/>
      </c>
      <c r="Q38" s="59">
        <f>IF('[28]سجل المستخلصات'!$T$19="","",'[28]سجل المستخلصات'!$T$19)</f>
        <v/>
      </c>
      <c r="R38" s="59">
        <f>IF('[28]سجل المستخلصات'!$V$19="","",'[28]سجل المستخلصات'!$V$19)</f>
        <v/>
      </c>
      <c r="S38" s="59">
        <f>IF('[28]سجل المستخلصات'!$W$19="","",'[28]سجل المستخلصات'!$W$19)</f>
        <v/>
      </c>
      <c r="T38" s="61">
        <f>IF('[28]سجل المستخلصات'!$X$19="","",'[28]سجل المستخلصات'!$X$19)</f>
        <v/>
      </c>
      <c r="U38" s="61">
        <f>IF('[28]سجل المستخلصات'!$Z$19="","",'[28]سجل المستخلصات'!$Z$19)</f>
        <v/>
      </c>
      <c r="V38" s="59">
        <f>IF('[28]سجل المستخلصات'!$AA$19="","",'[28]سجل المستخلصات'!$AA$19)</f>
        <v/>
      </c>
      <c r="W38" s="59">
        <f>IF('[28]سجل المستخلصات'!$AC$19="","",'[28]سجل المستخلصات'!$AC$19)</f>
        <v/>
      </c>
      <c r="X38" s="62">
        <f>IF('[28]سجل المستخلصات'!$AD$19="","",'[28]سجل المستخلصات'!$AD$19)</f>
        <v/>
      </c>
      <c r="Y38" s="58">
        <f>IF('[28]سجل المستخلصات'!$AE$19="","",'[28]سجل المستخلصات'!$AE$19)</f>
        <v/>
      </c>
    </row>
    <row r="39">
      <c r="B39" s="56" t="n">
        <v>15</v>
      </c>
      <c r="C39" s="57">
        <f>IF('[28]سجل المستخلصات'!$C$20="","",'[28]سجل المستخلصات'!$C$20)</f>
        <v/>
      </c>
      <c r="D39" s="57">
        <f>IF('[28]سجل المستخلصات'!$E$20="","",'[28]سجل المستخلصات'!$E$20)</f>
        <v/>
      </c>
      <c r="E39" s="58">
        <f>IF('[28]سجل المستخلصات'!$F$20="","",'[28]سجل المستخلصات'!$F$20)</f>
        <v/>
      </c>
      <c r="F39" s="59">
        <f>IF('[28]سجل المستخلصات'!$H$20="","",'[28]سجل المستخلصات'!$H$20)</f>
        <v/>
      </c>
      <c r="G39" s="59">
        <f>IF('[28]سجل المستخلصات'!$G$20="","",'[28]سجل المستخلصات'!$G$20)</f>
        <v/>
      </c>
      <c r="H39" s="59">
        <f>IF('[28]سجل المستخلصات'!$I$20="","",'[28]سجل المستخلصات'!$I$20)</f>
        <v/>
      </c>
      <c r="I39" s="59">
        <f>IF('[28]سجل المستخلصات'!$J$20="","",'[28]سجل المستخلصات'!$J$20)</f>
        <v/>
      </c>
      <c r="J39" s="59">
        <f>IF('[28]سجل المستخلصات'!$K$20="","",'[28]سجل المستخلصات'!$K$20)</f>
        <v/>
      </c>
      <c r="K39" s="60">
        <f>IF('[28]سجل المستخلصات'!$L$20="","",'[28]سجل المستخلصات'!$L$20)</f>
        <v/>
      </c>
      <c r="L39" s="60">
        <f>IF('[28]سجل المستخلصات'!$M$20="","",'[28]سجل المستخلصات'!$M$20)</f>
        <v/>
      </c>
      <c r="M39" s="60">
        <f>IF('[28]سجل المستخلصات'!$N$20="","",'[28]سجل المستخلصات'!$N$20)</f>
        <v/>
      </c>
      <c r="N39" s="59">
        <f>IF('[28]سجل المستخلصات'!$O$20="","",'[28]سجل المستخلصات'!$O$20)</f>
        <v/>
      </c>
      <c r="O39" s="59">
        <f>IF('[28]سجل المستخلصات'!$R$20="","",'[28]سجل المستخلصات'!$R$20)</f>
        <v/>
      </c>
      <c r="P39" s="59">
        <f>IF('[28]سجل المستخلصات'!$S$20="","",'[28]سجل المستخلصات'!$S$20)</f>
        <v/>
      </c>
      <c r="Q39" s="59">
        <f>IF('[28]سجل المستخلصات'!$T$20="","",'[28]سجل المستخلصات'!$T$20)</f>
        <v/>
      </c>
      <c r="R39" s="59">
        <f>IF('[28]سجل المستخلصات'!$V$20="","",'[28]سجل المستخلصات'!$V$20)</f>
        <v/>
      </c>
      <c r="S39" s="59">
        <f>IF('[28]سجل المستخلصات'!$W$20="","",'[28]سجل المستخلصات'!$W$20)</f>
        <v/>
      </c>
      <c r="T39" s="61">
        <f>IF('[28]سجل المستخلصات'!$X$20="","",'[28]سجل المستخلصات'!$X$20)</f>
        <v/>
      </c>
      <c r="U39" s="61">
        <f>IF('[28]سجل المستخلصات'!$Z$20="","",'[28]سجل المستخلصات'!$Z$20)</f>
        <v/>
      </c>
      <c r="V39" s="59">
        <f>IF('[28]سجل المستخلصات'!$AA$20="","",'[28]سجل المستخلصات'!$AA$20)</f>
        <v/>
      </c>
      <c r="W39" s="59">
        <f>IF('[28]سجل المستخلصات'!$AC$20="","",'[28]سجل المستخلصات'!$AC$20)</f>
        <v/>
      </c>
      <c r="X39" s="62">
        <f>IF('[28]سجل المستخلصات'!$AD$20="","",'[28]سجل المستخلصات'!$AD$20)</f>
        <v/>
      </c>
      <c r="Y39" s="58">
        <f>IF('[28]سجل المستخلصات'!$AE$20="","",'[28]سجل المستخلصات'!$AE$20)</f>
        <v/>
      </c>
    </row>
    <row r="40">
      <c r="B40" s="56" t="n">
        <v>16</v>
      </c>
      <c r="C40" s="57">
        <f>IF('[28]سجل المستخلصات'!$C$21="","",'[28]سجل المستخلصات'!$C$21)</f>
        <v/>
      </c>
      <c r="D40" s="57">
        <f>IF('[28]سجل المستخلصات'!$E$21="","",'[28]سجل المستخلصات'!$E$21)</f>
        <v/>
      </c>
      <c r="E40" s="58">
        <f>IF('[28]سجل المستخلصات'!$F$21="","",'[28]سجل المستخلصات'!$F$21)</f>
        <v/>
      </c>
      <c r="F40" s="59">
        <f>IF('[28]سجل المستخلصات'!$H$21="","",'[28]سجل المستخلصات'!$H$21)</f>
        <v/>
      </c>
      <c r="G40" s="59">
        <f>IF('[28]سجل المستخلصات'!$G$21="","",'[28]سجل المستخلصات'!$G$21)</f>
        <v/>
      </c>
      <c r="H40" s="59">
        <f>IF('[28]سجل المستخلصات'!$I$21="","",'[28]سجل المستخلصات'!$I$21)</f>
        <v/>
      </c>
      <c r="I40" s="59">
        <f>IF('[28]سجل المستخلصات'!$J$21="","",'[28]سجل المستخلصات'!$J$21)</f>
        <v/>
      </c>
      <c r="J40" s="59">
        <f>IF('[28]سجل المستخلصات'!$K$21="","",'[28]سجل المستخلصات'!$K$21)</f>
        <v/>
      </c>
      <c r="K40" s="60">
        <f>IF('[28]سجل المستخلصات'!$L$21="","",'[28]سجل المستخلصات'!$L$21)</f>
        <v/>
      </c>
      <c r="L40" s="60">
        <f>IF('[28]سجل المستخلصات'!$M$21="","",'[28]سجل المستخلصات'!$M$21)</f>
        <v/>
      </c>
      <c r="M40" s="60">
        <f>IF('[28]سجل المستخلصات'!$N$21="","",'[28]سجل المستخلصات'!$N$21)</f>
        <v/>
      </c>
      <c r="N40" s="59">
        <f>IF('[28]سجل المستخلصات'!$O$21="","",'[28]سجل المستخلصات'!$O$21)</f>
        <v/>
      </c>
      <c r="O40" s="59">
        <f>IF('[28]سجل المستخلصات'!$R$21="","",'[28]سجل المستخلصات'!$R$21)</f>
        <v/>
      </c>
      <c r="P40" s="59">
        <f>IF('[28]سجل المستخلصات'!$S$21="","",'[28]سجل المستخلصات'!$S$21)</f>
        <v/>
      </c>
      <c r="Q40" s="59">
        <f>IF('[28]سجل المستخلصات'!$T$21="","",'[28]سجل المستخلصات'!$T$21)</f>
        <v/>
      </c>
      <c r="R40" s="59">
        <f>IF('[28]سجل المستخلصات'!$V$21="","",'[28]سجل المستخلصات'!$V$21)</f>
        <v/>
      </c>
      <c r="S40" s="59">
        <f>IF('[28]سجل المستخلصات'!$W$21="","",'[28]سجل المستخلصات'!$W$21)</f>
        <v/>
      </c>
      <c r="T40" s="61">
        <f>IF('[28]سجل المستخلصات'!$X$21="","",'[28]سجل المستخلصات'!$X$21)</f>
        <v/>
      </c>
      <c r="U40" s="61">
        <f>IF('[28]سجل المستخلصات'!$Z$21="","",'[28]سجل المستخلصات'!$Z$21)</f>
        <v/>
      </c>
      <c r="V40" s="59">
        <f>IF('[28]سجل المستخلصات'!$AA$21="","",'[28]سجل المستخلصات'!$AA$21)</f>
        <v/>
      </c>
      <c r="W40" s="59">
        <f>IF('[28]سجل المستخلصات'!$AC$21="","",'[28]سجل المستخلصات'!$AC$21)</f>
        <v/>
      </c>
      <c r="X40" s="62">
        <f>IF('[28]سجل المستخلصات'!$AD$21="","",'[28]سجل المستخلصات'!$AD$21)</f>
        <v/>
      </c>
      <c r="Y40" s="58">
        <f>IF('[28]سجل المستخلصات'!$AE$21="","",'[28]سجل المستخلصات'!$AE$21)</f>
        <v/>
      </c>
    </row>
    <row r="41">
      <c r="B41" s="56" t="n">
        <v>17</v>
      </c>
      <c r="C41" s="57">
        <f>IF('[28]سجل المستخلصات'!$C$22="","",'[28]سجل المستخلصات'!$C$22)</f>
        <v/>
      </c>
      <c r="D41" s="57">
        <f>IF('[28]سجل المستخلصات'!$E$22="","",'[28]سجل المستخلصات'!$E$22)</f>
        <v/>
      </c>
      <c r="E41" s="58">
        <f>IF('[28]سجل المستخلصات'!$F$22="","",'[28]سجل المستخلصات'!$F$22)</f>
        <v/>
      </c>
      <c r="F41" s="59">
        <f>IF('[28]سجل المستخلصات'!$H$22="","",'[28]سجل المستخلصات'!$H$22)</f>
        <v/>
      </c>
      <c r="G41" s="59">
        <f>IF('[28]سجل المستخلصات'!$G$22="","",'[28]سجل المستخلصات'!$G$22)</f>
        <v/>
      </c>
      <c r="H41" s="59">
        <f>IF('[28]سجل المستخلصات'!$I$22="","",'[28]سجل المستخلصات'!$I$22)</f>
        <v/>
      </c>
      <c r="I41" s="59">
        <f>IF('[28]سجل المستخلصات'!$J$22="","",'[28]سجل المستخلصات'!$J$22)</f>
        <v/>
      </c>
      <c r="J41" s="59">
        <f>IF('[28]سجل المستخلصات'!$K$22="","",'[28]سجل المستخلصات'!$K$22)</f>
        <v/>
      </c>
      <c r="K41" s="60">
        <f>IF('[28]سجل المستخلصات'!$L$22="","",'[28]سجل المستخلصات'!$L$22)</f>
        <v/>
      </c>
      <c r="L41" s="60">
        <f>IF('[28]سجل المستخلصات'!$M$22="","",'[28]سجل المستخلصات'!$M$22)</f>
        <v/>
      </c>
      <c r="M41" s="60">
        <f>IF('[28]سجل المستخلصات'!$N$22="","",'[28]سجل المستخلصات'!$N$22)</f>
        <v/>
      </c>
      <c r="N41" s="59">
        <f>IF('[28]سجل المستخلصات'!$O$22="","",'[28]سجل المستخلصات'!$O$22)</f>
        <v/>
      </c>
      <c r="O41" s="59">
        <f>IF('[28]سجل المستخلصات'!$R$22="","",'[28]سجل المستخلصات'!$R$22)</f>
        <v/>
      </c>
      <c r="P41" s="59">
        <f>IF('[28]سجل المستخلصات'!$S$22="","",'[28]سجل المستخلصات'!$S$22)</f>
        <v/>
      </c>
      <c r="Q41" s="59">
        <f>IF('[28]سجل المستخلصات'!$T$22="","",'[28]سجل المستخلصات'!$T$22)</f>
        <v/>
      </c>
      <c r="R41" s="59">
        <f>IF('[28]سجل المستخلصات'!$V$22="","",'[28]سجل المستخلصات'!$V$22)</f>
        <v/>
      </c>
      <c r="S41" s="59">
        <f>IF('[28]سجل المستخلصات'!$W$22="","",'[28]سجل المستخلصات'!$W$22)</f>
        <v/>
      </c>
      <c r="T41" s="61">
        <f>IF('[28]سجل المستخلصات'!$X$22="","",'[28]سجل المستخلصات'!$X$22)</f>
        <v/>
      </c>
      <c r="U41" s="61">
        <f>IF('[28]سجل المستخلصات'!$Z$22="","",'[28]سجل المستخلصات'!$Z$22)</f>
        <v/>
      </c>
      <c r="V41" s="59">
        <f>IF('[28]سجل المستخلصات'!$AA$22="","",'[28]سجل المستخلصات'!$AA$22)</f>
        <v/>
      </c>
      <c r="W41" s="59">
        <f>IF('[28]سجل المستخلصات'!$AC$22="","",'[28]سجل المستخلصات'!$AC$22)</f>
        <v/>
      </c>
      <c r="X41" s="62">
        <f>IF('[28]سجل المستخلصات'!$AD$22="","",'[28]سجل المستخلصات'!$AD$22)</f>
        <v/>
      </c>
      <c r="Y41" s="58">
        <f>IF('[28]سجل المستخلصات'!$AE$22="","",'[28]سجل المستخلصات'!$AE$22)</f>
        <v/>
      </c>
    </row>
    <row r="42">
      <c r="B42" s="56" t="n">
        <v>18</v>
      </c>
      <c r="C42" s="57">
        <f>IF('[28]سجل المستخلصات'!$C$23="","",'[28]سجل المستخلصات'!$C$23)</f>
        <v/>
      </c>
      <c r="D42" s="57">
        <f>IF('[28]سجل المستخلصات'!$E$23="","",'[28]سجل المستخلصات'!$E$23)</f>
        <v/>
      </c>
      <c r="E42" s="58">
        <f>IF('[28]سجل المستخلصات'!$F$23="","",'[28]سجل المستخلصات'!$F$23)</f>
        <v/>
      </c>
      <c r="F42" s="59">
        <f>IF('[28]سجل المستخلصات'!$H$23="","",'[28]سجل المستخلصات'!$H$23)</f>
        <v/>
      </c>
      <c r="G42" s="59">
        <f>IF('[28]سجل المستخلصات'!$G$23="","",'[28]سجل المستخلصات'!$G$23)</f>
        <v/>
      </c>
      <c r="H42" s="59">
        <f>IF('[28]سجل المستخلصات'!$I$23="","",'[28]سجل المستخلصات'!$I$23)</f>
        <v/>
      </c>
      <c r="I42" s="59">
        <f>IF('[28]سجل المستخلصات'!$J$23="","",'[28]سجل المستخلصات'!$J$23)</f>
        <v/>
      </c>
      <c r="J42" s="59">
        <f>IF('[28]سجل المستخلصات'!$K$23="","",'[28]سجل المستخلصات'!$K$23)</f>
        <v/>
      </c>
      <c r="K42" s="60">
        <f>IF('[28]سجل المستخلصات'!$L$23="","",'[28]سجل المستخلصات'!$L$23)</f>
        <v/>
      </c>
      <c r="L42" s="60">
        <f>IF('[28]سجل المستخلصات'!$M$23="","",'[28]سجل المستخلصات'!$M$23)</f>
        <v/>
      </c>
      <c r="M42" s="60">
        <f>IF('[28]سجل المستخلصات'!$N$23="","",'[28]سجل المستخلصات'!$N$23)</f>
        <v/>
      </c>
      <c r="N42" s="59">
        <f>IF('[28]سجل المستخلصات'!$O$23="","",'[28]سجل المستخلصات'!$O$23)</f>
        <v/>
      </c>
      <c r="O42" s="59">
        <f>IF('[28]سجل المستخلصات'!$R$23="","",'[28]سجل المستخلصات'!$R$23)</f>
        <v/>
      </c>
      <c r="P42" s="59">
        <f>IF('[28]سجل المستخلصات'!$S$23="","",'[28]سجل المستخلصات'!$S$23)</f>
        <v/>
      </c>
      <c r="Q42" s="59">
        <f>IF('[28]سجل المستخلصات'!$T$23="","",'[28]سجل المستخلصات'!$T$23)</f>
        <v/>
      </c>
      <c r="R42" s="59">
        <f>IF('[28]سجل المستخلصات'!$V$23="","",'[28]سجل المستخلصات'!$V$23)</f>
        <v/>
      </c>
      <c r="S42" s="59">
        <f>IF('[28]سجل المستخلصات'!$W$23="","",'[28]سجل المستخلصات'!$W$23)</f>
        <v/>
      </c>
      <c r="T42" s="61">
        <f>IF('[28]سجل المستخلصات'!$X$23="","",'[28]سجل المستخلصات'!$X$23)</f>
        <v/>
      </c>
      <c r="U42" s="61">
        <f>IF('[28]سجل المستخلصات'!$Z$23="","",'[28]سجل المستخلصات'!$Z$23)</f>
        <v/>
      </c>
      <c r="V42" s="59">
        <f>IF('[28]سجل المستخلصات'!$AA$23="","",'[28]سجل المستخلصات'!$AA$23)</f>
        <v/>
      </c>
      <c r="W42" s="59">
        <f>IF('[28]سجل المستخلصات'!$AC$23="","",'[28]سجل المستخلصات'!$AC$23)</f>
        <v/>
      </c>
      <c r="X42" s="62">
        <f>IF('[28]سجل المستخلصات'!$AD$23="","",'[28]سجل المستخلصات'!$AD$23)</f>
        <v/>
      </c>
      <c r="Y42" s="58">
        <f>IF('[28]سجل المستخلصات'!$AE$23="","",'[28]سجل المستخلصات'!$AE$23)</f>
        <v/>
      </c>
    </row>
    <row r="43">
      <c r="B43" s="56" t="n">
        <v>19</v>
      </c>
      <c r="C43" s="57">
        <f>IF('[28]سجل المستخلصات'!$C$24="","",'[28]سجل المستخلصات'!$C$24)</f>
        <v/>
      </c>
      <c r="D43" s="57">
        <f>IF('[28]سجل المستخلصات'!$E$24="","",'[28]سجل المستخلصات'!$E$24)</f>
        <v/>
      </c>
      <c r="E43" s="58">
        <f>IF('[28]سجل المستخلصات'!$F$24="","",'[28]سجل المستخلصات'!$F$24)</f>
        <v/>
      </c>
      <c r="F43" s="59">
        <f>IF('[28]سجل المستخلصات'!$H$24="","",'[28]سجل المستخلصات'!$H$24)</f>
        <v/>
      </c>
      <c r="G43" s="59">
        <f>IF('[28]سجل المستخلصات'!$G$24="","",'[28]سجل المستخلصات'!$G$24)</f>
        <v/>
      </c>
      <c r="H43" s="59">
        <f>IF('[28]سجل المستخلصات'!$I$24="","",'[28]سجل المستخلصات'!$I$24)</f>
        <v/>
      </c>
      <c r="I43" s="59">
        <f>IF('[28]سجل المستخلصات'!$J$24="","",'[28]سجل المستخلصات'!$J$24)</f>
        <v/>
      </c>
      <c r="J43" s="59">
        <f>IF('[28]سجل المستخلصات'!$K$24="","",'[28]سجل المستخلصات'!$K$24)</f>
        <v/>
      </c>
      <c r="K43" s="60">
        <f>IF('[28]سجل المستخلصات'!$L$24="","",'[28]سجل المستخلصات'!$L$24)</f>
        <v/>
      </c>
      <c r="L43" s="60">
        <f>IF('[28]سجل المستخلصات'!$M$24="","",'[28]سجل المستخلصات'!$M$24)</f>
        <v/>
      </c>
      <c r="M43" s="60">
        <f>IF('[28]سجل المستخلصات'!$N$24="","",'[28]سجل المستخلصات'!$N$24)</f>
        <v/>
      </c>
      <c r="N43" s="59">
        <f>IF('[28]سجل المستخلصات'!$O$24="","",'[28]سجل المستخلصات'!$O$24)</f>
        <v/>
      </c>
      <c r="O43" s="59">
        <f>IF('[28]سجل المستخلصات'!$R$24="","",'[28]سجل المستخلصات'!$R$24)</f>
        <v/>
      </c>
      <c r="P43" s="59">
        <f>IF('[28]سجل المستخلصات'!$S$24="","",'[28]سجل المستخلصات'!$S$24)</f>
        <v/>
      </c>
      <c r="Q43" s="59">
        <f>IF('[28]سجل المستخلصات'!$T$24="","",'[28]سجل المستخلصات'!$T$24)</f>
        <v/>
      </c>
      <c r="R43" s="59">
        <f>IF('[28]سجل المستخلصات'!$V$24="","",'[28]سجل المستخلصات'!$V$24)</f>
        <v/>
      </c>
      <c r="S43" s="59">
        <f>IF('[28]سجل المستخلصات'!$W$24="","",'[28]سجل المستخلصات'!$W$24)</f>
        <v/>
      </c>
      <c r="T43" s="61">
        <f>IF('[28]سجل المستخلصات'!$X$24="","",'[28]سجل المستخلصات'!$X$24)</f>
        <v/>
      </c>
      <c r="U43" s="61">
        <f>IF('[28]سجل المستخلصات'!$Z$24="","",'[28]سجل المستخلصات'!$Z$24)</f>
        <v/>
      </c>
      <c r="V43" s="59">
        <f>IF('[28]سجل المستخلصات'!$AA$24="","",'[28]سجل المستخلصات'!$AA$24)</f>
        <v/>
      </c>
      <c r="W43" s="59">
        <f>IF('[28]سجل المستخلصات'!$AC$24="","",'[28]سجل المستخلصات'!$AC$24)</f>
        <v/>
      </c>
      <c r="X43" s="62">
        <f>IF('[28]سجل المستخلصات'!$AD$24="","",'[28]سجل المستخلصات'!$AD$24)</f>
        <v/>
      </c>
      <c r="Y43" s="58">
        <f>IF('[28]سجل المستخلصات'!$AE$24="","",'[28]سجل المستخلصات'!$AE$24)</f>
        <v/>
      </c>
    </row>
    <row r="44">
      <c r="B44" s="56" t="n">
        <v>20</v>
      </c>
      <c r="C44" s="57">
        <f>IF('[28]سجل المستخلصات'!$C$25="","",'[28]سجل المستخلصات'!$C$25)</f>
        <v/>
      </c>
      <c r="D44" s="57">
        <f>IF('[28]سجل المستخلصات'!$E$25="","",'[28]سجل المستخلصات'!$E$25)</f>
        <v/>
      </c>
      <c r="E44" s="58">
        <f>IF('[28]سجل المستخلصات'!$F$25="","",'[28]سجل المستخلصات'!$F$25)</f>
        <v/>
      </c>
      <c r="F44" s="59">
        <f>IF('[28]سجل المستخلصات'!$H$25="","",'[28]سجل المستخلصات'!$H$25)</f>
        <v/>
      </c>
      <c r="G44" s="59">
        <f>IF('[28]سجل المستخلصات'!$G$25="","",'[28]سجل المستخلصات'!$G$25)</f>
        <v/>
      </c>
      <c r="H44" s="59">
        <f>IF('[28]سجل المستخلصات'!$I$25="","",'[28]سجل المستخلصات'!$I$25)</f>
        <v/>
      </c>
      <c r="I44" s="59">
        <f>IF('[28]سجل المستخلصات'!$J$25="","",'[28]سجل المستخلصات'!$J$25)</f>
        <v/>
      </c>
      <c r="J44" s="59">
        <f>IF('[28]سجل المستخلصات'!$K$25="","",'[28]سجل المستخلصات'!$K$25)</f>
        <v/>
      </c>
      <c r="K44" s="60">
        <f>IF('[28]سجل المستخلصات'!$L$25="","",'[28]سجل المستخلصات'!$L$25)</f>
        <v/>
      </c>
      <c r="L44" s="60">
        <f>IF('[28]سجل المستخلصات'!$M$25="","",'[28]سجل المستخلصات'!$M$25)</f>
        <v/>
      </c>
      <c r="M44" s="60">
        <f>IF('[28]سجل المستخلصات'!$N$25="","",'[28]سجل المستخلصات'!$N$25)</f>
        <v/>
      </c>
      <c r="N44" s="59">
        <f>IF('[28]سجل المستخلصات'!$O$25="","",'[28]سجل المستخلصات'!$O$25)</f>
        <v/>
      </c>
      <c r="O44" s="59">
        <f>IF('[28]سجل المستخلصات'!$R$25="","",'[28]سجل المستخلصات'!$R$25)</f>
        <v/>
      </c>
      <c r="P44" s="59">
        <f>IF('[28]سجل المستخلصات'!$S$25="","",'[28]سجل المستخلصات'!$S$25)</f>
        <v/>
      </c>
      <c r="Q44" s="59">
        <f>IF('[28]سجل المستخلصات'!$T$25="","",'[28]سجل المستخلصات'!$T$25)</f>
        <v/>
      </c>
      <c r="R44" s="59">
        <f>IF('[28]سجل المستخلصات'!$V$25="","",'[28]سجل المستخلصات'!$V$25)</f>
        <v/>
      </c>
      <c r="S44" s="59">
        <f>IF('[28]سجل المستخلصات'!$W$25="","",'[28]سجل المستخلصات'!$W$25)</f>
        <v/>
      </c>
      <c r="T44" s="61">
        <f>IF('[28]سجل المستخلصات'!$X$25="","",'[28]سجل المستخلصات'!$X$25)</f>
        <v/>
      </c>
      <c r="U44" s="61">
        <f>IF('[28]سجل المستخلصات'!$Z$25="","",'[28]سجل المستخلصات'!$Z$25)</f>
        <v/>
      </c>
      <c r="V44" s="59">
        <f>IF('[28]سجل المستخلصات'!$AA$25="","",'[28]سجل المستخلصات'!$AA$25)</f>
        <v/>
      </c>
      <c r="W44" s="59">
        <f>IF('[28]سجل المستخلصات'!$AC$25="","",'[28]سجل المستخلصات'!$AC$25)</f>
        <v/>
      </c>
      <c r="X44" s="62">
        <f>IF('[28]سجل المستخلصات'!$AD$25="","",'[28]سجل المستخلصات'!$AD$25)</f>
        <v/>
      </c>
      <c r="Y44" s="58">
        <f>IF('[28]سجل المستخلصات'!$AE$25="","",'[28]سجل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IF('[28]سجل المستخلصات'!$B$32="","",'[28]سجل المستخلصات'!$B$32)</f>
        <v/>
      </c>
      <c r="C50" s="69" t="n"/>
      <c r="D50" s="69" t="n"/>
      <c r="E50" s="59">
        <f>N('[28]سجل المستخلصات'!$E$32)</f>
        <v/>
      </c>
      <c r="F50" s="59">
        <f>N('[28]سجل المستخلصات'!$F$32)</f>
        <v/>
      </c>
      <c r="G50" s="70">
        <f>IF(E50&gt;0,F50/E50,0)</f>
        <v/>
      </c>
    </row>
    <row r="51">
      <c r="B51" s="69">
        <f>IF('[28]سجل المستخلصات'!$B$33="","",'[28]سجل المستخلصات'!$B$33)</f>
        <v/>
      </c>
      <c r="C51" s="69" t="n"/>
      <c r="D51" s="69" t="n"/>
      <c r="E51" s="59">
        <f>N('[28]سجل المستخلصات'!$E$33)</f>
        <v/>
      </c>
      <c r="F51" s="59">
        <f>N('[28]سجل المستخلصات'!$F$33)</f>
        <v/>
      </c>
      <c r="G51" s="70">
        <f>IF(E51&gt;0,F51/E51,0)</f>
        <v/>
      </c>
    </row>
    <row r="52">
      <c r="B52" s="69">
        <f>IF('[28]سجل المستخلصات'!$B$34="","",'[28]سجل المستخلصات'!$B$34)</f>
        <v/>
      </c>
      <c r="C52" s="69" t="n"/>
      <c r="D52" s="69" t="n"/>
      <c r="E52" s="59">
        <f>N('[28]سجل المستخلصات'!$E$34)</f>
        <v/>
      </c>
      <c r="F52" s="59">
        <f>N('[28]سجل المستخلصات'!$F$34)</f>
        <v/>
      </c>
      <c r="G52" s="70">
        <f>IF(E52&gt;0,F52/E52,0)</f>
        <v/>
      </c>
    </row>
    <row r="53">
      <c r="B53" s="69">
        <f>IF('[28]سجل المستخلصات'!$B$35="","",'[28]سجل المستخلصات'!$B$35)</f>
        <v/>
      </c>
      <c r="C53" s="69" t="n"/>
      <c r="D53" s="69" t="n"/>
      <c r="E53" s="59">
        <f>N('[28]سجل المستخلصات'!$E$35)</f>
        <v/>
      </c>
      <c r="F53" s="59">
        <f>N('[28]سجل المستخلصات'!$F$35)</f>
        <v/>
      </c>
      <c r="G53" s="70">
        <f>IF(E53&gt;0,F53/E53,0)</f>
        <v/>
      </c>
    </row>
    <row r="54">
      <c r="B54" s="69">
        <f>IF('[28]سجل المستخلصات'!$B$36="","",'[28]سجل المستخلصات'!$B$36)</f>
        <v/>
      </c>
      <c r="C54" s="69" t="n"/>
      <c r="D54" s="69" t="n"/>
      <c r="E54" s="59">
        <f>N('[28]سجل المستخلصات'!$E$36)</f>
        <v/>
      </c>
      <c r="F54" s="59">
        <f>N('[28]سجل المستخلصات'!$F$36)</f>
        <v/>
      </c>
      <c r="G54" s="70">
        <f>IF(E54&gt;0,F54/E54,0)</f>
        <v/>
      </c>
    </row>
    <row r="55">
      <c r="B55" s="69">
        <f>IF('[28]سجل المستخلصات'!$B$37="","",'[28]سجل المستخلصات'!$B$37)</f>
        <v/>
      </c>
      <c r="C55" s="69" t="n"/>
      <c r="D55" s="69" t="n"/>
      <c r="E55" s="59">
        <f>N('[28]سجل المستخلصات'!$E$37)</f>
        <v/>
      </c>
      <c r="F55" s="59">
        <f>N('[28]سجل المستخلصات'!$F$37)</f>
        <v/>
      </c>
      <c r="G55" s="70">
        <f>IF(E55&gt;0,F55/E55,0)</f>
        <v/>
      </c>
    </row>
    <row r="56">
      <c r="B56" s="69">
        <f>IF('[28]سجل المستخلصات'!$B$38="","",'[28]سجل المستخلصات'!$B$38)</f>
        <v/>
      </c>
      <c r="C56" s="69" t="n"/>
      <c r="D56" s="69" t="n"/>
      <c r="E56" s="59">
        <f>N('[28]سجل المستخلصات'!$E$38)</f>
        <v/>
      </c>
      <c r="F56" s="59">
        <f>N('[28]سجل المستخلصات'!$F$38)</f>
        <v/>
      </c>
      <c r="G56" s="70">
        <f>IF(E56&gt;0,F56/E56,0)</f>
        <v/>
      </c>
    </row>
    <row r="57">
      <c r="B57" s="69">
        <f>IF('[28]سجل المستخلصات'!$B$39="","",'[28]سجل المستخلصات'!$B$39)</f>
        <v/>
      </c>
      <c r="C57" s="69" t="n"/>
      <c r="D57" s="69" t="n"/>
      <c r="E57" s="59">
        <f>N('[28]سجل المستخلصات'!$E$39)</f>
        <v/>
      </c>
      <c r="F57" s="59">
        <f>N('[28]سجل المستخلصات'!$F$39)</f>
        <v/>
      </c>
      <c r="G57" s="70">
        <f>IF(E57&gt;0,F57/E57,0)</f>
        <v/>
      </c>
    </row>
    <row r="58">
      <c r="B58" s="69">
        <f>IF('[28]سجل المستخلصات'!$B$40="","",'[28]سجل المستخلصات'!$B$40)</f>
        <v/>
      </c>
      <c r="C58" s="69" t="n"/>
      <c r="D58" s="69" t="n"/>
      <c r="E58" s="59">
        <f>N('[28]سجل المستخلصات'!$E$40)</f>
        <v/>
      </c>
      <c r="F58" s="59">
        <f>N('[28]سجل المستخلصات'!$F$40)</f>
        <v/>
      </c>
      <c r="G58" s="70">
        <f>IF(E58&gt;0,F58/E58,0)</f>
        <v/>
      </c>
    </row>
    <row r="59">
      <c r="B59" s="69">
        <f>IF('[28]سجل المستخلصات'!$B$41="","",'[28]سجل المستخلصات'!$B$41)</f>
        <v/>
      </c>
      <c r="C59" s="69" t="n"/>
      <c r="D59" s="69" t="n"/>
      <c r="E59" s="59">
        <f>N('[28]سجل المستخلصات'!$E$41)</f>
        <v/>
      </c>
      <c r="F59" s="59">
        <f>N('[28]سجل المستخلصات'!$F$41)</f>
        <v/>
      </c>
      <c r="G59" s="70">
        <f>IF(E59&gt;0,F59/E59,0)</f>
        <v/>
      </c>
    </row>
    <row r="60">
      <c r="B60" s="69">
        <f>IF('[28]سجل المستخلصات'!$B$42="","",'[28]سجل المستخلصات'!$B$42)</f>
        <v/>
      </c>
      <c r="C60" s="69" t="n"/>
      <c r="D60" s="69" t="n"/>
      <c r="E60" s="59">
        <f>N('[28]سجل المستخلصات'!$E$42)</f>
        <v/>
      </c>
      <c r="F60" s="59">
        <f>N('[28]سجل المستخلصات'!$F$42)</f>
        <v/>
      </c>
      <c r="G60" s="70">
        <f>IF(E60&gt;0,F60/E60,0)</f>
        <v/>
      </c>
    </row>
    <row r="61">
      <c r="B61" s="69">
        <f>IF('[28]سجل المستخلصات'!$B$43="","",'[28]سجل المستخلصات'!$B$43)</f>
        <v/>
      </c>
      <c r="C61" s="69" t="n"/>
      <c r="D61" s="69" t="n"/>
      <c r="E61" s="59">
        <f>N('[28]سجل المستخلصات'!$E$43)</f>
        <v/>
      </c>
      <c r="F61" s="59">
        <f>N('[28]سجل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27'!A1" display="◄ المشروع السابق"/>
    <hyperlink ref="D3" location="'مشروع 29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3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"&amp;IF('[29]بيانات العقد'!$C$5="","مشروع رقم 29 — غير مُفعّل",'[29]بيانات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Project_29/IPC_Project_29.xlsx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IF('[29]بيانات العقد'!$C$5="","",'[29]بيانات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IF('[29]بيانات العقد'!$C$6="","",'[29]بيانات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IF('[29]بيانات العقد'!$C$7="","",'[29]بيانات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IF('[29]بيانات العقد'!$C$8="","",'[29]بيانات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N('[29]بيانات العقد'!$C$16)</f>
        <v/>
      </c>
    </row>
    <row r="6" ht="22" customHeight="1">
      <c r="B6" s="11" t="inlineStr">
        <is>
          <t>المقاول</t>
        </is>
      </c>
      <c r="C6" s="14">
        <f>IF('[29]بيانات العقد'!$C$9="","",'[29]بيانات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IF('[29]بيانات العقد'!$C$11="","",'[29]بيانات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IF('[29]بيانات العقد'!$C$13="","",'[29]بيانات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IF('[29]بيانات العقد'!$C$14="","",'[29]بيانات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N('[29]بيانات العقد'!$C$17)</f>
        <v/>
      </c>
    </row>
    <row r="7">
      <c r="AA7" s="15" t="inlineStr">
        <is>
          <t>قيمة العقد المعدلة</t>
        </is>
      </c>
      <c r="AB7" s="16">
        <f>N('[29]بيانات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N('[29]بيانات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N('[29]بيانات العقد'!$C$21)</f>
        <v/>
      </c>
    </row>
    <row r="10">
      <c r="AA10" s="15" t="inlineStr">
        <is>
          <t>نسبة ضمان الأعمال</t>
        </is>
      </c>
      <c r="AB10" s="23">
        <f>N('[29]بيانات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N('[29]بيانات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N('[29]بيانات العقد'!$C$31)</f>
        <v/>
      </c>
    </row>
    <row r="13">
      <c r="AA13" s="15" t="inlineStr">
        <is>
          <t>ضريبة الاستقطاع (غير المقيم)</t>
        </is>
      </c>
      <c r="AB13" s="23">
        <f>N('[29]بيانات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IF('[29]بيانات العقد'!$C$11="","",'[29]بيانات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IF('[29]بيانات العقد'!$C$13="","",'[29]بيانات العقد'!$C$13)</f>
        <v/>
      </c>
    </row>
    <row r="16">
      <c r="AA16" s="15" t="inlineStr">
        <is>
          <t>المدة (شهر)</t>
        </is>
      </c>
      <c r="AB16" s="43">
        <f>IF('[29]بيانات العقد'!$C$12="","",'[29]بيانات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IF('[29]بيانات العقد'!$C$36="","",'[29]بيانات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IF('[29]بيانات العقد'!$C$37="","",'[29]بيانات العقد'!$C$37)</f>
        <v/>
      </c>
    </row>
    <row r="19">
      <c r="AA19" s="15" t="inlineStr">
        <is>
          <t>الرقم الضريبي لصاحب العمل</t>
        </is>
      </c>
      <c r="AB19" s="48">
        <f>IF('[29]بيانات العقد'!$C$39="","",'[29]بيانات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IF('[29]بيانات العقد'!$C$42="","",'[29]بيانات العقد'!$C$42)</f>
        <v/>
      </c>
    </row>
    <row r="21" ht="32" customHeight="1">
      <c r="B21" s="50">
        <f>N('[29]الموازنة والتكاليف'!$D$66)</f>
        <v/>
      </c>
      <c r="C21" s="50" t="n"/>
      <c r="D21" s="50" t="n"/>
      <c r="E21" s="50" t="n"/>
      <c r="F21" s="50">
        <f>N('[29]الموازنة والتكاليف'!$D$70)</f>
        <v/>
      </c>
      <c r="G21" s="50" t="n"/>
      <c r="H21" s="50" t="n"/>
      <c r="I21" s="50" t="n"/>
      <c r="J21" s="50">
        <f>N('[29]الموازنة والتكاليف'!$D$72)</f>
        <v/>
      </c>
      <c r="K21" s="50" t="n"/>
      <c r="L21" s="50" t="n"/>
      <c r="M21" s="50" t="n"/>
      <c r="N21" s="51">
        <f>N('[29]الموازنة والتكاليف'!$D$73)</f>
        <v/>
      </c>
      <c r="O21" s="51" t="n"/>
      <c r="P21" s="51" t="n"/>
      <c r="Q21" s="51" t="n"/>
      <c r="R21" s="52">
        <f>N('[29]الموازنة والتكاليف'!$D$74)</f>
        <v/>
      </c>
      <c r="S21" s="52" t="n"/>
      <c r="T21" s="52" t="n"/>
      <c r="U21" s="52" t="n"/>
      <c r="V21" s="50">
        <f>N('[29]الموازنة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IF('[29]بيانات العقد'!$C$43="","",'[29]بيانات العقد'!$C$43)</f>
        <v/>
      </c>
    </row>
    <row r="22">
      <c r="AA22" s="15" t="inlineStr">
        <is>
          <t>حالة غرامات التأخير</t>
        </is>
      </c>
      <c r="AB22" s="45">
        <f>IF('[29]بيانات العقد'!$C$47="","",'[29]بيانات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IF('[29]سجل المستخلصات'!$C$6="","",'[29]سجل المستخلصات'!$C$6)</f>
        <v/>
      </c>
      <c r="D25" s="57">
        <f>IF('[29]سجل المستخلصات'!$E$6="","",'[29]سجل المستخلصات'!$E$6)</f>
        <v/>
      </c>
      <c r="E25" s="58">
        <f>IF('[29]سجل المستخلصات'!$F$6="","",'[29]سجل المستخلصات'!$F$6)</f>
        <v/>
      </c>
      <c r="F25" s="59">
        <f>IF('[29]سجل المستخلصات'!$H$6="","",'[29]سجل المستخلصات'!$H$6)</f>
        <v/>
      </c>
      <c r="G25" s="59">
        <f>IF('[29]سجل المستخلصات'!$G$6="","",'[29]سجل المستخلصات'!$G$6)</f>
        <v/>
      </c>
      <c r="H25" s="59">
        <f>IF('[29]سجل المستخلصات'!$I$6="","",'[29]سجل المستخلصات'!$I$6)</f>
        <v/>
      </c>
      <c r="I25" s="59">
        <f>IF('[29]سجل المستخلصات'!$J$6="","",'[29]سجل المستخلصات'!$J$6)</f>
        <v/>
      </c>
      <c r="J25" s="59">
        <f>IF('[29]سجل المستخلصات'!$K$6="","",'[29]سجل المستخلصات'!$K$6)</f>
        <v/>
      </c>
      <c r="K25" s="60">
        <f>IF('[29]سجل المستخلصات'!$L$6="","",'[29]سجل المستخلصات'!$L$6)</f>
        <v/>
      </c>
      <c r="L25" s="60">
        <f>IF('[29]سجل المستخلصات'!$M$6="","",'[29]سجل المستخلصات'!$M$6)</f>
        <v/>
      </c>
      <c r="M25" s="60">
        <f>IF('[29]سجل المستخلصات'!$N$6="","",'[29]سجل المستخلصات'!$N$6)</f>
        <v/>
      </c>
      <c r="N25" s="59">
        <f>IF('[29]سجل المستخلصات'!$O$6="","",'[29]سجل المستخلصات'!$O$6)</f>
        <v/>
      </c>
      <c r="O25" s="59">
        <f>IF('[29]سجل المستخلصات'!$R$6="","",'[29]سجل المستخلصات'!$R$6)</f>
        <v/>
      </c>
      <c r="P25" s="59">
        <f>IF('[29]سجل المستخلصات'!$S$6="","",'[29]سجل المستخلصات'!$S$6)</f>
        <v/>
      </c>
      <c r="Q25" s="59">
        <f>IF('[29]سجل المستخلصات'!$T$6="","",'[29]سجل المستخلصات'!$T$6)</f>
        <v/>
      </c>
      <c r="R25" s="59">
        <f>IF('[29]سجل المستخلصات'!$V$6="","",'[29]سجل المستخلصات'!$V$6)</f>
        <v/>
      </c>
      <c r="S25" s="59">
        <f>IF('[29]سجل المستخلصات'!$W$6="","",'[29]سجل المستخلصات'!$W$6)</f>
        <v/>
      </c>
      <c r="T25" s="61">
        <f>IF('[29]سجل المستخلصات'!$X$6="","",'[29]سجل المستخلصات'!$X$6)</f>
        <v/>
      </c>
      <c r="U25" s="61">
        <f>IF('[29]سجل المستخلصات'!$Z$6="","",'[29]سجل المستخلصات'!$Z$6)</f>
        <v/>
      </c>
      <c r="V25" s="59">
        <f>IF('[29]سجل المستخلصات'!$AA$6="","",'[29]سجل المستخلصات'!$AA$6)</f>
        <v/>
      </c>
      <c r="W25" s="59">
        <f>IF('[29]سجل المستخلصات'!$AC$6="","",'[29]سجل المستخلصات'!$AC$6)</f>
        <v/>
      </c>
      <c r="X25" s="62">
        <f>IF('[29]سجل المستخلصات'!$AD$6="","",'[29]سجل المستخلصات'!$AD$6)</f>
        <v/>
      </c>
      <c r="Y25" s="58">
        <f>IF('[29]سجل المستخلصات'!$AE$6="","",'[29]سجل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IF('[29]سجل المستخلصات'!$C$7="","",'[29]سجل المستخلصات'!$C$7)</f>
        <v/>
      </c>
      <c r="D26" s="57">
        <f>IF('[29]سجل المستخلصات'!$E$7="","",'[29]سجل المستخلصات'!$E$7)</f>
        <v/>
      </c>
      <c r="E26" s="58">
        <f>IF('[29]سجل المستخلصات'!$F$7="","",'[29]سجل المستخلصات'!$F$7)</f>
        <v/>
      </c>
      <c r="F26" s="59">
        <f>IF('[29]سجل المستخلصات'!$H$7="","",'[29]سجل المستخلصات'!$H$7)</f>
        <v/>
      </c>
      <c r="G26" s="59">
        <f>IF('[29]سجل المستخلصات'!$G$7="","",'[29]سجل المستخلصات'!$G$7)</f>
        <v/>
      </c>
      <c r="H26" s="59">
        <f>IF('[29]سجل المستخلصات'!$I$7="","",'[29]سجل المستخلصات'!$I$7)</f>
        <v/>
      </c>
      <c r="I26" s="59">
        <f>IF('[29]سجل المستخلصات'!$J$7="","",'[29]سجل المستخلصات'!$J$7)</f>
        <v/>
      </c>
      <c r="J26" s="59">
        <f>IF('[29]سجل المستخلصات'!$K$7="","",'[29]سجل المستخلصات'!$K$7)</f>
        <v/>
      </c>
      <c r="K26" s="60">
        <f>IF('[29]سجل المستخلصات'!$L$7="","",'[29]سجل المستخلصات'!$L$7)</f>
        <v/>
      </c>
      <c r="L26" s="60">
        <f>IF('[29]سجل المستخلصات'!$M$7="","",'[29]سجل المستخلصات'!$M$7)</f>
        <v/>
      </c>
      <c r="M26" s="60">
        <f>IF('[29]سجل المستخلصات'!$N$7="","",'[29]سجل المستخلصات'!$N$7)</f>
        <v/>
      </c>
      <c r="N26" s="59">
        <f>IF('[29]سجل المستخلصات'!$O$7="","",'[29]سجل المستخلصات'!$O$7)</f>
        <v/>
      </c>
      <c r="O26" s="59">
        <f>IF('[29]سجل المستخلصات'!$R$7="","",'[29]سجل المستخلصات'!$R$7)</f>
        <v/>
      </c>
      <c r="P26" s="59">
        <f>IF('[29]سجل المستخلصات'!$S$7="","",'[29]سجل المستخلصات'!$S$7)</f>
        <v/>
      </c>
      <c r="Q26" s="59">
        <f>IF('[29]سجل المستخلصات'!$T$7="","",'[29]سجل المستخلصات'!$T$7)</f>
        <v/>
      </c>
      <c r="R26" s="59">
        <f>IF('[29]سجل المستخلصات'!$V$7="","",'[29]سجل المستخلصات'!$V$7)</f>
        <v/>
      </c>
      <c r="S26" s="59">
        <f>IF('[29]سجل المستخلصات'!$W$7="","",'[29]سجل المستخلصات'!$W$7)</f>
        <v/>
      </c>
      <c r="T26" s="61">
        <f>IF('[29]سجل المستخلصات'!$X$7="","",'[29]سجل المستخلصات'!$X$7)</f>
        <v/>
      </c>
      <c r="U26" s="61">
        <f>IF('[29]سجل المستخلصات'!$Z$7="","",'[29]سجل المستخلصات'!$Z$7)</f>
        <v/>
      </c>
      <c r="V26" s="59">
        <f>IF('[29]سجل المستخلصات'!$AA$7="","",'[29]سجل المستخلصات'!$AA$7)</f>
        <v/>
      </c>
      <c r="W26" s="59">
        <f>IF('[29]سجل المستخلصات'!$AC$7="","",'[29]سجل المستخلصات'!$AC$7)</f>
        <v/>
      </c>
      <c r="X26" s="62">
        <f>IF('[29]سجل المستخلصات'!$AD$7="","",'[29]سجل المستخلصات'!$AD$7)</f>
        <v/>
      </c>
      <c r="Y26" s="58">
        <f>IF('[29]سجل المستخلصات'!$AE$7="","",'[29]سجل المستخلصات'!$AE$7)</f>
        <v/>
      </c>
      <c r="AA26" s="63" t="n"/>
      <c r="AB26" s="63" t="n"/>
    </row>
    <row r="27">
      <c r="B27" s="56" t="n">
        <v>3</v>
      </c>
      <c r="C27" s="57">
        <f>IF('[29]سجل المستخلصات'!$C$8="","",'[29]سجل المستخلصات'!$C$8)</f>
        <v/>
      </c>
      <c r="D27" s="57">
        <f>IF('[29]سجل المستخلصات'!$E$8="","",'[29]سجل المستخلصات'!$E$8)</f>
        <v/>
      </c>
      <c r="E27" s="58">
        <f>IF('[29]سجل المستخلصات'!$F$8="","",'[29]سجل المستخلصات'!$F$8)</f>
        <v/>
      </c>
      <c r="F27" s="59">
        <f>IF('[29]سجل المستخلصات'!$H$8="","",'[29]سجل المستخلصات'!$H$8)</f>
        <v/>
      </c>
      <c r="G27" s="59">
        <f>IF('[29]سجل المستخلصات'!$G$8="","",'[29]سجل المستخلصات'!$G$8)</f>
        <v/>
      </c>
      <c r="H27" s="59">
        <f>IF('[29]سجل المستخلصات'!$I$8="","",'[29]سجل المستخلصات'!$I$8)</f>
        <v/>
      </c>
      <c r="I27" s="59">
        <f>IF('[29]سجل المستخلصات'!$J$8="","",'[29]سجل المستخلصات'!$J$8)</f>
        <v/>
      </c>
      <c r="J27" s="59">
        <f>IF('[29]سجل المستخلصات'!$K$8="","",'[29]سجل المستخلصات'!$K$8)</f>
        <v/>
      </c>
      <c r="K27" s="60">
        <f>IF('[29]سجل المستخلصات'!$L$8="","",'[29]سجل المستخلصات'!$L$8)</f>
        <v/>
      </c>
      <c r="L27" s="60">
        <f>IF('[29]سجل المستخلصات'!$M$8="","",'[29]سجل المستخلصات'!$M$8)</f>
        <v/>
      </c>
      <c r="M27" s="60">
        <f>IF('[29]سجل المستخلصات'!$N$8="","",'[29]سجل المستخلصات'!$N$8)</f>
        <v/>
      </c>
      <c r="N27" s="59">
        <f>IF('[29]سجل المستخلصات'!$O$8="","",'[29]سجل المستخلصات'!$O$8)</f>
        <v/>
      </c>
      <c r="O27" s="59">
        <f>IF('[29]سجل المستخلصات'!$R$8="","",'[29]سجل المستخلصات'!$R$8)</f>
        <v/>
      </c>
      <c r="P27" s="59">
        <f>IF('[29]سجل المستخلصات'!$S$8="","",'[29]سجل المستخلصات'!$S$8)</f>
        <v/>
      </c>
      <c r="Q27" s="59">
        <f>IF('[29]سجل المستخلصات'!$T$8="","",'[29]سجل المستخلصات'!$T$8)</f>
        <v/>
      </c>
      <c r="R27" s="59">
        <f>IF('[29]سجل المستخلصات'!$V$8="","",'[29]سجل المستخلصات'!$V$8)</f>
        <v/>
      </c>
      <c r="S27" s="59">
        <f>IF('[29]سجل المستخلصات'!$W$8="","",'[29]سجل المستخلصات'!$W$8)</f>
        <v/>
      </c>
      <c r="T27" s="61">
        <f>IF('[29]سجل المستخلصات'!$X$8="","",'[29]سجل المستخلصات'!$X$8)</f>
        <v/>
      </c>
      <c r="U27" s="61">
        <f>IF('[29]سجل المستخلصات'!$Z$8="","",'[29]سجل المستخلصات'!$Z$8)</f>
        <v/>
      </c>
      <c r="V27" s="59">
        <f>IF('[29]سجل المستخلصات'!$AA$8="","",'[29]سجل المستخلصات'!$AA$8)</f>
        <v/>
      </c>
      <c r="W27" s="59">
        <f>IF('[29]سجل المستخلصات'!$AC$8="","",'[29]سجل المستخلصات'!$AC$8)</f>
        <v/>
      </c>
      <c r="X27" s="62">
        <f>IF('[29]سجل المستخلصات'!$AD$8="","",'[29]سجل المستخلصات'!$AD$8)</f>
        <v/>
      </c>
      <c r="Y27" s="58">
        <f>IF('[29]سجل المستخلصات'!$AE$8="","",'[29]سجل المستخلصات'!$AE$8)</f>
        <v/>
      </c>
      <c r="AA27" s="63" t="n"/>
      <c r="AB27" s="63" t="n"/>
    </row>
    <row r="28">
      <c r="B28" s="56" t="n">
        <v>4</v>
      </c>
      <c r="C28" s="57">
        <f>IF('[29]سجل المستخلصات'!$C$9="","",'[29]سجل المستخلصات'!$C$9)</f>
        <v/>
      </c>
      <c r="D28" s="57">
        <f>IF('[29]سجل المستخلصات'!$E$9="","",'[29]سجل المستخلصات'!$E$9)</f>
        <v/>
      </c>
      <c r="E28" s="58">
        <f>IF('[29]سجل المستخلصات'!$F$9="","",'[29]سجل المستخلصات'!$F$9)</f>
        <v/>
      </c>
      <c r="F28" s="59">
        <f>IF('[29]سجل المستخلصات'!$H$9="","",'[29]سجل المستخلصات'!$H$9)</f>
        <v/>
      </c>
      <c r="G28" s="59">
        <f>IF('[29]سجل المستخلصات'!$G$9="","",'[29]سجل المستخلصات'!$G$9)</f>
        <v/>
      </c>
      <c r="H28" s="59">
        <f>IF('[29]سجل المستخلصات'!$I$9="","",'[29]سجل المستخلصات'!$I$9)</f>
        <v/>
      </c>
      <c r="I28" s="59">
        <f>IF('[29]سجل المستخلصات'!$J$9="","",'[29]سجل المستخلصات'!$J$9)</f>
        <v/>
      </c>
      <c r="J28" s="59">
        <f>IF('[29]سجل المستخلصات'!$K$9="","",'[29]سجل المستخلصات'!$K$9)</f>
        <v/>
      </c>
      <c r="K28" s="60">
        <f>IF('[29]سجل المستخلصات'!$L$9="","",'[29]سجل المستخلصات'!$L$9)</f>
        <v/>
      </c>
      <c r="L28" s="60">
        <f>IF('[29]سجل المستخلصات'!$M$9="","",'[29]سجل المستخلصات'!$M$9)</f>
        <v/>
      </c>
      <c r="M28" s="60">
        <f>IF('[29]سجل المستخلصات'!$N$9="","",'[29]سجل المستخلصات'!$N$9)</f>
        <v/>
      </c>
      <c r="N28" s="59">
        <f>IF('[29]سجل المستخلصات'!$O$9="","",'[29]سجل المستخلصات'!$O$9)</f>
        <v/>
      </c>
      <c r="O28" s="59">
        <f>IF('[29]سجل المستخلصات'!$R$9="","",'[29]سجل المستخلصات'!$R$9)</f>
        <v/>
      </c>
      <c r="P28" s="59">
        <f>IF('[29]سجل المستخلصات'!$S$9="","",'[29]سجل المستخلصات'!$S$9)</f>
        <v/>
      </c>
      <c r="Q28" s="59">
        <f>IF('[29]سجل المستخلصات'!$T$9="","",'[29]سجل المستخلصات'!$T$9)</f>
        <v/>
      </c>
      <c r="R28" s="59">
        <f>IF('[29]سجل المستخلصات'!$V$9="","",'[29]سجل المستخلصات'!$V$9)</f>
        <v/>
      </c>
      <c r="S28" s="59">
        <f>IF('[29]سجل المستخلصات'!$W$9="","",'[29]سجل المستخلصات'!$W$9)</f>
        <v/>
      </c>
      <c r="T28" s="61">
        <f>IF('[29]سجل المستخلصات'!$X$9="","",'[29]سجل المستخلصات'!$X$9)</f>
        <v/>
      </c>
      <c r="U28" s="61">
        <f>IF('[29]سجل المستخلصات'!$Z$9="","",'[29]سجل المستخلصات'!$Z$9)</f>
        <v/>
      </c>
      <c r="V28" s="59">
        <f>IF('[29]سجل المستخلصات'!$AA$9="","",'[29]سجل المستخلصات'!$AA$9)</f>
        <v/>
      </c>
      <c r="W28" s="59">
        <f>IF('[29]سجل المستخلصات'!$AC$9="","",'[29]سجل المستخلصات'!$AC$9)</f>
        <v/>
      </c>
      <c r="X28" s="62">
        <f>IF('[29]سجل المستخلصات'!$AD$9="","",'[29]سجل المستخلصات'!$AD$9)</f>
        <v/>
      </c>
      <c r="Y28" s="58">
        <f>IF('[29]سجل المستخلصات'!$AE$9="","",'[29]سجل المستخلصات'!$AE$9)</f>
        <v/>
      </c>
      <c r="AA28" s="63" t="n"/>
      <c r="AB28" s="63" t="n"/>
    </row>
    <row r="29">
      <c r="B29" s="56" t="n">
        <v>5</v>
      </c>
      <c r="C29" s="57">
        <f>IF('[29]سجل المستخلصات'!$C$10="","",'[29]سجل المستخلصات'!$C$10)</f>
        <v/>
      </c>
      <c r="D29" s="57">
        <f>IF('[29]سجل المستخلصات'!$E$10="","",'[29]سجل المستخلصات'!$E$10)</f>
        <v/>
      </c>
      <c r="E29" s="58">
        <f>IF('[29]سجل المستخلصات'!$F$10="","",'[29]سجل المستخلصات'!$F$10)</f>
        <v/>
      </c>
      <c r="F29" s="59">
        <f>IF('[29]سجل المستخلصات'!$H$10="","",'[29]سجل المستخلصات'!$H$10)</f>
        <v/>
      </c>
      <c r="G29" s="59">
        <f>IF('[29]سجل المستخلصات'!$G$10="","",'[29]سجل المستخلصات'!$G$10)</f>
        <v/>
      </c>
      <c r="H29" s="59">
        <f>IF('[29]سجل المستخلصات'!$I$10="","",'[29]سجل المستخلصات'!$I$10)</f>
        <v/>
      </c>
      <c r="I29" s="59">
        <f>IF('[29]سجل المستخلصات'!$J$10="","",'[29]سجل المستخلصات'!$J$10)</f>
        <v/>
      </c>
      <c r="J29" s="59">
        <f>IF('[29]سجل المستخلصات'!$K$10="","",'[29]سجل المستخلصات'!$K$10)</f>
        <v/>
      </c>
      <c r="K29" s="60">
        <f>IF('[29]سجل المستخلصات'!$L$10="","",'[29]سجل المستخلصات'!$L$10)</f>
        <v/>
      </c>
      <c r="L29" s="60">
        <f>IF('[29]سجل المستخلصات'!$M$10="","",'[29]سجل المستخلصات'!$M$10)</f>
        <v/>
      </c>
      <c r="M29" s="60">
        <f>IF('[29]سجل المستخلصات'!$N$10="","",'[29]سجل المستخلصات'!$N$10)</f>
        <v/>
      </c>
      <c r="N29" s="59">
        <f>IF('[29]سجل المستخلصات'!$O$10="","",'[29]سجل المستخلصات'!$O$10)</f>
        <v/>
      </c>
      <c r="O29" s="59">
        <f>IF('[29]سجل المستخلصات'!$R$10="","",'[29]سجل المستخلصات'!$R$10)</f>
        <v/>
      </c>
      <c r="P29" s="59">
        <f>IF('[29]سجل المستخلصات'!$S$10="","",'[29]سجل المستخلصات'!$S$10)</f>
        <v/>
      </c>
      <c r="Q29" s="59">
        <f>IF('[29]سجل المستخلصات'!$T$10="","",'[29]سجل المستخلصات'!$T$10)</f>
        <v/>
      </c>
      <c r="R29" s="59">
        <f>IF('[29]سجل المستخلصات'!$V$10="","",'[29]سجل المستخلصات'!$V$10)</f>
        <v/>
      </c>
      <c r="S29" s="59">
        <f>IF('[29]سجل المستخلصات'!$W$10="","",'[29]سجل المستخلصات'!$W$10)</f>
        <v/>
      </c>
      <c r="T29" s="61">
        <f>IF('[29]سجل المستخلصات'!$X$10="","",'[29]سجل المستخلصات'!$X$10)</f>
        <v/>
      </c>
      <c r="U29" s="61">
        <f>IF('[29]سجل المستخلصات'!$Z$10="","",'[29]سجل المستخلصات'!$Z$10)</f>
        <v/>
      </c>
      <c r="V29" s="59">
        <f>IF('[29]سجل المستخلصات'!$AA$10="","",'[29]سجل المستخلصات'!$AA$10)</f>
        <v/>
      </c>
      <c r="W29" s="59">
        <f>IF('[29]سجل المستخلصات'!$AC$10="","",'[29]سجل المستخلصات'!$AC$10)</f>
        <v/>
      </c>
      <c r="X29" s="62">
        <f>IF('[29]سجل المستخلصات'!$AD$10="","",'[29]سجل المستخلصات'!$AD$10)</f>
        <v/>
      </c>
      <c r="Y29" s="58">
        <f>IF('[29]سجل المستخلصات'!$AE$10="","",'[29]سجل المستخلصات'!$AE$10)</f>
        <v/>
      </c>
    </row>
    <row r="30">
      <c r="B30" s="56" t="n">
        <v>6</v>
      </c>
      <c r="C30" s="57">
        <f>IF('[29]سجل المستخلصات'!$C$11="","",'[29]سجل المستخلصات'!$C$11)</f>
        <v/>
      </c>
      <c r="D30" s="57">
        <f>IF('[29]سجل المستخلصات'!$E$11="","",'[29]سجل المستخلصات'!$E$11)</f>
        <v/>
      </c>
      <c r="E30" s="58">
        <f>IF('[29]سجل المستخلصات'!$F$11="","",'[29]سجل المستخلصات'!$F$11)</f>
        <v/>
      </c>
      <c r="F30" s="59">
        <f>IF('[29]سجل المستخلصات'!$H$11="","",'[29]سجل المستخلصات'!$H$11)</f>
        <v/>
      </c>
      <c r="G30" s="59">
        <f>IF('[29]سجل المستخلصات'!$G$11="","",'[29]سجل المستخلصات'!$G$11)</f>
        <v/>
      </c>
      <c r="H30" s="59">
        <f>IF('[29]سجل المستخلصات'!$I$11="","",'[29]سجل المستخلصات'!$I$11)</f>
        <v/>
      </c>
      <c r="I30" s="59">
        <f>IF('[29]سجل المستخلصات'!$J$11="","",'[29]سجل المستخلصات'!$J$11)</f>
        <v/>
      </c>
      <c r="J30" s="59">
        <f>IF('[29]سجل المستخلصات'!$K$11="","",'[29]سجل المستخلصات'!$K$11)</f>
        <v/>
      </c>
      <c r="K30" s="60">
        <f>IF('[29]سجل المستخلصات'!$L$11="","",'[29]سجل المستخلصات'!$L$11)</f>
        <v/>
      </c>
      <c r="L30" s="60">
        <f>IF('[29]سجل المستخلصات'!$M$11="","",'[29]سجل المستخلصات'!$M$11)</f>
        <v/>
      </c>
      <c r="M30" s="60">
        <f>IF('[29]سجل المستخلصات'!$N$11="","",'[29]سجل المستخلصات'!$N$11)</f>
        <v/>
      </c>
      <c r="N30" s="59">
        <f>IF('[29]سجل المستخلصات'!$O$11="","",'[29]سجل المستخلصات'!$O$11)</f>
        <v/>
      </c>
      <c r="O30" s="59">
        <f>IF('[29]سجل المستخلصات'!$R$11="","",'[29]سجل المستخلصات'!$R$11)</f>
        <v/>
      </c>
      <c r="P30" s="59">
        <f>IF('[29]سجل المستخلصات'!$S$11="","",'[29]سجل المستخلصات'!$S$11)</f>
        <v/>
      </c>
      <c r="Q30" s="59">
        <f>IF('[29]سجل المستخلصات'!$T$11="","",'[29]سجل المستخلصات'!$T$11)</f>
        <v/>
      </c>
      <c r="R30" s="59">
        <f>IF('[29]سجل المستخلصات'!$V$11="","",'[29]سجل المستخلصات'!$V$11)</f>
        <v/>
      </c>
      <c r="S30" s="59">
        <f>IF('[29]سجل المستخلصات'!$W$11="","",'[29]سجل المستخلصات'!$W$11)</f>
        <v/>
      </c>
      <c r="T30" s="61">
        <f>IF('[29]سجل المستخلصات'!$X$11="","",'[29]سجل المستخلصات'!$X$11)</f>
        <v/>
      </c>
      <c r="U30" s="61">
        <f>IF('[29]سجل المستخلصات'!$Z$11="","",'[29]سجل المستخلصات'!$Z$11)</f>
        <v/>
      </c>
      <c r="V30" s="59">
        <f>IF('[29]سجل المستخلصات'!$AA$11="","",'[29]سجل المستخلصات'!$AA$11)</f>
        <v/>
      </c>
      <c r="W30" s="59">
        <f>IF('[29]سجل المستخلصات'!$AC$11="","",'[29]سجل المستخلصات'!$AC$11)</f>
        <v/>
      </c>
      <c r="X30" s="62">
        <f>IF('[29]سجل المستخلصات'!$AD$11="","",'[29]سجل المستخلصات'!$AD$11)</f>
        <v/>
      </c>
      <c r="Y30" s="58">
        <f>IF('[29]سجل المستخلصات'!$AE$11="","",'[29]سجل المستخلصات'!$AE$11)</f>
        <v/>
      </c>
    </row>
    <row r="31">
      <c r="B31" s="56" t="n">
        <v>7</v>
      </c>
      <c r="C31" s="57">
        <f>IF('[29]سجل المستخلصات'!$C$12="","",'[29]سجل المستخلصات'!$C$12)</f>
        <v/>
      </c>
      <c r="D31" s="57">
        <f>IF('[29]سجل المستخلصات'!$E$12="","",'[29]سجل المستخلصات'!$E$12)</f>
        <v/>
      </c>
      <c r="E31" s="58">
        <f>IF('[29]سجل المستخلصات'!$F$12="","",'[29]سجل المستخلصات'!$F$12)</f>
        <v/>
      </c>
      <c r="F31" s="59">
        <f>IF('[29]سجل المستخلصات'!$H$12="","",'[29]سجل المستخلصات'!$H$12)</f>
        <v/>
      </c>
      <c r="G31" s="59">
        <f>IF('[29]سجل المستخلصات'!$G$12="","",'[29]سجل المستخلصات'!$G$12)</f>
        <v/>
      </c>
      <c r="H31" s="59">
        <f>IF('[29]سجل المستخلصات'!$I$12="","",'[29]سجل المستخلصات'!$I$12)</f>
        <v/>
      </c>
      <c r="I31" s="59">
        <f>IF('[29]سجل المستخلصات'!$J$12="","",'[29]سجل المستخلصات'!$J$12)</f>
        <v/>
      </c>
      <c r="J31" s="59">
        <f>IF('[29]سجل المستخلصات'!$K$12="","",'[29]سجل المستخلصات'!$K$12)</f>
        <v/>
      </c>
      <c r="K31" s="60">
        <f>IF('[29]سجل المستخلصات'!$L$12="","",'[29]سجل المستخلصات'!$L$12)</f>
        <v/>
      </c>
      <c r="L31" s="60">
        <f>IF('[29]سجل المستخلصات'!$M$12="","",'[29]سجل المستخلصات'!$M$12)</f>
        <v/>
      </c>
      <c r="M31" s="60">
        <f>IF('[29]سجل المستخلصات'!$N$12="","",'[29]سجل المستخلصات'!$N$12)</f>
        <v/>
      </c>
      <c r="N31" s="59">
        <f>IF('[29]سجل المستخلصات'!$O$12="","",'[29]سجل المستخلصات'!$O$12)</f>
        <v/>
      </c>
      <c r="O31" s="59">
        <f>IF('[29]سجل المستخلصات'!$R$12="","",'[29]سجل المستخلصات'!$R$12)</f>
        <v/>
      </c>
      <c r="P31" s="59">
        <f>IF('[29]سجل المستخلصات'!$S$12="","",'[29]سجل المستخلصات'!$S$12)</f>
        <v/>
      </c>
      <c r="Q31" s="59">
        <f>IF('[29]سجل المستخلصات'!$T$12="","",'[29]سجل المستخلصات'!$T$12)</f>
        <v/>
      </c>
      <c r="R31" s="59">
        <f>IF('[29]سجل المستخلصات'!$V$12="","",'[29]سجل المستخلصات'!$V$12)</f>
        <v/>
      </c>
      <c r="S31" s="59">
        <f>IF('[29]سجل المستخلصات'!$W$12="","",'[29]سجل المستخلصات'!$W$12)</f>
        <v/>
      </c>
      <c r="T31" s="61">
        <f>IF('[29]سجل المستخلصات'!$X$12="","",'[29]سجل المستخلصات'!$X$12)</f>
        <v/>
      </c>
      <c r="U31" s="61">
        <f>IF('[29]سجل المستخلصات'!$Z$12="","",'[29]سجل المستخلصات'!$Z$12)</f>
        <v/>
      </c>
      <c r="V31" s="59">
        <f>IF('[29]سجل المستخلصات'!$AA$12="","",'[29]سجل المستخلصات'!$AA$12)</f>
        <v/>
      </c>
      <c r="W31" s="59">
        <f>IF('[29]سجل المستخلصات'!$AC$12="","",'[29]سجل المستخلصات'!$AC$12)</f>
        <v/>
      </c>
      <c r="X31" s="62">
        <f>IF('[29]سجل المستخلصات'!$AD$12="","",'[29]سجل المستخلصات'!$AD$12)</f>
        <v/>
      </c>
      <c r="Y31" s="58">
        <f>IF('[29]سجل المستخلصات'!$AE$12="","",'[29]سجل المستخلصات'!$AE$12)</f>
        <v/>
      </c>
    </row>
    <row r="32">
      <c r="B32" s="56" t="n">
        <v>8</v>
      </c>
      <c r="C32" s="57">
        <f>IF('[29]سجل المستخلصات'!$C$13="","",'[29]سجل المستخلصات'!$C$13)</f>
        <v/>
      </c>
      <c r="D32" s="57">
        <f>IF('[29]سجل المستخلصات'!$E$13="","",'[29]سجل المستخلصات'!$E$13)</f>
        <v/>
      </c>
      <c r="E32" s="58">
        <f>IF('[29]سجل المستخلصات'!$F$13="","",'[29]سجل المستخلصات'!$F$13)</f>
        <v/>
      </c>
      <c r="F32" s="59">
        <f>IF('[29]سجل المستخلصات'!$H$13="","",'[29]سجل المستخلصات'!$H$13)</f>
        <v/>
      </c>
      <c r="G32" s="59">
        <f>IF('[29]سجل المستخلصات'!$G$13="","",'[29]سجل المستخلصات'!$G$13)</f>
        <v/>
      </c>
      <c r="H32" s="59">
        <f>IF('[29]سجل المستخلصات'!$I$13="","",'[29]سجل المستخلصات'!$I$13)</f>
        <v/>
      </c>
      <c r="I32" s="59">
        <f>IF('[29]سجل المستخلصات'!$J$13="","",'[29]سجل المستخلصات'!$J$13)</f>
        <v/>
      </c>
      <c r="J32" s="59">
        <f>IF('[29]سجل المستخلصات'!$K$13="","",'[29]سجل المستخلصات'!$K$13)</f>
        <v/>
      </c>
      <c r="K32" s="60">
        <f>IF('[29]سجل المستخلصات'!$L$13="","",'[29]سجل المستخلصات'!$L$13)</f>
        <v/>
      </c>
      <c r="L32" s="60">
        <f>IF('[29]سجل المستخلصات'!$M$13="","",'[29]سجل المستخلصات'!$M$13)</f>
        <v/>
      </c>
      <c r="M32" s="60">
        <f>IF('[29]سجل المستخلصات'!$N$13="","",'[29]سجل المستخلصات'!$N$13)</f>
        <v/>
      </c>
      <c r="N32" s="59">
        <f>IF('[29]سجل المستخلصات'!$O$13="","",'[29]سجل المستخلصات'!$O$13)</f>
        <v/>
      </c>
      <c r="O32" s="59">
        <f>IF('[29]سجل المستخلصات'!$R$13="","",'[29]سجل المستخلصات'!$R$13)</f>
        <v/>
      </c>
      <c r="P32" s="59">
        <f>IF('[29]سجل المستخلصات'!$S$13="","",'[29]سجل المستخلصات'!$S$13)</f>
        <v/>
      </c>
      <c r="Q32" s="59">
        <f>IF('[29]سجل المستخلصات'!$T$13="","",'[29]سجل المستخلصات'!$T$13)</f>
        <v/>
      </c>
      <c r="R32" s="59">
        <f>IF('[29]سجل المستخلصات'!$V$13="","",'[29]سجل المستخلصات'!$V$13)</f>
        <v/>
      </c>
      <c r="S32" s="59">
        <f>IF('[29]سجل المستخلصات'!$W$13="","",'[29]سجل المستخلصات'!$W$13)</f>
        <v/>
      </c>
      <c r="T32" s="61">
        <f>IF('[29]سجل المستخلصات'!$X$13="","",'[29]سجل المستخلصات'!$X$13)</f>
        <v/>
      </c>
      <c r="U32" s="61">
        <f>IF('[29]سجل المستخلصات'!$Z$13="","",'[29]سجل المستخلصات'!$Z$13)</f>
        <v/>
      </c>
      <c r="V32" s="59">
        <f>IF('[29]سجل المستخلصات'!$AA$13="","",'[29]سجل المستخلصات'!$AA$13)</f>
        <v/>
      </c>
      <c r="W32" s="59">
        <f>IF('[29]سجل المستخلصات'!$AC$13="","",'[29]سجل المستخلصات'!$AC$13)</f>
        <v/>
      </c>
      <c r="X32" s="62">
        <f>IF('[29]سجل المستخلصات'!$AD$13="","",'[29]سجل المستخلصات'!$AD$13)</f>
        <v/>
      </c>
      <c r="Y32" s="58">
        <f>IF('[29]سجل المستخلصات'!$AE$13="","",'[29]سجل المستخلصات'!$AE$13)</f>
        <v/>
      </c>
    </row>
    <row r="33">
      <c r="B33" s="56" t="n">
        <v>9</v>
      </c>
      <c r="C33" s="57">
        <f>IF('[29]سجل المستخلصات'!$C$14="","",'[29]سجل المستخلصات'!$C$14)</f>
        <v/>
      </c>
      <c r="D33" s="57">
        <f>IF('[29]سجل المستخلصات'!$E$14="","",'[29]سجل المستخلصات'!$E$14)</f>
        <v/>
      </c>
      <c r="E33" s="58">
        <f>IF('[29]سجل المستخلصات'!$F$14="","",'[29]سجل المستخلصات'!$F$14)</f>
        <v/>
      </c>
      <c r="F33" s="59">
        <f>IF('[29]سجل المستخلصات'!$H$14="","",'[29]سجل المستخلصات'!$H$14)</f>
        <v/>
      </c>
      <c r="G33" s="59">
        <f>IF('[29]سجل المستخلصات'!$G$14="","",'[29]سجل المستخلصات'!$G$14)</f>
        <v/>
      </c>
      <c r="H33" s="59">
        <f>IF('[29]سجل المستخلصات'!$I$14="","",'[29]سجل المستخلصات'!$I$14)</f>
        <v/>
      </c>
      <c r="I33" s="59">
        <f>IF('[29]سجل المستخلصات'!$J$14="","",'[29]سجل المستخلصات'!$J$14)</f>
        <v/>
      </c>
      <c r="J33" s="59">
        <f>IF('[29]سجل المستخلصات'!$K$14="","",'[29]سجل المستخلصات'!$K$14)</f>
        <v/>
      </c>
      <c r="K33" s="60">
        <f>IF('[29]سجل المستخلصات'!$L$14="","",'[29]سجل المستخلصات'!$L$14)</f>
        <v/>
      </c>
      <c r="L33" s="60">
        <f>IF('[29]سجل المستخلصات'!$M$14="","",'[29]سجل المستخلصات'!$M$14)</f>
        <v/>
      </c>
      <c r="M33" s="60">
        <f>IF('[29]سجل المستخلصات'!$N$14="","",'[29]سجل المستخلصات'!$N$14)</f>
        <v/>
      </c>
      <c r="N33" s="59">
        <f>IF('[29]سجل المستخلصات'!$O$14="","",'[29]سجل المستخلصات'!$O$14)</f>
        <v/>
      </c>
      <c r="O33" s="59">
        <f>IF('[29]سجل المستخلصات'!$R$14="","",'[29]سجل المستخلصات'!$R$14)</f>
        <v/>
      </c>
      <c r="P33" s="59">
        <f>IF('[29]سجل المستخلصات'!$S$14="","",'[29]سجل المستخلصات'!$S$14)</f>
        <v/>
      </c>
      <c r="Q33" s="59">
        <f>IF('[29]سجل المستخلصات'!$T$14="","",'[29]سجل المستخلصات'!$T$14)</f>
        <v/>
      </c>
      <c r="R33" s="59">
        <f>IF('[29]سجل المستخلصات'!$V$14="","",'[29]سجل المستخلصات'!$V$14)</f>
        <v/>
      </c>
      <c r="S33" s="59">
        <f>IF('[29]سجل المستخلصات'!$W$14="","",'[29]سجل المستخلصات'!$W$14)</f>
        <v/>
      </c>
      <c r="T33" s="61">
        <f>IF('[29]سجل المستخلصات'!$X$14="","",'[29]سجل المستخلصات'!$X$14)</f>
        <v/>
      </c>
      <c r="U33" s="61">
        <f>IF('[29]سجل المستخلصات'!$Z$14="","",'[29]سجل المستخلصات'!$Z$14)</f>
        <v/>
      </c>
      <c r="V33" s="59">
        <f>IF('[29]سجل المستخلصات'!$AA$14="","",'[29]سجل المستخلصات'!$AA$14)</f>
        <v/>
      </c>
      <c r="W33" s="59">
        <f>IF('[29]سجل المستخلصات'!$AC$14="","",'[29]سجل المستخلصات'!$AC$14)</f>
        <v/>
      </c>
      <c r="X33" s="62">
        <f>IF('[29]سجل المستخلصات'!$AD$14="","",'[29]سجل المستخلصات'!$AD$14)</f>
        <v/>
      </c>
      <c r="Y33" s="58">
        <f>IF('[29]سجل المستخلصات'!$AE$14="","",'[29]سجل المستخلصات'!$AE$14)</f>
        <v/>
      </c>
    </row>
    <row r="34">
      <c r="B34" s="56" t="n">
        <v>10</v>
      </c>
      <c r="C34" s="57">
        <f>IF('[29]سجل المستخلصات'!$C$15="","",'[29]سجل المستخلصات'!$C$15)</f>
        <v/>
      </c>
      <c r="D34" s="57">
        <f>IF('[29]سجل المستخلصات'!$E$15="","",'[29]سجل المستخلصات'!$E$15)</f>
        <v/>
      </c>
      <c r="E34" s="58">
        <f>IF('[29]سجل المستخلصات'!$F$15="","",'[29]سجل المستخلصات'!$F$15)</f>
        <v/>
      </c>
      <c r="F34" s="59">
        <f>IF('[29]سجل المستخلصات'!$H$15="","",'[29]سجل المستخلصات'!$H$15)</f>
        <v/>
      </c>
      <c r="G34" s="59">
        <f>IF('[29]سجل المستخلصات'!$G$15="","",'[29]سجل المستخلصات'!$G$15)</f>
        <v/>
      </c>
      <c r="H34" s="59">
        <f>IF('[29]سجل المستخلصات'!$I$15="","",'[29]سجل المستخلصات'!$I$15)</f>
        <v/>
      </c>
      <c r="I34" s="59">
        <f>IF('[29]سجل المستخلصات'!$J$15="","",'[29]سجل المستخلصات'!$J$15)</f>
        <v/>
      </c>
      <c r="J34" s="59">
        <f>IF('[29]سجل المستخلصات'!$K$15="","",'[29]سجل المستخلصات'!$K$15)</f>
        <v/>
      </c>
      <c r="K34" s="60">
        <f>IF('[29]سجل المستخلصات'!$L$15="","",'[29]سجل المستخلصات'!$L$15)</f>
        <v/>
      </c>
      <c r="L34" s="60">
        <f>IF('[29]سجل المستخلصات'!$M$15="","",'[29]سجل المستخلصات'!$M$15)</f>
        <v/>
      </c>
      <c r="M34" s="60">
        <f>IF('[29]سجل المستخلصات'!$N$15="","",'[29]سجل المستخلصات'!$N$15)</f>
        <v/>
      </c>
      <c r="N34" s="59">
        <f>IF('[29]سجل المستخلصات'!$O$15="","",'[29]سجل المستخلصات'!$O$15)</f>
        <v/>
      </c>
      <c r="O34" s="59">
        <f>IF('[29]سجل المستخلصات'!$R$15="","",'[29]سجل المستخلصات'!$R$15)</f>
        <v/>
      </c>
      <c r="P34" s="59">
        <f>IF('[29]سجل المستخلصات'!$S$15="","",'[29]سجل المستخلصات'!$S$15)</f>
        <v/>
      </c>
      <c r="Q34" s="59">
        <f>IF('[29]سجل المستخلصات'!$T$15="","",'[29]سجل المستخلصات'!$T$15)</f>
        <v/>
      </c>
      <c r="R34" s="59">
        <f>IF('[29]سجل المستخلصات'!$V$15="","",'[29]سجل المستخلصات'!$V$15)</f>
        <v/>
      </c>
      <c r="S34" s="59">
        <f>IF('[29]سجل المستخلصات'!$W$15="","",'[29]سجل المستخلصات'!$W$15)</f>
        <v/>
      </c>
      <c r="T34" s="61">
        <f>IF('[29]سجل المستخلصات'!$X$15="","",'[29]سجل المستخلصات'!$X$15)</f>
        <v/>
      </c>
      <c r="U34" s="61">
        <f>IF('[29]سجل المستخلصات'!$Z$15="","",'[29]سجل المستخلصات'!$Z$15)</f>
        <v/>
      </c>
      <c r="V34" s="59">
        <f>IF('[29]سجل المستخلصات'!$AA$15="","",'[29]سجل المستخلصات'!$AA$15)</f>
        <v/>
      </c>
      <c r="W34" s="59">
        <f>IF('[29]سجل المستخلصات'!$AC$15="","",'[29]سجل المستخلصات'!$AC$15)</f>
        <v/>
      </c>
      <c r="X34" s="62">
        <f>IF('[29]سجل المستخلصات'!$AD$15="","",'[29]سجل المستخلصات'!$AD$15)</f>
        <v/>
      </c>
      <c r="Y34" s="58">
        <f>IF('[29]سجل المستخلصات'!$AE$15="","",'[29]سجل المستخلصات'!$AE$15)</f>
        <v/>
      </c>
    </row>
    <row r="35">
      <c r="B35" s="56" t="n">
        <v>11</v>
      </c>
      <c r="C35" s="57">
        <f>IF('[29]سجل المستخلصات'!$C$16="","",'[29]سجل المستخلصات'!$C$16)</f>
        <v/>
      </c>
      <c r="D35" s="57">
        <f>IF('[29]سجل المستخلصات'!$E$16="","",'[29]سجل المستخلصات'!$E$16)</f>
        <v/>
      </c>
      <c r="E35" s="58">
        <f>IF('[29]سجل المستخلصات'!$F$16="","",'[29]سجل المستخلصات'!$F$16)</f>
        <v/>
      </c>
      <c r="F35" s="59">
        <f>IF('[29]سجل المستخلصات'!$H$16="","",'[29]سجل المستخلصات'!$H$16)</f>
        <v/>
      </c>
      <c r="G35" s="59">
        <f>IF('[29]سجل المستخلصات'!$G$16="","",'[29]سجل المستخلصات'!$G$16)</f>
        <v/>
      </c>
      <c r="H35" s="59">
        <f>IF('[29]سجل المستخلصات'!$I$16="","",'[29]سجل المستخلصات'!$I$16)</f>
        <v/>
      </c>
      <c r="I35" s="59">
        <f>IF('[29]سجل المستخلصات'!$J$16="","",'[29]سجل المستخلصات'!$J$16)</f>
        <v/>
      </c>
      <c r="J35" s="59">
        <f>IF('[29]سجل المستخلصات'!$K$16="","",'[29]سجل المستخلصات'!$K$16)</f>
        <v/>
      </c>
      <c r="K35" s="60">
        <f>IF('[29]سجل المستخلصات'!$L$16="","",'[29]سجل المستخلصات'!$L$16)</f>
        <v/>
      </c>
      <c r="L35" s="60">
        <f>IF('[29]سجل المستخلصات'!$M$16="","",'[29]سجل المستخلصات'!$M$16)</f>
        <v/>
      </c>
      <c r="M35" s="60">
        <f>IF('[29]سجل المستخلصات'!$N$16="","",'[29]سجل المستخلصات'!$N$16)</f>
        <v/>
      </c>
      <c r="N35" s="59">
        <f>IF('[29]سجل المستخلصات'!$O$16="","",'[29]سجل المستخلصات'!$O$16)</f>
        <v/>
      </c>
      <c r="O35" s="59">
        <f>IF('[29]سجل المستخلصات'!$R$16="","",'[29]سجل المستخلصات'!$R$16)</f>
        <v/>
      </c>
      <c r="P35" s="59">
        <f>IF('[29]سجل المستخلصات'!$S$16="","",'[29]سجل المستخلصات'!$S$16)</f>
        <v/>
      </c>
      <c r="Q35" s="59">
        <f>IF('[29]سجل المستخلصات'!$T$16="","",'[29]سجل المستخلصات'!$T$16)</f>
        <v/>
      </c>
      <c r="R35" s="59">
        <f>IF('[29]سجل المستخلصات'!$V$16="","",'[29]سجل المستخلصات'!$V$16)</f>
        <v/>
      </c>
      <c r="S35" s="59">
        <f>IF('[29]سجل المستخلصات'!$W$16="","",'[29]سجل المستخلصات'!$W$16)</f>
        <v/>
      </c>
      <c r="T35" s="61">
        <f>IF('[29]سجل المستخلصات'!$X$16="","",'[29]سجل المستخلصات'!$X$16)</f>
        <v/>
      </c>
      <c r="U35" s="61">
        <f>IF('[29]سجل المستخلصات'!$Z$16="","",'[29]سجل المستخلصات'!$Z$16)</f>
        <v/>
      </c>
      <c r="V35" s="59">
        <f>IF('[29]سجل المستخلصات'!$AA$16="","",'[29]سجل المستخلصات'!$AA$16)</f>
        <v/>
      </c>
      <c r="W35" s="59">
        <f>IF('[29]سجل المستخلصات'!$AC$16="","",'[29]سجل المستخلصات'!$AC$16)</f>
        <v/>
      </c>
      <c r="X35" s="62">
        <f>IF('[29]سجل المستخلصات'!$AD$16="","",'[29]سجل المستخلصات'!$AD$16)</f>
        <v/>
      </c>
      <c r="Y35" s="58">
        <f>IF('[29]سجل المستخلصات'!$AE$16="","",'[29]سجل المستخلصات'!$AE$16)</f>
        <v/>
      </c>
    </row>
    <row r="36">
      <c r="B36" s="56" t="n">
        <v>12</v>
      </c>
      <c r="C36" s="57">
        <f>IF('[29]سجل المستخلصات'!$C$17="","",'[29]سجل المستخلصات'!$C$17)</f>
        <v/>
      </c>
      <c r="D36" s="57">
        <f>IF('[29]سجل المستخلصات'!$E$17="","",'[29]سجل المستخلصات'!$E$17)</f>
        <v/>
      </c>
      <c r="E36" s="58">
        <f>IF('[29]سجل المستخلصات'!$F$17="","",'[29]سجل المستخلصات'!$F$17)</f>
        <v/>
      </c>
      <c r="F36" s="59">
        <f>IF('[29]سجل المستخلصات'!$H$17="","",'[29]سجل المستخلصات'!$H$17)</f>
        <v/>
      </c>
      <c r="G36" s="59">
        <f>IF('[29]سجل المستخلصات'!$G$17="","",'[29]سجل المستخلصات'!$G$17)</f>
        <v/>
      </c>
      <c r="H36" s="59">
        <f>IF('[29]سجل المستخلصات'!$I$17="","",'[29]سجل المستخلصات'!$I$17)</f>
        <v/>
      </c>
      <c r="I36" s="59">
        <f>IF('[29]سجل المستخلصات'!$J$17="","",'[29]سجل المستخلصات'!$J$17)</f>
        <v/>
      </c>
      <c r="J36" s="59">
        <f>IF('[29]سجل المستخلصات'!$K$17="","",'[29]سجل المستخلصات'!$K$17)</f>
        <v/>
      </c>
      <c r="K36" s="60">
        <f>IF('[29]سجل المستخلصات'!$L$17="","",'[29]سجل المستخلصات'!$L$17)</f>
        <v/>
      </c>
      <c r="L36" s="60">
        <f>IF('[29]سجل المستخلصات'!$M$17="","",'[29]سجل المستخلصات'!$M$17)</f>
        <v/>
      </c>
      <c r="M36" s="60">
        <f>IF('[29]سجل المستخلصات'!$N$17="","",'[29]سجل المستخلصات'!$N$17)</f>
        <v/>
      </c>
      <c r="N36" s="59">
        <f>IF('[29]سجل المستخلصات'!$O$17="","",'[29]سجل المستخلصات'!$O$17)</f>
        <v/>
      </c>
      <c r="O36" s="59">
        <f>IF('[29]سجل المستخلصات'!$R$17="","",'[29]سجل المستخلصات'!$R$17)</f>
        <v/>
      </c>
      <c r="P36" s="59">
        <f>IF('[29]سجل المستخلصات'!$S$17="","",'[29]سجل المستخلصات'!$S$17)</f>
        <v/>
      </c>
      <c r="Q36" s="59">
        <f>IF('[29]سجل المستخلصات'!$T$17="","",'[29]سجل المستخلصات'!$T$17)</f>
        <v/>
      </c>
      <c r="R36" s="59">
        <f>IF('[29]سجل المستخلصات'!$V$17="","",'[29]سجل المستخلصات'!$V$17)</f>
        <v/>
      </c>
      <c r="S36" s="59">
        <f>IF('[29]سجل المستخلصات'!$W$17="","",'[29]سجل المستخلصات'!$W$17)</f>
        <v/>
      </c>
      <c r="T36" s="61">
        <f>IF('[29]سجل المستخلصات'!$X$17="","",'[29]سجل المستخلصات'!$X$17)</f>
        <v/>
      </c>
      <c r="U36" s="61">
        <f>IF('[29]سجل المستخلصات'!$Z$17="","",'[29]سجل المستخلصات'!$Z$17)</f>
        <v/>
      </c>
      <c r="V36" s="59">
        <f>IF('[29]سجل المستخلصات'!$AA$17="","",'[29]سجل المستخلصات'!$AA$17)</f>
        <v/>
      </c>
      <c r="W36" s="59">
        <f>IF('[29]سجل المستخلصات'!$AC$17="","",'[29]سجل المستخلصات'!$AC$17)</f>
        <v/>
      </c>
      <c r="X36" s="62">
        <f>IF('[29]سجل المستخلصات'!$AD$17="","",'[29]سجل المستخلصات'!$AD$17)</f>
        <v/>
      </c>
      <c r="Y36" s="58">
        <f>IF('[29]سجل المستخلصات'!$AE$17="","",'[29]سجل المستخلصات'!$AE$17)</f>
        <v/>
      </c>
    </row>
    <row r="37">
      <c r="B37" s="56" t="n">
        <v>13</v>
      </c>
      <c r="C37" s="57">
        <f>IF('[29]سجل المستخلصات'!$C$18="","",'[29]سجل المستخلصات'!$C$18)</f>
        <v/>
      </c>
      <c r="D37" s="57">
        <f>IF('[29]سجل المستخلصات'!$E$18="","",'[29]سجل المستخلصات'!$E$18)</f>
        <v/>
      </c>
      <c r="E37" s="58">
        <f>IF('[29]سجل المستخلصات'!$F$18="","",'[29]سجل المستخلصات'!$F$18)</f>
        <v/>
      </c>
      <c r="F37" s="59">
        <f>IF('[29]سجل المستخلصات'!$H$18="","",'[29]سجل المستخلصات'!$H$18)</f>
        <v/>
      </c>
      <c r="G37" s="59">
        <f>IF('[29]سجل المستخلصات'!$G$18="","",'[29]سجل المستخلصات'!$G$18)</f>
        <v/>
      </c>
      <c r="H37" s="59">
        <f>IF('[29]سجل المستخلصات'!$I$18="","",'[29]سجل المستخلصات'!$I$18)</f>
        <v/>
      </c>
      <c r="I37" s="59">
        <f>IF('[29]سجل المستخلصات'!$J$18="","",'[29]سجل المستخلصات'!$J$18)</f>
        <v/>
      </c>
      <c r="J37" s="59">
        <f>IF('[29]سجل المستخلصات'!$K$18="","",'[29]سجل المستخلصات'!$K$18)</f>
        <v/>
      </c>
      <c r="K37" s="60">
        <f>IF('[29]سجل المستخلصات'!$L$18="","",'[29]سجل المستخلصات'!$L$18)</f>
        <v/>
      </c>
      <c r="L37" s="60">
        <f>IF('[29]سجل المستخلصات'!$M$18="","",'[29]سجل المستخلصات'!$M$18)</f>
        <v/>
      </c>
      <c r="M37" s="60">
        <f>IF('[29]سجل المستخلصات'!$N$18="","",'[29]سجل المستخلصات'!$N$18)</f>
        <v/>
      </c>
      <c r="N37" s="59">
        <f>IF('[29]سجل المستخلصات'!$O$18="","",'[29]سجل المستخلصات'!$O$18)</f>
        <v/>
      </c>
      <c r="O37" s="59">
        <f>IF('[29]سجل المستخلصات'!$R$18="","",'[29]سجل المستخلصات'!$R$18)</f>
        <v/>
      </c>
      <c r="P37" s="59">
        <f>IF('[29]سجل المستخلصات'!$S$18="","",'[29]سجل المستخلصات'!$S$18)</f>
        <v/>
      </c>
      <c r="Q37" s="59">
        <f>IF('[29]سجل المستخلصات'!$T$18="","",'[29]سجل المستخلصات'!$T$18)</f>
        <v/>
      </c>
      <c r="R37" s="59">
        <f>IF('[29]سجل المستخلصات'!$V$18="","",'[29]سجل المستخلصات'!$V$18)</f>
        <v/>
      </c>
      <c r="S37" s="59">
        <f>IF('[29]سجل المستخلصات'!$W$18="","",'[29]سجل المستخلصات'!$W$18)</f>
        <v/>
      </c>
      <c r="T37" s="61">
        <f>IF('[29]سجل المستخلصات'!$X$18="","",'[29]سجل المستخلصات'!$X$18)</f>
        <v/>
      </c>
      <c r="U37" s="61">
        <f>IF('[29]سجل المستخلصات'!$Z$18="","",'[29]سجل المستخلصات'!$Z$18)</f>
        <v/>
      </c>
      <c r="V37" s="59">
        <f>IF('[29]سجل المستخلصات'!$AA$18="","",'[29]سجل المستخلصات'!$AA$18)</f>
        <v/>
      </c>
      <c r="W37" s="59">
        <f>IF('[29]سجل المستخلصات'!$AC$18="","",'[29]سجل المستخلصات'!$AC$18)</f>
        <v/>
      </c>
      <c r="X37" s="62">
        <f>IF('[29]سجل المستخلصات'!$AD$18="","",'[29]سجل المستخلصات'!$AD$18)</f>
        <v/>
      </c>
      <c r="Y37" s="58">
        <f>IF('[29]سجل المستخلصات'!$AE$18="","",'[29]سجل المستخلصات'!$AE$18)</f>
        <v/>
      </c>
    </row>
    <row r="38">
      <c r="B38" s="56" t="n">
        <v>14</v>
      </c>
      <c r="C38" s="57">
        <f>IF('[29]سجل المستخلصات'!$C$19="","",'[29]سجل المستخلصات'!$C$19)</f>
        <v/>
      </c>
      <c r="D38" s="57">
        <f>IF('[29]سجل المستخلصات'!$E$19="","",'[29]سجل المستخلصات'!$E$19)</f>
        <v/>
      </c>
      <c r="E38" s="58">
        <f>IF('[29]سجل المستخلصات'!$F$19="","",'[29]سجل المستخلصات'!$F$19)</f>
        <v/>
      </c>
      <c r="F38" s="59">
        <f>IF('[29]سجل المستخلصات'!$H$19="","",'[29]سجل المستخلصات'!$H$19)</f>
        <v/>
      </c>
      <c r="G38" s="59">
        <f>IF('[29]سجل المستخلصات'!$G$19="","",'[29]سجل المستخلصات'!$G$19)</f>
        <v/>
      </c>
      <c r="H38" s="59">
        <f>IF('[29]سجل المستخلصات'!$I$19="","",'[29]سجل المستخلصات'!$I$19)</f>
        <v/>
      </c>
      <c r="I38" s="59">
        <f>IF('[29]سجل المستخلصات'!$J$19="","",'[29]سجل المستخلصات'!$J$19)</f>
        <v/>
      </c>
      <c r="J38" s="59">
        <f>IF('[29]سجل المستخلصات'!$K$19="","",'[29]سجل المستخلصات'!$K$19)</f>
        <v/>
      </c>
      <c r="K38" s="60">
        <f>IF('[29]سجل المستخلصات'!$L$19="","",'[29]سجل المستخلصات'!$L$19)</f>
        <v/>
      </c>
      <c r="L38" s="60">
        <f>IF('[29]سجل المستخلصات'!$M$19="","",'[29]سجل المستخلصات'!$M$19)</f>
        <v/>
      </c>
      <c r="M38" s="60">
        <f>IF('[29]سجل المستخلصات'!$N$19="","",'[29]سجل المستخلصات'!$N$19)</f>
        <v/>
      </c>
      <c r="N38" s="59">
        <f>IF('[29]سجل المستخلصات'!$O$19="","",'[29]سجل المستخلصات'!$O$19)</f>
        <v/>
      </c>
      <c r="O38" s="59">
        <f>IF('[29]سجل المستخلصات'!$R$19="","",'[29]سجل المستخلصات'!$R$19)</f>
        <v/>
      </c>
      <c r="P38" s="59">
        <f>IF('[29]سجل المستخلصات'!$S$19="","",'[29]سجل المستخلصات'!$S$19)</f>
        <v/>
      </c>
      <c r="Q38" s="59">
        <f>IF('[29]سجل المستخلصات'!$T$19="","",'[29]سجل المستخلصات'!$T$19)</f>
        <v/>
      </c>
      <c r="R38" s="59">
        <f>IF('[29]سجل المستخلصات'!$V$19="","",'[29]سجل المستخلصات'!$V$19)</f>
        <v/>
      </c>
      <c r="S38" s="59">
        <f>IF('[29]سجل المستخلصات'!$W$19="","",'[29]سجل المستخلصات'!$W$19)</f>
        <v/>
      </c>
      <c r="T38" s="61">
        <f>IF('[29]سجل المستخلصات'!$X$19="","",'[29]سجل المستخلصات'!$X$19)</f>
        <v/>
      </c>
      <c r="U38" s="61">
        <f>IF('[29]سجل المستخلصات'!$Z$19="","",'[29]سجل المستخلصات'!$Z$19)</f>
        <v/>
      </c>
      <c r="V38" s="59">
        <f>IF('[29]سجل المستخلصات'!$AA$19="","",'[29]سجل المستخلصات'!$AA$19)</f>
        <v/>
      </c>
      <c r="W38" s="59">
        <f>IF('[29]سجل المستخلصات'!$AC$19="","",'[29]سجل المستخلصات'!$AC$19)</f>
        <v/>
      </c>
      <c r="X38" s="62">
        <f>IF('[29]سجل المستخلصات'!$AD$19="","",'[29]سجل المستخلصات'!$AD$19)</f>
        <v/>
      </c>
      <c r="Y38" s="58">
        <f>IF('[29]سجل المستخلصات'!$AE$19="","",'[29]سجل المستخلصات'!$AE$19)</f>
        <v/>
      </c>
    </row>
    <row r="39">
      <c r="B39" s="56" t="n">
        <v>15</v>
      </c>
      <c r="C39" s="57">
        <f>IF('[29]سجل المستخلصات'!$C$20="","",'[29]سجل المستخلصات'!$C$20)</f>
        <v/>
      </c>
      <c r="D39" s="57">
        <f>IF('[29]سجل المستخلصات'!$E$20="","",'[29]سجل المستخلصات'!$E$20)</f>
        <v/>
      </c>
      <c r="E39" s="58">
        <f>IF('[29]سجل المستخلصات'!$F$20="","",'[29]سجل المستخلصات'!$F$20)</f>
        <v/>
      </c>
      <c r="F39" s="59">
        <f>IF('[29]سجل المستخلصات'!$H$20="","",'[29]سجل المستخلصات'!$H$20)</f>
        <v/>
      </c>
      <c r="G39" s="59">
        <f>IF('[29]سجل المستخلصات'!$G$20="","",'[29]سجل المستخلصات'!$G$20)</f>
        <v/>
      </c>
      <c r="H39" s="59">
        <f>IF('[29]سجل المستخلصات'!$I$20="","",'[29]سجل المستخلصات'!$I$20)</f>
        <v/>
      </c>
      <c r="I39" s="59">
        <f>IF('[29]سجل المستخلصات'!$J$20="","",'[29]سجل المستخلصات'!$J$20)</f>
        <v/>
      </c>
      <c r="J39" s="59">
        <f>IF('[29]سجل المستخلصات'!$K$20="","",'[29]سجل المستخلصات'!$K$20)</f>
        <v/>
      </c>
      <c r="K39" s="60">
        <f>IF('[29]سجل المستخلصات'!$L$20="","",'[29]سجل المستخلصات'!$L$20)</f>
        <v/>
      </c>
      <c r="L39" s="60">
        <f>IF('[29]سجل المستخلصات'!$M$20="","",'[29]سجل المستخلصات'!$M$20)</f>
        <v/>
      </c>
      <c r="M39" s="60">
        <f>IF('[29]سجل المستخلصات'!$N$20="","",'[29]سجل المستخلصات'!$N$20)</f>
        <v/>
      </c>
      <c r="N39" s="59">
        <f>IF('[29]سجل المستخلصات'!$O$20="","",'[29]سجل المستخلصات'!$O$20)</f>
        <v/>
      </c>
      <c r="O39" s="59">
        <f>IF('[29]سجل المستخلصات'!$R$20="","",'[29]سجل المستخلصات'!$R$20)</f>
        <v/>
      </c>
      <c r="P39" s="59">
        <f>IF('[29]سجل المستخلصات'!$S$20="","",'[29]سجل المستخلصات'!$S$20)</f>
        <v/>
      </c>
      <c r="Q39" s="59">
        <f>IF('[29]سجل المستخلصات'!$T$20="","",'[29]سجل المستخلصات'!$T$20)</f>
        <v/>
      </c>
      <c r="R39" s="59">
        <f>IF('[29]سجل المستخلصات'!$V$20="","",'[29]سجل المستخلصات'!$V$20)</f>
        <v/>
      </c>
      <c r="S39" s="59">
        <f>IF('[29]سجل المستخلصات'!$W$20="","",'[29]سجل المستخلصات'!$W$20)</f>
        <v/>
      </c>
      <c r="T39" s="61">
        <f>IF('[29]سجل المستخلصات'!$X$20="","",'[29]سجل المستخلصات'!$X$20)</f>
        <v/>
      </c>
      <c r="U39" s="61">
        <f>IF('[29]سجل المستخلصات'!$Z$20="","",'[29]سجل المستخلصات'!$Z$20)</f>
        <v/>
      </c>
      <c r="V39" s="59">
        <f>IF('[29]سجل المستخلصات'!$AA$20="","",'[29]سجل المستخلصات'!$AA$20)</f>
        <v/>
      </c>
      <c r="W39" s="59">
        <f>IF('[29]سجل المستخلصات'!$AC$20="","",'[29]سجل المستخلصات'!$AC$20)</f>
        <v/>
      </c>
      <c r="X39" s="62">
        <f>IF('[29]سجل المستخلصات'!$AD$20="","",'[29]سجل المستخلصات'!$AD$20)</f>
        <v/>
      </c>
      <c r="Y39" s="58">
        <f>IF('[29]سجل المستخلصات'!$AE$20="","",'[29]سجل المستخلصات'!$AE$20)</f>
        <v/>
      </c>
    </row>
    <row r="40">
      <c r="B40" s="56" t="n">
        <v>16</v>
      </c>
      <c r="C40" s="57">
        <f>IF('[29]سجل المستخلصات'!$C$21="","",'[29]سجل المستخلصات'!$C$21)</f>
        <v/>
      </c>
      <c r="D40" s="57">
        <f>IF('[29]سجل المستخلصات'!$E$21="","",'[29]سجل المستخلصات'!$E$21)</f>
        <v/>
      </c>
      <c r="E40" s="58">
        <f>IF('[29]سجل المستخلصات'!$F$21="","",'[29]سجل المستخلصات'!$F$21)</f>
        <v/>
      </c>
      <c r="F40" s="59">
        <f>IF('[29]سجل المستخلصات'!$H$21="","",'[29]سجل المستخلصات'!$H$21)</f>
        <v/>
      </c>
      <c r="G40" s="59">
        <f>IF('[29]سجل المستخلصات'!$G$21="","",'[29]سجل المستخلصات'!$G$21)</f>
        <v/>
      </c>
      <c r="H40" s="59">
        <f>IF('[29]سجل المستخلصات'!$I$21="","",'[29]سجل المستخلصات'!$I$21)</f>
        <v/>
      </c>
      <c r="I40" s="59">
        <f>IF('[29]سجل المستخلصات'!$J$21="","",'[29]سجل المستخلصات'!$J$21)</f>
        <v/>
      </c>
      <c r="J40" s="59">
        <f>IF('[29]سجل المستخلصات'!$K$21="","",'[29]سجل المستخلصات'!$K$21)</f>
        <v/>
      </c>
      <c r="K40" s="60">
        <f>IF('[29]سجل المستخلصات'!$L$21="","",'[29]سجل المستخلصات'!$L$21)</f>
        <v/>
      </c>
      <c r="L40" s="60">
        <f>IF('[29]سجل المستخلصات'!$M$21="","",'[29]سجل المستخلصات'!$M$21)</f>
        <v/>
      </c>
      <c r="M40" s="60">
        <f>IF('[29]سجل المستخلصات'!$N$21="","",'[29]سجل المستخلصات'!$N$21)</f>
        <v/>
      </c>
      <c r="N40" s="59">
        <f>IF('[29]سجل المستخلصات'!$O$21="","",'[29]سجل المستخلصات'!$O$21)</f>
        <v/>
      </c>
      <c r="O40" s="59">
        <f>IF('[29]سجل المستخلصات'!$R$21="","",'[29]سجل المستخلصات'!$R$21)</f>
        <v/>
      </c>
      <c r="P40" s="59">
        <f>IF('[29]سجل المستخلصات'!$S$21="","",'[29]سجل المستخلصات'!$S$21)</f>
        <v/>
      </c>
      <c r="Q40" s="59">
        <f>IF('[29]سجل المستخلصات'!$T$21="","",'[29]سجل المستخلصات'!$T$21)</f>
        <v/>
      </c>
      <c r="R40" s="59">
        <f>IF('[29]سجل المستخلصات'!$V$21="","",'[29]سجل المستخلصات'!$V$21)</f>
        <v/>
      </c>
      <c r="S40" s="59">
        <f>IF('[29]سجل المستخلصات'!$W$21="","",'[29]سجل المستخلصات'!$W$21)</f>
        <v/>
      </c>
      <c r="T40" s="61">
        <f>IF('[29]سجل المستخلصات'!$X$21="","",'[29]سجل المستخلصات'!$X$21)</f>
        <v/>
      </c>
      <c r="U40" s="61">
        <f>IF('[29]سجل المستخلصات'!$Z$21="","",'[29]سجل المستخلصات'!$Z$21)</f>
        <v/>
      </c>
      <c r="V40" s="59">
        <f>IF('[29]سجل المستخلصات'!$AA$21="","",'[29]سجل المستخلصات'!$AA$21)</f>
        <v/>
      </c>
      <c r="W40" s="59">
        <f>IF('[29]سجل المستخلصات'!$AC$21="","",'[29]سجل المستخلصات'!$AC$21)</f>
        <v/>
      </c>
      <c r="X40" s="62">
        <f>IF('[29]سجل المستخلصات'!$AD$21="","",'[29]سجل المستخلصات'!$AD$21)</f>
        <v/>
      </c>
      <c r="Y40" s="58">
        <f>IF('[29]سجل المستخلصات'!$AE$21="","",'[29]سجل المستخلصات'!$AE$21)</f>
        <v/>
      </c>
    </row>
    <row r="41">
      <c r="B41" s="56" t="n">
        <v>17</v>
      </c>
      <c r="C41" s="57">
        <f>IF('[29]سجل المستخلصات'!$C$22="","",'[29]سجل المستخلصات'!$C$22)</f>
        <v/>
      </c>
      <c r="D41" s="57">
        <f>IF('[29]سجل المستخلصات'!$E$22="","",'[29]سجل المستخلصات'!$E$22)</f>
        <v/>
      </c>
      <c r="E41" s="58">
        <f>IF('[29]سجل المستخلصات'!$F$22="","",'[29]سجل المستخلصات'!$F$22)</f>
        <v/>
      </c>
      <c r="F41" s="59">
        <f>IF('[29]سجل المستخلصات'!$H$22="","",'[29]سجل المستخلصات'!$H$22)</f>
        <v/>
      </c>
      <c r="G41" s="59">
        <f>IF('[29]سجل المستخلصات'!$G$22="","",'[29]سجل المستخلصات'!$G$22)</f>
        <v/>
      </c>
      <c r="H41" s="59">
        <f>IF('[29]سجل المستخلصات'!$I$22="","",'[29]سجل المستخلصات'!$I$22)</f>
        <v/>
      </c>
      <c r="I41" s="59">
        <f>IF('[29]سجل المستخلصات'!$J$22="","",'[29]سجل المستخلصات'!$J$22)</f>
        <v/>
      </c>
      <c r="J41" s="59">
        <f>IF('[29]سجل المستخلصات'!$K$22="","",'[29]سجل المستخلصات'!$K$22)</f>
        <v/>
      </c>
      <c r="K41" s="60">
        <f>IF('[29]سجل المستخلصات'!$L$22="","",'[29]سجل المستخلصات'!$L$22)</f>
        <v/>
      </c>
      <c r="L41" s="60">
        <f>IF('[29]سجل المستخلصات'!$M$22="","",'[29]سجل المستخلصات'!$M$22)</f>
        <v/>
      </c>
      <c r="M41" s="60">
        <f>IF('[29]سجل المستخلصات'!$N$22="","",'[29]سجل المستخلصات'!$N$22)</f>
        <v/>
      </c>
      <c r="N41" s="59">
        <f>IF('[29]سجل المستخلصات'!$O$22="","",'[29]سجل المستخلصات'!$O$22)</f>
        <v/>
      </c>
      <c r="O41" s="59">
        <f>IF('[29]سجل المستخلصات'!$R$22="","",'[29]سجل المستخلصات'!$R$22)</f>
        <v/>
      </c>
      <c r="P41" s="59">
        <f>IF('[29]سجل المستخلصات'!$S$22="","",'[29]سجل المستخلصات'!$S$22)</f>
        <v/>
      </c>
      <c r="Q41" s="59">
        <f>IF('[29]سجل المستخلصات'!$T$22="","",'[29]سجل المستخلصات'!$T$22)</f>
        <v/>
      </c>
      <c r="R41" s="59">
        <f>IF('[29]سجل المستخلصات'!$V$22="","",'[29]سجل المستخلصات'!$V$22)</f>
        <v/>
      </c>
      <c r="S41" s="59">
        <f>IF('[29]سجل المستخلصات'!$W$22="","",'[29]سجل المستخلصات'!$W$22)</f>
        <v/>
      </c>
      <c r="T41" s="61">
        <f>IF('[29]سجل المستخلصات'!$X$22="","",'[29]سجل المستخلصات'!$X$22)</f>
        <v/>
      </c>
      <c r="U41" s="61">
        <f>IF('[29]سجل المستخلصات'!$Z$22="","",'[29]سجل المستخلصات'!$Z$22)</f>
        <v/>
      </c>
      <c r="V41" s="59">
        <f>IF('[29]سجل المستخلصات'!$AA$22="","",'[29]سجل المستخلصات'!$AA$22)</f>
        <v/>
      </c>
      <c r="W41" s="59">
        <f>IF('[29]سجل المستخلصات'!$AC$22="","",'[29]سجل المستخلصات'!$AC$22)</f>
        <v/>
      </c>
      <c r="X41" s="62">
        <f>IF('[29]سجل المستخلصات'!$AD$22="","",'[29]سجل المستخلصات'!$AD$22)</f>
        <v/>
      </c>
      <c r="Y41" s="58">
        <f>IF('[29]سجل المستخلصات'!$AE$22="","",'[29]سجل المستخلصات'!$AE$22)</f>
        <v/>
      </c>
    </row>
    <row r="42">
      <c r="B42" s="56" t="n">
        <v>18</v>
      </c>
      <c r="C42" s="57">
        <f>IF('[29]سجل المستخلصات'!$C$23="","",'[29]سجل المستخلصات'!$C$23)</f>
        <v/>
      </c>
      <c r="D42" s="57">
        <f>IF('[29]سجل المستخلصات'!$E$23="","",'[29]سجل المستخلصات'!$E$23)</f>
        <v/>
      </c>
      <c r="E42" s="58">
        <f>IF('[29]سجل المستخلصات'!$F$23="","",'[29]سجل المستخلصات'!$F$23)</f>
        <v/>
      </c>
      <c r="F42" s="59">
        <f>IF('[29]سجل المستخلصات'!$H$23="","",'[29]سجل المستخلصات'!$H$23)</f>
        <v/>
      </c>
      <c r="G42" s="59">
        <f>IF('[29]سجل المستخلصات'!$G$23="","",'[29]سجل المستخلصات'!$G$23)</f>
        <v/>
      </c>
      <c r="H42" s="59">
        <f>IF('[29]سجل المستخلصات'!$I$23="","",'[29]سجل المستخلصات'!$I$23)</f>
        <v/>
      </c>
      <c r="I42" s="59">
        <f>IF('[29]سجل المستخلصات'!$J$23="","",'[29]سجل المستخلصات'!$J$23)</f>
        <v/>
      </c>
      <c r="J42" s="59">
        <f>IF('[29]سجل المستخلصات'!$K$23="","",'[29]سجل المستخلصات'!$K$23)</f>
        <v/>
      </c>
      <c r="K42" s="60">
        <f>IF('[29]سجل المستخلصات'!$L$23="","",'[29]سجل المستخلصات'!$L$23)</f>
        <v/>
      </c>
      <c r="L42" s="60">
        <f>IF('[29]سجل المستخلصات'!$M$23="","",'[29]سجل المستخلصات'!$M$23)</f>
        <v/>
      </c>
      <c r="M42" s="60">
        <f>IF('[29]سجل المستخلصات'!$N$23="","",'[29]سجل المستخلصات'!$N$23)</f>
        <v/>
      </c>
      <c r="N42" s="59">
        <f>IF('[29]سجل المستخلصات'!$O$23="","",'[29]سجل المستخلصات'!$O$23)</f>
        <v/>
      </c>
      <c r="O42" s="59">
        <f>IF('[29]سجل المستخلصات'!$R$23="","",'[29]سجل المستخلصات'!$R$23)</f>
        <v/>
      </c>
      <c r="P42" s="59">
        <f>IF('[29]سجل المستخلصات'!$S$23="","",'[29]سجل المستخلصات'!$S$23)</f>
        <v/>
      </c>
      <c r="Q42" s="59">
        <f>IF('[29]سجل المستخلصات'!$T$23="","",'[29]سجل المستخلصات'!$T$23)</f>
        <v/>
      </c>
      <c r="R42" s="59">
        <f>IF('[29]سجل المستخلصات'!$V$23="","",'[29]سجل المستخلصات'!$V$23)</f>
        <v/>
      </c>
      <c r="S42" s="59">
        <f>IF('[29]سجل المستخلصات'!$W$23="","",'[29]سجل المستخلصات'!$W$23)</f>
        <v/>
      </c>
      <c r="T42" s="61">
        <f>IF('[29]سجل المستخلصات'!$X$23="","",'[29]سجل المستخلصات'!$X$23)</f>
        <v/>
      </c>
      <c r="U42" s="61">
        <f>IF('[29]سجل المستخلصات'!$Z$23="","",'[29]سجل المستخلصات'!$Z$23)</f>
        <v/>
      </c>
      <c r="V42" s="59">
        <f>IF('[29]سجل المستخلصات'!$AA$23="","",'[29]سجل المستخلصات'!$AA$23)</f>
        <v/>
      </c>
      <c r="W42" s="59">
        <f>IF('[29]سجل المستخلصات'!$AC$23="","",'[29]سجل المستخلصات'!$AC$23)</f>
        <v/>
      </c>
      <c r="X42" s="62">
        <f>IF('[29]سجل المستخلصات'!$AD$23="","",'[29]سجل المستخلصات'!$AD$23)</f>
        <v/>
      </c>
      <c r="Y42" s="58">
        <f>IF('[29]سجل المستخلصات'!$AE$23="","",'[29]سجل المستخلصات'!$AE$23)</f>
        <v/>
      </c>
    </row>
    <row r="43">
      <c r="B43" s="56" t="n">
        <v>19</v>
      </c>
      <c r="C43" s="57">
        <f>IF('[29]سجل المستخلصات'!$C$24="","",'[29]سجل المستخلصات'!$C$24)</f>
        <v/>
      </c>
      <c r="D43" s="57">
        <f>IF('[29]سجل المستخلصات'!$E$24="","",'[29]سجل المستخلصات'!$E$24)</f>
        <v/>
      </c>
      <c r="E43" s="58">
        <f>IF('[29]سجل المستخلصات'!$F$24="","",'[29]سجل المستخلصات'!$F$24)</f>
        <v/>
      </c>
      <c r="F43" s="59">
        <f>IF('[29]سجل المستخلصات'!$H$24="","",'[29]سجل المستخلصات'!$H$24)</f>
        <v/>
      </c>
      <c r="G43" s="59">
        <f>IF('[29]سجل المستخلصات'!$G$24="","",'[29]سجل المستخلصات'!$G$24)</f>
        <v/>
      </c>
      <c r="H43" s="59">
        <f>IF('[29]سجل المستخلصات'!$I$24="","",'[29]سجل المستخلصات'!$I$24)</f>
        <v/>
      </c>
      <c r="I43" s="59">
        <f>IF('[29]سجل المستخلصات'!$J$24="","",'[29]سجل المستخلصات'!$J$24)</f>
        <v/>
      </c>
      <c r="J43" s="59">
        <f>IF('[29]سجل المستخلصات'!$K$24="","",'[29]سجل المستخلصات'!$K$24)</f>
        <v/>
      </c>
      <c r="K43" s="60">
        <f>IF('[29]سجل المستخلصات'!$L$24="","",'[29]سجل المستخلصات'!$L$24)</f>
        <v/>
      </c>
      <c r="L43" s="60">
        <f>IF('[29]سجل المستخلصات'!$M$24="","",'[29]سجل المستخلصات'!$M$24)</f>
        <v/>
      </c>
      <c r="M43" s="60">
        <f>IF('[29]سجل المستخلصات'!$N$24="","",'[29]سجل المستخلصات'!$N$24)</f>
        <v/>
      </c>
      <c r="N43" s="59">
        <f>IF('[29]سجل المستخلصات'!$O$24="","",'[29]سجل المستخلصات'!$O$24)</f>
        <v/>
      </c>
      <c r="O43" s="59">
        <f>IF('[29]سجل المستخلصات'!$R$24="","",'[29]سجل المستخلصات'!$R$24)</f>
        <v/>
      </c>
      <c r="P43" s="59">
        <f>IF('[29]سجل المستخلصات'!$S$24="","",'[29]سجل المستخلصات'!$S$24)</f>
        <v/>
      </c>
      <c r="Q43" s="59">
        <f>IF('[29]سجل المستخلصات'!$T$24="","",'[29]سجل المستخلصات'!$T$24)</f>
        <v/>
      </c>
      <c r="R43" s="59">
        <f>IF('[29]سجل المستخلصات'!$V$24="","",'[29]سجل المستخلصات'!$V$24)</f>
        <v/>
      </c>
      <c r="S43" s="59">
        <f>IF('[29]سجل المستخلصات'!$W$24="","",'[29]سجل المستخلصات'!$W$24)</f>
        <v/>
      </c>
      <c r="T43" s="61">
        <f>IF('[29]سجل المستخلصات'!$X$24="","",'[29]سجل المستخلصات'!$X$24)</f>
        <v/>
      </c>
      <c r="U43" s="61">
        <f>IF('[29]سجل المستخلصات'!$Z$24="","",'[29]سجل المستخلصات'!$Z$24)</f>
        <v/>
      </c>
      <c r="V43" s="59">
        <f>IF('[29]سجل المستخلصات'!$AA$24="","",'[29]سجل المستخلصات'!$AA$24)</f>
        <v/>
      </c>
      <c r="W43" s="59">
        <f>IF('[29]سجل المستخلصات'!$AC$24="","",'[29]سجل المستخلصات'!$AC$24)</f>
        <v/>
      </c>
      <c r="X43" s="62">
        <f>IF('[29]سجل المستخلصات'!$AD$24="","",'[29]سجل المستخلصات'!$AD$24)</f>
        <v/>
      </c>
      <c r="Y43" s="58">
        <f>IF('[29]سجل المستخلصات'!$AE$24="","",'[29]سجل المستخلصات'!$AE$24)</f>
        <v/>
      </c>
    </row>
    <row r="44">
      <c r="B44" s="56" t="n">
        <v>20</v>
      </c>
      <c r="C44" s="57">
        <f>IF('[29]سجل المستخلصات'!$C$25="","",'[29]سجل المستخلصات'!$C$25)</f>
        <v/>
      </c>
      <c r="D44" s="57">
        <f>IF('[29]سجل المستخلصات'!$E$25="","",'[29]سجل المستخلصات'!$E$25)</f>
        <v/>
      </c>
      <c r="E44" s="58">
        <f>IF('[29]سجل المستخلصات'!$F$25="","",'[29]سجل المستخلصات'!$F$25)</f>
        <v/>
      </c>
      <c r="F44" s="59">
        <f>IF('[29]سجل المستخلصات'!$H$25="","",'[29]سجل المستخلصات'!$H$25)</f>
        <v/>
      </c>
      <c r="G44" s="59">
        <f>IF('[29]سجل المستخلصات'!$G$25="","",'[29]سجل المستخلصات'!$G$25)</f>
        <v/>
      </c>
      <c r="H44" s="59">
        <f>IF('[29]سجل المستخلصات'!$I$25="","",'[29]سجل المستخلصات'!$I$25)</f>
        <v/>
      </c>
      <c r="I44" s="59">
        <f>IF('[29]سجل المستخلصات'!$J$25="","",'[29]سجل المستخلصات'!$J$25)</f>
        <v/>
      </c>
      <c r="J44" s="59">
        <f>IF('[29]سجل المستخلصات'!$K$25="","",'[29]سجل المستخلصات'!$K$25)</f>
        <v/>
      </c>
      <c r="K44" s="60">
        <f>IF('[29]سجل المستخلصات'!$L$25="","",'[29]سجل المستخلصات'!$L$25)</f>
        <v/>
      </c>
      <c r="L44" s="60">
        <f>IF('[29]سجل المستخلصات'!$M$25="","",'[29]سجل المستخلصات'!$M$25)</f>
        <v/>
      </c>
      <c r="M44" s="60">
        <f>IF('[29]سجل المستخلصات'!$N$25="","",'[29]سجل المستخلصات'!$N$25)</f>
        <v/>
      </c>
      <c r="N44" s="59">
        <f>IF('[29]سجل المستخلصات'!$O$25="","",'[29]سجل المستخلصات'!$O$25)</f>
        <v/>
      </c>
      <c r="O44" s="59">
        <f>IF('[29]سجل المستخلصات'!$R$25="","",'[29]سجل المستخلصات'!$R$25)</f>
        <v/>
      </c>
      <c r="P44" s="59">
        <f>IF('[29]سجل المستخلصات'!$S$25="","",'[29]سجل المستخلصات'!$S$25)</f>
        <v/>
      </c>
      <c r="Q44" s="59">
        <f>IF('[29]سجل المستخلصات'!$T$25="","",'[29]سجل المستخلصات'!$T$25)</f>
        <v/>
      </c>
      <c r="R44" s="59">
        <f>IF('[29]سجل المستخلصات'!$V$25="","",'[29]سجل المستخلصات'!$V$25)</f>
        <v/>
      </c>
      <c r="S44" s="59">
        <f>IF('[29]سجل المستخلصات'!$W$25="","",'[29]سجل المستخلصات'!$W$25)</f>
        <v/>
      </c>
      <c r="T44" s="61">
        <f>IF('[29]سجل المستخلصات'!$X$25="","",'[29]سجل المستخلصات'!$X$25)</f>
        <v/>
      </c>
      <c r="U44" s="61">
        <f>IF('[29]سجل المستخلصات'!$Z$25="","",'[29]سجل المستخلصات'!$Z$25)</f>
        <v/>
      </c>
      <c r="V44" s="59">
        <f>IF('[29]سجل المستخلصات'!$AA$25="","",'[29]سجل المستخلصات'!$AA$25)</f>
        <v/>
      </c>
      <c r="W44" s="59">
        <f>IF('[29]سجل المستخلصات'!$AC$25="","",'[29]سجل المستخلصات'!$AC$25)</f>
        <v/>
      </c>
      <c r="X44" s="62">
        <f>IF('[29]سجل المستخلصات'!$AD$25="","",'[29]سجل المستخلصات'!$AD$25)</f>
        <v/>
      </c>
      <c r="Y44" s="58">
        <f>IF('[29]سجل المستخلصات'!$AE$25="","",'[29]سجل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IF('[29]سجل المستخلصات'!$B$32="","",'[29]سجل المستخلصات'!$B$32)</f>
        <v/>
      </c>
      <c r="C50" s="69" t="n"/>
      <c r="D50" s="69" t="n"/>
      <c r="E50" s="59">
        <f>N('[29]سجل المستخلصات'!$E$32)</f>
        <v/>
      </c>
      <c r="F50" s="59">
        <f>N('[29]سجل المستخلصات'!$F$32)</f>
        <v/>
      </c>
      <c r="G50" s="70">
        <f>IF(E50&gt;0,F50/E50,0)</f>
        <v/>
      </c>
    </row>
    <row r="51">
      <c r="B51" s="69">
        <f>IF('[29]سجل المستخلصات'!$B$33="","",'[29]سجل المستخلصات'!$B$33)</f>
        <v/>
      </c>
      <c r="C51" s="69" t="n"/>
      <c r="D51" s="69" t="n"/>
      <c r="E51" s="59">
        <f>N('[29]سجل المستخلصات'!$E$33)</f>
        <v/>
      </c>
      <c r="F51" s="59">
        <f>N('[29]سجل المستخلصات'!$F$33)</f>
        <v/>
      </c>
      <c r="G51" s="70">
        <f>IF(E51&gt;0,F51/E51,0)</f>
        <v/>
      </c>
    </row>
    <row r="52">
      <c r="B52" s="69">
        <f>IF('[29]سجل المستخلصات'!$B$34="","",'[29]سجل المستخلصات'!$B$34)</f>
        <v/>
      </c>
      <c r="C52" s="69" t="n"/>
      <c r="D52" s="69" t="n"/>
      <c r="E52" s="59">
        <f>N('[29]سجل المستخلصات'!$E$34)</f>
        <v/>
      </c>
      <c r="F52" s="59">
        <f>N('[29]سجل المستخلصات'!$F$34)</f>
        <v/>
      </c>
      <c r="G52" s="70">
        <f>IF(E52&gt;0,F52/E52,0)</f>
        <v/>
      </c>
    </row>
    <row r="53">
      <c r="B53" s="69">
        <f>IF('[29]سجل المستخلصات'!$B$35="","",'[29]سجل المستخلصات'!$B$35)</f>
        <v/>
      </c>
      <c r="C53" s="69" t="n"/>
      <c r="D53" s="69" t="n"/>
      <c r="E53" s="59">
        <f>N('[29]سجل المستخلصات'!$E$35)</f>
        <v/>
      </c>
      <c r="F53" s="59">
        <f>N('[29]سجل المستخلصات'!$F$35)</f>
        <v/>
      </c>
      <c r="G53" s="70">
        <f>IF(E53&gt;0,F53/E53,0)</f>
        <v/>
      </c>
    </row>
    <row r="54">
      <c r="B54" s="69">
        <f>IF('[29]سجل المستخلصات'!$B$36="","",'[29]سجل المستخلصات'!$B$36)</f>
        <v/>
      </c>
      <c r="C54" s="69" t="n"/>
      <c r="D54" s="69" t="n"/>
      <c r="E54" s="59">
        <f>N('[29]سجل المستخلصات'!$E$36)</f>
        <v/>
      </c>
      <c r="F54" s="59">
        <f>N('[29]سجل المستخلصات'!$F$36)</f>
        <v/>
      </c>
      <c r="G54" s="70">
        <f>IF(E54&gt;0,F54/E54,0)</f>
        <v/>
      </c>
    </row>
    <row r="55">
      <c r="B55" s="69">
        <f>IF('[29]سجل المستخلصات'!$B$37="","",'[29]سجل المستخلصات'!$B$37)</f>
        <v/>
      </c>
      <c r="C55" s="69" t="n"/>
      <c r="D55" s="69" t="n"/>
      <c r="E55" s="59">
        <f>N('[29]سجل المستخلصات'!$E$37)</f>
        <v/>
      </c>
      <c r="F55" s="59">
        <f>N('[29]سجل المستخلصات'!$F$37)</f>
        <v/>
      </c>
      <c r="G55" s="70">
        <f>IF(E55&gt;0,F55/E55,0)</f>
        <v/>
      </c>
    </row>
    <row r="56">
      <c r="B56" s="69">
        <f>IF('[29]سجل المستخلصات'!$B$38="","",'[29]سجل المستخلصات'!$B$38)</f>
        <v/>
      </c>
      <c r="C56" s="69" t="n"/>
      <c r="D56" s="69" t="n"/>
      <c r="E56" s="59">
        <f>N('[29]سجل المستخلصات'!$E$38)</f>
        <v/>
      </c>
      <c r="F56" s="59">
        <f>N('[29]سجل المستخلصات'!$F$38)</f>
        <v/>
      </c>
      <c r="G56" s="70">
        <f>IF(E56&gt;0,F56/E56,0)</f>
        <v/>
      </c>
    </row>
    <row r="57">
      <c r="B57" s="69">
        <f>IF('[29]سجل المستخلصات'!$B$39="","",'[29]سجل المستخلصات'!$B$39)</f>
        <v/>
      </c>
      <c r="C57" s="69" t="n"/>
      <c r="D57" s="69" t="n"/>
      <c r="E57" s="59">
        <f>N('[29]سجل المستخلصات'!$E$39)</f>
        <v/>
      </c>
      <c r="F57" s="59">
        <f>N('[29]سجل المستخلصات'!$F$39)</f>
        <v/>
      </c>
      <c r="G57" s="70">
        <f>IF(E57&gt;0,F57/E57,0)</f>
        <v/>
      </c>
    </row>
    <row r="58">
      <c r="B58" s="69">
        <f>IF('[29]سجل المستخلصات'!$B$40="","",'[29]سجل المستخلصات'!$B$40)</f>
        <v/>
      </c>
      <c r="C58" s="69" t="n"/>
      <c r="D58" s="69" t="n"/>
      <c r="E58" s="59">
        <f>N('[29]سجل المستخلصات'!$E$40)</f>
        <v/>
      </c>
      <c r="F58" s="59">
        <f>N('[29]سجل المستخلصات'!$F$40)</f>
        <v/>
      </c>
      <c r="G58" s="70">
        <f>IF(E58&gt;0,F58/E58,0)</f>
        <v/>
      </c>
    </row>
    <row r="59">
      <c r="B59" s="69">
        <f>IF('[29]سجل المستخلصات'!$B$41="","",'[29]سجل المستخلصات'!$B$41)</f>
        <v/>
      </c>
      <c r="C59" s="69" t="n"/>
      <c r="D59" s="69" t="n"/>
      <c r="E59" s="59">
        <f>N('[29]سجل المستخلصات'!$E$41)</f>
        <v/>
      </c>
      <c r="F59" s="59">
        <f>N('[29]سجل المستخلصات'!$F$41)</f>
        <v/>
      </c>
      <c r="G59" s="70">
        <f>IF(E59&gt;0,F59/E59,0)</f>
        <v/>
      </c>
    </row>
    <row r="60">
      <c r="B60" s="69">
        <f>IF('[29]سجل المستخلصات'!$B$42="","",'[29]سجل المستخلصات'!$B$42)</f>
        <v/>
      </c>
      <c r="C60" s="69" t="n"/>
      <c r="D60" s="69" t="n"/>
      <c r="E60" s="59">
        <f>N('[29]سجل المستخلصات'!$E$42)</f>
        <v/>
      </c>
      <c r="F60" s="59">
        <f>N('[29]سجل المستخلصات'!$F$42)</f>
        <v/>
      </c>
      <c r="G60" s="70">
        <f>IF(E60&gt;0,F60/E60,0)</f>
        <v/>
      </c>
    </row>
    <row r="61">
      <c r="B61" s="69">
        <f>IF('[29]سجل المستخلصات'!$B$43="","",'[29]سجل المستخلصات'!$B$43)</f>
        <v/>
      </c>
      <c r="C61" s="69" t="n"/>
      <c r="D61" s="69" t="n"/>
      <c r="E61" s="59">
        <f>N('[29]سجل المستخلصات'!$E$43)</f>
        <v/>
      </c>
      <c r="F61" s="59">
        <f>N('[29]سجل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28'!A1" display="◄ المشروع السابق"/>
    <hyperlink ref="D3" location="'مشروع 30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3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"&amp;IF('[30]بيانات العقد'!$C$5="","مشروع رقم 30 — غير مُفعّل",'[30]بيانات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Project_30/IPC_Project_30.xlsx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IF('[30]بيانات العقد'!$C$5="","",'[30]بيانات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IF('[30]بيانات العقد'!$C$6="","",'[30]بيانات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IF('[30]بيانات العقد'!$C$7="","",'[30]بيانات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IF('[30]بيانات العقد'!$C$8="","",'[30]بيانات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N('[30]بيانات العقد'!$C$16)</f>
        <v/>
      </c>
    </row>
    <row r="6" ht="22" customHeight="1">
      <c r="B6" s="11" t="inlineStr">
        <is>
          <t>المقاول</t>
        </is>
      </c>
      <c r="C6" s="14">
        <f>IF('[30]بيانات العقد'!$C$9="","",'[30]بيانات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IF('[30]بيانات العقد'!$C$11="","",'[30]بيانات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IF('[30]بيانات العقد'!$C$13="","",'[30]بيانات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IF('[30]بيانات العقد'!$C$14="","",'[30]بيانات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N('[30]بيانات العقد'!$C$17)</f>
        <v/>
      </c>
    </row>
    <row r="7">
      <c r="AA7" s="15" t="inlineStr">
        <is>
          <t>قيمة العقد المعدلة</t>
        </is>
      </c>
      <c r="AB7" s="16">
        <f>N('[30]بيانات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N('[30]بيانات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N('[30]بيانات العقد'!$C$21)</f>
        <v/>
      </c>
    </row>
    <row r="10">
      <c r="AA10" s="15" t="inlineStr">
        <is>
          <t>نسبة ضمان الأعمال</t>
        </is>
      </c>
      <c r="AB10" s="23">
        <f>N('[30]بيانات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N('[30]بيانات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N('[30]بيانات العقد'!$C$31)</f>
        <v/>
      </c>
    </row>
    <row r="13">
      <c r="AA13" s="15" t="inlineStr">
        <is>
          <t>ضريبة الاستقطاع (غير المقيم)</t>
        </is>
      </c>
      <c r="AB13" s="23">
        <f>N('[30]بيانات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IF('[30]بيانات العقد'!$C$11="","",'[30]بيانات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IF('[30]بيانات العقد'!$C$13="","",'[30]بيانات العقد'!$C$13)</f>
        <v/>
      </c>
    </row>
    <row r="16">
      <c r="AA16" s="15" t="inlineStr">
        <is>
          <t>المدة (شهر)</t>
        </is>
      </c>
      <c r="AB16" s="43">
        <f>IF('[30]بيانات العقد'!$C$12="","",'[30]بيانات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IF('[30]بيانات العقد'!$C$36="","",'[30]بيانات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IF('[30]بيانات العقد'!$C$37="","",'[30]بيانات العقد'!$C$37)</f>
        <v/>
      </c>
    </row>
    <row r="19">
      <c r="AA19" s="15" t="inlineStr">
        <is>
          <t>الرقم الضريبي لصاحب العمل</t>
        </is>
      </c>
      <c r="AB19" s="48">
        <f>IF('[30]بيانات العقد'!$C$39="","",'[30]بيانات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IF('[30]بيانات العقد'!$C$42="","",'[30]بيانات العقد'!$C$42)</f>
        <v/>
      </c>
    </row>
    <row r="21" ht="32" customHeight="1">
      <c r="B21" s="50">
        <f>N('[30]الموازنة والتكاليف'!$D$66)</f>
        <v/>
      </c>
      <c r="C21" s="50" t="n"/>
      <c r="D21" s="50" t="n"/>
      <c r="E21" s="50" t="n"/>
      <c r="F21" s="50">
        <f>N('[30]الموازنة والتكاليف'!$D$70)</f>
        <v/>
      </c>
      <c r="G21" s="50" t="n"/>
      <c r="H21" s="50" t="n"/>
      <c r="I21" s="50" t="n"/>
      <c r="J21" s="50">
        <f>N('[30]الموازنة والتكاليف'!$D$72)</f>
        <v/>
      </c>
      <c r="K21" s="50" t="n"/>
      <c r="L21" s="50" t="n"/>
      <c r="M21" s="50" t="n"/>
      <c r="N21" s="51">
        <f>N('[30]الموازنة والتكاليف'!$D$73)</f>
        <v/>
      </c>
      <c r="O21" s="51" t="n"/>
      <c r="P21" s="51" t="n"/>
      <c r="Q21" s="51" t="n"/>
      <c r="R21" s="52">
        <f>N('[30]الموازنة والتكاليف'!$D$74)</f>
        <v/>
      </c>
      <c r="S21" s="52" t="n"/>
      <c r="T21" s="52" t="n"/>
      <c r="U21" s="52" t="n"/>
      <c r="V21" s="50">
        <f>N('[30]الموازنة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IF('[30]بيانات العقد'!$C$43="","",'[30]بيانات العقد'!$C$43)</f>
        <v/>
      </c>
    </row>
    <row r="22">
      <c r="AA22" s="15" t="inlineStr">
        <is>
          <t>حالة غرامات التأخير</t>
        </is>
      </c>
      <c r="AB22" s="45">
        <f>IF('[30]بيانات العقد'!$C$47="","",'[30]بيانات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IF('[30]سجل المستخلصات'!$C$6="","",'[30]سجل المستخلصات'!$C$6)</f>
        <v/>
      </c>
      <c r="D25" s="57">
        <f>IF('[30]سجل المستخلصات'!$E$6="","",'[30]سجل المستخلصات'!$E$6)</f>
        <v/>
      </c>
      <c r="E25" s="58">
        <f>IF('[30]سجل المستخلصات'!$F$6="","",'[30]سجل المستخلصات'!$F$6)</f>
        <v/>
      </c>
      <c r="F25" s="59">
        <f>IF('[30]سجل المستخلصات'!$H$6="","",'[30]سجل المستخلصات'!$H$6)</f>
        <v/>
      </c>
      <c r="G25" s="59">
        <f>IF('[30]سجل المستخلصات'!$G$6="","",'[30]سجل المستخلصات'!$G$6)</f>
        <v/>
      </c>
      <c r="H25" s="59">
        <f>IF('[30]سجل المستخلصات'!$I$6="","",'[30]سجل المستخلصات'!$I$6)</f>
        <v/>
      </c>
      <c r="I25" s="59">
        <f>IF('[30]سجل المستخلصات'!$J$6="","",'[30]سجل المستخلصات'!$J$6)</f>
        <v/>
      </c>
      <c r="J25" s="59">
        <f>IF('[30]سجل المستخلصات'!$K$6="","",'[30]سجل المستخلصات'!$K$6)</f>
        <v/>
      </c>
      <c r="K25" s="60">
        <f>IF('[30]سجل المستخلصات'!$L$6="","",'[30]سجل المستخلصات'!$L$6)</f>
        <v/>
      </c>
      <c r="L25" s="60">
        <f>IF('[30]سجل المستخلصات'!$M$6="","",'[30]سجل المستخلصات'!$M$6)</f>
        <v/>
      </c>
      <c r="M25" s="60">
        <f>IF('[30]سجل المستخلصات'!$N$6="","",'[30]سجل المستخلصات'!$N$6)</f>
        <v/>
      </c>
      <c r="N25" s="59">
        <f>IF('[30]سجل المستخلصات'!$O$6="","",'[30]سجل المستخلصات'!$O$6)</f>
        <v/>
      </c>
      <c r="O25" s="59">
        <f>IF('[30]سجل المستخلصات'!$R$6="","",'[30]سجل المستخلصات'!$R$6)</f>
        <v/>
      </c>
      <c r="P25" s="59">
        <f>IF('[30]سجل المستخلصات'!$S$6="","",'[30]سجل المستخلصات'!$S$6)</f>
        <v/>
      </c>
      <c r="Q25" s="59">
        <f>IF('[30]سجل المستخلصات'!$T$6="","",'[30]سجل المستخلصات'!$T$6)</f>
        <v/>
      </c>
      <c r="R25" s="59">
        <f>IF('[30]سجل المستخلصات'!$V$6="","",'[30]سجل المستخلصات'!$V$6)</f>
        <v/>
      </c>
      <c r="S25" s="59">
        <f>IF('[30]سجل المستخلصات'!$W$6="","",'[30]سجل المستخلصات'!$W$6)</f>
        <v/>
      </c>
      <c r="T25" s="61">
        <f>IF('[30]سجل المستخلصات'!$X$6="","",'[30]سجل المستخلصات'!$X$6)</f>
        <v/>
      </c>
      <c r="U25" s="61">
        <f>IF('[30]سجل المستخلصات'!$Z$6="","",'[30]سجل المستخلصات'!$Z$6)</f>
        <v/>
      </c>
      <c r="V25" s="59">
        <f>IF('[30]سجل المستخلصات'!$AA$6="","",'[30]سجل المستخلصات'!$AA$6)</f>
        <v/>
      </c>
      <c r="W25" s="59">
        <f>IF('[30]سجل المستخلصات'!$AC$6="","",'[30]سجل المستخلصات'!$AC$6)</f>
        <v/>
      </c>
      <c r="X25" s="62">
        <f>IF('[30]سجل المستخلصات'!$AD$6="","",'[30]سجل المستخلصات'!$AD$6)</f>
        <v/>
      </c>
      <c r="Y25" s="58">
        <f>IF('[30]سجل المستخلصات'!$AE$6="","",'[30]سجل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IF('[30]سجل المستخلصات'!$C$7="","",'[30]سجل المستخلصات'!$C$7)</f>
        <v/>
      </c>
      <c r="D26" s="57">
        <f>IF('[30]سجل المستخلصات'!$E$7="","",'[30]سجل المستخلصات'!$E$7)</f>
        <v/>
      </c>
      <c r="E26" s="58">
        <f>IF('[30]سجل المستخلصات'!$F$7="","",'[30]سجل المستخلصات'!$F$7)</f>
        <v/>
      </c>
      <c r="F26" s="59">
        <f>IF('[30]سجل المستخلصات'!$H$7="","",'[30]سجل المستخلصات'!$H$7)</f>
        <v/>
      </c>
      <c r="G26" s="59">
        <f>IF('[30]سجل المستخلصات'!$G$7="","",'[30]سجل المستخلصات'!$G$7)</f>
        <v/>
      </c>
      <c r="H26" s="59">
        <f>IF('[30]سجل المستخلصات'!$I$7="","",'[30]سجل المستخلصات'!$I$7)</f>
        <v/>
      </c>
      <c r="I26" s="59">
        <f>IF('[30]سجل المستخلصات'!$J$7="","",'[30]سجل المستخلصات'!$J$7)</f>
        <v/>
      </c>
      <c r="J26" s="59">
        <f>IF('[30]سجل المستخلصات'!$K$7="","",'[30]سجل المستخلصات'!$K$7)</f>
        <v/>
      </c>
      <c r="K26" s="60">
        <f>IF('[30]سجل المستخلصات'!$L$7="","",'[30]سجل المستخلصات'!$L$7)</f>
        <v/>
      </c>
      <c r="L26" s="60">
        <f>IF('[30]سجل المستخلصات'!$M$7="","",'[30]سجل المستخلصات'!$M$7)</f>
        <v/>
      </c>
      <c r="M26" s="60">
        <f>IF('[30]سجل المستخلصات'!$N$7="","",'[30]سجل المستخلصات'!$N$7)</f>
        <v/>
      </c>
      <c r="N26" s="59">
        <f>IF('[30]سجل المستخلصات'!$O$7="","",'[30]سجل المستخلصات'!$O$7)</f>
        <v/>
      </c>
      <c r="O26" s="59">
        <f>IF('[30]سجل المستخلصات'!$R$7="","",'[30]سجل المستخلصات'!$R$7)</f>
        <v/>
      </c>
      <c r="P26" s="59">
        <f>IF('[30]سجل المستخلصات'!$S$7="","",'[30]سجل المستخلصات'!$S$7)</f>
        <v/>
      </c>
      <c r="Q26" s="59">
        <f>IF('[30]سجل المستخلصات'!$T$7="","",'[30]سجل المستخلصات'!$T$7)</f>
        <v/>
      </c>
      <c r="R26" s="59">
        <f>IF('[30]سجل المستخلصات'!$V$7="","",'[30]سجل المستخلصات'!$V$7)</f>
        <v/>
      </c>
      <c r="S26" s="59">
        <f>IF('[30]سجل المستخلصات'!$W$7="","",'[30]سجل المستخلصات'!$W$7)</f>
        <v/>
      </c>
      <c r="T26" s="61">
        <f>IF('[30]سجل المستخلصات'!$X$7="","",'[30]سجل المستخلصات'!$X$7)</f>
        <v/>
      </c>
      <c r="U26" s="61">
        <f>IF('[30]سجل المستخلصات'!$Z$7="","",'[30]سجل المستخلصات'!$Z$7)</f>
        <v/>
      </c>
      <c r="V26" s="59">
        <f>IF('[30]سجل المستخلصات'!$AA$7="","",'[30]سجل المستخلصات'!$AA$7)</f>
        <v/>
      </c>
      <c r="W26" s="59">
        <f>IF('[30]سجل المستخلصات'!$AC$7="","",'[30]سجل المستخلصات'!$AC$7)</f>
        <v/>
      </c>
      <c r="X26" s="62">
        <f>IF('[30]سجل المستخلصات'!$AD$7="","",'[30]سجل المستخلصات'!$AD$7)</f>
        <v/>
      </c>
      <c r="Y26" s="58">
        <f>IF('[30]سجل المستخلصات'!$AE$7="","",'[30]سجل المستخلصات'!$AE$7)</f>
        <v/>
      </c>
      <c r="AA26" s="63" t="n"/>
      <c r="AB26" s="63" t="n"/>
    </row>
    <row r="27">
      <c r="B27" s="56" t="n">
        <v>3</v>
      </c>
      <c r="C27" s="57">
        <f>IF('[30]سجل المستخلصات'!$C$8="","",'[30]سجل المستخلصات'!$C$8)</f>
        <v/>
      </c>
      <c r="D27" s="57">
        <f>IF('[30]سجل المستخلصات'!$E$8="","",'[30]سجل المستخلصات'!$E$8)</f>
        <v/>
      </c>
      <c r="E27" s="58">
        <f>IF('[30]سجل المستخلصات'!$F$8="","",'[30]سجل المستخلصات'!$F$8)</f>
        <v/>
      </c>
      <c r="F27" s="59">
        <f>IF('[30]سجل المستخلصات'!$H$8="","",'[30]سجل المستخلصات'!$H$8)</f>
        <v/>
      </c>
      <c r="G27" s="59">
        <f>IF('[30]سجل المستخلصات'!$G$8="","",'[30]سجل المستخلصات'!$G$8)</f>
        <v/>
      </c>
      <c r="H27" s="59">
        <f>IF('[30]سجل المستخلصات'!$I$8="","",'[30]سجل المستخلصات'!$I$8)</f>
        <v/>
      </c>
      <c r="I27" s="59">
        <f>IF('[30]سجل المستخلصات'!$J$8="","",'[30]سجل المستخلصات'!$J$8)</f>
        <v/>
      </c>
      <c r="J27" s="59">
        <f>IF('[30]سجل المستخلصات'!$K$8="","",'[30]سجل المستخلصات'!$K$8)</f>
        <v/>
      </c>
      <c r="K27" s="60">
        <f>IF('[30]سجل المستخلصات'!$L$8="","",'[30]سجل المستخلصات'!$L$8)</f>
        <v/>
      </c>
      <c r="L27" s="60">
        <f>IF('[30]سجل المستخلصات'!$M$8="","",'[30]سجل المستخلصات'!$M$8)</f>
        <v/>
      </c>
      <c r="M27" s="60">
        <f>IF('[30]سجل المستخلصات'!$N$8="","",'[30]سجل المستخلصات'!$N$8)</f>
        <v/>
      </c>
      <c r="N27" s="59">
        <f>IF('[30]سجل المستخلصات'!$O$8="","",'[30]سجل المستخلصات'!$O$8)</f>
        <v/>
      </c>
      <c r="O27" s="59">
        <f>IF('[30]سجل المستخلصات'!$R$8="","",'[30]سجل المستخلصات'!$R$8)</f>
        <v/>
      </c>
      <c r="P27" s="59">
        <f>IF('[30]سجل المستخلصات'!$S$8="","",'[30]سجل المستخلصات'!$S$8)</f>
        <v/>
      </c>
      <c r="Q27" s="59">
        <f>IF('[30]سجل المستخلصات'!$T$8="","",'[30]سجل المستخلصات'!$T$8)</f>
        <v/>
      </c>
      <c r="R27" s="59">
        <f>IF('[30]سجل المستخلصات'!$V$8="","",'[30]سجل المستخلصات'!$V$8)</f>
        <v/>
      </c>
      <c r="S27" s="59">
        <f>IF('[30]سجل المستخلصات'!$W$8="","",'[30]سجل المستخلصات'!$W$8)</f>
        <v/>
      </c>
      <c r="T27" s="61">
        <f>IF('[30]سجل المستخلصات'!$X$8="","",'[30]سجل المستخلصات'!$X$8)</f>
        <v/>
      </c>
      <c r="U27" s="61">
        <f>IF('[30]سجل المستخلصات'!$Z$8="","",'[30]سجل المستخلصات'!$Z$8)</f>
        <v/>
      </c>
      <c r="V27" s="59">
        <f>IF('[30]سجل المستخلصات'!$AA$8="","",'[30]سجل المستخلصات'!$AA$8)</f>
        <v/>
      </c>
      <c r="W27" s="59">
        <f>IF('[30]سجل المستخلصات'!$AC$8="","",'[30]سجل المستخلصات'!$AC$8)</f>
        <v/>
      </c>
      <c r="X27" s="62">
        <f>IF('[30]سجل المستخلصات'!$AD$8="","",'[30]سجل المستخلصات'!$AD$8)</f>
        <v/>
      </c>
      <c r="Y27" s="58">
        <f>IF('[30]سجل المستخلصات'!$AE$8="","",'[30]سجل المستخلصات'!$AE$8)</f>
        <v/>
      </c>
      <c r="AA27" s="63" t="n"/>
      <c r="AB27" s="63" t="n"/>
    </row>
    <row r="28">
      <c r="B28" s="56" t="n">
        <v>4</v>
      </c>
      <c r="C28" s="57">
        <f>IF('[30]سجل المستخلصات'!$C$9="","",'[30]سجل المستخلصات'!$C$9)</f>
        <v/>
      </c>
      <c r="D28" s="57">
        <f>IF('[30]سجل المستخلصات'!$E$9="","",'[30]سجل المستخلصات'!$E$9)</f>
        <v/>
      </c>
      <c r="E28" s="58">
        <f>IF('[30]سجل المستخلصات'!$F$9="","",'[30]سجل المستخلصات'!$F$9)</f>
        <v/>
      </c>
      <c r="F28" s="59">
        <f>IF('[30]سجل المستخلصات'!$H$9="","",'[30]سجل المستخلصات'!$H$9)</f>
        <v/>
      </c>
      <c r="G28" s="59">
        <f>IF('[30]سجل المستخلصات'!$G$9="","",'[30]سجل المستخلصات'!$G$9)</f>
        <v/>
      </c>
      <c r="H28" s="59">
        <f>IF('[30]سجل المستخلصات'!$I$9="","",'[30]سجل المستخلصات'!$I$9)</f>
        <v/>
      </c>
      <c r="I28" s="59">
        <f>IF('[30]سجل المستخلصات'!$J$9="","",'[30]سجل المستخلصات'!$J$9)</f>
        <v/>
      </c>
      <c r="J28" s="59">
        <f>IF('[30]سجل المستخلصات'!$K$9="","",'[30]سجل المستخلصات'!$K$9)</f>
        <v/>
      </c>
      <c r="K28" s="60">
        <f>IF('[30]سجل المستخلصات'!$L$9="","",'[30]سجل المستخلصات'!$L$9)</f>
        <v/>
      </c>
      <c r="L28" s="60">
        <f>IF('[30]سجل المستخلصات'!$M$9="","",'[30]سجل المستخلصات'!$M$9)</f>
        <v/>
      </c>
      <c r="M28" s="60">
        <f>IF('[30]سجل المستخلصات'!$N$9="","",'[30]سجل المستخلصات'!$N$9)</f>
        <v/>
      </c>
      <c r="N28" s="59">
        <f>IF('[30]سجل المستخلصات'!$O$9="","",'[30]سجل المستخلصات'!$O$9)</f>
        <v/>
      </c>
      <c r="O28" s="59">
        <f>IF('[30]سجل المستخلصات'!$R$9="","",'[30]سجل المستخلصات'!$R$9)</f>
        <v/>
      </c>
      <c r="P28" s="59">
        <f>IF('[30]سجل المستخلصات'!$S$9="","",'[30]سجل المستخلصات'!$S$9)</f>
        <v/>
      </c>
      <c r="Q28" s="59">
        <f>IF('[30]سجل المستخلصات'!$T$9="","",'[30]سجل المستخلصات'!$T$9)</f>
        <v/>
      </c>
      <c r="R28" s="59">
        <f>IF('[30]سجل المستخلصات'!$V$9="","",'[30]سجل المستخلصات'!$V$9)</f>
        <v/>
      </c>
      <c r="S28" s="59">
        <f>IF('[30]سجل المستخلصات'!$W$9="","",'[30]سجل المستخلصات'!$W$9)</f>
        <v/>
      </c>
      <c r="T28" s="61">
        <f>IF('[30]سجل المستخلصات'!$X$9="","",'[30]سجل المستخلصات'!$X$9)</f>
        <v/>
      </c>
      <c r="U28" s="61">
        <f>IF('[30]سجل المستخلصات'!$Z$9="","",'[30]سجل المستخلصات'!$Z$9)</f>
        <v/>
      </c>
      <c r="V28" s="59">
        <f>IF('[30]سجل المستخلصات'!$AA$9="","",'[30]سجل المستخلصات'!$AA$9)</f>
        <v/>
      </c>
      <c r="W28" s="59">
        <f>IF('[30]سجل المستخلصات'!$AC$9="","",'[30]سجل المستخلصات'!$AC$9)</f>
        <v/>
      </c>
      <c r="X28" s="62">
        <f>IF('[30]سجل المستخلصات'!$AD$9="","",'[30]سجل المستخلصات'!$AD$9)</f>
        <v/>
      </c>
      <c r="Y28" s="58">
        <f>IF('[30]سجل المستخلصات'!$AE$9="","",'[30]سجل المستخلصات'!$AE$9)</f>
        <v/>
      </c>
      <c r="AA28" s="63" t="n"/>
      <c r="AB28" s="63" t="n"/>
    </row>
    <row r="29">
      <c r="B29" s="56" t="n">
        <v>5</v>
      </c>
      <c r="C29" s="57">
        <f>IF('[30]سجل المستخلصات'!$C$10="","",'[30]سجل المستخلصات'!$C$10)</f>
        <v/>
      </c>
      <c r="D29" s="57">
        <f>IF('[30]سجل المستخلصات'!$E$10="","",'[30]سجل المستخلصات'!$E$10)</f>
        <v/>
      </c>
      <c r="E29" s="58">
        <f>IF('[30]سجل المستخلصات'!$F$10="","",'[30]سجل المستخلصات'!$F$10)</f>
        <v/>
      </c>
      <c r="F29" s="59">
        <f>IF('[30]سجل المستخلصات'!$H$10="","",'[30]سجل المستخلصات'!$H$10)</f>
        <v/>
      </c>
      <c r="G29" s="59">
        <f>IF('[30]سجل المستخلصات'!$G$10="","",'[30]سجل المستخلصات'!$G$10)</f>
        <v/>
      </c>
      <c r="H29" s="59">
        <f>IF('[30]سجل المستخلصات'!$I$10="","",'[30]سجل المستخلصات'!$I$10)</f>
        <v/>
      </c>
      <c r="I29" s="59">
        <f>IF('[30]سجل المستخلصات'!$J$10="","",'[30]سجل المستخلصات'!$J$10)</f>
        <v/>
      </c>
      <c r="J29" s="59">
        <f>IF('[30]سجل المستخلصات'!$K$10="","",'[30]سجل المستخلصات'!$K$10)</f>
        <v/>
      </c>
      <c r="K29" s="60">
        <f>IF('[30]سجل المستخلصات'!$L$10="","",'[30]سجل المستخلصات'!$L$10)</f>
        <v/>
      </c>
      <c r="L29" s="60">
        <f>IF('[30]سجل المستخلصات'!$M$10="","",'[30]سجل المستخلصات'!$M$10)</f>
        <v/>
      </c>
      <c r="M29" s="60">
        <f>IF('[30]سجل المستخلصات'!$N$10="","",'[30]سجل المستخلصات'!$N$10)</f>
        <v/>
      </c>
      <c r="N29" s="59">
        <f>IF('[30]سجل المستخلصات'!$O$10="","",'[30]سجل المستخلصات'!$O$10)</f>
        <v/>
      </c>
      <c r="O29" s="59">
        <f>IF('[30]سجل المستخلصات'!$R$10="","",'[30]سجل المستخلصات'!$R$10)</f>
        <v/>
      </c>
      <c r="P29" s="59">
        <f>IF('[30]سجل المستخلصات'!$S$10="","",'[30]سجل المستخلصات'!$S$10)</f>
        <v/>
      </c>
      <c r="Q29" s="59">
        <f>IF('[30]سجل المستخلصات'!$T$10="","",'[30]سجل المستخلصات'!$T$10)</f>
        <v/>
      </c>
      <c r="R29" s="59">
        <f>IF('[30]سجل المستخلصات'!$V$10="","",'[30]سجل المستخلصات'!$V$10)</f>
        <v/>
      </c>
      <c r="S29" s="59">
        <f>IF('[30]سجل المستخلصات'!$W$10="","",'[30]سجل المستخلصات'!$W$10)</f>
        <v/>
      </c>
      <c r="T29" s="61">
        <f>IF('[30]سجل المستخلصات'!$X$10="","",'[30]سجل المستخلصات'!$X$10)</f>
        <v/>
      </c>
      <c r="U29" s="61">
        <f>IF('[30]سجل المستخلصات'!$Z$10="","",'[30]سجل المستخلصات'!$Z$10)</f>
        <v/>
      </c>
      <c r="V29" s="59">
        <f>IF('[30]سجل المستخلصات'!$AA$10="","",'[30]سجل المستخلصات'!$AA$10)</f>
        <v/>
      </c>
      <c r="W29" s="59">
        <f>IF('[30]سجل المستخلصات'!$AC$10="","",'[30]سجل المستخلصات'!$AC$10)</f>
        <v/>
      </c>
      <c r="X29" s="62">
        <f>IF('[30]سجل المستخلصات'!$AD$10="","",'[30]سجل المستخلصات'!$AD$10)</f>
        <v/>
      </c>
      <c r="Y29" s="58">
        <f>IF('[30]سجل المستخلصات'!$AE$10="","",'[30]سجل المستخلصات'!$AE$10)</f>
        <v/>
      </c>
    </row>
    <row r="30">
      <c r="B30" s="56" t="n">
        <v>6</v>
      </c>
      <c r="C30" s="57">
        <f>IF('[30]سجل المستخلصات'!$C$11="","",'[30]سجل المستخلصات'!$C$11)</f>
        <v/>
      </c>
      <c r="D30" s="57">
        <f>IF('[30]سجل المستخلصات'!$E$11="","",'[30]سجل المستخلصات'!$E$11)</f>
        <v/>
      </c>
      <c r="E30" s="58">
        <f>IF('[30]سجل المستخلصات'!$F$11="","",'[30]سجل المستخلصات'!$F$11)</f>
        <v/>
      </c>
      <c r="F30" s="59">
        <f>IF('[30]سجل المستخلصات'!$H$11="","",'[30]سجل المستخلصات'!$H$11)</f>
        <v/>
      </c>
      <c r="G30" s="59">
        <f>IF('[30]سجل المستخلصات'!$G$11="","",'[30]سجل المستخلصات'!$G$11)</f>
        <v/>
      </c>
      <c r="H30" s="59">
        <f>IF('[30]سجل المستخلصات'!$I$11="","",'[30]سجل المستخلصات'!$I$11)</f>
        <v/>
      </c>
      <c r="I30" s="59">
        <f>IF('[30]سجل المستخلصات'!$J$11="","",'[30]سجل المستخلصات'!$J$11)</f>
        <v/>
      </c>
      <c r="J30" s="59">
        <f>IF('[30]سجل المستخلصات'!$K$11="","",'[30]سجل المستخلصات'!$K$11)</f>
        <v/>
      </c>
      <c r="K30" s="60">
        <f>IF('[30]سجل المستخلصات'!$L$11="","",'[30]سجل المستخلصات'!$L$11)</f>
        <v/>
      </c>
      <c r="L30" s="60">
        <f>IF('[30]سجل المستخلصات'!$M$11="","",'[30]سجل المستخلصات'!$M$11)</f>
        <v/>
      </c>
      <c r="M30" s="60">
        <f>IF('[30]سجل المستخلصات'!$N$11="","",'[30]سجل المستخلصات'!$N$11)</f>
        <v/>
      </c>
      <c r="N30" s="59">
        <f>IF('[30]سجل المستخلصات'!$O$11="","",'[30]سجل المستخلصات'!$O$11)</f>
        <v/>
      </c>
      <c r="O30" s="59">
        <f>IF('[30]سجل المستخلصات'!$R$11="","",'[30]سجل المستخلصات'!$R$11)</f>
        <v/>
      </c>
      <c r="P30" s="59">
        <f>IF('[30]سجل المستخلصات'!$S$11="","",'[30]سجل المستخلصات'!$S$11)</f>
        <v/>
      </c>
      <c r="Q30" s="59">
        <f>IF('[30]سجل المستخلصات'!$T$11="","",'[30]سجل المستخلصات'!$T$11)</f>
        <v/>
      </c>
      <c r="R30" s="59">
        <f>IF('[30]سجل المستخلصات'!$V$11="","",'[30]سجل المستخلصات'!$V$11)</f>
        <v/>
      </c>
      <c r="S30" s="59">
        <f>IF('[30]سجل المستخلصات'!$W$11="","",'[30]سجل المستخلصات'!$W$11)</f>
        <v/>
      </c>
      <c r="T30" s="61">
        <f>IF('[30]سجل المستخلصات'!$X$11="","",'[30]سجل المستخلصات'!$X$11)</f>
        <v/>
      </c>
      <c r="U30" s="61">
        <f>IF('[30]سجل المستخلصات'!$Z$11="","",'[30]سجل المستخلصات'!$Z$11)</f>
        <v/>
      </c>
      <c r="V30" s="59">
        <f>IF('[30]سجل المستخلصات'!$AA$11="","",'[30]سجل المستخلصات'!$AA$11)</f>
        <v/>
      </c>
      <c r="W30" s="59">
        <f>IF('[30]سجل المستخلصات'!$AC$11="","",'[30]سجل المستخلصات'!$AC$11)</f>
        <v/>
      </c>
      <c r="X30" s="62">
        <f>IF('[30]سجل المستخلصات'!$AD$11="","",'[30]سجل المستخلصات'!$AD$11)</f>
        <v/>
      </c>
      <c r="Y30" s="58">
        <f>IF('[30]سجل المستخلصات'!$AE$11="","",'[30]سجل المستخلصات'!$AE$11)</f>
        <v/>
      </c>
    </row>
    <row r="31">
      <c r="B31" s="56" t="n">
        <v>7</v>
      </c>
      <c r="C31" s="57">
        <f>IF('[30]سجل المستخلصات'!$C$12="","",'[30]سجل المستخلصات'!$C$12)</f>
        <v/>
      </c>
      <c r="D31" s="57">
        <f>IF('[30]سجل المستخلصات'!$E$12="","",'[30]سجل المستخلصات'!$E$12)</f>
        <v/>
      </c>
      <c r="E31" s="58">
        <f>IF('[30]سجل المستخلصات'!$F$12="","",'[30]سجل المستخلصات'!$F$12)</f>
        <v/>
      </c>
      <c r="F31" s="59">
        <f>IF('[30]سجل المستخلصات'!$H$12="","",'[30]سجل المستخلصات'!$H$12)</f>
        <v/>
      </c>
      <c r="G31" s="59">
        <f>IF('[30]سجل المستخلصات'!$G$12="","",'[30]سجل المستخلصات'!$G$12)</f>
        <v/>
      </c>
      <c r="H31" s="59">
        <f>IF('[30]سجل المستخلصات'!$I$12="","",'[30]سجل المستخلصات'!$I$12)</f>
        <v/>
      </c>
      <c r="I31" s="59">
        <f>IF('[30]سجل المستخلصات'!$J$12="","",'[30]سجل المستخلصات'!$J$12)</f>
        <v/>
      </c>
      <c r="J31" s="59">
        <f>IF('[30]سجل المستخلصات'!$K$12="","",'[30]سجل المستخلصات'!$K$12)</f>
        <v/>
      </c>
      <c r="K31" s="60">
        <f>IF('[30]سجل المستخلصات'!$L$12="","",'[30]سجل المستخلصات'!$L$12)</f>
        <v/>
      </c>
      <c r="L31" s="60">
        <f>IF('[30]سجل المستخلصات'!$M$12="","",'[30]سجل المستخلصات'!$M$12)</f>
        <v/>
      </c>
      <c r="M31" s="60">
        <f>IF('[30]سجل المستخلصات'!$N$12="","",'[30]سجل المستخلصات'!$N$12)</f>
        <v/>
      </c>
      <c r="N31" s="59">
        <f>IF('[30]سجل المستخلصات'!$O$12="","",'[30]سجل المستخلصات'!$O$12)</f>
        <v/>
      </c>
      <c r="O31" s="59">
        <f>IF('[30]سجل المستخلصات'!$R$12="","",'[30]سجل المستخلصات'!$R$12)</f>
        <v/>
      </c>
      <c r="P31" s="59">
        <f>IF('[30]سجل المستخلصات'!$S$12="","",'[30]سجل المستخلصات'!$S$12)</f>
        <v/>
      </c>
      <c r="Q31" s="59">
        <f>IF('[30]سجل المستخلصات'!$T$12="","",'[30]سجل المستخلصات'!$T$12)</f>
        <v/>
      </c>
      <c r="R31" s="59">
        <f>IF('[30]سجل المستخلصات'!$V$12="","",'[30]سجل المستخلصات'!$V$12)</f>
        <v/>
      </c>
      <c r="S31" s="59">
        <f>IF('[30]سجل المستخلصات'!$W$12="","",'[30]سجل المستخلصات'!$W$12)</f>
        <v/>
      </c>
      <c r="T31" s="61">
        <f>IF('[30]سجل المستخلصات'!$X$12="","",'[30]سجل المستخلصات'!$X$12)</f>
        <v/>
      </c>
      <c r="U31" s="61">
        <f>IF('[30]سجل المستخلصات'!$Z$12="","",'[30]سجل المستخلصات'!$Z$12)</f>
        <v/>
      </c>
      <c r="V31" s="59">
        <f>IF('[30]سجل المستخلصات'!$AA$12="","",'[30]سجل المستخلصات'!$AA$12)</f>
        <v/>
      </c>
      <c r="W31" s="59">
        <f>IF('[30]سجل المستخلصات'!$AC$12="","",'[30]سجل المستخلصات'!$AC$12)</f>
        <v/>
      </c>
      <c r="X31" s="62">
        <f>IF('[30]سجل المستخلصات'!$AD$12="","",'[30]سجل المستخلصات'!$AD$12)</f>
        <v/>
      </c>
      <c r="Y31" s="58">
        <f>IF('[30]سجل المستخلصات'!$AE$12="","",'[30]سجل المستخلصات'!$AE$12)</f>
        <v/>
      </c>
    </row>
    <row r="32">
      <c r="B32" s="56" t="n">
        <v>8</v>
      </c>
      <c r="C32" s="57">
        <f>IF('[30]سجل المستخلصات'!$C$13="","",'[30]سجل المستخلصات'!$C$13)</f>
        <v/>
      </c>
      <c r="D32" s="57">
        <f>IF('[30]سجل المستخلصات'!$E$13="","",'[30]سجل المستخلصات'!$E$13)</f>
        <v/>
      </c>
      <c r="E32" s="58">
        <f>IF('[30]سجل المستخلصات'!$F$13="","",'[30]سجل المستخلصات'!$F$13)</f>
        <v/>
      </c>
      <c r="F32" s="59">
        <f>IF('[30]سجل المستخلصات'!$H$13="","",'[30]سجل المستخلصات'!$H$13)</f>
        <v/>
      </c>
      <c r="G32" s="59">
        <f>IF('[30]سجل المستخلصات'!$G$13="","",'[30]سجل المستخلصات'!$G$13)</f>
        <v/>
      </c>
      <c r="H32" s="59">
        <f>IF('[30]سجل المستخلصات'!$I$13="","",'[30]سجل المستخلصات'!$I$13)</f>
        <v/>
      </c>
      <c r="I32" s="59">
        <f>IF('[30]سجل المستخلصات'!$J$13="","",'[30]سجل المستخلصات'!$J$13)</f>
        <v/>
      </c>
      <c r="J32" s="59">
        <f>IF('[30]سجل المستخلصات'!$K$13="","",'[30]سجل المستخلصات'!$K$13)</f>
        <v/>
      </c>
      <c r="K32" s="60">
        <f>IF('[30]سجل المستخلصات'!$L$13="","",'[30]سجل المستخلصات'!$L$13)</f>
        <v/>
      </c>
      <c r="L32" s="60">
        <f>IF('[30]سجل المستخلصات'!$M$13="","",'[30]سجل المستخلصات'!$M$13)</f>
        <v/>
      </c>
      <c r="M32" s="60">
        <f>IF('[30]سجل المستخلصات'!$N$13="","",'[30]سجل المستخلصات'!$N$13)</f>
        <v/>
      </c>
      <c r="N32" s="59">
        <f>IF('[30]سجل المستخلصات'!$O$13="","",'[30]سجل المستخلصات'!$O$13)</f>
        <v/>
      </c>
      <c r="O32" s="59">
        <f>IF('[30]سجل المستخلصات'!$R$13="","",'[30]سجل المستخلصات'!$R$13)</f>
        <v/>
      </c>
      <c r="P32" s="59">
        <f>IF('[30]سجل المستخلصات'!$S$13="","",'[30]سجل المستخلصات'!$S$13)</f>
        <v/>
      </c>
      <c r="Q32" s="59">
        <f>IF('[30]سجل المستخلصات'!$T$13="","",'[30]سجل المستخلصات'!$T$13)</f>
        <v/>
      </c>
      <c r="R32" s="59">
        <f>IF('[30]سجل المستخلصات'!$V$13="","",'[30]سجل المستخلصات'!$V$13)</f>
        <v/>
      </c>
      <c r="S32" s="59">
        <f>IF('[30]سجل المستخلصات'!$W$13="","",'[30]سجل المستخلصات'!$W$13)</f>
        <v/>
      </c>
      <c r="T32" s="61">
        <f>IF('[30]سجل المستخلصات'!$X$13="","",'[30]سجل المستخلصات'!$X$13)</f>
        <v/>
      </c>
      <c r="U32" s="61">
        <f>IF('[30]سجل المستخلصات'!$Z$13="","",'[30]سجل المستخلصات'!$Z$13)</f>
        <v/>
      </c>
      <c r="V32" s="59">
        <f>IF('[30]سجل المستخلصات'!$AA$13="","",'[30]سجل المستخلصات'!$AA$13)</f>
        <v/>
      </c>
      <c r="W32" s="59">
        <f>IF('[30]سجل المستخلصات'!$AC$13="","",'[30]سجل المستخلصات'!$AC$13)</f>
        <v/>
      </c>
      <c r="X32" s="62">
        <f>IF('[30]سجل المستخلصات'!$AD$13="","",'[30]سجل المستخلصات'!$AD$13)</f>
        <v/>
      </c>
      <c r="Y32" s="58">
        <f>IF('[30]سجل المستخلصات'!$AE$13="","",'[30]سجل المستخلصات'!$AE$13)</f>
        <v/>
      </c>
    </row>
    <row r="33">
      <c r="B33" s="56" t="n">
        <v>9</v>
      </c>
      <c r="C33" s="57">
        <f>IF('[30]سجل المستخلصات'!$C$14="","",'[30]سجل المستخلصات'!$C$14)</f>
        <v/>
      </c>
      <c r="D33" s="57">
        <f>IF('[30]سجل المستخلصات'!$E$14="","",'[30]سجل المستخلصات'!$E$14)</f>
        <v/>
      </c>
      <c r="E33" s="58">
        <f>IF('[30]سجل المستخلصات'!$F$14="","",'[30]سجل المستخلصات'!$F$14)</f>
        <v/>
      </c>
      <c r="F33" s="59">
        <f>IF('[30]سجل المستخلصات'!$H$14="","",'[30]سجل المستخلصات'!$H$14)</f>
        <v/>
      </c>
      <c r="G33" s="59">
        <f>IF('[30]سجل المستخلصات'!$G$14="","",'[30]سجل المستخلصات'!$G$14)</f>
        <v/>
      </c>
      <c r="H33" s="59">
        <f>IF('[30]سجل المستخلصات'!$I$14="","",'[30]سجل المستخلصات'!$I$14)</f>
        <v/>
      </c>
      <c r="I33" s="59">
        <f>IF('[30]سجل المستخلصات'!$J$14="","",'[30]سجل المستخلصات'!$J$14)</f>
        <v/>
      </c>
      <c r="J33" s="59">
        <f>IF('[30]سجل المستخلصات'!$K$14="","",'[30]سجل المستخلصات'!$K$14)</f>
        <v/>
      </c>
      <c r="K33" s="60">
        <f>IF('[30]سجل المستخلصات'!$L$14="","",'[30]سجل المستخلصات'!$L$14)</f>
        <v/>
      </c>
      <c r="L33" s="60">
        <f>IF('[30]سجل المستخلصات'!$M$14="","",'[30]سجل المستخلصات'!$M$14)</f>
        <v/>
      </c>
      <c r="M33" s="60">
        <f>IF('[30]سجل المستخلصات'!$N$14="","",'[30]سجل المستخلصات'!$N$14)</f>
        <v/>
      </c>
      <c r="N33" s="59">
        <f>IF('[30]سجل المستخلصات'!$O$14="","",'[30]سجل المستخلصات'!$O$14)</f>
        <v/>
      </c>
      <c r="O33" s="59">
        <f>IF('[30]سجل المستخلصات'!$R$14="","",'[30]سجل المستخلصات'!$R$14)</f>
        <v/>
      </c>
      <c r="P33" s="59">
        <f>IF('[30]سجل المستخلصات'!$S$14="","",'[30]سجل المستخلصات'!$S$14)</f>
        <v/>
      </c>
      <c r="Q33" s="59">
        <f>IF('[30]سجل المستخلصات'!$T$14="","",'[30]سجل المستخلصات'!$T$14)</f>
        <v/>
      </c>
      <c r="R33" s="59">
        <f>IF('[30]سجل المستخلصات'!$V$14="","",'[30]سجل المستخلصات'!$V$14)</f>
        <v/>
      </c>
      <c r="S33" s="59">
        <f>IF('[30]سجل المستخلصات'!$W$14="","",'[30]سجل المستخلصات'!$W$14)</f>
        <v/>
      </c>
      <c r="T33" s="61">
        <f>IF('[30]سجل المستخلصات'!$X$14="","",'[30]سجل المستخلصات'!$X$14)</f>
        <v/>
      </c>
      <c r="U33" s="61">
        <f>IF('[30]سجل المستخلصات'!$Z$14="","",'[30]سجل المستخلصات'!$Z$14)</f>
        <v/>
      </c>
      <c r="V33" s="59">
        <f>IF('[30]سجل المستخلصات'!$AA$14="","",'[30]سجل المستخلصات'!$AA$14)</f>
        <v/>
      </c>
      <c r="W33" s="59">
        <f>IF('[30]سجل المستخلصات'!$AC$14="","",'[30]سجل المستخلصات'!$AC$14)</f>
        <v/>
      </c>
      <c r="X33" s="62">
        <f>IF('[30]سجل المستخلصات'!$AD$14="","",'[30]سجل المستخلصات'!$AD$14)</f>
        <v/>
      </c>
      <c r="Y33" s="58">
        <f>IF('[30]سجل المستخلصات'!$AE$14="","",'[30]سجل المستخلصات'!$AE$14)</f>
        <v/>
      </c>
    </row>
    <row r="34">
      <c r="B34" s="56" t="n">
        <v>10</v>
      </c>
      <c r="C34" s="57">
        <f>IF('[30]سجل المستخلصات'!$C$15="","",'[30]سجل المستخلصات'!$C$15)</f>
        <v/>
      </c>
      <c r="D34" s="57">
        <f>IF('[30]سجل المستخلصات'!$E$15="","",'[30]سجل المستخلصات'!$E$15)</f>
        <v/>
      </c>
      <c r="E34" s="58">
        <f>IF('[30]سجل المستخلصات'!$F$15="","",'[30]سجل المستخلصات'!$F$15)</f>
        <v/>
      </c>
      <c r="F34" s="59">
        <f>IF('[30]سجل المستخلصات'!$H$15="","",'[30]سجل المستخلصات'!$H$15)</f>
        <v/>
      </c>
      <c r="G34" s="59">
        <f>IF('[30]سجل المستخلصات'!$G$15="","",'[30]سجل المستخلصات'!$G$15)</f>
        <v/>
      </c>
      <c r="H34" s="59">
        <f>IF('[30]سجل المستخلصات'!$I$15="","",'[30]سجل المستخلصات'!$I$15)</f>
        <v/>
      </c>
      <c r="I34" s="59">
        <f>IF('[30]سجل المستخلصات'!$J$15="","",'[30]سجل المستخلصات'!$J$15)</f>
        <v/>
      </c>
      <c r="J34" s="59">
        <f>IF('[30]سجل المستخلصات'!$K$15="","",'[30]سجل المستخلصات'!$K$15)</f>
        <v/>
      </c>
      <c r="K34" s="60">
        <f>IF('[30]سجل المستخلصات'!$L$15="","",'[30]سجل المستخلصات'!$L$15)</f>
        <v/>
      </c>
      <c r="L34" s="60">
        <f>IF('[30]سجل المستخلصات'!$M$15="","",'[30]سجل المستخلصات'!$M$15)</f>
        <v/>
      </c>
      <c r="M34" s="60">
        <f>IF('[30]سجل المستخلصات'!$N$15="","",'[30]سجل المستخلصات'!$N$15)</f>
        <v/>
      </c>
      <c r="N34" s="59">
        <f>IF('[30]سجل المستخلصات'!$O$15="","",'[30]سجل المستخلصات'!$O$15)</f>
        <v/>
      </c>
      <c r="O34" s="59">
        <f>IF('[30]سجل المستخلصات'!$R$15="","",'[30]سجل المستخلصات'!$R$15)</f>
        <v/>
      </c>
      <c r="P34" s="59">
        <f>IF('[30]سجل المستخلصات'!$S$15="","",'[30]سجل المستخلصات'!$S$15)</f>
        <v/>
      </c>
      <c r="Q34" s="59">
        <f>IF('[30]سجل المستخلصات'!$T$15="","",'[30]سجل المستخلصات'!$T$15)</f>
        <v/>
      </c>
      <c r="R34" s="59">
        <f>IF('[30]سجل المستخلصات'!$V$15="","",'[30]سجل المستخلصات'!$V$15)</f>
        <v/>
      </c>
      <c r="S34" s="59">
        <f>IF('[30]سجل المستخلصات'!$W$15="","",'[30]سجل المستخلصات'!$W$15)</f>
        <v/>
      </c>
      <c r="T34" s="61">
        <f>IF('[30]سجل المستخلصات'!$X$15="","",'[30]سجل المستخلصات'!$X$15)</f>
        <v/>
      </c>
      <c r="U34" s="61">
        <f>IF('[30]سجل المستخلصات'!$Z$15="","",'[30]سجل المستخلصات'!$Z$15)</f>
        <v/>
      </c>
      <c r="V34" s="59">
        <f>IF('[30]سجل المستخلصات'!$AA$15="","",'[30]سجل المستخلصات'!$AA$15)</f>
        <v/>
      </c>
      <c r="W34" s="59">
        <f>IF('[30]سجل المستخلصات'!$AC$15="","",'[30]سجل المستخلصات'!$AC$15)</f>
        <v/>
      </c>
      <c r="X34" s="62">
        <f>IF('[30]سجل المستخلصات'!$AD$15="","",'[30]سجل المستخلصات'!$AD$15)</f>
        <v/>
      </c>
      <c r="Y34" s="58">
        <f>IF('[30]سجل المستخلصات'!$AE$15="","",'[30]سجل المستخلصات'!$AE$15)</f>
        <v/>
      </c>
    </row>
    <row r="35">
      <c r="B35" s="56" t="n">
        <v>11</v>
      </c>
      <c r="C35" s="57">
        <f>IF('[30]سجل المستخلصات'!$C$16="","",'[30]سجل المستخلصات'!$C$16)</f>
        <v/>
      </c>
      <c r="D35" s="57">
        <f>IF('[30]سجل المستخلصات'!$E$16="","",'[30]سجل المستخلصات'!$E$16)</f>
        <v/>
      </c>
      <c r="E35" s="58">
        <f>IF('[30]سجل المستخلصات'!$F$16="","",'[30]سجل المستخلصات'!$F$16)</f>
        <v/>
      </c>
      <c r="F35" s="59">
        <f>IF('[30]سجل المستخلصات'!$H$16="","",'[30]سجل المستخلصات'!$H$16)</f>
        <v/>
      </c>
      <c r="G35" s="59">
        <f>IF('[30]سجل المستخلصات'!$G$16="","",'[30]سجل المستخلصات'!$G$16)</f>
        <v/>
      </c>
      <c r="H35" s="59">
        <f>IF('[30]سجل المستخلصات'!$I$16="","",'[30]سجل المستخلصات'!$I$16)</f>
        <v/>
      </c>
      <c r="I35" s="59">
        <f>IF('[30]سجل المستخلصات'!$J$16="","",'[30]سجل المستخلصات'!$J$16)</f>
        <v/>
      </c>
      <c r="J35" s="59">
        <f>IF('[30]سجل المستخلصات'!$K$16="","",'[30]سجل المستخلصات'!$K$16)</f>
        <v/>
      </c>
      <c r="K35" s="60">
        <f>IF('[30]سجل المستخلصات'!$L$16="","",'[30]سجل المستخلصات'!$L$16)</f>
        <v/>
      </c>
      <c r="L35" s="60">
        <f>IF('[30]سجل المستخلصات'!$M$16="","",'[30]سجل المستخلصات'!$M$16)</f>
        <v/>
      </c>
      <c r="M35" s="60">
        <f>IF('[30]سجل المستخلصات'!$N$16="","",'[30]سجل المستخلصات'!$N$16)</f>
        <v/>
      </c>
      <c r="N35" s="59">
        <f>IF('[30]سجل المستخلصات'!$O$16="","",'[30]سجل المستخلصات'!$O$16)</f>
        <v/>
      </c>
      <c r="O35" s="59">
        <f>IF('[30]سجل المستخلصات'!$R$16="","",'[30]سجل المستخلصات'!$R$16)</f>
        <v/>
      </c>
      <c r="P35" s="59">
        <f>IF('[30]سجل المستخلصات'!$S$16="","",'[30]سجل المستخلصات'!$S$16)</f>
        <v/>
      </c>
      <c r="Q35" s="59">
        <f>IF('[30]سجل المستخلصات'!$T$16="","",'[30]سجل المستخلصات'!$T$16)</f>
        <v/>
      </c>
      <c r="R35" s="59">
        <f>IF('[30]سجل المستخلصات'!$V$16="","",'[30]سجل المستخلصات'!$V$16)</f>
        <v/>
      </c>
      <c r="S35" s="59">
        <f>IF('[30]سجل المستخلصات'!$W$16="","",'[30]سجل المستخلصات'!$W$16)</f>
        <v/>
      </c>
      <c r="T35" s="61">
        <f>IF('[30]سجل المستخلصات'!$X$16="","",'[30]سجل المستخلصات'!$X$16)</f>
        <v/>
      </c>
      <c r="U35" s="61">
        <f>IF('[30]سجل المستخلصات'!$Z$16="","",'[30]سجل المستخلصات'!$Z$16)</f>
        <v/>
      </c>
      <c r="V35" s="59">
        <f>IF('[30]سجل المستخلصات'!$AA$16="","",'[30]سجل المستخلصات'!$AA$16)</f>
        <v/>
      </c>
      <c r="W35" s="59">
        <f>IF('[30]سجل المستخلصات'!$AC$16="","",'[30]سجل المستخلصات'!$AC$16)</f>
        <v/>
      </c>
      <c r="X35" s="62">
        <f>IF('[30]سجل المستخلصات'!$AD$16="","",'[30]سجل المستخلصات'!$AD$16)</f>
        <v/>
      </c>
      <c r="Y35" s="58">
        <f>IF('[30]سجل المستخلصات'!$AE$16="","",'[30]سجل المستخلصات'!$AE$16)</f>
        <v/>
      </c>
    </row>
    <row r="36">
      <c r="B36" s="56" t="n">
        <v>12</v>
      </c>
      <c r="C36" s="57">
        <f>IF('[30]سجل المستخلصات'!$C$17="","",'[30]سجل المستخلصات'!$C$17)</f>
        <v/>
      </c>
      <c r="D36" s="57">
        <f>IF('[30]سجل المستخلصات'!$E$17="","",'[30]سجل المستخلصات'!$E$17)</f>
        <v/>
      </c>
      <c r="E36" s="58">
        <f>IF('[30]سجل المستخلصات'!$F$17="","",'[30]سجل المستخلصات'!$F$17)</f>
        <v/>
      </c>
      <c r="F36" s="59">
        <f>IF('[30]سجل المستخلصات'!$H$17="","",'[30]سجل المستخلصات'!$H$17)</f>
        <v/>
      </c>
      <c r="G36" s="59">
        <f>IF('[30]سجل المستخلصات'!$G$17="","",'[30]سجل المستخلصات'!$G$17)</f>
        <v/>
      </c>
      <c r="H36" s="59">
        <f>IF('[30]سجل المستخلصات'!$I$17="","",'[30]سجل المستخلصات'!$I$17)</f>
        <v/>
      </c>
      <c r="I36" s="59">
        <f>IF('[30]سجل المستخلصات'!$J$17="","",'[30]سجل المستخلصات'!$J$17)</f>
        <v/>
      </c>
      <c r="J36" s="59">
        <f>IF('[30]سجل المستخلصات'!$K$17="","",'[30]سجل المستخلصات'!$K$17)</f>
        <v/>
      </c>
      <c r="K36" s="60">
        <f>IF('[30]سجل المستخلصات'!$L$17="","",'[30]سجل المستخلصات'!$L$17)</f>
        <v/>
      </c>
      <c r="L36" s="60">
        <f>IF('[30]سجل المستخلصات'!$M$17="","",'[30]سجل المستخلصات'!$M$17)</f>
        <v/>
      </c>
      <c r="M36" s="60">
        <f>IF('[30]سجل المستخلصات'!$N$17="","",'[30]سجل المستخلصات'!$N$17)</f>
        <v/>
      </c>
      <c r="N36" s="59">
        <f>IF('[30]سجل المستخلصات'!$O$17="","",'[30]سجل المستخلصات'!$O$17)</f>
        <v/>
      </c>
      <c r="O36" s="59">
        <f>IF('[30]سجل المستخلصات'!$R$17="","",'[30]سجل المستخلصات'!$R$17)</f>
        <v/>
      </c>
      <c r="P36" s="59">
        <f>IF('[30]سجل المستخلصات'!$S$17="","",'[30]سجل المستخلصات'!$S$17)</f>
        <v/>
      </c>
      <c r="Q36" s="59">
        <f>IF('[30]سجل المستخلصات'!$T$17="","",'[30]سجل المستخلصات'!$T$17)</f>
        <v/>
      </c>
      <c r="R36" s="59">
        <f>IF('[30]سجل المستخلصات'!$V$17="","",'[30]سجل المستخلصات'!$V$17)</f>
        <v/>
      </c>
      <c r="S36" s="59">
        <f>IF('[30]سجل المستخلصات'!$W$17="","",'[30]سجل المستخلصات'!$W$17)</f>
        <v/>
      </c>
      <c r="T36" s="61">
        <f>IF('[30]سجل المستخلصات'!$X$17="","",'[30]سجل المستخلصات'!$X$17)</f>
        <v/>
      </c>
      <c r="U36" s="61">
        <f>IF('[30]سجل المستخلصات'!$Z$17="","",'[30]سجل المستخلصات'!$Z$17)</f>
        <v/>
      </c>
      <c r="V36" s="59">
        <f>IF('[30]سجل المستخلصات'!$AA$17="","",'[30]سجل المستخلصات'!$AA$17)</f>
        <v/>
      </c>
      <c r="W36" s="59">
        <f>IF('[30]سجل المستخلصات'!$AC$17="","",'[30]سجل المستخلصات'!$AC$17)</f>
        <v/>
      </c>
      <c r="X36" s="62">
        <f>IF('[30]سجل المستخلصات'!$AD$17="","",'[30]سجل المستخلصات'!$AD$17)</f>
        <v/>
      </c>
      <c r="Y36" s="58">
        <f>IF('[30]سجل المستخلصات'!$AE$17="","",'[30]سجل المستخلصات'!$AE$17)</f>
        <v/>
      </c>
    </row>
    <row r="37">
      <c r="B37" s="56" t="n">
        <v>13</v>
      </c>
      <c r="C37" s="57">
        <f>IF('[30]سجل المستخلصات'!$C$18="","",'[30]سجل المستخلصات'!$C$18)</f>
        <v/>
      </c>
      <c r="D37" s="57">
        <f>IF('[30]سجل المستخلصات'!$E$18="","",'[30]سجل المستخلصات'!$E$18)</f>
        <v/>
      </c>
      <c r="E37" s="58">
        <f>IF('[30]سجل المستخلصات'!$F$18="","",'[30]سجل المستخلصات'!$F$18)</f>
        <v/>
      </c>
      <c r="F37" s="59">
        <f>IF('[30]سجل المستخلصات'!$H$18="","",'[30]سجل المستخلصات'!$H$18)</f>
        <v/>
      </c>
      <c r="G37" s="59">
        <f>IF('[30]سجل المستخلصات'!$G$18="","",'[30]سجل المستخلصات'!$G$18)</f>
        <v/>
      </c>
      <c r="H37" s="59">
        <f>IF('[30]سجل المستخلصات'!$I$18="","",'[30]سجل المستخلصات'!$I$18)</f>
        <v/>
      </c>
      <c r="I37" s="59">
        <f>IF('[30]سجل المستخلصات'!$J$18="","",'[30]سجل المستخلصات'!$J$18)</f>
        <v/>
      </c>
      <c r="J37" s="59">
        <f>IF('[30]سجل المستخلصات'!$K$18="","",'[30]سجل المستخلصات'!$K$18)</f>
        <v/>
      </c>
      <c r="K37" s="60">
        <f>IF('[30]سجل المستخلصات'!$L$18="","",'[30]سجل المستخلصات'!$L$18)</f>
        <v/>
      </c>
      <c r="L37" s="60">
        <f>IF('[30]سجل المستخلصات'!$M$18="","",'[30]سجل المستخلصات'!$M$18)</f>
        <v/>
      </c>
      <c r="M37" s="60">
        <f>IF('[30]سجل المستخلصات'!$N$18="","",'[30]سجل المستخلصات'!$N$18)</f>
        <v/>
      </c>
      <c r="N37" s="59">
        <f>IF('[30]سجل المستخلصات'!$O$18="","",'[30]سجل المستخلصات'!$O$18)</f>
        <v/>
      </c>
      <c r="O37" s="59">
        <f>IF('[30]سجل المستخلصات'!$R$18="","",'[30]سجل المستخلصات'!$R$18)</f>
        <v/>
      </c>
      <c r="P37" s="59">
        <f>IF('[30]سجل المستخلصات'!$S$18="","",'[30]سجل المستخلصات'!$S$18)</f>
        <v/>
      </c>
      <c r="Q37" s="59">
        <f>IF('[30]سجل المستخلصات'!$T$18="","",'[30]سجل المستخلصات'!$T$18)</f>
        <v/>
      </c>
      <c r="R37" s="59">
        <f>IF('[30]سجل المستخلصات'!$V$18="","",'[30]سجل المستخلصات'!$V$18)</f>
        <v/>
      </c>
      <c r="S37" s="59">
        <f>IF('[30]سجل المستخلصات'!$W$18="","",'[30]سجل المستخلصات'!$W$18)</f>
        <v/>
      </c>
      <c r="T37" s="61">
        <f>IF('[30]سجل المستخلصات'!$X$18="","",'[30]سجل المستخلصات'!$X$18)</f>
        <v/>
      </c>
      <c r="U37" s="61">
        <f>IF('[30]سجل المستخلصات'!$Z$18="","",'[30]سجل المستخلصات'!$Z$18)</f>
        <v/>
      </c>
      <c r="V37" s="59">
        <f>IF('[30]سجل المستخلصات'!$AA$18="","",'[30]سجل المستخلصات'!$AA$18)</f>
        <v/>
      </c>
      <c r="W37" s="59">
        <f>IF('[30]سجل المستخلصات'!$AC$18="","",'[30]سجل المستخلصات'!$AC$18)</f>
        <v/>
      </c>
      <c r="X37" s="62">
        <f>IF('[30]سجل المستخلصات'!$AD$18="","",'[30]سجل المستخلصات'!$AD$18)</f>
        <v/>
      </c>
      <c r="Y37" s="58">
        <f>IF('[30]سجل المستخلصات'!$AE$18="","",'[30]سجل المستخلصات'!$AE$18)</f>
        <v/>
      </c>
    </row>
    <row r="38">
      <c r="B38" s="56" t="n">
        <v>14</v>
      </c>
      <c r="C38" s="57">
        <f>IF('[30]سجل المستخلصات'!$C$19="","",'[30]سجل المستخلصات'!$C$19)</f>
        <v/>
      </c>
      <c r="D38" s="57">
        <f>IF('[30]سجل المستخلصات'!$E$19="","",'[30]سجل المستخلصات'!$E$19)</f>
        <v/>
      </c>
      <c r="E38" s="58">
        <f>IF('[30]سجل المستخلصات'!$F$19="","",'[30]سجل المستخلصات'!$F$19)</f>
        <v/>
      </c>
      <c r="F38" s="59">
        <f>IF('[30]سجل المستخلصات'!$H$19="","",'[30]سجل المستخلصات'!$H$19)</f>
        <v/>
      </c>
      <c r="G38" s="59">
        <f>IF('[30]سجل المستخلصات'!$G$19="","",'[30]سجل المستخلصات'!$G$19)</f>
        <v/>
      </c>
      <c r="H38" s="59">
        <f>IF('[30]سجل المستخلصات'!$I$19="","",'[30]سجل المستخلصات'!$I$19)</f>
        <v/>
      </c>
      <c r="I38" s="59">
        <f>IF('[30]سجل المستخلصات'!$J$19="","",'[30]سجل المستخلصات'!$J$19)</f>
        <v/>
      </c>
      <c r="J38" s="59">
        <f>IF('[30]سجل المستخلصات'!$K$19="","",'[30]سجل المستخلصات'!$K$19)</f>
        <v/>
      </c>
      <c r="K38" s="60">
        <f>IF('[30]سجل المستخلصات'!$L$19="","",'[30]سجل المستخلصات'!$L$19)</f>
        <v/>
      </c>
      <c r="L38" s="60">
        <f>IF('[30]سجل المستخلصات'!$M$19="","",'[30]سجل المستخلصات'!$M$19)</f>
        <v/>
      </c>
      <c r="M38" s="60">
        <f>IF('[30]سجل المستخلصات'!$N$19="","",'[30]سجل المستخلصات'!$N$19)</f>
        <v/>
      </c>
      <c r="N38" s="59">
        <f>IF('[30]سجل المستخلصات'!$O$19="","",'[30]سجل المستخلصات'!$O$19)</f>
        <v/>
      </c>
      <c r="O38" s="59">
        <f>IF('[30]سجل المستخلصات'!$R$19="","",'[30]سجل المستخلصات'!$R$19)</f>
        <v/>
      </c>
      <c r="P38" s="59">
        <f>IF('[30]سجل المستخلصات'!$S$19="","",'[30]سجل المستخلصات'!$S$19)</f>
        <v/>
      </c>
      <c r="Q38" s="59">
        <f>IF('[30]سجل المستخلصات'!$T$19="","",'[30]سجل المستخلصات'!$T$19)</f>
        <v/>
      </c>
      <c r="R38" s="59">
        <f>IF('[30]سجل المستخلصات'!$V$19="","",'[30]سجل المستخلصات'!$V$19)</f>
        <v/>
      </c>
      <c r="S38" s="59">
        <f>IF('[30]سجل المستخلصات'!$W$19="","",'[30]سجل المستخلصات'!$W$19)</f>
        <v/>
      </c>
      <c r="T38" s="61">
        <f>IF('[30]سجل المستخلصات'!$X$19="","",'[30]سجل المستخلصات'!$X$19)</f>
        <v/>
      </c>
      <c r="U38" s="61">
        <f>IF('[30]سجل المستخلصات'!$Z$19="","",'[30]سجل المستخلصات'!$Z$19)</f>
        <v/>
      </c>
      <c r="V38" s="59">
        <f>IF('[30]سجل المستخلصات'!$AA$19="","",'[30]سجل المستخلصات'!$AA$19)</f>
        <v/>
      </c>
      <c r="W38" s="59">
        <f>IF('[30]سجل المستخلصات'!$AC$19="","",'[30]سجل المستخلصات'!$AC$19)</f>
        <v/>
      </c>
      <c r="X38" s="62">
        <f>IF('[30]سجل المستخلصات'!$AD$19="","",'[30]سجل المستخلصات'!$AD$19)</f>
        <v/>
      </c>
      <c r="Y38" s="58">
        <f>IF('[30]سجل المستخلصات'!$AE$19="","",'[30]سجل المستخلصات'!$AE$19)</f>
        <v/>
      </c>
    </row>
    <row r="39">
      <c r="B39" s="56" t="n">
        <v>15</v>
      </c>
      <c r="C39" s="57">
        <f>IF('[30]سجل المستخلصات'!$C$20="","",'[30]سجل المستخلصات'!$C$20)</f>
        <v/>
      </c>
      <c r="D39" s="57">
        <f>IF('[30]سجل المستخلصات'!$E$20="","",'[30]سجل المستخلصات'!$E$20)</f>
        <v/>
      </c>
      <c r="E39" s="58">
        <f>IF('[30]سجل المستخلصات'!$F$20="","",'[30]سجل المستخلصات'!$F$20)</f>
        <v/>
      </c>
      <c r="F39" s="59">
        <f>IF('[30]سجل المستخلصات'!$H$20="","",'[30]سجل المستخلصات'!$H$20)</f>
        <v/>
      </c>
      <c r="G39" s="59">
        <f>IF('[30]سجل المستخلصات'!$G$20="","",'[30]سجل المستخلصات'!$G$20)</f>
        <v/>
      </c>
      <c r="H39" s="59">
        <f>IF('[30]سجل المستخلصات'!$I$20="","",'[30]سجل المستخلصات'!$I$20)</f>
        <v/>
      </c>
      <c r="I39" s="59">
        <f>IF('[30]سجل المستخلصات'!$J$20="","",'[30]سجل المستخلصات'!$J$20)</f>
        <v/>
      </c>
      <c r="J39" s="59">
        <f>IF('[30]سجل المستخلصات'!$K$20="","",'[30]سجل المستخلصات'!$K$20)</f>
        <v/>
      </c>
      <c r="K39" s="60">
        <f>IF('[30]سجل المستخلصات'!$L$20="","",'[30]سجل المستخلصات'!$L$20)</f>
        <v/>
      </c>
      <c r="L39" s="60">
        <f>IF('[30]سجل المستخلصات'!$M$20="","",'[30]سجل المستخلصات'!$M$20)</f>
        <v/>
      </c>
      <c r="M39" s="60">
        <f>IF('[30]سجل المستخلصات'!$N$20="","",'[30]سجل المستخلصات'!$N$20)</f>
        <v/>
      </c>
      <c r="N39" s="59">
        <f>IF('[30]سجل المستخلصات'!$O$20="","",'[30]سجل المستخلصات'!$O$20)</f>
        <v/>
      </c>
      <c r="O39" s="59">
        <f>IF('[30]سجل المستخلصات'!$R$20="","",'[30]سجل المستخلصات'!$R$20)</f>
        <v/>
      </c>
      <c r="P39" s="59">
        <f>IF('[30]سجل المستخلصات'!$S$20="","",'[30]سجل المستخلصات'!$S$20)</f>
        <v/>
      </c>
      <c r="Q39" s="59">
        <f>IF('[30]سجل المستخلصات'!$T$20="","",'[30]سجل المستخلصات'!$T$20)</f>
        <v/>
      </c>
      <c r="R39" s="59">
        <f>IF('[30]سجل المستخلصات'!$V$20="","",'[30]سجل المستخلصات'!$V$20)</f>
        <v/>
      </c>
      <c r="S39" s="59">
        <f>IF('[30]سجل المستخلصات'!$W$20="","",'[30]سجل المستخلصات'!$W$20)</f>
        <v/>
      </c>
      <c r="T39" s="61">
        <f>IF('[30]سجل المستخلصات'!$X$20="","",'[30]سجل المستخلصات'!$X$20)</f>
        <v/>
      </c>
      <c r="U39" s="61">
        <f>IF('[30]سجل المستخلصات'!$Z$20="","",'[30]سجل المستخلصات'!$Z$20)</f>
        <v/>
      </c>
      <c r="V39" s="59">
        <f>IF('[30]سجل المستخلصات'!$AA$20="","",'[30]سجل المستخلصات'!$AA$20)</f>
        <v/>
      </c>
      <c r="W39" s="59">
        <f>IF('[30]سجل المستخلصات'!$AC$20="","",'[30]سجل المستخلصات'!$AC$20)</f>
        <v/>
      </c>
      <c r="X39" s="62">
        <f>IF('[30]سجل المستخلصات'!$AD$20="","",'[30]سجل المستخلصات'!$AD$20)</f>
        <v/>
      </c>
      <c r="Y39" s="58">
        <f>IF('[30]سجل المستخلصات'!$AE$20="","",'[30]سجل المستخلصات'!$AE$20)</f>
        <v/>
      </c>
    </row>
    <row r="40">
      <c r="B40" s="56" t="n">
        <v>16</v>
      </c>
      <c r="C40" s="57">
        <f>IF('[30]سجل المستخلصات'!$C$21="","",'[30]سجل المستخلصات'!$C$21)</f>
        <v/>
      </c>
      <c r="D40" s="57">
        <f>IF('[30]سجل المستخلصات'!$E$21="","",'[30]سجل المستخلصات'!$E$21)</f>
        <v/>
      </c>
      <c r="E40" s="58">
        <f>IF('[30]سجل المستخلصات'!$F$21="","",'[30]سجل المستخلصات'!$F$21)</f>
        <v/>
      </c>
      <c r="F40" s="59">
        <f>IF('[30]سجل المستخلصات'!$H$21="","",'[30]سجل المستخلصات'!$H$21)</f>
        <v/>
      </c>
      <c r="G40" s="59">
        <f>IF('[30]سجل المستخلصات'!$G$21="","",'[30]سجل المستخلصات'!$G$21)</f>
        <v/>
      </c>
      <c r="H40" s="59">
        <f>IF('[30]سجل المستخلصات'!$I$21="","",'[30]سجل المستخلصات'!$I$21)</f>
        <v/>
      </c>
      <c r="I40" s="59">
        <f>IF('[30]سجل المستخلصات'!$J$21="","",'[30]سجل المستخلصات'!$J$21)</f>
        <v/>
      </c>
      <c r="J40" s="59">
        <f>IF('[30]سجل المستخلصات'!$K$21="","",'[30]سجل المستخلصات'!$K$21)</f>
        <v/>
      </c>
      <c r="K40" s="60">
        <f>IF('[30]سجل المستخلصات'!$L$21="","",'[30]سجل المستخلصات'!$L$21)</f>
        <v/>
      </c>
      <c r="L40" s="60">
        <f>IF('[30]سجل المستخلصات'!$M$21="","",'[30]سجل المستخلصات'!$M$21)</f>
        <v/>
      </c>
      <c r="M40" s="60">
        <f>IF('[30]سجل المستخلصات'!$N$21="","",'[30]سجل المستخلصات'!$N$21)</f>
        <v/>
      </c>
      <c r="N40" s="59">
        <f>IF('[30]سجل المستخلصات'!$O$21="","",'[30]سجل المستخلصات'!$O$21)</f>
        <v/>
      </c>
      <c r="O40" s="59">
        <f>IF('[30]سجل المستخلصات'!$R$21="","",'[30]سجل المستخلصات'!$R$21)</f>
        <v/>
      </c>
      <c r="P40" s="59">
        <f>IF('[30]سجل المستخلصات'!$S$21="","",'[30]سجل المستخلصات'!$S$21)</f>
        <v/>
      </c>
      <c r="Q40" s="59">
        <f>IF('[30]سجل المستخلصات'!$T$21="","",'[30]سجل المستخلصات'!$T$21)</f>
        <v/>
      </c>
      <c r="R40" s="59">
        <f>IF('[30]سجل المستخلصات'!$V$21="","",'[30]سجل المستخلصات'!$V$21)</f>
        <v/>
      </c>
      <c r="S40" s="59">
        <f>IF('[30]سجل المستخلصات'!$W$21="","",'[30]سجل المستخلصات'!$W$21)</f>
        <v/>
      </c>
      <c r="T40" s="61">
        <f>IF('[30]سجل المستخلصات'!$X$21="","",'[30]سجل المستخلصات'!$X$21)</f>
        <v/>
      </c>
      <c r="U40" s="61">
        <f>IF('[30]سجل المستخلصات'!$Z$21="","",'[30]سجل المستخلصات'!$Z$21)</f>
        <v/>
      </c>
      <c r="V40" s="59">
        <f>IF('[30]سجل المستخلصات'!$AA$21="","",'[30]سجل المستخلصات'!$AA$21)</f>
        <v/>
      </c>
      <c r="W40" s="59">
        <f>IF('[30]سجل المستخلصات'!$AC$21="","",'[30]سجل المستخلصات'!$AC$21)</f>
        <v/>
      </c>
      <c r="X40" s="62">
        <f>IF('[30]سجل المستخلصات'!$AD$21="","",'[30]سجل المستخلصات'!$AD$21)</f>
        <v/>
      </c>
      <c r="Y40" s="58">
        <f>IF('[30]سجل المستخلصات'!$AE$21="","",'[30]سجل المستخلصات'!$AE$21)</f>
        <v/>
      </c>
    </row>
    <row r="41">
      <c r="B41" s="56" t="n">
        <v>17</v>
      </c>
      <c r="C41" s="57">
        <f>IF('[30]سجل المستخلصات'!$C$22="","",'[30]سجل المستخلصات'!$C$22)</f>
        <v/>
      </c>
      <c r="D41" s="57">
        <f>IF('[30]سجل المستخلصات'!$E$22="","",'[30]سجل المستخلصات'!$E$22)</f>
        <v/>
      </c>
      <c r="E41" s="58">
        <f>IF('[30]سجل المستخلصات'!$F$22="","",'[30]سجل المستخلصات'!$F$22)</f>
        <v/>
      </c>
      <c r="F41" s="59">
        <f>IF('[30]سجل المستخلصات'!$H$22="","",'[30]سجل المستخلصات'!$H$22)</f>
        <v/>
      </c>
      <c r="G41" s="59">
        <f>IF('[30]سجل المستخلصات'!$G$22="","",'[30]سجل المستخلصات'!$G$22)</f>
        <v/>
      </c>
      <c r="H41" s="59">
        <f>IF('[30]سجل المستخلصات'!$I$22="","",'[30]سجل المستخلصات'!$I$22)</f>
        <v/>
      </c>
      <c r="I41" s="59">
        <f>IF('[30]سجل المستخلصات'!$J$22="","",'[30]سجل المستخلصات'!$J$22)</f>
        <v/>
      </c>
      <c r="J41" s="59">
        <f>IF('[30]سجل المستخلصات'!$K$22="","",'[30]سجل المستخلصات'!$K$22)</f>
        <v/>
      </c>
      <c r="K41" s="60">
        <f>IF('[30]سجل المستخلصات'!$L$22="","",'[30]سجل المستخلصات'!$L$22)</f>
        <v/>
      </c>
      <c r="L41" s="60">
        <f>IF('[30]سجل المستخلصات'!$M$22="","",'[30]سجل المستخلصات'!$M$22)</f>
        <v/>
      </c>
      <c r="M41" s="60">
        <f>IF('[30]سجل المستخلصات'!$N$22="","",'[30]سجل المستخلصات'!$N$22)</f>
        <v/>
      </c>
      <c r="N41" s="59">
        <f>IF('[30]سجل المستخلصات'!$O$22="","",'[30]سجل المستخلصات'!$O$22)</f>
        <v/>
      </c>
      <c r="O41" s="59">
        <f>IF('[30]سجل المستخلصات'!$R$22="","",'[30]سجل المستخلصات'!$R$22)</f>
        <v/>
      </c>
      <c r="P41" s="59">
        <f>IF('[30]سجل المستخلصات'!$S$22="","",'[30]سجل المستخلصات'!$S$22)</f>
        <v/>
      </c>
      <c r="Q41" s="59">
        <f>IF('[30]سجل المستخلصات'!$T$22="","",'[30]سجل المستخلصات'!$T$22)</f>
        <v/>
      </c>
      <c r="R41" s="59">
        <f>IF('[30]سجل المستخلصات'!$V$22="","",'[30]سجل المستخلصات'!$V$22)</f>
        <v/>
      </c>
      <c r="S41" s="59">
        <f>IF('[30]سجل المستخلصات'!$W$22="","",'[30]سجل المستخلصات'!$W$22)</f>
        <v/>
      </c>
      <c r="T41" s="61">
        <f>IF('[30]سجل المستخلصات'!$X$22="","",'[30]سجل المستخلصات'!$X$22)</f>
        <v/>
      </c>
      <c r="U41" s="61">
        <f>IF('[30]سجل المستخلصات'!$Z$22="","",'[30]سجل المستخلصات'!$Z$22)</f>
        <v/>
      </c>
      <c r="V41" s="59">
        <f>IF('[30]سجل المستخلصات'!$AA$22="","",'[30]سجل المستخلصات'!$AA$22)</f>
        <v/>
      </c>
      <c r="W41" s="59">
        <f>IF('[30]سجل المستخلصات'!$AC$22="","",'[30]سجل المستخلصات'!$AC$22)</f>
        <v/>
      </c>
      <c r="X41" s="62">
        <f>IF('[30]سجل المستخلصات'!$AD$22="","",'[30]سجل المستخلصات'!$AD$22)</f>
        <v/>
      </c>
      <c r="Y41" s="58">
        <f>IF('[30]سجل المستخلصات'!$AE$22="","",'[30]سجل المستخلصات'!$AE$22)</f>
        <v/>
      </c>
    </row>
    <row r="42">
      <c r="B42" s="56" t="n">
        <v>18</v>
      </c>
      <c r="C42" s="57">
        <f>IF('[30]سجل المستخلصات'!$C$23="","",'[30]سجل المستخلصات'!$C$23)</f>
        <v/>
      </c>
      <c r="D42" s="57">
        <f>IF('[30]سجل المستخلصات'!$E$23="","",'[30]سجل المستخلصات'!$E$23)</f>
        <v/>
      </c>
      <c r="E42" s="58">
        <f>IF('[30]سجل المستخلصات'!$F$23="","",'[30]سجل المستخلصات'!$F$23)</f>
        <v/>
      </c>
      <c r="F42" s="59">
        <f>IF('[30]سجل المستخلصات'!$H$23="","",'[30]سجل المستخلصات'!$H$23)</f>
        <v/>
      </c>
      <c r="G42" s="59">
        <f>IF('[30]سجل المستخلصات'!$G$23="","",'[30]سجل المستخلصات'!$G$23)</f>
        <v/>
      </c>
      <c r="H42" s="59">
        <f>IF('[30]سجل المستخلصات'!$I$23="","",'[30]سجل المستخلصات'!$I$23)</f>
        <v/>
      </c>
      <c r="I42" s="59">
        <f>IF('[30]سجل المستخلصات'!$J$23="","",'[30]سجل المستخلصات'!$J$23)</f>
        <v/>
      </c>
      <c r="J42" s="59">
        <f>IF('[30]سجل المستخلصات'!$K$23="","",'[30]سجل المستخلصات'!$K$23)</f>
        <v/>
      </c>
      <c r="K42" s="60">
        <f>IF('[30]سجل المستخلصات'!$L$23="","",'[30]سجل المستخلصات'!$L$23)</f>
        <v/>
      </c>
      <c r="L42" s="60">
        <f>IF('[30]سجل المستخلصات'!$M$23="","",'[30]سجل المستخلصات'!$M$23)</f>
        <v/>
      </c>
      <c r="M42" s="60">
        <f>IF('[30]سجل المستخلصات'!$N$23="","",'[30]سجل المستخلصات'!$N$23)</f>
        <v/>
      </c>
      <c r="N42" s="59">
        <f>IF('[30]سجل المستخلصات'!$O$23="","",'[30]سجل المستخلصات'!$O$23)</f>
        <v/>
      </c>
      <c r="O42" s="59">
        <f>IF('[30]سجل المستخلصات'!$R$23="","",'[30]سجل المستخلصات'!$R$23)</f>
        <v/>
      </c>
      <c r="P42" s="59">
        <f>IF('[30]سجل المستخلصات'!$S$23="","",'[30]سجل المستخلصات'!$S$23)</f>
        <v/>
      </c>
      <c r="Q42" s="59">
        <f>IF('[30]سجل المستخلصات'!$T$23="","",'[30]سجل المستخلصات'!$T$23)</f>
        <v/>
      </c>
      <c r="R42" s="59">
        <f>IF('[30]سجل المستخلصات'!$V$23="","",'[30]سجل المستخلصات'!$V$23)</f>
        <v/>
      </c>
      <c r="S42" s="59">
        <f>IF('[30]سجل المستخلصات'!$W$23="","",'[30]سجل المستخلصات'!$W$23)</f>
        <v/>
      </c>
      <c r="T42" s="61">
        <f>IF('[30]سجل المستخلصات'!$X$23="","",'[30]سجل المستخلصات'!$X$23)</f>
        <v/>
      </c>
      <c r="U42" s="61">
        <f>IF('[30]سجل المستخلصات'!$Z$23="","",'[30]سجل المستخلصات'!$Z$23)</f>
        <v/>
      </c>
      <c r="V42" s="59">
        <f>IF('[30]سجل المستخلصات'!$AA$23="","",'[30]سجل المستخلصات'!$AA$23)</f>
        <v/>
      </c>
      <c r="W42" s="59">
        <f>IF('[30]سجل المستخلصات'!$AC$23="","",'[30]سجل المستخلصات'!$AC$23)</f>
        <v/>
      </c>
      <c r="X42" s="62">
        <f>IF('[30]سجل المستخلصات'!$AD$23="","",'[30]سجل المستخلصات'!$AD$23)</f>
        <v/>
      </c>
      <c r="Y42" s="58">
        <f>IF('[30]سجل المستخلصات'!$AE$23="","",'[30]سجل المستخلصات'!$AE$23)</f>
        <v/>
      </c>
    </row>
    <row r="43">
      <c r="B43" s="56" t="n">
        <v>19</v>
      </c>
      <c r="C43" s="57">
        <f>IF('[30]سجل المستخلصات'!$C$24="","",'[30]سجل المستخلصات'!$C$24)</f>
        <v/>
      </c>
      <c r="D43" s="57">
        <f>IF('[30]سجل المستخلصات'!$E$24="","",'[30]سجل المستخلصات'!$E$24)</f>
        <v/>
      </c>
      <c r="E43" s="58">
        <f>IF('[30]سجل المستخلصات'!$F$24="","",'[30]سجل المستخلصات'!$F$24)</f>
        <v/>
      </c>
      <c r="F43" s="59">
        <f>IF('[30]سجل المستخلصات'!$H$24="","",'[30]سجل المستخلصات'!$H$24)</f>
        <v/>
      </c>
      <c r="G43" s="59">
        <f>IF('[30]سجل المستخلصات'!$G$24="","",'[30]سجل المستخلصات'!$G$24)</f>
        <v/>
      </c>
      <c r="H43" s="59">
        <f>IF('[30]سجل المستخلصات'!$I$24="","",'[30]سجل المستخلصات'!$I$24)</f>
        <v/>
      </c>
      <c r="I43" s="59">
        <f>IF('[30]سجل المستخلصات'!$J$24="","",'[30]سجل المستخلصات'!$J$24)</f>
        <v/>
      </c>
      <c r="J43" s="59">
        <f>IF('[30]سجل المستخلصات'!$K$24="","",'[30]سجل المستخلصات'!$K$24)</f>
        <v/>
      </c>
      <c r="K43" s="60">
        <f>IF('[30]سجل المستخلصات'!$L$24="","",'[30]سجل المستخلصات'!$L$24)</f>
        <v/>
      </c>
      <c r="L43" s="60">
        <f>IF('[30]سجل المستخلصات'!$M$24="","",'[30]سجل المستخلصات'!$M$24)</f>
        <v/>
      </c>
      <c r="M43" s="60">
        <f>IF('[30]سجل المستخلصات'!$N$24="","",'[30]سجل المستخلصات'!$N$24)</f>
        <v/>
      </c>
      <c r="N43" s="59">
        <f>IF('[30]سجل المستخلصات'!$O$24="","",'[30]سجل المستخلصات'!$O$24)</f>
        <v/>
      </c>
      <c r="O43" s="59">
        <f>IF('[30]سجل المستخلصات'!$R$24="","",'[30]سجل المستخلصات'!$R$24)</f>
        <v/>
      </c>
      <c r="P43" s="59">
        <f>IF('[30]سجل المستخلصات'!$S$24="","",'[30]سجل المستخلصات'!$S$24)</f>
        <v/>
      </c>
      <c r="Q43" s="59">
        <f>IF('[30]سجل المستخلصات'!$T$24="","",'[30]سجل المستخلصات'!$T$24)</f>
        <v/>
      </c>
      <c r="R43" s="59">
        <f>IF('[30]سجل المستخلصات'!$V$24="","",'[30]سجل المستخلصات'!$V$24)</f>
        <v/>
      </c>
      <c r="S43" s="59">
        <f>IF('[30]سجل المستخلصات'!$W$24="","",'[30]سجل المستخلصات'!$W$24)</f>
        <v/>
      </c>
      <c r="T43" s="61">
        <f>IF('[30]سجل المستخلصات'!$X$24="","",'[30]سجل المستخلصات'!$X$24)</f>
        <v/>
      </c>
      <c r="U43" s="61">
        <f>IF('[30]سجل المستخلصات'!$Z$24="","",'[30]سجل المستخلصات'!$Z$24)</f>
        <v/>
      </c>
      <c r="V43" s="59">
        <f>IF('[30]سجل المستخلصات'!$AA$24="","",'[30]سجل المستخلصات'!$AA$24)</f>
        <v/>
      </c>
      <c r="W43" s="59">
        <f>IF('[30]سجل المستخلصات'!$AC$24="","",'[30]سجل المستخلصات'!$AC$24)</f>
        <v/>
      </c>
      <c r="X43" s="62">
        <f>IF('[30]سجل المستخلصات'!$AD$24="","",'[30]سجل المستخلصات'!$AD$24)</f>
        <v/>
      </c>
      <c r="Y43" s="58">
        <f>IF('[30]سجل المستخلصات'!$AE$24="","",'[30]سجل المستخلصات'!$AE$24)</f>
        <v/>
      </c>
    </row>
    <row r="44">
      <c r="B44" s="56" t="n">
        <v>20</v>
      </c>
      <c r="C44" s="57">
        <f>IF('[30]سجل المستخلصات'!$C$25="","",'[30]سجل المستخلصات'!$C$25)</f>
        <v/>
      </c>
      <c r="D44" s="57">
        <f>IF('[30]سجل المستخلصات'!$E$25="","",'[30]سجل المستخلصات'!$E$25)</f>
        <v/>
      </c>
      <c r="E44" s="58">
        <f>IF('[30]سجل المستخلصات'!$F$25="","",'[30]سجل المستخلصات'!$F$25)</f>
        <v/>
      </c>
      <c r="F44" s="59">
        <f>IF('[30]سجل المستخلصات'!$H$25="","",'[30]سجل المستخلصات'!$H$25)</f>
        <v/>
      </c>
      <c r="G44" s="59">
        <f>IF('[30]سجل المستخلصات'!$G$25="","",'[30]سجل المستخلصات'!$G$25)</f>
        <v/>
      </c>
      <c r="H44" s="59">
        <f>IF('[30]سجل المستخلصات'!$I$25="","",'[30]سجل المستخلصات'!$I$25)</f>
        <v/>
      </c>
      <c r="I44" s="59">
        <f>IF('[30]سجل المستخلصات'!$J$25="","",'[30]سجل المستخلصات'!$J$25)</f>
        <v/>
      </c>
      <c r="J44" s="59">
        <f>IF('[30]سجل المستخلصات'!$K$25="","",'[30]سجل المستخلصات'!$K$25)</f>
        <v/>
      </c>
      <c r="K44" s="60">
        <f>IF('[30]سجل المستخلصات'!$L$25="","",'[30]سجل المستخلصات'!$L$25)</f>
        <v/>
      </c>
      <c r="L44" s="60">
        <f>IF('[30]سجل المستخلصات'!$M$25="","",'[30]سجل المستخلصات'!$M$25)</f>
        <v/>
      </c>
      <c r="M44" s="60">
        <f>IF('[30]سجل المستخلصات'!$N$25="","",'[30]سجل المستخلصات'!$N$25)</f>
        <v/>
      </c>
      <c r="N44" s="59">
        <f>IF('[30]سجل المستخلصات'!$O$25="","",'[30]سجل المستخلصات'!$O$25)</f>
        <v/>
      </c>
      <c r="O44" s="59">
        <f>IF('[30]سجل المستخلصات'!$R$25="","",'[30]سجل المستخلصات'!$R$25)</f>
        <v/>
      </c>
      <c r="P44" s="59">
        <f>IF('[30]سجل المستخلصات'!$S$25="","",'[30]سجل المستخلصات'!$S$25)</f>
        <v/>
      </c>
      <c r="Q44" s="59">
        <f>IF('[30]سجل المستخلصات'!$T$25="","",'[30]سجل المستخلصات'!$T$25)</f>
        <v/>
      </c>
      <c r="R44" s="59">
        <f>IF('[30]سجل المستخلصات'!$V$25="","",'[30]سجل المستخلصات'!$V$25)</f>
        <v/>
      </c>
      <c r="S44" s="59">
        <f>IF('[30]سجل المستخلصات'!$W$25="","",'[30]سجل المستخلصات'!$W$25)</f>
        <v/>
      </c>
      <c r="T44" s="61">
        <f>IF('[30]سجل المستخلصات'!$X$25="","",'[30]سجل المستخلصات'!$X$25)</f>
        <v/>
      </c>
      <c r="U44" s="61">
        <f>IF('[30]سجل المستخلصات'!$Z$25="","",'[30]سجل المستخلصات'!$Z$25)</f>
        <v/>
      </c>
      <c r="V44" s="59">
        <f>IF('[30]سجل المستخلصات'!$AA$25="","",'[30]سجل المستخلصات'!$AA$25)</f>
        <v/>
      </c>
      <c r="W44" s="59">
        <f>IF('[30]سجل المستخلصات'!$AC$25="","",'[30]سجل المستخلصات'!$AC$25)</f>
        <v/>
      </c>
      <c r="X44" s="62">
        <f>IF('[30]سجل المستخلصات'!$AD$25="","",'[30]سجل المستخلصات'!$AD$25)</f>
        <v/>
      </c>
      <c r="Y44" s="58">
        <f>IF('[30]سجل المستخلصات'!$AE$25="","",'[30]سجل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IF('[30]سجل المستخلصات'!$B$32="","",'[30]سجل المستخلصات'!$B$32)</f>
        <v/>
      </c>
      <c r="C50" s="69" t="n"/>
      <c r="D50" s="69" t="n"/>
      <c r="E50" s="59">
        <f>N('[30]سجل المستخلصات'!$E$32)</f>
        <v/>
      </c>
      <c r="F50" s="59">
        <f>N('[30]سجل المستخلصات'!$F$32)</f>
        <v/>
      </c>
      <c r="G50" s="70">
        <f>IF(E50&gt;0,F50/E50,0)</f>
        <v/>
      </c>
    </row>
    <row r="51">
      <c r="B51" s="69">
        <f>IF('[30]سجل المستخلصات'!$B$33="","",'[30]سجل المستخلصات'!$B$33)</f>
        <v/>
      </c>
      <c r="C51" s="69" t="n"/>
      <c r="D51" s="69" t="n"/>
      <c r="E51" s="59">
        <f>N('[30]سجل المستخلصات'!$E$33)</f>
        <v/>
      </c>
      <c r="F51" s="59">
        <f>N('[30]سجل المستخلصات'!$F$33)</f>
        <v/>
      </c>
      <c r="G51" s="70">
        <f>IF(E51&gt;0,F51/E51,0)</f>
        <v/>
      </c>
    </row>
    <row r="52">
      <c r="B52" s="69">
        <f>IF('[30]سجل المستخلصات'!$B$34="","",'[30]سجل المستخلصات'!$B$34)</f>
        <v/>
      </c>
      <c r="C52" s="69" t="n"/>
      <c r="D52" s="69" t="n"/>
      <c r="E52" s="59">
        <f>N('[30]سجل المستخلصات'!$E$34)</f>
        <v/>
      </c>
      <c r="F52" s="59">
        <f>N('[30]سجل المستخلصات'!$F$34)</f>
        <v/>
      </c>
      <c r="G52" s="70">
        <f>IF(E52&gt;0,F52/E52,0)</f>
        <v/>
      </c>
    </row>
    <row r="53">
      <c r="B53" s="69">
        <f>IF('[30]سجل المستخلصات'!$B$35="","",'[30]سجل المستخلصات'!$B$35)</f>
        <v/>
      </c>
      <c r="C53" s="69" t="n"/>
      <c r="D53" s="69" t="n"/>
      <c r="E53" s="59">
        <f>N('[30]سجل المستخلصات'!$E$35)</f>
        <v/>
      </c>
      <c r="F53" s="59">
        <f>N('[30]سجل المستخلصات'!$F$35)</f>
        <v/>
      </c>
      <c r="G53" s="70">
        <f>IF(E53&gt;0,F53/E53,0)</f>
        <v/>
      </c>
    </row>
    <row r="54">
      <c r="B54" s="69">
        <f>IF('[30]سجل المستخلصات'!$B$36="","",'[30]سجل المستخلصات'!$B$36)</f>
        <v/>
      </c>
      <c r="C54" s="69" t="n"/>
      <c r="D54" s="69" t="n"/>
      <c r="E54" s="59">
        <f>N('[30]سجل المستخلصات'!$E$36)</f>
        <v/>
      </c>
      <c r="F54" s="59">
        <f>N('[30]سجل المستخلصات'!$F$36)</f>
        <v/>
      </c>
      <c r="G54" s="70">
        <f>IF(E54&gt;0,F54/E54,0)</f>
        <v/>
      </c>
    </row>
    <row r="55">
      <c r="B55" s="69">
        <f>IF('[30]سجل المستخلصات'!$B$37="","",'[30]سجل المستخلصات'!$B$37)</f>
        <v/>
      </c>
      <c r="C55" s="69" t="n"/>
      <c r="D55" s="69" t="n"/>
      <c r="E55" s="59">
        <f>N('[30]سجل المستخلصات'!$E$37)</f>
        <v/>
      </c>
      <c r="F55" s="59">
        <f>N('[30]سجل المستخلصات'!$F$37)</f>
        <v/>
      </c>
      <c r="G55" s="70">
        <f>IF(E55&gt;0,F55/E55,0)</f>
        <v/>
      </c>
    </row>
    <row r="56">
      <c r="B56" s="69">
        <f>IF('[30]سجل المستخلصات'!$B$38="","",'[30]سجل المستخلصات'!$B$38)</f>
        <v/>
      </c>
      <c r="C56" s="69" t="n"/>
      <c r="D56" s="69" t="n"/>
      <c r="E56" s="59">
        <f>N('[30]سجل المستخلصات'!$E$38)</f>
        <v/>
      </c>
      <c r="F56" s="59">
        <f>N('[30]سجل المستخلصات'!$F$38)</f>
        <v/>
      </c>
      <c r="G56" s="70">
        <f>IF(E56&gt;0,F56/E56,0)</f>
        <v/>
      </c>
    </row>
    <row r="57">
      <c r="B57" s="69">
        <f>IF('[30]سجل المستخلصات'!$B$39="","",'[30]سجل المستخلصات'!$B$39)</f>
        <v/>
      </c>
      <c r="C57" s="69" t="n"/>
      <c r="D57" s="69" t="n"/>
      <c r="E57" s="59">
        <f>N('[30]سجل المستخلصات'!$E$39)</f>
        <v/>
      </c>
      <c r="F57" s="59">
        <f>N('[30]سجل المستخلصات'!$F$39)</f>
        <v/>
      </c>
      <c r="G57" s="70">
        <f>IF(E57&gt;0,F57/E57,0)</f>
        <v/>
      </c>
    </row>
    <row r="58">
      <c r="B58" s="69">
        <f>IF('[30]سجل المستخلصات'!$B$40="","",'[30]سجل المستخلصات'!$B$40)</f>
        <v/>
      </c>
      <c r="C58" s="69" t="n"/>
      <c r="D58" s="69" t="n"/>
      <c r="E58" s="59">
        <f>N('[30]سجل المستخلصات'!$E$40)</f>
        <v/>
      </c>
      <c r="F58" s="59">
        <f>N('[30]سجل المستخلصات'!$F$40)</f>
        <v/>
      </c>
      <c r="G58" s="70">
        <f>IF(E58&gt;0,F58/E58,0)</f>
        <v/>
      </c>
    </row>
    <row r="59">
      <c r="B59" s="69">
        <f>IF('[30]سجل المستخلصات'!$B$41="","",'[30]سجل المستخلصات'!$B$41)</f>
        <v/>
      </c>
      <c r="C59" s="69" t="n"/>
      <c r="D59" s="69" t="n"/>
      <c r="E59" s="59">
        <f>N('[30]سجل المستخلصات'!$E$41)</f>
        <v/>
      </c>
      <c r="F59" s="59">
        <f>N('[30]سجل المستخلصات'!$F$41)</f>
        <v/>
      </c>
      <c r="G59" s="70">
        <f>IF(E59&gt;0,F59/E59,0)</f>
        <v/>
      </c>
    </row>
    <row r="60">
      <c r="B60" s="69">
        <f>IF('[30]سجل المستخلصات'!$B$42="","",'[30]سجل المستخلصات'!$B$42)</f>
        <v/>
      </c>
      <c r="C60" s="69" t="n"/>
      <c r="D60" s="69" t="n"/>
      <c r="E60" s="59">
        <f>N('[30]سجل المستخلصات'!$E$42)</f>
        <v/>
      </c>
      <c r="F60" s="59">
        <f>N('[30]سجل المستخلصات'!$F$42)</f>
        <v/>
      </c>
      <c r="G60" s="70">
        <f>IF(E60&gt;0,F60/E60,0)</f>
        <v/>
      </c>
    </row>
    <row r="61">
      <c r="B61" s="69">
        <f>IF('[30]سجل المستخلصات'!$B$43="","",'[30]سجل المستخلصات'!$B$43)</f>
        <v/>
      </c>
      <c r="C61" s="69" t="n"/>
      <c r="D61" s="69" t="n"/>
      <c r="E61" s="59">
        <f>N('[30]سجل المستخلصات'!$E$43)</f>
        <v/>
      </c>
      <c r="F61" s="59">
        <f>N('[30]سجل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29'!A1" display="◄ المشروع السابق"/>
    <hyperlink ref="D3" location="'مشروع 31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3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"&amp;IF('[31]بيانات العقد'!$C$5="","مشروع رقم 31 — غير مُفعّل",'[31]بيانات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Project_31/IPC_Project_31.xlsx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IF('[31]بيانات العقد'!$C$5="","",'[31]بيانات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IF('[31]بيانات العقد'!$C$6="","",'[31]بيانات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IF('[31]بيانات العقد'!$C$7="","",'[31]بيانات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IF('[31]بيانات العقد'!$C$8="","",'[31]بيانات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N('[31]بيانات العقد'!$C$16)</f>
        <v/>
      </c>
    </row>
    <row r="6" ht="22" customHeight="1">
      <c r="B6" s="11" t="inlineStr">
        <is>
          <t>المقاول</t>
        </is>
      </c>
      <c r="C6" s="14">
        <f>IF('[31]بيانات العقد'!$C$9="","",'[31]بيانات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IF('[31]بيانات العقد'!$C$11="","",'[31]بيانات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IF('[31]بيانات العقد'!$C$13="","",'[31]بيانات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IF('[31]بيانات العقد'!$C$14="","",'[31]بيانات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N('[31]بيانات العقد'!$C$17)</f>
        <v/>
      </c>
    </row>
    <row r="7">
      <c r="AA7" s="15" t="inlineStr">
        <is>
          <t>قيمة العقد المعدلة</t>
        </is>
      </c>
      <c r="AB7" s="16">
        <f>N('[31]بيانات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N('[31]بيانات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N('[31]بيانات العقد'!$C$21)</f>
        <v/>
      </c>
    </row>
    <row r="10">
      <c r="AA10" s="15" t="inlineStr">
        <is>
          <t>نسبة ضمان الأعمال</t>
        </is>
      </c>
      <c r="AB10" s="23">
        <f>N('[31]بيانات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N('[31]بيانات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N('[31]بيانات العقد'!$C$31)</f>
        <v/>
      </c>
    </row>
    <row r="13">
      <c r="AA13" s="15" t="inlineStr">
        <is>
          <t>ضريبة الاستقطاع (غير المقيم)</t>
        </is>
      </c>
      <c r="AB13" s="23">
        <f>N('[31]بيانات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IF('[31]بيانات العقد'!$C$11="","",'[31]بيانات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IF('[31]بيانات العقد'!$C$13="","",'[31]بيانات العقد'!$C$13)</f>
        <v/>
      </c>
    </row>
    <row r="16">
      <c r="AA16" s="15" t="inlineStr">
        <is>
          <t>المدة (شهر)</t>
        </is>
      </c>
      <c r="AB16" s="43">
        <f>IF('[31]بيانات العقد'!$C$12="","",'[31]بيانات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IF('[31]بيانات العقد'!$C$36="","",'[31]بيانات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IF('[31]بيانات العقد'!$C$37="","",'[31]بيانات العقد'!$C$37)</f>
        <v/>
      </c>
    </row>
    <row r="19">
      <c r="AA19" s="15" t="inlineStr">
        <is>
          <t>الرقم الضريبي لصاحب العمل</t>
        </is>
      </c>
      <c r="AB19" s="48">
        <f>IF('[31]بيانات العقد'!$C$39="","",'[31]بيانات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IF('[31]بيانات العقد'!$C$42="","",'[31]بيانات العقد'!$C$42)</f>
        <v/>
      </c>
    </row>
    <row r="21" ht="32" customHeight="1">
      <c r="B21" s="50">
        <f>N('[31]الموازنة والتكاليف'!$D$66)</f>
        <v/>
      </c>
      <c r="C21" s="50" t="n"/>
      <c r="D21" s="50" t="n"/>
      <c r="E21" s="50" t="n"/>
      <c r="F21" s="50">
        <f>N('[31]الموازنة والتكاليف'!$D$70)</f>
        <v/>
      </c>
      <c r="G21" s="50" t="n"/>
      <c r="H21" s="50" t="n"/>
      <c r="I21" s="50" t="n"/>
      <c r="J21" s="50">
        <f>N('[31]الموازنة والتكاليف'!$D$72)</f>
        <v/>
      </c>
      <c r="K21" s="50" t="n"/>
      <c r="L21" s="50" t="n"/>
      <c r="M21" s="50" t="n"/>
      <c r="N21" s="51">
        <f>N('[31]الموازنة والتكاليف'!$D$73)</f>
        <v/>
      </c>
      <c r="O21" s="51" t="n"/>
      <c r="P21" s="51" t="n"/>
      <c r="Q21" s="51" t="n"/>
      <c r="R21" s="52">
        <f>N('[31]الموازنة والتكاليف'!$D$74)</f>
        <v/>
      </c>
      <c r="S21" s="52" t="n"/>
      <c r="T21" s="52" t="n"/>
      <c r="U21" s="52" t="n"/>
      <c r="V21" s="50">
        <f>N('[31]الموازنة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IF('[31]بيانات العقد'!$C$43="","",'[31]بيانات العقد'!$C$43)</f>
        <v/>
      </c>
    </row>
    <row r="22">
      <c r="AA22" s="15" t="inlineStr">
        <is>
          <t>حالة غرامات التأخير</t>
        </is>
      </c>
      <c r="AB22" s="45">
        <f>IF('[31]بيانات العقد'!$C$47="","",'[31]بيانات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IF('[31]سجل المستخلصات'!$C$6="","",'[31]سجل المستخلصات'!$C$6)</f>
        <v/>
      </c>
      <c r="D25" s="57">
        <f>IF('[31]سجل المستخلصات'!$E$6="","",'[31]سجل المستخلصات'!$E$6)</f>
        <v/>
      </c>
      <c r="E25" s="58">
        <f>IF('[31]سجل المستخلصات'!$F$6="","",'[31]سجل المستخلصات'!$F$6)</f>
        <v/>
      </c>
      <c r="F25" s="59">
        <f>IF('[31]سجل المستخلصات'!$H$6="","",'[31]سجل المستخلصات'!$H$6)</f>
        <v/>
      </c>
      <c r="G25" s="59">
        <f>IF('[31]سجل المستخلصات'!$G$6="","",'[31]سجل المستخلصات'!$G$6)</f>
        <v/>
      </c>
      <c r="H25" s="59">
        <f>IF('[31]سجل المستخلصات'!$I$6="","",'[31]سجل المستخلصات'!$I$6)</f>
        <v/>
      </c>
      <c r="I25" s="59">
        <f>IF('[31]سجل المستخلصات'!$J$6="","",'[31]سجل المستخلصات'!$J$6)</f>
        <v/>
      </c>
      <c r="J25" s="59">
        <f>IF('[31]سجل المستخلصات'!$K$6="","",'[31]سجل المستخلصات'!$K$6)</f>
        <v/>
      </c>
      <c r="K25" s="60">
        <f>IF('[31]سجل المستخلصات'!$L$6="","",'[31]سجل المستخلصات'!$L$6)</f>
        <v/>
      </c>
      <c r="L25" s="60">
        <f>IF('[31]سجل المستخلصات'!$M$6="","",'[31]سجل المستخلصات'!$M$6)</f>
        <v/>
      </c>
      <c r="M25" s="60">
        <f>IF('[31]سجل المستخلصات'!$N$6="","",'[31]سجل المستخلصات'!$N$6)</f>
        <v/>
      </c>
      <c r="N25" s="59">
        <f>IF('[31]سجل المستخلصات'!$O$6="","",'[31]سجل المستخلصات'!$O$6)</f>
        <v/>
      </c>
      <c r="O25" s="59">
        <f>IF('[31]سجل المستخلصات'!$R$6="","",'[31]سجل المستخلصات'!$R$6)</f>
        <v/>
      </c>
      <c r="P25" s="59">
        <f>IF('[31]سجل المستخلصات'!$S$6="","",'[31]سجل المستخلصات'!$S$6)</f>
        <v/>
      </c>
      <c r="Q25" s="59">
        <f>IF('[31]سجل المستخلصات'!$T$6="","",'[31]سجل المستخلصات'!$T$6)</f>
        <v/>
      </c>
      <c r="R25" s="59">
        <f>IF('[31]سجل المستخلصات'!$V$6="","",'[31]سجل المستخلصات'!$V$6)</f>
        <v/>
      </c>
      <c r="S25" s="59">
        <f>IF('[31]سجل المستخلصات'!$W$6="","",'[31]سجل المستخلصات'!$W$6)</f>
        <v/>
      </c>
      <c r="T25" s="61">
        <f>IF('[31]سجل المستخلصات'!$X$6="","",'[31]سجل المستخلصات'!$X$6)</f>
        <v/>
      </c>
      <c r="U25" s="61">
        <f>IF('[31]سجل المستخلصات'!$Z$6="","",'[31]سجل المستخلصات'!$Z$6)</f>
        <v/>
      </c>
      <c r="V25" s="59">
        <f>IF('[31]سجل المستخلصات'!$AA$6="","",'[31]سجل المستخلصات'!$AA$6)</f>
        <v/>
      </c>
      <c r="W25" s="59">
        <f>IF('[31]سجل المستخلصات'!$AC$6="","",'[31]سجل المستخلصات'!$AC$6)</f>
        <v/>
      </c>
      <c r="X25" s="62">
        <f>IF('[31]سجل المستخلصات'!$AD$6="","",'[31]سجل المستخلصات'!$AD$6)</f>
        <v/>
      </c>
      <c r="Y25" s="58">
        <f>IF('[31]سجل المستخلصات'!$AE$6="","",'[31]سجل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IF('[31]سجل المستخلصات'!$C$7="","",'[31]سجل المستخلصات'!$C$7)</f>
        <v/>
      </c>
      <c r="D26" s="57">
        <f>IF('[31]سجل المستخلصات'!$E$7="","",'[31]سجل المستخلصات'!$E$7)</f>
        <v/>
      </c>
      <c r="E26" s="58">
        <f>IF('[31]سجل المستخلصات'!$F$7="","",'[31]سجل المستخلصات'!$F$7)</f>
        <v/>
      </c>
      <c r="F26" s="59">
        <f>IF('[31]سجل المستخلصات'!$H$7="","",'[31]سجل المستخلصات'!$H$7)</f>
        <v/>
      </c>
      <c r="G26" s="59">
        <f>IF('[31]سجل المستخلصات'!$G$7="","",'[31]سجل المستخلصات'!$G$7)</f>
        <v/>
      </c>
      <c r="H26" s="59">
        <f>IF('[31]سجل المستخلصات'!$I$7="","",'[31]سجل المستخلصات'!$I$7)</f>
        <v/>
      </c>
      <c r="I26" s="59">
        <f>IF('[31]سجل المستخلصات'!$J$7="","",'[31]سجل المستخلصات'!$J$7)</f>
        <v/>
      </c>
      <c r="J26" s="59">
        <f>IF('[31]سجل المستخلصات'!$K$7="","",'[31]سجل المستخلصات'!$K$7)</f>
        <v/>
      </c>
      <c r="K26" s="60">
        <f>IF('[31]سجل المستخلصات'!$L$7="","",'[31]سجل المستخلصات'!$L$7)</f>
        <v/>
      </c>
      <c r="L26" s="60">
        <f>IF('[31]سجل المستخلصات'!$M$7="","",'[31]سجل المستخلصات'!$M$7)</f>
        <v/>
      </c>
      <c r="M26" s="60">
        <f>IF('[31]سجل المستخلصات'!$N$7="","",'[31]سجل المستخلصات'!$N$7)</f>
        <v/>
      </c>
      <c r="N26" s="59">
        <f>IF('[31]سجل المستخلصات'!$O$7="","",'[31]سجل المستخلصات'!$O$7)</f>
        <v/>
      </c>
      <c r="O26" s="59">
        <f>IF('[31]سجل المستخلصات'!$R$7="","",'[31]سجل المستخلصات'!$R$7)</f>
        <v/>
      </c>
      <c r="P26" s="59">
        <f>IF('[31]سجل المستخلصات'!$S$7="","",'[31]سجل المستخلصات'!$S$7)</f>
        <v/>
      </c>
      <c r="Q26" s="59">
        <f>IF('[31]سجل المستخلصات'!$T$7="","",'[31]سجل المستخلصات'!$T$7)</f>
        <v/>
      </c>
      <c r="R26" s="59">
        <f>IF('[31]سجل المستخلصات'!$V$7="","",'[31]سجل المستخلصات'!$V$7)</f>
        <v/>
      </c>
      <c r="S26" s="59">
        <f>IF('[31]سجل المستخلصات'!$W$7="","",'[31]سجل المستخلصات'!$W$7)</f>
        <v/>
      </c>
      <c r="T26" s="61">
        <f>IF('[31]سجل المستخلصات'!$X$7="","",'[31]سجل المستخلصات'!$X$7)</f>
        <v/>
      </c>
      <c r="U26" s="61">
        <f>IF('[31]سجل المستخلصات'!$Z$7="","",'[31]سجل المستخلصات'!$Z$7)</f>
        <v/>
      </c>
      <c r="V26" s="59">
        <f>IF('[31]سجل المستخلصات'!$AA$7="","",'[31]سجل المستخلصات'!$AA$7)</f>
        <v/>
      </c>
      <c r="W26" s="59">
        <f>IF('[31]سجل المستخلصات'!$AC$7="","",'[31]سجل المستخلصات'!$AC$7)</f>
        <v/>
      </c>
      <c r="X26" s="62">
        <f>IF('[31]سجل المستخلصات'!$AD$7="","",'[31]سجل المستخلصات'!$AD$7)</f>
        <v/>
      </c>
      <c r="Y26" s="58">
        <f>IF('[31]سجل المستخلصات'!$AE$7="","",'[31]سجل المستخلصات'!$AE$7)</f>
        <v/>
      </c>
      <c r="AA26" s="63" t="n"/>
      <c r="AB26" s="63" t="n"/>
    </row>
    <row r="27">
      <c r="B27" s="56" t="n">
        <v>3</v>
      </c>
      <c r="C27" s="57">
        <f>IF('[31]سجل المستخلصات'!$C$8="","",'[31]سجل المستخلصات'!$C$8)</f>
        <v/>
      </c>
      <c r="D27" s="57">
        <f>IF('[31]سجل المستخلصات'!$E$8="","",'[31]سجل المستخلصات'!$E$8)</f>
        <v/>
      </c>
      <c r="E27" s="58">
        <f>IF('[31]سجل المستخلصات'!$F$8="","",'[31]سجل المستخلصات'!$F$8)</f>
        <v/>
      </c>
      <c r="F27" s="59">
        <f>IF('[31]سجل المستخلصات'!$H$8="","",'[31]سجل المستخلصات'!$H$8)</f>
        <v/>
      </c>
      <c r="G27" s="59">
        <f>IF('[31]سجل المستخلصات'!$G$8="","",'[31]سجل المستخلصات'!$G$8)</f>
        <v/>
      </c>
      <c r="H27" s="59">
        <f>IF('[31]سجل المستخلصات'!$I$8="","",'[31]سجل المستخلصات'!$I$8)</f>
        <v/>
      </c>
      <c r="I27" s="59">
        <f>IF('[31]سجل المستخلصات'!$J$8="","",'[31]سجل المستخلصات'!$J$8)</f>
        <v/>
      </c>
      <c r="J27" s="59">
        <f>IF('[31]سجل المستخلصات'!$K$8="","",'[31]سجل المستخلصات'!$K$8)</f>
        <v/>
      </c>
      <c r="K27" s="60">
        <f>IF('[31]سجل المستخلصات'!$L$8="","",'[31]سجل المستخلصات'!$L$8)</f>
        <v/>
      </c>
      <c r="L27" s="60">
        <f>IF('[31]سجل المستخلصات'!$M$8="","",'[31]سجل المستخلصات'!$M$8)</f>
        <v/>
      </c>
      <c r="M27" s="60">
        <f>IF('[31]سجل المستخلصات'!$N$8="","",'[31]سجل المستخلصات'!$N$8)</f>
        <v/>
      </c>
      <c r="N27" s="59">
        <f>IF('[31]سجل المستخلصات'!$O$8="","",'[31]سجل المستخلصات'!$O$8)</f>
        <v/>
      </c>
      <c r="O27" s="59">
        <f>IF('[31]سجل المستخلصات'!$R$8="","",'[31]سجل المستخلصات'!$R$8)</f>
        <v/>
      </c>
      <c r="P27" s="59">
        <f>IF('[31]سجل المستخلصات'!$S$8="","",'[31]سجل المستخلصات'!$S$8)</f>
        <v/>
      </c>
      <c r="Q27" s="59">
        <f>IF('[31]سجل المستخلصات'!$T$8="","",'[31]سجل المستخلصات'!$T$8)</f>
        <v/>
      </c>
      <c r="R27" s="59">
        <f>IF('[31]سجل المستخلصات'!$V$8="","",'[31]سجل المستخلصات'!$V$8)</f>
        <v/>
      </c>
      <c r="S27" s="59">
        <f>IF('[31]سجل المستخلصات'!$W$8="","",'[31]سجل المستخلصات'!$W$8)</f>
        <v/>
      </c>
      <c r="T27" s="61">
        <f>IF('[31]سجل المستخلصات'!$X$8="","",'[31]سجل المستخلصات'!$X$8)</f>
        <v/>
      </c>
      <c r="U27" s="61">
        <f>IF('[31]سجل المستخلصات'!$Z$8="","",'[31]سجل المستخلصات'!$Z$8)</f>
        <v/>
      </c>
      <c r="V27" s="59">
        <f>IF('[31]سجل المستخلصات'!$AA$8="","",'[31]سجل المستخلصات'!$AA$8)</f>
        <v/>
      </c>
      <c r="W27" s="59">
        <f>IF('[31]سجل المستخلصات'!$AC$8="","",'[31]سجل المستخلصات'!$AC$8)</f>
        <v/>
      </c>
      <c r="X27" s="62">
        <f>IF('[31]سجل المستخلصات'!$AD$8="","",'[31]سجل المستخلصات'!$AD$8)</f>
        <v/>
      </c>
      <c r="Y27" s="58">
        <f>IF('[31]سجل المستخلصات'!$AE$8="","",'[31]سجل المستخلصات'!$AE$8)</f>
        <v/>
      </c>
      <c r="AA27" s="63" t="n"/>
      <c r="AB27" s="63" t="n"/>
    </row>
    <row r="28">
      <c r="B28" s="56" t="n">
        <v>4</v>
      </c>
      <c r="C28" s="57">
        <f>IF('[31]سجل المستخلصات'!$C$9="","",'[31]سجل المستخلصات'!$C$9)</f>
        <v/>
      </c>
      <c r="D28" s="57">
        <f>IF('[31]سجل المستخلصات'!$E$9="","",'[31]سجل المستخلصات'!$E$9)</f>
        <v/>
      </c>
      <c r="E28" s="58">
        <f>IF('[31]سجل المستخلصات'!$F$9="","",'[31]سجل المستخلصات'!$F$9)</f>
        <v/>
      </c>
      <c r="F28" s="59">
        <f>IF('[31]سجل المستخلصات'!$H$9="","",'[31]سجل المستخلصات'!$H$9)</f>
        <v/>
      </c>
      <c r="G28" s="59">
        <f>IF('[31]سجل المستخلصات'!$G$9="","",'[31]سجل المستخلصات'!$G$9)</f>
        <v/>
      </c>
      <c r="H28" s="59">
        <f>IF('[31]سجل المستخلصات'!$I$9="","",'[31]سجل المستخلصات'!$I$9)</f>
        <v/>
      </c>
      <c r="I28" s="59">
        <f>IF('[31]سجل المستخلصات'!$J$9="","",'[31]سجل المستخلصات'!$J$9)</f>
        <v/>
      </c>
      <c r="J28" s="59">
        <f>IF('[31]سجل المستخلصات'!$K$9="","",'[31]سجل المستخلصات'!$K$9)</f>
        <v/>
      </c>
      <c r="K28" s="60">
        <f>IF('[31]سجل المستخلصات'!$L$9="","",'[31]سجل المستخلصات'!$L$9)</f>
        <v/>
      </c>
      <c r="L28" s="60">
        <f>IF('[31]سجل المستخلصات'!$M$9="","",'[31]سجل المستخلصات'!$M$9)</f>
        <v/>
      </c>
      <c r="M28" s="60">
        <f>IF('[31]سجل المستخلصات'!$N$9="","",'[31]سجل المستخلصات'!$N$9)</f>
        <v/>
      </c>
      <c r="N28" s="59">
        <f>IF('[31]سجل المستخلصات'!$O$9="","",'[31]سجل المستخلصات'!$O$9)</f>
        <v/>
      </c>
      <c r="O28" s="59">
        <f>IF('[31]سجل المستخلصات'!$R$9="","",'[31]سجل المستخلصات'!$R$9)</f>
        <v/>
      </c>
      <c r="P28" s="59">
        <f>IF('[31]سجل المستخلصات'!$S$9="","",'[31]سجل المستخلصات'!$S$9)</f>
        <v/>
      </c>
      <c r="Q28" s="59">
        <f>IF('[31]سجل المستخلصات'!$T$9="","",'[31]سجل المستخلصات'!$T$9)</f>
        <v/>
      </c>
      <c r="R28" s="59">
        <f>IF('[31]سجل المستخلصات'!$V$9="","",'[31]سجل المستخلصات'!$V$9)</f>
        <v/>
      </c>
      <c r="S28" s="59">
        <f>IF('[31]سجل المستخلصات'!$W$9="","",'[31]سجل المستخلصات'!$W$9)</f>
        <v/>
      </c>
      <c r="T28" s="61">
        <f>IF('[31]سجل المستخلصات'!$X$9="","",'[31]سجل المستخلصات'!$X$9)</f>
        <v/>
      </c>
      <c r="U28" s="61">
        <f>IF('[31]سجل المستخلصات'!$Z$9="","",'[31]سجل المستخلصات'!$Z$9)</f>
        <v/>
      </c>
      <c r="V28" s="59">
        <f>IF('[31]سجل المستخلصات'!$AA$9="","",'[31]سجل المستخلصات'!$AA$9)</f>
        <v/>
      </c>
      <c r="W28" s="59">
        <f>IF('[31]سجل المستخلصات'!$AC$9="","",'[31]سجل المستخلصات'!$AC$9)</f>
        <v/>
      </c>
      <c r="X28" s="62">
        <f>IF('[31]سجل المستخلصات'!$AD$9="","",'[31]سجل المستخلصات'!$AD$9)</f>
        <v/>
      </c>
      <c r="Y28" s="58">
        <f>IF('[31]سجل المستخلصات'!$AE$9="","",'[31]سجل المستخلصات'!$AE$9)</f>
        <v/>
      </c>
      <c r="AA28" s="63" t="n"/>
      <c r="AB28" s="63" t="n"/>
    </row>
    <row r="29">
      <c r="B29" s="56" t="n">
        <v>5</v>
      </c>
      <c r="C29" s="57">
        <f>IF('[31]سجل المستخلصات'!$C$10="","",'[31]سجل المستخلصات'!$C$10)</f>
        <v/>
      </c>
      <c r="D29" s="57">
        <f>IF('[31]سجل المستخلصات'!$E$10="","",'[31]سجل المستخلصات'!$E$10)</f>
        <v/>
      </c>
      <c r="E29" s="58">
        <f>IF('[31]سجل المستخلصات'!$F$10="","",'[31]سجل المستخلصات'!$F$10)</f>
        <v/>
      </c>
      <c r="F29" s="59">
        <f>IF('[31]سجل المستخلصات'!$H$10="","",'[31]سجل المستخلصات'!$H$10)</f>
        <v/>
      </c>
      <c r="G29" s="59">
        <f>IF('[31]سجل المستخلصات'!$G$10="","",'[31]سجل المستخلصات'!$G$10)</f>
        <v/>
      </c>
      <c r="H29" s="59">
        <f>IF('[31]سجل المستخلصات'!$I$10="","",'[31]سجل المستخلصات'!$I$10)</f>
        <v/>
      </c>
      <c r="I29" s="59">
        <f>IF('[31]سجل المستخلصات'!$J$10="","",'[31]سجل المستخلصات'!$J$10)</f>
        <v/>
      </c>
      <c r="J29" s="59">
        <f>IF('[31]سجل المستخلصات'!$K$10="","",'[31]سجل المستخلصات'!$K$10)</f>
        <v/>
      </c>
      <c r="K29" s="60">
        <f>IF('[31]سجل المستخلصات'!$L$10="","",'[31]سجل المستخلصات'!$L$10)</f>
        <v/>
      </c>
      <c r="L29" s="60">
        <f>IF('[31]سجل المستخلصات'!$M$10="","",'[31]سجل المستخلصات'!$M$10)</f>
        <v/>
      </c>
      <c r="M29" s="60">
        <f>IF('[31]سجل المستخلصات'!$N$10="","",'[31]سجل المستخلصات'!$N$10)</f>
        <v/>
      </c>
      <c r="N29" s="59">
        <f>IF('[31]سجل المستخلصات'!$O$10="","",'[31]سجل المستخلصات'!$O$10)</f>
        <v/>
      </c>
      <c r="O29" s="59">
        <f>IF('[31]سجل المستخلصات'!$R$10="","",'[31]سجل المستخلصات'!$R$10)</f>
        <v/>
      </c>
      <c r="P29" s="59">
        <f>IF('[31]سجل المستخلصات'!$S$10="","",'[31]سجل المستخلصات'!$S$10)</f>
        <v/>
      </c>
      <c r="Q29" s="59">
        <f>IF('[31]سجل المستخلصات'!$T$10="","",'[31]سجل المستخلصات'!$T$10)</f>
        <v/>
      </c>
      <c r="R29" s="59">
        <f>IF('[31]سجل المستخلصات'!$V$10="","",'[31]سجل المستخلصات'!$V$10)</f>
        <v/>
      </c>
      <c r="S29" s="59">
        <f>IF('[31]سجل المستخلصات'!$W$10="","",'[31]سجل المستخلصات'!$W$10)</f>
        <v/>
      </c>
      <c r="T29" s="61">
        <f>IF('[31]سجل المستخلصات'!$X$10="","",'[31]سجل المستخلصات'!$X$10)</f>
        <v/>
      </c>
      <c r="U29" s="61">
        <f>IF('[31]سجل المستخلصات'!$Z$10="","",'[31]سجل المستخلصات'!$Z$10)</f>
        <v/>
      </c>
      <c r="V29" s="59">
        <f>IF('[31]سجل المستخلصات'!$AA$10="","",'[31]سجل المستخلصات'!$AA$10)</f>
        <v/>
      </c>
      <c r="W29" s="59">
        <f>IF('[31]سجل المستخلصات'!$AC$10="","",'[31]سجل المستخلصات'!$AC$10)</f>
        <v/>
      </c>
      <c r="X29" s="62">
        <f>IF('[31]سجل المستخلصات'!$AD$10="","",'[31]سجل المستخلصات'!$AD$10)</f>
        <v/>
      </c>
      <c r="Y29" s="58">
        <f>IF('[31]سجل المستخلصات'!$AE$10="","",'[31]سجل المستخلصات'!$AE$10)</f>
        <v/>
      </c>
    </row>
    <row r="30">
      <c r="B30" s="56" t="n">
        <v>6</v>
      </c>
      <c r="C30" s="57">
        <f>IF('[31]سجل المستخلصات'!$C$11="","",'[31]سجل المستخلصات'!$C$11)</f>
        <v/>
      </c>
      <c r="D30" s="57">
        <f>IF('[31]سجل المستخلصات'!$E$11="","",'[31]سجل المستخلصات'!$E$11)</f>
        <v/>
      </c>
      <c r="E30" s="58">
        <f>IF('[31]سجل المستخلصات'!$F$11="","",'[31]سجل المستخلصات'!$F$11)</f>
        <v/>
      </c>
      <c r="F30" s="59">
        <f>IF('[31]سجل المستخلصات'!$H$11="","",'[31]سجل المستخلصات'!$H$11)</f>
        <v/>
      </c>
      <c r="G30" s="59">
        <f>IF('[31]سجل المستخلصات'!$G$11="","",'[31]سجل المستخلصات'!$G$11)</f>
        <v/>
      </c>
      <c r="H30" s="59">
        <f>IF('[31]سجل المستخلصات'!$I$11="","",'[31]سجل المستخلصات'!$I$11)</f>
        <v/>
      </c>
      <c r="I30" s="59">
        <f>IF('[31]سجل المستخلصات'!$J$11="","",'[31]سجل المستخلصات'!$J$11)</f>
        <v/>
      </c>
      <c r="J30" s="59">
        <f>IF('[31]سجل المستخلصات'!$K$11="","",'[31]سجل المستخلصات'!$K$11)</f>
        <v/>
      </c>
      <c r="K30" s="60">
        <f>IF('[31]سجل المستخلصات'!$L$11="","",'[31]سجل المستخلصات'!$L$11)</f>
        <v/>
      </c>
      <c r="L30" s="60">
        <f>IF('[31]سجل المستخلصات'!$M$11="","",'[31]سجل المستخلصات'!$M$11)</f>
        <v/>
      </c>
      <c r="M30" s="60">
        <f>IF('[31]سجل المستخلصات'!$N$11="","",'[31]سجل المستخلصات'!$N$11)</f>
        <v/>
      </c>
      <c r="N30" s="59">
        <f>IF('[31]سجل المستخلصات'!$O$11="","",'[31]سجل المستخلصات'!$O$11)</f>
        <v/>
      </c>
      <c r="O30" s="59">
        <f>IF('[31]سجل المستخلصات'!$R$11="","",'[31]سجل المستخلصات'!$R$11)</f>
        <v/>
      </c>
      <c r="P30" s="59">
        <f>IF('[31]سجل المستخلصات'!$S$11="","",'[31]سجل المستخلصات'!$S$11)</f>
        <v/>
      </c>
      <c r="Q30" s="59">
        <f>IF('[31]سجل المستخلصات'!$T$11="","",'[31]سجل المستخلصات'!$T$11)</f>
        <v/>
      </c>
      <c r="R30" s="59">
        <f>IF('[31]سجل المستخلصات'!$V$11="","",'[31]سجل المستخلصات'!$V$11)</f>
        <v/>
      </c>
      <c r="S30" s="59">
        <f>IF('[31]سجل المستخلصات'!$W$11="","",'[31]سجل المستخلصات'!$W$11)</f>
        <v/>
      </c>
      <c r="T30" s="61">
        <f>IF('[31]سجل المستخلصات'!$X$11="","",'[31]سجل المستخلصات'!$X$11)</f>
        <v/>
      </c>
      <c r="U30" s="61">
        <f>IF('[31]سجل المستخلصات'!$Z$11="","",'[31]سجل المستخلصات'!$Z$11)</f>
        <v/>
      </c>
      <c r="V30" s="59">
        <f>IF('[31]سجل المستخلصات'!$AA$11="","",'[31]سجل المستخلصات'!$AA$11)</f>
        <v/>
      </c>
      <c r="W30" s="59">
        <f>IF('[31]سجل المستخلصات'!$AC$11="","",'[31]سجل المستخلصات'!$AC$11)</f>
        <v/>
      </c>
      <c r="X30" s="62">
        <f>IF('[31]سجل المستخلصات'!$AD$11="","",'[31]سجل المستخلصات'!$AD$11)</f>
        <v/>
      </c>
      <c r="Y30" s="58">
        <f>IF('[31]سجل المستخلصات'!$AE$11="","",'[31]سجل المستخلصات'!$AE$11)</f>
        <v/>
      </c>
    </row>
    <row r="31">
      <c r="B31" s="56" t="n">
        <v>7</v>
      </c>
      <c r="C31" s="57">
        <f>IF('[31]سجل المستخلصات'!$C$12="","",'[31]سجل المستخلصات'!$C$12)</f>
        <v/>
      </c>
      <c r="D31" s="57">
        <f>IF('[31]سجل المستخلصات'!$E$12="","",'[31]سجل المستخلصات'!$E$12)</f>
        <v/>
      </c>
      <c r="E31" s="58">
        <f>IF('[31]سجل المستخلصات'!$F$12="","",'[31]سجل المستخلصات'!$F$12)</f>
        <v/>
      </c>
      <c r="F31" s="59">
        <f>IF('[31]سجل المستخلصات'!$H$12="","",'[31]سجل المستخلصات'!$H$12)</f>
        <v/>
      </c>
      <c r="G31" s="59">
        <f>IF('[31]سجل المستخلصات'!$G$12="","",'[31]سجل المستخلصات'!$G$12)</f>
        <v/>
      </c>
      <c r="H31" s="59">
        <f>IF('[31]سجل المستخلصات'!$I$12="","",'[31]سجل المستخلصات'!$I$12)</f>
        <v/>
      </c>
      <c r="I31" s="59">
        <f>IF('[31]سجل المستخلصات'!$J$12="","",'[31]سجل المستخلصات'!$J$12)</f>
        <v/>
      </c>
      <c r="J31" s="59">
        <f>IF('[31]سجل المستخلصات'!$K$12="","",'[31]سجل المستخلصات'!$K$12)</f>
        <v/>
      </c>
      <c r="K31" s="60">
        <f>IF('[31]سجل المستخلصات'!$L$12="","",'[31]سجل المستخلصات'!$L$12)</f>
        <v/>
      </c>
      <c r="L31" s="60">
        <f>IF('[31]سجل المستخلصات'!$M$12="","",'[31]سجل المستخلصات'!$M$12)</f>
        <v/>
      </c>
      <c r="M31" s="60">
        <f>IF('[31]سجل المستخلصات'!$N$12="","",'[31]سجل المستخلصات'!$N$12)</f>
        <v/>
      </c>
      <c r="N31" s="59">
        <f>IF('[31]سجل المستخلصات'!$O$12="","",'[31]سجل المستخلصات'!$O$12)</f>
        <v/>
      </c>
      <c r="O31" s="59">
        <f>IF('[31]سجل المستخلصات'!$R$12="","",'[31]سجل المستخلصات'!$R$12)</f>
        <v/>
      </c>
      <c r="P31" s="59">
        <f>IF('[31]سجل المستخلصات'!$S$12="","",'[31]سجل المستخلصات'!$S$12)</f>
        <v/>
      </c>
      <c r="Q31" s="59">
        <f>IF('[31]سجل المستخلصات'!$T$12="","",'[31]سجل المستخلصات'!$T$12)</f>
        <v/>
      </c>
      <c r="R31" s="59">
        <f>IF('[31]سجل المستخلصات'!$V$12="","",'[31]سجل المستخلصات'!$V$12)</f>
        <v/>
      </c>
      <c r="S31" s="59">
        <f>IF('[31]سجل المستخلصات'!$W$12="","",'[31]سجل المستخلصات'!$W$12)</f>
        <v/>
      </c>
      <c r="T31" s="61">
        <f>IF('[31]سجل المستخلصات'!$X$12="","",'[31]سجل المستخلصات'!$X$12)</f>
        <v/>
      </c>
      <c r="U31" s="61">
        <f>IF('[31]سجل المستخلصات'!$Z$12="","",'[31]سجل المستخلصات'!$Z$12)</f>
        <v/>
      </c>
      <c r="V31" s="59">
        <f>IF('[31]سجل المستخلصات'!$AA$12="","",'[31]سجل المستخلصات'!$AA$12)</f>
        <v/>
      </c>
      <c r="W31" s="59">
        <f>IF('[31]سجل المستخلصات'!$AC$12="","",'[31]سجل المستخلصات'!$AC$12)</f>
        <v/>
      </c>
      <c r="X31" s="62">
        <f>IF('[31]سجل المستخلصات'!$AD$12="","",'[31]سجل المستخلصات'!$AD$12)</f>
        <v/>
      </c>
      <c r="Y31" s="58">
        <f>IF('[31]سجل المستخلصات'!$AE$12="","",'[31]سجل المستخلصات'!$AE$12)</f>
        <v/>
      </c>
    </row>
    <row r="32">
      <c r="B32" s="56" t="n">
        <v>8</v>
      </c>
      <c r="C32" s="57">
        <f>IF('[31]سجل المستخلصات'!$C$13="","",'[31]سجل المستخلصات'!$C$13)</f>
        <v/>
      </c>
      <c r="D32" s="57">
        <f>IF('[31]سجل المستخلصات'!$E$13="","",'[31]سجل المستخلصات'!$E$13)</f>
        <v/>
      </c>
      <c r="E32" s="58">
        <f>IF('[31]سجل المستخلصات'!$F$13="","",'[31]سجل المستخلصات'!$F$13)</f>
        <v/>
      </c>
      <c r="F32" s="59">
        <f>IF('[31]سجل المستخلصات'!$H$13="","",'[31]سجل المستخلصات'!$H$13)</f>
        <v/>
      </c>
      <c r="G32" s="59">
        <f>IF('[31]سجل المستخلصات'!$G$13="","",'[31]سجل المستخلصات'!$G$13)</f>
        <v/>
      </c>
      <c r="H32" s="59">
        <f>IF('[31]سجل المستخلصات'!$I$13="","",'[31]سجل المستخلصات'!$I$13)</f>
        <v/>
      </c>
      <c r="I32" s="59">
        <f>IF('[31]سجل المستخلصات'!$J$13="","",'[31]سجل المستخلصات'!$J$13)</f>
        <v/>
      </c>
      <c r="J32" s="59">
        <f>IF('[31]سجل المستخلصات'!$K$13="","",'[31]سجل المستخلصات'!$K$13)</f>
        <v/>
      </c>
      <c r="K32" s="60">
        <f>IF('[31]سجل المستخلصات'!$L$13="","",'[31]سجل المستخلصات'!$L$13)</f>
        <v/>
      </c>
      <c r="L32" s="60">
        <f>IF('[31]سجل المستخلصات'!$M$13="","",'[31]سجل المستخلصات'!$M$13)</f>
        <v/>
      </c>
      <c r="M32" s="60">
        <f>IF('[31]سجل المستخلصات'!$N$13="","",'[31]سجل المستخلصات'!$N$13)</f>
        <v/>
      </c>
      <c r="N32" s="59">
        <f>IF('[31]سجل المستخلصات'!$O$13="","",'[31]سجل المستخلصات'!$O$13)</f>
        <v/>
      </c>
      <c r="O32" s="59">
        <f>IF('[31]سجل المستخلصات'!$R$13="","",'[31]سجل المستخلصات'!$R$13)</f>
        <v/>
      </c>
      <c r="P32" s="59">
        <f>IF('[31]سجل المستخلصات'!$S$13="","",'[31]سجل المستخلصات'!$S$13)</f>
        <v/>
      </c>
      <c r="Q32" s="59">
        <f>IF('[31]سجل المستخلصات'!$T$13="","",'[31]سجل المستخلصات'!$T$13)</f>
        <v/>
      </c>
      <c r="R32" s="59">
        <f>IF('[31]سجل المستخلصات'!$V$13="","",'[31]سجل المستخلصات'!$V$13)</f>
        <v/>
      </c>
      <c r="S32" s="59">
        <f>IF('[31]سجل المستخلصات'!$W$13="","",'[31]سجل المستخلصات'!$W$13)</f>
        <v/>
      </c>
      <c r="T32" s="61">
        <f>IF('[31]سجل المستخلصات'!$X$13="","",'[31]سجل المستخلصات'!$X$13)</f>
        <v/>
      </c>
      <c r="U32" s="61">
        <f>IF('[31]سجل المستخلصات'!$Z$13="","",'[31]سجل المستخلصات'!$Z$13)</f>
        <v/>
      </c>
      <c r="V32" s="59">
        <f>IF('[31]سجل المستخلصات'!$AA$13="","",'[31]سجل المستخلصات'!$AA$13)</f>
        <v/>
      </c>
      <c r="W32" s="59">
        <f>IF('[31]سجل المستخلصات'!$AC$13="","",'[31]سجل المستخلصات'!$AC$13)</f>
        <v/>
      </c>
      <c r="X32" s="62">
        <f>IF('[31]سجل المستخلصات'!$AD$13="","",'[31]سجل المستخلصات'!$AD$13)</f>
        <v/>
      </c>
      <c r="Y32" s="58">
        <f>IF('[31]سجل المستخلصات'!$AE$13="","",'[31]سجل المستخلصات'!$AE$13)</f>
        <v/>
      </c>
    </row>
    <row r="33">
      <c r="B33" s="56" t="n">
        <v>9</v>
      </c>
      <c r="C33" s="57">
        <f>IF('[31]سجل المستخلصات'!$C$14="","",'[31]سجل المستخلصات'!$C$14)</f>
        <v/>
      </c>
      <c r="D33" s="57">
        <f>IF('[31]سجل المستخلصات'!$E$14="","",'[31]سجل المستخلصات'!$E$14)</f>
        <v/>
      </c>
      <c r="E33" s="58">
        <f>IF('[31]سجل المستخلصات'!$F$14="","",'[31]سجل المستخلصات'!$F$14)</f>
        <v/>
      </c>
      <c r="F33" s="59">
        <f>IF('[31]سجل المستخلصات'!$H$14="","",'[31]سجل المستخلصات'!$H$14)</f>
        <v/>
      </c>
      <c r="G33" s="59">
        <f>IF('[31]سجل المستخلصات'!$G$14="","",'[31]سجل المستخلصات'!$G$14)</f>
        <v/>
      </c>
      <c r="H33" s="59">
        <f>IF('[31]سجل المستخلصات'!$I$14="","",'[31]سجل المستخلصات'!$I$14)</f>
        <v/>
      </c>
      <c r="I33" s="59">
        <f>IF('[31]سجل المستخلصات'!$J$14="","",'[31]سجل المستخلصات'!$J$14)</f>
        <v/>
      </c>
      <c r="J33" s="59">
        <f>IF('[31]سجل المستخلصات'!$K$14="","",'[31]سجل المستخلصات'!$K$14)</f>
        <v/>
      </c>
      <c r="K33" s="60">
        <f>IF('[31]سجل المستخلصات'!$L$14="","",'[31]سجل المستخلصات'!$L$14)</f>
        <v/>
      </c>
      <c r="L33" s="60">
        <f>IF('[31]سجل المستخلصات'!$M$14="","",'[31]سجل المستخلصات'!$M$14)</f>
        <v/>
      </c>
      <c r="M33" s="60">
        <f>IF('[31]سجل المستخلصات'!$N$14="","",'[31]سجل المستخلصات'!$N$14)</f>
        <v/>
      </c>
      <c r="N33" s="59">
        <f>IF('[31]سجل المستخلصات'!$O$14="","",'[31]سجل المستخلصات'!$O$14)</f>
        <v/>
      </c>
      <c r="O33" s="59">
        <f>IF('[31]سجل المستخلصات'!$R$14="","",'[31]سجل المستخلصات'!$R$14)</f>
        <v/>
      </c>
      <c r="P33" s="59">
        <f>IF('[31]سجل المستخلصات'!$S$14="","",'[31]سجل المستخلصات'!$S$14)</f>
        <v/>
      </c>
      <c r="Q33" s="59">
        <f>IF('[31]سجل المستخلصات'!$T$14="","",'[31]سجل المستخلصات'!$T$14)</f>
        <v/>
      </c>
      <c r="R33" s="59">
        <f>IF('[31]سجل المستخلصات'!$V$14="","",'[31]سجل المستخلصات'!$V$14)</f>
        <v/>
      </c>
      <c r="S33" s="59">
        <f>IF('[31]سجل المستخلصات'!$W$14="","",'[31]سجل المستخلصات'!$W$14)</f>
        <v/>
      </c>
      <c r="T33" s="61">
        <f>IF('[31]سجل المستخلصات'!$X$14="","",'[31]سجل المستخلصات'!$X$14)</f>
        <v/>
      </c>
      <c r="U33" s="61">
        <f>IF('[31]سجل المستخلصات'!$Z$14="","",'[31]سجل المستخلصات'!$Z$14)</f>
        <v/>
      </c>
      <c r="V33" s="59">
        <f>IF('[31]سجل المستخلصات'!$AA$14="","",'[31]سجل المستخلصات'!$AA$14)</f>
        <v/>
      </c>
      <c r="W33" s="59">
        <f>IF('[31]سجل المستخلصات'!$AC$14="","",'[31]سجل المستخلصات'!$AC$14)</f>
        <v/>
      </c>
      <c r="X33" s="62">
        <f>IF('[31]سجل المستخلصات'!$AD$14="","",'[31]سجل المستخلصات'!$AD$14)</f>
        <v/>
      </c>
      <c r="Y33" s="58">
        <f>IF('[31]سجل المستخلصات'!$AE$14="","",'[31]سجل المستخلصات'!$AE$14)</f>
        <v/>
      </c>
    </row>
    <row r="34">
      <c r="B34" s="56" t="n">
        <v>10</v>
      </c>
      <c r="C34" s="57">
        <f>IF('[31]سجل المستخلصات'!$C$15="","",'[31]سجل المستخلصات'!$C$15)</f>
        <v/>
      </c>
      <c r="D34" s="57">
        <f>IF('[31]سجل المستخلصات'!$E$15="","",'[31]سجل المستخلصات'!$E$15)</f>
        <v/>
      </c>
      <c r="E34" s="58">
        <f>IF('[31]سجل المستخلصات'!$F$15="","",'[31]سجل المستخلصات'!$F$15)</f>
        <v/>
      </c>
      <c r="F34" s="59">
        <f>IF('[31]سجل المستخلصات'!$H$15="","",'[31]سجل المستخلصات'!$H$15)</f>
        <v/>
      </c>
      <c r="G34" s="59">
        <f>IF('[31]سجل المستخلصات'!$G$15="","",'[31]سجل المستخلصات'!$G$15)</f>
        <v/>
      </c>
      <c r="H34" s="59">
        <f>IF('[31]سجل المستخلصات'!$I$15="","",'[31]سجل المستخلصات'!$I$15)</f>
        <v/>
      </c>
      <c r="I34" s="59">
        <f>IF('[31]سجل المستخلصات'!$J$15="","",'[31]سجل المستخلصات'!$J$15)</f>
        <v/>
      </c>
      <c r="J34" s="59">
        <f>IF('[31]سجل المستخلصات'!$K$15="","",'[31]سجل المستخلصات'!$K$15)</f>
        <v/>
      </c>
      <c r="K34" s="60">
        <f>IF('[31]سجل المستخلصات'!$L$15="","",'[31]سجل المستخلصات'!$L$15)</f>
        <v/>
      </c>
      <c r="L34" s="60">
        <f>IF('[31]سجل المستخلصات'!$M$15="","",'[31]سجل المستخلصات'!$M$15)</f>
        <v/>
      </c>
      <c r="M34" s="60">
        <f>IF('[31]سجل المستخلصات'!$N$15="","",'[31]سجل المستخلصات'!$N$15)</f>
        <v/>
      </c>
      <c r="N34" s="59">
        <f>IF('[31]سجل المستخلصات'!$O$15="","",'[31]سجل المستخلصات'!$O$15)</f>
        <v/>
      </c>
      <c r="O34" s="59">
        <f>IF('[31]سجل المستخلصات'!$R$15="","",'[31]سجل المستخلصات'!$R$15)</f>
        <v/>
      </c>
      <c r="P34" s="59">
        <f>IF('[31]سجل المستخلصات'!$S$15="","",'[31]سجل المستخلصات'!$S$15)</f>
        <v/>
      </c>
      <c r="Q34" s="59">
        <f>IF('[31]سجل المستخلصات'!$T$15="","",'[31]سجل المستخلصات'!$T$15)</f>
        <v/>
      </c>
      <c r="R34" s="59">
        <f>IF('[31]سجل المستخلصات'!$V$15="","",'[31]سجل المستخلصات'!$V$15)</f>
        <v/>
      </c>
      <c r="S34" s="59">
        <f>IF('[31]سجل المستخلصات'!$W$15="","",'[31]سجل المستخلصات'!$W$15)</f>
        <v/>
      </c>
      <c r="T34" s="61">
        <f>IF('[31]سجل المستخلصات'!$X$15="","",'[31]سجل المستخلصات'!$X$15)</f>
        <v/>
      </c>
      <c r="U34" s="61">
        <f>IF('[31]سجل المستخلصات'!$Z$15="","",'[31]سجل المستخلصات'!$Z$15)</f>
        <v/>
      </c>
      <c r="V34" s="59">
        <f>IF('[31]سجل المستخلصات'!$AA$15="","",'[31]سجل المستخلصات'!$AA$15)</f>
        <v/>
      </c>
      <c r="W34" s="59">
        <f>IF('[31]سجل المستخلصات'!$AC$15="","",'[31]سجل المستخلصات'!$AC$15)</f>
        <v/>
      </c>
      <c r="X34" s="62">
        <f>IF('[31]سجل المستخلصات'!$AD$15="","",'[31]سجل المستخلصات'!$AD$15)</f>
        <v/>
      </c>
      <c r="Y34" s="58">
        <f>IF('[31]سجل المستخلصات'!$AE$15="","",'[31]سجل المستخلصات'!$AE$15)</f>
        <v/>
      </c>
    </row>
    <row r="35">
      <c r="B35" s="56" t="n">
        <v>11</v>
      </c>
      <c r="C35" s="57">
        <f>IF('[31]سجل المستخلصات'!$C$16="","",'[31]سجل المستخلصات'!$C$16)</f>
        <v/>
      </c>
      <c r="D35" s="57">
        <f>IF('[31]سجل المستخلصات'!$E$16="","",'[31]سجل المستخلصات'!$E$16)</f>
        <v/>
      </c>
      <c r="E35" s="58">
        <f>IF('[31]سجل المستخلصات'!$F$16="","",'[31]سجل المستخلصات'!$F$16)</f>
        <v/>
      </c>
      <c r="F35" s="59">
        <f>IF('[31]سجل المستخلصات'!$H$16="","",'[31]سجل المستخلصات'!$H$16)</f>
        <v/>
      </c>
      <c r="G35" s="59">
        <f>IF('[31]سجل المستخلصات'!$G$16="","",'[31]سجل المستخلصات'!$G$16)</f>
        <v/>
      </c>
      <c r="H35" s="59">
        <f>IF('[31]سجل المستخلصات'!$I$16="","",'[31]سجل المستخلصات'!$I$16)</f>
        <v/>
      </c>
      <c r="I35" s="59">
        <f>IF('[31]سجل المستخلصات'!$J$16="","",'[31]سجل المستخلصات'!$J$16)</f>
        <v/>
      </c>
      <c r="J35" s="59">
        <f>IF('[31]سجل المستخلصات'!$K$16="","",'[31]سجل المستخلصات'!$K$16)</f>
        <v/>
      </c>
      <c r="K35" s="60">
        <f>IF('[31]سجل المستخلصات'!$L$16="","",'[31]سجل المستخلصات'!$L$16)</f>
        <v/>
      </c>
      <c r="L35" s="60">
        <f>IF('[31]سجل المستخلصات'!$M$16="","",'[31]سجل المستخلصات'!$M$16)</f>
        <v/>
      </c>
      <c r="M35" s="60">
        <f>IF('[31]سجل المستخلصات'!$N$16="","",'[31]سجل المستخلصات'!$N$16)</f>
        <v/>
      </c>
      <c r="N35" s="59">
        <f>IF('[31]سجل المستخلصات'!$O$16="","",'[31]سجل المستخلصات'!$O$16)</f>
        <v/>
      </c>
      <c r="O35" s="59">
        <f>IF('[31]سجل المستخلصات'!$R$16="","",'[31]سجل المستخلصات'!$R$16)</f>
        <v/>
      </c>
      <c r="P35" s="59">
        <f>IF('[31]سجل المستخلصات'!$S$16="","",'[31]سجل المستخلصات'!$S$16)</f>
        <v/>
      </c>
      <c r="Q35" s="59">
        <f>IF('[31]سجل المستخلصات'!$T$16="","",'[31]سجل المستخلصات'!$T$16)</f>
        <v/>
      </c>
      <c r="R35" s="59">
        <f>IF('[31]سجل المستخلصات'!$V$16="","",'[31]سجل المستخلصات'!$V$16)</f>
        <v/>
      </c>
      <c r="S35" s="59">
        <f>IF('[31]سجل المستخلصات'!$W$16="","",'[31]سجل المستخلصات'!$W$16)</f>
        <v/>
      </c>
      <c r="T35" s="61">
        <f>IF('[31]سجل المستخلصات'!$X$16="","",'[31]سجل المستخلصات'!$X$16)</f>
        <v/>
      </c>
      <c r="U35" s="61">
        <f>IF('[31]سجل المستخلصات'!$Z$16="","",'[31]سجل المستخلصات'!$Z$16)</f>
        <v/>
      </c>
      <c r="V35" s="59">
        <f>IF('[31]سجل المستخلصات'!$AA$16="","",'[31]سجل المستخلصات'!$AA$16)</f>
        <v/>
      </c>
      <c r="W35" s="59">
        <f>IF('[31]سجل المستخلصات'!$AC$16="","",'[31]سجل المستخلصات'!$AC$16)</f>
        <v/>
      </c>
      <c r="X35" s="62">
        <f>IF('[31]سجل المستخلصات'!$AD$16="","",'[31]سجل المستخلصات'!$AD$16)</f>
        <v/>
      </c>
      <c r="Y35" s="58">
        <f>IF('[31]سجل المستخلصات'!$AE$16="","",'[31]سجل المستخلصات'!$AE$16)</f>
        <v/>
      </c>
    </row>
    <row r="36">
      <c r="B36" s="56" t="n">
        <v>12</v>
      </c>
      <c r="C36" s="57">
        <f>IF('[31]سجل المستخلصات'!$C$17="","",'[31]سجل المستخلصات'!$C$17)</f>
        <v/>
      </c>
      <c r="D36" s="57">
        <f>IF('[31]سجل المستخلصات'!$E$17="","",'[31]سجل المستخلصات'!$E$17)</f>
        <v/>
      </c>
      <c r="E36" s="58">
        <f>IF('[31]سجل المستخلصات'!$F$17="","",'[31]سجل المستخلصات'!$F$17)</f>
        <v/>
      </c>
      <c r="F36" s="59">
        <f>IF('[31]سجل المستخلصات'!$H$17="","",'[31]سجل المستخلصات'!$H$17)</f>
        <v/>
      </c>
      <c r="G36" s="59">
        <f>IF('[31]سجل المستخلصات'!$G$17="","",'[31]سجل المستخلصات'!$G$17)</f>
        <v/>
      </c>
      <c r="H36" s="59">
        <f>IF('[31]سجل المستخلصات'!$I$17="","",'[31]سجل المستخلصات'!$I$17)</f>
        <v/>
      </c>
      <c r="I36" s="59">
        <f>IF('[31]سجل المستخلصات'!$J$17="","",'[31]سجل المستخلصات'!$J$17)</f>
        <v/>
      </c>
      <c r="J36" s="59">
        <f>IF('[31]سجل المستخلصات'!$K$17="","",'[31]سجل المستخلصات'!$K$17)</f>
        <v/>
      </c>
      <c r="K36" s="60">
        <f>IF('[31]سجل المستخلصات'!$L$17="","",'[31]سجل المستخلصات'!$L$17)</f>
        <v/>
      </c>
      <c r="L36" s="60">
        <f>IF('[31]سجل المستخلصات'!$M$17="","",'[31]سجل المستخلصات'!$M$17)</f>
        <v/>
      </c>
      <c r="M36" s="60">
        <f>IF('[31]سجل المستخلصات'!$N$17="","",'[31]سجل المستخلصات'!$N$17)</f>
        <v/>
      </c>
      <c r="N36" s="59">
        <f>IF('[31]سجل المستخلصات'!$O$17="","",'[31]سجل المستخلصات'!$O$17)</f>
        <v/>
      </c>
      <c r="O36" s="59">
        <f>IF('[31]سجل المستخلصات'!$R$17="","",'[31]سجل المستخلصات'!$R$17)</f>
        <v/>
      </c>
      <c r="P36" s="59">
        <f>IF('[31]سجل المستخلصات'!$S$17="","",'[31]سجل المستخلصات'!$S$17)</f>
        <v/>
      </c>
      <c r="Q36" s="59">
        <f>IF('[31]سجل المستخلصات'!$T$17="","",'[31]سجل المستخلصات'!$T$17)</f>
        <v/>
      </c>
      <c r="R36" s="59">
        <f>IF('[31]سجل المستخلصات'!$V$17="","",'[31]سجل المستخلصات'!$V$17)</f>
        <v/>
      </c>
      <c r="S36" s="59">
        <f>IF('[31]سجل المستخلصات'!$W$17="","",'[31]سجل المستخلصات'!$W$17)</f>
        <v/>
      </c>
      <c r="T36" s="61">
        <f>IF('[31]سجل المستخلصات'!$X$17="","",'[31]سجل المستخلصات'!$X$17)</f>
        <v/>
      </c>
      <c r="U36" s="61">
        <f>IF('[31]سجل المستخلصات'!$Z$17="","",'[31]سجل المستخلصات'!$Z$17)</f>
        <v/>
      </c>
      <c r="V36" s="59">
        <f>IF('[31]سجل المستخلصات'!$AA$17="","",'[31]سجل المستخلصات'!$AA$17)</f>
        <v/>
      </c>
      <c r="W36" s="59">
        <f>IF('[31]سجل المستخلصات'!$AC$17="","",'[31]سجل المستخلصات'!$AC$17)</f>
        <v/>
      </c>
      <c r="X36" s="62">
        <f>IF('[31]سجل المستخلصات'!$AD$17="","",'[31]سجل المستخلصات'!$AD$17)</f>
        <v/>
      </c>
      <c r="Y36" s="58">
        <f>IF('[31]سجل المستخلصات'!$AE$17="","",'[31]سجل المستخلصات'!$AE$17)</f>
        <v/>
      </c>
    </row>
    <row r="37">
      <c r="B37" s="56" t="n">
        <v>13</v>
      </c>
      <c r="C37" s="57">
        <f>IF('[31]سجل المستخلصات'!$C$18="","",'[31]سجل المستخلصات'!$C$18)</f>
        <v/>
      </c>
      <c r="D37" s="57">
        <f>IF('[31]سجل المستخلصات'!$E$18="","",'[31]سجل المستخلصات'!$E$18)</f>
        <v/>
      </c>
      <c r="E37" s="58">
        <f>IF('[31]سجل المستخلصات'!$F$18="","",'[31]سجل المستخلصات'!$F$18)</f>
        <v/>
      </c>
      <c r="F37" s="59">
        <f>IF('[31]سجل المستخلصات'!$H$18="","",'[31]سجل المستخلصات'!$H$18)</f>
        <v/>
      </c>
      <c r="G37" s="59">
        <f>IF('[31]سجل المستخلصات'!$G$18="","",'[31]سجل المستخلصات'!$G$18)</f>
        <v/>
      </c>
      <c r="H37" s="59">
        <f>IF('[31]سجل المستخلصات'!$I$18="","",'[31]سجل المستخلصات'!$I$18)</f>
        <v/>
      </c>
      <c r="I37" s="59">
        <f>IF('[31]سجل المستخلصات'!$J$18="","",'[31]سجل المستخلصات'!$J$18)</f>
        <v/>
      </c>
      <c r="J37" s="59">
        <f>IF('[31]سجل المستخلصات'!$K$18="","",'[31]سجل المستخلصات'!$K$18)</f>
        <v/>
      </c>
      <c r="K37" s="60">
        <f>IF('[31]سجل المستخلصات'!$L$18="","",'[31]سجل المستخلصات'!$L$18)</f>
        <v/>
      </c>
      <c r="L37" s="60">
        <f>IF('[31]سجل المستخلصات'!$M$18="","",'[31]سجل المستخلصات'!$M$18)</f>
        <v/>
      </c>
      <c r="M37" s="60">
        <f>IF('[31]سجل المستخلصات'!$N$18="","",'[31]سجل المستخلصات'!$N$18)</f>
        <v/>
      </c>
      <c r="N37" s="59">
        <f>IF('[31]سجل المستخلصات'!$O$18="","",'[31]سجل المستخلصات'!$O$18)</f>
        <v/>
      </c>
      <c r="O37" s="59">
        <f>IF('[31]سجل المستخلصات'!$R$18="","",'[31]سجل المستخلصات'!$R$18)</f>
        <v/>
      </c>
      <c r="P37" s="59">
        <f>IF('[31]سجل المستخلصات'!$S$18="","",'[31]سجل المستخلصات'!$S$18)</f>
        <v/>
      </c>
      <c r="Q37" s="59">
        <f>IF('[31]سجل المستخلصات'!$T$18="","",'[31]سجل المستخلصات'!$T$18)</f>
        <v/>
      </c>
      <c r="R37" s="59">
        <f>IF('[31]سجل المستخلصات'!$V$18="","",'[31]سجل المستخلصات'!$V$18)</f>
        <v/>
      </c>
      <c r="S37" s="59">
        <f>IF('[31]سجل المستخلصات'!$W$18="","",'[31]سجل المستخلصات'!$W$18)</f>
        <v/>
      </c>
      <c r="T37" s="61">
        <f>IF('[31]سجل المستخلصات'!$X$18="","",'[31]سجل المستخلصات'!$X$18)</f>
        <v/>
      </c>
      <c r="U37" s="61">
        <f>IF('[31]سجل المستخلصات'!$Z$18="","",'[31]سجل المستخلصات'!$Z$18)</f>
        <v/>
      </c>
      <c r="V37" s="59">
        <f>IF('[31]سجل المستخلصات'!$AA$18="","",'[31]سجل المستخلصات'!$AA$18)</f>
        <v/>
      </c>
      <c r="W37" s="59">
        <f>IF('[31]سجل المستخلصات'!$AC$18="","",'[31]سجل المستخلصات'!$AC$18)</f>
        <v/>
      </c>
      <c r="X37" s="62">
        <f>IF('[31]سجل المستخلصات'!$AD$18="","",'[31]سجل المستخلصات'!$AD$18)</f>
        <v/>
      </c>
      <c r="Y37" s="58">
        <f>IF('[31]سجل المستخلصات'!$AE$18="","",'[31]سجل المستخلصات'!$AE$18)</f>
        <v/>
      </c>
    </row>
    <row r="38">
      <c r="B38" s="56" t="n">
        <v>14</v>
      </c>
      <c r="C38" s="57">
        <f>IF('[31]سجل المستخلصات'!$C$19="","",'[31]سجل المستخلصات'!$C$19)</f>
        <v/>
      </c>
      <c r="D38" s="57">
        <f>IF('[31]سجل المستخلصات'!$E$19="","",'[31]سجل المستخلصات'!$E$19)</f>
        <v/>
      </c>
      <c r="E38" s="58">
        <f>IF('[31]سجل المستخلصات'!$F$19="","",'[31]سجل المستخلصات'!$F$19)</f>
        <v/>
      </c>
      <c r="F38" s="59">
        <f>IF('[31]سجل المستخلصات'!$H$19="","",'[31]سجل المستخلصات'!$H$19)</f>
        <v/>
      </c>
      <c r="G38" s="59">
        <f>IF('[31]سجل المستخلصات'!$G$19="","",'[31]سجل المستخلصات'!$G$19)</f>
        <v/>
      </c>
      <c r="H38" s="59">
        <f>IF('[31]سجل المستخلصات'!$I$19="","",'[31]سجل المستخلصات'!$I$19)</f>
        <v/>
      </c>
      <c r="I38" s="59">
        <f>IF('[31]سجل المستخلصات'!$J$19="","",'[31]سجل المستخلصات'!$J$19)</f>
        <v/>
      </c>
      <c r="J38" s="59">
        <f>IF('[31]سجل المستخلصات'!$K$19="","",'[31]سجل المستخلصات'!$K$19)</f>
        <v/>
      </c>
      <c r="K38" s="60">
        <f>IF('[31]سجل المستخلصات'!$L$19="","",'[31]سجل المستخلصات'!$L$19)</f>
        <v/>
      </c>
      <c r="L38" s="60">
        <f>IF('[31]سجل المستخلصات'!$M$19="","",'[31]سجل المستخلصات'!$M$19)</f>
        <v/>
      </c>
      <c r="M38" s="60">
        <f>IF('[31]سجل المستخلصات'!$N$19="","",'[31]سجل المستخلصات'!$N$19)</f>
        <v/>
      </c>
      <c r="N38" s="59">
        <f>IF('[31]سجل المستخلصات'!$O$19="","",'[31]سجل المستخلصات'!$O$19)</f>
        <v/>
      </c>
      <c r="O38" s="59">
        <f>IF('[31]سجل المستخلصات'!$R$19="","",'[31]سجل المستخلصات'!$R$19)</f>
        <v/>
      </c>
      <c r="P38" s="59">
        <f>IF('[31]سجل المستخلصات'!$S$19="","",'[31]سجل المستخلصات'!$S$19)</f>
        <v/>
      </c>
      <c r="Q38" s="59">
        <f>IF('[31]سجل المستخلصات'!$T$19="","",'[31]سجل المستخلصات'!$T$19)</f>
        <v/>
      </c>
      <c r="R38" s="59">
        <f>IF('[31]سجل المستخلصات'!$V$19="","",'[31]سجل المستخلصات'!$V$19)</f>
        <v/>
      </c>
      <c r="S38" s="59">
        <f>IF('[31]سجل المستخلصات'!$W$19="","",'[31]سجل المستخلصات'!$W$19)</f>
        <v/>
      </c>
      <c r="T38" s="61">
        <f>IF('[31]سجل المستخلصات'!$X$19="","",'[31]سجل المستخلصات'!$X$19)</f>
        <v/>
      </c>
      <c r="U38" s="61">
        <f>IF('[31]سجل المستخلصات'!$Z$19="","",'[31]سجل المستخلصات'!$Z$19)</f>
        <v/>
      </c>
      <c r="V38" s="59">
        <f>IF('[31]سجل المستخلصات'!$AA$19="","",'[31]سجل المستخلصات'!$AA$19)</f>
        <v/>
      </c>
      <c r="W38" s="59">
        <f>IF('[31]سجل المستخلصات'!$AC$19="","",'[31]سجل المستخلصات'!$AC$19)</f>
        <v/>
      </c>
      <c r="X38" s="62">
        <f>IF('[31]سجل المستخلصات'!$AD$19="","",'[31]سجل المستخلصات'!$AD$19)</f>
        <v/>
      </c>
      <c r="Y38" s="58">
        <f>IF('[31]سجل المستخلصات'!$AE$19="","",'[31]سجل المستخلصات'!$AE$19)</f>
        <v/>
      </c>
    </row>
    <row r="39">
      <c r="B39" s="56" t="n">
        <v>15</v>
      </c>
      <c r="C39" s="57">
        <f>IF('[31]سجل المستخلصات'!$C$20="","",'[31]سجل المستخلصات'!$C$20)</f>
        <v/>
      </c>
      <c r="D39" s="57">
        <f>IF('[31]سجل المستخلصات'!$E$20="","",'[31]سجل المستخلصات'!$E$20)</f>
        <v/>
      </c>
      <c r="E39" s="58">
        <f>IF('[31]سجل المستخلصات'!$F$20="","",'[31]سجل المستخلصات'!$F$20)</f>
        <v/>
      </c>
      <c r="F39" s="59">
        <f>IF('[31]سجل المستخلصات'!$H$20="","",'[31]سجل المستخلصات'!$H$20)</f>
        <v/>
      </c>
      <c r="G39" s="59">
        <f>IF('[31]سجل المستخلصات'!$G$20="","",'[31]سجل المستخلصات'!$G$20)</f>
        <v/>
      </c>
      <c r="H39" s="59">
        <f>IF('[31]سجل المستخلصات'!$I$20="","",'[31]سجل المستخلصات'!$I$20)</f>
        <v/>
      </c>
      <c r="I39" s="59">
        <f>IF('[31]سجل المستخلصات'!$J$20="","",'[31]سجل المستخلصات'!$J$20)</f>
        <v/>
      </c>
      <c r="J39" s="59">
        <f>IF('[31]سجل المستخلصات'!$K$20="","",'[31]سجل المستخلصات'!$K$20)</f>
        <v/>
      </c>
      <c r="K39" s="60">
        <f>IF('[31]سجل المستخلصات'!$L$20="","",'[31]سجل المستخلصات'!$L$20)</f>
        <v/>
      </c>
      <c r="L39" s="60">
        <f>IF('[31]سجل المستخلصات'!$M$20="","",'[31]سجل المستخلصات'!$M$20)</f>
        <v/>
      </c>
      <c r="M39" s="60">
        <f>IF('[31]سجل المستخلصات'!$N$20="","",'[31]سجل المستخلصات'!$N$20)</f>
        <v/>
      </c>
      <c r="N39" s="59">
        <f>IF('[31]سجل المستخلصات'!$O$20="","",'[31]سجل المستخلصات'!$O$20)</f>
        <v/>
      </c>
      <c r="O39" s="59">
        <f>IF('[31]سجل المستخلصات'!$R$20="","",'[31]سجل المستخلصات'!$R$20)</f>
        <v/>
      </c>
      <c r="P39" s="59">
        <f>IF('[31]سجل المستخلصات'!$S$20="","",'[31]سجل المستخلصات'!$S$20)</f>
        <v/>
      </c>
      <c r="Q39" s="59">
        <f>IF('[31]سجل المستخلصات'!$T$20="","",'[31]سجل المستخلصات'!$T$20)</f>
        <v/>
      </c>
      <c r="R39" s="59">
        <f>IF('[31]سجل المستخلصات'!$V$20="","",'[31]سجل المستخلصات'!$V$20)</f>
        <v/>
      </c>
      <c r="S39" s="59">
        <f>IF('[31]سجل المستخلصات'!$W$20="","",'[31]سجل المستخلصات'!$W$20)</f>
        <v/>
      </c>
      <c r="T39" s="61">
        <f>IF('[31]سجل المستخلصات'!$X$20="","",'[31]سجل المستخلصات'!$X$20)</f>
        <v/>
      </c>
      <c r="U39" s="61">
        <f>IF('[31]سجل المستخلصات'!$Z$20="","",'[31]سجل المستخلصات'!$Z$20)</f>
        <v/>
      </c>
      <c r="V39" s="59">
        <f>IF('[31]سجل المستخلصات'!$AA$20="","",'[31]سجل المستخلصات'!$AA$20)</f>
        <v/>
      </c>
      <c r="W39" s="59">
        <f>IF('[31]سجل المستخلصات'!$AC$20="","",'[31]سجل المستخلصات'!$AC$20)</f>
        <v/>
      </c>
      <c r="X39" s="62">
        <f>IF('[31]سجل المستخلصات'!$AD$20="","",'[31]سجل المستخلصات'!$AD$20)</f>
        <v/>
      </c>
      <c r="Y39" s="58">
        <f>IF('[31]سجل المستخلصات'!$AE$20="","",'[31]سجل المستخلصات'!$AE$20)</f>
        <v/>
      </c>
    </row>
    <row r="40">
      <c r="B40" s="56" t="n">
        <v>16</v>
      </c>
      <c r="C40" s="57">
        <f>IF('[31]سجل المستخلصات'!$C$21="","",'[31]سجل المستخلصات'!$C$21)</f>
        <v/>
      </c>
      <c r="D40" s="57">
        <f>IF('[31]سجل المستخلصات'!$E$21="","",'[31]سجل المستخلصات'!$E$21)</f>
        <v/>
      </c>
      <c r="E40" s="58">
        <f>IF('[31]سجل المستخلصات'!$F$21="","",'[31]سجل المستخلصات'!$F$21)</f>
        <v/>
      </c>
      <c r="F40" s="59">
        <f>IF('[31]سجل المستخلصات'!$H$21="","",'[31]سجل المستخلصات'!$H$21)</f>
        <v/>
      </c>
      <c r="G40" s="59">
        <f>IF('[31]سجل المستخلصات'!$G$21="","",'[31]سجل المستخلصات'!$G$21)</f>
        <v/>
      </c>
      <c r="H40" s="59">
        <f>IF('[31]سجل المستخلصات'!$I$21="","",'[31]سجل المستخلصات'!$I$21)</f>
        <v/>
      </c>
      <c r="I40" s="59">
        <f>IF('[31]سجل المستخلصات'!$J$21="","",'[31]سجل المستخلصات'!$J$21)</f>
        <v/>
      </c>
      <c r="J40" s="59">
        <f>IF('[31]سجل المستخلصات'!$K$21="","",'[31]سجل المستخلصات'!$K$21)</f>
        <v/>
      </c>
      <c r="K40" s="60">
        <f>IF('[31]سجل المستخلصات'!$L$21="","",'[31]سجل المستخلصات'!$L$21)</f>
        <v/>
      </c>
      <c r="L40" s="60">
        <f>IF('[31]سجل المستخلصات'!$M$21="","",'[31]سجل المستخلصات'!$M$21)</f>
        <v/>
      </c>
      <c r="M40" s="60">
        <f>IF('[31]سجل المستخلصات'!$N$21="","",'[31]سجل المستخلصات'!$N$21)</f>
        <v/>
      </c>
      <c r="N40" s="59">
        <f>IF('[31]سجل المستخلصات'!$O$21="","",'[31]سجل المستخلصات'!$O$21)</f>
        <v/>
      </c>
      <c r="O40" s="59">
        <f>IF('[31]سجل المستخلصات'!$R$21="","",'[31]سجل المستخلصات'!$R$21)</f>
        <v/>
      </c>
      <c r="P40" s="59">
        <f>IF('[31]سجل المستخلصات'!$S$21="","",'[31]سجل المستخلصات'!$S$21)</f>
        <v/>
      </c>
      <c r="Q40" s="59">
        <f>IF('[31]سجل المستخلصات'!$T$21="","",'[31]سجل المستخلصات'!$T$21)</f>
        <v/>
      </c>
      <c r="R40" s="59">
        <f>IF('[31]سجل المستخلصات'!$V$21="","",'[31]سجل المستخلصات'!$V$21)</f>
        <v/>
      </c>
      <c r="S40" s="59">
        <f>IF('[31]سجل المستخلصات'!$W$21="","",'[31]سجل المستخلصات'!$W$21)</f>
        <v/>
      </c>
      <c r="T40" s="61">
        <f>IF('[31]سجل المستخلصات'!$X$21="","",'[31]سجل المستخلصات'!$X$21)</f>
        <v/>
      </c>
      <c r="U40" s="61">
        <f>IF('[31]سجل المستخلصات'!$Z$21="","",'[31]سجل المستخلصات'!$Z$21)</f>
        <v/>
      </c>
      <c r="V40" s="59">
        <f>IF('[31]سجل المستخلصات'!$AA$21="","",'[31]سجل المستخلصات'!$AA$21)</f>
        <v/>
      </c>
      <c r="W40" s="59">
        <f>IF('[31]سجل المستخلصات'!$AC$21="","",'[31]سجل المستخلصات'!$AC$21)</f>
        <v/>
      </c>
      <c r="X40" s="62">
        <f>IF('[31]سجل المستخلصات'!$AD$21="","",'[31]سجل المستخلصات'!$AD$21)</f>
        <v/>
      </c>
      <c r="Y40" s="58">
        <f>IF('[31]سجل المستخلصات'!$AE$21="","",'[31]سجل المستخلصات'!$AE$21)</f>
        <v/>
      </c>
    </row>
    <row r="41">
      <c r="B41" s="56" t="n">
        <v>17</v>
      </c>
      <c r="C41" s="57">
        <f>IF('[31]سجل المستخلصات'!$C$22="","",'[31]سجل المستخلصات'!$C$22)</f>
        <v/>
      </c>
      <c r="D41" s="57">
        <f>IF('[31]سجل المستخلصات'!$E$22="","",'[31]سجل المستخلصات'!$E$22)</f>
        <v/>
      </c>
      <c r="E41" s="58">
        <f>IF('[31]سجل المستخلصات'!$F$22="","",'[31]سجل المستخلصات'!$F$22)</f>
        <v/>
      </c>
      <c r="F41" s="59">
        <f>IF('[31]سجل المستخلصات'!$H$22="","",'[31]سجل المستخلصات'!$H$22)</f>
        <v/>
      </c>
      <c r="G41" s="59">
        <f>IF('[31]سجل المستخلصات'!$G$22="","",'[31]سجل المستخلصات'!$G$22)</f>
        <v/>
      </c>
      <c r="H41" s="59">
        <f>IF('[31]سجل المستخلصات'!$I$22="","",'[31]سجل المستخلصات'!$I$22)</f>
        <v/>
      </c>
      <c r="I41" s="59">
        <f>IF('[31]سجل المستخلصات'!$J$22="","",'[31]سجل المستخلصات'!$J$22)</f>
        <v/>
      </c>
      <c r="J41" s="59">
        <f>IF('[31]سجل المستخلصات'!$K$22="","",'[31]سجل المستخلصات'!$K$22)</f>
        <v/>
      </c>
      <c r="K41" s="60">
        <f>IF('[31]سجل المستخلصات'!$L$22="","",'[31]سجل المستخلصات'!$L$22)</f>
        <v/>
      </c>
      <c r="L41" s="60">
        <f>IF('[31]سجل المستخلصات'!$M$22="","",'[31]سجل المستخلصات'!$M$22)</f>
        <v/>
      </c>
      <c r="M41" s="60">
        <f>IF('[31]سجل المستخلصات'!$N$22="","",'[31]سجل المستخلصات'!$N$22)</f>
        <v/>
      </c>
      <c r="N41" s="59">
        <f>IF('[31]سجل المستخلصات'!$O$22="","",'[31]سجل المستخلصات'!$O$22)</f>
        <v/>
      </c>
      <c r="O41" s="59">
        <f>IF('[31]سجل المستخلصات'!$R$22="","",'[31]سجل المستخلصات'!$R$22)</f>
        <v/>
      </c>
      <c r="P41" s="59">
        <f>IF('[31]سجل المستخلصات'!$S$22="","",'[31]سجل المستخلصات'!$S$22)</f>
        <v/>
      </c>
      <c r="Q41" s="59">
        <f>IF('[31]سجل المستخلصات'!$T$22="","",'[31]سجل المستخلصات'!$T$22)</f>
        <v/>
      </c>
      <c r="R41" s="59">
        <f>IF('[31]سجل المستخلصات'!$V$22="","",'[31]سجل المستخلصات'!$V$22)</f>
        <v/>
      </c>
      <c r="S41" s="59">
        <f>IF('[31]سجل المستخلصات'!$W$22="","",'[31]سجل المستخلصات'!$W$22)</f>
        <v/>
      </c>
      <c r="T41" s="61">
        <f>IF('[31]سجل المستخلصات'!$X$22="","",'[31]سجل المستخلصات'!$X$22)</f>
        <v/>
      </c>
      <c r="U41" s="61">
        <f>IF('[31]سجل المستخلصات'!$Z$22="","",'[31]سجل المستخلصات'!$Z$22)</f>
        <v/>
      </c>
      <c r="V41" s="59">
        <f>IF('[31]سجل المستخلصات'!$AA$22="","",'[31]سجل المستخلصات'!$AA$22)</f>
        <v/>
      </c>
      <c r="W41" s="59">
        <f>IF('[31]سجل المستخلصات'!$AC$22="","",'[31]سجل المستخلصات'!$AC$22)</f>
        <v/>
      </c>
      <c r="X41" s="62">
        <f>IF('[31]سجل المستخلصات'!$AD$22="","",'[31]سجل المستخلصات'!$AD$22)</f>
        <v/>
      </c>
      <c r="Y41" s="58">
        <f>IF('[31]سجل المستخلصات'!$AE$22="","",'[31]سجل المستخلصات'!$AE$22)</f>
        <v/>
      </c>
    </row>
    <row r="42">
      <c r="B42" s="56" t="n">
        <v>18</v>
      </c>
      <c r="C42" s="57">
        <f>IF('[31]سجل المستخلصات'!$C$23="","",'[31]سجل المستخلصات'!$C$23)</f>
        <v/>
      </c>
      <c r="D42" s="57">
        <f>IF('[31]سجل المستخلصات'!$E$23="","",'[31]سجل المستخلصات'!$E$23)</f>
        <v/>
      </c>
      <c r="E42" s="58">
        <f>IF('[31]سجل المستخلصات'!$F$23="","",'[31]سجل المستخلصات'!$F$23)</f>
        <v/>
      </c>
      <c r="F42" s="59">
        <f>IF('[31]سجل المستخلصات'!$H$23="","",'[31]سجل المستخلصات'!$H$23)</f>
        <v/>
      </c>
      <c r="G42" s="59">
        <f>IF('[31]سجل المستخلصات'!$G$23="","",'[31]سجل المستخلصات'!$G$23)</f>
        <v/>
      </c>
      <c r="H42" s="59">
        <f>IF('[31]سجل المستخلصات'!$I$23="","",'[31]سجل المستخلصات'!$I$23)</f>
        <v/>
      </c>
      <c r="I42" s="59">
        <f>IF('[31]سجل المستخلصات'!$J$23="","",'[31]سجل المستخلصات'!$J$23)</f>
        <v/>
      </c>
      <c r="J42" s="59">
        <f>IF('[31]سجل المستخلصات'!$K$23="","",'[31]سجل المستخلصات'!$K$23)</f>
        <v/>
      </c>
      <c r="K42" s="60">
        <f>IF('[31]سجل المستخلصات'!$L$23="","",'[31]سجل المستخلصات'!$L$23)</f>
        <v/>
      </c>
      <c r="L42" s="60">
        <f>IF('[31]سجل المستخلصات'!$M$23="","",'[31]سجل المستخلصات'!$M$23)</f>
        <v/>
      </c>
      <c r="M42" s="60">
        <f>IF('[31]سجل المستخلصات'!$N$23="","",'[31]سجل المستخلصات'!$N$23)</f>
        <v/>
      </c>
      <c r="N42" s="59">
        <f>IF('[31]سجل المستخلصات'!$O$23="","",'[31]سجل المستخلصات'!$O$23)</f>
        <v/>
      </c>
      <c r="O42" s="59">
        <f>IF('[31]سجل المستخلصات'!$R$23="","",'[31]سجل المستخلصات'!$R$23)</f>
        <v/>
      </c>
      <c r="P42" s="59">
        <f>IF('[31]سجل المستخلصات'!$S$23="","",'[31]سجل المستخلصات'!$S$23)</f>
        <v/>
      </c>
      <c r="Q42" s="59">
        <f>IF('[31]سجل المستخلصات'!$T$23="","",'[31]سجل المستخلصات'!$T$23)</f>
        <v/>
      </c>
      <c r="R42" s="59">
        <f>IF('[31]سجل المستخلصات'!$V$23="","",'[31]سجل المستخلصات'!$V$23)</f>
        <v/>
      </c>
      <c r="S42" s="59">
        <f>IF('[31]سجل المستخلصات'!$W$23="","",'[31]سجل المستخلصات'!$W$23)</f>
        <v/>
      </c>
      <c r="T42" s="61">
        <f>IF('[31]سجل المستخلصات'!$X$23="","",'[31]سجل المستخلصات'!$X$23)</f>
        <v/>
      </c>
      <c r="U42" s="61">
        <f>IF('[31]سجل المستخلصات'!$Z$23="","",'[31]سجل المستخلصات'!$Z$23)</f>
        <v/>
      </c>
      <c r="V42" s="59">
        <f>IF('[31]سجل المستخلصات'!$AA$23="","",'[31]سجل المستخلصات'!$AA$23)</f>
        <v/>
      </c>
      <c r="W42" s="59">
        <f>IF('[31]سجل المستخلصات'!$AC$23="","",'[31]سجل المستخلصات'!$AC$23)</f>
        <v/>
      </c>
      <c r="X42" s="62">
        <f>IF('[31]سجل المستخلصات'!$AD$23="","",'[31]سجل المستخلصات'!$AD$23)</f>
        <v/>
      </c>
      <c r="Y42" s="58">
        <f>IF('[31]سجل المستخلصات'!$AE$23="","",'[31]سجل المستخلصات'!$AE$23)</f>
        <v/>
      </c>
    </row>
    <row r="43">
      <c r="B43" s="56" t="n">
        <v>19</v>
      </c>
      <c r="C43" s="57">
        <f>IF('[31]سجل المستخلصات'!$C$24="","",'[31]سجل المستخلصات'!$C$24)</f>
        <v/>
      </c>
      <c r="D43" s="57">
        <f>IF('[31]سجل المستخلصات'!$E$24="","",'[31]سجل المستخلصات'!$E$24)</f>
        <v/>
      </c>
      <c r="E43" s="58">
        <f>IF('[31]سجل المستخلصات'!$F$24="","",'[31]سجل المستخلصات'!$F$24)</f>
        <v/>
      </c>
      <c r="F43" s="59">
        <f>IF('[31]سجل المستخلصات'!$H$24="","",'[31]سجل المستخلصات'!$H$24)</f>
        <v/>
      </c>
      <c r="G43" s="59">
        <f>IF('[31]سجل المستخلصات'!$G$24="","",'[31]سجل المستخلصات'!$G$24)</f>
        <v/>
      </c>
      <c r="H43" s="59">
        <f>IF('[31]سجل المستخلصات'!$I$24="","",'[31]سجل المستخلصات'!$I$24)</f>
        <v/>
      </c>
      <c r="I43" s="59">
        <f>IF('[31]سجل المستخلصات'!$J$24="","",'[31]سجل المستخلصات'!$J$24)</f>
        <v/>
      </c>
      <c r="J43" s="59">
        <f>IF('[31]سجل المستخلصات'!$K$24="","",'[31]سجل المستخلصات'!$K$24)</f>
        <v/>
      </c>
      <c r="K43" s="60">
        <f>IF('[31]سجل المستخلصات'!$L$24="","",'[31]سجل المستخلصات'!$L$24)</f>
        <v/>
      </c>
      <c r="L43" s="60">
        <f>IF('[31]سجل المستخلصات'!$M$24="","",'[31]سجل المستخلصات'!$M$24)</f>
        <v/>
      </c>
      <c r="M43" s="60">
        <f>IF('[31]سجل المستخلصات'!$N$24="","",'[31]سجل المستخلصات'!$N$24)</f>
        <v/>
      </c>
      <c r="N43" s="59">
        <f>IF('[31]سجل المستخلصات'!$O$24="","",'[31]سجل المستخلصات'!$O$24)</f>
        <v/>
      </c>
      <c r="O43" s="59">
        <f>IF('[31]سجل المستخلصات'!$R$24="","",'[31]سجل المستخلصات'!$R$24)</f>
        <v/>
      </c>
      <c r="P43" s="59">
        <f>IF('[31]سجل المستخلصات'!$S$24="","",'[31]سجل المستخلصات'!$S$24)</f>
        <v/>
      </c>
      <c r="Q43" s="59">
        <f>IF('[31]سجل المستخلصات'!$T$24="","",'[31]سجل المستخلصات'!$T$24)</f>
        <v/>
      </c>
      <c r="R43" s="59">
        <f>IF('[31]سجل المستخلصات'!$V$24="","",'[31]سجل المستخلصات'!$V$24)</f>
        <v/>
      </c>
      <c r="S43" s="59">
        <f>IF('[31]سجل المستخلصات'!$W$24="","",'[31]سجل المستخلصات'!$W$24)</f>
        <v/>
      </c>
      <c r="T43" s="61">
        <f>IF('[31]سجل المستخلصات'!$X$24="","",'[31]سجل المستخلصات'!$X$24)</f>
        <v/>
      </c>
      <c r="U43" s="61">
        <f>IF('[31]سجل المستخلصات'!$Z$24="","",'[31]سجل المستخلصات'!$Z$24)</f>
        <v/>
      </c>
      <c r="V43" s="59">
        <f>IF('[31]سجل المستخلصات'!$AA$24="","",'[31]سجل المستخلصات'!$AA$24)</f>
        <v/>
      </c>
      <c r="W43" s="59">
        <f>IF('[31]سجل المستخلصات'!$AC$24="","",'[31]سجل المستخلصات'!$AC$24)</f>
        <v/>
      </c>
      <c r="X43" s="62">
        <f>IF('[31]سجل المستخلصات'!$AD$24="","",'[31]سجل المستخلصات'!$AD$24)</f>
        <v/>
      </c>
      <c r="Y43" s="58">
        <f>IF('[31]سجل المستخلصات'!$AE$24="","",'[31]سجل المستخلصات'!$AE$24)</f>
        <v/>
      </c>
    </row>
    <row r="44">
      <c r="B44" s="56" t="n">
        <v>20</v>
      </c>
      <c r="C44" s="57">
        <f>IF('[31]سجل المستخلصات'!$C$25="","",'[31]سجل المستخلصات'!$C$25)</f>
        <v/>
      </c>
      <c r="D44" s="57">
        <f>IF('[31]سجل المستخلصات'!$E$25="","",'[31]سجل المستخلصات'!$E$25)</f>
        <v/>
      </c>
      <c r="E44" s="58">
        <f>IF('[31]سجل المستخلصات'!$F$25="","",'[31]سجل المستخلصات'!$F$25)</f>
        <v/>
      </c>
      <c r="F44" s="59">
        <f>IF('[31]سجل المستخلصات'!$H$25="","",'[31]سجل المستخلصات'!$H$25)</f>
        <v/>
      </c>
      <c r="G44" s="59">
        <f>IF('[31]سجل المستخلصات'!$G$25="","",'[31]سجل المستخلصات'!$G$25)</f>
        <v/>
      </c>
      <c r="H44" s="59">
        <f>IF('[31]سجل المستخلصات'!$I$25="","",'[31]سجل المستخلصات'!$I$25)</f>
        <v/>
      </c>
      <c r="I44" s="59">
        <f>IF('[31]سجل المستخلصات'!$J$25="","",'[31]سجل المستخلصات'!$J$25)</f>
        <v/>
      </c>
      <c r="J44" s="59">
        <f>IF('[31]سجل المستخلصات'!$K$25="","",'[31]سجل المستخلصات'!$K$25)</f>
        <v/>
      </c>
      <c r="K44" s="60">
        <f>IF('[31]سجل المستخلصات'!$L$25="","",'[31]سجل المستخلصات'!$L$25)</f>
        <v/>
      </c>
      <c r="L44" s="60">
        <f>IF('[31]سجل المستخلصات'!$M$25="","",'[31]سجل المستخلصات'!$M$25)</f>
        <v/>
      </c>
      <c r="M44" s="60">
        <f>IF('[31]سجل المستخلصات'!$N$25="","",'[31]سجل المستخلصات'!$N$25)</f>
        <v/>
      </c>
      <c r="N44" s="59">
        <f>IF('[31]سجل المستخلصات'!$O$25="","",'[31]سجل المستخلصات'!$O$25)</f>
        <v/>
      </c>
      <c r="O44" s="59">
        <f>IF('[31]سجل المستخلصات'!$R$25="","",'[31]سجل المستخلصات'!$R$25)</f>
        <v/>
      </c>
      <c r="P44" s="59">
        <f>IF('[31]سجل المستخلصات'!$S$25="","",'[31]سجل المستخلصات'!$S$25)</f>
        <v/>
      </c>
      <c r="Q44" s="59">
        <f>IF('[31]سجل المستخلصات'!$T$25="","",'[31]سجل المستخلصات'!$T$25)</f>
        <v/>
      </c>
      <c r="R44" s="59">
        <f>IF('[31]سجل المستخلصات'!$V$25="","",'[31]سجل المستخلصات'!$V$25)</f>
        <v/>
      </c>
      <c r="S44" s="59">
        <f>IF('[31]سجل المستخلصات'!$W$25="","",'[31]سجل المستخلصات'!$W$25)</f>
        <v/>
      </c>
      <c r="T44" s="61">
        <f>IF('[31]سجل المستخلصات'!$X$25="","",'[31]سجل المستخلصات'!$X$25)</f>
        <v/>
      </c>
      <c r="U44" s="61">
        <f>IF('[31]سجل المستخلصات'!$Z$25="","",'[31]سجل المستخلصات'!$Z$25)</f>
        <v/>
      </c>
      <c r="V44" s="59">
        <f>IF('[31]سجل المستخلصات'!$AA$25="","",'[31]سجل المستخلصات'!$AA$25)</f>
        <v/>
      </c>
      <c r="W44" s="59">
        <f>IF('[31]سجل المستخلصات'!$AC$25="","",'[31]سجل المستخلصات'!$AC$25)</f>
        <v/>
      </c>
      <c r="X44" s="62">
        <f>IF('[31]سجل المستخلصات'!$AD$25="","",'[31]سجل المستخلصات'!$AD$25)</f>
        <v/>
      </c>
      <c r="Y44" s="58">
        <f>IF('[31]سجل المستخلصات'!$AE$25="","",'[31]سجل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IF('[31]سجل المستخلصات'!$B$32="","",'[31]سجل المستخلصات'!$B$32)</f>
        <v/>
      </c>
      <c r="C50" s="69" t="n"/>
      <c r="D50" s="69" t="n"/>
      <c r="E50" s="59">
        <f>N('[31]سجل المستخلصات'!$E$32)</f>
        <v/>
      </c>
      <c r="F50" s="59">
        <f>N('[31]سجل المستخلصات'!$F$32)</f>
        <v/>
      </c>
      <c r="G50" s="70">
        <f>IF(E50&gt;0,F50/E50,0)</f>
        <v/>
      </c>
    </row>
    <row r="51">
      <c r="B51" s="69">
        <f>IF('[31]سجل المستخلصات'!$B$33="","",'[31]سجل المستخلصات'!$B$33)</f>
        <v/>
      </c>
      <c r="C51" s="69" t="n"/>
      <c r="D51" s="69" t="n"/>
      <c r="E51" s="59">
        <f>N('[31]سجل المستخلصات'!$E$33)</f>
        <v/>
      </c>
      <c r="F51" s="59">
        <f>N('[31]سجل المستخلصات'!$F$33)</f>
        <v/>
      </c>
      <c r="G51" s="70">
        <f>IF(E51&gt;0,F51/E51,0)</f>
        <v/>
      </c>
    </row>
    <row r="52">
      <c r="B52" s="69">
        <f>IF('[31]سجل المستخلصات'!$B$34="","",'[31]سجل المستخلصات'!$B$34)</f>
        <v/>
      </c>
      <c r="C52" s="69" t="n"/>
      <c r="D52" s="69" t="n"/>
      <c r="E52" s="59">
        <f>N('[31]سجل المستخلصات'!$E$34)</f>
        <v/>
      </c>
      <c r="F52" s="59">
        <f>N('[31]سجل المستخلصات'!$F$34)</f>
        <v/>
      </c>
      <c r="G52" s="70">
        <f>IF(E52&gt;0,F52/E52,0)</f>
        <v/>
      </c>
    </row>
    <row r="53">
      <c r="B53" s="69">
        <f>IF('[31]سجل المستخلصات'!$B$35="","",'[31]سجل المستخلصات'!$B$35)</f>
        <v/>
      </c>
      <c r="C53" s="69" t="n"/>
      <c r="D53" s="69" t="n"/>
      <c r="E53" s="59">
        <f>N('[31]سجل المستخلصات'!$E$35)</f>
        <v/>
      </c>
      <c r="F53" s="59">
        <f>N('[31]سجل المستخلصات'!$F$35)</f>
        <v/>
      </c>
      <c r="G53" s="70">
        <f>IF(E53&gt;0,F53/E53,0)</f>
        <v/>
      </c>
    </row>
    <row r="54">
      <c r="B54" s="69">
        <f>IF('[31]سجل المستخلصات'!$B$36="","",'[31]سجل المستخلصات'!$B$36)</f>
        <v/>
      </c>
      <c r="C54" s="69" t="n"/>
      <c r="D54" s="69" t="n"/>
      <c r="E54" s="59">
        <f>N('[31]سجل المستخلصات'!$E$36)</f>
        <v/>
      </c>
      <c r="F54" s="59">
        <f>N('[31]سجل المستخلصات'!$F$36)</f>
        <v/>
      </c>
      <c r="G54" s="70">
        <f>IF(E54&gt;0,F54/E54,0)</f>
        <v/>
      </c>
    </row>
    <row r="55">
      <c r="B55" s="69">
        <f>IF('[31]سجل المستخلصات'!$B$37="","",'[31]سجل المستخلصات'!$B$37)</f>
        <v/>
      </c>
      <c r="C55" s="69" t="n"/>
      <c r="D55" s="69" t="n"/>
      <c r="E55" s="59">
        <f>N('[31]سجل المستخلصات'!$E$37)</f>
        <v/>
      </c>
      <c r="F55" s="59">
        <f>N('[31]سجل المستخلصات'!$F$37)</f>
        <v/>
      </c>
      <c r="G55" s="70">
        <f>IF(E55&gt;0,F55/E55,0)</f>
        <v/>
      </c>
    </row>
    <row r="56">
      <c r="B56" s="69">
        <f>IF('[31]سجل المستخلصات'!$B$38="","",'[31]سجل المستخلصات'!$B$38)</f>
        <v/>
      </c>
      <c r="C56" s="69" t="n"/>
      <c r="D56" s="69" t="n"/>
      <c r="E56" s="59">
        <f>N('[31]سجل المستخلصات'!$E$38)</f>
        <v/>
      </c>
      <c r="F56" s="59">
        <f>N('[31]سجل المستخلصات'!$F$38)</f>
        <v/>
      </c>
      <c r="G56" s="70">
        <f>IF(E56&gt;0,F56/E56,0)</f>
        <v/>
      </c>
    </row>
    <row r="57">
      <c r="B57" s="69">
        <f>IF('[31]سجل المستخلصات'!$B$39="","",'[31]سجل المستخلصات'!$B$39)</f>
        <v/>
      </c>
      <c r="C57" s="69" t="n"/>
      <c r="D57" s="69" t="n"/>
      <c r="E57" s="59">
        <f>N('[31]سجل المستخلصات'!$E$39)</f>
        <v/>
      </c>
      <c r="F57" s="59">
        <f>N('[31]سجل المستخلصات'!$F$39)</f>
        <v/>
      </c>
      <c r="G57" s="70">
        <f>IF(E57&gt;0,F57/E57,0)</f>
        <v/>
      </c>
    </row>
    <row r="58">
      <c r="B58" s="69">
        <f>IF('[31]سجل المستخلصات'!$B$40="","",'[31]سجل المستخلصات'!$B$40)</f>
        <v/>
      </c>
      <c r="C58" s="69" t="n"/>
      <c r="D58" s="69" t="n"/>
      <c r="E58" s="59">
        <f>N('[31]سجل المستخلصات'!$E$40)</f>
        <v/>
      </c>
      <c r="F58" s="59">
        <f>N('[31]سجل المستخلصات'!$F$40)</f>
        <v/>
      </c>
      <c r="G58" s="70">
        <f>IF(E58&gt;0,F58/E58,0)</f>
        <v/>
      </c>
    </row>
    <row r="59">
      <c r="B59" s="69">
        <f>IF('[31]سجل المستخلصات'!$B$41="","",'[31]سجل المستخلصات'!$B$41)</f>
        <v/>
      </c>
      <c r="C59" s="69" t="n"/>
      <c r="D59" s="69" t="n"/>
      <c r="E59" s="59">
        <f>N('[31]سجل المستخلصات'!$E$41)</f>
        <v/>
      </c>
      <c r="F59" s="59">
        <f>N('[31]سجل المستخلصات'!$F$41)</f>
        <v/>
      </c>
      <c r="G59" s="70">
        <f>IF(E59&gt;0,F59/E59,0)</f>
        <v/>
      </c>
    </row>
    <row r="60">
      <c r="B60" s="69">
        <f>IF('[31]سجل المستخلصات'!$B$42="","",'[31]سجل المستخلصات'!$B$42)</f>
        <v/>
      </c>
      <c r="C60" s="69" t="n"/>
      <c r="D60" s="69" t="n"/>
      <c r="E60" s="59">
        <f>N('[31]سجل المستخلصات'!$E$42)</f>
        <v/>
      </c>
      <c r="F60" s="59">
        <f>N('[31]سجل المستخلصات'!$F$42)</f>
        <v/>
      </c>
      <c r="G60" s="70">
        <f>IF(E60&gt;0,F60/E60,0)</f>
        <v/>
      </c>
    </row>
    <row r="61">
      <c r="B61" s="69">
        <f>IF('[31]سجل المستخلصات'!$B$43="","",'[31]سجل المستخلصات'!$B$43)</f>
        <v/>
      </c>
      <c r="C61" s="69" t="n"/>
      <c r="D61" s="69" t="n"/>
      <c r="E61" s="59">
        <f>N('[31]سجل المستخلصات'!$E$43)</f>
        <v/>
      </c>
      <c r="F61" s="59">
        <f>N('[31]سجل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30'!A1" display="◄ المشروع السابق"/>
    <hyperlink ref="D3" location="'مشروع 32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3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"&amp;IF('[32]بيانات العقد'!$C$5="","مشروع رقم 32 — غير مُفعّل",'[32]بيانات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Project_32/IPC_Project_32.xlsx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IF('[32]بيانات العقد'!$C$5="","",'[32]بيانات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IF('[32]بيانات العقد'!$C$6="","",'[32]بيانات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IF('[32]بيانات العقد'!$C$7="","",'[32]بيانات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IF('[32]بيانات العقد'!$C$8="","",'[32]بيانات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N('[32]بيانات العقد'!$C$16)</f>
        <v/>
      </c>
    </row>
    <row r="6" ht="22" customHeight="1">
      <c r="B6" s="11" t="inlineStr">
        <is>
          <t>المقاول</t>
        </is>
      </c>
      <c r="C6" s="14">
        <f>IF('[32]بيانات العقد'!$C$9="","",'[32]بيانات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IF('[32]بيانات العقد'!$C$11="","",'[32]بيانات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IF('[32]بيانات العقد'!$C$13="","",'[32]بيانات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IF('[32]بيانات العقد'!$C$14="","",'[32]بيانات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N('[32]بيانات العقد'!$C$17)</f>
        <v/>
      </c>
    </row>
    <row r="7">
      <c r="AA7" s="15" t="inlineStr">
        <is>
          <t>قيمة العقد المعدلة</t>
        </is>
      </c>
      <c r="AB7" s="16">
        <f>N('[32]بيانات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N('[32]بيانات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N('[32]بيانات العقد'!$C$21)</f>
        <v/>
      </c>
    </row>
    <row r="10">
      <c r="AA10" s="15" t="inlineStr">
        <is>
          <t>نسبة ضمان الأعمال</t>
        </is>
      </c>
      <c r="AB10" s="23">
        <f>N('[32]بيانات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N('[32]بيانات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N('[32]بيانات العقد'!$C$31)</f>
        <v/>
      </c>
    </row>
    <row r="13">
      <c r="AA13" s="15" t="inlineStr">
        <is>
          <t>ضريبة الاستقطاع (غير المقيم)</t>
        </is>
      </c>
      <c r="AB13" s="23">
        <f>N('[32]بيانات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IF('[32]بيانات العقد'!$C$11="","",'[32]بيانات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IF('[32]بيانات العقد'!$C$13="","",'[32]بيانات العقد'!$C$13)</f>
        <v/>
      </c>
    </row>
    <row r="16">
      <c r="AA16" s="15" t="inlineStr">
        <is>
          <t>المدة (شهر)</t>
        </is>
      </c>
      <c r="AB16" s="43">
        <f>IF('[32]بيانات العقد'!$C$12="","",'[32]بيانات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IF('[32]بيانات العقد'!$C$36="","",'[32]بيانات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IF('[32]بيانات العقد'!$C$37="","",'[32]بيانات العقد'!$C$37)</f>
        <v/>
      </c>
    </row>
    <row r="19">
      <c r="AA19" s="15" t="inlineStr">
        <is>
          <t>الرقم الضريبي لصاحب العمل</t>
        </is>
      </c>
      <c r="AB19" s="48">
        <f>IF('[32]بيانات العقد'!$C$39="","",'[32]بيانات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IF('[32]بيانات العقد'!$C$42="","",'[32]بيانات العقد'!$C$42)</f>
        <v/>
      </c>
    </row>
    <row r="21" ht="32" customHeight="1">
      <c r="B21" s="50">
        <f>N('[32]الموازنة والتكاليف'!$D$66)</f>
        <v/>
      </c>
      <c r="C21" s="50" t="n"/>
      <c r="D21" s="50" t="n"/>
      <c r="E21" s="50" t="n"/>
      <c r="F21" s="50">
        <f>N('[32]الموازنة والتكاليف'!$D$70)</f>
        <v/>
      </c>
      <c r="G21" s="50" t="n"/>
      <c r="H21" s="50" t="n"/>
      <c r="I21" s="50" t="n"/>
      <c r="J21" s="50">
        <f>N('[32]الموازنة والتكاليف'!$D$72)</f>
        <v/>
      </c>
      <c r="K21" s="50" t="n"/>
      <c r="L21" s="50" t="n"/>
      <c r="M21" s="50" t="n"/>
      <c r="N21" s="51">
        <f>N('[32]الموازنة والتكاليف'!$D$73)</f>
        <v/>
      </c>
      <c r="O21" s="51" t="n"/>
      <c r="P21" s="51" t="n"/>
      <c r="Q21" s="51" t="n"/>
      <c r="R21" s="52">
        <f>N('[32]الموازنة والتكاليف'!$D$74)</f>
        <v/>
      </c>
      <c r="S21" s="52" t="n"/>
      <c r="T21" s="52" t="n"/>
      <c r="U21" s="52" t="n"/>
      <c r="V21" s="50">
        <f>N('[32]الموازنة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IF('[32]بيانات العقد'!$C$43="","",'[32]بيانات العقد'!$C$43)</f>
        <v/>
      </c>
    </row>
    <row r="22">
      <c r="AA22" s="15" t="inlineStr">
        <is>
          <t>حالة غرامات التأخير</t>
        </is>
      </c>
      <c r="AB22" s="45">
        <f>IF('[32]بيانات العقد'!$C$47="","",'[32]بيانات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IF('[32]سجل المستخلصات'!$C$6="","",'[32]سجل المستخلصات'!$C$6)</f>
        <v/>
      </c>
      <c r="D25" s="57">
        <f>IF('[32]سجل المستخلصات'!$E$6="","",'[32]سجل المستخلصات'!$E$6)</f>
        <v/>
      </c>
      <c r="E25" s="58">
        <f>IF('[32]سجل المستخلصات'!$F$6="","",'[32]سجل المستخلصات'!$F$6)</f>
        <v/>
      </c>
      <c r="F25" s="59">
        <f>IF('[32]سجل المستخلصات'!$H$6="","",'[32]سجل المستخلصات'!$H$6)</f>
        <v/>
      </c>
      <c r="G25" s="59">
        <f>IF('[32]سجل المستخلصات'!$G$6="","",'[32]سجل المستخلصات'!$G$6)</f>
        <v/>
      </c>
      <c r="H25" s="59">
        <f>IF('[32]سجل المستخلصات'!$I$6="","",'[32]سجل المستخلصات'!$I$6)</f>
        <v/>
      </c>
      <c r="I25" s="59">
        <f>IF('[32]سجل المستخلصات'!$J$6="","",'[32]سجل المستخلصات'!$J$6)</f>
        <v/>
      </c>
      <c r="J25" s="59">
        <f>IF('[32]سجل المستخلصات'!$K$6="","",'[32]سجل المستخلصات'!$K$6)</f>
        <v/>
      </c>
      <c r="K25" s="60">
        <f>IF('[32]سجل المستخلصات'!$L$6="","",'[32]سجل المستخلصات'!$L$6)</f>
        <v/>
      </c>
      <c r="L25" s="60">
        <f>IF('[32]سجل المستخلصات'!$M$6="","",'[32]سجل المستخلصات'!$M$6)</f>
        <v/>
      </c>
      <c r="M25" s="60">
        <f>IF('[32]سجل المستخلصات'!$N$6="","",'[32]سجل المستخلصات'!$N$6)</f>
        <v/>
      </c>
      <c r="N25" s="59">
        <f>IF('[32]سجل المستخلصات'!$O$6="","",'[32]سجل المستخلصات'!$O$6)</f>
        <v/>
      </c>
      <c r="O25" s="59">
        <f>IF('[32]سجل المستخلصات'!$R$6="","",'[32]سجل المستخلصات'!$R$6)</f>
        <v/>
      </c>
      <c r="P25" s="59">
        <f>IF('[32]سجل المستخلصات'!$S$6="","",'[32]سجل المستخلصات'!$S$6)</f>
        <v/>
      </c>
      <c r="Q25" s="59">
        <f>IF('[32]سجل المستخلصات'!$T$6="","",'[32]سجل المستخلصات'!$T$6)</f>
        <v/>
      </c>
      <c r="R25" s="59">
        <f>IF('[32]سجل المستخلصات'!$V$6="","",'[32]سجل المستخلصات'!$V$6)</f>
        <v/>
      </c>
      <c r="S25" s="59">
        <f>IF('[32]سجل المستخلصات'!$W$6="","",'[32]سجل المستخلصات'!$W$6)</f>
        <v/>
      </c>
      <c r="T25" s="61">
        <f>IF('[32]سجل المستخلصات'!$X$6="","",'[32]سجل المستخلصات'!$X$6)</f>
        <v/>
      </c>
      <c r="U25" s="61">
        <f>IF('[32]سجل المستخلصات'!$Z$6="","",'[32]سجل المستخلصات'!$Z$6)</f>
        <v/>
      </c>
      <c r="V25" s="59">
        <f>IF('[32]سجل المستخلصات'!$AA$6="","",'[32]سجل المستخلصات'!$AA$6)</f>
        <v/>
      </c>
      <c r="W25" s="59">
        <f>IF('[32]سجل المستخلصات'!$AC$6="","",'[32]سجل المستخلصات'!$AC$6)</f>
        <v/>
      </c>
      <c r="X25" s="62">
        <f>IF('[32]سجل المستخلصات'!$AD$6="","",'[32]سجل المستخلصات'!$AD$6)</f>
        <v/>
      </c>
      <c r="Y25" s="58">
        <f>IF('[32]سجل المستخلصات'!$AE$6="","",'[32]سجل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IF('[32]سجل المستخلصات'!$C$7="","",'[32]سجل المستخلصات'!$C$7)</f>
        <v/>
      </c>
      <c r="D26" s="57">
        <f>IF('[32]سجل المستخلصات'!$E$7="","",'[32]سجل المستخلصات'!$E$7)</f>
        <v/>
      </c>
      <c r="E26" s="58">
        <f>IF('[32]سجل المستخلصات'!$F$7="","",'[32]سجل المستخلصات'!$F$7)</f>
        <v/>
      </c>
      <c r="F26" s="59">
        <f>IF('[32]سجل المستخلصات'!$H$7="","",'[32]سجل المستخلصات'!$H$7)</f>
        <v/>
      </c>
      <c r="G26" s="59">
        <f>IF('[32]سجل المستخلصات'!$G$7="","",'[32]سجل المستخلصات'!$G$7)</f>
        <v/>
      </c>
      <c r="H26" s="59">
        <f>IF('[32]سجل المستخلصات'!$I$7="","",'[32]سجل المستخلصات'!$I$7)</f>
        <v/>
      </c>
      <c r="I26" s="59">
        <f>IF('[32]سجل المستخلصات'!$J$7="","",'[32]سجل المستخلصات'!$J$7)</f>
        <v/>
      </c>
      <c r="J26" s="59">
        <f>IF('[32]سجل المستخلصات'!$K$7="","",'[32]سجل المستخلصات'!$K$7)</f>
        <v/>
      </c>
      <c r="K26" s="60">
        <f>IF('[32]سجل المستخلصات'!$L$7="","",'[32]سجل المستخلصات'!$L$7)</f>
        <v/>
      </c>
      <c r="L26" s="60">
        <f>IF('[32]سجل المستخلصات'!$M$7="","",'[32]سجل المستخلصات'!$M$7)</f>
        <v/>
      </c>
      <c r="M26" s="60">
        <f>IF('[32]سجل المستخلصات'!$N$7="","",'[32]سجل المستخلصات'!$N$7)</f>
        <v/>
      </c>
      <c r="N26" s="59">
        <f>IF('[32]سجل المستخلصات'!$O$7="","",'[32]سجل المستخلصات'!$O$7)</f>
        <v/>
      </c>
      <c r="O26" s="59">
        <f>IF('[32]سجل المستخلصات'!$R$7="","",'[32]سجل المستخلصات'!$R$7)</f>
        <v/>
      </c>
      <c r="P26" s="59">
        <f>IF('[32]سجل المستخلصات'!$S$7="","",'[32]سجل المستخلصات'!$S$7)</f>
        <v/>
      </c>
      <c r="Q26" s="59">
        <f>IF('[32]سجل المستخلصات'!$T$7="","",'[32]سجل المستخلصات'!$T$7)</f>
        <v/>
      </c>
      <c r="R26" s="59">
        <f>IF('[32]سجل المستخلصات'!$V$7="","",'[32]سجل المستخلصات'!$V$7)</f>
        <v/>
      </c>
      <c r="S26" s="59">
        <f>IF('[32]سجل المستخلصات'!$W$7="","",'[32]سجل المستخلصات'!$W$7)</f>
        <v/>
      </c>
      <c r="T26" s="61">
        <f>IF('[32]سجل المستخلصات'!$X$7="","",'[32]سجل المستخلصات'!$X$7)</f>
        <v/>
      </c>
      <c r="U26" s="61">
        <f>IF('[32]سجل المستخلصات'!$Z$7="","",'[32]سجل المستخلصات'!$Z$7)</f>
        <v/>
      </c>
      <c r="V26" s="59">
        <f>IF('[32]سجل المستخلصات'!$AA$7="","",'[32]سجل المستخلصات'!$AA$7)</f>
        <v/>
      </c>
      <c r="W26" s="59">
        <f>IF('[32]سجل المستخلصات'!$AC$7="","",'[32]سجل المستخلصات'!$AC$7)</f>
        <v/>
      </c>
      <c r="X26" s="62">
        <f>IF('[32]سجل المستخلصات'!$AD$7="","",'[32]سجل المستخلصات'!$AD$7)</f>
        <v/>
      </c>
      <c r="Y26" s="58">
        <f>IF('[32]سجل المستخلصات'!$AE$7="","",'[32]سجل المستخلصات'!$AE$7)</f>
        <v/>
      </c>
      <c r="AA26" s="63" t="n"/>
      <c r="AB26" s="63" t="n"/>
    </row>
    <row r="27">
      <c r="B27" s="56" t="n">
        <v>3</v>
      </c>
      <c r="C27" s="57">
        <f>IF('[32]سجل المستخلصات'!$C$8="","",'[32]سجل المستخلصات'!$C$8)</f>
        <v/>
      </c>
      <c r="D27" s="57">
        <f>IF('[32]سجل المستخلصات'!$E$8="","",'[32]سجل المستخلصات'!$E$8)</f>
        <v/>
      </c>
      <c r="E27" s="58">
        <f>IF('[32]سجل المستخلصات'!$F$8="","",'[32]سجل المستخلصات'!$F$8)</f>
        <v/>
      </c>
      <c r="F27" s="59">
        <f>IF('[32]سجل المستخلصات'!$H$8="","",'[32]سجل المستخلصات'!$H$8)</f>
        <v/>
      </c>
      <c r="G27" s="59">
        <f>IF('[32]سجل المستخلصات'!$G$8="","",'[32]سجل المستخلصات'!$G$8)</f>
        <v/>
      </c>
      <c r="H27" s="59">
        <f>IF('[32]سجل المستخلصات'!$I$8="","",'[32]سجل المستخلصات'!$I$8)</f>
        <v/>
      </c>
      <c r="I27" s="59">
        <f>IF('[32]سجل المستخلصات'!$J$8="","",'[32]سجل المستخلصات'!$J$8)</f>
        <v/>
      </c>
      <c r="J27" s="59">
        <f>IF('[32]سجل المستخلصات'!$K$8="","",'[32]سجل المستخلصات'!$K$8)</f>
        <v/>
      </c>
      <c r="K27" s="60">
        <f>IF('[32]سجل المستخلصات'!$L$8="","",'[32]سجل المستخلصات'!$L$8)</f>
        <v/>
      </c>
      <c r="L27" s="60">
        <f>IF('[32]سجل المستخلصات'!$M$8="","",'[32]سجل المستخلصات'!$M$8)</f>
        <v/>
      </c>
      <c r="M27" s="60">
        <f>IF('[32]سجل المستخلصات'!$N$8="","",'[32]سجل المستخلصات'!$N$8)</f>
        <v/>
      </c>
      <c r="N27" s="59">
        <f>IF('[32]سجل المستخلصات'!$O$8="","",'[32]سجل المستخلصات'!$O$8)</f>
        <v/>
      </c>
      <c r="O27" s="59">
        <f>IF('[32]سجل المستخلصات'!$R$8="","",'[32]سجل المستخلصات'!$R$8)</f>
        <v/>
      </c>
      <c r="P27" s="59">
        <f>IF('[32]سجل المستخلصات'!$S$8="","",'[32]سجل المستخلصات'!$S$8)</f>
        <v/>
      </c>
      <c r="Q27" s="59">
        <f>IF('[32]سجل المستخلصات'!$T$8="","",'[32]سجل المستخلصات'!$T$8)</f>
        <v/>
      </c>
      <c r="R27" s="59">
        <f>IF('[32]سجل المستخلصات'!$V$8="","",'[32]سجل المستخلصات'!$V$8)</f>
        <v/>
      </c>
      <c r="S27" s="59">
        <f>IF('[32]سجل المستخلصات'!$W$8="","",'[32]سجل المستخلصات'!$W$8)</f>
        <v/>
      </c>
      <c r="T27" s="61">
        <f>IF('[32]سجل المستخلصات'!$X$8="","",'[32]سجل المستخلصات'!$X$8)</f>
        <v/>
      </c>
      <c r="U27" s="61">
        <f>IF('[32]سجل المستخلصات'!$Z$8="","",'[32]سجل المستخلصات'!$Z$8)</f>
        <v/>
      </c>
      <c r="V27" s="59">
        <f>IF('[32]سجل المستخلصات'!$AA$8="","",'[32]سجل المستخلصات'!$AA$8)</f>
        <v/>
      </c>
      <c r="W27" s="59">
        <f>IF('[32]سجل المستخلصات'!$AC$8="","",'[32]سجل المستخلصات'!$AC$8)</f>
        <v/>
      </c>
      <c r="X27" s="62">
        <f>IF('[32]سجل المستخلصات'!$AD$8="","",'[32]سجل المستخلصات'!$AD$8)</f>
        <v/>
      </c>
      <c r="Y27" s="58">
        <f>IF('[32]سجل المستخلصات'!$AE$8="","",'[32]سجل المستخلصات'!$AE$8)</f>
        <v/>
      </c>
      <c r="AA27" s="63" t="n"/>
      <c r="AB27" s="63" t="n"/>
    </row>
    <row r="28">
      <c r="B28" s="56" t="n">
        <v>4</v>
      </c>
      <c r="C28" s="57">
        <f>IF('[32]سجل المستخلصات'!$C$9="","",'[32]سجل المستخلصات'!$C$9)</f>
        <v/>
      </c>
      <c r="D28" s="57">
        <f>IF('[32]سجل المستخلصات'!$E$9="","",'[32]سجل المستخلصات'!$E$9)</f>
        <v/>
      </c>
      <c r="E28" s="58">
        <f>IF('[32]سجل المستخلصات'!$F$9="","",'[32]سجل المستخلصات'!$F$9)</f>
        <v/>
      </c>
      <c r="F28" s="59">
        <f>IF('[32]سجل المستخلصات'!$H$9="","",'[32]سجل المستخلصات'!$H$9)</f>
        <v/>
      </c>
      <c r="G28" s="59">
        <f>IF('[32]سجل المستخلصات'!$G$9="","",'[32]سجل المستخلصات'!$G$9)</f>
        <v/>
      </c>
      <c r="H28" s="59">
        <f>IF('[32]سجل المستخلصات'!$I$9="","",'[32]سجل المستخلصات'!$I$9)</f>
        <v/>
      </c>
      <c r="I28" s="59">
        <f>IF('[32]سجل المستخلصات'!$J$9="","",'[32]سجل المستخلصات'!$J$9)</f>
        <v/>
      </c>
      <c r="J28" s="59">
        <f>IF('[32]سجل المستخلصات'!$K$9="","",'[32]سجل المستخلصات'!$K$9)</f>
        <v/>
      </c>
      <c r="K28" s="60">
        <f>IF('[32]سجل المستخلصات'!$L$9="","",'[32]سجل المستخلصات'!$L$9)</f>
        <v/>
      </c>
      <c r="L28" s="60">
        <f>IF('[32]سجل المستخلصات'!$M$9="","",'[32]سجل المستخلصات'!$M$9)</f>
        <v/>
      </c>
      <c r="M28" s="60">
        <f>IF('[32]سجل المستخلصات'!$N$9="","",'[32]سجل المستخلصات'!$N$9)</f>
        <v/>
      </c>
      <c r="N28" s="59">
        <f>IF('[32]سجل المستخلصات'!$O$9="","",'[32]سجل المستخلصات'!$O$9)</f>
        <v/>
      </c>
      <c r="O28" s="59">
        <f>IF('[32]سجل المستخلصات'!$R$9="","",'[32]سجل المستخلصات'!$R$9)</f>
        <v/>
      </c>
      <c r="P28" s="59">
        <f>IF('[32]سجل المستخلصات'!$S$9="","",'[32]سجل المستخلصات'!$S$9)</f>
        <v/>
      </c>
      <c r="Q28" s="59">
        <f>IF('[32]سجل المستخلصات'!$T$9="","",'[32]سجل المستخلصات'!$T$9)</f>
        <v/>
      </c>
      <c r="R28" s="59">
        <f>IF('[32]سجل المستخلصات'!$V$9="","",'[32]سجل المستخلصات'!$V$9)</f>
        <v/>
      </c>
      <c r="S28" s="59">
        <f>IF('[32]سجل المستخلصات'!$W$9="","",'[32]سجل المستخلصات'!$W$9)</f>
        <v/>
      </c>
      <c r="T28" s="61">
        <f>IF('[32]سجل المستخلصات'!$X$9="","",'[32]سجل المستخلصات'!$X$9)</f>
        <v/>
      </c>
      <c r="U28" s="61">
        <f>IF('[32]سجل المستخلصات'!$Z$9="","",'[32]سجل المستخلصات'!$Z$9)</f>
        <v/>
      </c>
      <c r="V28" s="59">
        <f>IF('[32]سجل المستخلصات'!$AA$9="","",'[32]سجل المستخلصات'!$AA$9)</f>
        <v/>
      </c>
      <c r="W28" s="59">
        <f>IF('[32]سجل المستخلصات'!$AC$9="","",'[32]سجل المستخلصات'!$AC$9)</f>
        <v/>
      </c>
      <c r="X28" s="62">
        <f>IF('[32]سجل المستخلصات'!$AD$9="","",'[32]سجل المستخلصات'!$AD$9)</f>
        <v/>
      </c>
      <c r="Y28" s="58">
        <f>IF('[32]سجل المستخلصات'!$AE$9="","",'[32]سجل المستخلصات'!$AE$9)</f>
        <v/>
      </c>
      <c r="AA28" s="63" t="n"/>
      <c r="AB28" s="63" t="n"/>
    </row>
    <row r="29">
      <c r="B29" s="56" t="n">
        <v>5</v>
      </c>
      <c r="C29" s="57">
        <f>IF('[32]سجل المستخلصات'!$C$10="","",'[32]سجل المستخلصات'!$C$10)</f>
        <v/>
      </c>
      <c r="D29" s="57">
        <f>IF('[32]سجل المستخلصات'!$E$10="","",'[32]سجل المستخلصات'!$E$10)</f>
        <v/>
      </c>
      <c r="E29" s="58">
        <f>IF('[32]سجل المستخلصات'!$F$10="","",'[32]سجل المستخلصات'!$F$10)</f>
        <v/>
      </c>
      <c r="F29" s="59">
        <f>IF('[32]سجل المستخلصات'!$H$10="","",'[32]سجل المستخلصات'!$H$10)</f>
        <v/>
      </c>
      <c r="G29" s="59">
        <f>IF('[32]سجل المستخلصات'!$G$10="","",'[32]سجل المستخلصات'!$G$10)</f>
        <v/>
      </c>
      <c r="H29" s="59">
        <f>IF('[32]سجل المستخلصات'!$I$10="","",'[32]سجل المستخلصات'!$I$10)</f>
        <v/>
      </c>
      <c r="I29" s="59">
        <f>IF('[32]سجل المستخلصات'!$J$10="","",'[32]سجل المستخلصات'!$J$10)</f>
        <v/>
      </c>
      <c r="J29" s="59">
        <f>IF('[32]سجل المستخلصات'!$K$10="","",'[32]سجل المستخلصات'!$K$10)</f>
        <v/>
      </c>
      <c r="K29" s="60">
        <f>IF('[32]سجل المستخلصات'!$L$10="","",'[32]سجل المستخلصات'!$L$10)</f>
        <v/>
      </c>
      <c r="L29" s="60">
        <f>IF('[32]سجل المستخلصات'!$M$10="","",'[32]سجل المستخلصات'!$M$10)</f>
        <v/>
      </c>
      <c r="M29" s="60">
        <f>IF('[32]سجل المستخلصات'!$N$10="","",'[32]سجل المستخلصات'!$N$10)</f>
        <v/>
      </c>
      <c r="N29" s="59">
        <f>IF('[32]سجل المستخلصات'!$O$10="","",'[32]سجل المستخلصات'!$O$10)</f>
        <v/>
      </c>
      <c r="O29" s="59">
        <f>IF('[32]سجل المستخلصات'!$R$10="","",'[32]سجل المستخلصات'!$R$10)</f>
        <v/>
      </c>
      <c r="P29" s="59">
        <f>IF('[32]سجل المستخلصات'!$S$10="","",'[32]سجل المستخلصات'!$S$10)</f>
        <v/>
      </c>
      <c r="Q29" s="59">
        <f>IF('[32]سجل المستخلصات'!$T$10="","",'[32]سجل المستخلصات'!$T$10)</f>
        <v/>
      </c>
      <c r="R29" s="59">
        <f>IF('[32]سجل المستخلصات'!$V$10="","",'[32]سجل المستخلصات'!$V$10)</f>
        <v/>
      </c>
      <c r="S29" s="59">
        <f>IF('[32]سجل المستخلصات'!$W$10="","",'[32]سجل المستخلصات'!$W$10)</f>
        <v/>
      </c>
      <c r="T29" s="61">
        <f>IF('[32]سجل المستخلصات'!$X$10="","",'[32]سجل المستخلصات'!$X$10)</f>
        <v/>
      </c>
      <c r="U29" s="61">
        <f>IF('[32]سجل المستخلصات'!$Z$10="","",'[32]سجل المستخلصات'!$Z$10)</f>
        <v/>
      </c>
      <c r="V29" s="59">
        <f>IF('[32]سجل المستخلصات'!$AA$10="","",'[32]سجل المستخلصات'!$AA$10)</f>
        <v/>
      </c>
      <c r="W29" s="59">
        <f>IF('[32]سجل المستخلصات'!$AC$10="","",'[32]سجل المستخلصات'!$AC$10)</f>
        <v/>
      </c>
      <c r="X29" s="62">
        <f>IF('[32]سجل المستخلصات'!$AD$10="","",'[32]سجل المستخلصات'!$AD$10)</f>
        <v/>
      </c>
      <c r="Y29" s="58">
        <f>IF('[32]سجل المستخلصات'!$AE$10="","",'[32]سجل المستخلصات'!$AE$10)</f>
        <v/>
      </c>
    </row>
    <row r="30">
      <c r="B30" s="56" t="n">
        <v>6</v>
      </c>
      <c r="C30" s="57">
        <f>IF('[32]سجل المستخلصات'!$C$11="","",'[32]سجل المستخلصات'!$C$11)</f>
        <v/>
      </c>
      <c r="D30" s="57">
        <f>IF('[32]سجل المستخلصات'!$E$11="","",'[32]سجل المستخلصات'!$E$11)</f>
        <v/>
      </c>
      <c r="E30" s="58">
        <f>IF('[32]سجل المستخلصات'!$F$11="","",'[32]سجل المستخلصات'!$F$11)</f>
        <v/>
      </c>
      <c r="F30" s="59">
        <f>IF('[32]سجل المستخلصات'!$H$11="","",'[32]سجل المستخلصات'!$H$11)</f>
        <v/>
      </c>
      <c r="G30" s="59">
        <f>IF('[32]سجل المستخلصات'!$G$11="","",'[32]سجل المستخلصات'!$G$11)</f>
        <v/>
      </c>
      <c r="H30" s="59">
        <f>IF('[32]سجل المستخلصات'!$I$11="","",'[32]سجل المستخلصات'!$I$11)</f>
        <v/>
      </c>
      <c r="I30" s="59">
        <f>IF('[32]سجل المستخلصات'!$J$11="","",'[32]سجل المستخلصات'!$J$11)</f>
        <v/>
      </c>
      <c r="J30" s="59">
        <f>IF('[32]سجل المستخلصات'!$K$11="","",'[32]سجل المستخلصات'!$K$11)</f>
        <v/>
      </c>
      <c r="K30" s="60">
        <f>IF('[32]سجل المستخلصات'!$L$11="","",'[32]سجل المستخلصات'!$L$11)</f>
        <v/>
      </c>
      <c r="L30" s="60">
        <f>IF('[32]سجل المستخلصات'!$M$11="","",'[32]سجل المستخلصات'!$M$11)</f>
        <v/>
      </c>
      <c r="M30" s="60">
        <f>IF('[32]سجل المستخلصات'!$N$11="","",'[32]سجل المستخلصات'!$N$11)</f>
        <v/>
      </c>
      <c r="N30" s="59">
        <f>IF('[32]سجل المستخلصات'!$O$11="","",'[32]سجل المستخلصات'!$O$11)</f>
        <v/>
      </c>
      <c r="O30" s="59">
        <f>IF('[32]سجل المستخلصات'!$R$11="","",'[32]سجل المستخلصات'!$R$11)</f>
        <v/>
      </c>
      <c r="P30" s="59">
        <f>IF('[32]سجل المستخلصات'!$S$11="","",'[32]سجل المستخلصات'!$S$11)</f>
        <v/>
      </c>
      <c r="Q30" s="59">
        <f>IF('[32]سجل المستخلصات'!$T$11="","",'[32]سجل المستخلصات'!$T$11)</f>
        <v/>
      </c>
      <c r="R30" s="59">
        <f>IF('[32]سجل المستخلصات'!$V$11="","",'[32]سجل المستخلصات'!$V$11)</f>
        <v/>
      </c>
      <c r="S30" s="59">
        <f>IF('[32]سجل المستخلصات'!$W$11="","",'[32]سجل المستخلصات'!$W$11)</f>
        <v/>
      </c>
      <c r="T30" s="61">
        <f>IF('[32]سجل المستخلصات'!$X$11="","",'[32]سجل المستخلصات'!$X$11)</f>
        <v/>
      </c>
      <c r="U30" s="61">
        <f>IF('[32]سجل المستخلصات'!$Z$11="","",'[32]سجل المستخلصات'!$Z$11)</f>
        <v/>
      </c>
      <c r="V30" s="59">
        <f>IF('[32]سجل المستخلصات'!$AA$11="","",'[32]سجل المستخلصات'!$AA$11)</f>
        <v/>
      </c>
      <c r="W30" s="59">
        <f>IF('[32]سجل المستخلصات'!$AC$11="","",'[32]سجل المستخلصات'!$AC$11)</f>
        <v/>
      </c>
      <c r="X30" s="62">
        <f>IF('[32]سجل المستخلصات'!$AD$11="","",'[32]سجل المستخلصات'!$AD$11)</f>
        <v/>
      </c>
      <c r="Y30" s="58">
        <f>IF('[32]سجل المستخلصات'!$AE$11="","",'[32]سجل المستخلصات'!$AE$11)</f>
        <v/>
      </c>
    </row>
    <row r="31">
      <c r="B31" s="56" t="n">
        <v>7</v>
      </c>
      <c r="C31" s="57">
        <f>IF('[32]سجل المستخلصات'!$C$12="","",'[32]سجل المستخلصات'!$C$12)</f>
        <v/>
      </c>
      <c r="D31" s="57">
        <f>IF('[32]سجل المستخلصات'!$E$12="","",'[32]سجل المستخلصات'!$E$12)</f>
        <v/>
      </c>
      <c r="E31" s="58">
        <f>IF('[32]سجل المستخلصات'!$F$12="","",'[32]سجل المستخلصات'!$F$12)</f>
        <v/>
      </c>
      <c r="F31" s="59">
        <f>IF('[32]سجل المستخلصات'!$H$12="","",'[32]سجل المستخلصات'!$H$12)</f>
        <v/>
      </c>
      <c r="G31" s="59">
        <f>IF('[32]سجل المستخلصات'!$G$12="","",'[32]سجل المستخلصات'!$G$12)</f>
        <v/>
      </c>
      <c r="H31" s="59">
        <f>IF('[32]سجل المستخلصات'!$I$12="","",'[32]سجل المستخلصات'!$I$12)</f>
        <v/>
      </c>
      <c r="I31" s="59">
        <f>IF('[32]سجل المستخلصات'!$J$12="","",'[32]سجل المستخلصات'!$J$12)</f>
        <v/>
      </c>
      <c r="J31" s="59">
        <f>IF('[32]سجل المستخلصات'!$K$12="","",'[32]سجل المستخلصات'!$K$12)</f>
        <v/>
      </c>
      <c r="K31" s="60">
        <f>IF('[32]سجل المستخلصات'!$L$12="","",'[32]سجل المستخلصات'!$L$12)</f>
        <v/>
      </c>
      <c r="L31" s="60">
        <f>IF('[32]سجل المستخلصات'!$M$12="","",'[32]سجل المستخلصات'!$M$12)</f>
        <v/>
      </c>
      <c r="M31" s="60">
        <f>IF('[32]سجل المستخلصات'!$N$12="","",'[32]سجل المستخلصات'!$N$12)</f>
        <v/>
      </c>
      <c r="N31" s="59">
        <f>IF('[32]سجل المستخلصات'!$O$12="","",'[32]سجل المستخلصات'!$O$12)</f>
        <v/>
      </c>
      <c r="O31" s="59">
        <f>IF('[32]سجل المستخلصات'!$R$12="","",'[32]سجل المستخلصات'!$R$12)</f>
        <v/>
      </c>
      <c r="P31" s="59">
        <f>IF('[32]سجل المستخلصات'!$S$12="","",'[32]سجل المستخلصات'!$S$12)</f>
        <v/>
      </c>
      <c r="Q31" s="59">
        <f>IF('[32]سجل المستخلصات'!$T$12="","",'[32]سجل المستخلصات'!$T$12)</f>
        <v/>
      </c>
      <c r="R31" s="59">
        <f>IF('[32]سجل المستخلصات'!$V$12="","",'[32]سجل المستخلصات'!$V$12)</f>
        <v/>
      </c>
      <c r="S31" s="59">
        <f>IF('[32]سجل المستخلصات'!$W$12="","",'[32]سجل المستخلصات'!$W$12)</f>
        <v/>
      </c>
      <c r="T31" s="61">
        <f>IF('[32]سجل المستخلصات'!$X$12="","",'[32]سجل المستخلصات'!$X$12)</f>
        <v/>
      </c>
      <c r="U31" s="61">
        <f>IF('[32]سجل المستخلصات'!$Z$12="","",'[32]سجل المستخلصات'!$Z$12)</f>
        <v/>
      </c>
      <c r="V31" s="59">
        <f>IF('[32]سجل المستخلصات'!$AA$12="","",'[32]سجل المستخلصات'!$AA$12)</f>
        <v/>
      </c>
      <c r="W31" s="59">
        <f>IF('[32]سجل المستخلصات'!$AC$12="","",'[32]سجل المستخلصات'!$AC$12)</f>
        <v/>
      </c>
      <c r="X31" s="62">
        <f>IF('[32]سجل المستخلصات'!$AD$12="","",'[32]سجل المستخلصات'!$AD$12)</f>
        <v/>
      </c>
      <c r="Y31" s="58">
        <f>IF('[32]سجل المستخلصات'!$AE$12="","",'[32]سجل المستخلصات'!$AE$12)</f>
        <v/>
      </c>
    </row>
    <row r="32">
      <c r="B32" s="56" t="n">
        <v>8</v>
      </c>
      <c r="C32" s="57">
        <f>IF('[32]سجل المستخلصات'!$C$13="","",'[32]سجل المستخلصات'!$C$13)</f>
        <v/>
      </c>
      <c r="D32" s="57">
        <f>IF('[32]سجل المستخلصات'!$E$13="","",'[32]سجل المستخلصات'!$E$13)</f>
        <v/>
      </c>
      <c r="E32" s="58">
        <f>IF('[32]سجل المستخلصات'!$F$13="","",'[32]سجل المستخلصات'!$F$13)</f>
        <v/>
      </c>
      <c r="F32" s="59">
        <f>IF('[32]سجل المستخلصات'!$H$13="","",'[32]سجل المستخلصات'!$H$13)</f>
        <v/>
      </c>
      <c r="G32" s="59">
        <f>IF('[32]سجل المستخلصات'!$G$13="","",'[32]سجل المستخلصات'!$G$13)</f>
        <v/>
      </c>
      <c r="H32" s="59">
        <f>IF('[32]سجل المستخلصات'!$I$13="","",'[32]سجل المستخلصات'!$I$13)</f>
        <v/>
      </c>
      <c r="I32" s="59">
        <f>IF('[32]سجل المستخلصات'!$J$13="","",'[32]سجل المستخلصات'!$J$13)</f>
        <v/>
      </c>
      <c r="J32" s="59">
        <f>IF('[32]سجل المستخلصات'!$K$13="","",'[32]سجل المستخلصات'!$K$13)</f>
        <v/>
      </c>
      <c r="K32" s="60">
        <f>IF('[32]سجل المستخلصات'!$L$13="","",'[32]سجل المستخلصات'!$L$13)</f>
        <v/>
      </c>
      <c r="L32" s="60">
        <f>IF('[32]سجل المستخلصات'!$M$13="","",'[32]سجل المستخلصات'!$M$13)</f>
        <v/>
      </c>
      <c r="M32" s="60">
        <f>IF('[32]سجل المستخلصات'!$N$13="","",'[32]سجل المستخلصات'!$N$13)</f>
        <v/>
      </c>
      <c r="N32" s="59">
        <f>IF('[32]سجل المستخلصات'!$O$13="","",'[32]سجل المستخلصات'!$O$13)</f>
        <v/>
      </c>
      <c r="O32" s="59">
        <f>IF('[32]سجل المستخلصات'!$R$13="","",'[32]سجل المستخلصات'!$R$13)</f>
        <v/>
      </c>
      <c r="P32" s="59">
        <f>IF('[32]سجل المستخلصات'!$S$13="","",'[32]سجل المستخلصات'!$S$13)</f>
        <v/>
      </c>
      <c r="Q32" s="59">
        <f>IF('[32]سجل المستخلصات'!$T$13="","",'[32]سجل المستخلصات'!$T$13)</f>
        <v/>
      </c>
      <c r="R32" s="59">
        <f>IF('[32]سجل المستخلصات'!$V$13="","",'[32]سجل المستخلصات'!$V$13)</f>
        <v/>
      </c>
      <c r="S32" s="59">
        <f>IF('[32]سجل المستخلصات'!$W$13="","",'[32]سجل المستخلصات'!$W$13)</f>
        <v/>
      </c>
      <c r="T32" s="61">
        <f>IF('[32]سجل المستخلصات'!$X$13="","",'[32]سجل المستخلصات'!$X$13)</f>
        <v/>
      </c>
      <c r="U32" s="61">
        <f>IF('[32]سجل المستخلصات'!$Z$13="","",'[32]سجل المستخلصات'!$Z$13)</f>
        <v/>
      </c>
      <c r="V32" s="59">
        <f>IF('[32]سجل المستخلصات'!$AA$13="","",'[32]سجل المستخلصات'!$AA$13)</f>
        <v/>
      </c>
      <c r="W32" s="59">
        <f>IF('[32]سجل المستخلصات'!$AC$13="","",'[32]سجل المستخلصات'!$AC$13)</f>
        <v/>
      </c>
      <c r="X32" s="62">
        <f>IF('[32]سجل المستخلصات'!$AD$13="","",'[32]سجل المستخلصات'!$AD$13)</f>
        <v/>
      </c>
      <c r="Y32" s="58">
        <f>IF('[32]سجل المستخلصات'!$AE$13="","",'[32]سجل المستخلصات'!$AE$13)</f>
        <v/>
      </c>
    </row>
    <row r="33">
      <c r="B33" s="56" t="n">
        <v>9</v>
      </c>
      <c r="C33" s="57">
        <f>IF('[32]سجل المستخلصات'!$C$14="","",'[32]سجل المستخلصات'!$C$14)</f>
        <v/>
      </c>
      <c r="D33" s="57">
        <f>IF('[32]سجل المستخلصات'!$E$14="","",'[32]سجل المستخلصات'!$E$14)</f>
        <v/>
      </c>
      <c r="E33" s="58">
        <f>IF('[32]سجل المستخلصات'!$F$14="","",'[32]سجل المستخلصات'!$F$14)</f>
        <v/>
      </c>
      <c r="F33" s="59">
        <f>IF('[32]سجل المستخلصات'!$H$14="","",'[32]سجل المستخلصات'!$H$14)</f>
        <v/>
      </c>
      <c r="G33" s="59">
        <f>IF('[32]سجل المستخلصات'!$G$14="","",'[32]سجل المستخلصات'!$G$14)</f>
        <v/>
      </c>
      <c r="H33" s="59">
        <f>IF('[32]سجل المستخلصات'!$I$14="","",'[32]سجل المستخلصات'!$I$14)</f>
        <v/>
      </c>
      <c r="I33" s="59">
        <f>IF('[32]سجل المستخلصات'!$J$14="","",'[32]سجل المستخلصات'!$J$14)</f>
        <v/>
      </c>
      <c r="J33" s="59">
        <f>IF('[32]سجل المستخلصات'!$K$14="","",'[32]سجل المستخلصات'!$K$14)</f>
        <v/>
      </c>
      <c r="K33" s="60">
        <f>IF('[32]سجل المستخلصات'!$L$14="","",'[32]سجل المستخلصات'!$L$14)</f>
        <v/>
      </c>
      <c r="L33" s="60">
        <f>IF('[32]سجل المستخلصات'!$M$14="","",'[32]سجل المستخلصات'!$M$14)</f>
        <v/>
      </c>
      <c r="M33" s="60">
        <f>IF('[32]سجل المستخلصات'!$N$14="","",'[32]سجل المستخلصات'!$N$14)</f>
        <v/>
      </c>
      <c r="N33" s="59">
        <f>IF('[32]سجل المستخلصات'!$O$14="","",'[32]سجل المستخلصات'!$O$14)</f>
        <v/>
      </c>
      <c r="O33" s="59">
        <f>IF('[32]سجل المستخلصات'!$R$14="","",'[32]سجل المستخلصات'!$R$14)</f>
        <v/>
      </c>
      <c r="P33" s="59">
        <f>IF('[32]سجل المستخلصات'!$S$14="","",'[32]سجل المستخلصات'!$S$14)</f>
        <v/>
      </c>
      <c r="Q33" s="59">
        <f>IF('[32]سجل المستخلصات'!$T$14="","",'[32]سجل المستخلصات'!$T$14)</f>
        <v/>
      </c>
      <c r="R33" s="59">
        <f>IF('[32]سجل المستخلصات'!$V$14="","",'[32]سجل المستخلصات'!$V$14)</f>
        <v/>
      </c>
      <c r="S33" s="59">
        <f>IF('[32]سجل المستخلصات'!$W$14="","",'[32]سجل المستخلصات'!$W$14)</f>
        <v/>
      </c>
      <c r="T33" s="61">
        <f>IF('[32]سجل المستخلصات'!$X$14="","",'[32]سجل المستخلصات'!$X$14)</f>
        <v/>
      </c>
      <c r="U33" s="61">
        <f>IF('[32]سجل المستخلصات'!$Z$14="","",'[32]سجل المستخلصات'!$Z$14)</f>
        <v/>
      </c>
      <c r="V33" s="59">
        <f>IF('[32]سجل المستخلصات'!$AA$14="","",'[32]سجل المستخلصات'!$AA$14)</f>
        <v/>
      </c>
      <c r="W33" s="59">
        <f>IF('[32]سجل المستخلصات'!$AC$14="","",'[32]سجل المستخلصات'!$AC$14)</f>
        <v/>
      </c>
      <c r="X33" s="62">
        <f>IF('[32]سجل المستخلصات'!$AD$14="","",'[32]سجل المستخلصات'!$AD$14)</f>
        <v/>
      </c>
      <c r="Y33" s="58">
        <f>IF('[32]سجل المستخلصات'!$AE$14="","",'[32]سجل المستخلصات'!$AE$14)</f>
        <v/>
      </c>
    </row>
    <row r="34">
      <c r="B34" s="56" t="n">
        <v>10</v>
      </c>
      <c r="C34" s="57">
        <f>IF('[32]سجل المستخلصات'!$C$15="","",'[32]سجل المستخلصات'!$C$15)</f>
        <v/>
      </c>
      <c r="D34" s="57">
        <f>IF('[32]سجل المستخلصات'!$E$15="","",'[32]سجل المستخلصات'!$E$15)</f>
        <v/>
      </c>
      <c r="E34" s="58">
        <f>IF('[32]سجل المستخلصات'!$F$15="","",'[32]سجل المستخلصات'!$F$15)</f>
        <v/>
      </c>
      <c r="F34" s="59">
        <f>IF('[32]سجل المستخلصات'!$H$15="","",'[32]سجل المستخلصات'!$H$15)</f>
        <v/>
      </c>
      <c r="G34" s="59">
        <f>IF('[32]سجل المستخلصات'!$G$15="","",'[32]سجل المستخلصات'!$G$15)</f>
        <v/>
      </c>
      <c r="H34" s="59">
        <f>IF('[32]سجل المستخلصات'!$I$15="","",'[32]سجل المستخلصات'!$I$15)</f>
        <v/>
      </c>
      <c r="I34" s="59">
        <f>IF('[32]سجل المستخلصات'!$J$15="","",'[32]سجل المستخلصات'!$J$15)</f>
        <v/>
      </c>
      <c r="J34" s="59">
        <f>IF('[32]سجل المستخلصات'!$K$15="","",'[32]سجل المستخلصات'!$K$15)</f>
        <v/>
      </c>
      <c r="K34" s="60">
        <f>IF('[32]سجل المستخلصات'!$L$15="","",'[32]سجل المستخلصات'!$L$15)</f>
        <v/>
      </c>
      <c r="L34" s="60">
        <f>IF('[32]سجل المستخلصات'!$M$15="","",'[32]سجل المستخلصات'!$M$15)</f>
        <v/>
      </c>
      <c r="M34" s="60">
        <f>IF('[32]سجل المستخلصات'!$N$15="","",'[32]سجل المستخلصات'!$N$15)</f>
        <v/>
      </c>
      <c r="N34" s="59">
        <f>IF('[32]سجل المستخلصات'!$O$15="","",'[32]سجل المستخلصات'!$O$15)</f>
        <v/>
      </c>
      <c r="O34" s="59">
        <f>IF('[32]سجل المستخلصات'!$R$15="","",'[32]سجل المستخلصات'!$R$15)</f>
        <v/>
      </c>
      <c r="P34" s="59">
        <f>IF('[32]سجل المستخلصات'!$S$15="","",'[32]سجل المستخلصات'!$S$15)</f>
        <v/>
      </c>
      <c r="Q34" s="59">
        <f>IF('[32]سجل المستخلصات'!$T$15="","",'[32]سجل المستخلصات'!$T$15)</f>
        <v/>
      </c>
      <c r="R34" s="59">
        <f>IF('[32]سجل المستخلصات'!$V$15="","",'[32]سجل المستخلصات'!$V$15)</f>
        <v/>
      </c>
      <c r="S34" s="59">
        <f>IF('[32]سجل المستخلصات'!$W$15="","",'[32]سجل المستخلصات'!$W$15)</f>
        <v/>
      </c>
      <c r="T34" s="61">
        <f>IF('[32]سجل المستخلصات'!$X$15="","",'[32]سجل المستخلصات'!$X$15)</f>
        <v/>
      </c>
      <c r="U34" s="61">
        <f>IF('[32]سجل المستخلصات'!$Z$15="","",'[32]سجل المستخلصات'!$Z$15)</f>
        <v/>
      </c>
      <c r="V34" s="59">
        <f>IF('[32]سجل المستخلصات'!$AA$15="","",'[32]سجل المستخلصات'!$AA$15)</f>
        <v/>
      </c>
      <c r="W34" s="59">
        <f>IF('[32]سجل المستخلصات'!$AC$15="","",'[32]سجل المستخلصات'!$AC$15)</f>
        <v/>
      </c>
      <c r="X34" s="62">
        <f>IF('[32]سجل المستخلصات'!$AD$15="","",'[32]سجل المستخلصات'!$AD$15)</f>
        <v/>
      </c>
      <c r="Y34" s="58">
        <f>IF('[32]سجل المستخلصات'!$AE$15="","",'[32]سجل المستخلصات'!$AE$15)</f>
        <v/>
      </c>
    </row>
    <row r="35">
      <c r="B35" s="56" t="n">
        <v>11</v>
      </c>
      <c r="C35" s="57">
        <f>IF('[32]سجل المستخلصات'!$C$16="","",'[32]سجل المستخلصات'!$C$16)</f>
        <v/>
      </c>
      <c r="D35" s="57">
        <f>IF('[32]سجل المستخلصات'!$E$16="","",'[32]سجل المستخلصات'!$E$16)</f>
        <v/>
      </c>
      <c r="E35" s="58">
        <f>IF('[32]سجل المستخلصات'!$F$16="","",'[32]سجل المستخلصات'!$F$16)</f>
        <v/>
      </c>
      <c r="F35" s="59">
        <f>IF('[32]سجل المستخلصات'!$H$16="","",'[32]سجل المستخلصات'!$H$16)</f>
        <v/>
      </c>
      <c r="G35" s="59">
        <f>IF('[32]سجل المستخلصات'!$G$16="","",'[32]سجل المستخلصات'!$G$16)</f>
        <v/>
      </c>
      <c r="H35" s="59">
        <f>IF('[32]سجل المستخلصات'!$I$16="","",'[32]سجل المستخلصات'!$I$16)</f>
        <v/>
      </c>
      <c r="I35" s="59">
        <f>IF('[32]سجل المستخلصات'!$J$16="","",'[32]سجل المستخلصات'!$J$16)</f>
        <v/>
      </c>
      <c r="J35" s="59">
        <f>IF('[32]سجل المستخلصات'!$K$16="","",'[32]سجل المستخلصات'!$K$16)</f>
        <v/>
      </c>
      <c r="K35" s="60">
        <f>IF('[32]سجل المستخلصات'!$L$16="","",'[32]سجل المستخلصات'!$L$16)</f>
        <v/>
      </c>
      <c r="L35" s="60">
        <f>IF('[32]سجل المستخلصات'!$M$16="","",'[32]سجل المستخلصات'!$M$16)</f>
        <v/>
      </c>
      <c r="M35" s="60">
        <f>IF('[32]سجل المستخلصات'!$N$16="","",'[32]سجل المستخلصات'!$N$16)</f>
        <v/>
      </c>
      <c r="N35" s="59">
        <f>IF('[32]سجل المستخلصات'!$O$16="","",'[32]سجل المستخلصات'!$O$16)</f>
        <v/>
      </c>
      <c r="O35" s="59">
        <f>IF('[32]سجل المستخلصات'!$R$16="","",'[32]سجل المستخلصات'!$R$16)</f>
        <v/>
      </c>
      <c r="P35" s="59">
        <f>IF('[32]سجل المستخلصات'!$S$16="","",'[32]سجل المستخلصات'!$S$16)</f>
        <v/>
      </c>
      <c r="Q35" s="59">
        <f>IF('[32]سجل المستخلصات'!$T$16="","",'[32]سجل المستخلصات'!$T$16)</f>
        <v/>
      </c>
      <c r="R35" s="59">
        <f>IF('[32]سجل المستخلصات'!$V$16="","",'[32]سجل المستخلصات'!$V$16)</f>
        <v/>
      </c>
      <c r="S35" s="59">
        <f>IF('[32]سجل المستخلصات'!$W$16="","",'[32]سجل المستخلصات'!$W$16)</f>
        <v/>
      </c>
      <c r="T35" s="61">
        <f>IF('[32]سجل المستخلصات'!$X$16="","",'[32]سجل المستخلصات'!$X$16)</f>
        <v/>
      </c>
      <c r="U35" s="61">
        <f>IF('[32]سجل المستخلصات'!$Z$16="","",'[32]سجل المستخلصات'!$Z$16)</f>
        <v/>
      </c>
      <c r="V35" s="59">
        <f>IF('[32]سجل المستخلصات'!$AA$16="","",'[32]سجل المستخلصات'!$AA$16)</f>
        <v/>
      </c>
      <c r="W35" s="59">
        <f>IF('[32]سجل المستخلصات'!$AC$16="","",'[32]سجل المستخلصات'!$AC$16)</f>
        <v/>
      </c>
      <c r="X35" s="62">
        <f>IF('[32]سجل المستخلصات'!$AD$16="","",'[32]سجل المستخلصات'!$AD$16)</f>
        <v/>
      </c>
      <c r="Y35" s="58">
        <f>IF('[32]سجل المستخلصات'!$AE$16="","",'[32]سجل المستخلصات'!$AE$16)</f>
        <v/>
      </c>
    </row>
    <row r="36">
      <c r="B36" s="56" t="n">
        <v>12</v>
      </c>
      <c r="C36" s="57">
        <f>IF('[32]سجل المستخلصات'!$C$17="","",'[32]سجل المستخلصات'!$C$17)</f>
        <v/>
      </c>
      <c r="D36" s="57">
        <f>IF('[32]سجل المستخلصات'!$E$17="","",'[32]سجل المستخلصات'!$E$17)</f>
        <v/>
      </c>
      <c r="E36" s="58">
        <f>IF('[32]سجل المستخلصات'!$F$17="","",'[32]سجل المستخلصات'!$F$17)</f>
        <v/>
      </c>
      <c r="F36" s="59">
        <f>IF('[32]سجل المستخلصات'!$H$17="","",'[32]سجل المستخلصات'!$H$17)</f>
        <v/>
      </c>
      <c r="G36" s="59">
        <f>IF('[32]سجل المستخلصات'!$G$17="","",'[32]سجل المستخلصات'!$G$17)</f>
        <v/>
      </c>
      <c r="H36" s="59">
        <f>IF('[32]سجل المستخلصات'!$I$17="","",'[32]سجل المستخلصات'!$I$17)</f>
        <v/>
      </c>
      <c r="I36" s="59">
        <f>IF('[32]سجل المستخلصات'!$J$17="","",'[32]سجل المستخلصات'!$J$17)</f>
        <v/>
      </c>
      <c r="J36" s="59">
        <f>IF('[32]سجل المستخلصات'!$K$17="","",'[32]سجل المستخلصات'!$K$17)</f>
        <v/>
      </c>
      <c r="K36" s="60">
        <f>IF('[32]سجل المستخلصات'!$L$17="","",'[32]سجل المستخلصات'!$L$17)</f>
        <v/>
      </c>
      <c r="L36" s="60">
        <f>IF('[32]سجل المستخلصات'!$M$17="","",'[32]سجل المستخلصات'!$M$17)</f>
        <v/>
      </c>
      <c r="M36" s="60">
        <f>IF('[32]سجل المستخلصات'!$N$17="","",'[32]سجل المستخلصات'!$N$17)</f>
        <v/>
      </c>
      <c r="N36" s="59">
        <f>IF('[32]سجل المستخلصات'!$O$17="","",'[32]سجل المستخلصات'!$O$17)</f>
        <v/>
      </c>
      <c r="O36" s="59">
        <f>IF('[32]سجل المستخلصات'!$R$17="","",'[32]سجل المستخلصات'!$R$17)</f>
        <v/>
      </c>
      <c r="P36" s="59">
        <f>IF('[32]سجل المستخلصات'!$S$17="","",'[32]سجل المستخلصات'!$S$17)</f>
        <v/>
      </c>
      <c r="Q36" s="59">
        <f>IF('[32]سجل المستخلصات'!$T$17="","",'[32]سجل المستخلصات'!$T$17)</f>
        <v/>
      </c>
      <c r="R36" s="59">
        <f>IF('[32]سجل المستخلصات'!$V$17="","",'[32]سجل المستخلصات'!$V$17)</f>
        <v/>
      </c>
      <c r="S36" s="59">
        <f>IF('[32]سجل المستخلصات'!$W$17="","",'[32]سجل المستخلصات'!$W$17)</f>
        <v/>
      </c>
      <c r="T36" s="61">
        <f>IF('[32]سجل المستخلصات'!$X$17="","",'[32]سجل المستخلصات'!$X$17)</f>
        <v/>
      </c>
      <c r="U36" s="61">
        <f>IF('[32]سجل المستخلصات'!$Z$17="","",'[32]سجل المستخلصات'!$Z$17)</f>
        <v/>
      </c>
      <c r="V36" s="59">
        <f>IF('[32]سجل المستخلصات'!$AA$17="","",'[32]سجل المستخلصات'!$AA$17)</f>
        <v/>
      </c>
      <c r="W36" s="59">
        <f>IF('[32]سجل المستخلصات'!$AC$17="","",'[32]سجل المستخلصات'!$AC$17)</f>
        <v/>
      </c>
      <c r="X36" s="62">
        <f>IF('[32]سجل المستخلصات'!$AD$17="","",'[32]سجل المستخلصات'!$AD$17)</f>
        <v/>
      </c>
      <c r="Y36" s="58">
        <f>IF('[32]سجل المستخلصات'!$AE$17="","",'[32]سجل المستخلصات'!$AE$17)</f>
        <v/>
      </c>
    </row>
    <row r="37">
      <c r="B37" s="56" t="n">
        <v>13</v>
      </c>
      <c r="C37" s="57">
        <f>IF('[32]سجل المستخلصات'!$C$18="","",'[32]سجل المستخلصات'!$C$18)</f>
        <v/>
      </c>
      <c r="D37" s="57">
        <f>IF('[32]سجل المستخلصات'!$E$18="","",'[32]سجل المستخلصات'!$E$18)</f>
        <v/>
      </c>
      <c r="E37" s="58">
        <f>IF('[32]سجل المستخلصات'!$F$18="","",'[32]سجل المستخلصات'!$F$18)</f>
        <v/>
      </c>
      <c r="F37" s="59">
        <f>IF('[32]سجل المستخلصات'!$H$18="","",'[32]سجل المستخلصات'!$H$18)</f>
        <v/>
      </c>
      <c r="G37" s="59">
        <f>IF('[32]سجل المستخلصات'!$G$18="","",'[32]سجل المستخلصات'!$G$18)</f>
        <v/>
      </c>
      <c r="H37" s="59">
        <f>IF('[32]سجل المستخلصات'!$I$18="","",'[32]سجل المستخلصات'!$I$18)</f>
        <v/>
      </c>
      <c r="I37" s="59">
        <f>IF('[32]سجل المستخلصات'!$J$18="","",'[32]سجل المستخلصات'!$J$18)</f>
        <v/>
      </c>
      <c r="J37" s="59">
        <f>IF('[32]سجل المستخلصات'!$K$18="","",'[32]سجل المستخلصات'!$K$18)</f>
        <v/>
      </c>
      <c r="K37" s="60">
        <f>IF('[32]سجل المستخلصات'!$L$18="","",'[32]سجل المستخلصات'!$L$18)</f>
        <v/>
      </c>
      <c r="L37" s="60">
        <f>IF('[32]سجل المستخلصات'!$M$18="","",'[32]سجل المستخلصات'!$M$18)</f>
        <v/>
      </c>
      <c r="M37" s="60">
        <f>IF('[32]سجل المستخلصات'!$N$18="","",'[32]سجل المستخلصات'!$N$18)</f>
        <v/>
      </c>
      <c r="N37" s="59">
        <f>IF('[32]سجل المستخلصات'!$O$18="","",'[32]سجل المستخلصات'!$O$18)</f>
        <v/>
      </c>
      <c r="O37" s="59">
        <f>IF('[32]سجل المستخلصات'!$R$18="","",'[32]سجل المستخلصات'!$R$18)</f>
        <v/>
      </c>
      <c r="P37" s="59">
        <f>IF('[32]سجل المستخلصات'!$S$18="","",'[32]سجل المستخلصات'!$S$18)</f>
        <v/>
      </c>
      <c r="Q37" s="59">
        <f>IF('[32]سجل المستخلصات'!$T$18="","",'[32]سجل المستخلصات'!$T$18)</f>
        <v/>
      </c>
      <c r="R37" s="59">
        <f>IF('[32]سجل المستخلصات'!$V$18="","",'[32]سجل المستخلصات'!$V$18)</f>
        <v/>
      </c>
      <c r="S37" s="59">
        <f>IF('[32]سجل المستخلصات'!$W$18="","",'[32]سجل المستخلصات'!$W$18)</f>
        <v/>
      </c>
      <c r="T37" s="61">
        <f>IF('[32]سجل المستخلصات'!$X$18="","",'[32]سجل المستخلصات'!$X$18)</f>
        <v/>
      </c>
      <c r="U37" s="61">
        <f>IF('[32]سجل المستخلصات'!$Z$18="","",'[32]سجل المستخلصات'!$Z$18)</f>
        <v/>
      </c>
      <c r="V37" s="59">
        <f>IF('[32]سجل المستخلصات'!$AA$18="","",'[32]سجل المستخلصات'!$AA$18)</f>
        <v/>
      </c>
      <c r="W37" s="59">
        <f>IF('[32]سجل المستخلصات'!$AC$18="","",'[32]سجل المستخلصات'!$AC$18)</f>
        <v/>
      </c>
      <c r="X37" s="62">
        <f>IF('[32]سجل المستخلصات'!$AD$18="","",'[32]سجل المستخلصات'!$AD$18)</f>
        <v/>
      </c>
      <c r="Y37" s="58">
        <f>IF('[32]سجل المستخلصات'!$AE$18="","",'[32]سجل المستخلصات'!$AE$18)</f>
        <v/>
      </c>
    </row>
    <row r="38">
      <c r="B38" s="56" t="n">
        <v>14</v>
      </c>
      <c r="C38" s="57">
        <f>IF('[32]سجل المستخلصات'!$C$19="","",'[32]سجل المستخلصات'!$C$19)</f>
        <v/>
      </c>
      <c r="D38" s="57">
        <f>IF('[32]سجل المستخلصات'!$E$19="","",'[32]سجل المستخلصات'!$E$19)</f>
        <v/>
      </c>
      <c r="E38" s="58">
        <f>IF('[32]سجل المستخلصات'!$F$19="","",'[32]سجل المستخلصات'!$F$19)</f>
        <v/>
      </c>
      <c r="F38" s="59">
        <f>IF('[32]سجل المستخلصات'!$H$19="","",'[32]سجل المستخلصات'!$H$19)</f>
        <v/>
      </c>
      <c r="G38" s="59">
        <f>IF('[32]سجل المستخلصات'!$G$19="","",'[32]سجل المستخلصات'!$G$19)</f>
        <v/>
      </c>
      <c r="H38" s="59">
        <f>IF('[32]سجل المستخلصات'!$I$19="","",'[32]سجل المستخلصات'!$I$19)</f>
        <v/>
      </c>
      <c r="I38" s="59">
        <f>IF('[32]سجل المستخلصات'!$J$19="","",'[32]سجل المستخلصات'!$J$19)</f>
        <v/>
      </c>
      <c r="J38" s="59">
        <f>IF('[32]سجل المستخلصات'!$K$19="","",'[32]سجل المستخلصات'!$K$19)</f>
        <v/>
      </c>
      <c r="K38" s="60">
        <f>IF('[32]سجل المستخلصات'!$L$19="","",'[32]سجل المستخلصات'!$L$19)</f>
        <v/>
      </c>
      <c r="L38" s="60">
        <f>IF('[32]سجل المستخلصات'!$M$19="","",'[32]سجل المستخلصات'!$M$19)</f>
        <v/>
      </c>
      <c r="M38" s="60">
        <f>IF('[32]سجل المستخلصات'!$N$19="","",'[32]سجل المستخلصات'!$N$19)</f>
        <v/>
      </c>
      <c r="N38" s="59">
        <f>IF('[32]سجل المستخلصات'!$O$19="","",'[32]سجل المستخلصات'!$O$19)</f>
        <v/>
      </c>
      <c r="O38" s="59">
        <f>IF('[32]سجل المستخلصات'!$R$19="","",'[32]سجل المستخلصات'!$R$19)</f>
        <v/>
      </c>
      <c r="P38" s="59">
        <f>IF('[32]سجل المستخلصات'!$S$19="","",'[32]سجل المستخلصات'!$S$19)</f>
        <v/>
      </c>
      <c r="Q38" s="59">
        <f>IF('[32]سجل المستخلصات'!$T$19="","",'[32]سجل المستخلصات'!$T$19)</f>
        <v/>
      </c>
      <c r="R38" s="59">
        <f>IF('[32]سجل المستخلصات'!$V$19="","",'[32]سجل المستخلصات'!$V$19)</f>
        <v/>
      </c>
      <c r="S38" s="59">
        <f>IF('[32]سجل المستخلصات'!$W$19="","",'[32]سجل المستخلصات'!$W$19)</f>
        <v/>
      </c>
      <c r="T38" s="61">
        <f>IF('[32]سجل المستخلصات'!$X$19="","",'[32]سجل المستخلصات'!$X$19)</f>
        <v/>
      </c>
      <c r="U38" s="61">
        <f>IF('[32]سجل المستخلصات'!$Z$19="","",'[32]سجل المستخلصات'!$Z$19)</f>
        <v/>
      </c>
      <c r="V38" s="59">
        <f>IF('[32]سجل المستخلصات'!$AA$19="","",'[32]سجل المستخلصات'!$AA$19)</f>
        <v/>
      </c>
      <c r="W38" s="59">
        <f>IF('[32]سجل المستخلصات'!$AC$19="","",'[32]سجل المستخلصات'!$AC$19)</f>
        <v/>
      </c>
      <c r="X38" s="62">
        <f>IF('[32]سجل المستخلصات'!$AD$19="","",'[32]سجل المستخلصات'!$AD$19)</f>
        <v/>
      </c>
      <c r="Y38" s="58">
        <f>IF('[32]سجل المستخلصات'!$AE$19="","",'[32]سجل المستخلصات'!$AE$19)</f>
        <v/>
      </c>
    </row>
    <row r="39">
      <c r="B39" s="56" t="n">
        <v>15</v>
      </c>
      <c r="C39" s="57">
        <f>IF('[32]سجل المستخلصات'!$C$20="","",'[32]سجل المستخلصات'!$C$20)</f>
        <v/>
      </c>
      <c r="D39" s="57">
        <f>IF('[32]سجل المستخلصات'!$E$20="","",'[32]سجل المستخلصات'!$E$20)</f>
        <v/>
      </c>
      <c r="E39" s="58">
        <f>IF('[32]سجل المستخلصات'!$F$20="","",'[32]سجل المستخلصات'!$F$20)</f>
        <v/>
      </c>
      <c r="F39" s="59">
        <f>IF('[32]سجل المستخلصات'!$H$20="","",'[32]سجل المستخلصات'!$H$20)</f>
        <v/>
      </c>
      <c r="G39" s="59">
        <f>IF('[32]سجل المستخلصات'!$G$20="","",'[32]سجل المستخلصات'!$G$20)</f>
        <v/>
      </c>
      <c r="H39" s="59">
        <f>IF('[32]سجل المستخلصات'!$I$20="","",'[32]سجل المستخلصات'!$I$20)</f>
        <v/>
      </c>
      <c r="I39" s="59">
        <f>IF('[32]سجل المستخلصات'!$J$20="","",'[32]سجل المستخلصات'!$J$20)</f>
        <v/>
      </c>
      <c r="J39" s="59">
        <f>IF('[32]سجل المستخلصات'!$K$20="","",'[32]سجل المستخلصات'!$K$20)</f>
        <v/>
      </c>
      <c r="K39" s="60">
        <f>IF('[32]سجل المستخلصات'!$L$20="","",'[32]سجل المستخلصات'!$L$20)</f>
        <v/>
      </c>
      <c r="L39" s="60">
        <f>IF('[32]سجل المستخلصات'!$M$20="","",'[32]سجل المستخلصات'!$M$20)</f>
        <v/>
      </c>
      <c r="M39" s="60">
        <f>IF('[32]سجل المستخلصات'!$N$20="","",'[32]سجل المستخلصات'!$N$20)</f>
        <v/>
      </c>
      <c r="N39" s="59">
        <f>IF('[32]سجل المستخلصات'!$O$20="","",'[32]سجل المستخلصات'!$O$20)</f>
        <v/>
      </c>
      <c r="O39" s="59">
        <f>IF('[32]سجل المستخلصات'!$R$20="","",'[32]سجل المستخلصات'!$R$20)</f>
        <v/>
      </c>
      <c r="P39" s="59">
        <f>IF('[32]سجل المستخلصات'!$S$20="","",'[32]سجل المستخلصات'!$S$20)</f>
        <v/>
      </c>
      <c r="Q39" s="59">
        <f>IF('[32]سجل المستخلصات'!$T$20="","",'[32]سجل المستخلصات'!$T$20)</f>
        <v/>
      </c>
      <c r="R39" s="59">
        <f>IF('[32]سجل المستخلصات'!$V$20="","",'[32]سجل المستخلصات'!$V$20)</f>
        <v/>
      </c>
      <c r="S39" s="59">
        <f>IF('[32]سجل المستخلصات'!$W$20="","",'[32]سجل المستخلصات'!$W$20)</f>
        <v/>
      </c>
      <c r="T39" s="61">
        <f>IF('[32]سجل المستخلصات'!$X$20="","",'[32]سجل المستخلصات'!$X$20)</f>
        <v/>
      </c>
      <c r="U39" s="61">
        <f>IF('[32]سجل المستخلصات'!$Z$20="","",'[32]سجل المستخلصات'!$Z$20)</f>
        <v/>
      </c>
      <c r="V39" s="59">
        <f>IF('[32]سجل المستخلصات'!$AA$20="","",'[32]سجل المستخلصات'!$AA$20)</f>
        <v/>
      </c>
      <c r="W39" s="59">
        <f>IF('[32]سجل المستخلصات'!$AC$20="","",'[32]سجل المستخلصات'!$AC$20)</f>
        <v/>
      </c>
      <c r="X39" s="62">
        <f>IF('[32]سجل المستخلصات'!$AD$20="","",'[32]سجل المستخلصات'!$AD$20)</f>
        <v/>
      </c>
      <c r="Y39" s="58">
        <f>IF('[32]سجل المستخلصات'!$AE$20="","",'[32]سجل المستخلصات'!$AE$20)</f>
        <v/>
      </c>
    </row>
    <row r="40">
      <c r="B40" s="56" t="n">
        <v>16</v>
      </c>
      <c r="C40" s="57">
        <f>IF('[32]سجل المستخلصات'!$C$21="","",'[32]سجل المستخلصات'!$C$21)</f>
        <v/>
      </c>
      <c r="D40" s="57">
        <f>IF('[32]سجل المستخلصات'!$E$21="","",'[32]سجل المستخلصات'!$E$21)</f>
        <v/>
      </c>
      <c r="E40" s="58">
        <f>IF('[32]سجل المستخلصات'!$F$21="","",'[32]سجل المستخلصات'!$F$21)</f>
        <v/>
      </c>
      <c r="F40" s="59">
        <f>IF('[32]سجل المستخلصات'!$H$21="","",'[32]سجل المستخلصات'!$H$21)</f>
        <v/>
      </c>
      <c r="G40" s="59">
        <f>IF('[32]سجل المستخلصات'!$G$21="","",'[32]سجل المستخلصات'!$G$21)</f>
        <v/>
      </c>
      <c r="H40" s="59">
        <f>IF('[32]سجل المستخلصات'!$I$21="","",'[32]سجل المستخلصات'!$I$21)</f>
        <v/>
      </c>
      <c r="I40" s="59">
        <f>IF('[32]سجل المستخلصات'!$J$21="","",'[32]سجل المستخلصات'!$J$21)</f>
        <v/>
      </c>
      <c r="J40" s="59">
        <f>IF('[32]سجل المستخلصات'!$K$21="","",'[32]سجل المستخلصات'!$K$21)</f>
        <v/>
      </c>
      <c r="K40" s="60">
        <f>IF('[32]سجل المستخلصات'!$L$21="","",'[32]سجل المستخلصات'!$L$21)</f>
        <v/>
      </c>
      <c r="L40" s="60">
        <f>IF('[32]سجل المستخلصات'!$M$21="","",'[32]سجل المستخلصات'!$M$21)</f>
        <v/>
      </c>
      <c r="M40" s="60">
        <f>IF('[32]سجل المستخلصات'!$N$21="","",'[32]سجل المستخلصات'!$N$21)</f>
        <v/>
      </c>
      <c r="N40" s="59">
        <f>IF('[32]سجل المستخلصات'!$O$21="","",'[32]سجل المستخلصات'!$O$21)</f>
        <v/>
      </c>
      <c r="O40" s="59">
        <f>IF('[32]سجل المستخلصات'!$R$21="","",'[32]سجل المستخلصات'!$R$21)</f>
        <v/>
      </c>
      <c r="P40" s="59">
        <f>IF('[32]سجل المستخلصات'!$S$21="","",'[32]سجل المستخلصات'!$S$21)</f>
        <v/>
      </c>
      <c r="Q40" s="59">
        <f>IF('[32]سجل المستخلصات'!$T$21="","",'[32]سجل المستخلصات'!$T$21)</f>
        <v/>
      </c>
      <c r="R40" s="59">
        <f>IF('[32]سجل المستخلصات'!$V$21="","",'[32]سجل المستخلصات'!$V$21)</f>
        <v/>
      </c>
      <c r="S40" s="59">
        <f>IF('[32]سجل المستخلصات'!$W$21="","",'[32]سجل المستخلصات'!$W$21)</f>
        <v/>
      </c>
      <c r="T40" s="61">
        <f>IF('[32]سجل المستخلصات'!$X$21="","",'[32]سجل المستخلصات'!$X$21)</f>
        <v/>
      </c>
      <c r="U40" s="61">
        <f>IF('[32]سجل المستخلصات'!$Z$21="","",'[32]سجل المستخلصات'!$Z$21)</f>
        <v/>
      </c>
      <c r="V40" s="59">
        <f>IF('[32]سجل المستخلصات'!$AA$21="","",'[32]سجل المستخلصات'!$AA$21)</f>
        <v/>
      </c>
      <c r="W40" s="59">
        <f>IF('[32]سجل المستخلصات'!$AC$21="","",'[32]سجل المستخلصات'!$AC$21)</f>
        <v/>
      </c>
      <c r="X40" s="62">
        <f>IF('[32]سجل المستخلصات'!$AD$21="","",'[32]سجل المستخلصات'!$AD$21)</f>
        <v/>
      </c>
      <c r="Y40" s="58">
        <f>IF('[32]سجل المستخلصات'!$AE$21="","",'[32]سجل المستخلصات'!$AE$21)</f>
        <v/>
      </c>
    </row>
    <row r="41">
      <c r="B41" s="56" t="n">
        <v>17</v>
      </c>
      <c r="C41" s="57">
        <f>IF('[32]سجل المستخلصات'!$C$22="","",'[32]سجل المستخلصات'!$C$22)</f>
        <v/>
      </c>
      <c r="D41" s="57">
        <f>IF('[32]سجل المستخلصات'!$E$22="","",'[32]سجل المستخلصات'!$E$22)</f>
        <v/>
      </c>
      <c r="E41" s="58">
        <f>IF('[32]سجل المستخلصات'!$F$22="","",'[32]سجل المستخلصات'!$F$22)</f>
        <v/>
      </c>
      <c r="F41" s="59">
        <f>IF('[32]سجل المستخلصات'!$H$22="","",'[32]سجل المستخلصات'!$H$22)</f>
        <v/>
      </c>
      <c r="G41" s="59">
        <f>IF('[32]سجل المستخلصات'!$G$22="","",'[32]سجل المستخلصات'!$G$22)</f>
        <v/>
      </c>
      <c r="H41" s="59">
        <f>IF('[32]سجل المستخلصات'!$I$22="","",'[32]سجل المستخلصات'!$I$22)</f>
        <v/>
      </c>
      <c r="I41" s="59">
        <f>IF('[32]سجل المستخلصات'!$J$22="","",'[32]سجل المستخلصات'!$J$22)</f>
        <v/>
      </c>
      <c r="J41" s="59">
        <f>IF('[32]سجل المستخلصات'!$K$22="","",'[32]سجل المستخلصات'!$K$22)</f>
        <v/>
      </c>
      <c r="K41" s="60">
        <f>IF('[32]سجل المستخلصات'!$L$22="","",'[32]سجل المستخلصات'!$L$22)</f>
        <v/>
      </c>
      <c r="L41" s="60">
        <f>IF('[32]سجل المستخلصات'!$M$22="","",'[32]سجل المستخلصات'!$M$22)</f>
        <v/>
      </c>
      <c r="M41" s="60">
        <f>IF('[32]سجل المستخلصات'!$N$22="","",'[32]سجل المستخلصات'!$N$22)</f>
        <v/>
      </c>
      <c r="N41" s="59">
        <f>IF('[32]سجل المستخلصات'!$O$22="","",'[32]سجل المستخلصات'!$O$22)</f>
        <v/>
      </c>
      <c r="O41" s="59">
        <f>IF('[32]سجل المستخلصات'!$R$22="","",'[32]سجل المستخلصات'!$R$22)</f>
        <v/>
      </c>
      <c r="P41" s="59">
        <f>IF('[32]سجل المستخلصات'!$S$22="","",'[32]سجل المستخلصات'!$S$22)</f>
        <v/>
      </c>
      <c r="Q41" s="59">
        <f>IF('[32]سجل المستخلصات'!$T$22="","",'[32]سجل المستخلصات'!$T$22)</f>
        <v/>
      </c>
      <c r="R41" s="59">
        <f>IF('[32]سجل المستخلصات'!$V$22="","",'[32]سجل المستخلصات'!$V$22)</f>
        <v/>
      </c>
      <c r="S41" s="59">
        <f>IF('[32]سجل المستخلصات'!$W$22="","",'[32]سجل المستخلصات'!$W$22)</f>
        <v/>
      </c>
      <c r="T41" s="61">
        <f>IF('[32]سجل المستخلصات'!$X$22="","",'[32]سجل المستخلصات'!$X$22)</f>
        <v/>
      </c>
      <c r="U41" s="61">
        <f>IF('[32]سجل المستخلصات'!$Z$22="","",'[32]سجل المستخلصات'!$Z$22)</f>
        <v/>
      </c>
      <c r="V41" s="59">
        <f>IF('[32]سجل المستخلصات'!$AA$22="","",'[32]سجل المستخلصات'!$AA$22)</f>
        <v/>
      </c>
      <c r="W41" s="59">
        <f>IF('[32]سجل المستخلصات'!$AC$22="","",'[32]سجل المستخلصات'!$AC$22)</f>
        <v/>
      </c>
      <c r="X41" s="62">
        <f>IF('[32]سجل المستخلصات'!$AD$22="","",'[32]سجل المستخلصات'!$AD$22)</f>
        <v/>
      </c>
      <c r="Y41" s="58">
        <f>IF('[32]سجل المستخلصات'!$AE$22="","",'[32]سجل المستخلصات'!$AE$22)</f>
        <v/>
      </c>
    </row>
    <row r="42">
      <c r="B42" s="56" t="n">
        <v>18</v>
      </c>
      <c r="C42" s="57">
        <f>IF('[32]سجل المستخلصات'!$C$23="","",'[32]سجل المستخلصات'!$C$23)</f>
        <v/>
      </c>
      <c r="D42" s="57">
        <f>IF('[32]سجل المستخلصات'!$E$23="","",'[32]سجل المستخلصات'!$E$23)</f>
        <v/>
      </c>
      <c r="E42" s="58">
        <f>IF('[32]سجل المستخلصات'!$F$23="","",'[32]سجل المستخلصات'!$F$23)</f>
        <v/>
      </c>
      <c r="F42" s="59">
        <f>IF('[32]سجل المستخلصات'!$H$23="","",'[32]سجل المستخلصات'!$H$23)</f>
        <v/>
      </c>
      <c r="G42" s="59">
        <f>IF('[32]سجل المستخلصات'!$G$23="","",'[32]سجل المستخلصات'!$G$23)</f>
        <v/>
      </c>
      <c r="H42" s="59">
        <f>IF('[32]سجل المستخلصات'!$I$23="","",'[32]سجل المستخلصات'!$I$23)</f>
        <v/>
      </c>
      <c r="I42" s="59">
        <f>IF('[32]سجل المستخلصات'!$J$23="","",'[32]سجل المستخلصات'!$J$23)</f>
        <v/>
      </c>
      <c r="J42" s="59">
        <f>IF('[32]سجل المستخلصات'!$K$23="","",'[32]سجل المستخلصات'!$K$23)</f>
        <v/>
      </c>
      <c r="K42" s="60">
        <f>IF('[32]سجل المستخلصات'!$L$23="","",'[32]سجل المستخلصات'!$L$23)</f>
        <v/>
      </c>
      <c r="L42" s="60">
        <f>IF('[32]سجل المستخلصات'!$M$23="","",'[32]سجل المستخلصات'!$M$23)</f>
        <v/>
      </c>
      <c r="M42" s="60">
        <f>IF('[32]سجل المستخلصات'!$N$23="","",'[32]سجل المستخلصات'!$N$23)</f>
        <v/>
      </c>
      <c r="N42" s="59">
        <f>IF('[32]سجل المستخلصات'!$O$23="","",'[32]سجل المستخلصات'!$O$23)</f>
        <v/>
      </c>
      <c r="O42" s="59">
        <f>IF('[32]سجل المستخلصات'!$R$23="","",'[32]سجل المستخلصات'!$R$23)</f>
        <v/>
      </c>
      <c r="P42" s="59">
        <f>IF('[32]سجل المستخلصات'!$S$23="","",'[32]سجل المستخلصات'!$S$23)</f>
        <v/>
      </c>
      <c r="Q42" s="59">
        <f>IF('[32]سجل المستخلصات'!$T$23="","",'[32]سجل المستخلصات'!$T$23)</f>
        <v/>
      </c>
      <c r="R42" s="59">
        <f>IF('[32]سجل المستخلصات'!$V$23="","",'[32]سجل المستخلصات'!$V$23)</f>
        <v/>
      </c>
      <c r="S42" s="59">
        <f>IF('[32]سجل المستخلصات'!$W$23="","",'[32]سجل المستخلصات'!$W$23)</f>
        <v/>
      </c>
      <c r="T42" s="61">
        <f>IF('[32]سجل المستخلصات'!$X$23="","",'[32]سجل المستخلصات'!$X$23)</f>
        <v/>
      </c>
      <c r="U42" s="61">
        <f>IF('[32]سجل المستخلصات'!$Z$23="","",'[32]سجل المستخلصات'!$Z$23)</f>
        <v/>
      </c>
      <c r="V42" s="59">
        <f>IF('[32]سجل المستخلصات'!$AA$23="","",'[32]سجل المستخلصات'!$AA$23)</f>
        <v/>
      </c>
      <c r="W42" s="59">
        <f>IF('[32]سجل المستخلصات'!$AC$23="","",'[32]سجل المستخلصات'!$AC$23)</f>
        <v/>
      </c>
      <c r="X42" s="62">
        <f>IF('[32]سجل المستخلصات'!$AD$23="","",'[32]سجل المستخلصات'!$AD$23)</f>
        <v/>
      </c>
      <c r="Y42" s="58">
        <f>IF('[32]سجل المستخلصات'!$AE$23="","",'[32]سجل المستخلصات'!$AE$23)</f>
        <v/>
      </c>
    </row>
    <row r="43">
      <c r="B43" s="56" t="n">
        <v>19</v>
      </c>
      <c r="C43" s="57">
        <f>IF('[32]سجل المستخلصات'!$C$24="","",'[32]سجل المستخلصات'!$C$24)</f>
        <v/>
      </c>
      <c r="D43" s="57">
        <f>IF('[32]سجل المستخلصات'!$E$24="","",'[32]سجل المستخلصات'!$E$24)</f>
        <v/>
      </c>
      <c r="E43" s="58">
        <f>IF('[32]سجل المستخلصات'!$F$24="","",'[32]سجل المستخلصات'!$F$24)</f>
        <v/>
      </c>
      <c r="F43" s="59">
        <f>IF('[32]سجل المستخلصات'!$H$24="","",'[32]سجل المستخلصات'!$H$24)</f>
        <v/>
      </c>
      <c r="G43" s="59">
        <f>IF('[32]سجل المستخلصات'!$G$24="","",'[32]سجل المستخلصات'!$G$24)</f>
        <v/>
      </c>
      <c r="H43" s="59">
        <f>IF('[32]سجل المستخلصات'!$I$24="","",'[32]سجل المستخلصات'!$I$24)</f>
        <v/>
      </c>
      <c r="I43" s="59">
        <f>IF('[32]سجل المستخلصات'!$J$24="","",'[32]سجل المستخلصات'!$J$24)</f>
        <v/>
      </c>
      <c r="J43" s="59">
        <f>IF('[32]سجل المستخلصات'!$K$24="","",'[32]سجل المستخلصات'!$K$24)</f>
        <v/>
      </c>
      <c r="K43" s="60">
        <f>IF('[32]سجل المستخلصات'!$L$24="","",'[32]سجل المستخلصات'!$L$24)</f>
        <v/>
      </c>
      <c r="L43" s="60">
        <f>IF('[32]سجل المستخلصات'!$M$24="","",'[32]سجل المستخلصات'!$M$24)</f>
        <v/>
      </c>
      <c r="M43" s="60">
        <f>IF('[32]سجل المستخلصات'!$N$24="","",'[32]سجل المستخلصات'!$N$24)</f>
        <v/>
      </c>
      <c r="N43" s="59">
        <f>IF('[32]سجل المستخلصات'!$O$24="","",'[32]سجل المستخلصات'!$O$24)</f>
        <v/>
      </c>
      <c r="O43" s="59">
        <f>IF('[32]سجل المستخلصات'!$R$24="","",'[32]سجل المستخلصات'!$R$24)</f>
        <v/>
      </c>
      <c r="P43" s="59">
        <f>IF('[32]سجل المستخلصات'!$S$24="","",'[32]سجل المستخلصات'!$S$24)</f>
        <v/>
      </c>
      <c r="Q43" s="59">
        <f>IF('[32]سجل المستخلصات'!$T$24="","",'[32]سجل المستخلصات'!$T$24)</f>
        <v/>
      </c>
      <c r="R43" s="59">
        <f>IF('[32]سجل المستخلصات'!$V$24="","",'[32]سجل المستخلصات'!$V$24)</f>
        <v/>
      </c>
      <c r="S43" s="59">
        <f>IF('[32]سجل المستخلصات'!$W$24="","",'[32]سجل المستخلصات'!$W$24)</f>
        <v/>
      </c>
      <c r="T43" s="61">
        <f>IF('[32]سجل المستخلصات'!$X$24="","",'[32]سجل المستخلصات'!$X$24)</f>
        <v/>
      </c>
      <c r="U43" s="61">
        <f>IF('[32]سجل المستخلصات'!$Z$24="","",'[32]سجل المستخلصات'!$Z$24)</f>
        <v/>
      </c>
      <c r="V43" s="59">
        <f>IF('[32]سجل المستخلصات'!$AA$24="","",'[32]سجل المستخلصات'!$AA$24)</f>
        <v/>
      </c>
      <c r="W43" s="59">
        <f>IF('[32]سجل المستخلصات'!$AC$24="","",'[32]سجل المستخلصات'!$AC$24)</f>
        <v/>
      </c>
      <c r="X43" s="62">
        <f>IF('[32]سجل المستخلصات'!$AD$24="","",'[32]سجل المستخلصات'!$AD$24)</f>
        <v/>
      </c>
      <c r="Y43" s="58">
        <f>IF('[32]سجل المستخلصات'!$AE$24="","",'[32]سجل المستخلصات'!$AE$24)</f>
        <v/>
      </c>
    </row>
    <row r="44">
      <c r="B44" s="56" t="n">
        <v>20</v>
      </c>
      <c r="C44" s="57">
        <f>IF('[32]سجل المستخلصات'!$C$25="","",'[32]سجل المستخلصات'!$C$25)</f>
        <v/>
      </c>
      <c r="D44" s="57">
        <f>IF('[32]سجل المستخلصات'!$E$25="","",'[32]سجل المستخلصات'!$E$25)</f>
        <v/>
      </c>
      <c r="E44" s="58">
        <f>IF('[32]سجل المستخلصات'!$F$25="","",'[32]سجل المستخلصات'!$F$25)</f>
        <v/>
      </c>
      <c r="F44" s="59">
        <f>IF('[32]سجل المستخلصات'!$H$25="","",'[32]سجل المستخلصات'!$H$25)</f>
        <v/>
      </c>
      <c r="G44" s="59">
        <f>IF('[32]سجل المستخلصات'!$G$25="","",'[32]سجل المستخلصات'!$G$25)</f>
        <v/>
      </c>
      <c r="H44" s="59">
        <f>IF('[32]سجل المستخلصات'!$I$25="","",'[32]سجل المستخلصات'!$I$25)</f>
        <v/>
      </c>
      <c r="I44" s="59">
        <f>IF('[32]سجل المستخلصات'!$J$25="","",'[32]سجل المستخلصات'!$J$25)</f>
        <v/>
      </c>
      <c r="J44" s="59">
        <f>IF('[32]سجل المستخلصات'!$K$25="","",'[32]سجل المستخلصات'!$K$25)</f>
        <v/>
      </c>
      <c r="K44" s="60">
        <f>IF('[32]سجل المستخلصات'!$L$25="","",'[32]سجل المستخلصات'!$L$25)</f>
        <v/>
      </c>
      <c r="L44" s="60">
        <f>IF('[32]سجل المستخلصات'!$M$25="","",'[32]سجل المستخلصات'!$M$25)</f>
        <v/>
      </c>
      <c r="M44" s="60">
        <f>IF('[32]سجل المستخلصات'!$N$25="","",'[32]سجل المستخلصات'!$N$25)</f>
        <v/>
      </c>
      <c r="N44" s="59">
        <f>IF('[32]سجل المستخلصات'!$O$25="","",'[32]سجل المستخلصات'!$O$25)</f>
        <v/>
      </c>
      <c r="O44" s="59">
        <f>IF('[32]سجل المستخلصات'!$R$25="","",'[32]سجل المستخلصات'!$R$25)</f>
        <v/>
      </c>
      <c r="P44" s="59">
        <f>IF('[32]سجل المستخلصات'!$S$25="","",'[32]سجل المستخلصات'!$S$25)</f>
        <v/>
      </c>
      <c r="Q44" s="59">
        <f>IF('[32]سجل المستخلصات'!$T$25="","",'[32]سجل المستخلصات'!$T$25)</f>
        <v/>
      </c>
      <c r="R44" s="59">
        <f>IF('[32]سجل المستخلصات'!$V$25="","",'[32]سجل المستخلصات'!$V$25)</f>
        <v/>
      </c>
      <c r="S44" s="59">
        <f>IF('[32]سجل المستخلصات'!$W$25="","",'[32]سجل المستخلصات'!$W$25)</f>
        <v/>
      </c>
      <c r="T44" s="61">
        <f>IF('[32]سجل المستخلصات'!$X$25="","",'[32]سجل المستخلصات'!$X$25)</f>
        <v/>
      </c>
      <c r="U44" s="61">
        <f>IF('[32]سجل المستخلصات'!$Z$25="","",'[32]سجل المستخلصات'!$Z$25)</f>
        <v/>
      </c>
      <c r="V44" s="59">
        <f>IF('[32]سجل المستخلصات'!$AA$25="","",'[32]سجل المستخلصات'!$AA$25)</f>
        <v/>
      </c>
      <c r="W44" s="59">
        <f>IF('[32]سجل المستخلصات'!$AC$25="","",'[32]سجل المستخلصات'!$AC$25)</f>
        <v/>
      </c>
      <c r="X44" s="62">
        <f>IF('[32]سجل المستخلصات'!$AD$25="","",'[32]سجل المستخلصات'!$AD$25)</f>
        <v/>
      </c>
      <c r="Y44" s="58">
        <f>IF('[32]سجل المستخلصات'!$AE$25="","",'[32]سجل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IF('[32]سجل المستخلصات'!$B$32="","",'[32]سجل المستخلصات'!$B$32)</f>
        <v/>
      </c>
      <c r="C50" s="69" t="n"/>
      <c r="D50" s="69" t="n"/>
      <c r="E50" s="59">
        <f>N('[32]سجل المستخلصات'!$E$32)</f>
        <v/>
      </c>
      <c r="F50" s="59">
        <f>N('[32]سجل المستخلصات'!$F$32)</f>
        <v/>
      </c>
      <c r="G50" s="70">
        <f>IF(E50&gt;0,F50/E50,0)</f>
        <v/>
      </c>
    </row>
    <row r="51">
      <c r="B51" s="69">
        <f>IF('[32]سجل المستخلصات'!$B$33="","",'[32]سجل المستخلصات'!$B$33)</f>
        <v/>
      </c>
      <c r="C51" s="69" t="n"/>
      <c r="D51" s="69" t="n"/>
      <c r="E51" s="59">
        <f>N('[32]سجل المستخلصات'!$E$33)</f>
        <v/>
      </c>
      <c r="F51" s="59">
        <f>N('[32]سجل المستخلصات'!$F$33)</f>
        <v/>
      </c>
      <c r="G51" s="70">
        <f>IF(E51&gt;0,F51/E51,0)</f>
        <v/>
      </c>
    </row>
    <row r="52">
      <c r="B52" s="69">
        <f>IF('[32]سجل المستخلصات'!$B$34="","",'[32]سجل المستخلصات'!$B$34)</f>
        <v/>
      </c>
      <c r="C52" s="69" t="n"/>
      <c r="D52" s="69" t="n"/>
      <c r="E52" s="59">
        <f>N('[32]سجل المستخلصات'!$E$34)</f>
        <v/>
      </c>
      <c r="F52" s="59">
        <f>N('[32]سجل المستخلصات'!$F$34)</f>
        <v/>
      </c>
      <c r="G52" s="70">
        <f>IF(E52&gt;0,F52/E52,0)</f>
        <v/>
      </c>
    </row>
    <row r="53">
      <c r="B53" s="69">
        <f>IF('[32]سجل المستخلصات'!$B$35="","",'[32]سجل المستخلصات'!$B$35)</f>
        <v/>
      </c>
      <c r="C53" s="69" t="n"/>
      <c r="D53" s="69" t="n"/>
      <c r="E53" s="59">
        <f>N('[32]سجل المستخلصات'!$E$35)</f>
        <v/>
      </c>
      <c r="F53" s="59">
        <f>N('[32]سجل المستخلصات'!$F$35)</f>
        <v/>
      </c>
      <c r="G53" s="70">
        <f>IF(E53&gt;0,F53/E53,0)</f>
        <v/>
      </c>
    </row>
    <row r="54">
      <c r="B54" s="69">
        <f>IF('[32]سجل المستخلصات'!$B$36="","",'[32]سجل المستخلصات'!$B$36)</f>
        <v/>
      </c>
      <c r="C54" s="69" t="n"/>
      <c r="D54" s="69" t="n"/>
      <c r="E54" s="59">
        <f>N('[32]سجل المستخلصات'!$E$36)</f>
        <v/>
      </c>
      <c r="F54" s="59">
        <f>N('[32]سجل المستخلصات'!$F$36)</f>
        <v/>
      </c>
      <c r="G54" s="70">
        <f>IF(E54&gt;0,F54/E54,0)</f>
        <v/>
      </c>
    </row>
    <row r="55">
      <c r="B55" s="69">
        <f>IF('[32]سجل المستخلصات'!$B$37="","",'[32]سجل المستخلصات'!$B$37)</f>
        <v/>
      </c>
      <c r="C55" s="69" t="n"/>
      <c r="D55" s="69" t="n"/>
      <c r="E55" s="59">
        <f>N('[32]سجل المستخلصات'!$E$37)</f>
        <v/>
      </c>
      <c r="F55" s="59">
        <f>N('[32]سجل المستخلصات'!$F$37)</f>
        <v/>
      </c>
      <c r="G55" s="70">
        <f>IF(E55&gt;0,F55/E55,0)</f>
        <v/>
      </c>
    </row>
    <row r="56">
      <c r="B56" s="69">
        <f>IF('[32]سجل المستخلصات'!$B$38="","",'[32]سجل المستخلصات'!$B$38)</f>
        <v/>
      </c>
      <c r="C56" s="69" t="n"/>
      <c r="D56" s="69" t="n"/>
      <c r="E56" s="59">
        <f>N('[32]سجل المستخلصات'!$E$38)</f>
        <v/>
      </c>
      <c r="F56" s="59">
        <f>N('[32]سجل المستخلصات'!$F$38)</f>
        <v/>
      </c>
      <c r="G56" s="70">
        <f>IF(E56&gt;0,F56/E56,0)</f>
        <v/>
      </c>
    </row>
    <row r="57">
      <c r="B57" s="69">
        <f>IF('[32]سجل المستخلصات'!$B$39="","",'[32]سجل المستخلصات'!$B$39)</f>
        <v/>
      </c>
      <c r="C57" s="69" t="n"/>
      <c r="D57" s="69" t="n"/>
      <c r="E57" s="59">
        <f>N('[32]سجل المستخلصات'!$E$39)</f>
        <v/>
      </c>
      <c r="F57" s="59">
        <f>N('[32]سجل المستخلصات'!$F$39)</f>
        <v/>
      </c>
      <c r="G57" s="70">
        <f>IF(E57&gt;0,F57/E57,0)</f>
        <v/>
      </c>
    </row>
    <row r="58">
      <c r="B58" s="69">
        <f>IF('[32]سجل المستخلصات'!$B$40="","",'[32]سجل المستخلصات'!$B$40)</f>
        <v/>
      </c>
      <c r="C58" s="69" t="n"/>
      <c r="D58" s="69" t="n"/>
      <c r="E58" s="59">
        <f>N('[32]سجل المستخلصات'!$E$40)</f>
        <v/>
      </c>
      <c r="F58" s="59">
        <f>N('[32]سجل المستخلصات'!$F$40)</f>
        <v/>
      </c>
      <c r="G58" s="70">
        <f>IF(E58&gt;0,F58/E58,0)</f>
        <v/>
      </c>
    </row>
    <row r="59">
      <c r="B59" s="69">
        <f>IF('[32]سجل المستخلصات'!$B$41="","",'[32]سجل المستخلصات'!$B$41)</f>
        <v/>
      </c>
      <c r="C59" s="69" t="n"/>
      <c r="D59" s="69" t="n"/>
      <c r="E59" s="59">
        <f>N('[32]سجل المستخلصات'!$E$41)</f>
        <v/>
      </c>
      <c r="F59" s="59">
        <f>N('[32]سجل المستخلصات'!$F$41)</f>
        <v/>
      </c>
      <c r="G59" s="70">
        <f>IF(E59&gt;0,F59/E59,0)</f>
        <v/>
      </c>
    </row>
    <row r="60">
      <c r="B60" s="69">
        <f>IF('[32]سجل المستخلصات'!$B$42="","",'[32]سجل المستخلصات'!$B$42)</f>
        <v/>
      </c>
      <c r="C60" s="69" t="n"/>
      <c r="D60" s="69" t="n"/>
      <c r="E60" s="59">
        <f>N('[32]سجل المستخلصات'!$E$42)</f>
        <v/>
      </c>
      <c r="F60" s="59">
        <f>N('[32]سجل المستخلصات'!$F$42)</f>
        <v/>
      </c>
      <c r="G60" s="70">
        <f>IF(E60&gt;0,F60/E60,0)</f>
        <v/>
      </c>
    </row>
    <row r="61">
      <c r="B61" s="69">
        <f>IF('[32]سجل المستخلصات'!$B$43="","",'[32]سجل المستخلصات'!$B$43)</f>
        <v/>
      </c>
      <c r="C61" s="69" t="n"/>
      <c r="D61" s="69" t="n"/>
      <c r="E61" s="59">
        <f>N('[32]سجل المستخلصات'!$E$43)</f>
        <v/>
      </c>
      <c r="F61" s="59">
        <f>N('[32]سجل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31'!A1" display="◄ المشروع السابق"/>
    <hyperlink ref="D3" location="'مشروع 33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3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"&amp;IF('[33]بيانات العقد'!$C$5="","مشروع رقم 33 — غير مُفعّل",'[33]بيانات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Project_33/IPC_Project_33.xlsx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IF('[33]بيانات العقد'!$C$5="","",'[33]بيانات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IF('[33]بيانات العقد'!$C$6="","",'[33]بيانات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IF('[33]بيانات العقد'!$C$7="","",'[33]بيانات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IF('[33]بيانات العقد'!$C$8="","",'[33]بيانات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N('[33]بيانات العقد'!$C$16)</f>
        <v/>
      </c>
    </row>
    <row r="6" ht="22" customHeight="1">
      <c r="B6" s="11" t="inlineStr">
        <is>
          <t>المقاول</t>
        </is>
      </c>
      <c r="C6" s="14">
        <f>IF('[33]بيانات العقد'!$C$9="","",'[33]بيانات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IF('[33]بيانات العقد'!$C$11="","",'[33]بيانات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IF('[33]بيانات العقد'!$C$13="","",'[33]بيانات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IF('[33]بيانات العقد'!$C$14="","",'[33]بيانات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N('[33]بيانات العقد'!$C$17)</f>
        <v/>
      </c>
    </row>
    <row r="7">
      <c r="AA7" s="15" t="inlineStr">
        <is>
          <t>قيمة العقد المعدلة</t>
        </is>
      </c>
      <c r="AB7" s="16">
        <f>N('[33]بيانات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N('[33]بيانات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N('[33]بيانات العقد'!$C$21)</f>
        <v/>
      </c>
    </row>
    <row r="10">
      <c r="AA10" s="15" t="inlineStr">
        <is>
          <t>نسبة ضمان الأعمال</t>
        </is>
      </c>
      <c r="AB10" s="23">
        <f>N('[33]بيانات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N('[33]بيانات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N('[33]بيانات العقد'!$C$31)</f>
        <v/>
      </c>
    </row>
    <row r="13">
      <c r="AA13" s="15" t="inlineStr">
        <is>
          <t>ضريبة الاستقطاع (غير المقيم)</t>
        </is>
      </c>
      <c r="AB13" s="23">
        <f>N('[33]بيانات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IF('[33]بيانات العقد'!$C$11="","",'[33]بيانات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IF('[33]بيانات العقد'!$C$13="","",'[33]بيانات العقد'!$C$13)</f>
        <v/>
      </c>
    </row>
    <row r="16">
      <c r="AA16" s="15" t="inlineStr">
        <is>
          <t>المدة (شهر)</t>
        </is>
      </c>
      <c r="AB16" s="43">
        <f>IF('[33]بيانات العقد'!$C$12="","",'[33]بيانات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IF('[33]بيانات العقد'!$C$36="","",'[33]بيانات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IF('[33]بيانات العقد'!$C$37="","",'[33]بيانات العقد'!$C$37)</f>
        <v/>
      </c>
    </row>
    <row r="19">
      <c r="AA19" s="15" t="inlineStr">
        <is>
          <t>الرقم الضريبي لصاحب العمل</t>
        </is>
      </c>
      <c r="AB19" s="48">
        <f>IF('[33]بيانات العقد'!$C$39="","",'[33]بيانات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IF('[33]بيانات العقد'!$C$42="","",'[33]بيانات العقد'!$C$42)</f>
        <v/>
      </c>
    </row>
    <row r="21" ht="32" customHeight="1">
      <c r="B21" s="50">
        <f>N('[33]الموازنة والتكاليف'!$D$66)</f>
        <v/>
      </c>
      <c r="C21" s="50" t="n"/>
      <c r="D21" s="50" t="n"/>
      <c r="E21" s="50" t="n"/>
      <c r="F21" s="50">
        <f>N('[33]الموازنة والتكاليف'!$D$70)</f>
        <v/>
      </c>
      <c r="G21" s="50" t="n"/>
      <c r="H21" s="50" t="n"/>
      <c r="I21" s="50" t="n"/>
      <c r="J21" s="50">
        <f>N('[33]الموازنة والتكاليف'!$D$72)</f>
        <v/>
      </c>
      <c r="K21" s="50" t="n"/>
      <c r="L21" s="50" t="n"/>
      <c r="M21" s="50" t="n"/>
      <c r="N21" s="51">
        <f>N('[33]الموازنة والتكاليف'!$D$73)</f>
        <v/>
      </c>
      <c r="O21" s="51" t="n"/>
      <c r="P21" s="51" t="n"/>
      <c r="Q21" s="51" t="n"/>
      <c r="R21" s="52">
        <f>N('[33]الموازنة والتكاليف'!$D$74)</f>
        <v/>
      </c>
      <c r="S21" s="52" t="n"/>
      <c r="T21" s="52" t="n"/>
      <c r="U21" s="52" t="n"/>
      <c r="V21" s="50">
        <f>N('[33]الموازنة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IF('[33]بيانات العقد'!$C$43="","",'[33]بيانات العقد'!$C$43)</f>
        <v/>
      </c>
    </row>
    <row r="22">
      <c r="AA22" s="15" t="inlineStr">
        <is>
          <t>حالة غرامات التأخير</t>
        </is>
      </c>
      <c r="AB22" s="45">
        <f>IF('[33]بيانات العقد'!$C$47="","",'[33]بيانات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IF('[33]سجل المستخلصات'!$C$6="","",'[33]سجل المستخلصات'!$C$6)</f>
        <v/>
      </c>
      <c r="D25" s="57">
        <f>IF('[33]سجل المستخلصات'!$E$6="","",'[33]سجل المستخلصات'!$E$6)</f>
        <v/>
      </c>
      <c r="E25" s="58">
        <f>IF('[33]سجل المستخلصات'!$F$6="","",'[33]سجل المستخلصات'!$F$6)</f>
        <v/>
      </c>
      <c r="F25" s="59">
        <f>IF('[33]سجل المستخلصات'!$H$6="","",'[33]سجل المستخلصات'!$H$6)</f>
        <v/>
      </c>
      <c r="G25" s="59">
        <f>IF('[33]سجل المستخلصات'!$G$6="","",'[33]سجل المستخلصات'!$G$6)</f>
        <v/>
      </c>
      <c r="H25" s="59">
        <f>IF('[33]سجل المستخلصات'!$I$6="","",'[33]سجل المستخلصات'!$I$6)</f>
        <v/>
      </c>
      <c r="I25" s="59">
        <f>IF('[33]سجل المستخلصات'!$J$6="","",'[33]سجل المستخلصات'!$J$6)</f>
        <v/>
      </c>
      <c r="J25" s="59">
        <f>IF('[33]سجل المستخلصات'!$K$6="","",'[33]سجل المستخلصات'!$K$6)</f>
        <v/>
      </c>
      <c r="K25" s="60">
        <f>IF('[33]سجل المستخلصات'!$L$6="","",'[33]سجل المستخلصات'!$L$6)</f>
        <v/>
      </c>
      <c r="L25" s="60">
        <f>IF('[33]سجل المستخلصات'!$M$6="","",'[33]سجل المستخلصات'!$M$6)</f>
        <v/>
      </c>
      <c r="M25" s="60">
        <f>IF('[33]سجل المستخلصات'!$N$6="","",'[33]سجل المستخلصات'!$N$6)</f>
        <v/>
      </c>
      <c r="N25" s="59">
        <f>IF('[33]سجل المستخلصات'!$O$6="","",'[33]سجل المستخلصات'!$O$6)</f>
        <v/>
      </c>
      <c r="O25" s="59">
        <f>IF('[33]سجل المستخلصات'!$R$6="","",'[33]سجل المستخلصات'!$R$6)</f>
        <v/>
      </c>
      <c r="P25" s="59">
        <f>IF('[33]سجل المستخلصات'!$S$6="","",'[33]سجل المستخلصات'!$S$6)</f>
        <v/>
      </c>
      <c r="Q25" s="59">
        <f>IF('[33]سجل المستخلصات'!$T$6="","",'[33]سجل المستخلصات'!$T$6)</f>
        <v/>
      </c>
      <c r="R25" s="59">
        <f>IF('[33]سجل المستخلصات'!$V$6="","",'[33]سجل المستخلصات'!$V$6)</f>
        <v/>
      </c>
      <c r="S25" s="59">
        <f>IF('[33]سجل المستخلصات'!$W$6="","",'[33]سجل المستخلصات'!$W$6)</f>
        <v/>
      </c>
      <c r="T25" s="61">
        <f>IF('[33]سجل المستخلصات'!$X$6="","",'[33]سجل المستخلصات'!$X$6)</f>
        <v/>
      </c>
      <c r="U25" s="61">
        <f>IF('[33]سجل المستخلصات'!$Z$6="","",'[33]سجل المستخلصات'!$Z$6)</f>
        <v/>
      </c>
      <c r="V25" s="59">
        <f>IF('[33]سجل المستخلصات'!$AA$6="","",'[33]سجل المستخلصات'!$AA$6)</f>
        <v/>
      </c>
      <c r="W25" s="59">
        <f>IF('[33]سجل المستخلصات'!$AC$6="","",'[33]سجل المستخلصات'!$AC$6)</f>
        <v/>
      </c>
      <c r="X25" s="62">
        <f>IF('[33]سجل المستخلصات'!$AD$6="","",'[33]سجل المستخلصات'!$AD$6)</f>
        <v/>
      </c>
      <c r="Y25" s="58">
        <f>IF('[33]سجل المستخلصات'!$AE$6="","",'[33]سجل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IF('[33]سجل المستخلصات'!$C$7="","",'[33]سجل المستخلصات'!$C$7)</f>
        <v/>
      </c>
      <c r="D26" s="57">
        <f>IF('[33]سجل المستخلصات'!$E$7="","",'[33]سجل المستخلصات'!$E$7)</f>
        <v/>
      </c>
      <c r="E26" s="58">
        <f>IF('[33]سجل المستخلصات'!$F$7="","",'[33]سجل المستخلصات'!$F$7)</f>
        <v/>
      </c>
      <c r="F26" s="59">
        <f>IF('[33]سجل المستخلصات'!$H$7="","",'[33]سجل المستخلصات'!$H$7)</f>
        <v/>
      </c>
      <c r="G26" s="59">
        <f>IF('[33]سجل المستخلصات'!$G$7="","",'[33]سجل المستخلصات'!$G$7)</f>
        <v/>
      </c>
      <c r="H26" s="59">
        <f>IF('[33]سجل المستخلصات'!$I$7="","",'[33]سجل المستخلصات'!$I$7)</f>
        <v/>
      </c>
      <c r="I26" s="59">
        <f>IF('[33]سجل المستخلصات'!$J$7="","",'[33]سجل المستخلصات'!$J$7)</f>
        <v/>
      </c>
      <c r="J26" s="59">
        <f>IF('[33]سجل المستخلصات'!$K$7="","",'[33]سجل المستخلصات'!$K$7)</f>
        <v/>
      </c>
      <c r="K26" s="60">
        <f>IF('[33]سجل المستخلصات'!$L$7="","",'[33]سجل المستخلصات'!$L$7)</f>
        <v/>
      </c>
      <c r="L26" s="60">
        <f>IF('[33]سجل المستخلصات'!$M$7="","",'[33]سجل المستخلصات'!$M$7)</f>
        <v/>
      </c>
      <c r="M26" s="60">
        <f>IF('[33]سجل المستخلصات'!$N$7="","",'[33]سجل المستخلصات'!$N$7)</f>
        <v/>
      </c>
      <c r="N26" s="59">
        <f>IF('[33]سجل المستخلصات'!$O$7="","",'[33]سجل المستخلصات'!$O$7)</f>
        <v/>
      </c>
      <c r="O26" s="59">
        <f>IF('[33]سجل المستخلصات'!$R$7="","",'[33]سجل المستخلصات'!$R$7)</f>
        <v/>
      </c>
      <c r="P26" s="59">
        <f>IF('[33]سجل المستخلصات'!$S$7="","",'[33]سجل المستخلصات'!$S$7)</f>
        <v/>
      </c>
      <c r="Q26" s="59">
        <f>IF('[33]سجل المستخلصات'!$T$7="","",'[33]سجل المستخلصات'!$T$7)</f>
        <v/>
      </c>
      <c r="R26" s="59">
        <f>IF('[33]سجل المستخلصات'!$V$7="","",'[33]سجل المستخلصات'!$V$7)</f>
        <v/>
      </c>
      <c r="S26" s="59">
        <f>IF('[33]سجل المستخلصات'!$W$7="","",'[33]سجل المستخلصات'!$W$7)</f>
        <v/>
      </c>
      <c r="T26" s="61">
        <f>IF('[33]سجل المستخلصات'!$X$7="","",'[33]سجل المستخلصات'!$X$7)</f>
        <v/>
      </c>
      <c r="U26" s="61">
        <f>IF('[33]سجل المستخلصات'!$Z$7="","",'[33]سجل المستخلصات'!$Z$7)</f>
        <v/>
      </c>
      <c r="V26" s="59">
        <f>IF('[33]سجل المستخلصات'!$AA$7="","",'[33]سجل المستخلصات'!$AA$7)</f>
        <v/>
      </c>
      <c r="W26" s="59">
        <f>IF('[33]سجل المستخلصات'!$AC$7="","",'[33]سجل المستخلصات'!$AC$7)</f>
        <v/>
      </c>
      <c r="X26" s="62">
        <f>IF('[33]سجل المستخلصات'!$AD$7="","",'[33]سجل المستخلصات'!$AD$7)</f>
        <v/>
      </c>
      <c r="Y26" s="58">
        <f>IF('[33]سجل المستخلصات'!$AE$7="","",'[33]سجل المستخلصات'!$AE$7)</f>
        <v/>
      </c>
      <c r="AA26" s="63" t="n"/>
      <c r="AB26" s="63" t="n"/>
    </row>
    <row r="27">
      <c r="B27" s="56" t="n">
        <v>3</v>
      </c>
      <c r="C27" s="57">
        <f>IF('[33]سجل المستخلصات'!$C$8="","",'[33]سجل المستخلصات'!$C$8)</f>
        <v/>
      </c>
      <c r="D27" s="57">
        <f>IF('[33]سجل المستخلصات'!$E$8="","",'[33]سجل المستخلصات'!$E$8)</f>
        <v/>
      </c>
      <c r="E27" s="58">
        <f>IF('[33]سجل المستخلصات'!$F$8="","",'[33]سجل المستخلصات'!$F$8)</f>
        <v/>
      </c>
      <c r="F27" s="59">
        <f>IF('[33]سجل المستخلصات'!$H$8="","",'[33]سجل المستخلصات'!$H$8)</f>
        <v/>
      </c>
      <c r="G27" s="59">
        <f>IF('[33]سجل المستخلصات'!$G$8="","",'[33]سجل المستخلصات'!$G$8)</f>
        <v/>
      </c>
      <c r="H27" s="59">
        <f>IF('[33]سجل المستخلصات'!$I$8="","",'[33]سجل المستخلصات'!$I$8)</f>
        <v/>
      </c>
      <c r="I27" s="59">
        <f>IF('[33]سجل المستخلصات'!$J$8="","",'[33]سجل المستخلصات'!$J$8)</f>
        <v/>
      </c>
      <c r="J27" s="59">
        <f>IF('[33]سجل المستخلصات'!$K$8="","",'[33]سجل المستخلصات'!$K$8)</f>
        <v/>
      </c>
      <c r="K27" s="60">
        <f>IF('[33]سجل المستخلصات'!$L$8="","",'[33]سجل المستخلصات'!$L$8)</f>
        <v/>
      </c>
      <c r="L27" s="60">
        <f>IF('[33]سجل المستخلصات'!$M$8="","",'[33]سجل المستخلصات'!$M$8)</f>
        <v/>
      </c>
      <c r="M27" s="60">
        <f>IF('[33]سجل المستخلصات'!$N$8="","",'[33]سجل المستخلصات'!$N$8)</f>
        <v/>
      </c>
      <c r="N27" s="59">
        <f>IF('[33]سجل المستخلصات'!$O$8="","",'[33]سجل المستخلصات'!$O$8)</f>
        <v/>
      </c>
      <c r="O27" s="59">
        <f>IF('[33]سجل المستخلصات'!$R$8="","",'[33]سجل المستخلصات'!$R$8)</f>
        <v/>
      </c>
      <c r="P27" s="59">
        <f>IF('[33]سجل المستخلصات'!$S$8="","",'[33]سجل المستخلصات'!$S$8)</f>
        <v/>
      </c>
      <c r="Q27" s="59">
        <f>IF('[33]سجل المستخلصات'!$T$8="","",'[33]سجل المستخلصات'!$T$8)</f>
        <v/>
      </c>
      <c r="R27" s="59">
        <f>IF('[33]سجل المستخلصات'!$V$8="","",'[33]سجل المستخلصات'!$V$8)</f>
        <v/>
      </c>
      <c r="S27" s="59">
        <f>IF('[33]سجل المستخلصات'!$W$8="","",'[33]سجل المستخلصات'!$W$8)</f>
        <v/>
      </c>
      <c r="T27" s="61">
        <f>IF('[33]سجل المستخلصات'!$X$8="","",'[33]سجل المستخلصات'!$X$8)</f>
        <v/>
      </c>
      <c r="U27" s="61">
        <f>IF('[33]سجل المستخلصات'!$Z$8="","",'[33]سجل المستخلصات'!$Z$8)</f>
        <v/>
      </c>
      <c r="V27" s="59">
        <f>IF('[33]سجل المستخلصات'!$AA$8="","",'[33]سجل المستخلصات'!$AA$8)</f>
        <v/>
      </c>
      <c r="W27" s="59">
        <f>IF('[33]سجل المستخلصات'!$AC$8="","",'[33]سجل المستخلصات'!$AC$8)</f>
        <v/>
      </c>
      <c r="X27" s="62">
        <f>IF('[33]سجل المستخلصات'!$AD$8="","",'[33]سجل المستخلصات'!$AD$8)</f>
        <v/>
      </c>
      <c r="Y27" s="58">
        <f>IF('[33]سجل المستخلصات'!$AE$8="","",'[33]سجل المستخلصات'!$AE$8)</f>
        <v/>
      </c>
      <c r="AA27" s="63" t="n"/>
      <c r="AB27" s="63" t="n"/>
    </row>
    <row r="28">
      <c r="B28" s="56" t="n">
        <v>4</v>
      </c>
      <c r="C28" s="57">
        <f>IF('[33]سجل المستخلصات'!$C$9="","",'[33]سجل المستخلصات'!$C$9)</f>
        <v/>
      </c>
      <c r="D28" s="57">
        <f>IF('[33]سجل المستخلصات'!$E$9="","",'[33]سجل المستخلصات'!$E$9)</f>
        <v/>
      </c>
      <c r="E28" s="58">
        <f>IF('[33]سجل المستخلصات'!$F$9="","",'[33]سجل المستخلصات'!$F$9)</f>
        <v/>
      </c>
      <c r="F28" s="59">
        <f>IF('[33]سجل المستخلصات'!$H$9="","",'[33]سجل المستخلصات'!$H$9)</f>
        <v/>
      </c>
      <c r="G28" s="59">
        <f>IF('[33]سجل المستخلصات'!$G$9="","",'[33]سجل المستخلصات'!$G$9)</f>
        <v/>
      </c>
      <c r="H28" s="59">
        <f>IF('[33]سجل المستخلصات'!$I$9="","",'[33]سجل المستخلصات'!$I$9)</f>
        <v/>
      </c>
      <c r="I28" s="59">
        <f>IF('[33]سجل المستخلصات'!$J$9="","",'[33]سجل المستخلصات'!$J$9)</f>
        <v/>
      </c>
      <c r="J28" s="59">
        <f>IF('[33]سجل المستخلصات'!$K$9="","",'[33]سجل المستخلصات'!$K$9)</f>
        <v/>
      </c>
      <c r="K28" s="60">
        <f>IF('[33]سجل المستخلصات'!$L$9="","",'[33]سجل المستخلصات'!$L$9)</f>
        <v/>
      </c>
      <c r="L28" s="60">
        <f>IF('[33]سجل المستخلصات'!$M$9="","",'[33]سجل المستخلصات'!$M$9)</f>
        <v/>
      </c>
      <c r="M28" s="60">
        <f>IF('[33]سجل المستخلصات'!$N$9="","",'[33]سجل المستخلصات'!$N$9)</f>
        <v/>
      </c>
      <c r="N28" s="59">
        <f>IF('[33]سجل المستخلصات'!$O$9="","",'[33]سجل المستخلصات'!$O$9)</f>
        <v/>
      </c>
      <c r="O28" s="59">
        <f>IF('[33]سجل المستخلصات'!$R$9="","",'[33]سجل المستخلصات'!$R$9)</f>
        <v/>
      </c>
      <c r="P28" s="59">
        <f>IF('[33]سجل المستخلصات'!$S$9="","",'[33]سجل المستخلصات'!$S$9)</f>
        <v/>
      </c>
      <c r="Q28" s="59">
        <f>IF('[33]سجل المستخلصات'!$T$9="","",'[33]سجل المستخلصات'!$T$9)</f>
        <v/>
      </c>
      <c r="R28" s="59">
        <f>IF('[33]سجل المستخلصات'!$V$9="","",'[33]سجل المستخلصات'!$V$9)</f>
        <v/>
      </c>
      <c r="S28" s="59">
        <f>IF('[33]سجل المستخلصات'!$W$9="","",'[33]سجل المستخلصات'!$W$9)</f>
        <v/>
      </c>
      <c r="T28" s="61">
        <f>IF('[33]سجل المستخلصات'!$X$9="","",'[33]سجل المستخلصات'!$X$9)</f>
        <v/>
      </c>
      <c r="U28" s="61">
        <f>IF('[33]سجل المستخلصات'!$Z$9="","",'[33]سجل المستخلصات'!$Z$9)</f>
        <v/>
      </c>
      <c r="V28" s="59">
        <f>IF('[33]سجل المستخلصات'!$AA$9="","",'[33]سجل المستخلصات'!$AA$9)</f>
        <v/>
      </c>
      <c r="W28" s="59">
        <f>IF('[33]سجل المستخلصات'!$AC$9="","",'[33]سجل المستخلصات'!$AC$9)</f>
        <v/>
      </c>
      <c r="X28" s="62">
        <f>IF('[33]سجل المستخلصات'!$AD$9="","",'[33]سجل المستخلصات'!$AD$9)</f>
        <v/>
      </c>
      <c r="Y28" s="58">
        <f>IF('[33]سجل المستخلصات'!$AE$9="","",'[33]سجل المستخلصات'!$AE$9)</f>
        <v/>
      </c>
      <c r="AA28" s="63" t="n"/>
      <c r="AB28" s="63" t="n"/>
    </row>
    <row r="29">
      <c r="B29" s="56" t="n">
        <v>5</v>
      </c>
      <c r="C29" s="57">
        <f>IF('[33]سجل المستخلصات'!$C$10="","",'[33]سجل المستخلصات'!$C$10)</f>
        <v/>
      </c>
      <c r="D29" s="57">
        <f>IF('[33]سجل المستخلصات'!$E$10="","",'[33]سجل المستخلصات'!$E$10)</f>
        <v/>
      </c>
      <c r="E29" s="58">
        <f>IF('[33]سجل المستخلصات'!$F$10="","",'[33]سجل المستخلصات'!$F$10)</f>
        <v/>
      </c>
      <c r="F29" s="59">
        <f>IF('[33]سجل المستخلصات'!$H$10="","",'[33]سجل المستخلصات'!$H$10)</f>
        <v/>
      </c>
      <c r="G29" s="59">
        <f>IF('[33]سجل المستخلصات'!$G$10="","",'[33]سجل المستخلصات'!$G$10)</f>
        <v/>
      </c>
      <c r="H29" s="59">
        <f>IF('[33]سجل المستخلصات'!$I$10="","",'[33]سجل المستخلصات'!$I$10)</f>
        <v/>
      </c>
      <c r="I29" s="59">
        <f>IF('[33]سجل المستخلصات'!$J$10="","",'[33]سجل المستخلصات'!$J$10)</f>
        <v/>
      </c>
      <c r="J29" s="59">
        <f>IF('[33]سجل المستخلصات'!$K$10="","",'[33]سجل المستخلصات'!$K$10)</f>
        <v/>
      </c>
      <c r="K29" s="60">
        <f>IF('[33]سجل المستخلصات'!$L$10="","",'[33]سجل المستخلصات'!$L$10)</f>
        <v/>
      </c>
      <c r="L29" s="60">
        <f>IF('[33]سجل المستخلصات'!$M$10="","",'[33]سجل المستخلصات'!$M$10)</f>
        <v/>
      </c>
      <c r="M29" s="60">
        <f>IF('[33]سجل المستخلصات'!$N$10="","",'[33]سجل المستخلصات'!$N$10)</f>
        <v/>
      </c>
      <c r="N29" s="59">
        <f>IF('[33]سجل المستخلصات'!$O$10="","",'[33]سجل المستخلصات'!$O$10)</f>
        <v/>
      </c>
      <c r="O29" s="59">
        <f>IF('[33]سجل المستخلصات'!$R$10="","",'[33]سجل المستخلصات'!$R$10)</f>
        <v/>
      </c>
      <c r="P29" s="59">
        <f>IF('[33]سجل المستخلصات'!$S$10="","",'[33]سجل المستخلصات'!$S$10)</f>
        <v/>
      </c>
      <c r="Q29" s="59">
        <f>IF('[33]سجل المستخلصات'!$T$10="","",'[33]سجل المستخلصات'!$T$10)</f>
        <v/>
      </c>
      <c r="R29" s="59">
        <f>IF('[33]سجل المستخلصات'!$V$10="","",'[33]سجل المستخلصات'!$V$10)</f>
        <v/>
      </c>
      <c r="S29" s="59">
        <f>IF('[33]سجل المستخلصات'!$W$10="","",'[33]سجل المستخلصات'!$W$10)</f>
        <v/>
      </c>
      <c r="T29" s="61">
        <f>IF('[33]سجل المستخلصات'!$X$10="","",'[33]سجل المستخلصات'!$X$10)</f>
        <v/>
      </c>
      <c r="U29" s="61">
        <f>IF('[33]سجل المستخلصات'!$Z$10="","",'[33]سجل المستخلصات'!$Z$10)</f>
        <v/>
      </c>
      <c r="V29" s="59">
        <f>IF('[33]سجل المستخلصات'!$AA$10="","",'[33]سجل المستخلصات'!$AA$10)</f>
        <v/>
      </c>
      <c r="W29" s="59">
        <f>IF('[33]سجل المستخلصات'!$AC$10="","",'[33]سجل المستخلصات'!$AC$10)</f>
        <v/>
      </c>
      <c r="X29" s="62">
        <f>IF('[33]سجل المستخلصات'!$AD$10="","",'[33]سجل المستخلصات'!$AD$10)</f>
        <v/>
      </c>
      <c r="Y29" s="58">
        <f>IF('[33]سجل المستخلصات'!$AE$10="","",'[33]سجل المستخلصات'!$AE$10)</f>
        <v/>
      </c>
    </row>
    <row r="30">
      <c r="B30" s="56" t="n">
        <v>6</v>
      </c>
      <c r="C30" s="57">
        <f>IF('[33]سجل المستخلصات'!$C$11="","",'[33]سجل المستخلصات'!$C$11)</f>
        <v/>
      </c>
      <c r="D30" s="57">
        <f>IF('[33]سجل المستخلصات'!$E$11="","",'[33]سجل المستخلصات'!$E$11)</f>
        <v/>
      </c>
      <c r="E30" s="58">
        <f>IF('[33]سجل المستخلصات'!$F$11="","",'[33]سجل المستخلصات'!$F$11)</f>
        <v/>
      </c>
      <c r="F30" s="59">
        <f>IF('[33]سجل المستخلصات'!$H$11="","",'[33]سجل المستخلصات'!$H$11)</f>
        <v/>
      </c>
      <c r="G30" s="59">
        <f>IF('[33]سجل المستخلصات'!$G$11="","",'[33]سجل المستخلصات'!$G$11)</f>
        <v/>
      </c>
      <c r="H30" s="59">
        <f>IF('[33]سجل المستخلصات'!$I$11="","",'[33]سجل المستخلصات'!$I$11)</f>
        <v/>
      </c>
      <c r="I30" s="59">
        <f>IF('[33]سجل المستخلصات'!$J$11="","",'[33]سجل المستخلصات'!$J$11)</f>
        <v/>
      </c>
      <c r="J30" s="59">
        <f>IF('[33]سجل المستخلصات'!$K$11="","",'[33]سجل المستخلصات'!$K$11)</f>
        <v/>
      </c>
      <c r="K30" s="60">
        <f>IF('[33]سجل المستخلصات'!$L$11="","",'[33]سجل المستخلصات'!$L$11)</f>
        <v/>
      </c>
      <c r="L30" s="60">
        <f>IF('[33]سجل المستخلصات'!$M$11="","",'[33]سجل المستخلصات'!$M$11)</f>
        <v/>
      </c>
      <c r="M30" s="60">
        <f>IF('[33]سجل المستخلصات'!$N$11="","",'[33]سجل المستخلصات'!$N$11)</f>
        <v/>
      </c>
      <c r="N30" s="59">
        <f>IF('[33]سجل المستخلصات'!$O$11="","",'[33]سجل المستخلصات'!$O$11)</f>
        <v/>
      </c>
      <c r="O30" s="59">
        <f>IF('[33]سجل المستخلصات'!$R$11="","",'[33]سجل المستخلصات'!$R$11)</f>
        <v/>
      </c>
      <c r="P30" s="59">
        <f>IF('[33]سجل المستخلصات'!$S$11="","",'[33]سجل المستخلصات'!$S$11)</f>
        <v/>
      </c>
      <c r="Q30" s="59">
        <f>IF('[33]سجل المستخلصات'!$T$11="","",'[33]سجل المستخلصات'!$T$11)</f>
        <v/>
      </c>
      <c r="R30" s="59">
        <f>IF('[33]سجل المستخلصات'!$V$11="","",'[33]سجل المستخلصات'!$V$11)</f>
        <v/>
      </c>
      <c r="S30" s="59">
        <f>IF('[33]سجل المستخلصات'!$W$11="","",'[33]سجل المستخلصات'!$W$11)</f>
        <v/>
      </c>
      <c r="T30" s="61">
        <f>IF('[33]سجل المستخلصات'!$X$11="","",'[33]سجل المستخلصات'!$X$11)</f>
        <v/>
      </c>
      <c r="U30" s="61">
        <f>IF('[33]سجل المستخلصات'!$Z$11="","",'[33]سجل المستخلصات'!$Z$11)</f>
        <v/>
      </c>
      <c r="V30" s="59">
        <f>IF('[33]سجل المستخلصات'!$AA$11="","",'[33]سجل المستخلصات'!$AA$11)</f>
        <v/>
      </c>
      <c r="W30" s="59">
        <f>IF('[33]سجل المستخلصات'!$AC$11="","",'[33]سجل المستخلصات'!$AC$11)</f>
        <v/>
      </c>
      <c r="X30" s="62">
        <f>IF('[33]سجل المستخلصات'!$AD$11="","",'[33]سجل المستخلصات'!$AD$11)</f>
        <v/>
      </c>
      <c r="Y30" s="58">
        <f>IF('[33]سجل المستخلصات'!$AE$11="","",'[33]سجل المستخلصات'!$AE$11)</f>
        <v/>
      </c>
    </row>
    <row r="31">
      <c r="B31" s="56" t="n">
        <v>7</v>
      </c>
      <c r="C31" s="57">
        <f>IF('[33]سجل المستخلصات'!$C$12="","",'[33]سجل المستخلصات'!$C$12)</f>
        <v/>
      </c>
      <c r="D31" s="57">
        <f>IF('[33]سجل المستخلصات'!$E$12="","",'[33]سجل المستخلصات'!$E$12)</f>
        <v/>
      </c>
      <c r="E31" s="58">
        <f>IF('[33]سجل المستخلصات'!$F$12="","",'[33]سجل المستخلصات'!$F$12)</f>
        <v/>
      </c>
      <c r="F31" s="59">
        <f>IF('[33]سجل المستخلصات'!$H$12="","",'[33]سجل المستخلصات'!$H$12)</f>
        <v/>
      </c>
      <c r="G31" s="59">
        <f>IF('[33]سجل المستخلصات'!$G$12="","",'[33]سجل المستخلصات'!$G$12)</f>
        <v/>
      </c>
      <c r="H31" s="59">
        <f>IF('[33]سجل المستخلصات'!$I$12="","",'[33]سجل المستخلصات'!$I$12)</f>
        <v/>
      </c>
      <c r="I31" s="59">
        <f>IF('[33]سجل المستخلصات'!$J$12="","",'[33]سجل المستخلصات'!$J$12)</f>
        <v/>
      </c>
      <c r="J31" s="59">
        <f>IF('[33]سجل المستخلصات'!$K$12="","",'[33]سجل المستخلصات'!$K$12)</f>
        <v/>
      </c>
      <c r="K31" s="60">
        <f>IF('[33]سجل المستخلصات'!$L$12="","",'[33]سجل المستخلصات'!$L$12)</f>
        <v/>
      </c>
      <c r="L31" s="60">
        <f>IF('[33]سجل المستخلصات'!$M$12="","",'[33]سجل المستخلصات'!$M$12)</f>
        <v/>
      </c>
      <c r="M31" s="60">
        <f>IF('[33]سجل المستخلصات'!$N$12="","",'[33]سجل المستخلصات'!$N$12)</f>
        <v/>
      </c>
      <c r="N31" s="59">
        <f>IF('[33]سجل المستخلصات'!$O$12="","",'[33]سجل المستخلصات'!$O$12)</f>
        <v/>
      </c>
      <c r="O31" s="59">
        <f>IF('[33]سجل المستخلصات'!$R$12="","",'[33]سجل المستخلصات'!$R$12)</f>
        <v/>
      </c>
      <c r="P31" s="59">
        <f>IF('[33]سجل المستخلصات'!$S$12="","",'[33]سجل المستخلصات'!$S$12)</f>
        <v/>
      </c>
      <c r="Q31" s="59">
        <f>IF('[33]سجل المستخلصات'!$T$12="","",'[33]سجل المستخلصات'!$T$12)</f>
        <v/>
      </c>
      <c r="R31" s="59">
        <f>IF('[33]سجل المستخلصات'!$V$12="","",'[33]سجل المستخلصات'!$V$12)</f>
        <v/>
      </c>
      <c r="S31" s="59">
        <f>IF('[33]سجل المستخلصات'!$W$12="","",'[33]سجل المستخلصات'!$W$12)</f>
        <v/>
      </c>
      <c r="T31" s="61">
        <f>IF('[33]سجل المستخلصات'!$X$12="","",'[33]سجل المستخلصات'!$X$12)</f>
        <v/>
      </c>
      <c r="U31" s="61">
        <f>IF('[33]سجل المستخلصات'!$Z$12="","",'[33]سجل المستخلصات'!$Z$12)</f>
        <v/>
      </c>
      <c r="V31" s="59">
        <f>IF('[33]سجل المستخلصات'!$AA$12="","",'[33]سجل المستخلصات'!$AA$12)</f>
        <v/>
      </c>
      <c r="W31" s="59">
        <f>IF('[33]سجل المستخلصات'!$AC$12="","",'[33]سجل المستخلصات'!$AC$12)</f>
        <v/>
      </c>
      <c r="X31" s="62">
        <f>IF('[33]سجل المستخلصات'!$AD$12="","",'[33]سجل المستخلصات'!$AD$12)</f>
        <v/>
      </c>
      <c r="Y31" s="58">
        <f>IF('[33]سجل المستخلصات'!$AE$12="","",'[33]سجل المستخلصات'!$AE$12)</f>
        <v/>
      </c>
    </row>
    <row r="32">
      <c r="B32" s="56" t="n">
        <v>8</v>
      </c>
      <c r="C32" s="57">
        <f>IF('[33]سجل المستخلصات'!$C$13="","",'[33]سجل المستخلصات'!$C$13)</f>
        <v/>
      </c>
      <c r="D32" s="57">
        <f>IF('[33]سجل المستخلصات'!$E$13="","",'[33]سجل المستخلصات'!$E$13)</f>
        <v/>
      </c>
      <c r="E32" s="58">
        <f>IF('[33]سجل المستخلصات'!$F$13="","",'[33]سجل المستخلصات'!$F$13)</f>
        <v/>
      </c>
      <c r="F32" s="59">
        <f>IF('[33]سجل المستخلصات'!$H$13="","",'[33]سجل المستخلصات'!$H$13)</f>
        <v/>
      </c>
      <c r="G32" s="59">
        <f>IF('[33]سجل المستخلصات'!$G$13="","",'[33]سجل المستخلصات'!$G$13)</f>
        <v/>
      </c>
      <c r="H32" s="59">
        <f>IF('[33]سجل المستخلصات'!$I$13="","",'[33]سجل المستخلصات'!$I$13)</f>
        <v/>
      </c>
      <c r="I32" s="59">
        <f>IF('[33]سجل المستخلصات'!$J$13="","",'[33]سجل المستخلصات'!$J$13)</f>
        <v/>
      </c>
      <c r="J32" s="59">
        <f>IF('[33]سجل المستخلصات'!$K$13="","",'[33]سجل المستخلصات'!$K$13)</f>
        <v/>
      </c>
      <c r="K32" s="60">
        <f>IF('[33]سجل المستخلصات'!$L$13="","",'[33]سجل المستخلصات'!$L$13)</f>
        <v/>
      </c>
      <c r="L32" s="60">
        <f>IF('[33]سجل المستخلصات'!$M$13="","",'[33]سجل المستخلصات'!$M$13)</f>
        <v/>
      </c>
      <c r="M32" s="60">
        <f>IF('[33]سجل المستخلصات'!$N$13="","",'[33]سجل المستخلصات'!$N$13)</f>
        <v/>
      </c>
      <c r="N32" s="59">
        <f>IF('[33]سجل المستخلصات'!$O$13="","",'[33]سجل المستخلصات'!$O$13)</f>
        <v/>
      </c>
      <c r="O32" s="59">
        <f>IF('[33]سجل المستخلصات'!$R$13="","",'[33]سجل المستخلصات'!$R$13)</f>
        <v/>
      </c>
      <c r="P32" s="59">
        <f>IF('[33]سجل المستخلصات'!$S$13="","",'[33]سجل المستخلصات'!$S$13)</f>
        <v/>
      </c>
      <c r="Q32" s="59">
        <f>IF('[33]سجل المستخلصات'!$T$13="","",'[33]سجل المستخلصات'!$T$13)</f>
        <v/>
      </c>
      <c r="R32" s="59">
        <f>IF('[33]سجل المستخلصات'!$V$13="","",'[33]سجل المستخلصات'!$V$13)</f>
        <v/>
      </c>
      <c r="S32" s="59">
        <f>IF('[33]سجل المستخلصات'!$W$13="","",'[33]سجل المستخلصات'!$W$13)</f>
        <v/>
      </c>
      <c r="T32" s="61">
        <f>IF('[33]سجل المستخلصات'!$X$13="","",'[33]سجل المستخلصات'!$X$13)</f>
        <v/>
      </c>
      <c r="U32" s="61">
        <f>IF('[33]سجل المستخلصات'!$Z$13="","",'[33]سجل المستخلصات'!$Z$13)</f>
        <v/>
      </c>
      <c r="V32" s="59">
        <f>IF('[33]سجل المستخلصات'!$AA$13="","",'[33]سجل المستخلصات'!$AA$13)</f>
        <v/>
      </c>
      <c r="W32" s="59">
        <f>IF('[33]سجل المستخلصات'!$AC$13="","",'[33]سجل المستخلصات'!$AC$13)</f>
        <v/>
      </c>
      <c r="X32" s="62">
        <f>IF('[33]سجل المستخلصات'!$AD$13="","",'[33]سجل المستخلصات'!$AD$13)</f>
        <v/>
      </c>
      <c r="Y32" s="58">
        <f>IF('[33]سجل المستخلصات'!$AE$13="","",'[33]سجل المستخلصات'!$AE$13)</f>
        <v/>
      </c>
    </row>
    <row r="33">
      <c r="B33" s="56" t="n">
        <v>9</v>
      </c>
      <c r="C33" s="57">
        <f>IF('[33]سجل المستخلصات'!$C$14="","",'[33]سجل المستخلصات'!$C$14)</f>
        <v/>
      </c>
      <c r="D33" s="57">
        <f>IF('[33]سجل المستخلصات'!$E$14="","",'[33]سجل المستخلصات'!$E$14)</f>
        <v/>
      </c>
      <c r="E33" s="58">
        <f>IF('[33]سجل المستخلصات'!$F$14="","",'[33]سجل المستخلصات'!$F$14)</f>
        <v/>
      </c>
      <c r="F33" s="59">
        <f>IF('[33]سجل المستخلصات'!$H$14="","",'[33]سجل المستخلصات'!$H$14)</f>
        <v/>
      </c>
      <c r="G33" s="59">
        <f>IF('[33]سجل المستخلصات'!$G$14="","",'[33]سجل المستخلصات'!$G$14)</f>
        <v/>
      </c>
      <c r="H33" s="59">
        <f>IF('[33]سجل المستخلصات'!$I$14="","",'[33]سجل المستخلصات'!$I$14)</f>
        <v/>
      </c>
      <c r="I33" s="59">
        <f>IF('[33]سجل المستخلصات'!$J$14="","",'[33]سجل المستخلصات'!$J$14)</f>
        <v/>
      </c>
      <c r="J33" s="59">
        <f>IF('[33]سجل المستخلصات'!$K$14="","",'[33]سجل المستخلصات'!$K$14)</f>
        <v/>
      </c>
      <c r="K33" s="60">
        <f>IF('[33]سجل المستخلصات'!$L$14="","",'[33]سجل المستخلصات'!$L$14)</f>
        <v/>
      </c>
      <c r="L33" s="60">
        <f>IF('[33]سجل المستخلصات'!$M$14="","",'[33]سجل المستخلصات'!$M$14)</f>
        <v/>
      </c>
      <c r="M33" s="60">
        <f>IF('[33]سجل المستخلصات'!$N$14="","",'[33]سجل المستخلصات'!$N$14)</f>
        <v/>
      </c>
      <c r="N33" s="59">
        <f>IF('[33]سجل المستخلصات'!$O$14="","",'[33]سجل المستخلصات'!$O$14)</f>
        <v/>
      </c>
      <c r="O33" s="59">
        <f>IF('[33]سجل المستخلصات'!$R$14="","",'[33]سجل المستخلصات'!$R$14)</f>
        <v/>
      </c>
      <c r="P33" s="59">
        <f>IF('[33]سجل المستخلصات'!$S$14="","",'[33]سجل المستخلصات'!$S$14)</f>
        <v/>
      </c>
      <c r="Q33" s="59">
        <f>IF('[33]سجل المستخلصات'!$T$14="","",'[33]سجل المستخلصات'!$T$14)</f>
        <v/>
      </c>
      <c r="R33" s="59">
        <f>IF('[33]سجل المستخلصات'!$V$14="","",'[33]سجل المستخلصات'!$V$14)</f>
        <v/>
      </c>
      <c r="S33" s="59">
        <f>IF('[33]سجل المستخلصات'!$W$14="","",'[33]سجل المستخلصات'!$W$14)</f>
        <v/>
      </c>
      <c r="T33" s="61">
        <f>IF('[33]سجل المستخلصات'!$X$14="","",'[33]سجل المستخلصات'!$X$14)</f>
        <v/>
      </c>
      <c r="U33" s="61">
        <f>IF('[33]سجل المستخلصات'!$Z$14="","",'[33]سجل المستخلصات'!$Z$14)</f>
        <v/>
      </c>
      <c r="V33" s="59">
        <f>IF('[33]سجل المستخلصات'!$AA$14="","",'[33]سجل المستخلصات'!$AA$14)</f>
        <v/>
      </c>
      <c r="W33" s="59">
        <f>IF('[33]سجل المستخلصات'!$AC$14="","",'[33]سجل المستخلصات'!$AC$14)</f>
        <v/>
      </c>
      <c r="X33" s="62">
        <f>IF('[33]سجل المستخلصات'!$AD$14="","",'[33]سجل المستخلصات'!$AD$14)</f>
        <v/>
      </c>
      <c r="Y33" s="58">
        <f>IF('[33]سجل المستخلصات'!$AE$14="","",'[33]سجل المستخلصات'!$AE$14)</f>
        <v/>
      </c>
    </row>
    <row r="34">
      <c r="B34" s="56" t="n">
        <v>10</v>
      </c>
      <c r="C34" s="57">
        <f>IF('[33]سجل المستخلصات'!$C$15="","",'[33]سجل المستخلصات'!$C$15)</f>
        <v/>
      </c>
      <c r="D34" s="57">
        <f>IF('[33]سجل المستخلصات'!$E$15="","",'[33]سجل المستخلصات'!$E$15)</f>
        <v/>
      </c>
      <c r="E34" s="58">
        <f>IF('[33]سجل المستخلصات'!$F$15="","",'[33]سجل المستخلصات'!$F$15)</f>
        <v/>
      </c>
      <c r="F34" s="59">
        <f>IF('[33]سجل المستخلصات'!$H$15="","",'[33]سجل المستخلصات'!$H$15)</f>
        <v/>
      </c>
      <c r="G34" s="59">
        <f>IF('[33]سجل المستخلصات'!$G$15="","",'[33]سجل المستخلصات'!$G$15)</f>
        <v/>
      </c>
      <c r="H34" s="59">
        <f>IF('[33]سجل المستخلصات'!$I$15="","",'[33]سجل المستخلصات'!$I$15)</f>
        <v/>
      </c>
      <c r="I34" s="59">
        <f>IF('[33]سجل المستخلصات'!$J$15="","",'[33]سجل المستخلصات'!$J$15)</f>
        <v/>
      </c>
      <c r="J34" s="59">
        <f>IF('[33]سجل المستخلصات'!$K$15="","",'[33]سجل المستخلصات'!$K$15)</f>
        <v/>
      </c>
      <c r="K34" s="60">
        <f>IF('[33]سجل المستخلصات'!$L$15="","",'[33]سجل المستخلصات'!$L$15)</f>
        <v/>
      </c>
      <c r="L34" s="60">
        <f>IF('[33]سجل المستخلصات'!$M$15="","",'[33]سجل المستخلصات'!$M$15)</f>
        <v/>
      </c>
      <c r="M34" s="60">
        <f>IF('[33]سجل المستخلصات'!$N$15="","",'[33]سجل المستخلصات'!$N$15)</f>
        <v/>
      </c>
      <c r="N34" s="59">
        <f>IF('[33]سجل المستخلصات'!$O$15="","",'[33]سجل المستخلصات'!$O$15)</f>
        <v/>
      </c>
      <c r="O34" s="59">
        <f>IF('[33]سجل المستخلصات'!$R$15="","",'[33]سجل المستخلصات'!$R$15)</f>
        <v/>
      </c>
      <c r="P34" s="59">
        <f>IF('[33]سجل المستخلصات'!$S$15="","",'[33]سجل المستخلصات'!$S$15)</f>
        <v/>
      </c>
      <c r="Q34" s="59">
        <f>IF('[33]سجل المستخلصات'!$T$15="","",'[33]سجل المستخلصات'!$T$15)</f>
        <v/>
      </c>
      <c r="R34" s="59">
        <f>IF('[33]سجل المستخلصات'!$V$15="","",'[33]سجل المستخلصات'!$V$15)</f>
        <v/>
      </c>
      <c r="S34" s="59">
        <f>IF('[33]سجل المستخلصات'!$W$15="","",'[33]سجل المستخلصات'!$W$15)</f>
        <v/>
      </c>
      <c r="T34" s="61">
        <f>IF('[33]سجل المستخلصات'!$X$15="","",'[33]سجل المستخلصات'!$X$15)</f>
        <v/>
      </c>
      <c r="U34" s="61">
        <f>IF('[33]سجل المستخلصات'!$Z$15="","",'[33]سجل المستخلصات'!$Z$15)</f>
        <v/>
      </c>
      <c r="V34" s="59">
        <f>IF('[33]سجل المستخلصات'!$AA$15="","",'[33]سجل المستخلصات'!$AA$15)</f>
        <v/>
      </c>
      <c r="W34" s="59">
        <f>IF('[33]سجل المستخلصات'!$AC$15="","",'[33]سجل المستخلصات'!$AC$15)</f>
        <v/>
      </c>
      <c r="X34" s="62">
        <f>IF('[33]سجل المستخلصات'!$AD$15="","",'[33]سجل المستخلصات'!$AD$15)</f>
        <v/>
      </c>
      <c r="Y34" s="58">
        <f>IF('[33]سجل المستخلصات'!$AE$15="","",'[33]سجل المستخلصات'!$AE$15)</f>
        <v/>
      </c>
    </row>
    <row r="35">
      <c r="B35" s="56" t="n">
        <v>11</v>
      </c>
      <c r="C35" s="57">
        <f>IF('[33]سجل المستخلصات'!$C$16="","",'[33]سجل المستخلصات'!$C$16)</f>
        <v/>
      </c>
      <c r="D35" s="57">
        <f>IF('[33]سجل المستخلصات'!$E$16="","",'[33]سجل المستخلصات'!$E$16)</f>
        <v/>
      </c>
      <c r="E35" s="58">
        <f>IF('[33]سجل المستخلصات'!$F$16="","",'[33]سجل المستخلصات'!$F$16)</f>
        <v/>
      </c>
      <c r="F35" s="59">
        <f>IF('[33]سجل المستخلصات'!$H$16="","",'[33]سجل المستخلصات'!$H$16)</f>
        <v/>
      </c>
      <c r="G35" s="59">
        <f>IF('[33]سجل المستخلصات'!$G$16="","",'[33]سجل المستخلصات'!$G$16)</f>
        <v/>
      </c>
      <c r="H35" s="59">
        <f>IF('[33]سجل المستخلصات'!$I$16="","",'[33]سجل المستخلصات'!$I$16)</f>
        <v/>
      </c>
      <c r="I35" s="59">
        <f>IF('[33]سجل المستخلصات'!$J$16="","",'[33]سجل المستخلصات'!$J$16)</f>
        <v/>
      </c>
      <c r="J35" s="59">
        <f>IF('[33]سجل المستخلصات'!$K$16="","",'[33]سجل المستخلصات'!$K$16)</f>
        <v/>
      </c>
      <c r="K35" s="60">
        <f>IF('[33]سجل المستخلصات'!$L$16="","",'[33]سجل المستخلصات'!$L$16)</f>
        <v/>
      </c>
      <c r="L35" s="60">
        <f>IF('[33]سجل المستخلصات'!$M$16="","",'[33]سجل المستخلصات'!$M$16)</f>
        <v/>
      </c>
      <c r="M35" s="60">
        <f>IF('[33]سجل المستخلصات'!$N$16="","",'[33]سجل المستخلصات'!$N$16)</f>
        <v/>
      </c>
      <c r="N35" s="59">
        <f>IF('[33]سجل المستخلصات'!$O$16="","",'[33]سجل المستخلصات'!$O$16)</f>
        <v/>
      </c>
      <c r="O35" s="59">
        <f>IF('[33]سجل المستخلصات'!$R$16="","",'[33]سجل المستخلصات'!$R$16)</f>
        <v/>
      </c>
      <c r="P35" s="59">
        <f>IF('[33]سجل المستخلصات'!$S$16="","",'[33]سجل المستخلصات'!$S$16)</f>
        <v/>
      </c>
      <c r="Q35" s="59">
        <f>IF('[33]سجل المستخلصات'!$T$16="","",'[33]سجل المستخلصات'!$T$16)</f>
        <v/>
      </c>
      <c r="R35" s="59">
        <f>IF('[33]سجل المستخلصات'!$V$16="","",'[33]سجل المستخلصات'!$V$16)</f>
        <v/>
      </c>
      <c r="S35" s="59">
        <f>IF('[33]سجل المستخلصات'!$W$16="","",'[33]سجل المستخلصات'!$W$16)</f>
        <v/>
      </c>
      <c r="T35" s="61">
        <f>IF('[33]سجل المستخلصات'!$X$16="","",'[33]سجل المستخلصات'!$X$16)</f>
        <v/>
      </c>
      <c r="U35" s="61">
        <f>IF('[33]سجل المستخلصات'!$Z$16="","",'[33]سجل المستخلصات'!$Z$16)</f>
        <v/>
      </c>
      <c r="V35" s="59">
        <f>IF('[33]سجل المستخلصات'!$AA$16="","",'[33]سجل المستخلصات'!$AA$16)</f>
        <v/>
      </c>
      <c r="W35" s="59">
        <f>IF('[33]سجل المستخلصات'!$AC$16="","",'[33]سجل المستخلصات'!$AC$16)</f>
        <v/>
      </c>
      <c r="X35" s="62">
        <f>IF('[33]سجل المستخلصات'!$AD$16="","",'[33]سجل المستخلصات'!$AD$16)</f>
        <v/>
      </c>
      <c r="Y35" s="58">
        <f>IF('[33]سجل المستخلصات'!$AE$16="","",'[33]سجل المستخلصات'!$AE$16)</f>
        <v/>
      </c>
    </row>
    <row r="36">
      <c r="B36" s="56" t="n">
        <v>12</v>
      </c>
      <c r="C36" s="57">
        <f>IF('[33]سجل المستخلصات'!$C$17="","",'[33]سجل المستخلصات'!$C$17)</f>
        <v/>
      </c>
      <c r="D36" s="57">
        <f>IF('[33]سجل المستخلصات'!$E$17="","",'[33]سجل المستخلصات'!$E$17)</f>
        <v/>
      </c>
      <c r="E36" s="58">
        <f>IF('[33]سجل المستخلصات'!$F$17="","",'[33]سجل المستخلصات'!$F$17)</f>
        <v/>
      </c>
      <c r="F36" s="59">
        <f>IF('[33]سجل المستخلصات'!$H$17="","",'[33]سجل المستخلصات'!$H$17)</f>
        <v/>
      </c>
      <c r="G36" s="59">
        <f>IF('[33]سجل المستخلصات'!$G$17="","",'[33]سجل المستخلصات'!$G$17)</f>
        <v/>
      </c>
      <c r="H36" s="59">
        <f>IF('[33]سجل المستخلصات'!$I$17="","",'[33]سجل المستخلصات'!$I$17)</f>
        <v/>
      </c>
      <c r="I36" s="59">
        <f>IF('[33]سجل المستخلصات'!$J$17="","",'[33]سجل المستخلصات'!$J$17)</f>
        <v/>
      </c>
      <c r="J36" s="59">
        <f>IF('[33]سجل المستخلصات'!$K$17="","",'[33]سجل المستخلصات'!$K$17)</f>
        <v/>
      </c>
      <c r="K36" s="60">
        <f>IF('[33]سجل المستخلصات'!$L$17="","",'[33]سجل المستخلصات'!$L$17)</f>
        <v/>
      </c>
      <c r="L36" s="60">
        <f>IF('[33]سجل المستخلصات'!$M$17="","",'[33]سجل المستخلصات'!$M$17)</f>
        <v/>
      </c>
      <c r="M36" s="60">
        <f>IF('[33]سجل المستخلصات'!$N$17="","",'[33]سجل المستخلصات'!$N$17)</f>
        <v/>
      </c>
      <c r="N36" s="59">
        <f>IF('[33]سجل المستخلصات'!$O$17="","",'[33]سجل المستخلصات'!$O$17)</f>
        <v/>
      </c>
      <c r="O36" s="59">
        <f>IF('[33]سجل المستخلصات'!$R$17="","",'[33]سجل المستخلصات'!$R$17)</f>
        <v/>
      </c>
      <c r="P36" s="59">
        <f>IF('[33]سجل المستخلصات'!$S$17="","",'[33]سجل المستخلصات'!$S$17)</f>
        <v/>
      </c>
      <c r="Q36" s="59">
        <f>IF('[33]سجل المستخلصات'!$T$17="","",'[33]سجل المستخلصات'!$T$17)</f>
        <v/>
      </c>
      <c r="R36" s="59">
        <f>IF('[33]سجل المستخلصات'!$V$17="","",'[33]سجل المستخلصات'!$V$17)</f>
        <v/>
      </c>
      <c r="S36" s="59">
        <f>IF('[33]سجل المستخلصات'!$W$17="","",'[33]سجل المستخلصات'!$W$17)</f>
        <v/>
      </c>
      <c r="T36" s="61">
        <f>IF('[33]سجل المستخلصات'!$X$17="","",'[33]سجل المستخلصات'!$X$17)</f>
        <v/>
      </c>
      <c r="U36" s="61">
        <f>IF('[33]سجل المستخلصات'!$Z$17="","",'[33]سجل المستخلصات'!$Z$17)</f>
        <v/>
      </c>
      <c r="V36" s="59">
        <f>IF('[33]سجل المستخلصات'!$AA$17="","",'[33]سجل المستخلصات'!$AA$17)</f>
        <v/>
      </c>
      <c r="W36" s="59">
        <f>IF('[33]سجل المستخلصات'!$AC$17="","",'[33]سجل المستخلصات'!$AC$17)</f>
        <v/>
      </c>
      <c r="X36" s="62">
        <f>IF('[33]سجل المستخلصات'!$AD$17="","",'[33]سجل المستخلصات'!$AD$17)</f>
        <v/>
      </c>
      <c r="Y36" s="58">
        <f>IF('[33]سجل المستخلصات'!$AE$17="","",'[33]سجل المستخلصات'!$AE$17)</f>
        <v/>
      </c>
    </row>
    <row r="37">
      <c r="B37" s="56" t="n">
        <v>13</v>
      </c>
      <c r="C37" s="57">
        <f>IF('[33]سجل المستخلصات'!$C$18="","",'[33]سجل المستخلصات'!$C$18)</f>
        <v/>
      </c>
      <c r="D37" s="57">
        <f>IF('[33]سجل المستخلصات'!$E$18="","",'[33]سجل المستخلصات'!$E$18)</f>
        <v/>
      </c>
      <c r="E37" s="58">
        <f>IF('[33]سجل المستخلصات'!$F$18="","",'[33]سجل المستخلصات'!$F$18)</f>
        <v/>
      </c>
      <c r="F37" s="59">
        <f>IF('[33]سجل المستخلصات'!$H$18="","",'[33]سجل المستخلصات'!$H$18)</f>
        <v/>
      </c>
      <c r="G37" s="59">
        <f>IF('[33]سجل المستخلصات'!$G$18="","",'[33]سجل المستخلصات'!$G$18)</f>
        <v/>
      </c>
      <c r="H37" s="59">
        <f>IF('[33]سجل المستخلصات'!$I$18="","",'[33]سجل المستخلصات'!$I$18)</f>
        <v/>
      </c>
      <c r="I37" s="59">
        <f>IF('[33]سجل المستخلصات'!$J$18="","",'[33]سجل المستخلصات'!$J$18)</f>
        <v/>
      </c>
      <c r="J37" s="59">
        <f>IF('[33]سجل المستخلصات'!$K$18="","",'[33]سجل المستخلصات'!$K$18)</f>
        <v/>
      </c>
      <c r="K37" s="60">
        <f>IF('[33]سجل المستخلصات'!$L$18="","",'[33]سجل المستخلصات'!$L$18)</f>
        <v/>
      </c>
      <c r="L37" s="60">
        <f>IF('[33]سجل المستخلصات'!$M$18="","",'[33]سجل المستخلصات'!$M$18)</f>
        <v/>
      </c>
      <c r="M37" s="60">
        <f>IF('[33]سجل المستخلصات'!$N$18="","",'[33]سجل المستخلصات'!$N$18)</f>
        <v/>
      </c>
      <c r="N37" s="59">
        <f>IF('[33]سجل المستخلصات'!$O$18="","",'[33]سجل المستخلصات'!$O$18)</f>
        <v/>
      </c>
      <c r="O37" s="59">
        <f>IF('[33]سجل المستخلصات'!$R$18="","",'[33]سجل المستخلصات'!$R$18)</f>
        <v/>
      </c>
      <c r="P37" s="59">
        <f>IF('[33]سجل المستخلصات'!$S$18="","",'[33]سجل المستخلصات'!$S$18)</f>
        <v/>
      </c>
      <c r="Q37" s="59">
        <f>IF('[33]سجل المستخلصات'!$T$18="","",'[33]سجل المستخلصات'!$T$18)</f>
        <v/>
      </c>
      <c r="R37" s="59">
        <f>IF('[33]سجل المستخلصات'!$V$18="","",'[33]سجل المستخلصات'!$V$18)</f>
        <v/>
      </c>
      <c r="S37" s="59">
        <f>IF('[33]سجل المستخلصات'!$W$18="","",'[33]سجل المستخلصات'!$W$18)</f>
        <v/>
      </c>
      <c r="T37" s="61">
        <f>IF('[33]سجل المستخلصات'!$X$18="","",'[33]سجل المستخلصات'!$X$18)</f>
        <v/>
      </c>
      <c r="U37" s="61">
        <f>IF('[33]سجل المستخلصات'!$Z$18="","",'[33]سجل المستخلصات'!$Z$18)</f>
        <v/>
      </c>
      <c r="V37" s="59">
        <f>IF('[33]سجل المستخلصات'!$AA$18="","",'[33]سجل المستخلصات'!$AA$18)</f>
        <v/>
      </c>
      <c r="W37" s="59">
        <f>IF('[33]سجل المستخلصات'!$AC$18="","",'[33]سجل المستخلصات'!$AC$18)</f>
        <v/>
      </c>
      <c r="X37" s="62">
        <f>IF('[33]سجل المستخلصات'!$AD$18="","",'[33]سجل المستخلصات'!$AD$18)</f>
        <v/>
      </c>
      <c r="Y37" s="58">
        <f>IF('[33]سجل المستخلصات'!$AE$18="","",'[33]سجل المستخلصات'!$AE$18)</f>
        <v/>
      </c>
    </row>
    <row r="38">
      <c r="B38" s="56" t="n">
        <v>14</v>
      </c>
      <c r="C38" s="57">
        <f>IF('[33]سجل المستخلصات'!$C$19="","",'[33]سجل المستخلصات'!$C$19)</f>
        <v/>
      </c>
      <c r="D38" s="57">
        <f>IF('[33]سجل المستخلصات'!$E$19="","",'[33]سجل المستخلصات'!$E$19)</f>
        <v/>
      </c>
      <c r="E38" s="58">
        <f>IF('[33]سجل المستخلصات'!$F$19="","",'[33]سجل المستخلصات'!$F$19)</f>
        <v/>
      </c>
      <c r="F38" s="59">
        <f>IF('[33]سجل المستخلصات'!$H$19="","",'[33]سجل المستخلصات'!$H$19)</f>
        <v/>
      </c>
      <c r="G38" s="59">
        <f>IF('[33]سجل المستخلصات'!$G$19="","",'[33]سجل المستخلصات'!$G$19)</f>
        <v/>
      </c>
      <c r="H38" s="59">
        <f>IF('[33]سجل المستخلصات'!$I$19="","",'[33]سجل المستخلصات'!$I$19)</f>
        <v/>
      </c>
      <c r="I38" s="59">
        <f>IF('[33]سجل المستخلصات'!$J$19="","",'[33]سجل المستخلصات'!$J$19)</f>
        <v/>
      </c>
      <c r="J38" s="59">
        <f>IF('[33]سجل المستخلصات'!$K$19="","",'[33]سجل المستخلصات'!$K$19)</f>
        <v/>
      </c>
      <c r="K38" s="60">
        <f>IF('[33]سجل المستخلصات'!$L$19="","",'[33]سجل المستخلصات'!$L$19)</f>
        <v/>
      </c>
      <c r="L38" s="60">
        <f>IF('[33]سجل المستخلصات'!$M$19="","",'[33]سجل المستخلصات'!$M$19)</f>
        <v/>
      </c>
      <c r="M38" s="60">
        <f>IF('[33]سجل المستخلصات'!$N$19="","",'[33]سجل المستخلصات'!$N$19)</f>
        <v/>
      </c>
      <c r="N38" s="59">
        <f>IF('[33]سجل المستخلصات'!$O$19="","",'[33]سجل المستخلصات'!$O$19)</f>
        <v/>
      </c>
      <c r="O38" s="59">
        <f>IF('[33]سجل المستخلصات'!$R$19="","",'[33]سجل المستخلصات'!$R$19)</f>
        <v/>
      </c>
      <c r="P38" s="59">
        <f>IF('[33]سجل المستخلصات'!$S$19="","",'[33]سجل المستخلصات'!$S$19)</f>
        <v/>
      </c>
      <c r="Q38" s="59">
        <f>IF('[33]سجل المستخلصات'!$T$19="","",'[33]سجل المستخلصات'!$T$19)</f>
        <v/>
      </c>
      <c r="R38" s="59">
        <f>IF('[33]سجل المستخلصات'!$V$19="","",'[33]سجل المستخلصات'!$V$19)</f>
        <v/>
      </c>
      <c r="S38" s="59">
        <f>IF('[33]سجل المستخلصات'!$W$19="","",'[33]سجل المستخلصات'!$W$19)</f>
        <v/>
      </c>
      <c r="T38" s="61">
        <f>IF('[33]سجل المستخلصات'!$X$19="","",'[33]سجل المستخلصات'!$X$19)</f>
        <v/>
      </c>
      <c r="U38" s="61">
        <f>IF('[33]سجل المستخلصات'!$Z$19="","",'[33]سجل المستخلصات'!$Z$19)</f>
        <v/>
      </c>
      <c r="V38" s="59">
        <f>IF('[33]سجل المستخلصات'!$AA$19="","",'[33]سجل المستخلصات'!$AA$19)</f>
        <v/>
      </c>
      <c r="W38" s="59">
        <f>IF('[33]سجل المستخلصات'!$AC$19="","",'[33]سجل المستخلصات'!$AC$19)</f>
        <v/>
      </c>
      <c r="X38" s="62">
        <f>IF('[33]سجل المستخلصات'!$AD$19="","",'[33]سجل المستخلصات'!$AD$19)</f>
        <v/>
      </c>
      <c r="Y38" s="58">
        <f>IF('[33]سجل المستخلصات'!$AE$19="","",'[33]سجل المستخلصات'!$AE$19)</f>
        <v/>
      </c>
    </row>
    <row r="39">
      <c r="B39" s="56" t="n">
        <v>15</v>
      </c>
      <c r="C39" s="57">
        <f>IF('[33]سجل المستخلصات'!$C$20="","",'[33]سجل المستخلصات'!$C$20)</f>
        <v/>
      </c>
      <c r="D39" s="57">
        <f>IF('[33]سجل المستخلصات'!$E$20="","",'[33]سجل المستخلصات'!$E$20)</f>
        <v/>
      </c>
      <c r="E39" s="58">
        <f>IF('[33]سجل المستخلصات'!$F$20="","",'[33]سجل المستخلصات'!$F$20)</f>
        <v/>
      </c>
      <c r="F39" s="59">
        <f>IF('[33]سجل المستخلصات'!$H$20="","",'[33]سجل المستخلصات'!$H$20)</f>
        <v/>
      </c>
      <c r="G39" s="59">
        <f>IF('[33]سجل المستخلصات'!$G$20="","",'[33]سجل المستخلصات'!$G$20)</f>
        <v/>
      </c>
      <c r="H39" s="59">
        <f>IF('[33]سجل المستخلصات'!$I$20="","",'[33]سجل المستخلصات'!$I$20)</f>
        <v/>
      </c>
      <c r="I39" s="59">
        <f>IF('[33]سجل المستخلصات'!$J$20="","",'[33]سجل المستخلصات'!$J$20)</f>
        <v/>
      </c>
      <c r="J39" s="59">
        <f>IF('[33]سجل المستخلصات'!$K$20="","",'[33]سجل المستخلصات'!$K$20)</f>
        <v/>
      </c>
      <c r="K39" s="60">
        <f>IF('[33]سجل المستخلصات'!$L$20="","",'[33]سجل المستخلصات'!$L$20)</f>
        <v/>
      </c>
      <c r="L39" s="60">
        <f>IF('[33]سجل المستخلصات'!$M$20="","",'[33]سجل المستخلصات'!$M$20)</f>
        <v/>
      </c>
      <c r="M39" s="60">
        <f>IF('[33]سجل المستخلصات'!$N$20="","",'[33]سجل المستخلصات'!$N$20)</f>
        <v/>
      </c>
      <c r="N39" s="59">
        <f>IF('[33]سجل المستخلصات'!$O$20="","",'[33]سجل المستخلصات'!$O$20)</f>
        <v/>
      </c>
      <c r="O39" s="59">
        <f>IF('[33]سجل المستخلصات'!$R$20="","",'[33]سجل المستخلصات'!$R$20)</f>
        <v/>
      </c>
      <c r="P39" s="59">
        <f>IF('[33]سجل المستخلصات'!$S$20="","",'[33]سجل المستخلصات'!$S$20)</f>
        <v/>
      </c>
      <c r="Q39" s="59">
        <f>IF('[33]سجل المستخلصات'!$T$20="","",'[33]سجل المستخلصات'!$T$20)</f>
        <v/>
      </c>
      <c r="R39" s="59">
        <f>IF('[33]سجل المستخلصات'!$V$20="","",'[33]سجل المستخلصات'!$V$20)</f>
        <v/>
      </c>
      <c r="S39" s="59">
        <f>IF('[33]سجل المستخلصات'!$W$20="","",'[33]سجل المستخلصات'!$W$20)</f>
        <v/>
      </c>
      <c r="T39" s="61">
        <f>IF('[33]سجل المستخلصات'!$X$20="","",'[33]سجل المستخلصات'!$X$20)</f>
        <v/>
      </c>
      <c r="U39" s="61">
        <f>IF('[33]سجل المستخلصات'!$Z$20="","",'[33]سجل المستخلصات'!$Z$20)</f>
        <v/>
      </c>
      <c r="V39" s="59">
        <f>IF('[33]سجل المستخلصات'!$AA$20="","",'[33]سجل المستخلصات'!$AA$20)</f>
        <v/>
      </c>
      <c r="W39" s="59">
        <f>IF('[33]سجل المستخلصات'!$AC$20="","",'[33]سجل المستخلصات'!$AC$20)</f>
        <v/>
      </c>
      <c r="X39" s="62">
        <f>IF('[33]سجل المستخلصات'!$AD$20="","",'[33]سجل المستخلصات'!$AD$20)</f>
        <v/>
      </c>
      <c r="Y39" s="58">
        <f>IF('[33]سجل المستخلصات'!$AE$20="","",'[33]سجل المستخلصات'!$AE$20)</f>
        <v/>
      </c>
    </row>
    <row r="40">
      <c r="B40" s="56" t="n">
        <v>16</v>
      </c>
      <c r="C40" s="57">
        <f>IF('[33]سجل المستخلصات'!$C$21="","",'[33]سجل المستخلصات'!$C$21)</f>
        <v/>
      </c>
      <c r="D40" s="57">
        <f>IF('[33]سجل المستخلصات'!$E$21="","",'[33]سجل المستخلصات'!$E$21)</f>
        <v/>
      </c>
      <c r="E40" s="58">
        <f>IF('[33]سجل المستخلصات'!$F$21="","",'[33]سجل المستخلصات'!$F$21)</f>
        <v/>
      </c>
      <c r="F40" s="59">
        <f>IF('[33]سجل المستخلصات'!$H$21="","",'[33]سجل المستخلصات'!$H$21)</f>
        <v/>
      </c>
      <c r="G40" s="59">
        <f>IF('[33]سجل المستخلصات'!$G$21="","",'[33]سجل المستخلصات'!$G$21)</f>
        <v/>
      </c>
      <c r="H40" s="59">
        <f>IF('[33]سجل المستخلصات'!$I$21="","",'[33]سجل المستخلصات'!$I$21)</f>
        <v/>
      </c>
      <c r="I40" s="59">
        <f>IF('[33]سجل المستخلصات'!$J$21="","",'[33]سجل المستخلصات'!$J$21)</f>
        <v/>
      </c>
      <c r="J40" s="59">
        <f>IF('[33]سجل المستخلصات'!$K$21="","",'[33]سجل المستخلصات'!$K$21)</f>
        <v/>
      </c>
      <c r="K40" s="60">
        <f>IF('[33]سجل المستخلصات'!$L$21="","",'[33]سجل المستخلصات'!$L$21)</f>
        <v/>
      </c>
      <c r="L40" s="60">
        <f>IF('[33]سجل المستخلصات'!$M$21="","",'[33]سجل المستخلصات'!$M$21)</f>
        <v/>
      </c>
      <c r="M40" s="60">
        <f>IF('[33]سجل المستخلصات'!$N$21="","",'[33]سجل المستخلصات'!$N$21)</f>
        <v/>
      </c>
      <c r="N40" s="59">
        <f>IF('[33]سجل المستخلصات'!$O$21="","",'[33]سجل المستخلصات'!$O$21)</f>
        <v/>
      </c>
      <c r="O40" s="59">
        <f>IF('[33]سجل المستخلصات'!$R$21="","",'[33]سجل المستخلصات'!$R$21)</f>
        <v/>
      </c>
      <c r="P40" s="59">
        <f>IF('[33]سجل المستخلصات'!$S$21="","",'[33]سجل المستخلصات'!$S$21)</f>
        <v/>
      </c>
      <c r="Q40" s="59">
        <f>IF('[33]سجل المستخلصات'!$T$21="","",'[33]سجل المستخلصات'!$T$21)</f>
        <v/>
      </c>
      <c r="R40" s="59">
        <f>IF('[33]سجل المستخلصات'!$V$21="","",'[33]سجل المستخلصات'!$V$21)</f>
        <v/>
      </c>
      <c r="S40" s="59">
        <f>IF('[33]سجل المستخلصات'!$W$21="","",'[33]سجل المستخلصات'!$W$21)</f>
        <v/>
      </c>
      <c r="T40" s="61">
        <f>IF('[33]سجل المستخلصات'!$X$21="","",'[33]سجل المستخلصات'!$X$21)</f>
        <v/>
      </c>
      <c r="U40" s="61">
        <f>IF('[33]سجل المستخلصات'!$Z$21="","",'[33]سجل المستخلصات'!$Z$21)</f>
        <v/>
      </c>
      <c r="V40" s="59">
        <f>IF('[33]سجل المستخلصات'!$AA$21="","",'[33]سجل المستخلصات'!$AA$21)</f>
        <v/>
      </c>
      <c r="W40" s="59">
        <f>IF('[33]سجل المستخلصات'!$AC$21="","",'[33]سجل المستخلصات'!$AC$21)</f>
        <v/>
      </c>
      <c r="X40" s="62">
        <f>IF('[33]سجل المستخلصات'!$AD$21="","",'[33]سجل المستخلصات'!$AD$21)</f>
        <v/>
      </c>
      <c r="Y40" s="58">
        <f>IF('[33]سجل المستخلصات'!$AE$21="","",'[33]سجل المستخلصات'!$AE$21)</f>
        <v/>
      </c>
    </row>
    <row r="41">
      <c r="B41" s="56" t="n">
        <v>17</v>
      </c>
      <c r="C41" s="57">
        <f>IF('[33]سجل المستخلصات'!$C$22="","",'[33]سجل المستخلصات'!$C$22)</f>
        <v/>
      </c>
      <c r="D41" s="57">
        <f>IF('[33]سجل المستخلصات'!$E$22="","",'[33]سجل المستخلصات'!$E$22)</f>
        <v/>
      </c>
      <c r="E41" s="58">
        <f>IF('[33]سجل المستخلصات'!$F$22="","",'[33]سجل المستخلصات'!$F$22)</f>
        <v/>
      </c>
      <c r="F41" s="59">
        <f>IF('[33]سجل المستخلصات'!$H$22="","",'[33]سجل المستخلصات'!$H$22)</f>
        <v/>
      </c>
      <c r="G41" s="59">
        <f>IF('[33]سجل المستخلصات'!$G$22="","",'[33]سجل المستخلصات'!$G$22)</f>
        <v/>
      </c>
      <c r="H41" s="59">
        <f>IF('[33]سجل المستخلصات'!$I$22="","",'[33]سجل المستخلصات'!$I$22)</f>
        <v/>
      </c>
      <c r="I41" s="59">
        <f>IF('[33]سجل المستخلصات'!$J$22="","",'[33]سجل المستخلصات'!$J$22)</f>
        <v/>
      </c>
      <c r="J41" s="59">
        <f>IF('[33]سجل المستخلصات'!$K$22="","",'[33]سجل المستخلصات'!$K$22)</f>
        <v/>
      </c>
      <c r="K41" s="60">
        <f>IF('[33]سجل المستخلصات'!$L$22="","",'[33]سجل المستخلصات'!$L$22)</f>
        <v/>
      </c>
      <c r="L41" s="60">
        <f>IF('[33]سجل المستخلصات'!$M$22="","",'[33]سجل المستخلصات'!$M$22)</f>
        <v/>
      </c>
      <c r="M41" s="60">
        <f>IF('[33]سجل المستخلصات'!$N$22="","",'[33]سجل المستخلصات'!$N$22)</f>
        <v/>
      </c>
      <c r="N41" s="59">
        <f>IF('[33]سجل المستخلصات'!$O$22="","",'[33]سجل المستخلصات'!$O$22)</f>
        <v/>
      </c>
      <c r="O41" s="59">
        <f>IF('[33]سجل المستخلصات'!$R$22="","",'[33]سجل المستخلصات'!$R$22)</f>
        <v/>
      </c>
      <c r="P41" s="59">
        <f>IF('[33]سجل المستخلصات'!$S$22="","",'[33]سجل المستخلصات'!$S$22)</f>
        <v/>
      </c>
      <c r="Q41" s="59">
        <f>IF('[33]سجل المستخلصات'!$T$22="","",'[33]سجل المستخلصات'!$T$22)</f>
        <v/>
      </c>
      <c r="R41" s="59">
        <f>IF('[33]سجل المستخلصات'!$V$22="","",'[33]سجل المستخلصات'!$V$22)</f>
        <v/>
      </c>
      <c r="S41" s="59">
        <f>IF('[33]سجل المستخلصات'!$W$22="","",'[33]سجل المستخلصات'!$W$22)</f>
        <v/>
      </c>
      <c r="T41" s="61">
        <f>IF('[33]سجل المستخلصات'!$X$22="","",'[33]سجل المستخلصات'!$X$22)</f>
        <v/>
      </c>
      <c r="U41" s="61">
        <f>IF('[33]سجل المستخلصات'!$Z$22="","",'[33]سجل المستخلصات'!$Z$22)</f>
        <v/>
      </c>
      <c r="V41" s="59">
        <f>IF('[33]سجل المستخلصات'!$AA$22="","",'[33]سجل المستخلصات'!$AA$22)</f>
        <v/>
      </c>
      <c r="W41" s="59">
        <f>IF('[33]سجل المستخلصات'!$AC$22="","",'[33]سجل المستخلصات'!$AC$22)</f>
        <v/>
      </c>
      <c r="X41" s="62">
        <f>IF('[33]سجل المستخلصات'!$AD$22="","",'[33]سجل المستخلصات'!$AD$22)</f>
        <v/>
      </c>
      <c r="Y41" s="58">
        <f>IF('[33]سجل المستخلصات'!$AE$22="","",'[33]سجل المستخلصات'!$AE$22)</f>
        <v/>
      </c>
    </row>
    <row r="42">
      <c r="B42" s="56" t="n">
        <v>18</v>
      </c>
      <c r="C42" s="57">
        <f>IF('[33]سجل المستخلصات'!$C$23="","",'[33]سجل المستخلصات'!$C$23)</f>
        <v/>
      </c>
      <c r="D42" s="57">
        <f>IF('[33]سجل المستخلصات'!$E$23="","",'[33]سجل المستخلصات'!$E$23)</f>
        <v/>
      </c>
      <c r="E42" s="58">
        <f>IF('[33]سجل المستخلصات'!$F$23="","",'[33]سجل المستخلصات'!$F$23)</f>
        <v/>
      </c>
      <c r="F42" s="59">
        <f>IF('[33]سجل المستخلصات'!$H$23="","",'[33]سجل المستخلصات'!$H$23)</f>
        <v/>
      </c>
      <c r="G42" s="59">
        <f>IF('[33]سجل المستخلصات'!$G$23="","",'[33]سجل المستخلصات'!$G$23)</f>
        <v/>
      </c>
      <c r="H42" s="59">
        <f>IF('[33]سجل المستخلصات'!$I$23="","",'[33]سجل المستخلصات'!$I$23)</f>
        <v/>
      </c>
      <c r="I42" s="59">
        <f>IF('[33]سجل المستخلصات'!$J$23="","",'[33]سجل المستخلصات'!$J$23)</f>
        <v/>
      </c>
      <c r="J42" s="59">
        <f>IF('[33]سجل المستخلصات'!$K$23="","",'[33]سجل المستخلصات'!$K$23)</f>
        <v/>
      </c>
      <c r="K42" s="60">
        <f>IF('[33]سجل المستخلصات'!$L$23="","",'[33]سجل المستخلصات'!$L$23)</f>
        <v/>
      </c>
      <c r="L42" s="60">
        <f>IF('[33]سجل المستخلصات'!$M$23="","",'[33]سجل المستخلصات'!$M$23)</f>
        <v/>
      </c>
      <c r="M42" s="60">
        <f>IF('[33]سجل المستخلصات'!$N$23="","",'[33]سجل المستخلصات'!$N$23)</f>
        <v/>
      </c>
      <c r="N42" s="59">
        <f>IF('[33]سجل المستخلصات'!$O$23="","",'[33]سجل المستخلصات'!$O$23)</f>
        <v/>
      </c>
      <c r="O42" s="59">
        <f>IF('[33]سجل المستخلصات'!$R$23="","",'[33]سجل المستخلصات'!$R$23)</f>
        <v/>
      </c>
      <c r="P42" s="59">
        <f>IF('[33]سجل المستخلصات'!$S$23="","",'[33]سجل المستخلصات'!$S$23)</f>
        <v/>
      </c>
      <c r="Q42" s="59">
        <f>IF('[33]سجل المستخلصات'!$T$23="","",'[33]سجل المستخلصات'!$T$23)</f>
        <v/>
      </c>
      <c r="R42" s="59">
        <f>IF('[33]سجل المستخلصات'!$V$23="","",'[33]سجل المستخلصات'!$V$23)</f>
        <v/>
      </c>
      <c r="S42" s="59">
        <f>IF('[33]سجل المستخلصات'!$W$23="","",'[33]سجل المستخلصات'!$W$23)</f>
        <v/>
      </c>
      <c r="T42" s="61">
        <f>IF('[33]سجل المستخلصات'!$X$23="","",'[33]سجل المستخلصات'!$X$23)</f>
        <v/>
      </c>
      <c r="U42" s="61">
        <f>IF('[33]سجل المستخلصات'!$Z$23="","",'[33]سجل المستخلصات'!$Z$23)</f>
        <v/>
      </c>
      <c r="V42" s="59">
        <f>IF('[33]سجل المستخلصات'!$AA$23="","",'[33]سجل المستخلصات'!$AA$23)</f>
        <v/>
      </c>
      <c r="W42" s="59">
        <f>IF('[33]سجل المستخلصات'!$AC$23="","",'[33]سجل المستخلصات'!$AC$23)</f>
        <v/>
      </c>
      <c r="X42" s="62">
        <f>IF('[33]سجل المستخلصات'!$AD$23="","",'[33]سجل المستخلصات'!$AD$23)</f>
        <v/>
      </c>
      <c r="Y42" s="58">
        <f>IF('[33]سجل المستخلصات'!$AE$23="","",'[33]سجل المستخلصات'!$AE$23)</f>
        <v/>
      </c>
    </row>
    <row r="43">
      <c r="B43" s="56" t="n">
        <v>19</v>
      </c>
      <c r="C43" s="57">
        <f>IF('[33]سجل المستخلصات'!$C$24="","",'[33]سجل المستخلصات'!$C$24)</f>
        <v/>
      </c>
      <c r="D43" s="57">
        <f>IF('[33]سجل المستخلصات'!$E$24="","",'[33]سجل المستخلصات'!$E$24)</f>
        <v/>
      </c>
      <c r="E43" s="58">
        <f>IF('[33]سجل المستخلصات'!$F$24="","",'[33]سجل المستخلصات'!$F$24)</f>
        <v/>
      </c>
      <c r="F43" s="59">
        <f>IF('[33]سجل المستخلصات'!$H$24="","",'[33]سجل المستخلصات'!$H$24)</f>
        <v/>
      </c>
      <c r="G43" s="59">
        <f>IF('[33]سجل المستخلصات'!$G$24="","",'[33]سجل المستخلصات'!$G$24)</f>
        <v/>
      </c>
      <c r="H43" s="59">
        <f>IF('[33]سجل المستخلصات'!$I$24="","",'[33]سجل المستخلصات'!$I$24)</f>
        <v/>
      </c>
      <c r="I43" s="59">
        <f>IF('[33]سجل المستخلصات'!$J$24="","",'[33]سجل المستخلصات'!$J$24)</f>
        <v/>
      </c>
      <c r="J43" s="59">
        <f>IF('[33]سجل المستخلصات'!$K$24="","",'[33]سجل المستخلصات'!$K$24)</f>
        <v/>
      </c>
      <c r="K43" s="60">
        <f>IF('[33]سجل المستخلصات'!$L$24="","",'[33]سجل المستخلصات'!$L$24)</f>
        <v/>
      </c>
      <c r="L43" s="60">
        <f>IF('[33]سجل المستخلصات'!$M$24="","",'[33]سجل المستخلصات'!$M$24)</f>
        <v/>
      </c>
      <c r="M43" s="60">
        <f>IF('[33]سجل المستخلصات'!$N$24="","",'[33]سجل المستخلصات'!$N$24)</f>
        <v/>
      </c>
      <c r="N43" s="59">
        <f>IF('[33]سجل المستخلصات'!$O$24="","",'[33]سجل المستخلصات'!$O$24)</f>
        <v/>
      </c>
      <c r="O43" s="59">
        <f>IF('[33]سجل المستخلصات'!$R$24="","",'[33]سجل المستخلصات'!$R$24)</f>
        <v/>
      </c>
      <c r="P43" s="59">
        <f>IF('[33]سجل المستخلصات'!$S$24="","",'[33]سجل المستخلصات'!$S$24)</f>
        <v/>
      </c>
      <c r="Q43" s="59">
        <f>IF('[33]سجل المستخلصات'!$T$24="","",'[33]سجل المستخلصات'!$T$24)</f>
        <v/>
      </c>
      <c r="R43" s="59">
        <f>IF('[33]سجل المستخلصات'!$V$24="","",'[33]سجل المستخلصات'!$V$24)</f>
        <v/>
      </c>
      <c r="S43" s="59">
        <f>IF('[33]سجل المستخلصات'!$W$24="","",'[33]سجل المستخلصات'!$W$24)</f>
        <v/>
      </c>
      <c r="T43" s="61">
        <f>IF('[33]سجل المستخلصات'!$X$24="","",'[33]سجل المستخلصات'!$X$24)</f>
        <v/>
      </c>
      <c r="U43" s="61">
        <f>IF('[33]سجل المستخلصات'!$Z$24="","",'[33]سجل المستخلصات'!$Z$24)</f>
        <v/>
      </c>
      <c r="V43" s="59">
        <f>IF('[33]سجل المستخلصات'!$AA$24="","",'[33]سجل المستخلصات'!$AA$24)</f>
        <v/>
      </c>
      <c r="W43" s="59">
        <f>IF('[33]سجل المستخلصات'!$AC$24="","",'[33]سجل المستخلصات'!$AC$24)</f>
        <v/>
      </c>
      <c r="X43" s="62">
        <f>IF('[33]سجل المستخلصات'!$AD$24="","",'[33]سجل المستخلصات'!$AD$24)</f>
        <v/>
      </c>
      <c r="Y43" s="58">
        <f>IF('[33]سجل المستخلصات'!$AE$24="","",'[33]سجل المستخلصات'!$AE$24)</f>
        <v/>
      </c>
    </row>
    <row r="44">
      <c r="B44" s="56" t="n">
        <v>20</v>
      </c>
      <c r="C44" s="57">
        <f>IF('[33]سجل المستخلصات'!$C$25="","",'[33]سجل المستخلصات'!$C$25)</f>
        <v/>
      </c>
      <c r="D44" s="57">
        <f>IF('[33]سجل المستخلصات'!$E$25="","",'[33]سجل المستخلصات'!$E$25)</f>
        <v/>
      </c>
      <c r="E44" s="58">
        <f>IF('[33]سجل المستخلصات'!$F$25="","",'[33]سجل المستخلصات'!$F$25)</f>
        <v/>
      </c>
      <c r="F44" s="59">
        <f>IF('[33]سجل المستخلصات'!$H$25="","",'[33]سجل المستخلصات'!$H$25)</f>
        <v/>
      </c>
      <c r="G44" s="59">
        <f>IF('[33]سجل المستخلصات'!$G$25="","",'[33]سجل المستخلصات'!$G$25)</f>
        <v/>
      </c>
      <c r="H44" s="59">
        <f>IF('[33]سجل المستخلصات'!$I$25="","",'[33]سجل المستخلصات'!$I$25)</f>
        <v/>
      </c>
      <c r="I44" s="59">
        <f>IF('[33]سجل المستخلصات'!$J$25="","",'[33]سجل المستخلصات'!$J$25)</f>
        <v/>
      </c>
      <c r="J44" s="59">
        <f>IF('[33]سجل المستخلصات'!$K$25="","",'[33]سجل المستخلصات'!$K$25)</f>
        <v/>
      </c>
      <c r="K44" s="60">
        <f>IF('[33]سجل المستخلصات'!$L$25="","",'[33]سجل المستخلصات'!$L$25)</f>
        <v/>
      </c>
      <c r="L44" s="60">
        <f>IF('[33]سجل المستخلصات'!$M$25="","",'[33]سجل المستخلصات'!$M$25)</f>
        <v/>
      </c>
      <c r="M44" s="60">
        <f>IF('[33]سجل المستخلصات'!$N$25="","",'[33]سجل المستخلصات'!$N$25)</f>
        <v/>
      </c>
      <c r="N44" s="59">
        <f>IF('[33]سجل المستخلصات'!$O$25="","",'[33]سجل المستخلصات'!$O$25)</f>
        <v/>
      </c>
      <c r="O44" s="59">
        <f>IF('[33]سجل المستخلصات'!$R$25="","",'[33]سجل المستخلصات'!$R$25)</f>
        <v/>
      </c>
      <c r="P44" s="59">
        <f>IF('[33]سجل المستخلصات'!$S$25="","",'[33]سجل المستخلصات'!$S$25)</f>
        <v/>
      </c>
      <c r="Q44" s="59">
        <f>IF('[33]سجل المستخلصات'!$T$25="","",'[33]سجل المستخلصات'!$T$25)</f>
        <v/>
      </c>
      <c r="R44" s="59">
        <f>IF('[33]سجل المستخلصات'!$V$25="","",'[33]سجل المستخلصات'!$V$25)</f>
        <v/>
      </c>
      <c r="S44" s="59">
        <f>IF('[33]سجل المستخلصات'!$W$25="","",'[33]سجل المستخلصات'!$W$25)</f>
        <v/>
      </c>
      <c r="T44" s="61">
        <f>IF('[33]سجل المستخلصات'!$X$25="","",'[33]سجل المستخلصات'!$X$25)</f>
        <v/>
      </c>
      <c r="U44" s="61">
        <f>IF('[33]سجل المستخلصات'!$Z$25="","",'[33]سجل المستخلصات'!$Z$25)</f>
        <v/>
      </c>
      <c r="V44" s="59">
        <f>IF('[33]سجل المستخلصات'!$AA$25="","",'[33]سجل المستخلصات'!$AA$25)</f>
        <v/>
      </c>
      <c r="W44" s="59">
        <f>IF('[33]سجل المستخلصات'!$AC$25="","",'[33]سجل المستخلصات'!$AC$25)</f>
        <v/>
      </c>
      <c r="X44" s="62">
        <f>IF('[33]سجل المستخلصات'!$AD$25="","",'[33]سجل المستخلصات'!$AD$25)</f>
        <v/>
      </c>
      <c r="Y44" s="58">
        <f>IF('[33]سجل المستخلصات'!$AE$25="","",'[33]سجل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IF('[33]سجل المستخلصات'!$B$32="","",'[33]سجل المستخلصات'!$B$32)</f>
        <v/>
      </c>
      <c r="C50" s="69" t="n"/>
      <c r="D50" s="69" t="n"/>
      <c r="E50" s="59">
        <f>N('[33]سجل المستخلصات'!$E$32)</f>
        <v/>
      </c>
      <c r="F50" s="59">
        <f>N('[33]سجل المستخلصات'!$F$32)</f>
        <v/>
      </c>
      <c r="G50" s="70">
        <f>IF(E50&gt;0,F50/E50,0)</f>
        <v/>
      </c>
    </row>
    <row r="51">
      <c r="B51" s="69">
        <f>IF('[33]سجل المستخلصات'!$B$33="","",'[33]سجل المستخلصات'!$B$33)</f>
        <v/>
      </c>
      <c r="C51" s="69" t="n"/>
      <c r="D51" s="69" t="n"/>
      <c r="E51" s="59">
        <f>N('[33]سجل المستخلصات'!$E$33)</f>
        <v/>
      </c>
      <c r="F51" s="59">
        <f>N('[33]سجل المستخلصات'!$F$33)</f>
        <v/>
      </c>
      <c r="G51" s="70">
        <f>IF(E51&gt;0,F51/E51,0)</f>
        <v/>
      </c>
    </row>
    <row r="52">
      <c r="B52" s="69">
        <f>IF('[33]سجل المستخلصات'!$B$34="","",'[33]سجل المستخلصات'!$B$34)</f>
        <v/>
      </c>
      <c r="C52" s="69" t="n"/>
      <c r="D52" s="69" t="n"/>
      <c r="E52" s="59">
        <f>N('[33]سجل المستخلصات'!$E$34)</f>
        <v/>
      </c>
      <c r="F52" s="59">
        <f>N('[33]سجل المستخلصات'!$F$34)</f>
        <v/>
      </c>
      <c r="G52" s="70">
        <f>IF(E52&gt;0,F52/E52,0)</f>
        <v/>
      </c>
    </row>
    <row r="53">
      <c r="B53" s="69">
        <f>IF('[33]سجل المستخلصات'!$B$35="","",'[33]سجل المستخلصات'!$B$35)</f>
        <v/>
      </c>
      <c r="C53" s="69" t="n"/>
      <c r="D53" s="69" t="n"/>
      <c r="E53" s="59">
        <f>N('[33]سجل المستخلصات'!$E$35)</f>
        <v/>
      </c>
      <c r="F53" s="59">
        <f>N('[33]سجل المستخلصات'!$F$35)</f>
        <v/>
      </c>
      <c r="G53" s="70">
        <f>IF(E53&gt;0,F53/E53,0)</f>
        <v/>
      </c>
    </row>
    <row r="54">
      <c r="B54" s="69">
        <f>IF('[33]سجل المستخلصات'!$B$36="","",'[33]سجل المستخلصات'!$B$36)</f>
        <v/>
      </c>
      <c r="C54" s="69" t="n"/>
      <c r="D54" s="69" t="n"/>
      <c r="E54" s="59">
        <f>N('[33]سجل المستخلصات'!$E$36)</f>
        <v/>
      </c>
      <c r="F54" s="59">
        <f>N('[33]سجل المستخلصات'!$F$36)</f>
        <v/>
      </c>
      <c r="G54" s="70">
        <f>IF(E54&gt;0,F54/E54,0)</f>
        <v/>
      </c>
    </row>
    <row r="55">
      <c r="B55" s="69">
        <f>IF('[33]سجل المستخلصات'!$B$37="","",'[33]سجل المستخلصات'!$B$37)</f>
        <v/>
      </c>
      <c r="C55" s="69" t="n"/>
      <c r="D55" s="69" t="n"/>
      <c r="E55" s="59">
        <f>N('[33]سجل المستخلصات'!$E$37)</f>
        <v/>
      </c>
      <c r="F55" s="59">
        <f>N('[33]سجل المستخلصات'!$F$37)</f>
        <v/>
      </c>
      <c r="G55" s="70">
        <f>IF(E55&gt;0,F55/E55,0)</f>
        <v/>
      </c>
    </row>
    <row r="56">
      <c r="B56" s="69">
        <f>IF('[33]سجل المستخلصات'!$B$38="","",'[33]سجل المستخلصات'!$B$38)</f>
        <v/>
      </c>
      <c r="C56" s="69" t="n"/>
      <c r="D56" s="69" t="n"/>
      <c r="E56" s="59">
        <f>N('[33]سجل المستخلصات'!$E$38)</f>
        <v/>
      </c>
      <c r="F56" s="59">
        <f>N('[33]سجل المستخلصات'!$F$38)</f>
        <v/>
      </c>
      <c r="G56" s="70">
        <f>IF(E56&gt;0,F56/E56,0)</f>
        <v/>
      </c>
    </row>
    <row r="57">
      <c r="B57" s="69">
        <f>IF('[33]سجل المستخلصات'!$B$39="","",'[33]سجل المستخلصات'!$B$39)</f>
        <v/>
      </c>
      <c r="C57" s="69" t="n"/>
      <c r="D57" s="69" t="n"/>
      <c r="E57" s="59">
        <f>N('[33]سجل المستخلصات'!$E$39)</f>
        <v/>
      </c>
      <c r="F57" s="59">
        <f>N('[33]سجل المستخلصات'!$F$39)</f>
        <v/>
      </c>
      <c r="G57" s="70">
        <f>IF(E57&gt;0,F57/E57,0)</f>
        <v/>
      </c>
    </row>
    <row r="58">
      <c r="B58" s="69">
        <f>IF('[33]سجل المستخلصات'!$B$40="","",'[33]سجل المستخلصات'!$B$40)</f>
        <v/>
      </c>
      <c r="C58" s="69" t="n"/>
      <c r="D58" s="69" t="n"/>
      <c r="E58" s="59">
        <f>N('[33]سجل المستخلصات'!$E$40)</f>
        <v/>
      </c>
      <c r="F58" s="59">
        <f>N('[33]سجل المستخلصات'!$F$40)</f>
        <v/>
      </c>
      <c r="G58" s="70">
        <f>IF(E58&gt;0,F58/E58,0)</f>
        <v/>
      </c>
    </row>
    <row r="59">
      <c r="B59" s="69">
        <f>IF('[33]سجل المستخلصات'!$B$41="","",'[33]سجل المستخلصات'!$B$41)</f>
        <v/>
      </c>
      <c r="C59" s="69" t="n"/>
      <c r="D59" s="69" t="n"/>
      <c r="E59" s="59">
        <f>N('[33]سجل المستخلصات'!$E$41)</f>
        <v/>
      </c>
      <c r="F59" s="59">
        <f>N('[33]سجل المستخلصات'!$F$41)</f>
        <v/>
      </c>
      <c r="G59" s="70">
        <f>IF(E59&gt;0,F59/E59,0)</f>
        <v/>
      </c>
    </row>
    <row r="60">
      <c r="B60" s="69">
        <f>IF('[33]سجل المستخلصات'!$B$42="","",'[33]سجل المستخلصات'!$B$42)</f>
        <v/>
      </c>
      <c r="C60" s="69" t="n"/>
      <c r="D60" s="69" t="n"/>
      <c r="E60" s="59">
        <f>N('[33]سجل المستخلصات'!$E$42)</f>
        <v/>
      </c>
      <c r="F60" s="59">
        <f>N('[33]سجل المستخلصات'!$F$42)</f>
        <v/>
      </c>
      <c r="G60" s="70">
        <f>IF(E60&gt;0,F60/E60,0)</f>
        <v/>
      </c>
    </row>
    <row r="61">
      <c r="B61" s="69">
        <f>IF('[33]سجل المستخلصات'!$B$43="","",'[33]سجل المستخلصات'!$B$43)</f>
        <v/>
      </c>
      <c r="C61" s="69" t="n"/>
      <c r="D61" s="69" t="n"/>
      <c r="E61" s="59">
        <f>N('[33]سجل المستخلصات'!$E$43)</f>
        <v/>
      </c>
      <c r="F61" s="59">
        <f>N('[33]سجل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32'!A1" display="◄ المشروع السابق"/>
    <hyperlink ref="D3" location="'مشروع 34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3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"&amp;IF('[34]بيانات العقد'!$C$5="","مشروع رقم 34 — غير مُفعّل",'[34]بيانات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Project_34/IPC_Project_34.xlsx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IF('[34]بيانات العقد'!$C$5="","",'[34]بيانات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IF('[34]بيانات العقد'!$C$6="","",'[34]بيانات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IF('[34]بيانات العقد'!$C$7="","",'[34]بيانات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IF('[34]بيانات العقد'!$C$8="","",'[34]بيانات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N('[34]بيانات العقد'!$C$16)</f>
        <v/>
      </c>
    </row>
    <row r="6" ht="22" customHeight="1">
      <c r="B6" s="11" t="inlineStr">
        <is>
          <t>المقاول</t>
        </is>
      </c>
      <c r="C6" s="14">
        <f>IF('[34]بيانات العقد'!$C$9="","",'[34]بيانات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IF('[34]بيانات العقد'!$C$11="","",'[34]بيانات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IF('[34]بيانات العقد'!$C$13="","",'[34]بيانات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IF('[34]بيانات العقد'!$C$14="","",'[34]بيانات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N('[34]بيانات العقد'!$C$17)</f>
        <v/>
      </c>
    </row>
    <row r="7">
      <c r="AA7" s="15" t="inlineStr">
        <is>
          <t>قيمة العقد المعدلة</t>
        </is>
      </c>
      <c r="AB7" s="16">
        <f>N('[34]بيانات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N('[34]بيانات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N('[34]بيانات العقد'!$C$21)</f>
        <v/>
      </c>
    </row>
    <row r="10">
      <c r="AA10" s="15" t="inlineStr">
        <is>
          <t>نسبة ضمان الأعمال</t>
        </is>
      </c>
      <c r="AB10" s="23">
        <f>N('[34]بيانات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N('[34]بيانات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N('[34]بيانات العقد'!$C$31)</f>
        <v/>
      </c>
    </row>
    <row r="13">
      <c r="AA13" s="15" t="inlineStr">
        <is>
          <t>ضريبة الاستقطاع (غير المقيم)</t>
        </is>
      </c>
      <c r="AB13" s="23">
        <f>N('[34]بيانات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IF('[34]بيانات العقد'!$C$11="","",'[34]بيانات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IF('[34]بيانات العقد'!$C$13="","",'[34]بيانات العقد'!$C$13)</f>
        <v/>
      </c>
    </row>
    <row r="16">
      <c r="AA16" s="15" t="inlineStr">
        <is>
          <t>المدة (شهر)</t>
        </is>
      </c>
      <c r="AB16" s="43">
        <f>IF('[34]بيانات العقد'!$C$12="","",'[34]بيانات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IF('[34]بيانات العقد'!$C$36="","",'[34]بيانات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IF('[34]بيانات العقد'!$C$37="","",'[34]بيانات العقد'!$C$37)</f>
        <v/>
      </c>
    </row>
    <row r="19">
      <c r="AA19" s="15" t="inlineStr">
        <is>
          <t>الرقم الضريبي لصاحب العمل</t>
        </is>
      </c>
      <c r="AB19" s="48">
        <f>IF('[34]بيانات العقد'!$C$39="","",'[34]بيانات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IF('[34]بيانات العقد'!$C$42="","",'[34]بيانات العقد'!$C$42)</f>
        <v/>
      </c>
    </row>
    <row r="21" ht="32" customHeight="1">
      <c r="B21" s="50">
        <f>N('[34]الموازنة والتكاليف'!$D$66)</f>
        <v/>
      </c>
      <c r="C21" s="50" t="n"/>
      <c r="D21" s="50" t="n"/>
      <c r="E21" s="50" t="n"/>
      <c r="F21" s="50">
        <f>N('[34]الموازنة والتكاليف'!$D$70)</f>
        <v/>
      </c>
      <c r="G21" s="50" t="n"/>
      <c r="H21" s="50" t="n"/>
      <c r="I21" s="50" t="n"/>
      <c r="J21" s="50">
        <f>N('[34]الموازنة والتكاليف'!$D$72)</f>
        <v/>
      </c>
      <c r="K21" s="50" t="n"/>
      <c r="L21" s="50" t="n"/>
      <c r="M21" s="50" t="n"/>
      <c r="N21" s="51">
        <f>N('[34]الموازنة والتكاليف'!$D$73)</f>
        <v/>
      </c>
      <c r="O21" s="51" t="n"/>
      <c r="P21" s="51" t="n"/>
      <c r="Q21" s="51" t="n"/>
      <c r="R21" s="52">
        <f>N('[34]الموازنة والتكاليف'!$D$74)</f>
        <v/>
      </c>
      <c r="S21" s="52" t="n"/>
      <c r="T21" s="52" t="n"/>
      <c r="U21" s="52" t="n"/>
      <c r="V21" s="50">
        <f>N('[34]الموازنة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IF('[34]بيانات العقد'!$C$43="","",'[34]بيانات العقد'!$C$43)</f>
        <v/>
      </c>
    </row>
    <row r="22">
      <c r="AA22" s="15" t="inlineStr">
        <is>
          <t>حالة غرامات التأخير</t>
        </is>
      </c>
      <c r="AB22" s="45">
        <f>IF('[34]بيانات العقد'!$C$47="","",'[34]بيانات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IF('[34]سجل المستخلصات'!$C$6="","",'[34]سجل المستخلصات'!$C$6)</f>
        <v/>
      </c>
      <c r="D25" s="57">
        <f>IF('[34]سجل المستخلصات'!$E$6="","",'[34]سجل المستخلصات'!$E$6)</f>
        <v/>
      </c>
      <c r="E25" s="58">
        <f>IF('[34]سجل المستخلصات'!$F$6="","",'[34]سجل المستخلصات'!$F$6)</f>
        <v/>
      </c>
      <c r="F25" s="59">
        <f>IF('[34]سجل المستخلصات'!$H$6="","",'[34]سجل المستخلصات'!$H$6)</f>
        <v/>
      </c>
      <c r="G25" s="59">
        <f>IF('[34]سجل المستخلصات'!$G$6="","",'[34]سجل المستخلصات'!$G$6)</f>
        <v/>
      </c>
      <c r="H25" s="59">
        <f>IF('[34]سجل المستخلصات'!$I$6="","",'[34]سجل المستخلصات'!$I$6)</f>
        <v/>
      </c>
      <c r="I25" s="59">
        <f>IF('[34]سجل المستخلصات'!$J$6="","",'[34]سجل المستخلصات'!$J$6)</f>
        <v/>
      </c>
      <c r="J25" s="59">
        <f>IF('[34]سجل المستخلصات'!$K$6="","",'[34]سجل المستخلصات'!$K$6)</f>
        <v/>
      </c>
      <c r="K25" s="60">
        <f>IF('[34]سجل المستخلصات'!$L$6="","",'[34]سجل المستخلصات'!$L$6)</f>
        <v/>
      </c>
      <c r="L25" s="60">
        <f>IF('[34]سجل المستخلصات'!$M$6="","",'[34]سجل المستخلصات'!$M$6)</f>
        <v/>
      </c>
      <c r="M25" s="60">
        <f>IF('[34]سجل المستخلصات'!$N$6="","",'[34]سجل المستخلصات'!$N$6)</f>
        <v/>
      </c>
      <c r="N25" s="59">
        <f>IF('[34]سجل المستخلصات'!$O$6="","",'[34]سجل المستخلصات'!$O$6)</f>
        <v/>
      </c>
      <c r="O25" s="59">
        <f>IF('[34]سجل المستخلصات'!$R$6="","",'[34]سجل المستخلصات'!$R$6)</f>
        <v/>
      </c>
      <c r="P25" s="59">
        <f>IF('[34]سجل المستخلصات'!$S$6="","",'[34]سجل المستخلصات'!$S$6)</f>
        <v/>
      </c>
      <c r="Q25" s="59">
        <f>IF('[34]سجل المستخلصات'!$T$6="","",'[34]سجل المستخلصات'!$T$6)</f>
        <v/>
      </c>
      <c r="R25" s="59">
        <f>IF('[34]سجل المستخلصات'!$V$6="","",'[34]سجل المستخلصات'!$V$6)</f>
        <v/>
      </c>
      <c r="S25" s="59">
        <f>IF('[34]سجل المستخلصات'!$W$6="","",'[34]سجل المستخلصات'!$W$6)</f>
        <v/>
      </c>
      <c r="T25" s="61">
        <f>IF('[34]سجل المستخلصات'!$X$6="","",'[34]سجل المستخلصات'!$X$6)</f>
        <v/>
      </c>
      <c r="U25" s="61">
        <f>IF('[34]سجل المستخلصات'!$Z$6="","",'[34]سجل المستخلصات'!$Z$6)</f>
        <v/>
      </c>
      <c r="V25" s="59">
        <f>IF('[34]سجل المستخلصات'!$AA$6="","",'[34]سجل المستخلصات'!$AA$6)</f>
        <v/>
      </c>
      <c r="W25" s="59">
        <f>IF('[34]سجل المستخلصات'!$AC$6="","",'[34]سجل المستخلصات'!$AC$6)</f>
        <v/>
      </c>
      <c r="X25" s="62">
        <f>IF('[34]سجل المستخلصات'!$AD$6="","",'[34]سجل المستخلصات'!$AD$6)</f>
        <v/>
      </c>
      <c r="Y25" s="58">
        <f>IF('[34]سجل المستخلصات'!$AE$6="","",'[34]سجل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IF('[34]سجل المستخلصات'!$C$7="","",'[34]سجل المستخلصات'!$C$7)</f>
        <v/>
      </c>
      <c r="D26" s="57">
        <f>IF('[34]سجل المستخلصات'!$E$7="","",'[34]سجل المستخلصات'!$E$7)</f>
        <v/>
      </c>
      <c r="E26" s="58">
        <f>IF('[34]سجل المستخلصات'!$F$7="","",'[34]سجل المستخلصات'!$F$7)</f>
        <v/>
      </c>
      <c r="F26" s="59">
        <f>IF('[34]سجل المستخلصات'!$H$7="","",'[34]سجل المستخلصات'!$H$7)</f>
        <v/>
      </c>
      <c r="G26" s="59">
        <f>IF('[34]سجل المستخلصات'!$G$7="","",'[34]سجل المستخلصات'!$G$7)</f>
        <v/>
      </c>
      <c r="H26" s="59">
        <f>IF('[34]سجل المستخلصات'!$I$7="","",'[34]سجل المستخلصات'!$I$7)</f>
        <v/>
      </c>
      <c r="I26" s="59">
        <f>IF('[34]سجل المستخلصات'!$J$7="","",'[34]سجل المستخلصات'!$J$7)</f>
        <v/>
      </c>
      <c r="J26" s="59">
        <f>IF('[34]سجل المستخلصات'!$K$7="","",'[34]سجل المستخلصات'!$K$7)</f>
        <v/>
      </c>
      <c r="K26" s="60">
        <f>IF('[34]سجل المستخلصات'!$L$7="","",'[34]سجل المستخلصات'!$L$7)</f>
        <v/>
      </c>
      <c r="L26" s="60">
        <f>IF('[34]سجل المستخلصات'!$M$7="","",'[34]سجل المستخلصات'!$M$7)</f>
        <v/>
      </c>
      <c r="M26" s="60">
        <f>IF('[34]سجل المستخلصات'!$N$7="","",'[34]سجل المستخلصات'!$N$7)</f>
        <v/>
      </c>
      <c r="N26" s="59">
        <f>IF('[34]سجل المستخلصات'!$O$7="","",'[34]سجل المستخلصات'!$O$7)</f>
        <v/>
      </c>
      <c r="O26" s="59">
        <f>IF('[34]سجل المستخلصات'!$R$7="","",'[34]سجل المستخلصات'!$R$7)</f>
        <v/>
      </c>
      <c r="P26" s="59">
        <f>IF('[34]سجل المستخلصات'!$S$7="","",'[34]سجل المستخلصات'!$S$7)</f>
        <v/>
      </c>
      <c r="Q26" s="59">
        <f>IF('[34]سجل المستخلصات'!$T$7="","",'[34]سجل المستخلصات'!$T$7)</f>
        <v/>
      </c>
      <c r="R26" s="59">
        <f>IF('[34]سجل المستخلصات'!$V$7="","",'[34]سجل المستخلصات'!$V$7)</f>
        <v/>
      </c>
      <c r="S26" s="59">
        <f>IF('[34]سجل المستخلصات'!$W$7="","",'[34]سجل المستخلصات'!$W$7)</f>
        <v/>
      </c>
      <c r="T26" s="61">
        <f>IF('[34]سجل المستخلصات'!$X$7="","",'[34]سجل المستخلصات'!$X$7)</f>
        <v/>
      </c>
      <c r="U26" s="61">
        <f>IF('[34]سجل المستخلصات'!$Z$7="","",'[34]سجل المستخلصات'!$Z$7)</f>
        <v/>
      </c>
      <c r="V26" s="59">
        <f>IF('[34]سجل المستخلصات'!$AA$7="","",'[34]سجل المستخلصات'!$AA$7)</f>
        <v/>
      </c>
      <c r="W26" s="59">
        <f>IF('[34]سجل المستخلصات'!$AC$7="","",'[34]سجل المستخلصات'!$AC$7)</f>
        <v/>
      </c>
      <c r="X26" s="62">
        <f>IF('[34]سجل المستخلصات'!$AD$7="","",'[34]سجل المستخلصات'!$AD$7)</f>
        <v/>
      </c>
      <c r="Y26" s="58">
        <f>IF('[34]سجل المستخلصات'!$AE$7="","",'[34]سجل المستخلصات'!$AE$7)</f>
        <v/>
      </c>
      <c r="AA26" s="63" t="n"/>
      <c r="AB26" s="63" t="n"/>
    </row>
    <row r="27">
      <c r="B27" s="56" t="n">
        <v>3</v>
      </c>
      <c r="C27" s="57">
        <f>IF('[34]سجل المستخلصات'!$C$8="","",'[34]سجل المستخلصات'!$C$8)</f>
        <v/>
      </c>
      <c r="D27" s="57">
        <f>IF('[34]سجل المستخلصات'!$E$8="","",'[34]سجل المستخلصات'!$E$8)</f>
        <v/>
      </c>
      <c r="E27" s="58">
        <f>IF('[34]سجل المستخلصات'!$F$8="","",'[34]سجل المستخلصات'!$F$8)</f>
        <v/>
      </c>
      <c r="F27" s="59">
        <f>IF('[34]سجل المستخلصات'!$H$8="","",'[34]سجل المستخلصات'!$H$8)</f>
        <v/>
      </c>
      <c r="G27" s="59">
        <f>IF('[34]سجل المستخلصات'!$G$8="","",'[34]سجل المستخلصات'!$G$8)</f>
        <v/>
      </c>
      <c r="H27" s="59">
        <f>IF('[34]سجل المستخلصات'!$I$8="","",'[34]سجل المستخلصات'!$I$8)</f>
        <v/>
      </c>
      <c r="I27" s="59">
        <f>IF('[34]سجل المستخلصات'!$J$8="","",'[34]سجل المستخلصات'!$J$8)</f>
        <v/>
      </c>
      <c r="J27" s="59">
        <f>IF('[34]سجل المستخلصات'!$K$8="","",'[34]سجل المستخلصات'!$K$8)</f>
        <v/>
      </c>
      <c r="K27" s="60">
        <f>IF('[34]سجل المستخلصات'!$L$8="","",'[34]سجل المستخلصات'!$L$8)</f>
        <v/>
      </c>
      <c r="L27" s="60">
        <f>IF('[34]سجل المستخلصات'!$M$8="","",'[34]سجل المستخلصات'!$M$8)</f>
        <v/>
      </c>
      <c r="M27" s="60">
        <f>IF('[34]سجل المستخلصات'!$N$8="","",'[34]سجل المستخلصات'!$N$8)</f>
        <v/>
      </c>
      <c r="N27" s="59">
        <f>IF('[34]سجل المستخلصات'!$O$8="","",'[34]سجل المستخلصات'!$O$8)</f>
        <v/>
      </c>
      <c r="O27" s="59">
        <f>IF('[34]سجل المستخلصات'!$R$8="","",'[34]سجل المستخلصات'!$R$8)</f>
        <v/>
      </c>
      <c r="P27" s="59">
        <f>IF('[34]سجل المستخلصات'!$S$8="","",'[34]سجل المستخلصات'!$S$8)</f>
        <v/>
      </c>
      <c r="Q27" s="59">
        <f>IF('[34]سجل المستخلصات'!$T$8="","",'[34]سجل المستخلصات'!$T$8)</f>
        <v/>
      </c>
      <c r="R27" s="59">
        <f>IF('[34]سجل المستخلصات'!$V$8="","",'[34]سجل المستخلصات'!$V$8)</f>
        <v/>
      </c>
      <c r="S27" s="59">
        <f>IF('[34]سجل المستخلصات'!$W$8="","",'[34]سجل المستخلصات'!$W$8)</f>
        <v/>
      </c>
      <c r="T27" s="61">
        <f>IF('[34]سجل المستخلصات'!$X$8="","",'[34]سجل المستخلصات'!$X$8)</f>
        <v/>
      </c>
      <c r="U27" s="61">
        <f>IF('[34]سجل المستخلصات'!$Z$8="","",'[34]سجل المستخلصات'!$Z$8)</f>
        <v/>
      </c>
      <c r="V27" s="59">
        <f>IF('[34]سجل المستخلصات'!$AA$8="","",'[34]سجل المستخلصات'!$AA$8)</f>
        <v/>
      </c>
      <c r="W27" s="59">
        <f>IF('[34]سجل المستخلصات'!$AC$8="","",'[34]سجل المستخلصات'!$AC$8)</f>
        <v/>
      </c>
      <c r="X27" s="62">
        <f>IF('[34]سجل المستخلصات'!$AD$8="","",'[34]سجل المستخلصات'!$AD$8)</f>
        <v/>
      </c>
      <c r="Y27" s="58">
        <f>IF('[34]سجل المستخلصات'!$AE$8="","",'[34]سجل المستخلصات'!$AE$8)</f>
        <v/>
      </c>
      <c r="AA27" s="63" t="n"/>
      <c r="AB27" s="63" t="n"/>
    </row>
    <row r="28">
      <c r="B28" s="56" t="n">
        <v>4</v>
      </c>
      <c r="C28" s="57">
        <f>IF('[34]سجل المستخلصات'!$C$9="","",'[34]سجل المستخلصات'!$C$9)</f>
        <v/>
      </c>
      <c r="D28" s="57">
        <f>IF('[34]سجل المستخلصات'!$E$9="","",'[34]سجل المستخلصات'!$E$9)</f>
        <v/>
      </c>
      <c r="E28" s="58">
        <f>IF('[34]سجل المستخلصات'!$F$9="","",'[34]سجل المستخلصات'!$F$9)</f>
        <v/>
      </c>
      <c r="F28" s="59">
        <f>IF('[34]سجل المستخلصات'!$H$9="","",'[34]سجل المستخلصات'!$H$9)</f>
        <v/>
      </c>
      <c r="G28" s="59">
        <f>IF('[34]سجل المستخلصات'!$G$9="","",'[34]سجل المستخلصات'!$G$9)</f>
        <v/>
      </c>
      <c r="H28" s="59">
        <f>IF('[34]سجل المستخلصات'!$I$9="","",'[34]سجل المستخلصات'!$I$9)</f>
        <v/>
      </c>
      <c r="I28" s="59">
        <f>IF('[34]سجل المستخلصات'!$J$9="","",'[34]سجل المستخلصات'!$J$9)</f>
        <v/>
      </c>
      <c r="J28" s="59">
        <f>IF('[34]سجل المستخلصات'!$K$9="","",'[34]سجل المستخلصات'!$K$9)</f>
        <v/>
      </c>
      <c r="K28" s="60">
        <f>IF('[34]سجل المستخلصات'!$L$9="","",'[34]سجل المستخلصات'!$L$9)</f>
        <v/>
      </c>
      <c r="L28" s="60">
        <f>IF('[34]سجل المستخلصات'!$M$9="","",'[34]سجل المستخلصات'!$M$9)</f>
        <v/>
      </c>
      <c r="M28" s="60">
        <f>IF('[34]سجل المستخلصات'!$N$9="","",'[34]سجل المستخلصات'!$N$9)</f>
        <v/>
      </c>
      <c r="N28" s="59">
        <f>IF('[34]سجل المستخلصات'!$O$9="","",'[34]سجل المستخلصات'!$O$9)</f>
        <v/>
      </c>
      <c r="O28" s="59">
        <f>IF('[34]سجل المستخلصات'!$R$9="","",'[34]سجل المستخلصات'!$R$9)</f>
        <v/>
      </c>
      <c r="P28" s="59">
        <f>IF('[34]سجل المستخلصات'!$S$9="","",'[34]سجل المستخلصات'!$S$9)</f>
        <v/>
      </c>
      <c r="Q28" s="59">
        <f>IF('[34]سجل المستخلصات'!$T$9="","",'[34]سجل المستخلصات'!$T$9)</f>
        <v/>
      </c>
      <c r="R28" s="59">
        <f>IF('[34]سجل المستخلصات'!$V$9="","",'[34]سجل المستخلصات'!$V$9)</f>
        <v/>
      </c>
      <c r="S28" s="59">
        <f>IF('[34]سجل المستخلصات'!$W$9="","",'[34]سجل المستخلصات'!$W$9)</f>
        <v/>
      </c>
      <c r="T28" s="61">
        <f>IF('[34]سجل المستخلصات'!$X$9="","",'[34]سجل المستخلصات'!$X$9)</f>
        <v/>
      </c>
      <c r="U28" s="61">
        <f>IF('[34]سجل المستخلصات'!$Z$9="","",'[34]سجل المستخلصات'!$Z$9)</f>
        <v/>
      </c>
      <c r="V28" s="59">
        <f>IF('[34]سجل المستخلصات'!$AA$9="","",'[34]سجل المستخلصات'!$AA$9)</f>
        <v/>
      </c>
      <c r="W28" s="59">
        <f>IF('[34]سجل المستخلصات'!$AC$9="","",'[34]سجل المستخلصات'!$AC$9)</f>
        <v/>
      </c>
      <c r="X28" s="62">
        <f>IF('[34]سجل المستخلصات'!$AD$9="","",'[34]سجل المستخلصات'!$AD$9)</f>
        <v/>
      </c>
      <c r="Y28" s="58">
        <f>IF('[34]سجل المستخلصات'!$AE$9="","",'[34]سجل المستخلصات'!$AE$9)</f>
        <v/>
      </c>
      <c r="AA28" s="63" t="n"/>
      <c r="AB28" s="63" t="n"/>
    </row>
    <row r="29">
      <c r="B29" s="56" t="n">
        <v>5</v>
      </c>
      <c r="C29" s="57">
        <f>IF('[34]سجل المستخلصات'!$C$10="","",'[34]سجل المستخلصات'!$C$10)</f>
        <v/>
      </c>
      <c r="D29" s="57">
        <f>IF('[34]سجل المستخلصات'!$E$10="","",'[34]سجل المستخلصات'!$E$10)</f>
        <v/>
      </c>
      <c r="E29" s="58">
        <f>IF('[34]سجل المستخلصات'!$F$10="","",'[34]سجل المستخلصات'!$F$10)</f>
        <v/>
      </c>
      <c r="F29" s="59">
        <f>IF('[34]سجل المستخلصات'!$H$10="","",'[34]سجل المستخلصات'!$H$10)</f>
        <v/>
      </c>
      <c r="G29" s="59">
        <f>IF('[34]سجل المستخلصات'!$G$10="","",'[34]سجل المستخلصات'!$G$10)</f>
        <v/>
      </c>
      <c r="H29" s="59">
        <f>IF('[34]سجل المستخلصات'!$I$10="","",'[34]سجل المستخلصات'!$I$10)</f>
        <v/>
      </c>
      <c r="I29" s="59">
        <f>IF('[34]سجل المستخلصات'!$J$10="","",'[34]سجل المستخلصات'!$J$10)</f>
        <v/>
      </c>
      <c r="J29" s="59">
        <f>IF('[34]سجل المستخلصات'!$K$10="","",'[34]سجل المستخلصات'!$K$10)</f>
        <v/>
      </c>
      <c r="K29" s="60">
        <f>IF('[34]سجل المستخلصات'!$L$10="","",'[34]سجل المستخلصات'!$L$10)</f>
        <v/>
      </c>
      <c r="L29" s="60">
        <f>IF('[34]سجل المستخلصات'!$M$10="","",'[34]سجل المستخلصات'!$M$10)</f>
        <v/>
      </c>
      <c r="M29" s="60">
        <f>IF('[34]سجل المستخلصات'!$N$10="","",'[34]سجل المستخلصات'!$N$10)</f>
        <v/>
      </c>
      <c r="N29" s="59">
        <f>IF('[34]سجل المستخلصات'!$O$10="","",'[34]سجل المستخلصات'!$O$10)</f>
        <v/>
      </c>
      <c r="O29" s="59">
        <f>IF('[34]سجل المستخلصات'!$R$10="","",'[34]سجل المستخلصات'!$R$10)</f>
        <v/>
      </c>
      <c r="P29" s="59">
        <f>IF('[34]سجل المستخلصات'!$S$10="","",'[34]سجل المستخلصات'!$S$10)</f>
        <v/>
      </c>
      <c r="Q29" s="59">
        <f>IF('[34]سجل المستخلصات'!$T$10="","",'[34]سجل المستخلصات'!$T$10)</f>
        <v/>
      </c>
      <c r="R29" s="59">
        <f>IF('[34]سجل المستخلصات'!$V$10="","",'[34]سجل المستخلصات'!$V$10)</f>
        <v/>
      </c>
      <c r="S29" s="59">
        <f>IF('[34]سجل المستخلصات'!$W$10="","",'[34]سجل المستخلصات'!$W$10)</f>
        <v/>
      </c>
      <c r="T29" s="61">
        <f>IF('[34]سجل المستخلصات'!$X$10="","",'[34]سجل المستخلصات'!$X$10)</f>
        <v/>
      </c>
      <c r="U29" s="61">
        <f>IF('[34]سجل المستخلصات'!$Z$10="","",'[34]سجل المستخلصات'!$Z$10)</f>
        <v/>
      </c>
      <c r="V29" s="59">
        <f>IF('[34]سجل المستخلصات'!$AA$10="","",'[34]سجل المستخلصات'!$AA$10)</f>
        <v/>
      </c>
      <c r="W29" s="59">
        <f>IF('[34]سجل المستخلصات'!$AC$10="","",'[34]سجل المستخلصات'!$AC$10)</f>
        <v/>
      </c>
      <c r="X29" s="62">
        <f>IF('[34]سجل المستخلصات'!$AD$10="","",'[34]سجل المستخلصات'!$AD$10)</f>
        <v/>
      </c>
      <c r="Y29" s="58">
        <f>IF('[34]سجل المستخلصات'!$AE$10="","",'[34]سجل المستخلصات'!$AE$10)</f>
        <v/>
      </c>
    </row>
    <row r="30">
      <c r="B30" s="56" t="n">
        <v>6</v>
      </c>
      <c r="C30" s="57">
        <f>IF('[34]سجل المستخلصات'!$C$11="","",'[34]سجل المستخلصات'!$C$11)</f>
        <v/>
      </c>
      <c r="D30" s="57">
        <f>IF('[34]سجل المستخلصات'!$E$11="","",'[34]سجل المستخلصات'!$E$11)</f>
        <v/>
      </c>
      <c r="E30" s="58">
        <f>IF('[34]سجل المستخلصات'!$F$11="","",'[34]سجل المستخلصات'!$F$11)</f>
        <v/>
      </c>
      <c r="F30" s="59">
        <f>IF('[34]سجل المستخلصات'!$H$11="","",'[34]سجل المستخلصات'!$H$11)</f>
        <v/>
      </c>
      <c r="G30" s="59">
        <f>IF('[34]سجل المستخلصات'!$G$11="","",'[34]سجل المستخلصات'!$G$11)</f>
        <v/>
      </c>
      <c r="H30" s="59">
        <f>IF('[34]سجل المستخلصات'!$I$11="","",'[34]سجل المستخلصات'!$I$11)</f>
        <v/>
      </c>
      <c r="I30" s="59">
        <f>IF('[34]سجل المستخلصات'!$J$11="","",'[34]سجل المستخلصات'!$J$11)</f>
        <v/>
      </c>
      <c r="J30" s="59">
        <f>IF('[34]سجل المستخلصات'!$K$11="","",'[34]سجل المستخلصات'!$K$11)</f>
        <v/>
      </c>
      <c r="K30" s="60">
        <f>IF('[34]سجل المستخلصات'!$L$11="","",'[34]سجل المستخلصات'!$L$11)</f>
        <v/>
      </c>
      <c r="L30" s="60">
        <f>IF('[34]سجل المستخلصات'!$M$11="","",'[34]سجل المستخلصات'!$M$11)</f>
        <v/>
      </c>
      <c r="M30" s="60">
        <f>IF('[34]سجل المستخلصات'!$N$11="","",'[34]سجل المستخلصات'!$N$11)</f>
        <v/>
      </c>
      <c r="N30" s="59">
        <f>IF('[34]سجل المستخلصات'!$O$11="","",'[34]سجل المستخلصات'!$O$11)</f>
        <v/>
      </c>
      <c r="O30" s="59">
        <f>IF('[34]سجل المستخلصات'!$R$11="","",'[34]سجل المستخلصات'!$R$11)</f>
        <v/>
      </c>
      <c r="P30" s="59">
        <f>IF('[34]سجل المستخلصات'!$S$11="","",'[34]سجل المستخلصات'!$S$11)</f>
        <v/>
      </c>
      <c r="Q30" s="59">
        <f>IF('[34]سجل المستخلصات'!$T$11="","",'[34]سجل المستخلصات'!$T$11)</f>
        <v/>
      </c>
      <c r="R30" s="59">
        <f>IF('[34]سجل المستخلصات'!$V$11="","",'[34]سجل المستخلصات'!$V$11)</f>
        <v/>
      </c>
      <c r="S30" s="59">
        <f>IF('[34]سجل المستخلصات'!$W$11="","",'[34]سجل المستخلصات'!$W$11)</f>
        <v/>
      </c>
      <c r="T30" s="61">
        <f>IF('[34]سجل المستخلصات'!$X$11="","",'[34]سجل المستخلصات'!$X$11)</f>
        <v/>
      </c>
      <c r="U30" s="61">
        <f>IF('[34]سجل المستخلصات'!$Z$11="","",'[34]سجل المستخلصات'!$Z$11)</f>
        <v/>
      </c>
      <c r="V30" s="59">
        <f>IF('[34]سجل المستخلصات'!$AA$11="","",'[34]سجل المستخلصات'!$AA$11)</f>
        <v/>
      </c>
      <c r="W30" s="59">
        <f>IF('[34]سجل المستخلصات'!$AC$11="","",'[34]سجل المستخلصات'!$AC$11)</f>
        <v/>
      </c>
      <c r="X30" s="62">
        <f>IF('[34]سجل المستخلصات'!$AD$11="","",'[34]سجل المستخلصات'!$AD$11)</f>
        <v/>
      </c>
      <c r="Y30" s="58">
        <f>IF('[34]سجل المستخلصات'!$AE$11="","",'[34]سجل المستخلصات'!$AE$11)</f>
        <v/>
      </c>
    </row>
    <row r="31">
      <c r="B31" s="56" t="n">
        <v>7</v>
      </c>
      <c r="C31" s="57">
        <f>IF('[34]سجل المستخلصات'!$C$12="","",'[34]سجل المستخلصات'!$C$12)</f>
        <v/>
      </c>
      <c r="D31" s="57">
        <f>IF('[34]سجل المستخلصات'!$E$12="","",'[34]سجل المستخلصات'!$E$12)</f>
        <v/>
      </c>
      <c r="E31" s="58">
        <f>IF('[34]سجل المستخلصات'!$F$12="","",'[34]سجل المستخلصات'!$F$12)</f>
        <v/>
      </c>
      <c r="F31" s="59">
        <f>IF('[34]سجل المستخلصات'!$H$12="","",'[34]سجل المستخلصات'!$H$12)</f>
        <v/>
      </c>
      <c r="G31" s="59">
        <f>IF('[34]سجل المستخلصات'!$G$12="","",'[34]سجل المستخلصات'!$G$12)</f>
        <v/>
      </c>
      <c r="H31" s="59">
        <f>IF('[34]سجل المستخلصات'!$I$12="","",'[34]سجل المستخلصات'!$I$12)</f>
        <v/>
      </c>
      <c r="I31" s="59">
        <f>IF('[34]سجل المستخلصات'!$J$12="","",'[34]سجل المستخلصات'!$J$12)</f>
        <v/>
      </c>
      <c r="J31" s="59">
        <f>IF('[34]سجل المستخلصات'!$K$12="","",'[34]سجل المستخلصات'!$K$12)</f>
        <v/>
      </c>
      <c r="K31" s="60">
        <f>IF('[34]سجل المستخلصات'!$L$12="","",'[34]سجل المستخلصات'!$L$12)</f>
        <v/>
      </c>
      <c r="L31" s="60">
        <f>IF('[34]سجل المستخلصات'!$M$12="","",'[34]سجل المستخلصات'!$M$12)</f>
        <v/>
      </c>
      <c r="M31" s="60">
        <f>IF('[34]سجل المستخلصات'!$N$12="","",'[34]سجل المستخلصات'!$N$12)</f>
        <v/>
      </c>
      <c r="N31" s="59">
        <f>IF('[34]سجل المستخلصات'!$O$12="","",'[34]سجل المستخلصات'!$O$12)</f>
        <v/>
      </c>
      <c r="O31" s="59">
        <f>IF('[34]سجل المستخلصات'!$R$12="","",'[34]سجل المستخلصات'!$R$12)</f>
        <v/>
      </c>
      <c r="P31" s="59">
        <f>IF('[34]سجل المستخلصات'!$S$12="","",'[34]سجل المستخلصات'!$S$12)</f>
        <v/>
      </c>
      <c r="Q31" s="59">
        <f>IF('[34]سجل المستخلصات'!$T$12="","",'[34]سجل المستخلصات'!$T$12)</f>
        <v/>
      </c>
      <c r="R31" s="59">
        <f>IF('[34]سجل المستخلصات'!$V$12="","",'[34]سجل المستخلصات'!$V$12)</f>
        <v/>
      </c>
      <c r="S31" s="59">
        <f>IF('[34]سجل المستخلصات'!$W$12="","",'[34]سجل المستخلصات'!$W$12)</f>
        <v/>
      </c>
      <c r="T31" s="61">
        <f>IF('[34]سجل المستخلصات'!$X$12="","",'[34]سجل المستخلصات'!$X$12)</f>
        <v/>
      </c>
      <c r="U31" s="61">
        <f>IF('[34]سجل المستخلصات'!$Z$12="","",'[34]سجل المستخلصات'!$Z$12)</f>
        <v/>
      </c>
      <c r="V31" s="59">
        <f>IF('[34]سجل المستخلصات'!$AA$12="","",'[34]سجل المستخلصات'!$AA$12)</f>
        <v/>
      </c>
      <c r="W31" s="59">
        <f>IF('[34]سجل المستخلصات'!$AC$12="","",'[34]سجل المستخلصات'!$AC$12)</f>
        <v/>
      </c>
      <c r="X31" s="62">
        <f>IF('[34]سجل المستخلصات'!$AD$12="","",'[34]سجل المستخلصات'!$AD$12)</f>
        <v/>
      </c>
      <c r="Y31" s="58">
        <f>IF('[34]سجل المستخلصات'!$AE$12="","",'[34]سجل المستخلصات'!$AE$12)</f>
        <v/>
      </c>
    </row>
    <row r="32">
      <c r="B32" s="56" t="n">
        <v>8</v>
      </c>
      <c r="C32" s="57">
        <f>IF('[34]سجل المستخلصات'!$C$13="","",'[34]سجل المستخلصات'!$C$13)</f>
        <v/>
      </c>
      <c r="D32" s="57">
        <f>IF('[34]سجل المستخلصات'!$E$13="","",'[34]سجل المستخلصات'!$E$13)</f>
        <v/>
      </c>
      <c r="E32" s="58">
        <f>IF('[34]سجل المستخلصات'!$F$13="","",'[34]سجل المستخلصات'!$F$13)</f>
        <v/>
      </c>
      <c r="F32" s="59">
        <f>IF('[34]سجل المستخلصات'!$H$13="","",'[34]سجل المستخلصات'!$H$13)</f>
        <v/>
      </c>
      <c r="G32" s="59">
        <f>IF('[34]سجل المستخلصات'!$G$13="","",'[34]سجل المستخلصات'!$G$13)</f>
        <v/>
      </c>
      <c r="H32" s="59">
        <f>IF('[34]سجل المستخلصات'!$I$13="","",'[34]سجل المستخلصات'!$I$13)</f>
        <v/>
      </c>
      <c r="I32" s="59">
        <f>IF('[34]سجل المستخلصات'!$J$13="","",'[34]سجل المستخلصات'!$J$13)</f>
        <v/>
      </c>
      <c r="J32" s="59">
        <f>IF('[34]سجل المستخلصات'!$K$13="","",'[34]سجل المستخلصات'!$K$13)</f>
        <v/>
      </c>
      <c r="K32" s="60">
        <f>IF('[34]سجل المستخلصات'!$L$13="","",'[34]سجل المستخلصات'!$L$13)</f>
        <v/>
      </c>
      <c r="L32" s="60">
        <f>IF('[34]سجل المستخلصات'!$M$13="","",'[34]سجل المستخلصات'!$M$13)</f>
        <v/>
      </c>
      <c r="M32" s="60">
        <f>IF('[34]سجل المستخلصات'!$N$13="","",'[34]سجل المستخلصات'!$N$13)</f>
        <v/>
      </c>
      <c r="N32" s="59">
        <f>IF('[34]سجل المستخلصات'!$O$13="","",'[34]سجل المستخلصات'!$O$13)</f>
        <v/>
      </c>
      <c r="O32" s="59">
        <f>IF('[34]سجل المستخلصات'!$R$13="","",'[34]سجل المستخلصات'!$R$13)</f>
        <v/>
      </c>
      <c r="P32" s="59">
        <f>IF('[34]سجل المستخلصات'!$S$13="","",'[34]سجل المستخلصات'!$S$13)</f>
        <v/>
      </c>
      <c r="Q32" s="59">
        <f>IF('[34]سجل المستخلصات'!$T$13="","",'[34]سجل المستخلصات'!$T$13)</f>
        <v/>
      </c>
      <c r="R32" s="59">
        <f>IF('[34]سجل المستخلصات'!$V$13="","",'[34]سجل المستخلصات'!$V$13)</f>
        <v/>
      </c>
      <c r="S32" s="59">
        <f>IF('[34]سجل المستخلصات'!$W$13="","",'[34]سجل المستخلصات'!$W$13)</f>
        <v/>
      </c>
      <c r="T32" s="61">
        <f>IF('[34]سجل المستخلصات'!$X$13="","",'[34]سجل المستخلصات'!$X$13)</f>
        <v/>
      </c>
      <c r="U32" s="61">
        <f>IF('[34]سجل المستخلصات'!$Z$13="","",'[34]سجل المستخلصات'!$Z$13)</f>
        <v/>
      </c>
      <c r="V32" s="59">
        <f>IF('[34]سجل المستخلصات'!$AA$13="","",'[34]سجل المستخلصات'!$AA$13)</f>
        <v/>
      </c>
      <c r="W32" s="59">
        <f>IF('[34]سجل المستخلصات'!$AC$13="","",'[34]سجل المستخلصات'!$AC$13)</f>
        <v/>
      </c>
      <c r="X32" s="62">
        <f>IF('[34]سجل المستخلصات'!$AD$13="","",'[34]سجل المستخلصات'!$AD$13)</f>
        <v/>
      </c>
      <c r="Y32" s="58">
        <f>IF('[34]سجل المستخلصات'!$AE$13="","",'[34]سجل المستخلصات'!$AE$13)</f>
        <v/>
      </c>
    </row>
    <row r="33">
      <c r="B33" s="56" t="n">
        <v>9</v>
      </c>
      <c r="C33" s="57">
        <f>IF('[34]سجل المستخلصات'!$C$14="","",'[34]سجل المستخلصات'!$C$14)</f>
        <v/>
      </c>
      <c r="D33" s="57">
        <f>IF('[34]سجل المستخلصات'!$E$14="","",'[34]سجل المستخلصات'!$E$14)</f>
        <v/>
      </c>
      <c r="E33" s="58">
        <f>IF('[34]سجل المستخلصات'!$F$14="","",'[34]سجل المستخلصات'!$F$14)</f>
        <v/>
      </c>
      <c r="F33" s="59">
        <f>IF('[34]سجل المستخلصات'!$H$14="","",'[34]سجل المستخلصات'!$H$14)</f>
        <v/>
      </c>
      <c r="G33" s="59">
        <f>IF('[34]سجل المستخلصات'!$G$14="","",'[34]سجل المستخلصات'!$G$14)</f>
        <v/>
      </c>
      <c r="H33" s="59">
        <f>IF('[34]سجل المستخلصات'!$I$14="","",'[34]سجل المستخلصات'!$I$14)</f>
        <v/>
      </c>
      <c r="I33" s="59">
        <f>IF('[34]سجل المستخلصات'!$J$14="","",'[34]سجل المستخلصات'!$J$14)</f>
        <v/>
      </c>
      <c r="J33" s="59">
        <f>IF('[34]سجل المستخلصات'!$K$14="","",'[34]سجل المستخلصات'!$K$14)</f>
        <v/>
      </c>
      <c r="K33" s="60">
        <f>IF('[34]سجل المستخلصات'!$L$14="","",'[34]سجل المستخلصات'!$L$14)</f>
        <v/>
      </c>
      <c r="L33" s="60">
        <f>IF('[34]سجل المستخلصات'!$M$14="","",'[34]سجل المستخلصات'!$M$14)</f>
        <v/>
      </c>
      <c r="M33" s="60">
        <f>IF('[34]سجل المستخلصات'!$N$14="","",'[34]سجل المستخلصات'!$N$14)</f>
        <v/>
      </c>
      <c r="N33" s="59">
        <f>IF('[34]سجل المستخلصات'!$O$14="","",'[34]سجل المستخلصات'!$O$14)</f>
        <v/>
      </c>
      <c r="O33" s="59">
        <f>IF('[34]سجل المستخلصات'!$R$14="","",'[34]سجل المستخلصات'!$R$14)</f>
        <v/>
      </c>
      <c r="P33" s="59">
        <f>IF('[34]سجل المستخلصات'!$S$14="","",'[34]سجل المستخلصات'!$S$14)</f>
        <v/>
      </c>
      <c r="Q33" s="59">
        <f>IF('[34]سجل المستخلصات'!$T$14="","",'[34]سجل المستخلصات'!$T$14)</f>
        <v/>
      </c>
      <c r="R33" s="59">
        <f>IF('[34]سجل المستخلصات'!$V$14="","",'[34]سجل المستخلصات'!$V$14)</f>
        <v/>
      </c>
      <c r="S33" s="59">
        <f>IF('[34]سجل المستخلصات'!$W$14="","",'[34]سجل المستخلصات'!$W$14)</f>
        <v/>
      </c>
      <c r="T33" s="61">
        <f>IF('[34]سجل المستخلصات'!$X$14="","",'[34]سجل المستخلصات'!$X$14)</f>
        <v/>
      </c>
      <c r="U33" s="61">
        <f>IF('[34]سجل المستخلصات'!$Z$14="","",'[34]سجل المستخلصات'!$Z$14)</f>
        <v/>
      </c>
      <c r="V33" s="59">
        <f>IF('[34]سجل المستخلصات'!$AA$14="","",'[34]سجل المستخلصات'!$AA$14)</f>
        <v/>
      </c>
      <c r="W33" s="59">
        <f>IF('[34]سجل المستخلصات'!$AC$14="","",'[34]سجل المستخلصات'!$AC$14)</f>
        <v/>
      </c>
      <c r="X33" s="62">
        <f>IF('[34]سجل المستخلصات'!$AD$14="","",'[34]سجل المستخلصات'!$AD$14)</f>
        <v/>
      </c>
      <c r="Y33" s="58">
        <f>IF('[34]سجل المستخلصات'!$AE$14="","",'[34]سجل المستخلصات'!$AE$14)</f>
        <v/>
      </c>
    </row>
    <row r="34">
      <c r="B34" s="56" t="n">
        <v>10</v>
      </c>
      <c r="C34" s="57">
        <f>IF('[34]سجل المستخلصات'!$C$15="","",'[34]سجل المستخلصات'!$C$15)</f>
        <v/>
      </c>
      <c r="D34" s="57">
        <f>IF('[34]سجل المستخلصات'!$E$15="","",'[34]سجل المستخلصات'!$E$15)</f>
        <v/>
      </c>
      <c r="E34" s="58">
        <f>IF('[34]سجل المستخلصات'!$F$15="","",'[34]سجل المستخلصات'!$F$15)</f>
        <v/>
      </c>
      <c r="F34" s="59">
        <f>IF('[34]سجل المستخلصات'!$H$15="","",'[34]سجل المستخلصات'!$H$15)</f>
        <v/>
      </c>
      <c r="G34" s="59">
        <f>IF('[34]سجل المستخلصات'!$G$15="","",'[34]سجل المستخلصات'!$G$15)</f>
        <v/>
      </c>
      <c r="H34" s="59">
        <f>IF('[34]سجل المستخلصات'!$I$15="","",'[34]سجل المستخلصات'!$I$15)</f>
        <v/>
      </c>
      <c r="I34" s="59">
        <f>IF('[34]سجل المستخلصات'!$J$15="","",'[34]سجل المستخلصات'!$J$15)</f>
        <v/>
      </c>
      <c r="J34" s="59">
        <f>IF('[34]سجل المستخلصات'!$K$15="","",'[34]سجل المستخلصات'!$K$15)</f>
        <v/>
      </c>
      <c r="K34" s="60">
        <f>IF('[34]سجل المستخلصات'!$L$15="","",'[34]سجل المستخلصات'!$L$15)</f>
        <v/>
      </c>
      <c r="L34" s="60">
        <f>IF('[34]سجل المستخلصات'!$M$15="","",'[34]سجل المستخلصات'!$M$15)</f>
        <v/>
      </c>
      <c r="M34" s="60">
        <f>IF('[34]سجل المستخلصات'!$N$15="","",'[34]سجل المستخلصات'!$N$15)</f>
        <v/>
      </c>
      <c r="N34" s="59">
        <f>IF('[34]سجل المستخلصات'!$O$15="","",'[34]سجل المستخلصات'!$O$15)</f>
        <v/>
      </c>
      <c r="O34" s="59">
        <f>IF('[34]سجل المستخلصات'!$R$15="","",'[34]سجل المستخلصات'!$R$15)</f>
        <v/>
      </c>
      <c r="P34" s="59">
        <f>IF('[34]سجل المستخلصات'!$S$15="","",'[34]سجل المستخلصات'!$S$15)</f>
        <v/>
      </c>
      <c r="Q34" s="59">
        <f>IF('[34]سجل المستخلصات'!$T$15="","",'[34]سجل المستخلصات'!$T$15)</f>
        <v/>
      </c>
      <c r="R34" s="59">
        <f>IF('[34]سجل المستخلصات'!$V$15="","",'[34]سجل المستخلصات'!$V$15)</f>
        <v/>
      </c>
      <c r="S34" s="59">
        <f>IF('[34]سجل المستخلصات'!$W$15="","",'[34]سجل المستخلصات'!$W$15)</f>
        <v/>
      </c>
      <c r="T34" s="61">
        <f>IF('[34]سجل المستخلصات'!$X$15="","",'[34]سجل المستخلصات'!$X$15)</f>
        <v/>
      </c>
      <c r="U34" s="61">
        <f>IF('[34]سجل المستخلصات'!$Z$15="","",'[34]سجل المستخلصات'!$Z$15)</f>
        <v/>
      </c>
      <c r="V34" s="59">
        <f>IF('[34]سجل المستخلصات'!$AA$15="","",'[34]سجل المستخلصات'!$AA$15)</f>
        <v/>
      </c>
      <c r="W34" s="59">
        <f>IF('[34]سجل المستخلصات'!$AC$15="","",'[34]سجل المستخلصات'!$AC$15)</f>
        <v/>
      </c>
      <c r="X34" s="62">
        <f>IF('[34]سجل المستخلصات'!$AD$15="","",'[34]سجل المستخلصات'!$AD$15)</f>
        <v/>
      </c>
      <c r="Y34" s="58">
        <f>IF('[34]سجل المستخلصات'!$AE$15="","",'[34]سجل المستخلصات'!$AE$15)</f>
        <v/>
      </c>
    </row>
    <row r="35">
      <c r="B35" s="56" t="n">
        <v>11</v>
      </c>
      <c r="C35" s="57">
        <f>IF('[34]سجل المستخلصات'!$C$16="","",'[34]سجل المستخلصات'!$C$16)</f>
        <v/>
      </c>
      <c r="D35" s="57">
        <f>IF('[34]سجل المستخلصات'!$E$16="","",'[34]سجل المستخلصات'!$E$16)</f>
        <v/>
      </c>
      <c r="E35" s="58">
        <f>IF('[34]سجل المستخلصات'!$F$16="","",'[34]سجل المستخلصات'!$F$16)</f>
        <v/>
      </c>
      <c r="F35" s="59">
        <f>IF('[34]سجل المستخلصات'!$H$16="","",'[34]سجل المستخلصات'!$H$16)</f>
        <v/>
      </c>
      <c r="G35" s="59">
        <f>IF('[34]سجل المستخلصات'!$G$16="","",'[34]سجل المستخلصات'!$G$16)</f>
        <v/>
      </c>
      <c r="H35" s="59">
        <f>IF('[34]سجل المستخلصات'!$I$16="","",'[34]سجل المستخلصات'!$I$16)</f>
        <v/>
      </c>
      <c r="I35" s="59">
        <f>IF('[34]سجل المستخلصات'!$J$16="","",'[34]سجل المستخلصات'!$J$16)</f>
        <v/>
      </c>
      <c r="J35" s="59">
        <f>IF('[34]سجل المستخلصات'!$K$16="","",'[34]سجل المستخلصات'!$K$16)</f>
        <v/>
      </c>
      <c r="K35" s="60">
        <f>IF('[34]سجل المستخلصات'!$L$16="","",'[34]سجل المستخلصات'!$L$16)</f>
        <v/>
      </c>
      <c r="L35" s="60">
        <f>IF('[34]سجل المستخلصات'!$M$16="","",'[34]سجل المستخلصات'!$M$16)</f>
        <v/>
      </c>
      <c r="M35" s="60">
        <f>IF('[34]سجل المستخلصات'!$N$16="","",'[34]سجل المستخلصات'!$N$16)</f>
        <v/>
      </c>
      <c r="N35" s="59">
        <f>IF('[34]سجل المستخلصات'!$O$16="","",'[34]سجل المستخلصات'!$O$16)</f>
        <v/>
      </c>
      <c r="O35" s="59">
        <f>IF('[34]سجل المستخلصات'!$R$16="","",'[34]سجل المستخلصات'!$R$16)</f>
        <v/>
      </c>
      <c r="P35" s="59">
        <f>IF('[34]سجل المستخلصات'!$S$16="","",'[34]سجل المستخلصات'!$S$16)</f>
        <v/>
      </c>
      <c r="Q35" s="59">
        <f>IF('[34]سجل المستخلصات'!$T$16="","",'[34]سجل المستخلصات'!$T$16)</f>
        <v/>
      </c>
      <c r="R35" s="59">
        <f>IF('[34]سجل المستخلصات'!$V$16="","",'[34]سجل المستخلصات'!$V$16)</f>
        <v/>
      </c>
      <c r="S35" s="59">
        <f>IF('[34]سجل المستخلصات'!$W$16="","",'[34]سجل المستخلصات'!$W$16)</f>
        <v/>
      </c>
      <c r="T35" s="61">
        <f>IF('[34]سجل المستخلصات'!$X$16="","",'[34]سجل المستخلصات'!$X$16)</f>
        <v/>
      </c>
      <c r="U35" s="61">
        <f>IF('[34]سجل المستخلصات'!$Z$16="","",'[34]سجل المستخلصات'!$Z$16)</f>
        <v/>
      </c>
      <c r="V35" s="59">
        <f>IF('[34]سجل المستخلصات'!$AA$16="","",'[34]سجل المستخلصات'!$AA$16)</f>
        <v/>
      </c>
      <c r="W35" s="59">
        <f>IF('[34]سجل المستخلصات'!$AC$16="","",'[34]سجل المستخلصات'!$AC$16)</f>
        <v/>
      </c>
      <c r="X35" s="62">
        <f>IF('[34]سجل المستخلصات'!$AD$16="","",'[34]سجل المستخلصات'!$AD$16)</f>
        <v/>
      </c>
      <c r="Y35" s="58">
        <f>IF('[34]سجل المستخلصات'!$AE$16="","",'[34]سجل المستخلصات'!$AE$16)</f>
        <v/>
      </c>
    </row>
    <row r="36">
      <c r="B36" s="56" t="n">
        <v>12</v>
      </c>
      <c r="C36" s="57">
        <f>IF('[34]سجل المستخلصات'!$C$17="","",'[34]سجل المستخلصات'!$C$17)</f>
        <v/>
      </c>
      <c r="D36" s="57">
        <f>IF('[34]سجل المستخلصات'!$E$17="","",'[34]سجل المستخلصات'!$E$17)</f>
        <v/>
      </c>
      <c r="E36" s="58">
        <f>IF('[34]سجل المستخلصات'!$F$17="","",'[34]سجل المستخلصات'!$F$17)</f>
        <v/>
      </c>
      <c r="F36" s="59">
        <f>IF('[34]سجل المستخلصات'!$H$17="","",'[34]سجل المستخلصات'!$H$17)</f>
        <v/>
      </c>
      <c r="G36" s="59">
        <f>IF('[34]سجل المستخلصات'!$G$17="","",'[34]سجل المستخلصات'!$G$17)</f>
        <v/>
      </c>
      <c r="H36" s="59">
        <f>IF('[34]سجل المستخلصات'!$I$17="","",'[34]سجل المستخلصات'!$I$17)</f>
        <v/>
      </c>
      <c r="I36" s="59">
        <f>IF('[34]سجل المستخلصات'!$J$17="","",'[34]سجل المستخلصات'!$J$17)</f>
        <v/>
      </c>
      <c r="J36" s="59">
        <f>IF('[34]سجل المستخلصات'!$K$17="","",'[34]سجل المستخلصات'!$K$17)</f>
        <v/>
      </c>
      <c r="K36" s="60">
        <f>IF('[34]سجل المستخلصات'!$L$17="","",'[34]سجل المستخلصات'!$L$17)</f>
        <v/>
      </c>
      <c r="L36" s="60">
        <f>IF('[34]سجل المستخلصات'!$M$17="","",'[34]سجل المستخلصات'!$M$17)</f>
        <v/>
      </c>
      <c r="M36" s="60">
        <f>IF('[34]سجل المستخلصات'!$N$17="","",'[34]سجل المستخلصات'!$N$17)</f>
        <v/>
      </c>
      <c r="N36" s="59">
        <f>IF('[34]سجل المستخلصات'!$O$17="","",'[34]سجل المستخلصات'!$O$17)</f>
        <v/>
      </c>
      <c r="O36" s="59">
        <f>IF('[34]سجل المستخلصات'!$R$17="","",'[34]سجل المستخلصات'!$R$17)</f>
        <v/>
      </c>
      <c r="P36" s="59">
        <f>IF('[34]سجل المستخلصات'!$S$17="","",'[34]سجل المستخلصات'!$S$17)</f>
        <v/>
      </c>
      <c r="Q36" s="59">
        <f>IF('[34]سجل المستخلصات'!$T$17="","",'[34]سجل المستخلصات'!$T$17)</f>
        <v/>
      </c>
      <c r="R36" s="59">
        <f>IF('[34]سجل المستخلصات'!$V$17="","",'[34]سجل المستخلصات'!$V$17)</f>
        <v/>
      </c>
      <c r="S36" s="59">
        <f>IF('[34]سجل المستخلصات'!$W$17="","",'[34]سجل المستخلصات'!$W$17)</f>
        <v/>
      </c>
      <c r="T36" s="61">
        <f>IF('[34]سجل المستخلصات'!$X$17="","",'[34]سجل المستخلصات'!$X$17)</f>
        <v/>
      </c>
      <c r="U36" s="61">
        <f>IF('[34]سجل المستخلصات'!$Z$17="","",'[34]سجل المستخلصات'!$Z$17)</f>
        <v/>
      </c>
      <c r="V36" s="59">
        <f>IF('[34]سجل المستخلصات'!$AA$17="","",'[34]سجل المستخلصات'!$AA$17)</f>
        <v/>
      </c>
      <c r="W36" s="59">
        <f>IF('[34]سجل المستخلصات'!$AC$17="","",'[34]سجل المستخلصات'!$AC$17)</f>
        <v/>
      </c>
      <c r="X36" s="62">
        <f>IF('[34]سجل المستخلصات'!$AD$17="","",'[34]سجل المستخلصات'!$AD$17)</f>
        <v/>
      </c>
      <c r="Y36" s="58">
        <f>IF('[34]سجل المستخلصات'!$AE$17="","",'[34]سجل المستخلصات'!$AE$17)</f>
        <v/>
      </c>
    </row>
    <row r="37">
      <c r="B37" s="56" t="n">
        <v>13</v>
      </c>
      <c r="C37" s="57">
        <f>IF('[34]سجل المستخلصات'!$C$18="","",'[34]سجل المستخلصات'!$C$18)</f>
        <v/>
      </c>
      <c r="D37" s="57">
        <f>IF('[34]سجل المستخلصات'!$E$18="","",'[34]سجل المستخلصات'!$E$18)</f>
        <v/>
      </c>
      <c r="E37" s="58">
        <f>IF('[34]سجل المستخلصات'!$F$18="","",'[34]سجل المستخلصات'!$F$18)</f>
        <v/>
      </c>
      <c r="F37" s="59">
        <f>IF('[34]سجل المستخلصات'!$H$18="","",'[34]سجل المستخلصات'!$H$18)</f>
        <v/>
      </c>
      <c r="G37" s="59">
        <f>IF('[34]سجل المستخلصات'!$G$18="","",'[34]سجل المستخلصات'!$G$18)</f>
        <v/>
      </c>
      <c r="H37" s="59">
        <f>IF('[34]سجل المستخلصات'!$I$18="","",'[34]سجل المستخلصات'!$I$18)</f>
        <v/>
      </c>
      <c r="I37" s="59">
        <f>IF('[34]سجل المستخلصات'!$J$18="","",'[34]سجل المستخلصات'!$J$18)</f>
        <v/>
      </c>
      <c r="J37" s="59">
        <f>IF('[34]سجل المستخلصات'!$K$18="","",'[34]سجل المستخلصات'!$K$18)</f>
        <v/>
      </c>
      <c r="K37" s="60">
        <f>IF('[34]سجل المستخلصات'!$L$18="","",'[34]سجل المستخلصات'!$L$18)</f>
        <v/>
      </c>
      <c r="L37" s="60">
        <f>IF('[34]سجل المستخلصات'!$M$18="","",'[34]سجل المستخلصات'!$M$18)</f>
        <v/>
      </c>
      <c r="M37" s="60">
        <f>IF('[34]سجل المستخلصات'!$N$18="","",'[34]سجل المستخلصات'!$N$18)</f>
        <v/>
      </c>
      <c r="N37" s="59">
        <f>IF('[34]سجل المستخلصات'!$O$18="","",'[34]سجل المستخلصات'!$O$18)</f>
        <v/>
      </c>
      <c r="O37" s="59">
        <f>IF('[34]سجل المستخلصات'!$R$18="","",'[34]سجل المستخلصات'!$R$18)</f>
        <v/>
      </c>
      <c r="P37" s="59">
        <f>IF('[34]سجل المستخلصات'!$S$18="","",'[34]سجل المستخلصات'!$S$18)</f>
        <v/>
      </c>
      <c r="Q37" s="59">
        <f>IF('[34]سجل المستخلصات'!$T$18="","",'[34]سجل المستخلصات'!$T$18)</f>
        <v/>
      </c>
      <c r="R37" s="59">
        <f>IF('[34]سجل المستخلصات'!$V$18="","",'[34]سجل المستخلصات'!$V$18)</f>
        <v/>
      </c>
      <c r="S37" s="59">
        <f>IF('[34]سجل المستخلصات'!$W$18="","",'[34]سجل المستخلصات'!$W$18)</f>
        <v/>
      </c>
      <c r="T37" s="61">
        <f>IF('[34]سجل المستخلصات'!$X$18="","",'[34]سجل المستخلصات'!$X$18)</f>
        <v/>
      </c>
      <c r="U37" s="61">
        <f>IF('[34]سجل المستخلصات'!$Z$18="","",'[34]سجل المستخلصات'!$Z$18)</f>
        <v/>
      </c>
      <c r="V37" s="59">
        <f>IF('[34]سجل المستخلصات'!$AA$18="","",'[34]سجل المستخلصات'!$AA$18)</f>
        <v/>
      </c>
      <c r="W37" s="59">
        <f>IF('[34]سجل المستخلصات'!$AC$18="","",'[34]سجل المستخلصات'!$AC$18)</f>
        <v/>
      </c>
      <c r="X37" s="62">
        <f>IF('[34]سجل المستخلصات'!$AD$18="","",'[34]سجل المستخلصات'!$AD$18)</f>
        <v/>
      </c>
      <c r="Y37" s="58">
        <f>IF('[34]سجل المستخلصات'!$AE$18="","",'[34]سجل المستخلصات'!$AE$18)</f>
        <v/>
      </c>
    </row>
    <row r="38">
      <c r="B38" s="56" t="n">
        <v>14</v>
      </c>
      <c r="C38" s="57">
        <f>IF('[34]سجل المستخلصات'!$C$19="","",'[34]سجل المستخلصات'!$C$19)</f>
        <v/>
      </c>
      <c r="D38" s="57">
        <f>IF('[34]سجل المستخلصات'!$E$19="","",'[34]سجل المستخلصات'!$E$19)</f>
        <v/>
      </c>
      <c r="E38" s="58">
        <f>IF('[34]سجل المستخلصات'!$F$19="","",'[34]سجل المستخلصات'!$F$19)</f>
        <v/>
      </c>
      <c r="F38" s="59">
        <f>IF('[34]سجل المستخلصات'!$H$19="","",'[34]سجل المستخلصات'!$H$19)</f>
        <v/>
      </c>
      <c r="G38" s="59">
        <f>IF('[34]سجل المستخلصات'!$G$19="","",'[34]سجل المستخلصات'!$G$19)</f>
        <v/>
      </c>
      <c r="H38" s="59">
        <f>IF('[34]سجل المستخلصات'!$I$19="","",'[34]سجل المستخلصات'!$I$19)</f>
        <v/>
      </c>
      <c r="I38" s="59">
        <f>IF('[34]سجل المستخلصات'!$J$19="","",'[34]سجل المستخلصات'!$J$19)</f>
        <v/>
      </c>
      <c r="J38" s="59">
        <f>IF('[34]سجل المستخلصات'!$K$19="","",'[34]سجل المستخلصات'!$K$19)</f>
        <v/>
      </c>
      <c r="K38" s="60">
        <f>IF('[34]سجل المستخلصات'!$L$19="","",'[34]سجل المستخلصات'!$L$19)</f>
        <v/>
      </c>
      <c r="L38" s="60">
        <f>IF('[34]سجل المستخلصات'!$M$19="","",'[34]سجل المستخلصات'!$M$19)</f>
        <v/>
      </c>
      <c r="M38" s="60">
        <f>IF('[34]سجل المستخلصات'!$N$19="","",'[34]سجل المستخلصات'!$N$19)</f>
        <v/>
      </c>
      <c r="N38" s="59">
        <f>IF('[34]سجل المستخلصات'!$O$19="","",'[34]سجل المستخلصات'!$O$19)</f>
        <v/>
      </c>
      <c r="O38" s="59">
        <f>IF('[34]سجل المستخلصات'!$R$19="","",'[34]سجل المستخلصات'!$R$19)</f>
        <v/>
      </c>
      <c r="P38" s="59">
        <f>IF('[34]سجل المستخلصات'!$S$19="","",'[34]سجل المستخلصات'!$S$19)</f>
        <v/>
      </c>
      <c r="Q38" s="59">
        <f>IF('[34]سجل المستخلصات'!$T$19="","",'[34]سجل المستخلصات'!$T$19)</f>
        <v/>
      </c>
      <c r="R38" s="59">
        <f>IF('[34]سجل المستخلصات'!$V$19="","",'[34]سجل المستخلصات'!$V$19)</f>
        <v/>
      </c>
      <c r="S38" s="59">
        <f>IF('[34]سجل المستخلصات'!$W$19="","",'[34]سجل المستخلصات'!$W$19)</f>
        <v/>
      </c>
      <c r="T38" s="61">
        <f>IF('[34]سجل المستخلصات'!$X$19="","",'[34]سجل المستخلصات'!$X$19)</f>
        <v/>
      </c>
      <c r="U38" s="61">
        <f>IF('[34]سجل المستخلصات'!$Z$19="","",'[34]سجل المستخلصات'!$Z$19)</f>
        <v/>
      </c>
      <c r="V38" s="59">
        <f>IF('[34]سجل المستخلصات'!$AA$19="","",'[34]سجل المستخلصات'!$AA$19)</f>
        <v/>
      </c>
      <c r="W38" s="59">
        <f>IF('[34]سجل المستخلصات'!$AC$19="","",'[34]سجل المستخلصات'!$AC$19)</f>
        <v/>
      </c>
      <c r="X38" s="62">
        <f>IF('[34]سجل المستخلصات'!$AD$19="","",'[34]سجل المستخلصات'!$AD$19)</f>
        <v/>
      </c>
      <c r="Y38" s="58">
        <f>IF('[34]سجل المستخلصات'!$AE$19="","",'[34]سجل المستخلصات'!$AE$19)</f>
        <v/>
      </c>
    </row>
    <row r="39">
      <c r="B39" s="56" t="n">
        <v>15</v>
      </c>
      <c r="C39" s="57">
        <f>IF('[34]سجل المستخلصات'!$C$20="","",'[34]سجل المستخلصات'!$C$20)</f>
        <v/>
      </c>
      <c r="D39" s="57">
        <f>IF('[34]سجل المستخلصات'!$E$20="","",'[34]سجل المستخلصات'!$E$20)</f>
        <v/>
      </c>
      <c r="E39" s="58">
        <f>IF('[34]سجل المستخلصات'!$F$20="","",'[34]سجل المستخلصات'!$F$20)</f>
        <v/>
      </c>
      <c r="F39" s="59">
        <f>IF('[34]سجل المستخلصات'!$H$20="","",'[34]سجل المستخلصات'!$H$20)</f>
        <v/>
      </c>
      <c r="G39" s="59">
        <f>IF('[34]سجل المستخلصات'!$G$20="","",'[34]سجل المستخلصات'!$G$20)</f>
        <v/>
      </c>
      <c r="H39" s="59">
        <f>IF('[34]سجل المستخلصات'!$I$20="","",'[34]سجل المستخلصات'!$I$20)</f>
        <v/>
      </c>
      <c r="I39" s="59">
        <f>IF('[34]سجل المستخلصات'!$J$20="","",'[34]سجل المستخلصات'!$J$20)</f>
        <v/>
      </c>
      <c r="J39" s="59">
        <f>IF('[34]سجل المستخلصات'!$K$20="","",'[34]سجل المستخلصات'!$K$20)</f>
        <v/>
      </c>
      <c r="K39" s="60">
        <f>IF('[34]سجل المستخلصات'!$L$20="","",'[34]سجل المستخلصات'!$L$20)</f>
        <v/>
      </c>
      <c r="L39" s="60">
        <f>IF('[34]سجل المستخلصات'!$M$20="","",'[34]سجل المستخلصات'!$M$20)</f>
        <v/>
      </c>
      <c r="M39" s="60">
        <f>IF('[34]سجل المستخلصات'!$N$20="","",'[34]سجل المستخلصات'!$N$20)</f>
        <v/>
      </c>
      <c r="N39" s="59">
        <f>IF('[34]سجل المستخلصات'!$O$20="","",'[34]سجل المستخلصات'!$O$20)</f>
        <v/>
      </c>
      <c r="O39" s="59">
        <f>IF('[34]سجل المستخلصات'!$R$20="","",'[34]سجل المستخلصات'!$R$20)</f>
        <v/>
      </c>
      <c r="P39" s="59">
        <f>IF('[34]سجل المستخلصات'!$S$20="","",'[34]سجل المستخلصات'!$S$20)</f>
        <v/>
      </c>
      <c r="Q39" s="59">
        <f>IF('[34]سجل المستخلصات'!$T$20="","",'[34]سجل المستخلصات'!$T$20)</f>
        <v/>
      </c>
      <c r="R39" s="59">
        <f>IF('[34]سجل المستخلصات'!$V$20="","",'[34]سجل المستخلصات'!$V$20)</f>
        <v/>
      </c>
      <c r="S39" s="59">
        <f>IF('[34]سجل المستخلصات'!$W$20="","",'[34]سجل المستخلصات'!$W$20)</f>
        <v/>
      </c>
      <c r="T39" s="61">
        <f>IF('[34]سجل المستخلصات'!$X$20="","",'[34]سجل المستخلصات'!$X$20)</f>
        <v/>
      </c>
      <c r="U39" s="61">
        <f>IF('[34]سجل المستخلصات'!$Z$20="","",'[34]سجل المستخلصات'!$Z$20)</f>
        <v/>
      </c>
      <c r="V39" s="59">
        <f>IF('[34]سجل المستخلصات'!$AA$20="","",'[34]سجل المستخلصات'!$AA$20)</f>
        <v/>
      </c>
      <c r="W39" s="59">
        <f>IF('[34]سجل المستخلصات'!$AC$20="","",'[34]سجل المستخلصات'!$AC$20)</f>
        <v/>
      </c>
      <c r="X39" s="62">
        <f>IF('[34]سجل المستخلصات'!$AD$20="","",'[34]سجل المستخلصات'!$AD$20)</f>
        <v/>
      </c>
      <c r="Y39" s="58">
        <f>IF('[34]سجل المستخلصات'!$AE$20="","",'[34]سجل المستخلصات'!$AE$20)</f>
        <v/>
      </c>
    </row>
    <row r="40">
      <c r="B40" s="56" t="n">
        <v>16</v>
      </c>
      <c r="C40" s="57">
        <f>IF('[34]سجل المستخلصات'!$C$21="","",'[34]سجل المستخلصات'!$C$21)</f>
        <v/>
      </c>
      <c r="D40" s="57">
        <f>IF('[34]سجل المستخلصات'!$E$21="","",'[34]سجل المستخلصات'!$E$21)</f>
        <v/>
      </c>
      <c r="E40" s="58">
        <f>IF('[34]سجل المستخلصات'!$F$21="","",'[34]سجل المستخلصات'!$F$21)</f>
        <v/>
      </c>
      <c r="F40" s="59">
        <f>IF('[34]سجل المستخلصات'!$H$21="","",'[34]سجل المستخلصات'!$H$21)</f>
        <v/>
      </c>
      <c r="G40" s="59">
        <f>IF('[34]سجل المستخلصات'!$G$21="","",'[34]سجل المستخلصات'!$G$21)</f>
        <v/>
      </c>
      <c r="H40" s="59">
        <f>IF('[34]سجل المستخلصات'!$I$21="","",'[34]سجل المستخلصات'!$I$21)</f>
        <v/>
      </c>
      <c r="I40" s="59">
        <f>IF('[34]سجل المستخلصات'!$J$21="","",'[34]سجل المستخلصات'!$J$21)</f>
        <v/>
      </c>
      <c r="J40" s="59">
        <f>IF('[34]سجل المستخلصات'!$K$21="","",'[34]سجل المستخلصات'!$K$21)</f>
        <v/>
      </c>
      <c r="K40" s="60">
        <f>IF('[34]سجل المستخلصات'!$L$21="","",'[34]سجل المستخلصات'!$L$21)</f>
        <v/>
      </c>
      <c r="L40" s="60">
        <f>IF('[34]سجل المستخلصات'!$M$21="","",'[34]سجل المستخلصات'!$M$21)</f>
        <v/>
      </c>
      <c r="M40" s="60">
        <f>IF('[34]سجل المستخلصات'!$N$21="","",'[34]سجل المستخلصات'!$N$21)</f>
        <v/>
      </c>
      <c r="N40" s="59">
        <f>IF('[34]سجل المستخلصات'!$O$21="","",'[34]سجل المستخلصات'!$O$21)</f>
        <v/>
      </c>
      <c r="O40" s="59">
        <f>IF('[34]سجل المستخلصات'!$R$21="","",'[34]سجل المستخلصات'!$R$21)</f>
        <v/>
      </c>
      <c r="P40" s="59">
        <f>IF('[34]سجل المستخلصات'!$S$21="","",'[34]سجل المستخلصات'!$S$21)</f>
        <v/>
      </c>
      <c r="Q40" s="59">
        <f>IF('[34]سجل المستخلصات'!$T$21="","",'[34]سجل المستخلصات'!$T$21)</f>
        <v/>
      </c>
      <c r="R40" s="59">
        <f>IF('[34]سجل المستخلصات'!$V$21="","",'[34]سجل المستخلصات'!$V$21)</f>
        <v/>
      </c>
      <c r="S40" s="59">
        <f>IF('[34]سجل المستخلصات'!$W$21="","",'[34]سجل المستخلصات'!$W$21)</f>
        <v/>
      </c>
      <c r="T40" s="61">
        <f>IF('[34]سجل المستخلصات'!$X$21="","",'[34]سجل المستخلصات'!$X$21)</f>
        <v/>
      </c>
      <c r="U40" s="61">
        <f>IF('[34]سجل المستخلصات'!$Z$21="","",'[34]سجل المستخلصات'!$Z$21)</f>
        <v/>
      </c>
      <c r="V40" s="59">
        <f>IF('[34]سجل المستخلصات'!$AA$21="","",'[34]سجل المستخلصات'!$AA$21)</f>
        <v/>
      </c>
      <c r="W40" s="59">
        <f>IF('[34]سجل المستخلصات'!$AC$21="","",'[34]سجل المستخلصات'!$AC$21)</f>
        <v/>
      </c>
      <c r="X40" s="62">
        <f>IF('[34]سجل المستخلصات'!$AD$21="","",'[34]سجل المستخلصات'!$AD$21)</f>
        <v/>
      </c>
      <c r="Y40" s="58">
        <f>IF('[34]سجل المستخلصات'!$AE$21="","",'[34]سجل المستخلصات'!$AE$21)</f>
        <v/>
      </c>
    </row>
    <row r="41">
      <c r="B41" s="56" t="n">
        <v>17</v>
      </c>
      <c r="C41" s="57">
        <f>IF('[34]سجل المستخلصات'!$C$22="","",'[34]سجل المستخلصات'!$C$22)</f>
        <v/>
      </c>
      <c r="D41" s="57">
        <f>IF('[34]سجل المستخلصات'!$E$22="","",'[34]سجل المستخلصات'!$E$22)</f>
        <v/>
      </c>
      <c r="E41" s="58">
        <f>IF('[34]سجل المستخلصات'!$F$22="","",'[34]سجل المستخلصات'!$F$22)</f>
        <v/>
      </c>
      <c r="F41" s="59">
        <f>IF('[34]سجل المستخلصات'!$H$22="","",'[34]سجل المستخلصات'!$H$22)</f>
        <v/>
      </c>
      <c r="G41" s="59">
        <f>IF('[34]سجل المستخلصات'!$G$22="","",'[34]سجل المستخلصات'!$G$22)</f>
        <v/>
      </c>
      <c r="H41" s="59">
        <f>IF('[34]سجل المستخلصات'!$I$22="","",'[34]سجل المستخلصات'!$I$22)</f>
        <v/>
      </c>
      <c r="I41" s="59">
        <f>IF('[34]سجل المستخلصات'!$J$22="","",'[34]سجل المستخلصات'!$J$22)</f>
        <v/>
      </c>
      <c r="J41" s="59">
        <f>IF('[34]سجل المستخلصات'!$K$22="","",'[34]سجل المستخلصات'!$K$22)</f>
        <v/>
      </c>
      <c r="K41" s="60">
        <f>IF('[34]سجل المستخلصات'!$L$22="","",'[34]سجل المستخلصات'!$L$22)</f>
        <v/>
      </c>
      <c r="L41" s="60">
        <f>IF('[34]سجل المستخلصات'!$M$22="","",'[34]سجل المستخلصات'!$M$22)</f>
        <v/>
      </c>
      <c r="M41" s="60">
        <f>IF('[34]سجل المستخلصات'!$N$22="","",'[34]سجل المستخلصات'!$N$22)</f>
        <v/>
      </c>
      <c r="N41" s="59">
        <f>IF('[34]سجل المستخلصات'!$O$22="","",'[34]سجل المستخلصات'!$O$22)</f>
        <v/>
      </c>
      <c r="O41" s="59">
        <f>IF('[34]سجل المستخلصات'!$R$22="","",'[34]سجل المستخلصات'!$R$22)</f>
        <v/>
      </c>
      <c r="P41" s="59">
        <f>IF('[34]سجل المستخلصات'!$S$22="","",'[34]سجل المستخلصات'!$S$22)</f>
        <v/>
      </c>
      <c r="Q41" s="59">
        <f>IF('[34]سجل المستخلصات'!$T$22="","",'[34]سجل المستخلصات'!$T$22)</f>
        <v/>
      </c>
      <c r="R41" s="59">
        <f>IF('[34]سجل المستخلصات'!$V$22="","",'[34]سجل المستخلصات'!$V$22)</f>
        <v/>
      </c>
      <c r="S41" s="59">
        <f>IF('[34]سجل المستخلصات'!$W$22="","",'[34]سجل المستخلصات'!$W$22)</f>
        <v/>
      </c>
      <c r="T41" s="61">
        <f>IF('[34]سجل المستخلصات'!$X$22="","",'[34]سجل المستخلصات'!$X$22)</f>
        <v/>
      </c>
      <c r="U41" s="61">
        <f>IF('[34]سجل المستخلصات'!$Z$22="","",'[34]سجل المستخلصات'!$Z$22)</f>
        <v/>
      </c>
      <c r="V41" s="59">
        <f>IF('[34]سجل المستخلصات'!$AA$22="","",'[34]سجل المستخلصات'!$AA$22)</f>
        <v/>
      </c>
      <c r="W41" s="59">
        <f>IF('[34]سجل المستخلصات'!$AC$22="","",'[34]سجل المستخلصات'!$AC$22)</f>
        <v/>
      </c>
      <c r="X41" s="62">
        <f>IF('[34]سجل المستخلصات'!$AD$22="","",'[34]سجل المستخلصات'!$AD$22)</f>
        <v/>
      </c>
      <c r="Y41" s="58">
        <f>IF('[34]سجل المستخلصات'!$AE$22="","",'[34]سجل المستخلصات'!$AE$22)</f>
        <v/>
      </c>
    </row>
    <row r="42">
      <c r="B42" s="56" t="n">
        <v>18</v>
      </c>
      <c r="C42" s="57">
        <f>IF('[34]سجل المستخلصات'!$C$23="","",'[34]سجل المستخلصات'!$C$23)</f>
        <v/>
      </c>
      <c r="D42" s="57">
        <f>IF('[34]سجل المستخلصات'!$E$23="","",'[34]سجل المستخلصات'!$E$23)</f>
        <v/>
      </c>
      <c r="E42" s="58">
        <f>IF('[34]سجل المستخلصات'!$F$23="","",'[34]سجل المستخلصات'!$F$23)</f>
        <v/>
      </c>
      <c r="F42" s="59">
        <f>IF('[34]سجل المستخلصات'!$H$23="","",'[34]سجل المستخلصات'!$H$23)</f>
        <v/>
      </c>
      <c r="G42" s="59">
        <f>IF('[34]سجل المستخلصات'!$G$23="","",'[34]سجل المستخلصات'!$G$23)</f>
        <v/>
      </c>
      <c r="H42" s="59">
        <f>IF('[34]سجل المستخلصات'!$I$23="","",'[34]سجل المستخلصات'!$I$23)</f>
        <v/>
      </c>
      <c r="I42" s="59">
        <f>IF('[34]سجل المستخلصات'!$J$23="","",'[34]سجل المستخلصات'!$J$23)</f>
        <v/>
      </c>
      <c r="J42" s="59">
        <f>IF('[34]سجل المستخلصات'!$K$23="","",'[34]سجل المستخلصات'!$K$23)</f>
        <v/>
      </c>
      <c r="K42" s="60">
        <f>IF('[34]سجل المستخلصات'!$L$23="","",'[34]سجل المستخلصات'!$L$23)</f>
        <v/>
      </c>
      <c r="L42" s="60">
        <f>IF('[34]سجل المستخلصات'!$M$23="","",'[34]سجل المستخلصات'!$M$23)</f>
        <v/>
      </c>
      <c r="M42" s="60">
        <f>IF('[34]سجل المستخلصات'!$N$23="","",'[34]سجل المستخلصات'!$N$23)</f>
        <v/>
      </c>
      <c r="N42" s="59">
        <f>IF('[34]سجل المستخلصات'!$O$23="","",'[34]سجل المستخلصات'!$O$23)</f>
        <v/>
      </c>
      <c r="O42" s="59">
        <f>IF('[34]سجل المستخلصات'!$R$23="","",'[34]سجل المستخلصات'!$R$23)</f>
        <v/>
      </c>
      <c r="P42" s="59">
        <f>IF('[34]سجل المستخلصات'!$S$23="","",'[34]سجل المستخلصات'!$S$23)</f>
        <v/>
      </c>
      <c r="Q42" s="59">
        <f>IF('[34]سجل المستخلصات'!$T$23="","",'[34]سجل المستخلصات'!$T$23)</f>
        <v/>
      </c>
      <c r="R42" s="59">
        <f>IF('[34]سجل المستخلصات'!$V$23="","",'[34]سجل المستخلصات'!$V$23)</f>
        <v/>
      </c>
      <c r="S42" s="59">
        <f>IF('[34]سجل المستخلصات'!$W$23="","",'[34]سجل المستخلصات'!$W$23)</f>
        <v/>
      </c>
      <c r="T42" s="61">
        <f>IF('[34]سجل المستخلصات'!$X$23="","",'[34]سجل المستخلصات'!$X$23)</f>
        <v/>
      </c>
      <c r="U42" s="61">
        <f>IF('[34]سجل المستخلصات'!$Z$23="","",'[34]سجل المستخلصات'!$Z$23)</f>
        <v/>
      </c>
      <c r="V42" s="59">
        <f>IF('[34]سجل المستخلصات'!$AA$23="","",'[34]سجل المستخلصات'!$AA$23)</f>
        <v/>
      </c>
      <c r="W42" s="59">
        <f>IF('[34]سجل المستخلصات'!$AC$23="","",'[34]سجل المستخلصات'!$AC$23)</f>
        <v/>
      </c>
      <c r="X42" s="62">
        <f>IF('[34]سجل المستخلصات'!$AD$23="","",'[34]سجل المستخلصات'!$AD$23)</f>
        <v/>
      </c>
      <c r="Y42" s="58">
        <f>IF('[34]سجل المستخلصات'!$AE$23="","",'[34]سجل المستخلصات'!$AE$23)</f>
        <v/>
      </c>
    </row>
    <row r="43">
      <c r="B43" s="56" t="n">
        <v>19</v>
      </c>
      <c r="C43" s="57">
        <f>IF('[34]سجل المستخلصات'!$C$24="","",'[34]سجل المستخلصات'!$C$24)</f>
        <v/>
      </c>
      <c r="D43" s="57">
        <f>IF('[34]سجل المستخلصات'!$E$24="","",'[34]سجل المستخلصات'!$E$24)</f>
        <v/>
      </c>
      <c r="E43" s="58">
        <f>IF('[34]سجل المستخلصات'!$F$24="","",'[34]سجل المستخلصات'!$F$24)</f>
        <v/>
      </c>
      <c r="F43" s="59">
        <f>IF('[34]سجل المستخلصات'!$H$24="","",'[34]سجل المستخلصات'!$H$24)</f>
        <v/>
      </c>
      <c r="G43" s="59">
        <f>IF('[34]سجل المستخلصات'!$G$24="","",'[34]سجل المستخلصات'!$G$24)</f>
        <v/>
      </c>
      <c r="H43" s="59">
        <f>IF('[34]سجل المستخلصات'!$I$24="","",'[34]سجل المستخلصات'!$I$24)</f>
        <v/>
      </c>
      <c r="I43" s="59">
        <f>IF('[34]سجل المستخلصات'!$J$24="","",'[34]سجل المستخلصات'!$J$24)</f>
        <v/>
      </c>
      <c r="J43" s="59">
        <f>IF('[34]سجل المستخلصات'!$K$24="","",'[34]سجل المستخلصات'!$K$24)</f>
        <v/>
      </c>
      <c r="K43" s="60">
        <f>IF('[34]سجل المستخلصات'!$L$24="","",'[34]سجل المستخلصات'!$L$24)</f>
        <v/>
      </c>
      <c r="L43" s="60">
        <f>IF('[34]سجل المستخلصات'!$M$24="","",'[34]سجل المستخلصات'!$M$24)</f>
        <v/>
      </c>
      <c r="M43" s="60">
        <f>IF('[34]سجل المستخلصات'!$N$24="","",'[34]سجل المستخلصات'!$N$24)</f>
        <v/>
      </c>
      <c r="N43" s="59">
        <f>IF('[34]سجل المستخلصات'!$O$24="","",'[34]سجل المستخلصات'!$O$24)</f>
        <v/>
      </c>
      <c r="O43" s="59">
        <f>IF('[34]سجل المستخلصات'!$R$24="","",'[34]سجل المستخلصات'!$R$24)</f>
        <v/>
      </c>
      <c r="P43" s="59">
        <f>IF('[34]سجل المستخلصات'!$S$24="","",'[34]سجل المستخلصات'!$S$24)</f>
        <v/>
      </c>
      <c r="Q43" s="59">
        <f>IF('[34]سجل المستخلصات'!$T$24="","",'[34]سجل المستخلصات'!$T$24)</f>
        <v/>
      </c>
      <c r="R43" s="59">
        <f>IF('[34]سجل المستخلصات'!$V$24="","",'[34]سجل المستخلصات'!$V$24)</f>
        <v/>
      </c>
      <c r="S43" s="59">
        <f>IF('[34]سجل المستخلصات'!$W$24="","",'[34]سجل المستخلصات'!$W$24)</f>
        <v/>
      </c>
      <c r="T43" s="61">
        <f>IF('[34]سجل المستخلصات'!$X$24="","",'[34]سجل المستخلصات'!$X$24)</f>
        <v/>
      </c>
      <c r="U43" s="61">
        <f>IF('[34]سجل المستخلصات'!$Z$24="","",'[34]سجل المستخلصات'!$Z$24)</f>
        <v/>
      </c>
      <c r="V43" s="59">
        <f>IF('[34]سجل المستخلصات'!$AA$24="","",'[34]سجل المستخلصات'!$AA$24)</f>
        <v/>
      </c>
      <c r="W43" s="59">
        <f>IF('[34]سجل المستخلصات'!$AC$24="","",'[34]سجل المستخلصات'!$AC$24)</f>
        <v/>
      </c>
      <c r="X43" s="62">
        <f>IF('[34]سجل المستخلصات'!$AD$24="","",'[34]سجل المستخلصات'!$AD$24)</f>
        <v/>
      </c>
      <c r="Y43" s="58">
        <f>IF('[34]سجل المستخلصات'!$AE$24="","",'[34]سجل المستخلصات'!$AE$24)</f>
        <v/>
      </c>
    </row>
    <row r="44">
      <c r="B44" s="56" t="n">
        <v>20</v>
      </c>
      <c r="C44" s="57">
        <f>IF('[34]سجل المستخلصات'!$C$25="","",'[34]سجل المستخلصات'!$C$25)</f>
        <v/>
      </c>
      <c r="D44" s="57">
        <f>IF('[34]سجل المستخلصات'!$E$25="","",'[34]سجل المستخلصات'!$E$25)</f>
        <v/>
      </c>
      <c r="E44" s="58">
        <f>IF('[34]سجل المستخلصات'!$F$25="","",'[34]سجل المستخلصات'!$F$25)</f>
        <v/>
      </c>
      <c r="F44" s="59">
        <f>IF('[34]سجل المستخلصات'!$H$25="","",'[34]سجل المستخلصات'!$H$25)</f>
        <v/>
      </c>
      <c r="G44" s="59">
        <f>IF('[34]سجل المستخلصات'!$G$25="","",'[34]سجل المستخلصات'!$G$25)</f>
        <v/>
      </c>
      <c r="H44" s="59">
        <f>IF('[34]سجل المستخلصات'!$I$25="","",'[34]سجل المستخلصات'!$I$25)</f>
        <v/>
      </c>
      <c r="I44" s="59">
        <f>IF('[34]سجل المستخلصات'!$J$25="","",'[34]سجل المستخلصات'!$J$25)</f>
        <v/>
      </c>
      <c r="J44" s="59">
        <f>IF('[34]سجل المستخلصات'!$K$25="","",'[34]سجل المستخلصات'!$K$25)</f>
        <v/>
      </c>
      <c r="K44" s="60">
        <f>IF('[34]سجل المستخلصات'!$L$25="","",'[34]سجل المستخلصات'!$L$25)</f>
        <v/>
      </c>
      <c r="L44" s="60">
        <f>IF('[34]سجل المستخلصات'!$M$25="","",'[34]سجل المستخلصات'!$M$25)</f>
        <v/>
      </c>
      <c r="M44" s="60">
        <f>IF('[34]سجل المستخلصات'!$N$25="","",'[34]سجل المستخلصات'!$N$25)</f>
        <v/>
      </c>
      <c r="N44" s="59">
        <f>IF('[34]سجل المستخلصات'!$O$25="","",'[34]سجل المستخلصات'!$O$25)</f>
        <v/>
      </c>
      <c r="O44" s="59">
        <f>IF('[34]سجل المستخلصات'!$R$25="","",'[34]سجل المستخلصات'!$R$25)</f>
        <v/>
      </c>
      <c r="P44" s="59">
        <f>IF('[34]سجل المستخلصات'!$S$25="","",'[34]سجل المستخلصات'!$S$25)</f>
        <v/>
      </c>
      <c r="Q44" s="59">
        <f>IF('[34]سجل المستخلصات'!$T$25="","",'[34]سجل المستخلصات'!$T$25)</f>
        <v/>
      </c>
      <c r="R44" s="59">
        <f>IF('[34]سجل المستخلصات'!$V$25="","",'[34]سجل المستخلصات'!$V$25)</f>
        <v/>
      </c>
      <c r="S44" s="59">
        <f>IF('[34]سجل المستخلصات'!$W$25="","",'[34]سجل المستخلصات'!$W$25)</f>
        <v/>
      </c>
      <c r="T44" s="61">
        <f>IF('[34]سجل المستخلصات'!$X$25="","",'[34]سجل المستخلصات'!$X$25)</f>
        <v/>
      </c>
      <c r="U44" s="61">
        <f>IF('[34]سجل المستخلصات'!$Z$25="","",'[34]سجل المستخلصات'!$Z$25)</f>
        <v/>
      </c>
      <c r="V44" s="59">
        <f>IF('[34]سجل المستخلصات'!$AA$25="","",'[34]سجل المستخلصات'!$AA$25)</f>
        <v/>
      </c>
      <c r="W44" s="59">
        <f>IF('[34]سجل المستخلصات'!$AC$25="","",'[34]سجل المستخلصات'!$AC$25)</f>
        <v/>
      </c>
      <c r="X44" s="62">
        <f>IF('[34]سجل المستخلصات'!$AD$25="","",'[34]سجل المستخلصات'!$AD$25)</f>
        <v/>
      </c>
      <c r="Y44" s="58">
        <f>IF('[34]سجل المستخلصات'!$AE$25="","",'[34]سجل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IF('[34]سجل المستخلصات'!$B$32="","",'[34]سجل المستخلصات'!$B$32)</f>
        <v/>
      </c>
      <c r="C50" s="69" t="n"/>
      <c r="D50" s="69" t="n"/>
      <c r="E50" s="59">
        <f>N('[34]سجل المستخلصات'!$E$32)</f>
        <v/>
      </c>
      <c r="F50" s="59">
        <f>N('[34]سجل المستخلصات'!$F$32)</f>
        <v/>
      </c>
      <c r="G50" s="70">
        <f>IF(E50&gt;0,F50/E50,0)</f>
        <v/>
      </c>
    </row>
    <row r="51">
      <c r="B51" s="69">
        <f>IF('[34]سجل المستخلصات'!$B$33="","",'[34]سجل المستخلصات'!$B$33)</f>
        <v/>
      </c>
      <c r="C51" s="69" t="n"/>
      <c r="D51" s="69" t="n"/>
      <c r="E51" s="59">
        <f>N('[34]سجل المستخلصات'!$E$33)</f>
        <v/>
      </c>
      <c r="F51" s="59">
        <f>N('[34]سجل المستخلصات'!$F$33)</f>
        <v/>
      </c>
      <c r="G51" s="70">
        <f>IF(E51&gt;0,F51/E51,0)</f>
        <v/>
      </c>
    </row>
    <row r="52">
      <c r="B52" s="69">
        <f>IF('[34]سجل المستخلصات'!$B$34="","",'[34]سجل المستخلصات'!$B$34)</f>
        <v/>
      </c>
      <c r="C52" s="69" t="n"/>
      <c r="D52" s="69" t="n"/>
      <c r="E52" s="59">
        <f>N('[34]سجل المستخلصات'!$E$34)</f>
        <v/>
      </c>
      <c r="F52" s="59">
        <f>N('[34]سجل المستخلصات'!$F$34)</f>
        <v/>
      </c>
      <c r="G52" s="70">
        <f>IF(E52&gt;0,F52/E52,0)</f>
        <v/>
      </c>
    </row>
    <row r="53">
      <c r="B53" s="69">
        <f>IF('[34]سجل المستخلصات'!$B$35="","",'[34]سجل المستخلصات'!$B$35)</f>
        <v/>
      </c>
      <c r="C53" s="69" t="n"/>
      <c r="D53" s="69" t="n"/>
      <c r="E53" s="59">
        <f>N('[34]سجل المستخلصات'!$E$35)</f>
        <v/>
      </c>
      <c r="F53" s="59">
        <f>N('[34]سجل المستخلصات'!$F$35)</f>
        <v/>
      </c>
      <c r="G53" s="70">
        <f>IF(E53&gt;0,F53/E53,0)</f>
        <v/>
      </c>
    </row>
    <row r="54">
      <c r="B54" s="69">
        <f>IF('[34]سجل المستخلصات'!$B$36="","",'[34]سجل المستخلصات'!$B$36)</f>
        <v/>
      </c>
      <c r="C54" s="69" t="n"/>
      <c r="D54" s="69" t="n"/>
      <c r="E54" s="59">
        <f>N('[34]سجل المستخلصات'!$E$36)</f>
        <v/>
      </c>
      <c r="F54" s="59">
        <f>N('[34]سجل المستخلصات'!$F$36)</f>
        <v/>
      </c>
      <c r="G54" s="70">
        <f>IF(E54&gt;0,F54/E54,0)</f>
        <v/>
      </c>
    </row>
    <row r="55">
      <c r="B55" s="69">
        <f>IF('[34]سجل المستخلصات'!$B$37="","",'[34]سجل المستخلصات'!$B$37)</f>
        <v/>
      </c>
      <c r="C55" s="69" t="n"/>
      <c r="D55" s="69" t="n"/>
      <c r="E55" s="59">
        <f>N('[34]سجل المستخلصات'!$E$37)</f>
        <v/>
      </c>
      <c r="F55" s="59">
        <f>N('[34]سجل المستخلصات'!$F$37)</f>
        <v/>
      </c>
      <c r="G55" s="70">
        <f>IF(E55&gt;0,F55/E55,0)</f>
        <v/>
      </c>
    </row>
    <row r="56">
      <c r="B56" s="69">
        <f>IF('[34]سجل المستخلصات'!$B$38="","",'[34]سجل المستخلصات'!$B$38)</f>
        <v/>
      </c>
      <c r="C56" s="69" t="n"/>
      <c r="D56" s="69" t="n"/>
      <c r="E56" s="59">
        <f>N('[34]سجل المستخلصات'!$E$38)</f>
        <v/>
      </c>
      <c r="F56" s="59">
        <f>N('[34]سجل المستخلصات'!$F$38)</f>
        <v/>
      </c>
      <c r="G56" s="70">
        <f>IF(E56&gt;0,F56/E56,0)</f>
        <v/>
      </c>
    </row>
    <row r="57">
      <c r="B57" s="69">
        <f>IF('[34]سجل المستخلصات'!$B$39="","",'[34]سجل المستخلصات'!$B$39)</f>
        <v/>
      </c>
      <c r="C57" s="69" t="n"/>
      <c r="D57" s="69" t="n"/>
      <c r="E57" s="59">
        <f>N('[34]سجل المستخلصات'!$E$39)</f>
        <v/>
      </c>
      <c r="F57" s="59">
        <f>N('[34]سجل المستخلصات'!$F$39)</f>
        <v/>
      </c>
      <c r="G57" s="70">
        <f>IF(E57&gt;0,F57/E57,0)</f>
        <v/>
      </c>
    </row>
    <row r="58">
      <c r="B58" s="69">
        <f>IF('[34]سجل المستخلصات'!$B$40="","",'[34]سجل المستخلصات'!$B$40)</f>
        <v/>
      </c>
      <c r="C58" s="69" t="n"/>
      <c r="D58" s="69" t="n"/>
      <c r="E58" s="59">
        <f>N('[34]سجل المستخلصات'!$E$40)</f>
        <v/>
      </c>
      <c r="F58" s="59">
        <f>N('[34]سجل المستخلصات'!$F$40)</f>
        <v/>
      </c>
      <c r="G58" s="70">
        <f>IF(E58&gt;0,F58/E58,0)</f>
        <v/>
      </c>
    </row>
    <row r="59">
      <c r="B59" s="69">
        <f>IF('[34]سجل المستخلصات'!$B$41="","",'[34]سجل المستخلصات'!$B$41)</f>
        <v/>
      </c>
      <c r="C59" s="69" t="n"/>
      <c r="D59" s="69" t="n"/>
      <c r="E59" s="59">
        <f>N('[34]سجل المستخلصات'!$E$41)</f>
        <v/>
      </c>
      <c r="F59" s="59">
        <f>N('[34]سجل المستخلصات'!$F$41)</f>
        <v/>
      </c>
      <c r="G59" s="70">
        <f>IF(E59&gt;0,F59/E59,0)</f>
        <v/>
      </c>
    </row>
    <row r="60">
      <c r="B60" s="69">
        <f>IF('[34]سجل المستخلصات'!$B$42="","",'[34]سجل المستخلصات'!$B$42)</f>
        <v/>
      </c>
      <c r="C60" s="69" t="n"/>
      <c r="D60" s="69" t="n"/>
      <c r="E60" s="59">
        <f>N('[34]سجل المستخلصات'!$E$42)</f>
        <v/>
      </c>
      <c r="F60" s="59">
        <f>N('[34]سجل المستخلصات'!$F$42)</f>
        <v/>
      </c>
      <c r="G60" s="70">
        <f>IF(E60&gt;0,F60/E60,0)</f>
        <v/>
      </c>
    </row>
    <row r="61">
      <c r="B61" s="69">
        <f>IF('[34]سجل المستخلصات'!$B$43="","",'[34]سجل المستخلصات'!$B$43)</f>
        <v/>
      </c>
      <c r="C61" s="69" t="n"/>
      <c r="D61" s="69" t="n"/>
      <c r="E61" s="59">
        <f>N('[34]سجل المستخلصات'!$E$43)</f>
        <v/>
      </c>
      <c r="F61" s="59">
        <f>N('[34]سجل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33'!A1" display="◄ المشروع السابق"/>
    <hyperlink ref="D3" location="'مشروع 35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3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"&amp;IF('[35]بيانات العقد'!$C$5="","مشروع رقم 35 — غير مُفعّل",'[35]بيانات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Project_35/IPC_Project_35.xlsx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IF('[35]بيانات العقد'!$C$5="","",'[35]بيانات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IF('[35]بيانات العقد'!$C$6="","",'[35]بيانات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IF('[35]بيانات العقد'!$C$7="","",'[35]بيانات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IF('[35]بيانات العقد'!$C$8="","",'[35]بيانات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N('[35]بيانات العقد'!$C$16)</f>
        <v/>
      </c>
    </row>
    <row r="6" ht="22" customHeight="1">
      <c r="B6" s="11" t="inlineStr">
        <is>
          <t>المقاول</t>
        </is>
      </c>
      <c r="C6" s="14">
        <f>IF('[35]بيانات العقد'!$C$9="","",'[35]بيانات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IF('[35]بيانات العقد'!$C$11="","",'[35]بيانات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IF('[35]بيانات العقد'!$C$13="","",'[35]بيانات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IF('[35]بيانات العقد'!$C$14="","",'[35]بيانات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N('[35]بيانات العقد'!$C$17)</f>
        <v/>
      </c>
    </row>
    <row r="7">
      <c r="AA7" s="15" t="inlineStr">
        <is>
          <t>قيمة العقد المعدلة</t>
        </is>
      </c>
      <c r="AB7" s="16">
        <f>N('[35]بيانات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N('[35]بيانات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N('[35]بيانات العقد'!$C$21)</f>
        <v/>
      </c>
    </row>
    <row r="10">
      <c r="AA10" s="15" t="inlineStr">
        <is>
          <t>نسبة ضمان الأعمال</t>
        </is>
      </c>
      <c r="AB10" s="23">
        <f>N('[35]بيانات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N('[35]بيانات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N('[35]بيانات العقد'!$C$31)</f>
        <v/>
      </c>
    </row>
    <row r="13">
      <c r="AA13" s="15" t="inlineStr">
        <is>
          <t>ضريبة الاستقطاع (غير المقيم)</t>
        </is>
      </c>
      <c r="AB13" s="23">
        <f>N('[35]بيانات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IF('[35]بيانات العقد'!$C$11="","",'[35]بيانات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IF('[35]بيانات العقد'!$C$13="","",'[35]بيانات العقد'!$C$13)</f>
        <v/>
      </c>
    </row>
    <row r="16">
      <c r="AA16" s="15" t="inlineStr">
        <is>
          <t>المدة (شهر)</t>
        </is>
      </c>
      <c r="AB16" s="43">
        <f>IF('[35]بيانات العقد'!$C$12="","",'[35]بيانات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IF('[35]بيانات العقد'!$C$36="","",'[35]بيانات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IF('[35]بيانات العقد'!$C$37="","",'[35]بيانات العقد'!$C$37)</f>
        <v/>
      </c>
    </row>
    <row r="19">
      <c r="AA19" s="15" t="inlineStr">
        <is>
          <t>الرقم الضريبي لصاحب العمل</t>
        </is>
      </c>
      <c r="AB19" s="48">
        <f>IF('[35]بيانات العقد'!$C$39="","",'[35]بيانات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IF('[35]بيانات العقد'!$C$42="","",'[35]بيانات العقد'!$C$42)</f>
        <v/>
      </c>
    </row>
    <row r="21" ht="32" customHeight="1">
      <c r="B21" s="50">
        <f>N('[35]الموازنة والتكاليف'!$D$66)</f>
        <v/>
      </c>
      <c r="C21" s="50" t="n"/>
      <c r="D21" s="50" t="n"/>
      <c r="E21" s="50" t="n"/>
      <c r="F21" s="50">
        <f>N('[35]الموازنة والتكاليف'!$D$70)</f>
        <v/>
      </c>
      <c r="G21" s="50" t="n"/>
      <c r="H21" s="50" t="n"/>
      <c r="I21" s="50" t="n"/>
      <c r="J21" s="50">
        <f>N('[35]الموازنة والتكاليف'!$D$72)</f>
        <v/>
      </c>
      <c r="K21" s="50" t="n"/>
      <c r="L21" s="50" t="n"/>
      <c r="M21" s="50" t="n"/>
      <c r="N21" s="51">
        <f>N('[35]الموازنة والتكاليف'!$D$73)</f>
        <v/>
      </c>
      <c r="O21" s="51" t="n"/>
      <c r="P21" s="51" t="n"/>
      <c r="Q21" s="51" t="n"/>
      <c r="R21" s="52">
        <f>N('[35]الموازنة والتكاليف'!$D$74)</f>
        <v/>
      </c>
      <c r="S21" s="52" t="n"/>
      <c r="T21" s="52" t="n"/>
      <c r="U21" s="52" t="n"/>
      <c r="V21" s="50">
        <f>N('[35]الموازنة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IF('[35]بيانات العقد'!$C$43="","",'[35]بيانات العقد'!$C$43)</f>
        <v/>
      </c>
    </row>
    <row r="22">
      <c r="AA22" s="15" t="inlineStr">
        <is>
          <t>حالة غرامات التأخير</t>
        </is>
      </c>
      <c r="AB22" s="45">
        <f>IF('[35]بيانات العقد'!$C$47="","",'[35]بيانات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IF('[35]سجل المستخلصات'!$C$6="","",'[35]سجل المستخلصات'!$C$6)</f>
        <v/>
      </c>
      <c r="D25" s="57">
        <f>IF('[35]سجل المستخلصات'!$E$6="","",'[35]سجل المستخلصات'!$E$6)</f>
        <v/>
      </c>
      <c r="E25" s="58">
        <f>IF('[35]سجل المستخلصات'!$F$6="","",'[35]سجل المستخلصات'!$F$6)</f>
        <v/>
      </c>
      <c r="F25" s="59">
        <f>IF('[35]سجل المستخلصات'!$H$6="","",'[35]سجل المستخلصات'!$H$6)</f>
        <v/>
      </c>
      <c r="G25" s="59">
        <f>IF('[35]سجل المستخلصات'!$G$6="","",'[35]سجل المستخلصات'!$G$6)</f>
        <v/>
      </c>
      <c r="H25" s="59">
        <f>IF('[35]سجل المستخلصات'!$I$6="","",'[35]سجل المستخلصات'!$I$6)</f>
        <v/>
      </c>
      <c r="I25" s="59">
        <f>IF('[35]سجل المستخلصات'!$J$6="","",'[35]سجل المستخلصات'!$J$6)</f>
        <v/>
      </c>
      <c r="J25" s="59">
        <f>IF('[35]سجل المستخلصات'!$K$6="","",'[35]سجل المستخلصات'!$K$6)</f>
        <v/>
      </c>
      <c r="K25" s="60">
        <f>IF('[35]سجل المستخلصات'!$L$6="","",'[35]سجل المستخلصات'!$L$6)</f>
        <v/>
      </c>
      <c r="L25" s="60">
        <f>IF('[35]سجل المستخلصات'!$M$6="","",'[35]سجل المستخلصات'!$M$6)</f>
        <v/>
      </c>
      <c r="M25" s="60">
        <f>IF('[35]سجل المستخلصات'!$N$6="","",'[35]سجل المستخلصات'!$N$6)</f>
        <v/>
      </c>
      <c r="N25" s="59">
        <f>IF('[35]سجل المستخلصات'!$O$6="","",'[35]سجل المستخلصات'!$O$6)</f>
        <v/>
      </c>
      <c r="O25" s="59">
        <f>IF('[35]سجل المستخلصات'!$R$6="","",'[35]سجل المستخلصات'!$R$6)</f>
        <v/>
      </c>
      <c r="P25" s="59">
        <f>IF('[35]سجل المستخلصات'!$S$6="","",'[35]سجل المستخلصات'!$S$6)</f>
        <v/>
      </c>
      <c r="Q25" s="59">
        <f>IF('[35]سجل المستخلصات'!$T$6="","",'[35]سجل المستخلصات'!$T$6)</f>
        <v/>
      </c>
      <c r="R25" s="59">
        <f>IF('[35]سجل المستخلصات'!$V$6="","",'[35]سجل المستخلصات'!$V$6)</f>
        <v/>
      </c>
      <c r="S25" s="59">
        <f>IF('[35]سجل المستخلصات'!$W$6="","",'[35]سجل المستخلصات'!$W$6)</f>
        <v/>
      </c>
      <c r="T25" s="61">
        <f>IF('[35]سجل المستخلصات'!$X$6="","",'[35]سجل المستخلصات'!$X$6)</f>
        <v/>
      </c>
      <c r="U25" s="61">
        <f>IF('[35]سجل المستخلصات'!$Z$6="","",'[35]سجل المستخلصات'!$Z$6)</f>
        <v/>
      </c>
      <c r="V25" s="59">
        <f>IF('[35]سجل المستخلصات'!$AA$6="","",'[35]سجل المستخلصات'!$AA$6)</f>
        <v/>
      </c>
      <c r="W25" s="59">
        <f>IF('[35]سجل المستخلصات'!$AC$6="","",'[35]سجل المستخلصات'!$AC$6)</f>
        <v/>
      </c>
      <c r="X25" s="62">
        <f>IF('[35]سجل المستخلصات'!$AD$6="","",'[35]سجل المستخلصات'!$AD$6)</f>
        <v/>
      </c>
      <c r="Y25" s="58">
        <f>IF('[35]سجل المستخلصات'!$AE$6="","",'[35]سجل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IF('[35]سجل المستخلصات'!$C$7="","",'[35]سجل المستخلصات'!$C$7)</f>
        <v/>
      </c>
      <c r="D26" s="57">
        <f>IF('[35]سجل المستخلصات'!$E$7="","",'[35]سجل المستخلصات'!$E$7)</f>
        <v/>
      </c>
      <c r="E26" s="58">
        <f>IF('[35]سجل المستخلصات'!$F$7="","",'[35]سجل المستخلصات'!$F$7)</f>
        <v/>
      </c>
      <c r="F26" s="59">
        <f>IF('[35]سجل المستخلصات'!$H$7="","",'[35]سجل المستخلصات'!$H$7)</f>
        <v/>
      </c>
      <c r="G26" s="59">
        <f>IF('[35]سجل المستخلصات'!$G$7="","",'[35]سجل المستخلصات'!$G$7)</f>
        <v/>
      </c>
      <c r="H26" s="59">
        <f>IF('[35]سجل المستخلصات'!$I$7="","",'[35]سجل المستخلصات'!$I$7)</f>
        <v/>
      </c>
      <c r="I26" s="59">
        <f>IF('[35]سجل المستخلصات'!$J$7="","",'[35]سجل المستخلصات'!$J$7)</f>
        <v/>
      </c>
      <c r="J26" s="59">
        <f>IF('[35]سجل المستخلصات'!$K$7="","",'[35]سجل المستخلصات'!$K$7)</f>
        <v/>
      </c>
      <c r="K26" s="60">
        <f>IF('[35]سجل المستخلصات'!$L$7="","",'[35]سجل المستخلصات'!$L$7)</f>
        <v/>
      </c>
      <c r="L26" s="60">
        <f>IF('[35]سجل المستخلصات'!$M$7="","",'[35]سجل المستخلصات'!$M$7)</f>
        <v/>
      </c>
      <c r="M26" s="60">
        <f>IF('[35]سجل المستخلصات'!$N$7="","",'[35]سجل المستخلصات'!$N$7)</f>
        <v/>
      </c>
      <c r="N26" s="59">
        <f>IF('[35]سجل المستخلصات'!$O$7="","",'[35]سجل المستخلصات'!$O$7)</f>
        <v/>
      </c>
      <c r="O26" s="59">
        <f>IF('[35]سجل المستخلصات'!$R$7="","",'[35]سجل المستخلصات'!$R$7)</f>
        <v/>
      </c>
      <c r="P26" s="59">
        <f>IF('[35]سجل المستخلصات'!$S$7="","",'[35]سجل المستخلصات'!$S$7)</f>
        <v/>
      </c>
      <c r="Q26" s="59">
        <f>IF('[35]سجل المستخلصات'!$T$7="","",'[35]سجل المستخلصات'!$T$7)</f>
        <v/>
      </c>
      <c r="R26" s="59">
        <f>IF('[35]سجل المستخلصات'!$V$7="","",'[35]سجل المستخلصات'!$V$7)</f>
        <v/>
      </c>
      <c r="S26" s="59">
        <f>IF('[35]سجل المستخلصات'!$W$7="","",'[35]سجل المستخلصات'!$W$7)</f>
        <v/>
      </c>
      <c r="T26" s="61">
        <f>IF('[35]سجل المستخلصات'!$X$7="","",'[35]سجل المستخلصات'!$X$7)</f>
        <v/>
      </c>
      <c r="U26" s="61">
        <f>IF('[35]سجل المستخلصات'!$Z$7="","",'[35]سجل المستخلصات'!$Z$7)</f>
        <v/>
      </c>
      <c r="V26" s="59">
        <f>IF('[35]سجل المستخلصات'!$AA$7="","",'[35]سجل المستخلصات'!$AA$7)</f>
        <v/>
      </c>
      <c r="W26" s="59">
        <f>IF('[35]سجل المستخلصات'!$AC$7="","",'[35]سجل المستخلصات'!$AC$7)</f>
        <v/>
      </c>
      <c r="X26" s="62">
        <f>IF('[35]سجل المستخلصات'!$AD$7="","",'[35]سجل المستخلصات'!$AD$7)</f>
        <v/>
      </c>
      <c r="Y26" s="58">
        <f>IF('[35]سجل المستخلصات'!$AE$7="","",'[35]سجل المستخلصات'!$AE$7)</f>
        <v/>
      </c>
      <c r="AA26" s="63" t="n"/>
      <c r="AB26" s="63" t="n"/>
    </row>
    <row r="27">
      <c r="B27" s="56" t="n">
        <v>3</v>
      </c>
      <c r="C27" s="57">
        <f>IF('[35]سجل المستخلصات'!$C$8="","",'[35]سجل المستخلصات'!$C$8)</f>
        <v/>
      </c>
      <c r="D27" s="57">
        <f>IF('[35]سجل المستخلصات'!$E$8="","",'[35]سجل المستخلصات'!$E$8)</f>
        <v/>
      </c>
      <c r="E27" s="58">
        <f>IF('[35]سجل المستخلصات'!$F$8="","",'[35]سجل المستخلصات'!$F$8)</f>
        <v/>
      </c>
      <c r="F27" s="59">
        <f>IF('[35]سجل المستخلصات'!$H$8="","",'[35]سجل المستخلصات'!$H$8)</f>
        <v/>
      </c>
      <c r="G27" s="59">
        <f>IF('[35]سجل المستخلصات'!$G$8="","",'[35]سجل المستخلصات'!$G$8)</f>
        <v/>
      </c>
      <c r="H27" s="59">
        <f>IF('[35]سجل المستخلصات'!$I$8="","",'[35]سجل المستخلصات'!$I$8)</f>
        <v/>
      </c>
      <c r="I27" s="59">
        <f>IF('[35]سجل المستخلصات'!$J$8="","",'[35]سجل المستخلصات'!$J$8)</f>
        <v/>
      </c>
      <c r="J27" s="59">
        <f>IF('[35]سجل المستخلصات'!$K$8="","",'[35]سجل المستخلصات'!$K$8)</f>
        <v/>
      </c>
      <c r="K27" s="60">
        <f>IF('[35]سجل المستخلصات'!$L$8="","",'[35]سجل المستخلصات'!$L$8)</f>
        <v/>
      </c>
      <c r="L27" s="60">
        <f>IF('[35]سجل المستخلصات'!$M$8="","",'[35]سجل المستخلصات'!$M$8)</f>
        <v/>
      </c>
      <c r="M27" s="60">
        <f>IF('[35]سجل المستخلصات'!$N$8="","",'[35]سجل المستخلصات'!$N$8)</f>
        <v/>
      </c>
      <c r="N27" s="59">
        <f>IF('[35]سجل المستخلصات'!$O$8="","",'[35]سجل المستخلصات'!$O$8)</f>
        <v/>
      </c>
      <c r="O27" s="59">
        <f>IF('[35]سجل المستخلصات'!$R$8="","",'[35]سجل المستخلصات'!$R$8)</f>
        <v/>
      </c>
      <c r="P27" s="59">
        <f>IF('[35]سجل المستخلصات'!$S$8="","",'[35]سجل المستخلصات'!$S$8)</f>
        <v/>
      </c>
      <c r="Q27" s="59">
        <f>IF('[35]سجل المستخلصات'!$T$8="","",'[35]سجل المستخلصات'!$T$8)</f>
        <v/>
      </c>
      <c r="R27" s="59">
        <f>IF('[35]سجل المستخلصات'!$V$8="","",'[35]سجل المستخلصات'!$V$8)</f>
        <v/>
      </c>
      <c r="S27" s="59">
        <f>IF('[35]سجل المستخلصات'!$W$8="","",'[35]سجل المستخلصات'!$W$8)</f>
        <v/>
      </c>
      <c r="T27" s="61">
        <f>IF('[35]سجل المستخلصات'!$X$8="","",'[35]سجل المستخلصات'!$X$8)</f>
        <v/>
      </c>
      <c r="U27" s="61">
        <f>IF('[35]سجل المستخلصات'!$Z$8="","",'[35]سجل المستخلصات'!$Z$8)</f>
        <v/>
      </c>
      <c r="V27" s="59">
        <f>IF('[35]سجل المستخلصات'!$AA$8="","",'[35]سجل المستخلصات'!$AA$8)</f>
        <v/>
      </c>
      <c r="W27" s="59">
        <f>IF('[35]سجل المستخلصات'!$AC$8="","",'[35]سجل المستخلصات'!$AC$8)</f>
        <v/>
      </c>
      <c r="X27" s="62">
        <f>IF('[35]سجل المستخلصات'!$AD$8="","",'[35]سجل المستخلصات'!$AD$8)</f>
        <v/>
      </c>
      <c r="Y27" s="58">
        <f>IF('[35]سجل المستخلصات'!$AE$8="","",'[35]سجل المستخلصات'!$AE$8)</f>
        <v/>
      </c>
      <c r="AA27" s="63" t="n"/>
      <c r="AB27" s="63" t="n"/>
    </row>
    <row r="28">
      <c r="B28" s="56" t="n">
        <v>4</v>
      </c>
      <c r="C28" s="57">
        <f>IF('[35]سجل المستخلصات'!$C$9="","",'[35]سجل المستخلصات'!$C$9)</f>
        <v/>
      </c>
      <c r="D28" s="57">
        <f>IF('[35]سجل المستخلصات'!$E$9="","",'[35]سجل المستخلصات'!$E$9)</f>
        <v/>
      </c>
      <c r="E28" s="58">
        <f>IF('[35]سجل المستخلصات'!$F$9="","",'[35]سجل المستخلصات'!$F$9)</f>
        <v/>
      </c>
      <c r="F28" s="59">
        <f>IF('[35]سجل المستخلصات'!$H$9="","",'[35]سجل المستخلصات'!$H$9)</f>
        <v/>
      </c>
      <c r="G28" s="59">
        <f>IF('[35]سجل المستخلصات'!$G$9="","",'[35]سجل المستخلصات'!$G$9)</f>
        <v/>
      </c>
      <c r="H28" s="59">
        <f>IF('[35]سجل المستخلصات'!$I$9="","",'[35]سجل المستخلصات'!$I$9)</f>
        <v/>
      </c>
      <c r="I28" s="59">
        <f>IF('[35]سجل المستخلصات'!$J$9="","",'[35]سجل المستخلصات'!$J$9)</f>
        <v/>
      </c>
      <c r="J28" s="59">
        <f>IF('[35]سجل المستخلصات'!$K$9="","",'[35]سجل المستخلصات'!$K$9)</f>
        <v/>
      </c>
      <c r="K28" s="60">
        <f>IF('[35]سجل المستخلصات'!$L$9="","",'[35]سجل المستخلصات'!$L$9)</f>
        <v/>
      </c>
      <c r="L28" s="60">
        <f>IF('[35]سجل المستخلصات'!$M$9="","",'[35]سجل المستخلصات'!$M$9)</f>
        <v/>
      </c>
      <c r="M28" s="60">
        <f>IF('[35]سجل المستخلصات'!$N$9="","",'[35]سجل المستخلصات'!$N$9)</f>
        <v/>
      </c>
      <c r="N28" s="59">
        <f>IF('[35]سجل المستخلصات'!$O$9="","",'[35]سجل المستخلصات'!$O$9)</f>
        <v/>
      </c>
      <c r="O28" s="59">
        <f>IF('[35]سجل المستخلصات'!$R$9="","",'[35]سجل المستخلصات'!$R$9)</f>
        <v/>
      </c>
      <c r="P28" s="59">
        <f>IF('[35]سجل المستخلصات'!$S$9="","",'[35]سجل المستخلصات'!$S$9)</f>
        <v/>
      </c>
      <c r="Q28" s="59">
        <f>IF('[35]سجل المستخلصات'!$T$9="","",'[35]سجل المستخلصات'!$T$9)</f>
        <v/>
      </c>
      <c r="R28" s="59">
        <f>IF('[35]سجل المستخلصات'!$V$9="","",'[35]سجل المستخلصات'!$V$9)</f>
        <v/>
      </c>
      <c r="S28" s="59">
        <f>IF('[35]سجل المستخلصات'!$W$9="","",'[35]سجل المستخلصات'!$W$9)</f>
        <v/>
      </c>
      <c r="T28" s="61">
        <f>IF('[35]سجل المستخلصات'!$X$9="","",'[35]سجل المستخلصات'!$X$9)</f>
        <v/>
      </c>
      <c r="U28" s="61">
        <f>IF('[35]سجل المستخلصات'!$Z$9="","",'[35]سجل المستخلصات'!$Z$9)</f>
        <v/>
      </c>
      <c r="V28" s="59">
        <f>IF('[35]سجل المستخلصات'!$AA$9="","",'[35]سجل المستخلصات'!$AA$9)</f>
        <v/>
      </c>
      <c r="W28" s="59">
        <f>IF('[35]سجل المستخلصات'!$AC$9="","",'[35]سجل المستخلصات'!$AC$9)</f>
        <v/>
      </c>
      <c r="X28" s="62">
        <f>IF('[35]سجل المستخلصات'!$AD$9="","",'[35]سجل المستخلصات'!$AD$9)</f>
        <v/>
      </c>
      <c r="Y28" s="58">
        <f>IF('[35]سجل المستخلصات'!$AE$9="","",'[35]سجل المستخلصات'!$AE$9)</f>
        <v/>
      </c>
      <c r="AA28" s="63" t="n"/>
      <c r="AB28" s="63" t="n"/>
    </row>
    <row r="29">
      <c r="B29" s="56" t="n">
        <v>5</v>
      </c>
      <c r="C29" s="57">
        <f>IF('[35]سجل المستخلصات'!$C$10="","",'[35]سجل المستخلصات'!$C$10)</f>
        <v/>
      </c>
      <c r="D29" s="57">
        <f>IF('[35]سجل المستخلصات'!$E$10="","",'[35]سجل المستخلصات'!$E$10)</f>
        <v/>
      </c>
      <c r="E29" s="58">
        <f>IF('[35]سجل المستخلصات'!$F$10="","",'[35]سجل المستخلصات'!$F$10)</f>
        <v/>
      </c>
      <c r="F29" s="59">
        <f>IF('[35]سجل المستخلصات'!$H$10="","",'[35]سجل المستخلصات'!$H$10)</f>
        <v/>
      </c>
      <c r="G29" s="59">
        <f>IF('[35]سجل المستخلصات'!$G$10="","",'[35]سجل المستخلصات'!$G$10)</f>
        <v/>
      </c>
      <c r="H29" s="59">
        <f>IF('[35]سجل المستخلصات'!$I$10="","",'[35]سجل المستخلصات'!$I$10)</f>
        <v/>
      </c>
      <c r="I29" s="59">
        <f>IF('[35]سجل المستخلصات'!$J$10="","",'[35]سجل المستخلصات'!$J$10)</f>
        <v/>
      </c>
      <c r="J29" s="59">
        <f>IF('[35]سجل المستخلصات'!$K$10="","",'[35]سجل المستخلصات'!$K$10)</f>
        <v/>
      </c>
      <c r="K29" s="60">
        <f>IF('[35]سجل المستخلصات'!$L$10="","",'[35]سجل المستخلصات'!$L$10)</f>
        <v/>
      </c>
      <c r="L29" s="60">
        <f>IF('[35]سجل المستخلصات'!$M$10="","",'[35]سجل المستخلصات'!$M$10)</f>
        <v/>
      </c>
      <c r="M29" s="60">
        <f>IF('[35]سجل المستخلصات'!$N$10="","",'[35]سجل المستخلصات'!$N$10)</f>
        <v/>
      </c>
      <c r="N29" s="59">
        <f>IF('[35]سجل المستخلصات'!$O$10="","",'[35]سجل المستخلصات'!$O$10)</f>
        <v/>
      </c>
      <c r="O29" s="59">
        <f>IF('[35]سجل المستخلصات'!$R$10="","",'[35]سجل المستخلصات'!$R$10)</f>
        <v/>
      </c>
      <c r="P29" s="59">
        <f>IF('[35]سجل المستخلصات'!$S$10="","",'[35]سجل المستخلصات'!$S$10)</f>
        <v/>
      </c>
      <c r="Q29" s="59">
        <f>IF('[35]سجل المستخلصات'!$T$10="","",'[35]سجل المستخلصات'!$T$10)</f>
        <v/>
      </c>
      <c r="R29" s="59">
        <f>IF('[35]سجل المستخلصات'!$V$10="","",'[35]سجل المستخلصات'!$V$10)</f>
        <v/>
      </c>
      <c r="S29" s="59">
        <f>IF('[35]سجل المستخلصات'!$W$10="","",'[35]سجل المستخلصات'!$W$10)</f>
        <v/>
      </c>
      <c r="T29" s="61">
        <f>IF('[35]سجل المستخلصات'!$X$10="","",'[35]سجل المستخلصات'!$X$10)</f>
        <v/>
      </c>
      <c r="U29" s="61">
        <f>IF('[35]سجل المستخلصات'!$Z$10="","",'[35]سجل المستخلصات'!$Z$10)</f>
        <v/>
      </c>
      <c r="V29" s="59">
        <f>IF('[35]سجل المستخلصات'!$AA$10="","",'[35]سجل المستخلصات'!$AA$10)</f>
        <v/>
      </c>
      <c r="W29" s="59">
        <f>IF('[35]سجل المستخلصات'!$AC$10="","",'[35]سجل المستخلصات'!$AC$10)</f>
        <v/>
      </c>
      <c r="X29" s="62">
        <f>IF('[35]سجل المستخلصات'!$AD$10="","",'[35]سجل المستخلصات'!$AD$10)</f>
        <v/>
      </c>
      <c r="Y29" s="58">
        <f>IF('[35]سجل المستخلصات'!$AE$10="","",'[35]سجل المستخلصات'!$AE$10)</f>
        <v/>
      </c>
    </row>
    <row r="30">
      <c r="B30" s="56" t="n">
        <v>6</v>
      </c>
      <c r="C30" s="57">
        <f>IF('[35]سجل المستخلصات'!$C$11="","",'[35]سجل المستخلصات'!$C$11)</f>
        <v/>
      </c>
      <c r="D30" s="57">
        <f>IF('[35]سجل المستخلصات'!$E$11="","",'[35]سجل المستخلصات'!$E$11)</f>
        <v/>
      </c>
      <c r="E30" s="58">
        <f>IF('[35]سجل المستخلصات'!$F$11="","",'[35]سجل المستخلصات'!$F$11)</f>
        <v/>
      </c>
      <c r="F30" s="59">
        <f>IF('[35]سجل المستخلصات'!$H$11="","",'[35]سجل المستخلصات'!$H$11)</f>
        <v/>
      </c>
      <c r="G30" s="59">
        <f>IF('[35]سجل المستخلصات'!$G$11="","",'[35]سجل المستخلصات'!$G$11)</f>
        <v/>
      </c>
      <c r="H30" s="59">
        <f>IF('[35]سجل المستخلصات'!$I$11="","",'[35]سجل المستخلصات'!$I$11)</f>
        <v/>
      </c>
      <c r="I30" s="59">
        <f>IF('[35]سجل المستخلصات'!$J$11="","",'[35]سجل المستخلصات'!$J$11)</f>
        <v/>
      </c>
      <c r="J30" s="59">
        <f>IF('[35]سجل المستخلصات'!$K$11="","",'[35]سجل المستخلصات'!$K$11)</f>
        <v/>
      </c>
      <c r="K30" s="60">
        <f>IF('[35]سجل المستخلصات'!$L$11="","",'[35]سجل المستخلصات'!$L$11)</f>
        <v/>
      </c>
      <c r="L30" s="60">
        <f>IF('[35]سجل المستخلصات'!$M$11="","",'[35]سجل المستخلصات'!$M$11)</f>
        <v/>
      </c>
      <c r="M30" s="60">
        <f>IF('[35]سجل المستخلصات'!$N$11="","",'[35]سجل المستخلصات'!$N$11)</f>
        <v/>
      </c>
      <c r="N30" s="59">
        <f>IF('[35]سجل المستخلصات'!$O$11="","",'[35]سجل المستخلصات'!$O$11)</f>
        <v/>
      </c>
      <c r="O30" s="59">
        <f>IF('[35]سجل المستخلصات'!$R$11="","",'[35]سجل المستخلصات'!$R$11)</f>
        <v/>
      </c>
      <c r="P30" s="59">
        <f>IF('[35]سجل المستخلصات'!$S$11="","",'[35]سجل المستخلصات'!$S$11)</f>
        <v/>
      </c>
      <c r="Q30" s="59">
        <f>IF('[35]سجل المستخلصات'!$T$11="","",'[35]سجل المستخلصات'!$T$11)</f>
        <v/>
      </c>
      <c r="R30" s="59">
        <f>IF('[35]سجل المستخلصات'!$V$11="","",'[35]سجل المستخلصات'!$V$11)</f>
        <v/>
      </c>
      <c r="S30" s="59">
        <f>IF('[35]سجل المستخلصات'!$W$11="","",'[35]سجل المستخلصات'!$W$11)</f>
        <v/>
      </c>
      <c r="T30" s="61">
        <f>IF('[35]سجل المستخلصات'!$X$11="","",'[35]سجل المستخلصات'!$X$11)</f>
        <v/>
      </c>
      <c r="U30" s="61">
        <f>IF('[35]سجل المستخلصات'!$Z$11="","",'[35]سجل المستخلصات'!$Z$11)</f>
        <v/>
      </c>
      <c r="V30" s="59">
        <f>IF('[35]سجل المستخلصات'!$AA$11="","",'[35]سجل المستخلصات'!$AA$11)</f>
        <v/>
      </c>
      <c r="W30" s="59">
        <f>IF('[35]سجل المستخلصات'!$AC$11="","",'[35]سجل المستخلصات'!$AC$11)</f>
        <v/>
      </c>
      <c r="X30" s="62">
        <f>IF('[35]سجل المستخلصات'!$AD$11="","",'[35]سجل المستخلصات'!$AD$11)</f>
        <v/>
      </c>
      <c r="Y30" s="58">
        <f>IF('[35]سجل المستخلصات'!$AE$11="","",'[35]سجل المستخلصات'!$AE$11)</f>
        <v/>
      </c>
    </row>
    <row r="31">
      <c r="B31" s="56" t="n">
        <v>7</v>
      </c>
      <c r="C31" s="57">
        <f>IF('[35]سجل المستخلصات'!$C$12="","",'[35]سجل المستخلصات'!$C$12)</f>
        <v/>
      </c>
      <c r="D31" s="57">
        <f>IF('[35]سجل المستخلصات'!$E$12="","",'[35]سجل المستخلصات'!$E$12)</f>
        <v/>
      </c>
      <c r="E31" s="58">
        <f>IF('[35]سجل المستخلصات'!$F$12="","",'[35]سجل المستخلصات'!$F$12)</f>
        <v/>
      </c>
      <c r="F31" s="59">
        <f>IF('[35]سجل المستخلصات'!$H$12="","",'[35]سجل المستخلصات'!$H$12)</f>
        <v/>
      </c>
      <c r="G31" s="59">
        <f>IF('[35]سجل المستخلصات'!$G$12="","",'[35]سجل المستخلصات'!$G$12)</f>
        <v/>
      </c>
      <c r="H31" s="59">
        <f>IF('[35]سجل المستخلصات'!$I$12="","",'[35]سجل المستخلصات'!$I$12)</f>
        <v/>
      </c>
      <c r="I31" s="59">
        <f>IF('[35]سجل المستخلصات'!$J$12="","",'[35]سجل المستخلصات'!$J$12)</f>
        <v/>
      </c>
      <c r="J31" s="59">
        <f>IF('[35]سجل المستخلصات'!$K$12="","",'[35]سجل المستخلصات'!$K$12)</f>
        <v/>
      </c>
      <c r="K31" s="60">
        <f>IF('[35]سجل المستخلصات'!$L$12="","",'[35]سجل المستخلصات'!$L$12)</f>
        <v/>
      </c>
      <c r="L31" s="60">
        <f>IF('[35]سجل المستخلصات'!$M$12="","",'[35]سجل المستخلصات'!$M$12)</f>
        <v/>
      </c>
      <c r="M31" s="60">
        <f>IF('[35]سجل المستخلصات'!$N$12="","",'[35]سجل المستخلصات'!$N$12)</f>
        <v/>
      </c>
      <c r="N31" s="59">
        <f>IF('[35]سجل المستخلصات'!$O$12="","",'[35]سجل المستخلصات'!$O$12)</f>
        <v/>
      </c>
      <c r="O31" s="59">
        <f>IF('[35]سجل المستخلصات'!$R$12="","",'[35]سجل المستخلصات'!$R$12)</f>
        <v/>
      </c>
      <c r="P31" s="59">
        <f>IF('[35]سجل المستخلصات'!$S$12="","",'[35]سجل المستخلصات'!$S$12)</f>
        <v/>
      </c>
      <c r="Q31" s="59">
        <f>IF('[35]سجل المستخلصات'!$T$12="","",'[35]سجل المستخلصات'!$T$12)</f>
        <v/>
      </c>
      <c r="R31" s="59">
        <f>IF('[35]سجل المستخلصات'!$V$12="","",'[35]سجل المستخلصات'!$V$12)</f>
        <v/>
      </c>
      <c r="S31" s="59">
        <f>IF('[35]سجل المستخلصات'!$W$12="","",'[35]سجل المستخلصات'!$W$12)</f>
        <v/>
      </c>
      <c r="T31" s="61">
        <f>IF('[35]سجل المستخلصات'!$X$12="","",'[35]سجل المستخلصات'!$X$12)</f>
        <v/>
      </c>
      <c r="U31" s="61">
        <f>IF('[35]سجل المستخلصات'!$Z$12="","",'[35]سجل المستخلصات'!$Z$12)</f>
        <v/>
      </c>
      <c r="V31" s="59">
        <f>IF('[35]سجل المستخلصات'!$AA$12="","",'[35]سجل المستخلصات'!$AA$12)</f>
        <v/>
      </c>
      <c r="W31" s="59">
        <f>IF('[35]سجل المستخلصات'!$AC$12="","",'[35]سجل المستخلصات'!$AC$12)</f>
        <v/>
      </c>
      <c r="X31" s="62">
        <f>IF('[35]سجل المستخلصات'!$AD$12="","",'[35]سجل المستخلصات'!$AD$12)</f>
        <v/>
      </c>
      <c r="Y31" s="58">
        <f>IF('[35]سجل المستخلصات'!$AE$12="","",'[35]سجل المستخلصات'!$AE$12)</f>
        <v/>
      </c>
    </row>
    <row r="32">
      <c r="B32" s="56" t="n">
        <v>8</v>
      </c>
      <c r="C32" s="57">
        <f>IF('[35]سجل المستخلصات'!$C$13="","",'[35]سجل المستخلصات'!$C$13)</f>
        <v/>
      </c>
      <c r="D32" s="57">
        <f>IF('[35]سجل المستخلصات'!$E$13="","",'[35]سجل المستخلصات'!$E$13)</f>
        <v/>
      </c>
      <c r="E32" s="58">
        <f>IF('[35]سجل المستخلصات'!$F$13="","",'[35]سجل المستخلصات'!$F$13)</f>
        <v/>
      </c>
      <c r="F32" s="59">
        <f>IF('[35]سجل المستخلصات'!$H$13="","",'[35]سجل المستخلصات'!$H$13)</f>
        <v/>
      </c>
      <c r="G32" s="59">
        <f>IF('[35]سجل المستخلصات'!$G$13="","",'[35]سجل المستخلصات'!$G$13)</f>
        <v/>
      </c>
      <c r="H32" s="59">
        <f>IF('[35]سجل المستخلصات'!$I$13="","",'[35]سجل المستخلصات'!$I$13)</f>
        <v/>
      </c>
      <c r="I32" s="59">
        <f>IF('[35]سجل المستخلصات'!$J$13="","",'[35]سجل المستخلصات'!$J$13)</f>
        <v/>
      </c>
      <c r="J32" s="59">
        <f>IF('[35]سجل المستخلصات'!$K$13="","",'[35]سجل المستخلصات'!$K$13)</f>
        <v/>
      </c>
      <c r="K32" s="60">
        <f>IF('[35]سجل المستخلصات'!$L$13="","",'[35]سجل المستخلصات'!$L$13)</f>
        <v/>
      </c>
      <c r="L32" s="60">
        <f>IF('[35]سجل المستخلصات'!$M$13="","",'[35]سجل المستخلصات'!$M$13)</f>
        <v/>
      </c>
      <c r="M32" s="60">
        <f>IF('[35]سجل المستخلصات'!$N$13="","",'[35]سجل المستخلصات'!$N$13)</f>
        <v/>
      </c>
      <c r="N32" s="59">
        <f>IF('[35]سجل المستخلصات'!$O$13="","",'[35]سجل المستخلصات'!$O$13)</f>
        <v/>
      </c>
      <c r="O32" s="59">
        <f>IF('[35]سجل المستخلصات'!$R$13="","",'[35]سجل المستخلصات'!$R$13)</f>
        <v/>
      </c>
      <c r="P32" s="59">
        <f>IF('[35]سجل المستخلصات'!$S$13="","",'[35]سجل المستخلصات'!$S$13)</f>
        <v/>
      </c>
      <c r="Q32" s="59">
        <f>IF('[35]سجل المستخلصات'!$T$13="","",'[35]سجل المستخلصات'!$T$13)</f>
        <v/>
      </c>
      <c r="R32" s="59">
        <f>IF('[35]سجل المستخلصات'!$V$13="","",'[35]سجل المستخلصات'!$V$13)</f>
        <v/>
      </c>
      <c r="S32" s="59">
        <f>IF('[35]سجل المستخلصات'!$W$13="","",'[35]سجل المستخلصات'!$W$13)</f>
        <v/>
      </c>
      <c r="T32" s="61">
        <f>IF('[35]سجل المستخلصات'!$X$13="","",'[35]سجل المستخلصات'!$X$13)</f>
        <v/>
      </c>
      <c r="U32" s="61">
        <f>IF('[35]سجل المستخلصات'!$Z$13="","",'[35]سجل المستخلصات'!$Z$13)</f>
        <v/>
      </c>
      <c r="V32" s="59">
        <f>IF('[35]سجل المستخلصات'!$AA$13="","",'[35]سجل المستخلصات'!$AA$13)</f>
        <v/>
      </c>
      <c r="W32" s="59">
        <f>IF('[35]سجل المستخلصات'!$AC$13="","",'[35]سجل المستخلصات'!$AC$13)</f>
        <v/>
      </c>
      <c r="X32" s="62">
        <f>IF('[35]سجل المستخلصات'!$AD$13="","",'[35]سجل المستخلصات'!$AD$13)</f>
        <v/>
      </c>
      <c r="Y32" s="58">
        <f>IF('[35]سجل المستخلصات'!$AE$13="","",'[35]سجل المستخلصات'!$AE$13)</f>
        <v/>
      </c>
    </row>
    <row r="33">
      <c r="B33" s="56" t="n">
        <v>9</v>
      </c>
      <c r="C33" s="57">
        <f>IF('[35]سجل المستخلصات'!$C$14="","",'[35]سجل المستخلصات'!$C$14)</f>
        <v/>
      </c>
      <c r="D33" s="57">
        <f>IF('[35]سجل المستخلصات'!$E$14="","",'[35]سجل المستخلصات'!$E$14)</f>
        <v/>
      </c>
      <c r="E33" s="58">
        <f>IF('[35]سجل المستخلصات'!$F$14="","",'[35]سجل المستخلصات'!$F$14)</f>
        <v/>
      </c>
      <c r="F33" s="59">
        <f>IF('[35]سجل المستخلصات'!$H$14="","",'[35]سجل المستخلصات'!$H$14)</f>
        <v/>
      </c>
      <c r="G33" s="59">
        <f>IF('[35]سجل المستخلصات'!$G$14="","",'[35]سجل المستخلصات'!$G$14)</f>
        <v/>
      </c>
      <c r="H33" s="59">
        <f>IF('[35]سجل المستخلصات'!$I$14="","",'[35]سجل المستخلصات'!$I$14)</f>
        <v/>
      </c>
      <c r="I33" s="59">
        <f>IF('[35]سجل المستخلصات'!$J$14="","",'[35]سجل المستخلصات'!$J$14)</f>
        <v/>
      </c>
      <c r="J33" s="59">
        <f>IF('[35]سجل المستخلصات'!$K$14="","",'[35]سجل المستخلصات'!$K$14)</f>
        <v/>
      </c>
      <c r="K33" s="60">
        <f>IF('[35]سجل المستخلصات'!$L$14="","",'[35]سجل المستخلصات'!$L$14)</f>
        <v/>
      </c>
      <c r="L33" s="60">
        <f>IF('[35]سجل المستخلصات'!$M$14="","",'[35]سجل المستخلصات'!$M$14)</f>
        <v/>
      </c>
      <c r="M33" s="60">
        <f>IF('[35]سجل المستخلصات'!$N$14="","",'[35]سجل المستخلصات'!$N$14)</f>
        <v/>
      </c>
      <c r="N33" s="59">
        <f>IF('[35]سجل المستخلصات'!$O$14="","",'[35]سجل المستخلصات'!$O$14)</f>
        <v/>
      </c>
      <c r="O33" s="59">
        <f>IF('[35]سجل المستخلصات'!$R$14="","",'[35]سجل المستخلصات'!$R$14)</f>
        <v/>
      </c>
      <c r="P33" s="59">
        <f>IF('[35]سجل المستخلصات'!$S$14="","",'[35]سجل المستخلصات'!$S$14)</f>
        <v/>
      </c>
      <c r="Q33" s="59">
        <f>IF('[35]سجل المستخلصات'!$T$14="","",'[35]سجل المستخلصات'!$T$14)</f>
        <v/>
      </c>
      <c r="R33" s="59">
        <f>IF('[35]سجل المستخلصات'!$V$14="","",'[35]سجل المستخلصات'!$V$14)</f>
        <v/>
      </c>
      <c r="S33" s="59">
        <f>IF('[35]سجل المستخلصات'!$W$14="","",'[35]سجل المستخلصات'!$W$14)</f>
        <v/>
      </c>
      <c r="T33" s="61">
        <f>IF('[35]سجل المستخلصات'!$X$14="","",'[35]سجل المستخلصات'!$X$14)</f>
        <v/>
      </c>
      <c r="U33" s="61">
        <f>IF('[35]سجل المستخلصات'!$Z$14="","",'[35]سجل المستخلصات'!$Z$14)</f>
        <v/>
      </c>
      <c r="V33" s="59">
        <f>IF('[35]سجل المستخلصات'!$AA$14="","",'[35]سجل المستخلصات'!$AA$14)</f>
        <v/>
      </c>
      <c r="W33" s="59">
        <f>IF('[35]سجل المستخلصات'!$AC$14="","",'[35]سجل المستخلصات'!$AC$14)</f>
        <v/>
      </c>
      <c r="X33" s="62">
        <f>IF('[35]سجل المستخلصات'!$AD$14="","",'[35]سجل المستخلصات'!$AD$14)</f>
        <v/>
      </c>
      <c r="Y33" s="58">
        <f>IF('[35]سجل المستخلصات'!$AE$14="","",'[35]سجل المستخلصات'!$AE$14)</f>
        <v/>
      </c>
    </row>
    <row r="34">
      <c r="B34" s="56" t="n">
        <v>10</v>
      </c>
      <c r="C34" s="57">
        <f>IF('[35]سجل المستخلصات'!$C$15="","",'[35]سجل المستخلصات'!$C$15)</f>
        <v/>
      </c>
      <c r="D34" s="57">
        <f>IF('[35]سجل المستخلصات'!$E$15="","",'[35]سجل المستخلصات'!$E$15)</f>
        <v/>
      </c>
      <c r="E34" s="58">
        <f>IF('[35]سجل المستخلصات'!$F$15="","",'[35]سجل المستخلصات'!$F$15)</f>
        <v/>
      </c>
      <c r="F34" s="59">
        <f>IF('[35]سجل المستخلصات'!$H$15="","",'[35]سجل المستخلصات'!$H$15)</f>
        <v/>
      </c>
      <c r="G34" s="59">
        <f>IF('[35]سجل المستخلصات'!$G$15="","",'[35]سجل المستخلصات'!$G$15)</f>
        <v/>
      </c>
      <c r="H34" s="59">
        <f>IF('[35]سجل المستخلصات'!$I$15="","",'[35]سجل المستخلصات'!$I$15)</f>
        <v/>
      </c>
      <c r="I34" s="59">
        <f>IF('[35]سجل المستخلصات'!$J$15="","",'[35]سجل المستخلصات'!$J$15)</f>
        <v/>
      </c>
      <c r="J34" s="59">
        <f>IF('[35]سجل المستخلصات'!$K$15="","",'[35]سجل المستخلصات'!$K$15)</f>
        <v/>
      </c>
      <c r="K34" s="60">
        <f>IF('[35]سجل المستخلصات'!$L$15="","",'[35]سجل المستخلصات'!$L$15)</f>
        <v/>
      </c>
      <c r="L34" s="60">
        <f>IF('[35]سجل المستخلصات'!$M$15="","",'[35]سجل المستخلصات'!$M$15)</f>
        <v/>
      </c>
      <c r="M34" s="60">
        <f>IF('[35]سجل المستخلصات'!$N$15="","",'[35]سجل المستخلصات'!$N$15)</f>
        <v/>
      </c>
      <c r="N34" s="59">
        <f>IF('[35]سجل المستخلصات'!$O$15="","",'[35]سجل المستخلصات'!$O$15)</f>
        <v/>
      </c>
      <c r="O34" s="59">
        <f>IF('[35]سجل المستخلصات'!$R$15="","",'[35]سجل المستخلصات'!$R$15)</f>
        <v/>
      </c>
      <c r="P34" s="59">
        <f>IF('[35]سجل المستخلصات'!$S$15="","",'[35]سجل المستخلصات'!$S$15)</f>
        <v/>
      </c>
      <c r="Q34" s="59">
        <f>IF('[35]سجل المستخلصات'!$T$15="","",'[35]سجل المستخلصات'!$T$15)</f>
        <v/>
      </c>
      <c r="R34" s="59">
        <f>IF('[35]سجل المستخلصات'!$V$15="","",'[35]سجل المستخلصات'!$V$15)</f>
        <v/>
      </c>
      <c r="S34" s="59">
        <f>IF('[35]سجل المستخلصات'!$W$15="","",'[35]سجل المستخلصات'!$W$15)</f>
        <v/>
      </c>
      <c r="T34" s="61">
        <f>IF('[35]سجل المستخلصات'!$X$15="","",'[35]سجل المستخلصات'!$X$15)</f>
        <v/>
      </c>
      <c r="U34" s="61">
        <f>IF('[35]سجل المستخلصات'!$Z$15="","",'[35]سجل المستخلصات'!$Z$15)</f>
        <v/>
      </c>
      <c r="V34" s="59">
        <f>IF('[35]سجل المستخلصات'!$AA$15="","",'[35]سجل المستخلصات'!$AA$15)</f>
        <v/>
      </c>
      <c r="W34" s="59">
        <f>IF('[35]سجل المستخلصات'!$AC$15="","",'[35]سجل المستخلصات'!$AC$15)</f>
        <v/>
      </c>
      <c r="X34" s="62">
        <f>IF('[35]سجل المستخلصات'!$AD$15="","",'[35]سجل المستخلصات'!$AD$15)</f>
        <v/>
      </c>
      <c r="Y34" s="58">
        <f>IF('[35]سجل المستخلصات'!$AE$15="","",'[35]سجل المستخلصات'!$AE$15)</f>
        <v/>
      </c>
    </row>
    <row r="35">
      <c r="B35" s="56" t="n">
        <v>11</v>
      </c>
      <c r="C35" s="57">
        <f>IF('[35]سجل المستخلصات'!$C$16="","",'[35]سجل المستخلصات'!$C$16)</f>
        <v/>
      </c>
      <c r="D35" s="57">
        <f>IF('[35]سجل المستخلصات'!$E$16="","",'[35]سجل المستخلصات'!$E$16)</f>
        <v/>
      </c>
      <c r="E35" s="58">
        <f>IF('[35]سجل المستخلصات'!$F$16="","",'[35]سجل المستخلصات'!$F$16)</f>
        <v/>
      </c>
      <c r="F35" s="59">
        <f>IF('[35]سجل المستخلصات'!$H$16="","",'[35]سجل المستخلصات'!$H$16)</f>
        <v/>
      </c>
      <c r="G35" s="59">
        <f>IF('[35]سجل المستخلصات'!$G$16="","",'[35]سجل المستخلصات'!$G$16)</f>
        <v/>
      </c>
      <c r="H35" s="59">
        <f>IF('[35]سجل المستخلصات'!$I$16="","",'[35]سجل المستخلصات'!$I$16)</f>
        <v/>
      </c>
      <c r="I35" s="59">
        <f>IF('[35]سجل المستخلصات'!$J$16="","",'[35]سجل المستخلصات'!$J$16)</f>
        <v/>
      </c>
      <c r="J35" s="59">
        <f>IF('[35]سجل المستخلصات'!$K$16="","",'[35]سجل المستخلصات'!$K$16)</f>
        <v/>
      </c>
      <c r="K35" s="60">
        <f>IF('[35]سجل المستخلصات'!$L$16="","",'[35]سجل المستخلصات'!$L$16)</f>
        <v/>
      </c>
      <c r="L35" s="60">
        <f>IF('[35]سجل المستخلصات'!$M$16="","",'[35]سجل المستخلصات'!$M$16)</f>
        <v/>
      </c>
      <c r="M35" s="60">
        <f>IF('[35]سجل المستخلصات'!$N$16="","",'[35]سجل المستخلصات'!$N$16)</f>
        <v/>
      </c>
      <c r="N35" s="59">
        <f>IF('[35]سجل المستخلصات'!$O$16="","",'[35]سجل المستخلصات'!$O$16)</f>
        <v/>
      </c>
      <c r="O35" s="59">
        <f>IF('[35]سجل المستخلصات'!$R$16="","",'[35]سجل المستخلصات'!$R$16)</f>
        <v/>
      </c>
      <c r="P35" s="59">
        <f>IF('[35]سجل المستخلصات'!$S$16="","",'[35]سجل المستخلصات'!$S$16)</f>
        <v/>
      </c>
      <c r="Q35" s="59">
        <f>IF('[35]سجل المستخلصات'!$T$16="","",'[35]سجل المستخلصات'!$T$16)</f>
        <v/>
      </c>
      <c r="R35" s="59">
        <f>IF('[35]سجل المستخلصات'!$V$16="","",'[35]سجل المستخلصات'!$V$16)</f>
        <v/>
      </c>
      <c r="S35" s="59">
        <f>IF('[35]سجل المستخلصات'!$W$16="","",'[35]سجل المستخلصات'!$W$16)</f>
        <v/>
      </c>
      <c r="T35" s="61">
        <f>IF('[35]سجل المستخلصات'!$X$16="","",'[35]سجل المستخلصات'!$X$16)</f>
        <v/>
      </c>
      <c r="U35" s="61">
        <f>IF('[35]سجل المستخلصات'!$Z$16="","",'[35]سجل المستخلصات'!$Z$16)</f>
        <v/>
      </c>
      <c r="V35" s="59">
        <f>IF('[35]سجل المستخلصات'!$AA$16="","",'[35]سجل المستخلصات'!$AA$16)</f>
        <v/>
      </c>
      <c r="W35" s="59">
        <f>IF('[35]سجل المستخلصات'!$AC$16="","",'[35]سجل المستخلصات'!$AC$16)</f>
        <v/>
      </c>
      <c r="X35" s="62">
        <f>IF('[35]سجل المستخلصات'!$AD$16="","",'[35]سجل المستخلصات'!$AD$16)</f>
        <v/>
      </c>
      <c r="Y35" s="58">
        <f>IF('[35]سجل المستخلصات'!$AE$16="","",'[35]سجل المستخلصات'!$AE$16)</f>
        <v/>
      </c>
    </row>
    <row r="36">
      <c r="B36" s="56" t="n">
        <v>12</v>
      </c>
      <c r="C36" s="57">
        <f>IF('[35]سجل المستخلصات'!$C$17="","",'[35]سجل المستخلصات'!$C$17)</f>
        <v/>
      </c>
      <c r="D36" s="57">
        <f>IF('[35]سجل المستخلصات'!$E$17="","",'[35]سجل المستخلصات'!$E$17)</f>
        <v/>
      </c>
      <c r="E36" s="58">
        <f>IF('[35]سجل المستخلصات'!$F$17="","",'[35]سجل المستخلصات'!$F$17)</f>
        <v/>
      </c>
      <c r="F36" s="59">
        <f>IF('[35]سجل المستخلصات'!$H$17="","",'[35]سجل المستخلصات'!$H$17)</f>
        <v/>
      </c>
      <c r="G36" s="59">
        <f>IF('[35]سجل المستخلصات'!$G$17="","",'[35]سجل المستخلصات'!$G$17)</f>
        <v/>
      </c>
      <c r="H36" s="59">
        <f>IF('[35]سجل المستخلصات'!$I$17="","",'[35]سجل المستخلصات'!$I$17)</f>
        <v/>
      </c>
      <c r="I36" s="59">
        <f>IF('[35]سجل المستخلصات'!$J$17="","",'[35]سجل المستخلصات'!$J$17)</f>
        <v/>
      </c>
      <c r="J36" s="59">
        <f>IF('[35]سجل المستخلصات'!$K$17="","",'[35]سجل المستخلصات'!$K$17)</f>
        <v/>
      </c>
      <c r="K36" s="60">
        <f>IF('[35]سجل المستخلصات'!$L$17="","",'[35]سجل المستخلصات'!$L$17)</f>
        <v/>
      </c>
      <c r="L36" s="60">
        <f>IF('[35]سجل المستخلصات'!$M$17="","",'[35]سجل المستخلصات'!$M$17)</f>
        <v/>
      </c>
      <c r="M36" s="60">
        <f>IF('[35]سجل المستخلصات'!$N$17="","",'[35]سجل المستخلصات'!$N$17)</f>
        <v/>
      </c>
      <c r="N36" s="59">
        <f>IF('[35]سجل المستخلصات'!$O$17="","",'[35]سجل المستخلصات'!$O$17)</f>
        <v/>
      </c>
      <c r="O36" s="59">
        <f>IF('[35]سجل المستخلصات'!$R$17="","",'[35]سجل المستخلصات'!$R$17)</f>
        <v/>
      </c>
      <c r="P36" s="59">
        <f>IF('[35]سجل المستخلصات'!$S$17="","",'[35]سجل المستخلصات'!$S$17)</f>
        <v/>
      </c>
      <c r="Q36" s="59">
        <f>IF('[35]سجل المستخلصات'!$T$17="","",'[35]سجل المستخلصات'!$T$17)</f>
        <v/>
      </c>
      <c r="R36" s="59">
        <f>IF('[35]سجل المستخلصات'!$V$17="","",'[35]سجل المستخلصات'!$V$17)</f>
        <v/>
      </c>
      <c r="S36" s="59">
        <f>IF('[35]سجل المستخلصات'!$W$17="","",'[35]سجل المستخلصات'!$W$17)</f>
        <v/>
      </c>
      <c r="T36" s="61">
        <f>IF('[35]سجل المستخلصات'!$X$17="","",'[35]سجل المستخلصات'!$X$17)</f>
        <v/>
      </c>
      <c r="U36" s="61">
        <f>IF('[35]سجل المستخلصات'!$Z$17="","",'[35]سجل المستخلصات'!$Z$17)</f>
        <v/>
      </c>
      <c r="V36" s="59">
        <f>IF('[35]سجل المستخلصات'!$AA$17="","",'[35]سجل المستخلصات'!$AA$17)</f>
        <v/>
      </c>
      <c r="W36" s="59">
        <f>IF('[35]سجل المستخلصات'!$AC$17="","",'[35]سجل المستخلصات'!$AC$17)</f>
        <v/>
      </c>
      <c r="X36" s="62">
        <f>IF('[35]سجل المستخلصات'!$AD$17="","",'[35]سجل المستخلصات'!$AD$17)</f>
        <v/>
      </c>
      <c r="Y36" s="58">
        <f>IF('[35]سجل المستخلصات'!$AE$17="","",'[35]سجل المستخلصات'!$AE$17)</f>
        <v/>
      </c>
    </row>
    <row r="37">
      <c r="B37" s="56" t="n">
        <v>13</v>
      </c>
      <c r="C37" s="57">
        <f>IF('[35]سجل المستخلصات'!$C$18="","",'[35]سجل المستخلصات'!$C$18)</f>
        <v/>
      </c>
      <c r="D37" s="57">
        <f>IF('[35]سجل المستخلصات'!$E$18="","",'[35]سجل المستخلصات'!$E$18)</f>
        <v/>
      </c>
      <c r="E37" s="58">
        <f>IF('[35]سجل المستخلصات'!$F$18="","",'[35]سجل المستخلصات'!$F$18)</f>
        <v/>
      </c>
      <c r="F37" s="59">
        <f>IF('[35]سجل المستخلصات'!$H$18="","",'[35]سجل المستخلصات'!$H$18)</f>
        <v/>
      </c>
      <c r="G37" s="59">
        <f>IF('[35]سجل المستخلصات'!$G$18="","",'[35]سجل المستخلصات'!$G$18)</f>
        <v/>
      </c>
      <c r="H37" s="59">
        <f>IF('[35]سجل المستخلصات'!$I$18="","",'[35]سجل المستخلصات'!$I$18)</f>
        <v/>
      </c>
      <c r="I37" s="59">
        <f>IF('[35]سجل المستخلصات'!$J$18="","",'[35]سجل المستخلصات'!$J$18)</f>
        <v/>
      </c>
      <c r="J37" s="59">
        <f>IF('[35]سجل المستخلصات'!$K$18="","",'[35]سجل المستخلصات'!$K$18)</f>
        <v/>
      </c>
      <c r="K37" s="60">
        <f>IF('[35]سجل المستخلصات'!$L$18="","",'[35]سجل المستخلصات'!$L$18)</f>
        <v/>
      </c>
      <c r="L37" s="60">
        <f>IF('[35]سجل المستخلصات'!$M$18="","",'[35]سجل المستخلصات'!$M$18)</f>
        <v/>
      </c>
      <c r="M37" s="60">
        <f>IF('[35]سجل المستخلصات'!$N$18="","",'[35]سجل المستخلصات'!$N$18)</f>
        <v/>
      </c>
      <c r="N37" s="59">
        <f>IF('[35]سجل المستخلصات'!$O$18="","",'[35]سجل المستخلصات'!$O$18)</f>
        <v/>
      </c>
      <c r="O37" s="59">
        <f>IF('[35]سجل المستخلصات'!$R$18="","",'[35]سجل المستخلصات'!$R$18)</f>
        <v/>
      </c>
      <c r="P37" s="59">
        <f>IF('[35]سجل المستخلصات'!$S$18="","",'[35]سجل المستخلصات'!$S$18)</f>
        <v/>
      </c>
      <c r="Q37" s="59">
        <f>IF('[35]سجل المستخلصات'!$T$18="","",'[35]سجل المستخلصات'!$T$18)</f>
        <v/>
      </c>
      <c r="R37" s="59">
        <f>IF('[35]سجل المستخلصات'!$V$18="","",'[35]سجل المستخلصات'!$V$18)</f>
        <v/>
      </c>
      <c r="S37" s="59">
        <f>IF('[35]سجل المستخلصات'!$W$18="","",'[35]سجل المستخلصات'!$W$18)</f>
        <v/>
      </c>
      <c r="T37" s="61">
        <f>IF('[35]سجل المستخلصات'!$X$18="","",'[35]سجل المستخلصات'!$X$18)</f>
        <v/>
      </c>
      <c r="U37" s="61">
        <f>IF('[35]سجل المستخلصات'!$Z$18="","",'[35]سجل المستخلصات'!$Z$18)</f>
        <v/>
      </c>
      <c r="V37" s="59">
        <f>IF('[35]سجل المستخلصات'!$AA$18="","",'[35]سجل المستخلصات'!$AA$18)</f>
        <v/>
      </c>
      <c r="W37" s="59">
        <f>IF('[35]سجل المستخلصات'!$AC$18="","",'[35]سجل المستخلصات'!$AC$18)</f>
        <v/>
      </c>
      <c r="X37" s="62">
        <f>IF('[35]سجل المستخلصات'!$AD$18="","",'[35]سجل المستخلصات'!$AD$18)</f>
        <v/>
      </c>
      <c r="Y37" s="58">
        <f>IF('[35]سجل المستخلصات'!$AE$18="","",'[35]سجل المستخلصات'!$AE$18)</f>
        <v/>
      </c>
    </row>
    <row r="38">
      <c r="B38" s="56" t="n">
        <v>14</v>
      </c>
      <c r="C38" s="57">
        <f>IF('[35]سجل المستخلصات'!$C$19="","",'[35]سجل المستخلصات'!$C$19)</f>
        <v/>
      </c>
      <c r="D38" s="57">
        <f>IF('[35]سجل المستخلصات'!$E$19="","",'[35]سجل المستخلصات'!$E$19)</f>
        <v/>
      </c>
      <c r="E38" s="58">
        <f>IF('[35]سجل المستخلصات'!$F$19="","",'[35]سجل المستخلصات'!$F$19)</f>
        <v/>
      </c>
      <c r="F38" s="59">
        <f>IF('[35]سجل المستخلصات'!$H$19="","",'[35]سجل المستخلصات'!$H$19)</f>
        <v/>
      </c>
      <c r="G38" s="59">
        <f>IF('[35]سجل المستخلصات'!$G$19="","",'[35]سجل المستخلصات'!$G$19)</f>
        <v/>
      </c>
      <c r="H38" s="59">
        <f>IF('[35]سجل المستخلصات'!$I$19="","",'[35]سجل المستخلصات'!$I$19)</f>
        <v/>
      </c>
      <c r="I38" s="59">
        <f>IF('[35]سجل المستخلصات'!$J$19="","",'[35]سجل المستخلصات'!$J$19)</f>
        <v/>
      </c>
      <c r="J38" s="59">
        <f>IF('[35]سجل المستخلصات'!$K$19="","",'[35]سجل المستخلصات'!$K$19)</f>
        <v/>
      </c>
      <c r="K38" s="60">
        <f>IF('[35]سجل المستخلصات'!$L$19="","",'[35]سجل المستخلصات'!$L$19)</f>
        <v/>
      </c>
      <c r="L38" s="60">
        <f>IF('[35]سجل المستخلصات'!$M$19="","",'[35]سجل المستخلصات'!$M$19)</f>
        <v/>
      </c>
      <c r="M38" s="60">
        <f>IF('[35]سجل المستخلصات'!$N$19="","",'[35]سجل المستخلصات'!$N$19)</f>
        <v/>
      </c>
      <c r="N38" s="59">
        <f>IF('[35]سجل المستخلصات'!$O$19="","",'[35]سجل المستخلصات'!$O$19)</f>
        <v/>
      </c>
      <c r="O38" s="59">
        <f>IF('[35]سجل المستخلصات'!$R$19="","",'[35]سجل المستخلصات'!$R$19)</f>
        <v/>
      </c>
      <c r="P38" s="59">
        <f>IF('[35]سجل المستخلصات'!$S$19="","",'[35]سجل المستخلصات'!$S$19)</f>
        <v/>
      </c>
      <c r="Q38" s="59">
        <f>IF('[35]سجل المستخلصات'!$T$19="","",'[35]سجل المستخلصات'!$T$19)</f>
        <v/>
      </c>
      <c r="R38" s="59">
        <f>IF('[35]سجل المستخلصات'!$V$19="","",'[35]سجل المستخلصات'!$V$19)</f>
        <v/>
      </c>
      <c r="S38" s="59">
        <f>IF('[35]سجل المستخلصات'!$W$19="","",'[35]سجل المستخلصات'!$W$19)</f>
        <v/>
      </c>
      <c r="T38" s="61">
        <f>IF('[35]سجل المستخلصات'!$X$19="","",'[35]سجل المستخلصات'!$X$19)</f>
        <v/>
      </c>
      <c r="U38" s="61">
        <f>IF('[35]سجل المستخلصات'!$Z$19="","",'[35]سجل المستخلصات'!$Z$19)</f>
        <v/>
      </c>
      <c r="V38" s="59">
        <f>IF('[35]سجل المستخلصات'!$AA$19="","",'[35]سجل المستخلصات'!$AA$19)</f>
        <v/>
      </c>
      <c r="W38" s="59">
        <f>IF('[35]سجل المستخلصات'!$AC$19="","",'[35]سجل المستخلصات'!$AC$19)</f>
        <v/>
      </c>
      <c r="X38" s="62">
        <f>IF('[35]سجل المستخلصات'!$AD$19="","",'[35]سجل المستخلصات'!$AD$19)</f>
        <v/>
      </c>
      <c r="Y38" s="58">
        <f>IF('[35]سجل المستخلصات'!$AE$19="","",'[35]سجل المستخلصات'!$AE$19)</f>
        <v/>
      </c>
    </row>
    <row r="39">
      <c r="B39" s="56" t="n">
        <v>15</v>
      </c>
      <c r="C39" s="57">
        <f>IF('[35]سجل المستخلصات'!$C$20="","",'[35]سجل المستخلصات'!$C$20)</f>
        <v/>
      </c>
      <c r="D39" s="57">
        <f>IF('[35]سجل المستخلصات'!$E$20="","",'[35]سجل المستخلصات'!$E$20)</f>
        <v/>
      </c>
      <c r="E39" s="58">
        <f>IF('[35]سجل المستخلصات'!$F$20="","",'[35]سجل المستخلصات'!$F$20)</f>
        <v/>
      </c>
      <c r="F39" s="59">
        <f>IF('[35]سجل المستخلصات'!$H$20="","",'[35]سجل المستخلصات'!$H$20)</f>
        <v/>
      </c>
      <c r="G39" s="59">
        <f>IF('[35]سجل المستخلصات'!$G$20="","",'[35]سجل المستخلصات'!$G$20)</f>
        <v/>
      </c>
      <c r="H39" s="59">
        <f>IF('[35]سجل المستخلصات'!$I$20="","",'[35]سجل المستخلصات'!$I$20)</f>
        <v/>
      </c>
      <c r="I39" s="59">
        <f>IF('[35]سجل المستخلصات'!$J$20="","",'[35]سجل المستخلصات'!$J$20)</f>
        <v/>
      </c>
      <c r="J39" s="59">
        <f>IF('[35]سجل المستخلصات'!$K$20="","",'[35]سجل المستخلصات'!$K$20)</f>
        <v/>
      </c>
      <c r="K39" s="60">
        <f>IF('[35]سجل المستخلصات'!$L$20="","",'[35]سجل المستخلصات'!$L$20)</f>
        <v/>
      </c>
      <c r="L39" s="60">
        <f>IF('[35]سجل المستخلصات'!$M$20="","",'[35]سجل المستخلصات'!$M$20)</f>
        <v/>
      </c>
      <c r="M39" s="60">
        <f>IF('[35]سجل المستخلصات'!$N$20="","",'[35]سجل المستخلصات'!$N$20)</f>
        <v/>
      </c>
      <c r="N39" s="59">
        <f>IF('[35]سجل المستخلصات'!$O$20="","",'[35]سجل المستخلصات'!$O$20)</f>
        <v/>
      </c>
      <c r="O39" s="59">
        <f>IF('[35]سجل المستخلصات'!$R$20="","",'[35]سجل المستخلصات'!$R$20)</f>
        <v/>
      </c>
      <c r="P39" s="59">
        <f>IF('[35]سجل المستخلصات'!$S$20="","",'[35]سجل المستخلصات'!$S$20)</f>
        <v/>
      </c>
      <c r="Q39" s="59">
        <f>IF('[35]سجل المستخلصات'!$T$20="","",'[35]سجل المستخلصات'!$T$20)</f>
        <v/>
      </c>
      <c r="R39" s="59">
        <f>IF('[35]سجل المستخلصات'!$V$20="","",'[35]سجل المستخلصات'!$V$20)</f>
        <v/>
      </c>
      <c r="S39" s="59">
        <f>IF('[35]سجل المستخلصات'!$W$20="","",'[35]سجل المستخلصات'!$W$20)</f>
        <v/>
      </c>
      <c r="T39" s="61">
        <f>IF('[35]سجل المستخلصات'!$X$20="","",'[35]سجل المستخلصات'!$X$20)</f>
        <v/>
      </c>
      <c r="U39" s="61">
        <f>IF('[35]سجل المستخلصات'!$Z$20="","",'[35]سجل المستخلصات'!$Z$20)</f>
        <v/>
      </c>
      <c r="V39" s="59">
        <f>IF('[35]سجل المستخلصات'!$AA$20="","",'[35]سجل المستخلصات'!$AA$20)</f>
        <v/>
      </c>
      <c r="W39" s="59">
        <f>IF('[35]سجل المستخلصات'!$AC$20="","",'[35]سجل المستخلصات'!$AC$20)</f>
        <v/>
      </c>
      <c r="X39" s="62">
        <f>IF('[35]سجل المستخلصات'!$AD$20="","",'[35]سجل المستخلصات'!$AD$20)</f>
        <v/>
      </c>
      <c r="Y39" s="58">
        <f>IF('[35]سجل المستخلصات'!$AE$20="","",'[35]سجل المستخلصات'!$AE$20)</f>
        <v/>
      </c>
    </row>
    <row r="40">
      <c r="B40" s="56" t="n">
        <v>16</v>
      </c>
      <c r="C40" s="57">
        <f>IF('[35]سجل المستخلصات'!$C$21="","",'[35]سجل المستخلصات'!$C$21)</f>
        <v/>
      </c>
      <c r="D40" s="57">
        <f>IF('[35]سجل المستخلصات'!$E$21="","",'[35]سجل المستخلصات'!$E$21)</f>
        <v/>
      </c>
      <c r="E40" s="58">
        <f>IF('[35]سجل المستخلصات'!$F$21="","",'[35]سجل المستخلصات'!$F$21)</f>
        <v/>
      </c>
      <c r="F40" s="59">
        <f>IF('[35]سجل المستخلصات'!$H$21="","",'[35]سجل المستخلصات'!$H$21)</f>
        <v/>
      </c>
      <c r="G40" s="59">
        <f>IF('[35]سجل المستخلصات'!$G$21="","",'[35]سجل المستخلصات'!$G$21)</f>
        <v/>
      </c>
      <c r="H40" s="59">
        <f>IF('[35]سجل المستخلصات'!$I$21="","",'[35]سجل المستخلصات'!$I$21)</f>
        <v/>
      </c>
      <c r="I40" s="59">
        <f>IF('[35]سجل المستخلصات'!$J$21="","",'[35]سجل المستخلصات'!$J$21)</f>
        <v/>
      </c>
      <c r="J40" s="59">
        <f>IF('[35]سجل المستخلصات'!$K$21="","",'[35]سجل المستخلصات'!$K$21)</f>
        <v/>
      </c>
      <c r="K40" s="60">
        <f>IF('[35]سجل المستخلصات'!$L$21="","",'[35]سجل المستخلصات'!$L$21)</f>
        <v/>
      </c>
      <c r="L40" s="60">
        <f>IF('[35]سجل المستخلصات'!$M$21="","",'[35]سجل المستخلصات'!$M$21)</f>
        <v/>
      </c>
      <c r="M40" s="60">
        <f>IF('[35]سجل المستخلصات'!$N$21="","",'[35]سجل المستخلصات'!$N$21)</f>
        <v/>
      </c>
      <c r="N40" s="59">
        <f>IF('[35]سجل المستخلصات'!$O$21="","",'[35]سجل المستخلصات'!$O$21)</f>
        <v/>
      </c>
      <c r="O40" s="59">
        <f>IF('[35]سجل المستخلصات'!$R$21="","",'[35]سجل المستخلصات'!$R$21)</f>
        <v/>
      </c>
      <c r="P40" s="59">
        <f>IF('[35]سجل المستخلصات'!$S$21="","",'[35]سجل المستخلصات'!$S$21)</f>
        <v/>
      </c>
      <c r="Q40" s="59">
        <f>IF('[35]سجل المستخلصات'!$T$21="","",'[35]سجل المستخلصات'!$T$21)</f>
        <v/>
      </c>
      <c r="R40" s="59">
        <f>IF('[35]سجل المستخلصات'!$V$21="","",'[35]سجل المستخلصات'!$V$21)</f>
        <v/>
      </c>
      <c r="S40" s="59">
        <f>IF('[35]سجل المستخلصات'!$W$21="","",'[35]سجل المستخلصات'!$W$21)</f>
        <v/>
      </c>
      <c r="T40" s="61">
        <f>IF('[35]سجل المستخلصات'!$X$21="","",'[35]سجل المستخلصات'!$X$21)</f>
        <v/>
      </c>
      <c r="U40" s="61">
        <f>IF('[35]سجل المستخلصات'!$Z$21="","",'[35]سجل المستخلصات'!$Z$21)</f>
        <v/>
      </c>
      <c r="V40" s="59">
        <f>IF('[35]سجل المستخلصات'!$AA$21="","",'[35]سجل المستخلصات'!$AA$21)</f>
        <v/>
      </c>
      <c r="W40" s="59">
        <f>IF('[35]سجل المستخلصات'!$AC$21="","",'[35]سجل المستخلصات'!$AC$21)</f>
        <v/>
      </c>
      <c r="X40" s="62">
        <f>IF('[35]سجل المستخلصات'!$AD$21="","",'[35]سجل المستخلصات'!$AD$21)</f>
        <v/>
      </c>
      <c r="Y40" s="58">
        <f>IF('[35]سجل المستخلصات'!$AE$21="","",'[35]سجل المستخلصات'!$AE$21)</f>
        <v/>
      </c>
    </row>
    <row r="41">
      <c r="B41" s="56" t="n">
        <v>17</v>
      </c>
      <c r="C41" s="57">
        <f>IF('[35]سجل المستخلصات'!$C$22="","",'[35]سجل المستخلصات'!$C$22)</f>
        <v/>
      </c>
      <c r="D41" s="57">
        <f>IF('[35]سجل المستخلصات'!$E$22="","",'[35]سجل المستخلصات'!$E$22)</f>
        <v/>
      </c>
      <c r="E41" s="58">
        <f>IF('[35]سجل المستخلصات'!$F$22="","",'[35]سجل المستخلصات'!$F$22)</f>
        <v/>
      </c>
      <c r="F41" s="59">
        <f>IF('[35]سجل المستخلصات'!$H$22="","",'[35]سجل المستخلصات'!$H$22)</f>
        <v/>
      </c>
      <c r="G41" s="59">
        <f>IF('[35]سجل المستخلصات'!$G$22="","",'[35]سجل المستخلصات'!$G$22)</f>
        <v/>
      </c>
      <c r="H41" s="59">
        <f>IF('[35]سجل المستخلصات'!$I$22="","",'[35]سجل المستخلصات'!$I$22)</f>
        <v/>
      </c>
      <c r="I41" s="59">
        <f>IF('[35]سجل المستخلصات'!$J$22="","",'[35]سجل المستخلصات'!$J$22)</f>
        <v/>
      </c>
      <c r="J41" s="59">
        <f>IF('[35]سجل المستخلصات'!$K$22="","",'[35]سجل المستخلصات'!$K$22)</f>
        <v/>
      </c>
      <c r="K41" s="60">
        <f>IF('[35]سجل المستخلصات'!$L$22="","",'[35]سجل المستخلصات'!$L$22)</f>
        <v/>
      </c>
      <c r="L41" s="60">
        <f>IF('[35]سجل المستخلصات'!$M$22="","",'[35]سجل المستخلصات'!$M$22)</f>
        <v/>
      </c>
      <c r="M41" s="60">
        <f>IF('[35]سجل المستخلصات'!$N$22="","",'[35]سجل المستخلصات'!$N$22)</f>
        <v/>
      </c>
      <c r="N41" s="59">
        <f>IF('[35]سجل المستخلصات'!$O$22="","",'[35]سجل المستخلصات'!$O$22)</f>
        <v/>
      </c>
      <c r="O41" s="59">
        <f>IF('[35]سجل المستخلصات'!$R$22="","",'[35]سجل المستخلصات'!$R$22)</f>
        <v/>
      </c>
      <c r="P41" s="59">
        <f>IF('[35]سجل المستخلصات'!$S$22="","",'[35]سجل المستخلصات'!$S$22)</f>
        <v/>
      </c>
      <c r="Q41" s="59">
        <f>IF('[35]سجل المستخلصات'!$T$22="","",'[35]سجل المستخلصات'!$T$22)</f>
        <v/>
      </c>
      <c r="R41" s="59">
        <f>IF('[35]سجل المستخلصات'!$V$22="","",'[35]سجل المستخلصات'!$V$22)</f>
        <v/>
      </c>
      <c r="S41" s="59">
        <f>IF('[35]سجل المستخلصات'!$W$22="","",'[35]سجل المستخلصات'!$W$22)</f>
        <v/>
      </c>
      <c r="T41" s="61">
        <f>IF('[35]سجل المستخلصات'!$X$22="","",'[35]سجل المستخلصات'!$X$22)</f>
        <v/>
      </c>
      <c r="U41" s="61">
        <f>IF('[35]سجل المستخلصات'!$Z$22="","",'[35]سجل المستخلصات'!$Z$22)</f>
        <v/>
      </c>
      <c r="V41" s="59">
        <f>IF('[35]سجل المستخلصات'!$AA$22="","",'[35]سجل المستخلصات'!$AA$22)</f>
        <v/>
      </c>
      <c r="W41" s="59">
        <f>IF('[35]سجل المستخلصات'!$AC$22="","",'[35]سجل المستخلصات'!$AC$22)</f>
        <v/>
      </c>
      <c r="X41" s="62">
        <f>IF('[35]سجل المستخلصات'!$AD$22="","",'[35]سجل المستخلصات'!$AD$22)</f>
        <v/>
      </c>
      <c r="Y41" s="58">
        <f>IF('[35]سجل المستخلصات'!$AE$22="","",'[35]سجل المستخلصات'!$AE$22)</f>
        <v/>
      </c>
    </row>
    <row r="42">
      <c r="B42" s="56" t="n">
        <v>18</v>
      </c>
      <c r="C42" s="57">
        <f>IF('[35]سجل المستخلصات'!$C$23="","",'[35]سجل المستخلصات'!$C$23)</f>
        <v/>
      </c>
      <c r="D42" s="57">
        <f>IF('[35]سجل المستخلصات'!$E$23="","",'[35]سجل المستخلصات'!$E$23)</f>
        <v/>
      </c>
      <c r="E42" s="58">
        <f>IF('[35]سجل المستخلصات'!$F$23="","",'[35]سجل المستخلصات'!$F$23)</f>
        <v/>
      </c>
      <c r="F42" s="59">
        <f>IF('[35]سجل المستخلصات'!$H$23="","",'[35]سجل المستخلصات'!$H$23)</f>
        <v/>
      </c>
      <c r="G42" s="59">
        <f>IF('[35]سجل المستخلصات'!$G$23="","",'[35]سجل المستخلصات'!$G$23)</f>
        <v/>
      </c>
      <c r="H42" s="59">
        <f>IF('[35]سجل المستخلصات'!$I$23="","",'[35]سجل المستخلصات'!$I$23)</f>
        <v/>
      </c>
      <c r="I42" s="59">
        <f>IF('[35]سجل المستخلصات'!$J$23="","",'[35]سجل المستخلصات'!$J$23)</f>
        <v/>
      </c>
      <c r="J42" s="59">
        <f>IF('[35]سجل المستخلصات'!$K$23="","",'[35]سجل المستخلصات'!$K$23)</f>
        <v/>
      </c>
      <c r="K42" s="60">
        <f>IF('[35]سجل المستخلصات'!$L$23="","",'[35]سجل المستخلصات'!$L$23)</f>
        <v/>
      </c>
      <c r="L42" s="60">
        <f>IF('[35]سجل المستخلصات'!$M$23="","",'[35]سجل المستخلصات'!$M$23)</f>
        <v/>
      </c>
      <c r="M42" s="60">
        <f>IF('[35]سجل المستخلصات'!$N$23="","",'[35]سجل المستخلصات'!$N$23)</f>
        <v/>
      </c>
      <c r="N42" s="59">
        <f>IF('[35]سجل المستخلصات'!$O$23="","",'[35]سجل المستخلصات'!$O$23)</f>
        <v/>
      </c>
      <c r="O42" s="59">
        <f>IF('[35]سجل المستخلصات'!$R$23="","",'[35]سجل المستخلصات'!$R$23)</f>
        <v/>
      </c>
      <c r="P42" s="59">
        <f>IF('[35]سجل المستخلصات'!$S$23="","",'[35]سجل المستخلصات'!$S$23)</f>
        <v/>
      </c>
      <c r="Q42" s="59">
        <f>IF('[35]سجل المستخلصات'!$T$23="","",'[35]سجل المستخلصات'!$T$23)</f>
        <v/>
      </c>
      <c r="R42" s="59">
        <f>IF('[35]سجل المستخلصات'!$V$23="","",'[35]سجل المستخلصات'!$V$23)</f>
        <v/>
      </c>
      <c r="S42" s="59">
        <f>IF('[35]سجل المستخلصات'!$W$23="","",'[35]سجل المستخلصات'!$W$23)</f>
        <v/>
      </c>
      <c r="T42" s="61">
        <f>IF('[35]سجل المستخلصات'!$X$23="","",'[35]سجل المستخلصات'!$X$23)</f>
        <v/>
      </c>
      <c r="U42" s="61">
        <f>IF('[35]سجل المستخلصات'!$Z$23="","",'[35]سجل المستخلصات'!$Z$23)</f>
        <v/>
      </c>
      <c r="V42" s="59">
        <f>IF('[35]سجل المستخلصات'!$AA$23="","",'[35]سجل المستخلصات'!$AA$23)</f>
        <v/>
      </c>
      <c r="W42" s="59">
        <f>IF('[35]سجل المستخلصات'!$AC$23="","",'[35]سجل المستخلصات'!$AC$23)</f>
        <v/>
      </c>
      <c r="X42" s="62">
        <f>IF('[35]سجل المستخلصات'!$AD$23="","",'[35]سجل المستخلصات'!$AD$23)</f>
        <v/>
      </c>
      <c r="Y42" s="58">
        <f>IF('[35]سجل المستخلصات'!$AE$23="","",'[35]سجل المستخلصات'!$AE$23)</f>
        <v/>
      </c>
    </row>
    <row r="43">
      <c r="B43" s="56" t="n">
        <v>19</v>
      </c>
      <c r="C43" s="57">
        <f>IF('[35]سجل المستخلصات'!$C$24="","",'[35]سجل المستخلصات'!$C$24)</f>
        <v/>
      </c>
      <c r="D43" s="57">
        <f>IF('[35]سجل المستخلصات'!$E$24="","",'[35]سجل المستخلصات'!$E$24)</f>
        <v/>
      </c>
      <c r="E43" s="58">
        <f>IF('[35]سجل المستخلصات'!$F$24="","",'[35]سجل المستخلصات'!$F$24)</f>
        <v/>
      </c>
      <c r="F43" s="59">
        <f>IF('[35]سجل المستخلصات'!$H$24="","",'[35]سجل المستخلصات'!$H$24)</f>
        <v/>
      </c>
      <c r="G43" s="59">
        <f>IF('[35]سجل المستخلصات'!$G$24="","",'[35]سجل المستخلصات'!$G$24)</f>
        <v/>
      </c>
      <c r="H43" s="59">
        <f>IF('[35]سجل المستخلصات'!$I$24="","",'[35]سجل المستخلصات'!$I$24)</f>
        <v/>
      </c>
      <c r="I43" s="59">
        <f>IF('[35]سجل المستخلصات'!$J$24="","",'[35]سجل المستخلصات'!$J$24)</f>
        <v/>
      </c>
      <c r="J43" s="59">
        <f>IF('[35]سجل المستخلصات'!$K$24="","",'[35]سجل المستخلصات'!$K$24)</f>
        <v/>
      </c>
      <c r="K43" s="60">
        <f>IF('[35]سجل المستخلصات'!$L$24="","",'[35]سجل المستخلصات'!$L$24)</f>
        <v/>
      </c>
      <c r="L43" s="60">
        <f>IF('[35]سجل المستخلصات'!$M$24="","",'[35]سجل المستخلصات'!$M$24)</f>
        <v/>
      </c>
      <c r="M43" s="60">
        <f>IF('[35]سجل المستخلصات'!$N$24="","",'[35]سجل المستخلصات'!$N$24)</f>
        <v/>
      </c>
      <c r="N43" s="59">
        <f>IF('[35]سجل المستخلصات'!$O$24="","",'[35]سجل المستخلصات'!$O$24)</f>
        <v/>
      </c>
      <c r="O43" s="59">
        <f>IF('[35]سجل المستخلصات'!$R$24="","",'[35]سجل المستخلصات'!$R$24)</f>
        <v/>
      </c>
      <c r="P43" s="59">
        <f>IF('[35]سجل المستخلصات'!$S$24="","",'[35]سجل المستخلصات'!$S$24)</f>
        <v/>
      </c>
      <c r="Q43" s="59">
        <f>IF('[35]سجل المستخلصات'!$T$24="","",'[35]سجل المستخلصات'!$T$24)</f>
        <v/>
      </c>
      <c r="R43" s="59">
        <f>IF('[35]سجل المستخلصات'!$V$24="","",'[35]سجل المستخلصات'!$V$24)</f>
        <v/>
      </c>
      <c r="S43" s="59">
        <f>IF('[35]سجل المستخلصات'!$W$24="","",'[35]سجل المستخلصات'!$W$24)</f>
        <v/>
      </c>
      <c r="T43" s="61">
        <f>IF('[35]سجل المستخلصات'!$X$24="","",'[35]سجل المستخلصات'!$X$24)</f>
        <v/>
      </c>
      <c r="U43" s="61">
        <f>IF('[35]سجل المستخلصات'!$Z$24="","",'[35]سجل المستخلصات'!$Z$24)</f>
        <v/>
      </c>
      <c r="V43" s="59">
        <f>IF('[35]سجل المستخلصات'!$AA$24="","",'[35]سجل المستخلصات'!$AA$24)</f>
        <v/>
      </c>
      <c r="W43" s="59">
        <f>IF('[35]سجل المستخلصات'!$AC$24="","",'[35]سجل المستخلصات'!$AC$24)</f>
        <v/>
      </c>
      <c r="X43" s="62">
        <f>IF('[35]سجل المستخلصات'!$AD$24="","",'[35]سجل المستخلصات'!$AD$24)</f>
        <v/>
      </c>
      <c r="Y43" s="58">
        <f>IF('[35]سجل المستخلصات'!$AE$24="","",'[35]سجل المستخلصات'!$AE$24)</f>
        <v/>
      </c>
    </row>
    <row r="44">
      <c r="B44" s="56" t="n">
        <v>20</v>
      </c>
      <c r="C44" s="57">
        <f>IF('[35]سجل المستخلصات'!$C$25="","",'[35]سجل المستخلصات'!$C$25)</f>
        <v/>
      </c>
      <c r="D44" s="57">
        <f>IF('[35]سجل المستخلصات'!$E$25="","",'[35]سجل المستخلصات'!$E$25)</f>
        <v/>
      </c>
      <c r="E44" s="58">
        <f>IF('[35]سجل المستخلصات'!$F$25="","",'[35]سجل المستخلصات'!$F$25)</f>
        <v/>
      </c>
      <c r="F44" s="59">
        <f>IF('[35]سجل المستخلصات'!$H$25="","",'[35]سجل المستخلصات'!$H$25)</f>
        <v/>
      </c>
      <c r="G44" s="59">
        <f>IF('[35]سجل المستخلصات'!$G$25="","",'[35]سجل المستخلصات'!$G$25)</f>
        <v/>
      </c>
      <c r="H44" s="59">
        <f>IF('[35]سجل المستخلصات'!$I$25="","",'[35]سجل المستخلصات'!$I$25)</f>
        <v/>
      </c>
      <c r="I44" s="59">
        <f>IF('[35]سجل المستخلصات'!$J$25="","",'[35]سجل المستخلصات'!$J$25)</f>
        <v/>
      </c>
      <c r="J44" s="59">
        <f>IF('[35]سجل المستخلصات'!$K$25="","",'[35]سجل المستخلصات'!$K$25)</f>
        <v/>
      </c>
      <c r="K44" s="60">
        <f>IF('[35]سجل المستخلصات'!$L$25="","",'[35]سجل المستخلصات'!$L$25)</f>
        <v/>
      </c>
      <c r="L44" s="60">
        <f>IF('[35]سجل المستخلصات'!$M$25="","",'[35]سجل المستخلصات'!$M$25)</f>
        <v/>
      </c>
      <c r="M44" s="60">
        <f>IF('[35]سجل المستخلصات'!$N$25="","",'[35]سجل المستخلصات'!$N$25)</f>
        <v/>
      </c>
      <c r="N44" s="59">
        <f>IF('[35]سجل المستخلصات'!$O$25="","",'[35]سجل المستخلصات'!$O$25)</f>
        <v/>
      </c>
      <c r="O44" s="59">
        <f>IF('[35]سجل المستخلصات'!$R$25="","",'[35]سجل المستخلصات'!$R$25)</f>
        <v/>
      </c>
      <c r="P44" s="59">
        <f>IF('[35]سجل المستخلصات'!$S$25="","",'[35]سجل المستخلصات'!$S$25)</f>
        <v/>
      </c>
      <c r="Q44" s="59">
        <f>IF('[35]سجل المستخلصات'!$T$25="","",'[35]سجل المستخلصات'!$T$25)</f>
        <v/>
      </c>
      <c r="R44" s="59">
        <f>IF('[35]سجل المستخلصات'!$V$25="","",'[35]سجل المستخلصات'!$V$25)</f>
        <v/>
      </c>
      <c r="S44" s="59">
        <f>IF('[35]سجل المستخلصات'!$W$25="","",'[35]سجل المستخلصات'!$W$25)</f>
        <v/>
      </c>
      <c r="T44" s="61">
        <f>IF('[35]سجل المستخلصات'!$X$25="","",'[35]سجل المستخلصات'!$X$25)</f>
        <v/>
      </c>
      <c r="U44" s="61">
        <f>IF('[35]سجل المستخلصات'!$Z$25="","",'[35]سجل المستخلصات'!$Z$25)</f>
        <v/>
      </c>
      <c r="V44" s="59">
        <f>IF('[35]سجل المستخلصات'!$AA$25="","",'[35]سجل المستخلصات'!$AA$25)</f>
        <v/>
      </c>
      <c r="W44" s="59">
        <f>IF('[35]سجل المستخلصات'!$AC$25="","",'[35]سجل المستخلصات'!$AC$25)</f>
        <v/>
      </c>
      <c r="X44" s="62">
        <f>IF('[35]سجل المستخلصات'!$AD$25="","",'[35]سجل المستخلصات'!$AD$25)</f>
        <v/>
      </c>
      <c r="Y44" s="58">
        <f>IF('[35]سجل المستخلصات'!$AE$25="","",'[35]سجل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IF('[35]سجل المستخلصات'!$B$32="","",'[35]سجل المستخلصات'!$B$32)</f>
        <v/>
      </c>
      <c r="C50" s="69" t="n"/>
      <c r="D50" s="69" t="n"/>
      <c r="E50" s="59">
        <f>N('[35]سجل المستخلصات'!$E$32)</f>
        <v/>
      </c>
      <c r="F50" s="59">
        <f>N('[35]سجل المستخلصات'!$F$32)</f>
        <v/>
      </c>
      <c r="G50" s="70">
        <f>IF(E50&gt;0,F50/E50,0)</f>
        <v/>
      </c>
    </row>
    <row r="51">
      <c r="B51" s="69">
        <f>IF('[35]سجل المستخلصات'!$B$33="","",'[35]سجل المستخلصات'!$B$33)</f>
        <v/>
      </c>
      <c r="C51" s="69" t="n"/>
      <c r="D51" s="69" t="n"/>
      <c r="E51" s="59">
        <f>N('[35]سجل المستخلصات'!$E$33)</f>
        <v/>
      </c>
      <c r="F51" s="59">
        <f>N('[35]سجل المستخلصات'!$F$33)</f>
        <v/>
      </c>
      <c r="G51" s="70">
        <f>IF(E51&gt;0,F51/E51,0)</f>
        <v/>
      </c>
    </row>
    <row r="52">
      <c r="B52" s="69">
        <f>IF('[35]سجل المستخلصات'!$B$34="","",'[35]سجل المستخلصات'!$B$34)</f>
        <v/>
      </c>
      <c r="C52" s="69" t="n"/>
      <c r="D52" s="69" t="n"/>
      <c r="E52" s="59">
        <f>N('[35]سجل المستخلصات'!$E$34)</f>
        <v/>
      </c>
      <c r="F52" s="59">
        <f>N('[35]سجل المستخلصات'!$F$34)</f>
        <v/>
      </c>
      <c r="G52" s="70">
        <f>IF(E52&gt;0,F52/E52,0)</f>
        <v/>
      </c>
    </row>
    <row r="53">
      <c r="B53" s="69">
        <f>IF('[35]سجل المستخلصات'!$B$35="","",'[35]سجل المستخلصات'!$B$35)</f>
        <v/>
      </c>
      <c r="C53" s="69" t="n"/>
      <c r="D53" s="69" t="n"/>
      <c r="E53" s="59">
        <f>N('[35]سجل المستخلصات'!$E$35)</f>
        <v/>
      </c>
      <c r="F53" s="59">
        <f>N('[35]سجل المستخلصات'!$F$35)</f>
        <v/>
      </c>
      <c r="G53" s="70">
        <f>IF(E53&gt;0,F53/E53,0)</f>
        <v/>
      </c>
    </row>
    <row r="54">
      <c r="B54" s="69">
        <f>IF('[35]سجل المستخلصات'!$B$36="","",'[35]سجل المستخلصات'!$B$36)</f>
        <v/>
      </c>
      <c r="C54" s="69" t="n"/>
      <c r="D54" s="69" t="n"/>
      <c r="E54" s="59">
        <f>N('[35]سجل المستخلصات'!$E$36)</f>
        <v/>
      </c>
      <c r="F54" s="59">
        <f>N('[35]سجل المستخلصات'!$F$36)</f>
        <v/>
      </c>
      <c r="G54" s="70">
        <f>IF(E54&gt;0,F54/E54,0)</f>
        <v/>
      </c>
    </row>
    <row r="55">
      <c r="B55" s="69">
        <f>IF('[35]سجل المستخلصات'!$B$37="","",'[35]سجل المستخلصات'!$B$37)</f>
        <v/>
      </c>
      <c r="C55" s="69" t="n"/>
      <c r="D55" s="69" t="n"/>
      <c r="E55" s="59">
        <f>N('[35]سجل المستخلصات'!$E$37)</f>
        <v/>
      </c>
      <c r="F55" s="59">
        <f>N('[35]سجل المستخلصات'!$F$37)</f>
        <v/>
      </c>
      <c r="G55" s="70">
        <f>IF(E55&gt;0,F55/E55,0)</f>
        <v/>
      </c>
    </row>
    <row r="56">
      <c r="B56" s="69">
        <f>IF('[35]سجل المستخلصات'!$B$38="","",'[35]سجل المستخلصات'!$B$38)</f>
        <v/>
      </c>
      <c r="C56" s="69" t="n"/>
      <c r="D56" s="69" t="n"/>
      <c r="E56" s="59">
        <f>N('[35]سجل المستخلصات'!$E$38)</f>
        <v/>
      </c>
      <c r="F56" s="59">
        <f>N('[35]سجل المستخلصات'!$F$38)</f>
        <v/>
      </c>
      <c r="G56" s="70">
        <f>IF(E56&gt;0,F56/E56,0)</f>
        <v/>
      </c>
    </row>
    <row r="57">
      <c r="B57" s="69">
        <f>IF('[35]سجل المستخلصات'!$B$39="","",'[35]سجل المستخلصات'!$B$39)</f>
        <v/>
      </c>
      <c r="C57" s="69" t="n"/>
      <c r="D57" s="69" t="n"/>
      <c r="E57" s="59">
        <f>N('[35]سجل المستخلصات'!$E$39)</f>
        <v/>
      </c>
      <c r="F57" s="59">
        <f>N('[35]سجل المستخلصات'!$F$39)</f>
        <v/>
      </c>
      <c r="G57" s="70">
        <f>IF(E57&gt;0,F57/E57,0)</f>
        <v/>
      </c>
    </row>
    <row r="58">
      <c r="B58" s="69">
        <f>IF('[35]سجل المستخلصات'!$B$40="","",'[35]سجل المستخلصات'!$B$40)</f>
        <v/>
      </c>
      <c r="C58" s="69" t="n"/>
      <c r="D58" s="69" t="n"/>
      <c r="E58" s="59">
        <f>N('[35]سجل المستخلصات'!$E$40)</f>
        <v/>
      </c>
      <c r="F58" s="59">
        <f>N('[35]سجل المستخلصات'!$F$40)</f>
        <v/>
      </c>
      <c r="G58" s="70">
        <f>IF(E58&gt;0,F58/E58,0)</f>
        <v/>
      </c>
    </row>
    <row r="59">
      <c r="B59" s="69">
        <f>IF('[35]سجل المستخلصات'!$B$41="","",'[35]سجل المستخلصات'!$B$41)</f>
        <v/>
      </c>
      <c r="C59" s="69" t="n"/>
      <c r="D59" s="69" t="n"/>
      <c r="E59" s="59">
        <f>N('[35]سجل المستخلصات'!$E$41)</f>
        <v/>
      </c>
      <c r="F59" s="59">
        <f>N('[35]سجل المستخلصات'!$F$41)</f>
        <v/>
      </c>
      <c r="G59" s="70">
        <f>IF(E59&gt;0,F59/E59,0)</f>
        <v/>
      </c>
    </row>
    <row r="60">
      <c r="B60" s="69">
        <f>IF('[35]سجل المستخلصات'!$B$42="","",'[35]سجل المستخلصات'!$B$42)</f>
        <v/>
      </c>
      <c r="C60" s="69" t="n"/>
      <c r="D60" s="69" t="n"/>
      <c r="E60" s="59">
        <f>N('[35]سجل المستخلصات'!$E$42)</f>
        <v/>
      </c>
      <c r="F60" s="59">
        <f>N('[35]سجل المستخلصات'!$F$42)</f>
        <v/>
      </c>
      <c r="G60" s="70">
        <f>IF(E60&gt;0,F60/E60,0)</f>
        <v/>
      </c>
    </row>
    <row r="61">
      <c r="B61" s="69">
        <f>IF('[35]سجل المستخلصات'!$B$43="","",'[35]سجل المستخلصات'!$B$43)</f>
        <v/>
      </c>
      <c r="C61" s="69" t="n"/>
      <c r="D61" s="69" t="n"/>
      <c r="E61" s="59">
        <f>N('[35]سجل المستخلصات'!$E$43)</f>
        <v/>
      </c>
      <c r="F61" s="59">
        <f>N('[35]سجل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34'!A1" display="◄ المشروع السابق"/>
    <hyperlink ref="D3" location="'مشروع 36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3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"&amp;IF('[36]بيانات العقد'!$C$5="","مشروع رقم 36 — غير مُفعّل",'[36]بيانات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Project_36/IPC_Project_36.xlsx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IF('[36]بيانات العقد'!$C$5="","",'[36]بيانات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IF('[36]بيانات العقد'!$C$6="","",'[36]بيانات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IF('[36]بيانات العقد'!$C$7="","",'[36]بيانات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IF('[36]بيانات العقد'!$C$8="","",'[36]بيانات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N('[36]بيانات العقد'!$C$16)</f>
        <v/>
      </c>
    </row>
    <row r="6" ht="22" customHeight="1">
      <c r="B6" s="11" t="inlineStr">
        <is>
          <t>المقاول</t>
        </is>
      </c>
      <c r="C6" s="14">
        <f>IF('[36]بيانات العقد'!$C$9="","",'[36]بيانات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IF('[36]بيانات العقد'!$C$11="","",'[36]بيانات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IF('[36]بيانات العقد'!$C$13="","",'[36]بيانات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IF('[36]بيانات العقد'!$C$14="","",'[36]بيانات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N('[36]بيانات العقد'!$C$17)</f>
        <v/>
      </c>
    </row>
    <row r="7">
      <c r="AA7" s="15" t="inlineStr">
        <is>
          <t>قيمة العقد المعدلة</t>
        </is>
      </c>
      <c r="AB7" s="16">
        <f>N('[36]بيانات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N('[36]بيانات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N('[36]بيانات العقد'!$C$21)</f>
        <v/>
      </c>
    </row>
    <row r="10">
      <c r="AA10" s="15" t="inlineStr">
        <is>
          <t>نسبة ضمان الأعمال</t>
        </is>
      </c>
      <c r="AB10" s="23">
        <f>N('[36]بيانات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N('[36]بيانات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N('[36]بيانات العقد'!$C$31)</f>
        <v/>
      </c>
    </row>
    <row r="13">
      <c r="AA13" s="15" t="inlineStr">
        <is>
          <t>ضريبة الاستقطاع (غير المقيم)</t>
        </is>
      </c>
      <c r="AB13" s="23">
        <f>N('[36]بيانات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IF('[36]بيانات العقد'!$C$11="","",'[36]بيانات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IF('[36]بيانات العقد'!$C$13="","",'[36]بيانات العقد'!$C$13)</f>
        <v/>
      </c>
    </row>
    <row r="16">
      <c r="AA16" s="15" t="inlineStr">
        <is>
          <t>المدة (شهر)</t>
        </is>
      </c>
      <c r="AB16" s="43">
        <f>IF('[36]بيانات العقد'!$C$12="","",'[36]بيانات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IF('[36]بيانات العقد'!$C$36="","",'[36]بيانات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IF('[36]بيانات العقد'!$C$37="","",'[36]بيانات العقد'!$C$37)</f>
        <v/>
      </c>
    </row>
    <row r="19">
      <c r="AA19" s="15" t="inlineStr">
        <is>
          <t>الرقم الضريبي لصاحب العمل</t>
        </is>
      </c>
      <c r="AB19" s="48">
        <f>IF('[36]بيانات العقد'!$C$39="","",'[36]بيانات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IF('[36]بيانات العقد'!$C$42="","",'[36]بيانات العقد'!$C$42)</f>
        <v/>
      </c>
    </row>
    <row r="21" ht="32" customHeight="1">
      <c r="B21" s="50">
        <f>N('[36]الموازنة والتكاليف'!$D$66)</f>
        <v/>
      </c>
      <c r="C21" s="50" t="n"/>
      <c r="D21" s="50" t="n"/>
      <c r="E21" s="50" t="n"/>
      <c r="F21" s="50">
        <f>N('[36]الموازنة والتكاليف'!$D$70)</f>
        <v/>
      </c>
      <c r="G21" s="50" t="n"/>
      <c r="H21" s="50" t="n"/>
      <c r="I21" s="50" t="n"/>
      <c r="J21" s="50">
        <f>N('[36]الموازنة والتكاليف'!$D$72)</f>
        <v/>
      </c>
      <c r="K21" s="50" t="n"/>
      <c r="L21" s="50" t="n"/>
      <c r="M21" s="50" t="n"/>
      <c r="N21" s="51">
        <f>N('[36]الموازنة والتكاليف'!$D$73)</f>
        <v/>
      </c>
      <c r="O21" s="51" t="n"/>
      <c r="P21" s="51" t="n"/>
      <c r="Q21" s="51" t="n"/>
      <c r="R21" s="52">
        <f>N('[36]الموازنة والتكاليف'!$D$74)</f>
        <v/>
      </c>
      <c r="S21" s="52" t="n"/>
      <c r="T21" s="52" t="n"/>
      <c r="U21" s="52" t="n"/>
      <c r="V21" s="50">
        <f>N('[36]الموازنة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IF('[36]بيانات العقد'!$C$43="","",'[36]بيانات العقد'!$C$43)</f>
        <v/>
      </c>
    </row>
    <row r="22">
      <c r="AA22" s="15" t="inlineStr">
        <is>
          <t>حالة غرامات التأخير</t>
        </is>
      </c>
      <c r="AB22" s="45">
        <f>IF('[36]بيانات العقد'!$C$47="","",'[36]بيانات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IF('[36]سجل المستخلصات'!$C$6="","",'[36]سجل المستخلصات'!$C$6)</f>
        <v/>
      </c>
      <c r="D25" s="57">
        <f>IF('[36]سجل المستخلصات'!$E$6="","",'[36]سجل المستخلصات'!$E$6)</f>
        <v/>
      </c>
      <c r="E25" s="58">
        <f>IF('[36]سجل المستخلصات'!$F$6="","",'[36]سجل المستخلصات'!$F$6)</f>
        <v/>
      </c>
      <c r="F25" s="59">
        <f>IF('[36]سجل المستخلصات'!$H$6="","",'[36]سجل المستخلصات'!$H$6)</f>
        <v/>
      </c>
      <c r="G25" s="59">
        <f>IF('[36]سجل المستخلصات'!$G$6="","",'[36]سجل المستخلصات'!$G$6)</f>
        <v/>
      </c>
      <c r="H25" s="59">
        <f>IF('[36]سجل المستخلصات'!$I$6="","",'[36]سجل المستخلصات'!$I$6)</f>
        <v/>
      </c>
      <c r="I25" s="59">
        <f>IF('[36]سجل المستخلصات'!$J$6="","",'[36]سجل المستخلصات'!$J$6)</f>
        <v/>
      </c>
      <c r="J25" s="59">
        <f>IF('[36]سجل المستخلصات'!$K$6="","",'[36]سجل المستخلصات'!$K$6)</f>
        <v/>
      </c>
      <c r="K25" s="60">
        <f>IF('[36]سجل المستخلصات'!$L$6="","",'[36]سجل المستخلصات'!$L$6)</f>
        <v/>
      </c>
      <c r="L25" s="60">
        <f>IF('[36]سجل المستخلصات'!$M$6="","",'[36]سجل المستخلصات'!$M$6)</f>
        <v/>
      </c>
      <c r="M25" s="60">
        <f>IF('[36]سجل المستخلصات'!$N$6="","",'[36]سجل المستخلصات'!$N$6)</f>
        <v/>
      </c>
      <c r="N25" s="59">
        <f>IF('[36]سجل المستخلصات'!$O$6="","",'[36]سجل المستخلصات'!$O$6)</f>
        <v/>
      </c>
      <c r="O25" s="59">
        <f>IF('[36]سجل المستخلصات'!$R$6="","",'[36]سجل المستخلصات'!$R$6)</f>
        <v/>
      </c>
      <c r="P25" s="59">
        <f>IF('[36]سجل المستخلصات'!$S$6="","",'[36]سجل المستخلصات'!$S$6)</f>
        <v/>
      </c>
      <c r="Q25" s="59">
        <f>IF('[36]سجل المستخلصات'!$T$6="","",'[36]سجل المستخلصات'!$T$6)</f>
        <v/>
      </c>
      <c r="R25" s="59">
        <f>IF('[36]سجل المستخلصات'!$V$6="","",'[36]سجل المستخلصات'!$V$6)</f>
        <v/>
      </c>
      <c r="S25" s="59">
        <f>IF('[36]سجل المستخلصات'!$W$6="","",'[36]سجل المستخلصات'!$W$6)</f>
        <v/>
      </c>
      <c r="T25" s="61">
        <f>IF('[36]سجل المستخلصات'!$X$6="","",'[36]سجل المستخلصات'!$X$6)</f>
        <v/>
      </c>
      <c r="U25" s="61">
        <f>IF('[36]سجل المستخلصات'!$Z$6="","",'[36]سجل المستخلصات'!$Z$6)</f>
        <v/>
      </c>
      <c r="V25" s="59">
        <f>IF('[36]سجل المستخلصات'!$AA$6="","",'[36]سجل المستخلصات'!$AA$6)</f>
        <v/>
      </c>
      <c r="W25" s="59">
        <f>IF('[36]سجل المستخلصات'!$AC$6="","",'[36]سجل المستخلصات'!$AC$6)</f>
        <v/>
      </c>
      <c r="X25" s="62">
        <f>IF('[36]سجل المستخلصات'!$AD$6="","",'[36]سجل المستخلصات'!$AD$6)</f>
        <v/>
      </c>
      <c r="Y25" s="58">
        <f>IF('[36]سجل المستخلصات'!$AE$6="","",'[36]سجل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IF('[36]سجل المستخلصات'!$C$7="","",'[36]سجل المستخلصات'!$C$7)</f>
        <v/>
      </c>
      <c r="D26" s="57">
        <f>IF('[36]سجل المستخلصات'!$E$7="","",'[36]سجل المستخلصات'!$E$7)</f>
        <v/>
      </c>
      <c r="E26" s="58">
        <f>IF('[36]سجل المستخلصات'!$F$7="","",'[36]سجل المستخلصات'!$F$7)</f>
        <v/>
      </c>
      <c r="F26" s="59">
        <f>IF('[36]سجل المستخلصات'!$H$7="","",'[36]سجل المستخلصات'!$H$7)</f>
        <v/>
      </c>
      <c r="G26" s="59">
        <f>IF('[36]سجل المستخلصات'!$G$7="","",'[36]سجل المستخلصات'!$G$7)</f>
        <v/>
      </c>
      <c r="H26" s="59">
        <f>IF('[36]سجل المستخلصات'!$I$7="","",'[36]سجل المستخلصات'!$I$7)</f>
        <v/>
      </c>
      <c r="I26" s="59">
        <f>IF('[36]سجل المستخلصات'!$J$7="","",'[36]سجل المستخلصات'!$J$7)</f>
        <v/>
      </c>
      <c r="J26" s="59">
        <f>IF('[36]سجل المستخلصات'!$K$7="","",'[36]سجل المستخلصات'!$K$7)</f>
        <v/>
      </c>
      <c r="K26" s="60">
        <f>IF('[36]سجل المستخلصات'!$L$7="","",'[36]سجل المستخلصات'!$L$7)</f>
        <v/>
      </c>
      <c r="L26" s="60">
        <f>IF('[36]سجل المستخلصات'!$M$7="","",'[36]سجل المستخلصات'!$M$7)</f>
        <v/>
      </c>
      <c r="M26" s="60">
        <f>IF('[36]سجل المستخلصات'!$N$7="","",'[36]سجل المستخلصات'!$N$7)</f>
        <v/>
      </c>
      <c r="N26" s="59">
        <f>IF('[36]سجل المستخلصات'!$O$7="","",'[36]سجل المستخلصات'!$O$7)</f>
        <v/>
      </c>
      <c r="O26" s="59">
        <f>IF('[36]سجل المستخلصات'!$R$7="","",'[36]سجل المستخلصات'!$R$7)</f>
        <v/>
      </c>
      <c r="P26" s="59">
        <f>IF('[36]سجل المستخلصات'!$S$7="","",'[36]سجل المستخلصات'!$S$7)</f>
        <v/>
      </c>
      <c r="Q26" s="59">
        <f>IF('[36]سجل المستخلصات'!$T$7="","",'[36]سجل المستخلصات'!$T$7)</f>
        <v/>
      </c>
      <c r="R26" s="59">
        <f>IF('[36]سجل المستخلصات'!$V$7="","",'[36]سجل المستخلصات'!$V$7)</f>
        <v/>
      </c>
      <c r="S26" s="59">
        <f>IF('[36]سجل المستخلصات'!$W$7="","",'[36]سجل المستخلصات'!$W$7)</f>
        <v/>
      </c>
      <c r="T26" s="61">
        <f>IF('[36]سجل المستخلصات'!$X$7="","",'[36]سجل المستخلصات'!$X$7)</f>
        <v/>
      </c>
      <c r="U26" s="61">
        <f>IF('[36]سجل المستخلصات'!$Z$7="","",'[36]سجل المستخلصات'!$Z$7)</f>
        <v/>
      </c>
      <c r="V26" s="59">
        <f>IF('[36]سجل المستخلصات'!$AA$7="","",'[36]سجل المستخلصات'!$AA$7)</f>
        <v/>
      </c>
      <c r="W26" s="59">
        <f>IF('[36]سجل المستخلصات'!$AC$7="","",'[36]سجل المستخلصات'!$AC$7)</f>
        <v/>
      </c>
      <c r="X26" s="62">
        <f>IF('[36]سجل المستخلصات'!$AD$7="","",'[36]سجل المستخلصات'!$AD$7)</f>
        <v/>
      </c>
      <c r="Y26" s="58">
        <f>IF('[36]سجل المستخلصات'!$AE$7="","",'[36]سجل المستخلصات'!$AE$7)</f>
        <v/>
      </c>
      <c r="AA26" s="63" t="n"/>
      <c r="AB26" s="63" t="n"/>
    </row>
    <row r="27">
      <c r="B27" s="56" t="n">
        <v>3</v>
      </c>
      <c r="C27" s="57">
        <f>IF('[36]سجل المستخلصات'!$C$8="","",'[36]سجل المستخلصات'!$C$8)</f>
        <v/>
      </c>
      <c r="D27" s="57">
        <f>IF('[36]سجل المستخلصات'!$E$8="","",'[36]سجل المستخلصات'!$E$8)</f>
        <v/>
      </c>
      <c r="E27" s="58">
        <f>IF('[36]سجل المستخلصات'!$F$8="","",'[36]سجل المستخلصات'!$F$8)</f>
        <v/>
      </c>
      <c r="F27" s="59">
        <f>IF('[36]سجل المستخلصات'!$H$8="","",'[36]سجل المستخلصات'!$H$8)</f>
        <v/>
      </c>
      <c r="G27" s="59">
        <f>IF('[36]سجل المستخلصات'!$G$8="","",'[36]سجل المستخلصات'!$G$8)</f>
        <v/>
      </c>
      <c r="H27" s="59">
        <f>IF('[36]سجل المستخلصات'!$I$8="","",'[36]سجل المستخلصات'!$I$8)</f>
        <v/>
      </c>
      <c r="I27" s="59">
        <f>IF('[36]سجل المستخلصات'!$J$8="","",'[36]سجل المستخلصات'!$J$8)</f>
        <v/>
      </c>
      <c r="J27" s="59">
        <f>IF('[36]سجل المستخلصات'!$K$8="","",'[36]سجل المستخلصات'!$K$8)</f>
        <v/>
      </c>
      <c r="K27" s="60">
        <f>IF('[36]سجل المستخلصات'!$L$8="","",'[36]سجل المستخلصات'!$L$8)</f>
        <v/>
      </c>
      <c r="L27" s="60">
        <f>IF('[36]سجل المستخلصات'!$M$8="","",'[36]سجل المستخلصات'!$M$8)</f>
        <v/>
      </c>
      <c r="M27" s="60">
        <f>IF('[36]سجل المستخلصات'!$N$8="","",'[36]سجل المستخلصات'!$N$8)</f>
        <v/>
      </c>
      <c r="N27" s="59">
        <f>IF('[36]سجل المستخلصات'!$O$8="","",'[36]سجل المستخلصات'!$O$8)</f>
        <v/>
      </c>
      <c r="O27" s="59">
        <f>IF('[36]سجل المستخلصات'!$R$8="","",'[36]سجل المستخلصات'!$R$8)</f>
        <v/>
      </c>
      <c r="P27" s="59">
        <f>IF('[36]سجل المستخلصات'!$S$8="","",'[36]سجل المستخلصات'!$S$8)</f>
        <v/>
      </c>
      <c r="Q27" s="59">
        <f>IF('[36]سجل المستخلصات'!$T$8="","",'[36]سجل المستخلصات'!$T$8)</f>
        <v/>
      </c>
      <c r="R27" s="59">
        <f>IF('[36]سجل المستخلصات'!$V$8="","",'[36]سجل المستخلصات'!$V$8)</f>
        <v/>
      </c>
      <c r="S27" s="59">
        <f>IF('[36]سجل المستخلصات'!$W$8="","",'[36]سجل المستخلصات'!$W$8)</f>
        <v/>
      </c>
      <c r="T27" s="61">
        <f>IF('[36]سجل المستخلصات'!$X$8="","",'[36]سجل المستخلصات'!$X$8)</f>
        <v/>
      </c>
      <c r="U27" s="61">
        <f>IF('[36]سجل المستخلصات'!$Z$8="","",'[36]سجل المستخلصات'!$Z$8)</f>
        <v/>
      </c>
      <c r="V27" s="59">
        <f>IF('[36]سجل المستخلصات'!$AA$8="","",'[36]سجل المستخلصات'!$AA$8)</f>
        <v/>
      </c>
      <c r="W27" s="59">
        <f>IF('[36]سجل المستخلصات'!$AC$8="","",'[36]سجل المستخلصات'!$AC$8)</f>
        <v/>
      </c>
      <c r="X27" s="62">
        <f>IF('[36]سجل المستخلصات'!$AD$8="","",'[36]سجل المستخلصات'!$AD$8)</f>
        <v/>
      </c>
      <c r="Y27" s="58">
        <f>IF('[36]سجل المستخلصات'!$AE$8="","",'[36]سجل المستخلصات'!$AE$8)</f>
        <v/>
      </c>
      <c r="AA27" s="63" t="n"/>
      <c r="AB27" s="63" t="n"/>
    </row>
    <row r="28">
      <c r="B28" s="56" t="n">
        <v>4</v>
      </c>
      <c r="C28" s="57">
        <f>IF('[36]سجل المستخلصات'!$C$9="","",'[36]سجل المستخلصات'!$C$9)</f>
        <v/>
      </c>
      <c r="D28" s="57">
        <f>IF('[36]سجل المستخلصات'!$E$9="","",'[36]سجل المستخلصات'!$E$9)</f>
        <v/>
      </c>
      <c r="E28" s="58">
        <f>IF('[36]سجل المستخلصات'!$F$9="","",'[36]سجل المستخلصات'!$F$9)</f>
        <v/>
      </c>
      <c r="F28" s="59">
        <f>IF('[36]سجل المستخلصات'!$H$9="","",'[36]سجل المستخلصات'!$H$9)</f>
        <v/>
      </c>
      <c r="G28" s="59">
        <f>IF('[36]سجل المستخلصات'!$G$9="","",'[36]سجل المستخلصات'!$G$9)</f>
        <v/>
      </c>
      <c r="H28" s="59">
        <f>IF('[36]سجل المستخلصات'!$I$9="","",'[36]سجل المستخلصات'!$I$9)</f>
        <v/>
      </c>
      <c r="I28" s="59">
        <f>IF('[36]سجل المستخلصات'!$J$9="","",'[36]سجل المستخلصات'!$J$9)</f>
        <v/>
      </c>
      <c r="J28" s="59">
        <f>IF('[36]سجل المستخلصات'!$K$9="","",'[36]سجل المستخلصات'!$K$9)</f>
        <v/>
      </c>
      <c r="K28" s="60">
        <f>IF('[36]سجل المستخلصات'!$L$9="","",'[36]سجل المستخلصات'!$L$9)</f>
        <v/>
      </c>
      <c r="L28" s="60">
        <f>IF('[36]سجل المستخلصات'!$M$9="","",'[36]سجل المستخلصات'!$M$9)</f>
        <v/>
      </c>
      <c r="M28" s="60">
        <f>IF('[36]سجل المستخلصات'!$N$9="","",'[36]سجل المستخلصات'!$N$9)</f>
        <v/>
      </c>
      <c r="N28" s="59">
        <f>IF('[36]سجل المستخلصات'!$O$9="","",'[36]سجل المستخلصات'!$O$9)</f>
        <v/>
      </c>
      <c r="O28" s="59">
        <f>IF('[36]سجل المستخلصات'!$R$9="","",'[36]سجل المستخلصات'!$R$9)</f>
        <v/>
      </c>
      <c r="P28" s="59">
        <f>IF('[36]سجل المستخلصات'!$S$9="","",'[36]سجل المستخلصات'!$S$9)</f>
        <v/>
      </c>
      <c r="Q28" s="59">
        <f>IF('[36]سجل المستخلصات'!$T$9="","",'[36]سجل المستخلصات'!$T$9)</f>
        <v/>
      </c>
      <c r="R28" s="59">
        <f>IF('[36]سجل المستخلصات'!$V$9="","",'[36]سجل المستخلصات'!$V$9)</f>
        <v/>
      </c>
      <c r="S28" s="59">
        <f>IF('[36]سجل المستخلصات'!$W$9="","",'[36]سجل المستخلصات'!$W$9)</f>
        <v/>
      </c>
      <c r="T28" s="61">
        <f>IF('[36]سجل المستخلصات'!$X$9="","",'[36]سجل المستخلصات'!$X$9)</f>
        <v/>
      </c>
      <c r="U28" s="61">
        <f>IF('[36]سجل المستخلصات'!$Z$9="","",'[36]سجل المستخلصات'!$Z$9)</f>
        <v/>
      </c>
      <c r="V28" s="59">
        <f>IF('[36]سجل المستخلصات'!$AA$9="","",'[36]سجل المستخلصات'!$AA$9)</f>
        <v/>
      </c>
      <c r="W28" s="59">
        <f>IF('[36]سجل المستخلصات'!$AC$9="","",'[36]سجل المستخلصات'!$AC$9)</f>
        <v/>
      </c>
      <c r="X28" s="62">
        <f>IF('[36]سجل المستخلصات'!$AD$9="","",'[36]سجل المستخلصات'!$AD$9)</f>
        <v/>
      </c>
      <c r="Y28" s="58">
        <f>IF('[36]سجل المستخلصات'!$AE$9="","",'[36]سجل المستخلصات'!$AE$9)</f>
        <v/>
      </c>
      <c r="AA28" s="63" t="n"/>
      <c r="AB28" s="63" t="n"/>
    </row>
    <row r="29">
      <c r="B29" s="56" t="n">
        <v>5</v>
      </c>
      <c r="C29" s="57">
        <f>IF('[36]سجل المستخلصات'!$C$10="","",'[36]سجل المستخلصات'!$C$10)</f>
        <v/>
      </c>
      <c r="D29" s="57">
        <f>IF('[36]سجل المستخلصات'!$E$10="","",'[36]سجل المستخلصات'!$E$10)</f>
        <v/>
      </c>
      <c r="E29" s="58">
        <f>IF('[36]سجل المستخلصات'!$F$10="","",'[36]سجل المستخلصات'!$F$10)</f>
        <v/>
      </c>
      <c r="F29" s="59">
        <f>IF('[36]سجل المستخلصات'!$H$10="","",'[36]سجل المستخلصات'!$H$10)</f>
        <v/>
      </c>
      <c r="G29" s="59">
        <f>IF('[36]سجل المستخلصات'!$G$10="","",'[36]سجل المستخلصات'!$G$10)</f>
        <v/>
      </c>
      <c r="H29" s="59">
        <f>IF('[36]سجل المستخلصات'!$I$10="","",'[36]سجل المستخلصات'!$I$10)</f>
        <v/>
      </c>
      <c r="I29" s="59">
        <f>IF('[36]سجل المستخلصات'!$J$10="","",'[36]سجل المستخلصات'!$J$10)</f>
        <v/>
      </c>
      <c r="J29" s="59">
        <f>IF('[36]سجل المستخلصات'!$K$10="","",'[36]سجل المستخلصات'!$K$10)</f>
        <v/>
      </c>
      <c r="K29" s="60">
        <f>IF('[36]سجل المستخلصات'!$L$10="","",'[36]سجل المستخلصات'!$L$10)</f>
        <v/>
      </c>
      <c r="L29" s="60">
        <f>IF('[36]سجل المستخلصات'!$M$10="","",'[36]سجل المستخلصات'!$M$10)</f>
        <v/>
      </c>
      <c r="M29" s="60">
        <f>IF('[36]سجل المستخلصات'!$N$10="","",'[36]سجل المستخلصات'!$N$10)</f>
        <v/>
      </c>
      <c r="N29" s="59">
        <f>IF('[36]سجل المستخلصات'!$O$10="","",'[36]سجل المستخلصات'!$O$10)</f>
        <v/>
      </c>
      <c r="O29" s="59">
        <f>IF('[36]سجل المستخلصات'!$R$10="","",'[36]سجل المستخلصات'!$R$10)</f>
        <v/>
      </c>
      <c r="P29" s="59">
        <f>IF('[36]سجل المستخلصات'!$S$10="","",'[36]سجل المستخلصات'!$S$10)</f>
        <v/>
      </c>
      <c r="Q29" s="59">
        <f>IF('[36]سجل المستخلصات'!$T$10="","",'[36]سجل المستخلصات'!$T$10)</f>
        <v/>
      </c>
      <c r="R29" s="59">
        <f>IF('[36]سجل المستخلصات'!$V$10="","",'[36]سجل المستخلصات'!$V$10)</f>
        <v/>
      </c>
      <c r="S29" s="59">
        <f>IF('[36]سجل المستخلصات'!$W$10="","",'[36]سجل المستخلصات'!$W$10)</f>
        <v/>
      </c>
      <c r="T29" s="61">
        <f>IF('[36]سجل المستخلصات'!$X$10="","",'[36]سجل المستخلصات'!$X$10)</f>
        <v/>
      </c>
      <c r="U29" s="61">
        <f>IF('[36]سجل المستخلصات'!$Z$10="","",'[36]سجل المستخلصات'!$Z$10)</f>
        <v/>
      </c>
      <c r="V29" s="59">
        <f>IF('[36]سجل المستخلصات'!$AA$10="","",'[36]سجل المستخلصات'!$AA$10)</f>
        <v/>
      </c>
      <c r="W29" s="59">
        <f>IF('[36]سجل المستخلصات'!$AC$10="","",'[36]سجل المستخلصات'!$AC$10)</f>
        <v/>
      </c>
      <c r="X29" s="62">
        <f>IF('[36]سجل المستخلصات'!$AD$10="","",'[36]سجل المستخلصات'!$AD$10)</f>
        <v/>
      </c>
      <c r="Y29" s="58">
        <f>IF('[36]سجل المستخلصات'!$AE$10="","",'[36]سجل المستخلصات'!$AE$10)</f>
        <v/>
      </c>
    </row>
    <row r="30">
      <c r="B30" s="56" t="n">
        <v>6</v>
      </c>
      <c r="C30" s="57">
        <f>IF('[36]سجل المستخلصات'!$C$11="","",'[36]سجل المستخلصات'!$C$11)</f>
        <v/>
      </c>
      <c r="D30" s="57">
        <f>IF('[36]سجل المستخلصات'!$E$11="","",'[36]سجل المستخلصات'!$E$11)</f>
        <v/>
      </c>
      <c r="E30" s="58">
        <f>IF('[36]سجل المستخلصات'!$F$11="","",'[36]سجل المستخلصات'!$F$11)</f>
        <v/>
      </c>
      <c r="F30" s="59">
        <f>IF('[36]سجل المستخلصات'!$H$11="","",'[36]سجل المستخلصات'!$H$11)</f>
        <v/>
      </c>
      <c r="G30" s="59">
        <f>IF('[36]سجل المستخلصات'!$G$11="","",'[36]سجل المستخلصات'!$G$11)</f>
        <v/>
      </c>
      <c r="H30" s="59">
        <f>IF('[36]سجل المستخلصات'!$I$11="","",'[36]سجل المستخلصات'!$I$11)</f>
        <v/>
      </c>
      <c r="I30" s="59">
        <f>IF('[36]سجل المستخلصات'!$J$11="","",'[36]سجل المستخلصات'!$J$11)</f>
        <v/>
      </c>
      <c r="J30" s="59">
        <f>IF('[36]سجل المستخلصات'!$K$11="","",'[36]سجل المستخلصات'!$K$11)</f>
        <v/>
      </c>
      <c r="K30" s="60">
        <f>IF('[36]سجل المستخلصات'!$L$11="","",'[36]سجل المستخلصات'!$L$11)</f>
        <v/>
      </c>
      <c r="L30" s="60">
        <f>IF('[36]سجل المستخلصات'!$M$11="","",'[36]سجل المستخلصات'!$M$11)</f>
        <v/>
      </c>
      <c r="M30" s="60">
        <f>IF('[36]سجل المستخلصات'!$N$11="","",'[36]سجل المستخلصات'!$N$11)</f>
        <v/>
      </c>
      <c r="N30" s="59">
        <f>IF('[36]سجل المستخلصات'!$O$11="","",'[36]سجل المستخلصات'!$O$11)</f>
        <v/>
      </c>
      <c r="O30" s="59">
        <f>IF('[36]سجل المستخلصات'!$R$11="","",'[36]سجل المستخلصات'!$R$11)</f>
        <v/>
      </c>
      <c r="P30" s="59">
        <f>IF('[36]سجل المستخلصات'!$S$11="","",'[36]سجل المستخلصات'!$S$11)</f>
        <v/>
      </c>
      <c r="Q30" s="59">
        <f>IF('[36]سجل المستخلصات'!$T$11="","",'[36]سجل المستخلصات'!$T$11)</f>
        <v/>
      </c>
      <c r="R30" s="59">
        <f>IF('[36]سجل المستخلصات'!$V$11="","",'[36]سجل المستخلصات'!$V$11)</f>
        <v/>
      </c>
      <c r="S30" s="59">
        <f>IF('[36]سجل المستخلصات'!$W$11="","",'[36]سجل المستخلصات'!$W$11)</f>
        <v/>
      </c>
      <c r="T30" s="61">
        <f>IF('[36]سجل المستخلصات'!$X$11="","",'[36]سجل المستخلصات'!$X$11)</f>
        <v/>
      </c>
      <c r="U30" s="61">
        <f>IF('[36]سجل المستخلصات'!$Z$11="","",'[36]سجل المستخلصات'!$Z$11)</f>
        <v/>
      </c>
      <c r="V30" s="59">
        <f>IF('[36]سجل المستخلصات'!$AA$11="","",'[36]سجل المستخلصات'!$AA$11)</f>
        <v/>
      </c>
      <c r="W30" s="59">
        <f>IF('[36]سجل المستخلصات'!$AC$11="","",'[36]سجل المستخلصات'!$AC$11)</f>
        <v/>
      </c>
      <c r="X30" s="62">
        <f>IF('[36]سجل المستخلصات'!$AD$11="","",'[36]سجل المستخلصات'!$AD$11)</f>
        <v/>
      </c>
      <c r="Y30" s="58">
        <f>IF('[36]سجل المستخلصات'!$AE$11="","",'[36]سجل المستخلصات'!$AE$11)</f>
        <v/>
      </c>
    </row>
    <row r="31">
      <c r="B31" s="56" t="n">
        <v>7</v>
      </c>
      <c r="C31" s="57">
        <f>IF('[36]سجل المستخلصات'!$C$12="","",'[36]سجل المستخلصات'!$C$12)</f>
        <v/>
      </c>
      <c r="D31" s="57">
        <f>IF('[36]سجل المستخلصات'!$E$12="","",'[36]سجل المستخلصات'!$E$12)</f>
        <v/>
      </c>
      <c r="E31" s="58">
        <f>IF('[36]سجل المستخلصات'!$F$12="","",'[36]سجل المستخلصات'!$F$12)</f>
        <v/>
      </c>
      <c r="F31" s="59">
        <f>IF('[36]سجل المستخلصات'!$H$12="","",'[36]سجل المستخلصات'!$H$12)</f>
        <v/>
      </c>
      <c r="G31" s="59">
        <f>IF('[36]سجل المستخلصات'!$G$12="","",'[36]سجل المستخلصات'!$G$12)</f>
        <v/>
      </c>
      <c r="H31" s="59">
        <f>IF('[36]سجل المستخلصات'!$I$12="","",'[36]سجل المستخلصات'!$I$12)</f>
        <v/>
      </c>
      <c r="I31" s="59">
        <f>IF('[36]سجل المستخلصات'!$J$12="","",'[36]سجل المستخلصات'!$J$12)</f>
        <v/>
      </c>
      <c r="J31" s="59">
        <f>IF('[36]سجل المستخلصات'!$K$12="","",'[36]سجل المستخلصات'!$K$12)</f>
        <v/>
      </c>
      <c r="K31" s="60">
        <f>IF('[36]سجل المستخلصات'!$L$12="","",'[36]سجل المستخلصات'!$L$12)</f>
        <v/>
      </c>
      <c r="L31" s="60">
        <f>IF('[36]سجل المستخلصات'!$M$12="","",'[36]سجل المستخلصات'!$M$12)</f>
        <v/>
      </c>
      <c r="M31" s="60">
        <f>IF('[36]سجل المستخلصات'!$N$12="","",'[36]سجل المستخلصات'!$N$12)</f>
        <v/>
      </c>
      <c r="N31" s="59">
        <f>IF('[36]سجل المستخلصات'!$O$12="","",'[36]سجل المستخلصات'!$O$12)</f>
        <v/>
      </c>
      <c r="O31" s="59">
        <f>IF('[36]سجل المستخلصات'!$R$12="","",'[36]سجل المستخلصات'!$R$12)</f>
        <v/>
      </c>
      <c r="P31" s="59">
        <f>IF('[36]سجل المستخلصات'!$S$12="","",'[36]سجل المستخلصات'!$S$12)</f>
        <v/>
      </c>
      <c r="Q31" s="59">
        <f>IF('[36]سجل المستخلصات'!$T$12="","",'[36]سجل المستخلصات'!$T$12)</f>
        <v/>
      </c>
      <c r="R31" s="59">
        <f>IF('[36]سجل المستخلصات'!$V$12="","",'[36]سجل المستخلصات'!$V$12)</f>
        <v/>
      </c>
      <c r="S31" s="59">
        <f>IF('[36]سجل المستخلصات'!$W$12="","",'[36]سجل المستخلصات'!$W$12)</f>
        <v/>
      </c>
      <c r="T31" s="61">
        <f>IF('[36]سجل المستخلصات'!$X$12="","",'[36]سجل المستخلصات'!$X$12)</f>
        <v/>
      </c>
      <c r="U31" s="61">
        <f>IF('[36]سجل المستخلصات'!$Z$12="","",'[36]سجل المستخلصات'!$Z$12)</f>
        <v/>
      </c>
      <c r="V31" s="59">
        <f>IF('[36]سجل المستخلصات'!$AA$12="","",'[36]سجل المستخلصات'!$AA$12)</f>
        <v/>
      </c>
      <c r="W31" s="59">
        <f>IF('[36]سجل المستخلصات'!$AC$12="","",'[36]سجل المستخلصات'!$AC$12)</f>
        <v/>
      </c>
      <c r="X31" s="62">
        <f>IF('[36]سجل المستخلصات'!$AD$12="","",'[36]سجل المستخلصات'!$AD$12)</f>
        <v/>
      </c>
      <c r="Y31" s="58">
        <f>IF('[36]سجل المستخلصات'!$AE$12="","",'[36]سجل المستخلصات'!$AE$12)</f>
        <v/>
      </c>
    </row>
    <row r="32">
      <c r="B32" s="56" t="n">
        <v>8</v>
      </c>
      <c r="C32" s="57">
        <f>IF('[36]سجل المستخلصات'!$C$13="","",'[36]سجل المستخلصات'!$C$13)</f>
        <v/>
      </c>
      <c r="D32" s="57">
        <f>IF('[36]سجل المستخلصات'!$E$13="","",'[36]سجل المستخلصات'!$E$13)</f>
        <v/>
      </c>
      <c r="E32" s="58">
        <f>IF('[36]سجل المستخلصات'!$F$13="","",'[36]سجل المستخلصات'!$F$13)</f>
        <v/>
      </c>
      <c r="F32" s="59">
        <f>IF('[36]سجل المستخلصات'!$H$13="","",'[36]سجل المستخلصات'!$H$13)</f>
        <v/>
      </c>
      <c r="G32" s="59">
        <f>IF('[36]سجل المستخلصات'!$G$13="","",'[36]سجل المستخلصات'!$G$13)</f>
        <v/>
      </c>
      <c r="H32" s="59">
        <f>IF('[36]سجل المستخلصات'!$I$13="","",'[36]سجل المستخلصات'!$I$13)</f>
        <v/>
      </c>
      <c r="I32" s="59">
        <f>IF('[36]سجل المستخلصات'!$J$13="","",'[36]سجل المستخلصات'!$J$13)</f>
        <v/>
      </c>
      <c r="J32" s="59">
        <f>IF('[36]سجل المستخلصات'!$K$13="","",'[36]سجل المستخلصات'!$K$13)</f>
        <v/>
      </c>
      <c r="K32" s="60">
        <f>IF('[36]سجل المستخلصات'!$L$13="","",'[36]سجل المستخلصات'!$L$13)</f>
        <v/>
      </c>
      <c r="L32" s="60">
        <f>IF('[36]سجل المستخلصات'!$M$13="","",'[36]سجل المستخلصات'!$M$13)</f>
        <v/>
      </c>
      <c r="M32" s="60">
        <f>IF('[36]سجل المستخلصات'!$N$13="","",'[36]سجل المستخلصات'!$N$13)</f>
        <v/>
      </c>
      <c r="N32" s="59">
        <f>IF('[36]سجل المستخلصات'!$O$13="","",'[36]سجل المستخلصات'!$O$13)</f>
        <v/>
      </c>
      <c r="O32" s="59">
        <f>IF('[36]سجل المستخلصات'!$R$13="","",'[36]سجل المستخلصات'!$R$13)</f>
        <v/>
      </c>
      <c r="P32" s="59">
        <f>IF('[36]سجل المستخلصات'!$S$13="","",'[36]سجل المستخلصات'!$S$13)</f>
        <v/>
      </c>
      <c r="Q32" s="59">
        <f>IF('[36]سجل المستخلصات'!$T$13="","",'[36]سجل المستخلصات'!$T$13)</f>
        <v/>
      </c>
      <c r="R32" s="59">
        <f>IF('[36]سجل المستخلصات'!$V$13="","",'[36]سجل المستخلصات'!$V$13)</f>
        <v/>
      </c>
      <c r="S32" s="59">
        <f>IF('[36]سجل المستخلصات'!$W$13="","",'[36]سجل المستخلصات'!$W$13)</f>
        <v/>
      </c>
      <c r="T32" s="61">
        <f>IF('[36]سجل المستخلصات'!$X$13="","",'[36]سجل المستخلصات'!$X$13)</f>
        <v/>
      </c>
      <c r="U32" s="61">
        <f>IF('[36]سجل المستخلصات'!$Z$13="","",'[36]سجل المستخلصات'!$Z$13)</f>
        <v/>
      </c>
      <c r="V32" s="59">
        <f>IF('[36]سجل المستخلصات'!$AA$13="","",'[36]سجل المستخلصات'!$AA$13)</f>
        <v/>
      </c>
      <c r="W32" s="59">
        <f>IF('[36]سجل المستخلصات'!$AC$13="","",'[36]سجل المستخلصات'!$AC$13)</f>
        <v/>
      </c>
      <c r="X32" s="62">
        <f>IF('[36]سجل المستخلصات'!$AD$13="","",'[36]سجل المستخلصات'!$AD$13)</f>
        <v/>
      </c>
      <c r="Y32" s="58">
        <f>IF('[36]سجل المستخلصات'!$AE$13="","",'[36]سجل المستخلصات'!$AE$13)</f>
        <v/>
      </c>
    </row>
    <row r="33">
      <c r="B33" s="56" t="n">
        <v>9</v>
      </c>
      <c r="C33" s="57">
        <f>IF('[36]سجل المستخلصات'!$C$14="","",'[36]سجل المستخلصات'!$C$14)</f>
        <v/>
      </c>
      <c r="D33" s="57">
        <f>IF('[36]سجل المستخلصات'!$E$14="","",'[36]سجل المستخلصات'!$E$14)</f>
        <v/>
      </c>
      <c r="E33" s="58">
        <f>IF('[36]سجل المستخلصات'!$F$14="","",'[36]سجل المستخلصات'!$F$14)</f>
        <v/>
      </c>
      <c r="F33" s="59">
        <f>IF('[36]سجل المستخلصات'!$H$14="","",'[36]سجل المستخلصات'!$H$14)</f>
        <v/>
      </c>
      <c r="G33" s="59">
        <f>IF('[36]سجل المستخلصات'!$G$14="","",'[36]سجل المستخلصات'!$G$14)</f>
        <v/>
      </c>
      <c r="H33" s="59">
        <f>IF('[36]سجل المستخلصات'!$I$14="","",'[36]سجل المستخلصات'!$I$14)</f>
        <v/>
      </c>
      <c r="I33" s="59">
        <f>IF('[36]سجل المستخلصات'!$J$14="","",'[36]سجل المستخلصات'!$J$14)</f>
        <v/>
      </c>
      <c r="J33" s="59">
        <f>IF('[36]سجل المستخلصات'!$K$14="","",'[36]سجل المستخلصات'!$K$14)</f>
        <v/>
      </c>
      <c r="K33" s="60">
        <f>IF('[36]سجل المستخلصات'!$L$14="","",'[36]سجل المستخلصات'!$L$14)</f>
        <v/>
      </c>
      <c r="L33" s="60">
        <f>IF('[36]سجل المستخلصات'!$M$14="","",'[36]سجل المستخلصات'!$M$14)</f>
        <v/>
      </c>
      <c r="M33" s="60">
        <f>IF('[36]سجل المستخلصات'!$N$14="","",'[36]سجل المستخلصات'!$N$14)</f>
        <v/>
      </c>
      <c r="N33" s="59">
        <f>IF('[36]سجل المستخلصات'!$O$14="","",'[36]سجل المستخلصات'!$O$14)</f>
        <v/>
      </c>
      <c r="O33" s="59">
        <f>IF('[36]سجل المستخلصات'!$R$14="","",'[36]سجل المستخلصات'!$R$14)</f>
        <v/>
      </c>
      <c r="P33" s="59">
        <f>IF('[36]سجل المستخلصات'!$S$14="","",'[36]سجل المستخلصات'!$S$14)</f>
        <v/>
      </c>
      <c r="Q33" s="59">
        <f>IF('[36]سجل المستخلصات'!$T$14="","",'[36]سجل المستخلصات'!$T$14)</f>
        <v/>
      </c>
      <c r="R33" s="59">
        <f>IF('[36]سجل المستخلصات'!$V$14="","",'[36]سجل المستخلصات'!$V$14)</f>
        <v/>
      </c>
      <c r="S33" s="59">
        <f>IF('[36]سجل المستخلصات'!$W$14="","",'[36]سجل المستخلصات'!$W$14)</f>
        <v/>
      </c>
      <c r="T33" s="61">
        <f>IF('[36]سجل المستخلصات'!$X$14="","",'[36]سجل المستخلصات'!$X$14)</f>
        <v/>
      </c>
      <c r="U33" s="61">
        <f>IF('[36]سجل المستخلصات'!$Z$14="","",'[36]سجل المستخلصات'!$Z$14)</f>
        <v/>
      </c>
      <c r="V33" s="59">
        <f>IF('[36]سجل المستخلصات'!$AA$14="","",'[36]سجل المستخلصات'!$AA$14)</f>
        <v/>
      </c>
      <c r="W33" s="59">
        <f>IF('[36]سجل المستخلصات'!$AC$14="","",'[36]سجل المستخلصات'!$AC$14)</f>
        <v/>
      </c>
      <c r="X33" s="62">
        <f>IF('[36]سجل المستخلصات'!$AD$14="","",'[36]سجل المستخلصات'!$AD$14)</f>
        <v/>
      </c>
      <c r="Y33" s="58">
        <f>IF('[36]سجل المستخلصات'!$AE$14="","",'[36]سجل المستخلصات'!$AE$14)</f>
        <v/>
      </c>
    </row>
    <row r="34">
      <c r="B34" s="56" t="n">
        <v>10</v>
      </c>
      <c r="C34" s="57">
        <f>IF('[36]سجل المستخلصات'!$C$15="","",'[36]سجل المستخلصات'!$C$15)</f>
        <v/>
      </c>
      <c r="D34" s="57">
        <f>IF('[36]سجل المستخلصات'!$E$15="","",'[36]سجل المستخلصات'!$E$15)</f>
        <v/>
      </c>
      <c r="E34" s="58">
        <f>IF('[36]سجل المستخلصات'!$F$15="","",'[36]سجل المستخلصات'!$F$15)</f>
        <v/>
      </c>
      <c r="F34" s="59">
        <f>IF('[36]سجل المستخلصات'!$H$15="","",'[36]سجل المستخلصات'!$H$15)</f>
        <v/>
      </c>
      <c r="G34" s="59">
        <f>IF('[36]سجل المستخلصات'!$G$15="","",'[36]سجل المستخلصات'!$G$15)</f>
        <v/>
      </c>
      <c r="H34" s="59">
        <f>IF('[36]سجل المستخلصات'!$I$15="","",'[36]سجل المستخلصات'!$I$15)</f>
        <v/>
      </c>
      <c r="I34" s="59">
        <f>IF('[36]سجل المستخلصات'!$J$15="","",'[36]سجل المستخلصات'!$J$15)</f>
        <v/>
      </c>
      <c r="J34" s="59">
        <f>IF('[36]سجل المستخلصات'!$K$15="","",'[36]سجل المستخلصات'!$K$15)</f>
        <v/>
      </c>
      <c r="K34" s="60">
        <f>IF('[36]سجل المستخلصات'!$L$15="","",'[36]سجل المستخلصات'!$L$15)</f>
        <v/>
      </c>
      <c r="L34" s="60">
        <f>IF('[36]سجل المستخلصات'!$M$15="","",'[36]سجل المستخلصات'!$M$15)</f>
        <v/>
      </c>
      <c r="M34" s="60">
        <f>IF('[36]سجل المستخلصات'!$N$15="","",'[36]سجل المستخلصات'!$N$15)</f>
        <v/>
      </c>
      <c r="N34" s="59">
        <f>IF('[36]سجل المستخلصات'!$O$15="","",'[36]سجل المستخلصات'!$O$15)</f>
        <v/>
      </c>
      <c r="O34" s="59">
        <f>IF('[36]سجل المستخلصات'!$R$15="","",'[36]سجل المستخلصات'!$R$15)</f>
        <v/>
      </c>
      <c r="P34" s="59">
        <f>IF('[36]سجل المستخلصات'!$S$15="","",'[36]سجل المستخلصات'!$S$15)</f>
        <v/>
      </c>
      <c r="Q34" s="59">
        <f>IF('[36]سجل المستخلصات'!$T$15="","",'[36]سجل المستخلصات'!$T$15)</f>
        <v/>
      </c>
      <c r="R34" s="59">
        <f>IF('[36]سجل المستخلصات'!$V$15="","",'[36]سجل المستخلصات'!$V$15)</f>
        <v/>
      </c>
      <c r="S34" s="59">
        <f>IF('[36]سجل المستخلصات'!$W$15="","",'[36]سجل المستخلصات'!$W$15)</f>
        <v/>
      </c>
      <c r="T34" s="61">
        <f>IF('[36]سجل المستخلصات'!$X$15="","",'[36]سجل المستخلصات'!$X$15)</f>
        <v/>
      </c>
      <c r="U34" s="61">
        <f>IF('[36]سجل المستخلصات'!$Z$15="","",'[36]سجل المستخلصات'!$Z$15)</f>
        <v/>
      </c>
      <c r="V34" s="59">
        <f>IF('[36]سجل المستخلصات'!$AA$15="","",'[36]سجل المستخلصات'!$AA$15)</f>
        <v/>
      </c>
      <c r="W34" s="59">
        <f>IF('[36]سجل المستخلصات'!$AC$15="","",'[36]سجل المستخلصات'!$AC$15)</f>
        <v/>
      </c>
      <c r="X34" s="62">
        <f>IF('[36]سجل المستخلصات'!$AD$15="","",'[36]سجل المستخلصات'!$AD$15)</f>
        <v/>
      </c>
      <c r="Y34" s="58">
        <f>IF('[36]سجل المستخلصات'!$AE$15="","",'[36]سجل المستخلصات'!$AE$15)</f>
        <v/>
      </c>
    </row>
    <row r="35">
      <c r="B35" s="56" t="n">
        <v>11</v>
      </c>
      <c r="C35" s="57">
        <f>IF('[36]سجل المستخلصات'!$C$16="","",'[36]سجل المستخلصات'!$C$16)</f>
        <v/>
      </c>
      <c r="D35" s="57">
        <f>IF('[36]سجل المستخلصات'!$E$16="","",'[36]سجل المستخلصات'!$E$16)</f>
        <v/>
      </c>
      <c r="E35" s="58">
        <f>IF('[36]سجل المستخلصات'!$F$16="","",'[36]سجل المستخلصات'!$F$16)</f>
        <v/>
      </c>
      <c r="F35" s="59">
        <f>IF('[36]سجل المستخلصات'!$H$16="","",'[36]سجل المستخلصات'!$H$16)</f>
        <v/>
      </c>
      <c r="G35" s="59">
        <f>IF('[36]سجل المستخلصات'!$G$16="","",'[36]سجل المستخلصات'!$G$16)</f>
        <v/>
      </c>
      <c r="H35" s="59">
        <f>IF('[36]سجل المستخلصات'!$I$16="","",'[36]سجل المستخلصات'!$I$16)</f>
        <v/>
      </c>
      <c r="I35" s="59">
        <f>IF('[36]سجل المستخلصات'!$J$16="","",'[36]سجل المستخلصات'!$J$16)</f>
        <v/>
      </c>
      <c r="J35" s="59">
        <f>IF('[36]سجل المستخلصات'!$K$16="","",'[36]سجل المستخلصات'!$K$16)</f>
        <v/>
      </c>
      <c r="K35" s="60">
        <f>IF('[36]سجل المستخلصات'!$L$16="","",'[36]سجل المستخلصات'!$L$16)</f>
        <v/>
      </c>
      <c r="L35" s="60">
        <f>IF('[36]سجل المستخلصات'!$M$16="","",'[36]سجل المستخلصات'!$M$16)</f>
        <v/>
      </c>
      <c r="M35" s="60">
        <f>IF('[36]سجل المستخلصات'!$N$16="","",'[36]سجل المستخلصات'!$N$16)</f>
        <v/>
      </c>
      <c r="N35" s="59">
        <f>IF('[36]سجل المستخلصات'!$O$16="","",'[36]سجل المستخلصات'!$O$16)</f>
        <v/>
      </c>
      <c r="O35" s="59">
        <f>IF('[36]سجل المستخلصات'!$R$16="","",'[36]سجل المستخلصات'!$R$16)</f>
        <v/>
      </c>
      <c r="P35" s="59">
        <f>IF('[36]سجل المستخلصات'!$S$16="","",'[36]سجل المستخلصات'!$S$16)</f>
        <v/>
      </c>
      <c r="Q35" s="59">
        <f>IF('[36]سجل المستخلصات'!$T$16="","",'[36]سجل المستخلصات'!$T$16)</f>
        <v/>
      </c>
      <c r="R35" s="59">
        <f>IF('[36]سجل المستخلصات'!$V$16="","",'[36]سجل المستخلصات'!$V$16)</f>
        <v/>
      </c>
      <c r="S35" s="59">
        <f>IF('[36]سجل المستخلصات'!$W$16="","",'[36]سجل المستخلصات'!$W$16)</f>
        <v/>
      </c>
      <c r="T35" s="61">
        <f>IF('[36]سجل المستخلصات'!$X$16="","",'[36]سجل المستخلصات'!$X$16)</f>
        <v/>
      </c>
      <c r="U35" s="61">
        <f>IF('[36]سجل المستخلصات'!$Z$16="","",'[36]سجل المستخلصات'!$Z$16)</f>
        <v/>
      </c>
      <c r="V35" s="59">
        <f>IF('[36]سجل المستخلصات'!$AA$16="","",'[36]سجل المستخلصات'!$AA$16)</f>
        <v/>
      </c>
      <c r="W35" s="59">
        <f>IF('[36]سجل المستخلصات'!$AC$16="","",'[36]سجل المستخلصات'!$AC$16)</f>
        <v/>
      </c>
      <c r="X35" s="62">
        <f>IF('[36]سجل المستخلصات'!$AD$16="","",'[36]سجل المستخلصات'!$AD$16)</f>
        <v/>
      </c>
      <c r="Y35" s="58">
        <f>IF('[36]سجل المستخلصات'!$AE$16="","",'[36]سجل المستخلصات'!$AE$16)</f>
        <v/>
      </c>
    </row>
    <row r="36">
      <c r="B36" s="56" t="n">
        <v>12</v>
      </c>
      <c r="C36" s="57">
        <f>IF('[36]سجل المستخلصات'!$C$17="","",'[36]سجل المستخلصات'!$C$17)</f>
        <v/>
      </c>
      <c r="D36" s="57">
        <f>IF('[36]سجل المستخلصات'!$E$17="","",'[36]سجل المستخلصات'!$E$17)</f>
        <v/>
      </c>
      <c r="E36" s="58">
        <f>IF('[36]سجل المستخلصات'!$F$17="","",'[36]سجل المستخلصات'!$F$17)</f>
        <v/>
      </c>
      <c r="F36" s="59">
        <f>IF('[36]سجل المستخلصات'!$H$17="","",'[36]سجل المستخلصات'!$H$17)</f>
        <v/>
      </c>
      <c r="G36" s="59">
        <f>IF('[36]سجل المستخلصات'!$G$17="","",'[36]سجل المستخلصات'!$G$17)</f>
        <v/>
      </c>
      <c r="H36" s="59">
        <f>IF('[36]سجل المستخلصات'!$I$17="","",'[36]سجل المستخلصات'!$I$17)</f>
        <v/>
      </c>
      <c r="I36" s="59">
        <f>IF('[36]سجل المستخلصات'!$J$17="","",'[36]سجل المستخلصات'!$J$17)</f>
        <v/>
      </c>
      <c r="J36" s="59">
        <f>IF('[36]سجل المستخلصات'!$K$17="","",'[36]سجل المستخلصات'!$K$17)</f>
        <v/>
      </c>
      <c r="K36" s="60">
        <f>IF('[36]سجل المستخلصات'!$L$17="","",'[36]سجل المستخلصات'!$L$17)</f>
        <v/>
      </c>
      <c r="L36" s="60">
        <f>IF('[36]سجل المستخلصات'!$M$17="","",'[36]سجل المستخلصات'!$M$17)</f>
        <v/>
      </c>
      <c r="M36" s="60">
        <f>IF('[36]سجل المستخلصات'!$N$17="","",'[36]سجل المستخلصات'!$N$17)</f>
        <v/>
      </c>
      <c r="N36" s="59">
        <f>IF('[36]سجل المستخلصات'!$O$17="","",'[36]سجل المستخلصات'!$O$17)</f>
        <v/>
      </c>
      <c r="O36" s="59">
        <f>IF('[36]سجل المستخلصات'!$R$17="","",'[36]سجل المستخلصات'!$R$17)</f>
        <v/>
      </c>
      <c r="P36" s="59">
        <f>IF('[36]سجل المستخلصات'!$S$17="","",'[36]سجل المستخلصات'!$S$17)</f>
        <v/>
      </c>
      <c r="Q36" s="59">
        <f>IF('[36]سجل المستخلصات'!$T$17="","",'[36]سجل المستخلصات'!$T$17)</f>
        <v/>
      </c>
      <c r="R36" s="59">
        <f>IF('[36]سجل المستخلصات'!$V$17="","",'[36]سجل المستخلصات'!$V$17)</f>
        <v/>
      </c>
      <c r="S36" s="59">
        <f>IF('[36]سجل المستخلصات'!$W$17="","",'[36]سجل المستخلصات'!$W$17)</f>
        <v/>
      </c>
      <c r="T36" s="61">
        <f>IF('[36]سجل المستخلصات'!$X$17="","",'[36]سجل المستخلصات'!$X$17)</f>
        <v/>
      </c>
      <c r="U36" s="61">
        <f>IF('[36]سجل المستخلصات'!$Z$17="","",'[36]سجل المستخلصات'!$Z$17)</f>
        <v/>
      </c>
      <c r="V36" s="59">
        <f>IF('[36]سجل المستخلصات'!$AA$17="","",'[36]سجل المستخلصات'!$AA$17)</f>
        <v/>
      </c>
      <c r="W36" s="59">
        <f>IF('[36]سجل المستخلصات'!$AC$17="","",'[36]سجل المستخلصات'!$AC$17)</f>
        <v/>
      </c>
      <c r="X36" s="62">
        <f>IF('[36]سجل المستخلصات'!$AD$17="","",'[36]سجل المستخلصات'!$AD$17)</f>
        <v/>
      </c>
      <c r="Y36" s="58">
        <f>IF('[36]سجل المستخلصات'!$AE$17="","",'[36]سجل المستخلصات'!$AE$17)</f>
        <v/>
      </c>
    </row>
    <row r="37">
      <c r="B37" s="56" t="n">
        <v>13</v>
      </c>
      <c r="C37" s="57">
        <f>IF('[36]سجل المستخلصات'!$C$18="","",'[36]سجل المستخلصات'!$C$18)</f>
        <v/>
      </c>
      <c r="D37" s="57">
        <f>IF('[36]سجل المستخلصات'!$E$18="","",'[36]سجل المستخلصات'!$E$18)</f>
        <v/>
      </c>
      <c r="E37" s="58">
        <f>IF('[36]سجل المستخلصات'!$F$18="","",'[36]سجل المستخلصات'!$F$18)</f>
        <v/>
      </c>
      <c r="F37" s="59">
        <f>IF('[36]سجل المستخلصات'!$H$18="","",'[36]سجل المستخلصات'!$H$18)</f>
        <v/>
      </c>
      <c r="G37" s="59">
        <f>IF('[36]سجل المستخلصات'!$G$18="","",'[36]سجل المستخلصات'!$G$18)</f>
        <v/>
      </c>
      <c r="H37" s="59">
        <f>IF('[36]سجل المستخلصات'!$I$18="","",'[36]سجل المستخلصات'!$I$18)</f>
        <v/>
      </c>
      <c r="I37" s="59">
        <f>IF('[36]سجل المستخلصات'!$J$18="","",'[36]سجل المستخلصات'!$J$18)</f>
        <v/>
      </c>
      <c r="J37" s="59">
        <f>IF('[36]سجل المستخلصات'!$K$18="","",'[36]سجل المستخلصات'!$K$18)</f>
        <v/>
      </c>
      <c r="K37" s="60">
        <f>IF('[36]سجل المستخلصات'!$L$18="","",'[36]سجل المستخلصات'!$L$18)</f>
        <v/>
      </c>
      <c r="L37" s="60">
        <f>IF('[36]سجل المستخلصات'!$M$18="","",'[36]سجل المستخلصات'!$M$18)</f>
        <v/>
      </c>
      <c r="M37" s="60">
        <f>IF('[36]سجل المستخلصات'!$N$18="","",'[36]سجل المستخلصات'!$N$18)</f>
        <v/>
      </c>
      <c r="N37" s="59">
        <f>IF('[36]سجل المستخلصات'!$O$18="","",'[36]سجل المستخلصات'!$O$18)</f>
        <v/>
      </c>
      <c r="O37" s="59">
        <f>IF('[36]سجل المستخلصات'!$R$18="","",'[36]سجل المستخلصات'!$R$18)</f>
        <v/>
      </c>
      <c r="P37" s="59">
        <f>IF('[36]سجل المستخلصات'!$S$18="","",'[36]سجل المستخلصات'!$S$18)</f>
        <v/>
      </c>
      <c r="Q37" s="59">
        <f>IF('[36]سجل المستخلصات'!$T$18="","",'[36]سجل المستخلصات'!$T$18)</f>
        <v/>
      </c>
      <c r="R37" s="59">
        <f>IF('[36]سجل المستخلصات'!$V$18="","",'[36]سجل المستخلصات'!$V$18)</f>
        <v/>
      </c>
      <c r="S37" s="59">
        <f>IF('[36]سجل المستخلصات'!$W$18="","",'[36]سجل المستخلصات'!$W$18)</f>
        <v/>
      </c>
      <c r="T37" s="61">
        <f>IF('[36]سجل المستخلصات'!$X$18="","",'[36]سجل المستخلصات'!$X$18)</f>
        <v/>
      </c>
      <c r="U37" s="61">
        <f>IF('[36]سجل المستخلصات'!$Z$18="","",'[36]سجل المستخلصات'!$Z$18)</f>
        <v/>
      </c>
      <c r="V37" s="59">
        <f>IF('[36]سجل المستخلصات'!$AA$18="","",'[36]سجل المستخلصات'!$AA$18)</f>
        <v/>
      </c>
      <c r="W37" s="59">
        <f>IF('[36]سجل المستخلصات'!$AC$18="","",'[36]سجل المستخلصات'!$AC$18)</f>
        <v/>
      </c>
      <c r="X37" s="62">
        <f>IF('[36]سجل المستخلصات'!$AD$18="","",'[36]سجل المستخلصات'!$AD$18)</f>
        <v/>
      </c>
      <c r="Y37" s="58">
        <f>IF('[36]سجل المستخلصات'!$AE$18="","",'[36]سجل المستخلصات'!$AE$18)</f>
        <v/>
      </c>
    </row>
    <row r="38">
      <c r="B38" s="56" t="n">
        <v>14</v>
      </c>
      <c r="C38" s="57">
        <f>IF('[36]سجل المستخلصات'!$C$19="","",'[36]سجل المستخلصات'!$C$19)</f>
        <v/>
      </c>
      <c r="D38" s="57">
        <f>IF('[36]سجل المستخلصات'!$E$19="","",'[36]سجل المستخلصات'!$E$19)</f>
        <v/>
      </c>
      <c r="E38" s="58">
        <f>IF('[36]سجل المستخلصات'!$F$19="","",'[36]سجل المستخلصات'!$F$19)</f>
        <v/>
      </c>
      <c r="F38" s="59">
        <f>IF('[36]سجل المستخلصات'!$H$19="","",'[36]سجل المستخلصات'!$H$19)</f>
        <v/>
      </c>
      <c r="G38" s="59">
        <f>IF('[36]سجل المستخلصات'!$G$19="","",'[36]سجل المستخلصات'!$G$19)</f>
        <v/>
      </c>
      <c r="H38" s="59">
        <f>IF('[36]سجل المستخلصات'!$I$19="","",'[36]سجل المستخلصات'!$I$19)</f>
        <v/>
      </c>
      <c r="I38" s="59">
        <f>IF('[36]سجل المستخلصات'!$J$19="","",'[36]سجل المستخلصات'!$J$19)</f>
        <v/>
      </c>
      <c r="J38" s="59">
        <f>IF('[36]سجل المستخلصات'!$K$19="","",'[36]سجل المستخلصات'!$K$19)</f>
        <v/>
      </c>
      <c r="K38" s="60">
        <f>IF('[36]سجل المستخلصات'!$L$19="","",'[36]سجل المستخلصات'!$L$19)</f>
        <v/>
      </c>
      <c r="L38" s="60">
        <f>IF('[36]سجل المستخلصات'!$M$19="","",'[36]سجل المستخلصات'!$M$19)</f>
        <v/>
      </c>
      <c r="M38" s="60">
        <f>IF('[36]سجل المستخلصات'!$N$19="","",'[36]سجل المستخلصات'!$N$19)</f>
        <v/>
      </c>
      <c r="N38" s="59">
        <f>IF('[36]سجل المستخلصات'!$O$19="","",'[36]سجل المستخلصات'!$O$19)</f>
        <v/>
      </c>
      <c r="O38" s="59">
        <f>IF('[36]سجل المستخلصات'!$R$19="","",'[36]سجل المستخلصات'!$R$19)</f>
        <v/>
      </c>
      <c r="P38" s="59">
        <f>IF('[36]سجل المستخلصات'!$S$19="","",'[36]سجل المستخلصات'!$S$19)</f>
        <v/>
      </c>
      <c r="Q38" s="59">
        <f>IF('[36]سجل المستخلصات'!$T$19="","",'[36]سجل المستخلصات'!$T$19)</f>
        <v/>
      </c>
      <c r="R38" s="59">
        <f>IF('[36]سجل المستخلصات'!$V$19="","",'[36]سجل المستخلصات'!$V$19)</f>
        <v/>
      </c>
      <c r="S38" s="59">
        <f>IF('[36]سجل المستخلصات'!$W$19="","",'[36]سجل المستخلصات'!$W$19)</f>
        <v/>
      </c>
      <c r="T38" s="61">
        <f>IF('[36]سجل المستخلصات'!$X$19="","",'[36]سجل المستخلصات'!$X$19)</f>
        <v/>
      </c>
      <c r="U38" s="61">
        <f>IF('[36]سجل المستخلصات'!$Z$19="","",'[36]سجل المستخلصات'!$Z$19)</f>
        <v/>
      </c>
      <c r="V38" s="59">
        <f>IF('[36]سجل المستخلصات'!$AA$19="","",'[36]سجل المستخلصات'!$AA$19)</f>
        <v/>
      </c>
      <c r="W38" s="59">
        <f>IF('[36]سجل المستخلصات'!$AC$19="","",'[36]سجل المستخلصات'!$AC$19)</f>
        <v/>
      </c>
      <c r="X38" s="62">
        <f>IF('[36]سجل المستخلصات'!$AD$19="","",'[36]سجل المستخلصات'!$AD$19)</f>
        <v/>
      </c>
      <c r="Y38" s="58">
        <f>IF('[36]سجل المستخلصات'!$AE$19="","",'[36]سجل المستخلصات'!$AE$19)</f>
        <v/>
      </c>
    </row>
    <row r="39">
      <c r="B39" s="56" t="n">
        <v>15</v>
      </c>
      <c r="C39" s="57">
        <f>IF('[36]سجل المستخلصات'!$C$20="","",'[36]سجل المستخلصات'!$C$20)</f>
        <v/>
      </c>
      <c r="D39" s="57">
        <f>IF('[36]سجل المستخلصات'!$E$20="","",'[36]سجل المستخلصات'!$E$20)</f>
        <v/>
      </c>
      <c r="E39" s="58">
        <f>IF('[36]سجل المستخلصات'!$F$20="","",'[36]سجل المستخلصات'!$F$20)</f>
        <v/>
      </c>
      <c r="F39" s="59">
        <f>IF('[36]سجل المستخلصات'!$H$20="","",'[36]سجل المستخلصات'!$H$20)</f>
        <v/>
      </c>
      <c r="G39" s="59">
        <f>IF('[36]سجل المستخلصات'!$G$20="","",'[36]سجل المستخلصات'!$G$20)</f>
        <v/>
      </c>
      <c r="H39" s="59">
        <f>IF('[36]سجل المستخلصات'!$I$20="","",'[36]سجل المستخلصات'!$I$20)</f>
        <v/>
      </c>
      <c r="I39" s="59">
        <f>IF('[36]سجل المستخلصات'!$J$20="","",'[36]سجل المستخلصات'!$J$20)</f>
        <v/>
      </c>
      <c r="J39" s="59">
        <f>IF('[36]سجل المستخلصات'!$K$20="","",'[36]سجل المستخلصات'!$K$20)</f>
        <v/>
      </c>
      <c r="K39" s="60">
        <f>IF('[36]سجل المستخلصات'!$L$20="","",'[36]سجل المستخلصات'!$L$20)</f>
        <v/>
      </c>
      <c r="L39" s="60">
        <f>IF('[36]سجل المستخلصات'!$M$20="","",'[36]سجل المستخلصات'!$M$20)</f>
        <v/>
      </c>
      <c r="M39" s="60">
        <f>IF('[36]سجل المستخلصات'!$N$20="","",'[36]سجل المستخلصات'!$N$20)</f>
        <v/>
      </c>
      <c r="N39" s="59">
        <f>IF('[36]سجل المستخلصات'!$O$20="","",'[36]سجل المستخلصات'!$O$20)</f>
        <v/>
      </c>
      <c r="O39" s="59">
        <f>IF('[36]سجل المستخلصات'!$R$20="","",'[36]سجل المستخلصات'!$R$20)</f>
        <v/>
      </c>
      <c r="P39" s="59">
        <f>IF('[36]سجل المستخلصات'!$S$20="","",'[36]سجل المستخلصات'!$S$20)</f>
        <v/>
      </c>
      <c r="Q39" s="59">
        <f>IF('[36]سجل المستخلصات'!$T$20="","",'[36]سجل المستخلصات'!$T$20)</f>
        <v/>
      </c>
      <c r="R39" s="59">
        <f>IF('[36]سجل المستخلصات'!$V$20="","",'[36]سجل المستخلصات'!$V$20)</f>
        <v/>
      </c>
      <c r="S39" s="59">
        <f>IF('[36]سجل المستخلصات'!$W$20="","",'[36]سجل المستخلصات'!$W$20)</f>
        <v/>
      </c>
      <c r="T39" s="61">
        <f>IF('[36]سجل المستخلصات'!$X$20="","",'[36]سجل المستخلصات'!$X$20)</f>
        <v/>
      </c>
      <c r="U39" s="61">
        <f>IF('[36]سجل المستخلصات'!$Z$20="","",'[36]سجل المستخلصات'!$Z$20)</f>
        <v/>
      </c>
      <c r="V39" s="59">
        <f>IF('[36]سجل المستخلصات'!$AA$20="","",'[36]سجل المستخلصات'!$AA$20)</f>
        <v/>
      </c>
      <c r="W39" s="59">
        <f>IF('[36]سجل المستخلصات'!$AC$20="","",'[36]سجل المستخلصات'!$AC$20)</f>
        <v/>
      </c>
      <c r="X39" s="62">
        <f>IF('[36]سجل المستخلصات'!$AD$20="","",'[36]سجل المستخلصات'!$AD$20)</f>
        <v/>
      </c>
      <c r="Y39" s="58">
        <f>IF('[36]سجل المستخلصات'!$AE$20="","",'[36]سجل المستخلصات'!$AE$20)</f>
        <v/>
      </c>
    </row>
    <row r="40">
      <c r="B40" s="56" t="n">
        <v>16</v>
      </c>
      <c r="C40" s="57">
        <f>IF('[36]سجل المستخلصات'!$C$21="","",'[36]سجل المستخلصات'!$C$21)</f>
        <v/>
      </c>
      <c r="D40" s="57">
        <f>IF('[36]سجل المستخلصات'!$E$21="","",'[36]سجل المستخلصات'!$E$21)</f>
        <v/>
      </c>
      <c r="E40" s="58">
        <f>IF('[36]سجل المستخلصات'!$F$21="","",'[36]سجل المستخلصات'!$F$21)</f>
        <v/>
      </c>
      <c r="F40" s="59">
        <f>IF('[36]سجل المستخلصات'!$H$21="","",'[36]سجل المستخلصات'!$H$21)</f>
        <v/>
      </c>
      <c r="G40" s="59">
        <f>IF('[36]سجل المستخلصات'!$G$21="","",'[36]سجل المستخلصات'!$G$21)</f>
        <v/>
      </c>
      <c r="H40" s="59">
        <f>IF('[36]سجل المستخلصات'!$I$21="","",'[36]سجل المستخلصات'!$I$21)</f>
        <v/>
      </c>
      <c r="I40" s="59">
        <f>IF('[36]سجل المستخلصات'!$J$21="","",'[36]سجل المستخلصات'!$J$21)</f>
        <v/>
      </c>
      <c r="J40" s="59">
        <f>IF('[36]سجل المستخلصات'!$K$21="","",'[36]سجل المستخلصات'!$K$21)</f>
        <v/>
      </c>
      <c r="K40" s="60">
        <f>IF('[36]سجل المستخلصات'!$L$21="","",'[36]سجل المستخلصات'!$L$21)</f>
        <v/>
      </c>
      <c r="L40" s="60">
        <f>IF('[36]سجل المستخلصات'!$M$21="","",'[36]سجل المستخلصات'!$M$21)</f>
        <v/>
      </c>
      <c r="M40" s="60">
        <f>IF('[36]سجل المستخلصات'!$N$21="","",'[36]سجل المستخلصات'!$N$21)</f>
        <v/>
      </c>
      <c r="N40" s="59">
        <f>IF('[36]سجل المستخلصات'!$O$21="","",'[36]سجل المستخلصات'!$O$21)</f>
        <v/>
      </c>
      <c r="O40" s="59">
        <f>IF('[36]سجل المستخلصات'!$R$21="","",'[36]سجل المستخلصات'!$R$21)</f>
        <v/>
      </c>
      <c r="P40" s="59">
        <f>IF('[36]سجل المستخلصات'!$S$21="","",'[36]سجل المستخلصات'!$S$21)</f>
        <v/>
      </c>
      <c r="Q40" s="59">
        <f>IF('[36]سجل المستخلصات'!$T$21="","",'[36]سجل المستخلصات'!$T$21)</f>
        <v/>
      </c>
      <c r="R40" s="59">
        <f>IF('[36]سجل المستخلصات'!$V$21="","",'[36]سجل المستخلصات'!$V$21)</f>
        <v/>
      </c>
      <c r="S40" s="59">
        <f>IF('[36]سجل المستخلصات'!$W$21="","",'[36]سجل المستخلصات'!$W$21)</f>
        <v/>
      </c>
      <c r="T40" s="61">
        <f>IF('[36]سجل المستخلصات'!$X$21="","",'[36]سجل المستخلصات'!$X$21)</f>
        <v/>
      </c>
      <c r="U40" s="61">
        <f>IF('[36]سجل المستخلصات'!$Z$21="","",'[36]سجل المستخلصات'!$Z$21)</f>
        <v/>
      </c>
      <c r="V40" s="59">
        <f>IF('[36]سجل المستخلصات'!$AA$21="","",'[36]سجل المستخلصات'!$AA$21)</f>
        <v/>
      </c>
      <c r="W40" s="59">
        <f>IF('[36]سجل المستخلصات'!$AC$21="","",'[36]سجل المستخلصات'!$AC$21)</f>
        <v/>
      </c>
      <c r="X40" s="62">
        <f>IF('[36]سجل المستخلصات'!$AD$21="","",'[36]سجل المستخلصات'!$AD$21)</f>
        <v/>
      </c>
      <c r="Y40" s="58">
        <f>IF('[36]سجل المستخلصات'!$AE$21="","",'[36]سجل المستخلصات'!$AE$21)</f>
        <v/>
      </c>
    </row>
    <row r="41">
      <c r="B41" s="56" t="n">
        <v>17</v>
      </c>
      <c r="C41" s="57">
        <f>IF('[36]سجل المستخلصات'!$C$22="","",'[36]سجل المستخلصات'!$C$22)</f>
        <v/>
      </c>
      <c r="D41" s="57">
        <f>IF('[36]سجل المستخلصات'!$E$22="","",'[36]سجل المستخلصات'!$E$22)</f>
        <v/>
      </c>
      <c r="E41" s="58">
        <f>IF('[36]سجل المستخلصات'!$F$22="","",'[36]سجل المستخلصات'!$F$22)</f>
        <v/>
      </c>
      <c r="F41" s="59">
        <f>IF('[36]سجل المستخلصات'!$H$22="","",'[36]سجل المستخلصات'!$H$22)</f>
        <v/>
      </c>
      <c r="G41" s="59">
        <f>IF('[36]سجل المستخلصات'!$G$22="","",'[36]سجل المستخلصات'!$G$22)</f>
        <v/>
      </c>
      <c r="H41" s="59">
        <f>IF('[36]سجل المستخلصات'!$I$22="","",'[36]سجل المستخلصات'!$I$22)</f>
        <v/>
      </c>
      <c r="I41" s="59">
        <f>IF('[36]سجل المستخلصات'!$J$22="","",'[36]سجل المستخلصات'!$J$22)</f>
        <v/>
      </c>
      <c r="J41" s="59">
        <f>IF('[36]سجل المستخلصات'!$K$22="","",'[36]سجل المستخلصات'!$K$22)</f>
        <v/>
      </c>
      <c r="K41" s="60">
        <f>IF('[36]سجل المستخلصات'!$L$22="","",'[36]سجل المستخلصات'!$L$22)</f>
        <v/>
      </c>
      <c r="L41" s="60">
        <f>IF('[36]سجل المستخلصات'!$M$22="","",'[36]سجل المستخلصات'!$M$22)</f>
        <v/>
      </c>
      <c r="M41" s="60">
        <f>IF('[36]سجل المستخلصات'!$N$22="","",'[36]سجل المستخلصات'!$N$22)</f>
        <v/>
      </c>
      <c r="N41" s="59">
        <f>IF('[36]سجل المستخلصات'!$O$22="","",'[36]سجل المستخلصات'!$O$22)</f>
        <v/>
      </c>
      <c r="O41" s="59">
        <f>IF('[36]سجل المستخلصات'!$R$22="","",'[36]سجل المستخلصات'!$R$22)</f>
        <v/>
      </c>
      <c r="P41" s="59">
        <f>IF('[36]سجل المستخلصات'!$S$22="","",'[36]سجل المستخلصات'!$S$22)</f>
        <v/>
      </c>
      <c r="Q41" s="59">
        <f>IF('[36]سجل المستخلصات'!$T$22="","",'[36]سجل المستخلصات'!$T$22)</f>
        <v/>
      </c>
      <c r="R41" s="59">
        <f>IF('[36]سجل المستخلصات'!$V$22="","",'[36]سجل المستخلصات'!$V$22)</f>
        <v/>
      </c>
      <c r="S41" s="59">
        <f>IF('[36]سجل المستخلصات'!$W$22="","",'[36]سجل المستخلصات'!$W$22)</f>
        <v/>
      </c>
      <c r="T41" s="61">
        <f>IF('[36]سجل المستخلصات'!$X$22="","",'[36]سجل المستخلصات'!$X$22)</f>
        <v/>
      </c>
      <c r="U41" s="61">
        <f>IF('[36]سجل المستخلصات'!$Z$22="","",'[36]سجل المستخلصات'!$Z$22)</f>
        <v/>
      </c>
      <c r="V41" s="59">
        <f>IF('[36]سجل المستخلصات'!$AA$22="","",'[36]سجل المستخلصات'!$AA$22)</f>
        <v/>
      </c>
      <c r="W41" s="59">
        <f>IF('[36]سجل المستخلصات'!$AC$22="","",'[36]سجل المستخلصات'!$AC$22)</f>
        <v/>
      </c>
      <c r="X41" s="62">
        <f>IF('[36]سجل المستخلصات'!$AD$22="","",'[36]سجل المستخلصات'!$AD$22)</f>
        <v/>
      </c>
      <c r="Y41" s="58">
        <f>IF('[36]سجل المستخلصات'!$AE$22="","",'[36]سجل المستخلصات'!$AE$22)</f>
        <v/>
      </c>
    </row>
    <row r="42">
      <c r="B42" s="56" t="n">
        <v>18</v>
      </c>
      <c r="C42" s="57">
        <f>IF('[36]سجل المستخلصات'!$C$23="","",'[36]سجل المستخلصات'!$C$23)</f>
        <v/>
      </c>
      <c r="D42" s="57">
        <f>IF('[36]سجل المستخلصات'!$E$23="","",'[36]سجل المستخلصات'!$E$23)</f>
        <v/>
      </c>
      <c r="E42" s="58">
        <f>IF('[36]سجل المستخلصات'!$F$23="","",'[36]سجل المستخلصات'!$F$23)</f>
        <v/>
      </c>
      <c r="F42" s="59">
        <f>IF('[36]سجل المستخلصات'!$H$23="","",'[36]سجل المستخلصات'!$H$23)</f>
        <v/>
      </c>
      <c r="G42" s="59">
        <f>IF('[36]سجل المستخلصات'!$G$23="","",'[36]سجل المستخلصات'!$G$23)</f>
        <v/>
      </c>
      <c r="H42" s="59">
        <f>IF('[36]سجل المستخلصات'!$I$23="","",'[36]سجل المستخلصات'!$I$23)</f>
        <v/>
      </c>
      <c r="I42" s="59">
        <f>IF('[36]سجل المستخلصات'!$J$23="","",'[36]سجل المستخلصات'!$J$23)</f>
        <v/>
      </c>
      <c r="J42" s="59">
        <f>IF('[36]سجل المستخلصات'!$K$23="","",'[36]سجل المستخلصات'!$K$23)</f>
        <v/>
      </c>
      <c r="K42" s="60">
        <f>IF('[36]سجل المستخلصات'!$L$23="","",'[36]سجل المستخلصات'!$L$23)</f>
        <v/>
      </c>
      <c r="L42" s="60">
        <f>IF('[36]سجل المستخلصات'!$M$23="","",'[36]سجل المستخلصات'!$M$23)</f>
        <v/>
      </c>
      <c r="M42" s="60">
        <f>IF('[36]سجل المستخلصات'!$N$23="","",'[36]سجل المستخلصات'!$N$23)</f>
        <v/>
      </c>
      <c r="N42" s="59">
        <f>IF('[36]سجل المستخلصات'!$O$23="","",'[36]سجل المستخلصات'!$O$23)</f>
        <v/>
      </c>
      <c r="O42" s="59">
        <f>IF('[36]سجل المستخلصات'!$R$23="","",'[36]سجل المستخلصات'!$R$23)</f>
        <v/>
      </c>
      <c r="P42" s="59">
        <f>IF('[36]سجل المستخلصات'!$S$23="","",'[36]سجل المستخلصات'!$S$23)</f>
        <v/>
      </c>
      <c r="Q42" s="59">
        <f>IF('[36]سجل المستخلصات'!$T$23="","",'[36]سجل المستخلصات'!$T$23)</f>
        <v/>
      </c>
      <c r="R42" s="59">
        <f>IF('[36]سجل المستخلصات'!$V$23="","",'[36]سجل المستخلصات'!$V$23)</f>
        <v/>
      </c>
      <c r="S42" s="59">
        <f>IF('[36]سجل المستخلصات'!$W$23="","",'[36]سجل المستخلصات'!$W$23)</f>
        <v/>
      </c>
      <c r="T42" s="61">
        <f>IF('[36]سجل المستخلصات'!$X$23="","",'[36]سجل المستخلصات'!$X$23)</f>
        <v/>
      </c>
      <c r="U42" s="61">
        <f>IF('[36]سجل المستخلصات'!$Z$23="","",'[36]سجل المستخلصات'!$Z$23)</f>
        <v/>
      </c>
      <c r="V42" s="59">
        <f>IF('[36]سجل المستخلصات'!$AA$23="","",'[36]سجل المستخلصات'!$AA$23)</f>
        <v/>
      </c>
      <c r="W42" s="59">
        <f>IF('[36]سجل المستخلصات'!$AC$23="","",'[36]سجل المستخلصات'!$AC$23)</f>
        <v/>
      </c>
      <c r="X42" s="62">
        <f>IF('[36]سجل المستخلصات'!$AD$23="","",'[36]سجل المستخلصات'!$AD$23)</f>
        <v/>
      </c>
      <c r="Y42" s="58">
        <f>IF('[36]سجل المستخلصات'!$AE$23="","",'[36]سجل المستخلصات'!$AE$23)</f>
        <v/>
      </c>
    </row>
    <row r="43">
      <c r="B43" s="56" t="n">
        <v>19</v>
      </c>
      <c r="C43" s="57">
        <f>IF('[36]سجل المستخلصات'!$C$24="","",'[36]سجل المستخلصات'!$C$24)</f>
        <v/>
      </c>
      <c r="D43" s="57">
        <f>IF('[36]سجل المستخلصات'!$E$24="","",'[36]سجل المستخلصات'!$E$24)</f>
        <v/>
      </c>
      <c r="E43" s="58">
        <f>IF('[36]سجل المستخلصات'!$F$24="","",'[36]سجل المستخلصات'!$F$24)</f>
        <v/>
      </c>
      <c r="F43" s="59">
        <f>IF('[36]سجل المستخلصات'!$H$24="","",'[36]سجل المستخلصات'!$H$24)</f>
        <v/>
      </c>
      <c r="G43" s="59">
        <f>IF('[36]سجل المستخلصات'!$G$24="","",'[36]سجل المستخلصات'!$G$24)</f>
        <v/>
      </c>
      <c r="H43" s="59">
        <f>IF('[36]سجل المستخلصات'!$I$24="","",'[36]سجل المستخلصات'!$I$24)</f>
        <v/>
      </c>
      <c r="I43" s="59">
        <f>IF('[36]سجل المستخلصات'!$J$24="","",'[36]سجل المستخلصات'!$J$24)</f>
        <v/>
      </c>
      <c r="J43" s="59">
        <f>IF('[36]سجل المستخلصات'!$K$24="","",'[36]سجل المستخلصات'!$K$24)</f>
        <v/>
      </c>
      <c r="K43" s="60">
        <f>IF('[36]سجل المستخلصات'!$L$24="","",'[36]سجل المستخلصات'!$L$24)</f>
        <v/>
      </c>
      <c r="L43" s="60">
        <f>IF('[36]سجل المستخلصات'!$M$24="","",'[36]سجل المستخلصات'!$M$24)</f>
        <v/>
      </c>
      <c r="M43" s="60">
        <f>IF('[36]سجل المستخلصات'!$N$24="","",'[36]سجل المستخلصات'!$N$24)</f>
        <v/>
      </c>
      <c r="N43" s="59">
        <f>IF('[36]سجل المستخلصات'!$O$24="","",'[36]سجل المستخلصات'!$O$24)</f>
        <v/>
      </c>
      <c r="O43" s="59">
        <f>IF('[36]سجل المستخلصات'!$R$24="","",'[36]سجل المستخلصات'!$R$24)</f>
        <v/>
      </c>
      <c r="P43" s="59">
        <f>IF('[36]سجل المستخلصات'!$S$24="","",'[36]سجل المستخلصات'!$S$24)</f>
        <v/>
      </c>
      <c r="Q43" s="59">
        <f>IF('[36]سجل المستخلصات'!$T$24="","",'[36]سجل المستخلصات'!$T$24)</f>
        <v/>
      </c>
      <c r="R43" s="59">
        <f>IF('[36]سجل المستخلصات'!$V$24="","",'[36]سجل المستخلصات'!$V$24)</f>
        <v/>
      </c>
      <c r="S43" s="59">
        <f>IF('[36]سجل المستخلصات'!$W$24="","",'[36]سجل المستخلصات'!$W$24)</f>
        <v/>
      </c>
      <c r="T43" s="61">
        <f>IF('[36]سجل المستخلصات'!$X$24="","",'[36]سجل المستخلصات'!$X$24)</f>
        <v/>
      </c>
      <c r="U43" s="61">
        <f>IF('[36]سجل المستخلصات'!$Z$24="","",'[36]سجل المستخلصات'!$Z$24)</f>
        <v/>
      </c>
      <c r="V43" s="59">
        <f>IF('[36]سجل المستخلصات'!$AA$24="","",'[36]سجل المستخلصات'!$AA$24)</f>
        <v/>
      </c>
      <c r="W43" s="59">
        <f>IF('[36]سجل المستخلصات'!$AC$24="","",'[36]سجل المستخلصات'!$AC$24)</f>
        <v/>
      </c>
      <c r="X43" s="62">
        <f>IF('[36]سجل المستخلصات'!$AD$24="","",'[36]سجل المستخلصات'!$AD$24)</f>
        <v/>
      </c>
      <c r="Y43" s="58">
        <f>IF('[36]سجل المستخلصات'!$AE$24="","",'[36]سجل المستخلصات'!$AE$24)</f>
        <v/>
      </c>
    </row>
    <row r="44">
      <c r="B44" s="56" t="n">
        <v>20</v>
      </c>
      <c r="C44" s="57">
        <f>IF('[36]سجل المستخلصات'!$C$25="","",'[36]سجل المستخلصات'!$C$25)</f>
        <v/>
      </c>
      <c r="D44" s="57">
        <f>IF('[36]سجل المستخلصات'!$E$25="","",'[36]سجل المستخلصات'!$E$25)</f>
        <v/>
      </c>
      <c r="E44" s="58">
        <f>IF('[36]سجل المستخلصات'!$F$25="","",'[36]سجل المستخلصات'!$F$25)</f>
        <v/>
      </c>
      <c r="F44" s="59">
        <f>IF('[36]سجل المستخلصات'!$H$25="","",'[36]سجل المستخلصات'!$H$25)</f>
        <v/>
      </c>
      <c r="G44" s="59">
        <f>IF('[36]سجل المستخلصات'!$G$25="","",'[36]سجل المستخلصات'!$G$25)</f>
        <v/>
      </c>
      <c r="H44" s="59">
        <f>IF('[36]سجل المستخلصات'!$I$25="","",'[36]سجل المستخلصات'!$I$25)</f>
        <v/>
      </c>
      <c r="I44" s="59">
        <f>IF('[36]سجل المستخلصات'!$J$25="","",'[36]سجل المستخلصات'!$J$25)</f>
        <v/>
      </c>
      <c r="J44" s="59">
        <f>IF('[36]سجل المستخلصات'!$K$25="","",'[36]سجل المستخلصات'!$K$25)</f>
        <v/>
      </c>
      <c r="K44" s="60">
        <f>IF('[36]سجل المستخلصات'!$L$25="","",'[36]سجل المستخلصات'!$L$25)</f>
        <v/>
      </c>
      <c r="L44" s="60">
        <f>IF('[36]سجل المستخلصات'!$M$25="","",'[36]سجل المستخلصات'!$M$25)</f>
        <v/>
      </c>
      <c r="M44" s="60">
        <f>IF('[36]سجل المستخلصات'!$N$25="","",'[36]سجل المستخلصات'!$N$25)</f>
        <v/>
      </c>
      <c r="N44" s="59">
        <f>IF('[36]سجل المستخلصات'!$O$25="","",'[36]سجل المستخلصات'!$O$25)</f>
        <v/>
      </c>
      <c r="O44" s="59">
        <f>IF('[36]سجل المستخلصات'!$R$25="","",'[36]سجل المستخلصات'!$R$25)</f>
        <v/>
      </c>
      <c r="P44" s="59">
        <f>IF('[36]سجل المستخلصات'!$S$25="","",'[36]سجل المستخلصات'!$S$25)</f>
        <v/>
      </c>
      <c r="Q44" s="59">
        <f>IF('[36]سجل المستخلصات'!$T$25="","",'[36]سجل المستخلصات'!$T$25)</f>
        <v/>
      </c>
      <c r="R44" s="59">
        <f>IF('[36]سجل المستخلصات'!$V$25="","",'[36]سجل المستخلصات'!$V$25)</f>
        <v/>
      </c>
      <c r="S44" s="59">
        <f>IF('[36]سجل المستخلصات'!$W$25="","",'[36]سجل المستخلصات'!$W$25)</f>
        <v/>
      </c>
      <c r="T44" s="61">
        <f>IF('[36]سجل المستخلصات'!$X$25="","",'[36]سجل المستخلصات'!$X$25)</f>
        <v/>
      </c>
      <c r="U44" s="61">
        <f>IF('[36]سجل المستخلصات'!$Z$25="","",'[36]سجل المستخلصات'!$Z$25)</f>
        <v/>
      </c>
      <c r="V44" s="59">
        <f>IF('[36]سجل المستخلصات'!$AA$25="","",'[36]سجل المستخلصات'!$AA$25)</f>
        <v/>
      </c>
      <c r="W44" s="59">
        <f>IF('[36]سجل المستخلصات'!$AC$25="","",'[36]سجل المستخلصات'!$AC$25)</f>
        <v/>
      </c>
      <c r="X44" s="62">
        <f>IF('[36]سجل المستخلصات'!$AD$25="","",'[36]سجل المستخلصات'!$AD$25)</f>
        <v/>
      </c>
      <c r="Y44" s="58">
        <f>IF('[36]سجل المستخلصات'!$AE$25="","",'[36]سجل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IF('[36]سجل المستخلصات'!$B$32="","",'[36]سجل المستخلصات'!$B$32)</f>
        <v/>
      </c>
      <c r="C50" s="69" t="n"/>
      <c r="D50" s="69" t="n"/>
      <c r="E50" s="59">
        <f>N('[36]سجل المستخلصات'!$E$32)</f>
        <v/>
      </c>
      <c r="F50" s="59">
        <f>N('[36]سجل المستخلصات'!$F$32)</f>
        <v/>
      </c>
      <c r="G50" s="70">
        <f>IF(E50&gt;0,F50/E50,0)</f>
        <v/>
      </c>
    </row>
    <row r="51">
      <c r="B51" s="69">
        <f>IF('[36]سجل المستخلصات'!$B$33="","",'[36]سجل المستخلصات'!$B$33)</f>
        <v/>
      </c>
      <c r="C51" s="69" t="n"/>
      <c r="D51" s="69" t="n"/>
      <c r="E51" s="59">
        <f>N('[36]سجل المستخلصات'!$E$33)</f>
        <v/>
      </c>
      <c r="F51" s="59">
        <f>N('[36]سجل المستخلصات'!$F$33)</f>
        <v/>
      </c>
      <c r="G51" s="70">
        <f>IF(E51&gt;0,F51/E51,0)</f>
        <v/>
      </c>
    </row>
    <row r="52">
      <c r="B52" s="69">
        <f>IF('[36]سجل المستخلصات'!$B$34="","",'[36]سجل المستخلصات'!$B$34)</f>
        <v/>
      </c>
      <c r="C52" s="69" t="n"/>
      <c r="D52" s="69" t="n"/>
      <c r="E52" s="59">
        <f>N('[36]سجل المستخلصات'!$E$34)</f>
        <v/>
      </c>
      <c r="F52" s="59">
        <f>N('[36]سجل المستخلصات'!$F$34)</f>
        <v/>
      </c>
      <c r="G52" s="70">
        <f>IF(E52&gt;0,F52/E52,0)</f>
        <v/>
      </c>
    </row>
    <row r="53">
      <c r="B53" s="69">
        <f>IF('[36]سجل المستخلصات'!$B$35="","",'[36]سجل المستخلصات'!$B$35)</f>
        <v/>
      </c>
      <c r="C53" s="69" t="n"/>
      <c r="D53" s="69" t="n"/>
      <c r="E53" s="59">
        <f>N('[36]سجل المستخلصات'!$E$35)</f>
        <v/>
      </c>
      <c r="F53" s="59">
        <f>N('[36]سجل المستخلصات'!$F$35)</f>
        <v/>
      </c>
      <c r="G53" s="70">
        <f>IF(E53&gt;0,F53/E53,0)</f>
        <v/>
      </c>
    </row>
    <row r="54">
      <c r="B54" s="69">
        <f>IF('[36]سجل المستخلصات'!$B$36="","",'[36]سجل المستخلصات'!$B$36)</f>
        <v/>
      </c>
      <c r="C54" s="69" t="n"/>
      <c r="D54" s="69" t="n"/>
      <c r="E54" s="59">
        <f>N('[36]سجل المستخلصات'!$E$36)</f>
        <v/>
      </c>
      <c r="F54" s="59">
        <f>N('[36]سجل المستخلصات'!$F$36)</f>
        <v/>
      </c>
      <c r="G54" s="70">
        <f>IF(E54&gt;0,F54/E54,0)</f>
        <v/>
      </c>
    </row>
    <row r="55">
      <c r="B55" s="69">
        <f>IF('[36]سجل المستخلصات'!$B$37="","",'[36]سجل المستخلصات'!$B$37)</f>
        <v/>
      </c>
      <c r="C55" s="69" t="n"/>
      <c r="D55" s="69" t="n"/>
      <c r="E55" s="59">
        <f>N('[36]سجل المستخلصات'!$E$37)</f>
        <v/>
      </c>
      <c r="F55" s="59">
        <f>N('[36]سجل المستخلصات'!$F$37)</f>
        <v/>
      </c>
      <c r="G55" s="70">
        <f>IF(E55&gt;0,F55/E55,0)</f>
        <v/>
      </c>
    </row>
    <row r="56">
      <c r="B56" s="69">
        <f>IF('[36]سجل المستخلصات'!$B$38="","",'[36]سجل المستخلصات'!$B$38)</f>
        <v/>
      </c>
      <c r="C56" s="69" t="n"/>
      <c r="D56" s="69" t="n"/>
      <c r="E56" s="59">
        <f>N('[36]سجل المستخلصات'!$E$38)</f>
        <v/>
      </c>
      <c r="F56" s="59">
        <f>N('[36]سجل المستخلصات'!$F$38)</f>
        <v/>
      </c>
      <c r="G56" s="70">
        <f>IF(E56&gt;0,F56/E56,0)</f>
        <v/>
      </c>
    </row>
    <row r="57">
      <c r="B57" s="69">
        <f>IF('[36]سجل المستخلصات'!$B$39="","",'[36]سجل المستخلصات'!$B$39)</f>
        <v/>
      </c>
      <c r="C57" s="69" t="n"/>
      <c r="D57" s="69" t="n"/>
      <c r="E57" s="59">
        <f>N('[36]سجل المستخلصات'!$E$39)</f>
        <v/>
      </c>
      <c r="F57" s="59">
        <f>N('[36]سجل المستخلصات'!$F$39)</f>
        <v/>
      </c>
      <c r="G57" s="70">
        <f>IF(E57&gt;0,F57/E57,0)</f>
        <v/>
      </c>
    </row>
    <row r="58">
      <c r="B58" s="69">
        <f>IF('[36]سجل المستخلصات'!$B$40="","",'[36]سجل المستخلصات'!$B$40)</f>
        <v/>
      </c>
      <c r="C58" s="69" t="n"/>
      <c r="D58" s="69" t="n"/>
      <c r="E58" s="59">
        <f>N('[36]سجل المستخلصات'!$E$40)</f>
        <v/>
      </c>
      <c r="F58" s="59">
        <f>N('[36]سجل المستخلصات'!$F$40)</f>
        <v/>
      </c>
      <c r="G58" s="70">
        <f>IF(E58&gt;0,F58/E58,0)</f>
        <v/>
      </c>
    </row>
    <row r="59">
      <c r="B59" s="69">
        <f>IF('[36]سجل المستخلصات'!$B$41="","",'[36]سجل المستخلصات'!$B$41)</f>
        <v/>
      </c>
      <c r="C59" s="69" t="n"/>
      <c r="D59" s="69" t="n"/>
      <c r="E59" s="59">
        <f>N('[36]سجل المستخلصات'!$E$41)</f>
        <v/>
      </c>
      <c r="F59" s="59">
        <f>N('[36]سجل المستخلصات'!$F$41)</f>
        <v/>
      </c>
      <c r="G59" s="70">
        <f>IF(E59&gt;0,F59/E59,0)</f>
        <v/>
      </c>
    </row>
    <row r="60">
      <c r="B60" s="69">
        <f>IF('[36]سجل المستخلصات'!$B$42="","",'[36]سجل المستخلصات'!$B$42)</f>
        <v/>
      </c>
      <c r="C60" s="69" t="n"/>
      <c r="D60" s="69" t="n"/>
      <c r="E60" s="59">
        <f>N('[36]سجل المستخلصات'!$E$42)</f>
        <v/>
      </c>
      <c r="F60" s="59">
        <f>N('[36]سجل المستخلصات'!$F$42)</f>
        <v/>
      </c>
      <c r="G60" s="70">
        <f>IF(E60&gt;0,F60/E60,0)</f>
        <v/>
      </c>
    </row>
    <row r="61">
      <c r="B61" s="69">
        <f>IF('[36]سجل المستخلصات'!$B$43="","",'[36]سجل المستخلصات'!$B$43)</f>
        <v/>
      </c>
      <c r="C61" s="69" t="n"/>
      <c r="D61" s="69" t="n"/>
      <c r="E61" s="59">
        <f>N('[36]سجل المستخلصات'!$E$43)</f>
        <v/>
      </c>
      <c r="F61" s="59">
        <f>N('[36]سجل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35'!A1" display="◄ المشروع السابق"/>
    <hyperlink ref="D3" location="'مشروع 37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3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"&amp;IF('[37]بيانات العقد'!$C$5="","مشروع رقم 37 — غير مُفعّل",'[37]بيانات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Project_37/IPC_Project_37.xlsx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IF('[37]بيانات العقد'!$C$5="","",'[37]بيانات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IF('[37]بيانات العقد'!$C$6="","",'[37]بيانات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IF('[37]بيانات العقد'!$C$7="","",'[37]بيانات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IF('[37]بيانات العقد'!$C$8="","",'[37]بيانات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N('[37]بيانات العقد'!$C$16)</f>
        <v/>
      </c>
    </row>
    <row r="6" ht="22" customHeight="1">
      <c r="B6" s="11" t="inlineStr">
        <is>
          <t>المقاول</t>
        </is>
      </c>
      <c r="C6" s="14">
        <f>IF('[37]بيانات العقد'!$C$9="","",'[37]بيانات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IF('[37]بيانات العقد'!$C$11="","",'[37]بيانات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IF('[37]بيانات العقد'!$C$13="","",'[37]بيانات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IF('[37]بيانات العقد'!$C$14="","",'[37]بيانات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N('[37]بيانات العقد'!$C$17)</f>
        <v/>
      </c>
    </row>
    <row r="7">
      <c r="AA7" s="15" t="inlineStr">
        <is>
          <t>قيمة العقد المعدلة</t>
        </is>
      </c>
      <c r="AB7" s="16">
        <f>N('[37]بيانات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N('[37]بيانات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N('[37]بيانات العقد'!$C$21)</f>
        <v/>
      </c>
    </row>
    <row r="10">
      <c r="AA10" s="15" t="inlineStr">
        <is>
          <t>نسبة ضمان الأعمال</t>
        </is>
      </c>
      <c r="AB10" s="23">
        <f>N('[37]بيانات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N('[37]بيانات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N('[37]بيانات العقد'!$C$31)</f>
        <v/>
      </c>
    </row>
    <row r="13">
      <c r="AA13" s="15" t="inlineStr">
        <is>
          <t>ضريبة الاستقطاع (غير المقيم)</t>
        </is>
      </c>
      <c r="AB13" s="23">
        <f>N('[37]بيانات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IF('[37]بيانات العقد'!$C$11="","",'[37]بيانات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IF('[37]بيانات العقد'!$C$13="","",'[37]بيانات العقد'!$C$13)</f>
        <v/>
      </c>
    </row>
    <row r="16">
      <c r="AA16" s="15" t="inlineStr">
        <is>
          <t>المدة (شهر)</t>
        </is>
      </c>
      <c r="AB16" s="43">
        <f>IF('[37]بيانات العقد'!$C$12="","",'[37]بيانات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IF('[37]بيانات العقد'!$C$36="","",'[37]بيانات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IF('[37]بيانات العقد'!$C$37="","",'[37]بيانات العقد'!$C$37)</f>
        <v/>
      </c>
    </row>
    <row r="19">
      <c r="AA19" s="15" t="inlineStr">
        <is>
          <t>الرقم الضريبي لصاحب العمل</t>
        </is>
      </c>
      <c r="AB19" s="48">
        <f>IF('[37]بيانات العقد'!$C$39="","",'[37]بيانات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IF('[37]بيانات العقد'!$C$42="","",'[37]بيانات العقد'!$C$42)</f>
        <v/>
      </c>
    </row>
    <row r="21" ht="32" customHeight="1">
      <c r="B21" s="50">
        <f>N('[37]الموازنة والتكاليف'!$D$66)</f>
        <v/>
      </c>
      <c r="C21" s="50" t="n"/>
      <c r="D21" s="50" t="n"/>
      <c r="E21" s="50" t="n"/>
      <c r="F21" s="50">
        <f>N('[37]الموازنة والتكاليف'!$D$70)</f>
        <v/>
      </c>
      <c r="G21" s="50" t="n"/>
      <c r="H21" s="50" t="n"/>
      <c r="I21" s="50" t="n"/>
      <c r="J21" s="50">
        <f>N('[37]الموازنة والتكاليف'!$D$72)</f>
        <v/>
      </c>
      <c r="K21" s="50" t="n"/>
      <c r="L21" s="50" t="n"/>
      <c r="M21" s="50" t="n"/>
      <c r="N21" s="51">
        <f>N('[37]الموازنة والتكاليف'!$D$73)</f>
        <v/>
      </c>
      <c r="O21" s="51" t="n"/>
      <c r="P21" s="51" t="n"/>
      <c r="Q21" s="51" t="n"/>
      <c r="R21" s="52">
        <f>N('[37]الموازنة والتكاليف'!$D$74)</f>
        <v/>
      </c>
      <c r="S21" s="52" t="n"/>
      <c r="T21" s="52" t="n"/>
      <c r="U21" s="52" t="n"/>
      <c r="V21" s="50">
        <f>N('[37]الموازنة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IF('[37]بيانات العقد'!$C$43="","",'[37]بيانات العقد'!$C$43)</f>
        <v/>
      </c>
    </row>
    <row r="22">
      <c r="AA22" s="15" t="inlineStr">
        <is>
          <t>حالة غرامات التأخير</t>
        </is>
      </c>
      <c r="AB22" s="45">
        <f>IF('[37]بيانات العقد'!$C$47="","",'[37]بيانات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IF('[37]سجل المستخلصات'!$C$6="","",'[37]سجل المستخلصات'!$C$6)</f>
        <v/>
      </c>
      <c r="D25" s="57">
        <f>IF('[37]سجل المستخلصات'!$E$6="","",'[37]سجل المستخلصات'!$E$6)</f>
        <v/>
      </c>
      <c r="E25" s="58">
        <f>IF('[37]سجل المستخلصات'!$F$6="","",'[37]سجل المستخلصات'!$F$6)</f>
        <v/>
      </c>
      <c r="F25" s="59">
        <f>IF('[37]سجل المستخلصات'!$H$6="","",'[37]سجل المستخلصات'!$H$6)</f>
        <v/>
      </c>
      <c r="G25" s="59">
        <f>IF('[37]سجل المستخلصات'!$G$6="","",'[37]سجل المستخلصات'!$G$6)</f>
        <v/>
      </c>
      <c r="H25" s="59">
        <f>IF('[37]سجل المستخلصات'!$I$6="","",'[37]سجل المستخلصات'!$I$6)</f>
        <v/>
      </c>
      <c r="I25" s="59">
        <f>IF('[37]سجل المستخلصات'!$J$6="","",'[37]سجل المستخلصات'!$J$6)</f>
        <v/>
      </c>
      <c r="J25" s="59">
        <f>IF('[37]سجل المستخلصات'!$K$6="","",'[37]سجل المستخلصات'!$K$6)</f>
        <v/>
      </c>
      <c r="K25" s="60">
        <f>IF('[37]سجل المستخلصات'!$L$6="","",'[37]سجل المستخلصات'!$L$6)</f>
        <v/>
      </c>
      <c r="L25" s="60">
        <f>IF('[37]سجل المستخلصات'!$M$6="","",'[37]سجل المستخلصات'!$M$6)</f>
        <v/>
      </c>
      <c r="M25" s="60">
        <f>IF('[37]سجل المستخلصات'!$N$6="","",'[37]سجل المستخلصات'!$N$6)</f>
        <v/>
      </c>
      <c r="N25" s="59">
        <f>IF('[37]سجل المستخلصات'!$O$6="","",'[37]سجل المستخلصات'!$O$6)</f>
        <v/>
      </c>
      <c r="O25" s="59">
        <f>IF('[37]سجل المستخلصات'!$R$6="","",'[37]سجل المستخلصات'!$R$6)</f>
        <v/>
      </c>
      <c r="P25" s="59">
        <f>IF('[37]سجل المستخلصات'!$S$6="","",'[37]سجل المستخلصات'!$S$6)</f>
        <v/>
      </c>
      <c r="Q25" s="59">
        <f>IF('[37]سجل المستخلصات'!$T$6="","",'[37]سجل المستخلصات'!$T$6)</f>
        <v/>
      </c>
      <c r="R25" s="59">
        <f>IF('[37]سجل المستخلصات'!$V$6="","",'[37]سجل المستخلصات'!$V$6)</f>
        <v/>
      </c>
      <c r="S25" s="59">
        <f>IF('[37]سجل المستخلصات'!$W$6="","",'[37]سجل المستخلصات'!$W$6)</f>
        <v/>
      </c>
      <c r="T25" s="61">
        <f>IF('[37]سجل المستخلصات'!$X$6="","",'[37]سجل المستخلصات'!$X$6)</f>
        <v/>
      </c>
      <c r="U25" s="61">
        <f>IF('[37]سجل المستخلصات'!$Z$6="","",'[37]سجل المستخلصات'!$Z$6)</f>
        <v/>
      </c>
      <c r="V25" s="59">
        <f>IF('[37]سجل المستخلصات'!$AA$6="","",'[37]سجل المستخلصات'!$AA$6)</f>
        <v/>
      </c>
      <c r="W25" s="59">
        <f>IF('[37]سجل المستخلصات'!$AC$6="","",'[37]سجل المستخلصات'!$AC$6)</f>
        <v/>
      </c>
      <c r="X25" s="62">
        <f>IF('[37]سجل المستخلصات'!$AD$6="","",'[37]سجل المستخلصات'!$AD$6)</f>
        <v/>
      </c>
      <c r="Y25" s="58">
        <f>IF('[37]سجل المستخلصات'!$AE$6="","",'[37]سجل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IF('[37]سجل المستخلصات'!$C$7="","",'[37]سجل المستخلصات'!$C$7)</f>
        <v/>
      </c>
      <c r="D26" s="57">
        <f>IF('[37]سجل المستخلصات'!$E$7="","",'[37]سجل المستخلصات'!$E$7)</f>
        <v/>
      </c>
      <c r="E26" s="58">
        <f>IF('[37]سجل المستخلصات'!$F$7="","",'[37]سجل المستخلصات'!$F$7)</f>
        <v/>
      </c>
      <c r="F26" s="59">
        <f>IF('[37]سجل المستخلصات'!$H$7="","",'[37]سجل المستخلصات'!$H$7)</f>
        <v/>
      </c>
      <c r="G26" s="59">
        <f>IF('[37]سجل المستخلصات'!$G$7="","",'[37]سجل المستخلصات'!$G$7)</f>
        <v/>
      </c>
      <c r="H26" s="59">
        <f>IF('[37]سجل المستخلصات'!$I$7="","",'[37]سجل المستخلصات'!$I$7)</f>
        <v/>
      </c>
      <c r="I26" s="59">
        <f>IF('[37]سجل المستخلصات'!$J$7="","",'[37]سجل المستخلصات'!$J$7)</f>
        <v/>
      </c>
      <c r="J26" s="59">
        <f>IF('[37]سجل المستخلصات'!$K$7="","",'[37]سجل المستخلصات'!$K$7)</f>
        <v/>
      </c>
      <c r="K26" s="60">
        <f>IF('[37]سجل المستخلصات'!$L$7="","",'[37]سجل المستخلصات'!$L$7)</f>
        <v/>
      </c>
      <c r="L26" s="60">
        <f>IF('[37]سجل المستخلصات'!$M$7="","",'[37]سجل المستخلصات'!$M$7)</f>
        <v/>
      </c>
      <c r="M26" s="60">
        <f>IF('[37]سجل المستخلصات'!$N$7="","",'[37]سجل المستخلصات'!$N$7)</f>
        <v/>
      </c>
      <c r="N26" s="59">
        <f>IF('[37]سجل المستخلصات'!$O$7="","",'[37]سجل المستخلصات'!$O$7)</f>
        <v/>
      </c>
      <c r="O26" s="59">
        <f>IF('[37]سجل المستخلصات'!$R$7="","",'[37]سجل المستخلصات'!$R$7)</f>
        <v/>
      </c>
      <c r="P26" s="59">
        <f>IF('[37]سجل المستخلصات'!$S$7="","",'[37]سجل المستخلصات'!$S$7)</f>
        <v/>
      </c>
      <c r="Q26" s="59">
        <f>IF('[37]سجل المستخلصات'!$T$7="","",'[37]سجل المستخلصات'!$T$7)</f>
        <v/>
      </c>
      <c r="R26" s="59">
        <f>IF('[37]سجل المستخلصات'!$V$7="","",'[37]سجل المستخلصات'!$V$7)</f>
        <v/>
      </c>
      <c r="S26" s="59">
        <f>IF('[37]سجل المستخلصات'!$W$7="","",'[37]سجل المستخلصات'!$W$7)</f>
        <v/>
      </c>
      <c r="T26" s="61">
        <f>IF('[37]سجل المستخلصات'!$X$7="","",'[37]سجل المستخلصات'!$X$7)</f>
        <v/>
      </c>
      <c r="U26" s="61">
        <f>IF('[37]سجل المستخلصات'!$Z$7="","",'[37]سجل المستخلصات'!$Z$7)</f>
        <v/>
      </c>
      <c r="V26" s="59">
        <f>IF('[37]سجل المستخلصات'!$AA$7="","",'[37]سجل المستخلصات'!$AA$7)</f>
        <v/>
      </c>
      <c r="W26" s="59">
        <f>IF('[37]سجل المستخلصات'!$AC$7="","",'[37]سجل المستخلصات'!$AC$7)</f>
        <v/>
      </c>
      <c r="X26" s="62">
        <f>IF('[37]سجل المستخلصات'!$AD$7="","",'[37]سجل المستخلصات'!$AD$7)</f>
        <v/>
      </c>
      <c r="Y26" s="58">
        <f>IF('[37]سجل المستخلصات'!$AE$7="","",'[37]سجل المستخلصات'!$AE$7)</f>
        <v/>
      </c>
      <c r="AA26" s="63" t="n"/>
      <c r="AB26" s="63" t="n"/>
    </row>
    <row r="27">
      <c r="B27" s="56" t="n">
        <v>3</v>
      </c>
      <c r="C27" s="57">
        <f>IF('[37]سجل المستخلصات'!$C$8="","",'[37]سجل المستخلصات'!$C$8)</f>
        <v/>
      </c>
      <c r="D27" s="57">
        <f>IF('[37]سجل المستخلصات'!$E$8="","",'[37]سجل المستخلصات'!$E$8)</f>
        <v/>
      </c>
      <c r="E27" s="58">
        <f>IF('[37]سجل المستخلصات'!$F$8="","",'[37]سجل المستخلصات'!$F$8)</f>
        <v/>
      </c>
      <c r="F27" s="59">
        <f>IF('[37]سجل المستخلصات'!$H$8="","",'[37]سجل المستخلصات'!$H$8)</f>
        <v/>
      </c>
      <c r="G27" s="59">
        <f>IF('[37]سجل المستخلصات'!$G$8="","",'[37]سجل المستخلصات'!$G$8)</f>
        <v/>
      </c>
      <c r="H27" s="59">
        <f>IF('[37]سجل المستخلصات'!$I$8="","",'[37]سجل المستخلصات'!$I$8)</f>
        <v/>
      </c>
      <c r="I27" s="59">
        <f>IF('[37]سجل المستخلصات'!$J$8="","",'[37]سجل المستخلصات'!$J$8)</f>
        <v/>
      </c>
      <c r="J27" s="59">
        <f>IF('[37]سجل المستخلصات'!$K$8="","",'[37]سجل المستخلصات'!$K$8)</f>
        <v/>
      </c>
      <c r="K27" s="60">
        <f>IF('[37]سجل المستخلصات'!$L$8="","",'[37]سجل المستخلصات'!$L$8)</f>
        <v/>
      </c>
      <c r="L27" s="60">
        <f>IF('[37]سجل المستخلصات'!$M$8="","",'[37]سجل المستخلصات'!$M$8)</f>
        <v/>
      </c>
      <c r="M27" s="60">
        <f>IF('[37]سجل المستخلصات'!$N$8="","",'[37]سجل المستخلصات'!$N$8)</f>
        <v/>
      </c>
      <c r="N27" s="59">
        <f>IF('[37]سجل المستخلصات'!$O$8="","",'[37]سجل المستخلصات'!$O$8)</f>
        <v/>
      </c>
      <c r="O27" s="59">
        <f>IF('[37]سجل المستخلصات'!$R$8="","",'[37]سجل المستخلصات'!$R$8)</f>
        <v/>
      </c>
      <c r="P27" s="59">
        <f>IF('[37]سجل المستخلصات'!$S$8="","",'[37]سجل المستخلصات'!$S$8)</f>
        <v/>
      </c>
      <c r="Q27" s="59">
        <f>IF('[37]سجل المستخلصات'!$T$8="","",'[37]سجل المستخلصات'!$T$8)</f>
        <v/>
      </c>
      <c r="R27" s="59">
        <f>IF('[37]سجل المستخلصات'!$V$8="","",'[37]سجل المستخلصات'!$V$8)</f>
        <v/>
      </c>
      <c r="S27" s="59">
        <f>IF('[37]سجل المستخلصات'!$W$8="","",'[37]سجل المستخلصات'!$W$8)</f>
        <v/>
      </c>
      <c r="T27" s="61">
        <f>IF('[37]سجل المستخلصات'!$X$8="","",'[37]سجل المستخلصات'!$X$8)</f>
        <v/>
      </c>
      <c r="U27" s="61">
        <f>IF('[37]سجل المستخلصات'!$Z$8="","",'[37]سجل المستخلصات'!$Z$8)</f>
        <v/>
      </c>
      <c r="V27" s="59">
        <f>IF('[37]سجل المستخلصات'!$AA$8="","",'[37]سجل المستخلصات'!$AA$8)</f>
        <v/>
      </c>
      <c r="W27" s="59">
        <f>IF('[37]سجل المستخلصات'!$AC$8="","",'[37]سجل المستخلصات'!$AC$8)</f>
        <v/>
      </c>
      <c r="X27" s="62">
        <f>IF('[37]سجل المستخلصات'!$AD$8="","",'[37]سجل المستخلصات'!$AD$8)</f>
        <v/>
      </c>
      <c r="Y27" s="58">
        <f>IF('[37]سجل المستخلصات'!$AE$8="","",'[37]سجل المستخلصات'!$AE$8)</f>
        <v/>
      </c>
      <c r="AA27" s="63" t="n"/>
      <c r="AB27" s="63" t="n"/>
    </row>
    <row r="28">
      <c r="B28" s="56" t="n">
        <v>4</v>
      </c>
      <c r="C28" s="57">
        <f>IF('[37]سجل المستخلصات'!$C$9="","",'[37]سجل المستخلصات'!$C$9)</f>
        <v/>
      </c>
      <c r="D28" s="57">
        <f>IF('[37]سجل المستخلصات'!$E$9="","",'[37]سجل المستخلصات'!$E$9)</f>
        <v/>
      </c>
      <c r="E28" s="58">
        <f>IF('[37]سجل المستخلصات'!$F$9="","",'[37]سجل المستخلصات'!$F$9)</f>
        <v/>
      </c>
      <c r="F28" s="59">
        <f>IF('[37]سجل المستخلصات'!$H$9="","",'[37]سجل المستخلصات'!$H$9)</f>
        <v/>
      </c>
      <c r="G28" s="59">
        <f>IF('[37]سجل المستخلصات'!$G$9="","",'[37]سجل المستخلصات'!$G$9)</f>
        <v/>
      </c>
      <c r="H28" s="59">
        <f>IF('[37]سجل المستخلصات'!$I$9="","",'[37]سجل المستخلصات'!$I$9)</f>
        <v/>
      </c>
      <c r="I28" s="59">
        <f>IF('[37]سجل المستخلصات'!$J$9="","",'[37]سجل المستخلصات'!$J$9)</f>
        <v/>
      </c>
      <c r="J28" s="59">
        <f>IF('[37]سجل المستخلصات'!$K$9="","",'[37]سجل المستخلصات'!$K$9)</f>
        <v/>
      </c>
      <c r="K28" s="60">
        <f>IF('[37]سجل المستخلصات'!$L$9="","",'[37]سجل المستخلصات'!$L$9)</f>
        <v/>
      </c>
      <c r="L28" s="60">
        <f>IF('[37]سجل المستخلصات'!$M$9="","",'[37]سجل المستخلصات'!$M$9)</f>
        <v/>
      </c>
      <c r="M28" s="60">
        <f>IF('[37]سجل المستخلصات'!$N$9="","",'[37]سجل المستخلصات'!$N$9)</f>
        <v/>
      </c>
      <c r="N28" s="59">
        <f>IF('[37]سجل المستخلصات'!$O$9="","",'[37]سجل المستخلصات'!$O$9)</f>
        <v/>
      </c>
      <c r="O28" s="59">
        <f>IF('[37]سجل المستخلصات'!$R$9="","",'[37]سجل المستخلصات'!$R$9)</f>
        <v/>
      </c>
      <c r="P28" s="59">
        <f>IF('[37]سجل المستخلصات'!$S$9="","",'[37]سجل المستخلصات'!$S$9)</f>
        <v/>
      </c>
      <c r="Q28" s="59">
        <f>IF('[37]سجل المستخلصات'!$T$9="","",'[37]سجل المستخلصات'!$T$9)</f>
        <v/>
      </c>
      <c r="R28" s="59">
        <f>IF('[37]سجل المستخلصات'!$V$9="","",'[37]سجل المستخلصات'!$V$9)</f>
        <v/>
      </c>
      <c r="S28" s="59">
        <f>IF('[37]سجل المستخلصات'!$W$9="","",'[37]سجل المستخلصات'!$W$9)</f>
        <v/>
      </c>
      <c r="T28" s="61">
        <f>IF('[37]سجل المستخلصات'!$X$9="","",'[37]سجل المستخلصات'!$X$9)</f>
        <v/>
      </c>
      <c r="U28" s="61">
        <f>IF('[37]سجل المستخلصات'!$Z$9="","",'[37]سجل المستخلصات'!$Z$9)</f>
        <v/>
      </c>
      <c r="V28" s="59">
        <f>IF('[37]سجل المستخلصات'!$AA$9="","",'[37]سجل المستخلصات'!$AA$9)</f>
        <v/>
      </c>
      <c r="W28" s="59">
        <f>IF('[37]سجل المستخلصات'!$AC$9="","",'[37]سجل المستخلصات'!$AC$9)</f>
        <v/>
      </c>
      <c r="X28" s="62">
        <f>IF('[37]سجل المستخلصات'!$AD$9="","",'[37]سجل المستخلصات'!$AD$9)</f>
        <v/>
      </c>
      <c r="Y28" s="58">
        <f>IF('[37]سجل المستخلصات'!$AE$9="","",'[37]سجل المستخلصات'!$AE$9)</f>
        <v/>
      </c>
      <c r="AA28" s="63" t="n"/>
      <c r="AB28" s="63" t="n"/>
    </row>
    <row r="29">
      <c r="B29" s="56" t="n">
        <v>5</v>
      </c>
      <c r="C29" s="57">
        <f>IF('[37]سجل المستخلصات'!$C$10="","",'[37]سجل المستخلصات'!$C$10)</f>
        <v/>
      </c>
      <c r="D29" s="57">
        <f>IF('[37]سجل المستخلصات'!$E$10="","",'[37]سجل المستخلصات'!$E$10)</f>
        <v/>
      </c>
      <c r="E29" s="58">
        <f>IF('[37]سجل المستخلصات'!$F$10="","",'[37]سجل المستخلصات'!$F$10)</f>
        <v/>
      </c>
      <c r="F29" s="59">
        <f>IF('[37]سجل المستخلصات'!$H$10="","",'[37]سجل المستخلصات'!$H$10)</f>
        <v/>
      </c>
      <c r="G29" s="59">
        <f>IF('[37]سجل المستخلصات'!$G$10="","",'[37]سجل المستخلصات'!$G$10)</f>
        <v/>
      </c>
      <c r="H29" s="59">
        <f>IF('[37]سجل المستخلصات'!$I$10="","",'[37]سجل المستخلصات'!$I$10)</f>
        <v/>
      </c>
      <c r="I29" s="59">
        <f>IF('[37]سجل المستخلصات'!$J$10="","",'[37]سجل المستخلصات'!$J$10)</f>
        <v/>
      </c>
      <c r="J29" s="59">
        <f>IF('[37]سجل المستخلصات'!$K$10="","",'[37]سجل المستخلصات'!$K$10)</f>
        <v/>
      </c>
      <c r="K29" s="60">
        <f>IF('[37]سجل المستخلصات'!$L$10="","",'[37]سجل المستخلصات'!$L$10)</f>
        <v/>
      </c>
      <c r="L29" s="60">
        <f>IF('[37]سجل المستخلصات'!$M$10="","",'[37]سجل المستخلصات'!$M$10)</f>
        <v/>
      </c>
      <c r="M29" s="60">
        <f>IF('[37]سجل المستخلصات'!$N$10="","",'[37]سجل المستخلصات'!$N$10)</f>
        <v/>
      </c>
      <c r="N29" s="59">
        <f>IF('[37]سجل المستخلصات'!$O$10="","",'[37]سجل المستخلصات'!$O$10)</f>
        <v/>
      </c>
      <c r="O29" s="59">
        <f>IF('[37]سجل المستخلصات'!$R$10="","",'[37]سجل المستخلصات'!$R$10)</f>
        <v/>
      </c>
      <c r="P29" s="59">
        <f>IF('[37]سجل المستخلصات'!$S$10="","",'[37]سجل المستخلصات'!$S$10)</f>
        <v/>
      </c>
      <c r="Q29" s="59">
        <f>IF('[37]سجل المستخلصات'!$T$10="","",'[37]سجل المستخلصات'!$T$10)</f>
        <v/>
      </c>
      <c r="R29" s="59">
        <f>IF('[37]سجل المستخلصات'!$V$10="","",'[37]سجل المستخلصات'!$V$10)</f>
        <v/>
      </c>
      <c r="S29" s="59">
        <f>IF('[37]سجل المستخلصات'!$W$10="","",'[37]سجل المستخلصات'!$W$10)</f>
        <v/>
      </c>
      <c r="T29" s="61">
        <f>IF('[37]سجل المستخلصات'!$X$10="","",'[37]سجل المستخلصات'!$X$10)</f>
        <v/>
      </c>
      <c r="U29" s="61">
        <f>IF('[37]سجل المستخلصات'!$Z$10="","",'[37]سجل المستخلصات'!$Z$10)</f>
        <v/>
      </c>
      <c r="V29" s="59">
        <f>IF('[37]سجل المستخلصات'!$AA$10="","",'[37]سجل المستخلصات'!$AA$10)</f>
        <v/>
      </c>
      <c r="W29" s="59">
        <f>IF('[37]سجل المستخلصات'!$AC$10="","",'[37]سجل المستخلصات'!$AC$10)</f>
        <v/>
      </c>
      <c r="X29" s="62">
        <f>IF('[37]سجل المستخلصات'!$AD$10="","",'[37]سجل المستخلصات'!$AD$10)</f>
        <v/>
      </c>
      <c r="Y29" s="58">
        <f>IF('[37]سجل المستخلصات'!$AE$10="","",'[37]سجل المستخلصات'!$AE$10)</f>
        <v/>
      </c>
    </row>
    <row r="30">
      <c r="B30" s="56" t="n">
        <v>6</v>
      </c>
      <c r="C30" s="57">
        <f>IF('[37]سجل المستخلصات'!$C$11="","",'[37]سجل المستخلصات'!$C$11)</f>
        <v/>
      </c>
      <c r="D30" s="57">
        <f>IF('[37]سجل المستخلصات'!$E$11="","",'[37]سجل المستخلصات'!$E$11)</f>
        <v/>
      </c>
      <c r="E30" s="58">
        <f>IF('[37]سجل المستخلصات'!$F$11="","",'[37]سجل المستخلصات'!$F$11)</f>
        <v/>
      </c>
      <c r="F30" s="59">
        <f>IF('[37]سجل المستخلصات'!$H$11="","",'[37]سجل المستخلصات'!$H$11)</f>
        <v/>
      </c>
      <c r="G30" s="59">
        <f>IF('[37]سجل المستخلصات'!$G$11="","",'[37]سجل المستخلصات'!$G$11)</f>
        <v/>
      </c>
      <c r="H30" s="59">
        <f>IF('[37]سجل المستخلصات'!$I$11="","",'[37]سجل المستخلصات'!$I$11)</f>
        <v/>
      </c>
      <c r="I30" s="59">
        <f>IF('[37]سجل المستخلصات'!$J$11="","",'[37]سجل المستخلصات'!$J$11)</f>
        <v/>
      </c>
      <c r="J30" s="59">
        <f>IF('[37]سجل المستخلصات'!$K$11="","",'[37]سجل المستخلصات'!$K$11)</f>
        <v/>
      </c>
      <c r="K30" s="60">
        <f>IF('[37]سجل المستخلصات'!$L$11="","",'[37]سجل المستخلصات'!$L$11)</f>
        <v/>
      </c>
      <c r="L30" s="60">
        <f>IF('[37]سجل المستخلصات'!$M$11="","",'[37]سجل المستخلصات'!$M$11)</f>
        <v/>
      </c>
      <c r="M30" s="60">
        <f>IF('[37]سجل المستخلصات'!$N$11="","",'[37]سجل المستخلصات'!$N$11)</f>
        <v/>
      </c>
      <c r="N30" s="59">
        <f>IF('[37]سجل المستخلصات'!$O$11="","",'[37]سجل المستخلصات'!$O$11)</f>
        <v/>
      </c>
      <c r="O30" s="59">
        <f>IF('[37]سجل المستخلصات'!$R$11="","",'[37]سجل المستخلصات'!$R$11)</f>
        <v/>
      </c>
      <c r="P30" s="59">
        <f>IF('[37]سجل المستخلصات'!$S$11="","",'[37]سجل المستخلصات'!$S$11)</f>
        <v/>
      </c>
      <c r="Q30" s="59">
        <f>IF('[37]سجل المستخلصات'!$T$11="","",'[37]سجل المستخلصات'!$T$11)</f>
        <v/>
      </c>
      <c r="R30" s="59">
        <f>IF('[37]سجل المستخلصات'!$V$11="","",'[37]سجل المستخلصات'!$V$11)</f>
        <v/>
      </c>
      <c r="S30" s="59">
        <f>IF('[37]سجل المستخلصات'!$W$11="","",'[37]سجل المستخلصات'!$W$11)</f>
        <v/>
      </c>
      <c r="T30" s="61">
        <f>IF('[37]سجل المستخلصات'!$X$11="","",'[37]سجل المستخلصات'!$X$11)</f>
        <v/>
      </c>
      <c r="U30" s="61">
        <f>IF('[37]سجل المستخلصات'!$Z$11="","",'[37]سجل المستخلصات'!$Z$11)</f>
        <v/>
      </c>
      <c r="V30" s="59">
        <f>IF('[37]سجل المستخلصات'!$AA$11="","",'[37]سجل المستخلصات'!$AA$11)</f>
        <v/>
      </c>
      <c r="W30" s="59">
        <f>IF('[37]سجل المستخلصات'!$AC$11="","",'[37]سجل المستخلصات'!$AC$11)</f>
        <v/>
      </c>
      <c r="X30" s="62">
        <f>IF('[37]سجل المستخلصات'!$AD$11="","",'[37]سجل المستخلصات'!$AD$11)</f>
        <v/>
      </c>
      <c r="Y30" s="58">
        <f>IF('[37]سجل المستخلصات'!$AE$11="","",'[37]سجل المستخلصات'!$AE$11)</f>
        <v/>
      </c>
    </row>
    <row r="31">
      <c r="B31" s="56" t="n">
        <v>7</v>
      </c>
      <c r="C31" s="57">
        <f>IF('[37]سجل المستخلصات'!$C$12="","",'[37]سجل المستخلصات'!$C$12)</f>
        <v/>
      </c>
      <c r="D31" s="57">
        <f>IF('[37]سجل المستخلصات'!$E$12="","",'[37]سجل المستخلصات'!$E$12)</f>
        <v/>
      </c>
      <c r="E31" s="58">
        <f>IF('[37]سجل المستخلصات'!$F$12="","",'[37]سجل المستخلصات'!$F$12)</f>
        <v/>
      </c>
      <c r="F31" s="59">
        <f>IF('[37]سجل المستخلصات'!$H$12="","",'[37]سجل المستخلصات'!$H$12)</f>
        <v/>
      </c>
      <c r="G31" s="59">
        <f>IF('[37]سجل المستخلصات'!$G$12="","",'[37]سجل المستخلصات'!$G$12)</f>
        <v/>
      </c>
      <c r="H31" s="59">
        <f>IF('[37]سجل المستخلصات'!$I$12="","",'[37]سجل المستخلصات'!$I$12)</f>
        <v/>
      </c>
      <c r="I31" s="59">
        <f>IF('[37]سجل المستخلصات'!$J$12="","",'[37]سجل المستخلصات'!$J$12)</f>
        <v/>
      </c>
      <c r="J31" s="59">
        <f>IF('[37]سجل المستخلصات'!$K$12="","",'[37]سجل المستخلصات'!$K$12)</f>
        <v/>
      </c>
      <c r="K31" s="60">
        <f>IF('[37]سجل المستخلصات'!$L$12="","",'[37]سجل المستخلصات'!$L$12)</f>
        <v/>
      </c>
      <c r="L31" s="60">
        <f>IF('[37]سجل المستخلصات'!$M$12="","",'[37]سجل المستخلصات'!$M$12)</f>
        <v/>
      </c>
      <c r="M31" s="60">
        <f>IF('[37]سجل المستخلصات'!$N$12="","",'[37]سجل المستخلصات'!$N$12)</f>
        <v/>
      </c>
      <c r="N31" s="59">
        <f>IF('[37]سجل المستخلصات'!$O$12="","",'[37]سجل المستخلصات'!$O$12)</f>
        <v/>
      </c>
      <c r="O31" s="59">
        <f>IF('[37]سجل المستخلصات'!$R$12="","",'[37]سجل المستخلصات'!$R$12)</f>
        <v/>
      </c>
      <c r="P31" s="59">
        <f>IF('[37]سجل المستخلصات'!$S$12="","",'[37]سجل المستخلصات'!$S$12)</f>
        <v/>
      </c>
      <c r="Q31" s="59">
        <f>IF('[37]سجل المستخلصات'!$T$12="","",'[37]سجل المستخلصات'!$T$12)</f>
        <v/>
      </c>
      <c r="R31" s="59">
        <f>IF('[37]سجل المستخلصات'!$V$12="","",'[37]سجل المستخلصات'!$V$12)</f>
        <v/>
      </c>
      <c r="S31" s="59">
        <f>IF('[37]سجل المستخلصات'!$W$12="","",'[37]سجل المستخلصات'!$W$12)</f>
        <v/>
      </c>
      <c r="T31" s="61">
        <f>IF('[37]سجل المستخلصات'!$X$12="","",'[37]سجل المستخلصات'!$X$12)</f>
        <v/>
      </c>
      <c r="U31" s="61">
        <f>IF('[37]سجل المستخلصات'!$Z$12="","",'[37]سجل المستخلصات'!$Z$12)</f>
        <v/>
      </c>
      <c r="V31" s="59">
        <f>IF('[37]سجل المستخلصات'!$AA$12="","",'[37]سجل المستخلصات'!$AA$12)</f>
        <v/>
      </c>
      <c r="W31" s="59">
        <f>IF('[37]سجل المستخلصات'!$AC$12="","",'[37]سجل المستخلصات'!$AC$12)</f>
        <v/>
      </c>
      <c r="X31" s="62">
        <f>IF('[37]سجل المستخلصات'!$AD$12="","",'[37]سجل المستخلصات'!$AD$12)</f>
        <v/>
      </c>
      <c r="Y31" s="58">
        <f>IF('[37]سجل المستخلصات'!$AE$12="","",'[37]سجل المستخلصات'!$AE$12)</f>
        <v/>
      </c>
    </row>
    <row r="32">
      <c r="B32" s="56" t="n">
        <v>8</v>
      </c>
      <c r="C32" s="57">
        <f>IF('[37]سجل المستخلصات'!$C$13="","",'[37]سجل المستخلصات'!$C$13)</f>
        <v/>
      </c>
      <c r="D32" s="57">
        <f>IF('[37]سجل المستخلصات'!$E$13="","",'[37]سجل المستخلصات'!$E$13)</f>
        <v/>
      </c>
      <c r="E32" s="58">
        <f>IF('[37]سجل المستخلصات'!$F$13="","",'[37]سجل المستخلصات'!$F$13)</f>
        <v/>
      </c>
      <c r="F32" s="59">
        <f>IF('[37]سجل المستخلصات'!$H$13="","",'[37]سجل المستخلصات'!$H$13)</f>
        <v/>
      </c>
      <c r="G32" s="59">
        <f>IF('[37]سجل المستخلصات'!$G$13="","",'[37]سجل المستخلصات'!$G$13)</f>
        <v/>
      </c>
      <c r="H32" s="59">
        <f>IF('[37]سجل المستخلصات'!$I$13="","",'[37]سجل المستخلصات'!$I$13)</f>
        <v/>
      </c>
      <c r="I32" s="59">
        <f>IF('[37]سجل المستخلصات'!$J$13="","",'[37]سجل المستخلصات'!$J$13)</f>
        <v/>
      </c>
      <c r="J32" s="59">
        <f>IF('[37]سجل المستخلصات'!$K$13="","",'[37]سجل المستخلصات'!$K$13)</f>
        <v/>
      </c>
      <c r="K32" s="60">
        <f>IF('[37]سجل المستخلصات'!$L$13="","",'[37]سجل المستخلصات'!$L$13)</f>
        <v/>
      </c>
      <c r="L32" s="60">
        <f>IF('[37]سجل المستخلصات'!$M$13="","",'[37]سجل المستخلصات'!$M$13)</f>
        <v/>
      </c>
      <c r="M32" s="60">
        <f>IF('[37]سجل المستخلصات'!$N$13="","",'[37]سجل المستخلصات'!$N$13)</f>
        <v/>
      </c>
      <c r="N32" s="59">
        <f>IF('[37]سجل المستخلصات'!$O$13="","",'[37]سجل المستخلصات'!$O$13)</f>
        <v/>
      </c>
      <c r="O32" s="59">
        <f>IF('[37]سجل المستخلصات'!$R$13="","",'[37]سجل المستخلصات'!$R$13)</f>
        <v/>
      </c>
      <c r="P32" s="59">
        <f>IF('[37]سجل المستخلصات'!$S$13="","",'[37]سجل المستخلصات'!$S$13)</f>
        <v/>
      </c>
      <c r="Q32" s="59">
        <f>IF('[37]سجل المستخلصات'!$T$13="","",'[37]سجل المستخلصات'!$T$13)</f>
        <v/>
      </c>
      <c r="R32" s="59">
        <f>IF('[37]سجل المستخلصات'!$V$13="","",'[37]سجل المستخلصات'!$V$13)</f>
        <v/>
      </c>
      <c r="S32" s="59">
        <f>IF('[37]سجل المستخلصات'!$W$13="","",'[37]سجل المستخلصات'!$W$13)</f>
        <v/>
      </c>
      <c r="T32" s="61">
        <f>IF('[37]سجل المستخلصات'!$X$13="","",'[37]سجل المستخلصات'!$X$13)</f>
        <v/>
      </c>
      <c r="U32" s="61">
        <f>IF('[37]سجل المستخلصات'!$Z$13="","",'[37]سجل المستخلصات'!$Z$13)</f>
        <v/>
      </c>
      <c r="V32" s="59">
        <f>IF('[37]سجل المستخلصات'!$AA$13="","",'[37]سجل المستخلصات'!$AA$13)</f>
        <v/>
      </c>
      <c r="W32" s="59">
        <f>IF('[37]سجل المستخلصات'!$AC$13="","",'[37]سجل المستخلصات'!$AC$13)</f>
        <v/>
      </c>
      <c r="X32" s="62">
        <f>IF('[37]سجل المستخلصات'!$AD$13="","",'[37]سجل المستخلصات'!$AD$13)</f>
        <v/>
      </c>
      <c r="Y32" s="58">
        <f>IF('[37]سجل المستخلصات'!$AE$13="","",'[37]سجل المستخلصات'!$AE$13)</f>
        <v/>
      </c>
    </row>
    <row r="33">
      <c r="B33" s="56" t="n">
        <v>9</v>
      </c>
      <c r="C33" s="57">
        <f>IF('[37]سجل المستخلصات'!$C$14="","",'[37]سجل المستخلصات'!$C$14)</f>
        <v/>
      </c>
      <c r="D33" s="57">
        <f>IF('[37]سجل المستخلصات'!$E$14="","",'[37]سجل المستخلصات'!$E$14)</f>
        <v/>
      </c>
      <c r="E33" s="58">
        <f>IF('[37]سجل المستخلصات'!$F$14="","",'[37]سجل المستخلصات'!$F$14)</f>
        <v/>
      </c>
      <c r="F33" s="59">
        <f>IF('[37]سجل المستخلصات'!$H$14="","",'[37]سجل المستخلصات'!$H$14)</f>
        <v/>
      </c>
      <c r="G33" s="59">
        <f>IF('[37]سجل المستخلصات'!$G$14="","",'[37]سجل المستخلصات'!$G$14)</f>
        <v/>
      </c>
      <c r="H33" s="59">
        <f>IF('[37]سجل المستخلصات'!$I$14="","",'[37]سجل المستخلصات'!$I$14)</f>
        <v/>
      </c>
      <c r="I33" s="59">
        <f>IF('[37]سجل المستخلصات'!$J$14="","",'[37]سجل المستخلصات'!$J$14)</f>
        <v/>
      </c>
      <c r="J33" s="59">
        <f>IF('[37]سجل المستخلصات'!$K$14="","",'[37]سجل المستخلصات'!$K$14)</f>
        <v/>
      </c>
      <c r="K33" s="60">
        <f>IF('[37]سجل المستخلصات'!$L$14="","",'[37]سجل المستخلصات'!$L$14)</f>
        <v/>
      </c>
      <c r="L33" s="60">
        <f>IF('[37]سجل المستخلصات'!$M$14="","",'[37]سجل المستخلصات'!$M$14)</f>
        <v/>
      </c>
      <c r="M33" s="60">
        <f>IF('[37]سجل المستخلصات'!$N$14="","",'[37]سجل المستخلصات'!$N$14)</f>
        <v/>
      </c>
      <c r="N33" s="59">
        <f>IF('[37]سجل المستخلصات'!$O$14="","",'[37]سجل المستخلصات'!$O$14)</f>
        <v/>
      </c>
      <c r="O33" s="59">
        <f>IF('[37]سجل المستخلصات'!$R$14="","",'[37]سجل المستخلصات'!$R$14)</f>
        <v/>
      </c>
      <c r="P33" s="59">
        <f>IF('[37]سجل المستخلصات'!$S$14="","",'[37]سجل المستخلصات'!$S$14)</f>
        <v/>
      </c>
      <c r="Q33" s="59">
        <f>IF('[37]سجل المستخلصات'!$T$14="","",'[37]سجل المستخلصات'!$T$14)</f>
        <v/>
      </c>
      <c r="R33" s="59">
        <f>IF('[37]سجل المستخلصات'!$V$14="","",'[37]سجل المستخلصات'!$V$14)</f>
        <v/>
      </c>
      <c r="S33" s="59">
        <f>IF('[37]سجل المستخلصات'!$W$14="","",'[37]سجل المستخلصات'!$W$14)</f>
        <v/>
      </c>
      <c r="T33" s="61">
        <f>IF('[37]سجل المستخلصات'!$X$14="","",'[37]سجل المستخلصات'!$X$14)</f>
        <v/>
      </c>
      <c r="U33" s="61">
        <f>IF('[37]سجل المستخلصات'!$Z$14="","",'[37]سجل المستخلصات'!$Z$14)</f>
        <v/>
      </c>
      <c r="V33" s="59">
        <f>IF('[37]سجل المستخلصات'!$AA$14="","",'[37]سجل المستخلصات'!$AA$14)</f>
        <v/>
      </c>
      <c r="W33" s="59">
        <f>IF('[37]سجل المستخلصات'!$AC$14="","",'[37]سجل المستخلصات'!$AC$14)</f>
        <v/>
      </c>
      <c r="X33" s="62">
        <f>IF('[37]سجل المستخلصات'!$AD$14="","",'[37]سجل المستخلصات'!$AD$14)</f>
        <v/>
      </c>
      <c r="Y33" s="58">
        <f>IF('[37]سجل المستخلصات'!$AE$14="","",'[37]سجل المستخلصات'!$AE$14)</f>
        <v/>
      </c>
    </row>
    <row r="34">
      <c r="B34" s="56" t="n">
        <v>10</v>
      </c>
      <c r="C34" s="57">
        <f>IF('[37]سجل المستخلصات'!$C$15="","",'[37]سجل المستخلصات'!$C$15)</f>
        <v/>
      </c>
      <c r="D34" s="57">
        <f>IF('[37]سجل المستخلصات'!$E$15="","",'[37]سجل المستخلصات'!$E$15)</f>
        <v/>
      </c>
      <c r="E34" s="58">
        <f>IF('[37]سجل المستخلصات'!$F$15="","",'[37]سجل المستخلصات'!$F$15)</f>
        <v/>
      </c>
      <c r="F34" s="59">
        <f>IF('[37]سجل المستخلصات'!$H$15="","",'[37]سجل المستخلصات'!$H$15)</f>
        <v/>
      </c>
      <c r="G34" s="59">
        <f>IF('[37]سجل المستخلصات'!$G$15="","",'[37]سجل المستخلصات'!$G$15)</f>
        <v/>
      </c>
      <c r="H34" s="59">
        <f>IF('[37]سجل المستخلصات'!$I$15="","",'[37]سجل المستخلصات'!$I$15)</f>
        <v/>
      </c>
      <c r="I34" s="59">
        <f>IF('[37]سجل المستخلصات'!$J$15="","",'[37]سجل المستخلصات'!$J$15)</f>
        <v/>
      </c>
      <c r="J34" s="59">
        <f>IF('[37]سجل المستخلصات'!$K$15="","",'[37]سجل المستخلصات'!$K$15)</f>
        <v/>
      </c>
      <c r="K34" s="60">
        <f>IF('[37]سجل المستخلصات'!$L$15="","",'[37]سجل المستخلصات'!$L$15)</f>
        <v/>
      </c>
      <c r="L34" s="60">
        <f>IF('[37]سجل المستخلصات'!$M$15="","",'[37]سجل المستخلصات'!$M$15)</f>
        <v/>
      </c>
      <c r="M34" s="60">
        <f>IF('[37]سجل المستخلصات'!$N$15="","",'[37]سجل المستخلصات'!$N$15)</f>
        <v/>
      </c>
      <c r="N34" s="59">
        <f>IF('[37]سجل المستخلصات'!$O$15="","",'[37]سجل المستخلصات'!$O$15)</f>
        <v/>
      </c>
      <c r="O34" s="59">
        <f>IF('[37]سجل المستخلصات'!$R$15="","",'[37]سجل المستخلصات'!$R$15)</f>
        <v/>
      </c>
      <c r="P34" s="59">
        <f>IF('[37]سجل المستخلصات'!$S$15="","",'[37]سجل المستخلصات'!$S$15)</f>
        <v/>
      </c>
      <c r="Q34" s="59">
        <f>IF('[37]سجل المستخلصات'!$T$15="","",'[37]سجل المستخلصات'!$T$15)</f>
        <v/>
      </c>
      <c r="R34" s="59">
        <f>IF('[37]سجل المستخلصات'!$V$15="","",'[37]سجل المستخلصات'!$V$15)</f>
        <v/>
      </c>
      <c r="S34" s="59">
        <f>IF('[37]سجل المستخلصات'!$W$15="","",'[37]سجل المستخلصات'!$W$15)</f>
        <v/>
      </c>
      <c r="T34" s="61">
        <f>IF('[37]سجل المستخلصات'!$X$15="","",'[37]سجل المستخلصات'!$X$15)</f>
        <v/>
      </c>
      <c r="U34" s="61">
        <f>IF('[37]سجل المستخلصات'!$Z$15="","",'[37]سجل المستخلصات'!$Z$15)</f>
        <v/>
      </c>
      <c r="V34" s="59">
        <f>IF('[37]سجل المستخلصات'!$AA$15="","",'[37]سجل المستخلصات'!$AA$15)</f>
        <v/>
      </c>
      <c r="W34" s="59">
        <f>IF('[37]سجل المستخلصات'!$AC$15="","",'[37]سجل المستخلصات'!$AC$15)</f>
        <v/>
      </c>
      <c r="X34" s="62">
        <f>IF('[37]سجل المستخلصات'!$AD$15="","",'[37]سجل المستخلصات'!$AD$15)</f>
        <v/>
      </c>
      <c r="Y34" s="58">
        <f>IF('[37]سجل المستخلصات'!$AE$15="","",'[37]سجل المستخلصات'!$AE$15)</f>
        <v/>
      </c>
    </row>
    <row r="35">
      <c r="B35" s="56" t="n">
        <v>11</v>
      </c>
      <c r="C35" s="57">
        <f>IF('[37]سجل المستخلصات'!$C$16="","",'[37]سجل المستخلصات'!$C$16)</f>
        <v/>
      </c>
      <c r="D35" s="57">
        <f>IF('[37]سجل المستخلصات'!$E$16="","",'[37]سجل المستخلصات'!$E$16)</f>
        <v/>
      </c>
      <c r="E35" s="58">
        <f>IF('[37]سجل المستخلصات'!$F$16="","",'[37]سجل المستخلصات'!$F$16)</f>
        <v/>
      </c>
      <c r="F35" s="59">
        <f>IF('[37]سجل المستخلصات'!$H$16="","",'[37]سجل المستخلصات'!$H$16)</f>
        <v/>
      </c>
      <c r="G35" s="59">
        <f>IF('[37]سجل المستخلصات'!$G$16="","",'[37]سجل المستخلصات'!$G$16)</f>
        <v/>
      </c>
      <c r="H35" s="59">
        <f>IF('[37]سجل المستخلصات'!$I$16="","",'[37]سجل المستخلصات'!$I$16)</f>
        <v/>
      </c>
      <c r="I35" s="59">
        <f>IF('[37]سجل المستخلصات'!$J$16="","",'[37]سجل المستخلصات'!$J$16)</f>
        <v/>
      </c>
      <c r="J35" s="59">
        <f>IF('[37]سجل المستخلصات'!$K$16="","",'[37]سجل المستخلصات'!$K$16)</f>
        <v/>
      </c>
      <c r="K35" s="60">
        <f>IF('[37]سجل المستخلصات'!$L$16="","",'[37]سجل المستخلصات'!$L$16)</f>
        <v/>
      </c>
      <c r="L35" s="60">
        <f>IF('[37]سجل المستخلصات'!$M$16="","",'[37]سجل المستخلصات'!$M$16)</f>
        <v/>
      </c>
      <c r="M35" s="60">
        <f>IF('[37]سجل المستخلصات'!$N$16="","",'[37]سجل المستخلصات'!$N$16)</f>
        <v/>
      </c>
      <c r="N35" s="59">
        <f>IF('[37]سجل المستخلصات'!$O$16="","",'[37]سجل المستخلصات'!$O$16)</f>
        <v/>
      </c>
      <c r="O35" s="59">
        <f>IF('[37]سجل المستخلصات'!$R$16="","",'[37]سجل المستخلصات'!$R$16)</f>
        <v/>
      </c>
      <c r="P35" s="59">
        <f>IF('[37]سجل المستخلصات'!$S$16="","",'[37]سجل المستخلصات'!$S$16)</f>
        <v/>
      </c>
      <c r="Q35" s="59">
        <f>IF('[37]سجل المستخلصات'!$T$16="","",'[37]سجل المستخلصات'!$T$16)</f>
        <v/>
      </c>
      <c r="R35" s="59">
        <f>IF('[37]سجل المستخلصات'!$V$16="","",'[37]سجل المستخلصات'!$V$16)</f>
        <v/>
      </c>
      <c r="S35" s="59">
        <f>IF('[37]سجل المستخلصات'!$W$16="","",'[37]سجل المستخلصات'!$W$16)</f>
        <v/>
      </c>
      <c r="T35" s="61">
        <f>IF('[37]سجل المستخلصات'!$X$16="","",'[37]سجل المستخلصات'!$X$16)</f>
        <v/>
      </c>
      <c r="U35" s="61">
        <f>IF('[37]سجل المستخلصات'!$Z$16="","",'[37]سجل المستخلصات'!$Z$16)</f>
        <v/>
      </c>
      <c r="V35" s="59">
        <f>IF('[37]سجل المستخلصات'!$AA$16="","",'[37]سجل المستخلصات'!$AA$16)</f>
        <v/>
      </c>
      <c r="W35" s="59">
        <f>IF('[37]سجل المستخلصات'!$AC$16="","",'[37]سجل المستخلصات'!$AC$16)</f>
        <v/>
      </c>
      <c r="X35" s="62">
        <f>IF('[37]سجل المستخلصات'!$AD$16="","",'[37]سجل المستخلصات'!$AD$16)</f>
        <v/>
      </c>
      <c r="Y35" s="58">
        <f>IF('[37]سجل المستخلصات'!$AE$16="","",'[37]سجل المستخلصات'!$AE$16)</f>
        <v/>
      </c>
    </row>
    <row r="36">
      <c r="B36" s="56" t="n">
        <v>12</v>
      </c>
      <c r="C36" s="57">
        <f>IF('[37]سجل المستخلصات'!$C$17="","",'[37]سجل المستخلصات'!$C$17)</f>
        <v/>
      </c>
      <c r="D36" s="57">
        <f>IF('[37]سجل المستخلصات'!$E$17="","",'[37]سجل المستخلصات'!$E$17)</f>
        <v/>
      </c>
      <c r="E36" s="58">
        <f>IF('[37]سجل المستخلصات'!$F$17="","",'[37]سجل المستخلصات'!$F$17)</f>
        <v/>
      </c>
      <c r="F36" s="59">
        <f>IF('[37]سجل المستخلصات'!$H$17="","",'[37]سجل المستخلصات'!$H$17)</f>
        <v/>
      </c>
      <c r="G36" s="59">
        <f>IF('[37]سجل المستخلصات'!$G$17="","",'[37]سجل المستخلصات'!$G$17)</f>
        <v/>
      </c>
      <c r="H36" s="59">
        <f>IF('[37]سجل المستخلصات'!$I$17="","",'[37]سجل المستخلصات'!$I$17)</f>
        <v/>
      </c>
      <c r="I36" s="59">
        <f>IF('[37]سجل المستخلصات'!$J$17="","",'[37]سجل المستخلصات'!$J$17)</f>
        <v/>
      </c>
      <c r="J36" s="59">
        <f>IF('[37]سجل المستخلصات'!$K$17="","",'[37]سجل المستخلصات'!$K$17)</f>
        <v/>
      </c>
      <c r="K36" s="60">
        <f>IF('[37]سجل المستخلصات'!$L$17="","",'[37]سجل المستخلصات'!$L$17)</f>
        <v/>
      </c>
      <c r="L36" s="60">
        <f>IF('[37]سجل المستخلصات'!$M$17="","",'[37]سجل المستخلصات'!$M$17)</f>
        <v/>
      </c>
      <c r="M36" s="60">
        <f>IF('[37]سجل المستخلصات'!$N$17="","",'[37]سجل المستخلصات'!$N$17)</f>
        <v/>
      </c>
      <c r="N36" s="59">
        <f>IF('[37]سجل المستخلصات'!$O$17="","",'[37]سجل المستخلصات'!$O$17)</f>
        <v/>
      </c>
      <c r="O36" s="59">
        <f>IF('[37]سجل المستخلصات'!$R$17="","",'[37]سجل المستخلصات'!$R$17)</f>
        <v/>
      </c>
      <c r="P36" s="59">
        <f>IF('[37]سجل المستخلصات'!$S$17="","",'[37]سجل المستخلصات'!$S$17)</f>
        <v/>
      </c>
      <c r="Q36" s="59">
        <f>IF('[37]سجل المستخلصات'!$T$17="","",'[37]سجل المستخلصات'!$T$17)</f>
        <v/>
      </c>
      <c r="R36" s="59">
        <f>IF('[37]سجل المستخلصات'!$V$17="","",'[37]سجل المستخلصات'!$V$17)</f>
        <v/>
      </c>
      <c r="S36" s="59">
        <f>IF('[37]سجل المستخلصات'!$W$17="","",'[37]سجل المستخلصات'!$W$17)</f>
        <v/>
      </c>
      <c r="T36" s="61">
        <f>IF('[37]سجل المستخلصات'!$X$17="","",'[37]سجل المستخلصات'!$X$17)</f>
        <v/>
      </c>
      <c r="U36" s="61">
        <f>IF('[37]سجل المستخلصات'!$Z$17="","",'[37]سجل المستخلصات'!$Z$17)</f>
        <v/>
      </c>
      <c r="V36" s="59">
        <f>IF('[37]سجل المستخلصات'!$AA$17="","",'[37]سجل المستخلصات'!$AA$17)</f>
        <v/>
      </c>
      <c r="W36" s="59">
        <f>IF('[37]سجل المستخلصات'!$AC$17="","",'[37]سجل المستخلصات'!$AC$17)</f>
        <v/>
      </c>
      <c r="X36" s="62">
        <f>IF('[37]سجل المستخلصات'!$AD$17="","",'[37]سجل المستخلصات'!$AD$17)</f>
        <v/>
      </c>
      <c r="Y36" s="58">
        <f>IF('[37]سجل المستخلصات'!$AE$17="","",'[37]سجل المستخلصات'!$AE$17)</f>
        <v/>
      </c>
    </row>
    <row r="37">
      <c r="B37" s="56" t="n">
        <v>13</v>
      </c>
      <c r="C37" s="57">
        <f>IF('[37]سجل المستخلصات'!$C$18="","",'[37]سجل المستخلصات'!$C$18)</f>
        <v/>
      </c>
      <c r="D37" s="57">
        <f>IF('[37]سجل المستخلصات'!$E$18="","",'[37]سجل المستخلصات'!$E$18)</f>
        <v/>
      </c>
      <c r="E37" s="58">
        <f>IF('[37]سجل المستخلصات'!$F$18="","",'[37]سجل المستخلصات'!$F$18)</f>
        <v/>
      </c>
      <c r="F37" s="59">
        <f>IF('[37]سجل المستخلصات'!$H$18="","",'[37]سجل المستخلصات'!$H$18)</f>
        <v/>
      </c>
      <c r="G37" s="59">
        <f>IF('[37]سجل المستخلصات'!$G$18="","",'[37]سجل المستخلصات'!$G$18)</f>
        <v/>
      </c>
      <c r="H37" s="59">
        <f>IF('[37]سجل المستخلصات'!$I$18="","",'[37]سجل المستخلصات'!$I$18)</f>
        <v/>
      </c>
      <c r="I37" s="59">
        <f>IF('[37]سجل المستخلصات'!$J$18="","",'[37]سجل المستخلصات'!$J$18)</f>
        <v/>
      </c>
      <c r="J37" s="59">
        <f>IF('[37]سجل المستخلصات'!$K$18="","",'[37]سجل المستخلصات'!$K$18)</f>
        <v/>
      </c>
      <c r="K37" s="60">
        <f>IF('[37]سجل المستخلصات'!$L$18="","",'[37]سجل المستخلصات'!$L$18)</f>
        <v/>
      </c>
      <c r="L37" s="60">
        <f>IF('[37]سجل المستخلصات'!$M$18="","",'[37]سجل المستخلصات'!$M$18)</f>
        <v/>
      </c>
      <c r="M37" s="60">
        <f>IF('[37]سجل المستخلصات'!$N$18="","",'[37]سجل المستخلصات'!$N$18)</f>
        <v/>
      </c>
      <c r="N37" s="59">
        <f>IF('[37]سجل المستخلصات'!$O$18="","",'[37]سجل المستخلصات'!$O$18)</f>
        <v/>
      </c>
      <c r="O37" s="59">
        <f>IF('[37]سجل المستخلصات'!$R$18="","",'[37]سجل المستخلصات'!$R$18)</f>
        <v/>
      </c>
      <c r="P37" s="59">
        <f>IF('[37]سجل المستخلصات'!$S$18="","",'[37]سجل المستخلصات'!$S$18)</f>
        <v/>
      </c>
      <c r="Q37" s="59">
        <f>IF('[37]سجل المستخلصات'!$T$18="","",'[37]سجل المستخلصات'!$T$18)</f>
        <v/>
      </c>
      <c r="R37" s="59">
        <f>IF('[37]سجل المستخلصات'!$V$18="","",'[37]سجل المستخلصات'!$V$18)</f>
        <v/>
      </c>
      <c r="S37" s="59">
        <f>IF('[37]سجل المستخلصات'!$W$18="","",'[37]سجل المستخلصات'!$W$18)</f>
        <v/>
      </c>
      <c r="T37" s="61">
        <f>IF('[37]سجل المستخلصات'!$X$18="","",'[37]سجل المستخلصات'!$X$18)</f>
        <v/>
      </c>
      <c r="U37" s="61">
        <f>IF('[37]سجل المستخلصات'!$Z$18="","",'[37]سجل المستخلصات'!$Z$18)</f>
        <v/>
      </c>
      <c r="V37" s="59">
        <f>IF('[37]سجل المستخلصات'!$AA$18="","",'[37]سجل المستخلصات'!$AA$18)</f>
        <v/>
      </c>
      <c r="W37" s="59">
        <f>IF('[37]سجل المستخلصات'!$AC$18="","",'[37]سجل المستخلصات'!$AC$18)</f>
        <v/>
      </c>
      <c r="X37" s="62">
        <f>IF('[37]سجل المستخلصات'!$AD$18="","",'[37]سجل المستخلصات'!$AD$18)</f>
        <v/>
      </c>
      <c r="Y37" s="58">
        <f>IF('[37]سجل المستخلصات'!$AE$18="","",'[37]سجل المستخلصات'!$AE$18)</f>
        <v/>
      </c>
    </row>
    <row r="38">
      <c r="B38" s="56" t="n">
        <v>14</v>
      </c>
      <c r="C38" s="57">
        <f>IF('[37]سجل المستخلصات'!$C$19="","",'[37]سجل المستخلصات'!$C$19)</f>
        <v/>
      </c>
      <c r="D38" s="57">
        <f>IF('[37]سجل المستخلصات'!$E$19="","",'[37]سجل المستخلصات'!$E$19)</f>
        <v/>
      </c>
      <c r="E38" s="58">
        <f>IF('[37]سجل المستخلصات'!$F$19="","",'[37]سجل المستخلصات'!$F$19)</f>
        <v/>
      </c>
      <c r="F38" s="59">
        <f>IF('[37]سجل المستخلصات'!$H$19="","",'[37]سجل المستخلصات'!$H$19)</f>
        <v/>
      </c>
      <c r="G38" s="59">
        <f>IF('[37]سجل المستخلصات'!$G$19="","",'[37]سجل المستخلصات'!$G$19)</f>
        <v/>
      </c>
      <c r="H38" s="59">
        <f>IF('[37]سجل المستخلصات'!$I$19="","",'[37]سجل المستخلصات'!$I$19)</f>
        <v/>
      </c>
      <c r="I38" s="59">
        <f>IF('[37]سجل المستخلصات'!$J$19="","",'[37]سجل المستخلصات'!$J$19)</f>
        <v/>
      </c>
      <c r="J38" s="59">
        <f>IF('[37]سجل المستخلصات'!$K$19="","",'[37]سجل المستخلصات'!$K$19)</f>
        <v/>
      </c>
      <c r="K38" s="60">
        <f>IF('[37]سجل المستخلصات'!$L$19="","",'[37]سجل المستخلصات'!$L$19)</f>
        <v/>
      </c>
      <c r="L38" s="60">
        <f>IF('[37]سجل المستخلصات'!$M$19="","",'[37]سجل المستخلصات'!$M$19)</f>
        <v/>
      </c>
      <c r="M38" s="60">
        <f>IF('[37]سجل المستخلصات'!$N$19="","",'[37]سجل المستخلصات'!$N$19)</f>
        <v/>
      </c>
      <c r="N38" s="59">
        <f>IF('[37]سجل المستخلصات'!$O$19="","",'[37]سجل المستخلصات'!$O$19)</f>
        <v/>
      </c>
      <c r="O38" s="59">
        <f>IF('[37]سجل المستخلصات'!$R$19="","",'[37]سجل المستخلصات'!$R$19)</f>
        <v/>
      </c>
      <c r="P38" s="59">
        <f>IF('[37]سجل المستخلصات'!$S$19="","",'[37]سجل المستخلصات'!$S$19)</f>
        <v/>
      </c>
      <c r="Q38" s="59">
        <f>IF('[37]سجل المستخلصات'!$T$19="","",'[37]سجل المستخلصات'!$T$19)</f>
        <v/>
      </c>
      <c r="R38" s="59">
        <f>IF('[37]سجل المستخلصات'!$V$19="","",'[37]سجل المستخلصات'!$V$19)</f>
        <v/>
      </c>
      <c r="S38" s="59">
        <f>IF('[37]سجل المستخلصات'!$W$19="","",'[37]سجل المستخلصات'!$W$19)</f>
        <v/>
      </c>
      <c r="T38" s="61">
        <f>IF('[37]سجل المستخلصات'!$X$19="","",'[37]سجل المستخلصات'!$X$19)</f>
        <v/>
      </c>
      <c r="U38" s="61">
        <f>IF('[37]سجل المستخلصات'!$Z$19="","",'[37]سجل المستخلصات'!$Z$19)</f>
        <v/>
      </c>
      <c r="V38" s="59">
        <f>IF('[37]سجل المستخلصات'!$AA$19="","",'[37]سجل المستخلصات'!$AA$19)</f>
        <v/>
      </c>
      <c r="W38" s="59">
        <f>IF('[37]سجل المستخلصات'!$AC$19="","",'[37]سجل المستخلصات'!$AC$19)</f>
        <v/>
      </c>
      <c r="X38" s="62">
        <f>IF('[37]سجل المستخلصات'!$AD$19="","",'[37]سجل المستخلصات'!$AD$19)</f>
        <v/>
      </c>
      <c r="Y38" s="58">
        <f>IF('[37]سجل المستخلصات'!$AE$19="","",'[37]سجل المستخلصات'!$AE$19)</f>
        <v/>
      </c>
    </row>
    <row r="39">
      <c r="B39" s="56" t="n">
        <v>15</v>
      </c>
      <c r="C39" s="57">
        <f>IF('[37]سجل المستخلصات'!$C$20="","",'[37]سجل المستخلصات'!$C$20)</f>
        <v/>
      </c>
      <c r="D39" s="57">
        <f>IF('[37]سجل المستخلصات'!$E$20="","",'[37]سجل المستخلصات'!$E$20)</f>
        <v/>
      </c>
      <c r="E39" s="58">
        <f>IF('[37]سجل المستخلصات'!$F$20="","",'[37]سجل المستخلصات'!$F$20)</f>
        <v/>
      </c>
      <c r="F39" s="59">
        <f>IF('[37]سجل المستخلصات'!$H$20="","",'[37]سجل المستخلصات'!$H$20)</f>
        <v/>
      </c>
      <c r="G39" s="59">
        <f>IF('[37]سجل المستخلصات'!$G$20="","",'[37]سجل المستخلصات'!$G$20)</f>
        <v/>
      </c>
      <c r="H39" s="59">
        <f>IF('[37]سجل المستخلصات'!$I$20="","",'[37]سجل المستخلصات'!$I$20)</f>
        <v/>
      </c>
      <c r="I39" s="59">
        <f>IF('[37]سجل المستخلصات'!$J$20="","",'[37]سجل المستخلصات'!$J$20)</f>
        <v/>
      </c>
      <c r="J39" s="59">
        <f>IF('[37]سجل المستخلصات'!$K$20="","",'[37]سجل المستخلصات'!$K$20)</f>
        <v/>
      </c>
      <c r="K39" s="60">
        <f>IF('[37]سجل المستخلصات'!$L$20="","",'[37]سجل المستخلصات'!$L$20)</f>
        <v/>
      </c>
      <c r="L39" s="60">
        <f>IF('[37]سجل المستخلصات'!$M$20="","",'[37]سجل المستخلصات'!$M$20)</f>
        <v/>
      </c>
      <c r="M39" s="60">
        <f>IF('[37]سجل المستخلصات'!$N$20="","",'[37]سجل المستخلصات'!$N$20)</f>
        <v/>
      </c>
      <c r="N39" s="59">
        <f>IF('[37]سجل المستخلصات'!$O$20="","",'[37]سجل المستخلصات'!$O$20)</f>
        <v/>
      </c>
      <c r="O39" s="59">
        <f>IF('[37]سجل المستخلصات'!$R$20="","",'[37]سجل المستخلصات'!$R$20)</f>
        <v/>
      </c>
      <c r="P39" s="59">
        <f>IF('[37]سجل المستخلصات'!$S$20="","",'[37]سجل المستخلصات'!$S$20)</f>
        <v/>
      </c>
      <c r="Q39" s="59">
        <f>IF('[37]سجل المستخلصات'!$T$20="","",'[37]سجل المستخلصات'!$T$20)</f>
        <v/>
      </c>
      <c r="R39" s="59">
        <f>IF('[37]سجل المستخلصات'!$V$20="","",'[37]سجل المستخلصات'!$V$20)</f>
        <v/>
      </c>
      <c r="S39" s="59">
        <f>IF('[37]سجل المستخلصات'!$W$20="","",'[37]سجل المستخلصات'!$W$20)</f>
        <v/>
      </c>
      <c r="T39" s="61">
        <f>IF('[37]سجل المستخلصات'!$X$20="","",'[37]سجل المستخلصات'!$X$20)</f>
        <v/>
      </c>
      <c r="U39" s="61">
        <f>IF('[37]سجل المستخلصات'!$Z$20="","",'[37]سجل المستخلصات'!$Z$20)</f>
        <v/>
      </c>
      <c r="V39" s="59">
        <f>IF('[37]سجل المستخلصات'!$AA$20="","",'[37]سجل المستخلصات'!$AA$20)</f>
        <v/>
      </c>
      <c r="W39" s="59">
        <f>IF('[37]سجل المستخلصات'!$AC$20="","",'[37]سجل المستخلصات'!$AC$20)</f>
        <v/>
      </c>
      <c r="X39" s="62">
        <f>IF('[37]سجل المستخلصات'!$AD$20="","",'[37]سجل المستخلصات'!$AD$20)</f>
        <v/>
      </c>
      <c r="Y39" s="58">
        <f>IF('[37]سجل المستخلصات'!$AE$20="","",'[37]سجل المستخلصات'!$AE$20)</f>
        <v/>
      </c>
    </row>
    <row r="40">
      <c r="B40" s="56" t="n">
        <v>16</v>
      </c>
      <c r="C40" s="57">
        <f>IF('[37]سجل المستخلصات'!$C$21="","",'[37]سجل المستخلصات'!$C$21)</f>
        <v/>
      </c>
      <c r="D40" s="57">
        <f>IF('[37]سجل المستخلصات'!$E$21="","",'[37]سجل المستخلصات'!$E$21)</f>
        <v/>
      </c>
      <c r="E40" s="58">
        <f>IF('[37]سجل المستخلصات'!$F$21="","",'[37]سجل المستخلصات'!$F$21)</f>
        <v/>
      </c>
      <c r="F40" s="59">
        <f>IF('[37]سجل المستخلصات'!$H$21="","",'[37]سجل المستخلصات'!$H$21)</f>
        <v/>
      </c>
      <c r="G40" s="59">
        <f>IF('[37]سجل المستخلصات'!$G$21="","",'[37]سجل المستخلصات'!$G$21)</f>
        <v/>
      </c>
      <c r="H40" s="59">
        <f>IF('[37]سجل المستخلصات'!$I$21="","",'[37]سجل المستخلصات'!$I$21)</f>
        <v/>
      </c>
      <c r="I40" s="59">
        <f>IF('[37]سجل المستخلصات'!$J$21="","",'[37]سجل المستخلصات'!$J$21)</f>
        <v/>
      </c>
      <c r="J40" s="59">
        <f>IF('[37]سجل المستخلصات'!$K$21="","",'[37]سجل المستخلصات'!$K$21)</f>
        <v/>
      </c>
      <c r="K40" s="60">
        <f>IF('[37]سجل المستخلصات'!$L$21="","",'[37]سجل المستخلصات'!$L$21)</f>
        <v/>
      </c>
      <c r="L40" s="60">
        <f>IF('[37]سجل المستخلصات'!$M$21="","",'[37]سجل المستخلصات'!$M$21)</f>
        <v/>
      </c>
      <c r="M40" s="60">
        <f>IF('[37]سجل المستخلصات'!$N$21="","",'[37]سجل المستخلصات'!$N$21)</f>
        <v/>
      </c>
      <c r="N40" s="59">
        <f>IF('[37]سجل المستخلصات'!$O$21="","",'[37]سجل المستخلصات'!$O$21)</f>
        <v/>
      </c>
      <c r="O40" s="59">
        <f>IF('[37]سجل المستخلصات'!$R$21="","",'[37]سجل المستخلصات'!$R$21)</f>
        <v/>
      </c>
      <c r="P40" s="59">
        <f>IF('[37]سجل المستخلصات'!$S$21="","",'[37]سجل المستخلصات'!$S$21)</f>
        <v/>
      </c>
      <c r="Q40" s="59">
        <f>IF('[37]سجل المستخلصات'!$T$21="","",'[37]سجل المستخلصات'!$T$21)</f>
        <v/>
      </c>
      <c r="R40" s="59">
        <f>IF('[37]سجل المستخلصات'!$V$21="","",'[37]سجل المستخلصات'!$V$21)</f>
        <v/>
      </c>
      <c r="S40" s="59">
        <f>IF('[37]سجل المستخلصات'!$W$21="","",'[37]سجل المستخلصات'!$W$21)</f>
        <v/>
      </c>
      <c r="T40" s="61">
        <f>IF('[37]سجل المستخلصات'!$X$21="","",'[37]سجل المستخلصات'!$X$21)</f>
        <v/>
      </c>
      <c r="U40" s="61">
        <f>IF('[37]سجل المستخلصات'!$Z$21="","",'[37]سجل المستخلصات'!$Z$21)</f>
        <v/>
      </c>
      <c r="V40" s="59">
        <f>IF('[37]سجل المستخلصات'!$AA$21="","",'[37]سجل المستخلصات'!$AA$21)</f>
        <v/>
      </c>
      <c r="W40" s="59">
        <f>IF('[37]سجل المستخلصات'!$AC$21="","",'[37]سجل المستخلصات'!$AC$21)</f>
        <v/>
      </c>
      <c r="X40" s="62">
        <f>IF('[37]سجل المستخلصات'!$AD$21="","",'[37]سجل المستخلصات'!$AD$21)</f>
        <v/>
      </c>
      <c r="Y40" s="58">
        <f>IF('[37]سجل المستخلصات'!$AE$21="","",'[37]سجل المستخلصات'!$AE$21)</f>
        <v/>
      </c>
    </row>
    <row r="41">
      <c r="B41" s="56" t="n">
        <v>17</v>
      </c>
      <c r="C41" s="57">
        <f>IF('[37]سجل المستخلصات'!$C$22="","",'[37]سجل المستخلصات'!$C$22)</f>
        <v/>
      </c>
      <c r="D41" s="57">
        <f>IF('[37]سجل المستخلصات'!$E$22="","",'[37]سجل المستخلصات'!$E$22)</f>
        <v/>
      </c>
      <c r="E41" s="58">
        <f>IF('[37]سجل المستخلصات'!$F$22="","",'[37]سجل المستخلصات'!$F$22)</f>
        <v/>
      </c>
      <c r="F41" s="59">
        <f>IF('[37]سجل المستخلصات'!$H$22="","",'[37]سجل المستخلصات'!$H$22)</f>
        <v/>
      </c>
      <c r="G41" s="59">
        <f>IF('[37]سجل المستخلصات'!$G$22="","",'[37]سجل المستخلصات'!$G$22)</f>
        <v/>
      </c>
      <c r="H41" s="59">
        <f>IF('[37]سجل المستخلصات'!$I$22="","",'[37]سجل المستخلصات'!$I$22)</f>
        <v/>
      </c>
      <c r="I41" s="59">
        <f>IF('[37]سجل المستخلصات'!$J$22="","",'[37]سجل المستخلصات'!$J$22)</f>
        <v/>
      </c>
      <c r="J41" s="59">
        <f>IF('[37]سجل المستخلصات'!$K$22="","",'[37]سجل المستخلصات'!$K$22)</f>
        <v/>
      </c>
      <c r="K41" s="60">
        <f>IF('[37]سجل المستخلصات'!$L$22="","",'[37]سجل المستخلصات'!$L$22)</f>
        <v/>
      </c>
      <c r="L41" s="60">
        <f>IF('[37]سجل المستخلصات'!$M$22="","",'[37]سجل المستخلصات'!$M$22)</f>
        <v/>
      </c>
      <c r="M41" s="60">
        <f>IF('[37]سجل المستخلصات'!$N$22="","",'[37]سجل المستخلصات'!$N$22)</f>
        <v/>
      </c>
      <c r="N41" s="59">
        <f>IF('[37]سجل المستخلصات'!$O$22="","",'[37]سجل المستخلصات'!$O$22)</f>
        <v/>
      </c>
      <c r="O41" s="59">
        <f>IF('[37]سجل المستخلصات'!$R$22="","",'[37]سجل المستخلصات'!$R$22)</f>
        <v/>
      </c>
      <c r="P41" s="59">
        <f>IF('[37]سجل المستخلصات'!$S$22="","",'[37]سجل المستخلصات'!$S$22)</f>
        <v/>
      </c>
      <c r="Q41" s="59">
        <f>IF('[37]سجل المستخلصات'!$T$22="","",'[37]سجل المستخلصات'!$T$22)</f>
        <v/>
      </c>
      <c r="R41" s="59">
        <f>IF('[37]سجل المستخلصات'!$V$22="","",'[37]سجل المستخلصات'!$V$22)</f>
        <v/>
      </c>
      <c r="S41" s="59">
        <f>IF('[37]سجل المستخلصات'!$W$22="","",'[37]سجل المستخلصات'!$W$22)</f>
        <v/>
      </c>
      <c r="T41" s="61">
        <f>IF('[37]سجل المستخلصات'!$X$22="","",'[37]سجل المستخلصات'!$X$22)</f>
        <v/>
      </c>
      <c r="U41" s="61">
        <f>IF('[37]سجل المستخلصات'!$Z$22="","",'[37]سجل المستخلصات'!$Z$22)</f>
        <v/>
      </c>
      <c r="V41" s="59">
        <f>IF('[37]سجل المستخلصات'!$AA$22="","",'[37]سجل المستخلصات'!$AA$22)</f>
        <v/>
      </c>
      <c r="W41" s="59">
        <f>IF('[37]سجل المستخلصات'!$AC$22="","",'[37]سجل المستخلصات'!$AC$22)</f>
        <v/>
      </c>
      <c r="X41" s="62">
        <f>IF('[37]سجل المستخلصات'!$AD$22="","",'[37]سجل المستخلصات'!$AD$22)</f>
        <v/>
      </c>
      <c r="Y41" s="58">
        <f>IF('[37]سجل المستخلصات'!$AE$22="","",'[37]سجل المستخلصات'!$AE$22)</f>
        <v/>
      </c>
    </row>
    <row r="42">
      <c r="B42" s="56" t="n">
        <v>18</v>
      </c>
      <c r="C42" s="57">
        <f>IF('[37]سجل المستخلصات'!$C$23="","",'[37]سجل المستخلصات'!$C$23)</f>
        <v/>
      </c>
      <c r="D42" s="57">
        <f>IF('[37]سجل المستخلصات'!$E$23="","",'[37]سجل المستخلصات'!$E$23)</f>
        <v/>
      </c>
      <c r="E42" s="58">
        <f>IF('[37]سجل المستخلصات'!$F$23="","",'[37]سجل المستخلصات'!$F$23)</f>
        <v/>
      </c>
      <c r="F42" s="59">
        <f>IF('[37]سجل المستخلصات'!$H$23="","",'[37]سجل المستخلصات'!$H$23)</f>
        <v/>
      </c>
      <c r="G42" s="59">
        <f>IF('[37]سجل المستخلصات'!$G$23="","",'[37]سجل المستخلصات'!$G$23)</f>
        <v/>
      </c>
      <c r="H42" s="59">
        <f>IF('[37]سجل المستخلصات'!$I$23="","",'[37]سجل المستخلصات'!$I$23)</f>
        <v/>
      </c>
      <c r="I42" s="59">
        <f>IF('[37]سجل المستخلصات'!$J$23="","",'[37]سجل المستخلصات'!$J$23)</f>
        <v/>
      </c>
      <c r="J42" s="59">
        <f>IF('[37]سجل المستخلصات'!$K$23="","",'[37]سجل المستخلصات'!$K$23)</f>
        <v/>
      </c>
      <c r="K42" s="60">
        <f>IF('[37]سجل المستخلصات'!$L$23="","",'[37]سجل المستخلصات'!$L$23)</f>
        <v/>
      </c>
      <c r="L42" s="60">
        <f>IF('[37]سجل المستخلصات'!$M$23="","",'[37]سجل المستخلصات'!$M$23)</f>
        <v/>
      </c>
      <c r="M42" s="60">
        <f>IF('[37]سجل المستخلصات'!$N$23="","",'[37]سجل المستخلصات'!$N$23)</f>
        <v/>
      </c>
      <c r="N42" s="59">
        <f>IF('[37]سجل المستخلصات'!$O$23="","",'[37]سجل المستخلصات'!$O$23)</f>
        <v/>
      </c>
      <c r="O42" s="59">
        <f>IF('[37]سجل المستخلصات'!$R$23="","",'[37]سجل المستخلصات'!$R$23)</f>
        <v/>
      </c>
      <c r="P42" s="59">
        <f>IF('[37]سجل المستخلصات'!$S$23="","",'[37]سجل المستخلصات'!$S$23)</f>
        <v/>
      </c>
      <c r="Q42" s="59">
        <f>IF('[37]سجل المستخلصات'!$T$23="","",'[37]سجل المستخلصات'!$T$23)</f>
        <v/>
      </c>
      <c r="R42" s="59">
        <f>IF('[37]سجل المستخلصات'!$V$23="","",'[37]سجل المستخلصات'!$V$23)</f>
        <v/>
      </c>
      <c r="S42" s="59">
        <f>IF('[37]سجل المستخلصات'!$W$23="","",'[37]سجل المستخلصات'!$W$23)</f>
        <v/>
      </c>
      <c r="T42" s="61">
        <f>IF('[37]سجل المستخلصات'!$X$23="","",'[37]سجل المستخلصات'!$X$23)</f>
        <v/>
      </c>
      <c r="U42" s="61">
        <f>IF('[37]سجل المستخلصات'!$Z$23="","",'[37]سجل المستخلصات'!$Z$23)</f>
        <v/>
      </c>
      <c r="V42" s="59">
        <f>IF('[37]سجل المستخلصات'!$AA$23="","",'[37]سجل المستخلصات'!$AA$23)</f>
        <v/>
      </c>
      <c r="W42" s="59">
        <f>IF('[37]سجل المستخلصات'!$AC$23="","",'[37]سجل المستخلصات'!$AC$23)</f>
        <v/>
      </c>
      <c r="X42" s="62">
        <f>IF('[37]سجل المستخلصات'!$AD$23="","",'[37]سجل المستخلصات'!$AD$23)</f>
        <v/>
      </c>
      <c r="Y42" s="58">
        <f>IF('[37]سجل المستخلصات'!$AE$23="","",'[37]سجل المستخلصات'!$AE$23)</f>
        <v/>
      </c>
    </row>
    <row r="43">
      <c r="B43" s="56" t="n">
        <v>19</v>
      </c>
      <c r="C43" s="57">
        <f>IF('[37]سجل المستخلصات'!$C$24="","",'[37]سجل المستخلصات'!$C$24)</f>
        <v/>
      </c>
      <c r="D43" s="57">
        <f>IF('[37]سجل المستخلصات'!$E$24="","",'[37]سجل المستخلصات'!$E$24)</f>
        <v/>
      </c>
      <c r="E43" s="58">
        <f>IF('[37]سجل المستخلصات'!$F$24="","",'[37]سجل المستخلصات'!$F$24)</f>
        <v/>
      </c>
      <c r="F43" s="59">
        <f>IF('[37]سجل المستخلصات'!$H$24="","",'[37]سجل المستخلصات'!$H$24)</f>
        <v/>
      </c>
      <c r="G43" s="59">
        <f>IF('[37]سجل المستخلصات'!$G$24="","",'[37]سجل المستخلصات'!$G$24)</f>
        <v/>
      </c>
      <c r="H43" s="59">
        <f>IF('[37]سجل المستخلصات'!$I$24="","",'[37]سجل المستخلصات'!$I$24)</f>
        <v/>
      </c>
      <c r="I43" s="59">
        <f>IF('[37]سجل المستخلصات'!$J$24="","",'[37]سجل المستخلصات'!$J$24)</f>
        <v/>
      </c>
      <c r="J43" s="59">
        <f>IF('[37]سجل المستخلصات'!$K$24="","",'[37]سجل المستخلصات'!$K$24)</f>
        <v/>
      </c>
      <c r="K43" s="60">
        <f>IF('[37]سجل المستخلصات'!$L$24="","",'[37]سجل المستخلصات'!$L$24)</f>
        <v/>
      </c>
      <c r="L43" s="60">
        <f>IF('[37]سجل المستخلصات'!$M$24="","",'[37]سجل المستخلصات'!$M$24)</f>
        <v/>
      </c>
      <c r="M43" s="60">
        <f>IF('[37]سجل المستخلصات'!$N$24="","",'[37]سجل المستخلصات'!$N$24)</f>
        <v/>
      </c>
      <c r="N43" s="59">
        <f>IF('[37]سجل المستخلصات'!$O$24="","",'[37]سجل المستخلصات'!$O$24)</f>
        <v/>
      </c>
      <c r="O43" s="59">
        <f>IF('[37]سجل المستخلصات'!$R$24="","",'[37]سجل المستخلصات'!$R$24)</f>
        <v/>
      </c>
      <c r="P43" s="59">
        <f>IF('[37]سجل المستخلصات'!$S$24="","",'[37]سجل المستخلصات'!$S$24)</f>
        <v/>
      </c>
      <c r="Q43" s="59">
        <f>IF('[37]سجل المستخلصات'!$T$24="","",'[37]سجل المستخلصات'!$T$24)</f>
        <v/>
      </c>
      <c r="R43" s="59">
        <f>IF('[37]سجل المستخلصات'!$V$24="","",'[37]سجل المستخلصات'!$V$24)</f>
        <v/>
      </c>
      <c r="S43" s="59">
        <f>IF('[37]سجل المستخلصات'!$W$24="","",'[37]سجل المستخلصات'!$W$24)</f>
        <v/>
      </c>
      <c r="T43" s="61">
        <f>IF('[37]سجل المستخلصات'!$X$24="","",'[37]سجل المستخلصات'!$X$24)</f>
        <v/>
      </c>
      <c r="U43" s="61">
        <f>IF('[37]سجل المستخلصات'!$Z$24="","",'[37]سجل المستخلصات'!$Z$24)</f>
        <v/>
      </c>
      <c r="V43" s="59">
        <f>IF('[37]سجل المستخلصات'!$AA$24="","",'[37]سجل المستخلصات'!$AA$24)</f>
        <v/>
      </c>
      <c r="W43" s="59">
        <f>IF('[37]سجل المستخلصات'!$AC$24="","",'[37]سجل المستخلصات'!$AC$24)</f>
        <v/>
      </c>
      <c r="X43" s="62">
        <f>IF('[37]سجل المستخلصات'!$AD$24="","",'[37]سجل المستخلصات'!$AD$24)</f>
        <v/>
      </c>
      <c r="Y43" s="58">
        <f>IF('[37]سجل المستخلصات'!$AE$24="","",'[37]سجل المستخلصات'!$AE$24)</f>
        <v/>
      </c>
    </row>
    <row r="44">
      <c r="B44" s="56" t="n">
        <v>20</v>
      </c>
      <c r="C44" s="57">
        <f>IF('[37]سجل المستخلصات'!$C$25="","",'[37]سجل المستخلصات'!$C$25)</f>
        <v/>
      </c>
      <c r="D44" s="57">
        <f>IF('[37]سجل المستخلصات'!$E$25="","",'[37]سجل المستخلصات'!$E$25)</f>
        <v/>
      </c>
      <c r="E44" s="58">
        <f>IF('[37]سجل المستخلصات'!$F$25="","",'[37]سجل المستخلصات'!$F$25)</f>
        <v/>
      </c>
      <c r="F44" s="59">
        <f>IF('[37]سجل المستخلصات'!$H$25="","",'[37]سجل المستخلصات'!$H$25)</f>
        <v/>
      </c>
      <c r="G44" s="59">
        <f>IF('[37]سجل المستخلصات'!$G$25="","",'[37]سجل المستخلصات'!$G$25)</f>
        <v/>
      </c>
      <c r="H44" s="59">
        <f>IF('[37]سجل المستخلصات'!$I$25="","",'[37]سجل المستخلصات'!$I$25)</f>
        <v/>
      </c>
      <c r="I44" s="59">
        <f>IF('[37]سجل المستخلصات'!$J$25="","",'[37]سجل المستخلصات'!$J$25)</f>
        <v/>
      </c>
      <c r="J44" s="59">
        <f>IF('[37]سجل المستخلصات'!$K$25="","",'[37]سجل المستخلصات'!$K$25)</f>
        <v/>
      </c>
      <c r="K44" s="60">
        <f>IF('[37]سجل المستخلصات'!$L$25="","",'[37]سجل المستخلصات'!$L$25)</f>
        <v/>
      </c>
      <c r="L44" s="60">
        <f>IF('[37]سجل المستخلصات'!$M$25="","",'[37]سجل المستخلصات'!$M$25)</f>
        <v/>
      </c>
      <c r="M44" s="60">
        <f>IF('[37]سجل المستخلصات'!$N$25="","",'[37]سجل المستخلصات'!$N$25)</f>
        <v/>
      </c>
      <c r="N44" s="59">
        <f>IF('[37]سجل المستخلصات'!$O$25="","",'[37]سجل المستخلصات'!$O$25)</f>
        <v/>
      </c>
      <c r="O44" s="59">
        <f>IF('[37]سجل المستخلصات'!$R$25="","",'[37]سجل المستخلصات'!$R$25)</f>
        <v/>
      </c>
      <c r="P44" s="59">
        <f>IF('[37]سجل المستخلصات'!$S$25="","",'[37]سجل المستخلصات'!$S$25)</f>
        <v/>
      </c>
      <c r="Q44" s="59">
        <f>IF('[37]سجل المستخلصات'!$T$25="","",'[37]سجل المستخلصات'!$T$25)</f>
        <v/>
      </c>
      <c r="R44" s="59">
        <f>IF('[37]سجل المستخلصات'!$V$25="","",'[37]سجل المستخلصات'!$V$25)</f>
        <v/>
      </c>
      <c r="S44" s="59">
        <f>IF('[37]سجل المستخلصات'!$W$25="","",'[37]سجل المستخلصات'!$W$25)</f>
        <v/>
      </c>
      <c r="T44" s="61">
        <f>IF('[37]سجل المستخلصات'!$X$25="","",'[37]سجل المستخلصات'!$X$25)</f>
        <v/>
      </c>
      <c r="U44" s="61">
        <f>IF('[37]سجل المستخلصات'!$Z$25="","",'[37]سجل المستخلصات'!$Z$25)</f>
        <v/>
      </c>
      <c r="V44" s="59">
        <f>IF('[37]سجل المستخلصات'!$AA$25="","",'[37]سجل المستخلصات'!$AA$25)</f>
        <v/>
      </c>
      <c r="W44" s="59">
        <f>IF('[37]سجل المستخلصات'!$AC$25="","",'[37]سجل المستخلصات'!$AC$25)</f>
        <v/>
      </c>
      <c r="X44" s="62">
        <f>IF('[37]سجل المستخلصات'!$AD$25="","",'[37]سجل المستخلصات'!$AD$25)</f>
        <v/>
      </c>
      <c r="Y44" s="58">
        <f>IF('[37]سجل المستخلصات'!$AE$25="","",'[37]سجل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IF('[37]سجل المستخلصات'!$B$32="","",'[37]سجل المستخلصات'!$B$32)</f>
        <v/>
      </c>
      <c r="C50" s="69" t="n"/>
      <c r="D50" s="69" t="n"/>
      <c r="E50" s="59">
        <f>N('[37]سجل المستخلصات'!$E$32)</f>
        <v/>
      </c>
      <c r="F50" s="59">
        <f>N('[37]سجل المستخلصات'!$F$32)</f>
        <v/>
      </c>
      <c r="G50" s="70">
        <f>IF(E50&gt;0,F50/E50,0)</f>
        <v/>
      </c>
    </row>
    <row r="51">
      <c r="B51" s="69">
        <f>IF('[37]سجل المستخلصات'!$B$33="","",'[37]سجل المستخلصات'!$B$33)</f>
        <v/>
      </c>
      <c r="C51" s="69" t="n"/>
      <c r="D51" s="69" t="n"/>
      <c r="E51" s="59">
        <f>N('[37]سجل المستخلصات'!$E$33)</f>
        <v/>
      </c>
      <c r="F51" s="59">
        <f>N('[37]سجل المستخلصات'!$F$33)</f>
        <v/>
      </c>
      <c r="G51" s="70">
        <f>IF(E51&gt;0,F51/E51,0)</f>
        <v/>
      </c>
    </row>
    <row r="52">
      <c r="B52" s="69">
        <f>IF('[37]سجل المستخلصات'!$B$34="","",'[37]سجل المستخلصات'!$B$34)</f>
        <v/>
      </c>
      <c r="C52" s="69" t="n"/>
      <c r="D52" s="69" t="n"/>
      <c r="E52" s="59">
        <f>N('[37]سجل المستخلصات'!$E$34)</f>
        <v/>
      </c>
      <c r="F52" s="59">
        <f>N('[37]سجل المستخلصات'!$F$34)</f>
        <v/>
      </c>
      <c r="G52" s="70">
        <f>IF(E52&gt;0,F52/E52,0)</f>
        <v/>
      </c>
    </row>
    <row r="53">
      <c r="B53" s="69">
        <f>IF('[37]سجل المستخلصات'!$B$35="","",'[37]سجل المستخلصات'!$B$35)</f>
        <v/>
      </c>
      <c r="C53" s="69" t="n"/>
      <c r="D53" s="69" t="n"/>
      <c r="E53" s="59">
        <f>N('[37]سجل المستخلصات'!$E$35)</f>
        <v/>
      </c>
      <c r="F53" s="59">
        <f>N('[37]سجل المستخلصات'!$F$35)</f>
        <v/>
      </c>
      <c r="G53" s="70">
        <f>IF(E53&gt;0,F53/E53,0)</f>
        <v/>
      </c>
    </row>
    <row r="54">
      <c r="B54" s="69">
        <f>IF('[37]سجل المستخلصات'!$B$36="","",'[37]سجل المستخلصات'!$B$36)</f>
        <v/>
      </c>
      <c r="C54" s="69" t="n"/>
      <c r="D54" s="69" t="n"/>
      <c r="E54" s="59">
        <f>N('[37]سجل المستخلصات'!$E$36)</f>
        <v/>
      </c>
      <c r="F54" s="59">
        <f>N('[37]سجل المستخلصات'!$F$36)</f>
        <v/>
      </c>
      <c r="G54" s="70">
        <f>IF(E54&gt;0,F54/E54,0)</f>
        <v/>
      </c>
    </row>
    <row r="55">
      <c r="B55" s="69">
        <f>IF('[37]سجل المستخلصات'!$B$37="","",'[37]سجل المستخلصات'!$B$37)</f>
        <v/>
      </c>
      <c r="C55" s="69" t="n"/>
      <c r="D55" s="69" t="n"/>
      <c r="E55" s="59">
        <f>N('[37]سجل المستخلصات'!$E$37)</f>
        <v/>
      </c>
      <c r="F55" s="59">
        <f>N('[37]سجل المستخلصات'!$F$37)</f>
        <v/>
      </c>
      <c r="G55" s="70">
        <f>IF(E55&gt;0,F55/E55,0)</f>
        <v/>
      </c>
    </row>
    <row r="56">
      <c r="B56" s="69">
        <f>IF('[37]سجل المستخلصات'!$B$38="","",'[37]سجل المستخلصات'!$B$38)</f>
        <v/>
      </c>
      <c r="C56" s="69" t="n"/>
      <c r="D56" s="69" t="n"/>
      <c r="E56" s="59">
        <f>N('[37]سجل المستخلصات'!$E$38)</f>
        <v/>
      </c>
      <c r="F56" s="59">
        <f>N('[37]سجل المستخلصات'!$F$38)</f>
        <v/>
      </c>
      <c r="G56" s="70">
        <f>IF(E56&gt;0,F56/E56,0)</f>
        <v/>
      </c>
    </row>
    <row r="57">
      <c r="B57" s="69">
        <f>IF('[37]سجل المستخلصات'!$B$39="","",'[37]سجل المستخلصات'!$B$39)</f>
        <v/>
      </c>
      <c r="C57" s="69" t="n"/>
      <c r="D57" s="69" t="n"/>
      <c r="E57" s="59">
        <f>N('[37]سجل المستخلصات'!$E$39)</f>
        <v/>
      </c>
      <c r="F57" s="59">
        <f>N('[37]سجل المستخلصات'!$F$39)</f>
        <v/>
      </c>
      <c r="G57" s="70">
        <f>IF(E57&gt;0,F57/E57,0)</f>
        <v/>
      </c>
    </row>
    <row r="58">
      <c r="B58" s="69">
        <f>IF('[37]سجل المستخلصات'!$B$40="","",'[37]سجل المستخلصات'!$B$40)</f>
        <v/>
      </c>
      <c r="C58" s="69" t="n"/>
      <c r="D58" s="69" t="n"/>
      <c r="E58" s="59">
        <f>N('[37]سجل المستخلصات'!$E$40)</f>
        <v/>
      </c>
      <c r="F58" s="59">
        <f>N('[37]سجل المستخلصات'!$F$40)</f>
        <v/>
      </c>
      <c r="G58" s="70">
        <f>IF(E58&gt;0,F58/E58,0)</f>
        <v/>
      </c>
    </row>
    <row r="59">
      <c r="B59" s="69">
        <f>IF('[37]سجل المستخلصات'!$B$41="","",'[37]سجل المستخلصات'!$B$41)</f>
        <v/>
      </c>
      <c r="C59" s="69" t="n"/>
      <c r="D59" s="69" t="n"/>
      <c r="E59" s="59">
        <f>N('[37]سجل المستخلصات'!$E$41)</f>
        <v/>
      </c>
      <c r="F59" s="59">
        <f>N('[37]سجل المستخلصات'!$F$41)</f>
        <v/>
      </c>
      <c r="G59" s="70">
        <f>IF(E59&gt;0,F59/E59,0)</f>
        <v/>
      </c>
    </row>
    <row r="60">
      <c r="B60" s="69">
        <f>IF('[37]سجل المستخلصات'!$B$42="","",'[37]سجل المستخلصات'!$B$42)</f>
        <v/>
      </c>
      <c r="C60" s="69" t="n"/>
      <c r="D60" s="69" t="n"/>
      <c r="E60" s="59">
        <f>N('[37]سجل المستخلصات'!$E$42)</f>
        <v/>
      </c>
      <c r="F60" s="59">
        <f>N('[37]سجل المستخلصات'!$F$42)</f>
        <v/>
      </c>
      <c r="G60" s="70">
        <f>IF(E60&gt;0,F60/E60,0)</f>
        <v/>
      </c>
    </row>
    <row r="61">
      <c r="B61" s="69">
        <f>IF('[37]سجل المستخلصات'!$B$43="","",'[37]سجل المستخلصات'!$B$43)</f>
        <v/>
      </c>
      <c r="C61" s="69" t="n"/>
      <c r="D61" s="69" t="n"/>
      <c r="E61" s="59">
        <f>N('[37]سجل المستخلصات'!$E$43)</f>
        <v/>
      </c>
      <c r="F61" s="59">
        <f>N('[37]سجل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36'!A1" display="◄ المشروع السابق"/>
    <hyperlink ref="D3" location="'مشروع 38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3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"&amp;IF('[38]بيانات العقد'!$C$5="","مشروع رقم 38 — غير مُفعّل",'[38]بيانات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Project_38/IPC_Project_38.xlsx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IF('[38]بيانات العقد'!$C$5="","",'[38]بيانات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IF('[38]بيانات العقد'!$C$6="","",'[38]بيانات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IF('[38]بيانات العقد'!$C$7="","",'[38]بيانات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IF('[38]بيانات العقد'!$C$8="","",'[38]بيانات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N('[38]بيانات العقد'!$C$16)</f>
        <v/>
      </c>
    </row>
    <row r="6" ht="22" customHeight="1">
      <c r="B6" s="11" t="inlineStr">
        <is>
          <t>المقاول</t>
        </is>
      </c>
      <c r="C6" s="14">
        <f>IF('[38]بيانات العقد'!$C$9="","",'[38]بيانات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IF('[38]بيانات العقد'!$C$11="","",'[38]بيانات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IF('[38]بيانات العقد'!$C$13="","",'[38]بيانات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IF('[38]بيانات العقد'!$C$14="","",'[38]بيانات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N('[38]بيانات العقد'!$C$17)</f>
        <v/>
      </c>
    </row>
    <row r="7">
      <c r="AA7" s="15" t="inlineStr">
        <is>
          <t>قيمة العقد المعدلة</t>
        </is>
      </c>
      <c r="AB7" s="16">
        <f>N('[38]بيانات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N('[38]بيانات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N('[38]بيانات العقد'!$C$21)</f>
        <v/>
      </c>
    </row>
    <row r="10">
      <c r="AA10" s="15" t="inlineStr">
        <is>
          <t>نسبة ضمان الأعمال</t>
        </is>
      </c>
      <c r="AB10" s="23">
        <f>N('[38]بيانات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N('[38]بيانات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N('[38]بيانات العقد'!$C$31)</f>
        <v/>
      </c>
    </row>
    <row r="13">
      <c r="AA13" s="15" t="inlineStr">
        <is>
          <t>ضريبة الاستقطاع (غير المقيم)</t>
        </is>
      </c>
      <c r="AB13" s="23">
        <f>N('[38]بيانات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IF('[38]بيانات العقد'!$C$11="","",'[38]بيانات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IF('[38]بيانات العقد'!$C$13="","",'[38]بيانات العقد'!$C$13)</f>
        <v/>
      </c>
    </row>
    <row r="16">
      <c r="AA16" s="15" t="inlineStr">
        <is>
          <t>المدة (شهر)</t>
        </is>
      </c>
      <c r="AB16" s="43">
        <f>IF('[38]بيانات العقد'!$C$12="","",'[38]بيانات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IF('[38]بيانات العقد'!$C$36="","",'[38]بيانات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IF('[38]بيانات العقد'!$C$37="","",'[38]بيانات العقد'!$C$37)</f>
        <v/>
      </c>
    </row>
    <row r="19">
      <c r="AA19" s="15" t="inlineStr">
        <is>
          <t>الرقم الضريبي لصاحب العمل</t>
        </is>
      </c>
      <c r="AB19" s="48">
        <f>IF('[38]بيانات العقد'!$C$39="","",'[38]بيانات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IF('[38]بيانات العقد'!$C$42="","",'[38]بيانات العقد'!$C$42)</f>
        <v/>
      </c>
    </row>
    <row r="21" ht="32" customHeight="1">
      <c r="B21" s="50">
        <f>N('[38]الموازنة والتكاليف'!$D$66)</f>
        <v/>
      </c>
      <c r="C21" s="50" t="n"/>
      <c r="D21" s="50" t="n"/>
      <c r="E21" s="50" t="n"/>
      <c r="F21" s="50">
        <f>N('[38]الموازنة والتكاليف'!$D$70)</f>
        <v/>
      </c>
      <c r="G21" s="50" t="n"/>
      <c r="H21" s="50" t="n"/>
      <c r="I21" s="50" t="n"/>
      <c r="J21" s="50">
        <f>N('[38]الموازنة والتكاليف'!$D$72)</f>
        <v/>
      </c>
      <c r="K21" s="50" t="n"/>
      <c r="L21" s="50" t="n"/>
      <c r="M21" s="50" t="n"/>
      <c r="N21" s="51">
        <f>N('[38]الموازنة والتكاليف'!$D$73)</f>
        <v/>
      </c>
      <c r="O21" s="51" t="n"/>
      <c r="P21" s="51" t="n"/>
      <c r="Q21" s="51" t="n"/>
      <c r="R21" s="52">
        <f>N('[38]الموازنة والتكاليف'!$D$74)</f>
        <v/>
      </c>
      <c r="S21" s="52" t="n"/>
      <c r="T21" s="52" t="n"/>
      <c r="U21" s="52" t="n"/>
      <c r="V21" s="50">
        <f>N('[38]الموازنة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IF('[38]بيانات العقد'!$C$43="","",'[38]بيانات العقد'!$C$43)</f>
        <v/>
      </c>
    </row>
    <row r="22">
      <c r="AA22" s="15" t="inlineStr">
        <is>
          <t>حالة غرامات التأخير</t>
        </is>
      </c>
      <c r="AB22" s="45">
        <f>IF('[38]بيانات العقد'!$C$47="","",'[38]بيانات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IF('[38]سجل المستخلصات'!$C$6="","",'[38]سجل المستخلصات'!$C$6)</f>
        <v/>
      </c>
      <c r="D25" s="57">
        <f>IF('[38]سجل المستخلصات'!$E$6="","",'[38]سجل المستخلصات'!$E$6)</f>
        <v/>
      </c>
      <c r="E25" s="58">
        <f>IF('[38]سجل المستخلصات'!$F$6="","",'[38]سجل المستخلصات'!$F$6)</f>
        <v/>
      </c>
      <c r="F25" s="59">
        <f>IF('[38]سجل المستخلصات'!$H$6="","",'[38]سجل المستخلصات'!$H$6)</f>
        <v/>
      </c>
      <c r="G25" s="59">
        <f>IF('[38]سجل المستخلصات'!$G$6="","",'[38]سجل المستخلصات'!$G$6)</f>
        <v/>
      </c>
      <c r="H25" s="59">
        <f>IF('[38]سجل المستخلصات'!$I$6="","",'[38]سجل المستخلصات'!$I$6)</f>
        <v/>
      </c>
      <c r="I25" s="59">
        <f>IF('[38]سجل المستخلصات'!$J$6="","",'[38]سجل المستخلصات'!$J$6)</f>
        <v/>
      </c>
      <c r="J25" s="59">
        <f>IF('[38]سجل المستخلصات'!$K$6="","",'[38]سجل المستخلصات'!$K$6)</f>
        <v/>
      </c>
      <c r="K25" s="60">
        <f>IF('[38]سجل المستخلصات'!$L$6="","",'[38]سجل المستخلصات'!$L$6)</f>
        <v/>
      </c>
      <c r="L25" s="60">
        <f>IF('[38]سجل المستخلصات'!$M$6="","",'[38]سجل المستخلصات'!$M$6)</f>
        <v/>
      </c>
      <c r="M25" s="60">
        <f>IF('[38]سجل المستخلصات'!$N$6="","",'[38]سجل المستخلصات'!$N$6)</f>
        <v/>
      </c>
      <c r="N25" s="59">
        <f>IF('[38]سجل المستخلصات'!$O$6="","",'[38]سجل المستخلصات'!$O$6)</f>
        <v/>
      </c>
      <c r="O25" s="59">
        <f>IF('[38]سجل المستخلصات'!$R$6="","",'[38]سجل المستخلصات'!$R$6)</f>
        <v/>
      </c>
      <c r="P25" s="59">
        <f>IF('[38]سجل المستخلصات'!$S$6="","",'[38]سجل المستخلصات'!$S$6)</f>
        <v/>
      </c>
      <c r="Q25" s="59">
        <f>IF('[38]سجل المستخلصات'!$T$6="","",'[38]سجل المستخلصات'!$T$6)</f>
        <v/>
      </c>
      <c r="R25" s="59">
        <f>IF('[38]سجل المستخلصات'!$V$6="","",'[38]سجل المستخلصات'!$V$6)</f>
        <v/>
      </c>
      <c r="S25" s="59">
        <f>IF('[38]سجل المستخلصات'!$W$6="","",'[38]سجل المستخلصات'!$W$6)</f>
        <v/>
      </c>
      <c r="T25" s="61">
        <f>IF('[38]سجل المستخلصات'!$X$6="","",'[38]سجل المستخلصات'!$X$6)</f>
        <v/>
      </c>
      <c r="U25" s="61">
        <f>IF('[38]سجل المستخلصات'!$Z$6="","",'[38]سجل المستخلصات'!$Z$6)</f>
        <v/>
      </c>
      <c r="V25" s="59">
        <f>IF('[38]سجل المستخلصات'!$AA$6="","",'[38]سجل المستخلصات'!$AA$6)</f>
        <v/>
      </c>
      <c r="W25" s="59">
        <f>IF('[38]سجل المستخلصات'!$AC$6="","",'[38]سجل المستخلصات'!$AC$6)</f>
        <v/>
      </c>
      <c r="X25" s="62">
        <f>IF('[38]سجل المستخلصات'!$AD$6="","",'[38]سجل المستخلصات'!$AD$6)</f>
        <v/>
      </c>
      <c r="Y25" s="58">
        <f>IF('[38]سجل المستخلصات'!$AE$6="","",'[38]سجل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IF('[38]سجل المستخلصات'!$C$7="","",'[38]سجل المستخلصات'!$C$7)</f>
        <v/>
      </c>
      <c r="D26" s="57">
        <f>IF('[38]سجل المستخلصات'!$E$7="","",'[38]سجل المستخلصات'!$E$7)</f>
        <v/>
      </c>
      <c r="E26" s="58">
        <f>IF('[38]سجل المستخلصات'!$F$7="","",'[38]سجل المستخلصات'!$F$7)</f>
        <v/>
      </c>
      <c r="F26" s="59">
        <f>IF('[38]سجل المستخلصات'!$H$7="","",'[38]سجل المستخلصات'!$H$7)</f>
        <v/>
      </c>
      <c r="G26" s="59">
        <f>IF('[38]سجل المستخلصات'!$G$7="","",'[38]سجل المستخلصات'!$G$7)</f>
        <v/>
      </c>
      <c r="H26" s="59">
        <f>IF('[38]سجل المستخلصات'!$I$7="","",'[38]سجل المستخلصات'!$I$7)</f>
        <v/>
      </c>
      <c r="I26" s="59">
        <f>IF('[38]سجل المستخلصات'!$J$7="","",'[38]سجل المستخلصات'!$J$7)</f>
        <v/>
      </c>
      <c r="J26" s="59">
        <f>IF('[38]سجل المستخلصات'!$K$7="","",'[38]سجل المستخلصات'!$K$7)</f>
        <v/>
      </c>
      <c r="K26" s="60">
        <f>IF('[38]سجل المستخلصات'!$L$7="","",'[38]سجل المستخلصات'!$L$7)</f>
        <v/>
      </c>
      <c r="L26" s="60">
        <f>IF('[38]سجل المستخلصات'!$M$7="","",'[38]سجل المستخلصات'!$M$7)</f>
        <v/>
      </c>
      <c r="M26" s="60">
        <f>IF('[38]سجل المستخلصات'!$N$7="","",'[38]سجل المستخلصات'!$N$7)</f>
        <v/>
      </c>
      <c r="N26" s="59">
        <f>IF('[38]سجل المستخلصات'!$O$7="","",'[38]سجل المستخلصات'!$O$7)</f>
        <v/>
      </c>
      <c r="O26" s="59">
        <f>IF('[38]سجل المستخلصات'!$R$7="","",'[38]سجل المستخلصات'!$R$7)</f>
        <v/>
      </c>
      <c r="P26" s="59">
        <f>IF('[38]سجل المستخلصات'!$S$7="","",'[38]سجل المستخلصات'!$S$7)</f>
        <v/>
      </c>
      <c r="Q26" s="59">
        <f>IF('[38]سجل المستخلصات'!$T$7="","",'[38]سجل المستخلصات'!$T$7)</f>
        <v/>
      </c>
      <c r="R26" s="59">
        <f>IF('[38]سجل المستخلصات'!$V$7="","",'[38]سجل المستخلصات'!$V$7)</f>
        <v/>
      </c>
      <c r="S26" s="59">
        <f>IF('[38]سجل المستخلصات'!$W$7="","",'[38]سجل المستخلصات'!$W$7)</f>
        <v/>
      </c>
      <c r="T26" s="61">
        <f>IF('[38]سجل المستخلصات'!$X$7="","",'[38]سجل المستخلصات'!$X$7)</f>
        <v/>
      </c>
      <c r="U26" s="61">
        <f>IF('[38]سجل المستخلصات'!$Z$7="","",'[38]سجل المستخلصات'!$Z$7)</f>
        <v/>
      </c>
      <c r="V26" s="59">
        <f>IF('[38]سجل المستخلصات'!$AA$7="","",'[38]سجل المستخلصات'!$AA$7)</f>
        <v/>
      </c>
      <c r="W26" s="59">
        <f>IF('[38]سجل المستخلصات'!$AC$7="","",'[38]سجل المستخلصات'!$AC$7)</f>
        <v/>
      </c>
      <c r="X26" s="62">
        <f>IF('[38]سجل المستخلصات'!$AD$7="","",'[38]سجل المستخلصات'!$AD$7)</f>
        <v/>
      </c>
      <c r="Y26" s="58">
        <f>IF('[38]سجل المستخلصات'!$AE$7="","",'[38]سجل المستخلصات'!$AE$7)</f>
        <v/>
      </c>
      <c r="AA26" s="63" t="n"/>
      <c r="AB26" s="63" t="n"/>
    </row>
    <row r="27">
      <c r="B27" s="56" t="n">
        <v>3</v>
      </c>
      <c r="C27" s="57">
        <f>IF('[38]سجل المستخلصات'!$C$8="","",'[38]سجل المستخلصات'!$C$8)</f>
        <v/>
      </c>
      <c r="D27" s="57">
        <f>IF('[38]سجل المستخلصات'!$E$8="","",'[38]سجل المستخلصات'!$E$8)</f>
        <v/>
      </c>
      <c r="E27" s="58">
        <f>IF('[38]سجل المستخلصات'!$F$8="","",'[38]سجل المستخلصات'!$F$8)</f>
        <v/>
      </c>
      <c r="F27" s="59">
        <f>IF('[38]سجل المستخلصات'!$H$8="","",'[38]سجل المستخلصات'!$H$8)</f>
        <v/>
      </c>
      <c r="G27" s="59">
        <f>IF('[38]سجل المستخلصات'!$G$8="","",'[38]سجل المستخلصات'!$G$8)</f>
        <v/>
      </c>
      <c r="H27" s="59">
        <f>IF('[38]سجل المستخلصات'!$I$8="","",'[38]سجل المستخلصات'!$I$8)</f>
        <v/>
      </c>
      <c r="I27" s="59">
        <f>IF('[38]سجل المستخلصات'!$J$8="","",'[38]سجل المستخلصات'!$J$8)</f>
        <v/>
      </c>
      <c r="J27" s="59">
        <f>IF('[38]سجل المستخلصات'!$K$8="","",'[38]سجل المستخلصات'!$K$8)</f>
        <v/>
      </c>
      <c r="K27" s="60">
        <f>IF('[38]سجل المستخلصات'!$L$8="","",'[38]سجل المستخلصات'!$L$8)</f>
        <v/>
      </c>
      <c r="L27" s="60">
        <f>IF('[38]سجل المستخلصات'!$M$8="","",'[38]سجل المستخلصات'!$M$8)</f>
        <v/>
      </c>
      <c r="M27" s="60">
        <f>IF('[38]سجل المستخلصات'!$N$8="","",'[38]سجل المستخلصات'!$N$8)</f>
        <v/>
      </c>
      <c r="N27" s="59">
        <f>IF('[38]سجل المستخلصات'!$O$8="","",'[38]سجل المستخلصات'!$O$8)</f>
        <v/>
      </c>
      <c r="O27" s="59">
        <f>IF('[38]سجل المستخلصات'!$R$8="","",'[38]سجل المستخلصات'!$R$8)</f>
        <v/>
      </c>
      <c r="P27" s="59">
        <f>IF('[38]سجل المستخلصات'!$S$8="","",'[38]سجل المستخلصات'!$S$8)</f>
        <v/>
      </c>
      <c r="Q27" s="59">
        <f>IF('[38]سجل المستخلصات'!$T$8="","",'[38]سجل المستخلصات'!$T$8)</f>
        <v/>
      </c>
      <c r="R27" s="59">
        <f>IF('[38]سجل المستخلصات'!$V$8="","",'[38]سجل المستخلصات'!$V$8)</f>
        <v/>
      </c>
      <c r="S27" s="59">
        <f>IF('[38]سجل المستخلصات'!$W$8="","",'[38]سجل المستخلصات'!$W$8)</f>
        <v/>
      </c>
      <c r="T27" s="61">
        <f>IF('[38]سجل المستخلصات'!$X$8="","",'[38]سجل المستخلصات'!$X$8)</f>
        <v/>
      </c>
      <c r="U27" s="61">
        <f>IF('[38]سجل المستخلصات'!$Z$8="","",'[38]سجل المستخلصات'!$Z$8)</f>
        <v/>
      </c>
      <c r="V27" s="59">
        <f>IF('[38]سجل المستخلصات'!$AA$8="","",'[38]سجل المستخلصات'!$AA$8)</f>
        <v/>
      </c>
      <c r="W27" s="59">
        <f>IF('[38]سجل المستخلصات'!$AC$8="","",'[38]سجل المستخلصات'!$AC$8)</f>
        <v/>
      </c>
      <c r="X27" s="62">
        <f>IF('[38]سجل المستخلصات'!$AD$8="","",'[38]سجل المستخلصات'!$AD$8)</f>
        <v/>
      </c>
      <c r="Y27" s="58">
        <f>IF('[38]سجل المستخلصات'!$AE$8="","",'[38]سجل المستخلصات'!$AE$8)</f>
        <v/>
      </c>
      <c r="AA27" s="63" t="n"/>
      <c r="AB27" s="63" t="n"/>
    </row>
    <row r="28">
      <c r="B28" s="56" t="n">
        <v>4</v>
      </c>
      <c r="C28" s="57">
        <f>IF('[38]سجل المستخلصات'!$C$9="","",'[38]سجل المستخلصات'!$C$9)</f>
        <v/>
      </c>
      <c r="D28" s="57">
        <f>IF('[38]سجل المستخلصات'!$E$9="","",'[38]سجل المستخلصات'!$E$9)</f>
        <v/>
      </c>
      <c r="E28" s="58">
        <f>IF('[38]سجل المستخلصات'!$F$9="","",'[38]سجل المستخلصات'!$F$9)</f>
        <v/>
      </c>
      <c r="F28" s="59">
        <f>IF('[38]سجل المستخلصات'!$H$9="","",'[38]سجل المستخلصات'!$H$9)</f>
        <v/>
      </c>
      <c r="G28" s="59">
        <f>IF('[38]سجل المستخلصات'!$G$9="","",'[38]سجل المستخلصات'!$G$9)</f>
        <v/>
      </c>
      <c r="H28" s="59">
        <f>IF('[38]سجل المستخلصات'!$I$9="","",'[38]سجل المستخلصات'!$I$9)</f>
        <v/>
      </c>
      <c r="I28" s="59">
        <f>IF('[38]سجل المستخلصات'!$J$9="","",'[38]سجل المستخلصات'!$J$9)</f>
        <v/>
      </c>
      <c r="J28" s="59">
        <f>IF('[38]سجل المستخلصات'!$K$9="","",'[38]سجل المستخلصات'!$K$9)</f>
        <v/>
      </c>
      <c r="K28" s="60">
        <f>IF('[38]سجل المستخلصات'!$L$9="","",'[38]سجل المستخلصات'!$L$9)</f>
        <v/>
      </c>
      <c r="L28" s="60">
        <f>IF('[38]سجل المستخلصات'!$M$9="","",'[38]سجل المستخلصات'!$M$9)</f>
        <v/>
      </c>
      <c r="M28" s="60">
        <f>IF('[38]سجل المستخلصات'!$N$9="","",'[38]سجل المستخلصات'!$N$9)</f>
        <v/>
      </c>
      <c r="N28" s="59">
        <f>IF('[38]سجل المستخلصات'!$O$9="","",'[38]سجل المستخلصات'!$O$9)</f>
        <v/>
      </c>
      <c r="O28" s="59">
        <f>IF('[38]سجل المستخلصات'!$R$9="","",'[38]سجل المستخلصات'!$R$9)</f>
        <v/>
      </c>
      <c r="P28" s="59">
        <f>IF('[38]سجل المستخلصات'!$S$9="","",'[38]سجل المستخلصات'!$S$9)</f>
        <v/>
      </c>
      <c r="Q28" s="59">
        <f>IF('[38]سجل المستخلصات'!$T$9="","",'[38]سجل المستخلصات'!$T$9)</f>
        <v/>
      </c>
      <c r="R28" s="59">
        <f>IF('[38]سجل المستخلصات'!$V$9="","",'[38]سجل المستخلصات'!$V$9)</f>
        <v/>
      </c>
      <c r="S28" s="59">
        <f>IF('[38]سجل المستخلصات'!$W$9="","",'[38]سجل المستخلصات'!$W$9)</f>
        <v/>
      </c>
      <c r="T28" s="61">
        <f>IF('[38]سجل المستخلصات'!$X$9="","",'[38]سجل المستخلصات'!$X$9)</f>
        <v/>
      </c>
      <c r="U28" s="61">
        <f>IF('[38]سجل المستخلصات'!$Z$9="","",'[38]سجل المستخلصات'!$Z$9)</f>
        <v/>
      </c>
      <c r="V28" s="59">
        <f>IF('[38]سجل المستخلصات'!$AA$9="","",'[38]سجل المستخلصات'!$AA$9)</f>
        <v/>
      </c>
      <c r="W28" s="59">
        <f>IF('[38]سجل المستخلصات'!$AC$9="","",'[38]سجل المستخلصات'!$AC$9)</f>
        <v/>
      </c>
      <c r="X28" s="62">
        <f>IF('[38]سجل المستخلصات'!$AD$9="","",'[38]سجل المستخلصات'!$AD$9)</f>
        <v/>
      </c>
      <c r="Y28" s="58">
        <f>IF('[38]سجل المستخلصات'!$AE$9="","",'[38]سجل المستخلصات'!$AE$9)</f>
        <v/>
      </c>
      <c r="AA28" s="63" t="n"/>
      <c r="AB28" s="63" t="n"/>
    </row>
    <row r="29">
      <c r="B29" s="56" t="n">
        <v>5</v>
      </c>
      <c r="C29" s="57">
        <f>IF('[38]سجل المستخلصات'!$C$10="","",'[38]سجل المستخلصات'!$C$10)</f>
        <v/>
      </c>
      <c r="D29" s="57">
        <f>IF('[38]سجل المستخلصات'!$E$10="","",'[38]سجل المستخلصات'!$E$10)</f>
        <v/>
      </c>
      <c r="E29" s="58">
        <f>IF('[38]سجل المستخلصات'!$F$10="","",'[38]سجل المستخلصات'!$F$10)</f>
        <v/>
      </c>
      <c r="F29" s="59">
        <f>IF('[38]سجل المستخلصات'!$H$10="","",'[38]سجل المستخلصات'!$H$10)</f>
        <v/>
      </c>
      <c r="G29" s="59">
        <f>IF('[38]سجل المستخلصات'!$G$10="","",'[38]سجل المستخلصات'!$G$10)</f>
        <v/>
      </c>
      <c r="H29" s="59">
        <f>IF('[38]سجل المستخلصات'!$I$10="","",'[38]سجل المستخلصات'!$I$10)</f>
        <v/>
      </c>
      <c r="I29" s="59">
        <f>IF('[38]سجل المستخلصات'!$J$10="","",'[38]سجل المستخلصات'!$J$10)</f>
        <v/>
      </c>
      <c r="J29" s="59">
        <f>IF('[38]سجل المستخلصات'!$K$10="","",'[38]سجل المستخلصات'!$K$10)</f>
        <v/>
      </c>
      <c r="K29" s="60">
        <f>IF('[38]سجل المستخلصات'!$L$10="","",'[38]سجل المستخلصات'!$L$10)</f>
        <v/>
      </c>
      <c r="L29" s="60">
        <f>IF('[38]سجل المستخلصات'!$M$10="","",'[38]سجل المستخلصات'!$M$10)</f>
        <v/>
      </c>
      <c r="M29" s="60">
        <f>IF('[38]سجل المستخلصات'!$N$10="","",'[38]سجل المستخلصات'!$N$10)</f>
        <v/>
      </c>
      <c r="N29" s="59">
        <f>IF('[38]سجل المستخلصات'!$O$10="","",'[38]سجل المستخلصات'!$O$10)</f>
        <v/>
      </c>
      <c r="O29" s="59">
        <f>IF('[38]سجل المستخلصات'!$R$10="","",'[38]سجل المستخلصات'!$R$10)</f>
        <v/>
      </c>
      <c r="P29" s="59">
        <f>IF('[38]سجل المستخلصات'!$S$10="","",'[38]سجل المستخلصات'!$S$10)</f>
        <v/>
      </c>
      <c r="Q29" s="59">
        <f>IF('[38]سجل المستخلصات'!$T$10="","",'[38]سجل المستخلصات'!$T$10)</f>
        <v/>
      </c>
      <c r="R29" s="59">
        <f>IF('[38]سجل المستخلصات'!$V$10="","",'[38]سجل المستخلصات'!$V$10)</f>
        <v/>
      </c>
      <c r="S29" s="59">
        <f>IF('[38]سجل المستخلصات'!$W$10="","",'[38]سجل المستخلصات'!$W$10)</f>
        <v/>
      </c>
      <c r="T29" s="61">
        <f>IF('[38]سجل المستخلصات'!$X$10="","",'[38]سجل المستخلصات'!$X$10)</f>
        <v/>
      </c>
      <c r="U29" s="61">
        <f>IF('[38]سجل المستخلصات'!$Z$10="","",'[38]سجل المستخلصات'!$Z$10)</f>
        <v/>
      </c>
      <c r="V29" s="59">
        <f>IF('[38]سجل المستخلصات'!$AA$10="","",'[38]سجل المستخلصات'!$AA$10)</f>
        <v/>
      </c>
      <c r="W29" s="59">
        <f>IF('[38]سجل المستخلصات'!$AC$10="","",'[38]سجل المستخلصات'!$AC$10)</f>
        <v/>
      </c>
      <c r="X29" s="62">
        <f>IF('[38]سجل المستخلصات'!$AD$10="","",'[38]سجل المستخلصات'!$AD$10)</f>
        <v/>
      </c>
      <c r="Y29" s="58">
        <f>IF('[38]سجل المستخلصات'!$AE$10="","",'[38]سجل المستخلصات'!$AE$10)</f>
        <v/>
      </c>
    </row>
    <row r="30">
      <c r="B30" s="56" t="n">
        <v>6</v>
      </c>
      <c r="C30" s="57">
        <f>IF('[38]سجل المستخلصات'!$C$11="","",'[38]سجل المستخلصات'!$C$11)</f>
        <v/>
      </c>
      <c r="D30" s="57">
        <f>IF('[38]سجل المستخلصات'!$E$11="","",'[38]سجل المستخلصات'!$E$11)</f>
        <v/>
      </c>
      <c r="E30" s="58">
        <f>IF('[38]سجل المستخلصات'!$F$11="","",'[38]سجل المستخلصات'!$F$11)</f>
        <v/>
      </c>
      <c r="F30" s="59">
        <f>IF('[38]سجل المستخلصات'!$H$11="","",'[38]سجل المستخلصات'!$H$11)</f>
        <v/>
      </c>
      <c r="G30" s="59">
        <f>IF('[38]سجل المستخلصات'!$G$11="","",'[38]سجل المستخلصات'!$G$11)</f>
        <v/>
      </c>
      <c r="H30" s="59">
        <f>IF('[38]سجل المستخلصات'!$I$11="","",'[38]سجل المستخلصات'!$I$11)</f>
        <v/>
      </c>
      <c r="I30" s="59">
        <f>IF('[38]سجل المستخلصات'!$J$11="","",'[38]سجل المستخلصات'!$J$11)</f>
        <v/>
      </c>
      <c r="J30" s="59">
        <f>IF('[38]سجل المستخلصات'!$K$11="","",'[38]سجل المستخلصات'!$K$11)</f>
        <v/>
      </c>
      <c r="K30" s="60">
        <f>IF('[38]سجل المستخلصات'!$L$11="","",'[38]سجل المستخلصات'!$L$11)</f>
        <v/>
      </c>
      <c r="L30" s="60">
        <f>IF('[38]سجل المستخلصات'!$M$11="","",'[38]سجل المستخلصات'!$M$11)</f>
        <v/>
      </c>
      <c r="M30" s="60">
        <f>IF('[38]سجل المستخلصات'!$N$11="","",'[38]سجل المستخلصات'!$N$11)</f>
        <v/>
      </c>
      <c r="N30" s="59">
        <f>IF('[38]سجل المستخلصات'!$O$11="","",'[38]سجل المستخلصات'!$O$11)</f>
        <v/>
      </c>
      <c r="O30" s="59">
        <f>IF('[38]سجل المستخلصات'!$R$11="","",'[38]سجل المستخلصات'!$R$11)</f>
        <v/>
      </c>
      <c r="P30" s="59">
        <f>IF('[38]سجل المستخلصات'!$S$11="","",'[38]سجل المستخلصات'!$S$11)</f>
        <v/>
      </c>
      <c r="Q30" s="59">
        <f>IF('[38]سجل المستخلصات'!$T$11="","",'[38]سجل المستخلصات'!$T$11)</f>
        <v/>
      </c>
      <c r="R30" s="59">
        <f>IF('[38]سجل المستخلصات'!$V$11="","",'[38]سجل المستخلصات'!$V$11)</f>
        <v/>
      </c>
      <c r="S30" s="59">
        <f>IF('[38]سجل المستخلصات'!$W$11="","",'[38]سجل المستخلصات'!$W$11)</f>
        <v/>
      </c>
      <c r="T30" s="61">
        <f>IF('[38]سجل المستخلصات'!$X$11="","",'[38]سجل المستخلصات'!$X$11)</f>
        <v/>
      </c>
      <c r="U30" s="61">
        <f>IF('[38]سجل المستخلصات'!$Z$11="","",'[38]سجل المستخلصات'!$Z$11)</f>
        <v/>
      </c>
      <c r="V30" s="59">
        <f>IF('[38]سجل المستخلصات'!$AA$11="","",'[38]سجل المستخلصات'!$AA$11)</f>
        <v/>
      </c>
      <c r="W30" s="59">
        <f>IF('[38]سجل المستخلصات'!$AC$11="","",'[38]سجل المستخلصات'!$AC$11)</f>
        <v/>
      </c>
      <c r="X30" s="62">
        <f>IF('[38]سجل المستخلصات'!$AD$11="","",'[38]سجل المستخلصات'!$AD$11)</f>
        <v/>
      </c>
      <c r="Y30" s="58">
        <f>IF('[38]سجل المستخلصات'!$AE$11="","",'[38]سجل المستخلصات'!$AE$11)</f>
        <v/>
      </c>
    </row>
    <row r="31">
      <c r="B31" s="56" t="n">
        <v>7</v>
      </c>
      <c r="C31" s="57">
        <f>IF('[38]سجل المستخلصات'!$C$12="","",'[38]سجل المستخلصات'!$C$12)</f>
        <v/>
      </c>
      <c r="D31" s="57">
        <f>IF('[38]سجل المستخلصات'!$E$12="","",'[38]سجل المستخلصات'!$E$12)</f>
        <v/>
      </c>
      <c r="E31" s="58">
        <f>IF('[38]سجل المستخلصات'!$F$12="","",'[38]سجل المستخلصات'!$F$12)</f>
        <v/>
      </c>
      <c r="F31" s="59">
        <f>IF('[38]سجل المستخلصات'!$H$12="","",'[38]سجل المستخلصات'!$H$12)</f>
        <v/>
      </c>
      <c r="G31" s="59">
        <f>IF('[38]سجل المستخلصات'!$G$12="","",'[38]سجل المستخلصات'!$G$12)</f>
        <v/>
      </c>
      <c r="H31" s="59">
        <f>IF('[38]سجل المستخلصات'!$I$12="","",'[38]سجل المستخلصات'!$I$12)</f>
        <v/>
      </c>
      <c r="I31" s="59">
        <f>IF('[38]سجل المستخلصات'!$J$12="","",'[38]سجل المستخلصات'!$J$12)</f>
        <v/>
      </c>
      <c r="J31" s="59">
        <f>IF('[38]سجل المستخلصات'!$K$12="","",'[38]سجل المستخلصات'!$K$12)</f>
        <v/>
      </c>
      <c r="K31" s="60">
        <f>IF('[38]سجل المستخلصات'!$L$12="","",'[38]سجل المستخلصات'!$L$12)</f>
        <v/>
      </c>
      <c r="L31" s="60">
        <f>IF('[38]سجل المستخلصات'!$M$12="","",'[38]سجل المستخلصات'!$M$12)</f>
        <v/>
      </c>
      <c r="M31" s="60">
        <f>IF('[38]سجل المستخلصات'!$N$12="","",'[38]سجل المستخلصات'!$N$12)</f>
        <v/>
      </c>
      <c r="N31" s="59">
        <f>IF('[38]سجل المستخلصات'!$O$12="","",'[38]سجل المستخلصات'!$O$12)</f>
        <v/>
      </c>
      <c r="O31" s="59">
        <f>IF('[38]سجل المستخلصات'!$R$12="","",'[38]سجل المستخلصات'!$R$12)</f>
        <v/>
      </c>
      <c r="P31" s="59">
        <f>IF('[38]سجل المستخلصات'!$S$12="","",'[38]سجل المستخلصات'!$S$12)</f>
        <v/>
      </c>
      <c r="Q31" s="59">
        <f>IF('[38]سجل المستخلصات'!$T$12="","",'[38]سجل المستخلصات'!$T$12)</f>
        <v/>
      </c>
      <c r="R31" s="59">
        <f>IF('[38]سجل المستخلصات'!$V$12="","",'[38]سجل المستخلصات'!$V$12)</f>
        <v/>
      </c>
      <c r="S31" s="59">
        <f>IF('[38]سجل المستخلصات'!$W$12="","",'[38]سجل المستخلصات'!$W$12)</f>
        <v/>
      </c>
      <c r="T31" s="61">
        <f>IF('[38]سجل المستخلصات'!$X$12="","",'[38]سجل المستخلصات'!$X$12)</f>
        <v/>
      </c>
      <c r="U31" s="61">
        <f>IF('[38]سجل المستخلصات'!$Z$12="","",'[38]سجل المستخلصات'!$Z$12)</f>
        <v/>
      </c>
      <c r="V31" s="59">
        <f>IF('[38]سجل المستخلصات'!$AA$12="","",'[38]سجل المستخلصات'!$AA$12)</f>
        <v/>
      </c>
      <c r="W31" s="59">
        <f>IF('[38]سجل المستخلصات'!$AC$12="","",'[38]سجل المستخلصات'!$AC$12)</f>
        <v/>
      </c>
      <c r="X31" s="62">
        <f>IF('[38]سجل المستخلصات'!$AD$12="","",'[38]سجل المستخلصات'!$AD$12)</f>
        <v/>
      </c>
      <c r="Y31" s="58">
        <f>IF('[38]سجل المستخلصات'!$AE$12="","",'[38]سجل المستخلصات'!$AE$12)</f>
        <v/>
      </c>
    </row>
    <row r="32">
      <c r="B32" s="56" t="n">
        <v>8</v>
      </c>
      <c r="C32" s="57">
        <f>IF('[38]سجل المستخلصات'!$C$13="","",'[38]سجل المستخلصات'!$C$13)</f>
        <v/>
      </c>
      <c r="D32" s="57">
        <f>IF('[38]سجل المستخلصات'!$E$13="","",'[38]سجل المستخلصات'!$E$13)</f>
        <v/>
      </c>
      <c r="E32" s="58">
        <f>IF('[38]سجل المستخلصات'!$F$13="","",'[38]سجل المستخلصات'!$F$13)</f>
        <v/>
      </c>
      <c r="F32" s="59">
        <f>IF('[38]سجل المستخلصات'!$H$13="","",'[38]سجل المستخلصات'!$H$13)</f>
        <v/>
      </c>
      <c r="G32" s="59">
        <f>IF('[38]سجل المستخلصات'!$G$13="","",'[38]سجل المستخلصات'!$G$13)</f>
        <v/>
      </c>
      <c r="H32" s="59">
        <f>IF('[38]سجل المستخلصات'!$I$13="","",'[38]سجل المستخلصات'!$I$13)</f>
        <v/>
      </c>
      <c r="I32" s="59">
        <f>IF('[38]سجل المستخلصات'!$J$13="","",'[38]سجل المستخلصات'!$J$13)</f>
        <v/>
      </c>
      <c r="J32" s="59">
        <f>IF('[38]سجل المستخلصات'!$K$13="","",'[38]سجل المستخلصات'!$K$13)</f>
        <v/>
      </c>
      <c r="K32" s="60">
        <f>IF('[38]سجل المستخلصات'!$L$13="","",'[38]سجل المستخلصات'!$L$13)</f>
        <v/>
      </c>
      <c r="L32" s="60">
        <f>IF('[38]سجل المستخلصات'!$M$13="","",'[38]سجل المستخلصات'!$M$13)</f>
        <v/>
      </c>
      <c r="M32" s="60">
        <f>IF('[38]سجل المستخلصات'!$N$13="","",'[38]سجل المستخلصات'!$N$13)</f>
        <v/>
      </c>
      <c r="N32" s="59">
        <f>IF('[38]سجل المستخلصات'!$O$13="","",'[38]سجل المستخلصات'!$O$13)</f>
        <v/>
      </c>
      <c r="O32" s="59">
        <f>IF('[38]سجل المستخلصات'!$R$13="","",'[38]سجل المستخلصات'!$R$13)</f>
        <v/>
      </c>
      <c r="P32" s="59">
        <f>IF('[38]سجل المستخلصات'!$S$13="","",'[38]سجل المستخلصات'!$S$13)</f>
        <v/>
      </c>
      <c r="Q32" s="59">
        <f>IF('[38]سجل المستخلصات'!$T$13="","",'[38]سجل المستخلصات'!$T$13)</f>
        <v/>
      </c>
      <c r="R32" s="59">
        <f>IF('[38]سجل المستخلصات'!$V$13="","",'[38]سجل المستخلصات'!$V$13)</f>
        <v/>
      </c>
      <c r="S32" s="59">
        <f>IF('[38]سجل المستخلصات'!$W$13="","",'[38]سجل المستخلصات'!$W$13)</f>
        <v/>
      </c>
      <c r="T32" s="61">
        <f>IF('[38]سجل المستخلصات'!$X$13="","",'[38]سجل المستخلصات'!$X$13)</f>
        <v/>
      </c>
      <c r="U32" s="61">
        <f>IF('[38]سجل المستخلصات'!$Z$13="","",'[38]سجل المستخلصات'!$Z$13)</f>
        <v/>
      </c>
      <c r="V32" s="59">
        <f>IF('[38]سجل المستخلصات'!$AA$13="","",'[38]سجل المستخلصات'!$AA$13)</f>
        <v/>
      </c>
      <c r="W32" s="59">
        <f>IF('[38]سجل المستخلصات'!$AC$13="","",'[38]سجل المستخلصات'!$AC$13)</f>
        <v/>
      </c>
      <c r="X32" s="62">
        <f>IF('[38]سجل المستخلصات'!$AD$13="","",'[38]سجل المستخلصات'!$AD$13)</f>
        <v/>
      </c>
      <c r="Y32" s="58">
        <f>IF('[38]سجل المستخلصات'!$AE$13="","",'[38]سجل المستخلصات'!$AE$13)</f>
        <v/>
      </c>
    </row>
    <row r="33">
      <c r="B33" s="56" t="n">
        <v>9</v>
      </c>
      <c r="C33" s="57">
        <f>IF('[38]سجل المستخلصات'!$C$14="","",'[38]سجل المستخلصات'!$C$14)</f>
        <v/>
      </c>
      <c r="D33" s="57">
        <f>IF('[38]سجل المستخلصات'!$E$14="","",'[38]سجل المستخلصات'!$E$14)</f>
        <v/>
      </c>
      <c r="E33" s="58">
        <f>IF('[38]سجل المستخلصات'!$F$14="","",'[38]سجل المستخلصات'!$F$14)</f>
        <v/>
      </c>
      <c r="F33" s="59">
        <f>IF('[38]سجل المستخلصات'!$H$14="","",'[38]سجل المستخلصات'!$H$14)</f>
        <v/>
      </c>
      <c r="G33" s="59">
        <f>IF('[38]سجل المستخلصات'!$G$14="","",'[38]سجل المستخلصات'!$G$14)</f>
        <v/>
      </c>
      <c r="H33" s="59">
        <f>IF('[38]سجل المستخلصات'!$I$14="","",'[38]سجل المستخلصات'!$I$14)</f>
        <v/>
      </c>
      <c r="I33" s="59">
        <f>IF('[38]سجل المستخلصات'!$J$14="","",'[38]سجل المستخلصات'!$J$14)</f>
        <v/>
      </c>
      <c r="J33" s="59">
        <f>IF('[38]سجل المستخلصات'!$K$14="","",'[38]سجل المستخلصات'!$K$14)</f>
        <v/>
      </c>
      <c r="K33" s="60">
        <f>IF('[38]سجل المستخلصات'!$L$14="","",'[38]سجل المستخلصات'!$L$14)</f>
        <v/>
      </c>
      <c r="L33" s="60">
        <f>IF('[38]سجل المستخلصات'!$M$14="","",'[38]سجل المستخلصات'!$M$14)</f>
        <v/>
      </c>
      <c r="M33" s="60">
        <f>IF('[38]سجل المستخلصات'!$N$14="","",'[38]سجل المستخلصات'!$N$14)</f>
        <v/>
      </c>
      <c r="N33" s="59">
        <f>IF('[38]سجل المستخلصات'!$O$14="","",'[38]سجل المستخلصات'!$O$14)</f>
        <v/>
      </c>
      <c r="O33" s="59">
        <f>IF('[38]سجل المستخلصات'!$R$14="","",'[38]سجل المستخلصات'!$R$14)</f>
        <v/>
      </c>
      <c r="P33" s="59">
        <f>IF('[38]سجل المستخلصات'!$S$14="","",'[38]سجل المستخلصات'!$S$14)</f>
        <v/>
      </c>
      <c r="Q33" s="59">
        <f>IF('[38]سجل المستخلصات'!$T$14="","",'[38]سجل المستخلصات'!$T$14)</f>
        <v/>
      </c>
      <c r="R33" s="59">
        <f>IF('[38]سجل المستخلصات'!$V$14="","",'[38]سجل المستخلصات'!$V$14)</f>
        <v/>
      </c>
      <c r="S33" s="59">
        <f>IF('[38]سجل المستخلصات'!$W$14="","",'[38]سجل المستخلصات'!$W$14)</f>
        <v/>
      </c>
      <c r="T33" s="61">
        <f>IF('[38]سجل المستخلصات'!$X$14="","",'[38]سجل المستخلصات'!$X$14)</f>
        <v/>
      </c>
      <c r="U33" s="61">
        <f>IF('[38]سجل المستخلصات'!$Z$14="","",'[38]سجل المستخلصات'!$Z$14)</f>
        <v/>
      </c>
      <c r="V33" s="59">
        <f>IF('[38]سجل المستخلصات'!$AA$14="","",'[38]سجل المستخلصات'!$AA$14)</f>
        <v/>
      </c>
      <c r="W33" s="59">
        <f>IF('[38]سجل المستخلصات'!$AC$14="","",'[38]سجل المستخلصات'!$AC$14)</f>
        <v/>
      </c>
      <c r="X33" s="62">
        <f>IF('[38]سجل المستخلصات'!$AD$14="","",'[38]سجل المستخلصات'!$AD$14)</f>
        <v/>
      </c>
      <c r="Y33" s="58">
        <f>IF('[38]سجل المستخلصات'!$AE$14="","",'[38]سجل المستخلصات'!$AE$14)</f>
        <v/>
      </c>
    </row>
    <row r="34">
      <c r="B34" s="56" t="n">
        <v>10</v>
      </c>
      <c r="C34" s="57">
        <f>IF('[38]سجل المستخلصات'!$C$15="","",'[38]سجل المستخلصات'!$C$15)</f>
        <v/>
      </c>
      <c r="D34" s="57">
        <f>IF('[38]سجل المستخلصات'!$E$15="","",'[38]سجل المستخلصات'!$E$15)</f>
        <v/>
      </c>
      <c r="E34" s="58">
        <f>IF('[38]سجل المستخلصات'!$F$15="","",'[38]سجل المستخلصات'!$F$15)</f>
        <v/>
      </c>
      <c r="F34" s="59">
        <f>IF('[38]سجل المستخلصات'!$H$15="","",'[38]سجل المستخلصات'!$H$15)</f>
        <v/>
      </c>
      <c r="G34" s="59">
        <f>IF('[38]سجل المستخلصات'!$G$15="","",'[38]سجل المستخلصات'!$G$15)</f>
        <v/>
      </c>
      <c r="H34" s="59">
        <f>IF('[38]سجل المستخلصات'!$I$15="","",'[38]سجل المستخلصات'!$I$15)</f>
        <v/>
      </c>
      <c r="I34" s="59">
        <f>IF('[38]سجل المستخلصات'!$J$15="","",'[38]سجل المستخلصات'!$J$15)</f>
        <v/>
      </c>
      <c r="J34" s="59">
        <f>IF('[38]سجل المستخلصات'!$K$15="","",'[38]سجل المستخلصات'!$K$15)</f>
        <v/>
      </c>
      <c r="K34" s="60">
        <f>IF('[38]سجل المستخلصات'!$L$15="","",'[38]سجل المستخلصات'!$L$15)</f>
        <v/>
      </c>
      <c r="L34" s="60">
        <f>IF('[38]سجل المستخلصات'!$M$15="","",'[38]سجل المستخلصات'!$M$15)</f>
        <v/>
      </c>
      <c r="M34" s="60">
        <f>IF('[38]سجل المستخلصات'!$N$15="","",'[38]سجل المستخلصات'!$N$15)</f>
        <v/>
      </c>
      <c r="N34" s="59">
        <f>IF('[38]سجل المستخلصات'!$O$15="","",'[38]سجل المستخلصات'!$O$15)</f>
        <v/>
      </c>
      <c r="O34" s="59">
        <f>IF('[38]سجل المستخلصات'!$R$15="","",'[38]سجل المستخلصات'!$R$15)</f>
        <v/>
      </c>
      <c r="P34" s="59">
        <f>IF('[38]سجل المستخلصات'!$S$15="","",'[38]سجل المستخلصات'!$S$15)</f>
        <v/>
      </c>
      <c r="Q34" s="59">
        <f>IF('[38]سجل المستخلصات'!$T$15="","",'[38]سجل المستخلصات'!$T$15)</f>
        <v/>
      </c>
      <c r="R34" s="59">
        <f>IF('[38]سجل المستخلصات'!$V$15="","",'[38]سجل المستخلصات'!$V$15)</f>
        <v/>
      </c>
      <c r="S34" s="59">
        <f>IF('[38]سجل المستخلصات'!$W$15="","",'[38]سجل المستخلصات'!$W$15)</f>
        <v/>
      </c>
      <c r="T34" s="61">
        <f>IF('[38]سجل المستخلصات'!$X$15="","",'[38]سجل المستخلصات'!$X$15)</f>
        <v/>
      </c>
      <c r="U34" s="61">
        <f>IF('[38]سجل المستخلصات'!$Z$15="","",'[38]سجل المستخلصات'!$Z$15)</f>
        <v/>
      </c>
      <c r="V34" s="59">
        <f>IF('[38]سجل المستخلصات'!$AA$15="","",'[38]سجل المستخلصات'!$AA$15)</f>
        <v/>
      </c>
      <c r="W34" s="59">
        <f>IF('[38]سجل المستخلصات'!$AC$15="","",'[38]سجل المستخلصات'!$AC$15)</f>
        <v/>
      </c>
      <c r="X34" s="62">
        <f>IF('[38]سجل المستخلصات'!$AD$15="","",'[38]سجل المستخلصات'!$AD$15)</f>
        <v/>
      </c>
      <c r="Y34" s="58">
        <f>IF('[38]سجل المستخلصات'!$AE$15="","",'[38]سجل المستخلصات'!$AE$15)</f>
        <v/>
      </c>
    </row>
    <row r="35">
      <c r="B35" s="56" t="n">
        <v>11</v>
      </c>
      <c r="C35" s="57">
        <f>IF('[38]سجل المستخلصات'!$C$16="","",'[38]سجل المستخلصات'!$C$16)</f>
        <v/>
      </c>
      <c r="D35" s="57">
        <f>IF('[38]سجل المستخلصات'!$E$16="","",'[38]سجل المستخلصات'!$E$16)</f>
        <v/>
      </c>
      <c r="E35" s="58">
        <f>IF('[38]سجل المستخلصات'!$F$16="","",'[38]سجل المستخلصات'!$F$16)</f>
        <v/>
      </c>
      <c r="F35" s="59">
        <f>IF('[38]سجل المستخلصات'!$H$16="","",'[38]سجل المستخلصات'!$H$16)</f>
        <v/>
      </c>
      <c r="G35" s="59">
        <f>IF('[38]سجل المستخلصات'!$G$16="","",'[38]سجل المستخلصات'!$G$16)</f>
        <v/>
      </c>
      <c r="H35" s="59">
        <f>IF('[38]سجل المستخلصات'!$I$16="","",'[38]سجل المستخلصات'!$I$16)</f>
        <v/>
      </c>
      <c r="I35" s="59">
        <f>IF('[38]سجل المستخلصات'!$J$16="","",'[38]سجل المستخلصات'!$J$16)</f>
        <v/>
      </c>
      <c r="J35" s="59">
        <f>IF('[38]سجل المستخلصات'!$K$16="","",'[38]سجل المستخلصات'!$K$16)</f>
        <v/>
      </c>
      <c r="K35" s="60">
        <f>IF('[38]سجل المستخلصات'!$L$16="","",'[38]سجل المستخلصات'!$L$16)</f>
        <v/>
      </c>
      <c r="L35" s="60">
        <f>IF('[38]سجل المستخلصات'!$M$16="","",'[38]سجل المستخلصات'!$M$16)</f>
        <v/>
      </c>
      <c r="M35" s="60">
        <f>IF('[38]سجل المستخلصات'!$N$16="","",'[38]سجل المستخلصات'!$N$16)</f>
        <v/>
      </c>
      <c r="N35" s="59">
        <f>IF('[38]سجل المستخلصات'!$O$16="","",'[38]سجل المستخلصات'!$O$16)</f>
        <v/>
      </c>
      <c r="O35" s="59">
        <f>IF('[38]سجل المستخلصات'!$R$16="","",'[38]سجل المستخلصات'!$R$16)</f>
        <v/>
      </c>
      <c r="P35" s="59">
        <f>IF('[38]سجل المستخلصات'!$S$16="","",'[38]سجل المستخلصات'!$S$16)</f>
        <v/>
      </c>
      <c r="Q35" s="59">
        <f>IF('[38]سجل المستخلصات'!$T$16="","",'[38]سجل المستخلصات'!$T$16)</f>
        <v/>
      </c>
      <c r="R35" s="59">
        <f>IF('[38]سجل المستخلصات'!$V$16="","",'[38]سجل المستخلصات'!$V$16)</f>
        <v/>
      </c>
      <c r="S35" s="59">
        <f>IF('[38]سجل المستخلصات'!$W$16="","",'[38]سجل المستخلصات'!$W$16)</f>
        <v/>
      </c>
      <c r="T35" s="61">
        <f>IF('[38]سجل المستخلصات'!$X$16="","",'[38]سجل المستخلصات'!$X$16)</f>
        <v/>
      </c>
      <c r="U35" s="61">
        <f>IF('[38]سجل المستخلصات'!$Z$16="","",'[38]سجل المستخلصات'!$Z$16)</f>
        <v/>
      </c>
      <c r="V35" s="59">
        <f>IF('[38]سجل المستخلصات'!$AA$16="","",'[38]سجل المستخلصات'!$AA$16)</f>
        <v/>
      </c>
      <c r="W35" s="59">
        <f>IF('[38]سجل المستخلصات'!$AC$16="","",'[38]سجل المستخلصات'!$AC$16)</f>
        <v/>
      </c>
      <c r="X35" s="62">
        <f>IF('[38]سجل المستخلصات'!$AD$16="","",'[38]سجل المستخلصات'!$AD$16)</f>
        <v/>
      </c>
      <c r="Y35" s="58">
        <f>IF('[38]سجل المستخلصات'!$AE$16="","",'[38]سجل المستخلصات'!$AE$16)</f>
        <v/>
      </c>
    </row>
    <row r="36">
      <c r="B36" s="56" t="n">
        <v>12</v>
      </c>
      <c r="C36" s="57">
        <f>IF('[38]سجل المستخلصات'!$C$17="","",'[38]سجل المستخلصات'!$C$17)</f>
        <v/>
      </c>
      <c r="D36" s="57">
        <f>IF('[38]سجل المستخلصات'!$E$17="","",'[38]سجل المستخلصات'!$E$17)</f>
        <v/>
      </c>
      <c r="E36" s="58">
        <f>IF('[38]سجل المستخلصات'!$F$17="","",'[38]سجل المستخلصات'!$F$17)</f>
        <v/>
      </c>
      <c r="F36" s="59">
        <f>IF('[38]سجل المستخلصات'!$H$17="","",'[38]سجل المستخلصات'!$H$17)</f>
        <v/>
      </c>
      <c r="G36" s="59">
        <f>IF('[38]سجل المستخلصات'!$G$17="","",'[38]سجل المستخلصات'!$G$17)</f>
        <v/>
      </c>
      <c r="H36" s="59">
        <f>IF('[38]سجل المستخلصات'!$I$17="","",'[38]سجل المستخلصات'!$I$17)</f>
        <v/>
      </c>
      <c r="I36" s="59">
        <f>IF('[38]سجل المستخلصات'!$J$17="","",'[38]سجل المستخلصات'!$J$17)</f>
        <v/>
      </c>
      <c r="J36" s="59">
        <f>IF('[38]سجل المستخلصات'!$K$17="","",'[38]سجل المستخلصات'!$K$17)</f>
        <v/>
      </c>
      <c r="K36" s="60">
        <f>IF('[38]سجل المستخلصات'!$L$17="","",'[38]سجل المستخلصات'!$L$17)</f>
        <v/>
      </c>
      <c r="L36" s="60">
        <f>IF('[38]سجل المستخلصات'!$M$17="","",'[38]سجل المستخلصات'!$M$17)</f>
        <v/>
      </c>
      <c r="M36" s="60">
        <f>IF('[38]سجل المستخلصات'!$N$17="","",'[38]سجل المستخلصات'!$N$17)</f>
        <v/>
      </c>
      <c r="N36" s="59">
        <f>IF('[38]سجل المستخلصات'!$O$17="","",'[38]سجل المستخلصات'!$O$17)</f>
        <v/>
      </c>
      <c r="O36" s="59">
        <f>IF('[38]سجل المستخلصات'!$R$17="","",'[38]سجل المستخلصات'!$R$17)</f>
        <v/>
      </c>
      <c r="P36" s="59">
        <f>IF('[38]سجل المستخلصات'!$S$17="","",'[38]سجل المستخلصات'!$S$17)</f>
        <v/>
      </c>
      <c r="Q36" s="59">
        <f>IF('[38]سجل المستخلصات'!$T$17="","",'[38]سجل المستخلصات'!$T$17)</f>
        <v/>
      </c>
      <c r="R36" s="59">
        <f>IF('[38]سجل المستخلصات'!$V$17="","",'[38]سجل المستخلصات'!$V$17)</f>
        <v/>
      </c>
      <c r="S36" s="59">
        <f>IF('[38]سجل المستخلصات'!$W$17="","",'[38]سجل المستخلصات'!$W$17)</f>
        <v/>
      </c>
      <c r="T36" s="61">
        <f>IF('[38]سجل المستخلصات'!$X$17="","",'[38]سجل المستخلصات'!$X$17)</f>
        <v/>
      </c>
      <c r="U36" s="61">
        <f>IF('[38]سجل المستخلصات'!$Z$17="","",'[38]سجل المستخلصات'!$Z$17)</f>
        <v/>
      </c>
      <c r="V36" s="59">
        <f>IF('[38]سجل المستخلصات'!$AA$17="","",'[38]سجل المستخلصات'!$AA$17)</f>
        <v/>
      </c>
      <c r="W36" s="59">
        <f>IF('[38]سجل المستخلصات'!$AC$17="","",'[38]سجل المستخلصات'!$AC$17)</f>
        <v/>
      </c>
      <c r="X36" s="62">
        <f>IF('[38]سجل المستخلصات'!$AD$17="","",'[38]سجل المستخلصات'!$AD$17)</f>
        <v/>
      </c>
      <c r="Y36" s="58">
        <f>IF('[38]سجل المستخلصات'!$AE$17="","",'[38]سجل المستخلصات'!$AE$17)</f>
        <v/>
      </c>
    </row>
    <row r="37">
      <c r="B37" s="56" t="n">
        <v>13</v>
      </c>
      <c r="C37" s="57">
        <f>IF('[38]سجل المستخلصات'!$C$18="","",'[38]سجل المستخلصات'!$C$18)</f>
        <v/>
      </c>
      <c r="D37" s="57">
        <f>IF('[38]سجل المستخلصات'!$E$18="","",'[38]سجل المستخلصات'!$E$18)</f>
        <v/>
      </c>
      <c r="E37" s="58">
        <f>IF('[38]سجل المستخلصات'!$F$18="","",'[38]سجل المستخلصات'!$F$18)</f>
        <v/>
      </c>
      <c r="F37" s="59">
        <f>IF('[38]سجل المستخلصات'!$H$18="","",'[38]سجل المستخلصات'!$H$18)</f>
        <v/>
      </c>
      <c r="G37" s="59">
        <f>IF('[38]سجل المستخلصات'!$G$18="","",'[38]سجل المستخلصات'!$G$18)</f>
        <v/>
      </c>
      <c r="H37" s="59">
        <f>IF('[38]سجل المستخلصات'!$I$18="","",'[38]سجل المستخلصات'!$I$18)</f>
        <v/>
      </c>
      <c r="I37" s="59">
        <f>IF('[38]سجل المستخلصات'!$J$18="","",'[38]سجل المستخلصات'!$J$18)</f>
        <v/>
      </c>
      <c r="J37" s="59">
        <f>IF('[38]سجل المستخلصات'!$K$18="","",'[38]سجل المستخلصات'!$K$18)</f>
        <v/>
      </c>
      <c r="K37" s="60">
        <f>IF('[38]سجل المستخلصات'!$L$18="","",'[38]سجل المستخلصات'!$L$18)</f>
        <v/>
      </c>
      <c r="L37" s="60">
        <f>IF('[38]سجل المستخلصات'!$M$18="","",'[38]سجل المستخلصات'!$M$18)</f>
        <v/>
      </c>
      <c r="M37" s="60">
        <f>IF('[38]سجل المستخلصات'!$N$18="","",'[38]سجل المستخلصات'!$N$18)</f>
        <v/>
      </c>
      <c r="N37" s="59">
        <f>IF('[38]سجل المستخلصات'!$O$18="","",'[38]سجل المستخلصات'!$O$18)</f>
        <v/>
      </c>
      <c r="O37" s="59">
        <f>IF('[38]سجل المستخلصات'!$R$18="","",'[38]سجل المستخلصات'!$R$18)</f>
        <v/>
      </c>
      <c r="P37" s="59">
        <f>IF('[38]سجل المستخلصات'!$S$18="","",'[38]سجل المستخلصات'!$S$18)</f>
        <v/>
      </c>
      <c r="Q37" s="59">
        <f>IF('[38]سجل المستخلصات'!$T$18="","",'[38]سجل المستخلصات'!$T$18)</f>
        <v/>
      </c>
      <c r="R37" s="59">
        <f>IF('[38]سجل المستخلصات'!$V$18="","",'[38]سجل المستخلصات'!$V$18)</f>
        <v/>
      </c>
      <c r="S37" s="59">
        <f>IF('[38]سجل المستخلصات'!$W$18="","",'[38]سجل المستخلصات'!$W$18)</f>
        <v/>
      </c>
      <c r="T37" s="61">
        <f>IF('[38]سجل المستخلصات'!$X$18="","",'[38]سجل المستخلصات'!$X$18)</f>
        <v/>
      </c>
      <c r="U37" s="61">
        <f>IF('[38]سجل المستخلصات'!$Z$18="","",'[38]سجل المستخلصات'!$Z$18)</f>
        <v/>
      </c>
      <c r="V37" s="59">
        <f>IF('[38]سجل المستخلصات'!$AA$18="","",'[38]سجل المستخلصات'!$AA$18)</f>
        <v/>
      </c>
      <c r="W37" s="59">
        <f>IF('[38]سجل المستخلصات'!$AC$18="","",'[38]سجل المستخلصات'!$AC$18)</f>
        <v/>
      </c>
      <c r="X37" s="62">
        <f>IF('[38]سجل المستخلصات'!$AD$18="","",'[38]سجل المستخلصات'!$AD$18)</f>
        <v/>
      </c>
      <c r="Y37" s="58">
        <f>IF('[38]سجل المستخلصات'!$AE$18="","",'[38]سجل المستخلصات'!$AE$18)</f>
        <v/>
      </c>
    </row>
    <row r="38">
      <c r="B38" s="56" t="n">
        <v>14</v>
      </c>
      <c r="C38" s="57">
        <f>IF('[38]سجل المستخلصات'!$C$19="","",'[38]سجل المستخلصات'!$C$19)</f>
        <v/>
      </c>
      <c r="D38" s="57">
        <f>IF('[38]سجل المستخلصات'!$E$19="","",'[38]سجل المستخلصات'!$E$19)</f>
        <v/>
      </c>
      <c r="E38" s="58">
        <f>IF('[38]سجل المستخلصات'!$F$19="","",'[38]سجل المستخلصات'!$F$19)</f>
        <v/>
      </c>
      <c r="F38" s="59">
        <f>IF('[38]سجل المستخلصات'!$H$19="","",'[38]سجل المستخلصات'!$H$19)</f>
        <v/>
      </c>
      <c r="G38" s="59">
        <f>IF('[38]سجل المستخلصات'!$G$19="","",'[38]سجل المستخلصات'!$G$19)</f>
        <v/>
      </c>
      <c r="H38" s="59">
        <f>IF('[38]سجل المستخلصات'!$I$19="","",'[38]سجل المستخلصات'!$I$19)</f>
        <v/>
      </c>
      <c r="I38" s="59">
        <f>IF('[38]سجل المستخلصات'!$J$19="","",'[38]سجل المستخلصات'!$J$19)</f>
        <v/>
      </c>
      <c r="J38" s="59">
        <f>IF('[38]سجل المستخلصات'!$K$19="","",'[38]سجل المستخلصات'!$K$19)</f>
        <v/>
      </c>
      <c r="K38" s="60">
        <f>IF('[38]سجل المستخلصات'!$L$19="","",'[38]سجل المستخلصات'!$L$19)</f>
        <v/>
      </c>
      <c r="L38" s="60">
        <f>IF('[38]سجل المستخلصات'!$M$19="","",'[38]سجل المستخلصات'!$M$19)</f>
        <v/>
      </c>
      <c r="M38" s="60">
        <f>IF('[38]سجل المستخلصات'!$N$19="","",'[38]سجل المستخلصات'!$N$19)</f>
        <v/>
      </c>
      <c r="N38" s="59">
        <f>IF('[38]سجل المستخلصات'!$O$19="","",'[38]سجل المستخلصات'!$O$19)</f>
        <v/>
      </c>
      <c r="O38" s="59">
        <f>IF('[38]سجل المستخلصات'!$R$19="","",'[38]سجل المستخلصات'!$R$19)</f>
        <v/>
      </c>
      <c r="P38" s="59">
        <f>IF('[38]سجل المستخلصات'!$S$19="","",'[38]سجل المستخلصات'!$S$19)</f>
        <v/>
      </c>
      <c r="Q38" s="59">
        <f>IF('[38]سجل المستخلصات'!$T$19="","",'[38]سجل المستخلصات'!$T$19)</f>
        <v/>
      </c>
      <c r="R38" s="59">
        <f>IF('[38]سجل المستخلصات'!$V$19="","",'[38]سجل المستخلصات'!$V$19)</f>
        <v/>
      </c>
      <c r="S38" s="59">
        <f>IF('[38]سجل المستخلصات'!$W$19="","",'[38]سجل المستخلصات'!$W$19)</f>
        <v/>
      </c>
      <c r="T38" s="61">
        <f>IF('[38]سجل المستخلصات'!$X$19="","",'[38]سجل المستخلصات'!$X$19)</f>
        <v/>
      </c>
      <c r="U38" s="61">
        <f>IF('[38]سجل المستخلصات'!$Z$19="","",'[38]سجل المستخلصات'!$Z$19)</f>
        <v/>
      </c>
      <c r="V38" s="59">
        <f>IF('[38]سجل المستخلصات'!$AA$19="","",'[38]سجل المستخلصات'!$AA$19)</f>
        <v/>
      </c>
      <c r="W38" s="59">
        <f>IF('[38]سجل المستخلصات'!$AC$19="","",'[38]سجل المستخلصات'!$AC$19)</f>
        <v/>
      </c>
      <c r="X38" s="62">
        <f>IF('[38]سجل المستخلصات'!$AD$19="","",'[38]سجل المستخلصات'!$AD$19)</f>
        <v/>
      </c>
      <c r="Y38" s="58">
        <f>IF('[38]سجل المستخلصات'!$AE$19="","",'[38]سجل المستخلصات'!$AE$19)</f>
        <v/>
      </c>
    </row>
    <row r="39">
      <c r="B39" s="56" t="n">
        <v>15</v>
      </c>
      <c r="C39" s="57">
        <f>IF('[38]سجل المستخلصات'!$C$20="","",'[38]سجل المستخلصات'!$C$20)</f>
        <v/>
      </c>
      <c r="D39" s="57">
        <f>IF('[38]سجل المستخلصات'!$E$20="","",'[38]سجل المستخلصات'!$E$20)</f>
        <v/>
      </c>
      <c r="E39" s="58">
        <f>IF('[38]سجل المستخلصات'!$F$20="","",'[38]سجل المستخلصات'!$F$20)</f>
        <v/>
      </c>
      <c r="F39" s="59">
        <f>IF('[38]سجل المستخلصات'!$H$20="","",'[38]سجل المستخلصات'!$H$20)</f>
        <v/>
      </c>
      <c r="G39" s="59">
        <f>IF('[38]سجل المستخلصات'!$G$20="","",'[38]سجل المستخلصات'!$G$20)</f>
        <v/>
      </c>
      <c r="H39" s="59">
        <f>IF('[38]سجل المستخلصات'!$I$20="","",'[38]سجل المستخلصات'!$I$20)</f>
        <v/>
      </c>
      <c r="I39" s="59">
        <f>IF('[38]سجل المستخلصات'!$J$20="","",'[38]سجل المستخلصات'!$J$20)</f>
        <v/>
      </c>
      <c r="J39" s="59">
        <f>IF('[38]سجل المستخلصات'!$K$20="","",'[38]سجل المستخلصات'!$K$20)</f>
        <v/>
      </c>
      <c r="K39" s="60">
        <f>IF('[38]سجل المستخلصات'!$L$20="","",'[38]سجل المستخلصات'!$L$20)</f>
        <v/>
      </c>
      <c r="L39" s="60">
        <f>IF('[38]سجل المستخلصات'!$M$20="","",'[38]سجل المستخلصات'!$M$20)</f>
        <v/>
      </c>
      <c r="M39" s="60">
        <f>IF('[38]سجل المستخلصات'!$N$20="","",'[38]سجل المستخلصات'!$N$20)</f>
        <v/>
      </c>
      <c r="N39" s="59">
        <f>IF('[38]سجل المستخلصات'!$O$20="","",'[38]سجل المستخلصات'!$O$20)</f>
        <v/>
      </c>
      <c r="O39" s="59">
        <f>IF('[38]سجل المستخلصات'!$R$20="","",'[38]سجل المستخلصات'!$R$20)</f>
        <v/>
      </c>
      <c r="P39" s="59">
        <f>IF('[38]سجل المستخلصات'!$S$20="","",'[38]سجل المستخلصات'!$S$20)</f>
        <v/>
      </c>
      <c r="Q39" s="59">
        <f>IF('[38]سجل المستخلصات'!$T$20="","",'[38]سجل المستخلصات'!$T$20)</f>
        <v/>
      </c>
      <c r="R39" s="59">
        <f>IF('[38]سجل المستخلصات'!$V$20="","",'[38]سجل المستخلصات'!$V$20)</f>
        <v/>
      </c>
      <c r="S39" s="59">
        <f>IF('[38]سجل المستخلصات'!$W$20="","",'[38]سجل المستخلصات'!$W$20)</f>
        <v/>
      </c>
      <c r="T39" s="61">
        <f>IF('[38]سجل المستخلصات'!$X$20="","",'[38]سجل المستخلصات'!$X$20)</f>
        <v/>
      </c>
      <c r="U39" s="61">
        <f>IF('[38]سجل المستخلصات'!$Z$20="","",'[38]سجل المستخلصات'!$Z$20)</f>
        <v/>
      </c>
      <c r="V39" s="59">
        <f>IF('[38]سجل المستخلصات'!$AA$20="","",'[38]سجل المستخلصات'!$AA$20)</f>
        <v/>
      </c>
      <c r="W39" s="59">
        <f>IF('[38]سجل المستخلصات'!$AC$20="","",'[38]سجل المستخلصات'!$AC$20)</f>
        <v/>
      </c>
      <c r="X39" s="62">
        <f>IF('[38]سجل المستخلصات'!$AD$20="","",'[38]سجل المستخلصات'!$AD$20)</f>
        <v/>
      </c>
      <c r="Y39" s="58">
        <f>IF('[38]سجل المستخلصات'!$AE$20="","",'[38]سجل المستخلصات'!$AE$20)</f>
        <v/>
      </c>
    </row>
    <row r="40">
      <c r="B40" s="56" t="n">
        <v>16</v>
      </c>
      <c r="C40" s="57">
        <f>IF('[38]سجل المستخلصات'!$C$21="","",'[38]سجل المستخلصات'!$C$21)</f>
        <v/>
      </c>
      <c r="D40" s="57">
        <f>IF('[38]سجل المستخلصات'!$E$21="","",'[38]سجل المستخلصات'!$E$21)</f>
        <v/>
      </c>
      <c r="E40" s="58">
        <f>IF('[38]سجل المستخلصات'!$F$21="","",'[38]سجل المستخلصات'!$F$21)</f>
        <v/>
      </c>
      <c r="F40" s="59">
        <f>IF('[38]سجل المستخلصات'!$H$21="","",'[38]سجل المستخلصات'!$H$21)</f>
        <v/>
      </c>
      <c r="G40" s="59">
        <f>IF('[38]سجل المستخلصات'!$G$21="","",'[38]سجل المستخلصات'!$G$21)</f>
        <v/>
      </c>
      <c r="H40" s="59">
        <f>IF('[38]سجل المستخلصات'!$I$21="","",'[38]سجل المستخلصات'!$I$21)</f>
        <v/>
      </c>
      <c r="I40" s="59">
        <f>IF('[38]سجل المستخلصات'!$J$21="","",'[38]سجل المستخلصات'!$J$21)</f>
        <v/>
      </c>
      <c r="J40" s="59">
        <f>IF('[38]سجل المستخلصات'!$K$21="","",'[38]سجل المستخلصات'!$K$21)</f>
        <v/>
      </c>
      <c r="K40" s="60">
        <f>IF('[38]سجل المستخلصات'!$L$21="","",'[38]سجل المستخلصات'!$L$21)</f>
        <v/>
      </c>
      <c r="L40" s="60">
        <f>IF('[38]سجل المستخلصات'!$M$21="","",'[38]سجل المستخلصات'!$M$21)</f>
        <v/>
      </c>
      <c r="M40" s="60">
        <f>IF('[38]سجل المستخلصات'!$N$21="","",'[38]سجل المستخلصات'!$N$21)</f>
        <v/>
      </c>
      <c r="N40" s="59">
        <f>IF('[38]سجل المستخلصات'!$O$21="","",'[38]سجل المستخلصات'!$O$21)</f>
        <v/>
      </c>
      <c r="O40" s="59">
        <f>IF('[38]سجل المستخلصات'!$R$21="","",'[38]سجل المستخلصات'!$R$21)</f>
        <v/>
      </c>
      <c r="P40" s="59">
        <f>IF('[38]سجل المستخلصات'!$S$21="","",'[38]سجل المستخلصات'!$S$21)</f>
        <v/>
      </c>
      <c r="Q40" s="59">
        <f>IF('[38]سجل المستخلصات'!$T$21="","",'[38]سجل المستخلصات'!$T$21)</f>
        <v/>
      </c>
      <c r="R40" s="59">
        <f>IF('[38]سجل المستخلصات'!$V$21="","",'[38]سجل المستخلصات'!$V$21)</f>
        <v/>
      </c>
      <c r="S40" s="59">
        <f>IF('[38]سجل المستخلصات'!$W$21="","",'[38]سجل المستخلصات'!$W$21)</f>
        <v/>
      </c>
      <c r="T40" s="61">
        <f>IF('[38]سجل المستخلصات'!$X$21="","",'[38]سجل المستخلصات'!$X$21)</f>
        <v/>
      </c>
      <c r="U40" s="61">
        <f>IF('[38]سجل المستخلصات'!$Z$21="","",'[38]سجل المستخلصات'!$Z$21)</f>
        <v/>
      </c>
      <c r="V40" s="59">
        <f>IF('[38]سجل المستخلصات'!$AA$21="","",'[38]سجل المستخلصات'!$AA$21)</f>
        <v/>
      </c>
      <c r="W40" s="59">
        <f>IF('[38]سجل المستخلصات'!$AC$21="","",'[38]سجل المستخلصات'!$AC$21)</f>
        <v/>
      </c>
      <c r="X40" s="62">
        <f>IF('[38]سجل المستخلصات'!$AD$21="","",'[38]سجل المستخلصات'!$AD$21)</f>
        <v/>
      </c>
      <c r="Y40" s="58">
        <f>IF('[38]سجل المستخلصات'!$AE$21="","",'[38]سجل المستخلصات'!$AE$21)</f>
        <v/>
      </c>
    </row>
    <row r="41">
      <c r="B41" s="56" t="n">
        <v>17</v>
      </c>
      <c r="C41" s="57">
        <f>IF('[38]سجل المستخلصات'!$C$22="","",'[38]سجل المستخلصات'!$C$22)</f>
        <v/>
      </c>
      <c r="D41" s="57">
        <f>IF('[38]سجل المستخلصات'!$E$22="","",'[38]سجل المستخلصات'!$E$22)</f>
        <v/>
      </c>
      <c r="E41" s="58">
        <f>IF('[38]سجل المستخلصات'!$F$22="","",'[38]سجل المستخلصات'!$F$22)</f>
        <v/>
      </c>
      <c r="F41" s="59">
        <f>IF('[38]سجل المستخلصات'!$H$22="","",'[38]سجل المستخلصات'!$H$22)</f>
        <v/>
      </c>
      <c r="G41" s="59">
        <f>IF('[38]سجل المستخلصات'!$G$22="","",'[38]سجل المستخلصات'!$G$22)</f>
        <v/>
      </c>
      <c r="H41" s="59">
        <f>IF('[38]سجل المستخلصات'!$I$22="","",'[38]سجل المستخلصات'!$I$22)</f>
        <v/>
      </c>
      <c r="I41" s="59">
        <f>IF('[38]سجل المستخلصات'!$J$22="","",'[38]سجل المستخلصات'!$J$22)</f>
        <v/>
      </c>
      <c r="J41" s="59">
        <f>IF('[38]سجل المستخلصات'!$K$22="","",'[38]سجل المستخلصات'!$K$22)</f>
        <v/>
      </c>
      <c r="K41" s="60">
        <f>IF('[38]سجل المستخلصات'!$L$22="","",'[38]سجل المستخلصات'!$L$22)</f>
        <v/>
      </c>
      <c r="L41" s="60">
        <f>IF('[38]سجل المستخلصات'!$M$22="","",'[38]سجل المستخلصات'!$M$22)</f>
        <v/>
      </c>
      <c r="M41" s="60">
        <f>IF('[38]سجل المستخلصات'!$N$22="","",'[38]سجل المستخلصات'!$N$22)</f>
        <v/>
      </c>
      <c r="N41" s="59">
        <f>IF('[38]سجل المستخلصات'!$O$22="","",'[38]سجل المستخلصات'!$O$22)</f>
        <v/>
      </c>
      <c r="O41" s="59">
        <f>IF('[38]سجل المستخلصات'!$R$22="","",'[38]سجل المستخلصات'!$R$22)</f>
        <v/>
      </c>
      <c r="P41" s="59">
        <f>IF('[38]سجل المستخلصات'!$S$22="","",'[38]سجل المستخلصات'!$S$22)</f>
        <v/>
      </c>
      <c r="Q41" s="59">
        <f>IF('[38]سجل المستخلصات'!$T$22="","",'[38]سجل المستخلصات'!$T$22)</f>
        <v/>
      </c>
      <c r="R41" s="59">
        <f>IF('[38]سجل المستخلصات'!$V$22="","",'[38]سجل المستخلصات'!$V$22)</f>
        <v/>
      </c>
      <c r="S41" s="59">
        <f>IF('[38]سجل المستخلصات'!$W$22="","",'[38]سجل المستخلصات'!$W$22)</f>
        <v/>
      </c>
      <c r="T41" s="61">
        <f>IF('[38]سجل المستخلصات'!$X$22="","",'[38]سجل المستخلصات'!$X$22)</f>
        <v/>
      </c>
      <c r="U41" s="61">
        <f>IF('[38]سجل المستخلصات'!$Z$22="","",'[38]سجل المستخلصات'!$Z$22)</f>
        <v/>
      </c>
      <c r="V41" s="59">
        <f>IF('[38]سجل المستخلصات'!$AA$22="","",'[38]سجل المستخلصات'!$AA$22)</f>
        <v/>
      </c>
      <c r="W41" s="59">
        <f>IF('[38]سجل المستخلصات'!$AC$22="","",'[38]سجل المستخلصات'!$AC$22)</f>
        <v/>
      </c>
      <c r="X41" s="62">
        <f>IF('[38]سجل المستخلصات'!$AD$22="","",'[38]سجل المستخلصات'!$AD$22)</f>
        <v/>
      </c>
      <c r="Y41" s="58">
        <f>IF('[38]سجل المستخلصات'!$AE$22="","",'[38]سجل المستخلصات'!$AE$22)</f>
        <v/>
      </c>
    </row>
    <row r="42">
      <c r="B42" s="56" t="n">
        <v>18</v>
      </c>
      <c r="C42" s="57">
        <f>IF('[38]سجل المستخلصات'!$C$23="","",'[38]سجل المستخلصات'!$C$23)</f>
        <v/>
      </c>
      <c r="D42" s="57">
        <f>IF('[38]سجل المستخلصات'!$E$23="","",'[38]سجل المستخلصات'!$E$23)</f>
        <v/>
      </c>
      <c r="E42" s="58">
        <f>IF('[38]سجل المستخلصات'!$F$23="","",'[38]سجل المستخلصات'!$F$23)</f>
        <v/>
      </c>
      <c r="F42" s="59">
        <f>IF('[38]سجل المستخلصات'!$H$23="","",'[38]سجل المستخلصات'!$H$23)</f>
        <v/>
      </c>
      <c r="G42" s="59">
        <f>IF('[38]سجل المستخلصات'!$G$23="","",'[38]سجل المستخلصات'!$G$23)</f>
        <v/>
      </c>
      <c r="H42" s="59">
        <f>IF('[38]سجل المستخلصات'!$I$23="","",'[38]سجل المستخلصات'!$I$23)</f>
        <v/>
      </c>
      <c r="I42" s="59">
        <f>IF('[38]سجل المستخلصات'!$J$23="","",'[38]سجل المستخلصات'!$J$23)</f>
        <v/>
      </c>
      <c r="J42" s="59">
        <f>IF('[38]سجل المستخلصات'!$K$23="","",'[38]سجل المستخلصات'!$K$23)</f>
        <v/>
      </c>
      <c r="K42" s="60">
        <f>IF('[38]سجل المستخلصات'!$L$23="","",'[38]سجل المستخلصات'!$L$23)</f>
        <v/>
      </c>
      <c r="L42" s="60">
        <f>IF('[38]سجل المستخلصات'!$M$23="","",'[38]سجل المستخلصات'!$M$23)</f>
        <v/>
      </c>
      <c r="M42" s="60">
        <f>IF('[38]سجل المستخلصات'!$N$23="","",'[38]سجل المستخلصات'!$N$23)</f>
        <v/>
      </c>
      <c r="N42" s="59">
        <f>IF('[38]سجل المستخلصات'!$O$23="","",'[38]سجل المستخلصات'!$O$23)</f>
        <v/>
      </c>
      <c r="O42" s="59">
        <f>IF('[38]سجل المستخلصات'!$R$23="","",'[38]سجل المستخلصات'!$R$23)</f>
        <v/>
      </c>
      <c r="P42" s="59">
        <f>IF('[38]سجل المستخلصات'!$S$23="","",'[38]سجل المستخلصات'!$S$23)</f>
        <v/>
      </c>
      <c r="Q42" s="59">
        <f>IF('[38]سجل المستخلصات'!$T$23="","",'[38]سجل المستخلصات'!$T$23)</f>
        <v/>
      </c>
      <c r="R42" s="59">
        <f>IF('[38]سجل المستخلصات'!$V$23="","",'[38]سجل المستخلصات'!$V$23)</f>
        <v/>
      </c>
      <c r="S42" s="59">
        <f>IF('[38]سجل المستخلصات'!$W$23="","",'[38]سجل المستخلصات'!$W$23)</f>
        <v/>
      </c>
      <c r="T42" s="61">
        <f>IF('[38]سجل المستخلصات'!$X$23="","",'[38]سجل المستخلصات'!$X$23)</f>
        <v/>
      </c>
      <c r="U42" s="61">
        <f>IF('[38]سجل المستخلصات'!$Z$23="","",'[38]سجل المستخلصات'!$Z$23)</f>
        <v/>
      </c>
      <c r="V42" s="59">
        <f>IF('[38]سجل المستخلصات'!$AA$23="","",'[38]سجل المستخلصات'!$AA$23)</f>
        <v/>
      </c>
      <c r="W42" s="59">
        <f>IF('[38]سجل المستخلصات'!$AC$23="","",'[38]سجل المستخلصات'!$AC$23)</f>
        <v/>
      </c>
      <c r="X42" s="62">
        <f>IF('[38]سجل المستخلصات'!$AD$23="","",'[38]سجل المستخلصات'!$AD$23)</f>
        <v/>
      </c>
      <c r="Y42" s="58">
        <f>IF('[38]سجل المستخلصات'!$AE$23="","",'[38]سجل المستخلصات'!$AE$23)</f>
        <v/>
      </c>
    </row>
    <row r="43">
      <c r="B43" s="56" t="n">
        <v>19</v>
      </c>
      <c r="C43" s="57">
        <f>IF('[38]سجل المستخلصات'!$C$24="","",'[38]سجل المستخلصات'!$C$24)</f>
        <v/>
      </c>
      <c r="D43" s="57">
        <f>IF('[38]سجل المستخلصات'!$E$24="","",'[38]سجل المستخلصات'!$E$24)</f>
        <v/>
      </c>
      <c r="E43" s="58">
        <f>IF('[38]سجل المستخلصات'!$F$24="","",'[38]سجل المستخلصات'!$F$24)</f>
        <v/>
      </c>
      <c r="F43" s="59">
        <f>IF('[38]سجل المستخلصات'!$H$24="","",'[38]سجل المستخلصات'!$H$24)</f>
        <v/>
      </c>
      <c r="G43" s="59">
        <f>IF('[38]سجل المستخلصات'!$G$24="","",'[38]سجل المستخلصات'!$G$24)</f>
        <v/>
      </c>
      <c r="H43" s="59">
        <f>IF('[38]سجل المستخلصات'!$I$24="","",'[38]سجل المستخلصات'!$I$24)</f>
        <v/>
      </c>
      <c r="I43" s="59">
        <f>IF('[38]سجل المستخلصات'!$J$24="","",'[38]سجل المستخلصات'!$J$24)</f>
        <v/>
      </c>
      <c r="J43" s="59">
        <f>IF('[38]سجل المستخلصات'!$K$24="","",'[38]سجل المستخلصات'!$K$24)</f>
        <v/>
      </c>
      <c r="K43" s="60">
        <f>IF('[38]سجل المستخلصات'!$L$24="","",'[38]سجل المستخلصات'!$L$24)</f>
        <v/>
      </c>
      <c r="L43" s="60">
        <f>IF('[38]سجل المستخلصات'!$M$24="","",'[38]سجل المستخلصات'!$M$24)</f>
        <v/>
      </c>
      <c r="M43" s="60">
        <f>IF('[38]سجل المستخلصات'!$N$24="","",'[38]سجل المستخلصات'!$N$24)</f>
        <v/>
      </c>
      <c r="N43" s="59">
        <f>IF('[38]سجل المستخلصات'!$O$24="","",'[38]سجل المستخلصات'!$O$24)</f>
        <v/>
      </c>
      <c r="O43" s="59">
        <f>IF('[38]سجل المستخلصات'!$R$24="","",'[38]سجل المستخلصات'!$R$24)</f>
        <v/>
      </c>
      <c r="P43" s="59">
        <f>IF('[38]سجل المستخلصات'!$S$24="","",'[38]سجل المستخلصات'!$S$24)</f>
        <v/>
      </c>
      <c r="Q43" s="59">
        <f>IF('[38]سجل المستخلصات'!$T$24="","",'[38]سجل المستخلصات'!$T$24)</f>
        <v/>
      </c>
      <c r="R43" s="59">
        <f>IF('[38]سجل المستخلصات'!$V$24="","",'[38]سجل المستخلصات'!$V$24)</f>
        <v/>
      </c>
      <c r="S43" s="59">
        <f>IF('[38]سجل المستخلصات'!$W$24="","",'[38]سجل المستخلصات'!$W$24)</f>
        <v/>
      </c>
      <c r="T43" s="61">
        <f>IF('[38]سجل المستخلصات'!$X$24="","",'[38]سجل المستخلصات'!$X$24)</f>
        <v/>
      </c>
      <c r="U43" s="61">
        <f>IF('[38]سجل المستخلصات'!$Z$24="","",'[38]سجل المستخلصات'!$Z$24)</f>
        <v/>
      </c>
      <c r="V43" s="59">
        <f>IF('[38]سجل المستخلصات'!$AA$24="","",'[38]سجل المستخلصات'!$AA$24)</f>
        <v/>
      </c>
      <c r="W43" s="59">
        <f>IF('[38]سجل المستخلصات'!$AC$24="","",'[38]سجل المستخلصات'!$AC$24)</f>
        <v/>
      </c>
      <c r="X43" s="62">
        <f>IF('[38]سجل المستخلصات'!$AD$24="","",'[38]سجل المستخلصات'!$AD$24)</f>
        <v/>
      </c>
      <c r="Y43" s="58">
        <f>IF('[38]سجل المستخلصات'!$AE$24="","",'[38]سجل المستخلصات'!$AE$24)</f>
        <v/>
      </c>
    </row>
    <row r="44">
      <c r="B44" s="56" t="n">
        <v>20</v>
      </c>
      <c r="C44" s="57">
        <f>IF('[38]سجل المستخلصات'!$C$25="","",'[38]سجل المستخلصات'!$C$25)</f>
        <v/>
      </c>
      <c r="D44" s="57">
        <f>IF('[38]سجل المستخلصات'!$E$25="","",'[38]سجل المستخلصات'!$E$25)</f>
        <v/>
      </c>
      <c r="E44" s="58">
        <f>IF('[38]سجل المستخلصات'!$F$25="","",'[38]سجل المستخلصات'!$F$25)</f>
        <v/>
      </c>
      <c r="F44" s="59">
        <f>IF('[38]سجل المستخلصات'!$H$25="","",'[38]سجل المستخلصات'!$H$25)</f>
        <v/>
      </c>
      <c r="G44" s="59">
        <f>IF('[38]سجل المستخلصات'!$G$25="","",'[38]سجل المستخلصات'!$G$25)</f>
        <v/>
      </c>
      <c r="H44" s="59">
        <f>IF('[38]سجل المستخلصات'!$I$25="","",'[38]سجل المستخلصات'!$I$25)</f>
        <v/>
      </c>
      <c r="I44" s="59">
        <f>IF('[38]سجل المستخلصات'!$J$25="","",'[38]سجل المستخلصات'!$J$25)</f>
        <v/>
      </c>
      <c r="J44" s="59">
        <f>IF('[38]سجل المستخلصات'!$K$25="","",'[38]سجل المستخلصات'!$K$25)</f>
        <v/>
      </c>
      <c r="K44" s="60">
        <f>IF('[38]سجل المستخلصات'!$L$25="","",'[38]سجل المستخلصات'!$L$25)</f>
        <v/>
      </c>
      <c r="L44" s="60">
        <f>IF('[38]سجل المستخلصات'!$M$25="","",'[38]سجل المستخلصات'!$M$25)</f>
        <v/>
      </c>
      <c r="M44" s="60">
        <f>IF('[38]سجل المستخلصات'!$N$25="","",'[38]سجل المستخلصات'!$N$25)</f>
        <v/>
      </c>
      <c r="N44" s="59">
        <f>IF('[38]سجل المستخلصات'!$O$25="","",'[38]سجل المستخلصات'!$O$25)</f>
        <v/>
      </c>
      <c r="O44" s="59">
        <f>IF('[38]سجل المستخلصات'!$R$25="","",'[38]سجل المستخلصات'!$R$25)</f>
        <v/>
      </c>
      <c r="P44" s="59">
        <f>IF('[38]سجل المستخلصات'!$S$25="","",'[38]سجل المستخلصات'!$S$25)</f>
        <v/>
      </c>
      <c r="Q44" s="59">
        <f>IF('[38]سجل المستخلصات'!$T$25="","",'[38]سجل المستخلصات'!$T$25)</f>
        <v/>
      </c>
      <c r="R44" s="59">
        <f>IF('[38]سجل المستخلصات'!$V$25="","",'[38]سجل المستخلصات'!$V$25)</f>
        <v/>
      </c>
      <c r="S44" s="59">
        <f>IF('[38]سجل المستخلصات'!$W$25="","",'[38]سجل المستخلصات'!$W$25)</f>
        <v/>
      </c>
      <c r="T44" s="61">
        <f>IF('[38]سجل المستخلصات'!$X$25="","",'[38]سجل المستخلصات'!$X$25)</f>
        <v/>
      </c>
      <c r="U44" s="61">
        <f>IF('[38]سجل المستخلصات'!$Z$25="","",'[38]سجل المستخلصات'!$Z$25)</f>
        <v/>
      </c>
      <c r="V44" s="59">
        <f>IF('[38]سجل المستخلصات'!$AA$25="","",'[38]سجل المستخلصات'!$AA$25)</f>
        <v/>
      </c>
      <c r="W44" s="59">
        <f>IF('[38]سجل المستخلصات'!$AC$25="","",'[38]سجل المستخلصات'!$AC$25)</f>
        <v/>
      </c>
      <c r="X44" s="62">
        <f>IF('[38]سجل المستخلصات'!$AD$25="","",'[38]سجل المستخلصات'!$AD$25)</f>
        <v/>
      </c>
      <c r="Y44" s="58">
        <f>IF('[38]سجل المستخلصات'!$AE$25="","",'[38]سجل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IF('[38]سجل المستخلصات'!$B$32="","",'[38]سجل المستخلصات'!$B$32)</f>
        <v/>
      </c>
      <c r="C50" s="69" t="n"/>
      <c r="D50" s="69" t="n"/>
      <c r="E50" s="59">
        <f>N('[38]سجل المستخلصات'!$E$32)</f>
        <v/>
      </c>
      <c r="F50" s="59">
        <f>N('[38]سجل المستخلصات'!$F$32)</f>
        <v/>
      </c>
      <c r="G50" s="70">
        <f>IF(E50&gt;0,F50/E50,0)</f>
        <v/>
      </c>
    </row>
    <row r="51">
      <c r="B51" s="69">
        <f>IF('[38]سجل المستخلصات'!$B$33="","",'[38]سجل المستخلصات'!$B$33)</f>
        <v/>
      </c>
      <c r="C51" s="69" t="n"/>
      <c r="D51" s="69" t="n"/>
      <c r="E51" s="59">
        <f>N('[38]سجل المستخلصات'!$E$33)</f>
        <v/>
      </c>
      <c r="F51" s="59">
        <f>N('[38]سجل المستخلصات'!$F$33)</f>
        <v/>
      </c>
      <c r="G51" s="70">
        <f>IF(E51&gt;0,F51/E51,0)</f>
        <v/>
      </c>
    </row>
    <row r="52">
      <c r="B52" s="69">
        <f>IF('[38]سجل المستخلصات'!$B$34="","",'[38]سجل المستخلصات'!$B$34)</f>
        <v/>
      </c>
      <c r="C52" s="69" t="n"/>
      <c r="D52" s="69" t="n"/>
      <c r="E52" s="59">
        <f>N('[38]سجل المستخلصات'!$E$34)</f>
        <v/>
      </c>
      <c r="F52" s="59">
        <f>N('[38]سجل المستخلصات'!$F$34)</f>
        <v/>
      </c>
      <c r="G52" s="70">
        <f>IF(E52&gt;0,F52/E52,0)</f>
        <v/>
      </c>
    </row>
    <row r="53">
      <c r="B53" s="69">
        <f>IF('[38]سجل المستخلصات'!$B$35="","",'[38]سجل المستخلصات'!$B$35)</f>
        <v/>
      </c>
      <c r="C53" s="69" t="n"/>
      <c r="D53" s="69" t="n"/>
      <c r="E53" s="59">
        <f>N('[38]سجل المستخلصات'!$E$35)</f>
        <v/>
      </c>
      <c r="F53" s="59">
        <f>N('[38]سجل المستخلصات'!$F$35)</f>
        <v/>
      </c>
      <c r="G53" s="70">
        <f>IF(E53&gt;0,F53/E53,0)</f>
        <v/>
      </c>
    </row>
    <row r="54">
      <c r="B54" s="69">
        <f>IF('[38]سجل المستخلصات'!$B$36="","",'[38]سجل المستخلصات'!$B$36)</f>
        <v/>
      </c>
      <c r="C54" s="69" t="n"/>
      <c r="D54" s="69" t="n"/>
      <c r="E54" s="59">
        <f>N('[38]سجل المستخلصات'!$E$36)</f>
        <v/>
      </c>
      <c r="F54" s="59">
        <f>N('[38]سجل المستخلصات'!$F$36)</f>
        <v/>
      </c>
      <c r="G54" s="70">
        <f>IF(E54&gt;0,F54/E54,0)</f>
        <v/>
      </c>
    </row>
    <row r="55">
      <c r="B55" s="69">
        <f>IF('[38]سجل المستخلصات'!$B$37="","",'[38]سجل المستخلصات'!$B$37)</f>
        <v/>
      </c>
      <c r="C55" s="69" t="n"/>
      <c r="D55" s="69" t="n"/>
      <c r="E55" s="59">
        <f>N('[38]سجل المستخلصات'!$E$37)</f>
        <v/>
      </c>
      <c r="F55" s="59">
        <f>N('[38]سجل المستخلصات'!$F$37)</f>
        <v/>
      </c>
      <c r="G55" s="70">
        <f>IF(E55&gt;0,F55/E55,0)</f>
        <v/>
      </c>
    </row>
    <row r="56">
      <c r="B56" s="69">
        <f>IF('[38]سجل المستخلصات'!$B$38="","",'[38]سجل المستخلصات'!$B$38)</f>
        <v/>
      </c>
      <c r="C56" s="69" t="n"/>
      <c r="D56" s="69" t="n"/>
      <c r="E56" s="59">
        <f>N('[38]سجل المستخلصات'!$E$38)</f>
        <v/>
      </c>
      <c r="F56" s="59">
        <f>N('[38]سجل المستخلصات'!$F$38)</f>
        <v/>
      </c>
      <c r="G56" s="70">
        <f>IF(E56&gt;0,F56/E56,0)</f>
        <v/>
      </c>
    </row>
    <row r="57">
      <c r="B57" s="69">
        <f>IF('[38]سجل المستخلصات'!$B$39="","",'[38]سجل المستخلصات'!$B$39)</f>
        <v/>
      </c>
      <c r="C57" s="69" t="n"/>
      <c r="D57" s="69" t="n"/>
      <c r="E57" s="59">
        <f>N('[38]سجل المستخلصات'!$E$39)</f>
        <v/>
      </c>
      <c r="F57" s="59">
        <f>N('[38]سجل المستخلصات'!$F$39)</f>
        <v/>
      </c>
      <c r="G57" s="70">
        <f>IF(E57&gt;0,F57/E57,0)</f>
        <v/>
      </c>
    </row>
    <row r="58">
      <c r="B58" s="69">
        <f>IF('[38]سجل المستخلصات'!$B$40="","",'[38]سجل المستخلصات'!$B$40)</f>
        <v/>
      </c>
      <c r="C58" s="69" t="n"/>
      <c r="D58" s="69" t="n"/>
      <c r="E58" s="59">
        <f>N('[38]سجل المستخلصات'!$E$40)</f>
        <v/>
      </c>
      <c r="F58" s="59">
        <f>N('[38]سجل المستخلصات'!$F$40)</f>
        <v/>
      </c>
      <c r="G58" s="70">
        <f>IF(E58&gt;0,F58/E58,0)</f>
        <v/>
      </c>
    </row>
    <row r="59">
      <c r="B59" s="69">
        <f>IF('[38]سجل المستخلصات'!$B$41="","",'[38]سجل المستخلصات'!$B$41)</f>
        <v/>
      </c>
      <c r="C59" s="69" t="n"/>
      <c r="D59" s="69" t="n"/>
      <c r="E59" s="59">
        <f>N('[38]سجل المستخلصات'!$E$41)</f>
        <v/>
      </c>
      <c r="F59" s="59">
        <f>N('[38]سجل المستخلصات'!$F$41)</f>
        <v/>
      </c>
      <c r="G59" s="70">
        <f>IF(E59&gt;0,F59/E59,0)</f>
        <v/>
      </c>
    </row>
    <row r="60">
      <c r="B60" s="69">
        <f>IF('[38]سجل المستخلصات'!$B$42="","",'[38]سجل المستخلصات'!$B$42)</f>
        <v/>
      </c>
      <c r="C60" s="69" t="n"/>
      <c r="D60" s="69" t="n"/>
      <c r="E60" s="59">
        <f>N('[38]سجل المستخلصات'!$E$42)</f>
        <v/>
      </c>
      <c r="F60" s="59">
        <f>N('[38]سجل المستخلصات'!$F$42)</f>
        <v/>
      </c>
      <c r="G60" s="70">
        <f>IF(E60&gt;0,F60/E60,0)</f>
        <v/>
      </c>
    </row>
    <row r="61">
      <c r="B61" s="69">
        <f>IF('[38]سجل المستخلصات'!$B$43="","",'[38]سجل المستخلصات'!$B$43)</f>
        <v/>
      </c>
      <c r="C61" s="69" t="n"/>
      <c r="D61" s="69" t="n"/>
      <c r="E61" s="59">
        <f>N('[38]سجل المستخلصات'!$E$43)</f>
        <v/>
      </c>
      <c r="F61" s="59">
        <f>N('[38]سجل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37'!A1" display="◄ المشروع السابق"/>
    <hyperlink ref="D3" location="'مشروع 39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4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"&amp;IF('[39]بيانات العقد'!$C$5="","مشروع رقم 39 — غير مُفعّل",'[39]بيانات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Project_39/IPC_Project_39.xlsx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IF('[39]بيانات العقد'!$C$5="","",'[39]بيانات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IF('[39]بيانات العقد'!$C$6="","",'[39]بيانات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IF('[39]بيانات العقد'!$C$7="","",'[39]بيانات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IF('[39]بيانات العقد'!$C$8="","",'[39]بيانات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N('[39]بيانات العقد'!$C$16)</f>
        <v/>
      </c>
    </row>
    <row r="6" ht="22" customHeight="1">
      <c r="B6" s="11" t="inlineStr">
        <is>
          <t>المقاول</t>
        </is>
      </c>
      <c r="C6" s="14">
        <f>IF('[39]بيانات العقد'!$C$9="","",'[39]بيانات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IF('[39]بيانات العقد'!$C$11="","",'[39]بيانات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IF('[39]بيانات العقد'!$C$13="","",'[39]بيانات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IF('[39]بيانات العقد'!$C$14="","",'[39]بيانات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N('[39]بيانات العقد'!$C$17)</f>
        <v/>
      </c>
    </row>
    <row r="7">
      <c r="AA7" s="15" t="inlineStr">
        <is>
          <t>قيمة العقد المعدلة</t>
        </is>
      </c>
      <c r="AB7" s="16">
        <f>N('[39]بيانات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N('[39]بيانات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N('[39]بيانات العقد'!$C$21)</f>
        <v/>
      </c>
    </row>
    <row r="10">
      <c r="AA10" s="15" t="inlineStr">
        <is>
          <t>نسبة ضمان الأعمال</t>
        </is>
      </c>
      <c r="AB10" s="23">
        <f>N('[39]بيانات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N('[39]بيانات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N('[39]بيانات العقد'!$C$31)</f>
        <v/>
      </c>
    </row>
    <row r="13">
      <c r="AA13" s="15" t="inlineStr">
        <is>
          <t>ضريبة الاستقطاع (غير المقيم)</t>
        </is>
      </c>
      <c r="AB13" s="23">
        <f>N('[39]بيانات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IF('[39]بيانات العقد'!$C$11="","",'[39]بيانات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IF('[39]بيانات العقد'!$C$13="","",'[39]بيانات العقد'!$C$13)</f>
        <v/>
      </c>
    </row>
    <row r="16">
      <c r="AA16" s="15" t="inlineStr">
        <is>
          <t>المدة (شهر)</t>
        </is>
      </c>
      <c r="AB16" s="43">
        <f>IF('[39]بيانات العقد'!$C$12="","",'[39]بيانات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IF('[39]بيانات العقد'!$C$36="","",'[39]بيانات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IF('[39]بيانات العقد'!$C$37="","",'[39]بيانات العقد'!$C$37)</f>
        <v/>
      </c>
    </row>
    <row r="19">
      <c r="AA19" s="15" t="inlineStr">
        <is>
          <t>الرقم الضريبي لصاحب العمل</t>
        </is>
      </c>
      <c r="AB19" s="48">
        <f>IF('[39]بيانات العقد'!$C$39="","",'[39]بيانات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IF('[39]بيانات العقد'!$C$42="","",'[39]بيانات العقد'!$C$42)</f>
        <v/>
      </c>
    </row>
    <row r="21" ht="32" customHeight="1">
      <c r="B21" s="50">
        <f>N('[39]الموازنة والتكاليف'!$D$66)</f>
        <v/>
      </c>
      <c r="C21" s="50" t="n"/>
      <c r="D21" s="50" t="n"/>
      <c r="E21" s="50" t="n"/>
      <c r="F21" s="50">
        <f>N('[39]الموازنة والتكاليف'!$D$70)</f>
        <v/>
      </c>
      <c r="G21" s="50" t="n"/>
      <c r="H21" s="50" t="n"/>
      <c r="I21" s="50" t="n"/>
      <c r="J21" s="50">
        <f>N('[39]الموازنة والتكاليف'!$D$72)</f>
        <v/>
      </c>
      <c r="K21" s="50" t="n"/>
      <c r="L21" s="50" t="n"/>
      <c r="M21" s="50" t="n"/>
      <c r="N21" s="51">
        <f>N('[39]الموازنة والتكاليف'!$D$73)</f>
        <v/>
      </c>
      <c r="O21" s="51" t="n"/>
      <c r="P21" s="51" t="n"/>
      <c r="Q21" s="51" t="n"/>
      <c r="R21" s="52">
        <f>N('[39]الموازنة والتكاليف'!$D$74)</f>
        <v/>
      </c>
      <c r="S21" s="52" t="n"/>
      <c r="T21" s="52" t="n"/>
      <c r="U21" s="52" t="n"/>
      <c r="V21" s="50">
        <f>N('[39]الموازنة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IF('[39]بيانات العقد'!$C$43="","",'[39]بيانات العقد'!$C$43)</f>
        <v/>
      </c>
    </row>
    <row r="22">
      <c r="AA22" s="15" t="inlineStr">
        <is>
          <t>حالة غرامات التأخير</t>
        </is>
      </c>
      <c r="AB22" s="45">
        <f>IF('[39]بيانات العقد'!$C$47="","",'[39]بيانات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IF('[39]سجل المستخلصات'!$C$6="","",'[39]سجل المستخلصات'!$C$6)</f>
        <v/>
      </c>
      <c r="D25" s="57">
        <f>IF('[39]سجل المستخلصات'!$E$6="","",'[39]سجل المستخلصات'!$E$6)</f>
        <v/>
      </c>
      <c r="E25" s="58">
        <f>IF('[39]سجل المستخلصات'!$F$6="","",'[39]سجل المستخلصات'!$F$6)</f>
        <v/>
      </c>
      <c r="F25" s="59">
        <f>IF('[39]سجل المستخلصات'!$H$6="","",'[39]سجل المستخلصات'!$H$6)</f>
        <v/>
      </c>
      <c r="G25" s="59">
        <f>IF('[39]سجل المستخلصات'!$G$6="","",'[39]سجل المستخلصات'!$G$6)</f>
        <v/>
      </c>
      <c r="H25" s="59">
        <f>IF('[39]سجل المستخلصات'!$I$6="","",'[39]سجل المستخلصات'!$I$6)</f>
        <v/>
      </c>
      <c r="I25" s="59">
        <f>IF('[39]سجل المستخلصات'!$J$6="","",'[39]سجل المستخلصات'!$J$6)</f>
        <v/>
      </c>
      <c r="J25" s="59">
        <f>IF('[39]سجل المستخلصات'!$K$6="","",'[39]سجل المستخلصات'!$K$6)</f>
        <v/>
      </c>
      <c r="K25" s="60">
        <f>IF('[39]سجل المستخلصات'!$L$6="","",'[39]سجل المستخلصات'!$L$6)</f>
        <v/>
      </c>
      <c r="L25" s="60">
        <f>IF('[39]سجل المستخلصات'!$M$6="","",'[39]سجل المستخلصات'!$M$6)</f>
        <v/>
      </c>
      <c r="M25" s="60">
        <f>IF('[39]سجل المستخلصات'!$N$6="","",'[39]سجل المستخلصات'!$N$6)</f>
        <v/>
      </c>
      <c r="N25" s="59">
        <f>IF('[39]سجل المستخلصات'!$O$6="","",'[39]سجل المستخلصات'!$O$6)</f>
        <v/>
      </c>
      <c r="O25" s="59">
        <f>IF('[39]سجل المستخلصات'!$R$6="","",'[39]سجل المستخلصات'!$R$6)</f>
        <v/>
      </c>
      <c r="P25" s="59">
        <f>IF('[39]سجل المستخلصات'!$S$6="","",'[39]سجل المستخلصات'!$S$6)</f>
        <v/>
      </c>
      <c r="Q25" s="59">
        <f>IF('[39]سجل المستخلصات'!$T$6="","",'[39]سجل المستخلصات'!$T$6)</f>
        <v/>
      </c>
      <c r="R25" s="59">
        <f>IF('[39]سجل المستخلصات'!$V$6="","",'[39]سجل المستخلصات'!$V$6)</f>
        <v/>
      </c>
      <c r="S25" s="59">
        <f>IF('[39]سجل المستخلصات'!$W$6="","",'[39]سجل المستخلصات'!$W$6)</f>
        <v/>
      </c>
      <c r="T25" s="61">
        <f>IF('[39]سجل المستخلصات'!$X$6="","",'[39]سجل المستخلصات'!$X$6)</f>
        <v/>
      </c>
      <c r="U25" s="61">
        <f>IF('[39]سجل المستخلصات'!$Z$6="","",'[39]سجل المستخلصات'!$Z$6)</f>
        <v/>
      </c>
      <c r="V25" s="59">
        <f>IF('[39]سجل المستخلصات'!$AA$6="","",'[39]سجل المستخلصات'!$AA$6)</f>
        <v/>
      </c>
      <c r="W25" s="59">
        <f>IF('[39]سجل المستخلصات'!$AC$6="","",'[39]سجل المستخلصات'!$AC$6)</f>
        <v/>
      </c>
      <c r="X25" s="62">
        <f>IF('[39]سجل المستخلصات'!$AD$6="","",'[39]سجل المستخلصات'!$AD$6)</f>
        <v/>
      </c>
      <c r="Y25" s="58">
        <f>IF('[39]سجل المستخلصات'!$AE$6="","",'[39]سجل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IF('[39]سجل المستخلصات'!$C$7="","",'[39]سجل المستخلصات'!$C$7)</f>
        <v/>
      </c>
      <c r="D26" s="57">
        <f>IF('[39]سجل المستخلصات'!$E$7="","",'[39]سجل المستخلصات'!$E$7)</f>
        <v/>
      </c>
      <c r="E26" s="58">
        <f>IF('[39]سجل المستخلصات'!$F$7="","",'[39]سجل المستخلصات'!$F$7)</f>
        <v/>
      </c>
      <c r="F26" s="59">
        <f>IF('[39]سجل المستخلصات'!$H$7="","",'[39]سجل المستخلصات'!$H$7)</f>
        <v/>
      </c>
      <c r="G26" s="59">
        <f>IF('[39]سجل المستخلصات'!$G$7="","",'[39]سجل المستخلصات'!$G$7)</f>
        <v/>
      </c>
      <c r="H26" s="59">
        <f>IF('[39]سجل المستخلصات'!$I$7="","",'[39]سجل المستخلصات'!$I$7)</f>
        <v/>
      </c>
      <c r="I26" s="59">
        <f>IF('[39]سجل المستخلصات'!$J$7="","",'[39]سجل المستخلصات'!$J$7)</f>
        <v/>
      </c>
      <c r="J26" s="59">
        <f>IF('[39]سجل المستخلصات'!$K$7="","",'[39]سجل المستخلصات'!$K$7)</f>
        <v/>
      </c>
      <c r="K26" s="60">
        <f>IF('[39]سجل المستخلصات'!$L$7="","",'[39]سجل المستخلصات'!$L$7)</f>
        <v/>
      </c>
      <c r="L26" s="60">
        <f>IF('[39]سجل المستخلصات'!$M$7="","",'[39]سجل المستخلصات'!$M$7)</f>
        <v/>
      </c>
      <c r="M26" s="60">
        <f>IF('[39]سجل المستخلصات'!$N$7="","",'[39]سجل المستخلصات'!$N$7)</f>
        <v/>
      </c>
      <c r="N26" s="59">
        <f>IF('[39]سجل المستخلصات'!$O$7="","",'[39]سجل المستخلصات'!$O$7)</f>
        <v/>
      </c>
      <c r="O26" s="59">
        <f>IF('[39]سجل المستخلصات'!$R$7="","",'[39]سجل المستخلصات'!$R$7)</f>
        <v/>
      </c>
      <c r="P26" s="59">
        <f>IF('[39]سجل المستخلصات'!$S$7="","",'[39]سجل المستخلصات'!$S$7)</f>
        <v/>
      </c>
      <c r="Q26" s="59">
        <f>IF('[39]سجل المستخلصات'!$T$7="","",'[39]سجل المستخلصات'!$T$7)</f>
        <v/>
      </c>
      <c r="R26" s="59">
        <f>IF('[39]سجل المستخلصات'!$V$7="","",'[39]سجل المستخلصات'!$V$7)</f>
        <v/>
      </c>
      <c r="S26" s="59">
        <f>IF('[39]سجل المستخلصات'!$W$7="","",'[39]سجل المستخلصات'!$W$7)</f>
        <v/>
      </c>
      <c r="T26" s="61">
        <f>IF('[39]سجل المستخلصات'!$X$7="","",'[39]سجل المستخلصات'!$X$7)</f>
        <v/>
      </c>
      <c r="U26" s="61">
        <f>IF('[39]سجل المستخلصات'!$Z$7="","",'[39]سجل المستخلصات'!$Z$7)</f>
        <v/>
      </c>
      <c r="V26" s="59">
        <f>IF('[39]سجل المستخلصات'!$AA$7="","",'[39]سجل المستخلصات'!$AA$7)</f>
        <v/>
      </c>
      <c r="W26" s="59">
        <f>IF('[39]سجل المستخلصات'!$AC$7="","",'[39]سجل المستخلصات'!$AC$7)</f>
        <v/>
      </c>
      <c r="X26" s="62">
        <f>IF('[39]سجل المستخلصات'!$AD$7="","",'[39]سجل المستخلصات'!$AD$7)</f>
        <v/>
      </c>
      <c r="Y26" s="58">
        <f>IF('[39]سجل المستخلصات'!$AE$7="","",'[39]سجل المستخلصات'!$AE$7)</f>
        <v/>
      </c>
      <c r="AA26" s="63" t="n"/>
      <c r="AB26" s="63" t="n"/>
    </row>
    <row r="27">
      <c r="B27" s="56" t="n">
        <v>3</v>
      </c>
      <c r="C27" s="57">
        <f>IF('[39]سجل المستخلصات'!$C$8="","",'[39]سجل المستخلصات'!$C$8)</f>
        <v/>
      </c>
      <c r="D27" s="57">
        <f>IF('[39]سجل المستخلصات'!$E$8="","",'[39]سجل المستخلصات'!$E$8)</f>
        <v/>
      </c>
      <c r="E27" s="58">
        <f>IF('[39]سجل المستخلصات'!$F$8="","",'[39]سجل المستخلصات'!$F$8)</f>
        <v/>
      </c>
      <c r="F27" s="59">
        <f>IF('[39]سجل المستخلصات'!$H$8="","",'[39]سجل المستخلصات'!$H$8)</f>
        <v/>
      </c>
      <c r="G27" s="59">
        <f>IF('[39]سجل المستخلصات'!$G$8="","",'[39]سجل المستخلصات'!$G$8)</f>
        <v/>
      </c>
      <c r="H27" s="59">
        <f>IF('[39]سجل المستخلصات'!$I$8="","",'[39]سجل المستخلصات'!$I$8)</f>
        <v/>
      </c>
      <c r="I27" s="59">
        <f>IF('[39]سجل المستخلصات'!$J$8="","",'[39]سجل المستخلصات'!$J$8)</f>
        <v/>
      </c>
      <c r="J27" s="59">
        <f>IF('[39]سجل المستخلصات'!$K$8="","",'[39]سجل المستخلصات'!$K$8)</f>
        <v/>
      </c>
      <c r="K27" s="60">
        <f>IF('[39]سجل المستخلصات'!$L$8="","",'[39]سجل المستخلصات'!$L$8)</f>
        <v/>
      </c>
      <c r="L27" s="60">
        <f>IF('[39]سجل المستخلصات'!$M$8="","",'[39]سجل المستخلصات'!$M$8)</f>
        <v/>
      </c>
      <c r="M27" s="60">
        <f>IF('[39]سجل المستخلصات'!$N$8="","",'[39]سجل المستخلصات'!$N$8)</f>
        <v/>
      </c>
      <c r="N27" s="59">
        <f>IF('[39]سجل المستخلصات'!$O$8="","",'[39]سجل المستخلصات'!$O$8)</f>
        <v/>
      </c>
      <c r="O27" s="59">
        <f>IF('[39]سجل المستخلصات'!$R$8="","",'[39]سجل المستخلصات'!$R$8)</f>
        <v/>
      </c>
      <c r="P27" s="59">
        <f>IF('[39]سجل المستخلصات'!$S$8="","",'[39]سجل المستخلصات'!$S$8)</f>
        <v/>
      </c>
      <c r="Q27" s="59">
        <f>IF('[39]سجل المستخلصات'!$T$8="","",'[39]سجل المستخلصات'!$T$8)</f>
        <v/>
      </c>
      <c r="R27" s="59">
        <f>IF('[39]سجل المستخلصات'!$V$8="","",'[39]سجل المستخلصات'!$V$8)</f>
        <v/>
      </c>
      <c r="S27" s="59">
        <f>IF('[39]سجل المستخلصات'!$W$8="","",'[39]سجل المستخلصات'!$W$8)</f>
        <v/>
      </c>
      <c r="T27" s="61">
        <f>IF('[39]سجل المستخلصات'!$X$8="","",'[39]سجل المستخلصات'!$X$8)</f>
        <v/>
      </c>
      <c r="U27" s="61">
        <f>IF('[39]سجل المستخلصات'!$Z$8="","",'[39]سجل المستخلصات'!$Z$8)</f>
        <v/>
      </c>
      <c r="V27" s="59">
        <f>IF('[39]سجل المستخلصات'!$AA$8="","",'[39]سجل المستخلصات'!$AA$8)</f>
        <v/>
      </c>
      <c r="W27" s="59">
        <f>IF('[39]سجل المستخلصات'!$AC$8="","",'[39]سجل المستخلصات'!$AC$8)</f>
        <v/>
      </c>
      <c r="X27" s="62">
        <f>IF('[39]سجل المستخلصات'!$AD$8="","",'[39]سجل المستخلصات'!$AD$8)</f>
        <v/>
      </c>
      <c r="Y27" s="58">
        <f>IF('[39]سجل المستخلصات'!$AE$8="","",'[39]سجل المستخلصات'!$AE$8)</f>
        <v/>
      </c>
      <c r="AA27" s="63" t="n"/>
      <c r="AB27" s="63" t="n"/>
    </row>
    <row r="28">
      <c r="B28" s="56" t="n">
        <v>4</v>
      </c>
      <c r="C28" s="57">
        <f>IF('[39]سجل المستخلصات'!$C$9="","",'[39]سجل المستخلصات'!$C$9)</f>
        <v/>
      </c>
      <c r="D28" s="57">
        <f>IF('[39]سجل المستخلصات'!$E$9="","",'[39]سجل المستخلصات'!$E$9)</f>
        <v/>
      </c>
      <c r="E28" s="58">
        <f>IF('[39]سجل المستخلصات'!$F$9="","",'[39]سجل المستخلصات'!$F$9)</f>
        <v/>
      </c>
      <c r="F28" s="59">
        <f>IF('[39]سجل المستخلصات'!$H$9="","",'[39]سجل المستخلصات'!$H$9)</f>
        <v/>
      </c>
      <c r="G28" s="59">
        <f>IF('[39]سجل المستخلصات'!$G$9="","",'[39]سجل المستخلصات'!$G$9)</f>
        <v/>
      </c>
      <c r="H28" s="59">
        <f>IF('[39]سجل المستخلصات'!$I$9="","",'[39]سجل المستخلصات'!$I$9)</f>
        <v/>
      </c>
      <c r="I28" s="59">
        <f>IF('[39]سجل المستخلصات'!$J$9="","",'[39]سجل المستخلصات'!$J$9)</f>
        <v/>
      </c>
      <c r="J28" s="59">
        <f>IF('[39]سجل المستخلصات'!$K$9="","",'[39]سجل المستخلصات'!$K$9)</f>
        <v/>
      </c>
      <c r="K28" s="60">
        <f>IF('[39]سجل المستخلصات'!$L$9="","",'[39]سجل المستخلصات'!$L$9)</f>
        <v/>
      </c>
      <c r="L28" s="60">
        <f>IF('[39]سجل المستخلصات'!$M$9="","",'[39]سجل المستخلصات'!$M$9)</f>
        <v/>
      </c>
      <c r="M28" s="60">
        <f>IF('[39]سجل المستخلصات'!$N$9="","",'[39]سجل المستخلصات'!$N$9)</f>
        <v/>
      </c>
      <c r="N28" s="59">
        <f>IF('[39]سجل المستخلصات'!$O$9="","",'[39]سجل المستخلصات'!$O$9)</f>
        <v/>
      </c>
      <c r="O28" s="59">
        <f>IF('[39]سجل المستخلصات'!$R$9="","",'[39]سجل المستخلصات'!$R$9)</f>
        <v/>
      </c>
      <c r="P28" s="59">
        <f>IF('[39]سجل المستخلصات'!$S$9="","",'[39]سجل المستخلصات'!$S$9)</f>
        <v/>
      </c>
      <c r="Q28" s="59">
        <f>IF('[39]سجل المستخلصات'!$T$9="","",'[39]سجل المستخلصات'!$T$9)</f>
        <v/>
      </c>
      <c r="R28" s="59">
        <f>IF('[39]سجل المستخلصات'!$V$9="","",'[39]سجل المستخلصات'!$V$9)</f>
        <v/>
      </c>
      <c r="S28" s="59">
        <f>IF('[39]سجل المستخلصات'!$W$9="","",'[39]سجل المستخلصات'!$W$9)</f>
        <v/>
      </c>
      <c r="T28" s="61">
        <f>IF('[39]سجل المستخلصات'!$X$9="","",'[39]سجل المستخلصات'!$X$9)</f>
        <v/>
      </c>
      <c r="U28" s="61">
        <f>IF('[39]سجل المستخلصات'!$Z$9="","",'[39]سجل المستخلصات'!$Z$9)</f>
        <v/>
      </c>
      <c r="V28" s="59">
        <f>IF('[39]سجل المستخلصات'!$AA$9="","",'[39]سجل المستخلصات'!$AA$9)</f>
        <v/>
      </c>
      <c r="W28" s="59">
        <f>IF('[39]سجل المستخلصات'!$AC$9="","",'[39]سجل المستخلصات'!$AC$9)</f>
        <v/>
      </c>
      <c r="X28" s="62">
        <f>IF('[39]سجل المستخلصات'!$AD$9="","",'[39]سجل المستخلصات'!$AD$9)</f>
        <v/>
      </c>
      <c r="Y28" s="58">
        <f>IF('[39]سجل المستخلصات'!$AE$9="","",'[39]سجل المستخلصات'!$AE$9)</f>
        <v/>
      </c>
      <c r="AA28" s="63" t="n"/>
      <c r="AB28" s="63" t="n"/>
    </row>
    <row r="29">
      <c r="B29" s="56" t="n">
        <v>5</v>
      </c>
      <c r="C29" s="57">
        <f>IF('[39]سجل المستخلصات'!$C$10="","",'[39]سجل المستخلصات'!$C$10)</f>
        <v/>
      </c>
      <c r="D29" s="57">
        <f>IF('[39]سجل المستخلصات'!$E$10="","",'[39]سجل المستخلصات'!$E$10)</f>
        <v/>
      </c>
      <c r="E29" s="58">
        <f>IF('[39]سجل المستخلصات'!$F$10="","",'[39]سجل المستخلصات'!$F$10)</f>
        <v/>
      </c>
      <c r="F29" s="59">
        <f>IF('[39]سجل المستخلصات'!$H$10="","",'[39]سجل المستخلصات'!$H$10)</f>
        <v/>
      </c>
      <c r="G29" s="59">
        <f>IF('[39]سجل المستخلصات'!$G$10="","",'[39]سجل المستخلصات'!$G$10)</f>
        <v/>
      </c>
      <c r="H29" s="59">
        <f>IF('[39]سجل المستخلصات'!$I$10="","",'[39]سجل المستخلصات'!$I$10)</f>
        <v/>
      </c>
      <c r="I29" s="59">
        <f>IF('[39]سجل المستخلصات'!$J$10="","",'[39]سجل المستخلصات'!$J$10)</f>
        <v/>
      </c>
      <c r="J29" s="59">
        <f>IF('[39]سجل المستخلصات'!$K$10="","",'[39]سجل المستخلصات'!$K$10)</f>
        <v/>
      </c>
      <c r="K29" s="60">
        <f>IF('[39]سجل المستخلصات'!$L$10="","",'[39]سجل المستخلصات'!$L$10)</f>
        <v/>
      </c>
      <c r="L29" s="60">
        <f>IF('[39]سجل المستخلصات'!$M$10="","",'[39]سجل المستخلصات'!$M$10)</f>
        <v/>
      </c>
      <c r="M29" s="60">
        <f>IF('[39]سجل المستخلصات'!$N$10="","",'[39]سجل المستخلصات'!$N$10)</f>
        <v/>
      </c>
      <c r="N29" s="59">
        <f>IF('[39]سجل المستخلصات'!$O$10="","",'[39]سجل المستخلصات'!$O$10)</f>
        <v/>
      </c>
      <c r="O29" s="59">
        <f>IF('[39]سجل المستخلصات'!$R$10="","",'[39]سجل المستخلصات'!$R$10)</f>
        <v/>
      </c>
      <c r="P29" s="59">
        <f>IF('[39]سجل المستخلصات'!$S$10="","",'[39]سجل المستخلصات'!$S$10)</f>
        <v/>
      </c>
      <c r="Q29" s="59">
        <f>IF('[39]سجل المستخلصات'!$T$10="","",'[39]سجل المستخلصات'!$T$10)</f>
        <v/>
      </c>
      <c r="R29" s="59">
        <f>IF('[39]سجل المستخلصات'!$V$10="","",'[39]سجل المستخلصات'!$V$10)</f>
        <v/>
      </c>
      <c r="S29" s="59">
        <f>IF('[39]سجل المستخلصات'!$W$10="","",'[39]سجل المستخلصات'!$W$10)</f>
        <v/>
      </c>
      <c r="T29" s="61">
        <f>IF('[39]سجل المستخلصات'!$X$10="","",'[39]سجل المستخلصات'!$X$10)</f>
        <v/>
      </c>
      <c r="U29" s="61">
        <f>IF('[39]سجل المستخلصات'!$Z$10="","",'[39]سجل المستخلصات'!$Z$10)</f>
        <v/>
      </c>
      <c r="V29" s="59">
        <f>IF('[39]سجل المستخلصات'!$AA$10="","",'[39]سجل المستخلصات'!$AA$10)</f>
        <v/>
      </c>
      <c r="W29" s="59">
        <f>IF('[39]سجل المستخلصات'!$AC$10="","",'[39]سجل المستخلصات'!$AC$10)</f>
        <v/>
      </c>
      <c r="X29" s="62">
        <f>IF('[39]سجل المستخلصات'!$AD$10="","",'[39]سجل المستخلصات'!$AD$10)</f>
        <v/>
      </c>
      <c r="Y29" s="58">
        <f>IF('[39]سجل المستخلصات'!$AE$10="","",'[39]سجل المستخلصات'!$AE$10)</f>
        <v/>
      </c>
    </row>
    <row r="30">
      <c r="B30" s="56" t="n">
        <v>6</v>
      </c>
      <c r="C30" s="57">
        <f>IF('[39]سجل المستخلصات'!$C$11="","",'[39]سجل المستخلصات'!$C$11)</f>
        <v/>
      </c>
      <c r="D30" s="57">
        <f>IF('[39]سجل المستخلصات'!$E$11="","",'[39]سجل المستخلصات'!$E$11)</f>
        <v/>
      </c>
      <c r="E30" s="58">
        <f>IF('[39]سجل المستخلصات'!$F$11="","",'[39]سجل المستخلصات'!$F$11)</f>
        <v/>
      </c>
      <c r="F30" s="59">
        <f>IF('[39]سجل المستخلصات'!$H$11="","",'[39]سجل المستخلصات'!$H$11)</f>
        <v/>
      </c>
      <c r="G30" s="59">
        <f>IF('[39]سجل المستخلصات'!$G$11="","",'[39]سجل المستخلصات'!$G$11)</f>
        <v/>
      </c>
      <c r="H30" s="59">
        <f>IF('[39]سجل المستخلصات'!$I$11="","",'[39]سجل المستخلصات'!$I$11)</f>
        <v/>
      </c>
      <c r="I30" s="59">
        <f>IF('[39]سجل المستخلصات'!$J$11="","",'[39]سجل المستخلصات'!$J$11)</f>
        <v/>
      </c>
      <c r="J30" s="59">
        <f>IF('[39]سجل المستخلصات'!$K$11="","",'[39]سجل المستخلصات'!$K$11)</f>
        <v/>
      </c>
      <c r="K30" s="60">
        <f>IF('[39]سجل المستخلصات'!$L$11="","",'[39]سجل المستخلصات'!$L$11)</f>
        <v/>
      </c>
      <c r="L30" s="60">
        <f>IF('[39]سجل المستخلصات'!$M$11="","",'[39]سجل المستخلصات'!$M$11)</f>
        <v/>
      </c>
      <c r="M30" s="60">
        <f>IF('[39]سجل المستخلصات'!$N$11="","",'[39]سجل المستخلصات'!$N$11)</f>
        <v/>
      </c>
      <c r="N30" s="59">
        <f>IF('[39]سجل المستخلصات'!$O$11="","",'[39]سجل المستخلصات'!$O$11)</f>
        <v/>
      </c>
      <c r="O30" s="59">
        <f>IF('[39]سجل المستخلصات'!$R$11="","",'[39]سجل المستخلصات'!$R$11)</f>
        <v/>
      </c>
      <c r="P30" s="59">
        <f>IF('[39]سجل المستخلصات'!$S$11="","",'[39]سجل المستخلصات'!$S$11)</f>
        <v/>
      </c>
      <c r="Q30" s="59">
        <f>IF('[39]سجل المستخلصات'!$T$11="","",'[39]سجل المستخلصات'!$T$11)</f>
        <v/>
      </c>
      <c r="R30" s="59">
        <f>IF('[39]سجل المستخلصات'!$V$11="","",'[39]سجل المستخلصات'!$V$11)</f>
        <v/>
      </c>
      <c r="S30" s="59">
        <f>IF('[39]سجل المستخلصات'!$W$11="","",'[39]سجل المستخلصات'!$W$11)</f>
        <v/>
      </c>
      <c r="T30" s="61">
        <f>IF('[39]سجل المستخلصات'!$X$11="","",'[39]سجل المستخلصات'!$X$11)</f>
        <v/>
      </c>
      <c r="U30" s="61">
        <f>IF('[39]سجل المستخلصات'!$Z$11="","",'[39]سجل المستخلصات'!$Z$11)</f>
        <v/>
      </c>
      <c r="V30" s="59">
        <f>IF('[39]سجل المستخلصات'!$AA$11="","",'[39]سجل المستخلصات'!$AA$11)</f>
        <v/>
      </c>
      <c r="W30" s="59">
        <f>IF('[39]سجل المستخلصات'!$AC$11="","",'[39]سجل المستخلصات'!$AC$11)</f>
        <v/>
      </c>
      <c r="X30" s="62">
        <f>IF('[39]سجل المستخلصات'!$AD$11="","",'[39]سجل المستخلصات'!$AD$11)</f>
        <v/>
      </c>
      <c r="Y30" s="58">
        <f>IF('[39]سجل المستخلصات'!$AE$11="","",'[39]سجل المستخلصات'!$AE$11)</f>
        <v/>
      </c>
    </row>
    <row r="31">
      <c r="B31" s="56" t="n">
        <v>7</v>
      </c>
      <c r="C31" s="57">
        <f>IF('[39]سجل المستخلصات'!$C$12="","",'[39]سجل المستخلصات'!$C$12)</f>
        <v/>
      </c>
      <c r="D31" s="57">
        <f>IF('[39]سجل المستخلصات'!$E$12="","",'[39]سجل المستخلصات'!$E$12)</f>
        <v/>
      </c>
      <c r="E31" s="58">
        <f>IF('[39]سجل المستخلصات'!$F$12="","",'[39]سجل المستخلصات'!$F$12)</f>
        <v/>
      </c>
      <c r="F31" s="59">
        <f>IF('[39]سجل المستخلصات'!$H$12="","",'[39]سجل المستخلصات'!$H$12)</f>
        <v/>
      </c>
      <c r="G31" s="59">
        <f>IF('[39]سجل المستخلصات'!$G$12="","",'[39]سجل المستخلصات'!$G$12)</f>
        <v/>
      </c>
      <c r="H31" s="59">
        <f>IF('[39]سجل المستخلصات'!$I$12="","",'[39]سجل المستخلصات'!$I$12)</f>
        <v/>
      </c>
      <c r="I31" s="59">
        <f>IF('[39]سجل المستخلصات'!$J$12="","",'[39]سجل المستخلصات'!$J$12)</f>
        <v/>
      </c>
      <c r="J31" s="59">
        <f>IF('[39]سجل المستخلصات'!$K$12="","",'[39]سجل المستخلصات'!$K$12)</f>
        <v/>
      </c>
      <c r="K31" s="60">
        <f>IF('[39]سجل المستخلصات'!$L$12="","",'[39]سجل المستخلصات'!$L$12)</f>
        <v/>
      </c>
      <c r="L31" s="60">
        <f>IF('[39]سجل المستخلصات'!$M$12="","",'[39]سجل المستخلصات'!$M$12)</f>
        <v/>
      </c>
      <c r="M31" s="60">
        <f>IF('[39]سجل المستخلصات'!$N$12="","",'[39]سجل المستخلصات'!$N$12)</f>
        <v/>
      </c>
      <c r="N31" s="59">
        <f>IF('[39]سجل المستخلصات'!$O$12="","",'[39]سجل المستخلصات'!$O$12)</f>
        <v/>
      </c>
      <c r="O31" s="59">
        <f>IF('[39]سجل المستخلصات'!$R$12="","",'[39]سجل المستخلصات'!$R$12)</f>
        <v/>
      </c>
      <c r="P31" s="59">
        <f>IF('[39]سجل المستخلصات'!$S$12="","",'[39]سجل المستخلصات'!$S$12)</f>
        <v/>
      </c>
      <c r="Q31" s="59">
        <f>IF('[39]سجل المستخلصات'!$T$12="","",'[39]سجل المستخلصات'!$T$12)</f>
        <v/>
      </c>
      <c r="R31" s="59">
        <f>IF('[39]سجل المستخلصات'!$V$12="","",'[39]سجل المستخلصات'!$V$12)</f>
        <v/>
      </c>
      <c r="S31" s="59">
        <f>IF('[39]سجل المستخلصات'!$W$12="","",'[39]سجل المستخلصات'!$W$12)</f>
        <v/>
      </c>
      <c r="T31" s="61">
        <f>IF('[39]سجل المستخلصات'!$X$12="","",'[39]سجل المستخلصات'!$X$12)</f>
        <v/>
      </c>
      <c r="U31" s="61">
        <f>IF('[39]سجل المستخلصات'!$Z$12="","",'[39]سجل المستخلصات'!$Z$12)</f>
        <v/>
      </c>
      <c r="V31" s="59">
        <f>IF('[39]سجل المستخلصات'!$AA$12="","",'[39]سجل المستخلصات'!$AA$12)</f>
        <v/>
      </c>
      <c r="W31" s="59">
        <f>IF('[39]سجل المستخلصات'!$AC$12="","",'[39]سجل المستخلصات'!$AC$12)</f>
        <v/>
      </c>
      <c r="X31" s="62">
        <f>IF('[39]سجل المستخلصات'!$AD$12="","",'[39]سجل المستخلصات'!$AD$12)</f>
        <v/>
      </c>
      <c r="Y31" s="58">
        <f>IF('[39]سجل المستخلصات'!$AE$12="","",'[39]سجل المستخلصات'!$AE$12)</f>
        <v/>
      </c>
    </row>
    <row r="32">
      <c r="B32" s="56" t="n">
        <v>8</v>
      </c>
      <c r="C32" s="57">
        <f>IF('[39]سجل المستخلصات'!$C$13="","",'[39]سجل المستخلصات'!$C$13)</f>
        <v/>
      </c>
      <c r="D32" s="57">
        <f>IF('[39]سجل المستخلصات'!$E$13="","",'[39]سجل المستخلصات'!$E$13)</f>
        <v/>
      </c>
      <c r="E32" s="58">
        <f>IF('[39]سجل المستخلصات'!$F$13="","",'[39]سجل المستخلصات'!$F$13)</f>
        <v/>
      </c>
      <c r="F32" s="59">
        <f>IF('[39]سجل المستخلصات'!$H$13="","",'[39]سجل المستخلصات'!$H$13)</f>
        <v/>
      </c>
      <c r="G32" s="59">
        <f>IF('[39]سجل المستخلصات'!$G$13="","",'[39]سجل المستخلصات'!$G$13)</f>
        <v/>
      </c>
      <c r="H32" s="59">
        <f>IF('[39]سجل المستخلصات'!$I$13="","",'[39]سجل المستخلصات'!$I$13)</f>
        <v/>
      </c>
      <c r="I32" s="59">
        <f>IF('[39]سجل المستخلصات'!$J$13="","",'[39]سجل المستخلصات'!$J$13)</f>
        <v/>
      </c>
      <c r="J32" s="59">
        <f>IF('[39]سجل المستخلصات'!$K$13="","",'[39]سجل المستخلصات'!$K$13)</f>
        <v/>
      </c>
      <c r="K32" s="60">
        <f>IF('[39]سجل المستخلصات'!$L$13="","",'[39]سجل المستخلصات'!$L$13)</f>
        <v/>
      </c>
      <c r="L32" s="60">
        <f>IF('[39]سجل المستخلصات'!$M$13="","",'[39]سجل المستخلصات'!$M$13)</f>
        <v/>
      </c>
      <c r="M32" s="60">
        <f>IF('[39]سجل المستخلصات'!$N$13="","",'[39]سجل المستخلصات'!$N$13)</f>
        <v/>
      </c>
      <c r="N32" s="59">
        <f>IF('[39]سجل المستخلصات'!$O$13="","",'[39]سجل المستخلصات'!$O$13)</f>
        <v/>
      </c>
      <c r="O32" s="59">
        <f>IF('[39]سجل المستخلصات'!$R$13="","",'[39]سجل المستخلصات'!$R$13)</f>
        <v/>
      </c>
      <c r="P32" s="59">
        <f>IF('[39]سجل المستخلصات'!$S$13="","",'[39]سجل المستخلصات'!$S$13)</f>
        <v/>
      </c>
      <c r="Q32" s="59">
        <f>IF('[39]سجل المستخلصات'!$T$13="","",'[39]سجل المستخلصات'!$T$13)</f>
        <v/>
      </c>
      <c r="R32" s="59">
        <f>IF('[39]سجل المستخلصات'!$V$13="","",'[39]سجل المستخلصات'!$V$13)</f>
        <v/>
      </c>
      <c r="S32" s="59">
        <f>IF('[39]سجل المستخلصات'!$W$13="","",'[39]سجل المستخلصات'!$W$13)</f>
        <v/>
      </c>
      <c r="T32" s="61">
        <f>IF('[39]سجل المستخلصات'!$X$13="","",'[39]سجل المستخلصات'!$X$13)</f>
        <v/>
      </c>
      <c r="U32" s="61">
        <f>IF('[39]سجل المستخلصات'!$Z$13="","",'[39]سجل المستخلصات'!$Z$13)</f>
        <v/>
      </c>
      <c r="V32" s="59">
        <f>IF('[39]سجل المستخلصات'!$AA$13="","",'[39]سجل المستخلصات'!$AA$13)</f>
        <v/>
      </c>
      <c r="W32" s="59">
        <f>IF('[39]سجل المستخلصات'!$AC$13="","",'[39]سجل المستخلصات'!$AC$13)</f>
        <v/>
      </c>
      <c r="X32" s="62">
        <f>IF('[39]سجل المستخلصات'!$AD$13="","",'[39]سجل المستخلصات'!$AD$13)</f>
        <v/>
      </c>
      <c r="Y32" s="58">
        <f>IF('[39]سجل المستخلصات'!$AE$13="","",'[39]سجل المستخلصات'!$AE$13)</f>
        <v/>
      </c>
    </row>
    <row r="33">
      <c r="B33" s="56" t="n">
        <v>9</v>
      </c>
      <c r="C33" s="57">
        <f>IF('[39]سجل المستخلصات'!$C$14="","",'[39]سجل المستخلصات'!$C$14)</f>
        <v/>
      </c>
      <c r="D33" s="57">
        <f>IF('[39]سجل المستخلصات'!$E$14="","",'[39]سجل المستخلصات'!$E$14)</f>
        <v/>
      </c>
      <c r="E33" s="58">
        <f>IF('[39]سجل المستخلصات'!$F$14="","",'[39]سجل المستخلصات'!$F$14)</f>
        <v/>
      </c>
      <c r="F33" s="59">
        <f>IF('[39]سجل المستخلصات'!$H$14="","",'[39]سجل المستخلصات'!$H$14)</f>
        <v/>
      </c>
      <c r="G33" s="59">
        <f>IF('[39]سجل المستخلصات'!$G$14="","",'[39]سجل المستخلصات'!$G$14)</f>
        <v/>
      </c>
      <c r="H33" s="59">
        <f>IF('[39]سجل المستخلصات'!$I$14="","",'[39]سجل المستخلصات'!$I$14)</f>
        <v/>
      </c>
      <c r="I33" s="59">
        <f>IF('[39]سجل المستخلصات'!$J$14="","",'[39]سجل المستخلصات'!$J$14)</f>
        <v/>
      </c>
      <c r="J33" s="59">
        <f>IF('[39]سجل المستخلصات'!$K$14="","",'[39]سجل المستخلصات'!$K$14)</f>
        <v/>
      </c>
      <c r="K33" s="60">
        <f>IF('[39]سجل المستخلصات'!$L$14="","",'[39]سجل المستخلصات'!$L$14)</f>
        <v/>
      </c>
      <c r="L33" s="60">
        <f>IF('[39]سجل المستخلصات'!$M$14="","",'[39]سجل المستخلصات'!$M$14)</f>
        <v/>
      </c>
      <c r="M33" s="60">
        <f>IF('[39]سجل المستخلصات'!$N$14="","",'[39]سجل المستخلصات'!$N$14)</f>
        <v/>
      </c>
      <c r="N33" s="59">
        <f>IF('[39]سجل المستخلصات'!$O$14="","",'[39]سجل المستخلصات'!$O$14)</f>
        <v/>
      </c>
      <c r="O33" s="59">
        <f>IF('[39]سجل المستخلصات'!$R$14="","",'[39]سجل المستخلصات'!$R$14)</f>
        <v/>
      </c>
      <c r="P33" s="59">
        <f>IF('[39]سجل المستخلصات'!$S$14="","",'[39]سجل المستخلصات'!$S$14)</f>
        <v/>
      </c>
      <c r="Q33" s="59">
        <f>IF('[39]سجل المستخلصات'!$T$14="","",'[39]سجل المستخلصات'!$T$14)</f>
        <v/>
      </c>
      <c r="R33" s="59">
        <f>IF('[39]سجل المستخلصات'!$V$14="","",'[39]سجل المستخلصات'!$V$14)</f>
        <v/>
      </c>
      <c r="S33" s="59">
        <f>IF('[39]سجل المستخلصات'!$W$14="","",'[39]سجل المستخلصات'!$W$14)</f>
        <v/>
      </c>
      <c r="T33" s="61">
        <f>IF('[39]سجل المستخلصات'!$X$14="","",'[39]سجل المستخلصات'!$X$14)</f>
        <v/>
      </c>
      <c r="U33" s="61">
        <f>IF('[39]سجل المستخلصات'!$Z$14="","",'[39]سجل المستخلصات'!$Z$14)</f>
        <v/>
      </c>
      <c r="V33" s="59">
        <f>IF('[39]سجل المستخلصات'!$AA$14="","",'[39]سجل المستخلصات'!$AA$14)</f>
        <v/>
      </c>
      <c r="W33" s="59">
        <f>IF('[39]سجل المستخلصات'!$AC$14="","",'[39]سجل المستخلصات'!$AC$14)</f>
        <v/>
      </c>
      <c r="X33" s="62">
        <f>IF('[39]سجل المستخلصات'!$AD$14="","",'[39]سجل المستخلصات'!$AD$14)</f>
        <v/>
      </c>
      <c r="Y33" s="58">
        <f>IF('[39]سجل المستخلصات'!$AE$14="","",'[39]سجل المستخلصات'!$AE$14)</f>
        <v/>
      </c>
    </row>
    <row r="34">
      <c r="B34" s="56" t="n">
        <v>10</v>
      </c>
      <c r="C34" s="57">
        <f>IF('[39]سجل المستخلصات'!$C$15="","",'[39]سجل المستخلصات'!$C$15)</f>
        <v/>
      </c>
      <c r="D34" s="57">
        <f>IF('[39]سجل المستخلصات'!$E$15="","",'[39]سجل المستخلصات'!$E$15)</f>
        <v/>
      </c>
      <c r="E34" s="58">
        <f>IF('[39]سجل المستخلصات'!$F$15="","",'[39]سجل المستخلصات'!$F$15)</f>
        <v/>
      </c>
      <c r="F34" s="59">
        <f>IF('[39]سجل المستخلصات'!$H$15="","",'[39]سجل المستخلصات'!$H$15)</f>
        <v/>
      </c>
      <c r="G34" s="59">
        <f>IF('[39]سجل المستخلصات'!$G$15="","",'[39]سجل المستخلصات'!$G$15)</f>
        <v/>
      </c>
      <c r="H34" s="59">
        <f>IF('[39]سجل المستخلصات'!$I$15="","",'[39]سجل المستخلصات'!$I$15)</f>
        <v/>
      </c>
      <c r="I34" s="59">
        <f>IF('[39]سجل المستخلصات'!$J$15="","",'[39]سجل المستخلصات'!$J$15)</f>
        <v/>
      </c>
      <c r="J34" s="59">
        <f>IF('[39]سجل المستخلصات'!$K$15="","",'[39]سجل المستخلصات'!$K$15)</f>
        <v/>
      </c>
      <c r="K34" s="60">
        <f>IF('[39]سجل المستخلصات'!$L$15="","",'[39]سجل المستخلصات'!$L$15)</f>
        <v/>
      </c>
      <c r="L34" s="60">
        <f>IF('[39]سجل المستخلصات'!$M$15="","",'[39]سجل المستخلصات'!$M$15)</f>
        <v/>
      </c>
      <c r="M34" s="60">
        <f>IF('[39]سجل المستخلصات'!$N$15="","",'[39]سجل المستخلصات'!$N$15)</f>
        <v/>
      </c>
      <c r="N34" s="59">
        <f>IF('[39]سجل المستخلصات'!$O$15="","",'[39]سجل المستخلصات'!$O$15)</f>
        <v/>
      </c>
      <c r="O34" s="59">
        <f>IF('[39]سجل المستخلصات'!$R$15="","",'[39]سجل المستخلصات'!$R$15)</f>
        <v/>
      </c>
      <c r="P34" s="59">
        <f>IF('[39]سجل المستخلصات'!$S$15="","",'[39]سجل المستخلصات'!$S$15)</f>
        <v/>
      </c>
      <c r="Q34" s="59">
        <f>IF('[39]سجل المستخلصات'!$T$15="","",'[39]سجل المستخلصات'!$T$15)</f>
        <v/>
      </c>
      <c r="R34" s="59">
        <f>IF('[39]سجل المستخلصات'!$V$15="","",'[39]سجل المستخلصات'!$V$15)</f>
        <v/>
      </c>
      <c r="S34" s="59">
        <f>IF('[39]سجل المستخلصات'!$W$15="","",'[39]سجل المستخلصات'!$W$15)</f>
        <v/>
      </c>
      <c r="T34" s="61">
        <f>IF('[39]سجل المستخلصات'!$X$15="","",'[39]سجل المستخلصات'!$X$15)</f>
        <v/>
      </c>
      <c r="U34" s="61">
        <f>IF('[39]سجل المستخلصات'!$Z$15="","",'[39]سجل المستخلصات'!$Z$15)</f>
        <v/>
      </c>
      <c r="V34" s="59">
        <f>IF('[39]سجل المستخلصات'!$AA$15="","",'[39]سجل المستخلصات'!$AA$15)</f>
        <v/>
      </c>
      <c r="W34" s="59">
        <f>IF('[39]سجل المستخلصات'!$AC$15="","",'[39]سجل المستخلصات'!$AC$15)</f>
        <v/>
      </c>
      <c r="X34" s="62">
        <f>IF('[39]سجل المستخلصات'!$AD$15="","",'[39]سجل المستخلصات'!$AD$15)</f>
        <v/>
      </c>
      <c r="Y34" s="58">
        <f>IF('[39]سجل المستخلصات'!$AE$15="","",'[39]سجل المستخلصات'!$AE$15)</f>
        <v/>
      </c>
    </row>
    <row r="35">
      <c r="B35" s="56" t="n">
        <v>11</v>
      </c>
      <c r="C35" s="57">
        <f>IF('[39]سجل المستخلصات'!$C$16="","",'[39]سجل المستخلصات'!$C$16)</f>
        <v/>
      </c>
      <c r="D35" s="57">
        <f>IF('[39]سجل المستخلصات'!$E$16="","",'[39]سجل المستخلصات'!$E$16)</f>
        <v/>
      </c>
      <c r="E35" s="58">
        <f>IF('[39]سجل المستخلصات'!$F$16="","",'[39]سجل المستخلصات'!$F$16)</f>
        <v/>
      </c>
      <c r="F35" s="59">
        <f>IF('[39]سجل المستخلصات'!$H$16="","",'[39]سجل المستخلصات'!$H$16)</f>
        <v/>
      </c>
      <c r="G35" s="59">
        <f>IF('[39]سجل المستخلصات'!$G$16="","",'[39]سجل المستخلصات'!$G$16)</f>
        <v/>
      </c>
      <c r="H35" s="59">
        <f>IF('[39]سجل المستخلصات'!$I$16="","",'[39]سجل المستخلصات'!$I$16)</f>
        <v/>
      </c>
      <c r="I35" s="59">
        <f>IF('[39]سجل المستخلصات'!$J$16="","",'[39]سجل المستخلصات'!$J$16)</f>
        <v/>
      </c>
      <c r="J35" s="59">
        <f>IF('[39]سجل المستخلصات'!$K$16="","",'[39]سجل المستخلصات'!$K$16)</f>
        <v/>
      </c>
      <c r="K35" s="60">
        <f>IF('[39]سجل المستخلصات'!$L$16="","",'[39]سجل المستخلصات'!$L$16)</f>
        <v/>
      </c>
      <c r="L35" s="60">
        <f>IF('[39]سجل المستخلصات'!$M$16="","",'[39]سجل المستخلصات'!$M$16)</f>
        <v/>
      </c>
      <c r="M35" s="60">
        <f>IF('[39]سجل المستخلصات'!$N$16="","",'[39]سجل المستخلصات'!$N$16)</f>
        <v/>
      </c>
      <c r="N35" s="59">
        <f>IF('[39]سجل المستخلصات'!$O$16="","",'[39]سجل المستخلصات'!$O$16)</f>
        <v/>
      </c>
      <c r="O35" s="59">
        <f>IF('[39]سجل المستخلصات'!$R$16="","",'[39]سجل المستخلصات'!$R$16)</f>
        <v/>
      </c>
      <c r="P35" s="59">
        <f>IF('[39]سجل المستخلصات'!$S$16="","",'[39]سجل المستخلصات'!$S$16)</f>
        <v/>
      </c>
      <c r="Q35" s="59">
        <f>IF('[39]سجل المستخلصات'!$T$16="","",'[39]سجل المستخلصات'!$T$16)</f>
        <v/>
      </c>
      <c r="R35" s="59">
        <f>IF('[39]سجل المستخلصات'!$V$16="","",'[39]سجل المستخلصات'!$V$16)</f>
        <v/>
      </c>
      <c r="S35" s="59">
        <f>IF('[39]سجل المستخلصات'!$W$16="","",'[39]سجل المستخلصات'!$W$16)</f>
        <v/>
      </c>
      <c r="T35" s="61">
        <f>IF('[39]سجل المستخلصات'!$X$16="","",'[39]سجل المستخلصات'!$X$16)</f>
        <v/>
      </c>
      <c r="U35" s="61">
        <f>IF('[39]سجل المستخلصات'!$Z$16="","",'[39]سجل المستخلصات'!$Z$16)</f>
        <v/>
      </c>
      <c r="V35" s="59">
        <f>IF('[39]سجل المستخلصات'!$AA$16="","",'[39]سجل المستخلصات'!$AA$16)</f>
        <v/>
      </c>
      <c r="W35" s="59">
        <f>IF('[39]سجل المستخلصات'!$AC$16="","",'[39]سجل المستخلصات'!$AC$16)</f>
        <v/>
      </c>
      <c r="X35" s="62">
        <f>IF('[39]سجل المستخلصات'!$AD$16="","",'[39]سجل المستخلصات'!$AD$16)</f>
        <v/>
      </c>
      <c r="Y35" s="58">
        <f>IF('[39]سجل المستخلصات'!$AE$16="","",'[39]سجل المستخلصات'!$AE$16)</f>
        <v/>
      </c>
    </row>
    <row r="36">
      <c r="B36" s="56" t="n">
        <v>12</v>
      </c>
      <c r="C36" s="57">
        <f>IF('[39]سجل المستخلصات'!$C$17="","",'[39]سجل المستخلصات'!$C$17)</f>
        <v/>
      </c>
      <c r="D36" s="57">
        <f>IF('[39]سجل المستخلصات'!$E$17="","",'[39]سجل المستخلصات'!$E$17)</f>
        <v/>
      </c>
      <c r="E36" s="58">
        <f>IF('[39]سجل المستخلصات'!$F$17="","",'[39]سجل المستخلصات'!$F$17)</f>
        <v/>
      </c>
      <c r="F36" s="59">
        <f>IF('[39]سجل المستخلصات'!$H$17="","",'[39]سجل المستخلصات'!$H$17)</f>
        <v/>
      </c>
      <c r="G36" s="59">
        <f>IF('[39]سجل المستخلصات'!$G$17="","",'[39]سجل المستخلصات'!$G$17)</f>
        <v/>
      </c>
      <c r="H36" s="59">
        <f>IF('[39]سجل المستخلصات'!$I$17="","",'[39]سجل المستخلصات'!$I$17)</f>
        <v/>
      </c>
      <c r="I36" s="59">
        <f>IF('[39]سجل المستخلصات'!$J$17="","",'[39]سجل المستخلصات'!$J$17)</f>
        <v/>
      </c>
      <c r="J36" s="59">
        <f>IF('[39]سجل المستخلصات'!$K$17="","",'[39]سجل المستخلصات'!$K$17)</f>
        <v/>
      </c>
      <c r="K36" s="60">
        <f>IF('[39]سجل المستخلصات'!$L$17="","",'[39]سجل المستخلصات'!$L$17)</f>
        <v/>
      </c>
      <c r="L36" s="60">
        <f>IF('[39]سجل المستخلصات'!$M$17="","",'[39]سجل المستخلصات'!$M$17)</f>
        <v/>
      </c>
      <c r="M36" s="60">
        <f>IF('[39]سجل المستخلصات'!$N$17="","",'[39]سجل المستخلصات'!$N$17)</f>
        <v/>
      </c>
      <c r="N36" s="59">
        <f>IF('[39]سجل المستخلصات'!$O$17="","",'[39]سجل المستخلصات'!$O$17)</f>
        <v/>
      </c>
      <c r="O36" s="59">
        <f>IF('[39]سجل المستخلصات'!$R$17="","",'[39]سجل المستخلصات'!$R$17)</f>
        <v/>
      </c>
      <c r="P36" s="59">
        <f>IF('[39]سجل المستخلصات'!$S$17="","",'[39]سجل المستخلصات'!$S$17)</f>
        <v/>
      </c>
      <c r="Q36" s="59">
        <f>IF('[39]سجل المستخلصات'!$T$17="","",'[39]سجل المستخلصات'!$T$17)</f>
        <v/>
      </c>
      <c r="R36" s="59">
        <f>IF('[39]سجل المستخلصات'!$V$17="","",'[39]سجل المستخلصات'!$V$17)</f>
        <v/>
      </c>
      <c r="S36" s="59">
        <f>IF('[39]سجل المستخلصات'!$W$17="","",'[39]سجل المستخلصات'!$W$17)</f>
        <v/>
      </c>
      <c r="T36" s="61">
        <f>IF('[39]سجل المستخلصات'!$X$17="","",'[39]سجل المستخلصات'!$X$17)</f>
        <v/>
      </c>
      <c r="U36" s="61">
        <f>IF('[39]سجل المستخلصات'!$Z$17="","",'[39]سجل المستخلصات'!$Z$17)</f>
        <v/>
      </c>
      <c r="V36" s="59">
        <f>IF('[39]سجل المستخلصات'!$AA$17="","",'[39]سجل المستخلصات'!$AA$17)</f>
        <v/>
      </c>
      <c r="W36" s="59">
        <f>IF('[39]سجل المستخلصات'!$AC$17="","",'[39]سجل المستخلصات'!$AC$17)</f>
        <v/>
      </c>
      <c r="X36" s="62">
        <f>IF('[39]سجل المستخلصات'!$AD$17="","",'[39]سجل المستخلصات'!$AD$17)</f>
        <v/>
      </c>
      <c r="Y36" s="58">
        <f>IF('[39]سجل المستخلصات'!$AE$17="","",'[39]سجل المستخلصات'!$AE$17)</f>
        <v/>
      </c>
    </row>
    <row r="37">
      <c r="B37" s="56" t="n">
        <v>13</v>
      </c>
      <c r="C37" s="57">
        <f>IF('[39]سجل المستخلصات'!$C$18="","",'[39]سجل المستخلصات'!$C$18)</f>
        <v/>
      </c>
      <c r="D37" s="57">
        <f>IF('[39]سجل المستخلصات'!$E$18="","",'[39]سجل المستخلصات'!$E$18)</f>
        <v/>
      </c>
      <c r="E37" s="58">
        <f>IF('[39]سجل المستخلصات'!$F$18="","",'[39]سجل المستخلصات'!$F$18)</f>
        <v/>
      </c>
      <c r="F37" s="59">
        <f>IF('[39]سجل المستخلصات'!$H$18="","",'[39]سجل المستخلصات'!$H$18)</f>
        <v/>
      </c>
      <c r="G37" s="59">
        <f>IF('[39]سجل المستخلصات'!$G$18="","",'[39]سجل المستخلصات'!$G$18)</f>
        <v/>
      </c>
      <c r="H37" s="59">
        <f>IF('[39]سجل المستخلصات'!$I$18="","",'[39]سجل المستخلصات'!$I$18)</f>
        <v/>
      </c>
      <c r="I37" s="59">
        <f>IF('[39]سجل المستخلصات'!$J$18="","",'[39]سجل المستخلصات'!$J$18)</f>
        <v/>
      </c>
      <c r="J37" s="59">
        <f>IF('[39]سجل المستخلصات'!$K$18="","",'[39]سجل المستخلصات'!$K$18)</f>
        <v/>
      </c>
      <c r="K37" s="60">
        <f>IF('[39]سجل المستخلصات'!$L$18="","",'[39]سجل المستخلصات'!$L$18)</f>
        <v/>
      </c>
      <c r="L37" s="60">
        <f>IF('[39]سجل المستخلصات'!$M$18="","",'[39]سجل المستخلصات'!$M$18)</f>
        <v/>
      </c>
      <c r="M37" s="60">
        <f>IF('[39]سجل المستخلصات'!$N$18="","",'[39]سجل المستخلصات'!$N$18)</f>
        <v/>
      </c>
      <c r="N37" s="59">
        <f>IF('[39]سجل المستخلصات'!$O$18="","",'[39]سجل المستخلصات'!$O$18)</f>
        <v/>
      </c>
      <c r="O37" s="59">
        <f>IF('[39]سجل المستخلصات'!$R$18="","",'[39]سجل المستخلصات'!$R$18)</f>
        <v/>
      </c>
      <c r="P37" s="59">
        <f>IF('[39]سجل المستخلصات'!$S$18="","",'[39]سجل المستخلصات'!$S$18)</f>
        <v/>
      </c>
      <c r="Q37" s="59">
        <f>IF('[39]سجل المستخلصات'!$T$18="","",'[39]سجل المستخلصات'!$T$18)</f>
        <v/>
      </c>
      <c r="R37" s="59">
        <f>IF('[39]سجل المستخلصات'!$V$18="","",'[39]سجل المستخلصات'!$V$18)</f>
        <v/>
      </c>
      <c r="S37" s="59">
        <f>IF('[39]سجل المستخلصات'!$W$18="","",'[39]سجل المستخلصات'!$W$18)</f>
        <v/>
      </c>
      <c r="T37" s="61">
        <f>IF('[39]سجل المستخلصات'!$X$18="","",'[39]سجل المستخلصات'!$X$18)</f>
        <v/>
      </c>
      <c r="U37" s="61">
        <f>IF('[39]سجل المستخلصات'!$Z$18="","",'[39]سجل المستخلصات'!$Z$18)</f>
        <v/>
      </c>
      <c r="V37" s="59">
        <f>IF('[39]سجل المستخلصات'!$AA$18="","",'[39]سجل المستخلصات'!$AA$18)</f>
        <v/>
      </c>
      <c r="W37" s="59">
        <f>IF('[39]سجل المستخلصات'!$AC$18="","",'[39]سجل المستخلصات'!$AC$18)</f>
        <v/>
      </c>
      <c r="X37" s="62">
        <f>IF('[39]سجل المستخلصات'!$AD$18="","",'[39]سجل المستخلصات'!$AD$18)</f>
        <v/>
      </c>
      <c r="Y37" s="58">
        <f>IF('[39]سجل المستخلصات'!$AE$18="","",'[39]سجل المستخلصات'!$AE$18)</f>
        <v/>
      </c>
    </row>
    <row r="38">
      <c r="B38" s="56" t="n">
        <v>14</v>
      </c>
      <c r="C38" s="57">
        <f>IF('[39]سجل المستخلصات'!$C$19="","",'[39]سجل المستخلصات'!$C$19)</f>
        <v/>
      </c>
      <c r="D38" s="57">
        <f>IF('[39]سجل المستخلصات'!$E$19="","",'[39]سجل المستخلصات'!$E$19)</f>
        <v/>
      </c>
      <c r="E38" s="58">
        <f>IF('[39]سجل المستخلصات'!$F$19="","",'[39]سجل المستخلصات'!$F$19)</f>
        <v/>
      </c>
      <c r="F38" s="59">
        <f>IF('[39]سجل المستخلصات'!$H$19="","",'[39]سجل المستخلصات'!$H$19)</f>
        <v/>
      </c>
      <c r="G38" s="59">
        <f>IF('[39]سجل المستخلصات'!$G$19="","",'[39]سجل المستخلصات'!$G$19)</f>
        <v/>
      </c>
      <c r="H38" s="59">
        <f>IF('[39]سجل المستخلصات'!$I$19="","",'[39]سجل المستخلصات'!$I$19)</f>
        <v/>
      </c>
      <c r="I38" s="59">
        <f>IF('[39]سجل المستخلصات'!$J$19="","",'[39]سجل المستخلصات'!$J$19)</f>
        <v/>
      </c>
      <c r="J38" s="59">
        <f>IF('[39]سجل المستخلصات'!$K$19="","",'[39]سجل المستخلصات'!$K$19)</f>
        <v/>
      </c>
      <c r="K38" s="60">
        <f>IF('[39]سجل المستخلصات'!$L$19="","",'[39]سجل المستخلصات'!$L$19)</f>
        <v/>
      </c>
      <c r="L38" s="60">
        <f>IF('[39]سجل المستخلصات'!$M$19="","",'[39]سجل المستخلصات'!$M$19)</f>
        <v/>
      </c>
      <c r="M38" s="60">
        <f>IF('[39]سجل المستخلصات'!$N$19="","",'[39]سجل المستخلصات'!$N$19)</f>
        <v/>
      </c>
      <c r="N38" s="59">
        <f>IF('[39]سجل المستخلصات'!$O$19="","",'[39]سجل المستخلصات'!$O$19)</f>
        <v/>
      </c>
      <c r="O38" s="59">
        <f>IF('[39]سجل المستخلصات'!$R$19="","",'[39]سجل المستخلصات'!$R$19)</f>
        <v/>
      </c>
      <c r="P38" s="59">
        <f>IF('[39]سجل المستخلصات'!$S$19="","",'[39]سجل المستخلصات'!$S$19)</f>
        <v/>
      </c>
      <c r="Q38" s="59">
        <f>IF('[39]سجل المستخلصات'!$T$19="","",'[39]سجل المستخلصات'!$T$19)</f>
        <v/>
      </c>
      <c r="R38" s="59">
        <f>IF('[39]سجل المستخلصات'!$V$19="","",'[39]سجل المستخلصات'!$V$19)</f>
        <v/>
      </c>
      <c r="S38" s="59">
        <f>IF('[39]سجل المستخلصات'!$W$19="","",'[39]سجل المستخلصات'!$W$19)</f>
        <v/>
      </c>
      <c r="T38" s="61">
        <f>IF('[39]سجل المستخلصات'!$X$19="","",'[39]سجل المستخلصات'!$X$19)</f>
        <v/>
      </c>
      <c r="U38" s="61">
        <f>IF('[39]سجل المستخلصات'!$Z$19="","",'[39]سجل المستخلصات'!$Z$19)</f>
        <v/>
      </c>
      <c r="V38" s="59">
        <f>IF('[39]سجل المستخلصات'!$AA$19="","",'[39]سجل المستخلصات'!$AA$19)</f>
        <v/>
      </c>
      <c r="W38" s="59">
        <f>IF('[39]سجل المستخلصات'!$AC$19="","",'[39]سجل المستخلصات'!$AC$19)</f>
        <v/>
      </c>
      <c r="X38" s="62">
        <f>IF('[39]سجل المستخلصات'!$AD$19="","",'[39]سجل المستخلصات'!$AD$19)</f>
        <v/>
      </c>
      <c r="Y38" s="58">
        <f>IF('[39]سجل المستخلصات'!$AE$19="","",'[39]سجل المستخلصات'!$AE$19)</f>
        <v/>
      </c>
    </row>
    <row r="39">
      <c r="B39" s="56" t="n">
        <v>15</v>
      </c>
      <c r="C39" s="57">
        <f>IF('[39]سجل المستخلصات'!$C$20="","",'[39]سجل المستخلصات'!$C$20)</f>
        <v/>
      </c>
      <c r="D39" s="57">
        <f>IF('[39]سجل المستخلصات'!$E$20="","",'[39]سجل المستخلصات'!$E$20)</f>
        <v/>
      </c>
      <c r="E39" s="58">
        <f>IF('[39]سجل المستخلصات'!$F$20="","",'[39]سجل المستخلصات'!$F$20)</f>
        <v/>
      </c>
      <c r="F39" s="59">
        <f>IF('[39]سجل المستخلصات'!$H$20="","",'[39]سجل المستخلصات'!$H$20)</f>
        <v/>
      </c>
      <c r="G39" s="59">
        <f>IF('[39]سجل المستخلصات'!$G$20="","",'[39]سجل المستخلصات'!$G$20)</f>
        <v/>
      </c>
      <c r="H39" s="59">
        <f>IF('[39]سجل المستخلصات'!$I$20="","",'[39]سجل المستخلصات'!$I$20)</f>
        <v/>
      </c>
      <c r="I39" s="59">
        <f>IF('[39]سجل المستخلصات'!$J$20="","",'[39]سجل المستخلصات'!$J$20)</f>
        <v/>
      </c>
      <c r="J39" s="59">
        <f>IF('[39]سجل المستخلصات'!$K$20="","",'[39]سجل المستخلصات'!$K$20)</f>
        <v/>
      </c>
      <c r="K39" s="60">
        <f>IF('[39]سجل المستخلصات'!$L$20="","",'[39]سجل المستخلصات'!$L$20)</f>
        <v/>
      </c>
      <c r="L39" s="60">
        <f>IF('[39]سجل المستخلصات'!$M$20="","",'[39]سجل المستخلصات'!$M$20)</f>
        <v/>
      </c>
      <c r="M39" s="60">
        <f>IF('[39]سجل المستخلصات'!$N$20="","",'[39]سجل المستخلصات'!$N$20)</f>
        <v/>
      </c>
      <c r="N39" s="59">
        <f>IF('[39]سجل المستخلصات'!$O$20="","",'[39]سجل المستخلصات'!$O$20)</f>
        <v/>
      </c>
      <c r="O39" s="59">
        <f>IF('[39]سجل المستخلصات'!$R$20="","",'[39]سجل المستخلصات'!$R$20)</f>
        <v/>
      </c>
      <c r="P39" s="59">
        <f>IF('[39]سجل المستخلصات'!$S$20="","",'[39]سجل المستخلصات'!$S$20)</f>
        <v/>
      </c>
      <c r="Q39" s="59">
        <f>IF('[39]سجل المستخلصات'!$T$20="","",'[39]سجل المستخلصات'!$T$20)</f>
        <v/>
      </c>
      <c r="R39" s="59">
        <f>IF('[39]سجل المستخلصات'!$V$20="","",'[39]سجل المستخلصات'!$V$20)</f>
        <v/>
      </c>
      <c r="S39" s="59">
        <f>IF('[39]سجل المستخلصات'!$W$20="","",'[39]سجل المستخلصات'!$W$20)</f>
        <v/>
      </c>
      <c r="T39" s="61">
        <f>IF('[39]سجل المستخلصات'!$X$20="","",'[39]سجل المستخلصات'!$X$20)</f>
        <v/>
      </c>
      <c r="U39" s="61">
        <f>IF('[39]سجل المستخلصات'!$Z$20="","",'[39]سجل المستخلصات'!$Z$20)</f>
        <v/>
      </c>
      <c r="V39" s="59">
        <f>IF('[39]سجل المستخلصات'!$AA$20="","",'[39]سجل المستخلصات'!$AA$20)</f>
        <v/>
      </c>
      <c r="W39" s="59">
        <f>IF('[39]سجل المستخلصات'!$AC$20="","",'[39]سجل المستخلصات'!$AC$20)</f>
        <v/>
      </c>
      <c r="X39" s="62">
        <f>IF('[39]سجل المستخلصات'!$AD$20="","",'[39]سجل المستخلصات'!$AD$20)</f>
        <v/>
      </c>
      <c r="Y39" s="58">
        <f>IF('[39]سجل المستخلصات'!$AE$20="","",'[39]سجل المستخلصات'!$AE$20)</f>
        <v/>
      </c>
    </row>
    <row r="40">
      <c r="B40" s="56" t="n">
        <v>16</v>
      </c>
      <c r="C40" s="57">
        <f>IF('[39]سجل المستخلصات'!$C$21="","",'[39]سجل المستخلصات'!$C$21)</f>
        <v/>
      </c>
      <c r="D40" s="57">
        <f>IF('[39]سجل المستخلصات'!$E$21="","",'[39]سجل المستخلصات'!$E$21)</f>
        <v/>
      </c>
      <c r="E40" s="58">
        <f>IF('[39]سجل المستخلصات'!$F$21="","",'[39]سجل المستخلصات'!$F$21)</f>
        <v/>
      </c>
      <c r="F40" s="59">
        <f>IF('[39]سجل المستخلصات'!$H$21="","",'[39]سجل المستخلصات'!$H$21)</f>
        <v/>
      </c>
      <c r="G40" s="59">
        <f>IF('[39]سجل المستخلصات'!$G$21="","",'[39]سجل المستخلصات'!$G$21)</f>
        <v/>
      </c>
      <c r="H40" s="59">
        <f>IF('[39]سجل المستخلصات'!$I$21="","",'[39]سجل المستخلصات'!$I$21)</f>
        <v/>
      </c>
      <c r="I40" s="59">
        <f>IF('[39]سجل المستخلصات'!$J$21="","",'[39]سجل المستخلصات'!$J$21)</f>
        <v/>
      </c>
      <c r="J40" s="59">
        <f>IF('[39]سجل المستخلصات'!$K$21="","",'[39]سجل المستخلصات'!$K$21)</f>
        <v/>
      </c>
      <c r="K40" s="60">
        <f>IF('[39]سجل المستخلصات'!$L$21="","",'[39]سجل المستخلصات'!$L$21)</f>
        <v/>
      </c>
      <c r="L40" s="60">
        <f>IF('[39]سجل المستخلصات'!$M$21="","",'[39]سجل المستخلصات'!$M$21)</f>
        <v/>
      </c>
      <c r="M40" s="60">
        <f>IF('[39]سجل المستخلصات'!$N$21="","",'[39]سجل المستخلصات'!$N$21)</f>
        <v/>
      </c>
      <c r="N40" s="59">
        <f>IF('[39]سجل المستخلصات'!$O$21="","",'[39]سجل المستخلصات'!$O$21)</f>
        <v/>
      </c>
      <c r="O40" s="59">
        <f>IF('[39]سجل المستخلصات'!$R$21="","",'[39]سجل المستخلصات'!$R$21)</f>
        <v/>
      </c>
      <c r="P40" s="59">
        <f>IF('[39]سجل المستخلصات'!$S$21="","",'[39]سجل المستخلصات'!$S$21)</f>
        <v/>
      </c>
      <c r="Q40" s="59">
        <f>IF('[39]سجل المستخلصات'!$T$21="","",'[39]سجل المستخلصات'!$T$21)</f>
        <v/>
      </c>
      <c r="R40" s="59">
        <f>IF('[39]سجل المستخلصات'!$V$21="","",'[39]سجل المستخلصات'!$V$21)</f>
        <v/>
      </c>
      <c r="S40" s="59">
        <f>IF('[39]سجل المستخلصات'!$W$21="","",'[39]سجل المستخلصات'!$W$21)</f>
        <v/>
      </c>
      <c r="T40" s="61">
        <f>IF('[39]سجل المستخلصات'!$X$21="","",'[39]سجل المستخلصات'!$X$21)</f>
        <v/>
      </c>
      <c r="U40" s="61">
        <f>IF('[39]سجل المستخلصات'!$Z$21="","",'[39]سجل المستخلصات'!$Z$21)</f>
        <v/>
      </c>
      <c r="V40" s="59">
        <f>IF('[39]سجل المستخلصات'!$AA$21="","",'[39]سجل المستخلصات'!$AA$21)</f>
        <v/>
      </c>
      <c r="W40" s="59">
        <f>IF('[39]سجل المستخلصات'!$AC$21="","",'[39]سجل المستخلصات'!$AC$21)</f>
        <v/>
      </c>
      <c r="X40" s="62">
        <f>IF('[39]سجل المستخلصات'!$AD$21="","",'[39]سجل المستخلصات'!$AD$21)</f>
        <v/>
      </c>
      <c r="Y40" s="58">
        <f>IF('[39]سجل المستخلصات'!$AE$21="","",'[39]سجل المستخلصات'!$AE$21)</f>
        <v/>
      </c>
    </row>
    <row r="41">
      <c r="B41" s="56" t="n">
        <v>17</v>
      </c>
      <c r="C41" s="57">
        <f>IF('[39]سجل المستخلصات'!$C$22="","",'[39]سجل المستخلصات'!$C$22)</f>
        <v/>
      </c>
      <c r="D41" s="57">
        <f>IF('[39]سجل المستخلصات'!$E$22="","",'[39]سجل المستخلصات'!$E$22)</f>
        <v/>
      </c>
      <c r="E41" s="58">
        <f>IF('[39]سجل المستخلصات'!$F$22="","",'[39]سجل المستخلصات'!$F$22)</f>
        <v/>
      </c>
      <c r="F41" s="59">
        <f>IF('[39]سجل المستخلصات'!$H$22="","",'[39]سجل المستخلصات'!$H$22)</f>
        <v/>
      </c>
      <c r="G41" s="59">
        <f>IF('[39]سجل المستخلصات'!$G$22="","",'[39]سجل المستخلصات'!$G$22)</f>
        <v/>
      </c>
      <c r="H41" s="59">
        <f>IF('[39]سجل المستخلصات'!$I$22="","",'[39]سجل المستخلصات'!$I$22)</f>
        <v/>
      </c>
      <c r="I41" s="59">
        <f>IF('[39]سجل المستخلصات'!$J$22="","",'[39]سجل المستخلصات'!$J$22)</f>
        <v/>
      </c>
      <c r="J41" s="59">
        <f>IF('[39]سجل المستخلصات'!$K$22="","",'[39]سجل المستخلصات'!$K$22)</f>
        <v/>
      </c>
      <c r="K41" s="60">
        <f>IF('[39]سجل المستخلصات'!$L$22="","",'[39]سجل المستخلصات'!$L$22)</f>
        <v/>
      </c>
      <c r="L41" s="60">
        <f>IF('[39]سجل المستخلصات'!$M$22="","",'[39]سجل المستخلصات'!$M$22)</f>
        <v/>
      </c>
      <c r="M41" s="60">
        <f>IF('[39]سجل المستخلصات'!$N$22="","",'[39]سجل المستخلصات'!$N$22)</f>
        <v/>
      </c>
      <c r="N41" s="59">
        <f>IF('[39]سجل المستخلصات'!$O$22="","",'[39]سجل المستخلصات'!$O$22)</f>
        <v/>
      </c>
      <c r="O41" s="59">
        <f>IF('[39]سجل المستخلصات'!$R$22="","",'[39]سجل المستخلصات'!$R$22)</f>
        <v/>
      </c>
      <c r="P41" s="59">
        <f>IF('[39]سجل المستخلصات'!$S$22="","",'[39]سجل المستخلصات'!$S$22)</f>
        <v/>
      </c>
      <c r="Q41" s="59">
        <f>IF('[39]سجل المستخلصات'!$T$22="","",'[39]سجل المستخلصات'!$T$22)</f>
        <v/>
      </c>
      <c r="R41" s="59">
        <f>IF('[39]سجل المستخلصات'!$V$22="","",'[39]سجل المستخلصات'!$V$22)</f>
        <v/>
      </c>
      <c r="S41" s="59">
        <f>IF('[39]سجل المستخلصات'!$W$22="","",'[39]سجل المستخلصات'!$W$22)</f>
        <v/>
      </c>
      <c r="T41" s="61">
        <f>IF('[39]سجل المستخلصات'!$X$22="","",'[39]سجل المستخلصات'!$X$22)</f>
        <v/>
      </c>
      <c r="U41" s="61">
        <f>IF('[39]سجل المستخلصات'!$Z$22="","",'[39]سجل المستخلصات'!$Z$22)</f>
        <v/>
      </c>
      <c r="V41" s="59">
        <f>IF('[39]سجل المستخلصات'!$AA$22="","",'[39]سجل المستخلصات'!$AA$22)</f>
        <v/>
      </c>
      <c r="W41" s="59">
        <f>IF('[39]سجل المستخلصات'!$AC$22="","",'[39]سجل المستخلصات'!$AC$22)</f>
        <v/>
      </c>
      <c r="X41" s="62">
        <f>IF('[39]سجل المستخلصات'!$AD$22="","",'[39]سجل المستخلصات'!$AD$22)</f>
        <v/>
      </c>
      <c r="Y41" s="58">
        <f>IF('[39]سجل المستخلصات'!$AE$22="","",'[39]سجل المستخلصات'!$AE$22)</f>
        <v/>
      </c>
    </row>
    <row r="42">
      <c r="B42" s="56" t="n">
        <v>18</v>
      </c>
      <c r="C42" s="57">
        <f>IF('[39]سجل المستخلصات'!$C$23="","",'[39]سجل المستخلصات'!$C$23)</f>
        <v/>
      </c>
      <c r="D42" s="57">
        <f>IF('[39]سجل المستخلصات'!$E$23="","",'[39]سجل المستخلصات'!$E$23)</f>
        <v/>
      </c>
      <c r="E42" s="58">
        <f>IF('[39]سجل المستخلصات'!$F$23="","",'[39]سجل المستخلصات'!$F$23)</f>
        <v/>
      </c>
      <c r="F42" s="59">
        <f>IF('[39]سجل المستخلصات'!$H$23="","",'[39]سجل المستخلصات'!$H$23)</f>
        <v/>
      </c>
      <c r="G42" s="59">
        <f>IF('[39]سجل المستخلصات'!$G$23="","",'[39]سجل المستخلصات'!$G$23)</f>
        <v/>
      </c>
      <c r="H42" s="59">
        <f>IF('[39]سجل المستخلصات'!$I$23="","",'[39]سجل المستخلصات'!$I$23)</f>
        <v/>
      </c>
      <c r="I42" s="59">
        <f>IF('[39]سجل المستخلصات'!$J$23="","",'[39]سجل المستخلصات'!$J$23)</f>
        <v/>
      </c>
      <c r="J42" s="59">
        <f>IF('[39]سجل المستخلصات'!$K$23="","",'[39]سجل المستخلصات'!$K$23)</f>
        <v/>
      </c>
      <c r="K42" s="60">
        <f>IF('[39]سجل المستخلصات'!$L$23="","",'[39]سجل المستخلصات'!$L$23)</f>
        <v/>
      </c>
      <c r="L42" s="60">
        <f>IF('[39]سجل المستخلصات'!$M$23="","",'[39]سجل المستخلصات'!$M$23)</f>
        <v/>
      </c>
      <c r="M42" s="60">
        <f>IF('[39]سجل المستخلصات'!$N$23="","",'[39]سجل المستخلصات'!$N$23)</f>
        <v/>
      </c>
      <c r="N42" s="59">
        <f>IF('[39]سجل المستخلصات'!$O$23="","",'[39]سجل المستخلصات'!$O$23)</f>
        <v/>
      </c>
      <c r="O42" s="59">
        <f>IF('[39]سجل المستخلصات'!$R$23="","",'[39]سجل المستخلصات'!$R$23)</f>
        <v/>
      </c>
      <c r="P42" s="59">
        <f>IF('[39]سجل المستخلصات'!$S$23="","",'[39]سجل المستخلصات'!$S$23)</f>
        <v/>
      </c>
      <c r="Q42" s="59">
        <f>IF('[39]سجل المستخلصات'!$T$23="","",'[39]سجل المستخلصات'!$T$23)</f>
        <v/>
      </c>
      <c r="R42" s="59">
        <f>IF('[39]سجل المستخلصات'!$V$23="","",'[39]سجل المستخلصات'!$V$23)</f>
        <v/>
      </c>
      <c r="S42" s="59">
        <f>IF('[39]سجل المستخلصات'!$W$23="","",'[39]سجل المستخلصات'!$W$23)</f>
        <v/>
      </c>
      <c r="T42" s="61">
        <f>IF('[39]سجل المستخلصات'!$X$23="","",'[39]سجل المستخلصات'!$X$23)</f>
        <v/>
      </c>
      <c r="U42" s="61">
        <f>IF('[39]سجل المستخلصات'!$Z$23="","",'[39]سجل المستخلصات'!$Z$23)</f>
        <v/>
      </c>
      <c r="V42" s="59">
        <f>IF('[39]سجل المستخلصات'!$AA$23="","",'[39]سجل المستخلصات'!$AA$23)</f>
        <v/>
      </c>
      <c r="W42" s="59">
        <f>IF('[39]سجل المستخلصات'!$AC$23="","",'[39]سجل المستخلصات'!$AC$23)</f>
        <v/>
      </c>
      <c r="X42" s="62">
        <f>IF('[39]سجل المستخلصات'!$AD$23="","",'[39]سجل المستخلصات'!$AD$23)</f>
        <v/>
      </c>
      <c r="Y42" s="58">
        <f>IF('[39]سجل المستخلصات'!$AE$23="","",'[39]سجل المستخلصات'!$AE$23)</f>
        <v/>
      </c>
    </row>
    <row r="43">
      <c r="B43" s="56" t="n">
        <v>19</v>
      </c>
      <c r="C43" s="57">
        <f>IF('[39]سجل المستخلصات'!$C$24="","",'[39]سجل المستخلصات'!$C$24)</f>
        <v/>
      </c>
      <c r="D43" s="57">
        <f>IF('[39]سجل المستخلصات'!$E$24="","",'[39]سجل المستخلصات'!$E$24)</f>
        <v/>
      </c>
      <c r="E43" s="58">
        <f>IF('[39]سجل المستخلصات'!$F$24="","",'[39]سجل المستخلصات'!$F$24)</f>
        <v/>
      </c>
      <c r="F43" s="59">
        <f>IF('[39]سجل المستخلصات'!$H$24="","",'[39]سجل المستخلصات'!$H$24)</f>
        <v/>
      </c>
      <c r="G43" s="59">
        <f>IF('[39]سجل المستخلصات'!$G$24="","",'[39]سجل المستخلصات'!$G$24)</f>
        <v/>
      </c>
      <c r="H43" s="59">
        <f>IF('[39]سجل المستخلصات'!$I$24="","",'[39]سجل المستخلصات'!$I$24)</f>
        <v/>
      </c>
      <c r="I43" s="59">
        <f>IF('[39]سجل المستخلصات'!$J$24="","",'[39]سجل المستخلصات'!$J$24)</f>
        <v/>
      </c>
      <c r="J43" s="59">
        <f>IF('[39]سجل المستخلصات'!$K$24="","",'[39]سجل المستخلصات'!$K$24)</f>
        <v/>
      </c>
      <c r="K43" s="60">
        <f>IF('[39]سجل المستخلصات'!$L$24="","",'[39]سجل المستخلصات'!$L$24)</f>
        <v/>
      </c>
      <c r="L43" s="60">
        <f>IF('[39]سجل المستخلصات'!$M$24="","",'[39]سجل المستخلصات'!$M$24)</f>
        <v/>
      </c>
      <c r="M43" s="60">
        <f>IF('[39]سجل المستخلصات'!$N$24="","",'[39]سجل المستخلصات'!$N$24)</f>
        <v/>
      </c>
      <c r="N43" s="59">
        <f>IF('[39]سجل المستخلصات'!$O$24="","",'[39]سجل المستخلصات'!$O$24)</f>
        <v/>
      </c>
      <c r="O43" s="59">
        <f>IF('[39]سجل المستخلصات'!$R$24="","",'[39]سجل المستخلصات'!$R$24)</f>
        <v/>
      </c>
      <c r="P43" s="59">
        <f>IF('[39]سجل المستخلصات'!$S$24="","",'[39]سجل المستخلصات'!$S$24)</f>
        <v/>
      </c>
      <c r="Q43" s="59">
        <f>IF('[39]سجل المستخلصات'!$T$24="","",'[39]سجل المستخلصات'!$T$24)</f>
        <v/>
      </c>
      <c r="R43" s="59">
        <f>IF('[39]سجل المستخلصات'!$V$24="","",'[39]سجل المستخلصات'!$V$24)</f>
        <v/>
      </c>
      <c r="S43" s="59">
        <f>IF('[39]سجل المستخلصات'!$W$24="","",'[39]سجل المستخلصات'!$W$24)</f>
        <v/>
      </c>
      <c r="T43" s="61">
        <f>IF('[39]سجل المستخلصات'!$X$24="","",'[39]سجل المستخلصات'!$X$24)</f>
        <v/>
      </c>
      <c r="U43" s="61">
        <f>IF('[39]سجل المستخلصات'!$Z$24="","",'[39]سجل المستخلصات'!$Z$24)</f>
        <v/>
      </c>
      <c r="V43" s="59">
        <f>IF('[39]سجل المستخلصات'!$AA$24="","",'[39]سجل المستخلصات'!$AA$24)</f>
        <v/>
      </c>
      <c r="W43" s="59">
        <f>IF('[39]سجل المستخلصات'!$AC$24="","",'[39]سجل المستخلصات'!$AC$24)</f>
        <v/>
      </c>
      <c r="X43" s="62">
        <f>IF('[39]سجل المستخلصات'!$AD$24="","",'[39]سجل المستخلصات'!$AD$24)</f>
        <v/>
      </c>
      <c r="Y43" s="58">
        <f>IF('[39]سجل المستخلصات'!$AE$24="","",'[39]سجل المستخلصات'!$AE$24)</f>
        <v/>
      </c>
    </row>
    <row r="44">
      <c r="B44" s="56" t="n">
        <v>20</v>
      </c>
      <c r="C44" s="57">
        <f>IF('[39]سجل المستخلصات'!$C$25="","",'[39]سجل المستخلصات'!$C$25)</f>
        <v/>
      </c>
      <c r="D44" s="57">
        <f>IF('[39]سجل المستخلصات'!$E$25="","",'[39]سجل المستخلصات'!$E$25)</f>
        <v/>
      </c>
      <c r="E44" s="58">
        <f>IF('[39]سجل المستخلصات'!$F$25="","",'[39]سجل المستخلصات'!$F$25)</f>
        <v/>
      </c>
      <c r="F44" s="59">
        <f>IF('[39]سجل المستخلصات'!$H$25="","",'[39]سجل المستخلصات'!$H$25)</f>
        <v/>
      </c>
      <c r="G44" s="59">
        <f>IF('[39]سجل المستخلصات'!$G$25="","",'[39]سجل المستخلصات'!$G$25)</f>
        <v/>
      </c>
      <c r="H44" s="59">
        <f>IF('[39]سجل المستخلصات'!$I$25="","",'[39]سجل المستخلصات'!$I$25)</f>
        <v/>
      </c>
      <c r="I44" s="59">
        <f>IF('[39]سجل المستخلصات'!$J$25="","",'[39]سجل المستخلصات'!$J$25)</f>
        <v/>
      </c>
      <c r="J44" s="59">
        <f>IF('[39]سجل المستخلصات'!$K$25="","",'[39]سجل المستخلصات'!$K$25)</f>
        <v/>
      </c>
      <c r="K44" s="60">
        <f>IF('[39]سجل المستخلصات'!$L$25="","",'[39]سجل المستخلصات'!$L$25)</f>
        <v/>
      </c>
      <c r="L44" s="60">
        <f>IF('[39]سجل المستخلصات'!$M$25="","",'[39]سجل المستخلصات'!$M$25)</f>
        <v/>
      </c>
      <c r="M44" s="60">
        <f>IF('[39]سجل المستخلصات'!$N$25="","",'[39]سجل المستخلصات'!$N$25)</f>
        <v/>
      </c>
      <c r="N44" s="59">
        <f>IF('[39]سجل المستخلصات'!$O$25="","",'[39]سجل المستخلصات'!$O$25)</f>
        <v/>
      </c>
      <c r="O44" s="59">
        <f>IF('[39]سجل المستخلصات'!$R$25="","",'[39]سجل المستخلصات'!$R$25)</f>
        <v/>
      </c>
      <c r="P44" s="59">
        <f>IF('[39]سجل المستخلصات'!$S$25="","",'[39]سجل المستخلصات'!$S$25)</f>
        <v/>
      </c>
      <c r="Q44" s="59">
        <f>IF('[39]سجل المستخلصات'!$T$25="","",'[39]سجل المستخلصات'!$T$25)</f>
        <v/>
      </c>
      <c r="R44" s="59">
        <f>IF('[39]سجل المستخلصات'!$V$25="","",'[39]سجل المستخلصات'!$V$25)</f>
        <v/>
      </c>
      <c r="S44" s="59">
        <f>IF('[39]سجل المستخلصات'!$W$25="","",'[39]سجل المستخلصات'!$W$25)</f>
        <v/>
      </c>
      <c r="T44" s="61">
        <f>IF('[39]سجل المستخلصات'!$X$25="","",'[39]سجل المستخلصات'!$X$25)</f>
        <v/>
      </c>
      <c r="U44" s="61">
        <f>IF('[39]سجل المستخلصات'!$Z$25="","",'[39]سجل المستخلصات'!$Z$25)</f>
        <v/>
      </c>
      <c r="V44" s="59">
        <f>IF('[39]سجل المستخلصات'!$AA$25="","",'[39]سجل المستخلصات'!$AA$25)</f>
        <v/>
      </c>
      <c r="W44" s="59">
        <f>IF('[39]سجل المستخلصات'!$AC$25="","",'[39]سجل المستخلصات'!$AC$25)</f>
        <v/>
      </c>
      <c r="X44" s="62">
        <f>IF('[39]سجل المستخلصات'!$AD$25="","",'[39]سجل المستخلصات'!$AD$25)</f>
        <v/>
      </c>
      <c r="Y44" s="58">
        <f>IF('[39]سجل المستخلصات'!$AE$25="","",'[39]سجل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IF('[39]سجل المستخلصات'!$B$32="","",'[39]سجل المستخلصات'!$B$32)</f>
        <v/>
      </c>
      <c r="C50" s="69" t="n"/>
      <c r="D50" s="69" t="n"/>
      <c r="E50" s="59">
        <f>N('[39]سجل المستخلصات'!$E$32)</f>
        <v/>
      </c>
      <c r="F50" s="59">
        <f>N('[39]سجل المستخلصات'!$F$32)</f>
        <v/>
      </c>
      <c r="G50" s="70">
        <f>IF(E50&gt;0,F50/E50,0)</f>
        <v/>
      </c>
    </row>
    <row r="51">
      <c r="B51" s="69">
        <f>IF('[39]سجل المستخلصات'!$B$33="","",'[39]سجل المستخلصات'!$B$33)</f>
        <v/>
      </c>
      <c r="C51" s="69" t="n"/>
      <c r="D51" s="69" t="n"/>
      <c r="E51" s="59">
        <f>N('[39]سجل المستخلصات'!$E$33)</f>
        <v/>
      </c>
      <c r="F51" s="59">
        <f>N('[39]سجل المستخلصات'!$F$33)</f>
        <v/>
      </c>
      <c r="G51" s="70">
        <f>IF(E51&gt;0,F51/E51,0)</f>
        <v/>
      </c>
    </row>
    <row r="52">
      <c r="B52" s="69">
        <f>IF('[39]سجل المستخلصات'!$B$34="","",'[39]سجل المستخلصات'!$B$34)</f>
        <v/>
      </c>
      <c r="C52" s="69" t="n"/>
      <c r="D52" s="69" t="n"/>
      <c r="E52" s="59">
        <f>N('[39]سجل المستخلصات'!$E$34)</f>
        <v/>
      </c>
      <c r="F52" s="59">
        <f>N('[39]سجل المستخلصات'!$F$34)</f>
        <v/>
      </c>
      <c r="G52" s="70">
        <f>IF(E52&gt;0,F52/E52,0)</f>
        <v/>
      </c>
    </row>
    <row r="53">
      <c r="B53" s="69">
        <f>IF('[39]سجل المستخلصات'!$B$35="","",'[39]سجل المستخلصات'!$B$35)</f>
        <v/>
      </c>
      <c r="C53" s="69" t="n"/>
      <c r="D53" s="69" t="n"/>
      <c r="E53" s="59">
        <f>N('[39]سجل المستخلصات'!$E$35)</f>
        <v/>
      </c>
      <c r="F53" s="59">
        <f>N('[39]سجل المستخلصات'!$F$35)</f>
        <v/>
      </c>
      <c r="G53" s="70">
        <f>IF(E53&gt;0,F53/E53,0)</f>
        <v/>
      </c>
    </row>
    <row r="54">
      <c r="B54" s="69">
        <f>IF('[39]سجل المستخلصات'!$B$36="","",'[39]سجل المستخلصات'!$B$36)</f>
        <v/>
      </c>
      <c r="C54" s="69" t="n"/>
      <c r="D54" s="69" t="n"/>
      <c r="E54" s="59">
        <f>N('[39]سجل المستخلصات'!$E$36)</f>
        <v/>
      </c>
      <c r="F54" s="59">
        <f>N('[39]سجل المستخلصات'!$F$36)</f>
        <v/>
      </c>
      <c r="G54" s="70">
        <f>IF(E54&gt;0,F54/E54,0)</f>
        <v/>
      </c>
    </row>
    <row r="55">
      <c r="B55" s="69">
        <f>IF('[39]سجل المستخلصات'!$B$37="","",'[39]سجل المستخلصات'!$B$37)</f>
        <v/>
      </c>
      <c r="C55" s="69" t="n"/>
      <c r="D55" s="69" t="n"/>
      <c r="E55" s="59">
        <f>N('[39]سجل المستخلصات'!$E$37)</f>
        <v/>
      </c>
      <c r="F55" s="59">
        <f>N('[39]سجل المستخلصات'!$F$37)</f>
        <v/>
      </c>
      <c r="G55" s="70">
        <f>IF(E55&gt;0,F55/E55,0)</f>
        <v/>
      </c>
    </row>
    <row r="56">
      <c r="B56" s="69">
        <f>IF('[39]سجل المستخلصات'!$B$38="","",'[39]سجل المستخلصات'!$B$38)</f>
        <v/>
      </c>
      <c r="C56" s="69" t="n"/>
      <c r="D56" s="69" t="n"/>
      <c r="E56" s="59">
        <f>N('[39]سجل المستخلصات'!$E$38)</f>
        <v/>
      </c>
      <c r="F56" s="59">
        <f>N('[39]سجل المستخلصات'!$F$38)</f>
        <v/>
      </c>
      <c r="G56" s="70">
        <f>IF(E56&gt;0,F56/E56,0)</f>
        <v/>
      </c>
    </row>
    <row r="57">
      <c r="B57" s="69">
        <f>IF('[39]سجل المستخلصات'!$B$39="","",'[39]سجل المستخلصات'!$B$39)</f>
        <v/>
      </c>
      <c r="C57" s="69" t="n"/>
      <c r="D57" s="69" t="n"/>
      <c r="E57" s="59">
        <f>N('[39]سجل المستخلصات'!$E$39)</f>
        <v/>
      </c>
      <c r="F57" s="59">
        <f>N('[39]سجل المستخلصات'!$F$39)</f>
        <v/>
      </c>
      <c r="G57" s="70">
        <f>IF(E57&gt;0,F57/E57,0)</f>
        <v/>
      </c>
    </row>
    <row r="58">
      <c r="B58" s="69">
        <f>IF('[39]سجل المستخلصات'!$B$40="","",'[39]سجل المستخلصات'!$B$40)</f>
        <v/>
      </c>
      <c r="C58" s="69" t="n"/>
      <c r="D58" s="69" t="n"/>
      <c r="E58" s="59">
        <f>N('[39]سجل المستخلصات'!$E$40)</f>
        <v/>
      </c>
      <c r="F58" s="59">
        <f>N('[39]سجل المستخلصات'!$F$40)</f>
        <v/>
      </c>
      <c r="G58" s="70">
        <f>IF(E58&gt;0,F58/E58,0)</f>
        <v/>
      </c>
    </row>
    <row r="59">
      <c r="B59" s="69">
        <f>IF('[39]سجل المستخلصات'!$B$41="","",'[39]سجل المستخلصات'!$B$41)</f>
        <v/>
      </c>
      <c r="C59" s="69" t="n"/>
      <c r="D59" s="69" t="n"/>
      <c r="E59" s="59">
        <f>N('[39]سجل المستخلصات'!$E$41)</f>
        <v/>
      </c>
      <c r="F59" s="59">
        <f>N('[39]سجل المستخلصات'!$F$41)</f>
        <v/>
      </c>
      <c r="G59" s="70">
        <f>IF(E59&gt;0,F59/E59,0)</f>
        <v/>
      </c>
    </row>
    <row r="60">
      <c r="B60" s="69">
        <f>IF('[39]سجل المستخلصات'!$B$42="","",'[39]سجل المستخلصات'!$B$42)</f>
        <v/>
      </c>
      <c r="C60" s="69" t="n"/>
      <c r="D60" s="69" t="n"/>
      <c r="E60" s="59">
        <f>N('[39]سجل المستخلصات'!$E$42)</f>
        <v/>
      </c>
      <c r="F60" s="59">
        <f>N('[39]سجل المستخلصات'!$F$42)</f>
        <v/>
      </c>
      <c r="G60" s="70">
        <f>IF(E60&gt;0,F60/E60,0)</f>
        <v/>
      </c>
    </row>
    <row r="61">
      <c r="B61" s="69">
        <f>IF('[39]سجل المستخلصات'!$B$43="","",'[39]سجل المستخلصات'!$B$43)</f>
        <v/>
      </c>
      <c r="C61" s="69" t="n"/>
      <c r="D61" s="69" t="n"/>
      <c r="E61" s="59">
        <f>N('[39]سجل المستخلصات'!$E$43)</f>
        <v/>
      </c>
      <c r="F61" s="59">
        <f>N('[39]سجل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38'!A1" display="◄ المشروع السابق"/>
    <hyperlink ref="D3" location="'مشروع 40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4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"&amp;IF('[40]بيانات العقد'!$C$5="","مشروع رقم 40 — غير مُفعّل",'[40]بيانات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Project_40/IPC_Project_40.xlsx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IF('[40]بيانات العقد'!$C$5="","",'[40]بيانات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IF('[40]بيانات العقد'!$C$6="","",'[40]بيانات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IF('[40]بيانات العقد'!$C$7="","",'[40]بيانات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IF('[40]بيانات العقد'!$C$8="","",'[40]بيانات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N('[40]بيانات العقد'!$C$16)</f>
        <v/>
      </c>
    </row>
    <row r="6" ht="22" customHeight="1">
      <c r="B6" s="11" t="inlineStr">
        <is>
          <t>المقاول</t>
        </is>
      </c>
      <c r="C6" s="14">
        <f>IF('[40]بيانات العقد'!$C$9="","",'[40]بيانات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IF('[40]بيانات العقد'!$C$11="","",'[40]بيانات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IF('[40]بيانات العقد'!$C$13="","",'[40]بيانات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IF('[40]بيانات العقد'!$C$14="","",'[40]بيانات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N('[40]بيانات العقد'!$C$17)</f>
        <v/>
      </c>
    </row>
    <row r="7">
      <c r="AA7" s="15" t="inlineStr">
        <is>
          <t>قيمة العقد المعدلة</t>
        </is>
      </c>
      <c r="AB7" s="16">
        <f>N('[40]بيانات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N('[40]بيانات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N('[40]بيانات العقد'!$C$21)</f>
        <v/>
      </c>
    </row>
    <row r="10">
      <c r="AA10" s="15" t="inlineStr">
        <is>
          <t>نسبة ضمان الأعمال</t>
        </is>
      </c>
      <c r="AB10" s="23">
        <f>N('[40]بيانات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N('[40]بيانات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N('[40]بيانات العقد'!$C$31)</f>
        <v/>
      </c>
    </row>
    <row r="13">
      <c r="AA13" s="15" t="inlineStr">
        <is>
          <t>ضريبة الاستقطاع (غير المقيم)</t>
        </is>
      </c>
      <c r="AB13" s="23">
        <f>N('[40]بيانات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IF('[40]بيانات العقد'!$C$11="","",'[40]بيانات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IF('[40]بيانات العقد'!$C$13="","",'[40]بيانات العقد'!$C$13)</f>
        <v/>
      </c>
    </row>
    <row r="16">
      <c r="AA16" s="15" t="inlineStr">
        <is>
          <t>المدة (شهر)</t>
        </is>
      </c>
      <c r="AB16" s="43">
        <f>IF('[40]بيانات العقد'!$C$12="","",'[40]بيانات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IF('[40]بيانات العقد'!$C$36="","",'[40]بيانات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IF('[40]بيانات العقد'!$C$37="","",'[40]بيانات العقد'!$C$37)</f>
        <v/>
      </c>
    </row>
    <row r="19">
      <c r="AA19" s="15" t="inlineStr">
        <is>
          <t>الرقم الضريبي لصاحب العمل</t>
        </is>
      </c>
      <c r="AB19" s="48">
        <f>IF('[40]بيانات العقد'!$C$39="","",'[40]بيانات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IF('[40]بيانات العقد'!$C$42="","",'[40]بيانات العقد'!$C$42)</f>
        <v/>
      </c>
    </row>
    <row r="21" ht="32" customHeight="1">
      <c r="B21" s="50">
        <f>N('[40]الموازنة والتكاليف'!$D$66)</f>
        <v/>
      </c>
      <c r="C21" s="50" t="n"/>
      <c r="D21" s="50" t="n"/>
      <c r="E21" s="50" t="n"/>
      <c r="F21" s="50">
        <f>N('[40]الموازنة والتكاليف'!$D$70)</f>
        <v/>
      </c>
      <c r="G21" s="50" t="n"/>
      <c r="H21" s="50" t="n"/>
      <c r="I21" s="50" t="n"/>
      <c r="J21" s="50">
        <f>N('[40]الموازنة والتكاليف'!$D$72)</f>
        <v/>
      </c>
      <c r="K21" s="50" t="n"/>
      <c r="L21" s="50" t="n"/>
      <c r="M21" s="50" t="n"/>
      <c r="N21" s="51">
        <f>N('[40]الموازنة والتكاليف'!$D$73)</f>
        <v/>
      </c>
      <c r="O21" s="51" t="n"/>
      <c r="P21" s="51" t="n"/>
      <c r="Q21" s="51" t="n"/>
      <c r="R21" s="52">
        <f>N('[40]الموازنة والتكاليف'!$D$74)</f>
        <v/>
      </c>
      <c r="S21" s="52" t="n"/>
      <c r="T21" s="52" t="n"/>
      <c r="U21" s="52" t="n"/>
      <c r="V21" s="50">
        <f>N('[40]الموازنة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IF('[40]بيانات العقد'!$C$43="","",'[40]بيانات العقد'!$C$43)</f>
        <v/>
      </c>
    </row>
    <row r="22">
      <c r="AA22" s="15" t="inlineStr">
        <is>
          <t>حالة غرامات التأخير</t>
        </is>
      </c>
      <c r="AB22" s="45">
        <f>IF('[40]بيانات العقد'!$C$47="","",'[40]بيانات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IF('[40]سجل المستخلصات'!$C$6="","",'[40]سجل المستخلصات'!$C$6)</f>
        <v/>
      </c>
      <c r="D25" s="57">
        <f>IF('[40]سجل المستخلصات'!$E$6="","",'[40]سجل المستخلصات'!$E$6)</f>
        <v/>
      </c>
      <c r="E25" s="58">
        <f>IF('[40]سجل المستخلصات'!$F$6="","",'[40]سجل المستخلصات'!$F$6)</f>
        <v/>
      </c>
      <c r="F25" s="59">
        <f>IF('[40]سجل المستخلصات'!$H$6="","",'[40]سجل المستخلصات'!$H$6)</f>
        <v/>
      </c>
      <c r="G25" s="59">
        <f>IF('[40]سجل المستخلصات'!$G$6="","",'[40]سجل المستخلصات'!$G$6)</f>
        <v/>
      </c>
      <c r="H25" s="59">
        <f>IF('[40]سجل المستخلصات'!$I$6="","",'[40]سجل المستخلصات'!$I$6)</f>
        <v/>
      </c>
      <c r="I25" s="59">
        <f>IF('[40]سجل المستخلصات'!$J$6="","",'[40]سجل المستخلصات'!$J$6)</f>
        <v/>
      </c>
      <c r="J25" s="59">
        <f>IF('[40]سجل المستخلصات'!$K$6="","",'[40]سجل المستخلصات'!$K$6)</f>
        <v/>
      </c>
      <c r="K25" s="60">
        <f>IF('[40]سجل المستخلصات'!$L$6="","",'[40]سجل المستخلصات'!$L$6)</f>
        <v/>
      </c>
      <c r="L25" s="60">
        <f>IF('[40]سجل المستخلصات'!$M$6="","",'[40]سجل المستخلصات'!$M$6)</f>
        <v/>
      </c>
      <c r="M25" s="60">
        <f>IF('[40]سجل المستخلصات'!$N$6="","",'[40]سجل المستخلصات'!$N$6)</f>
        <v/>
      </c>
      <c r="N25" s="59">
        <f>IF('[40]سجل المستخلصات'!$O$6="","",'[40]سجل المستخلصات'!$O$6)</f>
        <v/>
      </c>
      <c r="O25" s="59">
        <f>IF('[40]سجل المستخلصات'!$R$6="","",'[40]سجل المستخلصات'!$R$6)</f>
        <v/>
      </c>
      <c r="P25" s="59">
        <f>IF('[40]سجل المستخلصات'!$S$6="","",'[40]سجل المستخلصات'!$S$6)</f>
        <v/>
      </c>
      <c r="Q25" s="59">
        <f>IF('[40]سجل المستخلصات'!$T$6="","",'[40]سجل المستخلصات'!$T$6)</f>
        <v/>
      </c>
      <c r="R25" s="59">
        <f>IF('[40]سجل المستخلصات'!$V$6="","",'[40]سجل المستخلصات'!$V$6)</f>
        <v/>
      </c>
      <c r="S25" s="59">
        <f>IF('[40]سجل المستخلصات'!$W$6="","",'[40]سجل المستخلصات'!$W$6)</f>
        <v/>
      </c>
      <c r="T25" s="61">
        <f>IF('[40]سجل المستخلصات'!$X$6="","",'[40]سجل المستخلصات'!$X$6)</f>
        <v/>
      </c>
      <c r="U25" s="61">
        <f>IF('[40]سجل المستخلصات'!$Z$6="","",'[40]سجل المستخلصات'!$Z$6)</f>
        <v/>
      </c>
      <c r="V25" s="59">
        <f>IF('[40]سجل المستخلصات'!$AA$6="","",'[40]سجل المستخلصات'!$AA$6)</f>
        <v/>
      </c>
      <c r="W25" s="59">
        <f>IF('[40]سجل المستخلصات'!$AC$6="","",'[40]سجل المستخلصات'!$AC$6)</f>
        <v/>
      </c>
      <c r="X25" s="62">
        <f>IF('[40]سجل المستخلصات'!$AD$6="","",'[40]سجل المستخلصات'!$AD$6)</f>
        <v/>
      </c>
      <c r="Y25" s="58">
        <f>IF('[40]سجل المستخلصات'!$AE$6="","",'[40]سجل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IF('[40]سجل المستخلصات'!$C$7="","",'[40]سجل المستخلصات'!$C$7)</f>
        <v/>
      </c>
      <c r="D26" s="57">
        <f>IF('[40]سجل المستخلصات'!$E$7="","",'[40]سجل المستخلصات'!$E$7)</f>
        <v/>
      </c>
      <c r="E26" s="58">
        <f>IF('[40]سجل المستخلصات'!$F$7="","",'[40]سجل المستخلصات'!$F$7)</f>
        <v/>
      </c>
      <c r="F26" s="59">
        <f>IF('[40]سجل المستخلصات'!$H$7="","",'[40]سجل المستخلصات'!$H$7)</f>
        <v/>
      </c>
      <c r="G26" s="59">
        <f>IF('[40]سجل المستخلصات'!$G$7="","",'[40]سجل المستخلصات'!$G$7)</f>
        <v/>
      </c>
      <c r="H26" s="59">
        <f>IF('[40]سجل المستخلصات'!$I$7="","",'[40]سجل المستخلصات'!$I$7)</f>
        <v/>
      </c>
      <c r="I26" s="59">
        <f>IF('[40]سجل المستخلصات'!$J$7="","",'[40]سجل المستخلصات'!$J$7)</f>
        <v/>
      </c>
      <c r="J26" s="59">
        <f>IF('[40]سجل المستخلصات'!$K$7="","",'[40]سجل المستخلصات'!$K$7)</f>
        <v/>
      </c>
      <c r="K26" s="60">
        <f>IF('[40]سجل المستخلصات'!$L$7="","",'[40]سجل المستخلصات'!$L$7)</f>
        <v/>
      </c>
      <c r="L26" s="60">
        <f>IF('[40]سجل المستخلصات'!$M$7="","",'[40]سجل المستخلصات'!$M$7)</f>
        <v/>
      </c>
      <c r="M26" s="60">
        <f>IF('[40]سجل المستخلصات'!$N$7="","",'[40]سجل المستخلصات'!$N$7)</f>
        <v/>
      </c>
      <c r="N26" s="59">
        <f>IF('[40]سجل المستخلصات'!$O$7="","",'[40]سجل المستخلصات'!$O$7)</f>
        <v/>
      </c>
      <c r="O26" s="59">
        <f>IF('[40]سجل المستخلصات'!$R$7="","",'[40]سجل المستخلصات'!$R$7)</f>
        <v/>
      </c>
      <c r="P26" s="59">
        <f>IF('[40]سجل المستخلصات'!$S$7="","",'[40]سجل المستخلصات'!$S$7)</f>
        <v/>
      </c>
      <c r="Q26" s="59">
        <f>IF('[40]سجل المستخلصات'!$T$7="","",'[40]سجل المستخلصات'!$T$7)</f>
        <v/>
      </c>
      <c r="R26" s="59">
        <f>IF('[40]سجل المستخلصات'!$V$7="","",'[40]سجل المستخلصات'!$V$7)</f>
        <v/>
      </c>
      <c r="S26" s="59">
        <f>IF('[40]سجل المستخلصات'!$W$7="","",'[40]سجل المستخلصات'!$W$7)</f>
        <v/>
      </c>
      <c r="T26" s="61">
        <f>IF('[40]سجل المستخلصات'!$X$7="","",'[40]سجل المستخلصات'!$X$7)</f>
        <v/>
      </c>
      <c r="U26" s="61">
        <f>IF('[40]سجل المستخلصات'!$Z$7="","",'[40]سجل المستخلصات'!$Z$7)</f>
        <v/>
      </c>
      <c r="V26" s="59">
        <f>IF('[40]سجل المستخلصات'!$AA$7="","",'[40]سجل المستخلصات'!$AA$7)</f>
        <v/>
      </c>
      <c r="W26" s="59">
        <f>IF('[40]سجل المستخلصات'!$AC$7="","",'[40]سجل المستخلصات'!$AC$7)</f>
        <v/>
      </c>
      <c r="X26" s="62">
        <f>IF('[40]سجل المستخلصات'!$AD$7="","",'[40]سجل المستخلصات'!$AD$7)</f>
        <v/>
      </c>
      <c r="Y26" s="58">
        <f>IF('[40]سجل المستخلصات'!$AE$7="","",'[40]سجل المستخلصات'!$AE$7)</f>
        <v/>
      </c>
      <c r="AA26" s="63" t="n"/>
      <c r="AB26" s="63" t="n"/>
    </row>
    <row r="27">
      <c r="B27" s="56" t="n">
        <v>3</v>
      </c>
      <c r="C27" s="57">
        <f>IF('[40]سجل المستخلصات'!$C$8="","",'[40]سجل المستخلصات'!$C$8)</f>
        <v/>
      </c>
      <c r="D27" s="57">
        <f>IF('[40]سجل المستخلصات'!$E$8="","",'[40]سجل المستخلصات'!$E$8)</f>
        <v/>
      </c>
      <c r="E27" s="58">
        <f>IF('[40]سجل المستخلصات'!$F$8="","",'[40]سجل المستخلصات'!$F$8)</f>
        <v/>
      </c>
      <c r="F27" s="59">
        <f>IF('[40]سجل المستخلصات'!$H$8="","",'[40]سجل المستخلصات'!$H$8)</f>
        <v/>
      </c>
      <c r="G27" s="59">
        <f>IF('[40]سجل المستخلصات'!$G$8="","",'[40]سجل المستخلصات'!$G$8)</f>
        <v/>
      </c>
      <c r="H27" s="59">
        <f>IF('[40]سجل المستخلصات'!$I$8="","",'[40]سجل المستخلصات'!$I$8)</f>
        <v/>
      </c>
      <c r="I27" s="59">
        <f>IF('[40]سجل المستخلصات'!$J$8="","",'[40]سجل المستخلصات'!$J$8)</f>
        <v/>
      </c>
      <c r="J27" s="59">
        <f>IF('[40]سجل المستخلصات'!$K$8="","",'[40]سجل المستخلصات'!$K$8)</f>
        <v/>
      </c>
      <c r="K27" s="60">
        <f>IF('[40]سجل المستخلصات'!$L$8="","",'[40]سجل المستخلصات'!$L$8)</f>
        <v/>
      </c>
      <c r="L27" s="60">
        <f>IF('[40]سجل المستخلصات'!$M$8="","",'[40]سجل المستخلصات'!$M$8)</f>
        <v/>
      </c>
      <c r="M27" s="60">
        <f>IF('[40]سجل المستخلصات'!$N$8="","",'[40]سجل المستخلصات'!$N$8)</f>
        <v/>
      </c>
      <c r="N27" s="59">
        <f>IF('[40]سجل المستخلصات'!$O$8="","",'[40]سجل المستخلصات'!$O$8)</f>
        <v/>
      </c>
      <c r="O27" s="59">
        <f>IF('[40]سجل المستخلصات'!$R$8="","",'[40]سجل المستخلصات'!$R$8)</f>
        <v/>
      </c>
      <c r="P27" s="59">
        <f>IF('[40]سجل المستخلصات'!$S$8="","",'[40]سجل المستخلصات'!$S$8)</f>
        <v/>
      </c>
      <c r="Q27" s="59">
        <f>IF('[40]سجل المستخلصات'!$T$8="","",'[40]سجل المستخلصات'!$T$8)</f>
        <v/>
      </c>
      <c r="R27" s="59">
        <f>IF('[40]سجل المستخلصات'!$V$8="","",'[40]سجل المستخلصات'!$V$8)</f>
        <v/>
      </c>
      <c r="S27" s="59">
        <f>IF('[40]سجل المستخلصات'!$W$8="","",'[40]سجل المستخلصات'!$W$8)</f>
        <v/>
      </c>
      <c r="T27" s="61">
        <f>IF('[40]سجل المستخلصات'!$X$8="","",'[40]سجل المستخلصات'!$X$8)</f>
        <v/>
      </c>
      <c r="U27" s="61">
        <f>IF('[40]سجل المستخلصات'!$Z$8="","",'[40]سجل المستخلصات'!$Z$8)</f>
        <v/>
      </c>
      <c r="V27" s="59">
        <f>IF('[40]سجل المستخلصات'!$AA$8="","",'[40]سجل المستخلصات'!$AA$8)</f>
        <v/>
      </c>
      <c r="W27" s="59">
        <f>IF('[40]سجل المستخلصات'!$AC$8="","",'[40]سجل المستخلصات'!$AC$8)</f>
        <v/>
      </c>
      <c r="X27" s="62">
        <f>IF('[40]سجل المستخلصات'!$AD$8="","",'[40]سجل المستخلصات'!$AD$8)</f>
        <v/>
      </c>
      <c r="Y27" s="58">
        <f>IF('[40]سجل المستخلصات'!$AE$8="","",'[40]سجل المستخلصات'!$AE$8)</f>
        <v/>
      </c>
      <c r="AA27" s="63" t="n"/>
      <c r="AB27" s="63" t="n"/>
    </row>
    <row r="28">
      <c r="B28" s="56" t="n">
        <v>4</v>
      </c>
      <c r="C28" s="57">
        <f>IF('[40]سجل المستخلصات'!$C$9="","",'[40]سجل المستخلصات'!$C$9)</f>
        <v/>
      </c>
      <c r="D28" s="57">
        <f>IF('[40]سجل المستخلصات'!$E$9="","",'[40]سجل المستخلصات'!$E$9)</f>
        <v/>
      </c>
      <c r="E28" s="58">
        <f>IF('[40]سجل المستخلصات'!$F$9="","",'[40]سجل المستخلصات'!$F$9)</f>
        <v/>
      </c>
      <c r="F28" s="59">
        <f>IF('[40]سجل المستخلصات'!$H$9="","",'[40]سجل المستخلصات'!$H$9)</f>
        <v/>
      </c>
      <c r="G28" s="59">
        <f>IF('[40]سجل المستخلصات'!$G$9="","",'[40]سجل المستخلصات'!$G$9)</f>
        <v/>
      </c>
      <c r="H28" s="59">
        <f>IF('[40]سجل المستخلصات'!$I$9="","",'[40]سجل المستخلصات'!$I$9)</f>
        <v/>
      </c>
      <c r="I28" s="59">
        <f>IF('[40]سجل المستخلصات'!$J$9="","",'[40]سجل المستخلصات'!$J$9)</f>
        <v/>
      </c>
      <c r="J28" s="59">
        <f>IF('[40]سجل المستخلصات'!$K$9="","",'[40]سجل المستخلصات'!$K$9)</f>
        <v/>
      </c>
      <c r="K28" s="60">
        <f>IF('[40]سجل المستخلصات'!$L$9="","",'[40]سجل المستخلصات'!$L$9)</f>
        <v/>
      </c>
      <c r="L28" s="60">
        <f>IF('[40]سجل المستخلصات'!$M$9="","",'[40]سجل المستخلصات'!$M$9)</f>
        <v/>
      </c>
      <c r="M28" s="60">
        <f>IF('[40]سجل المستخلصات'!$N$9="","",'[40]سجل المستخلصات'!$N$9)</f>
        <v/>
      </c>
      <c r="N28" s="59">
        <f>IF('[40]سجل المستخلصات'!$O$9="","",'[40]سجل المستخلصات'!$O$9)</f>
        <v/>
      </c>
      <c r="O28" s="59">
        <f>IF('[40]سجل المستخلصات'!$R$9="","",'[40]سجل المستخلصات'!$R$9)</f>
        <v/>
      </c>
      <c r="P28" s="59">
        <f>IF('[40]سجل المستخلصات'!$S$9="","",'[40]سجل المستخلصات'!$S$9)</f>
        <v/>
      </c>
      <c r="Q28" s="59">
        <f>IF('[40]سجل المستخلصات'!$T$9="","",'[40]سجل المستخلصات'!$T$9)</f>
        <v/>
      </c>
      <c r="R28" s="59">
        <f>IF('[40]سجل المستخلصات'!$V$9="","",'[40]سجل المستخلصات'!$V$9)</f>
        <v/>
      </c>
      <c r="S28" s="59">
        <f>IF('[40]سجل المستخلصات'!$W$9="","",'[40]سجل المستخلصات'!$W$9)</f>
        <v/>
      </c>
      <c r="T28" s="61">
        <f>IF('[40]سجل المستخلصات'!$X$9="","",'[40]سجل المستخلصات'!$X$9)</f>
        <v/>
      </c>
      <c r="U28" s="61">
        <f>IF('[40]سجل المستخلصات'!$Z$9="","",'[40]سجل المستخلصات'!$Z$9)</f>
        <v/>
      </c>
      <c r="V28" s="59">
        <f>IF('[40]سجل المستخلصات'!$AA$9="","",'[40]سجل المستخلصات'!$AA$9)</f>
        <v/>
      </c>
      <c r="W28" s="59">
        <f>IF('[40]سجل المستخلصات'!$AC$9="","",'[40]سجل المستخلصات'!$AC$9)</f>
        <v/>
      </c>
      <c r="X28" s="62">
        <f>IF('[40]سجل المستخلصات'!$AD$9="","",'[40]سجل المستخلصات'!$AD$9)</f>
        <v/>
      </c>
      <c r="Y28" s="58">
        <f>IF('[40]سجل المستخلصات'!$AE$9="","",'[40]سجل المستخلصات'!$AE$9)</f>
        <v/>
      </c>
      <c r="AA28" s="63" t="n"/>
      <c r="AB28" s="63" t="n"/>
    </row>
    <row r="29">
      <c r="B29" s="56" t="n">
        <v>5</v>
      </c>
      <c r="C29" s="57">
        <f>IF('[40]سجل المستخلصات'!$C$10="","",'[40]سجل المستخلصات'!$C$10)</f>
        <v/>
      </c>
      <c r="D29" s="57">
        <f>IF('[40]سجل المستخلصات'!$E$10="","",'[40]سجل المستخلصات'!$E$10)</f>
        <v/>
      </c>
      <c r="E29" s="58">
        <f>IF('[40]سجل المستخلصات'!$F$10="","",'[40]سجل المستخلصات'!$F$10)</f>
        <v/>
      </c>
      <c r="F29" s="59">
        <f>IF('[40]سجل المستخلصات'!$H$10="","",'[40]سجل المستخلصات'!$H$10)</f>
        <v/>
      </c>
      <c r="G29" s="59">
        <f>IF('[40]سجل المستخلصات'!$G$10="","",'[40]سجل المستخلصات'!$G$10)</f>
        <v/>
      </c>
      <c r="H29" s="59">
        <f>IF('[40]سجل المستخلصات'!$I$10="","",'[40]سجل المستخلصات'!$I$10)</f>
        <v/>
      </c>
      <c r="I29" s="59">
        <f>IF('[40]سجل المستخلصات'!$J$10="","",'[40]سجل المستخلصات'!$J$10)</f>
        <v/>
      </c>
      <c r="J29" s="59">
        <f>IF('[40]سجل المستخلصات'!$K$10="","",'[40]سجل المستخلصات'!$K$10)</f>
        <v/>
      </c>
      <c r="K29" s="60">
        <f>IF('[40]سجل المستخلصات'!$L$10="","",'[40]سجل المستخلصات'!$L$10)</f>
        <v/>
      </c>
      <c r="L29" s="60">
        <f>IF('[40]سجل المستخلصات'!$M$10="","",'[40]سجل المستخلصات'!$M$10)</f>
        <v/>
      </c>
      <c r="M29" s="60">
        <f>IF('[40]سجل المستخلصات'!$N$10="","",'[40]سجل المستخلصات'!$N$10)</f>
        <v/>
      </c>
      <c r="N29" s="59">
        <f>IF('[40]سجل المستخلصات'!$O$10="","",'[40]سجل المستخلصات'!$O$10)</f>
        <v/>
      </c>
      <c r="O29" s="59">
        <f>IF('[40]سجل المستخلصات'!$R$10="","",'[40]سجل المستخلصات'!$R$10)</f>
        <v/>
      </c>
      <c r="P29" s="59">
        <f>IF('[40]سجل المستخلصات'!$S$10="","",'[40]سجل المستخلصات'!$S$10)</f>
        <v/>
      </c>
      <c r="Q29" s="59">
        <f>IF('[40]سجل المستخلصات'!$T$10="","",'[40]سجل المستخلصات'!$T$10)</f>
        <v/>
      </c>
      <c r="R29" s="59">
        <f>IF('[40]سجل المستخلصات'!$V$10="","",'[40]سجل المستخلصات'!$V$10)</f>
        <v/>
      </c>
      <c r="S29" s="59">
        <f>IF('[40]سجل المستخلصات'!$W$10="","",'[40]سجل المستخلصات'!$W$10)</f>
        <v/>
      </c>
      <c r="T29" s="61">
        <f>IF('[40]سجل المستخلصات'!$X$10="","",'[40]سجل المستخلصات'!$X$10)</f>
        <v/>
      </c>
      <c r="U29" s="61">
        <f>IF('[40]سجل المستخلصات'!$Z$10="","",'[40]سجل المستخلصات'!$Z$10)</f>
        <v/>
      </c>
      <c r="V29" s="59">
        <f>IF('[40]سجل المستخلصات'!$AA$10="","",'[40]سجل المستخلصات'!$AA$10)</f>
        <v/>
      </c>
      <c r="W29" s="59">
        <f>IF('[40]سجل المستخلصات'!$AC$10="","",'[40]سجل المستخلصات'!$AC$10)</f>
        <v/>
      </c>
      <c r="X29" s="62">
        <f>IF('[40]سجل المستخلصات'!$AD$10="","",'[40]سجل المستخلصات'!$AD$10)</f>
        <v/>
      </c>
      <c r="Y29" s="58">
        <f>IF('[40]سجل المستخلصات'!$AE$10="","",'[40]سجل المستخلصات'!$AE$10)</f>
        <v/>
      </c>
    </row>
    <row r="30">
      <c r="B30" s="56" t="n">
        <v>6</v>
      </c>
      <c r="C30" s="57">
        <f>IF('[40]سجل المستخلصات'!$C$11="","",'[40]سجل المستخلصات'!$C$11)</f>
        <v/>
      </c>
      <c r="D30" s="57">
        <f>IF('[40]سجل المستخلصات'!$E$11="","",'[40]سجل المستخلصات'!$E$11)</f>
        <v/>
      </c>
      <c r="E30" s="58">
        <f>IF('[40]سجل المستخلصات'!$F$11="","",'[40]سجل المستخلصات'!$F$11)</f>
        <v/>
      </c>
      <c r="F30" s="59">
        <f>IF('[40]سجل المستخلصات'!$H$11="","",'[40]سجل المستخلصات'!$H$11)</f>
        <v/>
      </c>
      <c r="G30" s="59">
        <f>IF('[40]سجل المستخلصات'!$G$11="","",'[40]سجل المستخلصات'!$G$11)</f>
        <v/>
      </c>
      <c r="H30" s="59">
        <f>IF('[40]سجل المستخلصات'!$I$11="","",'[40]سجل المستخلصات'!$I$11)</f>
        <v/>
      </c>
      <c r="I30" s="59">
        <f>IF('[40]سجل المستخلصات'!$J$11="","",'[40]سجل المستخلصات'!$J$11)</f>
        <v/>
      </c>
      <c r="J30" s="59">
        <f>IF('[40]سجل المستخلصات'!$K$11="","",'[40]سجل المستخلصات'!$K$11)</f>
        <v/>
      </c>
      <c r="K30" s="60">
        <f>IF('[40]سجل المستخلصات'!$L$11="","",'[40]سجل المستخلصات'!$L$11)</f>
        <v/>
      </c>
      <c r="L30" s="60">
        <f>IF('[40]سجل المستخلصات'!$M$11="","",'[40]سجل المستخلصات'!$M$11)</f>
        <v/>
      </c>
      <c r="M30" s="60">
        <f>IF('[40]سجل المستخلصات'!$N$11="","",'[40]سجل المستخلصات'!$N$11)</f>
        <v/>
      </c>
      <c r="N30" s="59">
        <f>IF('[40]سجل المستخلصات'!$O$11="","",'[40]سجل المستخلصات'!$O$11)</f>
        <v/>
      </c>
      <c r="O30" s="59">
        <f>IF('[40]سجل المستخلصات'!$R$11="","",'[40]سجل المستخلصات'!$R$11)</f>
        <v/>
      </c>
      <c r="P30" s="59">
        <f>IF('[40]سجل المستخلصات'!$S$11="","",'[40]سجل المستخلصات'!$S$11)</f>
        <v/>
      </c>
      <c r="Q30" s="59">
        <f>IF('[40]سجل المستخلصات'!$T$11="","",'[40]سجل المستخلصات'!$T$11)</f>
        <v/>
      </c>
      <c r="R30" s="59">
        <f>IF('[40]سجل المستخلصات'!$V$11="","",'[40]سجل المستخلصات'!$V$11)</f>
        <v/>
      </c>
      <c r="S30" s="59">
        <f>IF('[40]سجل المستخلصات'!$W$11="","",'[40]سجل المستخلصات'!$W$11)</f>
        <v/>
      </c>
      <c r="T30" s="61">
        <f>IF('[40]سجل المستخلصات'!$X$11="","",'[40]سجل المستخلصات'!$X$11)</f>
        <v/>
      </c>
      <c r="U30" s="61">
        <f>IF('[40]سجل المستخلصات'!$Z$11="","",'[40]سجل المستخلصات'!$Z$11)</f>
        <v/>
      </c>
      <c r="V30" s="59">
        <f>IF('[40]سجل المستخلصات'!$AA$11="","",'[40]سجل المستخلصات'!$AA$11)</f>
        <v/>
      </c>
      <c r="W30" s="59">
        <f>IF('[40]سجل المستخلصات'!$AC$11="","",'[40]سجل المستخلصات'!$AC$11)</f>
        <v/>
      </c>
      <c r="X30" s="62">
        <f>IF('[40]سجل المستخلصات'!$AD$11="","",'[40]سجل المستخلصات'!$AD$11)</f>
        <v/>
      </c>
      <c r="Y30" s="58">
        <f>IF('[40]سجل المستخلصات'!$AE$11="","",'[40]سجل المستخلصات'!$AE$11)</f>
        <v/>
      </c>
    </row>
    <row r="31">
      <c r="B31" s="56" t="n">
        <v>7</v>
      </c>
      <c r="C31" s="57">
        <f>IF('[40]سجل المستخلصات'!$C$12="","",'[40]سجل المستخلصات'!$C$12)</f>
        <v/>
      </c>
      <c r="D31" s="57">
        <f>IF('[40]سجل المستخلصات'!$E$12="","",'[40]سجل المستخلصات'!$E$12)</f>
        <v/>
      </c>
      <c r="E31" s="58">
        <f>IF('[40]سجل المستخلصات'!$F$12="","",'[40]سجل المستخلصات'!$F$12)</f>
        <v/>
      </c>
      <c r="F31" s="59">
        <f>IF('[40]سجل المستخلصات'!$H$12="","",'[40]سجل المستخلصات'!$H$12)</f>
        <v/>
      </c>
      <c r="G31" s="59">
        <f>IF('[40]سجل المستخلصات'!$G$12="","",'[40]سجل المستخلصات'!$G$12)</f>
        <v/>
      </c>
      <c r="H31" s="59">
        <f>IF('[40]سجل المستخلصات'!$I$12="","",'[40]سجل المستخلصات'!$I$12)</f>
        <v/>
      </c>
      <c r="I31" s="59">
        <f>IF('[40]سجل المستخلصات'!$J$12="","",'[40]سجل المستخلصات'!$J$12)</f>
        <v/>
      </c>
      <c r="J31" s="59">
        <f>IF('[40]سجل المستخلصات'!$K$12="","",'[40]سجل المستخلصات'!$K$12)</f>
        <v/>
      </c>
      <c r="K31" s="60">
        <f>IF('[40]سجل المستخلصات'!$L$12="","",'[40]سجل المستخلصات'!$L$12)</f>
        <v/>
      </c>
      <c r="L31" s="60">
        <f>IF('[40]سجل المستخلصات'!$M$12="","",'[40]سجل المستخلصات'!$M$12)</f>
        <v/>
      </c>
      <c r="M31" s="60">
        <f>IF('[40]سجل المستخلصات'!$N$12="","",'[40]سجل المستخلصات'!$N$12)</f>
        <v/>
      </c>
      <c r="N31" s="59">
        <f>IF('[40]سجل المستخلصات'!$O$12="","",'[40]سجل المستخلصات'!$O$12)</f>
        <v/>
      </c>
      <c r="O31" s="59">
        <f>IF('[40]سجل المستخلصات'!$R$12="","",'[40]سجل المستخلصات'!$R$12)</f>
        <v/>
      </c>
      <c r="P31" s="59">
        <f>IF('[40]سجل المستخلصات'!$S$12="","",'[40]سجل المستخلصات'!$S$12)</f>
        <v/>
      </c>
      <c r="Q31" s="59">
        <f>IF('[40]سجل المستخلصات'!$T$12="","",'[40]سجل المستخلصات'!$T$12)</f>
        <v/>
      </c>
      <c r="R31" s="59">
        <f>IF('[40]سجل المستخلصات'!$V$12="","",'[40]سجل المستخلصات'!$V$12)</f>
        <v/>
      </c>
      <c r="S31" s="59">
        <f>IF('[40]سجل المستخلصات'!$W$12="","",'[40]سجل المستخلصات'!$W$12)</f>
        <v/>
      </c>
      <c r="T31" s="61">
        <f>IF('[40]سجل المستخلصات'!$X$12="","",'[40]سجل المستخلصات'!$X$12)</f>
        <v/>
      </c>
      <c r="U31" s="61">
        <f>IF('[40]سجل المستخلصات'!$Z$12="","",'[40]سجل المستخلصات'!$Z$12)</f>
        <v/>
      </c>
      <c r="V31" s="59">
        <f>IF('[40]سجل المستخلصات'!$AA$12="","",'[40]سجل المستخلصات'!$AA$12)</f>
        <v/>
      </c>
      <c r="W31" s="59">
        <f>IF('[40]سجل المستخلصات'!$AC$12="","",'[40]سجل المستخلصات'!$AC$12)</f>
        <v/>
      </c>
      <c r="X31" s="62">
        <f>IF('[40]سجل المستخلصات'!$AD$12="","",'[40]سجل المستخلصات'!$AD$12)</f>
        <v/>
      </c>
      <c r="Y31" s="58">
        <f>IF('[40]سجل المستخلصات'!$AE$12="","",'[40]سجل المستخلصات'!$AE$12)</f>
        <v/>
      </c>
    </row>
    <row r="32">
      <c r="B32" s="56" t="n">
        <v>8</v>
      </c>
      <c r="C32" s="57">
        <f>IF('[40]سجل المستخلصات'!$C$13="","",'[40]سجل المستخلصات'!$C$13)</f>
        <v/>
      </c>
      <c r="D32" s="57">
        <f>IF('[40]سجل المستخلصات'!$E$13="","",'[40]سجل المستخلصات'!$E$13)</f>
        <v/>
      </c>
      <c r="E32" s="58">
        <f>IF('[40]سجل المستخلصات'!$F$13="","",'[40]سجل المستخلصات'!$F$13)</f>
        <v/>
      </c>
      <c r="F32" s="59">
        <f>IF('[40]سجل المستخلصات'!$H$13="","",'[40]سجل المستخلصات'!$H$13)</f>
        <v/>
      </c>
      <c r="G32" s="59">
        <f>IF('[40]سجل المستخلصات'!$G$13="","",'[40]سجل المستخلصات'!$G$13)</f>
        <v/>
      </c>
      <c r="H32" s="59">
        <f>IF('[40]سجل المستخلصات'!$I$13="","",'[40]سجل المستخلصات'!$I$13)</f>
        <v/>
      </c>
      <c r="I32" s="59">
        <f>IF('[40]سجل المستخلصات'!$J$13="","",'[40]سجل المستخلصات'!$J$13)</f>
        <v/>
      </c>
      <c r="J32" s="59">
        <f>IF('[40]سجل المستخلصات'!$K$13="","",'[40]سجل المستخلصات'!$K$13)</f>
        <v/>
      </c>
      <c r="K32" s="60">
        <f>IF('[40]سجل المستخلصات'!$L$13="","",'[40]سجل المستخلصات'!$L$13)</f>
        <v/>
      </c>
      <c r="L32" s="60">
        <f>IF('[40]سجل المستخلصات'!$M$13="","",'[40]سجل المستخلصات'!$M$13)</f>
        <v/>
      </c>
      <c r="M32" s="60">
        <f>IF('[40]سجل المستخلصات'!$N$13="","",'[40]سجل المستخلصات'!$N$13)</f>
        <v/>
      </c>
      <c r="N32" s="59">
        <f>IF('[40]سجل المستخلصات'!$O$13="","",'[40]سجل المستخلصات'!$O$13)</f>
        <v/>
      </c>
      <c r="O32" s="59">
        <f>IF('[40]سجل المستخلصات'!$R$13="","",'[40]سجل المستخلصات'!$R$13)</f>
        <v/>
      </c>
      <c r="P32" s="59">
        <f>IF('[40]سجل المستخلصات'!$S$13="","",'[40]سجل المستخلصات'!$S$13)</f>
        <v/>
      </c>
      <c r="Q32" s="59">
        <f>IF('[40]سجل المستخلصات'!$T$13="","",'[40]سجل المستخلصات'!$T$13)</f>
        <v/>
      </c>
      <c r="R32" s="59">
        <f>IF('[40]سجل المستخلصات'!$V$13="","",'[40]سجل المستخلصات'!$V$13)</f>
        <v/>
      </c>
      <c r="S32" s="59">
        <f>IF('[40]سجل المستخلصات'!$W$13="","",'[40]سجل المستخلصات'!$W$13)</f>
        <v/>
      </c>
      <c r="T32" s="61">
        <f>IF('[40]سجل المستخلصات'!$X$13="","",'[40]سجل المستخلصات'!$X$13)</f>
        <v/>
      </c>
      <c r="U32" s="61">
        <f>IF('[40]سجل المستخلصات'!$Z$13="","",'[40]سجل المستخلصات'!$Z$13)</f>
        <v/>
      </c>
      <c r="V32" s="59">
        <f>IF('[40]سجل المستخلصات'!$AA$13="","",'[40]سجل المستخلصات'!$AA$13)</f>
        <v/>
      </c>
      <c r="W32" s="59">
        <f>IF('[40]سجل المستخلصات'!$AC$13="","",'[40]سجل المستخلصات'!$AC$13)</f>
        <v/>
      </c>
      <c r="X32" s="62">
        <f>IF('[40]سجل المستخلصات'!$AD$13="","",'[40]سجل المستخلصات'!$AD$13)</f>
        <v/>
      </c>
      <c r="Y32" s="58">
        <f>IF('[40]سجل المستخلصات'!$AE$13="","",'[40]سجل المستخلصات'!$AE$13)</f>
        <v/>
      </c>
    </row>
    <row r="33">
      <c r="B33" s="56" t="n">
        <v>9</v>
      </c>
      <c r="C33" s="57">
        <f>IF('[40]سجل المستخلصات'!$C$14="","",'[40]سجل المستخلصات'!$C$14)</f>
        <v/>
      </c>
      <c r="D33" s="57">
        <f>IF('[40]سجل المستخلصات'!$E$14="","",'[40]سجل المستخلصات'!$E$14)</f>
        <v/>
      </c>
      <c r="E33" s="58">
        <f>IF('[40]سجل المستخلصات'!$F$14="","",'[40]سجل المستخلصات'!$F$14)</f>
        <v/>
      </c>
      <c r="F33" s="59">
        <f>IF('[40]سجل المستخلصات'!$H$14="","",'[40]سجل المستخلصات'!$H$14)</f>
        <v/>
      </c>
      <c r="G33" s="59">
        <f>IF('[40]سجل المستخلصات'!$G$14="","",'[40]سجل المستخلصات'!$G$14)</f>
        <v/>
      </c>
      <c r="H33" s="59">
        <f>IF('[40]سجل المستخلصات'!$I$14="","",'[40]سجل المستخلصات'!$I$14)</f>
        <v/>
      </c>
      <c r="I33" s="59">
        <f>IF('[40]سجل المستخلصات'!$J$14="","",'[40]سجل المستخلصات'!$J$14)</f>
        <v/>
      </c>
      <c r="J33" s="59">
        <f>IF('[40]سجل المستخلصات'!$K$14="","",'[40]سجل المستخلصات'!$K$14)</f>
        <v/>
      </c>
      <c r="K33" s="60">
        <f>IF('[40]سجل المستخلصات'!$L$14="","",'[40]سجل المستخلصات'!$L$14)</f>
        <v/>
      </c>
      <c r="L33" s="60">
        <f>IF('[40]سجل المستخلصات'!$M$14="","",'[40]سجل المستخلصات'!$M$14)</f>
        <v/>
      </c>
      <c r="M33" s="60">
        <f>IF('[40]سجل المستخلصات'!$N$14="","",'[40]سجل المستخلصات'!$N$14)</f>
        <v/>
      </c>
      <c r="N33" s="59">
        <f>IF('[40]سجل المستخلصات'!$O$14="","",'[40]سجل المستخلصات'!$O$14)</f>
        <v/>
      </c>
      <c r="O33" s="59">
        <f>IF('[40]سجل المستخلصات'!$R$14="","",'[40]سجل المستخلصات'!$R$14)</f>
        <v/>
      </c>
      <c r="P33" s="59">
        <f>IF('[40]سجل المستخلصات'!$S$14="","",'[40]سجل المستخلصات'!$S$14)</f>
        <v/>
      </c>
      <c r="Q33" s="59">
        <f>IF('[40]سجل المستخلصات'!$T$14="","",'[40]سجل المستخلصات'!$T$14)</f>
        <v/>
      </c>
      <c r="R33" s="59">
        <f>IF('[40]سجل المستخلصات'!$V$14="","",'[40]سجل المستخلصات'!$V$14)</f>
        <v/>
      </c>
      <c r="S33" s="59">
        <f>IF('[40]سجل المستخلصات'!$W$14="","",'[40]سجل المستخلصات'!$W$14)</f>
        <v/>
      </c>
      <c r="T33" s="61">
        <f>IF('[40]سجل المستخلصات'!$X$14="","",'[40]سجل المستخلصات'!$X$14)</f>
        <v/>
      </c>
      <c r="U33" s="61">
        <f>IF('[40]سجل المستخلصات'!$Z$14="","",'[40]سجل المستخلصات'!$Z$14)</f>
        <v/>
      </c>
      <c r="V33" s="59">
        <f>IF('[40]سجل المستخلصات'!$AA$14="","",'[40]سجل المستخلصات'!$AA$14)</f>
        <v/>
      </c>
      <c r="W33" s="59">
        <f>IF('[40]سجل المستخلصات'!$AC$14="","",'[40]سجل المستخلصات'!$AC$14)</f>
        <v/>
      </c>
      <c r="X33" s="62">
        <f>IF('[40]سجل المستخلصات'!$AD$14="","",'[40]سجل المستخلصات'!$AD$14)</f>
        <v/>
      </c>
      <c r="Y33" s="58">
        <f>IF('[40]سجل المستخلصات'!$AE$14="","",'[40]سجل المستخلصات'!$AE$14)</f>
        <v/>
      </c>
    </row>
    <row r="34">
      <c r="B34" s="56" t="n">
        <v>10</v>
      </c>
      <c r="C34" s="57">
        <f>IF('[40]سجل المستخلصات'!$C$15="","",'[40]سجل المستخلصات'!$C$15)</f>
        <v/>
      </c>
      <c r="D34" s="57">
        <f>IF('[40]سجل المستخلصات'!$E$15="","",'[40]سجل المستخلصات'!$E$15)</f>
        <v/>
      </c>
      <c r="E34" s="58">
        <f>IF('[40]سجل المستخلصات'!$F$15="","",'[40]سجل المستخلصات'!$F$15)</f>
        <v/>
      </c>
      <c r="F34" s="59">
        <f>IF('[40]سجل المستخلصات'!$H$15="","",'[40]سجل المستخلصات'!$H$15)</f>
        <v/>
      </c>
      <c r="G34" s="59">
        <f>IF('[40]سجل المستخلصات'!$G$15="","",'[40]سجل المستخلصات'!$G$15)</f>
        <v/>
      </c>
      <c r="H34" s="59">
        <f>IF('[40]سجل المستخلصات'!$I$15="","",'[40]سجل المستخلصات'!$I$15)</f>
        <v/>
      </c>
      <c r="I34" s="59">
        <f>IF('[40]سجل المستخلصات'!$J$15="","",'[40]سجل المستخلصات'!$J$15)</f>
        <v/>
      </c>
      <c r="J34" s="59">
        <f>IF('[40]سجل المستخلصات'!$K$15="","",'[40]سجل المستخلصات'!$K$15)</f>
        <v/>
      </c>
      <c r="K34" s="60">
        <f>IF('[40]سجل المستخلصات'!$L$15="","",'[40]سجل المستخلصات'!$L$15)</f>
        <v/>
      </c>
      <c r="L34" s="60">
        <f>IF('[40]سجل المستخلصات'!$M$15="","",'[40]سجل المستخلصات'!$M$15)</f>
        <v/>
      </c>
      <c r="M34" s="60">
        <f>IF('[40]سجل المستخلصات'!$N$15="","",'[40]سجل المستخلصات'!$N$15)</f>
        <v/>
      </c>
      <c r="N34" s="59">
        <f>IF('[40]سجل المستخلصات'!$O$15="","",'[40]سجل المستخلصات'!$O$15)</f>
        <v/>
      </c>
      <c r="O34" s="59">
        <f>IF('[40]سجل المستخلصات'!$R$15="","",'[40]سجل المستخلصات'!$R$15)</f>
        <v/>
      </c>
      <c r="P34" s="59">
        <f>IF('[40]سجل المستخلصات'!$S$15="","",'[40]سجل المستخلصات'!$S$15)</f>
        <v/>
      </c>
      <c r="Q34" s="59">
        <f>IF('[40]سجل المستخلصات'!$T$15="","",'[40]سجل المستخلصات'!$T$15)</f>
        <v/>
      </c>
      <c r="R34" s="59">
        <f>IF('[40]سجل المستخلصات'!$V$15="","",'[40]سجل المستخلصات'!$V$15)</f>
        <v/>
      </c>
      <c r="S34" s="59">
        <f>IF('[40]سجل المستخلصات'!$W$15="","",'[40]سجل المستخلصات'!$W$15)</f>
        <v/>
      </c>
      <c r="T34" s="61">
        <f>IF('[40]سجل المستخلصات'!$X$15="","",'[40]سجل المستخلصات'!$X$15)</f>
        <v/>
      </c>
      <c r="U34" s="61">
        <f>IF('[40]سجل المستخلصات'!$Z$15="","",'[40]سجل المستخلصات'!$Z$15)</f>
        <v/>
      </c>
      <c r="V34" s="59">
        <f>IF('[40]سجل المستخلصات'!$AA$15="","",'[40]سجل المستخلصات'!$AA$15)</f>
        <v/>
      </c>
      <c r="W34" s="59">
        <f>IF('[40]سجل المستخلصات'!$AC$15="","",'[40]سجل المستخلصات'!$AC$15)</f>
        <v/>
      </c>
      <c r="X34" s="62">
        <f>IF('[40]سجل المستخلصات'!$AD$15="","",'[40]سجل المستخلصات'!$AD$15)</f>
        <v/>
      </c>
      <c r="Y34" s="58">
        <f>IF('[40]سجل المستخلصات'!$AE$15="","",'[40]سجل المستخلصات'!$AE$15)</f>
        <v/>
      </c>
    </row>
    <row r="35">
      <c r="B35" s="56" t="n">
        <v>11</v>
      </c>
      <c r="C35" s="57">
        <f>IF('[40]سجل المستخلصات'!$C$16="","",'[40]سجل المستخلصات'!$C$16)</f>
        <v/>
      </c>
      <c r="D35" s="57">
        <f>IF('[40]سجل المستخلصات'!$E$16="","",'[40]سجل المستخلصات'!$E$16)</f>
        <v/>
      </c>
      <c r="E35" s="58">
        <f>IF('[40]سجل المستخلصات'!$F$16="","",'[40]سجل المستخلصات'!$F$16)</f>
        <v/>
      </c>
      <c r="F35" s="59">
        <f>IF('[40]سجل المستخلصات'!$H$16="","",'[40]سجل المستخلصات'!$H$16)</f>
        <v/>
      </c>
      <c r="G35" s="59">
        <f>IF('[40]سجل المستخلصات'!$G$16="","",'[40]سجل المستخلصات'!$G$16)</f>
        <v/>
      </c>
      <c r="H35" s="59">
        <f>IF('[40]سجل المستخلصات'!$I$16="","",'[40]سجل المستخلصات'!$I$16)</f>
        <v/>
      </c>
      <c r="I35" s="59">
        <f>IF('[40]سجل المستخلصات'!$J$16="","",'[40]سجل المستخلصات'!$J$16)</f>
        <v/>
      </c>
      <c r="J35" s="59">
        <f>IF('[40]سجل المستخلصات'!$K$16="","",'[40]سجل المستخلصات'!$K$16)</f>
        <v/>
      </c>
      <c r="K35" s="60">
        <f>IF('[40]سجل المستخلصات'!$L$16="","",'[40]سجل المستخلصات'!$L$16)</f>
        <v/>
      </c>
      <c r="L35" s="60">
        <f>IF('[40]سجل المستخلصات'!$M$16="","",'[40]سجل المستخلصات'!$M$16)</f>
        <v/>
      </c>
      <c r="M35" s="60">
        <f>IF('[40]سجل المستخلصات'!$N$16="","",'[40]سجل المستخلصات'!$N$16)</f>
        <v/>
      </c>
      <c r="N35" s="59">
        <f>IF('[40]سجل المستخلصات'!$O$16="","",'[40]سجل المستخلصات'!$O$16)</f>
        <v/>
      </c>
      <c r="O35" s="59">
        <f>IF('[40]سجل المستخلصات'!$R$16="","",'[40]سجل المستخلصات'!$R$16)</f>
        <v/>
      </c>
      <c r="P35" s="59">
        <f>IF('[40]سجل المستخلصات'!$S$16="","",'[40]سجل المستخلصات'!$S$16)</f>
        <v/>
      </c>
      <c r="Q35" s="59">
        <f>IF('[40]سجل المستخلصات'!$T$16="","",'[40]سجل المستخلصات'!$T$16)</f>
        <v/>
      </c>
      <c r="R35" s="59">
        <f>IF('[40]سجل المستخلصات'!$V$16="","",'[40]سجل المستخلصات'!$V$16)</f>
        <v/>
      </c>
      <c r="S35" s="59">
        <f>IF('[40]سجل المستخلصات'!$W$16="","",'[40]سجل المستخلصات'!$W$16)</f>
        <v/>
      </c>
      <c r="T35" s="61">
        <f>IF('[40]سجل المستخلصات'!$X$16="","",'[40]سجل المستخلصات'!$X$16)</f>
        <v/>
      </c>
      <c r="U35" s="61">
        <f>IF('[40]سجل المستخلصات'!$Z$16="","",'[40]سجل المستخلصات'!$Z$16)</f>
        <v/>
      </c>
      <c r="V35" s="59">
        <f>IF('[40]سجل المستخلصات'!$AA$16="","",'[40]سجل المستخلصات'!$AA$16)</f>
        <v/>
      </c>
      <c r="W35" s="59">
        <f>IF('[40]سجل المستخلصات'!$AC$16="","",'[40]سجل المستخلصات'!$AC$16)</f>
        <v/>
      </c>
      <c r="X35" s="62">
        <f>IF('[40]سجل المستخلصات'!$AD$16="","",'[40]سجل المستخلصات'!$AD$16)</f>
        <v/>
      </c>
      <c r="Y35" s="58">
        <f>IF('[40]سجل المستخلصات'!$AE$16="","",'[40]سجل المستخلصات'!$AE$16)</f>
        <v/>
      </c>
    </row>
    <row r="36">
      <c r="B36" s="56" t="n">
        <v>12</v>
      </c>
      <c r="C36" s="57">
        <f>IF('[40]سجل المستخلصات'!$C$17="","",'[40]سجل المستخلصات'!$C$17)</f>
        <v/>
      </c>
      <c r="D36" s="57">
        <f>IF('[40]سجل المستخلصات'!$E$17="","",'[40]سجل المستخلصات'!$E$17)</f>
        <v/>
      </c>
      <c r="E36" s="58">
        <f>IF('[40]سجل المستخلصات'!$F$17="","",'[40]سجل المستخلصات'!$F$17)</f>
        <v/>
      </c>
      <c r="F36" s="59">
        <f>IF('[40]سجل المستخلصات'!$H$17="","",'[40]سجل المستخلصات'!$H$17)</f>
        <v/>
      </c>
      <c r="G36" s="59">
        <f>IF('[40]سجل المستخلصات'!$G$17="","",'[40]سجل المستخلصات'!$G$17)</f>
        <v/>
      </c>
      <c r="H36" s="59">
        <f>IF('[40]سجل المستخلصات'!$I$17="","",'[40]سجل المستخلصات'!$I$17)</f>
        <v/>
      </c>
      <c r="I36" s="59">
        <f>IF('[40]سجل المستخلصات'!$J$17="","",'[40]سجل المستخلصات'!$J$17)</f>
        <v/>
      </c>
      <c r="J36" s="59">
        <f>IF('[40]سجل المستخلصات'!$K$17="","",'[40]سجل المستخلصات'!$K$17)</f>
        <v/>
      </c>
      <c r="K36" s="60">
        <f>IF('[40]سجل المستخلصات'!$L$17="","",'[40]سجل المستخلصات'!$L$17)</f>
        <v/>
      </c>
      <c r="L36" s="60">
        <f>IF('[40]سجل المستخلصات'!$M$17="","",'[40]سجل المستخلصات'!$M$17)</f>
        <v/>
      </c>
      <c r="M36" s="60">
        <f>IF('[40]سجل المستخلصات'!$N$17="","",'[40]سجل المستخلصات'!$N$17)</f>
        <v/>
      </c>
      <c r="N36" s="59">
        <f>IF('[40]سجل المستخلصات'!$O$17="","",'[40]سجل المستخلصات'!$O$17)</f>
        <v/>
      </c>
      <c r="O36" s="59">
        <f>IF('[40]سجل المستخلصات'!$R$17="","",'[40]سجل المستخلصات'!$R$17)</f>
        <v/>
      </c>
      <c r="P36" s="59">
        <f>IF('[40]سجل المستخلصات'!$S$17="","",'[40]سجل المستخلصات'!$S$17)</f>
        <v/>
      </c>
      <c r="Q36" s="59">
        <f>IF('[40]سجل المستخلصات'!$T$17="","",'[40]سجل المستخلصات'!$T$17)</f>
        <v/>
      </c>
      <c r="R36" s="59">
        <f>IF('[40]سجل المستخلصات'!$V$17="","",'[40]سجل المستخلصات'!$V$17)</f>
        <v/>
      </c>
      <c r="S36" s="59">
        <f>IF('[40]سجل المستخلصات'!$W$17="","",'[40]سجل المستخلصات'!$W$17)</f>
        <v/>
      </c>
      <c r="T36" s="61">
        <f>IF('[40]سجل المستخلصات'!$X$17="","",'[40]سجل المستخلصات'!$X$17)</f>
        <v/>
      </c>
      <c r="U36" s="61">
        <f>IF('[40]سجل المستخلصات'!$Z$17="","",'[40]سجل المستخلصات'!$Z$17)</f>
        <v/>
      </c>
      <c r="V36" s="59">
        <f>IF('[40]سجل المستخلصات'!$AA$17="","",'[40]سجل المستخلصات'!$AA$17)</f>
        <v/>
      </c>
      <c r="W36" s="59">
        <f>IF('[40]سجل المستخلصات'!$AC$17="","",'[40]سجل المستخلصات'!$AC$17)</f>
        <v/>
      </c>
      <c r="X36" s="62">
        <f>IF('[40]سجل المستخلصات'!$AD$17="","",'[40]سجل المستخلصات'!$AD$17)</f>
        <v/>
      </c>
      <c r="Y36" s="58">
        <f>IF('[40]سجل المستخلصات'!$AE$17="","",'[40]سجل المستخلصات'!$AE$17)</f>
        <v/>
      </c>
    </row>
    <row r="37">
      <c r="B37" s="56" t="n">
        <v>13</v>
      </c>
      <c r="C37" s="57">
        <f>IF('[40]سجل المستخلصات'!$C$18="","",'[40]سجل المستخلصات'!$C$18)</f>
        <v/>
      </c>
      <c r="D37" s="57">
        <f>IF('[40]سجل المستخلصات'!$E$18="","",'[40]سجل المستخلصات'!$E$18)</f>
        <v/>
      </c>
      <c r="E37" s="58">
        <f>IF('[40]سجل المستخلصات'!$F$18="","",'[40]سجل المستخلصات'!$F$18)</f>
        <v/>
      </c>
      <c r="F37" s="59">
        <f>IF('[40]سجل المستخلصات'!$H$18="","",'[40]سجل المستخلصات'!$H$18)</f>
        <v/>
      </c>
      <c r="G37" s="59">
        <f>IF('[40]سجل المستخلصات'!$G$18="","",'[40]سجل المستخلصات'!$G$18)</f>
        <v/>
      </c>
      <c r="H37" s="59">
        <f>IF('[40]سجل المستخلصات'!$I$18="","",'[40]سجل المستخلصات'!$I$18)</f>
        <v/>
      </c>
      <c r="I37" s="59">
        <f>IF('[40]سجل المستخلصات'!$J$18="","",'[40]سجل المستخلصات'!$J$18)</f>
        <v/>
      </c>
      <c r="J37" s="59">
        <f>IF('[40]سجل المستخلصات'!$K$18="","",'[40]سجل المستخلصات'!$K$18)</f>
        <v/>
      </c>
      <c r="K37" s="60">
        <f>IF('[40]سجل المستخلصات'!$L$18="","",'[40]سجل المستخلصات'!$L$18)</f>
        <v/>
      </c>
      <c r="L37" s="60">
        <f>IF('[40]سجل المستخلصات'!$M$18="","",'[40]سجل المستخلصات'!$M$18)</f>
        <v/>
      </c>
      <c r="M37" s="60">
        <f>IF('[40]سجل المستخلصات'!$N$18="","",'[40]سجل المستخلصات'!$N$18)</f>
        <v/>
      </c>
      <c r="N37" s="59">
        <f>IF('[40]سجل المستخلصات'!$O$18="","",'[40]سجل المستخلصات'!$O$18)</f>
        <v/>
      </c>
      <c r="O37" s="59">
        <f>IF('[40]سجل المستخلصات'!$R$18="","",'[40]سجل المستخلصات'!$R$18)</f>
        <v/>
      </c>
      <c r="P37" s="59">
        <f>IF('[40]سجل المستخلصات'!$S$18="","",'[40]سجل المستخلصات'!$S$18)</f>
        <v/>
      </c>
      <c r="Q37" s="59">
        <f>IF('[40]سجل المستخلصات'!$T$18="","",'[40]سجل المستخلصات'!$T$18)</f>
        <v/>
      </c>
      <c r="R37" s="59">
        <f>IF('[40]سجل المستخلصات'!$V$18="","",'[40]سجل المستخلصات'!$V$18)</f>
        <v/>
      </c>
      <c r="S37" s="59">
        <f>IF('[40]سجل المستخلصات'!$W$18="","",'[40]سجل المستخلصات'!$W$18)</f>
        <v/>
      </c>
      <c r="T37" s="61">
        <f>IF('[40]سجل المستخلصات'!$X$18="","",'[40]سجل المستخلصات'!$X$18)</f>
        <v/>
      </c>
      <c r="U37" s="61">
        <f>IF('[40]سجل المستخلصات'!$Z$18="","",'[40]سجل المستخلصات'!$Z$18)</f>
        <v/>
      </c>
      <c r="V37" s="59">
        <f>IF('[40]سجل المستخلصات'!$AA$18="","",'[40]سجل المستخلصات'!$AA$18)</f>
        <v/>
      </c>
      <c r="W37" s="59">
        <f>IF('[40]سجل المستخلصات'!$AC$18="","",'[40]سجل المستخلصات'!$AC$18)</f>
        <v/>
      </c>
      <c r="X37" s="62">
        <f>IF('[40]سجل المستخلصات'!$AD$18="","",'[40]سجل المستخلصات'!$AD$18)</f>
        <v/>
      </c>
      <c r="Y37" s="58">
        <f>IF('[40]سجل المستخلصات'!$AE$18="","",'[40]سجل المستخلصات'!$AE$18)</f>
        <v/>
      </c>
    </row>
    <row r="38">
      <c r="B38" s="56" t="n">
        <v>14</v>
      </c>
      <c r="C38" s="57">
        <f>IF('[40]سجل المستخلصات'!$C$19="","",'[40]سجل المستخلصات'!$C$19)</f>
        <v/>
      </c>
      <c r="D38" s="57">
        <f>IF('[40]سجل المستخلصات'!$E$19="","",'[40]سجل المستخلصات'!$E$19)</f>
        <v/>
      </c>
      <c r="E38" s="58">
        <f>IF('[40]سجل المستخلصات'!$F$19="","",'[40]سجل المستخلصات'!$F$19)</f>
        <v/>
      </c>
      <c r="F38" s="59">
        <f>IF('[40]سجل المستخلصات'!$H$19="","",'[40]سجل المستخلصات'!$H$19)</f>
        <v/>
      </c>
      <c r="G38" s="59">
        <f>IF('[40]سجل المستخلصات'!$G$19="","",'[40]سجل المستخلصات'!$G$19)</f>
        <v/>
      </c>
      <c r="H38" s="59">
        <f>IF('[40]سجل المستخلصات'!$I$19="","",'[40]سجل المستخلصات'!$I$19)</f>
        <v/>
      </c>
      <c r="I38" s="59">
        <f>IF('[40]سجل المستخلصات'!$J$19="","",'[40]سجل المستخلصات'!$J$19)</f>
        <v/>
      </c>
      <c r="J38" s="59">
        <f>IF('[40]سجل المستخلصات'!$K$19="","",'[40]سجل المستخلصات'!$K$19)</f>
        <v/>
      </c>
      <c r="K38" s="60">
        <f>IF('[40]سجل المستخلصات'!$L$19="","",'[40]سجل المستخلصات'!$L$19)</f>
        <v/>
      </c>
      <c r="L38" s="60">
        <f>IF('[40]سجل المستخلصات'!$M$19="","",'[40]سجل المستخلصات'!$M$19)</f>
        <v/>
      </c>
      <c r="M38" s="60">
        <f>IF('[40]سجل المستخلصات'!$N$19="","",'[40]سجل المستخلصات'!$N$19)</f>
        <v/>
      </c>
      <c r="N38" s="59">
        <f>IF('[40]سجل المستخلصات'!$O$19="","",'[40]سجل المستخلصات'!$O$19)</f>
        <v/>
      </c>
      <c r="O38" s="59">
        <f>IF('[40]سجل المستخلصات'!$R$19="","",'[40]سجل المستخلصات'!$R$19)</f>
        <v/>
      </c>
      <c r="P38" s="59">
        <f>IF('[40]سجل المستخلصات'!$S$19="","",'[40]سجل المستخلصات'!$S$19)</f>
        <v/>
      </c>
      <c r="Q38" s="59">
        <f>IF('[40]سجل المستخلصات'!$T$19="","",'[40]سجل المستخلصات'!$T$19)</f>
        <v/>
      </c>
      <c r="R38" s="59">
        <f>IF('[40]سجل المستخلصات'!$V$19="","",'[40]سجل المستخلصات'!$V$19)</f>
        <v/>
      </c>
      <c r="S38" s="59">
        <f>IF('[40]سجل المستخلصات'!$W$19="","",'[40]سجل المستخلصات'!$W$19)</f>
        <v/>
      </c>
      <c r="T38" s="61">
        <f>IF('[40]سجل المستخلصات'!$X$19="","",'[40]سجل المستخلصات'!$X$19)</f>
        <v/>
      </c>
      <c r="U38" s="61">
        <f>IF('[40]سجل المستخلصات'!$Z$19="","",'[40]سجل المستخلصات'!$Z$19)</f>
        <v/>
      </c>
      <c r="V38" s="59">
        <f>IF('[40]سجل المستخلصات'!$AA$19="","",'[40]سجل المستخلصات'!$AA$19)</f>
        <v/>
      </c>
      <c r="W38" s="59">
        <f>IF('[40]سجل المستخلصات'!$AC$19="","",'[40]سجل المستخلصات'!$AC$19)</f>
        <v/>
      </c>
      <c r="X38" s="62">
        <f>IF('[40]سجل المستخلصات'!$AD$19="","",'[40]سجل المستخلصات'!$AD$19)</f>
        <v/>
      </c>
      <c r="Y38" s="58">
        <f>IF('[40]سجل المستخلصات'!$AE$19="","",'[40]سجل المستخلصات'!$AE$19)</f>
        <v/>
      </c>
    </row>
    <row r="39">
      <c r="B39" s="56" t="n">
        <v>15</v>
      </c>
      <c r="C39" s="57">
        <f>IF('[40]سجل المستخلصات'!$C$20="","",'[40]سجل المستخلصات'!$C$20)</f>
        <v/>
      </c>
      <c r="D39" s="57">
        <f>IF('[40]سجل المستخلصات'!$E$20="","",'[40]سجل المستخلصات'!$E$20)</f>
        <v/>
      </c>
      <c r="E39" s="58">
        <f>IF('[40]سجل المستخلصات'!$F$20="","",'[40]سجل المستخلصات'!$F$20)</f>
        <v/>
      </c>
      <c r="F39" s="59">
        <f>IF('[40]سجل المستخلصات'!$H$20="","",'[40]سجل المستخلصات'!$H$20)</f>
        <v/>
      </c>
      <c r="G39" s="59">
        <f>IF('[40]سجل المستخلصات'!$G$20="","",'[40]سجل المستخلصات'!$G$20)</f>
        <v/>
      </c>
      <c r="H39" s="59">
        <f>IF('[40]سجل المستخلصات'!$I$20="","",'[40]سجل المستخلصات'!$I$20)</f>
        <v/>
      </c>
      <c r="I39" s="59">
        <f>IF('[40]سجل المستخلصات'!$J$20="","",'[40]سجل المستخلصات'!$J$20)</f>
        <v/>
      </c>
      <c r="J39" s="59">
        <f>IF('[40]سجل المستخلصات'!$K$20="","",'[40]سجل المستخلصات'!$K$20)</f>
        <v/>
      </c>
      <c r="K39" s="60">
        <f>IF('[40]سجل المستخلصات'!$L$20="","",'[40]سجل المستخلصات'!$L$20)</f>
        <v/>
      </c>
      <c r="L39" s="60">
        <f>IF('[40]سجل المستخلصات'!$M$20="","",'[40]سجل المستخلصات'!$M$20)</f>
        <v/>
      </c>
      <c r="M39" s="60">
        <f>IF('[40]سجل المستخلصات'!$N$20="","",'[40]سجل المستخلصات'!$N$20)</f>
        <v/>
      </c>
      <c r="N39" s="59">
        <f>IF('[40]سجل المستخلصات'!$O$20="","",'[40]سجل المستخلصات'!$O$20)</f>
        <v/>
      </c>
      <c r="O39" s="59">
        <f>IF('[40]سجل المستخلصات'!$R$20="","",'[40]سجل المستخلصات'!$R$20)</f>
        <v/>
      </c>
      <c r="P39" s="59">
        <f>IF('[40]سجل المستخلصات'!$S$20="","",'[40]سجل المستخلصات'!$S$20)</f>
        <v/>
      </c>
      <c r="Q39" s="59">
        <f>IF('[40]سجل المستخلصات'!$T$20="","",'[40]سجل المستخلصات'!$T$20)</f>
        <v/>
      </c>
      <c r="R39" s="59">
        <f>IF('[40]سجل المستخلصات'!$V$20="","",'[40]سجل المستخلصات'!$V$20)</f>
        <v/>
      </c>
      <c r="S39" s="59">
        <f>IF('[40]سجل المستخلصات'!$W$20="","",'[40]سجل المستخلصات'!$W$20)</f>
        <v/>
      </c>
      <c r="T39" s="61">
        <f>IF('[40]سجل المستخلصات'!$X$20="","",'[40]سجل المستخلصات'!$X$20)</f>
        <v/>
      </c>
      <c r="U39" s="61">
        <f>IF('[40]سجل المستخلصات'!$Z$20="","",'[40]سجل المستخلصات'!$Z$20)</f>
        <v/>
      </c>
      <c r="V39" s="59">
        <f>IF('[40]سجل المستخلصات'!$AA$20="","",'[40]سجل المستخلصات'!$AA$20)</f>
        <v/>
      </c>
      <c r="W39" s="59">
        <f>IF('[40]سجل المستخلصات'!$AC$20="","",'[40]سجل المستخلصات'!$AC$20)</f>
        <v/>
      </c>
      <c r="X39" s="62">
        <f>IF('[40]سجل المستخلصات'!$AD$20="","",'[40]سجل المستخلصات'!$AD$20)</f>
        <v/>
      </c>
      <c r="Y39" s="58">
        <f>IF('[40]سجل المستخلصات'!$AE$20="","",'[40]سجل المستخلصات'!$AE$20)</f>
        <v/>
      </c>
    </row>
    <row r="40">
      <c r="B40" s="56" t="n">
        <v>16</v>
      </c>
      <c r="C40" s="57">
        <f>IF('[40]سجل المستخلصات'!$C$21="","",'[40]سجل المستخلصات'!$C$21)</f>
        <v/>
      </c>
      <c r="D40" s="57">
        <f>IF('[40]سجل المستخلصات'!$E$21="","",'[40]سجل المستخلصات'!$E$21)</f>
        <v/>
      </c>
      <c r="E40" s="58">
        <f>IF('[40]سجل المستخلصات'!$F$21="","",'[40]سجل المستخلصات'!$F$21)</f>
        <v/>
      </c>
      <c r="F40" s="59">
        <f>IF('[40]سجل المستخلصات'!$H$21="","",'[40]سجل المستخلصات'!$H$21)</f>
        <v/>
      </c>
      <c r="G40" s="59">
        <f>IF('[40]سجل المستخلصات'!$G$21="","",'[40]سجل المستخلصات'!$G$21)</f>
        <v/>
      </c>
      <c r="H40" s="59">
        <f>IF('[40]سجل المستخلصات'!$I$21="","",'[40]سجل المستخلصات'!$I$21)</f>
        <v/>
      </c>
      <c r="I40" s="59">
        <f>IF('[40]سجل المستخلصات'!$J$21="","",'[40]سجل المستخلصات'!$J$21)</f>
        <v/>
      </c>
      <c r="J40" s="59">
        <f>IF('[40]سجل المستخلصات'!$K$21="","",'[40]سجل المستخلصات'!$K$21)</f>
        <v/>
      </c>
      <c r="K40" s="60">
        <f>IF('[40]سجل المستخلصات'!$L$21="","",'[40]سجل المستخلصات'!$L$21)</f>
        <v/>
      </c>
      <c r="L40" s="60">
        <f>IF('[40]سجل المستخلصات'!$M$21="","",'[40]سجل المستخلصات'!$M$21)</f>
        <v/>
      </c>
      <c r="M40" s="60">
        <f>IF('[40]سجل المستخلصات'!$N$21="","",'[40]سجل المستخلصات'!$N$21)</f>
        <v/>
      </c>
      <c r="N40" s="59">
        <f>IF('[40]سجل المستخلصات'!$O$21="","",'[40]سجل المستخلصات'!$O$21)</f>
        <v/>
      </c>
      <c r="O40" s="59">
        <f>IF('[40]سجل المستخلصات'!$R$21="","",'[40]سجل المستخلصات'!$R$21)</f>
        <v/>
      </c>
      <c r="P40" s="59">
        <f>IF('[40]سجل المستخلصات'!$S$21="","",'[40]سجل المستخلصات'!$S$21)</f>
        <v/>
      </c>
      <c r="Q40" s="59">
        <f>IF('[40]سجل المستخلصات'!$T$21="","",'[40]سجل المستخلصات'!$T$21)</f>
        <v/>
      </c>
      <c r="R40" s="59">
        <f>IF('[40]سجل المستخلصات'!$V$21="","",'[40]سجل المستخلصات'!$V$21)</f>
        <v/>
      </c>
      <c r="S40" s="59">
        <f>IF('[40]سجل المستخلصات'!$W$21="","",'[40]سجل المستخلصات'!$W$21)</f>
        <v/>
      </c>
      <c r="T40" s="61">
        <f>IF('[40]سجل المستخلصات'!$X$21="","",'[40]سجل المستخلصات'!$X$21)</f>
        <v/>
      </c>
      <c r="U40" s="61">
        <f>IF('[40]سجل المستخلصات'!$Z$21="","",'[40]سجل المستخلصات'!$Z$21)</f>
        <v/>
      </c>
      <c r="V40" s="59">
        <f>IF('[40]سجل المستخلصات'!$AA$21="","",'[40]سجل المستخلصات'!$AA$21)</f>
        <v/>
      </c>
      <c r="W40" s="59">
        <f>IF('[40]سجل المستخلصات'!$AC$21="","",'[40]سجل المستخلصات'!$AC$21)</f>
        <v/>
      </c>
      <c r="X40" s="62">
        <f>IF('[40]سجل المستخلصات'!$AD$21="","",'[40]سجل المستخلصات'!$AD$21)</f>
        <v/>
      </c>
      <c r="Y40" s="58">
        <f>IF('[40]سجل المستخلصات'!$AE$21="","",'[40]سجل المستخلصات'!$AE$21)</f>
        <v/>
      </c>
    </row>
    <row r="41">
      <c r="B41" s="56" t="n">
        <v>17</v>
      </c>
      <c r="C41" s="57">
        <f>IF('[40]سجل المستخلصات'!$C$22="","",'[40]سجل المستخلصات'!$C$22)</f>
        <v/>
      </c>
      <c r="D41" s="57">
        <f>IF('[40]سجل المستخلصات'!$E$22="","",'[40]سجل المستخلصات'!$E$22)</f>
        <v/>
      </c>
      <c r="E41" s="58">
        <f>IF('[40]سجل المستخلصات'!$F$22="","",'[40]سجل المستخلصات'!$F$22)</f>
        <v/>
      </c>
      <c r="F41" s="59">
        <f>IF('[40]سجل المستخلصات'!$H$22="","",'[40]سجل المستخلصات'!$H$22)</f>
        <v/>
      </c>
      <c r="G41" s="59">
        <f>IF('[40]سجل المستخلصات'!$G$22="","",'[40]سجل المستخلصات'!$G$22)</f>
        <v/>
      </c>
      <c r="H41" s="59">
        <f>IF('[40]سجل المستخلصات'!$I$22="","",'[40]سجل المستخلصات'!$I$22)</f>
        <v/>
      </c>
      <c r="I41" s="59">
        <f>IF('[40]سجل المستخلصات'!$J$22="","",'[40]سجل المستخلصات'!$J$22)</f>
        <v/>
      </c>
      <c r="J41" s="59">
        <f>IF('[40]سجل المستخلصات'!$K$22="","",'[40]سجل المستخلصات'!$K$22)</f>
        <v/>
      </c>
      <c r="K41" s="60">
        <f>IF('[40]سجل المستخلصات'!$L$22="","",'[40]سجل المستخلصات'!$L$22)</f>
        <v/>
      </c>
      <c r="L41" s="60">
        <f>IF('[40]سجل المستخلصات'!$M$22="","",'[40]سجل المستخلصات'!$M$22)</f>
        <v/>
      </c>
      <c r="M41" s="60">
        <f>IF('[40]سجل المستخلصات'!$N$22="","",'[40]سجل المستخلصات'!$N$22)</f>
        <v/>
      </c>
      <c r="N41" s="59">
        <f>IF('[40]سجل المستخلصات'!$O$22="","",'[40]سجل المستخلصات'!$O$22)</f>
        <v/>
      </c>
      <c r="O41" s="59">
        <f>IF('[40]سجل المستخلصات'!$R$22="","",'[40]سجل المستخلصات'!$R$22)</f>
        <v/>
      </c>
      <c r="P41" s="59">
        <f>IF('[40]سجل المستخلصات'!$S$22="","",'[40]سجل المستخلصات'!$S$22)</f>
        <v/>
      </c>
      <c r="Q41" s="59">
        <f>IF('[40]سجل المستخلصات'!$T$22="","",'[40]سجل المستخلصات'!$T$22)</f>
        <v/>
      </c>
      <c r="R41" s="59">
        <f>IF('[40]سجل المستخلصات'!$V$22="","",'[40]سجل المستخلصات'!$V$22)</f>
        <v/>
      </c>
      <c r="S41" s="59">
        <f>IF('[40]سجل المستخلصات'!$W$22="","",'[40]سجل المستخلصات'!$W$22)</f>
        <v/>
      </c>
      <c r="T41" s="61">
        <f>IF('[40]سجل المستخلصات'!$X$22="","",'[40]سجل المستخلصات'!$X$22)</f>
        <v/>
      </c>
      <c r="U41" s="61">
        <f>IF('[40]سجل المستخلصات'!$Z$22="","",'[40]سجل المستخلصات'!$Z$22)</f>
        <v/>
      </c>
      <c r="V41" s="59">
        <f>IF('[40]سجل المستخلصات'!$AA$22="","",'[40]سجل المستخلصات'!$AA$22)</f>
        <v/>
      </c>
      <c r="W41" s="59">
        <f>IF('[40]سجل المستخلصات'!$AC$22="","",'[40]سجل المستخلصات'!$AC$22)</f>
        <v/>
      </c>
      <c r="X41" s="62">
        <f>IF('[40]سجل المستخلصات'!$AD$22="","",'[40]سجل المستخلصات'!$AD$22)</f>
        <v/>
      </c>
      <c r="Y41" s="58">
        <f>IF('[40]سجل المستخلصات'!$AE$22="","",'[40]سجل المستخلصات'!$AE$22)</f>
        <v/>
      </c>
    </row>
    <row r="42">
      <c r="B42" s="56" t="n">
        <v>18</v>
      </c>
      <c r="C42" s="57">
        <f>IF('[40]سجل المستخلصات'!$C$23="","",'[40]سجل المستخلصات'!$C$23)</f>
        <v/>
      </c>
      <c r="D42" s="57">
        <f>IF('[40]سجل المستخلصات'!$E$23="","",'[40]سجل المستخلصات'!$E$23)</f>
        <v/>
      </c>
      <c r="E42" s="58">
        <f>IF('[40]سجل المستخلصات'!$F$23="","",'[40]سجل المستخلصات'!$F$23)</f>
        <v/>
      </c>
      <c r="F42" s="59">
        <f>IF('[40]سجل المستخلصات'!$H$23="","",'[40]سجل المستخلصات'!$H$23)</f>
        <v/>
      </c>
      <c r="G42" s="59">
        <f>IF('[40]سجل المستخلصات'!$G$23="","",'[40]سجل المستخلصات'!$G$23)</f>
        <v/>
      </c>
      <c r="H42" s="59">
        <f>IF('[40]سجل المستخلصات'!$I$23="","",'[40]سجل المستخلصات'!$I$23)</f>
        <v/>
      </c>
      <c r="I42" s="59">
        <f>IF('[40]سجل المستخلصات'!$J$23="","",'[40]سجل المستخلصات'!$J$23)</f>
        <v/>
      </c>
      <c r="J42" s="59">
        <f>IF('[40]سجل المستخلصات'!$K$23="","",'[40]سجل المستخلصات'!$K$23)</f>
        <v/>
      </c>
      <c r="K42" s="60">
        <f>IF('[40]سجل المستخلصات'!$L$23="","",'[40]سجل المستخلصات'!$L$23)</f>
        <v/>
      </c>
      <c r="L42" s="60">
        <f>IF('[40]سجل المستخلصات'!$M$23="","",'[40]سجل المستخلصات'!$M$23)</f>
        <v/>
      </c>
      <c r="M42" s="60">
        <f>IF('[40]سجل المستخلصات'!$N$23="","",'[40]سجل المستخلصات'!$N$23)</f>
        <v/>
      </c>
      <c r="N42" s="59">
        <f>IF('[40]سجل المستخلصات'!$O$23="","",'[40]سجل المستخلصات'!$O$23)</f>
        <v/>
      </c>
      <c r="O42" s="59">
        <f>IF('[40]سجل المستخلصات'!$R$23="","",'[40]سجل المستخلصات'!$R$23)</f>
        <v/>
      </c>
      <c r="P42" s="59">
        <f>IF('[40]سجل المستخلصات'!$S$23="","",'[40]سجل المستخلصات'!$S$23)</f>
        <v/>
      </c>
      <c r="Q42" s="59">
        <f>IF('[40]سجل المستخلصات'!$T$23="","",'[40]سجل المستخلصات'!$T$23)</f>
        <v/>
      </c>
      <c r="R42" s="59">
        <f>IF('[40]سجل المستخلصات'!$V$23="","",'[40]سجل المستخلصات'!$V$23)</f>
        <v/>
      </c>
      <c r="S42" s="59">
        <f>IF('[40]سجل المستخلصات'!$W$23="","",'[40]سجل المستخلصات'!$W$23)</f>
        <v/>
      </c>
      <c r="T42" s="61">
        <f>IF('[40]سجل المستخلصات'!$X$23="","",'[40]سجل المستخلصات'!$X$23)</f>
        <v/>
      </c>
      <c r="U42" s="61">
        <f>IF('[40]سجل المستخلصات'!$Z$23="","",'[40]سجل المستخلصات'!$Z$23)</f>
        <v/>
      </c>
      <c r="V42" s="59">
        <f>IF('[40]سجل المستخلصات'!$AA$23="","",'[40]سجل المستخلصات'!$AA$23)</f>
        <v/>
      </c>
      <c r="W42" s="59">
        <f>IF('[40]سجل المستخلصات'!$AC$23="","",'[40]سجل المستخلصات'!$AC$23)</f>
        <v/>
      </c>
      <c r="X42" s="62">
        <f>IF('[40]سجل المستخلصات'!$AD$23="","",'[40]سجل المستخلصات'!$AD$23)</f>
        <v/>
      </c>
      <c r="Y42" s="58">
        <f>IF('[40]سجل المستخلصات'!$AE$23="","",'[40]سجل المستخلصات'!$AE$23)</f>
        <v/>
      </c>
    </row>
    <row r="43">
      <c r="B43" s="56" t="n">
        <v>19</v>
      </c>
      <c r="C43" s="57">
        <f>IF('[40]سجل المستخلصات'!$C$24="","",'[40]سجل المستخلصات'!$C$24)</f>
        <v/>
      </c>
      <c r="D43" s="57">
        <f>IF('[40]سجل المستخلصات'!$E$24="","",'[40]سجل المستخلصات'!$E$24)</f>
        <v/>
      </c>
      <c r="E43" s="58">
        <f>IF('[40]سجل المستخلصات'!$F$24="","",'[40]سجل المستخلصات'!$F$24)</f>
        <v/>
      </c>
      <c r="F43" s="59">
        <f>IF('[40]سجل المستخلصات'!$H$24="","",'[40]سجل المستخلصات'!$H$24)</f>
        <v/>
      </c>
      <c r="G43" s="59">
        <f>IF('[40]سجل المستخلصات'!$G$24="","",'[40]سجل المستخلصات'!$G$24)</f>
        <v/>
      </c>
      <c r="H43" s="59">
        <f>IF('[40]سجل المستخلصات'!$I$24="","",'[40]سجل المستخلصات'!$I$24)</f>
        <v/>
      </c>
      <c r="I43" s="59">
        <f>IF('[40]سجل المستخلصات'!$J$24="","",'[40]سجل المستخلصات'!$J$24)</f>
        <v/>
      </c>
      <c r="J43" s="59">
        <f>IF('[40]سجل المستخلصات'!$K$24="","",'[40]سجل المستخلصات'!$K$24)</f>
        <v/>
      </c>
      <c r="K43" s="60">
        <f>IF('[40]سجل المستخلصات'!$L$24="","",'[40]سجل المستخلصات'!$L$24)</f>
        <v/>
      </c>
      <c r="L43" s="60">
        <f>IF('[40]سجل المستخلصات'!$M$24="","",'[40]سجل المستخلصات'!$M$24)</f>
        <v/>
      </c>
      <c r="M43" s="60">
        <f>IF('[40]سجل المستخلصات'!$N$24="","",'[40]سجل المستخلصات'!$N$24)</f>
        <v/>
      </c>
      <c r="N43" s="59">
        <f>IF('[40]سجل المستخلصات'!$O$24="","",'[40]سجل المستخلصات'!$O$24)</f>
        <v/>
      </c>
      <c r="O43" s="59">
        <f>IF('[40]سجل المستخلصات'!$R$24="","",'[40]سجل المستخلصات'!$R$24)</f>
        <v/>
      </c>
      <c r="P43" s="59">
        <f>IF('[40]سجل المستخلصات'!$S$24="","",'[40]سجل المستخلصات'!$S$24)</f>
        <v/>
      </c>
      <c r="Q43" s="59">
        <f>IF('[40]سجل المستخلصات'!$T$24="","",'[40]سجل المستخلصات'!$T$24)</f>
        <v/>
      </c>
      <c r="R43" s="59">
        <f>IF('[40]سجل المستخلصات'!$V$24="","",'[40]سجل المستخلصات'!$V$24)</f>
        <v/>
      </c>
      <c r="S43" s="59">
        <f>IF('[40]سجل المستخلصات'!$W$24="","",'[40]سجل المستخلصات'!$W$24)</f>
        <v/>
      </c>
      <c r="T43" s="61">
        <f>IF('[40]سجل المستخلصات'!$X$24="","",'[40]سجل المستخلصات'!$X$24)</f>
        <v/>
      </c>
      <c r="U43" s="61">
        <f>IF('[40]سجل المستخلصات'!$Z$24="","",'[40]سجل المستخلصات'!$Z$24)</f>
        <v/>
      </c>
      <c r="V43" s="59">
        <f>IF('[40]سجل المستخلصات'!$AA$24="","",'[40]سجل المستخلصات'!$AA$24)</f>
        <v/>
      </c>
      <c r="W43" s="59">
        <f>IF('[40]سجل المستخلصات'!$AC$24="","",'[40]سجل المستخلصات'!$AC$24)</f>
        <v/>
      </c>
      <c r="X43" s="62">
        <f>IF('[40]سجل المستخلصات'!$AD$24="","",'[40]سجل المستخلصات'!$AD$24)</f>
        <v/>
      </c>
      <c r="Y43" s="58">
        <f>IF('[40]سجل المستخلصات'!$AE$24="","",'[40]سجل المستخلصات'!$AE$24)</f>
        <v/>
      </c>
    </row>
    <row r="44">
      <c r="B44" s="56" t="n">
        <v>20</v>
      </c>
      <c r="C44" s="57">
        <f>IF('[40]سجل المستخلصات'!$C$25="","",'[40]سجل المستخلصات'!$C$25)</f>
        <v/>
      </c>
      <c r="D44" s="57">
        <f>IF('[40]سجل المستخلصات'!$E$25="","",'[40]سجل المستخلصات'!$E$25)</f>
        <v/>
      </c>
      <c r="E44" s="58">
        <f>IF('[40]سجل المستخلصات'!$F$25="","",'[40]سجل المستخلصات'!$F$25)</f>
        <v/>
      </c>
      <c r="F44" s="59">
        <f>IF('[40]سجل المستخلصات'!$H$25="","",'[40]سجل المستخلصات'!$H$25)</f>
        <v/>
      </c>
      <c r="G44" s="59">
        <f>IF('[40]سجل المستخلصات'!$G$25="","",'[40]سجل المستخلصات'!$G$25)</f>
        <v/>
      </c>
      <c r="H44" s="59">
        <f>IF('[40]سجل المستخلصات'!$I$25="","",'[40]سجل المستخلصات'!$I$25)</f>
        <v/>
      </c>
      <c r="I44" s="59">
        <f>IF('[40]سجل المستخلصات'!$J$25="","",'[40]سجل المستخلصات'!$J$25)</f>
        <v/>
      </c>
      <c r="J44" s="59">
        <f>IF('[40]سجل المستخلصات'!$K$25="","",'[40]سجل المستخلصات'!$K$25)</f>
        <v/>
      </c>
      <c r="K44" s="60">
        <f>IF('[40]سجل المستخلصات'!$L$25="","",'[40]سجل المستخلصات'!$L$25)</f>
        <v/>
      </c>
      <c r="L44" s="60">
        <f>IF('[40]سجل المستخلصات'!$M$25="","",'[40]سجل المستخلصات'!$M$25)</f>
        <v/>
      </c>
      <c r="M44" s="60">
        <f>IF('[40]سجل المستخلصات'!$N$25="","",'[40]سجل المستخلصات'!$N$25)</f>
        <v/>
      </c>
      <c r="N44" s="59">
        <f>IF('[40]سجل المستخلصات'!$O$25="","",'[40]سجل المستخلصات'!$O$25)</f>
        <v/>
      </c>
      <c r="O44" s="59">
        <f>IF('[40]سجل المستخلصات'!$R$25="","",'[40]سجل المستخلصات'!$R$25)</f>
        <v/>
      </c>
      <c r="P44" s="59">
        <f>IF('[40]سجل المستخلصات'!$S$25="","",'[40]سجل المستخلصات'!$S$25)</f>
        <v/>
      </c>
      <c r="Q44" s="59">
        <f>IF('[40]سجل المستخلصات'!$T$25="","",'[40]سجل المستخلصات'!$T$25)</f>
        <v/>
      </c>
      <c r="R44" s="59">
        <f>IF('[40]سجل المستخلصات'!$V$25="","",'[40]سجل المستخلصات'!$V$25)</f>
        <v/>
      </c>
      <c r="S44" s="59">
        <f>IF('[40]سجل المستخلصات'!$W$25="","",'[40]سجل المستخلصات'!$W$25)</f>
        <v/>
      </c>
      <c r="T44" s="61">
        <f>IF('[40]سجل المستخلصات'!$X$25="","",'[40]سجل المستخلصات'!$X$25)</f>
        <v/>
      </c>
      <c r="U44" s="61">
        <f>IF('[40]سجل المستخلصات'!$Z$25="","",'[40]سجل المستخلصات'!$Z$25)</f>
        <v/>
      </c>
      <c r="V44" s="59">
        <f>IF('[40]سجل المستخلصات'!$AA$25="","",'[40]سجل المستخلصات'!$AA$25)</f>
        <v/>
      </c>
      <c r="W44" s="59">
        <f>IF('[40]سجل المستخلصات'!$AC$25="","",'[40]سجل المستخلصات'!$AC$25)</f>
        <v/>
      </c>
      <c r="X44" s="62">
        <f>IF('[40]سجل المستخلصات'!$AD$25="","",'[40]سجل المستخلصات'!$AD$25)</f>
        <v/>
      </c>
      <c r="Y44" s="58">
        <f>IF('[40]سجل المستخلصات'!$AE$25="","",'[40]سجل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IF('[40]سجل المستخلصات'!$B$32="","",'[40]سجل المستخلصات'!$B$32)</f>
        <v/>
      </c>
      <c r="C50" s="69" t="n"/>
      <c r="D50" s="69" t="n"/>
      <c r="E50" s="59">
        <f>N('[40]سجل المستخلصات'!$E$32)</f>
        <v/>
      </c>
      <c r="F50" s="59">
        <f>N('[40]سجل المستخلصات'!$F$32)</f>
        <v/>
      </c>
      <c r="G50" s="70">
        <f>IF(E50&gt;0,F50/E50,0)</f>
        <v/>
      </c>
    </row>
    <row r="51">
      <c r="B51" s="69">
        <f>IF('[40]سجل المستخلصات'!$B$33="","",'[40]سجل المستخلصات'!$B$33)</f>
        <v/>
      </c>
      <c r="C51" s="69" t="n"/>
      <c r="D51" s="69" t="n"/>
      <c r="E51" s="59">
        <f>N('[40]سجل المستخلصات'!$E$33)</f>
        <v/>
      </c>
      <c r="F51" s="59">
        <f>N('[40]سجل المستخلصات'!$F$33)</f>
        <v/>
      </c>
      <c r="G51" s="70">
        <f>IF(E51&gt;0,F51/E51,0)</f>
        <v/>
      </c>
    </row>
    <row r="52">
      <c r="B52" s="69">
        <f>IF('[40]سجل المستخلصات'!$B$34="","",'[40]سجل المستخلصات'!$B$34)</f>
        <v/>
      </c>
      <c r="C52" s="69" t="n"/>
      <c r="D52" s="69" t="n"/>
      <c r="E52" s="59">
        <f>N('[40]سجل المستخلصات'!$E$34)</f>
        <v/>
      </c>
      <c r="F52" s="59">
        <f>N('[40]سجل المستخلصات'!$F$34)</f>
        <v/>
      </c>
      <c r="G52" s="70">
        <f>IF(E52&gt;0,F52/E52,0)</f>
        <v/>
      </c>
    </row>
    <row r="53">
      <c r="B53" s="69">
        <f>IF('[40]سجل المستخلصات'!$B$35="","",'[40]سجل المستخلصات'!$B$35)</f>
        <v/>
      </c>
      <c r="C53" s="69" t="n"/>
      <c r="D53" s="69" t="n"/>
      <c r="E53" s="59">
        <f>N('[40]سجل المستخلصات'!$E$35)</f>
        <v/>
      </c>
      <c r="F53" s="59">
        <f>N('[40]سجل المستخلصات'!$F$35)</f>
        <v/>
      </c>
      <c r="G53" s="70">
        <f>IF(E53&gt;0,F53/E53,0)</f>
        <v/>
      </c>
    </row>
    <row r="54">
      <c r="B54" s="69">
        <f>IF('[40]سجل المستخلصات'!$B$36="","",'[40]سجل المستخلصات'!$B$36)</f>
        <v/>
      </c>
      <c r="C54" s="69" t="n"/>
      <c r="D54" s="69" t="n"/>
      <c r="E54" s="59">
        <f>N('[40]سجل المستخلصات'!$E$36)</f>
        <v/>
      </c>
      <c r="F54" s="59">
        <f>N('[40]سجل المستخلصات'!$F$36)</f>
        <v/>
      </c>
      <c r="G54" s="70">
        <f>IF(E54&gt;0,F54/E54,0)</f>
        <v/>
      </c>
    </row>
    <row r="55">
      <c r="B55" s="69">
        <f>IF('[40]سجل المستخلصات'!$B$37="","",'[40]سجل المستخلصات'!$B$37)</f>
        <v/>
      </c>
      <c r="C55" s="69" t="n"/>
      <c r="D55" s="69" t="n"/>
      <c r="E55" s="59">
        <f>N('[40]سجل المستخلصات'!$E$37)</f>
        <v/>
      </c>
      <c r="F55" s="59">
        <f>N('[40]سجل المستخلصات'!$F$37)</f>
        <v/>
      </c>
      <c r="G55" s="70">
        <f>IF(E55&gt;0,F55/E55,0)</f>
        <v/>
      </c>
    </row>
    <row r="56">
      <c r="B56" s="69">
        <f>IF('[40]سجل المستخلصات'!$B$38="","",'[40]سجل المستخلصات'!$B$38)</f>
        <v/>
      </c>
      <c r="C56" s="69" t="n"/>
      <c r="D56" s="69" t="n"/>
      <c r="E56" s="59">
        <f>N('[40]سجل المستخلصات'!$E$38)</f>
        <v/>
      </c>
      <c r="F56" s="59">
        <f>N('[40]سجل المستخلصات'!$F$38)</f>
        <v/>
      </c>
      <c r="G56" s="70">
        <f>IF(E56&gt;0,F56/E56,0)</f>
        <v/>
      </c>
    </row>
    <row r="57">
      <c r="B57" s="69">
        <f>IF('[40]سجل المستخلصات'!$B$39="","",'[40]سجل المستخلصات'!$B$39)</f>
        <v/>
      </c>
      <c r="C57" s="69" t="n"/>
      <c r="D57" s="69" t="n"/>
      <c r="E57" s="59">
        <f>N('[40]سجل المستخلصات'!$E$39)</f>
        <v/>
      </c>
      <c r="F57" s="59">
        <f>N('[40]سجل المستخلصات'!$F$39)</f>
        <v/>
      </c>
      <c r="G57" s="70">
        <f>IF(E57&gt;0,F57/E57,0)</f>
        <v/>
      </c>
    </row>
    <row r="58">
      <c r="B58" s="69">
        <f>IF('[40]سجل المستخلصات'!$B$40="","",'[40]سجل المستخلصات'!$B$40)</f>
        <v/>
      </c>
      <c r="C58" s="69" t="n"/>
      <c r="D58" s="69" t="n"/>
      <c r="E58" s="59">
        <f>N('[40]سجل المستخلصات'!$E$40)</f>
        <v/>
      </c>
      <c r="F58" s="59">
        <f>N('[40]سجل المستخلصات'!$F$40)</f>
        <v/>
      </c>
      <c r="G58" s="70">
        <f>IF(E58&gt;0,F58/E58,0)</f>
        <v/>
      </c>
    </row>
    <row r="59">
      <c r="B59" s="69">
        <f>IF('[40]سجل المستخلصات'!$B$41="","",'[40]سجل المستخلصات'!$B$41)</f>
        <v/>
      </c>
      <c r="C59" s="69" t="n"/>
      <c r="D59" s="69" t="n"/>
      <c r="E59" s="59">
        <f>N('[40]سجل المستخلصات'!$E$41)</f>
        <v/>
      </c>
      <c r="F59" s="59">
        <f>N('[40]سجل المستخلصات'!$F$41)</f>
        <v/>
      </c>
      <c r="G59" s="70">
        <f>IF(E59&gt;0,F59/E59,0)</f>
        <v/>
      </c>
    </row>
    <row r="60">
      <c r="B60" s="69">
        <f>IF('[40]سجل المستخلصات'!$B$42="","",'[40]سجل المستخلصات'!$B$42)</f>
        <v/>
      </c>
      <c r="C60" s="69" t="n"/>
      <c r="D60" s="69" t="n"/>
      <c r="E60" s="59">
        <f>N('[40]سجل المستخلصات'!$E$42)</f>
        <v/>
      </c>
      <c r="F60" s="59">
        <f>N('[40]سجل المستخلصات'!$F$42)</f>
        <v/>
      </c>
      <c r="G60" s="70">
        <f>IF(E60&gt;0,F60/E60,0)</f>
        <v/>
      </c>
    </row>
    <row r="61">
      <c r="B61" s="69">
        <f>IF('[40]سجل المستخلصات'!$B$43="","",'[40]سجل المستخلصات'!$B$43)</f>
        <v/>
      </c>
      <c r="C61" s="69" t="n"/>
      <c r="D61" s="69" t="n"/>
      <c r="E61" s="59">
        <f>N('[40]سجل المستخلصات'!$E$43)</f>
        <v/>
      </c>
      <c r="F61" s="59">
        <f>N('[40]سجل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39'!A1" display="◄ المشروع السابق"/>
    <hyperlink ref="D3" location="'مشروع 41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4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"&amp;IF('[41]بيانات العقد'!$C$5="","مشروع رقم 41 — غير مُفعّل",'[41]بيانات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Project_41/IPC_Project_41.xlsx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IF('[41]بيانات العقد'!$C$5="","",'[41]بيانات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IF('[41]بيانات العقد'!$C$6="","",'[41]بيانات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IF('[41]بيانات العقد'!$C$7="","",'[41]بيانات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IF('[41]بيانات العقد'!$C$8="","",'[41]بيانات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N('[41]بيانات العقد'!$C$16)</f>
        <v/>
      </c>
    </row>
    <row r="6" ht="22" customHeight="1">
      <c r="B6" s="11" t="inlineStr">
        <is>
          <t>المقاول</t>
        </is>
      </c>
      <c r="C6" s="14">
        <f>IF('[41]بيانات العقد'!$C$9="","",'[41]بيانات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IF('[41]بيانات العقد'!$C$11="","",'[41]بيانات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IF('[41]بيانات العقد'!$C$13="","",'[41]بيانات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IF('[41]بيانات العقد'!$C$14="","",'[41]بيانات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N('[41]بيانات العقد'!$C$17)</f>
        <v/>
      </c>
    </row>
    <row r="7">
      <c r="AA7" s="15" t="inlineStr">
        <is>
          <t>قيمة العقد المعدلة</t>
        </is>
      </c>
      <c r="AB7" s="16">
        <f>N('[41]بيانات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N('[41]بيانات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N('[41]بيانات العقد'!$C$21)</f>
        <v/>
      </c>
    </row>
    <row r="10">
      <c r="AA10" s="15" t="inlineStr">
        <is>
          <t>نسبة ضمان الأعمال</t>
        </is>
      </c>
      <c r="AB10" s="23">
        <f>N('[41]بيانات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N('[41]بيانات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N('[41]بيانات العقد'!$C$31)</f>
        <v/>
      </c>
    </row>
    <row r="13">
      <c r="AA13" s="15" t="inlineStr">
        <is>
          <t>ضريبة الاستقطاع (غير المقيم)</t>
        </is>
      </c>
      <c r="AB13" s="23">
        <f>N('[41]بيانات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IF('[41]بيانات العقد'!$C$11="","",'[41]بيانات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IF('[41]بيانات العقد'!$C$13="","",'[41]بيانات العقد'!$C$13)</f>
        <v/>
      </c>
    </row>
    <row r="16">
      <c r="AA16" s="15" t="inlineStr">
        <is>
          <t>المدة (شهر)</t>
        </is>
      </c>
      <c r="AB16" s="43">
        <f>IF('[41]بيانات العقد'!$C$12="","",'[41]بيانات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IF('[41]بيانات العقد'!$C$36="","",'[41]بيانات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IF('[41]بيانات العقد'!$C$37="","",'[41]بيانات العقد'!$C$37)</f>
        <v/>
      </c>
    </row>
    <row r="19">
      <c r="AA19" s="15" t="inlineStr">
        <is>
          <t>الرقم الضريبي لصاحب العمل</t>
        </is>
      </c>
      <c r="AB19" s="48">
        <f>IF('[41]بيانات العقد'!$C$39="","",'[41]بيانات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IF('[41]بيانات العقد'!$C$42="","",'[41]بيانات العقد'!$C$42)</f>
        <v/>
      </c>
    </row>
    <row r="21" ht="32" customHeight="1">
      <c r="B21" s="50">
        <f>N('[41]الموازنة والتكاليف'!$D$66)</f>
        <v/>
      </c>
      <c r="C21" s="50" t="n"/>
      <c r="D21" s="50" t="n"/>
      <c r="E21" s="50" t="n"/>
      <c r="F21" s="50">
        <f>N('[41]الموازنة والتكاليف'!$D$70)</f>
        <v/>
      </c>
      <c r="G21" s="50" t="n"/>
      <c r="H21" s="50" t="n"/>
      <c r="I21" s="50" t="n"/>
      <c r="J21" s="50">
        <f>N('[41]الموازنة والتكاليف'!$D$72)</f>
        <v/>
      </c>
      <c r="K21" s="50" t="n"/>
      <c r="L21" s="50" t="n"/>
      <c r="M21" s="50" t="n"/>
      <c r="N21" s="51">
        <f>N('[41]الموازنة والتكاليف'!$D$73)</f>
        <v/>
      </c>
      <c r="O21" s="51" t="n"/>
      <c r="P21" s="51" t="n"/>
      <c r="Q21" s="51" t="n"/>
      <c r="R21" s="52">
        <f>N('[41]الموازنة والتكاليف'!$D$74)</f>
        <v/>
      </c>
      <c r="S21" s="52" t="n"/>
      <c r="T21" s="52" t="n"/>
      <c r="U21" s="52" t="n"/>
      <c r="V21" s="50">
        <f>N('[41]الموازنة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IF('[41]بيانات العقد'!$C$43="","",'[41]بيانات العقد'!$C$43)</f>
        <v/>
      </c>
    </row>
    <row r="22">
      <c r="AA22" s="15" t="inlineStr">
        <is>
          <t>حالة غرامات التأخير</t>
        </is>
      </c>
      <c r="AB22" s="45">
        <f>IF('[41]بيانات العقد'!$C$47="","",'[41]بيانات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IF('[41]سجل المستخلصات'!$C$6="","",'[41]سجل المستخلصات'!$C$6)</f>
        <v/>
      </c>
      <c r="D25" s="57">
        <f>IF('[41]سجل المستخلصات'!$E$6="","",'[41]سجل المستخلصات'!$E$6)</f>
        <v/>
      </c>
      <c r="E25" s="58">
        <f>IF('[41]سجل المستخلصات'!$F$6="","",'[41]سجل المستخلصات'!$F$6)</f>
        <v/>
      </c>
      <c r="F25" s="59">
        <f>IF('[41]سجل المستخلصات'!$H$6="","",'[41]سجل المستخلصات'!$H$6)</f>
        <v/>
      </c>
      <c r="G25" s="59">
        <f>IF('[41]سجل المستخلصات'!$G$6="","",'[41]سجل المستخلصات'!$G$6)</f>
        <v/>
      </c>
      <c r="H25" s="59">
        <f>IF('[41]سجل المستخلصات'!$I$6="","",'[41]سجل المستخلصات'!$I$6)</f>
        <v/>
      </c>
      <c r="I25" s="59">
        <f>IF('[41]سجل المستخلصات'!$J$6="","",'[41]سجل المستخلصات'!$J$6)</f>
        <v/>
      </c>
      <c r="J25" s="59">
        <f>IF('[41]سجل المستخلصات'!$K$6="","",'[41]سجل المستخلصات'!$K$6)</f>
        <v/>
      </c>
      <c r="K25" s="60">
        <f>IF('[41]سجل المستخلصات'!$L$6="","",'[41]سجل المستخلصات'!$L$6)</f>
        <v/>
      </c>
      <c r="L25" s="60">
        <f>IF('[41]سجل المستخلصات'!$M$6="","",'[41]سجل المستخلصات'!$M$6)</f>
        <v/>
      </c>
      <c r="M25" s="60">
        <f>IF('[41]سجل المستخلصات'!$N$6="","",'[41]سجل المستخلصات'!$N$6)</f>
        <v/>
      </c>
      <c r="N25" s="59">
        <f>IF('[41]سجل المستخلصات'!$O$6="","",'[41]سجل المستخلصات'!$O$6)</f>
        <v/>
      </c>
      <c r="O25" s="59">
        <f>IF('[41]سجل المستخلصات'!$R$6="","",'[41]سجل المستخلصات'!$R$6)</f>
        <v/>
      </c>
      <c r="P25" s="59">
        <f>IF('[41]سجل المستخلصات'!$S$6="","",'[41]سجل المستخلصات'!$S$6)</f>
        <v/>
      </c>
      <c r="Q25" s="59">
        <f>IF('[41]سجل المستخلصات'!$T$6="","",'[41]سجل المستخلصات'!$T$6)</f>
        <v/>
      </c>
      <c r="R25" s="59">
        <f>IF('[41]سجل المستخلصات'!$V$6="","",'[41]سجل المستخلصات'!$V$6)</f>
        <v/>
      </c>
      <c r="S25" s="59">
        <f>IF('[41]سجل المستخلصات'!$W$6="","",'[41]سجل المستخلصات'!$W$6)</f>
        <v/>
      </c>
      <c r="T25" s="61">
        <f>IF('[41]سجل المستخلصات'!$X$6="","",'[41]سجل المستخلصات'!$X$6)</f>
        <v/>
      </c>
      <c r="U25" s="61">
        <f>IF('[41]سجل المستخلصات'!$Z$6="","",'[41]سجل المستخلصات'!$Z$6)</f>
        <v/>
      </c>
      <c r="V25" s="59">
        <f>IF('[41]سجل المستخلصات'!$AA$6="","",'[41]سجل المستخلصات'!$AA$6)</f>
        <v/>
      </c>
      <c r="W25" s="59">
        <f>IF('[41]سجل المستخلصات'!$AC$6="","",'[41]سجل المستخلصات'!$AC$6)</f>
        <v/>
      </c>
      <c r="X25" s="62">
        <f>IF('[41]سجل المستخلصات'!$AD$6="","",'[41]سجل المستخلصات'!$AD$6)</f>
        <v/>
      </c>
      <c r="Y25" s="58">
        <f>IF('[41]سجل المستخلصات'!$AE$6="","",'[41]سجل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IF('[41]سجل المستخلصات'!$C$7="","",'[41]سجل المستخلصات'!$C$7)</f>
        <v/>
      </c>
      <c r="D26" s="57">
        <f>IF('[41]سجل المستخلصات'!$E$7="","",'[41]سجل المستخلصات'!$E$7)</f>
        <v/>
      </c>
      <c r="E26" s="58">
        <f>IF('[41]سجل المستخلصات'!$F$7="","",'[41]سجل المستخلصات'!$F$7)</f>
        <v/>
      </c>
      <c r="F26" s="59">
        <f>IF('[41]سجل المستخلصات'!$H$7="","",'[41]سجل المستخلصات'!$H$7)</f>
        <v/>
      </c>
      <c r="G26" s="59">
        <f>IF('[41]سجل المستخلصات'!$G$7="","",'[41]سجل المستخلصات'!$G$7)</f>
        <v/>
      </c>
      <c r="H26" s="59">
        <f>IF('[41]سجل المستخلصات'!$I$7="","",'[41]سجل المستخلصات'!$I$7)</f>
        <v/>
      </c>
      <c r="I26" s="59">
        <f>IF('[41]سجل المستخلصات'!$J$7="","",'[41]سجل المستخلصات'!$J$7)</f>
        <v/>
      </c>
      <c r="J26" s="59">
        <f>IF('[41]سجل المستخلصات'!$K$7="","",'[41]سجل المستخلصات'!$K$7)</f>
        <v/>
      </c>
      <c r="K26" s="60">
        <f>IF('[41]سجل المستخلصات'!$L$7="","",'[41]سجل المستخلصات'!$L$7)</f>
        <v/>
      </c>
      <c r="L26" s="60">
        <f>IF('[41]سجل المستخلصات'!$M$7="","",'[41]سجل المستخلصات'!$M$7)</f>
        <v/>
      </c>
      <c r="M26" s="60">
        <f>IF('[41]سجل المستخلصات'!$N$7="","",'[41]سجل المستخلصات'!$N$7)</f>
        <v/>
      </c>
      <c r="N26" s="59">
        <f>IF('[41]سجل المستخلصات'!$O$7="","",'[41]سجل المستخلصات'!$O$7)</f>
        <v/>
      </c>
      <c r="O26" s="59">
        <f>IF('[41]سجل المستخلصات'!$R$7="","",'[41]سجل المستخلصات'!$R$7)</f>
        <v/>
      </c>
      <c r="P26" s="59">
        <f>IF('[41]سجل المستخلصات'!$S$7="","",'[41]سجل المستخلصات'!$S$7)</f>
        <v/>
      </c>
      <c r="Q26" s="59">
        <f>IF('[41]سجل المستخلصات'!$T$7="","",'[41]سجل المستخلصات'!$T$7)</f>
        <v/>
      </c>
      <c r="R26" s="59">
        <f>IF('[41]سجل المستخلصات'!$V$7="","",'[41]سجل المستخلصات'!$V$7)</f>
        <v/>
      </c>
      <c r="S26" s="59">
        <f>IF('[41]سجل المستخلصات'!$W$7="","",'[41]سجل المستخلصات'!$W$7)</f>
        <v/>
      </c>
      <c r="T26" s="61">
        <f>IF('[41]سجل المستخلصات'!$X$7="","",'[41]سجل المستخلصات'!$X$7)</f>
        <v/>
      </c>
      <c r="U26" s="61">
        <f>IF('[41]سجل المستخلصات'!$Z$7="","",'[41]سجل المستخلصات'!$Z$7)</f>
        <v/>
      </c>
      <c r="V26" s="59">
        <f>IF('[41]سجل المستخلصات'!$AA$7="","",'[41]سجل المستخلصات'!$AA$7)</f>
        <v/>
      </c>
      <c r="W26" s="59">
        <f>IF('[41]سجل المستخلصات'!$AC$7="","",'[41]سجل المستخلصات'!$AC$7)</f>
        <v/>
      </c>
      <c r="X26" s="62">
        <f>IF('[41]سجل المستخلصات'!$AD$7="","",'[41]سجل المستخلصات'!$AD$7)</f>
        <v/>
      </c>
      <c r="Y26" s="58">
        <f>IF('[41]سجل المستخلصات'!$AE$7="","",'[41]سجل المستخلصات'!$AE$7)</f>
        <v/>
      </c>
      <c r="AA26" s="63" t="n"/>
      <c r="AB26" s="63" t="n"/>
    </row>
    <row r="27">
      <c r="B27" s="56" t="n">
        <v>3</v>
      </c>
      <c r="C27" s="57">
        <f>IF('[41]سجل المستخلصات'!$C$8="","",'[41]سجل المستخلصات'!$C$8)</f>
        <v/>
      </c>
      <c r="D27" s="57">
        <f>IF('[41]سجل المستخلصات'!$E$8="","",'[41]سجل المستخلصات'!$E$8)</f>
        <v/>
      </c>
      <c r="E27" s="58">
        <f>IF('[41]سجل المستخلصات'!$F$8="","",'[41]سجل المستخلصات'!$F$8)</f>
        <v/>
      </c>
      <c r="F27" s="59">
        <f>IF('[41]سجل المستخلصات'!$H$8="","",'[41]سجل المستخلصات'!$H$8)</f>
        <v/>
      </c>
      <c r="G27" s="59">
        <f>IF('[41]سجل المستخلصات'!$G$8="","",'[41]سجل المستخلصات'!$G$8)</f>
        <v/>
      </c>
      <c r="H27" s="59">
        <f>IF('[41]سجل المستخلصات'!$I$8="","",'[41]سجل المستخلصات'!$I$8)</f>
        <v/>
      </c>
      <c r="I27" s="59">
        <f>IF('[41]سجل المستخلصات'!$J$8="","",'[41]سجل المستخلصات'!$J$8)</f>
        <v/>
      </c>
      <c r="J27" s="59">
        <f>IF('[41]سجل المستخلصات'!$K$8="","",'[41]سجل المستخلصات'!$K$8)</f>
        <v/>
      </c>
      <c r="K27" s="60">
        <f>IF('[41]سجل المستخلصات'!$L$8="","",'[41]سجل المستخلصات'!$L$8)</f>
        <v/>
      </c>
      <c r="L27" s="60">
        <f>IF('[41]سجل المستخلصات'!$M$8="","",'[41]سجل المستخلصات'!$M$8)</f>
        <v/>
      </c>
      <c r="M27" s="60">
        <f>IF('[41]سجل المستخلصات'!$N$8="","",'[41]سجل المستخلصات'!$N$8)</f>
        <v/>
      </c>
      <c r="N27" s="59">
        <f>IF('[41]سجل المستخلصات'!$O$8="","",'[41]سجل المستخلصات'!$O$8)</f>
        <v/>
      </c>
      <c r="O27" s="59">
        <f>IF('[41]سجل المستخلصات'!$R$8="","",'[41]سجل المستخلصات'!$R$8)</f>
        <v/>
      </c>
      <c r="P27" s="59">
        <f>IF('[41]سجل المستخلصات'!$S$8="","",'[41]سجل المستخلصات'!$S$8)</f>
        <v/>
      </c>
      <c r="Q27" s="59">
        <f>IF('[41]سجل المستخلصات'!$T$8="","",'[41]سجل المستخلصات'!$T$8)</f>
        <v/>
      </c>
      <c r="R27" s="59">
        <f>IF('[41]سجل المستخلصات'!$V$8="","",'[41]سجل المستخلصات'!$V$8)</f>
        <v/>
      </c>
      <c r="S27" s="59">
        <f>IF('[41]سجل المستخلصات'!$W$8="","",'[41]سجل المستخلصات'!$W$8)</f>
        <v/>
      </c>
      <c r="T27" s="61">
        <f>IF('[41]سجل المستخلصات'!$X$8="","",'[41]سجل المستخلصات'!$X$8)</f>
        <v/>
      </c>
      <c r="U27" s="61">
        <f>IF('[41]سجل المستخلصات'!$Z$8="","",'[41]سجل المستخلصات'!$Z$8)</f>
        <v/>
      </c>
      <c r="V27" s="59">
        <f>IF('[41]سجل المستخلصات'!$AA$8="","",'[41]سجل المستخلصات'!$AA$8)</f>
        <v/>
      </c>
      <c r="W27" s="59">
        <f>IF('[41]سجل المستخلصات'!$AC$8="","",'[41]سجل المستخلصات'!$AC$8)</f>
        <v/>
      </c>
      <c r="X27" s="62">
        <f>IF('[41]سجل المستخلصات'!$AD$8="","",'[41]سجل المستخلصات'!$AD$8)</f>
        <v/>
      </c>
      <c r="Y27" s="58">
        <f>IF('[41]سجل المستخلصات'!$AE$8="","",'[41]سجل المستخلصات'!$AE$8)</f>
        <v/>
      </c>
      <c r="AA27" s="63" t="n"/>
      <c r="AB27" s="63" t="n"/>
    </row>
    <row r="28">
      <c r="B28" s="56" t="n">
        <v>4</v>
      </c>
      <c r="C28" s="57">
        <f>IF('[41]سجل المستخلصات'!$C$9="","",'[41]سجل المستخلصات'!$C$9)</f>
        <v/>
      </c>
      <c r="D28" s="57">
        <f>IF('[41]سجل المستخلصات'!$E$9="","",'[41]سجل المستخلصات'!$E$9)</f>
        <v/>
      </c>
      <c r="E28" s="58">
        <f>IF('[41]سجل المستخلصات'!$F$9="","",'[41]سجل المستخلصات'!$F$9)</f>
        <v/>
      </c>
      <c r="F28" s="59">
        <f>IF('[41]سجل المستخلصات'!$H$9="","",'[41]سجل المستخلصات'!$H$9)</f>
        <v/>
      </c>
      <c r="G28" s="59">
        <f>IF('[41]سجل المستخلصات'!$G$9="","",'[41]سجل المستخلصات'!$G$9)</f>
        <v/>
      </c>
      <c r="H28" s="59">
        <f>IF('[41]سجل المستخلصات'!$I$9="","",'[41]سجل المستخلصات'!$I$9)</f>
        <v/>
      </c>
      <c r="I28" s="59">
        <f>IF('[41]سجل المستخلصات'!$J$9="","",'[41]سجل المستخلصات'!$J$9)</f>
        <v/>
      </c>
      <c r="J28" s="59">
        <f>IF('[41]سجل المستخلصات'!$K$9="","",'[41]سجل المستخلصات'!$K$9)</f>
        <v/>
      </c>
      <c r="K28" s="60">
        <f>IF('[41]سجل المستخلصات'!$L$9="","",'[41]سجل المستخلصات'!$L$9)</f>
        <v/>
      </c>
      <c r="L28" s="60">
        <f>IF('[41]سجل المستخلصات'!$M$9="","",'[41]سجل المستخلصات'!$M$9)</f>
        <v/>
      </c>
      <c r="M28" s="60">
        <f>IF('[41]سجل المستخلصات'!$N$9="","",'[41]سجل المستخلصات'!$N$9)</f>
        <v/>
      </c>
      <c r="N28" s="59">
        <f>IF('[41]سجل المستخلصات'!$O$9="","",'[41]سجل المستخلصات'!$O$9)</f>
        <v/>
      </c>
      <c r="O28" s="59">
        <f>IF('[41]سجل المستخلصات'!$R$9="","",'[41]سجل المستخلصات'!$R$9)</f>
        <v/>
      </c>
      <c r="P28" s="59">
        <f>IF('[41]سجل المستخلصات'!$S$9="","",'[41]سجل المستخلصات'!$S$9)</f>
        <v/>
      </c>
      <c r="Q28" s="59">
        <f>IF('[41]سجل المستخلصات'!$T$9="","",'[41]سجل المستخلصات'!$T$9)</f>
        <v/>
      </c>
      <c r="R28" s="59">
        <f>IF('[41]سجل المستخلصات'!$V$9="","",'[41]سجل المستخلصات'!$V$9)</f>
        <v/>
      </c>
      <c r="S28" s="59">
        <f>IF('[41]سجل المستخلصات'!$W$9="","",'[41]سجل المستخلصات'!$W$9)</f>
        <v/>
      </c>
      <c r="T28" s="61">
        <f>IF('[41]سجل المستخلصات'!$X$9="","",'[41]سجل المستخلصات'!$X$9)</f>
        <v/>
      </c>
      <c r="U28" s="61">
        <f>IF('[41]سجل المستخلصات'!$Z$9="","",'[41]سجل المستخلصات'!$Z$9)</f>
        <v/>
      </c>
      <c r="V28" s="59">
        <f>IF('[41]سجل المستخلصات'!$AA$9="","",'[41]سجل المستخلصات'!$AA$9)</f>
        <v/>
      </c>
      <c r="W28" s="59">
        <f>IF('[41]سجل المستخلصات'!$AC$9="","",'[41]سجل المستخلصات'!$AC$9)</f>
        <v/>
      </c>
      <c r="X28" s="62">
        <f>IF('[41]سجل المستخلصات'!$AD$9="","",'[41]سجل المستخلصات'!$AD$9)</f>
        <v/>
      </c>
      <c r="Y28" s="58">
        <f>IF('[41]سجل المستخلصات'!$AE$9="","",'[41]سجل المستخلصات'!$AE$9)</f>
        <v/>
      </c>
      <c r="AA28" s="63" t="n"/>
      <c r="AB28" s="63" t="n"/>
    </row>
    <row r="29">
      <c r="B29" s="56" t="n">
        <v>5</v>
      </c>
      <c r="C29" s="57">
        <f>IF('[41]سجل المستخلصات'!$C$10="","",'[41]سجل المستخلصات'!$C$10)</f>
        <v/>
      </c>
      <c r="D29" s="57">
        <f>IF('[41]سجل المستخلصات'!$E$10="","",'[41]سجل المستخلصات'!$E$10)</f>
        <v/>
      </c>
      <c r="E29" s="58">
        <f>IF('[41]سجل المستخلصات'!$F$10="","",'[41]سجل المستخلصات'!$F$10)</f>
        <v/>
      </c>
      <c r="F29" s="59">
        <f>IF('[41]سجل المستخلصات'!$H$10="","",'[41]سجل المستخلصات'!$H$10)</f>
        <v/>
      </c>
      <c r="G29" s="59">
        <f>IF('[41]سجل المستخلصات'!$G$10="","",'[41]سجل المستخلصات'!$G$10)</f>
        <v/>
      </c>
      <c r="H29" s="59">
        <f>IF('[41]سجل المستخلصات'!$I$10="","",'[41]سجل المستخلصات'!$I$10)</f>
        <v/>
      </c>
      <c r="I29" s="59">
        <f>IF('[41]سجل المستخلصات'!$J$10="","",'[41]سجل المستخلصات'!$J$10)</f>
        <v/>
      </c>
      <c r="J29" s="59">
        <f>IF('[41]سجل المستخلصات'!$K$10="","",'[41]سجل المستخلصات'!$K$10)</f>
        <v/>
      </c>
      <c r="K29" s="60">
        <f>IF('[41]سجل المستخلصات'!$L$10="","",'[41]سجل المستخلصات'!$L$10)</f>
        <v/>
      </c>
      <c r="L29" s="60">
        <f>IF('[41]سجل المستخلصات'!$M$10="","",'[41]سجل المستخلصات'!$M$10)</f>
        <v/>
      </c>
      <c r="M29" s="60">
        <f>IF('[41]سجل المستخلصات'!$N$10="","",'[41]سجل المستخلصات'!$N$10)</f>
        <v/>
      </c>
      <c r="N29" s="59">
        <f>IF('[41]سجل المستخلصات'!$O$10="","",'[41]سجل المستخلصات'!$O$10)</f>
        <v/>
      </c>
      <c r="O29" s="59">
        <f>IF('[41]سجل المستخلصات'!$R$10="","",'[41]سجل المستخلصات'!$R$10)</f>
        <v/>
      </c>
      <c r="P29" s="59">
        <f>IF('[41]سجل المستخلصات'!$S$10="","",'[41]سجل المستخلصات'!$S$10)</f>
        <v/>
      </c>
      <c r="Q29" s="59">
        <f>IF('[41]سجل المستخلصات'!$T$10="","",'[41]سجل المستخلصات'!$T$10)</f>
        <v/>
      </c>
      <c r="R29" s="59">
        <f>IF('[41]سجل المستخلصات'!$V$10="","",'[41]سجل المستخلصات'!$V$10)</f>
        <v/>
      </c>
      <c r="S29" s="59">
        <f>IF('[41]سجل المستخلصات'!$W$10="","",'[41]سجل المستخلصات'!$W$10)</f>
        <v/>
      </c>
      <c r="T29" s="61">
        <f>IF('[41]سجل المستخلصات'!$X$10="","",'[41]سجل المستخلصات'!$X$10)</f>
        <v/>
      </c>
      <c r="U29" s="61">
        <f>IF('[41]سجل المستخلصات'!$Z$10="","",'[41]سجل المستخلصات'!$Z$10)</f>
        <v/>
      </c>
      <c r="V29" s="59">
        <f>IF('[41]سجل المستخلصات'!$AA$10="","",'[41]سجل المستخلصات'!$AA$10)</f>
        <v/>
      </c>
      <c r="W29" s="59">
        <f>IF('[41]سجل المستخلصات'!$AC$10="","",'[41]سجل المستخلصات'!$AC$10)</f>
        <v/>
      </c>
      <c r="X29" s="62">
        <f>IF('[41]سجل المستخلصات'!$AD$10="","",'[41]سجل المستخلصات'!$AD$10)</f>
        <v/>
      </c>
      <c r="Y29" s="58">
        <f>IF('[41]سجل المستخلصات'!$AE$10="","",'[41]سجل المستخلصات'!$AE$10)</f>
        <v/>
      </c>
    </row>
    <row r="30">
      <c r="B30" s="56" t="n">
        <v>6</v>
      </c>
      <c r="C30" s="57">
        <f>IF('[41]سجل المستخلصات'!$C$11="","",'[41]سجل المستخلصات'!$C$11)</f>
        <v/>
      </c>
      <c r="D30" s="57">
        <f>IF('[41]سجل المستخلصات'!$E$11="","",'[41]سجل المستخلصات'!$E$11)</f>
        <v/>
      </c>
      <c r="E30" s="58">
        <f>IF('[41]سجل المستخلصات'!$F$11="","",'[41]سجل المستخلصات'!$F$11)</f>
        <v/>
      </c>
      <c r="F30" s="59">
        <f>IF('[41]سجل المستخلصات'!$H$11="","",'[41]سجل المستخلصات'!$H$11)</f>
        <v/>
      </c>
      <c r="G30" s="59">
        <f>IF('[41]سجل المستخلصات'!$G$11="","",'[41]سجل المستخلصات'!$G$11)</f>
        <v/>
      </c>
      <c r="H30" s="59">
        <f>IF('[41]سجل المستخلصات'!$I$11="","",'[41]سجل المستخلصات'!$I$11)</f>
        <v/>
      </c>
      <c r="I30" s="59">
        <f>IF('[41]سجل المستخلصات'!$J$11="","",'[41]سجل المستخلصات'!$J$11)</f>
        <v/>
      </c>
      <c r="J30" s="59">
        <f>IF('[41]سجل المستخلصات'!$K$11="","",'[41]سجل المستخلصات'!$K$11)</f>
        <v/>
      </c>
      <c r="K30" s="60">
        <f>IF('[41]سجل المستخلصات'!$L$11="","",'[41]سجل المستخلصات'!$L$11)</f>
        <v/>
      </c>
      <c r="L30" s="60">
        <f>IF('[41]سجل المستخلصات'!$M$11="","",'[41]سجل المستخلصات'!$M$11)</f>
        <v/>
      </c>
      <c r="M30" s="60">
        <f>IF('[41]سجل المستخلصات'!$N$11="","",'[41]سجل المستخلصات'!$N$11)</f>
        <v/>
      </c>
      <c r="N30" s="59">
        <f>IF('[41]سجل المستخلصات'!$O$11="","",'[41]سجل المستخلصات'!$O$11)</f>
        <v/>
      </c>
      <c r="O30" s="59">
        <f>IF('[41]سجل المستخلصات'!$R$11="","",'[41]سجل المستخلصات'!$R$11)</f>
        <v/>
      </c>
      <c r="P30" s="59">
        <f>IF('[41]سجل المستخلصات'!$S$11="","",'[41]سجل المستخلصات'!$S$11)</f>
        <v/>
      </c>
      <c r="Q30" s="59">
        <f>IF('[41]سجل المستخلصات'!$T$11="","",'[41]سجل المستخلصات'!$T$11)</f>
        <v/>
      </c>
      <c r="R30" s="59">
        <f>IF('[41]سجل المستخلصات'!$V$11="","",'[41]سجل المستخلصات'!$V$11)</f>
        <v/>
      </c>
      <c r="S30" s="59">
        <f>IF('[41]سجل المستخلصات'!$W$11="","",'[41]سجل المستخلصات'!$W$11)</f>
        <v/>
      </c>
      <c r="T30" s="61">
        <f>IF('[41]سجل المستخلصات'!$X$11="","",'[41]سجل المستخلصات'!$X$11)</f>
        <v/>
      </c>
      <c r="U30" s="61">
        <f>IF('[41]سجل المستخلصات'!$Z$11="","",'[41]سجل المستخلصات'!$Z$11)</f>
        <v/>
      </c>
      <c r="V30" s="59">
        <f>IF('[41]سجل المستخلصات'!$AA$11="","",'[41]سجل المستخلصات'!$AA$11)</f>
        <v/>
      </c>
      <c r="W30" s="59">
        <f>IF('[41]سجل المستخلصات'!$AC$11="","",'[41]سجل المستخلصات'!$AC$11)</f>
        <v/>
      </c>
      <c r="X30" s="62">
        <f>IF('[41]سجل المستخلصات'!$AD$11="","",'[41]سجل المستخلصات'!$AD$11)</f>
        <v/>
      </c>
      <c r="Y30" s="58">
        <f>IF('[41]سجل المستخلصات'!$AE$11="","",'[41]سجل المستخلصات'!$AE$11)</f>
        <v/>
      </c>
    </row>
    <row r="31">
      <c r="B31" s="56" t="n">
        <v>7</v>
      </c>
      <c r="C31" s="57">
        <f>IF('[41]سجل المستخلصات'!$C$12="","",'[41]سجل المستخلصات'!$C$12)</f>
        <v/>
      </c>
      <c r="D31" s="57">
        <f>IF('[41]سجل المستخلصات'!$E$12="","",'[41]سجل المستخلصات'!$E$12)</f>
        <v/>
      </c>
      <c r="E31" s="58">
        <f>IF('[41]سجل المستخلصات'!$F$12="","",'[41]سجل المستخلصات'!$F$12)</f>
        <v/>
      </c>
      <c r="F31" s="59">
        <f>IF('[41]سجل المستخلصات'!$H$12="","",'[41]سجل المستخلصات'!$H$12)</f>
        <v/>
      </c>
      <c r="G31" s="59">
        <f>IF('[41]سجل المستخلصات'!$G$12="","",'[41]سجل المستخلصات'!$G$12)</f>
        <v/>
      </c>
      <c r="H31" s="59">
        <f>IF('[41]سجل المستخلصات'!$I$12="","",'[41]سجل المستخلصات'!$I$12)</f>
        <v/>
      </c>
      <c r="I31" s="59">
        <f>IF('[41]سجل المستخلصات'!$J$12="","",'[41]سجل المستخلصات'!$J$12)</f>
        <v/>
      </c>
      <c r="J31" s="59">
        <f>IF('[41]سجل المستخلصات'!$K$12="","",'[41]سجل المستخلصات'!$K$12)</f>
        <v/>
      </c>
      <c r="K31" s="60">
        <f>IF('[41]سجل المستخلصات'!$L$12="","",'[41]سجل المستخلصات'!$L$12)</f>
        <v/>
      </c>
      <c r="L31" s="60">
        <f>IF('[41]سجل المستخلصات'!$M$12="","",'[41]سجل المستخلصات'!$M$12)</f>
        <v/>
      </c>
      <c r="M31" s="60">
        <f>IF('[41]سجل المستخلصات'!$N$12="","",'[41]سجل المستخلصات'!$N$12)</f>
        <v/>
      </c>
      <c r="N31" s="59">
        <f>IF('[41]سجل المستخلصات'!$O$12="","",'[41]سجل المستخلصات'!$O$12)</f>
        <v/>
      </c>
      <c r="O31" s="59">
        <f>IF('[41]سجل المستخلصات'!$R$12="","",'[41]سجل المستخلصات'!$R$12)</f>
        <v/>
      </c>
      <c r="P31" s="59">
        <f>IF('[41]سجل المستخلصات'!$S$12="","",'[41]سجل المستخلصات'!$S$12)</f>
        <v/>
      </c>
      <c r="Q31" s="59">
        <f>IF('[41]سجل المستخلصات'!$T$12="","",'[41]سجل المستخلصات'!$T$12)</f>
        <v/>
      </c>
      <c r="R31" s="59">
        <f>IF('[41]سجل المستخلصات'!$V$12="","",'[41]سجل المستخلصات'!$V$12)</f>
        <v/>
      </c>
      <c r="S31" s="59">
        <f>IF('[41]سجل المستخلصات'!$W$12="","",'[41]سجل المستخلصات'!$W$12)</f>
        <v/>
      </c>
      <c r="T31" s="61">
        <f>IF('[41]سجل المستخلصات'!$X$12="","",'[41]سجل المستخلصات'!$X$12)</f>
        <v/>
      </c>
      <c r="U31" s="61">
        <f>IF('[41]سجل المستخلصات'!$Z$12="","",'[41]سجل المستخلصات'!$Z$12)</f>
        <v/>
      </c>
      <c r="V31" s="59">
        <f>IF('[41]سجل المستخلصات'!$AA$12="","",'[41]سجل المستخلصات'!$AA$12)</f>
        <v/>
      </c>
      <c r="W31" s="59">
        <f>IF('[41]سجل المستخلصات'!$AC$12="","",'[41]سجل المستخلصات'!$AC$12)</f>
        <v/>
      </c>
      <c r="X31" s="62">
        <f>IF('[41]سجل المستخلصات'!$AD$12="","",'[41]سجل المستخلصات'!$AD$12)</f>
        <v/>
      </c>
      <c r="Y31" s="58">
        <f>IF('[41]سجل المستخلصات'!$AE$12="","",'[41]سجل المستخلصات'!$AE$12)</f>
        <v/>
      </c>
    </row>
    <row r="32">
      <c r="B32" s="56" t="n">
        <v>8</v>
      </c>
      <c r="C32" s="57">
        <f>IF('[41]سجل المستخلصات'!$C$13="","",'[41]سجل المستخلصات'!$C$13)</f>
        <v/>
      </c>
      <c r="D32" s="57">
        <f>IF('[41]سجل المستخلصات'!$E$13="","",'[41]سجل المستخلصات'!$E$13)</f>
        <v/>
      </c>
      <c r="E32" s="58">
        <f>IF('[41]سجل المستخلصات'!$F$13="","",'[41]سجل المستخلصات'!$F$13)</f>
        <v/>
      </c>
      <c r="F32" s="59">
        <f>IF('[41]سجل المستخلصات'!$H$13="","",'[41]سجل المستخلصات'!$H$13)</f>
        <v/>
      </c>
      <c r="G32" s="59">
        <f>IF('[41]سجل المستخلصات'!$G$13="","",'[41]سجل المستخلصات'!$G$13)</f>
        <v/>
      </c>
      <c r="H32" s="59">
        <f>IF('[41]سجل المستخلصات'!$I$13="","",'[41]سجل المستخلصات'!$I$13)</f>
        <v/>
      </c>
      <c r="I32" s="59">
        <f>IF('[41]سجل المستخلصات'!$J$13="","",'[41]سجل المستخلصات'!$J$13)</f>
        <v/>
      </c>
      <c r="J32" s="59">
        <f>IF('[41]سجل المستخلصات'!$K$13="","",'[41]سجل المستخلصات'!$K$13)</f>
        <v/>
      </c>
      <c r="K32" s="60">
        <f>IF('[41]سجل المستخلصات'!$L$13="","",'[41]سجل المستخلصات'!$L$13)</f>
        <v/>
      </c>
      <c r="L32" s="60">
        <f>IF('[41]سجل المستخلصات'!$M$13="","",'[41]سجل المستخلصات'!$M$13)</f>
        <v/>
      </c>
      <c r="M32" s="60">
        <f>IF('[41]سجل المستخلصات'!$N$13="","",'[41]سجل المستخلصات'!$N$13)</f>
        <v/>
      </c>
      <c r="N32" s="59">
        <f>IF('[41]سجل المستخلصات'!$O$13="","",'[41]سجل المستخلصات'!$O$13)</f>
        <v/>
      </c>
      <c r="O32" s="59">
        <f>IF('[41]سجل المستخلصات'!$R$13="","",'[41]سجل المستخلصات'!$R$13)</f>
        <v/>
      </c>
      <c r="P32" s="59">
        <f>IF('[41]سجل المستخلصات'!$S$13="","",'[41]سجل المستخلصات'!$S$13)</f>
        <v/>
      </c>
      <c r="Q32" s="59">
        <f>IF('[41]سجل المستخلصات'!$T$13="","",'[41]سجل المستخلصات'!$T$13)</f>
        <v/>
      </c>
      <c r="R32" s="59">
        <f>IF('[41]سجل المستخلصات'!$V$13="","",'[41]سجل المستخلصات'!$V$13)</f>
        <v/>
      </c>
      <c r="S32" s="59">
        <f>IF('[41]سجل المستخلصات'!$W$13="","",'[41]سجل المستخلصات'!$W$13)</f>
        <v/>
      </c>
      <c r="T32" s="61">
        <f>IF('[41]سجل المستخلصات'!$X$13="","",'[41]سجل المستخلصات'!$X$13)</f>
        <v/>
      </c>
      <c r="U32" s="61">
        <f>IF('[41]سجل المستخلصات'!$Z$13="","",'[41]سجل المستخلصات'!$Z$13)</f>
        <v/>
      </c>
      <c r="V32" s="59">
        <f>IF('[41]سجل المستخلصات'!$AA$13="","",'[41]سجل المستخلصات'!$AA$13)</f>
        <v/>
      </c>
      <c r="W32" s="59">
        <f>IF('[41]سجل المستخلصات'!$AC$13="","",'[41]سجل المستخلصات'!$AC$13)</f>
        <v/>
      </c>
      <c r="X32" s="62">
        <f>IF('[41]سجل المستخلصات'!$AD$13="","",'[41]سجل المستخلصات'!$AD$13)</f>
        <v/>
      </c>
      <c r="Y32" s="58">
        <f>IF('[41]سجل المستخلصات'!$AE$13="","",'[41]سجل المستخلصات'!$AE$13)</f>
        <v/>
      </c>
    </row>
    <row r="33">
      <c r="B33" s="56" t="n">
        <v>9</v>
      </c>
      <c r="C33" s="57">
        <f>IF('[41]سجل المستخلصات'!$C$14="","",'[41]سجل المستخلصات'!$C$14)</f>
        <v/>
      </c>
      <c r="D33" s="57">
        <f>IF('[41]سجل المستخلصات'!$E$14="","",'[41]سجل المستخلصات'!$E$14)</f>
        <v/>
      </c>
      <c r="E33" s="58">
        <f>IF('[41]سجل المستخلصات'!$F$14="","",'[41]سجل المستخلصات'!$F$14)</f>
        <v/>
      </c>
      <c r="F33" s="59">
        <f>IF('[41]سجل المستخلصات'!$H$14="","",'[41]سجل المستخلصات'!$H$14)</f>
        <v/>
      </c>
      <c r="G33" s="59">
        <f>IF('[41]سجل المستخلصات'!$G$14="","",'[41]سجل المستخلصات'!$G$14)</f>
        <v/>
      </c>
      <c r="H33" s="59">
        <f>IF('[41]سجل المستخلصات'!$I$14="","",'[41]سجل المستخلصات'!$I$14)</f>
        <v/>
      </c>
      <c r="I33" s="59">
        <f>IF('[41]سجل المستخلصات'!$J$14="","",'[41]سجل المستخلصات'!$J$14)</f>
        <v/>
      </c>
      <c r="J33" s="59">
        <f>IF('[41]سجل المستخلصات'!$K$14="","",'[41]سجل المستخلصات'!$K$14)</f>
        <v/>
      </c>
      <c r="K33" s="60">
        <f>IF('[41]سجل المستخلصات'!$L$14="","",'[41]سجل المستخلصات'!$L$14)</f>
        <v/>
      </c>
      <c r="L33" s="60">
        <f>IF('[41]سجل المستخلصات'!$M$14="","",'[41]سجل المستخلصات'!$M$14)</f>
        <v/>
      </c>
      <c r="M33" s="60">
        <f>IF('[41]سجل المستخلصات'!$N$14="","",'[41]سجل المستخلصات'!$N$14)</f>
        <v/>
      </c>
      <c r="N33" s="59">
        <f>IF('[41]سجل المستخلصات'!$O$14="","",'[41]سجل المستخلصات'!$O$14)</f>
        <v/>
      </c>
      <c r="O33" s="59">
        <f>IF('[41]سجل المستخلصات'!$R$14="","",'[41]سجل المستخلصات'!$R$14)</f>
        <v/>
      </c>
      <c r="P33" s="59">
        <f>IF('[41]سجل المستخلصات'!$S$14="","",'[41]سجل المستخلصات'!$S$14)</f>
        <v/>
      </c>
      <c r="Q33" s="59">
        <f>IF('[41]سجل المستخلصات'!$T$14="","",'[41]سجل المستخلصات'!$T$14)</f>
        <v/>
      </c>
      <c r="R33" s="59">
        <f>IF('[41]سجل المستخلصات'!$V$14="","",'[41]سجل المستخلصات'!$V$14)</f>
        <v/>
      </c>
      <c r="S33" s="59">
        <f>IF('[41]سجل المستخلصات'!$W$14="","",'[41]سجل المستخلصات'!$W$14)</f>
        <v/>
      </c>
      <c r="T33" s="61">
        <f>IF('[41]سجل المستخلصات'!$X$14="","",'[41]سجل المستخلصات'!$X$14)</f>
        <v/>
      </c>
      <c r="U33" s="61">
        <f>IF('[41]سجل المستخلصات'!$Z$14="","",'[41]سجل المستخلصات'!$Z$14)</f>
        <v/>
      </c>
      <c r="V33" s="59">
        <f>IF('[41]سجل المستخلصات'!$AA$14="","",'[41]سجل المستخلصات'!$AA$14)</f>
        <v/>
      </c>
      <c r="W33" s="59">
        <f>IF('[41]سجل المستخلصات'!$AC$14="","",'[41]سجل المستخلصات'!$AC$14)</f>
        <v/>
      </c>
      <c r="X33" s="62">
        <f>IF('[41]سجل المستخلصات'!$AD$14="","",'[41]سجل المستخلصات'!$AD$14)</f>
        <v/>
      </c>
      <c r="Y33" s="58">
        <f>IF('[41]سجل المستخلصات'!$AE$14="","",'[41]سجل المستخلصات'!$AE$14)</f>
        <v/>
      </c>
    </row>
    <row r="34">
      <c r="B34" s="56" t="n">
        <v>10</v>
      </c>
      <c r="C34" s="57">
        <f>IF('[41]سجل المستخلصات'!$C$15="","",'[41]سجل المستخلصات'!$C$15)</f>
        <v/>
      </c>
      <c r="D34" s="57">
        <f>IF('[41]سجل المستخلصات'!$E$15="","",'[41]سجل المستخلصات'!$E$15)</f>
        <v/>
      </c>
      <c r="E34" s="58">
        <f>IF('[41]سجل المستخلصات'!$F$15="","",'[41]سجل المستخلصات'!$F$15)</f>
        <v/>
      </c>
      <c r="F34" s="59">
        <f>IF('[41]سجل المستخلصات'!$H$15="","",'[41]سجل المستخلصات'!$H$15)</f>
        <v/>
      </c>
      <c r="G34" s="59">
        <f>IF('[41]سجل المستخلصات'!$G$15="","",'[41]سجل المستخلصات'!$G$15)</f>
        <v/>
      </c>
      <c r="H34" s="59">
        <f>IF('[41]سجل المستخلصات'!$I$15="","",'[41]سجل المستخلصات'!$I$15)</f>
        <v/>
      </c>
      <c r="I34" s="59">
        <f>IF('[41]سجل المستخلصات'!$J$15="","",'[41]سجل المستخلصات'!$J$15)</f>
        <v/>
      </c>
      <c r="J34" s="59">
        <f>IF('[41]سجل المستخلصات'!$K$15="","",'[41]سجل المستخلصات'!$K$15)</f>
        <v/>
      </c>
      <c r="K34" s="60">
        <f>IF('[41]سجل المستخلصات'!$L$15="","",'[41]سجل المستخلصات'!$L$15)</f>
        <v/>
      </c>
      <c r="L34" s="60">
        <f>IF('[41]سجل المستخلصات'!$M$15="","",'[41]سجل المستخلصات'!$M$15)</f>
        <v/>
      </c>
      <c r="M34" s="60">
        <f>IF('[41]سجل المستخلصات'!$N$15="","",'[41]سجل المستخلصات'!$N$15)</f>
        <v/>
      </c>
      <c r="N34" s="59">
        <f>IF('[41]سجل المستخلصات'!$O$15="","",'[41]سجل المستخلصات'!$O$15)</f>
        <v/>
      </c>
      <c r="O34" s="59">
        <f>IF('[41]سجل المستخلصات'!$R$15="","",'[41]سجل المستخلصات'!$R$15)</f>
        <v/>
      </c>
      <c r="P34" s="59">
        <f>IF('[41]سجل المستخلصات'!$S$15="","",'[41]سجل المستخلصات'!$S$15)</f>
        <v/>
      </c>
      <c r="Q34" s="59">
        <f>IF('[41]سجل المستخلصات'!$T$15="","",'[41]سجل المستخلصات'!$T$15)</f>
        <v/>
      </c>
      <c r="R34" s="59">
        <f>IF('[41]سجل المستخلصات'!$V$15="","",'[41]سجل المستخلصات'!$V$15)</f>
        <v/>
      </c>
      <c r="S34" s="59">
        <f>IF('[41]سجل المستخلصات'!$W$15="","",'[41]سجل المستخلصات'!$W$15)</f>
        <v/>
      </c>
      <c r="T34" s="61">
        <f>IF('[41]سجل المستخلصات'!$X$15="","",'[41]سجل المستخلصات'!$X$15)</f>
        <v/>
      </c>
      <c r="U34" s="61">
        <f>IF('[41]سجل المستخلصات'!$Z$15="","",'[41]سجل المستخلصات'!$Z$15)</f>
        <v/>
      </c>
      <c r="V34" s="59">
        <f>IF('[41]سجل المستخلصات'!$AA$15="","",'[41]سجل المستخلصات'!$AA$15)</f>
        <v/>
      </c>
      <c r="W34" s="59">
        <f>IF('[41]سجل المستخلصات'!$AC$15="","",'[41]سجل المستخلصات'!$AC$15)</f>
        <v/>
      </c>
      <c r="X34" s="62">
        <f>IF('[41]سجل المستخلصات'!$AD$15="","",'[41]سجل المستخلصات'!$AD$15)</f>
        <v/>
      </c>
      <c r="Y34" s="58">
        <f>IF('[41]سجل المستخلصات'!$AE$15="","",'[41]سجل المستخلصات'!$AE$15)</f>
        <v/>
      </c>
    </row>
    <row r="35">
      <c r="B35" s="56" t="n">
        <v>11</v>
      </c>
      <c r="C35" s="57">
        <f>IF('[41]سجل المستخلصات'!$C$16="","",'[41]سجل المستخلصات'!$C$16)</f>
        <v/>
      </c>
      <c r="D35" s="57">
        <f>IF('[41]سجل المستخلصات'!$E$16="","",'[41]سجل المستخلصات'!$E$16)</f>
        <v/>
      </c>
      <c r="E35" s="58">
        <f>IF('[41]سجل المستخلصات'!$F$16="","",'[41]سجل المستخلصات'!$F$16)</f>
        <v/>
      </c>
      <c r="F35" s="59">
        <f>IF('[41]سجل المستخلصات'!$H$16="","",'[41]سجل المستخلصات'!$H$16)</f>
        <v/>
      </c>
      <c r="G35" s="59">
        <f>IF('[41]سجل المستخلصات'!$G$16="","",'[41]سجل المستخلصات'!$G$16)</f>
        <v/>
      </c>
      <c r="H35" s="59">
        <f>IF('[41]سجل المستخلصات'!$I$16="","",'[41]سجل المستخلصات'!$I$16)</f>
        <v/>
      </c>
      <c r="I35" s="59">
        <f>IF('[41]سجل المستخلصات'!$J$16="","",'[41]سجل المستخلصات'!$J$16)</f>
        <v/>
      </c>
      <c r="J35" s="59">
        <f>IF('[41]سجل المستخلصات'!$K$16="","",'[41]سجل المستخلصات'!$K$16)</f>
        <v/>
      </c>
      <c r="K35" s="60">
        <f>IF('[41]سجل المستخلصات'!$L$16="","",'[41]سجل المستخلصات'!$L$16)</f>
        <v/>
      </c>
      <c r="L35" s="60">
        <f>IF('[41]سجل المستخلصات'!$M$16="","",'[41]سجل المستخلصات'!$M$16)</f>
        <v/>
      </c>
      <c r="M35" s="60">
        <f>IF('[41]سجل المستخلصات'!$N$16="","",'[41]سجل المستخلصات'!$N$16)</f>
        <v/>
      </c>
      <c r="N35" s="59">
        <f>IF('[41]سجل المستخلصات'!$O$16="","",'[41]سجل المستخلصات'!$O$16)</f>
        <v/>
      </c>
      <c r="O35" s="59">
        <f>IF('[41]سجل المستخلصات'!$R$16="","",'[41]سجل المستخلصات'!$R$16)</f>
        <v/>
      </c>
      <c r="P35" s="59">
        <f>IF('[41]سجل المستخلصات'!$S$16="","",'[41]سجل المستخلصات'!$S$16)</f>
        <v/>
      </c>
      <c r="Q35" s="59">
        <f>IF('[41]سجل المستخلصات'!$T$16="","",'[41]سجل المستخلصات'!$T$16)</f>
        <v/>
      </c>
      <c r="R35" s="59">
        <f>IF('[41]سجل المستخلصات'!$V$16="","",'[41]سجل المستخلصات'!$V$16)</f>
        <v/>
      </c>
      <c r="S35" s="59">
        <f>IF('[41]سجل المستخلصات'!$W$16="","",'[41]سجل المستخلصات'!$W$16)</f>
        <v/>
      </c>
      <c r="T35" s="61">
        <f>IF('[41]سجل المستخلصات'!$X$16="","",'[41]سجل المستخلصات'!$X$16)</f>
        <v/>
      </c>
      <c r="U35" s="61">
        <f>IF('[41]سجل المستخلصات'!$Z$16="","",'[41]سجل المستخلصات'!$Z$16)</f>
        <v/>
      </c>
      <c r="V35" s="59">
        <f>IF('[41]سجل المستخلصات'!$AA$16="","",'[41]سجل المستخلصات'!$AA$16)</f>
        <v/>
      </c>
      <c r="W35" s="59">
        <f>IF('[41]سجل المستخلصات'!$AC$16="","",'[41]سجل المستخلصات'!$AC$16)</f>
        <v/>
      </c>
      <c r="X35" s="62">
        <f>IF('[41]سجل المستخلصات'!$AD$16="","",'[41]سجل المستخلصات'!$AD$16)</f>
        <v/>
      </c>
      <c r="Y35" s="58">
        <f>IF('[41]سجل المستخلصات'!$AE$16="","",'[41]سجل المستخلصات'!$AE$16)</f>
        <v/>
      </c>
    </row>
    <row r="36">
      <c r="B36" s="56" t="n">
        <v>12</v>
      </c>
      <c r="C36" s="57">
        <f>IF('[41]سجل المستخلصات'!$C$17="","",'[41]سجل المستخلصات'!$C$17)</f>
        <v/>
      </c>
      <c r="D36" s="57">
        <f>IF('[41]سجل المستخلصات'!$E$17="","",'[41]سجل المستخلصات'!$E$17)</f>
        <v/>
      </c>
      <c r="E36" s="58">
        <f>IF('[41]سجل المستخلصات'!$F$17="","",'[41]سجل المستخلصات'!$F$17)</f>
        <v/>
      </c>
      <c r="F36" s="59">
        <f>IF('[41]سجل المستخلصات'!$H$17="","",'[41]سجل المستخلصات'!$H$17)</f>
        <v/>
      </c>
      <c r="G36" s="59">
        <f>IF('[41]سجل المستخلصات'!$G$17="","",'[41]سجل المستخلصات'!$G$17)</f>
        <v/>
      </c>
      <c r="H36" s="59">
        <f>IF('[41]سجل المستخلصات'!$I$17="","",'[41]سجل المستخلصات'!$I$17)</f>
        <v/>
      </c>
      <c r="I36" s="59">
        <f>IF('[41]سجل المستخلصات'!$J$17="","",'[41]سجل المستخلصات'!$J$17)</f>
        <v/>
      </c>
      <c r="J36" s="59">
        <f>IF('[41]سجل المستخلصات'!$K$17="","",'[41]سجل المستخلصات'!$K$17)</f>
        <v/>
      </c>
      <c r="K36" s="60">
        <f>IF('[41]سجل المستخلصات'!$L$17="","",'[41]سجل المستخلصات'!$L$17)</f>
        <v/>
      </c>
      <c r="L36" s="60">
        <f>IF('[41]سجل المستخلصات'!$M$17="","",'[41]سجل المستخلصات'!$M$17)</f>
        <v/>
      </c>
      <c r="M36" s="60">
        <f>IF('[41]سجل المستخلصات'!$N$17="","",'[41]سجل المستخلصات'!$N$17)</f>
        <v/>
      </c>
      <c r="N36" s="59">
        <f>IF('[41]سجل المستخلصات'!$O$17="","",'[41]سجل المستخلصات'!$O$17)</f>
        <v/>
      </c>
      <c r="O36" s="59">
        <f>IF('[41]سجل المستخلصات'!$R$17="","",'[41]سجل المستخلصات'!$R$17)</f>
        <v/>
      </c>
      <c r="P36" s="59">
        <f>IF('[41]سجل المستخلصات'!$S$17="","",'[41]سجل المستخلصات'!$S$17)</f>
        <v/>
      </c>
      <c r="Q36" s="59">
        <f>IF('[41]سجل المستخلصات'!$T$17="","",'[41]سجل المستخلصات'!$T$17)</f>
        <v/>
      </c>
      <c r="R36" s="59">
        <f>IF('[41]سجل المستخلصات'!$V$17="","",'[41]سجل المستخلصات'!$V$17)</f>
        <v/>
      </c>
      <c r="S36" s="59">
        <f>IF('[41]سجل المستخلصات'!$W$17="","",'[41]سجل المستخلصات'!$W$17)</f>
        <v/>
      </c>
      <c r="T36" s="61">
        <f>IF('[41]سجل المستخلصات'!$X$17="","",'[41]سجل المستخلصات'!$X$17)</f>
        <v/>
      </c>
      <c r="U36" s="61">
        <f>IF('[41]سجل المستخلصات'!$Z$17="","",'[41]سجل المستخلصات'!$Z$17)</f>
        <v/>
      </c>
      <c r="V36" s="59">
        <f>IF('[41]سجل المستخلصات'!$AA$17="","",'[41]سجل المستخلصات'!$AA$17)</f>
        <v/>
      </c>
      <c r="W36" s="59">
        <f>IF('[41]سجل المستخلصات'!$AC$17="","",'[41]سجل المستخلصات'!$AC$17)</f>
        <v/>
      </c>
      <c r="X36" s="62">
        <f>IF('[41]سجل المستخلصات'!$AD$17="","",'[41]سجل المستخلصات'!$AD$17)</f>
        <v/>
      </c>
      <c r="Y36" s="58">
        <f>IF('[41]سجل المستخلصات'!$AE$17="","",'[41]سجل المستخلصات'!$AE$17)</f>
        <v/>
      </c>
    </row>
    <row r="37">
      <c r="B37" s="56" t="n">
        <v>13</v>
      </c>
      <c r="C37" s="57">
        <f>IF('[41]سجل المستخلصات'!$C$18="","",'[41]سجل المستخلصات'!$C$18)</f>
        <v/>
      </c>
      <c r="D37" s="57">
        <f>IF('[41]سجل المستخلصات'!$E$18="","",'[41]سجل المستخلصات'!$E$18)</f>
        <v/>
      </c>
      <c r="E37" s="58">
        <f>IF('[41]سجل المستخلصات'!$F$18="","",'[41]سجل المستخلصات'!$F$18)</f>
        <v/>
      </c>
      <c r="F37" s="59">
        <f>IF('[41]سجل المستخلصات'!$H$18="","",'[41]سجل المستخلصات'!$H$18)</f>
        <v/>
      </c>
      <c r="G37" s="59">
        <f>IF('[41]سجل المستخلصات'!$G$18="","",'[41]سجل المستخلصات'!$G$18)</f>
        <v/>
      </c>
      <c r="H37" s="59">
        <f>IF('[41]سجل المستخلصات'!$I$18="","",'[41]سجل المستخلصات'!$I$18)</f>
        <v/>
      </c>
      <c r="I37" s="59">
        <f>IF('[41]سجل المستخلصات'!$J$18="","",'[41]سجل المستخلصات'!$J$18)</f>
        <v/>
      </c>
      <c r="J37" s="59">
        <f>IF('[41]سجل المستخلصات'!$K$18="","",'[41]سجل المستخلصات'!$K$18)</f>
        <v/>
      </c>
      <c r="K37" s="60">
        <f>IF('[41]سجل المستخلصات'!$L$18="","",'[41]سجل المستخلصات'!$L$18)</f>
        <v/>
      </c>
      <c r="L37" s="60">
        <f>IF('[41]سجل المستخلصات'!$M$18="","",'[41]سجل المستخلصات'!$M$18)</f>
        <v/>
      </c>
      <c r="M37" s="60">
        <f>IF('[41]سجل المستخلصات'!$N$18="","",'[41]سجل المستخلصات'!$N$18)</f>
        <v/>
      </c>
      <c r="N37" s="59">
        <f>IF('[41]سجل المستخلصات'!$O$18="","",'[41]سجل المستخلصات'!$O$18)</f>
        <v/>
      </c>
      <c r="O37" s="59">
        <f>IF('[41]سجل المستخلصات'!$R$18="","",'[41]سجل المستخلصات'!$R$18)</f>
        <v/>
      </c>
      <c r="P37" s="59">
        <f>IF('[41]سجل المستخلصات'!$S$18="","",'[41]سجل المستخلصات'!$S$18)</f>
        <v/>
      </c>
      <c r="Q37" s="59">
        <f>IF('[41]سجل المستخلصات'!$T$18="","",'[41]سجل المستخلصات'!$T$18)</f>
        <v/>
      </c>
      <c r="R37" s="59">
        <f>IF('[41]سجل المستخلصات'!$V$18="","",'[41]سجل المستخلصات'!$V$18)</f>
        <v/>
      </c>
      <c r="S37" s="59">
        <f>IF('[41]سجل المستخلصات'!$W$18="","",'[41]سجل المستخلصات'!$W$18)</f>
        <v/>
      </c>
      <c r="T37" s="61">
        <f>IF('[41]سجل المستخلصات'!$X$18="","",'[41]سجل المستخلصات'!$X$18)</f>
        <v/>
      </c>
      <c r="U37" s="61">
        <f>IF('[41]سجل المستخلصات'!$Z$18="","",'[41]سجل المستخلصات'!$Z$18)</f>
        <v/>
      </c>
      <c r="V37" s="59">
        <f>IF('[41]سجل المستخلصات'!$AA$18="","",'[41]سجل المستخلصات'!$AA$18)</f>
        <v/>
      </c>
      <c r="W37" s="59">
        <f>IF('[41]سجل المستخلصات'!$AC$18="","",'[41]سجل المستخلصات'!$AC$18)</f>
        <v/>
      </c>
      <c r="X37" s="62">
        <f>IF('[41]سجل المستخلصات'!$AD$18="","",'[41]سجل المستخلصات'!$AD$18)</f>
        <v/>
      </c>
      <c r="Y37" s="58">
        <f>IF('[41]سجل المستخلصات'!$AE$18="","",'[41]سجل المستخلصات'!$AE$18)</f>
        <v/>
      </c>
    </row>
    <row r="38">
      <c r="B38" s="56" t="n">
        <v>14</v>
      </c>
      <c r="C38" s="57">
        <f>IF('[41]سجل المستخلصات'!$C$19="","",'[41]سجل المستخلصات'!$C$19)</f>
        <v/>
      </c>
      <c r="D38" s="57">
        <f>IF('[41]سجل المستخلصات'!$E$19="","",'[41]سجل المستخلصات'!$E$19)</f>
        <v/>
      </c>
      <c r="E38" s="58">
        <f>IF('[41]سجل المستخلصات'!$F$19="","",'[41]سجل المستخلصات'!$F$19)</f>
        <v/>
      </c>
      <c r="F38" s="59">
        <f>IF('[41]سجل المستخلصات'!$H$19="","",'[41]سجل المستخلصات'!$H$19)</f>
        <v/>
      </c>
      <c r="G38" s="59">
        <f>IF('[41]سجل المستخلصات'!$G$19="","",'[41]سجل المستخلصات'!$G$19)</f>
        <v/>
      </c>
      <c r="H38" s="59">
        <f>IF('[41]سجل المستخلصات'!$I$19="","",'[41]سجل المستخلصات'!$I$19)</f>
        <v/>
      </c>
      <c r="I38" s="59">
        <f>IF('[41]سجل المستخلصات'!$J$19="","",'[41]سجل المستخلصات'!$J$19)</f>
        <v/>
      </c>
      <c r="J38" s="59">
        <f>IF('[41]سجل المستخلصات'!$K$19="","",'[41]سجل المستخلصات'!$K$19)</f>
        <v/>
      </c>
      <c r="K38" s="60">
        <f>IF('[41]سجل المستخلصات'!$L$19="","",'[41]سجل المستخلصات'!$L$19)</f>
        <v/>
      </c>
      <c r="L38" s="60">
        <f>IF('[41]سجل المستخلصات'!$M$19="","",'[41]سجل المستخلصات'!$M$19)</f>
        <v/>
      </c>
      <c r="M38" s="60">
        <f>IF('[41]سجل المستخلصات'!$N$19="","",'[41]سجل المستخلصات'!$N$19)</f>
        <v/>
      </c>
      <c r="N38" s="59">
        <f>IF('[41]سجل المستخلصات'!$O$19="","",'[41]سجل المستخلصات'!$O$19)</f>
        <v/>
      </c>
      <c r="O38" s="59">
        <f>IF('[41]سجل المستخلصات'!$R$19="","",'[41]سجل المستخلصات'!$R$19)</f>
        <v/>
      </c>
      <c r="P38" s="59">
        <f>IF('[41]سجل المستخلصات'!$S$19="","",'[41]سجل المستخلصات'!$S$19)</f>
        <v/>
      </c>
      <c r="Q38" s="59">
        <f>IF('[41]سجل المستخلصات'!$T$19="","",'[41]سجل المستخلصات'!$T$19)</f>
        <v/>
      </c>
      <c r="R38" s="59">
        <f>IF('[41]سجل المستخلصات'!$V$19="","",'[41]سجل المستخلصات'!$V$19)</f>
        <v/>
      </c>
      <c r="S38" s="59">
        <f>IF('[41]سجل المستخلصات'!$W$19="","",'[41]سجل المستخلصات'!$W$19)</f>
        <v/>
      </c>
      <c r="T38" s="61">
        <f>IF('[41]سجل المستخلصات'!$X$19="","",'[41]سجل المستخلصات'!$X$19)</f>
        <v/>
      </c>
      <c r="U38" s="61">
        <f>IF('[41]سجل المستخلصات'!$Z$19="","",'[41]سجل المستخلصات'!$Z$19)</f>
        <v/>
      </c>
      <c r="V38" s="59">
        <f>IF('[41]سجل المستخلصات'!$AA$19="","",'[41]سجل المستخلصات'!$AA$19)</f>
        <v/>
      </c>
      <c r="W38" s="59">
        <f>IF('[41]سجل المستخلصات'!$AC$19="","",'[41]سجل المستخلصات'!$AC$19)</f>
        <v/>
      </c>
      <c r="X38" s="62">
        <f>IF('[41]سجل المستخلصات'!$AD$19="","",'[41]سجل المستخلصات'!$AD$19)</f>
        <v/>
      </c>
      <c r="Y38" s="58">
        <f>IF('[41]سجل المستخلصات'!$AE$19="","",'[41]سجل المستخلصات'!$AE$19)</f>
        <v/>
      </c>
    </row>
    <row r="39">
      <c r="B39" s="56" t="n">
        <v>15</v>
      </c>
      <c r="C39" s="57">
        <f>IF('[41]سجل المستخلصات'!$C$20="","",'[41]سجل المستخلصات'!$C$20)</f>
        <v/>
      </c>
      <c r="D39" s="57">
        <f>IF('[41]سجل المستخلصات'!$E$20="","",'[41]سجل المستخلصات'!$E$20)</f>
        <v/>
      </c>
      <c r="E39" s="58">
        <f>IF('[41]سجل المستخلصات'!$F$20="","",'[41]سجل المستخلصات'!$F$20)</f>
        <v/>
      </c>
      <c r="F39" s="59">
        <f>IF('[41]سجل المستخلصات'!$H$20="","",'[41]سجل المستخلصات'!$H$20)</f>
        <v/>
      </c>
      <c r="G39" s="59">
        <f>IF('[41]سجل المستخلصات'!$G$20="","",'[41]سجل المستخلصات'!$G$20)</f>
        <v/>
      </c>
      <c r="H39" s="59">
        <f>IF('[41]سجل المستخلصات'!$I$20="","",'[41]سجل المستخلصات'!$I$20)</f>
        <v/>
      </c>
      <c r="I39" s="59">
        <f>IF('[41]سجل المستخلصات'!$J$20="","",'[41]سجل المستخلصات'!$J$20)</f>
        <v/>
      </c>
      <c r="J39" s="59">
        <f>IF('[41]سجل المستخلصات'!$K$20="","",'[41]سجل المستخلصات'!$K$20)</f>
        <v/>
      </c>
      <c r="K39" s="60">
        <f>IF('[41]سجل المستخلصات'!$L$20="","",'[41]سجل المستخلصات'!$L$20)</f>
        <v/>
      </c>
      <c r="L39" s="60">
        <f>IF('[41]سجل المستخلصات'!$M$20="","",'[41]سجل المستخلصات'!$M$20)</f>
        <v/>
      </c>
      <c r="M39" s="60">
        <f>IF('[41]سجل المستخلصات'!$N$20="","",'[41]سجل المستخلصات'!$N$20)</f>
        <v/>
      </c>
      <c r="N39" s="59">
        <f>IF('[41]سجل المستخلصات'!$O$20="","",'[41]سجل المستخلصات'!$O$20)</f>
        <v/>
      </c>
      <c r="O39" s="59">
        <f>IF('[41]سجل المستخلصات'!$R$20="","",'[41]سجل المستخلصات'!$R$20)</f>
        <v/>
      </c>
      <c r="P39" s="59">
        <f>IF('[41]سجل المستخلصات'!$S$20="","",'[41]سجل المستخلصات'!$S$20)</f>
        <v/>
      </c>
      <c r="Q39" s="59">
        <f>IF('[41]سجل المستخلصات'!$T$20="","",'[41]سجل المستخلصات'!$T$20)</f>
        <v/>
      </c>
      <c r="R39" s="59">
        <f>IF('[41]سجل المستخلصات'!$V$20="","",'[41]سجل المستخلصات'!$V$20)</f>
        <v/>
      </c>
      <c r="S39" s="59">
        <f>IF('[41]سجل المستخلصات'!$W$20="","",'[41]سجل المستخلصات'!$W$20)</f>
        <v/>
      </c>
      <c r="T39" s="61">
        <f>IF('[41]سجل المستخلصات'!$X$20="","",'[41]سجل المستخلصات'!$X$20)</f>
        <v/>
      </c>
      <c r="U39" s="61">
        <f>IF('[41]سجل المستخلصات'!$Z$20="","",'[41]سجل المستخلصات'!$Z$20)</f>
        <v/>
      </c>
      <c r="V39" s="59">
        <f>IF('[41]سجل المستخلصات'!$AA$20="","",'[41]سجل المستخلصات'!$AA$20)</f>
        <v/>
      </c>
      <c r="W39" s="59">
        <f>IF('[41]سجل المستخلصات'!$AC$20="","",'[41]سجل المستخلصات'!$AC$20)</f>
        <v/>
      </c>
      <c r="X39" s="62">
        <f>IF('[41]سجل المستخلصات'!$AD$20="","",'[41]سجل المستخلصات'!$AD$20)</f>
        <v/>
      </c>
      <c r="Y39" s="58">
        <f>IF('[41]سجل المستخلصات'!$AE$20="","",'[41]سجل المستخلصات'!$AE$20)</f>
        <v/>
      </c>
    </row>
    <row r="40">
      <c r="B40" s="56" t="n">
        <v>16</v>
      </c>
      <c r="C40" s="57">
        <f>IF('[41]سجل المستخلصات'!$C$21="","",'[41]سجل المستخلصات'!$C$21)</f>
        <v/>
      </c>
      <c r="D40" s="57">
        <f>IF('[41]سجل المستخلصات'!$E$21="","",'[41]سجل المستخلصات'!$E$21)</f>
        <v/>
      </c>
      <c r="E40" s="58">
        <f>IF('[41]سجل المستخلصات'!$F$21="","",'[41]سجل المستخلصات'!$F$21)</f>
        <v/>
      </c>
      <c r="F40" s="59">
        <f>IF('[41]سجل المستخلصات'!$H$21="","",'[41]سجل المستخلصات'!$H$21)</f>
        <v/>
      </c>
      <c r="G40" s="59">
        <f>IF('[41]سجل المستخلصات'!$G$21="","",'[41]سجل المستخلصات'!$G$21)</f>
        <v/>
      </c>
      <c r="H40" s="59">
        <f>IF('[41]سجل المستخلصات'!$I$21="","",'[41]سجل المستخلصات'!$I$21)</f>
        <v/>
      </c>
      <c r="I40" s="59">
        <f>IF('[41]سجل المستخلصات'!$J$21="","",'[41]سجل المستخلصات'!$J$21)</f>
        <v/>
      </c>
      <c r="J40" s="59">
        <f>IF('[41]سجل المستخلصات'!$K$21="","",'[41]سجل المستخلصات'!$K$21)</f>
        <v/>
      </c>
      <c r="K40" s="60">
        <f>IF('[41]سجل المستخلصات'!$L$21="","",'[41]سجل المستخلصات'!$L$21)</f>
        <v/>
      </c>
      <c r="L40" s="60">
        <f>IF('[41]سجل المستخلصات'!$M$21="","",'[41]سجل المستخلصات'!$M$21)</f>
        <v/>
      </c>
      <c r="M40" s="60">
        <f>IF('[41]سجل المستخلصات'!$N$21="","",'[41]سجل المستخلصات'!$N$21)</f>
        <v/>
      </c>
      <c r="N40" s="59">
        <f>IF('[41]سجل المستخلصات'!$O$21="","",'[41]سجل المستخلصات'!$O$21)</f>
        <v/>
      </c>
      <c r="O40" s="59">
        <f>IF('[41]سجل المستخلصات'!$R$21="","",'[41]سجل المستخلصات'!$R$21)</f>
        <v/>
      </c>
      <c r="P40" s="59">
        <f>IF('[41]سجل المستخلصات'!$S$21="","",'[41]سجل المستخلصات'!$S$21)</f>
        <v/>
      </c>
      <c r="Q40" s="59">
        <f>IF('[41]سجل المستخلصات'!$T$21="","",'[41]سجل المستخلصات'!$T$21)</f>
        <v/>
      </c>
      <c r="R40" s="59">
        <f>IF('[41]سجل المستخلصات'!$V$21="","",'[41]سجل المستخلصات'!$V$21)</f>
        <v/>
      </c>
      <c r="S40" s="59">
        <f>IF('[41]سجل المستخلصات'!$W$21="","",'[41]سجل المستخلصات'!$W$21)</f>
        <v/>
      </c>
      <c r="T40" s="61">
        <f>IF('[41]سجل المستخلصات'!$X$21="","",'[41]سجل المستخلصات'!$X$21)</f>
        <v/>
      </c>
      <c r="U40" s="61">
        <f>IF('[41]سجل المستخلصات'!$Z$21="","",'[41]سجل المستخلصات'!$Z$21)</f>
        <v/>
      </c>
      <c r="V40" s="59">
        <f>IF('[41]سجل المستخلصات'!$AA$21="","",'[41]سجل المستخلصات'!$AA$21)</f>
        <v/>
      </c>
      <c r="W40" s="59">
        <f>IF('[41]سجل المستخلصات'!$AC$21="","",'[41]سجل المستخلصات'!$AC$21)</f>
        <v/>
      </c>
      <c r="X40" s="62">
        <f>IF('[41]سجل المستخلصات'!$AD$21="","",'[41]سجل المستخلصات'!$AD$21)</f>
        <v/>
      </c>
      <c r="Y40" s="58">
        <f>IF('[41]سجل المستخلصات'!$AE$21="","",'[41]سجل المستخلصات'!$AE$21)</f>
        <v/>
      </c>
    </row>
    <row r="41">
      <c r="B41" s="56" t="n">
        <v>17</v>
      </c>
      <c r="C41" s="57">
        <f>IF('[41]سجل المستخلصات'!$C$22="","",'[41]سجل المستخلصات'!$C$22)</f>
        <v/>
      </c>
      <c r="D41" s="57">
        <f>IF('[41]سجل المستخلصات'!$E$22="","",'[41]سجل المستخلصات'!$E$22)</f>
        <v/>
      </c>
      <c r="E41" s="58">
        <f>IF('[41]سجل المستخلصات'!$F$22="","",'[41]سجل المستخلصات'!$F$22)</f>
        <v/>
      </c>
      <c r="F41" s="59">
        <f>IF('[41]سجل المستخلصات'!$H$22="","",'[41]سجل المستخلصات'!$H$22)</f>
        <v/>
      </c>
      <c r="G41" s="59">
        <f>IF('[41]سجل المستخلصات'!$G$22="","",'[41]سجل المستخلصات'!$G$22)</f>
        <v/>
      </c>
      <c r="H41" s="59">
        <f>IF('[41]سجل المستخلصات'!$I$22="","",'[41]سجل المستخلصات'!$I$22)</f>
        <v/>
      </c>
      <c r="I41" s="59">
        <f>IF('[41]سجل المستخلصات'!$J$22="","",'[41]سجل المستخلصات'!$J$22)</f>
        <v/>
      </c>
      <c r="J41" s="59">
        <f>IF('[41]سجل المستخلصات'!$K$22="","",'[41]سجل المستخلصات'!$K$22)</f>
        <v/>
      </c>
      <c r="K41" s="60">
        <f>IF('[41]سجل المستخلصات'!$L$22="","",'[41]سجل المستخلصات'!$L$22)</f>
        <v/>
      </c>
      <c r="L41" s="60">
        <f>IF('[41]سجل المستخلصات'!$M$22="","",'[41]سجل المستخلصات'!$M$22)</f>
        <v/>
      </c>
      <c r="M41" s="60">
        <f>IF('[41]سجل المستخلصات'!$N$22="","",'[41]سجل المستخلصات'!$N$22)</f>
        <v/>
      </c>
      <c r="N41" s="59">
        <f>IF('[41]سجل المستخلصات'!$O$22="","",'[41]سجل المستخلصات'!$O$22)</f>
        <v/>
      </c>
      <c r="O41" s="59">
        <f>IF('[41]سجل المستخلصات'!$R$22="","",'[41]سجل المستخلصات'!$R$22)</f>
        <v/>
      </c>
      <c r="P41" s="59">
        <f>IF('[41]سجل المستخلصات'!$S$22="","",'[41]سجل المستخلصات'!$S$22)</f>
        <v/>
      </c>
      <c r="Q41" s="59">
        <f>IF('[41]سجل المستخلصات'!$T$22="","",'[41]سجل المستخلصات'!$T$22)</f>
        <v/>
      </c>
      <c r="R41" s="59">
        <f>IF('[41]سجل المستخلصات'!$V$22="","",'[41]سجل المستخلصات'!$V$22)</f>
        <v/>
      </c>
      <c r="S41" s="59">
        <f>IF('[41]سجل المستخلصات'!$W$22="","",'[41]سجل المستخلصات'!$W$22)</f>
        <v/>
      </c>
      <c r="T41" s="61">
        <f>IF('[41]سجل المستخلصات'!$X$22="","",'[41]سجل المستخلصات'!$X$22)</f>
        <v/>
      </c>
      <c r="U41" s="61">
        <f>IF('[41]سجل المستخلصات'!$Z$22="","",'[41]سجل المستخلصات'!$Z$22)</f>
        <v/>
      </c>
      <c r="V41" s="59">
        <f>IF('[41]سجل المستخلصات'!$AA$22="","",'[41]سجل المستخلصات'!$AA$22)</f>
        <v/>
      </c>
      <c r="W41" s="59">
        <f>IF('[41]سجل المستخلصات'!$AC$22="","",'[41]سجل المستخلصات'!$AC$22)</f>
        <v/>
      </c>
      <c r="X41" s="62">
        <f>IF('[41]سجل المستخلصات'!$AD$22="","",'[41]سجل المستخلصات'!$AD$22)</f>
        <v/>
      </c>
      <c r="Y41" s="58">
        <f>IF('[41]سجل المستخلصات'!$AE$22="","",'[41]سجل المستخلصات'!$AE$22)</f>
        <v/>
      </c>
    </row>
    <row r="42">
      <c r="B42" s="56" t="n">
        <v>18</v>
      </c>
      <c r="C42" s="57">
        <f>IF('[41]سجل المستخلصات'!$C$23="","",'[41]سجل المستخلصات'!$C$23)</f>
        <v/>
      </c>
      <c r="D42" s="57">
        <f>IF('[41]سجل المستخلصات'!$E$23="","",'[41]سجل المستخلصات'!$E$23)</f>
        <v/>
      </c>
      <c r="E42" s="58">
        <f>IF('[41]سجل المستخلصات'!$F$23="","",'[41]سجل المستخلصات'!$F$23)</f>
        <v/>
      </c>
      <c r="F42" s="59">
        <f>IF('[41]سجل المستخلصات'!$H$23="","",'[41]سجل المستخلصات'!$H$23)</f>
        <v/>
      </c>
      <c r="G42" s="59">
        <f>IF('[41]سجل المستخلصات'!$G$23="","",'[41]سجل المستخلصات'!$G$23)</f>
        <v/>
      </c>
      <c r="H42" s="59">
        <f>IF('[41]سجل المستخلصات'!$I$23="","",'[41]سجل المستخلصات'!$I$23)</f>
        <v/>
      </c>
      <c r="I42" s="59">
        <f>IF('[41]سجل المستخلصات'!$J$23="","",'[41]سجل المستخلصات'!$J$23)</f>
        <v/>
      </c>
      <c r="J42" s="59">
        <f>IF('[41]سجل المستخلصات'!$K$23="","",'[41]سجل المستخلصات'!$K$23)</f>
        <v/>
      </c>
      <c r="K42" s="60">
        <f>IF('[41]سجل المستخلصات'!$L$23="","",'[41]سجل المستخلصات'!$L$23)</f>
        <v/>
      </c>
      <c r="L42" s="60">
        <f>IF('[41]سجل المستخلصات'!$M$23="","",'[41]سجل المستخلصات'!$M$23)</f>
        <v/>
      </c>
      <c r="M42" s="60">
        <f>IF('[41]سجل المستخلصات'!$N$23="","",'[41]سجل المستخلصات'!$N$23)</f>
        <v/>
      </c>
      <c r="N42" s="59">
        <f>IF('[41]سجل المستخلصات'!$O$23="","",'[41]سجل المستخلصات'!$O$23)</f>
        <v/>
      </c>
      <c r="O42" s="59">
        <f>IF('[41]سجل المستخلصات'!$R$23="","",'[41]سجل المستخلصات'!$R$23)</f>
        <v/>
      </c>
      <c r="P42" s="59">
        <f>IF('[41]سجل المستخلصات'!$S$23="","",'[41]سجل المستخلصات'!$S$23)</f>
        <v/>
      </c>
      <c r="Q42" s="59">
        <f>IF('[41]سجل المستخلصات'!$T$23="","",'[41]سجل المستخلصات'!$T$23)</f>
        <v/>
      </c>
      <c r="R42" s="59">
        <f>IF('[41]سجل المستخلصات'!$V$23="","",'[41]سجل المستخلصات'!$V$23)</f>
        <v/>
      </c>
      <c r="S42" s="59">
        <f>IF('[41]سجل المستخلصات'!$W$23="","",'[41]سجل المستخلصات'!$W$23)</f>
        <v/>
      </c>
      <c r="T42" s="61">
        <f>IF('[41]سجل المستخلصات'!$X$23="","",'[41]سجل المستخلصات'!$X$23)</f>
        <v/>
      </c>
      <c r="U42" s="61">
        <f>IF('[41]سجل المستخلصات'!$Z$23="","",'[41]سجل المستخلصات'!$Z$23)</f>
        <v/>
      </c>
      <c r="V42" s="59">
        <f>IF('[41]سجل المستخلصات'!$AA$23="","",'[41]سجل المستخلصات'!$AA$23)</f>
        <v/>
      </c>
      <c r="W42" s="59">
        <f>IF('[41]سجل المستخلصات'!$AC$23="","",'[41]سجل المستخلصات'!$AC$23)</f>
        <v/>
      </c>
      <c r="X42" s="62">
        <f>IF('[41]سجل المستخلصات'!$AD$23="","",'[41]سجل المستخلصات'!$AD$23)</f>
        <v/>
      </c>
      <c r="Y42" s="58">
        <f>IF('[41]سجل المستخلصات'!$AE$23="","",'[41]سجل المستخلصات'!$AE$23)</f>
        <v/>
      </c>
    </row>
    <row r="43">
      <c r="B43" s="56" t="n">
        <v>19</v>
      </c>
      <c r="C43" s="57">
        <f>IF('[41]سجل المستخلصات'!$C$24="","",'[41]سجل المستخلصات'!$C$24)</f>
        <v/>
      </c>
      <c r="D43" s="57">
        <f>IF('[41]سجل المستخلصات'!$E$24="","",'[41]سجل المستخلصات'!$E$24)</f>
        <v/>
      </c>
      <c r="E43" s="58">
        <f>IF('[41]سجل المستخلصات'!$F$24="","",'[41]سجل المستخلصات'!$F$24)</f>
        <v/>
      </c>
      <c r="F43" s="59">
        <f>IF('[41]سجل المستخلصات'!$H$24="","",'[41]سجل المستخلصات'!$H$24)</f>
        <v/>
      </c>
      <c r="G43" s="59">
        <f>IF('[41]سجل المستخلصات'!$G$24="","",'[41]سجل المستخلصات'!$G$24)</f>
        <v/>
      </c>
      <c r="H43" s="59">
        <f>IF('[41]سجل المستخلصات'!$I$24="","",'[41]سجل المستخلصات'!$I$24)</f>
        <v/>
      </c>
      <c r="I43" s="59">
        <f>IF('[41]سجل المستخلصات'!$J$24="","",'[41]سجل المستخلصات'!$J$24)</f>
        <v/>
      </c>
      <c r="J43" s="59">
        <f>IF('[41]سجل المستخلصات'!$K$24="","",'[41]سجل المستخلصات'!$K$24)</f>
        <v/>
      </c>
      <c r="K43" s="60">
        <f>IF('[41]سجل المستخلصات'!$L$24="","",'[41]سجل المستخلصات'!$L$24)</f>
        <v/>
      </c>
      <c r="L43" s="60">
        <f>IF('[41]سجل المستخلصات'!$M$24="","",'[41]سجل المستخلصات'!$M$24)</f>
        <v/>
      </c>
      <c r="M43" s="60">
        <f>IF('[41]سجل المستخلصات'!$N$24="","",'[41]سجل المستخلصات'!$N$24)</f>
        <v/>
      </c>
      <c r="N43" s="59">
        <f>IF('[41]سجل المستخلصات'!$O$24="","",'[41]سجل المستخلصات'!$O$24)</f>
        <v/>
      </c>
      <c r="O43" s="59">
        <f>IF('[41]سجل المستخلصات'!$R$24="","",'[41]سجل المستخلصات'!$R$24)</f>
        <v/>
      </c>
      <c r="P43" s="59">
        <f>IF('[41]سجل المستخلصات'!$S$24="","",'[41]سجل المستخلصات'!$S$24)</f>
        <v/>
      </c>
      <c r="Q43" s="59">
        <f>IF('[41]سجل المستخلصات'!$T$24="","",'[41]سجل المستخلصات'!$T$24)</f>
        <v/>
      </c>
      <c r="R43" s="59">
        <f>IF('[41]سجل المستخلصات'!$V$24="","",'[41]سجل المستخلصات'!$V$24)</f>
        <v/>
      </c>
      <c r="S43" s="59">
        <f>IF('[41]سجل المستخلصات'!$W$24="","",'[41]سجل المستخلصات'!$W$24)</f>
        <v/>
      </c>
      <c r="T43" s="61">
        <f>IF('[41]سجل المستخلصات'!$X$24="","",'[41]سجل المستخلصات'!$X$24)</f>
        <v/>
      </c>
      <c r="U43" s="61">
        <f>IF('[41]سجل المستخلصات'!$Z$24="","",'[41]سجل المستخلصات'!$Z$24)</f>
        <v/>
      </c>
      <c r="V43" s="59">
        <f>IF('[41]سجل المستخلصات'!$AA$24="","",'[41]سجل المستخلصات'!$AA$24)</f>
        <v/>
      </c>
      <c r="W43" s="59">
        <f>IF('[41]سجل المستخلصات'!$AC$24="","",'[41]سجل المستخلصات'!$AC$24)</f>
        <v/>
      </c>
      <c r="X43" s="62">
        <f>IF('[41]سجل المستخلصات'!$AD$24="","",'[41]سجل المستخلصات'!$AD$24)</f>
        <v/>
      </c>
      <c r="Y43" s="58">
        <f>IF('[41]سجل المستخلصات'!$AE$24="","",'[41]سجل المستخلصات'!$AE$24)</f>
        <v/>
      </c>
    </row>
    <row r="44">
      <c r="B44" s="56" t="n">
        <v>20</v>
      </c>
      <c r="C44" s="57">
        <f>IF('[41]سجل المستخلصات'!$C$25="","",'[41]سجل المستخلصات'!$C$25)</f>
        <v/>
      </c>
      <c r="D44" s="57">
        <f>IF('[41]سجل المستخلصات'!$E$25="","",'[41]سجل المستخلصات'!$E$25)</f>
        <v/>
      </c>
      <c r="E44" s="58">
        <f>IF('[41]سجل المستخلصات'!$F$25="","",'[41]سجل المستخلصات'!$F$25)</f>
        <v/>
      </c>
      <c r="F44" s="59">
        <f>IF('[41]سجل المستخلصات'!$H$25="","",'[41]سجل المستخلصات'!$H$25)</f>
        <v/>
      </c>
      <c r="G44" s="59">
        <f>IF('[41]سجل المستخلصات'!$G$25="","",'[41]سجل المستخلصات'!$G$25)</f>
        <v/>
      </c>
      <c r="H44" s="59">
        <f>IF('[41]سجل المستخلصات'!$I$25="","",'[41]سجل المستخلصات'!$I$25)</f>
        <v/>
      </c>
      <c r="I44" s="59">
        <f>IF('[41]سجل المستخلصات'!$J$25="","",'[41]سجل المستخلصات'!$J$25)</f>
        <v/>
      </c>
      <c r="J44" s="59">
        <f>IF('[41]سجل المستخلصات'!$K$25="","",'[41]سجل المستخلصات'!$K$25)</f>
        <v/>
      </c>
      <c r="K44" s="60">
        <f>IF('[41]سجل المستخلصات'!$L$25="","",'[41]سجل المستخلصات'!$L$25)</f>
        <v/>
      </c>
      <c r="L44" s="60">
        <f>IF('[41]سجل المستخلصات'!$M$25="","",'[41]سجل المستخلصات'!$M$25)</f>
        <v/>
      </c>
      <c r="M44" s="60">
        <f>IF('[41]سجل المستخلصات'!$N$25="","",'[41]سجل المستخلصات'!$N$25)</f>
        <v/>
      </c>
      <c r="N44" s="59">
        <f>IF('[41]سجل المستخلصات'!$O$25="","",'[41]سجل المستخلصات'!$O$25)</f>
        <v/>
      </c>
      <c r="O44" s="59">
        <f>IF('[41]سجل المستخلصات'!$R$25="","",'[41]سجل المستخلصات'!$R$25)</f>
        <v/>
      </c>
      <c r="P44" s="59">
        <f>IF('[41]سجل المستخلصات'!$S$25="","",'[41]سجل المستخلصات'!$S$25)</f>
        <v/>
      </c>
      <c r="Q44" s="59">
        <f>IF('[41]سجل المستخلصات'!$T$25="","",'[41]سجل المستخلصات'!$T$25)</f>
        <v/>
      </c>
      <c r="R44" s="59">
        <f>IF('[41]سجل المستخلصات'!$V$25="","",'[41]سجل المستخلصات'!$V$25)</f>
        <v/>
      </c>
      <c r="S44" s="59">
        <f>IF('[41]سجل المستخلصات'!$W$25="","",'[41]سجل المستخلصات'!$W$25)</f>
        <v/>
      </c>
      <c r="T44" s="61">
        <f>IF('[41]سجل المستخلصات'!$X$25="","",'[41]سجل المستخلصات'!$X$25)</f>
        <v/>
      </c>
      <c r="U44" s="61">
        <f>IF('[41]سجل المستخلصات'!$Z$25="","",'[41]سجل المستخلصات'!$Z$25)</f>
        <v/>
      </c>
      <c r="V44" s="59">
        <f>IF('[41]سجل المستخلصات'!$AA$25="","",'[41]سجل المستخلصات'!$AA$25)</f>
        <v/>
      </c>
      <c r="W44" s="59">
        <f>IF('[41]سجل المستخلصات'!$AC$25="","",'[41]سجل المستخلصات'!$AC$25)</f>
        <v/>
      </c>
      <c r="X44" s="62">
        <f>IF('[41]سجل المستخلصات'!$AD$25="","",'[41]سجل المستخلصات'!$AD$25)</f>
        <v/>
      </c>
      <c r="Y44" s="58">
        <f>IF('[41]سجل المستخلصات'!$AE$25="","",'[41]سجل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IF('[41]سجل المستخلصات'!$B$32="","",'[41]سجل المستخلصات'!$B$32)</f>
        <v/>
      </c>
      <c r="C50" s="69" t="n"/>
      <c r="D50" s="69" t="n"/>
      <c r="E50" s="59">
        <f>N('[41]سجل المستخلصات'!$E$32)</f>
        <v/>
      </c>
      <c r="F50" s="59">
        <f>N('[41]سجل المستخلصات'!$F$32)</f>
        <v/>
      </c>
      <c r="G50" s="70">
        <f>IF(E50&gt;0,F50/E50,0)</f>
        <v/>
      </c>
    </row>
    <row r="51">
      <c r="B51" s="69">
        <f>IF('[41]سجل المستخلصات'!$B$33="","",'[41]سجل المستخلصات'!$B$33)</f>
        <v/>
      </c>
      <c r="C51" s="69" t="n"/>
      <c r="D51" s="69" t="n"/>
      <c r="E51" s="59">
        <f>N('[41]سجل المستخلصات'!$E$33)</f>
        <v/>
      </c>
      <c r="F51" s="59">
        <f>N('[41]سجل المستخلصات'!$F$33)</f>
        <v/>
      </c>
      <c r="G51" s="70">
        <f>IF(E51&gt;0,F51/E51,0)</f>
        <v/>
      </c>
    </row>
    <row r="52">
      <c r="B52" s="69">
        <f>IF('[41]سجل المستخلصات'!$B$34="","",'[41]سجل المستخلصات'!$B$34)</f>
        <v/>
      </c>
      <c r="C52" s="69" t="n"/>
      <c r="D52" s="69" t="n"/>
      <c r="E52" s="59">
        <f>N('[41]سجل المستخلصات'!$E$34)</f>
        <v/>
      </c>
      <c r="F52" s="59">
        <f>N('[41]سجل المستخلصات'!$F$34)</f>
        <v/>
      </c>
      <c r="G52" s="70">
        <f>IF(E52&gt;0,F52/E52,0)</f>
        <v/>
      </c>
    </row>
    <row r="53">
      <c r="B53" s="69">
        <f>IF('[41]سجل المستخلصات'!$B$35="","",'[41]سجل المستخلصات'!$B$35)</f>
        <v/>
      </c>
      <c r="C53" s="69" t="n"/>
      <c r="D53" s="69" t="n"/>
      <c r="E53" s="59">
        <f>N('[41]سجل المستخلصات'!$E$35)</f>
        <v/>
      </c>
      <c r="F53" s="59">
        <f>N('[41]سجل المستخلصات'!$F$35)</f>
        <v/>
      </c>
      <c r="G53" s="70">
        <f>IF(E53&gt;0,F53/E53,0)</f>
        <v/>
      </c>
    </row>
    <row r="54">
      <c r="B54" s="69">
        <f>IF('[41]سجل المستخلصات'!$B$36="","",'[41]سجل المستخلصات'!$B$36)</f>
        <v/>
      </c>
      <c r="C54" s="69" t="n"/>
      <c r="D54" s="69" t="n"/>
      <c r="E54" s="59">
        <f>N('[41]سجل المستخلصات'!$E$36)</f>
        <v/>
      </c>
      <c r="F54" s="59">
        <f>N('[41]سجل المستخلصات'!$F$36)</f>
        <v/>
      </c>
      <c r="G54" s="70">
        <f>IF(E54&gt;0,F54/E54,0)</f>
        <v/>
      </c>
    </row>
    <row r="55">
      <c r="B55" s="69">
        <f>IF('[41]سجل المستخلصات'!$B$37="","",'[41]سجل المستخلصات'!$B$37)</f>
        <v/>
      </c>
      <c r="C55" s="69" t="n"/>
      <c r="D55" s="69" t="n"/>
      <c r="E55" s="59">
        <f>N('[41]سجل المستخلصات'!$E$37)</f>
        <v/>
      </c>
      <c r="F55" s="59">
        <f>N('[41]سجل المستخلصات'!$F$37)</f>
        <v/>
      </c>
      <c r="G55" s="70">
        <f>IF(E55&gt;0,F55/E55,0)</f>
        <v/>
      </c>
    </row>
    <row r="56">
      <c r="B56" s="69">
        <f>IF('[41]سجل المستخلصات'!$B$38="","",'[41]سجل المستخلصات'!$B$38)</f>
        <v/>
      </c>
      <c r="C56" s="69" t="n"/>
      <c r="D56" s="69" t="n"/>
      <c r="E56" s="59">
        <f>N('[41]سجل المستخلصات'!$E$38)</f>
        <v/>
      </c>
      <c r="F56" s="59">
        <f>N('[41]سجل المستخلصات'!$F$38)</f>
        <v/>
      </c>
      <c r="G56" s="70">
        <f>IF(E56&gt;0,F56/E56,0)</f>
        <v/>
      </c>
    </row>
    <row r="57">
      <c r="B57" s="69">
        <f>IF('[41]سجل المستخلصات'!$B$39="","",'[41]سجل المستخلصات'!$B$39)</f>
        <v/>
      </c>
      <c r="C57" s="69" t="n"/>
      <c r="D57" s="69" t="n"/>
      <c r="E57" s="59">
        <f>N('[41]سجل المستخلصات'!$E$39)</f>
        <v/>
      </c>
      <c r="F57" s="59">
        <f>N('[41]سجل المستخلصات'!$F$39)</f>
        <v/>
      </c>
      <c r="G57" s="70">
        <f>IF(E57&gt;0,F57/E57,0)</f>
        <v/>
      </c>
    </row>
    <row r="58">
      <c r="B58" s="69">
        <f>IF('[41]سجل المستخلصات'!$B$40="","",'[41]سجل المستخلصات'!$B$40)</f>
        <v/>
      </c>
      <c r="C58" s="69" t="n"/>
      <c r="D58" s="69" t="n"/>
      <c r="E58" s="59">
        <f>N('[41]سجل المستخلصات'!$E$40)</f>
        <v/>
      </c>
      <c r="F58" s="59">
        <f>N('[41]سجل المستخلصات'!$F$40)</f>
        <v/>
      </c>
      <c r="G58" s="70">
        <f>IF(E58&gt;0,F58/E58,0)</f>
        <v/>
      </c>
    </row>
    <row r="59">
      <c r="B59" s="69">
        <f>IF('[41]سجل المستخلصات'!$B$41="","",'[41]سجل المستخلصات'!$B$41)</f>
        <v/>
      </c>
      <c r="C59" s="69" t="n"/>
      <c r="D59" s="69" t="n"/>
      <c r="E59" s="59">
        <f>N('[41]سجل المستخلصات'!$E$41)</f>
        <v/>
      </c>
      <c r="F59" s="59">
        <f>N('[41]سجل المستخلصات'!$F$41)</f>
        <v/>
      </c>
      <c r="G59" s="70">
        <f>IF(E59&gt;0,F59/E59,0)</f>
        <v/>
      </c>
    </row>
    <row r="60">
      <c r="B60" s="69">
        <f>IF('[41]سجل المستخلصات'!$B$42="","",'[41]سجل المستخلصات'!$B$42)</f>
        <v/>
      </c>
      <c r="C60" s="69" t="n"/>
      <c r="D60" s="69" t="n"/>
      <c r="E60" s="59">
        <f>N('[41]سجل المستخلصات'!$E$42)</f>
        <v/>
      </c>
      <c r="F60" s="59">
        <f>N('[41]سجل المستخلصات'!$F$42)</f>
        <v/>
      </c>
      <c r="G60" s="70">
        <f>IF(E60&gt;0,F60/E60,0)</f>
        <v/>
      </c>
    </row>
    <row r="61">
      <c r="B61" s="69">
        <f>IF('[41]سجل المستخلصات'!$B$43="","",'[41]سجل المستخلصات'!$B$43)</f>
        <v/>
      </c>
      <c r="C61" s="69" t="n"/>
      <c r="D61" s="69" t="n"/>
      <c r="E61" s="59">
        <f>N('[41]سجل المستخلصات'!$E$43)</f>
        <v/>
      </c>
      <c r="F61" s="59">
        <f>N('[41]سجل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40'!A1" display="◄ المشروع السابق"/>
    <hyperlink ref="D3" location="'مشروع 42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4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"&amp;IF('[42]بيانات العقد'!$C$5="","مشروع رقم 42 — غير مُفعّل",'[42]بيانات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Project_42/IPC_Project_42.xlsx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IF('[42]بيانات العقد'!$C$5="","",'[42]بيانات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IF('[42]بيانات العقد'!$C$6="","",'[42]بيانات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IF('[42]بيانات العقد'!$C$7="","",'[42]بيانات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IF('[42]بيانات العقد'!$C$8="","",'[42]بيانات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N('[42]بيانات العقد'!$C$16)</f>
        <v/>
      </c>
    </row>
    <row r="6" ht="22" customHeight="1">
      <c r="B6" s="11" t="inlineStr">
        <is>
          <t>المقاول</t>
        </is>
      </c>
      <c r="C6" s="14">
        <f>IF('[42]بيانات العقد'!$C$9="","",'[42]بيانات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IF('[42]بيانات العقد'!$C$11="","",'[42]بيانات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IF('[42]بيانات العقد'!$C$13="","",'[42]بيانات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IF('[42]بيانات العقد'!$C$14="","",'[42]بيانات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N('[42]بيانات العقد'!$C$17)</f>
        <v/>
      </c>
    </row>
    <row r="7">
      <c r="AA7" s="15" t="inlineStr">
        <is>
          <t>قيمة العقد المعدلة</t>
        </is>
      </c>
      <c r="AB7" s="16">
        <f>N('[42]بيانات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N('[42]بيانات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N('[42]بيانات العقد'!$C$21)</f>
        <v/>
      </c>
    </row>
    <row r="10">
      <c r="AA10" s="15" t="inlineStr">
        <is>
          <t>نسبة ضمان الأعمال</t>
        </is>
      </c>
      <c r="AB10" s="23">
        <f>N('[42]بيانات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N('[42]بيانات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N('[42]بيانات العقد'!$C$31)</f>
        <v/>
      </c>
    </row>
    <row r="13">
      <c r="AA13" s="15" t="inlineStr">
        <is>
          <t>ضريبة الاستقطاع (غير المقيم)</t>
        </is>
      </c>
      <c r="AB13" s="23">
        <f>N('[42]بيانات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IF('[42]بيانات العقد'!$C$11="","",'[42]بيانات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IF('[42]بيانات العقد'!$C$13="","",'[42]بيانات العقد'!$C$13)</f>
        <v/>
      </c>
    </row>
    <row r="16">
      <c r="AA16" s="15" t="inlineStr">
        <is>
          <t>المدة (شهر)</t>
        </is>
      </c>
      <c r="AB16" s="43">
        <f>IF('[42]بيانات العقد'!$C$12="","",'[42]بيانات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IF('[42]بيانات العقد'!$C$36="","",'[42]بيانات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IF('[42]بيانات العقد'!$C$37="","",'[42]بيانات العقد'!$C$37)</f>
        <v/>
      </c>
    </row>
    <row r="19">
      <c r="AA19" s="15" t="inlineStr">
        <is>
          <t>الرقم الضريبي لصاحب العمل</t>
        </is>
      </c>
      <c r="AB19" s="48">
        <f>IF('[42]بيانات العقد'!$C$39="","",'[42]بيانات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IF('[42]بيانات العقد'!$C$42="","",'[42]بيانات العقد'!$C$42)</f>
        <v/>
      </c>
    </row>
    <row r="21" ht="32" customHeight="1">
      <c r="B21" s="50">
        <f>N('[42]الموازنة والتكاليف'!$D$66)</f>
        <v/>
      </c>
      <c r="C21" s="50" t="n"/>
      <c r="D21" s="50" t="n"/>
      <c r="E21" s="50" t="n"/>
      <c r="F21" s="50">
        <f>N('[42]الموازنة والتكاليف'!$D$70)</f>
        <v/>
      </c>
      <c r="G21" s="50" t="n"/>
      <c r="H21" s="50" t="n"/>
      <c r="I21" s="50" t="n"/>
      <c r="J21" s="50">
        <f>N('[42]الموازنة والتكاليف'!$D$72)</f>
        <v/>
      </c>
      <c r="K21" s="50" t="n"/>
      <c r="L21" s="50" t="n"/>
      <c r="M21" s="50" t="n"/>
      <c r="N21" s="51">
        <f>N('[42]الموازنة والتكاليف'!$D$73)</f>
        <v/>
      </c>
      <c r="O21" s="51" t="n"/>
      <c r="P21" s="51" t="n"/>
      <c r="Q21" s="51" t="n"/>
      <c r="R21" s="52">
        <f>N('[42]الموازنة والتكاليف'!$D$74)</f>
        <v/>
      </c>
      <c r="S21" s="52" t="n"/>
      <c r="T21" s="52" t="n"/>
      <c r="U21" s="52" t="n"/>
      <c r="V21" s="50">
        <f>N('[42]الموازنة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IF('[42]بيانات العقد'!$C$43="","",'[42]بيانات العقد'!$C$43)</f>
        <v/>
      </c>
    </row>
    <row r="22">
      <c r="AA22" s="15" t="inlineStr">
        <is>
          <t>حالة غرامات التأخير</t>
        </is>
      </c>
      <c r="AB22" s="45">
        <f>IF('[42]بيانات العقد'!$C$47="","",'[42]بيانات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IF('[42]سجل المستخلصات'!$C$6="","",'[42]سجل المستخلصات'!$C$6)</f>
        <v/>
      </c>
      <c r="D25" s="57">
        <f>IF('[42]سجل المستخلصات'!$E$6="","",'[42]سجل المستخلصات'!$E$6)</f>
        <v/>
      </c>
      <c r="E25" s="58">
        <f>IF('[42]سجل المستخلصات'!$F$6="","",'[42]سجل المستخلصات'!$F$6)</f>
        <v/>
      </c>
      <c r="F25" s="59">
        <f>IF('[42]سجل المستخلصات'!$H$6="","",'[42]سجل المستخلصات'!$H$6)</f>
        <v/>
      </c>
      <c r="G25" s="59">
        <f>IF('[42]سجل المستخلصات'!$G$6="","",'[42]سجل المستخلصات'!$G$6)</f>
        <v/>
      </c>
      <c r="H25" s="59">
        <f>IF('[42]سجل المستخلصات'!$I$6="","",'[42]سجل المستخلصات'!$I$6)</f>
        <v/>
      </c>
      <c r="I25" s="59">
        <f>IF('[42]سجل المستخلصات'!$J$6="","",'[42]سجل المستخلصات'!$J$6)</f>
        <v/>
      </c>
      <c r="J25" s="59">
        <f>IF('[42]سجل المستخلصات'!$K$6="","",'[42]سجل المستخلصات'!$K$6)</f>
        <v/>
      </c>
      <c r="K25" s="60">
        <f>IF('[42]سجل المستخلصات'!$L$6="","",'[42]سجل المستخلصات'!$L$6)</f>
        <v/>
      </c>
      <c r="L25" s="60">
        <f>IF('[42]سجل المستخلصات'!$M$6="","",'[42]سجل المستخلصات'!$M$6)</f>
        <v/>
      </c>
      <c r="M25" s="60">
        <f>IF('[42]سجل المستخلصات'!$N$6="","",'[42]سجل المستخلصات'!$N$6)</f>
        <v/>
      </c>
      <c r="N25" s="59">
        <f>IF('[42]سجل المستخلصات'!$O$6="","",'[42]سجل المستخلصات'!$O$6)</f>
        <v/>
      </c>
      <c r="O25" s="59">
        <f>IF('[42]سجل المستخلصات'!$R$6="","",'[42]سجل المستخلصات'!$R$6)</f>
        <v/>
      </c>
      <c r="P25" s="59">
        <f>IF('[42]سجل المستخلصات'!$S$6="","",'[42]سجل المستخلصات'!$S$6)</f>
        <v/>
      </c>
      <c r="Q25" s="59">
        <f>IF('[42]سجل المستخلصات'!$T$6="","",'[42]سجل المستخلصات'!$T$6)</f>
        <v/>
      </c>
      <c r="R25" s="59">
        <f>IF('[42]سجل المستخلصات'!$V$6="","",'[42]سجل المستخلصات'!$V$6)</f>
        <v/>
      </c>
      <c r="S25" s="59">
        <f>IF('[42]سجل المستخلصات'!$W$6="","",'[42]سجل المستخلصات'!$W$6)</f>
        <v/>
      </c>
      <c r="T25" s="61">
        <f>IF('[42]سجل المستخلصات'!$X$6="","",'[42]سجل المستخلصات'!$X$6)</f>
        <v/>
      </c>
      <c r="U25" s="61">
        <f>IF('[42]سجل المستخلصات'!$Z$6="","",'[42]سجل المستخلصات'!$Z$6)</f>
        <v/>
      </c>
      <c r="V25" s="59">
        <f>IF('[42]سجل المستخلصات'!$AA$6="","",'[42]سجل المستخلصات'!$AA$6)</f>
        <v/>
      </c>
      <c r="W25" s="59">
        <f>IF('[42]سجل المستخلصات'!$AC$6="","",'[42]سجل المستخلصات'!$AC$6)</f>
        <v/>
      </c>
      <c r="X25" s="62">
        <f>IF('[42]سجل المستخلصات'!$AD$6="","",'[42]سجل المستخلصات'!$AD$6)</f>
        <v/>
      </c>
      <c r="Y25" s="58">
        <f>IF('[42]سجل المستخلصات'!$AE$6="","",'[42]سجل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IF('[42]سجل المستخلصات'!$C$7="","",'[42]سجل المستخلصات'!$C$7)</f>
        <v/>
      </c>
      <c r="D26" s="57">
        <f>IF('[42]سجل المستخلصات'!$E$7="","",'[42]سجل المستخلصات'!$E$7)</f>
        <v/>
      </c>
      <c r="E26" s="58">
        <f>IF('[42]سجل المستخلصات'!$F$7="","",'[42]سجل المستخلصات'!$F$7)</f>
        <v/>
      </c>
      <c r="F26" s="59">
        <f>IF('[42]سجل المستخلصات'!$H$7="","",'[42]سجل المستخلصات'!$H$7)</f>
        <v/>
      </c>
      <c r="G26" s="59">
        <f>IF('[42]سجل المستخلصات'!$G$7="","",'[42]سجل المستخلصات'!$G$7)</f>
        <v/>
      </c>
      <c r="H26" s="59">
        <f>IF('[42]سجل المستخلصات'!$I$7="","",'[42]سجل المستخلصات'!$I$7)</f>
        <v/>
      </c>
      <c r="I26" s="59">
        <f>IF('[42]سجل المستخلصات'!$J$7="","",'[42]سجل المستخلصات'!$J$7)</f>
        <v/>
      </c>
      <c r="J26" s="59">
        <f>IF('[42]سجل المستخلصات'!$K$7="","",'[42]سجل المستخلصات'!$K$7)</f>
        <v/>
      </c>
      <c r="K26" s="60">
        <f>IF('[42]سجل المستخلصات'!$L$7="","",'[42]سجل المستخلصات'!$L$7)</f>
        <v/>
      </c>
      <c r="L26" s="60">
        <f>IF('[42]سجل المستخلصات'!$M$7="","",'[42]سجل المستخلصات'!$M$7)</f>
        <v/>
      </c>
      <c r="M26" s="60">
        <f>IF('[42]سجل المستخلصات'!$N$7="","",'[42]سجل المستخلصات'!$N$7)</f>
        <v/>
      </c>
      <c r="N26" s="59">
        <f>IF('[42]سجل المستخلصات'!$O$7="","",'[42]سجل المستخلصات'!$O$7)</f>
        <v/>
      </c>
      <c r="O26" s="59">
        <f>IF('[42]سجل المستخلصات'!$R$7="","",'[42]سجل المستخلصات'!$R$7)</f>
        <v/>
      </c>
      <c r="P26" s="59">
        <f>IF('[42]سجل المستخلصات'!$S$7="","",'[42]سجل المستخلصات'!$S$7)</f>
        <v/>
      </c>
      <c r="Q26" s="59">
        <f>IF('[42]سجل المستخلصات'!$T$7="","",'[42]سجل المستخلصات'!$T$7)</f>
        <v/>
      </c>
      <c r="R26" s="59">
        <f>IF('[42]سجل المستخلصات'!$V$7="","",'[42]سجل المستخلصات'!$V$7)</f>
        <v/>
      </c>
      <c r="S26" s="59">
        <f>IF('[42]سجل المستخلصات'!$W$7="","",'[42]سجل المستخلصات'!$W$7)</f>
        <v/>
      </c>
      <c r="T26" s="61">
        <f>IF('[42]سجل المستخلصات'!$X$7="","",'[42]سجل المستخلصات'!$X$7)</f>
        <v/>
      </c>
      <c r="U26" s="61">
        <f>IF('[42]سجل المستخلصات'!$Z$7="","",'[42]سجل المستخلصات'!$Z$7)</f>
        <v/>
      </c>
      <c r="V26" s="59">
        <f>IF('[42]سجل المستخلصات'!$AA$7="","",'[42]سجل المستخلصات'!$AA$7)</f>
        <v/>
      </c>
      <c r="W26" s="59">
        <f>IF('[42]سجل المستخلصات'!$AC$7="","",'[42]سجل المستخلصات'!$AC$7)</f>
        <v/>
      </c>
      <c r="X26" s="62">
        <f>IF('[42]سجل المستخلصات'!$AD$7="","",'[42]سجل المستخلصات'!$AD$7)</f>
        <v/>
      </c>
      <c r="Y26" s="58">
        <f>IF('[42]سجل المستخلصات'!$AE$7="","",'[42]سجل المستخلصات'!$AE$7)</f>
        <v/>
      </c>
      <c r="AA26" s="63" t="n"/>
      <c r="AB26" s="63" t="n"/>
    </row>
    <row r="27">
      <c r="B27" s="56" t="n">
        <v>3</v>
      </c>
      <c r="C27" s="57">
        <f>IF('[42]سجل المستخلصات'!$C$8="","",'[42]سجل المستخلصات'!$C$8)</f>
        <v/>
      </c>
      <c r="D27" s="57">
        <f>IF('[42]سجل المستخلصات'!$E$8="","",'[42]سجل المستخلصات'!$E$8)</f>
        <v/>
      </c>
      <c r="E27" s="58">
        <f>IF('[42]سجل المستخلصات'!$F$8="","",'[42]سجل المستخلصات'!$F$8)</f>
        <v/>
      </c>
      <c r="F27" s="59">
        <f>IF('[42]سجل المستخلصات'!$H$8="","",'[42]سجل المستخلصات'!$H$8)</f>
        <v/>
      </c>
      <c r="G27" s="59">
        <f>IF('[42]سجل المستخلصات'!$G$8="","",'[42]سجل المستخلصات'!$G$8)</f>
        <v/>
      </c>
      <c r="H27" s="59">
        <f>IF('[42]سجل المستخلصات'!$I$8="","",'[42]سجل المستخلصات'!$I$8)</f>
        <v/>
      </c>
      <c r="I27" s="59">
        <f>IF('[42]سجل المستخلصات'!$J$8="","",'[42]سجل المستخلصات'!$J$8)</f>
        <v/>
      </c>
      <c r="J27" s="59">
        <f>IF('[42]سجل المستخلصات'!$K$8="","",'[42]سجل المستخلصات'!$K$8)</f>
        <v/>
      </c>
      <c r="K27" s="60">
        <f>IF('[42]سجل المستخلصات'!$L$8="","",'[42]سجل المستخلصات'!$L$8)</f>
        <v/>
      </c>
      <c r="L27" s="60">
        <f>IF('[42]سجل المستخلصات'!$M$8="","",'[42]سجل المستخلصات'!$M$8)</f>
        <v/>
      </c>
      <c r="M27" s="60">
        <f>IF('[42]سجل المستخلصات'!$N$8="","",'[42]سجل المستخلصات'!$N$8)</f>
        <v/>
      </c>
      <c r="N27" s="59">
        <f>IF('[42]سجل المستخلصات'!$O$8="","",'[42]سجل المستخلصات'!$O$8)</f>
        <v/>
      </c>
      <c r="O27" s="59">
        <f>IF('[42]سجل المستخلصات'!$R$8="","",'[42]سجل المستخلصات'!$R$8)</f>
        <v/>
      </c>
      <c r="P27" s="59">
        <f>IF('[42]سجل المستخلصات'!$S$8="","",'[42]سجل المستخلصات'!$S$8)</f>
        <v/>
      </c>
      <c r="Q27" s="59">
        <f>IF('[42]سجل المستخلصات'!$T$8="","",'[42]سجل المستخلصات'!$T$8)</f>
        <v/>
      </c>
      <c r="R27" s="59">
        <f>IF('[42]سجل المستخلصات'!$V$8="","",'[42]سجل المستخلصات'!$V$8)</f>
        <v/>
      </c>
      <c r="S27" s="59">
        <f>IF('[42]سجل المستخلصات'!$W$8="","",'[42]سجل المستخلصات'!$W$8)</f>
        <v/>
      </c>
      <c r="T27" s="61">
        <f>IF('[42]سجل المستخلصات'!$X$8="","",'[42]سجل المستخلصات'!$X$8)</f>
        <v/>
      </c>
      <c r="U27" s="61">
        <f>IF('[42]سجل المستخلصات'!$Z$8="","",'[42]سجل المستخلصات'!$Z$8)</f>
        <v/>
      </c>
      <c r="V27" s="59">
        <f>IF('[42]سجل المستخلصات'!$AA$8="","",'[42]سجل المستخلصات'!$AA$8)</f>
        <v/>
      </c>
      <c r="W27" s="59">
        <f>IF('[42]سجل المستخلصات'!$AC$8="","",'[42]سجل المستخلصات'!$AC$8)</f>
        <v/>
      </c>
      <c r="X27" s="62">
        <f>IF('[42]سجل المستخلصات'!$AD$8="","",'[42]سجل المستخلصات'!$AD$8)</f>
        <v/>
      </c>
      <c r="Y27" s="58">
        <f>IF('[42]سجل المستخلصات'!$AE$8="","",'[42]سجل المستخلصات'!$AE$8)</f>
        <v/>
      </c>
      <c r="AA27" s="63" t="n"/>
      <c r="AB27" s="63" t="n"/>
    </row>
    <row r="28">
      <c r="B28" s="56" t="n">
        <v>4</v>
      </c>
      <c r="C28" s="57">
        <f>IF('[42]سجل المستخلصات'!$C$9="","",'[42]سجل المستخلصات'!$C$9)</f>
        <v/>
      </c>
      <c r="D28" s="57">
        <f>IF('[42]سجل المستخلصات'!$E$9="","",'[42]سجل المستخلصات'!$E$9)</f>
        <v/>
      </c>
      <c r="E28" s="58">
        <f>IF('[42]سجل المستخلصات'!$F$9="","",'[42]سجل المستخلصات'!$F$9)</f>
        <v/>
      </c>
      <c r="F28" s="59">
        <f>IF('[42]سجل المستخلصات'!$H$9="","",'[42]سجل المستخلصات'!$H$9)</f>
        <v/>
      </c>
      <c r="G28" s="59">
        <f>IF('[42]سجل المستخلصات'!$G$9="","",'[42]سجل المستخلصات'!$G$9)</f>
        <v/>
      </c>
      <c r="H28" s="59">
        <f>IF('[42]سجل المستخلصات'!$I$9="","",'[42]سجل المستخلصات'!$I$9)</f>
        <v/>
      </c>
      <c r="I28" s="59">
        <f>IF('[42]سجل المستخلصات'!$J$9="","",'[42]سجل المستخلصات'!$J$9)</f>
        <v/>
      </c>
      <c r="J28" s="59">
        <f>IF('[42]سجل المستخلصات'!$K$9="","",'[42]سجل المستخلصات'!$K$9)</f>
        <v/>
      </c>
      <c r="K28" s="60">
        <f>IF('[42]سجل المستخلصات'!$L$9="","",'[42]سجل المستخلصات'!$L$9)</f>
        <v/>
      </c>
      <c r="L28" s="60">
        <f>IF('[42]سجل المستخلصات'!$M$9="","",'[42]سجل المستخلصات'!$M$9)</f>
        <v/>
      </c>
      <c r="M28" s="60">
        <f>IF('[42]سجل المستخلصات'!$N$9="","",'[42]سجل المستخلصات'!$N$9)</f>
        <v/>
      </c>
      <c r="N28" s="59">
        <f>IF('[42]سجل المستخلصات'!$O$9="","",'[42]سجل المستخلصات'!$O$9)</f>
        <v/>
      </c>
      <c r="O28" s="59">
        <f>IF('[42]سجل المستخلصات'!$R$9="","",'[42]سجل المستخلصات'!$R$9)</f>
        <v/>
      </c>
      <c r="P28" s="59">
        <f>IF('[42]سجل المستخلصات'!$S$9="","",'[42]سجل المستخلصات'!$S$9)</f>
        <v/>
      </c>
      <c r="Q28" s="59">
        <f>IF('[42]سجل المستخلصات'!$T$9="","",'[42]سجل المستخلصات'!$T$9)</f>
        <v/>
      </c>
      <c r="R28" s="59">
        <f>IF('[42]سجل المستخلصات'!$V$9="","",'[42]سجل المستخلصات'!$V$9)</f>
        <v/>
      </c>
      <c r="S28" s="59">
        <f>IF('[42]سجل المستخلصات'!$W$9="","",'[42]سجل المستخلصات'!$W$9)</f>
        <v/>
      </c>
      <c r="T28" s="61">
        <f>IF('[42]سجل المستخلصات'!$X$9="","",'[42]سجل المستخلصات'!$X$9)</f>
        <v/>
      </c>
      <c r="U28" s="61">
        <f>IF('[42]سجل المستخلصات'!$Z$9="","",'[42]سجل المستخلصات'!$Z$9)</f>
        <v/>
      </c>
      <c r="V28" s="59">
        <f>IF('[42]سجل المستخلصات'!$AA$9="","",'[42]سجل المستخلصات'!$AA$9)</f>
        <v/>
      </c>
      <c r="W28" s="59">
        <f>IF('[42]سجل المستخلصات'!$AC$9="","",'[42]سجل المستخلصات'!$AC$9)</f>
        <v/>
      </c>
      <c r="X28" s="62">
        <f>IF('[42]سجل المستخلصات'!$AD$9="","",'[42]سجل المستخلصات'!$AD$9)</f>
        <v/>
      </c>
      <c r="Y28" s="58">
        <f>IF('[42]سجل المستخلصات'!$AE$9="","",'[42]سجل المستخلصات'!$AE$9)</f>
        <v/>
      </c>
      <c r="AA28" s="63" t="n"/>
      <c r="AB28" s="63" t="n"/>
    </row>
    <row r="29">
      <c r="B29" s="56" t="n">
        <v>5</v>
      </c>
      <c r="C29" s="57">
        <f>IF('[42]سجل المستخلصات'!$C$10="","",'[42]سجل المستخلصات'!$C$10)</f>
        <v/>
      </c>
      <c r="D29" s="57">
        <f>IF('[42]سجل المستخلصات'!$E$10="","",'[42]سجل المستخلصات'!$E$10)</f>
        <v/>
      </c>
      <c r="E29" s="58">
        <f>IF('[42]سجل المستخلصات'!$F$10="","",'[42]سجل المستخلصات'!$F$10)</f>
        <v/>
      </c>
      <c r="F29" s="59">
        <f>IF('[42]سجل المستخلصات'!$H$10="","",'[42]سجل المستخلصات'!$H$10)</f>
        <v/>
      </c>
      <c r="G29" s="59">
        <f>IF('[42]سجل المستخلصات'!$G$10="","",'[42]سجل المستخلصات'!$G$10)</f>
        <v/>
      </c>
      <c r="H29" s="59">
        <f>IF('[42]سجل المستخلصات'!$I$10="","",'[42]سجل المستخلصات'!$I$10)</f>
        <v/>
      </c>
      <c r="I29" s="59">
        <f>IF('[42]سجل المستخلصات'!$J$10="","",'[42]سجل المستخلصات'!$J$10)</f>
        <v/>
      </c>
      <c r="J29" s="59">
        <f>IF('[42]سجل المستخلصات'!$K$10="","",'[42]سجل المستخلصات'!$K$10)</f>
        <v/>
      </c>
      <c r="K29" s="60">
        <f>IF('[42]سجل المستخلصات'!$L$10="","",'[42]سجل المستخلصات'!$L$10)</f>
        <v/>
      </c>
      <c r="L29" s="60">
        <f>IF('[42]سجل المستخلصات'!$M$10="","",'[42]سجل المستخلصات'!$M$10)</f>
        <v/>
      </c>
      <c r="M29" s="60">
        <f>IF('[42]سجل المستخلصات'!$N$10="","",'[42]سجل المستخلصات'!$N$10)</f>
        <v/>
      </c>
      <c r="N29" s="59">
        <f>IF('[42]سجل المستخلصات'!$O$10="","",'[42]سجل المستخلصات'!$O$10)</f>
        <v/>
      </c>
      <c r="O29" s="59">
        <f>IF('[42]سجل المستخلصات'!$R$10="","",'[42]سجل المستخلصات'!$R$10)</f>
        <v/>
      </c>
      <c r="P29" s="59">
        <f>IF('[42]سجل المستخلصات'!$S$10="","",'[42]سجل المستخلصات'!$S$10)</f>
        <v/>
      </c>
      <c r="Q29" s="59">
        <f>IF('[42]سجل المستخلصات'!$T$10="","",'[42]سجل المستخلصات'!$T$10)</f>
        <v/>
      </c>
      <c r="R29" s="59">
        <f>IF('[42]سجل المستخلصات'!$V$10="","",'[42]سجل المستخلصات'!$V$10)</f>
        <v/>
      </c>
      <c r="S29" s="59">
        <f>IF('[42]سجل المستخلصات'!$W$10="","",'[42]سجل المستخلصات'!$W$10)</f>
        <v/>
      </c>
      <c r="T29" s="61">
        <f>IF('[42]سجل المستخلصات'!$X$10="","",'[42]سجل المستخلصات'!$X$10)</f>
        <v/>
      </c>
      <c r="U29" s="61">
        <f>IF('[42]سجل المستخلصات'!$Z$10="","",'[42]سجل المستخلصات'!$Z$10)</f>
        <v/>
      </c>
      <c r="V29" s="59">
        <f>IF('[42]سجل المستخلصات'!$AA$10="","",'[42]سجل المستخلصات'!$AA$10)</f>
        <v/>
      </c>
      <c r="W29" s="59">
        <f>IF('[42]سجل المستخلصات'!$AC$10="","",'[42]سجل المستخلصات'!$AC$10)</f>
        <v/>
      </c>
      <c r="X29" s="62">
        <f>IF('[42]سجل المستخلصات'!$AD$10="","",'[42]سجل المستخلصات'!$AD$10)</f>
        <v/>
      </c>
      <c r="Y29" s="58">
        <f>IF('[42]سجل المستخلصات'!$AE$10="","",'[42]سجل المستخلصات'!$AE$10)</f>
        <v/>
      </c>
    </row>
    <row r="30">
      <c r="B30" s="56" t="n">
        <v>6</v>
      </c>
      <c r="C30" s="57">
        <f>IF('[42]سجل المستخلصات'!$C$11="","",'[42]سجل المستخلصات'!$C$11)</f>
        <v/>
      </c>
      <c r="D30" s="57">
        <f>IF('[42]سجل المستخلصات'!$E$11="","",'[42]سجل المستخلصات'!$E$11)</f>
        <v/>
      </c>
      <c r="E30" s="58">
        <f>IF('[42]سجل المستخلصات'!$F$11="","",'[42]سجل المستخلصات'!$F$11)</f>
        <v/>
      </c>
      <c r="F30" s="59">
        <f>IF('[42]سجل المستخلصات'!$H$11="","",'[42]سجل المستخلصات'!$H$11)</f>
        <v/>
      </c>
      <c r="G30" s="59">
        <f>IF('[42]سجل المستخلصات'!$G$11="","",'[42]سجل المستخلصات'!$G$11)</f>
        <v/>
      </c>
      <c r="H30" s="59">
        <f>IF('[42]سجل المستخلصات'!$I$11="","",'[42]سجل المستخلصات'!$I$11)</f>
        <v/>
      </c>
      <c r="I30" s="59">
        <f>IF('[42]سجل المستخلصات'!$J$11="","",'[42]سجل المستخلصات'!$J$11)</f>
        <v/>
      </c>
      <c r="J30" s="59">
        <f>IF('[42]سجل المستخلصات'!$K$11="","",'[42]سجل المستخلصات'!$K$11)</f>
        <v/>
      </c>
      <c r="K30" s="60">
        <f>IF('[42]سجل المستخلصات'!$L$11="","",'[42]سجل المستخلصات'!$L$11)</f>
        <v/>
      </c>
      <c r="L30" s="60">
        <f>IF('[42]سجل المستخلصات'!$M$11="","",'[42]سجل المستخلصات'!$M$11)</f>
        <v/>
      </c>
      <c r="M30" s="60">
        <f>IF('[42]سجل المستخلصات'!$N$11="","",'[42]سجل المستخلصات'!$N$11)</f>
        <v/>
      </c>
      <c r="N30" s="59">
        <f>IF('[42]سجل المستخلصات'!$O$11="","",'[42]سجل المستخلصات'!$O$11)</f>
        <v/>
      </c>
      <c r="O30" s="59">
        <f>IF('[42]سجل المستخلصات'!$R$11="","",'[42]سجل المستخلصات'!$R$11)</f>
        <v/>
      </c>
      <c r="P30" s="59">
        <f>IF('[42]سجل المستخلصات'!$S$11="","",'[42]سجل المستخلصات'!$S$11)</f>
        <v/>
      </c>
      <c r="Q30" s="59">
        <f>IF('[42]سجل المستخلصات'!$T$11="","",'[42]سجل المستخلصات'!$T$11)</f>
        <v/>
      </c>
      <c r="R30" s="59">
        <f>IF('[42]سجل المستخلصات'!$V$11="","",'[42]سجل المستخلصات'!$V$11)</f>
        <v/>
      </c>
      <c r="S30" s="59">
        <f>IF('[42]سجل المستخلصات'!$W$11="","",'[42]سجل المستخلصات'!$W$11)</f>
        <v/>
      </c>
      <c r="T30" s="61">
        <f>IF('[42]سجل المستخلصات'!$X$11="","",'[42]سجل المستخلصات'!$X$11)</f>
        <v/>
      </c>
      <c r="U30" s="61">
        <f>IF('[42]سجل المستخلصات'!$Z$11="","",'[42]سجل المستخلصات'!$Z$11)</f>
        <v/>
      </c>
      <c r="V30" s="59">
        <f>IF('[42]سجل المستخلصات'!$AA$11="","",'[42]سجل المستخلصات'!$AA$11)</f>
        <v/>
      </c>
      <c r="W30" s="59">
        <f>IF('[42]سجل المستخلصات'!$AC$11="","",'[42]سجل المستخلصات'!$AC$11)</f>
        <v/>
      </c>
      <c r="X30" s="62">
        <f>IF('[42]سجل المستخلصات'!$AD$11="","",'[42]سجل المستخلصات'!$AD$11)</f>
        <v/>
      </c>
      <c r="Y30" s="58">
        <f>IF('[42]سجل المستخلصات'!$AE$11="","",'[42]سجل المستخلصات'!$AE$11)</f>
        <v/>
      </c>
    </row>
    <row r="31">
      <c r="B31" s="56" t="n">
        <v>7</v>
      </c>
      <c r="C31" s="57">
        <f>IF('[42]سجل المستخلصات'!$C$12="","",'[42]سجل المستخلصات'!$C$12)</f>
        <v/>
      </c>
      <c r="D31" s="57">
        <f>IF('[42]سجل المستخلصات'!$E$12="","",'[42]سجل المستخلصات'!$E$12)</f>
        <v/>
      </c>
      <c r="E31" s="58">
        <f>IF('[42]سجل المستخلصات'!$F$12="","",'[42]سجل المستخلصات'!$F$12)</f>
        <v/>
      </c>
      <c r="F31" s="59">
        <f>IF('[42]سجل المستخلصات'!$H$12="","",'[42]سجل المستخلصات'!$H$12)</f>
        <v/>
      </c>
      <c r="G31" s="59">
        <f>IF('[42]سجل المستخلصات'!$G$12="","",'[42]سجل المستخلصات'!$G$12)</f>
        <v/>
      </c>
      <c r="H31" s="59">
        <f>IF('[42]سجل المستخلصات'!$I$12="","",'[42]سجل المستخلصات'!$I$12)</f>
        <v/>
      </c>
      <c r="I31" s="59">
        <f>IF('[42]سجل المستخلصات'!$J$12="","",'[42]سجل المستخلصات'!$J$12)</f>
        <v/>
      </c>
      <c r="J31" s="59">
        <f>IF('[42]سجل المستخلصات'!$K$12="","",'[42]سجل المستخلصات'!$K$12)</f>
        <v/>
      </c>
      <c r="K31" s="60">
        <f>IF('[42]سجل المستخلصات'!$L$12="","",'[42]سجل المستخلصات'!$L$12)</f>
        <v/>
      </c>
      <c r="L31" s="60">
        <f>IF('[42]سجل المستخلصات'!$M$12="","",'[42]سجل المستخلصات'!$M$12)</f>
        <v/>
      </c>
      <c r="M31" s="60">
        <f>IF('[42]سجل المستخلصات'!$N$12="","",'[42]سجل المستخلصات'!$N$12)</f>
        <v/>
      </c>
      <c r="N31" s="59">
        <f>IF('[42]سجل المستخلصات'!$O$12="","",'[42]سجل المستخلصات'!$O$12)</f>
        <v/>
      </c>
      <c r="O31" s="59">
        <f>IF('[42]سجل المستخلصات'!$R$12="","",'[42]سجل المستخلصات'!$R$12)</f>
        <v/>
      </c>
      <c r="P31" s="59">
        <f>IF('[42]سجل المستخلصات'!$S$12="","",'[42]سجل المستخلصات'!$S$12)</f>
        <v/>
      </c>
      <c r="Q31" s="59">
        <f>IF('[42]سجل المستخلصات'!$T$12="","",'[42]سجل المستخلصات'!$T$12)</f>
        <v/>
      </c>
      <c r="R31" s="59">
        <f>IF('[42]سجل المستخلصات'!$V$12="","",'[42]سجل المستخلصات'!$V$12)</f>
        <v/>
      </c>
      <c r="S31" s="59">
        <f>IF('[42]سجل المستخلصات'!$W$12="","",'[42]سجل المستخلصات'!$W$12)</f>
        <v/>
      </c>
      <c r="T31" s="61">
        <f>IF('[42]سجل المستخلصات'!$X$12="","",'[42]سجل المستخلصات'!$X$12)</f>
        <v/>
      </c>
      <c r="U31" s="61">
        <f>IF('[42]سجل المستخلصات'!$Z$12="","",'[42]سجل المستخلصات'!$Z$12)</f>
        <v/>
      </c>
      <c r="V31" s="59">
        <f>IF('[42]سجل المستخلصات'!$AA$12="","",'[42]سجل المستخلصات'!$AA$12)</f>
        <v/>
      </c>
      <c r="W31" s="59">
        <f>IF('[42]سجل المستخلصات'!$AC$12="","",'[42]سجل المستخلصات'!$AC$12)</f>
        <v/>
      </c>
      <c r="X31" s="62">
        <f>IF('[42]سجل المستخلصات'!$AD$12="","",'[42]سجل المستخلصات'!$AD$12)</f>
        <v/>
      </c>
      <c r="Y31" s="58">
        <f>IF('[42]سجل المستخلصات'!$AE$12="","",'[42]سجل المستخلصات'!$AE$12)</f>
        <v/>
      </c>
    </row>
    <row r="32">
      <c r="B32" s="56" t="n">
        <v>8</v>
      </c>
      <c r="C32" s="57">
        <f>IF('[42]سجل المستخلصات'!$C$13="","",'[42]سجل المستخلصات'!$C$13)</f>
        <v/>
      </c>
      <c r="D32" s="57">
        <f>IF('[42]سجل المستخلصات'!$E$13="","",'[42]سجل المستخلصات'!$E$13)</f>
        <v/>
      </c>
      <c r="E32" s="58">
        <f>IF('[42]سجل المستخلصات'!$F$13="","",'[42]سجل المستخلصات'!$F$13)</f>
        <v/>
      </c>
      <c r="F32" s="59">
        <f>IF('[42]سجل المستخلصات'!$H$13="","",'[42]سجل المستخلصات'!$H$13)</f>
        <v/>
      </c>
      <c r="G32" s="59">
        <f>IF('[42]سجل المستخلصات'!$G$13="","",'[42]سجل المستخلصات'!$G$13)</f>
        <v/>
      </c>
      <c r="H32" s="59">
        <f>IF('[42]سجل المستخلصات'!$I$13="","",'[42]سجل المستخلصات'!$I$13)</f>
        <v/>
      </c>
      <c r="I32" s="59">
        <f>IF('[42]سجل المستخلصات'!$J$13="","",'[42]سجل المستخلصات'!$J$13)</f>
        <v/>
      </c>
      <c r="J32" s="59">
        <f>IF('[42]سجل المستخلصات'!$K$13="","",'[42]سجل المستخلصات'!$K$13)</f>
        <v/>
      </c>
      <c r="K32" s="60">
        <f>IF('[42]سجل المستخلصات'!$L$13="","",'[42]سجل المستخلصات'!$L$13)</f>
        <v/>
      </c>
      <c r="L32" s="60">
        <f>IF('[42]سجل المستخلصات'!$M$13="","",'[42]سجل المستخلصات'!$M$13)</f>
        <v/>
      </c>
      <c r="M32" s="60">
        <f>IF('[42]سجل المستخلصات'!$N$13="","",'[42]سجل المستخلصات'!$N$13)</f>
        <v/>
      </c>
      <c r="N32" s="59">
        <f>IF('[42]سجل المستخلصات'!$O$13="","",'[42]سجل المستخلصات'!$O$13)</f>
        <v/>
      </c>
      <c r="O32" s="59">
        <f>IF('[42]سجل المستخلصات'!$R$13="","",'[42]سجل المستخلصات'!$R$13)</f>
        <v/>
      </c>
      <c r="P32" s="59">
        <f>IF('[42]سجل المستخلصات'!$S$13="","",'[42]سجل المستخلصات'!$S$13)</f>
        <v/>
      </c>
      <c r="Q32" s="59">
        <f>IF('[42]سجل المستخلصات'!$T$13="","",'[42]سجل المستخلصات'!$T$13)</f>
        <v/>
      </c>
      <c r="R32" s="59">
        <f>IF('[42]سجل المستخلصات'!$V$13="","",'[42]سجل المستخلصات'!$V$13)</f>
        <v/>
      </c>
      <c r="S32" s="59">
        <f>IF('[42]سجل المستخلصات'!$W$13="","",'[42]سجل المستخلصات'!$W$13)</f>
        <v/>
      </c>
      <c r="T32" s="61">
        <f>IF('[42]سجل المستخلصات'!$X$13="","",'[42]سجل المستخلصات'!$X$13)</f>
        <v/>
      </c>
      <c r="U32" s="61">
        <f>IF('[42]سجل المستخلصات'!$Z$13="","",'[42]سجل المستخلصات'!$Z$13)</f>
        <v/>
      </c>
      <c r="V32" s="59">
        <f>IF('[42]سجل المستخلصات'!$AA$13="","",'[42]سجل المستخلصات'!$AA$13)</f>
        <v/>
      </c>
      <c r="W32" s="59">
        <f>IF('[42]سجل المستخلصات'!$AC$13="","",'[42]سجل المستخلصات'!$AC$13)</f>
        <v/>
      </c>
      <c r="X32" s="62">
        <f>IF('[42]سجل المستخلصات'!$AD$13="","",'[42]سجل المستخلصات'!$AD$13)</f>
        <v/>
      </c>
      <c r="Y32" s="58">
        <f>IF('[42]سجل المستخلصات'!$AE$13="","",'[42]سجل المستخلصات'!$AE$13)</f>
        <v/>
      </c>
    </row>
    <row r="33">
      <c r="B33" s="56" t="n">
        <v>9</v>
      </c>
      <c r="C33" s="57">
        <f>IF('[42]سجل المستخلصات'!$C$14="","",'[42]سجل المستخلصات'!$C$14)</f>
        <v/>
      </c>
      <c r="D33" s="57">
        <f>IF('[42]سجل المستخلصات'!$E$14="","",'[42]سجل المستخلصات'!$E$14)</f>
        <v/>
      </c>
      <c r="E33" s="58">
        <f>IF('[42]سجل المستخلصات'!$F$14="","",'[42]سجل المستخلصات'!$F$14)</f>
        <v/>
      </c>
      <c r="F33" s="59">
        <f>IF('[42]سجل المستخلصات'!$H$14="","",'[42]سجل المستخلصات'!$H$14)</f>
        <v/>
      </c>
      <c r="G33" s="59">
        <f>IF('[42]سجل المستخلصات'!$G$14="","",'[42]سجل المستخلصات'!$G$14)</f>
        <v/>
      </c>
      <c r="H33" s="59">
        <f>IF('[42]سجل المستخلصات'!$I$14="","",'[42]سجل المستخلصات'!$I$14)</f>
        <v/>
      </c>
      <c r="I33" s="59">
        <f>IF('[42]سجل المستخلصات'!$J$14="","",'[42]سجل المستخلصات'!$J$14)</f>
        <v/>
      </c>
      <c r="J33" s="59">
        <f>IF('[42]سجل المستخلصات'!$K$14="","",'[42]سجل المستخلصات'!$K$14)</f>
        <v/>
      </c>
      <c r="K33" s="60">
        <f>IF('[42]سجل المستخلصات'!$L$14="","",'[42]سجل المستخلصات'!$L$14)</f>
        <v/>
      </c>
      <c r="L33" s="60">
        <f>IF('[42]سجل المستخلصات'!$M$14="","",'[42]سجل المستخلصات'!$M$14)</f>
        <v/>
      </c>
      <c r="M33" s="60">
        <f>IF('[42]سجل المستخلصات'!$N$14="","",'[42]سجل المستخلصات'!$N$14)</f>
        <v/>
      </c>
      <c r="N33" s="59">
        <f>IF('[42]سجل المستخلصات'!$O$14="","",'[42]سجل المستخلصات'!$O$14)</f>
        <v/>
      </c>
      <c r="O33" s="59">
        <f>IF('[42]سجل المستخلصات'!$R$14="","",'[42]سجل المستخلصات'!$R$14)</f>
        <v/>
      </c>
      <c r="P33" s="59">
        <f>IF('[42]سجل المستخلصات'!$S$14="","",'[42]سجل المستخلصات'!$S$14)</f>
        <v/>
      </c>
      <c r="Q33" s="59">
        <f>IF('[42]سجل المستخلصات'!$T$14="","",'[42]سجل المستخلصات'!$T$14)</f>
        <v/>
      </c>
      <c r="R33" s="59">
        <f>IF('[42]سجل المستخلصات'!$V$14="","",'[42]سجل المستخلصات'!$V$14)</f>
        <v/>
      </c>
      <c r="S33" s="59">
        <f>IF('[42]سجل المستخلصات'!$W$14="","",'[42]سجل المستخلصات'!$W$14)</f>
        <v/>
      </c>
      <c r="T33" s="61">
        <f>IF('[42]سجل المستخلصات'!$X$14="","",'[42]سجل المستخلصات'!$X$14)</f>
        <v/>
      </c>
      <c r="U33" s="61">
        <f>IF('[42]سجل المستخلصات'!$Z$14="","",'[42]سجل المستخلصات'!$Z$14)</f>
        <v/>
      </c>
      <c r="V33" s="59">
        <f>IF('[42]سجل المستخلصات'!$AA$14="","",'[42]سجل المستخلصات'!$AA$14)</f>
        <v/>
      </c>
      <c r="W33" s="59">
        <f>IF('[42]سجل المستخلصات'!$AC$14="","",'[42]سجل المستخلصات'!$AC$14)</f>
        <v/>
      </c>
      <c r="X33" s="62">
        <f>IF('[42]سجل المستخلصات'!$AD$14="","",'[42]سجل المستخلصات'!$AD$14)</f>
        <v/>
      </c>
      <c r="Y33" s="58">
        <f>IF('[42]سجل المستخلصات'!$AE$14="","",'[42]سجل المستخلصات'!$AE$14)</f>
        <v/>
      </c>
    </row>
    <row r="34">
      <c r="B34" s="56" t="n">
        <v>10</v>
      </c>
      <c r="C34" s="57">
        <f>IF('[42]سجل المستخلصات'!$C$15="","",'[42]سجل المستخلصات'!$C$15)</f>
        <v/>
      </c>
      <c r="D34" s="57">
        <f>IF('[42]سجل المستخلصات'!$E$15="","",'[42]سجل المستخلصات'!$E$15)</f>
        <v/>
      </c>
      <c r="E34" s="58">
        <f>IF('[42]سجل المستخلصات'!$F$15="","",'[42]سجل المستخلصات'!$F$15)</f>
        <v/>
      </c>
      <c r="F34" s="59">
        <f>IF('[42]سجل المستخلصات'!$H$15="","",'[42]سجل المستخلصات'!$H$15)</f>
        <v/>
      </c>
      <c r="G34" s="59">
        <f>IF('[42]سجل المستخلصات'!$G$15="","",'[42]سجل المستخلصات'!$G$15)</f>
        <v/>
      </c>
      <c r="H34" s="59">
        <f>IF('[42]سجل المستخلصات'!$I$15="","",'[42]سجل المستخلصات'!$I$15)</f>
        <v/>
      </c>
      <c r="I34" s="59">
        <f>IF('[42]سجل المستخلصات'!$J$15="","",'[42]سجل المستخلصات'!$J$15)</f>
        <v/>
      </c>
      <c r="J34" s="59">
        <f>IF('[42]سجل المستخلصات'!$K$15="","",'[42]سجل المستخلصات'!$K$15)</f>
        <v/>
      </c>
      <c r="K34" s="60">
        <f>IF('[42]سجل المستخلصات'!$L$15="","",'[42]سجل المستخلصات'!$L$15)</f>
        <v/>
      </c>
      <c r="L34" s="60">
        <f>IF('[42]سجل المستخلصات'!$M$15="","",'[42]سجل المستخلصات'!$M$15)</f>
        <v/>
      </c>
      <c r="M34" s="60">
        <f>IF('[42]سجل المستخلصات'!$N$15="","",'[42]سجل المستخلصات'!$N$15)</f>
        <v/>
      </c>
      <c r="N34" s="59">
        <f>IF('[42]سجل المستخلصات'!$O$15="","",'[42]سجل المستخلصات'!$O$15)</f>
        <v/>
      </c>
      <c r="O34" s="59">
        <f>IF('[42]سجل المستخلصات'!$R$15="","",'[42]سجل المستخلصات'!$R$15)</f>
        <v/>
      </c>
      <c r="P34" s="59">
        <f>IF('[42]سجل المستخلصات'!$S$15="","",'[42]سجل المستخلصات'!$S$15)</f>
        <v/>
      </c>
      <c r="Q34" s="59">
        <f>IF('[42]سجل المستخلصات'!$T$15="","",'[42]سجل المستخلصات'!$T$15)</f>
        <v/>
      </c>
      <c r="R34" s="59">
        <f>IF('[42]سجل المستخلصات'!$V$15="","",'[42]سجل المستخلصات'!$V$15)</f>
        <v/>
      </c>
      <c r="S34" s="59">
        <f>IF('[42]سجل المستخلصات'!$W$15="","",'[42]سجل المستخلصات'!$W$15)</f>
        <v/>
      </c>
      <c r="T34" s="61">
        <f>IF('[42]سجل المستخلصات'!$X$15="","",'[42]سجل المستخلصات'!$X$15)</f>
        <v/>
      </c>
      <c r="U34" s="61">
        <f>IF('[42]سجل المستخلصات'!$Z$15="","",'[42]سجل المستخلصات'!$Z$15)</f>
        <v/>
      </c>
      <c r="V34" s="59">
        <f>IF('[42]سجل المستخلصات'!$AA$15="","",'[42]سجل المستخلصات'!$AA$15)</f>
        <v/>
      </c>
      <c r="W34" s="59">
        <f>IF('[42]سجل المستخلصات'!$AC$15="","",'[42]سجل المستخلصات'!$AC$15)</f>
        <v/>
      </c>
      <c r="X34" s="62">
        <f>IF('[42]سجل المستخلصات'!$AD$15="","",'[42]سجل المستخلصات'!$AD$15)</f>
        <v/>
      </c>
      <c r="Y34" s="58">
        <f>IF('[42]سجل المستخلصات'!$AE$15="","",'[42]سجل المستخلصات'!$AE$15)</f>
        <v/>
      </c>
    </row>
    <row r="35">
      <c r="B35" s="56" t="n">
        <v>11</v>
      </c>
      <c r="C35" s="57">
        <f>IF('[42]سجل المستخلصات'!$C$16="","",'[42]سجل المستخلصات'!$C$16)</f>
        <v/>
      </c>
      <c r="D35" s="57">
        <f>IF('[42]سجل المستخلصات'!$E$16="","",'[42]سجل المستخلصات'!$E$16)</f>
        <v/>
      </c>
      <c r="E35" s="58">
        <f>IF('[42]سجل المستخلصات'!$F$16="","",'[42]سجل المستخلصات'!$F$16)</f>
        <v/>
      </c>
      <c r="F35" s="59">
        <f>IF('[42]سجل المستخلصات'!$H$16="","",'[42]سجل المستخلصات'!$H$16)</f>
        <v/>
      </c>
      <c r="G35" s="59">
        <f>IF('[42]سجل المستخلصات'!$G$16="","",'[42]سجل المستخلصات'!$G$16)</f>
        <v/>
      </c>
      <c r="H35" s="59">
        <f>IF('[42]سجل المستخلصات'!$I$16="","",'[42]سجل المستخلصات'!$I$16)</f>
        <v/>
      </c>
      <c r="I35" s="59">
        <f>IF('[42]سجل المستخلصات'!$J$16="","",'[42]سجل المستخلصات'!$J$16)</f>
        <v/>
      </c>
      <c r="J35" s="59">
        <f>IF('[42]سجل المستخلصات'!$K$16="","",'[42]سجل المستخلصات'!$K$16)</f>
        <v/>
      </c>
      <c r="K35" s="60">
        <f>IF('[42]سجل المستخلصات'!$L$16="","",'[42]سجل المستخلصات'!$L$16)</f>
        <v/>
      </c>
      <c r="L35" s="60">
        <f>IF('[42]سجل المستخلصات'!$M$16="","",'[42]سجل المستخلصات'!$M$16)</f>
        <v/>
      </c>
      <c r="M35" s="60">
        <f>IF('[42]سجل المستخلصات'!$N$16="","",'[42]سجل المستخلصات'!$N$16)</f>
        <v/>
      </c>
      <c r="N35" s="59">
        <f>IF('[42]سجل المستخلصات'!$O$16="","",'[42]سجل المستخلصات'!$O$16)</f>
        <v/>
      </c>
      <c r="O35" s="59">
        <f>IF('[42]سجل المستخلصات'!$R$16="","",'[42]سجل المستخلصات'!$R$16)</f>
        <v/>
      </c>
      <c r="P35" s="59">
        <f>IF('[42]سجل المستخلصات'!$S$16="","",'[42]سجل المستخلصات'!$S$16)</f>
        <v/>
      </c>
      <c r="Q35" s="59">
        <f>IF('[42]سجل المستخلصات'!$T$16="","",'[42]سجل المستخلصات'!$T$16)</f>
        <v/>
      </c>
      <c r="R35" s="59">
        <f>IF('[42]سجل المستخلصات'!$V$16="","",'[42]سجل المستخلصات'!$V$16)</f>
        <v/>
      </c>
      <c r="S35" s="59">
        <f>IF('[42]سجل المستخلصات'!$W$16="","",'[42]سجل المستخلصات'!$W$16)</f>
        <v/>
      </c>
      <c r="T35" s="61">
        <f>IF('[42]سجل المستخلصات'!$X$16="","",'[42]سجل المستخلصات'!$X$16)</f>
        <v/>
      </c>
      <c r="U35" s="61">
        <f>IF('[42]سجل المستخلصات'!$Z$16="","",'[42]سجل المستخلصات'!$Z$16)</f>
        <v/>
      </c>
      <c r="V35" s="59">
        <f>IF('[42]سجل المستخلصات'!$AA$16="","",'[42]سجل المستخلصات'!$AA$16)</f>
        <v/>
      </c>
      <c r="W35" s="59">
        <f>IF('[42]سجل المستخلصات'!$AC$16="","",'[42]سجل المستخلصات'!$AC$16)</f>
        <v/>
      </c>
      <c r="X35" s="62">
        <f>IF('[42]سجل المستخلصات'!$AD$16="","",'[42]سجل المستخلصات'!$AD$16)</f>
        <v/>
      </c>
      <c r="Y35" s="58">
        <f>IF('[42]سجل المستخلصات'!$AE$16="","",'[42]سجل المستخلصات'!$AE$16)</f>
        <v/>
      </c>
    </row>
    <row r="36">
      <c r="B36" s="56" t="n">
        <v>12</v>
      </c>
      <c r="C36" s="57">
        <f>IF('[42]سجل المستخلصات'!$C$17="","",'[42]سجل المستخلصات'!$C$17)</f>
        <v/>
      </c>
      <c r="D36" s="57">
        <f>IF('[42]سجل المستخلصات'!$E$17="","",'[42]سجل المستخلصات'!$E$17)</f>
        <v/>
      </c>
      <c r="E36" s="58">
        <f>IF('[42]سجل المستخلصات'!$F$17="","",'[42]سجل المستخلصات'!$F$17)</f>
        <v/>
      </c>
      <c r="F36" s="59">
        <f>IF('[42]سجل المستخلصات'!$H$17="","",'[42]سجل المستخلصات'!$H$17)</f>
        <v/>
      </c>
      <c r="G36" s="59">
        <f>IF('[42]سجل المستخلصات'!$G$17="","",'[42]سجل المستخلصات'!$G$17)</f>
        <v/>
      </c>
      <c r="H36" s="59">
        <f>IF('[42]سجل المستخلصات'!$I$17="","",'[42]سجل المستخلصات'!$I$17)</f>
        <v/>
      </c>
      <c r="I36" s="59">
        <f>IF('[42]سجل المستخلصات'!$J$17="","",'[42]سجل المستخلصات'!$J$17)</f>
        <v/>
      </c>
      <c r="J36" s="59">
        <f>IF('[42]سجل المستخلصات'!$K$17="","",'[42]سجل المستخلصات'!$K$17)</f>
        <v/>
      </c>
      <c r="K36" s="60">
        <f>IF('[42]سجل المستخلصات'!$L$17="","",'[42]سجل المستخلصات'!$L$17)</f>
        <v/>
      </c>
      <c r="L36" s="60">
        <f>IF('[42]سجل المستخلصات'!$M$17="","",'[42]سجل المستخلصات'!$M$17)</f>
        <v/>
      </c>
      <c r="M36" s="60">
        <f>IF('[42]سجل المستخلصات'!$N$17="","",'[42]سجل المستخلصات'!$N$17)</f>
        <v/>
      </c>
      <c r="N36" s="59">
        <f>IF('[42]سجل المستخلصات'!$O$17="","",'[42]سجل المستخلصات'!$O$17)</f>
        <v/>
      </c>
      <c r="O36" s="59">
        <f>IF('[42]سجل المستخلصات'!$R$17="","",'[42]سجل المستخلصات'!$R$17)</f>
        <v/>
      </c>
      <c r="P36" s="59">
        <f>IF('[42]سجل المستخلصات'!$S$17="","",'[42]سجل المستخلصات'!$S$17)</f>
        <v/>
      </c>
      <c r="Q36" s="59">
        <f>IF('[42]سجل المستخلصات'!$T$17="","",'[42]سجل المستخلصات'!$T$17)</f>
        <v/>
      </c>
      <c r="R36" s="59">
        <f>IF('[42]سجل المستخلصات'!$V$17="","",'[42]سجل المستخلصات'!$V$17)</f>
        <v/>
      </c>
      <c r="S36" s="59">
        <f>IF('[42]سجل المستخلصات'!$W$17="","",'[42]سجل المستخلصات'!$W$17)</f>
        <v/>
      </c>
      <c r="T36" s="61">
        <f>IF('[42]سجل المستخلصات'!$X$17="","",'[42]سجل المستخلصات'!$X$17)</f>
        <v/>
      </c>
      <c r="U36" s="61">
        <f>IF('[42]سجل المستخلصات'!$Z$17="","",'[42]سجل المستخلصات'!$Z$17)</f>
        <v/>
      </c>
      <c r="V36" s="59">
        <f>IF('[42]سجل المستخلصات'!$AA$17="","",'[42]سجل المستخلصات'!$AA$17)</f>
        <v/>
      </c>
      <c r="W36" s="59">
        <f>IF('[42]سجل المستخلصات'!$AC$17="","",'[42]سجل المستخلصات'!$AC$17)</f>
        <v/>
      </c>
      <c r="X36" s="62">
        <f>IF('[42]سجل المستخلصات'!$AD$17="","",'[42]سجل المستخلصات'!$AD$17)</f>
        <v/>
      </c>
      <c r="Y36" s="58">
        <f>IF('[42]سجل المستخلصات'!$AE$17="","",'[42]سجل المستخلصات'!$AE$17)</f>
        <v/>
      </c>
    </row>
    <row r="37">
      <c r="B37" s="56" t="n">
        <v>13</v>
      </c>
      <c r="C37" s="57">
        <f>IF('[42]سجل المستخلصات'!$C$18="","",'[42]سجل المستخلصات'!$C$18)</f>
        <v/>
      </c>
      <c r="D37" s="57">
        <f>IF('[42]سجل المستخلصات'!$E$18="","",'[42]سجل المستخلصات'!$E$18)</f>
        <v/>
      </c>
      <c r="E37" s="58">
        <f>IF('[42]سجل المستخلصات'!$F$18="","",'[42]سجل المستخلصات'!$F$18)</f>
        <v/>
      </c>
      <c r="F37" s="59">
        <f>IF('[42]سجل المستخلصات'!$H$18="","",'[42]سجل المستخلصات'!$H$18)</f>
        <v/>
      </c>
      <c r="G37" s="59">
        <f>IF('[42]سجل المستخلصات'!$G$18="","",'[42]سجل المستخلصات'!$G$18)</f>
        <v/>
      </c>
      <c r="H37" s="59">
        <f>IF('[42]سجل المستخلصات'!$I$18="","",'[42]سجل المستخلصات'!$I$18)</f>
        <v/>
      </c>
      <c r="I37" s="59">
        <f>IF('[42]سجل المستخلصات'!$J$18="","",'[42]سجل المستخلصات'!$J$18)</f>
        <v/>
      </c>
      <c r="J37" s="59">
        <f>IF('[42]سجل المستخلصات'!$K$18="","",'[42]سجل المستخلصات'!$K$18)</f>
        <v/>
      </c>
      <c r="K37" s="60">
        <f>IF('[42]سجل المستخلصات'!$L$18="","",'[42]سجل المستخلصات'!$L$18)</f>
        <v/>
      </c>
      <c r="L37" s="60">
        <f>IF('[42]سجل المستخلصات'!$M$18="","",'[42]سجل المستخلصات'!$M$18)</f>
        <v/>
      </c>
      <c r="M37" s="60">
        <f>IF('[42]سجل المستخلصات'!$N$18="","",'[42]سجل المستخلصات'!$N$18)</f>
        <v/>
      </c>
      <c r="N37" s="59">
        <f>IF('[42]سجل المستخلصات'!$O$18="","",'[42]سجل المستخلصات'!$O$18)</f>
        <v/>
      </c>
      <c r="O37" s="59">
        <f>IF('[42]سجل المستخلصات'!$R$18="","",'[42]سجل المستخلصات'!$R$18)</f>
        <v/>
      </c>
      <c r="P37" s="59">
        <f>IF('[42]سجل المستخلصات'!$S$18="","",'[42]سجل المستخلصات'!$S$18)</f>
        <v/>
      </c>
      <c r="Q37" s="59">
        <f>IF('[42]سجل المستخلصات'!$T$18="","",'[42]سجل المستخلصات'!$T$18)</f>
        <v/>
      </c>
      <c r="R37" s="59">
        <f>IF('[42]سجل المستخلصات'!$V$18="","",'[42]سجل المستخلصات'!$V$18)</f>
        <v/>
      </c>
      <c r="S37" s="59">
        <f>IF('[42]سجل المستخلصات'!$W$18="","",'[42]سجل المستخلصات'!$W$18)</f>
        <v/>
      </c>
      <c r="T37" s="61">
        <f>IF('[42]سجل المستخلصات'!$X$18="","",'[42]سجل المستخلصات'!$X$18)</f>
        <v/>
      </c>
      <c r="U37" s="61">
        <f>IF('[42]سجل المستخلصات'!$Z$18="","",'[42]سجل المستخلصات'!$Z$18)</f>
        <v/>
      </c>
      <c r="V37" s="59">
        <f>IF('[42]سجل المستخلصات'!$AA$18="","",'[42]سجل المستخلصات'!$AA$18)</f>
        <v/>
      </c>
      <c r="W37" s="59">
        <f>IF('[42]سجل المستخلصات'!$AC$18="","",'[42]سجل المستخلصات'!$AC$18)</f>
        <v/>
      </c>
      <c r="X37" s="62">
        <f>IF('[42]سجل المستخلصات'!$AD$18="","",'[42]سجل المستخلصات'!$AD$18)</f>
        <v/>
      </c>
      <c r="Y37" s="58">
        <f>IF('[42]سجل المستخلصات'!$AE$18="","",'[42]سجل المستخلصات'!$AE$18)</f>
        <v/>
      </c>
    </row>
    <row r="38">
      <c r="B38" s="56" t="n">
        <v>14</v>
      </c>
      <c r="C38" s="57">
        <f>IF('[42]سجل المستخلصات'!$C$19="","",'[42]سجل المستخلصات'!$C$19)</f>
        <v/>
      </c>
      <c r="D38" s="57">
        <f>IF('[42]سجل المستخلصات'!$E$19="","",'[42]سجل المستخلصات'!$E$19)</f>
        <v/>
      </c>
      <c r="E38" s="58">
        <f>IF('[42]سجل المستخلصات'!$F$19="","",'[42]سجل المستخلصات'!$F$19)</f>
        <v/>
      </c>
      <c r="F38" s="59">
        <f>IF('[42]سجل المستخلصات'!$H$19="","",'[42]سجل المستخلصات'!$H$19)</f>
        <v/>
      </c>
      <c r="G38" s="59">
        <f>IF('[42]سجل المستخلصات'!$G$19="","",'[42]سجل المستخلصات'!$G$19)</f>
        <v/>
      </c>
      <c r="H38" s="59">
        <f>IF('[42]سجل المستخلصات'!$I$19="","",'[42]سجل المستخلصات'!$I$19)</f>
        <v/>
      </c>
      <c r="I38" s="59">
        <f>IF('[42]سجل المستخلصات'!$J$19="","",'[42]سجل المستخلصات'!$J$19)</f>
        <v/>
      </c>
      <c r="J38" s="59">
        <f>IF('[42]سجل المستخلصات'!$K$19="","",'[42]سجل المستخلصات'!$K$19)</f>
        <v/>
      </c>
      <c r="K38" s="60">
        <f>IF('[42]سجل المستخلصات'!$L$19="","",'[42]سجل المستخلصات'!$L$19)</f>
        <v/>
      </c>
      <c r="L38" s="60">
        <f>IF('[42]سجل المستخلصات'!$M$19="","",'[42]سجل المستخلصات'!$M$19)</f>
        <v/>
      </c>
      <c r="M38" s="60">
        <f>IF('[42]سجل المستخلصات'!$N$19="","",'[42]سجل المستخلصات'!$N$19)</f>
        <v/>
      </c>
      <c r="N38" s="59">
        <f>IF('[42]سجل المستخلصات'!$O$19="","",'[42]سجل المستخلصات'!$O$19)</f>
        <v/>
      </c>
      <c r="O38" s="59">
        <f>IF('[42]سجل المستخلصات'!$R$19="","",'[42]سجل المستخلصات'!$R$19)</f>
        <v/>
      </c>
      <c r="P38" s="59">
        <f>IF('[42]سجل المستخلصات'!$S$19="","",'[42]سجل المستخلصات'!$S$19)</f>
        <v/>
      </c>
      <c r="Q38" s="59">
        <f>IF('[42]سجل المستخلصات'!$T$19="","",'[42]سجل المستخلصات'!$T$19)</f>
        <v/>
      </c>
      <c r="R38" s="59">
        <f>IF('[42]سجل المستخلصات'!$V$19="","",'[42]سجل المستخلصات'!$V$19)</f>
        <v/>
      </c>
      <c r="S38" s="59">
        <f>IF('[42]سجل المستخلصات'!$W$19="","",'[42]سجل المستخلصات'!$W$19)</f>
        <v/>
      </c>
      <c r="T38" s="61">
        <f>IF('[42]سجل المستخلصات'!$X$19="","",'[42]سجل المستخلصات'!$X$19)</f>
        <v/>
      </c>
      <c r="U38" s="61">
        <f>IF('[42]سجل المستخلصات'!$Z$19="","",'[42]سجل المستخلصات'!$Z$19)</f>
        <v/>
      </c>
      <c r="V38" s="59">
        <f>IF('[42]سجل المستخلصات'!$AA$19="","",'[42]سجل المستخلصات'!$AA$19)</f>
        <v/>
      </c>
      <c r="W38" s="59">
        <f>IF('[42]سجل المستخلصات'!$AC$19="","",'[42]سجل المستخلصات'!$AC$19)</f>
        <v/>
      </c>
      <c r="X38" s="62">
        <f>IF('[42]سجل المستخلصات'!$AD$19="","",'[42]سجل المستخلصات'!$AD$19)</f>
        <v/>
      </c>
      <c r="Y38" s="58">
        <f>IF('[42]سجل المستخلصات'!$AE$19="","",'[42]سجل المستخلصات'!$AE$19)</f>
        <v/>
      </c>
    </row>
    <row r="39">
      <c r="B39" s="56" t="n">
        <v>15</v>
      </c>
      <c r="C39" s="57">
        <f>IF('[42]سجل المستخلصات'!$C$20="","",'[42]سجل المستخلصات'!$C$20)</f>
        <v/>
      </c>
      <c r="D39" s="57">
        <f>IF('[42]سجل المستخلصات'!$E$20="","",'[42]سجل المستخلصات'!$E$20)</f>
        <v/>
      </c>
      <c r="E39" s="58">
        <f>IF('[42]سجل المستخلصات'!$F$20="","",'[42]سجل المستخلصات'!$F$20)</f>
        <v/>
      </c>
      <c r="F39" s="59">
        <f>IF('[42]سجل المستخلصات'!$H$20="","",'[42]سجل المستخلصات'!$H$20)</f>
        <v/>
      </c>
      <c r="G39" s="59">
        <f>IF('[42]سجل المستخلصات'!$G$20="","",'[42]سجل المستخلصات'!$G$20)</f>
        <v/>
      </c>
      <c r="H39" s="59">
        <f>IF('[42]سجل المستخلصات'!$I$20="","",'[42]سجل المستخلصات'!$I$20)</f>
        <v/>
      </c>
      <c r="I39" s="59">
        <f>IF('[42]سجل المستخلصات'!$J$20="","",'[42]سجل المستخلصات'!$J$20)</f>
        <v/>
      </c>
      <c r="J39" s="59">
        <f>IF('[42]سجل المستخلصات'!$K$20="","",'[42]سجل المستخلصات'!$K$20)</f>
        <v/>
      </c>
      <c r="K39" s="60">
        <f>IF('[42]سجل المستخلصات'!$L$20="","",'[42]سجل المستخلصات'!$L$20)</f>
        <v/>
      </c>
      <c r="L39" s="60">
        <f>IF('[42]سجل المستخلصات'!$M$20="","",'[42]سجل المستخلصات'!$M$20)</f>
        <v/>
      </c>
      <c r="M39" s="60">
        <f>IF('[42]سجل المستخلصات'!$N$20="","",'[42]سجل المستخلصات'!$N$20)</f>
        <v/>
      </c>
      <c r="N39" s="59">
        <f>IF('[42]سجل المستخلصات'!$O$20="","",'[42]سجل المستخلصات'!$O$20)</f>
        <v/>
      </c>
      <c r="O39" s="59">
        <f>IF('[42]سجل المستخلصات'!$R$20="","",'[42]سجل المستخلصات'!$R$20)</f>
        <v/>
      </c>
      <c r="P39" s="59">
        <f>IF('[42]سجل المستخلصات'!$S$20="","",'[42]سجل المستخلصات'!$S$20)</f>
        <v/>
      </c>
      <c r="Q39" s="59">
        <f>IF('[42]سجل المستخلصات'!$T$20="","",'[42]سجل المستخلصات'!$T$20)</f>
        <v/>
      </c>
      <c r="R39" s="59">
        <f>IF('[42]سجل المستخلصات'!$V$20="","",'[42]سجل المستخلصات'!$V$20)</f>
        <v/>
      </c>
      <c r="S39" s="59">
        <f>IF('[42]سجل المستخلصات'!$W$20="","",'[42]سجل المستخلصات'!$W$20)</f>
        <v/>
      </c>
      <c r="T39" s="61">
        <f>IF('[42]سجل المستخلصات'!$X$20="","",'[42]سجل المستخلصات'!$X$20)</f>
        <v/>
      </c>
      <c r="U39" s="61">
        <f>IF('[42]سجل المستخلصات'!$Z$20="","",'[42]سجل المستخلصات'!$Z$20)</f>
        <v/>
      </c>
      <c r="V39" s="59">
        <f>IF('[42]سجل المستخلصات'!$AA$20="","",'[42]سجل المستخلصات'!$AA$20)</f>
        <v/>
      </c>
      <c r="W39" s="59">
        <f>IF('[42]سجل المستخلصات'!$AC$20="","",'[42]سجل المستخلصات'!$AC$20)</f>
        <v/>
      </c>
      <c r="X39" s="62">
        <f>IF('[42]سجل المستخلصات'!$AD$20="","",'[42]سجل المستخلصات'!$AD$20)</f>
        <v/>
      </c>
      <c r="Y39" s="58">
        <f>IF('[42]سجل المستخلصات'!$AE$20="","",'[42]سجل المستخلصات'!$AE$20)</f>
        <v/>
      </c>
    </row>
    <row r="40">
      <c r="B40" s="56" t="n">
        <v>16</v>
      </c>
      <c r="C40" s="57">
        <f>IF('[42]سجل المستخلصات'!$C$21="","",'[42]سجل المستخلصات'!$C$21)</f>
        <v/>
      </c>
      <c r="D40" s="57">
        <f>IF('[42]سجل المستخلصات'!$E$21="","",'[42]سجل المستخلصات'!$E$21)</f>
        <v/>
      </c>
      <c r="E40" s="58">
        <f>IF('[42]سجل المستخلصات'!$F$21="","",'[42]سجل المستخلصات'!$F$21)</f>
        <v/>
      </c>
      <c r="F40" s="59">
        <f>IF('[42]سجل المستخلصات'!$H$21="","",'[42]سجل المستخلصات'!$H$21)</f>
        <v/>
      </c>
      <c r="G40" s="59">
        <f>IF('[42]سجل المستخلصات'!$G$21="","",'[42]سجل المستخلصات'!$G$21)</f>
        <v/>
      </c>
      <c r="H40" s="59">
        <f>IF('[42]سجل المستخلصات'!$I$21="","",'[42]سجل المستخلصات'!$I$21)</f>
        <v/>
      </c>
      <c r="I40" s="59">
        <f>IF('[42]سجل المستخلصات'!$J$21="","",'[42]سجل المستخلصات'!$J$21)</f>
        <v/>
      </c>
      <c r="J40" s="59">
        <f>IF('[42]سجل المستخلصات'!$K$21="","",'[42]سجل المستخلصات'!$K$21)</f>
        <v/>
      </c>
      <c r="K40" s="60">
        <f>IF('[42]سجل المستخلصات'!$L$21="","",'[42]سجل المستخلصات'!$L$21)</f>
        <v/>
      </c>
      <c r="L40" s="60">
        <f>IF('[42]سجل المستخلصات'!$M$21="","",'[42]سجل المستخلصات'!$M$21)</f>
        <v/>
      </c>
      <c r="M40" s="60">
        <f>IF('[42]سجل المستخلصات'!$N$21="","",'[42]سجل المستخلصات'!$N$21)</f>
        <v/>
      </c>
      <c r="N40" s="59">
        <f>IF('[42]سجل المستخلصات'!$O$21="","",'[42]سجل المستخلصات'!$O$21)</f>
        <v/>
      </c>
      <c r="O40" s="59">
        <f>IF('[42]سجل المستخلصات'!$R$21="","",'[42]سجل المستخلصات'!$R$21)</f>
        <v/>
      </c>
      <c r="P40" s="59">
        <f>IF('[42]سجل المستخلصات'!$S$21="","",'[42]سجل المستخلصات'!$S$21)</f>
        <v/>
      </c>
      <c r="Q40" s="59">
        <f>IF('[42]سجل المستخلصات'!$T$21="","",'[42]سجل المستخلصات'!$T$21)</f>
        <v/>
      </c>
      <c r="R40" s="59">
        <f>IF('[42]سجل المستخلصات'!$V$21="","",'[42]سجل المستخلصات'!$V$21)</f>
        <v/>
      </c>
      <c r="S40" s="59">
        <f>IF('[42]سجل المستخلصات'!$W$21="","",'[42]سجل المستخلصات'!$W$21)</f>
        <v/>
      </c>
      <c r="T40" s="61">
        <f>IF('[42]سجل المستخلصات'!$X$21="","",'[42]سجل المستخلصات'!$X$21)</f>
        <v/>
      </c>
      <c r="U40" s="61">
        <f>IF('[42]سجل المستخلصات'!$Z$21="","",'[42]سجل المستخلصات'!$Z$21)</f>
        <v/>
      </c>
      <c r="V40" s="59">
        <f>IF('[42]سجل المستخلصات'!$AA$21="","",'[42]سجل المستخلصات'!$AA$21)</f>
        <v/>
      </c>
      <c r="W40" s="59">
        <f>IF('[42]سجل المستخلصات'!$AC$21="","",'[42]سجل المستخلصات'!$AC$21)</f>
        <v/>
      </c>
      <c r="X40" s="62">
        <f>IF('[42]سجل المستخلصات'!$AD$21="","",'[42]سجل المستخلصات'!$AD$21)</f>
        <v/>
      </c>
      <c r="Y40" s="58">
        <f>IF('[42]سجل المستخلصات'!$AE$21="","",'[42]سجل المستخلصات'!$AE$21)</f>
        <v/>
      </c>
    </row>
    <row r="41">
      <c r="B41" s="56" t="n">
        <v>17</v>
      </c>
      <c r="C41" s="57">
        <f>IF('[42]سجل المستخلصات'!$C$22="","",'[42]سجل المستخلصات'!$C$22)</f>
        <v/>
      </c>
      <c r="D41" s="57">
        <f>IF('[42]سجل المستخلصات'!$E$22="","",'[42]سجل المستخلصات'!$E$22)</f>
        <v/>
      </c>
      <c r="E41" s="58">
        <f>IF('[42]سجل المستخلصات'!$F$22="","",'[42]سجل المستخلصات'!$F$22)</f>
        <v/>
      </c>
      <c r="F41" s="59">
        <f>IF('[42]سجل المستخلصات'!$H$22="","",'[42]سجل المستخلصات'!$H$22)</f>
        <v/>
      </c>
      <c r="G41" s="59">
        <f>IF('[42]سجل المستخلصات'!$G$22="","",'[42]سجل المستخلصات'!$G$22)</f>
        <v/>
      </c>
      <c r="H41" s="59">
        <f>IF('[42]سجل المستخلصات'!$I$22="","",'[42]سجل المستخلصات'!$I$22)</f>
        <v/>
      </c>
      <c r="I41" s="59">
        <f>IF('[42]سجل المستخلصات'!$J$22="","",'[42]سجل المستخلصات'!$J$22)</f>
        <v/>
      </c>
      <c r="J41" s="59">
        <f>IF('[42]سجل المستخلصات'!$K$22="","",'[42]سجل المستخلصات'!$K$22)</f>
        <v/>
      </c>
      <c r="K41" s="60">
        <f>IF('[42]سجل المستخلصات'!$L$22="","",'[42]سجل المستخلصات'!$L$22)</f>
        <v/>
      </c>
      <c r="L41" s="60">
        <f>IF('[42]سجل المستخلصات'!$M$22="","",'[42]سجل المستخلصات'!$M$22)</f>
        <v/>
      </c>
      <c r="M41" s="60">
        <f>IF('[42]سجل المستخلصات'!$N$22="","",'[42]سجل المستخلصات'!$N$22)</f>
        <v/>
      </c>
      <c r="N41" s="59">
        <f>IF('[42]سجل المستخلصات'!$O$22="","",'[42]سجل المستخلصات'!$O$22)</f>
        <v/>
      </c>
      <c r="O41" s="59">
        <f>IF('[42]سجل المستخلصات'!$R$22="","",'[42]سجل المستخلصات'!$R$22)</f>
        <v/>
      </c>
      <c r="P41" s="59">
        <f>IF('[42]سجل المستخلصات'!$S$22="","",'[42]سجل المستخلصات'!$S$22)</f>
        <v/>
      </c>
      <c r="Q41" s="59">
        <f>IF('[42]سجل المستخلصات'!$T$22="","",'[42]سجل المستخلصات'!$T$22)</f>
        <v/>
      </c>
      <c r="R41" s="59">
        <f>IF('[42]سجل المستخلصات'!$V$22="","",'[42]سجل المستخلصات'!$V$22)</f>
        <v/>
      </c>
      <c r="S41" s="59">
        <f>IF('[42]سجل المستخلصات'!$W$22="","",'[42]سجل المستخلصات'!$W$22)</f>
        <v/>
      </c>
      <c r="T41" s="61">
        <f>IF('[42]سجل المستخلصات'!$X$22="","",'[42]سجل المستخلصات'!$X$22)</f>
        <v/>
      </c>
      <c r="U41" s="61">
        <f>IF('[42]سجل المستخلصات'!$Z$22="","",'[42]سجل المستخلصات'!$Z$22)</f>
        <v/>
      </c>
      <c r="V41" s="59">
        <f>IF('[42]سجل المستخلصات'!$AA$22="","",'[42]سجل المستخلصات'!$AA$22)</f>
        <v/>
      </c>
      <c r="W41" s="59">
        <f>IF('[42]سجل المستخلصات'!$AC$22="","",'[42]سجل المستخلصات'!$AC$22)</f>
        <v/>
      </c>
      <c r="X41" s="62">
        <f>IF('[42]سجل المستخلصات'!$AD$22="","",'[42]سجل المستخلصات'!$AD$22)</f>
        <v/>
      </c>
      <c r="Y41" s="58">
        <f>IF('[42]سجل المستخلصات'!$AE$22="","",'[42]سجل المستخلصات'!$AE$22)</f>
        <v/>
      </c>
    </row>
    <row r="42">
      <c r="B42" s="56" t="n">
        <v>18</v>
      </c>
      <c r="C42" s="57">
        <f>IF('[42]سجل المستخلصات'!$C$23="","",'[42]سجل المستخلصات'!$C$23)</f>
        <v/>
      </c>
      <c r="D42" s="57">
        <f>IF('[42]سجل المستخلصات'!$E$23="","",'[42]سجل المستخلصات'!$E$23)</f>
        <v/>
      </c>
      <c r="E42" s="58">
        <f>IF('[42]سجل المستخلصات'!$F$23="","",'[42]سجل المستخلصات'!$F$23)</f>
        <v/>
      </c>
      <c r="F42" s="59">
        <f>IF('[42]سجل المستخلصات'!$H$23="","",'[42]سجل المستخلصات'!$H$23)</f>
        <v/>
      </c>
      <c r="G42" s="59">
        <f>IF('[42]سجل المستخلصات'!$G$23="","",'[42]سجل المستخلصات'!$G$23)</f>
        <v/>
      </c>
      <c r="H42" s="59">
        <f>IF('[42]سجل المستخلصات'!$I$23="","",'[42]سجل المستخلصات'!$I$23)</f>
        <v/>
      </c>
      <c r="I42" s="59">
        <f>IF('[42]سجل المستخلصات'!$J$23="","",'[42]سجل المستخلصات'!$J$23)</f>
        <v/>
      </c>
      <c r="J42" s="59">
        <f>IF('[42]سجل المستخلصات'!$K$23="","",'[42]سجل المستخلصات'!$K$23)</f>
        <v/>
      </c>
      <c r="K42" s="60">
        <f>IF('[42]سجل المستخلصات'!$L$23="","",'[42]سجل المستخلصات'!$L$23)</f>
        <v/>
      </c>
      <c r="L42" s="60">
        <f>IF('[42]سجل المستخلصات'!$M$23="","",'[42]سجل المستخلصات'!$M$23)</f>
        <v/>
      </c>
      <c r="M42" s="60">
        <f>IF('[42]سجل المستخلصات'!$N$23="","",'[42]سجل المستخلصات'!$N$23)</f>
        <v/>
      </c>
      <c r="N42" s="59">
        <f>IF('[42]سجل المستخلصات'!$O$23="","",'[42]سجل المستخلصات'!$O$23)</f>
        <v/>
      </c>
      <c r="O42" s="59">
        <f>IF('[42]سجل المستخلصات'!$R$23="","",'[42]سجل المستخلصات'!$R$23)</f>
        <v/>
      </c>
      <c r="P42" s="59">
        <f>IF('[42]سجل المستخلصات'!$S$23="","",'[42]سجل المستخلصات'!$S$23)</f>
        <v/>
      </c>
      <c r="Q42" s="59">
        <f>IF('[42]سجل المستخلصات'!$T$23="","",'[42]سجل المستخلصات'!$T$23)</f>
        <v/>
      </c>
      <c r="R42" s="59">
        <f>IF('[42]سجل المستخلصات'!$V$23="","",'[42]سجل المستخلصات'!$V$23)</f>
        <v/>
      </c>
      <c r="S42" s="59">
        <f>IF('[42]سجل المستخلصات'!$W$23="","",'[42]سجل المستخلصات'!$W$23)</f>
        <v/>
      </c>
      <c r="T42" s="61">
        <f>IF('[42]سجل المستخلصات'!$X$23="","",'[42]سجل المستخلصات'!$X$23)</f>
        <v/>
      </c>
      <c r="U42" s="61">
        <f>IF('[42]سجل المستخلصات'!$Z$23="","",'[42]سجل المستخلصات'!$Z$23)</f>
        <v/>
      </c>
      <c r="V42" s="59">
        <f>IF('[42]سجل المستخلصات'!$AA$23="","",'[42]سجل المستخلصات'!$AA$23)</f>
        <v/>
      </c>
      <c r="W42" s="59">
        <f>IF('[42]سجل المستخلصات'!$AC$23="","",'[42]سجل المستخلصات'!$AC$23)</f>
        <v/>
      </c>
      <c r="X42" s="62">
        <f>IF('[42]سجل المستخلصات'!$AD$23="","",'[42]سجل المستخلصات'!$AD$23)</f>
        <v/>
      </c>
      <c r="Y42" s="58">
        <f>IF('[42]سجل المستخلصات'!$AE$23="","",'[42]سجل المستخلصات'!$AE$23)</f>
        <v/>
      </c>
    </row>
    <row r="43">
      <c r="B43" s="56" t="n">
        <v>19</v>
      </c>
      <c r="C43" s="57">
        <f>IF('[42]سجل المستخلصات'!$C$24="","",'[42]سجل المستخلصات'!$C$24)</f>
        <v/>
      </c>
      <c r="D43" s="57">
        <f>IF('[42]سجل المستخلصات'!$E$24="","",'[42]سجل المستخلصات'!$E$24)</f>
        <v/>
      </c>
      <c r="E43" s="58">
        <f>IF('[42]سجل المستخلصات'!$F$24="","",'[42]سجل المستخلصات'!$F$24)</f>
        <v/>
      </c>
      <c r="F43" s="59">
        <f>IF('[42]سجل المستخلصات'!$H$24="","",'[42]سجل المستخلصات'!$H$24)</f>
        <v/>
      </c>
      <c r="G43" s="59">
        <f>IF('[42]سجل المستخلصات'!$G$24="","",'[42]سجل المستخلصات'!$G$24)</f>
        <v/>
      </c>
      <c r="H43" s="59">
        <f>IF('[42]سجل المستخلصات'!$I$24="","",'[42]سجل المستخلصات'!$I$24)</f>
        <v/>
      </c>
      <c r="I43" s="59">
        <f>IF('[42]سجل المستخلصات'!$J$24="","",'[42]سجل المستخلصات'!$J$24)</f>
        <v/>
      </c>
      <c r="J43" s="59">
        <f>IF('[42]سجل المستخلصات'!$K$24="","",'[42]سجل المستخلصات'!$K$24)</f>
        <v/>
      </c>
      <c r="K43" s="60">
        <f>IF('[42]سجل المستخلصات'!$L$24="","",'[42]سجل المستخلصات'!$L$24)</f>
        <v/>
      </c>
      <c r="L43" s="60">
        <f>IF('[42]سجل المستخلصات'!$M$24="","",'[42]سجل المستخلصات'!$M$24)</f>
        <v/>
      </c>
      <c r="M43" s="60">
        <f>IF('[42]سجل المستخلصات'!$N$24="","",'[42]سجل المستخلصات'!$N$24)</f>
        <v/>
      </c>
      <c r="N43" s="59">
        <f>IF('[42]سجل المستخلصات'!$O$24="","",'[42]سجل المستخلصات'!$O$24)</f>
        <v/>
      </c>
      <c r="O43" s="59">
        <f>IF('[42]سجل المستخلصات'!$R$24="","",'[42]سجل المستخلصات'!$R$24)</f>
        <v/>
      </c>
      <c r="P43" s="59">
        <f>IF('[42]سجل المستخلصات'!$S$24="","",'[42]سجل المستخلصات'!$S$24)</f>
        <v/>
      </c>
      <c r="Q43" s="59">
        <f>IF('[42]سجل المستخلصات'!$T$24="","",'[42]سجل المستخلصات'!$T$24)</f>
        <v/>
      </c>
      <c r="R43" s="59">
        <f>IF('[42]سجل المستخلصات'!$V$24="","",'[42]سجل المستخلصات'!$V$24)</f>
        <v/>
      </c>
      <c r="S43" s="59">
        <f>IF('[42]سجل المستخلصات'!$W$24="","",'[42]سجل المستخلصات'!$W$24)</f>
        <v/>
      </c>
      <c r="T43" s="61">
        <f>IF('[42]سجل المستخلصات'!$X$24="","",'[42]سجل المستخلصات'!$X$24)</f>
        <v/>
      </c>
      <c r="U43" s="61">
        <f>IF('[42]سجل المستخلصات'!$Z$24="","",'[42]سجل المستخلصات'!$Z$24)</f>
        <v/>
      </c>
      <c r="V43" s="59">
        <f>IF('[42]سجل المستخلصات'!$AA$24="","",'[42]سجل المستخلصات'!$AA$24)</f>
        <v/>
      </c>
      <c r="W43" s="59">
        <f>IF('[42]سجل المستخلصات'!$AC$24="","",'[42]سجل المستخلصات'!$AC$24)</f>
        <v/>
      </c>
      <c r="X43" s="62">
        <f>IF('[42]سجل المستخلصات'!$AD$24="","",'[42]سجل المستخلصات'!$AD$24)</f>
        <v/>
      </c>
      <c r="Y43" s="58">
        <f>IF('[42]سجل المستخلصات'!$AE$24="","",'[42]سجل المستخلصات'!$AE$24)</f>
        <v/>
      </c>
    </row>
    <row r="44">
      <c r="B44" s="56" t="n">
        <v>20</v>
      </c>
      <c r="C44" s="57">
        <f>IF('[42]سجل المستخلصات'!$C$25="","",'[42]سجل المستخلصات'!$C$25)</f>
        <v/>
      </c>
      <c r="D44" s="57">
        <f>IF('[42]سجل المستخلصات'!$E$25="","",'[42]سجل المستخلصات'!$E$25)</f>
        <v/>
      </c>
      <c r="E44" s="58">
        <f>IF('[42]سجل المستخلصات'!$F$25="","",'[42]سجل المستخلصات'!$F$25)</f>
        <v/>
      </c>
      <c r="F44" s="59">
        <f>IF('[42]سجل المستخلصات'!$H$25="","",'[42]سجل المستخلصات'!$H$25)</f>
        <v/>
      </c>
      <c r="G44" s="59">
        <f>IF('[42]سجل المستخلصات'!$G$25="","",'[42]سجل المستخلصات'!$G$25)</f>
        <v/>
      </c>
      <c r="H44" s="59">
        <f>IF('[42]سجل المستخلصات'!$I$25="","",'[42]سجل المستخلصات'!$I$25)</f>
        <v/>
      </c>
      <c r="I44" s="59">
        <f>IF('[42]سجل المستخلصات'!$J$25="","",'[42]سجل المستخلصات'!$J$25)</f>
        <v/>
      </c>
      <c r="J44" s="59">
        <f>IF('[42]سجل المستخلصات'!$K$25="","",'[42]سجل المستخلصات'!$K$25)</f>
        <v/>
      </c>
      <c r="K44" s="60">
        <f>IF('[42]سجل المستخلصات'!$L$25="","",'[42]سجل المستخلصات'!$L$25)</f>
        <v/>
      </c>
      <c r="L44" s="60">
        <f>IF('[42]سجل المستخلصات'!$M$25="","",'[42]سجل المستخلصات'!$M$25)</f>
        <v/>
      </c>
      <c r="M44" s="60">
        <f>IF('[42]سجل المستخلصات'!$N$25="","",'[42]سجل المستخلصات'!$N$25)</f>
        <v/>
      </c>
      <c r="N44" s="59">
        <f>IF('[42]سجل المستخلصات'!$O$25="","",'[42]سجل المستخلصات'!$O$25)</f>
        <v/>
      </c>
      <c r="O44" s="59">
        <f>IF('[42]سجل المستخلصات'!$R$25="","",'[42]سجل المستخلصات'!$R$25)</f>
        <v/>
      </c>
      <c r="P44" s="59">
        <f>IF('[42]سجل المستخلصات'!$S$25="","",'[42]سجل المستخلصات'!$S$25)</f>
        <v/>
      </c>
      <c r="Q44" s="59">
        <f>IF('[42]سجل المستخلصات'!$T$25="","",'[42]سجل المستخلصات'!$T$25)</f>
        <v/>
      </c>
      <c r="R44" s="59">
        <f>IF('[42]سجل المستخلصات'!$V$25="","",'[42]سجل المستخلصات'!$V$25)</f>
        <v/>
      </c>
      <c r="S44" s="59">
        <f>IF('[42]سجل المستخلصات'!$W$25="","",'[42]سجل المستخلصات'!$W$25)</f>
        <v/>
      </c>
      <c r="T44" s="61">
        <f>IF('[42]سجل المستخلصات'!$X$25="","",'[42]سجل المستخلصات'!$X$25)</f>
        <v/>
      </c>
      <c r="U44" s="61">
        <f>IF('[42]سجل المستخلصات'!$Z$25="","",'[42]سجل المستخلصات'!$Z$25)</f>
        <v/>
      </c>
      <c r="V44" s="59">
        <f>IF('[42]سجل المستخلصات'!$AA$25="","",'[42]سجل المستخلصات'!$AA$25)</f>
        <v/>
      </c>
      <c r="W44" s="59">
        <f>IF('[42]سجل المستخلصات'!$AC$25="","",'[42]سجل المستخلصات'!$AC$25)</f>
        <v/>
      </c>
      <c r="X44" s="62">
        <f>IF('[42]سجل المستخلصات'!$AD$25="","",'[42]سجل المستخلصات'!$AD$25)</f>
        <v/>
      </c>
      <c r="Y44" s="58">
        <f>IF('[42]سجل المستخلصات'!$AE$25="","",'[42]سجل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IF('[42]سجل المستخلصات'!$B$32="","",'[42]سجل المستخلصات'!$B$32)</f>
        <v/>
      </c>
      <c r="C50" s="69" t="n"/>
      <c r="D50" s="69" t="n"/>
      <c r="E50" s="59">
        <f>N('[42]سجل المستخلصات'!$E$32)</f>
        <v/>
      </c>
      <c r="F50" s="59">
        <f>N('[42]سجل المستخلصات'!$F$32)</f>
        <v/>
      </c>
      <c r="G50" s="70">
        <f>IF(E50&gt;0,F50/E50,0)</f>
        <v/>
      </c>
    </row>
    <row r="51">
      <c r="B51" s="69">
        <f>IF('[42]سجل المستخلصات'!$B$33="","",'[42]سجل المستخلصات'!$B$33)</f>
        <v/>
      </c>
      <c r="C51" s="69" t="n"/>
      <c r="D51" s="69" t="n"/>
      <c r="E51" s="59">
        <f>N('[42]سجل المستخلصات'!$E$33)</f>
        <v/>
      </c>
      <c r="F51" s="59">
        <f>N('[42]سجل المستخلصات'!$F$33)</f>
        <v/>
      </c>
      <c r="G51" s="70">
        <f>IF(E51&gt;0,F51/E51,0)</f>
        <v/>
      </c>
    </row>
    <row r="52">
      <c r="B52" s="69">
        <f>IF('[42]سجل المستخلصات'!$B$34="","",'[42]سجل المستخلصات'!$B$34)</f>
        <v/>
      </c>
      <c r="C52" s="69" t="n"/>
      <c r="D52" s="69" t="n"/>
      <c r="E52" s="59">
        <f>N('[42]سجل المستخلصات'!$E$34)</f>
        <v/>
      </c>
      <c r="F52" s="59">
        <f>N('[42]سجل المستخلصات'!$F$34)</f>
        <v/>
      </c>
      <c r="G52" s="70">
        <f>IF(E52&gt;0,F52/E52,0)</f>
        <v/>
      </c>
    </row>
    <row r="53">
      <c r="B53" s="69">
        <f>IF('[42]سجل المستخلصات'!$B$35="","",'[42]سجل المستخلصات'!$B$35)</f>
        <v/>
      </c>
      <c r="C53" s="69" t="n"/>
      <c r="D53" s="69" t="n"/>
      <c r="E53" s="59">
        <f>N('[42]سجل المستخلصات'!$E$35)</f>
        <v/>
      </c>
      <c r="F53" s="59">
        <f>N('[42]سجل المستخلصات'!$F$35)</f>
        <v/>
      </c>
      <c r="G53" s="70">
        <f>IF(E53&gt;0,F53/E53,0)</f>
        <v/>
      </c>
    </row>
    <row r="54">
      <c r="B54" s="69">
        <f>IF('[42]سجل المستخلصات'!$B$36="","",'[42]سجل المستخلصات'!$B$36)</f>
        <v/>
      </c>
      <c r="C54" s="69" t="n"/>
      <c r="D54" s="69" t="n"/>
      <c r="E54" s="59">
        <f>N('[42]سجل المستخلصات'!$E$36)</f>
        <v/>
      </c>
      <c r="F54" s="59">
        <f>N('[42]سجل المستخلصات'!$F$36)</f>
        <v/>
      </c>
      <c r="G54" s="70">
        <f>IF(E54&gt;0,F54/E54,0)</f>
        <v/>
      </c>
    </row>
    <row r="55">
      <c r="B55" s="69">
        <f>IF('[42]سجل المستخلصات'!$B$37="","",'[42]سجل المستخلصات'!$B$37)</f>
        <v/>
      </c>
      <c r="C55" s="69" t="n"/>
      <c r="D55" s="69" t="n"/>
      <c r="E55" s="59">
        <f>N('[42]سجل المستخلصات'!$E$37)</f>
        <v/>
      </c>
      <c r="F55" s="59">
        <f>N('[42]سجل المستخلصات'!$F$37)</f>
        <v/>
      </c>
      <c r="G55" s="70">
        <f>IF(E55&gt;0,F55/E55,0)</f>
        <v/>
      </c>
    </row>
    <row r="56">
      <c r="B56" s="69">
        <f>IF('[42]سجل المستخلصات'!$B$38="","",'[42]سجل المستخلصات'!$B$38)</f>
        <v/>
      </c>
      <c r="C56" s="69" t="n"/>
      <c r="D56" s="69" t="n"/>
      <c r="E56" s="59">
        <f>N('[42]سجل المستخلصات'!$E$38)</f>
        <v/>
      </c>
      <c r="F56" s="59">
        <f>N('[42]سجل المستخلصات'!$F$38)</f>
        <v/>
      </c>
      <c r="G56" s="70">
        <f>IF(E56&gt;0,F56/E56,0)</f>
        <v/>
      </c>
    </row>
    <row r="57">
      <c r="B57" s="69">
        <f>IF('[42]سجل المستخلصات'!$B$39="","",'[42]سجل المستخلصات'!$B$39)</f>
        <v/>
      </c>
      <c r="C57" s="69" t="n"/>
      <c r="D57" s="69" t="n"/>
      <c r="E57" s="59">
        <f>N('[42]سجل المستخلصات'!$E$39)</f>
        <v/>
      </c>
      <c r="F57" s="59">
        <f>N('[42]سجل المستخلصات'!$F$39)</f>
        <v/>
      </c>
      <c r="G57" s="70">
        <f>IF(E57&gt;0,F57/E57,0)</f>
        <v/>
      </c>
    </row>
    <row r="58">
      <c r="B58" s="69">
        <f>IF('[42]سجل المستخلصات'!$B$40="","",'[42]سجل المستخلصات'!$B$40)</f>
        <v/>
      </c>
      <c r="C58" s="69" t="n"/>
      <c r="D58" s="69" t="n"/>
      <c r="E58" s="59">
        <f>N('[42]سجل المستخلصات'!$E$40)</f>
        <v/>
      </c>
      <c r="F58" s="59">
        <f>N('[42]سجل المستخلصات'!$F$40)</f>
        <v/>
      </c>
      <c r="G58" s="70">
        <f>IF(E58&gt;0,F58/E58,0)</f>
        <v/>
      </c>
    </row>
    <row r="59">
      <c r="B59" s="69">
        <f>IF('[42]سجل المستخلصات'!$B$41="","",'[42]سجل المستخلصات'!$B$41)</f>
        <v/>
      </c>
      <c r="C59" s="69" t="n"/>
      <c r="D59" s="69" t="n"/>
      <c r="E59" s="59">
        <f>N('[42]سجل المستخلصات'!$E$41)</f>
        <v/>
      </c>
      <c r="F59" s="59">
        <f>N('[42]سجل المستخلصات'!$F$41)</f>
        <v/>
      </c>
      <c r="G59" s="70">
        <f>IF(E59&gt;0,F59/E59,0)</f>
        <v/>
      </c>
    </row>
    <row r="60">
      <c r="B60" s="69">
        <f>IF('[42]سجل المستخلصات'!$B$42="","",'[42]سجل المستخلصات'!$B$42)</f>
        <v/>
      </c>
      <c r="C60" s="69" t="n"/>
      <c r="D60" s="69" t="n"/>
      <c r="E60" s="59">
        <f>N('[42]سجل المستخلصات'!$E$42)</f>
        <v/>
      </c>
      <c r="F60" s="59">
        <f>N('[42]سجل المستخلصات'!$F$42)</f>
        <v/>
      </c>
      <c r="G60" s="70">
        <f>IF(E60&gt;0,F60/E60,0)</f>
        <v/>
      </c>
    </row>
    <row r="61">
      <c r="B61" s="69">
        <f>IF('[42]سجل المستخلصات'!$B$43="","",'[42]سجل المستخلصات'!$B$43)</f>
        <v/>
      </c>
      <c r="C61" s="69" t="n"/>
      <c r="D61" s="69" t="n"/>
      <c r="E61" s="59">
        <f>N('[42]سجل المستخلصات'!$E$43)</f>
        <v/>
      </c>
      <c r="F61" s="59">
        <f>N('[42]سجل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41'!A1" display="◄ المشروع السابق"/>
    <hyperlink ref="D3" location="'مشروع 43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4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"&amp;IF('[43]بيانات العقد'!$C$5="","مشروع رقم 43 — غير مُفعّل",'[43]بيانات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Project_43/IPC_Project_43.xlsx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IF('[43]بيانات العقد'!$C$5="","",'[43]بيانات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IF('[43]بيانات العقد'!$C$6="","",'[43]بيانات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IF('[43]بيانات العقد'!$C$7="","",'[43]بيانات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IF('[43]بيانات العقد'!$C$8="","",'[43]بيانات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N('[43]بيانات العقد'!$C$16)</f>
        <v/>
      </c>
    </row>
    <row r="6" ht="22" customHeight="1">
      <c r="B6" s="11" t="inlineStr">
        <is>
          <t>المقاول</t>
        </is>
      </c>
      <c r="C6" s="14">
        <f>IF('[43]بيانات العقد'!$C$9="","",'[43]بيانات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IF('[43]بيانات العقد'!$C$11="","",'[43]بيانات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IF('[43]بيانات العقد'!$C$13="","",'[43]بيانات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IF('[43]بيانات العقد'!$C$14="","",'[43]بيانات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N('[43]بيانات العقد'!$C$17)</f>
        <v/>
      </c>
    </row>
    <row r="7">
      <c r="AA7" s="15" t="inlineStr">
        <is>
          <t>قيمة العقد المعدلة</t>
        </is>
      </c>
      <c r="AB7" s="16">
        <f>N('[43]بيانات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N('[43]بيانات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N('[43]بيانات العقد'!$C$21)</f>
        <v/>
      </c>
    </row>
    <row r="10">
      <c r="AA10" s="15" t="inlineStr">
        <is>
          <t>نسبة ضمان الأعمال</t>
        </is>
      </c>
      <c r="AB10" s="23">
        <f>N('[43]بيانات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N('[43]بيانات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N('[43]بيانات العقد'!$C$31)</f>
        <v/>
      </c>
    </row>
    <row r="13">
      <c r="AA13" s="15" t="inlineStr">
        <is>
          <t>ضريبة الاستقطاع (غير المقيم)</t>
        </is>
      </c>
      <c r="AB13" s="23">
        <f>N('[43]بيانات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IF('[43]بيانات العقد'!$C$11="","",'[43]بيانات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IF('[43]بيانات العقد'!$C$13="","",'[43]بيانات العقد'!$C$13)</f>
        <v/>
      </c>
    </row>
    <row r="16">
      <c r="AA16" s="15" t="inlineStr">
        <is>
          <t>المدة (شهر)</t>
        </is>
      </c>
      <c r="AB16" s="43">
        <f>IF('[43]بيانات العقد'!$C$12="","",'[43]بيانات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IF('[43]بيانات العقد'!$C$36="","",'[43]بيانات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IF('[43]بيانات العقد'!$C$37="","",'[43]بيانات العقد'!$C$37)</f>
        <v/>
      </c>
    </row>
    <row r="19">
      <c r="AA19" s="15" t="inlineStr">
        <is>
          <t>الرقم الضريبي لصاحب العمل</t>
        </is>
      </c>
      <c r="AB19" s="48">
        <f>IF('[43]بيانات العقد'!$C$39="","",'[43]بيانات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IF('[43]بيانات العقد'!$C$42="","",'[43]بيانات العقد'!$C$42)</f>
        <v/>
      </c>
    </row>
    <row r="21" ht="32" customHeight="1">
      <c r="B21" s="50">
        <f>N('[43]الموازنة والتكاليف'!$D$66)</f>
        <v/>
      </c>
      <c r="C21" s="50" t="n"/>
      <c r="D21" s="50" t="n"/>
      <c r="E21" s="50" t="n"/>
      <c r="F21" s="50">
        <f>N('[43]الموازنة والتكاليف'!$D$70)</f>
        <v/>
      </c>
      <c r="G21" s="50" t="n"/>
      <c r="H21" s="50" t="n"/>
      <c r="I21" s="50" t="n"/>
      <c r="J21" s="50">
        <f>N('[43]الموازنة والتكاليف'!$D$72)</f>
        <v/>
      </c>
      <c r="K21" s="50" t="n"/>
      <c r="L21" s="50" t="n"/>
      <c r="M21" s="50" t="n"/>
      <c r="N21" s="51">
        <f>N('[43]الموازنة والتكاليف'!$D$73)</f>
        <v/>
      </c>
      <c r="O21" s="51" t="n"/>
      <c r="P21" s="51" t="n"/>
      <c r="Q21" s="51" t="n"/>
      <c r="R21" s="52">
        <f>N('[43]الموازنة والتكاليف'!$D$74)</f>
        <v/>
      </c>
      <c r="S21" s="52" t="n"/>
      <c r="T21" s="52" t="n"/>
      <c r="U21" s="52" t="n"/>
      <c r="V21" s="50">
        <f>N('[43]الموازنة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IF('[43]بيانات العقد'!$C$43="","",'[43]بيانات العقد'!$C$43)</f>
        <v/>
      </c>
    </row>
    <row r="22">
      <c r="AA22" s="15" t="inlineStr">
        <is>
          <t>حالة غرامات التأخير</t>
        </is>
      </c>
      <c r="AB22" s="45">
        <f>IF('[43]بيانات العقد'!$C$47="","",'[43]بيانات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IF('[43]سجل المستخلصات'!$C$6="","",'[43]سجل المستخلصات'!$C$6)</f>
        <v/>
      </c>
      <c r="D25" s="57">
        <f>IF('[43]سجل المستخلصات'!$E$6="","",'[43]سجل المستخلصات'!$E$6)</f>
        <v/>
      </c>
      <c r="E25" s="58">
        <f>IF('[43]سجل المستخلصات'!$F$6="","",'[43]سجل المستخلصات'!$F$6)</f>
        <v/>
      </c>
      <c r="F25" s="59">
        <f>IF('[43]سجل المستخلصات'!$H$6="","",'[43]سجل المستخلصات'!$H$6)</f>
        <v/>
      </c>
      <c r="G25" s="59">
        <f>IF('[43]سجل المستخلصات'!$G$6="","",'[43]سجل المستخلصات'!$G$6)</f>
        <v/>
      </c>
      <c r="H25" s="59">
        <f>IF('[43]سجل المستخلصات'!$I$6="","",'[43]سجل المستخلصات'!$I$6)</f>
        <v/>
      </c>
      <c r="I25" s="59">
        <f>IF('[43]سجل المستخلصات'!$J$6="","",'[43]سجل المستخلصات'!$J$6)</f>
        <v/>
      </c>
      <c r="J25" s="59">
        <f>IF('[43]سجل المستخلصات'!$K$6="","",'[43]سجل المستخلصات'!$K$6)</f>
        <v/>
      </c>
      <c r="K25" s="60">
        <f>IF('[43]سجل المستخلصات'!$L$6="","",'[43]سجل المستخلصات'!$L$6)</f>
        <v/>
      </c>
      <c r="L25" s="60">
        <f>IF('[43]سجل المستخلصات'!$M$6="","",'[43]سجل المستخلصات'!$M$6)</f>
        <v/>
      </c>
      <c r="M25" s="60">
        <f>IF('[43]سجل المستخلصات'!$N$6="","",'[43]سجل المستخلصات'!$N$6)</f>
        <v/>
      </c>
      <c r="N25" s="59">
        <f>IF('[43]سجل المستخلصات'!$O$6="","",'[43]سجل المستخلصات'!$O$6)</f>
        <v/>
      </c>
      <c r="O25" s="59">
        <f>IF('[43]سجل المستخلصات'!$R$6="","",'[43]سجل المستخلصات'!$R$6)</f>
        <v/>
      </c>
      <c r="P25" s="59">
        <f>IF('[43]سجل المستخلصات'!$S$6="","",'[43]سجل المستخلصات'!$S$6)</f>
        <v/>
      </c>
      <c r="Q25" s="59">
        <f>IF('[43]سجل المستخلصات'!$T$6="","",'[43]سجل المستخلصات'!$T$6)</f>
        <v/>
      </c>
      <c r="R25" s="59">
        <f>IF('[43]سجل المستخلصات'!$V$6="","",'[43]سجل المستخلصات'!$V$6)</f>
        <v/>
      </c>
      <c r="S25" s="59">
        <f>IF('[43]سجل المستخلصات'!$W$6="","",'[43]سجل المستخلصات'!$W$6)</f>
        <v/>
      </c>
      <c r="T25" s="61">
        <f>IF('[43]سجل المستخلصات'!$X$6="","",'[43]سجل المستخلصات'!$X$6)</f>
        <v/>
      </c>
      <c r="U25" s="61">
        <f>IF('[43]سجل المستخلصات'!$Z$6="","",'[43]سجل المستخلصات'!$Z$6)</f>
        <v/>
      </c>
      <c r="V25" s="59">
        <f>IF('[43]سجل المستخلصات'!$AA$6="","",'[43]سجل المستخلصات'!$AA$6)</f>
        <v/>
      </c>
      <c r="W25" s="59">
        <f>IF('[43]سجل المستخلصات'!$AC$6="","",'[43]سجل المستخلصات'!$AC$6)</f>
        <v/>
      </c>
      <c r="X25" s="62">
        <f>IF('[43]سجل المستخلصات'!$AD$6="","",'[43]سجل المستخلصات'!$AD$6)</f>
        <v/>
      </c>
      <c r="Y25" s="58">
        <f>IF('[43]سجل المستخلصات'!$AE$6="","",'[43]سجل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IF('[43]سجل المستخلصات'!$C$7="","",'[43]سجل المستخلصات'!$C$7)</f>
        <v/>
      </c>
      <c r="D26" s="57">
        <f>IF('[43]سجل المستخلصات'!$E$7="","",'[43]سجل المستخلصات'!$E$7)</f>
        <v/>
      </c>
      <c r="E26" s="58">
        <f>IF('[43]سجل المستخلصات'!$F$7="","",'[43]سجل المستخلصات'!$F$7)</f>
        <v/>
      </c>
      <c r="F26" s="59">
        <f>IF('[43]سجل المستخلصات'!$H$7="","",'[43]سجل المستخلصات'!$H$7)</f>
        <v/>
      </c>
      <c r="G26" s="59">
        <f>IF('[43]سجل المستخلصات'!$G$7="","",'[43]سجل المستخلصات'!$G$7)</f>
        <v/>
      </c>
      <c r="H26" s="59">
        <f>IF('[43]سجل المستخلصات'!$I$7="","",'[43]سجل المستخلصات'!$I$7)</f>
        <v/>
      </c>
      <c r="I26" s="59">
        <f>IF('[43]سجل المستخلصات'!$J$7="","",'[43]سجل المستخلصات'!$J$7)</f>
        <v/>
      </c>
      <c r="J26" s="59">
        <f>IF('[43]سجل المستخلصات'!$K$7="","",'[43]سجل المستخلصات'!$K$7)</f>
        <v/>
      </c>
      <c r="K26" s="60">
        <f>IF('[43]سجل المستخلصات'!$L$7="","",'[43]سجل المستخلصات'!$L$7)</f>
        <v/>
      </c>
      <c r="L26" s="60">
        <f>IF('[43]سجل المستخلصات'!$M$7="","",'[43]سجل المستخلصات'!$M$7)</f>
        <v/>
      </c>
      <c r="M26" s="60">
        <f>IF('[43]سجل المستخلصات'!$N$7="","",'[43]سجل المستخلصات'!$N$7)</f>
        <v/>
      </c>
      <c r="N26" s="59">
        <f>IF('[43]سجل المستخلصات'!$O$7="","",'[43]سجل المستخلصات'!$O$7)</f>
        <v/>
      </c>
      <c r="O26" s="59">
        <f>IF('[43]سجل المستخلصات'!$R$7="","",'[43]سجل المستخلصات'!$R$7)</f>
        <v/>
      </c>
      <c r="P26" s="59">
        <f>IF('[43]سجل المستخلصات'!$S$7="","",'[43]سجل المستخلصات'!$S$7)</f>
        <v/>
      </c>
      <c r="Q26" s="59">
        <f>IF('[43]سجل المستخلصات'!$T$7="","",'[43]سجل المستخلصات'!$T$7)</f>
        <v/>
      </c>
      <c r="R26" s="59">
        <f>IF('[43]سجل المستخلصات'!$V$7="","",'[43]سجل المستخلصات'!$V$7)</f>
        <v/>
      </c>
      <c r="S26" s="59">
        <f>IF('[43]سجل المستخلصات'!$W$7="","",'[43]سجل المستخلصات'!$W$7)</f>
        <v/>
      </c>
      <c r="T26" s="61">
        <f>IF('[43]سجل المستخلصات'!$X$7="","",'[43]سجل المستخلصات'!$X$7)</f>
        <v/>
      </c>
      <c r="U26" s="61">
        <f>IF('[43]سجل المستخلصات'!$Z$7="","",'[43]سجل المستخلصات'!$Z$7)</f>
        <v/>
      </c>
      <c r="V26" s="59">
        <f>IF('[43]سجل المستخلصات'!$AA$7="","",'[43]سجل المستخلصات'!$AA$7)</f>
        <v/>
      </c>
      <c r="W26" s="59">
        <f>IF('[43]سجل المستخلصات'!$AC$7="","",'[43]سجل المستخلصات'!$AC$7)</f>
        <v/>
      </c>
      <c r="X26" s="62">
        <f>IF('[43]سجل المستخلصات'!$AD$7="","",'[43]سجل المستخلصات'!$AD$7)</f>
        <v/>
      </c>
      <c r="Y26" s="58">
        <f>IF('[43]سجل المستخلصات'!$AE$7="","",'[43]سجل المستخلصات'!$AE$7)</f>
        <v/>
      </c>
      <c r="AA26" s="63" t="n"/>
      <c r="AB26" s="63" t="n"/>
    </row>
    <row r="27">
      <c r="B27" s="56" t="n">
        <v>3</v>
      </c>
      <c r="C27" s="57">
        <f>IF('[43]سجل المستخلصات'!$C$8="","",'[43]سجل المستخلصات'!$C$8)</f>
        <v/>
      </c>
      <c r="D27" s="57">
        <f>IF('[43]سجل المستخلصات'!$E$8="","",'[43]سجل المستخلصات'!$E$8)</f>
        <v/>
      </c>
      <c r="E27" s="58">
        <f>IF('[43]سجل المستخلصات'!$F$8="","",'[43]سجل المستخلصات'!$F$8)</f>
        <v/>
      </c>
      <c r="F27" s="59">
        <f>IF('[43]سجل المستخلصات'!$H$8="","",'[43]سجل المستخلصات'!$H$8)</f>
        <v/>
      </c>
      <c r="G27" s="59">
        <f>IF('[43]سجل المستخلصات'!$G$8="","",'[43]سجل المستخلصات'!$G$8)</f>
        <v/>
      </c>
      <c r="H27" s="59">
        <f>IF('[43]سجل المستخلصات'!$I$8="","",'[43]سجل المستخلصات'!$I$8)</f>
        <v/>
      </c>
      <c r="I27" s="59">
        <f>IF('[43]سجل المستخلصات'!$J$8="","",'[43]سجل المستخلصات'!$J$8)</f>
        <v/>
      </c>
      <c r="J27" s="59">
        <f>IF('[43]سجل المستخلصات'!$K$8="","",'[43]سجل المستخلصات'!$K$8)</f>
        <v/>
      </c>
      <c r="K27" s="60">
        <f>IF('[43]سجل المستخلصات'!$L$8="","",'[43]سجل المستخلصات'!$L$8)</f>
        <v/>
      </c>
      <c r="L27" s="60">
        <f>IF('[43]سجل المستخلصات'!$M$8="","",'[43]سجل المستخلصات'!$M$8)</f>
        <v/>
      </c>
      <c r="M27" s="60">
        <f>IF('[43]سجل المستخلصات'!$N$8="","",'[43]سجل المستخلصات'!$N$8)</f>
        <v/>
      </c>
      <c r="N27" s="59">
        <f>IF('[43]سجل المستخلصات'!$O$8="","",'[43]سجل المستخلصات'!$O$8)</f>
        <v/>
      </c>
      <c r="O27" s="59">
        <f>IF('[43]سجل المستخلصات'!$R$8="","",'[43]سجل المستخلصات'!$R$8)</f>
        <v/>
      </c>
      <c r="P27" s="59">
        <f>IF('[43]سجل المستخلصات'!$S$8="","",'[43]سجل المستخلصات'!$S$8)</f>
        <v/>
      </c>
      <c r="Q27" s="59">
        <f>IF('[43]سجل المستخلصات'!$T$8="","",'[43]سجل المستخلصات'!$T$8)</f>
        <v/>
      </c>
      <c r="R27" s="59">
        <f>IF('[43]سجل المستخلصات'!$V$8="","",'[43]سجل المستخلصات'!$V$8)</f>
        <v/>
      </c>
      <c r="S27" s="59">
        <f>IF('[43]سجل المستخلصات'!$W$8="","",'[43]سجل المستخلصات'!$W$8)</f>
        <v/>
      </c>
      <c r="T27" s="61">
        <f>IF('[43]سجل المستخلصات'!$X$8="","",'[43]سجل المستخلصات'!$X$8)</f>
        <v/>
      </c>
      <c r="U27" s="61">
        <f>IF('[43]سجل المستخلصات'!$Z$8="","",'[43]سجل المستخلصات'!$Z$8)</f>
        <v/>
      </c>
      <c r="V27" s="59">
        <f>IF('[43]سجل المستخلصات'!$AA$8="","",'[43]سجل المستخلصات'!$AA$8)</f>
        <v/>
      </c>
      <c r="W27" s="59">
        <f>IF('[43]سجل المستخلصات'!$AC$8="","",'[43]سجل المستخلصات'!$AC$8)</f>
        <v/>
      </c>
      <c r="X27" s="62">
        <f>IF('[43]سجل المستخلصات'!$AD$8="","",'[43]سجل المستخلصات'!$AD$8)</f>
        <v/>
      </c>
      <c r="Y27" s="58">
        <f>IF('[43]سجل المستخلصات'!$AE$8="","",'[43]سجل المستخلصات'!$AE$8)</f>
        <v/>
      </c>
      <c r="AA27" s="63" t="n"/>
      <c r="AB27" s="63" t="n"/>
    </row>
    <row r="28">
      <c r="B28" s="56" t="n">
        <v>4</v>
      </c>
      <c r="C28" s="57">
        <f>IF('[43]سجل المستخلصات'!$C$9="","",'[43]سجل المستخلصات'!$C$9)</f>
        <v/>
      </c>
      <c r="D28" s="57">
        <f>IF('[43]سجل المستخلصات'!$E$9="","",'[43]سجل المستخلصات'!$E$9)</f>
        <v/>
      </c>
      <c r="E28" s="58">
        <f>IF('[43]سجل المستخلصات'!$F$9="","",'[43]سجل المستخلصات'!$F$9)</f>
        <v/>
      </c>
      <c r="F28" s="59">
        <f>IF('[43]سجل المستخلصات'!$H$9="","",'[43]سجل المستخلصات'!$H$9)</f>
        <v/>
      </c>
      <c r="G28" s="59">
        <f>IF('[43]سجل المستخلصات'!$G$9="","",'[43]سجل المستخلصات'!$G$9)</f>
        <v/>
      </c>
      <c r="H28" s="59">
        <f>IF('[43]سجل المستخلصات'!$I$9="","",'[43]سجل المستخلصات'!$I$9)</f>
        <v/>
      </c>
      <c r="I28" s="59">
        <f>IF('[43]سجل المستخلصات'!$J$9="","",'[43]سجل المستخلصات'!$J$9)</f>
        <v/>
      </c>
      <c r="J28" s="59">
        <f>IF('[43]سجل المستخلصات'!$K$9="","",'[43]سجل المستخلصات'!$K$9)</f>
        <v/>
      </c>
      <c r="K28" s="60">
        <f>IF('[43]سجل المستخلصات'!$L$9="","",'[43]سجل المستخلصات'!$L$9)</f>
        <v/>
      </c>
      <c r="L28" s="60">
        <f>IF('[43]سجل المستخلصات'!$M$9="","",'[43]سجل المستخلصات'!$M$9)</f>
        <v/>
      </c>
      <c r="M28" s="60">
        <f>IF('[43]سجل المستخلصات'!$N$9="","",'[43]سجل المستخلصات'!$N$9)</f>
        <v/>
      </c>
      <c r="N28" s="59">
        <f>IF('[43]سجل المستخلصات'!$O$9="","",'[43]سجل المستخلصات'!$O$9)</f>
        <v/>
      </c>
      <c r="O28" s="59">
        <f>IF('[43]سجل المستخلصات'!$R$9="","",'[43]سجل المستخلصات'!$R$9)</f>
        <v/>
      </c>
      <c r="P28" s="59">
        <f>IF('[43]سجل المستخلصات'!$S$9="","",'[43]سجل المستخلصات'!$S$9)</f>
        <v/>
      </c>
      <c r="Q28" s="59">
        <f>IF('[43]سجل المستخلصات'!$T$9="","",'[43]سجل المستخلصات'!$T$9)</f>
        <v/>
      </c>
      <c r="R28" s="59">
        <f>IF('[43]سجل المستخلصات'!$V$9="","",'[43]سجل المستخلصات'!$V$9)</f>
        <v/>
      </c>
      <c r="S28" s="59">
        <f>IF('[43]سجل المستخلصات'!$W$9="","",'[43]سجل المستخلصات'!$W$9)</f>
        <v/>
      </c>
      <c r="T28" s="61">
        <f>IF('[43]سجل المستخلصات'!$X$9="","",'[43]سجل المستخلصات'!$X$9)</f>
        <v/>
      </c>
      <c r="U28" s="61">
        <f>IF('[43]سجل المستخلصات'!$Z$9="","",'[43]سجل المستخلصات'!$Z$9)</f>
        <v/>
      </c>
      <c r="V28" s="59">
        <f>IF('[43]سجل المستخلصات'!$AA$9="","",'[43]سجل المستخلصات'!$AA$9)</f>
        <v/>
      </c>
      <c r="W28" s="59">
        <f>IF('[43]سجل المستخلصات'!$AC$9="","",'[43]سجل المستخلصات'!$AC$9)</f>
        <v/>
      </c>
      <c r="X28" s="62">
        <f>IF('[43]سجل المستخلصات'!$AD$9="","",'[43]سجل المستخلصات'!$AD$9)</f>
        <v/>
      </c>
      <c r="Y28" s="58">
        <f>IF('[43]سجل المستخلصات'!$AE$9="","",'[43]سجل المستخلصات'!$AE$9)</f>
        <v/>
      </c>
      <c r="AA28" s="63" t="n"/>
      <c r="AB28" s="63" t="n"/>
    </row>
    <row r="29">
      <c r="B29" s="56" t="n">
        <v>5</v>
      </c>
      <c r="C29" s="57">
        <f>IF('[43]سجل المستخلصات'!$C$10="","",'[43]سجل المستخلصات'!$C$10)</f>
        <v/>
      </c>
      <c r="D29" s="57">
        <f>IF('[43]سجل المستخلصات'!$E$10="","",'[43]سجل المستخلصات'!$E$10)</f>
        <v/>
      </c>
      <c r="E29" s="58">
        <f>IF('[43]سجل المستخلصات'!$F$10="","",'[43]سجل المستخلصات'!$F$10)</f>
        <v/>
      </c>
      <c r="F29" s="59">
        <f>IF('[43]سجل المستخلصات'!$H$10="","",'[43]سجل المستخلصات'!$H$10)</f>
        <v/>
      </c>
      <c r="G29" s="59">
        <f>IF('[43]سجل المستخلصات'!$G$10="","",'[43]سجل المستخلصات'!$G$10)</f>
        <v/>
      </c>
      <c r="H29" s="59">
        <f>IF('[43]سجل المستخلصات'!$I$10="","",'[43]سجل المستخلصات'!$I$10)</f>
        <v/>
      </c>
      <c r="I29" s="59">
        <f>IF('[43]سجل المستخلصات'!$J$10="","",'[43]سجل المستخلصات'!$J$10)</f>
        <v/>
      </c>
      <c r="J29" s="59">
        <f>IF('[43]سجل المستخلصات'!$K$10="","",'[43]سجل المستخلصات'!$K$10)</f>
        <v/>
      </c>
      <c r="K29" s="60">
        <f>IF('[43]سجل المستخلصات'!$L$10="","",'[43]سجل المستخلصات'!$L$10)</f>
        <v/>
      </c>
      <c r="L29" s="60">
        <f>IF('[43]سجل المستخلصات'!$M$10="","",'[43]سجل المستخلصات'!$M$10)</f>
        <v/>
      </c>
      <c r="M29" s="60">
        <f>IF('[43]سجل المستخلصات'!$N$10="","",'[43]سجل المستخلصات'!$N$10)</f>
        <v/>
      </c>
      <c r="N29" s="59">
        <f>IF('[43]سجل المستخلصات'!$O$10="","",'[43]سجل المستخلصات'!$O$10)</f>
        <v/>
      </c>
      <c r="O29" s="59">
        <f>IF('[43]سجل المستخلصات'!$R$10="","",'[43]سجل المستخلصات'!$R$10)</f>
        <v/>
      </c>
      <c r="P29" s="59">
        <f>IF('[43]سجل المستخلصات'!$S$10="","",'[43]سجل المستخلصات'!$S$10)</f>
        <v/>
      </c>
      <c r="Q29" s="59">
        <f>IF('[43]سجل المستخلصات'!$T$10="","",'[43]سجل المستخلصات'!$T$10)</f>
        <v/>
      </c>
      <c r="R29" s="59">
        <f>IF('[43]سجل المستخلصات'!$V$10="","",'[43]سجل المستخلصات'!$V$10)</f>
        <v/>
      </c>
      <c r="S29" s="59">
        <f>IF('[43]سجل المستخلصات'!$W$10="","",'[43]سجل المستخلصات'!$W$10)</f>
        <v/>
      </c>
      <c r="T29" s="61">
        <f>IF('[43]سجل المستخلصات'!$X$10="","",'[43]سجل المستخلصات'!$X$10)</f>
        <v/>
      </c>
      <c r="U29" s="61">
        <f>IF('[43]سجل المستخلصات'!$Z$10="","",'[43]سجل المستخلصات'!$Z$10)</f>
        <v/>
      </c>
      <c r="V29" s="59">
        <f>IF('[43]سجل المستخلصات'!$AA$10="","",'[43]سجل المستخلصات'!$AA$10)</f>
        <v/>
      </c>
      <c r="W29" s="59">
        <f>IF('[43]سجل المستخلصات'!$AC$10="","",'[43]سجل المستخلصات'!$AC$10)</f>
        <v/>
      </c>
      <c r="X29" s="62">
        <f>IF('[43]سجل المستخلصات'!$AD$10="","",'[43]سجل المستخلصات'!$AD$10)</f>
        <v/>
      </c>
      <c r="Y29" s="58">
        <f>IF('[43]سجل المستخلصات'!$AE$10="","",'[43]سجل المستخلصات'!$AE$10)</f>
        <v/>
      </c>
    </row>
    <row r="30">
      <c r="B30" s="56" t="n">
        <v>6</v>
      </c>
      <c r="C30" s="57">
        <f>IF('[43]سجل المستخلصات'!$C$11="","",'[43]سجل المستخلصات'!$C$11)</f>
        <v/>
      </c>
      <c r="D30" s="57">
        <f>IF('[43]سجل المستخلصات'!$E$11="","",'[43]سجل المستخلصات'!$E$11)</f>
        <v/>
      </c>
      <c r="E30" s="58">
        <f>IF('[43]سجل المستخلصات'!$F$11="","",'[43]سجل المستخلصات'!$F$11)</f>
        <v/>
      </c>
      <c r="F30" s="59">
        <f>IF('[43]سجل المستخلصات'!$H$11="","",'[43]سجل المستخلصات'!$H$11)</f>
        <v/>
      </c>
      <c r="G30" s="59">
        <f>IF('[43]سجل المستخلصات'!$G$11="","",'[43]سجل المستخلصات'!$G$11)</f>
        <v/>
      </c>
      <c r="H30" s="59">
        <f>IF('[43]سجل المستخلصات'!$I$11="","",'[43]سجل المستخلصات'!$I$11)</f>
        <v/>
      </c>
      <c r="I30" s="59">
        <f>IF('[43]سجل المستخلصات'!$J$11="","",'[43]سجل المستخلصات'!$J$11)</f>
        <v/>
      </c>
      <c r="J30" s="59">
        <f>IF('[43]سجل المستخلصات'!$K$11="","",'[43]سجل المستخلصات'!$K$11)</f>
        <v/>
      </c>
      <c r="K30" s="60">
        <f>IF('[43]سجل المستخلصات'!$L$11="","",'[43]سجل المستخلصات'!$L$11)</f>
        <v/>
      </c>
      <c r="L30" s="60">
        <f>IF('[43]سجل المستخلصات'!$M$11="","",'[43]سجل المستخلصات'!$M$11)</f>
        <v/>
      </c>
      <c r="M30" s="60">
        <f>IF('[43]سجل المستخلصات'!$N$11="","",'[43]سجل المستخلصات'!$N$11)</f>
        <v/>
      </c>
      <c r="N30" s="59">
        <f>IF('[43]سجل المستخلصات'!$O$11="","",'[43]سجل المستخلصات'!$O$11)</f>
        <v/>
      </c>
      <c r="O30" s="59">
        <f>IF('[43]سجل المستخلصات'!$R$11="","",'[43]سجل المستخلصات'!$R$11)</f>
        <v/>
      </c>
      <c r="P30" s="59">
        <f>IF('[43]سجل المستخلصات'!$S$11="","",'[43]سجل المستخلصات'!$S$11)</f>
        <v/>
      </c>
      <c r="Q30" s="59">
        <f>IF('[43]سجل المستخلصات'!$T$11="","",'[43]سجل المستخلصات'!$T$11)</f>
        <v/>
      </c>
      <c r="R30" s="59">
        <f>IF('[43]سجل المستخلصات'!$V$11="","",'[43]سجل المستخلصات'!$V$11)</f>
        <v/>
      </c>
      <c r="S30" s="59">
        <f>IF('[43]سجل المستخلصات'!$W$11="","",'[43]سجل المستخلصات'!$W$11)</f>
        <v/>
      </c>
      <c r="T30" s="61">
        <f>IF('[43]سجل المستخلصات'!$X$11="","",'[43]سجل المستخلصات'!$X$11)</f>
        <v/>
      </c>
      <c r="U30" s="61">
        <f>IF('[43]سجل المستخلصات'!$Z$11="","",'[43]سجل المستخلصات'!$Z$11)</f>
        <v/>
      </c>
      <c r="V30" s="59">
        <f>IF('[43]سجل المستخلصات'!$AA$11="","",'[43]سجل المستخلصات'!$AA$11)</f>
        <v/>
      </c>
      <c r="W30" s="59">
        <f>IF('[43]سجل المستخلصات'!$AC$11="","",'[43]سجل المستخلصات'!$AC$11)</f>
        <v/>
      </c>
      <c r="X30" s="62">
        <f>IF('[43]سجل المستخلصات'!$AD$11="","",'[43]سجل المستخلصات'!$AD$11)</f>
        <v/>
      </c>
      <c r="Y30" s="58">
        <f>IF('[43]سجل المستخلصات'!$AE$11="","",'[43]سجل المستخلصات'!$AE$11)</f>
        <v/>
      </c>
    </row>
    <row r="31">
      <c r="B31" s="56" t="n">
        <v>7</v>
      </c>
      <c r="C31" s="57">
        <f>IF('[43]سجل المستخلصات'!$C$12="","",'[43]سجل المستخلصات'!$C$12)</f>
        <v/>
      </c>
      <c r="D31" s="57">
        <f>IF('[43]سجل المستخلصات'!$E$12="","",'[43]سجل المستخلصات'!$E$12)</f>
        <v/>
      </c>
      <c r="E31" s="58">
        <f>IF('[43]سجل المستخلصات'!$F$12="","",'[43]سجل المستخلصات'!$F$12)</f>
        <v/>
      </c>
      <c r="F31" s="59">
        <f>IF('[43]سجل المستخلصات'!$H$12="","",'[43]سجل المستخلصات'!$H$12)</f>
        <v/>
      </c>
      <c r="G31" s="59">
        <f>IF('[43]سجل المستخلصات'!$G$12="","",'[43]سجل المستخلصات'!$G$12)</f>
        <v/>
      </c>
      <c r="H31" s="59">
        <f>IF('[43]سجل المستخلصات'!$I$12="","",'[43]سجل المستخلصات'!$I$12)</f>
        <v/>
      </c>
      <c r="I31" s="59">
        <f>IF('[43]سجل المستخلصات'!$J$12="","",'[43]سجل المستخلصات'!$J$12)</f>
        <v/>
      </c>
      <c r="J31" s="59">
        <f>IF('[43]سجل المستخلصات'!$K$12="","",'[43]سجل المستخلصات'!$K$12)</f>
        <v/>
      </c>
      <c r="K31" s="60">
        <f>IF('[43]سجل المستخلصات'!$L$12="","",'[43]سجل المستخلصات'!$L$12)</f>
        <v/>
      </c>
      <c r="L31" s="60">
        <f>IF('[43]سجل المستخلصات'!$M$12="","",'[43]سجل المستخلصات'!$M$12)</f>
        <v/>
      </c>
      <c r="M31" s="60">
        <f>IF('[43]سجل المستخلصات'!$N$12="","",'[43]سجل المستخلصات'!$N$12)</f>
        <v/>
      </c>
      <c r="N31" s="59">
        <f>IF('[43]سجل المستخلصات'!$O$12="","",'[43]سجل المستخلصات'!$O$12)</f>
        <v/>
      </c>
      <c r="O31" s="59">
        <f>IF('[43]سجل المستخلصات'!$R$12="","",'[43]سجل المستخلصات'!$R$12)</f>
        <v/>
      </c>
      <c r="P31" s="59">
        <f>IF('[43]سجل المستخلصات'!$S$12="","",'[43]سجل المستخلصات'!$S$12)</f>
        <v/>
      </c>
      <c r="Q31" s="59">
        <f>IF('[43]سجل المستخلصات'!$T$12="","",'[43]سجل المستخلصات'!$T$12)</f>
        <v/>
      </c>
      <c r="R31" s="59">
        <f>IF('[43]سجل المستخلصات'!$V$12="","",'[43]سجل المستخلصات'!$V$12)</f>
        <v/>
      </c>
      <c r="S31" s="59">
        <f>IF('[43]سجل المستخلصات'!$W$12="","",'[43]سجل المستخلصات'!$W$12)</f>
        <v/>
      </c>
      <c r="T31" s="61">
        <f>IF('[43]سجل المستخلصات'!$X$12="","",'[43]سجل المستخلصات'!$X$12)</f>
        <v/>
      </c>
      <c r="U31" s="61">
        <f>IF('[43]سجل المستخلصات'!$Z$12="","",'[43]سجل المستخلصات'!$Z$12)</f>
        <v/>
      </c>
      <c r="V31" s="59">
        <f>IF('[43]سجل المستخلصات'!$AA$12="","",'[43]سجل المستخلصات'!$AA$12)</f>
        <v/>
      </c>
      <c r="W31" s="59">
        <f>IF('[43]سجل المستخلصات'!$AC$12="","",'[43]سجل المستخلصات'!$AC$12)</f>
        <v/>
      </c>
      <c r="X31" s="62">
        <f>IF('[43]سجل المستخلصات'!$AD$12="","",'[43]سجل المستخلصات'!$AD$12)</f>
        <v/>
      </c>
      <c r="Y31" s="58">
        <f>IF('[43]سجل المستخلصات'!$AE$12="","",'[43]سجل المستخلصات'!$AE$12)</f>
        <v/>
      </c>
    </row>
    <row r="32">
      <c r="B32" s="56" t="n">
        <v>8</v>
      </c>
      <c r="C32" s="57">
        <f>IF('[43]سجل المستخلصات'!$C$13="","",'[43]سجل المستخلصات'!$C$13)</f>
        <v/>
      </c>
      <c r="D32" s="57">
        <f>IF('[43]سجل المستخلصات'!$E$13="","",'[43]سجل المستخلصات'!$E$13)</f>
        <v/>
      </c>
      <c r="E32" s="58">
        <f>IF('[43]سجل المستخلصات'!$F$13="","",'[43]سجل المستخلصات'!$F$13)</f>
        <v/>
      </c>
      <c r="F32" s="59">
        <f>IF('[43]سجل المستخلصات'!$H$13="","",'[43]سجل المستخلصات'!$H$13)</f>
        <v/>
      </c>
      <c r="G32" s="59">
        <f>IF('[43]سجل المستخلصات'!$G$13="","",'[43]سجل المستخلصات'!$G$13)</f>
        <v/>
      </c>
      <c r="H32" s="59">
        <f>IF('[43]سجل المستخلصات'!$I$13="","",'[43]سجل المستخلصات'!$I$13)</f>
        <v/>
      </c>
      <c r="I32" s="59">
        <f>IF('[43]سجل المستخلصات'!$J$13="","",'[43]سجل المستخلصات'!$J$13)</f>
        <v/>
      </c>
      <c r="J32" s="59">
        <f>IF('[43]سجل المستخلصات'!$K$13="","",'[43]سجل المستخلصات'!$K$13)</f>
        <v/>
      </c>
      <c r="K32" s="60">
        <f>IF('[43]سجل المستخلصات'!$L$13="","",'[43]سجل المستخلصات'!$L$13)</f>
        <v/>
      </c>
      <c r="L32" s="60">
        <f>IF('[43]سجل المستخلصات'!$M$13="","",'[43]سجل المستخلصات'!$M$13)</f>
        <v/>
      </c>
      <c r="M32" s="60">
        <f>IF('[43]سجل المستخلصات'!$N$13="","",'[43]سجل المستخلصات'!$N$13)</f>
        <v/>
      </c>
      <c r="N32" s="59">
        <f>IF('[43]سجل المستخلصات'!$O$13="","",'[43]سجل المستخلصات'!$O$13)</f>
        <v/>
      </c>
      <c r="O32" s="59">
        <f>IF('[43]سجل المستخلصات'!$R$13="","",'[43]سجل المستخلصات'!$R$13)</f>
        <v/>
      </c>
      <c r="P32" s="59">
        <f>IF('[43]سجل المستخلصات'!$S$13="","",'[43]سجل المستخلصات'!$S$13)</f>
        <v/>
      </c>
      <c r="Q32" s="59">
        <f>IF('[43]سجل المستخلصات'!$T$13="","",'[43]سجل المستخلصات'!$T$13)</f>
        <v/>
      </c>
      <c r="R32" s="59">
        <f>IF('[43]سجل المستخلصات'!$V$13="","",'[43]سجل المستخلصات'!$V$13)</f>
        <v/>
      </c>
      <c r="S32" s="59">
        <f>IF('[43]سجل المستخلصات'!$W$13="","",'[43]سجل المستخلصات'!$W$13)</f>
        <v/>
      </c>
      <c r="T32" s="61">
        <f>IF('[43]سجل المستخلصات'!$X$13="","",'[43]سجل المستخلصات'!$X$13)</f>
        <v/>
      </c>
      <c r="U32" s="61">
        <f>IF('[43]سجل المستخلصات'!$Z$13="","",'[43]سجل المستخلصات'!$Z$13)</f>
        <v/>
      </c>
      <c r="V32" s="59">
        <f>IF('[43]سجل المستخلصات'!$AA$13="","",'[43]سجل المستخلصات'!$AA$13)</f>
        <v/>
      </c>
      <c r="W32" s="59">
        <f>IF('[43]سجل المستخلصات'!$AC$13="","",'[43]سجل المستخلصات'!$AC$13)</f>
        <v/>
      </c>
      <c r="X32" s="62">
        <f>IF('[43]سجل المستخلصات'!$AD$13="","",'[43]سجل المستخلصات'!$AD$13)</f>
        <v/>
      </c>
      <c r="Y32" s="58">
        <f>IF('[43]سجل المستخلصات'!$AE$13="","",'[43]سجل المستخلصات'!$AE$13)</f>
        <v/>
      </c>
    </row>
    <row r="33">
      <c r="B33" s="56" t="n">
        <v>9</v>
      </c>
      <c r="C33" s="57">
        <f>IF('[43]سجل المستخلصات'!$C$14="","",'[43]سجل المستخلصات'!$C$14)</f>
        <v/>
      </c>
      <c r="D33" s="57">
        <f>IF('[43]سجل المستخلصات'!$E$14="","",'[43]سجل المستخلصات'!$E$14)</f>
        <v/>
      </c>
      <c r="E33" s="58">
        <f>IF('[43]سجل المستخلصات'!$F$14="","",'[43]سجل المستخلصات'!$F$14)</f>
        <v/>
      </c>
      <c r="F33" s="59">
        <f>IF('[43]سجل المستخلصات'!$H$14="","",'[43]سجل المستخلصات'!$H$14)</f>
        <v/>
      </c>
      <c r="G33" s="59">
        <f>IF('[43]سجل المستخلصات'!$G$14="","",'[43]سجل المستخلصات'!$G$14)</f>
        <v/>
      </c>
      <c r="H33" s="59">
        <f>IF('[43]سجل المستخلصات'!$I$14="","",'[43]سجل المستخلصات'!$I$14)</f>
        <v/>
      </c>
      <c r="I33" s="59">
        <f>IF('[43]سجل المستخلصات'!$J$14="","",'[43]سجل المستخلصات'!$J$14)</f>
        <v/>
      </c>
      <c r="J33" s="59">
        <f>IF('[43]سجل المستخلصات'!$K$14="","",'[43]سجل المستخلصات'!$K$14)</f>
        <v/>
      </c>
      <c r="K33" s="60">
        <f>IF('[43]سجل المستخلصات'!$L$14="","",'[43]سجل المستخلصات'!$L$14)</f>
        <v/>
      </c>
      <c r="L33" s="60">
        <f>IF('[43]سجل المستخلصات'!$M$14="","",'[43]سجل المستخلصات'!$M$14)</f>
        <v/>
      </c>
      <c r="M33" s="60">
        <f>IF('[43]سجل المستخلصات'!$N$14="","",'[43]سجل المستخلصات'!$N$14)</f>
        <v/>
      </c>
      <c r="N33" s="59">
        <f>IF('[43]سجل المستخلصات'!$O$14="","",'[43]سجل المستخلصات'!$O$14)</f>
        <v/>
      </c>
      <c r="O33" s="59">
        <f>IF('[43]سجل المستخلصات'!$R$14="","",'[43]سجل المستخلصات'!$R$14)</f>
        <v/>
      </c>
      <c r="P33" s="59">
        <f>IF('[43]سجل المستخلصات'!$S$14="","",'[43]سجل المستخلصات'!$S$14)</f>
        <v/>
      </c>
      <c r="Q33" s="59">
        <f>IF('[43]سجل المستخلصات'!$T$14="","",'[43]سجل المستخلصات'!$T$14)</f>
        <v/>
      </c>
      <c r="R33" s="59">
        <f>IF('[43]سجل المستخلصات'!$V$14="","",'[43]سجل المستخلصات'!$V$14)</f>
        <v/>
      </c>
      <c r="S33" s="59">
        <f>IF('[43]سجل المستخلصات'!$W$14="","",'[43]سجل المستخلصات'!$W$14)</f>
        <v/>
      </c>
      <c r="T33" s="61">
        <f>IF('[43]سجل المستخلصات'!$X$14="","",'[43]سجل المستخلصات'!$X$14)</f>
        <v/>
      </c>
      <c r="U33" s="61">
        <f>IF('[43]سجل المستخلصات'!$Z$14="","",'[43]سجل المستخلصات'!$Z$14)</f>
        <v/>
      </c>
      <c r="V33" s="59">
        <f>IF('[43]سجل المستخلصات'!$AA$14="","",'[43]سجل المستخلصات'!$AA$14)</f>
        <v/>
      </c>
      <c r="W33" s="59">
        <f>IF('[43]سجل المستخلصات'!$AC$14="","",'[43]سجل المستخلصات'!$AC$14)</f>
        <v/>
      </c>
      <c r="X33" s="62">
        <f>IF('[43]سجل المستخلصات'!$AD$14="","",'[43]سجل المستخلصات'!$AD$14)</f>
        <v/>
      </c>
      <c r="Y33" s="58">
        <f>IF('[43]سجل المستخلصات'!$AE$14="","",'[43]سجل المستخلصات'!$AE$14)</f>
        <v/>
      </c>
    </row>
    <row r="34">
      <c r="B34" s="56" t="n">
        <v>10</v>
      </c>
      <c r="C34" s="57">
        <f>IF('[43]سجل المستخلصات'!$C$15="","",'[43]سجل المستخلصات'!$C$15)</f>
        <v/>
      </c>
      <c r="D34" s="57">
        <f>IF('[43]سجل المستخلصات'!$E$15="","",'[43]سجل المستخلصات'!$E$15)</f>
        <v/>
      </c>
      <c r="E34" s="58">
        <f>IF('[43]سجل المستخلصات'!$F$15="","",'[43]سجل المستخلصات'!$F$15)</f>
        <v/>
      </c>
      <c r="F34" s="59">
        <f>IF('[43]سجل المستخلصات'!$H$15="","",'[43]سجل المستخلصات'!$H$15)</f>
        <v/>
      </c>
      <c r="G34" s="59">
        <f>IF('[43]سجل المستخلصات'!$G$15="","",'[43]سجل المستخلصات'!$G$15)</f>
        <v/>
      </c>
      <c r="H34" s="59">
        <f>IF('[43]سجل المستخلصات'!$I$15="","",'[43]سجل المستخلصات'!$I$15)</f>
        <v/>
      </c>
      <c r="I34" s="59">
        <f>IF('[43]سجل المستخلصات'!$J$15="","",'[43]سجل المستخلصات'!$J$15)</f>
        <v/>
      </c>
      <c r="J34" s="59">
        <f>IF('[43]سجل المستخلصات'!$K$15="","",'[43]سجل المستخلصات'!$K$15)</f>
        <v/>
      </c>
      <c r="K34" s="60">
        <f>IF('[43]سجل المستخلصات'!$L$15="","",'[43]سجل المستخلصات'!$L$15)</f>
        <v/>
      </c>
      <c r="L34" s="60">
        <f>IF('[43]سجل المستخلصات'!$M$15="","",'[43]سجل المستخلصات'!$M$15)</f>
        <v/>
      </c>
      <c r="M34" s="60">
        <f>IF('[43]سجل المستخلصات'!$N$15="","",'[43]سجل المستخلصات'!$N$15)</f>
        <v/>
      </c>
      <c r="N34" s="59">
        <f>IF('[43]سجل المستخلصات'!$O$15="","",'[43]سجل المستخلصات'!$O$15)</f>
        <v/>
      </c>
      <c r="O34" s="59">
        <f>IF('[43]سجل المستخلصات'!$R$15="","",'[43]سجل المستخلصات'!$R$15)</f>
        <v/>
      </c>
      <c r="P34" s="59">
        <f>IF('[43]سجل المستخلصات'!$S$15="","",'[43]سجل المستخلصات'!$S$15)</f>
        <v/>
      </c>
      <c r="Q34" s="59">
        <f>IF('[43]سجل المستخلصات'!$T$15="","",'[43]سجل المستخلصات'!$T$15)</f>
        <v/>
      </c>
      <c r="R34" s="59">
        <f>IF('[43]سجل المستخلصات'!$V$15="","",'[43]سجل المستخلصات'!$V$15)</f>
        <v/>
      </c>
      <c r="S34" s="59">
        <f>IF('[43]سجل المستخلصات'!$W$15="","",'[43]سجل المستخلصات'!$W$15)</f>
        <v/>
      </c>
      <c r="T34" s="61">
        <f>IF('[43]سجل المستخلصات'!$X$15="","",'[43]سجل المستخلصات'!$X$15)</f>
        <v/>
      </c>
      <c r="U34" s="61">
        <f>IF('[43]سجل المستخلصات'!$Z$15="","",'[43]سجل المستخلصات'!$Z$15)</f>
        <v/>
      </c>
      <c r="V34" s="59">
        <f>IF('[43]سجل المستخلصات'!$AA$15="","",'[43]سجل المستخلصات'!$AA$15)</f>
        <v/>
      </c>
      <c r="W34" s="59">
        <f>IF('[43]سجل المستخلصات'!$AC$15="","",'[43]سجل المستخلصات'!$AC$15)</f>
        <v/>
      </c>
      <c r="X34" s="62">
        <f>IF('[43]سجل المستخلصات'!$AD$15="","",'[43]سجل المستخلصات'!$AD$15)</f>
        <v/>
      </c>
      <c r="Y34" s="58">
        <f>IF('[43]سجل المستخلصات'!$AE$15="","",'[43]سجل المستخلصات'!$AE$15)</f>
        <v/>
      </c>
    </row>
    <row r="35">
      <c r="B35" s="56" t="n">
        <v>11</v>
      </c>
      <c r="C35" s="57">
        <f>IF('[43]سجل المستخلصات'!$C$16="","",'[43]سجل المستخلصات'!$C$16)</f>
        <v/>
      </c>
      <c r="D35" s="57">
        <f>IF('[43]سجل المستخلصات'!$E$16="","",'[43]سجل المستخلصات'!$E$16)</f>
        <v/>
      </c>
      <c r="E35" s="58">
        <f>IF('[43]سجل المستخلصات'!$F$16="","",'[43]سجل المستخلصات'!$F$16)</f>
        <v/>
      </c>
      <c r="F35" s="59">
        <f>IF('[43]سجل المستخلصات'!$H$16="","",'[43]سجل المستخلصات'!$H$16)</f>
        <v/>
      </c>
      <c r="G35" s="59">
        <f>IF('[43]سجل المستخلصات'!$G$16="","",'[43]سجل المستخلصات'!$G$16)</f>
        <v/>
      </c>
      <c r="H35" s="59">
        <f>IF('[43]سجل المستخلصات'!$I$16="","",'[43]سجل المستخلصات'!$I$16)</f>
        <v/>
      </c>
      <c r="I35" s="59">
        <f>IF('[43]سجل المستخلصات'!$J$16="","",'[43]سجل المستخلصات'!$J$16)</f>
        <v/>
      </c>
      <c r="J35" s="59">
        <f>IF('[43]سجل المستخلصات'!$K$16="","",'[43]سجل المستخلصات'!$K$16)</f>
        <v/>
      </c>
      <c r="K35" s="60">
        <f>IF('[43]سجل المستخلصات'!$L$16="","",'[43]سجل المستخلصات'!$L$16)</f>
        <v/>
      </c>
      <c r="L35" s="60">
        <f>IF('[43]سجل المستخلصات'!$M$16="","",'[43]سجل المستخلصات'!$M$16)</f>
        <v/>
      </c>
      <c r="M35" s="60">
        <f>IF('[43]سجل المستخلصات'!$N$16="","",'[43]سجل المستخلصات'!$N$16)</f>
        <v/>
      </c>
      <c r="N35" s="59">
        <f>IF('[43]سجل المستخلصات'!$O$16="","",'[43]سجل المستخلصات'!$O$16)</f>
        <v/>
      </c>
      <c r="O35" s="59">
        <f>IF('[43]سجل المستخلصات'!$R$16="","",'[43]سجل المستخلصات'!$R$16)</f>
        <v/>
      </c>
      <c r="P35" s="59">
        <f>IF('[43]سجل المستخلصات'!$S$16="","",'[43]سجل المستخلصات'!$S$16)</f>
        <v/>
      </c>
      <c r="Q35" s="59">
        <f>IF('[43]سجل المستخلصات'!$T$16="","",'[43]سجل المستخلصات'!$T$16)</f>
        <v/>
      </c>
      <c r="R35" s="59">
        <f>IF('[43]سجل المستخلصات'!$V$16="","",'[43]سجل المستخلصات'!$V$16)</f>
        <v/>
      </c>
      <c r="S35" s="59">
        <f>IF('[43]سجل المستخلصات'!$W$16="","",'[43]سجل المستخلصات'!$W$16)</f>
        <v/>
      </c>
      <c r="T35" s="61">
        <f>IF('[43]سجل المستخلصات'!$X$16="","",'[43]سجل المستخلصات'!$X$16)</f>
        <v/>
      </c>
      <c r="U35" s="61">
        <f>IF('[43]سجل المستخلصات'!$Z$16="","",'[43]سجل المستخلصات'!$Z$16)</f>
        <v/>
      </c>
      <c r="V35" s="59">
        <f>IF('[43]سجل المستخلصات'!$AA$16="","",'[43]سجل المستخلصات'!$AA$16)</f>
        <v/>
      </c>
      <c r="W35" s="59">
        <f>IF('[43]سجل المستخلصات'!$AC$16="","",'[43]سجل المستخلصات'!$AC$16)</f>
        <v/>
      </c>
      <c r="X35" s="62">
        <f>IF('[43]سجل المستخلصات'!$AD$16="","",'[43]سجل المستخلصات'!$AD$16)</f>
        <v/>
      </c>
      <c r="Y35" s="58">
        <f>IF('[43]سجل المستخلصات'!$AE$16="","",'[43]سجل المستخلصات'!$AE$16)</f>
        <v/>
      </c>
    </row>
    <row r="36">
      <c r="B36" s="56" t="n">
        <v>12</v>
      </c>
      <c r="C36" s="57">
        <f>IF('[43]سجل المستخلصات'!$C$17="","",'[43]سجل المستخلصات'!$C$17)</f>
        <v/>
      </c>
      <c r="D36" s="57">
        <f>IF('[43]سجل المستخلصات'!$E$17="","",'[43]سجل المستخلصات'!$E$17)</f>
        <v/>
      </c>
      <c r="E36" s="58">
        <f>IF('[43]سجل المستخلصات'!$F$17="","",'[43]سجل المستخلصات'!$F$17)</f>
        <v/>
      </c>
      <c r="F36" s="59">
        <f>IF('[43]سجل المستخلصات'!$H$17="","",'[43]سجل المستخلصات'!$H$17)</f>
        <v/>
      </c>
      <c r="G36" s="59">
        <f>IF('[43]سجل المستخلصات'!$G$17="","",'[43]سجل المستخلصات'!$G$17)</f>
        <v/>
      </c>
      <c r="H36" s="59">
        <f>IF('[43]سجل المستخلصات'!$I$17="","",'[43]سجل المستخلصات'!$I$17)</f>
        <v/>
      </c>
      <c r="I36" s="59">
        <f>IF('[43]سجل المستخلصات'!$J$17="","",'[43]سجل المستخلصات'!$J$17)</f>
        <v/>
      </c>
      <c r="J36" s="59">
        <f>IF('[43]سجل المستخلصات'!$K$17="","",'[43]سجل المستخلصات'!$K$17)</f>
        <v/>
      </c>
      <c r="K36" s="60">
        <f>IF('[43]سجل المستخلصات'!$L$17="","",'[43]سجل المستخلصات'!$L$17)</f>
        <v/>
      </c>
      <c r="L36" s="60">
        <f>IF('[43]سجل المستخلصات'!$M$17="","",'[43]سجل المستخلصات'!$M$17)</f>
        <v/>
      </c>
      <c r="M36" s="60">
        <f>IF('[43]سجل المستخلصات'!$N$17="","",'[43]سجل المستخلصات'!$N$17)</f>
        <v/>
      </c>
      <c r="N36" s="59">
        <f>IF('[43]سجل المستخلصات'!$O$17="","",'[43]سجل المستخلصات'!$O$17)</f>
        <v/>
      </c>
      <c r="O36" s="59">
        <f>IF('[43]سجل المستخلصات'!$R$17="","",'[43]سجل المستخلصات'!$R$17)</f>
        <v/>
      </c>
      <c r="P36" s="59">
        <f>IF('[43]سجل المستخلصات'!$S$17="","",'[43]سجل المستخلصات'!$S$17)</f>
        <v/>
      </c>
      <c r="Q36" s="59">
        <f>IF('[43]سجل المستخلصات'!$T$17="","",'[43]سجل المستخلصات'!$T$17)</f>
        <v/>
      </c>
      <c r="R36" s="59">
        <f>IF('[43]سجل المستخلصات'!$V$17="","",'[43]سجل المستخلصات'!$V$17)</f>
        <v/>
      </c>
      <c r="S36" s="59">
        <f>IF('[43]سجل المستخلصات'!$W$17="","",'[43]سجل المستخلصات'!$W$17)</f>
        <v/>
      </c>
      <c r="T36" s="61">
        <f>IF('[43]سجل المستخلصات'!$X$17="","",'[43]سجل المستخلصات'!$X$17)</f>
        <v/>
      </c>
      <c r="U36" s="61">
        <f>IF('[43]سجل المستخلصات'!$Z$17="","",'[43]سجل المستخلصات'!$Z$17)</f>
        <v/>
      </c>
      <c r="V36" s="59">
        <f>IF('[43]سجل المستخلصات'!$AA$17="","",'[43]سجل المستخلصات'!$AA$17)</f>
        <v/>
      </c>
      <c r="W36" s="59">
        <f>IF('[43]سجل المستخلصات'!$AC$17="","",'[43]سجل المستخلصات'!$AC$17)</f>
        <v/>
      </c>
      <c r="X36" s="62">
        <f>IF('[43]سجل المستخلصات'!$AD$17="","",'[43]سجل المستخلصات'!$AD$17)</f>
        <v/>
      </c>
      <c r="Y36" s="58">
        <f>IF('[43]سجل المستخلصات'!$AE$17="","",'[43]سجل المستخلصات'!$AE$17)</f>
        <v/>
      </c>
    </row>
    <row r="37">
      <c r="B37" s="56" t="n">
        <v>13</v>
      </c>
      <c r="C37" s="57">
        <f>IF('[43]سجل المستخلصات'!$C$18="","",'[43]سجل المستخلصات'!$C$18)</f>
        <v/>
      </c>
      <c r="D37" s="57">
        <f>IF('[43]سجل المستخلصات'!$E$18="","",'[43]سجل المستخلصات'!$E$18)</f>
        <v/>
      </c>
      <c r="E37" s="58">
        <f>IF('[43]سجل المستخلصات'!$F$18="","",'[43]سجل المستخلصات'!$F$18)</f>
        <v/>
      </c>
      <c r="F37" s="59">
        <f>IF('[43]سجل المستخلصات'!$H$18="","",'[43]سجل المستخلصات'!$H$18)</f>
        <v/>
      </c>
      <c r="G37" s="59">
        <f>IF('[43]سجل المستخلصات'!$G$18="","",'[43]سجل المستخلصات'!$G$18)</f>
        <v/>
      </c>
      <c r="H37" s="59">
        <f>IF('[43]سجل المستخلصات'!$I$18="","",'[43]سجل المستخلصات'!$I$18)</f>
        <v/>
      </c>
      <c r="I37" s="59">
        <f>IF('[43]سجل المستخلصات'!$J$18="","",'[43]سجل المستخلصات'!$J$18)</f>
        <v/>
      </c>
      <c r="J37" s="59">
        <f>IF('[43]سجل المستخلصات'!$K$18="","",'[43]سجل المستخلصات'!$K$18)</f>
        <v/>
      </c>
      <c r="K37" s="60">
        <f>IF('[43]سجل المستخلصات'!$L$18="","",'[43]سجل المستخلصات'!$L$18)</f>
        <v/>
      </c>
      <c r="L37" s="60">
        <f>IF('[43]سجل المستخلصات'!$M$18="","",'[43]سجل المستخلصات'!$M$18)</f>
        <v/>
      </c>
      <c r="M37" s="60">
        <f>IF('[43]سجل المستخلصات'!$N$18="","",'[43]سجل المستخلصات'!$N$18)</f>
        <v/>
      </c>
      <c r="N37" s="59">
        <f>IF('[43]سجل المستخلصات'!$O$18="","",'[43]سجل المستخلصات'!$O$18)</f>
        <v/>
      </c>
      <c r="O37" s="59">
        <f>IF('[43]سجل المستخلصات'!$R$18="","",'[43]سجل المستخلصات'!$R$18)</f>
        <v/>
      </c>
      <c r="P37" s="59">
        <f>IF('[43]سجل المستخلصات'!$S$18="","",'[43]سجل المستخلصات'!$S$18)</f>
        <v/>
      </c>
      <c r="Q37" s="59">
        <f>IF('[43]سجل المستخلصات'!$T$18="","",'[43]سجل المستخلصات'!$T$18)</f>
        <v/>
      </c>
      <c r="R37" s="59">
        <f>IF('[43]سجل المستخلصات'!$V$18="","",'[43]سجل المستخلصات'!$V$18)</f>
        <v/>
      </c>
      <c r="S37" s="59">
        <f>IF('[43]سجل المستخلصات'!$W$18="","",'[43]سجل المستخلصات'!$W$18)</f>
        <v/>
      </c>
      <c r="T37" s="61">
        <f>IF('[43]سجل المستخلصات'!$X$18="","",'[43]سجل المستخلصات'!$X$18)</f>
        <v/>
      </c>
      <c r="U37" s="61">
        <f>IF('[43]سجل المستخلصات'!$Z$18="","",'[43]سجل المستخلصات'!$Z$18)</f>
        <v/>
      </c>
      <c r="V37" s="59">
        <f>IF('[43]سجل المستخلصات'!$AA$18="","",'[43]سجل المستخلصات'!$AA$18)</f>
        <v/>
      </c>
      <c r="W37" s="59">
        <f>IF('[43]سجل المستخلصات'!$AC$18="","",'[43]سجل المستخلصات'!$AC$18)</f>
        <v/>
      </c>
      <c r="X37" s="62">
        <f>IF('[43]سجل المستخلصات'!$AD$18="","",'[43]سجل المستخلصات'!$AD$18)</f>
        <v/>
      </c>
      <c r="Y37" s="58">
        <f>IF('[43]سجل المستخلصات'!$AE$18="","",'[43]سجل المستخلصات'!$AE$18)</f>
        <v/>
      </c>
    </row>
    <row r="38">
      <c r="B38" s="56" t="n">
        <v>14</v>
      </c>
      <c r="C38" s="57">
        <f>IF('[43]سجل المستخلصات'!$C$19="","",'[43]سجل المستخلصات'!$C$19)</f>
        <v/>
      </c>
      <c r="D38" s="57">
        <f>IF('[43]سجل المستخلصات'!$E$19="","",'[43]سجل المستخلصات'!$E$19)</f>
        <v/>
      </c>
      <c r="E38" s="58">
        <f>IF('[43]سجل المستخلصات'!$F$19="","",'[43]سجل المستخلصات'!$F$19)</f>
        <v/>
      </c>
      <c r="F38" s="59">
        <f>IF('[43]سجل المستخلصات'!$H$19="","",'[43]سجل المستخلصات'!$H$19)</f>
        <v/>
      </c>
      <c r="G38" s="59">
        <f>IF('[43]سجل المستخلصات'!$G$19="","",'[43]سجل المستخلصات'!$G$19)</f>
        <v/>
      </c>
      <c r="H38" s="59">
        <f>IF('[43]سجل المستخلصات'!$I$19="","",'[43]سجل المستخلصات'!$I$19)</f>
        <v/>
      </c>
      <c r="I38" s="59">
        <f>IF('[43]سجل المستخلصات'!$J$19="","",'[43]سجل المستخلصات'!$J$19)</f>
        <v/>
      </c>
      <c r="J38" s="59">
        <f>IF('[43]سجل المستخلصات'!$K$19="","",'[43]سجل المستخلصات'!$K$19)</f>
        <v/>
      </c>
      <c r="K38" s="60">
        <f>IF('[43]سجل المستخلصات'!$L$19="","",'[43]سجل المستخلصات'!$L$19)</f>
        <v/>
      </c>
      <c r="L38" s="60">
        <f>IF('[43]سجل المستخلصات'!$M$19="","",'[43]سجل المستخلصات'!$M$19)</f>
        <v/>
      </c>
      <c r="M38" s="60">
        <f>IF('[43]سجل المستخلصات'!$N$19="","",'[43]سجل المستخلصات'!$N$19)</f>
        <v/>
      </c>
      <c r="N38" s="59">
        <f>IF('[43]سجل المستخلصات'!$O$19="","",'[43]سجل المستخلصات'!$O$19)</f>
        <v/>
      </c>
      <c r="O38" s="59">
        <f>IF('[43]سجل المستخلصات'!$R$19="","",'[43]سجل المستخلصات'!$R$19)</f>
        <v/>
      </c>
      <c r="P38" s="59">
        <f>IF('[43]سجل المستخلصات'!$S$19="","",'[43]سجل المستخلصات'!$S$19)</f>
        <v/>
      </c>
      <c r="Q38" s="59">
        <f>IF('[43]سجل المستخلصات'!$T$19="","",'[43]سجل المستخلصات'!$T$19)</f>
        <v/>
      </c>
      <c r="R38" s="59">
        <f>IF('[43]سجل المستخلصات'!$V$19="","",'[43]سجل المستخلصات'!$V$19)</f>
        <v/>
      </c>
      <c r="S38" s="59">
        <f>IF('[43]سجل المستخلصات'!$W$19="","",'[43]سجل المستخلصات'!$W$19)</f>
        <v/>
      </c>
      <c r="T38" s="61">
        <f>IF('[43]سجل المستخلصات'!$X$19="","",'[43]سجل المستخلصات'!$X$19)</f>
        <v/>
      </c>
      <c r="U38" s="61">
        <f>IF('[43]سجل المستخلصات'!$Z$19="","",'[43]سجل المستخلصات'!$Z$19)</f>
        <v/>
      </c>
      <c r="V38" s="59">
        <f>IF('[43]سجل المستخلصات'!$AA$19="","",'[43]سجل المستخلصات'!$AA$19)</f>
        <v/>
      </c>
      <c r="W38" s="59">
        <f>IF('[43]سجل المستخلصات'!$AC$19="","",'[43]سجل المستخلصات'!$AC$19)</f>
        <v/>
      </c>
      <c r="X38" s="62">
        <f>IF('[43]سجل المستخلصات'!$AD$19="","",'[43]سجل المستخلصات'!$AD$19)</f>
        <v/>
      </c>
      <c r="Y38" s="58">
        <f>IF('[43]سجل المستخلصات'!$AE$19="","",'[43]سجل المستخلصات'!$AE$19)</f>
        <v/>
      </c>
    </row>
    <row r="39">
      <c r="B39" s="56" t="n">
        <v>15</v>
      </c>
      <c r="C39" s="57">
        <f>IF('[43]سجل المستخلصات'!$C$20="","",'[43]سجل المستخلصات'!$C$20)</f>
        <v/>
      </c>
      <c r="D39" s="57">
        <f>IF('[43]سجل المستخلصات'!$E$20="","",'[43]سجل المستخلصات'!$E$20)</f>
        <v/>
      </c>
      <c r="E39" s="58">
        <f>IF('[43]سجل المستخلصات'!$F$20="","",'[43]سجل المستخلصات'!$F$20)</f>
        <v/>
      </c>
      <c r="F39" s="59">
        <f>IF('[43]سجل المستخلصات'!$H$20="","",'[43]سجل المستخلصات'!$H$20)</f>
        <v/>
      </c>
      <c r="G39" s="59">
        <f>IF('[43]سجل المستخلصات'!$G$20="","",'[43]سجل المستخلصات'!$G$20)</f>
        <v/>
      </c>
      <c r="H39" s="59">
        <f>IF('[43]سجل المستخلصات'!$I$20="","",'[43]سجل المستخلصات'!$I$20)</f>
        <v/>
      </c>
      <c r="I39" s="59">
        <f>IF('[43]سجل المستخلصات'!$J$20="","",'[43]سجل المستخلصات'!$J$20)</f>
        <v/>
      </c>
      <c r="J39" s="59">
        <f>IF('[43]سجل المستخلصات'!$K$20="","",'[43]سجل المستخلصات'!$K$20)</f>
        <v/>
      </c>
      <c r="K39" s="60">
        <f>IF('[43]سجل المستخلصات'!$L$20="","",'[43]سجل المستخلصات'!$L$20)</f>
        <v/>
      </c>
      <c r="L39" s="60">
        <f>IF('[43]سجل المستخلصات'!$M$20="","",'[43]سجل المستخلصات'!$M$20)</f>
        <v/>
      </c>
      <c r="M39" s="60">
        <f>IF('[43]سجل المستخلصات'!$N$20="","",'[43]سجل المستخلصات'!$N$20)</f>
        <v/>
      </c>
      <c r="N39" s="59">
        <f>IF('[43]سجل المستخلصات'!$O$20="","",'[43]سجل المستخلصات'!$O$20)</f>
        <v/>
      </c>
      <c r="O39" s="59">
        <f>IF('[43]سجل المستخلصات'!$R$20="","",'[43]سجل المستخلصات'!$R$20)</f>
        <v/>
      </c>
      <c r="P39" s="59">
        <f>IF('[43]سجل المستخلصات'!$S$20="","",'[43]سجل المستخلصات'!$S$20)</f>
        <v/>
      </c>
      <c r="Q39" s="59">
        <f>IF('[43]سجل المستخلصات'!$T$20="","",'[43]سجل المستخلصات'!$T$20)</f>
        <v/>
      </c>
      <c r="R39" s="59">
        <f>IF('[43]سجل المستخلصات'!$V$20="","",'[43]سجل المستخلصات'!$V$20)</f>
        <v/>
      </c>
      <c r="S39" s="59">
        <f>IF('[43]سجل المستخلصات'!$W$20="","",'[43]سجل المستخلصات'!$W$20)</f>
        <v/>
      </c>
      <c r="T39" s="61">
        <f>IF('[43]سجل المستخلصات'!$X$20="","",'[43]سجل المستخلصات'!$X$20)</f>
        <v/>
      </c>
      <c r="U39" s="61">
        <f>IF('[43]سجل المستخلصات'!$Z$20="","",'[43]سجل المستخلصات'!$Z$20)</f>
        <v/>
      </c>
      <c r="V39" s="59">
        <f>IF('[43]سجل المستخلصات'!$AA$20="","",'[43]سجل المستخلصات'!$AA$20)</f>
        <v/>
      </c>
      <c r="W39" s="59">
        <f>IF('[43]سجل المستخلصات'!$AC$20="","",'[43]سجل المستخلصات'!$AC$20)</f>
        <v/>
      </c>
      <c r="X39" s="62">
        <f>IF('[43]سجل المستخلصات'!$AD$20="","",'[43]سجل المستخلصات'!$AD$20)</f>
        <v/>
      </c>
      <c r="Y39" s="58">
        <f>IF('[43]سجل المستخلصات'!$AE$20="","",'[43]سجل المستخلصات'!$AE$20)</f>
        <v/>
      </c>
    </row>
    <row r="40">
      <c r="B40" s="56" t="n">
        <v>16</v>
      </c>
      <c r="C40" s="57">
        <f>IF('[43]سجل المستخلصات'!$C$21="","",'[43]سجل المستخلصات'!$C$21)</f>
        <v/>
      </c>
      <c r="D40" s="57">
        <f>IF('[43]سجل المستخلصات'!$E$21="","",'[43]سجل المستخلصات'!$E$21)</f>
        <v/>
      </c>
      <c r="E40" s="58">
        <f>IF('[43]سجل المستخلصات'!$F$21="","",'[43]سجل المستخلصات'!$F$21)</f>
        <v/>
      </c>
      <c r="F40" s="59">
        <f>IF('[43]سجل المستخلصات'!$H$21="","",'[43]سجل المستخلصات'!$H$21)</f>
        <v/>
      </c>
      <c r="G40" s="59">
        <f>IF('[43]سجل المستخلصات'!$G$21="","",'[43]سجل المستخلصات'!$G$21)</f>
        <v/>
      </c>
      <c r="H40" s="59">
        <f>IF('[43]سجل المستخلصات'!$I$21="","",'[43]سجل المستخلصات'!$I$21)</f>
        <v/>
      </c>
      <c r="I40" s="59">
        <f>IF('[43]سجل المستخلصات'!$J$21="","",'[43]سجل المستخلصات'!$J$21)</f>
        <v/>
      </c>
      <c r="J40" s="59">
        <f>IF('[43]سجل المستخلصات'!$K$21="","",'[43]سجل المستخلصات'!$K$21)</f>
        <v/>
      </c>
      <c r="K40" s="60">
        <f>IF('[43]سجل المستخلصات'!$L$21="","",'[43]سجل المستخلصات'!$L$21)</f>
        <v/>
      </c>
      <c r="L40" s="60">
        <f>IF('[43]سجل المستخلصات'!$M$21="","",'[43]سجل المستخلصات'!$M$21)</f>
        <v/>
      </c>
      <c r="M40" s="60">
        <f>IF('[43]سجل المستخلصات'!$N$21="","",'[43]سجل المستخلصات'!$N$21)</f>
        <v/>
      </c>
      <c r="N40" s="59">
        <f>IF('[43]سجل المستخلصات'!$O$21="","",'[43]سجل المستخلصات'!$O$21)</f>
        <v/>
      </c>
      <c r="O40" s="59">
        <f>IF('[43]سجل المستخلصات'!$R$21="","",'[43]سجل المستخلصات'!$R$21)</f>
        <v/>
      </c>
      <c r="P40" s="59">
        <f>IF('[43]سجل المستخلصات'!$S$21="","",'[43]سجل المستخلصات'!$S$21)</f>
        <v/>
      </c>
      <c r="Q40" s="59">
        <f>IF('[43]سجل المستخلصات'!$T$21="","",'[43]سجل المستخلصات'!$T$21)</f>
        <v/>
      </c>
      <c r="R40" s="59">
        <f>IF('[43]سجل المستخلصات'!$V$21="","",'[43]سجل المستخلصات'!$V$21)</f>
        <v/>
      </c>
      <c r="S40" s="59">
        <f>IF('[43]سجل المستخلصات'!$W$21="","",'[43]سجل المستخلصات'!$W$21)</f>
        <v/>
      </c>
      <c r="T40" s="61">
        <f>IF('[43]سجل المستخلصات'!$X$21="","",'[43]سجل المستخلصات'!$X$21)</f>
        <v/>
      </c>
      <c r="U40" s="61">
        <f>IF('[43]سجل المستخلصات'!$Z$21="","",'[43]سجل المستخلصات'!$Z$21)</f>
        <v/>
      </c>
      <c r="V40" s="59">
        <f>IF('[43]سجل المستخلصات'!$AA$21="","",'[43]سجل المستخلصات'!$AA$21)</f>
        <v/>
      </c>
      <c r="W40" s="59">
        <f>IF('[43]سجل المستخلصات'!$AC$21="","",'[43]سجل المستخلصات'!$AC$21)</f>
        <v/>
      </c>
      <c r="X40" s="62">
        <f>IF('[43]سجل المستخلصات'!$AD$21="","",'[43]سجل المستخلصات'!$AD$21)</f>
        <v/>
      </c>
      <c r="Y40" s="58">
        <f>IF('[43]سجل المستخلصات'!$AE$21="","",'[43]سجل المستخلصات'!$AE$21)</f>
        <v/>
      </c>
    </row>
    <row r="41">
      <c r="B41" s="56" t="n">
        <v>17</v>
      </c>
      <c r="C41" s="57">
        <f>IF('[43]سجل المستخلصات'!$C$22="","",'[43]سجل المستخلصات'!$C$22)</f>
        <v/>
      </c>
      <c r="D41" s="57">
        <f>IF('[43]سجل المستخلصات'!$E$22="","",'[43]سجل المستخلصات'!$E$22)</f>
        <v/>
      </c>
      <c r="E41" s="58">
        <f>IF('[43]سجل المستخلصات'!$F$22="","",'[43]سجل المستخلصات'!$F$22)</f>
        <v/>
      </c>
      <c r="F41" s="59">
        <f>IF('[43]سجل المستخلصات'!$H$22="","",'[43]سجل المستخلصات'!$H$22)</f>
        <v/>
      </c>
      <c r="G41" s="59">
        <f>IF('[43]سجل المستخلصات'!$G$22="","",'[43]سجل المستخلصات'!$G$22)</f>
        <v/>
      </c>
      <c r="H41" s="59">
        <f>IF('[43]سجل المستخلصات'!$I$22="","",'[43]سجل المستخلصات'!$I$22)</f>
        <v/>
      </c>
      <c r="I41" s="59">
        <f>IF('[43]سجل المستخلصات'!$J$22="","",'[43]سجل المستخلصات'!$J$22)</f>
        <v/>
      </c>
      <c r="J41" s="59">
        <f>IF('[43]سجل المستخلصات'!$K$22="","",'[43]سجل المستخلصات'!$K$22)</f>
        <v/>
      </c>
      <c r="K41" s="60">
        <f>IF('[43]سجل المستخلصات'!$L$22="","",'[43]سجل المستخلصات'!$L$22)</f>
        <v/>
      </c>
      <c r="L41" s="60">
        <f>IF('[43]سجل المستخلصات'!$M$22="","",'[43]سجل المستخلصات'!$M$22)</f>
        <v/>
      </c>
      <c r="M41" s="60">
        <f>IF('[43]سجل المستخلصات'!$N$22="","",'[43]سجل المستخلصات'!$N$22)</f>
        <v/>
      </c>
      <c r="N41" s="59">
        <f>IF('[43]سجل المستخلصات'!$O$22="","",'[43]سجل المستخلصات'!$O$22)</f>
        <v/>
      </c>
      <c r="O41" s="59">
        <f>IF('[43]سجل المستخلصات'!$R$22="","",'[43]سجل المستخلصات'!$R$22)</f>
        <v/>
      </c>
      <c r="P41" s="59">
        <f>IF('[43]سجل المستخلصات'!$S$22="","",'[43]سجل المستخلصات'!$S$22)</f>
        <v/>
      </c>
      <c r="Q41" s="59">
        <f>IF('[43]سجل المستخلصات'!$T$22="","",'[43]سجل المستخلصات'!$T$22)</f>
        <v/>
      </c>
      <c r="R41" s="59">
        <f>IF('[43]سجل المستخلصات'!$V$22="","",'[43]سجل المستخلصات'!$V$22)</f>
        <v/>
      </c>
      <c r="S41" s="59">
        <f>IF('[43]سجل المستخلصات'!$W$22="","",'[43]سجل المستخلصات'!$W$22)</f>
        <v/>
      </c>
      <c r="T41" s="61">
        <f>IF('[43]سجل المستخلصات'!$X$22="","",'[43]سجل المستخلصات'!$X$22)</f>
        <v/>
      </c>
      <c r="U41" s="61">
        <f>IF('[43]سجل المستخلصات'!$Z$22="","",'[43]سجل المستخلصات'!$Z$22)</f>
        <v/>
      </c>
      <c r="V41" s="59">
        <f>IF('[43]سجل المستخلصات'!$AA$22="","",'[43]سجل المستخلصات'!$AA$22)</f>
        <v/>
      </c>
      <c r="W41" s="59">
        <f>IF('[43]سجل المستخلصات'!$AC$22="","",'[43]سجل المستخلصات'!$AC$22)</f>
        <v/>
      </c>
      <c r="X41" s="62">
        <f>IF('[43]سجل المستخلصات'!$AD$22="","",'[43]سجل المستخلصات'!$AD$22)</f>
        <v/>
      </c>
      <c r="Y41" s="58">
        <f>IF('[43]سجل المستخلصات'!$AE$22="","",'[43]سجل المستخلصات'!$AE$22)</f>
        <v/>
      </c>
    </row>
    <row r="42">
      <c r="B42" s="56" t="n">
        <v>18</v>
      </c>
      <c r="C42" s="57">
        <f>IF('[43]سجل المستخلصات'!$C$23="","",'[43]سجل المستخلصات'!$C$23)</f>
        <v/>
      </c>
      <c r="D42" s="57">
        <f>IF('[43]سجل المستخلصات'!$E$23="","",'[43]سجل المستخلصات'!$E$23)</f>
        <v/>
      </c>
      <c r="E42" s="58">
        <f>IF('[43]سجل المستخلصات'!$F$23="","",'[43]سجل المستخلصات'!$F$23)</f>
        <v/>
      </c>
      <c r="F42" s="59">
        <f>IF('[43]سجل المستخلصات'!$H$23="","",'[43]سجل المستخلصات'!$H$23)</f>
        <v/>
      </c>
      <c r="G42" s="59">
        <f>IF('[43]سجل المستخلصات'!$G$23="","",'[43]سجل المستخلصات'!$G$23)</f>
        <v/>
      </c>
      <c r="H42" s="59">
        <f>IF('[43]سجل المستخلصات'!$I$23="","",'[43]سجل المستخلصات'!$I$23)</f>
        <v/>
      </c>
      <c r="I42" s="59">
        <f>IF('[43]سجل المستخلصات'!$J$23="","",'[43]سجل المستخلصات'!$J$23)</f>
        <v/>
      </c>
      <c r="J42" s="59">
        <f>IF('[43]سجل المستخلصات'!$K$23="","",'[43]سجل المستخلصات'!$K$23)</f>
        <v/>
      </c>
      <c r="K42" s="60">
        <f>IF('[43]سجل المستخلصات'!$L$23="","",'[43]سجل المستخلصات'!$L$23)</f>
        <v/>
      </c>
      <c r="L42" s="60">
        <f>IF('[43]سجل المستخلصات'!$M$23="","",'[43]سجل المستخلصات'!$M$23)</f>
        <v/>
      </c>
      <c r="M42" s="60">
        <f>IF('[43]سجل المستخلصات'!$N$23="","",'[43]سجل المستخلصات'!$N$23)</f>
        <v/>
      </c>
      <c r="N42" s="59">
        <f>IF('[43]سجل المستخلصات'!$O$23="","",'[43]سجل المستخلصات'!$O$23)</f>
        <v/>
      </c>
      <c r="O42" s="59">
        <f>IF('[43]سجل المستخلصات'!$R$23="","",'[43]سجل المستخلصات'!$R$23)</f>
        <v/>
      </c>
      <c r="P42" s="59">
        <f>IF('[43]سجل المستخلصات'!$S$23="","",'[43]سجل المستخلصات'!$S$23)</f>
        <v/>
      </c>
      <c r="Q42" s="59">
        <f>IF('[43]سجل المستخلصات'!$T$23="","",'[43]سجل المستخلصات'!$T$23)</f>
        <v/>
      </c>
      <c r="R42" s="59">
        <f>IF('[43]سجل المستخلصات'!$V$23="","",'[43]سجل المستخلصات'!$V$23)</f>
        <v/>
      </c>
      <c r="S42" s="59">
        <f>IF('[43]سجل المستخلصات'!$W$23="","",'[43]سجل المستخلصات'!$W$23)</f>
        <v/>
      </c>
      <c r="T42" s="61">
        <f>IF('[43]سجل المستخلصات'!$X$23="","",'[43]سجل المستخلصات'!$X$23)</f>
        <v/>
      </c>
      <c r="U42" s="61">
        <f>IF('[43]سجل المستخلصات'!$Z$23="","",'[43]سجل المستخلصات'!$Z$23)</f>
        <v/>
      </c>
      <c r="V42" s="59">
        <f>IF('[43]سجل المستخلصات'!$AA$23="","",'[43]سجل المستخلصات'!$AA$23)</f>
        <v/>
      </c>
      <c r="W42" s="59">
        <f>IF('[43]سجل المستخلصات'!$AC$23="","",'[43]سجل المستخلصات'!$AC$23)</f>
        <v/>
      </c>
      <c r="X42" s="62">
        <f>IF('[43]سجل المستخلصات'!$AD$23="","",'[43]سجل المستخلصات'!$AD$23)</f>
        <v/>
      </c>
      <c r="Y42" s="58">
        <f>IF('[43]سجل المستخلصات'!$AE$23="","",'[43]سجل المستخلصات'!$AE$23)</f>
        <v/>
      </c>
    </row>
    <row r="43">
      <c r="B43" s="56" t="n">
        <v>19</v>
      </c>
      <c r="C43" s="57">
        <f>IF('[43]سجل المستخلصات'!$C$24="","",'[43]سجل المستخلصات'!$C$24)</f>
        <v/>
      </c>
      <c r="D43" s="57">
        <f>IF('[43]سجل المستخلصات'!$E$24="","",'[43]سجل المستخلصات'!$E$24)</f>
        <v/>
      </c>
      <c r="E43" s="58">
        <f>IF('[43]سجل المستخلصات'!$F$24="","",'[43]سجل المستخلصات'!$F$24)</f>
        <v/>
      </c>
      <c r="F43" s="59">
        <f>IF('[43]سجل المستخلصات'!$H$24="","",'[43]سجل المستخلصات'!$H$24)</f>
        <v/>
      </c>
      <c r="G43" s="59">
        <f>IF('[43]سجل المستخلصات'!$G$24="","",'[43]سجل المستخلصات'!$G$24)</f>
        <v/>
      </c>
      <c r="H43" s="59">
        <f>IF('[43]سجل المستخلصات'!$I$24="","",'[43]سجل المستخلصات'!$I$24)</f>
        <v/>
      </c>
      <c r="I43" s="59">
        <f>IF('[43]سجل المستخلصات'!$J$24="","",'[43]سجل المستخلصات'!$J$24)</f>
        <v/>
      </c>
      <c r="J43" s="59">
        <f>IF('[43]سجل المستخلصات'!$K$24="","",'[43]سجل المستخلصات'!$K$24)</f>
        <v/>
      </c>
      <c r="K43" s="60">
        <f>IF('[43]سجل المستخلصات'!$L$24="","",'[43]سجل المستخلصات'!$L$24)</f>
        <v/>
      </c>
      <c r="L43" s="60">
        <f>IF('[43]سجل المستخلصات'!$M$24="","",'[43]سجل المستخلصات'!$M$24)</f>
        <v/>
      </c>
      <c r="M43" s="60">
        <f>IF('[43]سجل المستخلصات'!$N$24="","",'[43]سجل المستخلصات'!$N$24)</f>
        <v/>
      </c>
      <c r="N43" s="59">
        <f>IF('[43]سجل المستخلصات'!$O$24="","",'[43]سجل المستخلصات'!$O$24)</f>
        <v/>
      </c>
      <c r="O43" s="59">
        <f>IF('[43]سجل المستخلصات'!$R$24="","",'[43]سجل المستخلصات'!$R$24)</f>
        <v/>
      </c>
      <c r="P43" s="59">
        <f>IF('[43]سجل المستخلصات'!$S$24="","",'[43]سجل المستخلصات'!$S$24)</f>
        <v/>
      </c>
      <c r="Q43" s="59">
        <f>IF('[43]سجل المستخلصات'!$T$24="","",'[43]سجل المستخلصات'!$T$24)</f>
        <v/>
      </c>
      <c r="R43" s="59">
        <f>IF('[43]سجل المستخلصات'!$V$24="","",'[43]سجل المستخلصات'!$V$24)</f>
        <v/>
      </c>
      <c r="S43" s="59">
        <f>IF('[43]سجل المستخلصات'!$W$24="","",'[43]سجل المستخلصات'!$W$24)</f>
        <v/>
      </c>
      <c r="T43" s="61">
        <f>IF('[43]سجل المستخلصات'!$X$24="","",'[43]سجل المستخلصات'!$X$24)</f>
        <v/>
      </c>
      <c r="U43" s="61">
        <f>IF('[43]سجل المستخلصات'!$Z$24="","",'[43]سجل المستخلصات'!$Z$24)</f>
        <v/>
      </c>
      <c r="V43" s="59">
        <f>IF('[43]سجل المستخلصات'!$AA$24="","",'[43]سجل المستخلصات'!$AA$24)</f>
        <v/>
      </c>
      <c r="W43" s="59">
        <f>IF('[43]سجل المستخلصات'!$AC$24="","",'[43]سجل المستخلصات'!$AC$24)</f>
        <v/>
      </c>
      <c r="X43" s="62">
        <f>IF('[43]سجل المستخلصات'!$AD$24="","",'[43]سجل المستخلصات'!$AD$24)</f>
        <v/>
      </c>
      <c r="Y43" s="58">
        <f>IF('[43]سجل المستخلصات'!$AE$24="","",'[43]سجل المستخلصات'!$AE$24)</f>
        <v/>
      </c>
    </row>
    <row r="44">
      <c r="B44" s="56" t="n">
        <v>20</v>
      </c>
      <c r="C44" s="57">
        <f>IF('[43]سجل المستخلصات'!$C$25="","",'[43]سجل المستخلصات'!$C$25)</f>
        <v/>
      </c>
      <c r="D44" s="57">
        <f>IF('[43]سجل المستخلصات'!$E$25="","",'[43]سجل المستخلصات'!$E$25)</f>
        <v/>
      </c>
      <c r="E44" s="58">
        <f>IF('[43]سجل المستخلصات'!$F$25="","",'[43]سجل المستخلصات'!$F$25)</f>
        <v/>
      </c>
      <c r="F44" s="59">
        <f>IF('[43]سجل المستخلصات'!$H$25="","",'[43]سجل المستخلصات'!$H$25)</f>
        <v/>
      </c>
      <c r="G44" s="59">
        <f>IF('[43]سجل المستخلصات'!$G$25="","",'[43]سجل المستخلصات'!$G$25)</f>
        <v/>
      </c>
      <c r="H44" s="59">
        <f>IF('[43]سجل المستخلصات'!$I$25="","",'[43]سجل المستخلصات'!$I$25)</f>
        <v/>
      </c>
      <c r="I44" s="59">
        <f>IF('[43]سجل المستخلصات'!$J$25="","",'[43]سجل المستخلصات'!$J$25)</f>
        <v/>
      </c>
      <c r="J44" s="59">
        <f>IF('[43]سجل المستخلصات'!$K$25="","",'[43]سجل المستخلصات'!$K$25)</f>
        <v/>
      </c>
      <c r="K44" s="60">
        <f>IF('[43]سجل المستخلصات'!$L$25="","",'[43]سجل المستخلصات'!$L$25)</f>
        <v/>
      </c>
      <c r="L44" s="60">
        <f>IF('[43]سجل المستخلصات'!$M$25="","",'[43]سجل المستخلصات'!$M$25)</f>
        <v/>
      </c>
      <c r="M44" s="60">
        <f>IF('[43]سجل المستخلصات'!$N$25="","",'[43]سجل المستخلصات'!$N$25)</f>
        <v/>
      </c>
      <c r="N44" s="59">
        <f>IF('[43]سجل المستخلصات'!$O$25="","",'[43]سجل المستخلصات'!$O$25)</f>
        <v/>
      </c>
      <c r="O44" s="59">
        <f>IF('[43]سجل المستخلصات'!$R$25="","",'[43]سجل المستخلصات'!$R$25)</f>
        <v/>
      </c>
      <c r="P44" s="59">
        <f>IF('[43]سجل المستخلصات'!$S$25="","",'[43]سجل المستخلصات'!$S$25)</f>
        <v/>
      </c>
      <c r="Q44" s="59">
        <f>IF('[43]سجل المستخلصات'!$T$25="","",'[43]سجل المستخلصات'!$T$25)</f>
        <v/>
      </c>
      <c r="R44" s="59">
        <f>IF('[43]سجل المستخلصات'!$V$25="","",'[43]سجل المستخلصات'!$V$25)</f>
        <v/>
      </c>
      <c r="S44" s="59">
        <f>IF('[43]سجل المستخلصات'!$W$25="","",'[43]سجل المستخلصات'!$W$25)</f>
        <v/>
      </c>
      <c r="T44" s="61">
        <f>IF('[43]سجل المستخلصات'!$X$25="","",'[43]سجل المستخلصات'!$X$25)</f>
        <v/>
      </c>
      <c r="U44" s="61">
        <f>IF('[43]سجل المستخلصات'!$Z$25="","",'[43]سجل المستخلصات'!$Z$25)</f>
        <v/>
      </c>
      <c r="V44" s="59">
        <f>IF('[43]سجل المستخلصات'!$AA$25="","",'[43]سجل المستخلصات'!$AA$25)</f>
        <v/>
      </c>
      <c r="W44" s="59">
        <f>IF('[43]سجل المستخلصات'!$AC$25="","",'[43]سجل المستخلصات'!$AC$25)</f>
        <v/>
      </c>
      <c r="X44" s="62">
        <f>IF('[43]سجل المستخلصات'!$AD$25="","",'[43]سجل المستخلصات'!$AD$25)</f>
        <v/>
      </c>
      <c r="Y44" s="58">
        <f>IF('[43]سجل المستخلصات'!$AE$25="","",'[43]سجل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IF('[43]سجل المستخلصات'!$B$32="","",'[43]سجل المستخلصات'!$B$32)</f>
        <v/>
      </c>
      <c r="C50" s="69" t="n"/>
      <c r="D50" s="69" t="n"/>
      <c r="E50" s="59">
        <f>N('[43]سجل المستخلصات'!$E$32)</f>
        <v/>
      </c>
      <c r="F50" s="59">
        <f>N('[43]سجل المستخلصات'!$F$32)</f>
        <v/>
      </c>
      <c r="G50" s="70">
        <f>IF(E50&gt;0,F50/E50,0)</f>
        <v/>
      </c>
    </row>
    <row r="51">
      <c r="B51" s="69">
        <f>IF('[43]سجل المستخلصات'!$B$33="","",'[43]سجل المستخلصات'!$B$33)</f>
        <v/>
      </c>
      <c r="C51" s="69" t="n"/>
      <c r="D51" s="69" t="n"/>
      <c r="E51" s="59">
        <f>N('[43]سجل المستخلصات'!$E$33)</f>
        <v/>
      </c>
      <c r="F51" s="59">
        <f>N('[43]سجل المستخلصات'!$F$33)</f>
        <v/>
      </c>
      <c r="G51" s="70">
        <f>IF(E51&gt;0,F51/E51,0)</f>
        <v/>
      </c>
    </row>
    <row r="52">
      <c r="B52" s="69">
        <f>IF('[43]سجل المستخلصات'!$B$34="","",'[43]سجل المستخلصات'!$B$34)</f>
        <v/>
      </c>
      <c r="C52" s="69" t="n"/>
      <c r="D52" s="69" t="n"/>
      <c r="E52" s="59">
        <f>N('[43]سجل المستخلصات'!$E$34)</f>
        <v/>
      </c>
      <c r="F52" s="59">
        <f>N('[43]سجل المستخلصات'!$F$34)</f>
        <v/>
      </c>
      <c r="G52" s="70">
        <f>IF(E52&gt;0,F52/E52,0)</f>
        <v/>
      </c>
    </row>
    <row r="53">
      <c r="B53" s="69">
        <f>IF('[43]سجل المستخلصات'!$B$35="","",'[43]سجل المستخلصات'!$B$35)</f>
        <v/>
      </c>
      <c r="C53" s="69" t="n"/>
      <c r="D53" s="69" t="n"/>
      <c r="E53" s="59">
        <f>N('[43]سجل المستخلصات'!$E$35)</f>
        <v/>
      </c>
      <c r="F53" s="59">
        <f>N('[43]سجل المستخلصات'!$F$35)</f>
        <v/>
      </c>
      <c r="G53" s="70">
        <f>IF(E53&gt;0,F53/E53,0)</f>
        <v/>
      </c>
    </row>
    <row r="54">
      <c r="B54" s="69">
        <f>IF('[43]سجل المستخلصات'!$B$36="","",'[43]سجل المستخلصات'!$B$36)</f>
        <v/>
      </c>
      <c r="C54" s="69" t="n"/>
      <c r="D54" s="69" t="n"/>
      <c r="E54" s="59">
        <f>N('[43]سجل المستخلصات'!$E$36)</f>
        <v/>
      </c>
      <c r="F54" s="59">
        <f>N('[43]سجل المستخلصات'!$F$36)</f>
        <v/>
      </c>
      <c r="G54" s="70">
        <f>IF(E54&gt;0,F54/E54,0)</f>
        <v/>
      </c>
    </row>
    <row r="55">
      <c r="B55" s="69">
        <f>IF('[43]سجل المستخلصات'!$B$37="","",'[43]سجل المستخلصات'!$B$37)</f>
        <v/>
      </c>
      <c r="C55" s="69" t="n"/>
      <c r="D55" s="69" t="n"/>
      <c r="E55" s="59">
        <f>N('[43]سجل المستخلصات'!$E$37)</f>
        <v/>
      </c>
      <c r="F55" s="59">
        <f>N('[43]سجل المستخلصات'!$F$37)</f>
        <v/>
      </c>
      <c r="G55" s="70">
        <f>IF(E55&gt;0,F55/E55,0)</f>
        <v/>
      </c>
    </row>
    <row r="56">
      <c r="B56" s="69">
        <f>IF('[43]سجل المستخلصات'!$B$38="","",'[43]سجل المستخلصات'!$B$38)</f>
        <v/>
      </c>
      <c r="C56" s="69" t="n"/>
      <c r="D56" s="69" t="n"/>
      <c r="E56" s="59">
        <f>N('[43]سجل المستخلصات'!$E$38)</f>
        <v/>
      </c>
      <c r="F56" s="59">
        <f>N('[43]سجل المستخلصات'!$F$38)</f>
        <v/>
      </c>
      <c r="G56" s="70">
        <f>IF(E56&gt;0,F56/E56,0)</f>
        <v/>
      </c>
    </row>
    <row r="57">
      <c r="B57" s="69">
        <f>IF('[43]سجل المستخلصات'!$B$39="","",'[43]سجل المستخلصات'!$B$39)</f>
        <v/>
      </c>
      <c r="C57" s="69" t="n"/>
      <c r="D57" s="69" t="n"/>
      <c r="E57" s="59">
        <f>N('[43]سجل المستخلصات'!$E$39)</f>
        <v/>
      </c>
      <c r="F57" s="59">
        <f>N('[43]سجل المستخلصات'!$F$39)</f>
        <v/>
      </c>
      <c r="G57" s="70">
        <f>IF(E57&gt;0,F57/E57,0)</f>
        <v/>
      </c>
    </row>
    <row r="58">
      <c r="B58" s="69">
        <f>IF('[43]سجل المستخلصات'!$B$40="","",'[43]سجل المستخلصات'!$B$40)</f>
        <v/>
      </c>
      <c r="C58" s="69" t="n"/>
      <c r="D58" s="69" t="n"/>
      <c r="E58" s="59">
        <f>N('[43]سجل المستخلصات'!$E$40)</f>
        <v/>
      </c>
      <c r="F58" s="59">
        <f>N('[43]سجل المستخلصات'!$F$40)</f>
        <v/>
      </c>
      <c r="G58" s="70">
        <f>IF(E58&gt;0,F58/E58,0)</f>
        <v/>
      </c>
    </row>
    <row r="59">
      <c r="B59" s="69">
        <f>IF('[43]سجل المستخلصات'!$B$41="","",'[43]سجل المستخلصات'!$B$41)</f>
        <v/>
      </c>
      <c r="C59" s="69" t="n"/>
      <c r="D59" s="69" t="n"/>
      <c r="E59" s="59">
        <f>N('[43]سجل المستخلصات'!$E$41)</f>
        <v/>
      </c>
      <c r="F59" s="59">
        <f>N('[43]سجل المستخلصات'!$F$41)</f>
        <v/>
      </c>
      <c r="G59" s="70">
        <f>IF(E59&gt;0,F59/E59,0)</f>
        <v/>
      </c>
    </row>
    <row r="60">
      <c r="B60" s="69">
        <f>IF('[43]سجل المستخلصات'!$B$42="","",'[43]سجل المستخلصات'!$B$42)</f>
        <v/>
      </c>
      <c r="C60" s="69" t="n"/>
      <c r="D60" s="69" t="n"/>
      <c r="E60" s="59">
        <f>N('[43]سجل المستخلصات'!$E$42)</f>
        <v/>
      </c>
      <c r="F60" s="59">
        <f>N('[43]سجل المستخلصات'!$F$42)</f>
        <v/>
      </c>
      <c r="G60" s="70">
        <f>IF(E60&gt;0,F60/E60,0)</f>
        <v/>
      </c>
    </row>
    <row r="61">
      <c r="B61" s="69">
        <f>IF('[43]سجل المستخلصات'!$B$43="","",'[43]سجل المستخلصات'!$B$43)</f>
        <v/>
      </c>
      <c r="C61" s="69" t="n"/>
      <c r="D61" s="69" t="n"/>
      <c r="E61" s="59">
        <f>N('[43]سجل المستخلصات'!$E$43)</f>
        <v/>
      </c>
      <c r="F61" s="59">
        <f>N('[43]سجل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42'!A1" display="◄ المشروع السابق"/>
    <hyperlink ref="D3" location="'مشروع 44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4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"&amp;IF('[44]بيانات العقد'!$C$5="","مشروع رقم 44 — غير مُفعّل",'[44]بيانات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Project_44/IPC_Project_44.xlsx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IF('[44]بيانات العقد'!$C$5="","",'[44]بيانات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IF('[44]بيانات العقد'!$C$6="","",'[44]بيانات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IF('[44]بيانات العقد'!$C$7="","",'[44]بيانات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IF('[44]بيانات العقد'!$C$8="","",'[44]بيانات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N('[44]بيانات العقد'!$C$16)</f>
        <v/>
      </c>
    </row>
    <row r="6" ht="22" customHeight="1">
      <c r="B6" s="11" t="inlineStr">
        <is>
          <t>المقاول</t>
        </is>
      </c>
      <c r="C6" s="14">
        <f>IF('[44]بيانات العقد'!$C$9="","",'[44]بيانات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IF('[44]بيانات العقد'!$C$11="","",'[44]بيانات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IF('[44]بيانات العقد'!$C$13="","",'[44]بيانات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IF('[44]بيانات العقد'!$C$14="","",'[44]بيانات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N('[44]بيانات العقد'!$C$17)</f>
        <v/>
      </c>
    </row>
    <row r="7">
      <c r="AA7" s="15" t="inlineStr">
        <is>
          <t>قيمة العقد المعدلة</t>
        </is>
      </c>
      <c r="AB7" s="16">
        <f>N('[44]بيانات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N('[44]بيانات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N('[44]بيانات العقد'!$C$21)</f>
        <v/>
      </c>
    </row>
    <row r="10">
      <c r="AA10" s="15" t="inlineStr">
        <is>
          <t>نسبة ضمان الأعمال</t>
        </is>
      </c>
      <c r="AB10" s="23">
        <f>N('[44]بيانات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N('[44]بيانات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N('[44]بيانات العقد'!$C$31)</f>
        <v/>
      </c>
    </row>
    <row r="13">
      <c r="AA13" s="15" t="inlineStr">
        <is>
          <t>ضريبة الاستقطاع (غير المقيم)</t>
        </is>
      </c>
      <c r="AB13" s="23">
        <f>N('[44]بيانات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IF('[44]بيانات العقد'!$C$11="","",'[44]بيانات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IF('[44]بيانات العقد'!$C$13="","",'[44]بيانات العقد'!$C$13)</f>
        <v/>
      </c>
    </row>
    <row r="16">
      <c r="AA16" s="15" t="inlineStr">
        <is>
          <t>المدة (شهر)</t>
        </is>
      </c>
      <c r="AB16" s="43">
        <f>IF('[44]بيانات العقد'!$C$12="","",'[44]بيانات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IF('[44]بيانات العقد'!$C$36="","",'[44]بيانات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IF('[44]بيانات العقد'!$C$37="","",'[44]بيانات العقد'!$C$37)</f>
        <v/>
      </c>
    </row>
    <row r="19">
      <c r="AA19" s="15" t="inlineStr">
        <is>
          <t>الرقم الضريبي لصاحب العمل</t>
        </is>
      </c>
      <c r="AB19" s="48">
        <f>IF('[44]بيانات العقد'!$C$39="","",'[44]بيانات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IF('[44]بيانات العقد'!$C$42="","",'[44]بيانات العقد'!$C$42)</f>
        <v/>
      </c>
    </row>
    <row r="21" ht="32" customHeight="1">
      <c r="B21" s="50">
        <f>N('[44]الموازنة والتكاليف'!$D$66)</f>
        <v/>
      </c>
      <c r="C21" s="50" t="n"/>
      <c r="D21" s="50" t="n"/>
      <c r="E21" s="50" t="n"/>
      <c r="F21" s="50">
        <f>N('[44]الموازنة والتكاليف'!$D$70)</f>
        <v/>
      </c>
      <c r="G21" s="50" t="n"/>
      <c r="H21" s="50" t="n"/>
      <c r="I21" s="50" t="n"/>
      <c r="J21" s="50">
        <f>N('[44]الموازنة والتكاليف'!$D$72)</f>
        <v/>
      </c>
      <c r="K21" s="50" t="n"/>
      <c r="L21" s="50" t="n"/>
      <c r="M21" s="50" t="n"/>
      <c r="N21" s="51">
        <f>N('[44]الموازنة والتكاليف'!$D$73)</f>
        <v/>
      </c>
      <c r="O21" s="51" t="n"/>
      <c r="P21" s="51" t="n"/>
      <c r="Q21" s="51" t="n"/>
      <c r="R21" s="52">
        <f>N('[44]الموازنة والتكاليف'!$D$74)</f>
        <v/>
      </c>
      <c r="S21" s="52" t="n"/>
      <c r="T21" s="52" t="n"/>
      <c r="U21" s="52" t="n"/>
      <c r="V21" s="50">
        <f>N('[44]الموازنة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IF('[44]بيانات العقد'!$C$43="","",'[44]بيانات العقد'!$C$43)</f>
        <v/>
      </c>
    </row>
    <row r="22">
      <c r="AA22" s="15" t="inlineStr">
        <is>
          <t>حالة غرامات التأخير</t>
        </is>
      </c>
      <c r="AB22" s="45">
        <f>IF('[44]بيانات العقد'!$C$47="","",'[44]بيانات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IF('[44]سجل المستخلصات'!$C$6="","",'[44]سجل المستخلصات'!$C$6)</f>
        <v/>
      </c>
      <c r="D25" s="57">
        <f>IF('[44]سجل المستخلصات'!$E$6="","",'[44]سجل المستخلصات'!$E$6)</f>
        <v/>
      </c>
      <c r="E25" s="58">
        <f>IF('[44]سجل المستخلصات'!$F$6="","",'[44]سجل المستخلصات'!$F$6)</f>
        <v/>
      </c>
      <c r="F25" s="59">
        <f>IF('[44]سجل المستخلصات'!$H$6="","",'[44]سجل المستخلصات'!$H$6)</f>
        <v/>
      </c>
      <c r="G25" s="59">
        <f>IF('[44]سجل المستخلصات'!$G$6="","",'[44]سجل المستخلصات'!$G$6)</f>
        <v/>
      </c>
      <c r="H25" s="59">
        <f>IF('[44]سجل المستخلصات'!$I$6="","",'[44]سجل المستخلصات'!$I$6)</f>
        <v/>
      </c>
      <c r="I25" s="59">
        <f>IF('[44]سجل المستخلصات'!$J$6="","",'[44]سجل المستخلصات'!$J$6)</f>
        <v/>
      </c>
      <c r="J25" s="59">
        <f>IF('[44]سجل المستخلصات'!$K$6="","",'[44]سجل المستخلصات'!$K$6)</f>
        <v/>
      </c>
      <c r="K25" s="60">
        <f>IF('[44]سجل المستخلصات'!$L$6="","",'[44]سجل المستخلصات'!$L$6)</f>
        <v/>
      </c>
      <c r="L25" s="60">
        <f>IF('[44]سجل المستخلصات'!$M$6="","",'[44]سجل المستخلصات'!$M$6)</f>
        <v/>
      </c>
      <c r="M25" s="60">
        <f>IF('[44]سجل المستخلصات'!$N$6="","",'[44]سجل المستخلصات'!$N$6)</f>
        <v/>
      </c>
      <c r="N25" s="59">
        <f>IF('[44]سجل المستخلصات'!$O$6="","",'[44]سجل المستخلصات'!$O$6)</f>
        <v/>
      </c>
      <c r="O25" s="59">
        <f>IF('[44]سجل المستخلصات'!$R$6="","",'[44]سجل المستخلصات'!$R$6)</f>
        <v/>
      </c>
      <c r="P25" s="59">
        <f>IF('[44]سجل المستخلصات'!$S$6="","",'[44]سجل المستخلصات'!$S$6)</f>
        <v/>
      </c>
      <c r="Q25" s="59">
        <f>IF('[44]سجل المستخلصات'!$T$6="","",'[44]سجل المستخلصات'!$T$6)</f>
        <v/>
      </c>
      <c r="R25" s="59">
        <f>IF('[44]سجل المستخلصات'!$V$6="","",'[44]سجل المستخلصات'!$V$6)</f>
        <v/>
      </c>
      <c r="S25" s="59">
        <f>IF('[44]سجل المستخلصات'!$W$6="","",'[44]سجل المستخلصات'!$W$6)</f>
        <v/>
      </c>
      <c r="T25" s="61">
        <f>IF('[44]سجل المستخلصات'!$X$6="","",'[44]سجل المستخلصات'!$X$6)</f>
        <v/>
      </c>
      <c r="U25" s="61">
        <f>IF('[44]سجل المستخلصات'!$Z$6="","",'[44]سجل المستخلصات'!$Z$6)</f>
        <v/>
      </c>
      <c r="V25" s="59">
        <f>IF('[44]سجل المستخلصات'!$AA$6="","",'[44]سجل المستخلصات'!$AA$6)</f>
        <v/>
      </c>
      <c r="W25" s="59">
        <f>IF('[44]سجل المستخلصات'!$AC$6="","",'[44]سجل المستخلصات'!$AC$6)</f>
        <v/>
      </c>
      <c r="X25" s="62">
        <f>IF('[44]سجل المستخلصات'!$AD$6="","",'[44]سجل المستخلصات'!$AD$6)</f>
        <v/>
      </c>
      <c r="Y25" s="58">
        <f>IF('[44]سجل المستخلصات'!$AE$6="","",'[44]سجل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IF('[44]سجل المستخلصات'!$C$7="","",'[44]سجل المستخلصات'!$C$7)</f>
        <v/>
      </c>
      <c r="D26" s="57">
        <f>IF('[44]سجل المستخلصات'!$E$7="","",'[44]سجل المستخلصات'!$E$7)</f>
        <v/>
      </c>
      <c r="E26" s="58">
        <f>IF('[44]سجل المستخلصات'!$F$7="","",'[44]سجل المستخلصات'!$F$7)</f>
        <v/>
      </c>
      <c r="F26" s="59">
        <f>IF('[44]سجل المستخلصات'!$H$7="","",'[44]سجل المستخلصات'!$H$7)</f>
        <v/>
      </c>
      <c r="G26" s="59">
        <f>IF('[44]سجل المستخلصات'!$G$7="","",'[44]سجل المستخلصات'!$G$7)</f>
        <v/>
      </c>
      <c r="H26" s="59">
        <f>IF('[44]سجل المستخلصات'!$I$7="","",'[44]سجل المستخلصات'!$I$7)</f>
        <v/>
      </c>
      <c r="I26" s="59">
        <f>IF('[44]سجل المستخلصات'!$J$7="","",'[44]سجل المستخلصات'!$J$7)</f>
        <v/>
      </c>
      <c r="J26" s="59">
        <f>IF('[44]سجل المستخلصات'!$K$7="","",'[44]سجل المستخلصات'!$K$7)</f>
        <v/>
      </c>
      <c r="K26" s="60">
        <f>IF('[44]سجل المستخلصات'!$L$7="","",'[44]سجل المستخلصات'!$L$7)</f>
        <v/>
      </c>
      <c r="L26" s="60">
        <f>IF('[44]سجل المستخلصات'!$M$7="","",'[44]سجل المستخلصات'!$M$7)</f>
        <v/>
      </c>
      <c r="M26" s="60">
        <f>IF('[44]سجل المستخلصات'!$N$7="","",'[44]سجل المستخلصات'!$N$7)</f>
        <v/>
      </c>
      <c r="N26" s="59">
        <f>IF('[44]سجل المستخلصات'!$O$7="","",'[44]سجل المستخلصات'!$O$7)</f>
        <v/>
      </c>
      <c r="O26" s="59">
        <f>IF('[44]سجل المستخلصات'!$R$7="","",'[44]سجل المستخلصات'!$R$7)</f>
        <v/>
      </c>
      <c r="P26" s="59">
        <f>IF('[44]سجل المستخلصات'!$S$7="","",'[44]سجل المستخلصات'!$S$7)</f>
        <v/>
      </c>
      <c r="Q26" s="59">
        <f>IF('[44]سجل المستخلصات'!$T$7="","",'[44]سجل المستخلصات'!$T$7)</f>
        <v/>
      </c>
      <c r="R26" s="59">
        <f>IF('[44]سجل المستخلصات'!$V$7="","",'[44]سجل المستخلصات'!$V$7)</f>
        <v/>
      </c>
      <c r="S26" s="59">
        <f>IF('[44]سجل المستخلصات'!$W$7="","",'[44]سجل المستخلصات'!$W$7)</f>
        <v/>
      </c>
      <c r="T26" s="61">
        <f>IF('[44]سجل المستخلصات'!$X$7="","",'[44]سجل المستخلصات'!$X$7)</f>
        <v/>
      </c>
      <c r="U26" s="61">
        <f>IF('[44]سجل المستخلصات'!$Z$7="","",'[44]سجل المستخلصات'!$Z$7)</f>
        <v/>
      </c>
      <c r="V26" s="59">
        <f>IF('[44]سجل المستخلصات'!$AA$7="","",'[44]سجل المستخلصات'!$AA$7)</f>
        <v/>
      </c>
      <c r="W26" s="59">
        <f>IF('[44]سجل المستخلصات'!$AC$7="","",'[44]سجل المستخلصات'!$AC$7)</f>
        <v/>
      </c>
      <c r="X26" s="62">
        <f>IF('[44]سجل المستخلصات'!$AD$7="","",'[44]سجل المستخلصات'!$AD$7)</f>
        <v/>
      </c>
      <c r="Y26" s="58">
        <f>IF('[44]سجل المستخلصات'!$AE$7="","",'[44]سجل المستخلصات'!$AE$7)</f>
        <v/>
      </c>
      <c r="AA26" s="63" t="n"/>
      <c r="AB26" s="63" t="n"/>
    </row>
    <row r="27">
      <c r="B27" s="56" t="n">
        <v>3</v>
      </c>
      <c r="C27" s="57">
        <f>IF('[44]سجل المستخلصات'!$C$8="","",'[44]سجل المستخلصات'!$C$8)</f>
        <v/>
      </c>
      <c r="D27" s="57">
        <f>IF('[44]سجل المستخلصات'!$E$8="","",'[44]سجل المستخلصات'!$E$8)</f>
        <v/>
      </c>
      <c r="E27" s="58">
        <f>IF('[44]سجل المستخلصات'!$F$8="","",'[44]سجل المستخلصات'!$F$8)</f>
        <v/>
      </c>
      <c r="F27" s="59">
        <f>IF('[44]سجل المستخلصات'!$H$8="","",'[44]سجل المستخلصات'!$H$8)</f>
        <v/>
      </c>
      <c r="G27" s="59">
        <f>IF('[44]سجل المستخلصات'!$G$8="","",'[44]سجل المستخلصات'!$G$8)</f>
        <v/>
      </c>
      <c r="H27" s="59">
        <f>IF('[44]سجل المستخلصات'!$I$8="","",'[44]سجل المستخلصات'!$I$8)</f>
        <v/>
      </c>
      <c r="I27" s="59">
        <f>IF('[44]سجل المستخلصات'!$J$8="","",'[44]سجل المستخلصات'!$J$8)</f>
        <v/>
      </c>
      <c r="J27" s="59">
        <f>IF('[44]سجل المستخلصات'!$K$8="","",'[44]سجل المستخلصات'!$K$8)</f>
        <v/>
      </c>
      <c r="K27" s="60">
        <f>IF('[44]سجل المستخلصات'!$L$8="","",'[44]سجل المستخلصات'!$L$8)</f>
        <v/>
      </c>
      <c r="L27" s="60">
        <f>IF('[44]سجل المستخلصات'!$M$8="","",'[44]سجل المستخلصات'!$M$8)</f>
        <v/>
      </c>
      <c r="M27" s="60">
        <f>IF('[44]سجل المستخلصات'!$N$8="","",'[44]سجل المستخلصات'!$N$8)</f>
        <v/>
      </c>
      <c r="N27" s="59">
        <f>IF('[44]سجل المستخلصات'!$O$8="","",'[44]سجل المستخلصات'!$O$8)</f>
        <v/>
      </c>
      <c r="O27" s="59">
        <f>IF('[44]سجل المستخلصات'!$R$8="","",'[44]سجل المستخلصات'!$R$8)</f>
        <v/>
      </c>
      <c r="P27" s="59">
        <f>IF('[44]سجل المستخلصات'!$S$8="","",'[44]سجل المستخلصات'!$S$8)</f>
        <v/>
      </c>
      <c r="Q27" s="59">
        <f>IF('[44]سجل المستخلصات'!$T$8="","",'[44]سجل المستخلصات'!$T$8)</f>
        <v/>
      </c>
      <c r="R27" s="59">
        <f>IF('[44]سجل المستخلصات'!$V$8="","",'[44]سجل المستخلصات'!$V$8)</f>
        <v/>
      </c>
      <c r="S27" s="59">
        <f>IF('[44]سجل المستخلصات'!$W$8="","",'[44]سجل المستخلصات'!$W$8)</f>
        <v/>
      </c>
      <c r="T27" s="61">
        <f>IF('[44]سجل المستخلصات'!$X$8="","",'[44]سجل المستخلصات'!$X$8)</f>
        <v/>
      </c>
      <c r="U27" s="61">
        <f>IF('[44]سجل المستخلصات'!$Z$8="","",'[44]سجل المستخلصات'!$Z$8)</f>
        <v/>
      </c>
      <c r="V27" s="59">
        <f>IF('[44]سجل المستخلصات'!$AA$8="","",'[44]سجل المستخلصات'!$AA$8)</f>
        <v/>
      </c>
      <c r="W27" s="59">
        <f>IF('[44]سجل المستخلصات'!$AC$8="","",'[44]سجل المستخلصات'!$AC$8)</f>
        <v/>
      </c>
      <c r="X27" s="62">
        <f>IF('[44]سجل المستخلصات'!$AD$8="","",'[44]سجل المستخلصات'!$AD$8)</f>
        <v/>
      </c>
      <c r="Y27" s="58">
        <f>IF('[44]سجل المستخلصات'!$AE$8="","",'[44]سجل المستخلصات'!$AE$8)</f>
        <v/>
      </c>
      <c r="AA27" s="63" t="n"/>
      <c r="AB27" s="63" t="n"/>
    </row>
    <row r="28">
      <c r="B28" s="56" t="n">
        <v>4</v>
      </c>
      <c r="C28" s="57">
        <f>IF('[44]سجل المستخلصات'!$C$9="","",'[44]سجل المستخلصات'!$C$9)</f>
        <v/>
      </c>
      <c r="D28" s="57">
        <f>IF('[44]سجل المستخلصات'!$E$9="","",'[44]سجل المستخلصات'!$E$9)</f>
        <v/>
      </c>
      <c r="E28" s="58">
        <f>IF('[44]سجل المستخلصات'!$F$9="","",'[44]سجل المستخلصات'!$F$9)</f>
        <v/>
      </c>
      <c r="F28" s="59">
        <f>IF('[44]سجل المستخلصات'!$H$9="","",'[44]سجل المستخلصات'!$H$9)</f>
        <v/>
      </c>
      <c r="G28" s="59">
        <f>IF('[44]سجل المستخلصات'!$G$9="","",'[44]سجل المستخلصات'!$G$9)</f>
        <v/>
      </c>
      <c r="H28" s="59">
        <f>IF('[44]سجل المستخلصات'!$I$9="","",'[44]سجل المستخلصات'!$I$9)</f>
        <v/>
      </c>
      <c r="I28" s="59">
        <f>IF('[44]سجل المستخلصات'!$J$9="","",'[44]سجل المستخلصات'!$J$9)</f>
        <v/>
      </c>
      <c r="J28" s="59">
        <f>IF('[44]سجل المستخلصات'!$K$9="","",'[44]سجل المستخلصات'!$K$9)</f>
        <v/>
      </c>
      <c r="K28" s="60">
        <f>IF('[44]سجل المستخلصات'!$L$9="","",'[44]سجل المستخلصات'!$L$9)</f>
        <v/>
      </c>
      <c r="L28" s="60">
        <f>IF('[44]سجل المستخلصات'!$M$9="","",'[44]سجل المستخلصات'!$M$9)</f>
        <v/>
      </c>
      <c r="M28" s="60">
        <f>IF('[44]سجل المستخلصات'!$N$9="","",'[44]سجل المستخلصات'!$N$9)</f>
        <v/>
      </c>
      <c r="N28" s="59">
        <f>IF('[44]سجل المستخلصات'!$O$9="","",'[44]سجل المستخلصات'!$O$9)</f>
        <v/>
      </c>
      <c r="O28" s="59">
        <f>IF('[44]سجل المستخلصات'!$R$9="","",'[44]سجل المستخلصات'!$R$9)</f>
        <v/>
      </c>
      <c r="P28" s="59">
        <f>IF('[44]سجل المستخلصات'!$S$9="","",'[44]سجل المستخلصات'!$S$9)</f>
        <v/>
      </c>
      <c r="Q28" s="59">
        <f>IF('[44]سجل المستخلصات'!$T$9="","",'[44]سجل المستخلصات'!$T$9)</f>
        <v/>
      </c>
      <c r="R28" s="59">
        <f>IF('[44]سجل المستخلصات'!$V$9="","",'[44]سجل المستخلصات'!$V$9)</f>
        <v/>
      </c>
      <c r="S28" s="59">
        <f>IF('[44]سجل المستخلصات'!$W$9="","",'[44]سجل المستخلصات'!$W$9)</f>
        <v/>
      </c>
      <c r="T28" s="61">
        <f>IF('[44]سجل المستخلصات'!$X$9="","",'[44]سجل المستخلصات'!$X$9)</f>
        <v/>
      </c>
      <c r="U28" s="61">
        <f>IF('[44]سجل المستخلصات'!$Z$9="","",'[44]سجل المستخلصات'!$Z$9)</f>
        <v/>
      </c>
      <c r="V28" s="59">
        <f>IF('[44]سجل المستخلصات'!$AA$9="","",'[44]سجل المستخلصات'!$AA$9)</f>
        <v/>
      </c>
      <c r="W28" s="59">
        <f>IF('[44]سجل المستخلصات'!$AC$9="","",'[44]سجل المستخلصات'!$AC$9)</f>
        <v/>
      </c>
      <c r="X28" s="62">
        <f>IF('[44]سجل المستخلصات'!$AD$9="","",'[44]سجل المستخلصات'!$AD$9)</f>
        <v/>
      </c>
      <c r="Y28" s="58">
        <f>IF('[44]سجل المستخلصات'!$AE$9="","",'[44]سجل المستخلصات'!$AE$9)</f>
        <v/>
      </c>
      <c r="AA28" s="63" t="n"/>
      <c r="AB28" s="63" t="n"/>
    </row>
    <row r="29">
      <c r="B29" s="56" t="n">
        <v>5</v>
      </c>
      <c r="C29" s="57">
        <f>IF('[44]سجل المستخلصات'!$C$10="","",'[44]سجل المستخلصات'!$C$10)</f>
        <v/>
      </c>
      <c r="D29" s="57">
        <f>IF('[44]سجل المستخلصات'!$E$10="","",'[44]سجل المستخلصات'!$E$10)</f>
        <v/>
      </c>
      <c r="E29" s="58">
        <f>IF('[44]سجل المستخلصات'!$F$10="","",'[44]سجل المستخلصات'!$F$10)</f>
        <v/>
      </c>
      <c r="F29" s="59">
        <f>IF('[44]سجل المستخلصات'!$H$10="","",'[44]سجل المستخلصات'!$H$10)</f>
        <v/>
      </c>
      <c r="G29" s="59">
        <f>IF('[44]سجل المستخلصات'!$G$10="","",'[44]سجل المستخلصات'!$G$10)</f>
        <v/>
      </c>
      <c r="H29" s="59">
        <f>IF('[44]سجل المستخلصات'!$I$10="","",'[44]سجل المستخلصات'!$I$10)</f>
        <v/>
      </c>
      <c r="I29" s="59">
        <f>IF('[44]سجل المستخلصات'!$J$10="","",'[44]سجل المستخلصات'!$J$10)</f>
        <v/>
      </c>
      <c r="J29" s="59">
        <f>IF('[44]سجل المستخلصات'!$K$10="","",'[44]سجل المستخلصات'!$K$10)</f>
        <v/>
      </c>
      <c r="K29" s="60">
        <f>IF('[44]سجل المستخلصات'!$L$10="","",'[44]سجل المستخلصات'!$L$10)</f>
        <v/>
      </c>
      <c r="L29" s="60">
        <f>IF('[44]سجل المستخلصات'!$M$10="","",'[44]سجل المستخلصات'!$M$10)</f>
        <v/>
      </c>
      <c r="M29" s="60">
        <f>IF('[44]سجل المستخلصات'!$N$10="","",'[44]سجل المستخلصات'!$N$10)</f>
        <v/>
      </c>
      <c r="N29" s="59">
        <f>IF('[44]سجل المستخلصات'!$O$10="","",'[44]سجل المستخلصات'!$O$10)</f>
        <v/>
      </c>
      <c r="O29" s="59">
        <f>IF('[44]سجل المستخلصات'!$R$10="","",'[44]سجل المستخلصات'!$R$10)</f>
        <v/>
      </c>
      <c r="P29" s="59">
        <f>IF('[44]سجل المستخلصات'!$S$10="","",'[44]سجل المستخلصات'!$S$10)</f>
        <v/>
      </c>
      <c r="Q29" s="59">
        <f>IF('[44]سجل المستخلصات'!$T$10="","",'[44]سجل المستخلصات'!$T$10)</f>
        <v/>
      </c>
      <c r="R29" s="59">
        <f>IF('[44]سجل المستخلصات'!$V$10="","",'[44]سجل المستخلصات'!$V$10)</f>
        <v/>
      </c>
      <c r="S29" s="59">
        <f>IF('[44]سجل المستخلصات'!$W$10="","",'[44]سجل المستخلصات'!$W$10)</f>
        <v/>
      </c>
      <c r="T29" s="61">
        <f>IF('[44]سجل المستخلصات'!$X$10="","",'[44]سجل المستخلصات'!$X$10)</f>
        <v/>
      </c>
      <c r="U29" s="61">
        <f>IF('[44]سجل المستخلصات'!$Z$10="","",'[44]سجل المستخلصات'!$Z$10)</f>
        <v/>
      </c>
      <c r="V29" s="59">
        <f>IF('[44]سجل المستخلصات'!$AA$10="","",'[44]سجل المستخلصات'!$AA$10)</f>
        <v/>
      </c>
      <c r="W29" s="59">
        <f>IF('[44]سجل المستخلصات'!$AC$10="","",'[44]سجل المستخلصات'!$AC$10)</f>
        <v/>
      </c>
      <c r="X29" s="62">
        <f>IF('[44]سجل المستخلصات'!$AD$10="","",'[44]سجل المستخلصات'!$AD$10)</f>
        <v/>
      </c>
      <c r="Y29" s="58">
        <f>IF('[44]سجل المستخلصات'!$AE$10="","",'[44]سجل المستخلصات'!$AE$10)</f>
        <v/>
      </c>
    </row>
    <row r="30">
      <c r="B30" s="56" t="n">
        <v>6</v>
      </c>
      <c r="C30" s="57">
        <f>IF('[44]سجل المستخلصات'!$C$11="","",'[44]سجل المستخلصات'!$C$11)</f>
        <v/>
      </c>
      <c r="D30" s="57">
        <f>IF('[44]سجل المستخلصات'!$E$11="","",'[44]سجل المستخلصات'!$E$11)</f>
        <v/>
      </c>
      <c r="E30" s="58">
        <f>IF('[44]سجل المستخلصات'!$F$11="","",'[44]سجل المستخلصات'!$F$11)</f>
        <v/>
      </c>
      <c r="F30" s="59">
        <f>IF('[44]سجل المستخلصات'!$H$11="","",'[44]سجل المستخلصات'!$H$11)</f>
        <v/>
      </c>
      <c r="G30" s="59">
        <f>IF('[44]سجل المستخلصات'!$G$11="","",'[44]سجل المستخلصات'!$G$11)</f>
        <v/>
      </c>
      <c r="H30" s="59">
        <f>IF('[44]سجل المستخلصات'!$I$11="","",'[44]سجل المستخلصات'!$I$11)</f>
        <v/>
      </c>
      <c r="I30" s="59">
        <f>IF('[44]سجل المستخلصات'!$J$11="","",'[44]سجل المستخلصات'!$J$11)</f>
        <v/>
      </c>
      <c r="J30" s="59">
        <f>IF('[44]سجل المستخلصات'!$K$11="","",'[44]سجل المستخلصات'!$K$11)</f>
        <v/>
      </c>
      <c r="K30" s="60">
        <f>IF('[44]سجل المستخلصات'!$L$11="","",'[44]سجل المستخلصات'!$L$11)</f>
        <v/>
      </c>
      <c r="L30" s="60">
        <f>IF('[44]سجل المستخلصات'!$M$11="","",'[44]سجل المستخلصات'!$M$11)</f>
        <v/>
      </c>
      <c r="M30" s="60">
        <f>IF('[44]سجل المستخلصات'!$N$11="","",'[44]سجل المستخلصات'!$N$11)</f>
        <v/>
      </c>
      <c r="N30" s="59">
        <f>IF('[44]سجل المستخلصات'!$O$11="","",'[44]سجل المستخلصات'!$O$11)</f>
        <v/>
      </c>
      <c r="O30" s="59">
        <f>IF('[44]سجل المستخلصات'!$R$11="","",'[44]سجل المستخلصات'!$R$11)</f>
        <v/>
      </c>
      <c r="P30" s="59">
        <f>IF('[44]سجل المستخلصات'!$S$11="","",'[44]سجل المستخلصات'!$S$11)</f>
        <v/>
      </c>
      <c r="Q30" s="59">
        <f>IF('[44]سجل المستخلصات'!$T$11="","",'[44]سجل المستخلصات'!$T$11)</f>
        <v/>
      </c>
      <c r="R30" s="59">
        <f>IF('[44]سجل المستخلصات'!$V$11="","",'[44]سجل المستخلصات'!$V$11)</f>
        <v/>
      </c>
      <c r="S30" s="59">
        <f>IF('[44]سجل المستخلصات'!$W$11="","",'[44]سجل المستخلصات'!$W$11)</f>
        <v/>
      </c>
      <c r="T30" s="61">
        <f>IF('[44]سجل المستخلصات'!$X$11="","",'[44]سجل المستخلصات'!$X$11)</f>
        <v/>
      </c>
      <c r="U30" s="61">
        <f>IF('[44]سجل المستخلصات'!$Z$11="","",'[44]سجل المستخلصات'!$Z$11)</f>
        <v/>
      </c>
      <c r="V30" s="59">
        <f>IF('[44]سجل المستخلصات'!$AA$11="","",'[44]سجل المستخلصات'!$AA$11)</f>
        <v/>
      </c>
      <c r="W30" s="59">
        <f>IF('[44]سجل المستخلصات'!$AC$11="","",'[44]سجل المستخلصات'!$AC$11)</f>
        <v/>
      </c>
      <c r="X30" s="62">
        <f>IF('[44]سجل المستخلصات'!$AD$11="","",'[44]سجل المستخلصات'!$AD$11)</f>
        <v/>
      </c>
      <c r="Y30" s="58">
        <f>IF('[44]سجل المستخلصات'!$AE$11="","",'[44]سجل المستخلصات'!$AE$11)</f>
        <v/>
      </c>
    </row>
    <row r="31">
      <c r="B31" s="56" t="n">
        <v>7</v>
      </c>
      <c r="C31" s="57">
        <f>IF('[44]سجل المستخلصات'!$C$12="","",'[44]سجل المستخلصات'!$C$12)</f>
        <v/>
      </c>
      <c r="D31" s="57">
        <f>IF('[44]سجل المستخلصات'!$E$12="","",'[44]سجل المستخلصات'!$E$12)</f>
        <v/>
      </c>
      <c r="E31" s="58">
        <f>IF('[44]سجل المستخلصات'!$F$12="","",'[44]سجل المستخلصات'!$F$12)</f>
        <v/>
      </c>
      <c r="F31" s="59">
        <f>IF('[44]سجل المستخلصات'!$H$12="","",'[44]سجل المستخلصات'!$H$12)</f>
        <v/>
      </c>
      <c r="G31" s="59">
        <f>IF('[44]سجل المستخلصات'!$G$12="","",'[44]سجل المستخلصات'!$G$12)</f>
        <v/>
      </c>
      <c r="H31" s="59">
        <f>IF('[44]سجل المستخلصات'!$I$12="","",'[44]سجل المستخلصات'!$I$12)</f>
        <v/>
      </c>
      <c r="I31" s="59">
        <f>IF('[44]سجل المستخلصات'!$J$12="","",'[44]سجل المستخلصات'!$J$12)</f>
        <v/>
      </c>
      <c r="J31" s="59">
        <f>IF('[44]سجل المستخلصات'!$K$12="","",'[44]سجل المستخلصات'!$K$12)</f>
        <v/>
      </c>
      <c r="K31" s="60">
        <f>IF('[44]سجل المستخلصات'!$L$12="","",'[44]سجل المستخلصات'!$L$12)</f>
        <v/>
      </c>
      <c r="L31" s="60">
        <f>IF('[44]سجل المستخلصات'!$M$12="","",'[44]سجل المستخلصات'!$M$12)</f>
        <v/>
      </c>
      <c r="M31" s="60">
        <f>IF('[44]سجل المستخلصات'!$N$12="","",'[44]سجل المستخلصات'!$N$12)</f>
        <v/>
      </c>
      <c r="N31" s="59">
        <f>IF('[44]سجل المستخلصات'!$O$12="","",'[44]سجل المستخلصات'!$O$12)</f>
        <v/>
      </c>
      <c r="O31" s="59">
        <f>IF('[44]سجل المستخلصات'!$R$12="","",'[44]سجل المستخلصات'!$R$12)</f>
        <v/>
      </c>
      <c r="P31" s="59">
        <f>IF('[44]سجل المستخلصات'!$S$12="","",'[44]سجل المستخلصات'!$S$12)</f>
        <v/>
      </c>
      <c r="Q31" s="59">
        <f>IF('[44]سجل المستخلصات'!$T$12="","",'[44]سجل المستخلصات'!$T$12)</f>
        <v/>
      </c>
      <c r="R31" s="59">
        <f>IF('[44]سجل المستخلصات'!$V$12="","",'[44]سجل المستخلصات'!$V$12)</f>
        <v/>
      </c>
      <c r="S31" s="59">
        <f>IF('[44]سجل المستخلصات'!$W$12="","",'[44]سجل المستخلصات'!$W$12)</f>
        <v/>
      </c>
      <c r="T31" s="61">
        <f>IF('[44]سجل المستخلصات'!$X$12="","",'[44]سجل المستخلصات'!$X$12)</f>
        <v/>
      </c>
      <c r="U31" s="61">
        <f>IF('[44]سجل المستخلصات'!$Z$12="","",'[44]سجل المستخلصات'!$Z$12)</f>
        <v/>
      </c>
      <c r="V31" s="59">
        <f>IF('[44]سجل المستخلصات'!$AA$12="","",'[44]سجل المستخلصات'!$AA$12)</f>
        <v/>
      </c>
      <c r="W31" s="59">
        <f>IF('[44]سجل المستخلصات'!$AC$12="","",'[44]سجل المستخلصات'!$AC$12)</f>
        <v/>
      </c>
      <c r="X31" s="62">
        <f>IF('[44]سجل المستخلصات'!$AD$12="","",'[44]سجل المستخلصات'!$AD$12)</f>
        <v/>
      </c>
      <c r="Y31" s="58">
        <f>IF('[44]سجل المستخلصات'!$AE$12="","",'[44]سجل المستخلصات'!$AE$12)</f>
        <v/>
      </c>
    </row>
    <row r="32">
      <c r="B32" s="56" t="n">
        <v>8</v>
      </c>
      <c r="C32" s="57">
        <f>IF('[44]سجل المستخلصات'!$C$13="","",'[44]سجل المستخلصات'!$C$13)</f>
        <v/>
      </c>
      <c r="D32" s="57">
        <f>IF('[44]سجل المستخلصات'!$E$13="","",'[44]سجل المستخلصات'!$E$13)</f>
        <v/>
      </c>
      <c r="E32" s="58">
        <f>IF('[44]سجل المستخلصات'!$F$13="","",'[44]سجل المستخلصات'!$F$13)</f>
        <v/>
      </c>
      <c r="F32" s="59">
        <f>IF('[44]سجل المستخلصات'!$H$13="","",'[44]سجل المستخلصات'!$H$13)</f>
        <v/>
      </c>
      <c r="G32" s="59">
        <f>IF('[44]سجل المستخلصات'!$G$13="","",'[44]سجل المستخلصات'!$G$13)</f>
        <v/>
      </c>
      <c r="H32" s="59">
        <f>IF('[44]سجل المستخلصات'!$I$13="","",'[44]سجل المستخلصات'!$I$13)</f>
        <v/>
      </c>
      <c r="I32" s="59">
        <f>IF('[44]سجل المستخلصات'!$J$13="","",'[44]سجل المستخلصات'!$J$13)</f>
        <v/>
      </c>
      <c r="J32" s="59">
        <f>IF('[44]سجل المستخلصات'!$K$13="","",'[44]سجل المستخلصات'!$K$13)</f>
        <v/>
      </c>
      <c r="K32" s="60">
        <f>IF('[44]سجل المستخلصات'!$L$13="","",'[44]سجل المستخلصات'!$L$13)</f>
        <v/>
      </c>
      <c r="L32" s="60">
        <f>IF('[44]سجل المستخلصات'!$M$13="","",'[44]سجل المستخلصات'!$M$13)</f>
        <v/>
      </c>
      <c r="M32" s="60">
        <f>IF('[44]سجل المستخلصات'!$N$13="","",'[44]سجل المستخلصات'!$N$13)</f>
        <v/>
      </c>
      <c r="N32" s="59">
        <f>IF('[44]سجل المستخلصات'!$O$13="","",'[44]سجل المستخلصات'!$O$13)</f>
        <v/>
      </c>
      <c r="O32" s="59">
        <f>IF('[44]سجل المستخلصات'!$R$13="","",'[44]سجل المستخلصات'!$R$13)</f>
        <v/>
      </c>
      <c r="P32" s="59">
        <f>IF('[44]سجل المستخلصات'!$S$13="","",'[44]سجل المستخلصات'!$S$13)</f>
        <v/>
      </c>
      <c r="Q32" s="59">
        <f>IF('[44]سجل المستخلصات'!$T$13="","",'[44]سجل المستخلصات'!$T$13)</f>
        <v/>
      </c>
      <c r="R32" s="59">
        <f>IF('[44]سجل المستخلصات'!$V$13="","",'[44]سجل المستخلصات'!$V$13)</f>
        <v/>
      </c>
      <c r="S32" s="59">
        <f>IF('[44]سجل المستخلصات'!$W$13="","",'[44]سجل المستخلصات'!$W$13)</f>
        <v/>
      </c>
      <c r="T32" s="61">
        <f>IF('[44]سجل المستخلصات'!$X$13="","",'[44]سجل المستخلصات'!$X$13)</f>
        <v/>
      </c>
      <c r="U32" s="61">
        <f>IF('[44]سجل المستخلصات'!$Z$13="","",'[44]سجل المستخلصات'!$Z$13)</f>
        <v/>
      </c>
      <c r="V32" s="59">
        <f>IF('[44]سجل المستخلصات'!$AA$13="","",'[44]سجل المستخلصات'!$AA$13)</f>
        <v/>
      </c>
      <c r="W32" s="59">
        <f>IF('[44]سجل المستخلصات'!$AC$13="","",'[44]سجل المستخلصات'!$AC$13)</f>
        <v/>
      </c>
      <c r="X32" s="62">
        <f>IF('[44]سجل المستخلصات'!$AD$13="","",'[44]سجل المستخلصات'!$AD$13)</f>
        <v/>
      </c>
      <c r="Y32" s="58">
        <f>IF('[44]سجل المستخلصات'!$AE$13="","",'[44]سجل المستخلصات'!$AE$13)</f>
        <v/>
      </c>
    </row>
    <row r="33">
      <c r="B33" s="56" t="n">
        <v>9</v>
      </c>
      <c r="C33" s="57">
        <f>IF('[44]سجل المستخلصات'!$C$14="","",'[44]سجل المستخلصات'!$C$14)</f>
        <v/>
      </c>
      <c r="D33" s="57">
        <f>IF('[44]سجل المستخلصات'!$E$14="","",'[44]سجل المستخلصات'!$E$14)</f>
        <v/>
      </c>
      <c r="E33" s="58">
        <f>IF('[44]سجل المستخلصات'!$F$14="","",'[44]سجل المستخلصات'!$F$14)</f>
        <v/>
      </c>
      <c r="F33" s="59">
        <f>IF('[44]سجل المستخلصات'!$H$14="","",'[44]سجل المستخلصات'!$H$14)</f>
        <v/>
      </c>
      <c r="G33" s="59">
        <f>IF('[44]سجل المستخلصات'!$G$14="","",'[44]سجل المستخلصات'!$G$14)</f>
        <v/>
      </c>
      <c r="H33" s="59">
        <f>IF('[44]سجل المستخلصات'!$I$14="","",'[44]سجل المستخلصات'!$I$14)</f>
        <v/>
      </c>
      <c r="I33" s="59">
        <f>IF('[44]سجل المستخلصات'!$J$14="","",'[44]سجل المستخلصات'!$J$14)</f>
        <v/>
      </c>
      <c r="J33" s="59">
        <f>IF('[44]سجل المستخلصات'!$K$14="","",'[44]سجل المستخلصات'!$K$14)</f>
        <v/>
      </c>
      <c r="K33" s="60">
        <f>IF('[44]سجل المستخلصات'!$L$14="","",'[44]سجل المستخلصات'!$L$14)</f>
        <v/>
      </c>
      <c r="L33" s="60">
        <f>IF('[44]سجل المستخلصات'!$M$14="","",'[44]سجل المستخلصات'!$M$14)</f>
        <v/>
      </c>
      <c r="M33" s="60">
        <f>IF('[44]سجل المستخلصات'!$N$14="","",'[44]سجل المستخلصات'!$N$14)</f>
        <v/>
      </c>
      <c r="N33" s="59">
        <f>IF('[44]سجل المستخلصات'!$O$14="","",'[44]سجل المستخلصات'!$O$14)</f>
        <v/>
      </c>
      <c r="O33" s="59">
        <f>IF('[44]سجل المستخلصات'!$R$14="","",'[44]سجل المستخلصات'!$R$14)</f>
        <v/>
      </c>
      <c r="P33" s="59">
        <f>IF('[44]سجل المستخلصات'!$S$14="","",'[44]سجل المستخلصات'!$S$14)</f>
        <v/>
      </c>
      <c r="Q33" s="59">
        <f>IF('[44]سجل المستخلصات'!$T$14="","",'[44]سجل المستخلصات'!$T$14)</f>
        <v/>
      </c>
      <c r="R33" s="59">
        <f>IF('[44]سجل المستخلصات'!$V$14="","",'[44]سجل المستخلصات'!$V$14)</f>
        <v/>
      </c>
      <c r="S33" s="59">
        <f>IF('[44]سجل المستخلصات'!$W$14="","",'[44]سجل المستخلصات'!$W$14)</f>
        <v/>
      </c>
      <c r="T33" s="61">
        <f>IF('[44]سجل المستخلصات'!$X$14="","",'[44]سجل المستخلصات'!$X$14)</f>
        <v/>
      </c>
      <c r="U33" s="61">
        <f>IF('[44]سجل المستخلصات'!$Z$14="","",'[44]سجل المستخلصات'!$Z$14)</f>
        <v/>
      </c>
      <c r="V33" s="59">
        <f>IF('[44]سجل المستخلصات'!$AA$14="","",'[44]سجل المستخلصات'!$AA$14)</f>
        <v/>
      </c>
      <c r="W33" s="59">
        <f>IF('[44]سجل المستخلصات'!$AC$14="","",'[44]سجل المستخلصات'!$AC$14)</f>
        <v/>
      </c>
      <c r="X33" s="62">
        <f>IF('[44]سجل المستخلصات'!$AD$14="","",'[44]سجل المستخلصات'!$AD$14)</f>
        <v/>
      </c>
      <c r="Y33" s="58">
        <f>IF('[44]سجل المستخلصات'!$AE$14="","",'[44]سجل المستخلصات'!$AE$14)</f>
        <v/>
      </c>
    </row>
    <row r="34">
      <c r="B34" s="56" t="n">
        <v>10</v>
      </c>
      <c r="C34" s="57">
        <f>IF('[44]سجل المستخلصات'!$C$15="","",'[44]سجل المستخلصات'!$C$15)</f>
        <v/>
      </c>
      <c r="D34" s="57">
        <f>IF('[44]سجل المستخلصات'!$E$15="","",'[44]سجل المستخلصات'!$E$15)</f>
        <v/>
      </c>
      <c r="E34" s="58">
        <f>IF('[44]سجل المستخلصات'!$F$15="","",'[44]سجل المستخلصات'!$F$15)</f>
        <v/>
      </c>
      <c r="F34" s="59">
        <f>IF('[44]سجل المستخلصات'!$H$15="","",'[44]سجل المستخلصات'!$H$15)</f>
        <v/>
      </c>
      <c r="G34" s="59">
        <f>IF('[44]سجل المستخلصات'!$G$15="","",'[44]سجل المستخلصات'!$G$15)</f>
        <v/>
      </c>
      <c r="H34" s="59">
        <f>IF('[44]سجل المستخلصات'!$I$15="","",'[44]سجل المستخلصات'!$I$15)</f>
        <v/>
      </c>
      <c r="I34" s="59">
        <f>IF('[44]سجل المستخلصات'!$J$15="","",'[44]سجل المستخلصات'!$J$15)</f>
        <v/>
      </c>
      <c r="J34" s="59">
        <f>IF('[44]سجل المستخلصات'!$K$15="","",'[44]سجل المستخلصات'!$K$15)</f>
        <v/>
      </c>
      <c r="K34" s="60">
        <f>IF('[44]سجل المستخلصات'!$L$15="","",'[44]سجل المستخلصات'!$L$15)</f>
        <v/>
      </c>
      <c r="L34" s="60">
        <f>IF('[44]سجل المستخلصات'!$M$15="","",'[44]سجل المستخلصات'!$M$15)</f>
        <v/>
      </c>
      <c r="M34" s="60">
        <f>IF('[44]سجل المستخلصات'!$N$15="","",'[44]سجل المستخلصات'!$N$15)</f>
        <v/>
      </c>
      <c r="N34" s="59">
        <f>IF('[44]سجل المستخلصات'!$O$15="","",'[44]سجل المستخلصات'!$O$15)</f>
        <v/>
      </c>
      <c r="O34" s="59">
        <f>IF('[44]سجل المستخلصات'!$R$15="","",'[44]سجل المستخلصات'!$R$15)</f>
        <v/>
      </c>
      <c r="P34" s="59">
        <f>IF('[44]سجل المستخلصات'!$S$15="","",'[44]سجل المستخلصات'!$S$15)</f>
        <v/>
      </c>
      <c r="Q34" s="59">
        <f>IF('[44]سجل المستخلصات'!$T$15="","",'[44]سجل المستخلصات'!$T$15)</f>
        <v/>
      </c>
      <c r="R34" s="59">
        <f>IF('[44]سجل المستخلصات'!$V$15="","",'[44]سجل المستخلصات'!$V$15)</f>
        <v/>
      </c>
      <c r="S34" s="59">
        <f>IF('[44]سجل المستخلصات'!$W$15="","",'[44]سجل المستخلصات'!$W$15)</f>
        <v/>
      </c>
      <c r="T34" s="61">
        <f>IF('[44]سجل المستخلصات'!$X$15="","",'[44]سجل المستخلصات'!$X$15)</f>
        <v/>
      </c>
      <c r="U34" s="61">
        <f>IF('[44]سجل المستخلصات'!$Z$15="","",'[44]سجل المستخلصات'!$Z$15)</f>
        <v/>
      </c>
      <c r="V34" s="59">
        <f>IF('[44]سجل المستخلصات'!$AA$15="","",'[44]سجل المستخلصات'!$AA$15)</f>
        <v/>
      </c>
      <c r="W34" s="59">
        <f>IF('[44]سجل المستخلصات'!$AC$15="","",'[44]سجل المستخلصات'!$AC$15)</f>
        <v/>
      </c>
      <c r="X34" s="62">
        <f>IF('[44]سجل المستخلصات'!$AD$15="","",'[44]سجل المستخلصات'!$AD$15)</f>
        <v/>
      </c>
      <c r="Y34" s="58">
        <f>IF('[44]سجل المستخلصات'!$AE$15="","",'[44]سجل المستخلصات'!$AE$15)</f>
        <v/>
      </c>
    </row>
    <row r="35">
      <c r="B35" s="56" t="n">
        <v>11</v>
      </c>
      <c r="C35" s="57">
        <f>IF('[44]سجل المستخلصات'!$C$16="","",'[44]سجل المستخلصات'!$C$16)</f>
        <v/>
      </c>
      <c r="D35" s="57">
        <f>IF('[44]سجل المستخلصات'!$E$16="","",'[44]سجل المستخلصات'!$E$16)</f>
        <v/>
      </c>
      <c r="E35" s="58">
        <f>IF('[44]سجل المستخلصات'!$F$16="","",'[44]سجل المستخلصات'!$F$16)</f>
        <v/>
      </c>
      <c r="F35" s="59">
        <f>IF('[44]سجل المستخلصات'!$H$16="","",'[44]سجل المستخلصات'!$H$16)</f>
        <v/>
      </c>
      <c r="G35" s="59">
        <f>IF('[44]سجل المستخلصات'!$G$16="","",'[44]سجل المستخلصات'!$G$16)</f>
        <v/>
      </c>
      <c r="H35" s="59">
        <f>IF('[44]سجل المستخلصات'!$I$16="","",'[44]سجل المستخلصات'!$I$16)</f>
        <v/>
      </c>
      <c r="I35" s="59">
        <f>IF('[44]سجل المستخلصات'!$J$16="","",'[44]سجل المستخلصات'!$J$16)</f>
        <v/>
      </c>
      <c r="J35" s="59">
        <f>IF('[44]سجل المستخلصات'!$K$16="","",'[44]سجل المستخلصات'!$K$16)</f>
        <v/>
      </c>
      <c r="K35" s="60">
        <f>IF('[44]سجل المستخلصات'!$L$16="","",'[44]سجل المستخلصات'!$L$16)</f>
        <v/>
      </c>
      <c r="L35" s="60">
        <f>IF('[44]سجل المستخلصات'!$M$16="","",'[44]سجل المستخلصات'!$M$16)</f>
        <v/>
      </c>
      <c r="M35" s="60">
        <f>IF('[44]سجل المستخلصات'!$N$16="","",'[44]سجل المستخلصات'!$N$16)</f>
        <v/>
      </c>
      <c r="N35" s="59">
        <f>IF('[44]سجل المستخلصات'!$O$16="","",'[44]سجل المستخلصات'!$O$16)</f>
        <v/>
      </c>
      <c r="O35" s="59">
        <f>IF('[44]سجل المستخلصات'!$R$16="","",'[44]سجل المستخلصات'!$R$16)</f>
        <v/>
      </c>
      <c r="P35" s="59">
        <f>IF('[44]سجل المستخلصات'!$S$16="","",'[44]سجل المستخلصات'!$S$16)</f>
        <v/>
      </c>
      <c r="Q35" s="59">
        <f>IF('[44]سجل المستخلصات'!$T$16="","",'[44]سجل المستخلصات'!$T$16)</f>
        <v/>
      </c>
      <c r="R35" s="59">
        <f>IF('[44]سجل المستخلصات'!$V$16="","",'[44]سجل المستخلصات'!$V$16)</f>
        <v/>
      </c>
      <c r="S35" s="59">
        <f>IF('[44]سجل المستخلصات'!$W$16="","",'[44]سجل المستخلصات'!$W$16)</f>
        <v/>
      </c>
      <c r="T35" s="61">
        <f>IF('[44]سجل المستخلصات'!$X$16="","",'[44]سجل المستخلصات'!$X$16)</f>
        <v/>
      </c>
      <c r="U35" s="61">
        <f>IF('[44]سجل المستخلصات'!$Z$16="","",'[44]سجل المستخلصات'!$Z$16)</f>
        <v/>
      </c>
      <c r="V35" s="59">
        <f>IF('[44]سجل المستخلصات'!$AA$16="","",'[44]سجل المستخلصات'!$AA$16)</f>
        <v/>
      </c>
      <c r="W35" s="59">
        <f>IF('[44]سجل المستخلصات'!$AC$16="","",'[44]سجل المستخلصات'!$AC$16)</f>
        <v/>
      </c>
      <c r="X35" s="62">
        <f>IF('[44]سجل المستخلصات'!$AD$16="","",'[44]سجل المستخلصات'!$AD$16)</f>
        <v/>
      </c>
      <c r="Y35" s="58">
        <f>IF('[44]سجل المستخلصات'!$AE$16="","",'[44]سجل المستخلصات'!$AE$16)</f>
        <v/>
      </c>
    </row>
    <row r="36">
      <c r="B36" s="56" t="n">
        <v>12</v>
      </c>
      <c r="C36" s="57">
        <f>IF('[44]سجل المستخلصات'!$C$17="","",'[44]سجل المستخلصات'!$C$17)</f>
        <v/>
      </c>
      <c r="D36" s="57">
        <f>IF('[44]سجل المستخلصات'!$E$17="","",'[44]سجل المستخلصات'!$E$17)</f>
        <v/>
      </c>
      <c r="E36" s="58">
        <f>IF('[44]سجل المستخلصات'!$F$17="","",'[44]سجل المستخلصات'!$F$17)</f>
        <v/>
      </c>
      <c r="F36" s="59">
        <f>IF('[44]سجل المستخلصات'!$H$17="","",'[44]سجل المستخلصات'!$H$17)</f>
        <v/>
      </c>
      <c r="G36" s="59">
        <f>IF('[44]سجل المستخلصات'!$G$17="","",'[44]سجل المستخلصات'!$G$17)</f>
        <v/>
      </c>
      <c r="H36" s="59">
        <f>IF('[44]سجل المستخلصات'!$I$17="","",'[44]سجل المستخلصات'!$I$17)</f>
        <v/>
      </c>
      <c r="I36" s="59">
        <f>IF('[44]سجل المستخلصات'!$J$17="","",'[44]سجل المستخلصات'!$J$17)</f>
        <v/>
      </c>
      <c r="J36" s="59">
        <f>IF('[44]سجل المستخلصات'!$K$17="","",'[44]سجل المستخلصات'!$K$17)</f>
        <v/>
      </c>
      <c r="K36" s="60">
        <f>IF('[44]سجل المستخلصات'!$L$17="","",'[44]سجل المستخلصات'!$L$17)</f>
        <v/>
      </c>
      <c r="L36" s="60">
        <f>IF('[44]سجل المستخلصات'!$M$17="","",'[44]سجل المستخلصات'!$M$17)</f>
        <v/>
      </c>
      <c r="M36" s="60">
        <f>IF('[44]سجل المستخلصات'!$N$17="","",'[44]سجل المستخلصات'!$N$17)</f>
        <v/>
      </c>
      <c r="N36" s="59">
        <f>IF('[44]سجل المستخلصات'!$O$17="","",'[44]سجل المستخلصات'!$O$17)</f>
        <v/>
      </c>
      <c r="O36" s="59">
        <f>IF('[44]سجل المستخلصات'!$R$17="","",'[44]سجل المستخلصات'!$R$17)</f>
        <v/>
      </c>
      <c r="P36" s="59">
        <f>IF('[44]سجل المستخلصات'!$S$17="","",'[44]سجل المستخلصات'!$S$17)</f>
        <v/>
      </c>
      <c r="Q36" s="59">
        <f>IF('[44]سجل المستخلصات'!$T$17="","",'[44]سجل المستخلصات'!$T$17)</f>
        <v/>
      </c>
      <c r="R36" s="59">
        <f>IF('[44]سجل المستخلصات'!$V$17="","",'[44]سجل المستخلصات'!$V$17)</f>
        <v/>
      </c>
      <c r="S36" s="59">
        <f>IF('[44]سجل المستخلصات'!$W$17="","",'[44]سجل المستخلصات'!$W$17)</f>
        <v/>
      </c>
      <c r="T36" s="61">
        <f>IF('[44]سجل المستخلصات'!$X$17="","",'[44]سجل المستخلصات'!$X$17)</f>
        <v/>
      </c>
      <c r="U36" s="61">
        <f>IF('[44]سجل المستخلصات'!$Z$17="","",'[44]سجل المستخلصات'!$Z$17)</f>
        <v/>
      </c>
      <c r="V36" s="59">
        <f>IF('[44]سجل المستخلصات'!$AA$17="","",'[44]سجل المستخلصات'!$AA$17)</f>
        <v/>
      </c>
      <c r="W36" s="59">
        <f>IF('[44]سجل المستخلصات'!$AC$17="","",'[44]سجل المستخلصات'!$AC$17)</f>
        <v/>
      </c>
      <c r="X36" s="62">
        <f>IF('[44]سجل المستخلصات'!$AD$17="","",'[44]سجل المستخلصات'!$AD$17)</f>
        <v/>
      </c>
      <c r="Y36" s="58">
        <f>IF('[44]سجل المستخلصات'!$AE$17="","",'[44]سجل المستخلصات'!$AE$17)</f>
        <v/>
      </c>
    </row>
    <row r="37">
      <c r="B37" s="56" t="n">
        <v>13</v>
      </c>
      <c r="C37" s="57">
        <f>IF('[44]سجل المستخلصات'!$C$18="","",'[44]سجل المستخلصات'!$C$18)</f>
        <v/>
      </c>
      <c r="D37" s="57">
        <f>IF('[44]سجل المستخلصات'!$E$18="","",'[44]سجل المستخلصات'!$E$18)</f>
        <v/>
      </c>
      <c r="E37" s="58">
        <f>IF('[44]سجل المستخلصات'!$F$18="","",'[44]سجل المستخلصات'!$F$18)</f>
        <v/>
      </c>
      <c r="F37" s="59">
        <f>IF('[44]سجل المستخلصات'!$H$18="","",'[44]سجل المستخلصات'!$H$18)</f>
        <v/>
      </c>
      <c r="G37" s="59">
        <f>IF('[44]سجل المستخلصات'!$G$18="","",'[44]سجل المستخلصات'!$G$18)</f>
        <v/>
      </c>
      <c r="H37" s="59">
        <f>IF('[44]سجل المستخلصات'!$I$18="","",'[44]سجل المستخلصات'!$I$18)</f>
        <v/>
      </c>
      <c r="I37" s="59">
        <f>IF('[44]سجل المستخلصات'!$J$18="","",'[44]سجل المستخلصات'!$J$18)</f>
        <v/>
      </c>
      <c r="J37" s="59">
        <f>IF('[44]سجل المستخلصات'!$K$18="","",'[44]سجل المستخلصات'!$K$18)</f>
        <v/>
      </c>
      <c r="K37" s="60">
        <f>IF('[44]سجل المستخلصات'!$L$18="","",'[44]سجل المستخلصات'!$L$18)</f>
        <v/>
      </c>
      <c r="L37" s="60">
        <f>IF('[44]سجل المستخلصات'!$M$18="","",'[44]سجل المستخلصات'!$M$18)</f>
        <v/>
      </c>
      <c r="M37" s="60">
        <f>IF('[44]سجل المستخلصات'!$N$18="","",'[44]سجل المستخلصات'!$N$18)</f>
        <v/>
      </c>
      <c r="N37" s="59">
        <f>IF('[44]سجل المستخلصات'!$O$18="","",'[44]سجل المستخلصات'!$O$18)</f>
        <v/>
      </c>
      <c r="O37" s="59">
        <f>IF('[44]سجل المستخلصات'!$R$18="","",'[44]سجل المستخلصات'!$R$18)</f>
        <v/>
      </c>
      <c r="P37" s="59">
        <f>IF('[44]سجل المستخلصات'!$S$18="","",'[44]سجل المستخلصات'!$S$18)</f>
        <v/>
      </c>
      <c r="Q37" s="59">
        <f>IF('[44]سجل المستخلصات'!$T$18="","",'[44]سجل المستخلصات'!$T$18)</f>
        <v/>
      </c>
      <c r="R37" s="59">
        <f>IF('[44]سجل المستخلصات'!$V$18="","",'[44]سجل المستخلصات'!$V$18)</f>
        <v/>
      </c>
      <c r="S37" s="59">
        <f>IF('[44]سجل المستخلصات'!$W$18="","",'[44]سجل المستخلصات'!$W$18)</f>
        <v/>
      </c>
      <c r="T37" s="61">
        <f>IF('[44]سجل المستخلصات'!$X$18="","",'[44]سجل المستخلصات'!$X$18)</f>
        <v/>
      </c>
      <c r="U37" s="61">
        <f>IF('[44]سجل المستخلصات'!$Z$18="","",'[44]سجل المستخلصات'!$Z$18)</f>
        <v/>
      </c>
      <c r="V37" s="59">
        <f>IF('[44]سجل المستخلصات'!$AA$18="","",'[44]سجل المستخلصات'!$AA$18)</f>
        <v/>
      </c>
      <c r="W37" s="59">
        <f>IF('[44]سجل المستخلصات'!$AC$18="","",'[44]سجل المستخلصات'!$AC$18)</f>
        <v/>
      </c>
      <c r="X37" s="62">
        <f>IF('[44]سجل المستخلصات'!$AD$18="","",'[44]سجل المستخلصات'!$AD$18)</f>
        <v/>
      </c>
      <c r="Y37" s="58">
        <f>IF('[44]سجل المستخلصات'!$AE$18="","",'[44]سجل المستخلصات'!$AE$18)</f>
        <v/>
      </c>
    </row>
    <row r="38">
      <c r="B38" s="56" t="n">
        <v>14</v>
      </c>
      <c r="C38" s="57">
        <f>IF('[44]سجل المستخلصات'!$C$19="","",'[44]سجل المستخلصات'!$C$19)</f>
        <v/>
      </c>
      <c r="D38" s="57">
        <f>IF('[44]سجل المستخلصات'!$E$19="","",'[44]سجل المستخلصات'!$E$19)</f>
        <v/>
      </c>
      <c r="E38" s="58">
        <f>IF('[44]سجل المستخلصات'!$F$19="","",'[44]سجل المستخلصات'!$F$19)</f>
        <v/>
      </c>
      <c r="F38" s="59">
        <f>IF('[44]سجل المستخلصات'!$H$19="","",'[44]سجل المستخلصات'!$H$19)</f>
        <v/>
      </c>
      <c r="G38" s="59">
        <f>IF('[44]سجل المستخلصات'!$G$19="","",'[44]سجل المستخلصات'!$G$19)</f>
        <v/>
      </c>
      <c r="H38" s="59">
        <f>IF('[44]سجل المستخلصات'!$I$19="","",'[44]سجل المستخلصات'!$I$19)</f>
        <v/>
      </c>
      <c r="I38" s="59">
        <f>IF('[44]سجل المستخلصات'!$J$19="","",'[44]سجل المستخلصات'!$J$19)</f>
        <v/>
      </c>
      <c r="J38" s="59">
        <f>IF('[44]سجل المستخلصات'!$K$19="","",'[44]سجل المستخلصات'!$K$19)</f>
        <v/>
      </c>
      <c r="K38" s="60">
        <f>IF('[44]سجل المستخلصات'!$L$19="","",'[44]سجل المستخلصات'!$L$19)</f>
        <v/>
      </c>
      <c r="L38" s="60">
        <f>IF('[44]سجل المستخلصات'!$M$19="","",'[44]سجل المستخلصات'!$M$19)</f>
        <v/>
      </c>
      <c r="M38" s="60">
        <f>IF('[44]سجل المستخلصات'!$N$19="","",'[44]سجل المستخلصات'!$N$19)</f>
        <v/>
      </c>
      <c r="N38" s="59">
        <f>IF('[44]سجل المستخلصات'!$O$19="","",'[44]سجل المستخلصات'!$O$19)</f>
        <v/>
      </c>
      <c r="O38" s="59">
        <f>IF('[44]سجل المستخلصات'!$R$19="","",'[44]سجل المستخلصات'!$R$19)</f>
        <v/>
      </c>
      <c r="P38" s="59">
        <f>IF('[44]سجل المستخلصات'!$S$19="","",'[44]سجل المستخلصات'!$S$19)</f>
        <v/>
      </c>
      <c r="Q38" s="59">
        <f>IF('[44]سجل المستخلصات'!$T$19="","",'[44]سجل المستخلصات'!$T$19)</f>
        <v/>
      </c>
      <c r="R38" s="59">
        <f>IF('[44]سجل المستخلصات'!$V$19="","",'[44]سجل المستخلصات'!$V$19)</f>
        <v/>
      </c>
      <c r="S38" s="59">
        <f>IF('[44]سجل المستخلصات'!$W$19="","",'[44]سجل المستخلصات'!$W$19)</f>
        <v/>
      </c>
      <c r="T38" s="61">
        <f>IF('[44]سجل المستخلصات'!$X$19="","",'[44]سجل المستخلصات'!$X$19)</f>
        <v/>
      </c>
      <c r="U38" s="61">
        <f>IF('[44]سجل المستخلصات'!$Z$19="","",'[44]سجل المستخلصات'!$Z$19)</f>
        <v/>
      </c>
      <c r="V38" s="59">
        <f>IF('[44]سجل المستخلصات'!$AA$19="","",'[44]سجل المستخلصات'!$AA$19)</f>
        <v/>
      </c>
      <c r="W38" s="59">
        <f>IF('[44]سجل المستخلصات'!$AC$19="","",'[44]سجل المستخلصات'!$AC$19)</f>
        <v/>
      </c>
      <c r="X38" s="62">
        <f>IF('[44]سجل المستخلصات'!$AD$19="","",'[44]سجل المستخلصات'!$AD$19)</f>
        <v/>
      </c>
      <c r="Y38" s="58">
        <f>IF('[44]سجل المستخلصات'!$AE$19="","",'[44]سجل المستخلصات'!$AE$19)</f>
        <v/>
      </c>
    </row>
    <row r="39">
      <c r="B39" s="56" t="n">
        <v>15</v>
      </c>
      <c r="C39" s="57">
        <f>IF('[44]سجل المستخلصات'!$C$20="","",'[44]سجل المستخلصات'!$C$20)</f>
        <v/>
      </c>
      <c r="D39" s="57">
        <f>IF('[44]سجل المستخلصات'!$E$20="","",'[44]سجل المستخلصات'!$E$20)</f>
        <v/>
      </c>
      <c r="E39" s="58">
        <f>IF('[44]سجل المستخلصات'!$F$20="","",'[44]سجل المستخلصات'!$F$20)</f>
        <v/>
      </c>
      <c r="F39" s="59">
        <f>IF('[44]سجل المستخلصات'!$H$20="","",'[44]سجل المستخلصات'!$H$20)</f>
        <v/>
      </c>
      <c r="G39" s="59">
        <f>IF('[44]سجل المستخلصات'!$G$20="","",'[44]سجل المستخلصات'!$G$20)</f>
        <v/>
      </c>
      <c r="H39" s="59">
        <f>IF('[44]سجل المستخلصات'!$I$20="","",'[44]سجل المستخلصات'!$I$20)</f>
        <v/>
      </c>
      <c r="I39" s="59">
        <f>IF('[44]سجل المستخلصات'!$J$20="","",'[44]سجل المستخلصات'!$J$20)</f>
        <v/>
      </c>
      <c r="J39" s="59">
        <f>IF('[44]سجل المستخلصات'!$K$20="","",'[44]سجل المستخلصات'!$K$20)</f>
        <v/>
      </c>
      <c r="K39" s="60">
        <f>IF('[44]سجل المستخلصات'!$L$20="","",'[44]سجل المستخلصات'!$L$20)</f>
        <v/>
      </c>
      <c r="L39" s="60">
        <f>IF('[44]سجل المستخلصات'!$M$20="","",'[44]سجل المستخلصات'!$M$20)</f>
        <v/>
      </c>
      <c r="M39" s="60">
        <f>IF('[44]سجل المستخلصات'!$N$20="","",'[44]سجل المستخلصات'!$N$20)</f>
        <v/>
      </c>
      <c r="N39" s="59">
        <f>IF('[44]سجل المستخلصات'!$O$20="","",'[44]سجل المستخلصات'!$O$20)</f>
        <v/>
      </c>
      <c r="O39" s="59">
        <f>IF('[44]سجل المستخلصات'!$R$20="","",'[44]سجل المستخلصات'!$R$20)</f>
        <v/>
      </c>
      <c r="P39" s="59">
        <f>IF('[44]سجل المستخلصات'!$S$20="","",'[44]سجل المستخلصات'!$S$20)</f>
        <v/>
      </c>
      <c r="Q39" s="59">
        <f>IF('[44]سجل المستخلصات'!$T$20="","",'[44]سجل المستخلصات'!$T$20)</f>
        <v/>
      </c>
      <c r="R39" s="59">
        <f>IF('[44]سجل المستخلصات'!$V$20="","",'[44]سجل المستخلصات'!$V$20)</f>
        <v/>
      </c>
      <c r="S39" s="59">
        <f>IF('[44]سجل المستخلصات'!$W$20="","",'[44]سجل المستخلصات'!$W$20)</f>
        <v/>
      </c>
      <c r="T39" s="61">
        <f>IF('[44]سجل المستخلصات'!$X$20="","",'[44]سجل المستخلصات'!$X$20)</f>
        <v/>
      </c>
      <c r="U39" s="61">
        <f>IF('[44]سجل المستخلصات'!$Z$20="","",'[44]سجل المستخلصات'!$Z$20)</f>
        <v/>
      </c>
      <c r="V39" s="59">
        <f>IF('[44]سجل المستخلصات'!$AA$20="","",'[44]سجل المستخلصات'!$AA$20)</f>
        <v/>
      </c>
      <c r="W39" s="59">
        <f>IF('[44]سجل المستخلصات'!$AC$20="","",'[44]سجل المستخلصات'!$AC$20)</f>
        <v/>
      </c>
      <c r="X39" s="62">
        <f>IF('[44]سجل المستخلصات'!$AD$20="","",'[44]سجل المستخلصات'!$AD$20)</f>
        <v/>
      </c>
      <c r="Y39" s="58">
        <f>IF('[44]سجل المستخلصات'!$AE$20="","",'[44]سجل المستخلصات'!$AE$20)</f>
        <v/>
      </c>
    </row>
    <row r="40">
      <c r="B40" s="56" t="n">
        <v>16</v>
      </c>
      <c r="C40" s="57">
        <f>IF('[44]سجل المستخلصات'!$C$21="","",'[44]سجل المستخلصات'!$C$21)</f>
        <v/>
      </c>
      <c r="D40" s="57">
        <f>IF('[44]سجل المستخلصات'!$E$21="","",'[44]سجل المستخلصات'!$E$21)</f>
        <v/>
      </c>
      <c r="E40" s="58">
        <f>IF('[44]سجل المستخلصات'!$F$21="","",'[44]سجل المستخلصات'!$F$21)</f>
        <v/>
      </c>
      <c r="F40" s="59">
        <f>IF('[44]سجل المستخلصات'!$H$21="","",'[44]سجل المستخلصات'!$H$21)</f>
        <v/>
      </c>
      <c r="G40" s="59">
        <f>IF('[44]سجل المستخلصات'!$G$21="","",'[44]سجل المستخلصات'!$G$21)</f>
        <v/>
      </c>
      <c r="H40" s="59">
        <f>IF('[44]سجل المستخلصات'!$I$21="","",'[44]سجل المستخلصات'!$I$21)</f>
        <v/>
      </c>
      <c r="I40" s="59">
        <f>IF('[44]سجل المستخلصات'!$J$21="","",'[44]سجل المستخلصات'!$J$21)</f>
        <v/>
      </c>
      <c r="J40" s="59">
        <f>IF('[44]سجل المستخلصات'!$K$21="","",'[44]سجل المستخلصات'!$K$21)</f>
        <v/>
      </c>
      <c r="K40" s="60">
        <f>IF('[44]سجل المستخلصات'!$L$21="","",'[44]سجل المستخلصات'!$L$21)</f>
        <v/>
      </c>
      <c r="L40" s="60">
        <f>IF('[44]سجل المستخلصات'!$M$21="","",'[44]سجل المستخلصات'!$M$21)</f>
        <v/>
      </c>
      <c r="M40" s="60">
        <f>IF('[44]سجل المستخلصات'!$N$21="","",'[44]سجل المستخلصات'!$N$21)</f>
        <v/>
      </c>
      <c r="N40" s="59">
        <f>IF('[44]سجل المستخلصات'!$O$21="","",'[44]سجل المستخلصات'!$O$21)</f>
        <v/>
      </c>
      <c r="O40" s="59">
        <f>IF('[44]سجل المستخلصات'!$R$21="","",'[44]سجل المستخلصات'!$R$21)</f>
        <v/>
      </c>
      <c r="P40" s="59">
        <f>IF('[44]سجل المستخلصات'!$S$21="","",'[44]سجل المستخلصات'!$S$21)</f>
        <v/>
      </c>
      <c r="Q40" s="59">
        <f>IF('[44]سجل المستخلصات'!$T$21="","",'[44]سجل المستخلصات'!$T$21)</f>
        <v/>
      </c>
      <c r="R40" s="59">
        <f>IF('[44]سجل المستخلصات'!$V$21="","",'[44]سجل المستخلصات'!$V$21)</f>
        <v/>
      </c>
      <c r="S40" s="59">
        <f>IF('[44]سجل المستخلصات'!$W$21="","",'[44]سجل المستخلصات'!$W$21)</f>
        <v/>
      </c>
      <c r="T40" s="61">
        <f>IF('[44]سجل المستخلصات'!$X$21="","",'[44]سجل المستخلصات'!$X$21)</f>
        <v/>
      </c>
      <c r="U40" s="61">
        <f>IF('[44]سجل المستخلصات'!$Z$21="","",'[44]سجل المستخلصات'!$Z$21)</f>
        <v/>
      </c>
      <c r="V40" s="59">
        <f>IF('[44]سجل المستخلصات'!$AA$21="","",'[44]سجل المستخلصات'!$AA$21)</f>
        <v/>
      </c>
      <c r="W40" s="59">
        <f>IF('[44]سجل المستخلصات'!$AC$21="","",'[44]سجل المستخلصات'!$AC$21)</f>
        <v/>
      </c>
      <c r="X40" s="62">
        <f>IF('[44]سجل المستخلصات'!$AD$21="","",'[44]سجل المستخلصات'!$AD$21)</f>
        <v/>
      </c>
      <c r="Y40" s="58">
        <f>IF('[44]سجل المستخلصات'!$AE$21="","",'[44]سجل المستخلصات'!$AE$21)</f>
        <v/>
      </c>
    </row>
    <row r="41">
      <c r="B41" s="56" t="n">
        <v>17</v>
      </c>
      <c r="C41" s="57">
        <f>IF('[44]سجل المستخلصات'!$C$22="","",'[44]سجل المستخلصات'!$C$22)</f>
        <v/>
      </c>
      <c r="D41" s="57">
        <f>IF('[44]سجل المستخلصات'!$E$22="","",'[44]سجل المستخلصات'!$E$22)</f>
        <v/>
      </c>
      <c r="E41" s="58">
        <f>IF('[44]سجل المستخلصات'!$F$22="","",'[44]سجل المستخلصات'!$F$22)</f>
        <v/>
      </c>
      <c r="F41" s="59">
        <f>IF('[44]سجل المستخلصات'!$H$22="","",'[44]سجل المستخلصات'!$H$22)</f>
        <v/>
      </c>
      <c r="G41" s="59">
        <f>IF('[44]سجل المستخلصات'!$G$22="","",'[44]سجل المستخلصات'!$G$22)</f>
        <v/>
      </c>
      <c r="H41" s="59">
        <f>IF('[44]سجل المستخلصات'!$I$22="","",'[44]سجل المستخلصات'!$I$22)</f>
        <v/>
      </c>
      <c r="I41" s="59">
        <f>IF('[44]سجل المستخلصات'!$J$22="","",'[44]سجل المستخلصات'!$J$22)</f>
        <v/>
      </c>
      <c r="J41" s="59">
        <f>IF('[44]سجل المستخلصات'!$K$22="","",'[44]سجل المستخلصات'!$K$22)</f>
        <v/>
      </c>
      <c r="K41" s="60">
        <f>IF('[44]سجل المستخلصات'!$L$22="","",'[44]سجل المستخلصات'!$L$22)</f>
        <v/>
      </c>
      <c r="L41" s="60">
        <f>IF('[44]سجل المستخلصات'!$M$22="","",'[44]سجل المستخلصات'!$M$22)</f>
        <v/>
      </c>
      <c r="M41" s="60">
        <f>IF('[44]سجل المستخلصات'!$N$22="","",'[44]سجل المستخلصات'!$N$22)</f>
        <v/>
      </c>
      <c r="N41" s="59">
        <f>IF('[44]سجل المستخلصات'!$O$22="","",'[44]سجل المستخلصات'!$O$22)</f>
        <v/>
      </c>
      <c r="O41" s="59">
        <f>IF('[44]سجل المستخلصات'!$R$22="","",'[44]سجل المستخلصات'!$R$22)</f>
        <v/>
      </c>
      <c r="P41" s="59">
        <f>IF('[44]سجل المستخلصات'!$S$22="","",'[44]سجل المستخلصات'!$S$22)</f>
        <v/>
      </c>
      <c r="Q41" s="59">
        <f>IF('[44]سجل المستخلصات'!$T$22="","",'[44]سجل المستخلصات'!$T$22)</f>
        <v/>
      </c>
      <c r="R41" s="59">
        <f>IF('[44]سجل المستخلصات'!$V$22="","",'[44]سجل المستخلصات'!$V$22)</f>
        <v/>
      </c>
      <c r="S41" s="59">
        <f>IF('[44]سجل المستخلصات'!$W$22="","",'[44]سجل المستخلصات'!$W$22)</f>
        <v/>
      </c>
      <c r="T41" s="61">
        <f>IF('[44]سجل المستخلصات'!$X$22="","",'[44]سجل المستخلصات'!$X$22)</f>
        <v/>
      </c>
      <c r="U41" s="61">
        <f>IF('[44]سجل المستخلصات'!$Z$22="","",'[44]سجل المستخلصات'!$Z$22)</f>
        <v/>
      </c>
      <c r="V41" s="59">
        <f>IF('[44]سجل المستخلصات'!$AA$22="","",'[44]سجل المستخلصات'!$AA$22)</f>
        <v/>
      </c>
      <c r="W41" s="59">
        <f>IF('[44]سجل المستخلصات'!$AC$22="","",'[44]سجل المستخلصات'!$AC$22)</f>
        <v/>
      </c>
      <c r="X41" s="62">
        <f>IF('[44]سجل المستخلصات'!$AD$22="","",'[44]سجل المستخلصات'!$AD$22)</f>
        <v/>
      </c>
      <c r="Y41" s="58">
        <f>IF('[44]سجل المستخلصات'!$AE$22="","",'[44]سجل المستخلصات'!$AE$22)</f>
        <v/>
      </c>
    </row>
    <row r="42">
      <c r="B42" s="56" t="n">
        <v>18</v>
      </c>
      <c r="C42" s="57">
        <f>IF('[44]سجل المستخلصات'!$C$23="","",'[44]سجل المستخلصات'!$C$23)</f>
        <v/>
      </c>
      <c r="D42" s="57">
        <f>IF('[44]سجل المستخلصات'!$E$23="","",'[44]سجل المستخلصات'!$E$23)</f>
        <v/>
      </c>
      <c r="E42" s="58">
        <f>IF('[44]سجل المستخلصات'!$F$23="","",'[44]سجل المستخلصات'!$F$23)</f>
        <v/>
      </c>
      <c r="F42" s="59">
        <f>IF('[44]سجل المستخلصات'!$H$23="","",'[44]سجل المستخلصات'!$H$23)</f>
        <v/>
      </c>
      <c r="G42" s="59">
        <f>IF('[44]سجل المستخلصات'!$G$23="","",'[44]سجل المستخلصات'!$G$23)</f>
        <v/>
      </c>
      <c r="H42" s="59">
        <f>IF('[44]سجل المستخلصات'!$I$23="","",'[44]سجل المستخلصات'!$I$23)</f>
        <v/>
      </c>
      <c r="I42" s="59">
        <f>IF('[44]سجل المستخلصات'!$J$23="","",'[44]سجل المستخلصات'!$J$23)</f>
        <v/>
      </c>
      <c r="J42" s="59">
        <f>IF('[44]سجل المستخلصات'!$K$23="","",'[44]سجل المستخلصات'!$K$23)</f>
        <v/>
      </c>
      <c r="K42" s="60">
        <f>IF('[44]سجل المستخلصات'!$L$23="","",'[44]سجل المستخلصات'!$L$23)</f>
        <v/>
      </c>
      <c r="L42" s="60">
        <f>IF('[44]سجل المستخلصات'!$M$23="","",'[44]سجل المستخلصات'!$M$23)</f>
        <v/>
      </c>
      <c r="M42" s="60">
        <f>IF('[44]سجل المستخلصات'!$N$23="","",'[44]سجل المستخلصات'!$N$23)</f>
        <v/>
      </c>
      <c r="N42" s="59">
        <f>IF('[44]سجل المستخلصات'!$O$23="","",'[44]سجل المستخلصات'!$O$23)</f>
        <v/>
      </c>
      <c r="O42" s="59">
        <f>IF('[44]سجل المستخلصات'!$R$23="","",'[44]سجل المستخلصات'!$R$23)</f>
        <v/>
      </c>
      <c r="P42" s="59">
        <f>IF('[44]سجل المستخلصات'!$S$23="","",'[44]سجل المستخلصات'!$S$23)</f>
        <v/>
      </c>
      <c r="Q42" s="59">
        <f>IF('[44]سجل المستخلصات'!$T$23="","",'[44]سجل المستخلصات'!$T$23)</f>
        <v/>
      </c>
      <c r="R42" s="59">
        <f>IF('[44]سجل المستخلصات'!$V$23="","",'[44]سجل المستخلصات'!$V$23)</f>
        <v/>
      </c>
      <c r="S42" s="59">
        <f>IF('[44]سجل المستخلصات'!$W$23="","",'[44]سجل المستخلصات'!$W$23)</f>
        <v/>
      </c>
      <c r="T42" s="61">
        <f>IF('[44]سجل المستخلصات'!$X$23="","",'[44]سجل المستخلصات'!$X$23)</f>
        <v/>
      </c>
      <c r="U42" s="61">
        <f>IF('[44]سجل المستخلصات'!$Z$23="","",'[44]سجل المستخلصات'!$Z$23)</f>
        <v/>
      </c>
      <c r="V42" s="59">
        <f>IF('[44]سجل المستخلصات'!$AA$23="","",'[44]سجل المستخلصات'!$AA$23)</f>
        <v/>
      </c>
      <c r="W42" s="59">
        <f>IF('[44]سجل المستخلصات'!$AC$23="","",'[44]سجل المستخلصات'!$AC$23)</f>
        <v/>
      </c>
      <c r="X42" s="62">
        <f>IF('[44]سجل المستخلصات'!$AD$23="","",'[44]سجل المستخلصات'!$AD$23)</f>
        <v/>
      </c>
      <c r="Y42" s="58">
        <f>IF('[44]سجل المستخلصات'!$AE$23="","",'[44]سجل المستخلصات'!$AE$23)</f>
        <v/>
      </c>
    </row>
    <row r="43">
      <c r="B43" s="56" t="n">
        <v>19</v>
      </c>
      <c r="C43" s="57">
        <f>IF('[44]سجل المستخلصات'!$C$24="","",'[44]سجل المستخلصات'!$C$24)</f>
        <v/>
      </c>
      <c r="D43" s="57">
        <f>IF('[44]سجل المستخلصات'!$E$24="","",'[44]سجل المستخلصات'!$E$24)</f>
        <v/>
      </c>
      <c r="E43" s="58">
        <f>IF('[44]سجل المستخلصات'!$F$24="","",'[44]سجل المستخلصات'!$F$24)</f>
        <v/>
      </c>
      <c r="F43" s="59">
        <f>IF('[44]سجل المستخلصات'!$H$24="","",'[44]سجل المستخلصات'!$H$24)</f>
        <v/>
      </c>
      <c r="G43" s="59">
        <f>IF('[44]سجل المستخلصات'!$G$24="","",'[44]سجل المستخلصات'!$G$24)</f>
        <v/>
      </c>
      <c r="H43" s="59">
        <f>IF('[44]سجل المستخلصات'!$I$24="","",'[44]سجل المستخلصات'!$I$24)</f>
        <v/>
      </c>
      <c r="I43" s="59">
        <f>IF('[44]سجل المستخلصات'!$J$24="","",'[44]سجل المستخلصات'!$J$24)</f>
        <v/>
      </c>
      <c r="J43" s="59">
        <f>IF('[44]سجل المستخلصات'!$K$24="","",'[44]سجل المستخلصات'!$K$24)</f>
        <v/>
      </c>
      <c r="K43" s="60">
        <f>IF('[44]سجل المستخلصات'!$L$24="","",'[44]سجل المستخلصات'!$L$24)</f>
        <v/>
      </c>
      <c r="L43" s="60">
        <f>IF('[44]سجل المستخلصات'!$M$24="","",'[44]سجل المستخلصات'!$M$24)</f>
        <v/>
      </c>
      <c r="M43" s="60">
        <f>IF('[44]سجل المستخلصات'!$N$24="","",'[44]سجل المستخلصات'!$N$24)</f>
        <v/>
      </c>
      <c r="N43" s="59">
        <f>IF('[44]سجل المستخلصات'!$O$24="","",'[44]سجل المستخلصات'!$O$24)</f>
        <v/>
      </c>
      <c r="O43" s="59">
        <f>IF('[44]سجل المستخلصات'!$R$24="","",'[44]سجل المستخلصات'!$R$24)</f>
        <v/>
      </c>
      <c r="P43" s="59">
        <f>IF('[44]سجل المستخلصات'!$S$24="","",'[44]سجل المستخلصات'!$S$24)</f>
        <v/>
      </c>
      <c r="Q43" s="59">
        <f>IF('[44]سجل المستخلصات'!$T$24="","",'[44]سجل المستخلصات'!$T$24)</f>
        <v/>
      </c>
      <c r="R43" s="59">
        <f>IF('[44]سجل المستخلصات'!$V$24="","",'[44]سجل المستخلصات'!$V$24)</f>
        <v/>
      </c>
      <c r="S43" s="59">
        <f>IF('[44]سجل المستخلصات'!$W$24="","",'[44]سجل المستخلصات'!$W$24)</f>
        <v/>
      </c>
      <c r="T43" s="61">
        <f>IF('[44]سجل المستخلصات'!$X$24="","",'[44]سجل المستخلصات'!$X$24)</f>
        <v/>
      </c>
      <c r="U43" s="61">
        <f>IF('[44]سجل المستخلصات'!$Z$24="","",'[44]سجل المستخلصات'!$Z$24)</f>
        <v/>
      </c>
      <c r="V43" s="59">
        <f>IF('[44]سجل المستخلصات'!$AA$24="","",'[44]سجل المستخلصات'!$AA$24)</f>
        <v/>
      </c>
      <c r="W43" s="59">
        <f>IF('[44]سجل المستخلصات'!$AC$24="","",'[44]سجل المستخلصات'!$AC$24)</f>
        <v/>
      </c>
      <c r="X43" s="62">
        <f>IF('[44]سجل المستخلصات'!$AD$24="","",'[44]سجل المستخلصات'!$AD$24)</f>
        <v/>
      </c>
      <c r="Y43" s="58">
        <f>IF('[44]سجل المستخلصات'!$AE$24="","",'[44]سجل المستخلصات'!$AE$24)</f>
        <v/>
      </c>
    </row>
    <row r="44">
      <c r="B44" s="56" t="n">
        <v>20</v>
      </c>
      <c r="C44" s="57">
        <f>IF('[44]سجل المستخلصات'!$C$25="","",'[44]سجل المستخلصات'!$C$25)</f>
        <v/>
      </c>
      <c r="D44" s="57">
        <f>IF('[44]سجل المستخلصات'!$E$25="","",'[44]سجل المستخلصات'!$E$25)</f>
        <v/>
      </c>
      <c r="E44" s="58">
        <f>IF('[44]سجل المستخلصات'!$F$25="","",'[44]سجل المستخلصات'!$F$25)</f>
        <v/>
      </c>
      <c r="F44" s="59">
        <f>IF('[44]سجل المستخلصات'!$H$25="","",'[44]سجل المستخلصات'!$H$25)</f>
        <v/>
      </c>
      <c r="G44" s="59">
        <f>IF('[44]سجل المستخلصات'!$G$25="","",'[44]سجل المستخلصات'!$G$25)</f>
        <v/>
      </c>
      <c r="H44" s="59">
        <f>IF('[44]سجل المستخلصات'!$I$25="","",'[44]سجل المستخلصات'!$I$25)</f>
        <v/>
      </c>
      <c r="I44" s="59">
        <f>IF('[44]سجل المستخلصات'!$J$25="","",'[44]سجل المستخلصات'!$J$25)</f>
        <v/>
      </c>
      <c r="J44" s="59">
        <f>IF('[44]سجل المستخلصات'!$K$25="","",'[44]سجل المستخلصات'!$K$25)</f>
        <v/>
      </c>
      <c r="K44" s="60">
        <f>IF('[44]سجل المستخلصات'!$L$25="","",'[44]سجل المستخلصات'!$L$25)</f>
        <v/>
      </c>
      <c r="L44" s="60">
        <f>IF('[44]سجل المستخلصات'!$M$25="","",'[44]سجل المستخلصات'!$M$25)</f>
        <v/>
      </c>
      <c r="M44" s="60">
        <f>IF('[44]سجل المستخلصات'!$N$25="","",'[44]سجل المستخلصات'!$N$25)</f>
        <v/>
      </c>
      <c r="N44" s="59">
        <f>IF('[44]سجل المستخلصات'!$O$25="","",'[44]سجل المستخلصات'!$O$25)</f>
        <v/>
      </c>
      <c r="O44" s="59">
        <f>IF('[44]سجل المستخلصات'!$R$25="","",'[44]سجل المستخلصات'!$R$25)</f>
        <v/>
      </c>
      <c r="P44" s="59">
        <f>IF('[44]سجل المستخلصات'!$S$25="","",'[44]سجل المستخلصات'!$S$25)</f>
        <v/>
      </c>
      <c r="Q44" s="59">
        <f>IF('[44]سجل المستخلصات'!$T$25="","",'[44]سجل المستخلصات'!$T$25)</f>
        <v/>
      </c>
      <c r="R44" s="59">
        <f>IF('[44]سجل المستخلصات'!$V$25="","",'[44]سجل المستخلصات'!$V$25)</f>
        <v/>
      </c>
      <c r="S44" s="59">
        <f>IF('[44]سجل المستخلصات'!$W$25="","",'[44]سجل المستخلصات'!$W$25)</f>
        <v/>
      </c>
      <c r="T44" s="61">
        <f>IF('[44]سجل المستخلصات'!$X$25="","",'[44]سجل المستخلصات'!$X$25)</f>
        <v/>
      </c>
      <c r="U44" s="61">
        <f>IF('[44]سجل المستخلصات'!$Z$25="","",'[44]سجل المستخلصات'!$Z$25)</f>
        <v/>
      </c>
      <c r="V44" s="59">
        <f>IF('[44]سجل المستخلصات'!$AA$25="","",'[44]سجل المستخلصات'!$AA$25)</f>
        <v/>
      </c>
      <c r="W44" s="59">
        <f>IF('[44]سجل المستخلصات'!$AC$25="","",'[44]سجل المستخلصات'!$AC$25)</f>
        <v/>
      </c>
      <c r="X44" s="62">
        <f>IF('[44]سجل المستخلصات'!$AD$25="","",'[44]سجل المستخلصات'!$AD$25)</f>
        <v/>
      </c>
      <c r="Y44" s="58">
        <f>IF('[44]سجل المستخلصات'!$AE$25="","",'[44]سجل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IF('[44]سجل المستخلصات'!$B$32="","",'[44]سجل المستخلصات'!$B$32)</f>
        <v/>
      </c>
      <c r="C50" s="69" t="n"/>
      <c r="D50" s="69" t="n"/>
      <c r="E50" s="59">
        <f>N('[44]سجل المستخلصات'!$E$32)</f>
        <v/>
      </c>
      <c r="F50" s="59">
        <f>N('[44]سجل المستخلصات'!$F$32)</f>
        <v/>
      </c>
      <c r="G50" s="70">
        <f>IF(E50&gt;0,F50/E50,0)</f>
        <v/>
      </c>
    </row>
    <row r="51">
      <c r="B51" s="69">
        <f>IF('[44]سجل المستخلصات'!$B$33="","",'[44]سجل المستخلصات'!$B$33)</f>
        <v/>
      </c>
      <c r="C51" s="69" t="n"/>
      <c r="D51" s="69" t="n"/>
      <c r="E51" s="59">
        <f>N('[44]سجل المستخلصات'!$E$33)</f>
        <v/>
      </c>
      <c r="F51" s="59">
        <f>N('[44]سجل المستخلصات'!$F$33)</f>
        <v/>
      </c>
      <c r="G51" s="70">
        <f>IF(E51&gt;0,F51/E51,0)</f>
        <v/>
      </c>
    </row>
    <row r="52">
      <c r="B52" s="69">
        <f>IF('[44]سجل المستخلصات'!$B$34="","",'[44]سجل المستخلصات'!$B$34)</f>
        <v/>
      </c>
      <c r="C52" s="69" t="n"/>
      <c r="D52" s="69" t="n"/>
      <c r="E52" s="59">
        <f>N('[44]سجل المستخلصات'!$E$34)</f>
        <v/>
      </c>
      <c r="F52" s="59">
        <f>N('[44]سجل المستخلصات'!$F$34)</f>
        <v/>
      </c>
      <c r="G52" s="70">
        <f>IF(E52&gt;0,F52/E52,0)</f>
        <v/>
      </c>
    </row>
    <row r="53">
      <c r="B53" s="69">
        <f>IF('[44]سجل المستخلصات'!$B$35="","",'[44]سجل المستخلصات'!$B$35)</f>
        <v/>
      </c>
      <c r="C53" s="69" t="n"/>
      <c r="D53" s="69" t="n"/>
      <c r="E53" s="59">
        <f>N('[44]سجل المستخلصات'!$E$35)</f>
        <v/>
      </c>
      <c r="F53" s="59">
        <f>N('[44]سجل المستخلصات'!$F$35)</f>
        <v/>
      </c>
      <c r="G53" s="70">
        <f>IF(E53&gt;0,F53/E53,0)</f>
        <v/>
      </c>
    </row>
    <row r="54">
      <c r="B54" s="69">
        <f>IF('[44]سجل المستخلصات'!$B$36="","",'[44]سجل المستخلصات'!$B$36)</f>
        <v/>
      </c>
      <c r="C54" s="69" t="n"/>
      <c r="D54" s="69" t="n"/>
      <c r="E54" s="59">
        <f>N('[44]سجل المستخلصات'!$E$36)</f>
        <v/>
      </c>
      <c r="F54" s="59">
        <f>N('[44]سجل المستخلصات'!$F$36)</f>
        <v/>
      </c>
      <c r="G54" s="70">
        <f>IF(E54&gt;0,F54/E54,0)</f>
        <v/>
      </c>
    </row>
    <row r="55">
      <c r="B55" s="69">
        <f>IF('[44]سجل المستخلصات'!$B$37="","",'[44]سجل المستخلصات'!$B$37)</f>
        <v/>
      </c>
      <c r="C55" s="69" t="n"/>
      <c r="D55" s="69" t="n"/>
      <c r="E55" s="59">
        <f>N('[44]سجل المستخلصات'!$E$37)</f>
        <v/>
      </c>
      <c r="F55" s="59">
        <f>N('[44]سجل المستخلصات'!$F$37)</f>
        <v/>
      </c>
      <c r="G55" s="70">
        <f>IF(E55&gt;0,F55/E55,0)</f>
        <v/>
      </c>
    </row>
    <row r="56">
      <c r="B56" s="69">
        <f>IF('[44]سجل المستخلصات'!$B$38="","",'[44]سجل المستخلصات'!$B$38)</f>
        <v/>
      </c>
      <c r="C56" s="69" t="n"/>
      <c r="D56" s="69" t="n"/>
      <c r="E56" s="59">
        <f>N('[44]سجل المستخلصات'!$E$38)</f>
        <v/>
      </c>
      <c r="F56" s="59">
        <f>N('[44]سجل المستخلصات'!$F$38)</f>
        <v/>
      </c>
      <c r="G56" s="70">
        <f>IF(E56&gt;0,F56/E56,0)</f>
        <v/>
      </c>
    </row>
    <row r="57">
      <c r="B57" s="69">
        <f>IF('[44]سجل المستخلصات'!$B$39="","",'[44]سجل المستخلصات'!$B$39)</f>
        <v/>
      </c>
      <c r="C57" s="69" t="n"/>
      <c r="D57" s="69" t="n"/>
      <c r="E57" s="59">
        <f>N('[44]سجل المستخلصات'!$E$39)</f>
        <v/>
      </c>
      <c r="F57" s="59">
        <f>N('[44]سجل المستخلصات'!$F$39)</f>
        <v/>
      </c>
      <c r="G57" s="70">
        <f>IF(E57&gt;0,F57/E57,0)</f>
        <v/>
      </c>
    </row>
    <row r="58">
      <c r="B58" s="69">
        <f>IF('[44]سجل المستخلصات'!$B$40="","",'[44]سجل المستخلصات'!$B$40)</f>
        <v/>
      </c>
      <c r="C58" s="69" t="n"/>
      <c r="D58" s="69" t="n"/>
      <c r="E58" s="59">
        <f>N('[44]سجل المستخلصات'!$E$40)</f>
        <v/>
      </c>
      <c r="F58" s="59">
        <f>N('[44]سجل المستخلصات'!$F$40)</f>
        <v/>
      </c>
      <c r="G58" s="70">
        <f>IF(E58&gt;0,F58/E58,0)</f>
        <v/>
      </c>
    </row>
    <row r="59">
      <c r="B59" s="69">
        <f>IF('[44]سجل المستخلصات'!$B$41="","",'[44]سجل المستخلصات'!$B$41)</f>
        <v/>
      </c>
      <c r="C59" s="69" t="n"/>
      <c r="D59" s="69" t="n"/>
      <c r="E59" s="59">
        <f>N('[44]سجل المستخلصات'!$E$41)</f>
        <v/>
      </c>
      <c r="F59" s="59">
        <f>N('[44]سجل المستخلصات'!$F$41)</f>
        <v/>
      </c>
      <c r="G59" s="70">
        <f>IF(E59&gt;0,F59/E59,0)</f>
        <v/>
      </c>
    </row>
    <row r="60">
      <c r="B60" s="69">
        <f>IF('[44]سجل المستخلصات'!$B$42="","",'[44]سجل المستخلصات'!$B$42)</f>
        <v/>
      </c>
      <c r="C60" s="69" t="n"/>
      <c r="D60" s="69" t="n"/>
      <c r="E60" s="59">
        <f>N('[44]سجل المستخلصات'!$E$42)</f>
        <v/>
      </c>
      <c r="F60" s="59">
        <f>N('[44]سجل المستخلصات'!$F$42)</f>
        <v/>
      </c>
      <c r="G60" s="70">
        <f>IF(E60&gt;0,F60/E60,0)</f>
        <v/>
      </c>
    </row>
    <row r="61">
      <c r="B61" s="69">
        <f>IF('[44]سجل المستخلصات'!$B$43="","",'[44]سجل المستخلصات'!$B$43)</f>
        <v/>
      </c>
      <c r="C61" s="69" t="n"/>
      <c r="D61" s="69" t="n"/>
      <c r="E61" s="59">
        <f>N('[44]سجل المستخلصات'!$E$43)</f>
        <v/>
      </c>
      <c r="F61" s="59">
        <f>N('[44]سجل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43'!A1" display="◄ المشروع السابق"/>
    <hyperlink ref="D3" location="'مشروع 45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4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"&amp;IF('[45]بيانات العقد'!$C$5="","مشروع رقم 45 — غير مُفعّل",'[45]بيانات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Project_45/IPC_Project_45.xlsx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IF('[45]بيانات العقد'!$C$5="","",'[45]بيانات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IF('[45]بيانات العقد'!$C$6="","",'[45]بيانات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IF('[45]بيانات العقد'!$C$7="","",'[45]بيانات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IF('[45]بيانات العقد'!$C$8="","",'[45]بيانات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N('[45]بيانات العقد'!$C$16)</f>
        <v/>
      </c>
    </row>
    <row r="6" ht="22" customHeight="1">
      <c r="B6" s="11" t="inlineStr">
        <is>
          <t>المقاول</t>
        </is>
      </c>
      <c r="C6" s="14">
        <f>IF('[45]بيانات العقد'!$C$9="","",'[45]بيانات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IF('[45]بيانات العقد'!$C$11="","",'[45]بيانات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IF('[45]بيانات العقد'!$C$13="","",'[45]بيانات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IF('[45]بيانات العقد'!$C$14="","",'[45]بيانات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N('[45]بيانات العقد'!$C$17)</f>
        <v/>
      </c>
    </row>
    <row r="7">
      <c r="AA7" s="15" t="inlineStr">
        <is>
          <t>قيمة العقد المعدلة</t>
        </is>
      </c>
      <c r="AB7" s="16">
        <f>N('[45]بيانات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N('[45]بيانات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N('[45]بيانات العقد'!$C$21)</f>
        <v/>
      </c>
    </row>
    <row r="10">
      <c r="AA10" s="15" t="inlineStr">
        <is>
          <t>نسبة ضمان الأعمال</t>
        </is>
      </c>
      <c r="AB10" s="23">
        <f>N('[45]بيانات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N('[45]بيانات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N('[45]بيانات العقد'!$C$31)</f>
        <v/>
      </c>
    </row>
    <row r="13">
      <c r="AA13" s="15" t="inlineStr">
        <is>
          <t>ضريبة الاستقطاع (غير المقيم)</t>
        </is>
      </c>
      <c r="AB13" s="23">
        <f>N('[45]بيانات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IF('[45]بيانات العقد'!$C$11="","",'[45]بيانات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IF('[45]بيانات العقد'!$C$13="","",'[45]بيانات العقد'!$C$13)</f>
        <v/>
      </c>
    </row>
    <row r="16">
      <c r="AA16" s="15" t="inlineStr">
        <is>
          <t>المدة (شهر)</t>
        </is>
      </c>
      <c r="AB16" s="43">
        <f>IF('[45]بيانات العقد'!$C$12="","",'[45]بيانات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IF('[45]بيانات العقد'!$C$36="","",'[45]بيانات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IF('[45]بيانات العقد'!$C$37="","",'[45]بيانات العقد'!$C$37)</f>
        <v/>
      </c>
    </row>
    <row r="19">
      <c r="AA19" s="15" t="inlineStr">
        <is>
          <t>الرقم الضريبي لصاحب العمل</t>
        </is>
      </c>
      <c r="AB19" s="48">
        <f>IF('[45]بيانات العقد'!$C$39="","",'[45]بيانات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IF('[45]بيانات العقد'!$C$42="","",'[45]بيانات العقد'!$C$42)</f>
        <v/>
      </c>
    </row>
    <row r="21" ht="32" customHeight="1">
      <c r="B21" s="50">
        <f>N('[45]الموازنة والتكاليف'!$D$66)</f>
        <v/>
      </c>
      <c r="C21" s="50" t="n"/>
      <c r="D21" s="50" t="n"/>
      <c r="E21" s="50" t="n"/>
      <c r="F21" s="50">
        <f>N('[45]الموازنة والتكاليف'!$D$70)</f>
        <v/>
      </c>
      <c r="G21" s="50" t="n"/>
      <c r="H21" s="50" t="n"/>
      <c r="I21" s="50" t="n"/>
      <c r="J21" s="50">
        <f>N('[45]الموازنة والتكاليف'!$D$72)</f>
        <v/>
      </c>
      <c r="K21" s="50" t="n"/>
      <c r="L21" s="50" t="n"/>
      <c r="M21" s="50" t="n"/>
      <c r="N21" s="51">
        <f>N('[45]الموازنة والتكاليف'!$D$73)</f>
        <v/>
      </c>
      <c r="O21" s="51" t="n"/>
      <c r="P21" s="51" t="n"/>
      <c r="Q21" s="51" t="n"/>
      <c r="R21" s="52">
        <f>N('[45]الموازنة والتكاليف'!$D$74)</f>
        <v/>
      </c>
      <c r="S21" s="52" t="n"/>
      <c r="T21" s="52" t="n"/>
      <c r="U21" s="52" t="n"/>
      <c r="V21" s="50">
        <f>N('[45]الموازنة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IF('[45]بيانات العقد'!$C$43="","",'[45]بيانات العقد'!$C$43)</f>
        <v/>
      </c>
    </row>
    <row r="22">
      <c r="AA22" s="15" t="inlineStr">
        <is>
          <t>حالة غرامات التأخير</t>
        </is>
      </c>
      <c r="AB22" s="45">
        <f>IF('[45]بيانات العقد'!$C$47="","",'[45]بيانات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IF('[45]سجل المستخلصات'!$C$6="","",'[45]سجل المستخلصات'!$C$6)</f>
        <v/>
      </c>
      <c r="D25" s="57">
        <f>IF('[45]سجل المستخلصات'!$E$6="","",'[45]سجل المستخلصات'!$E$6)</f>
        <v/>
      </c>
      <c r="E25" s="58">
        <f>IF('[45]سجل المستخلصات'!$F$6="","",'[45]سجل المستخلصات'!$F$6)</f>
        <v/>
      </c>
      <c r="F25" s="59">
        <f>IF('[45]سجل المستخلصات'!$H$6="","",'[45]سجل المستخلصات'!$H$6)</f>
        <v/>
      </c>
      <c r="G25" s="59">
        <f>IF('[45]سجل المستخلصات'!$G$6="","",'[45]سجل المستخلصات'!$G$6)</f>
        <v/>
      </c>
      <c r="H25" s="59">
        <f>IF('[45]سجل المستخلصات'!$I$6="","",'[45]سجل المستخلصات'!$I$6)</f>
        <v/>
      </c>
      <c r="I25" s="59">
        <f>IF('[45]سجل المستخلصات'!$J$6="","",'[45]سجل المستخلصات'!$J$6)</f>
        <v/>
      </c>
      <c r="J25" s="59">
        <f>IF('[45]سجل المستخلصات'!$K$6="","",'[45]سجل المستخلصات'!$K$6)</f>
        <v/>
      </c>
      <c r="K25" s="60">
        <f>IF('[45]سجل المستخلصات'!$L$6="","",'[45]سجل المستخلصات'!$L$6)</f>
        <v/>
      </c>
      <c r="L25" s="60">
        <f>IF('[45]سجل المستخلصات'!$M$6="","",'[45]سجل المستخلصات'!$M$6)</f>
        <v/>
      </c>
      <c r="M25" s="60">
        <f>IF('[45]سجل المستخلصات'!$N$6="","",'[45]سجل المستخلصات'!$N$6)</f>
        <v/>
      </c>
      <c r="N25" s="59">
        <f>IF('[45]سجل المستخلصات'!$O$6="","",'[45]سجل المستخلصات'!$O$6)</f>
        <v/>
      </c>
      <c r="O25" s="59">
        <f>IF('[45]سجل المستخلصات'!$R$6="","",'[45]سجل المستخلصات'!$R$6)</f>
        <v/>
      </c>
      <c r="P25" s="59">
        <f>IF('[45]سجل المستخلصات'!$S$6="","",'[45]سجل المستخلصات'!$S$6)</f>
        <v/>
      </c>
      <c r="Q25" s="59">
        <f>IF('[45]سجل المستخلصات'!$T$6="","",'[45]سجل المستخلصات'!$T$6)</f>
        <v/>
      </c>
      <c r="R25" s="59">
        <f>IF('[45]سجل المستخلصات'!$V$6="","",'[45]سجل المستخلصات'!$V$6)</f>
        <v/>
      </c>
      <c r="S25" s="59">
        <f>IF('[45]سجل المستخلصات'!$W$6="","",'[45]سجل المستخلصات'!$W$6)</f>
        <v/>
      </c>
      <c r="T25" s="61">
        <f>IF('[45]سجل المستخلصات'!$X$6="","",'[45]سجل المستخلصات'!$X$6)</f>
        <v/>
      </c>
      <c r="U25" s="61">
        <f>IF('[45]سجل المستخلصات'!$Z$6="","",'[45]سجل المستخلصات'!$Z$6)</f>
        <v/>
      </c>
      <c r="V25" s="59">
        <f>IF('[45]سجل المستخلصات'!$AA$6="","",'[45]سجل المستخلصات'!$AA$6)</f>
        <v/>
      </c>
      <c r="W25" s="59">
        <f>IF('[45]سجل المستخلصات'!$AC$6="","",'[45]سجل المستخلصات'!$AC$6)</f>
        <v/>
      </c>
      <c r="X25" s="62">
        <f>IF('[45]سجل المستخلصات'!$AD$6="","",'[45]سجل المستخلصات'!$AD$6)</f>
        <v/>
      </c>
      <c r="Y25" s="58">
        <f>IF('[45]سجل المستخلصات'!$AE$6="","",'[45]سجل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IF('[45]سجل المستخلصات'!$C$7="","",'[45]سجل المستخلصات'!$C$7)</f>
        <v/>
      </c>
      <c r="D26" s="57">
        <f>IF('[45]سجل المستخلصات'!$E$7="","",'[45]سجل المستخلصات'!$E$7)</f>
        <v/>
      </c>
      <c r="E26" s="58">
        <f>IF('[45]سجل المستخلصات'!$F$7="","",'[45]سجل المستخلصات'!$F$7)</f>
        <v/>
      </c>
      <c r="F26" s="59">
        <f>IF('[45]سجل المستخلصات'!$H$7="","",'[45]سجل المستخلصات'!$H$7)</f>
        <v/>
      </c>
      <c r="G26" s="59">
        <f>IF('[45]سجل المستخلصات'!$G$7="","",'[45]سجل المستخلصات'!$G$7)</f>
        <v/>
      </c>
      <c r="H26" s="59">
        <f>IF('[45]سجل المستخلصات'!$I$7="","",'[45]سجل المستخلصات'!$I$7)</f>
        <v/>
      </c>
      <c r="I26" s="59">
        <f>IF('[45]سجل المستخلصات'!$J$7="","",'[45]سجل المستخلصات'!$J$7)</f>
        <v/>
      </c>
      <c r="J26" s="59">
        <f>IF('[45]سجل المستخلصات'!$K$7="","",'[45]سجل المستخلصات'!$K$7)</f>
        <v/>
      </c>
      <c r="K26" s="60">
        <f>IF('[45]سجل المستخلصات'!$L$7="","",'[45]سجل المستخلصات'!$L$7)</f>
        <v/>
      </c>
      <c r="L26" s="60">
        <f>IF('[45]سجل المستخلصات'!$M$7="","",'[45]سجل المستخلصات'!$M$7)</f>
        <v/>
      </c>
      <c r="M26" s="60">
        <f>IF('[45]سجل المستخلصات'!$N$7="","",'[45]سجل المستخلصات'!$N$7)</f>
        <v/>
      </c>
      <c r="N26" s="59">
        <f>IF('[45]سجل المستخلصات'!$O$7="","",'[45]سجل المستخلصات'!$O$7)</f>
        <v/>
      </c>
      <c r="O26" s="59">
        <f>IF('[45]سجل المستخلصات'!$R$7="","",'[45]سجل المستخلصات'!$R$7)</f>
        <v/>
      </c>
      <c r="P26" s="59">
        <f>IF('[45]سجل المستخلصات'!$S$7="","",'[45]سجل المستخلصات'!$S$7)</f>
        <v/>
      </c>
      <c r="Q26" s="59">
        <f>IF('[45]سجل المستخلصات'!$T$7="","",'[45]سجل المستخلصات'!$T$7)</f>
        <v/>
      </c>
      <c r="R26" s="59">
        <f>IF('[45]سجل المستخلصات'!$V$7="","",'[45]سجل المستخلصات'!$V$7)</f>
        <v/>
      </c>
      <c r="S26" s="59">
        <f>IF('[45]سجل المستخلصات'!$W$7="","",'[45]سجل المستخلصات'!$W$7)</f>
        <v/>
      </c>
      <c r="T26" s="61">
        <f>IF('[45]سجل المستخلصات'!$X$7="","",'[45]سجل المستخلصات'!$X$7)</f>
        <v/>
      </c>
      <c r="U26" s="61">
        <f>IF('[45]سجل المستخلصات'!$Z$7="","",'[45]سجل المستخلصات'!$Z$7)</f>
        <v/>
      </c>
      <c r="V26" s="59">
        <f>IF('[45]سجل المستخلصات'!$AA$7="","",'[45]سجل المستخلصات'!$AA$7)</f>
        <v/>
      </c>
      <c r="W26" s="59">
        <f>IF('[45]سجل المستخلصات'!$AC$7="","",'[45]سجل المستخلصات'!$AC$7)</f>
        <v/>
      </c>
      <c r="X26" s="62">
        <f>IF('[45]سجل المستخلصات'!$AD$7="","",'[45]سجل المستخلصات'!$AD$7)</f>
        <v/>
      </c>
      <c r="Y26" s="58">
        <f>IF('[45]سجل المستخلصات'!$AE$7="","",'[45]سجل المستخلصات'!$AE$7)</f>
        <v/>
      </c>
      <c r="AA26" s="63" t="n"/>
      <c r="AB26" s="63" t="n"/>
    </row>
    <row r="27">
      <c r="B27" s="56" t="n">
        <v>3</v>
      </c>
      <c r="C27" s="57">
        <f>IF('[45]سجل المستخلصات'!$C$8="","",'[45]سجل المستخلصات'!$C$8)</f>
        <v/>
      </c>
      <c r="D27" s="57">
        <f>IF('[45]سجل المستخلصات'!$E$8="","",'[45]سجل المستخلصات'!$E$8)</f>
        <v/>
      </c>
      <c r="E27" s="58">
        <f>IF('[45]سجل المستخلصات'!$F$8="","",'[45]سجل المستخلصات'!$F$8)</f>
        <v/>
      </c>
      <c r="F27" s="59">
        <f>IF('[45]سجل المستخلصات'!$H$8="","",'[45]سجل المستخلصات'!$H$8)</f>
        <v/>
      </c>
      <c r="G27" s="59">
        <f>IF('[45]سجل المستخلصات'!$G$8="","",'[45]سجل المستخلصات'!$G$8)</f>
        <v/>
      </c>
      <c r="H27" s="59">
        <f>IF('[45]سجل المستخلصات'!$I$8="","",'[45]سجل المستخلصات'!$I$8)</f>
        <v/>
      </c>
      <c r="I27" s="59">
        <f>IF('[45]سجل المستخلصات'!$J$8="","",'[45]سجل المستخلصات'!$J$8)</f>
        <v/>
      </c>
      <c r="J27" s="59">
        <f>IF('[45]سجل المستخلصات'!$K$8="","",'[45]سجل المستخلصات'!$K$8)</f>
        <v/>
      </c>
      <c r="K27" s="60">
        <f>IF('[45]سجل المستخلصات'!$L$8="","",'[45]سجل المستخلصات'!$L$8)</f>
        <v/>
      </c>
      <c r="L27" s="60">
        <f>IF('[45]سجل المستخلصات'!$M$8="","",'[45]سجل المستخلصات'!$M$8)</f>
        <v/>
      </c>
      <c r="M27" s="60">
        <f>IF('[45]سجل المستخلصات'!$N$8="","",'[45]سجل المستخلصات'!$N$8)</f>
        <v/>
      </c>
      <c r="N27" s="59">
        <f>IF('[45]سجل المستخلصات'!$O$8="","",'[45]سجل المستخلصات'!$O$8)</f>
        <v/>
      </c>
      <c r="O27" s="59">
        <f>IF('[45]سجل المستخلصات'!$R$8="","",'[45]سجل المستخلصات'!$R$8)</f>
        <v/>
      </c>
      <c r="P27" s="59">
        <f>IF('[45]سجل المستخلصات'!$S$8="","",'[45]سجل المستخلصات'!$S$8)</f>
        <v/>
      </c>
      <c r="Q27" s="59">
        <f>IF('[45]سجل المستخلصات'!$T$8="","",'[45]سجل المستخلصات'!$T$8)</f>
        <v/>
      </c>
      <c r="R27" s="59">
        <f>IF('[45]سجل المستخلصات'!$V$8="","",'[45]سجل المستخلصات'!$V$8)</f>
        <v/>
      </c>
      <c r="S27" s="59">
        <f>IF('[45]سجل المستخلصات'!$W$8="","",'[45]سجل المستخلصات'!$W$8)</f>
        <v/>
      </c>
      <c r="T27" s="61">
        <f>IF('[45]سجل المستخلصات'!$X$8="","",'[45]سجل المستخلصات'!$X$8)</f>
        <v/>
      </c>
      <c r="U27" s="61">
        <f>IF('[45]سجل المستخلصات'!$Z$8="","",'[45]سجل المستخلصات'!$Z$8)</f>
        <v/>
      </c>
      <c r="V27" s="59">
        <f>IF('[45]سجل المستخلصات'!$AA$8="","",'[45]سجل المستخلصات'!$AA$8)</f>
        <v/>
      </c>
      <c r="W27" s="59">
        <f>IF('[45]سجل المستخلصات'!$AC$8="","",'[45]سجل المستخلصات'!$AC$8)</f>
        <v/>
      </c>
      <c r="X27" s="62">
        <f>IF('[45]سجل المستخلصات'!$AD$8="","",'[45]سجل المستخلصات'!$AD$8)</f>
        <v/>
      </c>
      <c r="Y27" s="58">
        <f>IF('[45]سجل المستخلصات'!$AE$8="","",'[45]سجل المستخلصات'!$AE$8)</f>
        <v/>
      </c>
      <c r="AA27" s="63" t="n"/>
      <c r="AB27" s="63" t="n"/>
    </row>
    <row r="28">
      <c r="B28" s="56" t="n">
        <v>4</v>
      </c>
      <c r="C28" s="57">
        <f>IF('[45]سجل المستخلصات'!$C$9="","",'[45]سجل المستخلصات'!$C$9)</f>
        <v/>
      </c>
      <c r="D28" s="57">
        <f>IF('[45]سجل المستخلصات'!$E$9="","",'[45]سجل المستخلصات'!$E$9)</f>
        <v/>
      </c>
      <c r="E28" s="58">
        <f>IF('[45]سجل المستخلصات'!$F$9="","",'[45]سجل المستخلصات'!$F$9)</f>
        <v/>
      </c>
      <c r="F28" s="59">
        <f>IF('[45]سجل المستخلصات'!$H$9="","",'[45]سجل المستخلصات'!$H$9)</f>
        <v/>
      </c>
      <c r="G28" s="59">
        <f>IF('[45]سجل المستخلصات'!$G$9="","",'[45]سجل المستخلصات'!$G$9)</f>
        <v/>
      </c>
      <c r="H28" s="59">
        <f>IF('[45]سجل المستخلصات'!$I$9="","",'[45]سجل المستخلصات'!$I$9)</f>
        <v/>
      </c>
      <c r="I28" s="59">
        <f>IF('[45]سجل المستخلصات'!$J$9="","",'[45]سجل المستخلصات'!$J$9)</f>
        <v/>
      </c>
      <c r="J28" s="59">
        <f>IF('[45]سجل المستخلصات'!$K$9="","",'[45]سجل المستخلصات'!$K$9)</f>
        <v/>
      </c>
      <c r="K28" s="60">
        <f>IF('[45]سجل المستخلصات'!$L$9="","",'[45]سجل المستخلصات'!$L$9)</f>
        <v/>
      </c>
      <c r="L28" s="60">
        <f>IF('[45]سجل المستخلصات'!$M$9="","",'[45]سجل المستخلصات'!$M$9)</f>
        <v/>
      </c>
      <c r="M28" s="60">
        <f>IF('[45]سجل المستخلصات'!$N$9="","",'[45]سجل المستخلصات'!$N$9)</f>
        <v/>
      </c>
      <c r="N28" s="59">
        <f>IF('[45]سجل المستخلصات'!$O$9="","",'[45]سجل المستخلصات'!$O$9)</f>
        <v/>
      </c>
      <c r="O28" s="59">
        <f>IF('[45]سجل المستخلصات'!$R$9="","",'[45]سجل المستخلصات'!$R$9)</f>
        <v/>
      </c>
      <c r="P28" s="59">
        <f>IF('[45]سجل المستخلصات'!$S$9="","",'[45]سجل المستخلصات'!$S$9)</f>
        <v/>
      </c>
      <c r="Q28" s="59">
        <f>IF('[45]سجل المستخلصات'!$T$9="","",'[45]سجل المستخلصات'!$T$9)</f>
        <v/>
      </c>
      <c r="R28" s="59">
        <f>IF('[45]سجل المستخلصات'!$V$9="","",'[45]سجل المستخلصات'!$V$9)</f>
        <v/>
      </c>
      <c r="S28" s="59">
        <f>IF('[45]سجل المستخلصات'!$W$9="","",'[45]سجل المستخلصات'!$W$9)</f>
        <v/>
      </c>
      <c r="T28" s="61">
        <f>IF('[45]سجل المستخلصات'!$X$9="","",'[45]سجل المستخلصات'!$X$9)</f>
        <v/>
      </c>
      <c r="U28" s="61">
        <f>IF('[45]سجل المستخلصات'!$Z$9="","",'[45]سجل المستخلصات'!$Z$9)</f>
        <v/>
      </c>
      <c r="V28" s="59">
        <f>IF('[45]سجل المستخلصات'!$AA$9="","",'[45]سجل المستخلصات'!$AA$9)</f>
        <v/>
      </c>
      <c r="W28" s="59">
        <f>IF('[45]سجل المستخلصات'!$AC$9="","",'[45]سجل المستخلصات'!$AC$9)</f>
        <v/>
      </c>
      <c r="X28" s="62">
        <f>IF('[45]سجل المستخلصات'!$AD$9="","",'[45]سجل المستخلصات'!$AD$9)</f>
        <v/>
      </c>
      <c r="Y28" s="58">
        <f>IF('[45]سجل المستخلصات'!$AE$9="","",'[45]سجل المستخلصات'!$AE$9)</f>
        <v/>
      </c>
      <c r="AA28" s="63" t="n"/>
      <c r="AB28" s="63" t="n"/>
    </row>
    <row r="29">
      <c r="B29" s="56" t="n">
        <v>5</v>
      </c>
      <c r="C29" s="57">
        <f>IF('[45]سجل المستخلصات'!$C$10="","",'[45]سجل المستخلصات'!$C$10)</f>
        <v/>
      </c>
      <c r="D29" s="57">
        <f>IF('[45]سجل المستخلصات'!$E$10="","",'[45]سجل المستخلصات'!$E$10)</f>
        <v/>
      </c>
      <c r="E29" s="58">
        <f>IF('[45]سجل المستخلصات'!$F$10="","",'[45]سجل المستخلصات'!$F$10)</f>
        <v/>
      </c>
      <c r="F29" s="59">
        <f>IF('[45]سجل المستخلصات'!$H$10="","",'[45]سجل المستخلصات'!$H$10)</f>
        <v/>
      </c>
      <c r="G29" s="59">
        <f>IF('[45]سجل المستخلصات'!$G$10="","",'[45]سجل المستخلصات'!$G$10)</f>
        <v/>
      </c>
      <c r="H29" s="59">
        <f>IF('[45]سجل المستخلصات'!$I$10="","",'[45]سجل المستخلصات'!$I$10)</f>
        <v/>
      </c>
      <c r="I29" s="59">
        <f>IF('[45]سجل المستخلصات'!$J$10="","",'[45]سجل المستخلصات'!$J$10)</f>
        <v/>
      </c>
      <c r="J29" s="59">
        <f>IF('[45]سجل المستخلصات'!$K$10="","",'[45]سجل المستخلصات'!$K$10)</f>
        <v/>
      </c>
      <c r="K29" s="60">
        <f>IF('[45]سجل المستخلصات'!$L$10="","",'[45]سجل المستخلصات'!$L$10)</f>
        <v/>
      </c>
      <c r="L29" s="60">
        <f>IF('[45]سجل المستخلصات'!$M$10="","",'[45]سجل المستخلصات'!$M$10)</f>
        <v/>
      </c>
      <c r="M29" s="60">
        <f>IF('[45]سجل المستخلصات'!$N$10="","",'[45]سجل المستخلصات'!$N$10)</f>
        <v/>
      </c>
      <c r="N29" s="59">
        <f>IF('[45]سجل المستخلصات'!$O$10="","",'[45]سجل المستخلصات'!$O$10)</f>
        <v/>
      </c>
      <c r="O29" s="59">
        <f>IF('[45]سجل المستخلصات'!$R$10="","",'[45]سجل المستخلصات'!$R$10)</f>
        <v/>
      </c>
      <c r="P29" s="59">
        <f>IF('[45]سجل المستخلصات'!$S$10="","",'[45]سجل المستخلصات'!$S$10)</f>
        <v/>
      </c>
      <c r="Q29" s="59">
        <f>IF('[45]سجل المستخلصات'!$T$10="","",'[45]سجل المستخلصات'!$T$10)</f>
        <v/>
      </c>
      <c r="R29" s="59">
        <f>IF('[45]سجل المستخلصات'!$V$10="","",'[45]سجل المستخلصات'!$V$10)</f>
        <v/>
      </c>
      <c r="S29" s="59">
        <f>IF('[45]سجل المستخلصات'!$W$10="","",'[45]سجل المستخلصات'!$W$10)</f>
        <v/>
      </c>
      <c r="T29" s="61">
        <f>IF('[45]سجل المستخلصات'!$X$10="","",'[45]سجل المستخلصات'!$X$10)</f>
        <v/>
      </c>
      <c r="U29" s="61">
        <f>IF('[45]سجل المستخلصات'!$Z$10="","",'[45]سجل المستخلصات'!$Z$10)</f>
        <v/>
      </c>
      <c r="V29" s="59">
        <f>IF('[45]سجل المستخلصات'!$AA$10="","",'[45]سجل المستخلصات'!$AA$10)</f>
        <v/>
      </c>
      <c r="W29" s="59">
        <f>IF('[45]سجل المستخلصات'!$AC$10="","",'[45]سجل المستخلصات'!$AC$10)</f>
        <v/>
      </c>
      <c r="X29" s="62">
        <f>IF('[45]سجل المستخلصات'!$AD$10="","",'[45]سجل المستخلصات'!$AD$10)</f>
        <v/>
      </c>
      <c r="Y29" s="58">
        <f>IF('[45]سجل المستخلصات'!$AE$10="","",'[45]سجل المستخلصات'!$AE$10)</f>
        <v/>
      </c>
    </row>
    <row r="30">
      <c r="B30" s="56" t="n">
        <v>6</v>
      </c>
      <c r="C30" s="57">
        <f>IF('[45]سجل المستخلصات'!$C$11="","",'[45]سجل المستخلصات'!$C$11)</f>
        <v/>
      </c>
      <c r="D30" s="57">
        <f>IF('[45]سجل المستخلصات'!$E$11="","",'[45]سجل المستخلصات'!$E$11)</f>
        <v/>
      </c>
      <c r="E30" s="58">
        <f>IF('[45]سجل المستخلصات'!$F$11="","",'[45]سجل المستخلصات'!$F$11)</f>
        <v/>
      </c>
      <c r="F30" s="59">
        <f>IF('[45]سجل المستخلصات'!$H$11="","",'[45]سجل المستخلصات'!$H$11)</f>
        <v/>
      </c>
      <c r="G30" s="59">
        <f>IF('[45]سجل المستخلصات'!$G$11="","",'[45]سجل المستخلصات'!$G$11)</f>
        <v/>
      </c>
      <c r="H30" s="59">
        <f>IF('[45]سجل المستخلصات'!$I$11="","",'[45]سجل المستخلصات'!$I$11)</f>
        <v/>
      </c>
      <c r="I30" s="59">
        <f>IF('[45]سجل المستخلصات'!$J$11="","",'[45]سجل المستخلصات'!$J$11)</f>
        <v/>
      </c>
      <c r="J30" s="59">
        <f>IF('[45]سجل المستخلصات'!$K$11="","",'[45]سجل المستخلصات'!$K$11)</f>
        <v/>
      </c>
      <c r="K30" s="60">
        <f>IF('[45]سجل المستخلصات'!$L$11="","",'[45]سجل المستخلصات'!$L$11)</f>
        <v/>
      </c>
      <c r="L30" s="60">
        <f>IF('[45]سجل المستخلصات'!$M$11="","",'[45]سجل المستخلصات'!$M$11)</f>
        <v/>
      </c>
      <c r="M30" s="60">
        <f>IF('[45]سجل المستخلصات'!$N$11="","",'[45]سجل المستخلصات'!$N$11)</f>
        <v/>
      </c>
      <c r="N30" s="59">
        <f>IF('[45]سجل المستخلصات'!$O$11="","",'[45]سجل المستخلصات'!$O$11)</f>
        <v/>
      </c>
      <c r="O30" s="59">
        <f>IF('[45]سجل المستخلصات'!$R$11="","",'[45]سجل المستخلصات'!$R$11)</f>
        <v/>
      </c>
      <c r="P30" s="59">
        <f>IF('[45]سجل المستخلصات'!$S$11="","",'[45]سجل المستخلصات'!$S$11)</f>
        <v/>
      </c>
      <c r="Q30" s="59">
        <f>IF('[45]سجل المستخلصات'!$T$11="","",'[45]سجل المستخلصات'!$T$11)</f>
        <v/>
      </c>
      <c r="R30" s="59">
        <f>IF('[45]سجل المستخلصات'!$V$11="","",'[45]سجل المستخلصات'!$V$11)</f>
        <v/>
      </c>
      <c r="S30" s="59">
        <f>IF('[45]سجل المستخلصات'!$W$11="","",'[45]سجل المستخلصات'!$W$11)</f>
        <v/>
      </c>
      <c r="T30" s="61">
        <f>IF('[45]سجل المستخلصات'!$X$11="","",'[45]سجل المستخلصات'!$X$11)</f>
        <v/>
      </c>
      <c r="U30" s="61">
        <f>IF('[45]سجل المستخلصات'!$Z$11="","",'[45]سجل المستخلصات'!$Z$11)</f>
        <v/>
      </c>
      <c r="V30" s="59">
        <f>IF('[45]سجل المستخلصات'!$AA$11="","",'[45]سجل المستخلصات'!$AA$11)</f>
        <v/>
      </c>
      <c r="W30" s="59">
        <f>IF('[45]سجل المستخلصات'!$AC$11="","",'[45]سجل المستخلصات'!$AC$11)</f>
        <v/>
      </c>
      <c r="X30" s="62">
        <f>IF('[45]سجل المستخلصات'!$AD$11="","",'[45]سجل المستخلصات'!$AD$11)</f>
        <v/>
      </c>
      <c r="Y30" s="58">
        <f>IF('[45]سجل المستخلصات'!$AE$11="","",'[45]سجل المستخلصات'!$AE$11)</f>
        <v/>
      </c>
    </row>
    <row r="31">
      <c r="B31" s="56" t="n">
        <v>7</v>
      </c>
      <c r="C31" s="57">
        <f>IF('[45]سجل المستخلصات'!$C$12="","",'[45]سجل المستخلصات'!$C$12)</f>
        <v/>
      </c>
      <c r="D31" s="57">
        <f>IF('[45]سجل المستخلصات'!$E$12="","",'[45]سجل المستخلصات'!$E$12)</f>
        <v/>
      </c>
      <c r="E31" s="58">
        <f>IF('[45]سجل المستخلصات'!$F$12="","",'[45]سجل المستخلصات'!$F$12)</f>
        <v/>
      </c>
      <c r="F31" s="59">
        <f>IF('[45]سجل المستخلصات'!$H$12="","",'[45]سجل المستخلصات'!$H$12)</f>
        <v/>
      </c>
      <c r="G31" s="59">
        <f>IF('[45]سجل المستخلصات'!$G$12="","",'[45]سجل المستخلصات'!$G$12)</f>
        <v/>
      </c>
      <c r="H31" s="59">
        <f>IF('[45]سجل المستخلصات'!$I$12="","",'[45]سجل المستخلصات'!$I$12)</f>
        <v/>
      </c>
      <c r="I31" s="59">
        <f>IF('[45]سجل المستخلصات'!$J$12="","",'[45]سجل المستخلصات'!$J$12)</f>
        <v/>
      </c>
      <c r="J31" s="59">
        <f>IF('[45]سجل المستخلصات'!$K$12="","",'[45]سجل المستخلصات'!$K$12)</f>
        <v/>
      </c>
      <c r="K31" s="60">
        <f>IF('[45]سجل المستخلصات'!$L$12="","",'[45]سجل المستخلصات'!$L$12)</f>
        <v/>
      </c>
      <c r="L31" s="60">
        <f>IF('[45]سجل المستخلصات'!$M$12="","",'[45]سجل المستخلصات'!$M$12)</f>
        <v/>
      </c>
      <c r="M31" s="60">
        <f>IF('[45]سجل المستخلصات'!$N$12="","",'[45]سجل المستخلصات'!$N$12)</f>
        <v/>
      </c>
      <c r="N31" s="59">
        <f>IF('[45]سجل المستخلصات'!$O$12="","",'[45]سجل المستخلصات'!$O$12)</f>
        <v/>
      </c>
      <c r="O31" s="59">
        <f>IF('[45]سجل المستخلصات'!$R$12="","",'[45]سجل المستخلصات'!$R$12)</f>
        <v/>
      </c>
      <c r="P31" s="59">
        <f>IF('[45]سجل المستخلصات'!$S$12="","",'[45]سجل المستخلصات'!$S$12)</f>
        <v/>
      </c>
      <c r="Q31" s="59">
        <f>IF('[45]سجل المستخلصات'!$T$12="","",'[45]سجل المستخلصات'!$T$12)</f>
        <v/>
      </c>
      <c r="R31" s="59">
        <f>IF('[45]سجل المستخلصات'!$V$12="","",'[45]سجل المستخلصات'!$V$12)</f>
        <v/>
      </c>
      <c r="S31" s="59">
        <f>IF('[45]سجل المستخلصات'!$W$12="","",'[45]سجل المستخلصات'!$W$12)</f>
        <v/>
      </c>
      <c r="T31" s="61">
        <f>IF('[45]سجل المستخلصات'!$X$12="","",'[45]سجل المستخلصات'!$X$12)</f>
        <v/>
      </c>
      <c r="U31" s="61">
        <f>IF('[45]سجل المستخلصات'!$Z$12="","",'[45]سجل المستخلصات'!$Z$12)</f>
        <v/>
      </c>
      <c r="V31" s="59">
        <f>IF('[45]سجل المستخلصات'!$AA$12="","",'[45]سجل المستخلصات'!$AA$12)</f>
        <v/>
      </c>
      <c r="W31" s="59">
        <f>IF('[45]سجل المستخلصات'!$AC$12="","",'[45]سجل المستخلصات'!$AC$12)</f>
        <v/>
      </c>
      <c r="X31" s="62">
        <f>IF('[45]سجل المستخلصات'!$AD$12="","",'[45]سجل المستخلصات'!$AD$12)</f>
        <v/>
      </c>
      <c r="Y31" s="58">
        <f>IF('[45]سجل المستخلصات'!$AE$12="","",'[45]سجل المستخلصات'!$AE$12)</f>
        <v/>
      </c>
    </row>
    <row r="32">
      <c r="B32" s="56" t="n">
        <v>8</v>
      </c>
      <c r="C32" s="57">
        <f>IF('[45]سجل المستخلصات'!$C$13="","",'[45]سجل المستخلصات'!$C$13)</f>
        <v/>
      </c>
      <c r="D32" s="57">
        <f>IF('[45]سجل المستخلصات'!$E$13="","",'[45]سجل المستخلصات'!$E$13)</f>
        <v/>
      </c>
      <c r="E32" s="58">
        <f>IF('[45]سجل المستخلصات'!$F$13="","",'[45]سجل المستخلصات'!$F$13)</f>
        <v/>
      </c>
      <c r="F32" s="59">
        <f>IF('[45]سجل المستخلصات'!$H$13="","",'[45]سجل المستخلصات'!$H$13)</f>
        <v/>
      </c>
      <c r="G32" s="59">
        <f>IF('[45]سجل المستخلصات'!$G$13="","",'[45]سجل المستخلصات'!$G$13)</f>
        <v/>
      </c>
      <c r="H32" s="59">
        <f>IF('[45]سجل المستخلصات'!$I$13="","",'[45]سجل المستخلصات'!$I$13)</f>
        <v/>
      </c>
      <c r="I32" s="59">
        <f>IF('[45]سجل المستخلصات'!$J$13="","",'[45]سجل المستخلصات'!$J$13)</f>
        <v/>
      </c>
      <c r="J32" s="59">
        <f>IF('[45]سجل المستخلصات'!$K$13="","",'[45]سجل المستخلصات'!$K$13)</f>
        <v/>
      </c>
      <c r="K32" s="60">
        <f>IF('[45]سجل المستخلصات'!$L$13="","",'[45]سجل المستخلصات'!$L$13)</f>
        <v/>
      </c>
      <c r="L32" s="60">
        <f>IF('[45]سجل المستخلصات'!$M$13="","",'[45]سجل المستخلصات'!$M$13)</f>
        <v/>
      </c>
      <c r="M32" s="60">
        <f>IF('[45]سجل المستخلصات'!$N$13="","",'[45]سجل المستخلصات'!$N$13)</f>
        <v/>
      </c>
      <c r="N32" s="59">
        <f>IF('[45]سجل المستخلصات'!$O$13="","",'[45]سجل المستخلصات'!$O$13)</f>
        <v/>
      </c>
      <c r="O32" s="59">
        <f>IF('[45]سجل المستخلصات'!$R$13="","",'[45]سجل المستخلصات'!$R$13)</f>
        <v/>
      </c>
      <c r="P32" s="59">
        <f>IF('[45]سجل المستخلصات'!$S$13="","",'[45]سجل المستخلصات'!$S$13)</f>
        <v/>
      </c>
      <c r="Q32" s="59">
        <f>IF('[45]سجل المستخلصات'!$T$13="","",'[45]سجل المستخلصات'!$T$13)</f>
        <v/>
      </c>
      <c r="R32" s="59">
        <f>IF('[45]سجل المستخلصات'!$V$13="","",'[45]سجل المستخلصات'!$V$13)</f>
        <v/>
      </c>
      <c r="S32" s="59">
        <f>IF('[45]سجل المستخلصات'!$W$13="","",'[45]سجل المستخلصات'!$W$13)</f>
        <v/>
      </c>
      <c r="T32" s="61">
        <f>IF('[45]سجل المستخلصات'!$X$13="","",'[45]سجل المستخلصات'!$X$13)</f>
        <v/>
      </c>
      <c r="U32" s="61">
        <f>IF('[45]سجل المستخلصات'!$Z$13="","",'[45]سجل المستخلصات'!$Z$13)</f>
        <v/>
      </c>
      <c r="V32" s="59">
        <f>IF('[45]سجل المستخلصات'!$AA$13="","",'[45]سجل المستخلصات'!$AA$13)</f>
        <v/>
      </c>
      <c r="W32" s="59">
        <f>IF('[45]سجل المستخلصات'!$AC$13="","",'[45]سجل المستخلصات'!$AC$13)</f>
        <v/>
      </c>
      <c r="X32" s="62">
        <f>IF('[45]سجل المستخلصات'!$AD$13="","",'[45]سجل المستخلصات'!$AD$13)</f>
        <v/>
      </c>
      <c r="Y32" s="58">
        <f>IF('[45]سجل المستخلصات'!$AE$13="","",'[45]سجل المستخلصات'!$AE$13)</f>
        <v/>
      </c>
    </row>
    <row r="33">
      <c r="B33" s="56" t="n">
        <v>9</v>
      </c>
      <c r="C33" s="57">
        <f>IF('[45]سجل المستخلصات'!$C$14="","",'[45]سجل المستخلصات'!$C$14)</f>
        <v/>
      </c>
      <c r="D33" s="57">
        <f>IF('[45]سجل المستخلصات'!$E$14="","",'[45]سجل المستخلصات'!$E$14)</f>
        <v/>
      </c>
      <c r="E33" s="58">
        <f>IF('[45]سجل المستخلصات'!$F$14="","",'[45]سجل المستخلصات'!$F$14)</f>
        <v/>
      </c>
      <c r="F33" s="59">
        <f>IF('[45]سجل المستخلصات'!$H$14="","",'[45]سجل المستخلصات'!$H$14)</f>
        <v/>
      </c>
      <c r="G33" s="59">
        <f>IF('[45]سجل المستخلصات'!$G$14="","",'[45]سجل المستخلصات'!$G$14)</f>
        <v/>
      </c>
      <c r="H33" s="59">
        <f>IF('[45]سجل المستخلصات'!$I$14="","",'[45]سجل المستخلصات'!$I$14)</f>
        <v/>
      </c>
      <c r="I33" s="59">
        <f>IF('[45]سجل المستخلصات'!$J$14="","",'[45]سجل المستخلصات'!$J$14)</f>
        <v/>
      </c>
      <c r="J33" s="59">
        <f>IF('[45]سجل المستخلصات'!$K$14="","",'[45]سجل المستخلصات'!$K$14)</f>
        <v/>
      </c>
      <c r="K33" s="60">
        <f>IF('[45]سجل المستخلصات'!$L$14="","",'[45]سجل المستخلصات'!$L$14)</f>
        <v/>
      </c>
      <c r="L33" s="60">
        <f>IF('[45]سجل المستخلصات'!$M$14="","",'[45]سجل المستخلصات'!$M$14)</f>
        <v/>
      </c>
      <c r="M33" s="60">
        <f>IF('[45]سجل المستخلصات'!$N$14="","",'[45]سجل المستخلصات'!$N$14)</f>
        <v/>
      </c>
      <c r="N33" s="59">
        <f>IF('[45]سجل المستخلصات'!$O$14="","",'[45]سجل المستخلصات'!$O$14)</f>
        <v/>
      </c>
      <c r="O33" s="59">
        <f>IF('[45]سجل المستخلصات'!$R$14="","",'[45]سجل المستخلصات'!$R$14)</f>
        <v/>
      </c>
      <c r="P33" s="59">
        <f>IF('[45]سجل المستخلصات'!$S$14="","",'[45]سجل المستخلصات'!$S$14)</f>
        <v/>
      </c>
      <c r="Q33" s="59">
        <f>IF('[45]سجل المستخلصات'!$T$14="","",'[45]سجل المستخلصات'!$T$14)</f>
        <v/>
      </c>
      <c r="R33" s="59">
        <f>IF('[45]سجل المستخلصات'!$V$14="","",'[45]سجل المستخلصات'!$V$14)</f>
        <v/>
      </c>
      <c r="S33" s="59">
        <f>IF('[45]سجل المستخلصات'!$W$14="","",'[45]سجل المستخلصات'!$W$14)</f>
        <v/>
      </c>
      <c r="T33" s="61">
        <f>IF('[45]سجل المستخلصات'!$X$14="","",'[45]سجل المستخلصات'!$X$14)</f>
        <v/>
      </c>
      <c r="U33" s="61">
        <f>IF('[45]سجل المستخلصات'!$Z$14="","",'[45]سجل المستخلصات'!$Z$14)</f>
        <v/>
      </c>
      <c r="V33" s="59">
        <f>IF('[45]سجل المستخلصات'!$AA$14="","",'[45]سجل المستخلصات'!$AA$14)</f>
        <v/>
      </c>
      <c r="W33" s="59">
        <f>IF('[45]سجل المستخلصات'!$AC$14="","",'[45]سجل المستخلصات'!$AC$14)</f>
        <v/>
      </c>
      <c r="X33" s="62">
        <f>IF('[45]سجل المستخلصات'!$AD$14="","",'[45]سجل المستخلصات'!$AD$14)</f>
        <v/>
      </c>
      <c r="Y33" s="58">
        <f>IF('[45]سجل المستخلصات'!$AE$14="","",'[45]سجل المستخلصات'!$AE$14)</f>
        <v/>
      </c>
    </row>
    <row r="34">
      <c r="B34" s="56" t="n">
        <v>10</v>
      </c>
      <c r="C34" s="57">
        <f>IF('[45]سجل المستخلصات'!$C$15="","",'[45]سجل المستخلصات'!$C$15)</f>
        <v/>
      </c>
      <c r="D34" s="57">
        <f>IF('[45]سجل المستخلصات'!$E$15="","",'[45]سجل المستخلصات'!$E$15)</f>
        <v/>
      </c>
      <c r="E34" s="58">
        <f>IF('[45]سجل المستخلصات'!$F$15="","",'[45]سجل المستخلصات'!$F$15)</f>
        <v/>
      </c>
      <c r="F34" s="59">
        <f>IF('[45]سجل المستخلصات'!$H$15="","",'[45]سجل المستخلصات'!$H$15)</f>
        <v/>
      </c>
      <c r="G34" s="59">
        <f>IF('[45]سجل المستخلصات'!$G$15="","",'[45]سجل المستخلصات'!$G$15)</f>
        <v/>
      </c>
      <c r="H34" s="59">
        <f>IF('[45]سجل المستخلصات'!$I$15="","",'[45]سجل المستخلصات'!$I$15)</f>
        <v/>
      </c>
      <c r="I34" s="59">
        <f>IF('[45]سجل المستخلصات'!$J$15="","",'[45]سجل المستخلصات'!$J$15)</f>
        <v/>
      </c>
      <c r="J34" s="59">
        <f>IF('[45]سجل المستخلصات'!$K$15="","",'[45]سجل المستخلصات'!$K$15)</f>
        <v/>
      </c>
      <c r="K34" s="60">
        <f>IF('[45]سجل المستخلصات'!$L$15="","",'[45]سجل المستخلصات'!$L$15)</f>
        <v/>
      </c>
      <c r="L34" s="60">
        <f>IF('[45]سجل المستخلصات'!$M$15="","",'[45]سجل المستخلصات'!$M$15)</f>
        <v/>
      </c>
      <c r="M34" s="60">
        <f>IF('[45]سجل المستخلصات'!$N$15="","",'[45]سجل المستخلصات'!$N$15)</f>
        <v/>
      </c>
      <c r="N34" s="59">
        <f>IF('[45]سجل المستخلصات'!$O$15="","",'[45]سجل المستخلصات'!$O$15)</f>
        <v/>
      </c>
      <c r="O34" s="59">
        <f>IF('[45]سجل المستخلصات'!$R$15="","",'[45]سجل المستخلصات'!$R$15)</f>
        <v/>
      </c>
      <c r="P34" s="59">
        <f>IF('[45]سجل المستخلصات'!$S$15="","",'[45]سجل المستخلصات'!$S$15)</f>
        <v/>
      </c>
      <c r="Q34" s="59">
        <f>IF('[45]سجل المستخلصات'!$T$15="","",'[45]سجل المستخلصات'!$T$15)</f>
        <v/>
      </c>
      <c r="R34" s="59">
        <f>IF('[45]سجل المستخلصات'!$V$15="","",'[45]سجل المستخلصات'!$V$15)</f>
        <v/>
      </c>
      <c r="S34" s="59">
        <f>IF('[45]سجل المستخلصات'!$W$15="","",'[45]سجل المستخلصات'!$W$15)</f>
        <v/>
      </c>
      <c r="T34" s="61">
        <f>IF('[45]سجل المستخلصات'!$X$15="","",'[45]سجل المستخلصات'!$X$15)</f>
        <v/>
      </c>
      <c r="U34" s="61">
        <f>IF('[45]سجل المستخلصات'!$Z$15="","",'[45]سجل المستخلصات'!$Z$15)</f>
        <v/>
      </c>
      <c r="V34" s="59">
        <f>IF('[45]سجل المستخلصات'!$AA$15="","",'[45]سجل المستخلصات'!$AA$15)</f>
        <v/>
      </c>
      <c r="W34" s="59">
        <f>IF('[45]سجل المستخلصات'!$AC$15="","",'[45]سجل المستخلصات'!$AC$15)</f>
        <v/>
      </c>
      <c r="X34" s="62">
        <f>IF('[45]سجل المستخلصات'!$AD$15="","",'[45]سجل المستخلصات'!$AD$15)</f>
        <v/>
      </c>
      <c r="Y34" s="58">
        <f>IF('[45]سجل المستخلصات'!$AE$15="","",'[45]سجل المستخلصات'!$AE$15)</f>
        <v/>
      </c>
    </row>
    <row r="35">
      <c r="B35" s="56" t="n">
        <v>11</v>
      </c>
      <c r="C35" s="57">
        <f>IF('[45]سجل المستخلصات'!$C$16="","",'[45]سجل المستخلصات'!$C$16)</f>
        <v/>
      </c>
      <c r="D35" s="57">
        <f>IF('[45]سجل المستخلصات'!$E$16="","",'[45]سجل المستخلصات'!$E$16)</f>
        <v/>
      </c>
      <c r="E35" s="58">
        <f>IF('[45]سجل المستخلصات'!$F$16="","",'[45]سجل المستخلصات'!$F$16)</f>
        <v/>
      </c>
      <c r="F35" s="59">
        <f>IF('[45]سجل المستخلصات'!$H$16="","",'[45]سجل المستخلصات'!$H$16)</f>
        <v/>
      </c>
      <c r="G35" s="59">
        <f>IF('[45]سجل المستخلصات'!$G$16="","",'[45]سجل المستخلصات'!$G$16)</f>
        <v/>
      </c>
      <c r="H35" s="59">
        <f>IF('[45]سجل المستخلصات'!$I$16="","",'[45]سجل المستخلصات'!$I$16)</f>
        <v/>
      </c>
      <c r="I35" s="59">
        <f>IF('[45]سجل المستخلصات'!$J$16="","",'[45]سجل المستخلصات'!$J$16)</f>
        <v/>
      </c>
      <c r="J35" s="59">
        <f>IF('[45]سجل المستخلصات'!$K$16="","",'[45]سجل المستخلصات'!$K$16)</f>
        <v/>
      </c>
      <c r="K35" s="60">
        <f>IF('[45]سجل المستخلصات'!$L$16="","",'[45]سجل المستخلصات'!$L$16)</f>
        <v/>
      </c>
      <c r="L35" s="60">
        <f>IF('[45]سجل المستخلصات'!$M$16="","",'[45]سجل المستخلصات'!$M$16)</f>
        <v/>
      </c>
      <c r="M35" s="60">
        <f>IF('[45]سجل المستخلصات'!$N$16="","",'[45]سجل المستخلصات'!$N$16)</f>
        <v/>
      </c>
      <c r="N35" s="59">
        <f>IF('[45]سجل المستخلصات'!$O$16="","",'[45]سجل المستخلصات'!$O$16)</f>
        <v/>
      </c>
      <c r="O35" s="59">
        <f>IF('[45]سجل المستخلصات'!$R$16="","",'[45]سجل المستخلصات'!$R$16)</f>
        <v/>
      </c>
      <c r="P35" s="59">
        <f>IF('[45]سجل المستخلصات'!$S$16="","",'[45]سجل المستخلصات'!$S$16)</f>
        <v/>
      </c>
      <c r="Q35" s="59">
        <f>IF('[45]سجل المستخلصات'!$T$16="","",'[45]سجل المستخلصات'!$T$16)</f>
        <v/>
      </c>
      <c r="R35" s="59">
        <f>IF('[45]سجل المستخلصات'!$V$16="","",'[45]سجل المستخلصات'!$V$16)</f>
        <v/>
      </c>
      <c r="S35" s="59">
        <f>IF('[45]سجل المستخلصات'!$W$16="","",'[45]سجل المستخلصات'!$W$16)</f>
        <v/>
      </c>
      <c r="T35" s="61">
        <f>IF('[45]سجل المستخلصات'!$X$16="","",'[45]سجل المستخلصات'!$X$16)</f>
        <v/>
      </c>
      <c r="U35" s="61">
        <f>IF('[45]سجل المستخلصات'!$Z$16="","",'[45]سجل المستخلصات'!$Z$16)</f>
        <v/>
      </c>
      <c r="V35" s="59">
        <f>IF('[45]سجل المستخلصات'!$AA$16="","",'[45]سجل المستخلصات'!$AA$16)</f>
        <v/>
      </c>
      <c r="W35" s="59">
        <f>IF('[45]سجل المستخلصات'!$AC$16="","",'[45]سجل المستخلصات'!$AC$16)</f>
        <v/>
      </c>
      <c r="X35" s="62">
        <f>IF('[45]سجل المستخلصات'!$AD$16="","",'[45]سجل المستخلصات'!$AD$16)</f>
        <v/>
      </c>
      <c r="Y35" s="58">
        <f>IF('[45]سجل المستخلصات'!$AE$16="","",'[45]سجل المستخلصات'!$AE$16)</f>
        <v/>
      </c>
    </row>
    <row r="36">
      <c r="B36" s="56" t="n">
        <v>12</v>
      </c>
      <c r="C36" s="57">
        <f>IF('[45]سجل المستخلصات'!$C$17="","",'[45]سجل المستخلصات'!$C$17)</f>
        <v/>
      </c>
      <c r="D36" s="57">
        <f>IF('[45]سجل المستخلصات'!$E$17="","",'[45]سجل المستخلصات'!$E$17)</f>
        <v/>
      </c>
      <c r="E36" s="58">
        <f>IF('[45]سجل المستخلصات'!$F$17="","",'[45]سجل المستخلصات'!$F$17)</f>
        <v/>
      </c>
      <c r="F36" s="59">
        <f>IF('[45]سجل المستخلصات'!$H$17="","",'[45]سجل المستخلصات'!$H$17)</f>
        <v/>
      </c>
      <c r="G36" s="59">
        <f>IF('[45]سجل المستخلصات'!$G$17="","",'[45]سجل المستخلصات'!$G$17)</f>
        <v/>
      </c>
      <c r="H36" s="59">
        <f>IF('[45]سجل المستخلصات'!$I$17="","",'[45]سجل المستخلصات'!$I$17)</f>
        <v/>
      </c>
      <c r="I36" s="59">
        <f>IF('[45]سجل المستخلصات'!$J$17="","",'[45]سجل المستخلصات'!$J$17)</f>
        <v/>
      </c>
      <c r="J36" s="59">
        <f>IF('[45]سجل المستخلصات'!$K$17="","",'[45]سجل المستخلصات'!$K$17)</f>
        <v/>
      </c>
      <c r="K36" s="60">
        <f>IF('[45]سجل المستخلصات'!$L$17="","",'[45]سجل المستخلصات'!$L$17)</f>
        <v/>
      </c>
      <c r="L36" s="60">
        <f>IF('[45]سجل المستخلصات'!$M$17="","",'[45]سجل المستخلصات'!$M$17)</f>
        <v/>
      </c>
      <c r="M36" s="60">
        <f>IF('[45]سجل المستخلصات'!$N$17="","",'[45]سجل المستخلصات'!$N$17)</f>
        <v/>
      </c>
      <c r="N36" s="59">
        <f>IF('[45]سجل المستخلصات'!$O$17="","",'[45]سجل المستخلصات'!$O$17)</f>
        <v/>
      </c>
      <c r="O36" s="59">
        <f>IF('[45]سجل المستخلصات'!$R$17="","",'[45]سجل المستخلصات'!$R$17)</f>
        <v/>
      </c>
      <c r="P36" s="59">
        <f>IF('[45]سجل المستخلصات'!$S$17="","",'[45]سجل المستخلصات'!$S$17)</f>
        <v/>
      </c>
      <c r="Q36" s="59">
        <f>IF('[45]سجل المستخلصات'!$T$17="","",'[45]سجل المستخلصات'!$T$17)</f>
        <v/>
      </c>
      <c r="R36" s="59">
        <f>IF('[45]سجل المستخلصات'!$V$17="","",'[45]سجل المستخلصات'!$V$17)</f>
        <v/>
      </c>
      <c r="S36" s="59">
        <f>IF('[45]سجل المستخلصات'!$W$17="","",'[45]سجل المستخلصات'!$W$17)</f>
        <v/>
      </c>
      <c r="T36" s="61">
        <f>IF('[45]سجل المستخلصات'!$X$17="","",'[45]سجل المستخلصات'!$X$17)</f>
        <v/>
      </c>
      <c r="U36" s="61">
        <f>IF('[45]سجل المستخلصات'!$Z$17="","",'[45]سجل المستخلصات'!$Z$17)</f>
        <v/>
      </c>
      <c r="V36" s="59">
        <f>IF('[45]سجل المستخلصات'!$AA$17="","",'[45]سجل المستخلصات'!$AA$17)</f>
        <v/>
      </c>
      <c r="W36" s="59">
        <f>IF('[45]سجل المستخلصات'!$AC$17="","",'[45]سجل المستخلصات'!$AC$17)</f>
        <v/>
      </c>
      <c r="X36" s="62">
        <f>IF('[45]سجل المستخلصات'!$AD$17="","",'[45]سجل المستخلصات'!$AD$17)</f>
        <v/>
      </c>
      <c r="Y36" s="58">
        <f>IF('[45]سجل المستخلصات'!$AE$17="","",'[45]سجل المستخلصات'!$AE$17)</f>
        <v/>
      </c>
    </row>
    <row r="37">
      <c r="B37" s="56" t="n">
        <v>13</v>
      </c>
      <c r="C37" s="57">
        <f>IF('[45]سجل المستخلصات'!$C$18="","",'[45]سجل المستخلصات'!$C$18)</f>
        <v/>
      </c>
      <c r="D37" s="57">
        <f>IF('[45]سجل المستخلصات'!$E$18="","",'[45]سجل المستخلصات'!$E$18)</f>
        <v/>
      </c>
      <c r="E37" s="58">
        <f>IF('[45]سجل المستخلصات'!$F$18="","",'[45]سجل المستخلصات'!$F$18)</f>
        <v/>
      </c>
      <c r="F37" s="59">
        <f>IF('[45]سجل المستخلصات'!$H$18="","",'[45]سجل المستخلصات'!$H$18)</f>
        <v/>
      </c>
      <c r="G37" s="59">
        <f>IF('[45]سجل المستخلصات'!$G$18="","",'[45]سجل المستخلصات'!$G$18)</f>
        <v/>
      </c>
      <c r="H37" s="59">
        <f>IF('[45]سجل المستخلصات'!$I$18="","",'[45]سجل المستخلصات'!$I$18)</f>
        <v/>
      </c>
      <c r="I37" s="59">
        <f>IF('[45]سجل المستخلصات'!$J$18="","",'[45]سجل المستخلصات'!$J$18)</f>
        <v/>
      </c>
      <c r="J37" s="59">
        <f>IF('[45]سجل المستخلصات'!$K$18="","",'[45]سجل المستخلصات'!$K$18)</f>
        <v/>
      </c>
      <c r="K37" s="60">
        <f>IF('[45]سجل المستخلصات'!$L$18="","",'[45]سجل المستخلصات'!$L$18)</f>
        <v/>
      </c>
      <c r="L37" s="60">
        <f>IF('[45]سجل المستخلصات'!$M$18="","",'[45]سجل المستخلصات'!$M$18)</f>
        <v/>
      </c>
      <c r="M37" s="60">
        <f>IF('[45]سجل المستخلصات'!$N$18="","",'[45]سجل المستخلصات'!$N$18)</f>
        <v/>
      </c>
      <c r="N37" s="59">
        <f>IF('[45]سجل المستخلصات'!$O$18="","",'[45]سجل المستخلصات'!$O$18)</f>
        <v/>
      </c>
      <c r="O37" s="59">
        <f>IF('[45]سجل المستخلصات'!$R$18="","",'[45]سجل المستخلصات'!$R$18)</f>
        <v/>
      </c>
      <c r="P37" s="59">
        <f>IF('[45]سجل المستخلصات'!$S$18="","",'[45]سجل المستخلصات'!$S$18)</f>
        <v/>
      </c>
      <c r="Q37" s="59">
        <f>IF('[45]سجل المستخلصات'!$T$18="","",'[45]سجل المستخلصات'!$T$18)</f>
        <v/>
      </c>
      <c r="R37" s="59">
        <f>IF('[45]سجل المستخلصات'!$V$18="","",'[45]سجل المستخلصات'!$V$18)</f>
        <v/>
      </c>
      <c r="S37" s="59">
        <f>IF('[45]سجل المستخلصات'!$W$18="","",'[45]سجل المستخلصات'!$W$18)</f>
        <v/>
      </c>
      <c r="T37" s="61">
        <f>IF('[45]سجل المستخلصات'!$X$18="","",'[45]سجل المستخلصات'!$X$18)</f>
        <v/>
      </c>
      <c r="U37" s="61">
        <f>IF('[45]سجل المستخلصات'!$Z$18="","",'[45]سجل المستخلصات'!$Z$18)</f>
        <v/>
      </c>
      <c r="V37" s="59">
        <f>IF('[45]سجل المستخلصات'!$AA$18="","",'[45]سجل المستخلصات'!$AA$18)</f>
        <v/>
      </c>
      <c r="W37" s="59">
        <f>IF('[45]سجل المستخلصات'!$AC$18="","",'[45]سجل المستخلصات'!$AC$18)</f>
        <v/>
      </c>
      <c r="X37" s="62">
        <f>IF('[45]سجل المستخلصات'!$AD$18="","",'[45]سجل المستخلصات'!$AD$18)</f>
        <v/>
      </c>
      <c r="Y37" s="58">
        <f>IF('[45]سجل المستخلصات'!$AE$18="","",'[45]سجل المستخلصات'!$AE$18)</f>
        <v/>
      </c>
    </row>
    <row r="38">
      <c r="B38" s="56" t="n">
        <v>14</v>
      </c>
      <c r="C38" s="57">
        <f>IF('[45]سجل المستخلصات'!$C$19="","",'[45]سجل المستخلصات'!$C$19)</f>
        <v/>
      </c>
      <c r="D38" s="57">
        <f>IF('[45]سجل المستخلصات'!$E$19="","",'[45]سجل المستخلصات'!$E$19)</f>
        <v/>
      </c>
      <c r="E38" s="58">
        <f>IF('[45]سجل المستخلصات'!$F$19="","",'[45]سجل المستخلصات'!$F$19)</f>
        <v/>
      </c>
      <c r="F38" s="59">
        <f>IF('[45]سجل المستخلصات'!$H$19="","",'[45]سجل المستخلصات'!$H$19)</f>
        <v/>
      </c>
      <c r="G38" s="59">
        <f>IF('[45]سجل المستخلصات'!$G$19="","",'[45]سجل المستخلصات'!$G$19)</f>
        <v/>
      </c>
      <c r="H38" s="59">
        <f>IF('[45]سجل المستخلصات'!$I$19="","",'[45]سجل المستخلصات'!$I$19)</f>
        <v/>
      </c>
      <c r="I38" s="59">
        <f>IF('[45]سجل المستخلصات'!$J$19="","",'[45]سجل المستخلصات'!$J$19)</f>
        <v/>
      </c>
      <c r="J38" s="59">
        <f>IF('[45]سجل المستخلصات'!$K$19="","",'[45]سجل المستخلصات'!$K$19)</f>
        <v/>
      </c>
      <c r="K38" s="60">
        <f>IF('[45]سجل المستخلصات'!$L$19="","",'[45]سجل المستخلصات'!$L$19)</f>
        <v/>
      </c>
      <c r="L38" s="60">
        <f>IF('[45]سجل المستخلصات'!$M$19="","",'[45]سجل المستخلصات'!$M$19)</f>
        <v/>
      </c>
      <c r="M38" s="60">
        <f>IF('[45]سجل المستخلصات'!$N$19="","",'[45]سجل المستخلصات'!$N$19)</f>
        <v/>
      </c>
      <c r="N38" s="59">
        <f>IF('[45]سجل المستخلصات'!$O$19="","",'[45]سجل المستخلصات'!$O$19)</f>
        <v/>
      </c>
      <c r="O38" s="59">
        <f>IF('[45]سجل المستخلصات'!$R$19="","",'[45]سجل المستخلصات'!$R$19)</f>
        <v/>
      </c>
      <c r="P38" s="59">
        <f>IF('[45]سجل المستخلصات'!$S$19="","",'[45]سجل المستخلصات'!$S$19)</f>
        <v/>
      </c>
      <c r="Q38" s="59">
        <f>IF('[45]سجل المستخلصات'!$T$19="","",'[45]سجل المستخلصات'!$T$19)</f>
        <v/>
      </c>
      <c r="R38" s="59">
        <f>IF('[45]سجل المستخلصات'!$V$19="","",'[45]سجل المستخلصات'!$V$19)</f>
        <v/>
      </c>
      <c r="S38" s="59">
        <f>IF('[45]سجل المستخلصات'!$W$19="","",'[45]سجل المستخلصات'!$W$19)</f>
        <v/>
      </c>
      <c r="T38" s="61">
        <f>IF('[45]سجل المستخلصات'!$X$19="","",'[45]سجل المستخلصات'!$X$19)</f>
        <v/>
      </c>
      <c r="U38" s="61">
        <f>IF('[45]سجل المستخلصات'!$Z$19="","",'[45]سجل المستخلصات'!$Z$19)</f>
        <v/>
      </c>
      <c r="V38" s="59">
        <f>IF('[45]سجل المستخلصات'!$AA$19="","",'[45]سجل المستخلصات'!$AA$19)</f>
        <v/>
      </c>
      <c r="W38" s="59">
        <f>IF('[45]سجل المستخلصات'!$AC$19="","",'[45]سجل المستخلصات'!$AC$19)</f>
        <v/>
      </c>
      <c r="X38" s="62">
        <f>IF('[45]سجل المستخلصات'!$AD$19="","",'[45]سجل المستخلصات'!$AD$19)</f>
        <v/>
      </c>
      <c r="Y38" s="58">
        <f>IF('[45]سجل المستخلصات'!$AE$19="","",'[45]سجل المستخلصات'!$AE$19)</f>
        <v/>
      </c>
    </row>
    <row r="39">
      <c r="B39" s="56" t="n">
        <v>15</v>
      </c>
      <c r="C39" s="57">
        <f>IF('[45]سجل المستخلصات'!$C$20="","",'[45]سجل المستخلصات'!$C$20)</f>
        <v/>
      </c>
      <c r="D39" s="57">
        <f>IF('[45]سجل المستخلصات'!$E$20="","",'[45]سجل المستخلصات'!$E$20)</f>
        <v/>
      </c>
      <c r="E39" s="58">
        <f>IF('[45]سجل المستخلصات'!$F$20="","",'[45]سجل المستخلصات'!$F$20)</f>
        <v/>
      </c>
      <c r="F39" s="59">
        <f>IF('[45]سجل المستخلصات'!$H$20="","",'[45]سجل المستخلصات'!$H$20)</f>
        <v/>
      </c>
      <c r="G39" s="59">
        <f>IF('[45]سجل المستخلصات'!$G$20="","",'[45]سجل المستخلصات'!$G$20)</f>
        <v/>
      </c>
      <c r="H39" s="59">
        <f>IF('[45]سجل المستخلصات'!$I$20="","",'[45]سجل المستخلصات'!$I$20)</f>
        <v/>
      </c>
      <c r="I39" s="59">
        <f>IF('[45]سجل المستخلصات'!$J$20="","",'[45]سجل المستخلصات'!$J$20)</f>
        <v/>
      </c>
      <c r="J39" s="59">
        <f>IF('[45]سجل المستخلصات'!$K$20="","",'[45]سجل المستخلصات'!$K$20)</f>
        <v/>
      </c>
      <c r="K39" s="60">
        <f>IF('[45]سجل المستخلصات'!$L$20="","",'[45]سجل المستخلصات'!$L$20)</f>
        <v/>
      </c>
      <c r="L39" s="60">
        <f>IF('[45]سجل المستخلصات'!$M$20="","",'[45]سجل المستخلصات'!$M$20)</f>
        <v/>
      </c>
      <c r="M39" s="60">
        <f>IF('[45]سجل المستخلصات'!$N$20="","",'[45]سجل المستخلصات'!$N$20)</f>
        <v/>
      </c>
      <c r="N39" s="59">
        <f>IF('[45]سجل المستخلصات'!$O$20="","",'[45]سجل المستخلصات'!$O$20)</f>
        <v/>
      </c>
      <c r="O39" s="59">
        <f>IF('[45]سجل المستخلصات'!$R$20="","",'[45]سجل المستخلصات'!$R$20)</f>
        <v/>
      </c>
      <c r="P39" s="59">
        <f>IF('[45]سجل المستخلصات'!$S$20="","",'[45]سجل المستخلصات'!$S$20)</f>
        <v/>
      </c>
      <c r="Q39" s="59">
        <f>IF('[45]سجل المستخلصات'!$T$20="","",'[45]سجل المستخلصات'!$T$20)</f>
        <v/>
      </c>
      <c r="R39" s="59">
        <f>IF('[45]سجل المستخلصات'!$V$20="","",'[45]سجل المستخلصات'!$V$20)</f>
        <v/>
      </c>
      <c r="S39" s="59">
        <f>IF('[45]سجل المستخلصات'!$W$20="","",'[45]سجل المستخلصات'!$W$20)</f>
        <v/>
      </c>
      <c r="T39" s="61">
        <f>IF('[45]سجل المستخلصات'!$X$20="","",'[45]سجل المستخلصات'!$X$20)</f>
        <v/>
      </c>
      <c r="U39" s="61">
        <f>IF('[45]سجل المستخلصات'!$Z$20="","",'[45]سجل المستخلصات'!$Z$20)</f>
        <v/>
      </c>
      <c r="V39" s="59">
        <f>IF('[45]سجل المستخلصات'!$AA$20="","",'[45]سجل المستخلصات'!$AA$20)</f>
        <v/>
      </c>
      <c r="W39" s="59">
        <f>IF('[45]سجل المستخلصات'!$AC$20="","",'[45]سجل المستخلصات'!$AC$20)</f>
        <v/>
      </c>
      <c r="X39" s="62">
        <f>IF('[45]سجل المستخلصات'!$AD$20="","",'[45]سجل المستخلصات'!$AD$20)</f>
        <v/>
      </c>
      <c r="Y39" s="58">
        <f>IF('[45]سجل المستخلصات'!$AE$20="","",'[45]سجل المستخلصات'!$AE$20)</f>
        <v/>
      </c>
    </row>
    <row r="40">
      <c r="B40" s="56" t="n">
        <v>16</v>
      </c>
      <c r="C40" s="57">
        <f>IF('[45]سجل المستخلصات'!$C$21="","",'[45]سجل المستخلصات'!$C$21)</f>
        <v/>
      </c>
      <c r="D40" s="57">
        <f>IF('[45]سجل المستخلصات'!$E$21="","",'[45]سجل المستخلصات'!$E$21)</f>
        <v/>
      </c>
      <c r="E40" s="58">
        <f>IF('[45]سجل المستخلصات'!$F$21="","",'[45]سجل المستخلصات'!$F$21)</f>
        <v/>
      </c>
      <c r="F40" s="59">
        <f>IF('[45]سجل المستخلصات'!$H$21="","",'[45]سجل المستخلصات'!$H$21)</f>
        <v/>
      </c>
      <c r="G40" s="59">
        <f>IF('[45]سجل المستخلصات'!$G$21="","",'[45]سجل المستخلصات'!$G$21)</f>
        <v/>
      </c>
      <c r="H40" s="59">
        <f>IF('[45]سجل المستخلصات'!$I$21="","",'[45]سجل المستخلصات'!$I$21)</f>
        <v/>
      </c>
      <c r="I40" s="59">
        <f>IF('[45]سجل المستخلصات'!$J$21="","",'[45]سجل المستخلصات'!$J$21)</f>
        <v/>
      </c>
      <c r="J40" s="59">
        <f>IF('[45]سجل المستخلصات'!$K$21="","",'[45]سجل المستخلصات'!$K$21)</f>
        <v/>
      </c>
      <c r="K40" s="60">
        <f>IF('[45]سجل المستخلصات'!$L$21="","",'[45]سجل المستخلصات'!$L$21)</f>
        <v/>
      </c>
      <c r="L40" s="60">
        <f>IF('[45]سجل المستخلصات'!$M$21="","",'[45]سجل المستخلصات'!$M$21)</f>
        <v/>
      </c>
      <c r="M40" s="60">
        <f>IF('[45]سجل المستخلصات'!$N$21="","",'[45]سجل المستخلصات'!$N$21)</f>
        <v/>
      </c>
      <c r="N40" s="59">
        <f>IF('[45]سجل المستخلصات'!$O$21="","",'[45]سجل المستخلصات'!$O$21)</f>
        <v/>
      </c>
      <c r="O40" s="59">
        <f>IF('[45]سجل المستخلصات'!$R$21="","",'[45]سجل المستخلصات'!$R$21)</f>
        <v/>
      </c>
      <c r="P40" s="59">
        <f>IF('[45]سجل المستخلصات'!$S$21="","",'[45]سجل المستخلصات'!$S$21)</f>
        <v/>
      </c>
      <c r="Q40" s="59">
        <f>IF('[45]سجل المستخلصات'!$T$21="","",'[45]سجل المستخلصات'!$T$21)</f>
        <v/>
      </c>
      <c r="R40" s="59">
        <f>IF('[45]سجل المستخلصات'!$V$21="","",'[45]سجل المستخلصات'!$V$21)</f>
        <v/>
      </c>
      <c r="S40" s="59">
        <f>IF('[45]سجل المستخلصات'!$W$21="","",'[45]سجل المستخلصات'!$W$21)</f>
        <v/>
      </c>
      <c r="T40" s="61">
        <f>IF('[45]سجل المستخلصات'!$X$21="","",'[45]سجل المستخلصات'!$X$21)</f>
        <v/>
      </c>
      <c r="U40" s="61">
        <f>IF('[45]سجل المستخلصات'!$Z$21="","",'[45]سجل المستخلصات'!$Z$21)</f>
        <v/>
      </c>
      <c r="V40" s="59">
        <f>IF('[45]سجل المستخلصات'!$AA$21="","",'[45]سجل المستخلصات'!$AA$21)</f>
        <v/>
      </c>
      <c r="W40" s="59">
        <f>IF('[45]سجل المستخلصات'!$AC$21="","",'[45]سجل المستخلصات'!$AC$21)</f>
        <v/>
      </c>
      <c r="X40" s="62">
        <f>IF('[45]سجل المستخلصات'!$AD$21="","",'[45]سجل المستخلصات'!$AD$21)</f>
        <v/>
      </c>
      <c r="Y40" s="58">
        <f>IF('[45]سجل المستخلصات'!$AE$21="","",'[45]سجل المستخلصات'!$AE$21)</f>
        <v/>
      </c>
    </row>
    <row r="41">
      <c r="B41" s="56" t="n">
        <v>17</v>
      </c>
      <c r="C41" s="57">
        <f>IF('[45]سجل المستخلصات'!$C$22="","",'[45]سجل المستخلصات'!$C$22)</f>
        <v/>
      </c>
      <c r="D41" s="57">
        <f>IF('[45]سجل المستخلصات'!$E$22="","",'[45]سجل المستخلصات'!$E$22)</f>
        <v/>
      </c>
      <c r="E41" s="58">
        <f>IF('[45]سجل المستخلصات'!$F$22="","",'[45]سجل المستخلصات'!$F$22)</f>
        <v/>
      </c>
      <c r="F41" s="59">
        <f>IF('[45]سجل المستخلصات'!$H$22="","",'[45]سجل المستخلصات'!$H$22)</f>
        <v/>
      </c>
      <c r="G41" s="59">
        <f>IF('[45]سجل المستخلصات'!$G$22="","",'[45]سجل المستخلصات'!$G$22)</f>
        <v/>
      </c>
      <c r="H41" s="59">
        <f>IF('[45]سجل المستخلصات'!$I$22="","",'[45]سجل المستخلصات'!$I$22)</f>
        <v/>
      </c>
      <c r="I41" s="59">
        <f>IF('[45]سجل المستخلصات'!$J$22="","",'[45]سجل المستخلصات'!$J$22)</f>
        <v/>
      </c>
      <c r="J41" s="59">
        <f>IF('[45]سجل المستخلصات'!$K$22="","",'[45]سجل المستخلصات'!$K$22)</f>
        <v/>
      </c>
      <c r="K41" s="60">
        <f>IF('[45]سجل المستخلصات'!$L$22="","",'[45]سجل المستخلصات'!$L$22)</f>
        <v/>
      </c>
      <c r="L41" s="60">
        <f>IF('[45]سجل المستخلصات'!$M$22="","",'[45]سجل المستخلصات'!$M$22)</f>
        <v/>
      </c>
      <c r="M41" s="60">
        <f>IF('[45]سجل المستخلصات'!$N$22="","",'[45]سجل المستخلصات'!$N$22)</f>
        <v/>
      </c>
      <c r="N41" s="59">
        <f>IF('[45]سجل المستخلصات'!$O$22="","",'[45]سجل المستخلصات'!$O$22)</f>
        <v/>
      </c>
      <c r="O41" s="59">
        <f>IF('[45]سجل المستخلصات'!$R$22="","",'[45]سجل المستخلصات'!$R$22)</f>
        <v/>
      </c>
      <c r="P41" s="59">
        <f>IF('[45]سجل المستخلصات'!$S$22="","",'[45]سجل المستخلصات'!$S$22)</f>
        <v/>
      </c>
      <c r="Q41" s="59">
        <f>IF('[45]سجل المستخلصات'!$T$22="","",'[45]سجل المستخلصات'!$T$22)</f>
        <v/>
      </c>
      <c r="R41" s="59">
        <f>IF('[45]سجل المستخلصات'!$V$22="","",'[45]سجل المستخلصات'!$V$22)</f>
        <v/>
      </c>
      <c r="S41" s="59">
        <f>IF('[45]سجل المستخلصات'!$W$22="","",'[45]سجل المستخلصات'!$W$22)</f>
        <v/>
      </c>
      <c r="T41" s="61">
        <f>IF('[45]سجل المستخلصات'!$X$22="","",'[45]سجل المستخلصات'!$X$22)</f>
        <v/>
      </c>
      <c r="U41" s="61">
        <f>IF('[45]سجل المستخلصات'!$Z$22="","",'[45]سجل المستخلصات'!$Z$22)</f>
        <v/>
      </c>
      <c r="V41" s="59">
        <f>IF('[45]سجل المستخلصات'!$AA$22="","",'[45]سجل المستخلصات'!$AA$22)</f>
        <v/>
      </c>
      <c r="W41" s="59">
        <f>IF('[45]سجل المستخلصات'!$AC$22="","",'[45]سجل المستخلصات'!$AC$22)</f>
        <v/>
      </c>
      <c r="X41" s="62">
        <f>IF('[45]سجل المستخلصات'!$AD$22="","",'[45]سجل المستخلصات'!$AD$22)</f>
        <v/>
      </c>
      <c r="Y41" s="58">
        <f>IF('[45]سجل المستخلصات'!$AE$22="","",'[45]سجل المستخلصات'!$AE$22)</f>
        <v/>
      </c>
    </row>
    <row r="42">
      <c r="B42" s="56" t="n">
        <v>18</v>
      </c>
      <c r="C42" s="57">
        <f>IF('[45]سجل المستخلصات'!$C$23="","",'[45]سجل المستخلصات'!$C$23)</f>
        <v/>
      </c>
      <c r="D42" s="57">
        <f>IF('[45]سجل المستخلصات'!$E$23="","",'[45]سجل المستخلصات'!$E$23)</f>
        <v/>
      </c>
      <c r="E42" s="58">
        <f>IF('[45]سجل المستخلصات'!$F$23="","",'[45]سجل المستخلصات'!$F$23)</f>
        <v/>
      </c>
      <c r="F42" s="59">
        <f>IF('[45]سجل المستخلصات'!$H$23="","",'[45]سجل المستخلصات'!$H$23)</f>
        <v/>
      </c>
      <c r="G42" s="59">
        <f>IF('[45]سجل المستخلصات'!$G$23="","",'[45]سجل المستخلصات'!$G$23)</f>
        <v/>
      </c>
      <c r="H42" s="59">
        <f>IF('[45]سجل المستخلصات'!$I$23="","",'[45]سجل المستخلصات'!$I$23)</f>
        <v/>
      </c>
      <c r="I42" s="59">
        <f>IF('[45]سجل المستخلصات'!$J$23="","",'[45]سجل المستخلصات'!$J$23)</f>
        <v/>
      </c>
      <c r="J42" s="59">
        <f>IF('[45]سجل المستخلصات'!$K$23="","",'[45]سجل المستخلصات'!$K$23)</f>
        <v/>
      </c>
      <c r="K42" s="60">
        <f>IF('[45]سجل المستخلصات'!$L$23="","",'[45]سجل المستخلصات'!$L$23)</f>
        <v/>
      </c>
      <c r="L42" s="60">
        <f>IF('[45]سجل المستخلصات'!$M$23="","",'[45]سجل المستخلصات'!$M$23)</f>
        <v/>
      </c>
      <c r="M42" s="60">
        <f>IF('[45]سجل المستخلصات'!$N$23="","",'[45]سجل المستخلصات'!$N$23)</f>
        <v/>
      </c>
      <c r="N42" s="59">
        <f>IF('[45]سجل المستخلصات'!$O$23="","",'[45]سجل المستخلصات'!$O$23)</f>
        <v/>
      </c>
      <c r="O42" s="59">
        <f>IF('[45]سجل المستخلصات'!$R$23="","",'[45]سجل المستخلصات'!$R$23)</f>
        <v/>
      </c>
      <c r="P42" s="59">
        <f>IF('[45]سجل المستخلصات'!$S$23="","",'[45]سجل المستخلصات'!$S$23)</f>
        <v/>
      </c>
      <c r="Q42" s="59">
        <f>IF('[45]سجل المستخلصات'!$T$23="","",'[45]سجل المستخلصات'!$T$23)</f>
        <v/>
      </c>
      <c r="R42" s="59">
        <f>IF('[45]سجل المستخلصات'!$V$23="","",'[45]سجل المستخلصات'!$V$23)</f>
        <v/>
      </c>
      <c r="S42" s="59">
        <f>IF('[45]سجل المستخلصات'!$W$23="","",'[45]سجل المستخلصات'!$W$23)</f>
        <v/>
      </c>
      <c r="T42" s="61">
        <f>IF('[45]سجل المستخلصات'!$X$23="","",'[45]سجل المستخلصات'!$X$23)</f>
        <v/>
      </c>
      <c r="U42" s="61">
        <f>IF('[45]سجل المستخلصات'!$Z$23="","",'[45]سجل المستخلصات'!$Z$23)</f>
        <v/>
      </c>
      <c r="V42" s="59">
        <f>IF('[45]سجل المستخلصات'!$AA$23="","",'[45]سجل المستخلصات'!$AA$23)</f>
        <v/>
      </c>
      <c r="W42" s="59">
        <f>IF('[45]سجل المستخلصات'!$AC$23="","",'[45]سجل المستخلصات'!$AC$23)</f>
        <v/>
      </c>
      <c r="X42" s="62">
        <f>IF('[45]سجل المستخلصات'!$AD$23="","",'[45]سجل المستخلصات'!$AD$23)</f>
        <v/>
      </c>
      <c r="Y42" s="58">
        <f>IF('[45]سجل المستخلصات'!$AE$23="","",'[45]سجل المستخلصات'!$AE$23)</f>
        <v/>
      </c>
    </row>
    <row r="43">
      <c r="B43" s="56" t="n">
        <v>19</v>
      </c>
      <c r="C43" s="57">
        <f>IF('[45]سجل المستخلصات'!$C$24="","",'[45]سجل المستخلصات'!$C$24)</f>
        <v/>
      </c>
      <c r="D43" s="57">
        <f>IF('[45]سجل المستخلصات'!$E$24="","",'[45]سجل المستخلصات'!$E$24)</f>
        <v/>
      </c>
      <c r="E43" s="58">
        <f>IF('[45]سجل المستخلصات'!$F$24="","",'[45]سجل المستخلصات'!$F$24)</f>
        <v/>
      </c>
      <c r="F43" s="59">
        <f>IF('[45]سجل المستخلصات'!$H$24="","",'[45]سجل المستخلصات'!$H$24)</f>
        <v/>
      </c>
      <c r="G43" s="59">
        <f>IF('[45]سجل المستخلصات'!$G$24="","",'[45]سجل المستخلصات'!$G$24)</f>
        <v/>
      </c>
      <c r="H43" s="59">
        <f>IF('[45]سجل المستخلصات'!$I$24="","",'[45]سجل المستخلصات'!$I$24)</f>
        <v/>
      </c>
      <c r="I43" s="59">
        <f>IF('[45]سجل المستخلصات'!$J$24="","",'[45]سجل المستخلصات'!$J$24)</f>
        <v/>
      </c>
      <c r="J43" s="59">
        <f>IF('[45]سجل المستخلصات'!$K$24="","",'[45]سجل المستخلصات'!$K$24)</f>
        <v/>
      </c>
      <c r="K43" s="60">
        <f>IF('[45]سجل المستخلصات'!$L$24="","",'[45]سجل المستخلصات'!$L$24)</f>
        <v/>
      </c>
      <c r="L43" s="60">
        <f>IF('[45]سجل المستخلصات'!$M$24="","",'[45]سجل المستخلصات'!$M$24)</f>
        <v/>
      </c>
      <c r="M43" s="60">
        <f>IF('[45]سجل المستخلصات'!$N$24="","",'[45]سجل المستخلصات'!$N$24)</f>
        <v/>
      </c>
      <c r="N43" s="59">
        <f>IF('[45]سجل المستخلصات'!$O$24="","",'[45]سجل المستخلصات'!$O$24)</f>
        <v/>
      </c>
      <c r="O43" s="59">
        <f>IF('[45]سجل المستخلصات'!$R$24="","",'[45]سجل المستخلصات'!$R$24)</f>
        <v/>
      </c>
      <c r="P43" s="59">
        <f>IF('[45]سجل المستخلصات'!$S$24="","",'[45]سجل المستخلصات'!$S$24)</f>
        <v/>
      </c>
      <c r="Q43" s="59">
        <f>IF('[45]سجل المستخلصات'!$T$24="","",'[45]سجل المستخلصات'!$T$24)</f>
        <v/>
      </c>
      <c r="R43" s="59">
        <f>IF('[45]سجل المستخلصات'!$V$24="","",'[45]سجل المستخلصات'!$V$24)</f>
        <v/>
      </c>
      <c r="S43" s="59">
        <f>IF('[45]سجل المستخلصات'!$W$24="","",'[45]سجل المستخلصات'!$W$24)</f>
        <v/>
      </c>
      <c r="T43" s="61">
        <f>IF('[45]سجل المستخلصات'!$X$24="","",'[45]سجل المستخلصات'!$X$24)</f>
        <v/>
      </c>
      <c r="U43" s="61">
        <f>IF('[45]سجل المستخلصات'!$Z$24="","",'[45]سجل المستخلصات'!$Z$24)</f>
        <v/>
      </c>
      <c r="V43" s="59">
        <f>IF('[45]سجل المستخلصات'!$AA$24="","",'[45]سجل المستخلصات'!$AA$24)</f>
        <v/>
      </c>
      <c r="W43" s="59">
        <f>IF('[45]سجل المستخلصات'!$AC$24="","",'[45]سجل المستخلصات'!$AC$24)</f>
        <v/>
      </c>
      <c r="X43" s="62">
        <f>IF('[45]سجل المستخلصات'!$AD$24="","",'[45]سجل المستخلصات'!$AD$24)</f>
        <v/>
      </c>
      <c r="Y43" s="58">
        <f>IF('[45]سجل المستخلصات'!$AE$24="","",'[45]سجل المستخلصات'!$AE$24)</f>
        <v/>
      </c>
    </row>
    <row r="44">
      <c r="B44" s="56" t="n">
        <v>20</v>
      </c>
      <c r="C44" s="57">
        <f>IF('[45]سجل المستخلصات'!$C$25="","",'[45]سجل المستخلصات'!$C$25)</f>
        <v/>
      </c>
      <c r="D44" s="57">
        <f>IF('[45]سجل المستخلصات'!$E$25="","",'[45]سجل المستخلصات'!$E$25)</f>
        <v/>
      </c>
      <c r="E44" s="58">
        <f>IF('[45]سجل المستخلصات'!$F$25="","",'[45]سجل المستخلصات'!$F$25)</f>
        <v/>
      </c>
      <c r="F44" s="59">
        <f>IF('[45]سجل المستخلصات'!$H$25="","",'[45]سجل المستخلصات'!$H$25)</f>
        <v/>
      </c>
      <c r="G44" s="59">
        <f>IF('[45]سجل المستخلصات'!$G$25="","",'[45]سجل المستخلصات'!$G$25)</f>
        <v/>
      </c>
      <c r="H44" s="59">
        <f>IF('[45]سجل المستخلصات'!$I$25="","",'[45]سجل المستخلصات'!$I$25)</f>
        <v/>
      </c>
      <c r="I44" s="59">
        <f>IF('[45]سجل المستخلصات'!$J$25="","",'[45]سجل المستخلصات'!$J$25)</f>
        <v/>
      </c>
      <c r="J44" s="59">
        <f>IF('[45]سجل المستخلصات'!$K$25="","",'[45]سجل المستخلصات'!$K$25)</f>
        <v/>
      </c>
      <c r="K44" s="60">
        <f>IF('[45]سجل المستخلصات'!$L$25="","",'[45]سجل المستخلصات'!$L$25)</f>
        <v/>
      </c>
      <c r="L44" s="60">
        <f>IF('[45]سجل المستخلصات'!$M$25="","",'[45]سجل المستخلصات'!$M$25)</f>
        <v/>
      </c>
      <c r="M44" s="60">
        <f>IF('[45]سجل المستخلصات'!$N$25="","",'[45]سجل المستخلصات'!$N$25)</f>
        <v/>
      </c>
      <c r="N44" s="59">
        <f>IF('[45]سجل المستخلصات'!$O$25="","",'[45]سجل المستخلصات'!$O$25)</f>
        <v/>
      </c>
      <c r="O44" s="59">
        <f>IF('[45]سجل المستخلصات'!$R$25="","",'[45]سجل المستخلصات'!$R$25)</f>
        <v/>
      </c>
      <c r="P44" s="59">
        <f>IF('[45]سجل المستخلصات'!$S$25="","",'[45]سجل المستخلصات'!$S$25)</f>
        <v/>
      </c>
      <c r="Q44" s="59">
        <f>IF('[45]سجل المستخلصات'!$T$25="","",'[45]سجل المستخلصات'!$T$25)</f>
        <v/>
      </c>
      <c r="R44" s="59">
        <f>IF('[45]سجل المستخلصات'!$V$25="","",'[45]سجل المستخلصات'!$V$25)</f>
        <v/>
      </c>
      <c r="S44" s="59">
        <f>IF('[45]سجل المستخلصات'!$W$25="","",'[45]سجل المستخلصات'!$W$25)</f>
        <v/>
      </c>
      <c r="T44" s="61">
        <f>IF('[45]سجل المستخلصات'!$X$25="","",'[45]سجل المستخلصات'!$X$25)</f>
        <v/>
      </c>
      <c r="U44" s="61">
        <f>IF('[45]سجل المستخلصات'!$Z$25="","",'[45]سجل المستخلصات'!$Z$25)</f>
        <v/>
      </c>
      <c r="V44" s="59">
        <f>IF('[45]سجل المستخلصات'!$AA$25="","",'[45]سجل المستخلصات'!$AA$25)</f>
        <v/>
      </c>
      <c r="W44" s="59">
        <f>IF('[45]سجل المستخلصات'!$AC$25="","",'[45]سجل المستخلصات'!$AC$25)</f>
        <v/>
      </c>
      <c r="X44" s="62">
        <f>IF('[45]سجل المستخلصات'!$AD$25="","",'[45]سجل المستخلصات'!$AD$25)</f>
        <v/>
      </c>
      <c r="Y44" s="58">
        <f>IF('[45]سجل المستخلصات'!$AE$25="","",'[45]سجل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IF('[45]سجل المستخلصات'!$B$32="","",'[45]سجل المستخلصات'!$B$32)</f>
        <v/>
      </c>
      <c r="C50" s="69" t="n"/>
      <c r="D50" s="69" t="n"/>
      <c r="E50" s="59">
        <f>N('[45]سجل المستخلصات'!$E$32)</f>
        <v/>
      </c>
      <c r="F50" s="59">
        <f>N('[45]سجل المستخلصات'!$F$32)</f>
        <v/>
      </c>
      <c r="G50" s="70">
        <f>IF(E50&gt;0,F50/E50,0)</f>
        <v/>
      </c>
    </row>
    <row r="51">
      <c r="B51" s="69">
        <f>IF('[45]سجل المستخلصات'!$B$33="","",'[45]سجل المستخلصات'!$B$33)</f>
        <v/>
      </c>
      <c r="C51" s="69" t="n"/>
      <c r="D51" s="69" t="n"/>
      <c r="E51" s="59">
        <f>N('[45]سجل المستخلصات'!$E$33)</f>
        <v/>
      </c>
      <c r="F51" s="59">
        <f>N('[45]سجل المستخلصات'!$F$33)</f>
        <v/>
      </c>
      <c r="G51" s="70">
        <f>IF(E51&gt;0,F51/E51,0)</f>
        <v/>
      </c>
    </row>
    <row r="52">
      <c r="B52" s="69">
        <f>IF('[45]سجل المستخلصات'!$B$34="","",'[45]سجل المستخلصات'!$B$34)</f>
        <v/>
      </c>
      <c r="C52" s="69" t="n"/>
      <c r="D52" s="69" t="n"/>
      <c r="E52" s="59">
        <f>N('[45]سجل المستخلصات'!$E$34)</f>
        <v/>
      </c>
      <c r="F52" s="59">
        <f>N('[45]سجل المستخلصات'!$F$34)</f>
        <v/>
      </c>
      <c r="G52" s="70">
        <f>IF(E52&gt;0,F52/E52,0)</f>
        <v/>
      </c>
    </row>
    <row r="53">
      <c r="B53" s="69">
        <f>IF('[45]سجل المستخلصات'!$B$35="","",'[45]سجل المستخلصات'!$B$35)</f>
        <v/>
      </c>
      <c r="C53" s="69" t="n"/>
      <c r="D53" s="69" t="n"/>
      <c r="E53" s="59">
        <f>N('[45]سجل المستخلصات'!$E$35)</f>
        <v/>
      </c>
      <c r="F53" s="59">
        <f>N('[45]سجل المستخلصات'!$F$35)</f>
        <v/>
      </c>
      <c r="G53" s="70">
        <f>IF(E53&gt;0,F53/E53,0)</f>
        <v/>
      </c>
    </row>
    <row r="54">
      <c r="B54" s="69">
        <f>IF('[45]سجل المستخلصات'!$B$36="","",'[45]سجل المستخلصات'!$B$36)</f>
        <v/>
      </c>
      <c r="C54" s="69" t="n"/>
      <c r="D54" s="69" t="n"/>
      <c r="E54" s="59">
        <f>N('[45]سجل المستخلصات'!$E$36)</f>
        <v/>
      </c>
      <c r="F54" s="59">
        <f>N('[45]سجل المستخلصات'!$F$36)</f>
        <v/>
      </c>
      <c r="G54" s="70">
        <f>IF(E54&gt;0,F54/E54,0)</f>
        <v/>
      </c>
    </row>
    <row r="55">
      <c r="B55" s="69">
        <f>IF('[45]سجل المستخلصات'!$B$37="","",'[45]سجل المستخلصات'!$B$37)</f>
        <v/>
      </c>
      <c r="C55" s="69" t="n"/>
      <c r="D55" s="69" t="n"/>
      <c r="E55" s="59">
        <f>N('[45]سجل المستخلصات'!$E$37)</f>
        <v/>
      </c>
      <c r="F55" s="59">
        <f>N('[45]سجل المستخلصات'!$F$37)</f>
        <v/>
      </c>
      <c r="G55" s="70">
        <f>IF(E55&gt;0,F55/E55,0)</f>
        <v/>
      </c>
    </row>
    <row r="56">
      <c r="B56" s="69">
        <f>IF('[45]سجل المستخلصات'!$B$38="","",'[45]سجل المستخلصات'!$B$38)</f>
        <v/>
      </c>
      <c r="C56" s="69" t="n"/>
      <c r="D56" s="69" t="n"/>
      <c r="E56" s="59">
        <f>N('[45]سجل المستخلصات'!$E$38)</f>
        <v/>
      </c>
      <c r="F56" s="59">
        <f>N('[45]سجل المستخلصات'!$F$38)</f>
        <v/>
      </c>
      <c r="G56" s="70">
        <f>IF(E56&gt;0,F56/E56,0)</f>
        <v/>
      </c>
    </row>
    <row r="57">
      <c r="B57" s="69">
        <f>IF('[45]سجل المستخلصات'!$B$39="","",'[45]سجل المستخلصات'!$B$39)</f>
        <v/>
      </c>
      <c r="C57" s="69" t="n"/>
      <c r="D57" s="69" t="n"/>
      <c r="E57" s="59">
        <f>N('[45]سجل المستخلصات'!$E$39)</f>
        <v/>
      </c>
      <c r="F57" s="59">
        <f>N('[45]سجل المستخلصات'!$F$39)</f>
        <v/>
      </c>
      <c r="G57" s="70">
        <f>IF(E57&gt;0,F57/E57,0)</f>
        <v/>
      </c>
    </row>
    <row r="58">
      <c r="B58" s="69">
        <f>IF('[45]سجل المستخلصات'!$B$40="","",'[45]سجل المستخلصات'!$B$40)</f>
        <v/>
      </c>
      <c r="C58" s="69" t="n"/>
      <c r="D58" s="69" t="n"/>
      <c r="E58" s="59">
        <f>N('[45]سجل المستخلصات'!$E$40)</f>
        <v/>
      </c>
      <c r="F58" s="59">
        <f>N('[45]سجل المستخلصات'!$F$40)</f>
        <v/>
      </c>
      <c r="G58" s="70">
        <f>IF(E58&gt;0,F58/E58,0)</f>
        <v/>
      </c>
    </row>
    <row r="59">
      <c r="B59" s="69">
        <f>IF('[45]سجل المستخلصات'!$B$41="","",'[45]سجل المستخلصات'!$B$41)</f>
        <v/>
      </c>
      <c r="C59" s="69" t="n"/>
      <c r="D59" s="69" t="n"/>
      <c r="E59" s="59">
        <f>N('[45]سجل المستخلصات'!$E$41)</f>
        <v/>
      </c>
      <c r="F59" s="59">
        <f>N('[45]سجل المستخلصات'!$F$41)</f>
        <v/>
      </c>
      <c r="G59" s="70">
        <f>IF(E59&gt;0,F59/E59,0)</f>
        <v/>
      </c>
    </row>
    <row r="60">
      <c r="B60" s="69">
        <f>IF('[45]سجل المستخلصات'!$B$42="","",'[45]سجل المستخلصات'!$B$42)</f>
        <v/>
      </c>
      <c r="C60" s="69" t="n"/>
      <c r="D60" s="69" t="n"/>
      <c r="E60" s="59">
        <f>N('[45]سجل المستخلصات'!$E$42)</f>
        <v/>
      </c>
      <c r="F60" s="59">
        <f>N('[45]سجل المستخلصات'!$F$42)</f>
        <v/>
      </c>
      <c r="G60" s="70">
        <f>IF(E60&gt;0,F60/E60,0)</f>
        <v/>
      </c>
    </row>
    <row r="61">
      <c r="B61" s="69">
        <f>IF('[45]سجل المستخلصات'!$B$43="","",'[45]سجل المستخلصات'!$B$43)</f>
        <v/>
      </c>
      <c r="C61" s="69" t="n"/>
      <c r="D61" s="69" t="n"/>
      <c r="E61" s="59">
        <f>N('[45]سجل المستخلصات'!$E$43)</f>
        <v/>
      </c>
      <c r="F61" s="59">
        <f>N('[45]سجل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44'!A1" display="◄ المشروع السابق"/>
    <hyperlink ref="D3" location="'مشروع 46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4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"&amp;IF('[46]بيانات العقد'!$C$5="","مشروع رقم 46 — غير مُفعّل",'[46]بيانات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Project_46/IPC_Project_46.xlsx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IF('[46]بيانات العقد'!$C$5="","",'[46]بيانات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IF('[46]بيانات العقد'!$C$6="","",'[46]بيانات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IF('[46]بيانات العقد'!$C$7="","",'[46]بيانات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IF('[46]بيانات العقد'!$C$8="","",'[46]بيانات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N('[46]بيانات العقد'!$C$16)</f>
        <v/>
      </c>
    </row>
    <row r="6" ht="22" customHeight="1">
      <c r="B6" s="11" t="inlineStr">
        <is>
          <t>المقاول</t>
        </is>
      </c>
      <c r="C6" s="14">
        <f>IF('[46]بيانات العقد'!$C$9="","",'[46]بيانات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IF('[46]بيانات العقد'!$C$11="","",'[46]بيانات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IF('[46]بيانات العقد'!$C$13="","",'[46]بيانات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IF('[46]بيانات العقد'!$C$14="","",'[46]بيانات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N('[46]بيانات العقد'!$C$17)</f>
        <v/>
      </c>
    </row>
    <row r="7">
      <c r="AA7" s="15" t="inlineStr">
        <is>
          <t>قيمة العقد المعدلة</t>
        </is>
      </c>
      <c r="AB7" s="16">
        <f>N('[46]بيانات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N('[46]بيانات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N('[46]بيانات العقد'!$C$21)</f>
        <v/>
      </c>
    </row>
    <row r="10">
      <c r="AA10" s="15" t="inlineStr">
        <is>
          <t>نسبة ضمان الأعمال</t>
        </is>
      </c>
      <c r="AB10" s="23">
        <f>N('[46]بيانات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N('[46]بيانات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N('[46]بيانات العقد'!$C$31)</f>
        <v/>
      </c>
    </row>
    <row r="13">
      <c r="AA13" s="15" t="inlineStr">
        <is>
          <t>ضريبة الاستقطاع (غير المقيم)</t>
        </is>
      </c>
      <c r="AB13" s="23">
        <f>N('[46]بيانات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IF('[46]بيانات العقد'!$C$11="","",'[46]بيانات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IF('[46]بيانات العقد'!$C$13="","",'[46]بيانات العقد'!$C$13)</f>
        <v/>
      </c>
    </row>
    <row r="16">
      <c r="AA16" s="15" t="inlineStr">
        <is>
          <t>المدة (شهر)</t>
        </is>
      </c>
      <c r="AB16" s="43">
        <f>IF('[46]بيانات العقد'!$C$12="","",'[46]بيانات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IF('[46]بيانات العقد'!$C$36="","",'[46]بيانات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IF('[46]بيانات العقد'!$C$37="","",'[46]بيانات العقد'!$C$37)</f>
        <v/>
      </c>
    </row>
    <row r="19">
      <c r="AA19" s="15" t="inlineStr">
        <is>
          <t>الرقم الضريبي لصاحب العمل</t>
        </is>
      </c>
      <c r="AB19" s="48">
        <f>IF('[46]بيانات العقد'!$C$39="","",'[46]بيانات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IF('[46]بيانات العقد'!$C$42="","",'[46]بيانات العقد'!$C$42)</f>
        <v/>
      </c>
    </row>
    <row r="21" ht="32" customHeight="1">
      <c r="B21" s="50">
        <f>N('[46]الموازنة والتكاليف'!$D$66)</f>
        <v/>
      </c>
      <c r="C21" s="50" t="n"/>
      <c r="D21" s="50" t="n"/>
      <c r="E21" s="50" t="n"/>
      <c r="F21" s="50">
        <f>N('[46]الموازنة والتكاليف'!$D$70)</f>
        <v/>
      </c>
      <c r="G21" s="50" t="n"/>
      <c r="H21" s="50" t="n"/>
      <c r="I21" s="50" t="n"/>
      <c r="J21" s="50">
        <f>N('[46]الموازنة والتكاليف'!$D$72)</f>
        <v/>
      </c>
      <c r="K21" s="50" t="n"/>
      <c r="L21" s="50" t="n"/>
      <c r="M21" s="50" t="n"/>
      <c r="N21" s="51">
        <f>N('[46]الموازنة والتكاليف'!$D$73)</f>
        <v/>
      </c>
      <c r="O21" s="51" t="n"/>
      <c r="P21" s="51" t="n"/>
      <c r="Q21" s="51" t="n"/>
      <c r="R21" s="52">
        <f>N('[46]الموازنة والتكاليف'!$D$74)</f>
        <v/>
      </c>
      <c r="S21" s="52" t="n"/>
      <c r="T21" s="52" t="n"/>
      <c r="U21" s="52" t="n"/>
      <c r="V21" s="50">
        <f>N('[46]الموازنة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IF('[46]بيانات العقد'!$C$43="","",'[46]بيانات العقد'!$C$43)</f>
        <v/>
      </c>
    </row>
    <row r="22">
      <c r="AA22" s="15" t="inlineStr">
        <is>
          <t>حالة غرامات التأخير</t>
        </is>
      </c>
      <c r="AB22" s="45">
        <f>IF('[46]بيانات العقد'!$C$47="","",'[46]بيانات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IF('[46]سجل المستخلصات'!$C$6="","",'[46]سجل المستخلصات'!$C$6)</f>
        <v/>
      </c>
      <c r="D25" s="57">
        <f>IF('[46]سجل المستخلصات'!$E$6="","",'[46]سجل المستخلصات'!$E$6)</f>
        <v/>
      </c>
      <c r="E25" s="58">
        <f>IF('[46]سجل المستخلصات'!$F$6="","",'[46]سجل المستخلصات'!$F$6)</f>
        <v/>
      </c>
      <c r="F25" s="59">
        <f>IF('[46]سجل المستخلصات'!$H$6="","",'[46]سجل المستخلصات'!$H$6)</f>
        <v/>
      </c>
      <c r="G25" s="59">
        <f>IF('[46]سجل المستخلصات'!$G$6="","",'[46]سجل المستخلصات'!$G$6)</f>
        <v/>
      </c>
      <c r="H25" s="59">
        <f>IF('[46]سجل المستخلصات'!$I$6="","",'[46]سجل المستخلصات'!$I$6)</f>
        <v/>
      </c>
      <c r="I25" s="59">
        <f>IF('[46]سجل المستخلصات'!$J$6="","",'[46]سجل المستخلصات'!$J$6)</f>
        <v/>
      </c>
      <c r="J25" s="59">
        <f>IF('[46]سجل المستخلصات'!$K$6="","",'[46]سجل المستخلصات'!$K$6)</f>
        <v/>
      </c>
      <c r="K25" s="60">
        <f>IF('[46]سجل المستخلصات'!$L$6="","",'[46]سجل المستخلصات'!$L$6)</f>
        <v/>
      </c>
      <c r="L25" s="60">
        <f>IF('[46]سجل المستخلصات'!$M$6="","",'[46]سجل المستخلصات'!$M$6)</f>
        <v/>
      </c>
      <c r="M25" s="60">
        <f>IF('[46]سجل المستخلصات'!$N$6="","",'[46]سجل المستخلصات'!$N$6)</f>
        <v/>
      </c>
      <c r="N25" s="59">
        <f>IF('[46]سجل المستخلصات'!$O$6="","",'[46]سجل المستخلصات'!$O$6)</f>
        <v/>
      </c>
      <c r="O25" s="59">
        <f>IF('[46]سجل المستخلصات'!$R$6="","",'[46]سجل المستخلصات'!$R$6)</f>
        <v/>
      </c>
      <c r="P25" s="59">
        <f>IF('[46]سجل المستخلصات'!$S$6="","",'[46]سجل المستخلصات'!$S$6)</f>
        <v/>
      </c>
      <c r="Q25" s="59">
        <f>IF('[46]سجل المستخلصات'!$T$6="","",'[46]سجل المستخلصات'!$T$6)</f>
        <v/>
      </c>
      <c r="R25" s="59">
        <f>IF('[46]سجل المستخلصات'!$V$6="","",'[46]سجل المستخلصات'!$V$6)</f>
        <v/>
      </c>
      <c r="S25" s="59">
        <f>IF('[46]سجل المستخلصات'!$W$6="","",'[46]سجل المستخلصات'!$W$6)</f>
        <v/>
      </c>
      <c r="T25" s="61">
        <f>IF('[46]سجل المستخلصات'!$X$6="","",'[46]سجل المستخلصات'!$X$6)</f>
        <v/>
      </c>
      <c r="U25" s="61">
        <f>IF('[46]سجل المستخلصات'!$Z$6="","",'[46]سجل المستخلصات'!$Z$6)</f>
        <v/>
      </c>
      <c r="V25" s="59">
        <f>IF('[46]سجل المستخلصات'!$AA$6="","",'[46]سجل المستخلصات'!$AA$6)</f>
        <v/>
      </c>
      <c r="W25" s="59">
        <f>IF('[46]سجل المستخلصات'!$AC$6="","",'[46]سجل المستخلصات'!$AC$6)</f>
        <v/>
      </c>
      <c r="X25" s="62">
        <f>IF('[46]سجل المستخلصات'!$AD$6="","",'[46]سجل المستخلصات'!$AD$6)</f>
        <v/>
      </c>
      <c r="Y25" s="58">
        <f>IF('[46]سجل المستخلصات'!$AE$6="","",'[46]سجل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IF('[46]سجل المستخلصات'!$C$7="","",'[46]سجل المستخلصات'!$C$7)</f>
        <v/>
      </c>
      <c r="D26" s="57">
        <f>IF('[46]سجل المستخلصات'!$E$7="","",'[46]سجل المستخلصات'!$E$7)</f>
        <v/>
      </c>
      <c r="E26" s="58">
        <f>IF('[46]سجل المستخلصات'!$F$7="","",'[46]سجل المستخلصات'!$F$7)</f>
        <v/>
      </c>
      <c r="F26" s="59">
        <f>IF('[46]سجل المستخلصات'!$H$7="","",'[46]سجل المستخلصات'!$H$7)</f>
        <v/>
      </c>
      <c r="G26" s="59">
        <f>IF('[46]سجل المستخلصات'!$G$7="","",'[46]سجل المستخلصات'!$G$7)</f>
        <v/>
      </c>
      <c r="H26" s="59">
        <f>IF('[46]سجل المستخلصات'!$I$7="","",'[46]سجل المستخلصات'!$I$7)</f>
        <v/>
      </c>
      <c r="I26" s="59">
        <f>IF('[46]سجل المستخلصات'!$J$7="","",'[46]سجل المستخلصات'!$J$7)</f>
        <v/>
      </c>
      <c r="J26" s="59">
        <f>IF('[46]سجل المستخلصات'!$K$7="","",'[46]سجل المستخلصات'!$K$7)</f>
        <v/>
      </c>
      <c r="K26" s="60">
        <f>IF('[46]سجل المستخلصات'!$L$7="","",'[46]سجل المستخلصات'!$L$7)</f>
        <v/>
      </c>
      <c r="L26" s="60">
        <f>IF('[46]سجل المستخلصات'!$M$7="","",'[46]سجل المستخلصات'!$M$7)</f>
        <v/>
      </c>
      <c r="M26" s="60">
        <f>IF('[46]سجل المستخلصات'!$N$7="","",'[46]سجل المستخلصات'!$N$7)</f>
        <v/>
      </c>
      <c r="N26" s="59">
        <f>IF('[46]سجل المستخلصات'!$O$7="","",'[46]سجل المستخلصات'!$O$7)</f>
        <v/>
      </c>
      <c r="O26" s="59">
        <f>IF('[46]سجل المستخلصات'!$R$7="","",'[46]سجل المستخلصات'!$R$7)</f>
        <v/>
      </c>
      <c r="P26" s="59">
        <f>IF('[46]سجل المستخلصات'!$S$7="","",'[46]سجل المستخلصات'!$S$7)</f>
        <v/>
      </c>
      <c r="Q26" s="59">
        <f>IF('[46]سجل المستخلصات'!$T$7="","",'[46]سجل المستخلصات'!$T$7)</f>
        <v/>
      </c>
      <c r="R26" s="59">
        <f>IF('[46]سجل المستخلصات'!$V$7="","",'[46]سجل المستخلصات'!$V$7)</f>
        <v/>
      </c>
      <c r="S26" s="59">
        <f>IF('[46]سجل المستخلصات'!$W$7="","",'[46]سجل المستخلصات'!$W$7)</f>
        <v/>
      </c>
      <c r="T26" s="61">
        <f>IF('[46]سجل المستخلصات'!$X$7="","",'[46]سجل المستخلصات'!$X$7)</f>
        <v/>
      </c>
      <c r="U26" s="61">
        <f>IF('[46]سجل المستخلصات'!$Z$7="","",'[46]سجل المستخلصات'!$Z$7)</f>
        <v/>
      </c>
      <c r="V26" s="59">
        <f>IF('[46]سجل المستخلصات'!$AA$7="","",'[46]سجل المستخلصات'!$AA$7)</f>
        <v/>
      </c>
      <c r="W26" s="59">
        <f>IF('[46]سجل المستخلصات'!$AC$7="","",'[46]سجل المستخلصات'!$AC$7)</f>
        <v/>
      </c>
      <c r="X26" s="62">
        <f>IF('[46]سجل المستخلصات'!$AD$7="","",'[46]سجل المستخلصات'!$AD$7)</f>
        <v/>
      </c>
      <c r="Y26" s="58">
        <f>IF('[46]سجل المستخلصات'!$AE$7="","",'[46]سجل المستخلصات'!$AE$7)</f>
        <v/>
      </c>
      <c r="AA26" s="63" t="n"/>
      <c r="AB26" s="63" t="n"/>
    </row>
    <row r="27">
      <c r="B27" s="56" t="n">
        <v>3</v>
      </c>
      <c r="C27" s="57">
        <f>IF('[46]سجل المستخلصات'!$C$8="","",'[46]سجل المستخلصات'!$C$8)</f>
        <v/>
      </c>
      <c r="D27" s="57">
        <f>IF('[46]سجل المستخلصات'!$E$8="","",'[46]سجل المستخلصات'!$E$8)</f>
        <v/>
      </c>
      <c r="E27" s="58">
        <f>IF('[46]سجل المستخلصات'!$F$8="","",'[46]سجل المستخلصات'!$F$8)</f>
        <v/>
      </c>
      <c r="F27" s="59">
        <f>IF('[46]سجل المستخلصات'!$H$8="","",'[46]سجل المستخلصات'!$H$8)</f>
        <v/>
      </c>
      <c r="G27" s="59">
        <f>IF('[46]سجل المستخلصات'!$G$8="","",'[46]سجل المستخلصات'!$G$8)</f>
        <v/>
      </c>
      <c r="H27" s="59">
        <f>IF('[46]سجل المستخلصات'!$I$8="","",'[46]سجل المستخلصات'!$I$8)</f>
        <v/>
      </c>
      <c r="I27" s="59">
        <f>IF('[46]سجل المستخلصات'!$J$8="","",'[46]سجل المستخلصات'!$J$8)</f>
        <v/>
      </c>
      <c r="J27" s="59">
        <f>IF('[46]سجل المستخلصات'!$K$8="","",'[46]سجل المستخلصات'!$K$8)</f>
        <v/>
      </c>
      <c r="K27" s="60">
        <f>IF('[46]سجل المستخلصات'!$L$8="","",'[46]سجل المستخلصات'!$L$8)</f>
        <v/>
      </c>
      <c r="L27" s="60">
        <f>IF('[46]سجل المستخلصات'!$M$8="","",'[46]سجل المستخلصات'!$M$8)</f>
        <v/>
      </c>
      <c r="M27" s="60">
        <f>IF('[46]سجل المستخلصات'!$N$8="","",'[46]سجل المستخلصات'!$N$8)</f>
        <v/>
      </c>
      <c r="N27" s="59">
        <f>IF('[46]سجل المستخلصات'!$O$8="","",'[46]سجل المستخلصات'!$O$8)</f>
        <v/>
      </c>
      <c r="O27" s="59">
        <f>IF('[46]سجل المستخلصات'!$R$8="","",'[46]سجل المستخلصات'!$R$8)</f>
        <v/>
      </c>
      <c r="P27" s="59">
        <f>IF('[46]سجل المستخلصات'!$S$8="","",'[46]سجل المستخلصات'!$S$8)</f>
        <v/>
      </c>
      <c r="Q27" s="59">
        <f>IF('[46]سجل المستخلصات'!$T$8="","",'[46]سجل المستخلصات'!$T$8)</f>
        <v/>
      </c>
      <c r="R27" s="59">
        <f>IF('[46]سجل المستخلصات'!$V$8="","",'[46]سجل المستخلصات'!$V$8)</f>
        <v/>
      </c>
      <c r="S27" s="59">
        <f>IF('[46]سجل المستخلصات'!$W$8="","",'[46]سجل المستخلصات'!$W$8)</f>
        <v/>
      </c>
      <c r="T27" s="61">
        <f>IF('[46]سجل المستخلصات'!$X$8="","",'[46]سجل المستخلصات'!$X$8)</f>
        <v/>
      </c>
      <c r="U27" s="61">
        <f>IF('[46]سجل المستخلصات'!$Z$8="","",'[46]سجل المستخلصات'!$Z$8)</f>
        <v/>
      </c>
      <c r="V27" s="59">
        <f>IF('[46]سجل المستخلصات'!$AA$8="","",'[46]سجل المستخلصات'!$AA$8)</f>
        <v/>
      </c>
      <c r="W27" s="59">
        <f>IF('[46]سجل المستخلصات'!$AC$8="","",'[46]سجل المستخلصات'!$AC$8)</f>
        <v/>
      </c>
      <c r="X27" s="62">
        <f>IF('[46]سجل المستخلصات'!$AD$8="","",'[46]سجل المستخلصات'!$AD$8)</f>
        <v/>
      </c>
      <c r="Y27" s="58">
        <f>IF('[46]سجل المستخلصات'!$AE$8="","",'[46]سجل المستخلصات'!$AE$8)</f>
        <v/>
      </c>
      <c r="AA27" s="63" t="n"/>
      <c r="AB27" s="63" t="n"/>
    </row>
    <row r="28">
      <c r="B28" s="56" t="n">
        <v>4</v>
      </c>
      <c r="C28" s="57">
        <f>IF('[46]سجل المستخلصات'!$C$9="","",'[46]سجل المستخلصات'!$C$9)</f>
        <v/>
      </c>
      <c r="D28" s="57">
        <f>IF('[46]سجل المستخلصات'!$E$9="","",'[46]سجل المستخلصات'!$E$9)</f>
        <v/>
      </c>
      <c r="E28" s="58">
        <f>IF('[46]سجل المستخلصات'!$F$9="","",'[46]سجل المستخلصات'!$F$9)</f>
        <v/>
      </c>
      <c r="F28" s="59">
        <f>IF('[46]سجل المستخلصات'!$H$9="","",'[46]سجل المستخلصات'!$H$9)</f>
        <v/>
      </c>
      <c r="G28" s="59">
        <f>IF('[46]سجل المستخلصات'!$G$9="","",'[46]سجل المستخلصات'!$G$9)</f>
        <v/>
      </c>
      <c r="H28" s="59">
        <f>IF('[46]سجل المستخلصات'!$I$9="","",'[46]سجل المستخلصات'!$I$9)</f>
        <v/>
      </c>
      <c r="I28" s="59">
        <f>IF('[46]سجل المستخلصات'!$J$9="","",'[46]سجل المستخلصات'!$J$9)</f>
        <v/>
      </c>
      <c r="J28" s="59">
        <f>IF('[46]سجل المستخلصات'!$K$9="","",'[46]سجل المستخلصات'!$K$9)</f>
        <v/>
      </c>
      <c r="K28" s="60">
        <f>IF('[46]سجل المستخلصات'!$L$9="","",'[46]سجل المستخلصات'!$L$9)</f>
        <v/>
      </c>
      <c r="L28" s="60">
        <f>IF('[46]سجل المستخلصات'!$M$9="","",'[46]سجل المستخلصات'!$M$9)</f>
        <v/>
      </c>
      <c r="M28" s="60">
        <f>IF('[46]سجل المستخلصات'!$N$9="","",'[46]سجل المستخلصات'!$N$9)</f>
        <v/>
      </c>
      <c r="N28" s="59">
        <f>IF('[46]سجل المستخلصات'!$O$9="","",'[46]سجل المستخلصات'!$O$9)</f>
        <v/>
      </c>
      <c r="O28" s="59">
        <f>IF('[46]سجل المستخلصات'!$R$9="","",'[46]سجل المستخلصات'!$R$9)</f>
        <v/>
      </c>
      <c r="P28" s="59">
        <f>IF('[46]سجل المستخلصات'!$S$9="","",'[46]سجل المستخلصات'!$S$9)</f>
        <v/>
      </c>
      <c r="Q28" s="59">
        <f>IF('[46]سجل المستخلصات'!$T$9="","",'[46]سجل المستخلصات'!$T$9)</f>
        <v/>
      </c>
      <c r="R28" s="59">
        <f>IF('[46]سجل المستخلصات'!$V$9="","",'[46]سجل المستخلصات'!$V$9)</f>
        <v/>
      </c>
      <c r="S28" s="59">
        <f>IF('[46]سجل المستخلصات'!$W$9="","",'[46]سجل المستخلصات'!$W$9)</f>
        <v/>
      </c>
      <c r="T28" s="61">
        <f>IF('[46]سجل المستخلصات'!$X$9="","",'[46]سجل المستخلصات'!$X$9)</f>
        <v/>
      </c>
      <c r="U28" s="61">
        <f>IF('[46]سجل المستخلصات'!$Z$9="","",'[46]سجل المستخلصات'!$Z$9)</f>
        <v/>
      </c>
      <c r="V28" s="59">
        <f>IF('[46]سجل المستخلصات'!$AA$9="","",'[46]سجل المستخلصات'!$AA$9)</f>
        <v/>
      </c>
      <c r="W28" s="59">
        <f>IF('[46]سجل المستخلصات'!$AC$9="","",'[46]سجل المستخلصات'!$AC$9)</f>
        <v/>
      </c>
      <c r="X28" s="62">
        <f>IF('[46]سجل المستخلصات'!$AD$9="","",'[46]سجل المستخلصات'!$AD$9)</f>
        <v/>
      </c>
      <c r="Y28" s="58">
        <f>IF('[46]سجل المستخلصات'!$AE$9="","",'[46]سجل المستخلصات'!$AE$9)</f>
        <v/>
      </c>
      <c r="AA28" s="63" t="n"/>
      <c r="AB28" s="63" t="n"/>
    </row>
    <row r="29">
      <c r="B29" s="56" t="n">
        <v>5</v>
      </c>
      <c r="C29" s="57">
        <f>IF('[46]سجل المستخلصات'!$C$10="","",'[46]سجل المستخلصات'!$C$10)</f>
        <v/>
      </c>
      <c r="D29" s="57">
        <f>IF('[46]سجل المستخلصات'!$E$10="","",'[46]سجل المستخلصات'!$E$10)</f>
        <v/>
      </c>
      <c r="E29" s="58">
        <f>IF('[46]سجل المستخلصات'!$F$10="","",'[46]سجل المستخلصات'!$F$10)</f>
        <v/>
      </c>
      <c r="F29" s="59">
        <f>IF('[46]سجل المستخلصات'!$H$10="","",'[46]سجل المستخلصات'!$H$10)</f>
        <v/>
      </c>
      <c r="G29" s="59">
        <f>IF('[46]سجل المستخلصات'!$G$10="","",'[46]سجل المستخلصات'!$G$10)</f>
        <v/>
      </c>
      <c r="H29" s="59">
        <f>IF('[46]سجل المستخلصات'!$I$10="","",'[46]سجل المستخلصات'!$I$10)</f>
        <v/>
      </c>
      <c r="I29" s="59">
        <f>IF('[46]سجل المستخلصات'!$J$10="","",'[46]سجل المستخلصات'!$J$10)</f>
        <v/>
      </c>
      <c r="J29" s="59">
        <f>IF('[46]سجل المستخلصات'!$K$10="","",'[46]سجل المستخلصات'!$K$10)</f>
        <v/>
      </c>
      <c r="K29" s="60">
        <f>IF('[46]سجل المستخلصات'!$L$10="","",'[46]سجل المستخلصات'!$L$10)</f>
        <v/>
      </c>
      <c r="L29" s="60">
        <f>IF('[46]سجل المستخلصات'!$M$10="","",'[46]سجل المستخلصات'!$M$10)</f>
        <v/>
      </c>
      <c r="M29" s="60">
        <f>IF('[46]سجل المستخلصات'!$N$10="","",'[46]سجل المستخلصات'!$N$10)</f>
        <v/>
      </c>
      <c r="N29" s="59">
        <f>IF('[46]سجل المستخلصات'!$O$10="","",'[46]سجل المستخلصات'!$O$10)</f>
        <v/>
      </c>
      <c r="O29" s="59">
        <f>IF('[46]سجل المستخلصات'!$R$10="","",'[46]سجل المستخلصات'!$R$10)</f>
        <v/>
      </c>
      <c r="P29" s="59">
        <f>IF('[46]سجل المستخلصات'!$S$10="","",'[46]سجل المستخلصات'!$S$10)</f>
        <v/>
      </c>
      <c r="Q29" s="59">
        <f>IF('[46]سجل المستخلصات'!$T$10="","",'[46]سجل المستخلصات'!$T$10)</f>
        <v/>
      </c>
      <c r="R29" s="59">
        <f>IF('[46]سجل المستخلصات'!$V$10="","",'[46]سجل المستخلصات'!$V$10)</f>
        <v/>
      </c>
      <c r="S29" s="59">
        <f>IF('[46]سجل المستخلصات'!$W$10="","",'[46]سجل المستخلصات'!$W$10)</f>
        <v/>
      </c>
      <c r="T29" s="61">
        <f>IF('[46]سجل المستخلصات'!$X$10="","",'[46]سجل المستخلصات'!$X$10)</f>
        <v/>
      </c>
      <c r="U29" s="61">
        <f>IF('[46]سجل المستخلصات'!$Z$10="","",'[46]سجل المستخلصات'!$Z$10)</f>
        <v/>
      </c>
      <c r="V29" s="59">
        <f>IF('[46]سجل المستخلصات'!$AA$10="","",'[46]سجل المستخلصات'!$AA$10)</f>
        <v/>
      </c>
      <c r="W29" s="59">
        <f>IF('[46]سجل المستخلصات'!$AC$10="","",'[46]سجل المستخلصات'!$AC$10)</f>
        <v/>
      </c>
      <c r="X29" s="62">
        <f>IF('[46]سجل المستخلصات'!$AD$10="","",'[46]سجل المستخلصات'!$AD$10)</f>
        <v/>
      </c>
      <c r="Y29" s="58">
        <f>IF('[46]سجل المستخلصات'!$AE$10="","",'[46]سجل المستخلصات'!$AE$10)</f>
        <v/>
      </c>
    </row>
    <row r="30">
      <c r="B30" s="56" t="n">
        <v>6</v>
      </c>
      <c r="C30" s="57">
        <f>IF('[46]سجل المستخلصات'!$C$11="","",'[46]سجل المستخلصات'!$C$11)</f>
        <v/>
      </c>
      <c r="D30" s="57">
        <f>IF('[46]سجل المستخلصات'!$E$11="","",'[46]سجل المستخلصات'!$E$11)</f>
        <v/>
      </c>
      <c r="E30" s="58">
        <f>IF('[46]سجل المستخلصات'!$F$11="","",'[46]سجل المستخلصات'!$F$11)</f>
        <v/>
      </c>
      <c r="F30" s="59">
        <f>IF('[46]سجل المستخلصات'!$H$11="","",'[46]سجل المستخلصات'!$H$11)</f>
        <v/>
      </c>
      <c r="G30" s="59">
        <f>IF('[46]سجل المستخلصات'!$G$11="","",'[46]سجل المستخلصات'!$G$11)</f>
        <v/>
      </c>
      <c r="H30" s="59">
        <f>IF('[46]سجل المستخلصات'!$I$11="","",'[46]سجل المستخلصات'!$I$11)</f>
        <v/>
      </c>
      <c r="I30" s="59">
        <f>IF('[46]سجل المستخلصات'!$J$11="","",'[46]سجل المستخلصات'!$J$11)</f>
        <v/>
      </c>
      <c r="J30" s="59">
        <f>IF('[46]سجل المستخلصات'!$K$11="","",'[46]سجل المستخلصات'!$K$11)</f>
        <v/>
      </c>
      <c r="K30" s="60">
        <f>IF('[46]سجل المستخلصات'!$L$11="","",'[46]سجل المستخلصات'!$L$11)</f>
        <v/>
      </c>
      <c r="L30" s="60">
        <f>IF('[46]سجل المستخلصات'!$M$11="","",'[46]سجل المستخلصات'!$M$11)</f>
        <v/>
      </c>
      <c r="M30" s="60">
        <f>IF('[46]سجل المستخلصات'!$N$11="","",'[46]سجل المستخلصات'!$N$11)</f>
        <v/>
      </c>
      <c r="N30" s="59">
        <f>IF('[46]سجل المستخلصات'!$O$11="","",'[46]سجل المستخلصات'!$O$11)</f>
        <v/>
      </c>
      <c r="O30" s="59">
        <f>IF('[46]سجل المستخلصات'!$R$11="","",'[46]سجل المستخلصات'!$R$11)</f>
        <v/>
      </c>
      <c r="P30" s="59">
        <f>IF('[46]سجل المستخلصات'!$S$11="","",'[46]سجل المستخلصات'!$S$11)</f>
        <v/>
      </c>
      <c r="Q30" s="59">
        <f>IF('[46]سجل المستخلصات'!$T$11="","",'[46]سجل المستخلصات'!$T$11)</f>
        <v/>
      </c>
      <c r="R30" s="59">
        <f>IF('[46]سجل المستخلصات'!$V$11="","",'[46]سجل المستخلصات'!$V$11)</f>
        <v/>
      </c>
      <c r="S30" s="59">
        <f>IF('[46]سجل المستخلصات'!$W$11="","",'[46]سجل المستخلصات'!$W$11)</f>
        <v/>
      </c>
      <c r="T30" s="61">
        <f>IF('[46]سجل المستخلصات'!$X$11="","",'[46]سجل المستخلصات'!$X$11)</f>
        <v/>
      </c>
      <c r="U30" s="61">
        <f>IF('[46]سجل المستخلصات'!$Z$11="","",'[46]سجل المستخلصات'!$Z$11)</f>
        <v/>
      </c>
      <c r="V30" s="59">
        <f>IF('[46]سجل المستخلصات'!$AA$11="","",'[46]سجل المستخلصات'!$AA$11)</f>
        <v/>
      </c>
      <c r="W30" s="59">
        <f>IF('[46]سجل المستخلصات'!$AC$11="","",'[46]سجل المستخلصات'!$AC$11)</f>
        <v/>
      </c>
      <c r="X30" s="62">
        <f>IF('[46]سجل المستخلصات'!$AD$11="","",'[46]سجل المستخلصات'!$AD$11)</f>
        <v/>
      </c>
      <c r="Y30" s="58">
        <f>IF('[46]سجل المستخلصات'!$AE$11="","",'[46]سجل المستخلصات'!$AE$11)</f>
        <v/>
      </c>
    </row>
    <row r="31">
      <c r="B31" s="56" t="n">
        <v>7</v>
      </c>
      <c r="C31" s="57">
        <f>IF('[46]سجل المستخلصات'!$C$12="","",'[46]سجل المستخلصات'!$C$12)</f>
        <v/>
      </c>
      <c r="D31" s="57">
        <f>IF('[46]سجل المستخلصات'!$E$12="","",'[46]سجل المستخلصات'!$E$12)</f>
        <v/>
      </c>
      <c r="E31" s="58">
        <f>IF('[46]سجل المستخلصات'!$F$12="","",'[46]سجل المستخلصات'!$F$12)</f>
        <v/>
      </c>
      <c r="F31" s="59">
        <f>IF('[46]سجل المستخلصات'!$H$12="","",'[46]سجل المستخلصات'!$H$12)</f>
        <v/>
      </c>
      <c r="G31" s="59">
        <f>IF('[46]سجل المستخلصات'!$G$12="","",'[46]سجل المستخلصات'!$G$12)</f>
        <v/>
      </c>
      <c r="H31" s="59">
        <f>IF('[46]سجل المستخلصات'!$I$12="","",'[46]سجل المستخلصات'!$I$12)</f>
        <v/>
      </c>
      <c r="I31" s="59">
        <f>IF('[46]سجل المستخلصات'!$J$12="","",'[46]سجل المستخلصات'!$J$12)</f>
        <v/>
      </c>
      <c r="J31" s="59">
        <f>IF('[46]سجل المستخلصات'!$K$12="","",'[46]سجل المستخلصات'!$K$12)</f>
        <v/>
      </c>
      <c r="K31" s="60">
        <f>IF('[46]سجل المستخلصات'!$L$12="","",'[46]سجل المستخلصات'!$L$12)</f>
        <v/>
      </c>
      <c r="L31" s="60">
        <f>IF('[46]سجل المستخلصات'!$M$12="","",'[46]سجل المستخلصات'!$M$12)</f>
        <v/>
      </c>
      <c r="M31" s="60">
        <f>IF('[46]سجل المستخلصات'!$N$12="","",'[46]سجل المستخلصات'!$N$12)</f>
        <v/>
      </c>
      <c r="N31" s="59">
        <f>IF('[46]سجل المستخلصات'!$O$12="","",'[46]سجل المستخلصات'!$O$12)</f>
        <v/>
      </c>
      <c r="O31" s="59">
        <f>IF('[46]سجل المستخلصات'!$R$12="","",'[46]سجل المستخلصات'!$R$12)</f>
        <v/>
      </c>
      <c r="P31" s="59">
        <f>IF('[46]سجل المستخلصات'!$S$12="","",'[46]سجل المستخلصات'!$S$12)</f>
        <v/>
      </c>
      <c r="Q31" s="59">
        <f>IF('[46]سجل المستخلصات'!$T$12="","",'[46]سجل المستخلصات'!$T$12)</f>
        <v/>
      </c>
      <c r="R31" s="59">
        <f>IF('[46]سجل المستخلصات'!$V$12="","",'[46]سجل المستخلصات'!$V$12)</f>
        <v/>
      </c>
      <c r="S31" s="59">
        <f>IF('[46]سجل المستخلصات'!$W$12="","",'[46]سجل المستخلصات'!$W$12)</f>
        <v/>
      </c>
      <c r="T31" s="61">
        <f>IF('[46]سجل المستخلصات'!$X$12="","",'[46]سجل المستخلصات'!$X$12)</f>
        <v/>
      </c>
      <c r="U31" s="61">
        <f>IF('[46]سجل المستخلصات'!$Z$12="","",'[46]سجل المستخلصات'!$Z$12)</f>
        <v/>
      </c>
      <c r="V31" s="59">
        <f>IF('[46]سجل المستخلصات'!$AA$12="","",'[46]سجل المستخلصات'!$AA$12)</f>
        <v/>
      </c>
      <c r="W31" s="59">
        <f>IF('[46]سجل المستخلصات'!$AC$12="","",'[46]سجل المستخلصات'!$AC$12)</f>
        <v/>
      </c>
      <c r="X31" s="62">
        <f>IF('[46]سجل المستخلصات'!$AD$12="","",'[46]سجل المستخلصات'!$AD$12)</f>
        <v/>
      </c>
      <c r="Y31" s="58">
        <f>IF('[46]سجل المستخلصات'!$AE$12="","",'[46]سجل المستخلصات'!$AE$12)</f>
        <v/>
      </c>
    </row>
    <row r="32">
      <c r="B32" s="56" t="n">
        <v>8</v>
      </c>
      <c r="C32" s="57">
        <f>IF('[46]سجل المستخلصات'!$C$13="","",'[46]سجل المستخلصات'!$C$13)</f>
        <v/>
      </c>
      <c r="D32" s="57">
        <f>IF('[46]سجل المستخلصات'!$E$13="","",'[46]سجل المستخلصات'!$E$13)</f>
        <v/>
      </c>
      <c r="E32" s="58">
        <f>IF('[46]سجل المستخلصات'!$F$13="","",'[46]سجل المستخلصات'!$F$13)</f>
        <v/>
      </c>
      <c r="F32" s="59">
        <f>IF('[46]سجل المستخلصات'!$H$13="","",'[46]سجل المستخلصات'!$H$13)</f>
        <v/>
      </c>
      <c r="G32" s="59">
        <f>IF('[46]سجل المستخلصات'!$G$13="","",'[46]سجل المستخلصات'!$G$13)</f>
        <v/>
      </c>
      <c r="H32" s="59">
        <f>IF('[46]سجل المستخلصات'!$I$13="","",'[46]سجل المستخلصات'!$I$13)</f>
        <v/>
      </c>
      <c r="I32" s="59">
        <f>IF('[46]سجل المستخلصات'!$J$13="","",'[46]سجل المستخلصات'!$J$13)</f>
        <v/>
      </c>
      <c r="J32" s="59">
        <f>IF('[46]سجل المستخلصات'!$K$13="","",'[46]سجل المستخلصات'!$K$13)</f>
        <v/>
      </c>
      <c r="K32" s="60">
        <f>IF('[46]سجل المستخلصات'!$L$13="","",'[46]سجل المستخلصات'!$L$13)</f>
        <v/>
      </c>
      <c r="L32" s="60">
        <f>IF('[46]سجل المستخلصات'!$M$13="","",'[46]سجل المستخلصات'!$M$13)</f>
        <v/>
      </c>
      <c r="M32" s="60">
        <f>IF('[46]سجل المستخلصات'!$N$13="","",'[46]سجل المستخلصات'!$N$13)</f>
        <v/>
      </c>
      <c r="N32" s="59">
        <f>IF('[46]سجل المستخلصات'!$O$13="","",'[46]سجل المستخلصات'!$O$13)</f>
        <v/>
      </c>
      <c r="O32" s="59">
        <f>IF('[46]سجل المستخلصات'!$R$13="","",'[46]سجل المستخلصات'!$R$13)</f>
        <v/>
      </c>
      <c r="P32" s="59">
        <f>IF('[46]سجل المستخلصات'!$S$13="","",'[46]سجل المستخلصات'!$S$13)</f>
        <v/>
      </c>
      <c r="Q32" s="59">
        <f>IF('[46]سجل المستخلصات'!$T$13="","",'[46]سجل المستخلصات'!$T$13)</f>
        <v/>
      </c>
      <c r="R32" s="59">
        <f>IF('[46]سجل المستخلصات'!$V$13="","",'[46]سجل المستخلصات'!$V$13)</f>
        <v/>
      </c>
      <c r="S32" s="59">
        <f>IF('[46]سجل المستخلصات'!$W$13="","",'[46]سجل المستخلصات'!$W$13)</f>
        <v/>
      </c>
      <c r="T32" s="61">
        <f>IF('[46]سجل المستخلصات'!$X$13="","",'[46]سجل المستخلصات'!$X$13)</f>
        <v/>
      </c>
      <c r="U32" s="61">
        <f>IF('[46]سجل المستخلصات'!$Z$13="","",'[46]سجل المستخلصات'!$Z$13)</f>
        <v/>
      </c>
      <c r="V32" s="59">
        <f>IF('[46]سجل المستخلصات'!$AA$13="","",'[46]سجل المستخلصات'!$AA$13)</f>
        <v/>
      </c>
      <c r="W32" s="59">
        <f>IF('[46]سجل المستخلصات'!$AC$13="","",'[46]سجل المستخلصات'!$AC$13)</f>
        <v/>
      </c>
      <c r="X32" s="62">
        <f>IF('[46]سجل المستخلصات'!$AD$13="","",'[46]سجل المستخلصات'!$AD$13)</f>
        <v/>
      </c>
      <c r="Y32" s="58">
        <f>IF('[46]سجل المستخلصات'!$AE$13="","",'[46]سجل المستخلصات'!$AE$13)</f>
        <v/>
      </c>
    </row>
    <row r="33">
      <c r="B33" s="56" t="n">
        <v>9</v>
      </c>
      <c r="C33" s="57">
        <f>IF('[46]سجل المستخلصات'!$C$14="","",'[46]سجل المستخلصات'!$C$14)</f>
        <v/>
      </c>
      <c r="D33" s="57">
        <f>IF('[46]سجل المستخلصات'!$E$14="","",'[46]سجل المستخلصات'!$E$14)</f>
        <v/>
      </c>
      <c r="E33" s="58">
        <f>IF('[46]سجل المستخلصات'!$F$14="","",'[46]سجل المستخلصات'!$F$14)</f>
        <v/>
      </c>
      <c r="F33" s="59">
        <f>IF('[46]سجل المستخلصات'!$H$14="","",'[46]سجل المستخلصات'!$H$14)</f>
        <v/>
      </c>
      <c r="G33" s="59">
        <f>IF('[46]سجل المستخلصات'!$G$14="","",'[46]سجل المستخلصات'!$G$14)</f>
        <v/>
      </c>
      <c r="H33" s="59">
        <f>IF('[46]سجل المستخلصات'!$I$14="","",'[46]سجل المستخلصات'!$I$14)</f>
        <v/>
      </c>
      <c r="I33" s="59">
        <f>IF('[46]سجل المستخلصات'!$J$14="","",'[46]سجل المستخلصات'!$J$14)</f>
        <v/>
      </c>
      <c r="J33" s="59">
        <f>IF('[46]سجل المستخلصات'!$K$14="","",'[46]سجل المستخلصات'!$K$14)</f>
        <v/>
      </c>
      <c r="K33" s="60">
        <f>IF('[46]سجل المستخلصات'!$L$14="","",'[46]سجل المستخلصات'!$L$14)</f>
        <v/>
      </c>
      <c r="L33" s="60">
        <f>IF('[46]سجل المستخلصات'!$M$14="","",'[46]سجل المستخلصات'!$M$14)</f>
        <v/>
      </c>
      <c r="M33" s="60">
        <f>IF('[46]سجل المستخلصات'!$N$14="","",'[46]سجل المستخلصات'!$N$14)</f>
        <v/>
      </c>
      <c r="N33" s="59">
        <f>IF('[46]سجل المستخلصات'!$O$14="","",'[46]سجل المستخلصات'!$O$14)</f>
        <v/>
      </c>
      <c r="O33" s="59">
        <f>IF('[46]سجل المستخلصات'!$R$14="","",'[46]سجل المستخلصات'!$R$14)</f>
        <v/>
      </c>
      <c r="P33" s="59">
        <f>IF('[46]سجل المستخلصات'!$S$14="","",'[46]سجل المستخلصات'!$S$14)</f>
        <v/>
      </c>
      <c r="Q33" s="59">
        <f>IF('[46]سجل المستخلصات'!$T$14="","",'[46]سجل المستخلصات'!$T$14)</f>
        <v/>
      </c>
      <c r="R33" s="59">
        <f>IF('[46]سجل المستخلصات'!$V$14="","",'[46]سجل المستخلصات'!$V$14)</f>
        <v/>
      </c>
      <c r="S33" s="59">
        <f>IF('[46]سجل المستخلصات'!$W$14="","",'[46]سجل المستخلصات'!$W$14)</f>
        <v/>
      </c>
      <c r="T33" s="61">
        <f>IF('[46]سجل المستخلصات'!$X$14="","",'[46]سجل المستخلصات'!$X$14)</f>
        <v/>
      </c>
      <c r="U33" s="61">
        <f>IF('[46]سجل المستخلصات'!$Z$14="","",'[46]سجل المستخلصات'!$Z$14)</f>
        <v/>
      </c>
      <c r="V33" s="59">
        <f>IF('[46]سجل المستخلصات'!$AA$14="","",'[46]سجل المستخلصات'!$AA$14)</f>
        <v/>
      </c>
      <c r="W33" s="59">
        <f>IF('[46]سجل المستخلصات'!$AC$14="","",'[46]سجل المستخلصات'!$AC$14)</f>
        <v/>
      </c>
      <c r="X33" s="62">
        <f>IF('[46]سجل المستخلصات'!$AD$14="","",'[46]سجل المستخلصات'!$AD$14)</f>
        <v/>
      </c>
      <c r="Y33" s="58">
        <f>IF('[46]سجل المستخلصات'!$AE$14="","",'[46]سجل المستخلصات'!$AE$14)</f>
        <v/>
      </c>
    </row>
    <row r="34">
      <c r="B34" s="56" t="n">
        <v>10</v>
      </c>
      <c r="C34" s="57">
        <f>IF('[46]سجل المستخلصات'!$C$15="","",'[46]سجل المستخلصات'!$C$15)</f>
        <v/>
      </c>
      <c r="D34" s="57">
        <f>IF('[46]سجل المستخلصات'!$E$15="","",'[46]سجل المستخلصات'!$E$15)</f>
        <v/>
      </c>
      <c r="E34" s="58">
        <f>IF('[46]سجل المستخلصات'!$F$15="","",'[46]سجل المستخلصات'!$F$15)</f>
        <v/>
      </c>
      <c r="F34" s="59">
        <f>IF('[46]سجل المستخلصات'!$H$15="","",'[46]سجل المستخلصات'!$H$15)</f>
        <v/>
      </c>
      <c r="G34" s="59">
        <f>IF('[46]سجل المستخلصات'!$G$15="","",'[46]سجل المستخلصات'!$G$15)</f>
        <v/>
      </c>
      <c r="H34" s="59">
        <f>IF('[46]سجل المستخلصات'!$I$15="","",'[46]سجل المستخلصات'!$I$15)</f>
        <v/>
      </c>
      <c r="I34" s="59">
        <f>IF('[46]سجل المستخلصات'!$J$15="","",'[46]سجل المستخلصات'!$J$15)</f>
        <v/>
      </c>
      <c r="J34" s="59">
        <f>IF('[46]سجل المستخلصات'!$K$15="","",'[46]سجل المستخلصات'!$K$15)</f>
        <v/>
      </c>
      <c r="K34" s="60">
        <f>IF('[46]سجل المستخلصات'!$L$15="","",'[46]سجل المستخلصات'!$L$15)</f>
        <v/>
      </c>
      <c r="L34" s="60">
        <f>IF('[46]سجل المستخلصات'!$M$15="","",'[46]سجل المستخلصات'!$M$15)</f>
        <v/>
      </c>
      <c r="M34" s="60">
        <f>IF('[46]سجل المستخلصات'!$N$15="","",'[46]سجل المستخلصات'!$N$15)</f>
        <v/>
      </c>
      <c r="N34" s="59">
        <f>IF('[46]سجل المستخلصات'!$O$15="","",'[46]سجل المستخلصات'!$O$15)</f>
        <v/>
      </c>
      <c r="O34" s="59">
        <f>IF('[46]سجل المستخلصات'!$R$15="","",'[46]سجل المستخلصات'!$R$15)</f>
        <v/>
      </c>
      <c r="P34" s="59">
        <f>IF('[46]سجل المستخلصات'!$S$15="","",'[46]سجل المستخلصات'!$S$15)</f>
        <v/>
      </c>
      <c r="Q34" s="59">
        <f>IF('[46]سجل المستخلصات'!$T$15="","",'[46]سجل المستخلصات'!$T$15)</f>
        <v/>
      </c>
      <c r="R34" s="59">
        <f>IF('[46]سجل المستخلصات'!$V$15="","",'[46]سجل المستخلصات'!$V$15)</f>
        <v/>
      </c>
      <c r="S34" s="59">
        <f>IF('[46]سجل المستخلصات'!$W$15="","",'[46]سجل المستخلصات'!$W$15)</f>
        <v/>
      </c>
      <c r="T34" s="61">
        <f>IF('[46]سجل المستخلصات'!$X$15="","",'[46]سجل المستخلصات'!$X$15)</f>
        <v/>
      </c>
      <c r="U34" s="61">
        <f>IF('[46]سجل المستخلصات'!$Z$15="","",'[46]سجل المستخلصات'!$Z$15)</f>
        <v/>
      </c>
      <c r="V34" s="59">
        <f>IF('[46]سجل المستخلصات'!$AA$15="","",'[46]سجل المستخلصات'!$AA$15)</f>
        <v/>
      </c>
      <c r="W34" s="59">
        <f>IF('[46]سجل المستخلصات'!$AC$15="","",'[46]سجل المستخلصات'!$AC$15)</f>
        <v/>
      </c>
      <c r="X34" s="62">
        <f>IF('[46]سجل المستخلصات'!$AD$15="","",'[46]سجل المستخلصات'!$AD$15)</f>
        <v/>
      </c>
      <c r="Y34" s="58">
        <f>IF('[46]سجل المستخلصات'!$AE$15="","",'[46]سجل المستخلصات'!$AE$15)</f>
        <v/>
      </c>
    </row>
    <row r="35">
      <c r="B35" s="56" t="n">
        <v>11</v>
      </c>
      <c r="C35" s="57">
        <f>IF('[46]سجل المستخلصات'!$C$16="","",'[46]سجل المستخلصات'!$C$16)</f>
        <v/>
      </c>
      <c r="D35" s="57">
        <f>IF('[46]سجل المستخلصات'!$E$16="","",'[46]سجل المستخلصات'!$E$16)</f>
        <v/>
      </c>
      <c r="E35" s="58">
        <f>IF('[46]سجل المستخلصات'!$F$16="","",'[46]سجل المستخلصات'!$F$16)</f>
        <v/>
      </c>
      <c r="F35" s="59">
        <f>IF('[46]سجل المستخلصات'!$H$16="","",'[46]سجل المستخلصات'!$H$16)</f>
        <v/>
      </c>
      <c r="G35" s="59">
        <f>IF('[46]سجل المستخلصات'!$G$16="","",'[46]سجل المستخلصات'!$G$16)</f>
        <v/>
      </c>
      <c r="H35" s="59">
        <f>IF('[46]سجل المستخلصات'!$I$16="","",'[46]سجل المستخلصات'!$I$16)</f>
        <v/>
      </c>
      <c r="I35" s="59">
        <f>IF('[46]سجل المستخلصات'!$J$16="","",'[46]سجل المستخلصات'!$J$16)</f>
        <v/>
      </c>
      <c r="J35" s="59">
        <f>IF('[46]سجل المستخلصات'!$K$16="","",'[46]سجل المستخلصات'!$K$16)</f>
        <v/>
      </c>
      <c r="K35" s="60">
        <f>IF('[46]سجل المستخلصات'!$L$16="","",'[46]سجل المستخلصات'!$L$16)</f>
        <v/>
      </c>
      <c r="L35" s="60">
        <f>IF('[46]سجل المستخلصات'!$M$16="","",'[46]سجل المستخلصات'!$M$16)</f>
        <v/>
      </c>
      <c r="M35" s="60">
        <f>IF('[46]سجل المستخلصات'!$N$16="","",'[46]سجل المستخلصات'!$N$16)</f>
        <v/>
      </c>
      <c r="N35" s="59">
        <f>IF('[46]سجل المستخلصات'!$O$16="","",'[46]سجل المستخلصات'!$O$16)</f>
        <v/>
      </c>
      <c r="O35" s="59">
        <f>IF('[46]سجل المستخلصات'!$R$16="","",'[46]سجل المستخلصات'!$R$16)</f>
        <v/>
      </c>
      <c r="P35" s="59">
        <f>IF('[46]سجل المستخلصات'!$S$16="","",'[46]سجل المستخلصات'!$S$16)</f>
        <v/>
      </c>
      <c r="Q35" s="59">
        <f>IF('[46]سجل المستخلصات'!$T$16="","",'[46]سجل المستخلصات'!$T$16)</f>
        <v/>
      </c>
      <c r="R35" s="59">
        <f>IF('[46]سجل المستخلصات'!$V$16="","",'[46]سجل المستخلصات'!$V$16)</f>
        <v/>
      </c>
      <c r="S35" s="59">
        <f>IF('[46]سجل المستخلصات'!$W$16="","",'[46]سجل المستخلصات'!$W$16)</f>
        <v/>
      </c>
      <c r="T35" s="61">
        <f>IF('[46]سجل المستخلصات'!$X$16="","",'[46]سجل المستخلصات'!$X$16)</f>
        <v/>
      </c>
      <c r="U35" s="61">
        <f>IF('[46]سجل المستخلصات'!$Z$16="","",'[46]سجل المستخلصات'!$Z$16)</f>
        <v/>
      </c>
      <c r="V35" s="59">
        <f>IF('[46]سجل المستخلصات'!$AA$16="","",'[46]سجل المستخلصات'!$AA$16)</f>
        <v/>
      </c>
      <c r="W35" s="59">
        <f>IF('[46]سجل المستخلصات'!$AC$16="","",'[46]سجل المستخلصات'!$AC$16)</f>
        <v/>
      </c>
      <c r="X35" s="62">
        <f>IF('[46]سجل المستخلصات'!$AD$16="","",'[46]سجل المستخلصات'!$AD$16)</f>
        <v/>
      </c>
      <c r="Y35" s="58">
        <f>IF('[46]سجل المستخلصات'!$AE$16="","",'[46]سجل المستخلصات'!$AE$16)</f>
        <v/>
      </c>
    </row>
    <row r="36">
      <c r="B36" s="56" t="n">
        <v>12</v>
      </c>
      <c r="C36" s="57">
        <f>IF('[46]سجل المستخلصات'!$C$17="","",'[46]سجل المستخلصات'!$C$17)</f>
        <v/>
      </c>
      <c r="D36" s="57">
        <f>IF('[46]سجل المستخلصات'!$E$17="","",'[46]سجل المستخلصات'!$E$17)</f>
        <v/>
      </c>
      <c r="E36" s="58">
        <f>IF('[46]سجل المستخلصات'!$F$17="","",'[46]سجل المستخلصات'!$F$17)</f>
        <v/>
      </c>
      <c r="F36" s="59">
        <f>IF('[46]سجل المستخلصات'!$H$17="","",'[46]سجل المستخلصات'!$H$17)</f>
        <v/>
      </c>
      <c r="G36" s="59">
        <f>IF('[46]سجل المستخلصات'!$G$17="","",'[46]سجل المستخلصات'!$G$17)</f>
        <v/>
      </c>
      <c r="H36" s="59">
        <f>IF('[46]سجل المستخلصات'!$I$17="","",'[46]سجل المستخلصات'!$I$17)</f>
        <v/>
      </c>
      <c r="I36" s="59">
        <f>IF('[46]سجل المستخلصات'!$J$17="","",'[46]سجل المستخلصات'!$J$17)</f>
        <v/>
      </c>
      <c r="J36" s="59">
        <f>IF('[46]سجل المستخلصات'!$K$17="","",'[46]سجل المستخلصات'!$K$17)</f>
        <v/>
      </c>
      <c r="K36" s="60">
        <f>IF('[46]سجل المستخلصات'!$L$17="","",'[46]سجل المستخلصات'!$L$17)</f>
        <v/>
      </c>
      <c r="L36" s="60">
        <f>IF('[46]سجل المستخلصات'!$M$17="","",'[46]سجل المستخلصات'!$M$17)</f>
        <v/>
      </c>
      <c r="M36" s="60">
        <f>IF('[46]سجل المستخلصات'!$N$17="","",'[46]سجل المستخلصات'!$N$17)</f>
        <v/>
      </c>
      <c r="N36" s="59">
        <f>IF('[46]سجل المستخلصات'!$O$17="","",'[46]سجل المستخلصات'!$O$17)</f>
        <v/>
      </c>
      <c r="O36" s="59">
        <f>IF('[46]سجل المستخلصات'!$R$17="","",'[46]سجل المستخلصات'!$R$17)</f>
        <v/>
      </c>
      <c r="P36" s="59">
        <f>IF('[46]سجل المستخلصات'!$S$17="","",'[46]سجل المستخلصات'!$S$17)</f>
        <v/>
      </c>
      <c r="Q36" s="59">
        <f>IF('[46]سجل المستخلصات'!$T$17="","",'[46]سجل المستخلصات'!$T$17)</f>
        <v/>
      </c>
      <c r="R36" s="59">
        <f>IF('[46]سجل المستخلصات'!$V$17="","",'[46]سجل المستخلصات'!$V$17)</f>
        <v/>
      </c>
      <c r="S36" s="59">
        <f>IF('[46]سجل المستخلصات'!$W$17="","",'[46]سجل المستخلصات'!$W$17)</f>
        <v/>
      </c>
      <c r="T36" s="61">
        <f>IF('[46]سجل المستخلصات'!$X$17="","",'[46]سجل المستخلصات'!$X$17)</f>
        <v/>
      </c>
      <c r="U36" s="61">
        <f>IF('[46]سجل المستخلصات'!$Z$17="","",'[46]سجل المستخلصات'!$Z$17)</f>
        <v/>
      </c>
      <c r="V36" s="59">
        <f>IF('[46]سجل المستخلصات'!$AA$17="","",'[46]سجل المستخلصات'!$AA$17)</f>
        <v/>
      </c>
      <c r="W36" s="59">
        <f>IF('[46]سجل المستخلصات'!$AC$17="","",'[46]سجل المستخلصات'!$AC$17)</f>
        <v/>
      </c>
      <c r="X36" s="62">
        <f>IF('[46]سجل المستخلصات'!$AD$17="","",'[46]سجل المستخلصات'!$AD$17)</f>
        <v/>
      </c>
      <c r="Y36" s="58">
        <f>IF('[46]سجل المستخلصات'!$AE$17="","",'[46]سجل المستخلصات'!$AE$17)</f>
        <v/>
      </c>
    </row>
    <row r="37">
      <c r="B37" s="56" t="n">
        <v>13</v>
      </c>
      <c r="C37" s="57">
        <f>IF('[46]سجل المستخلصات'!$C$18="","",'[46]سجل المستخلصات'!$C$18)</f>
        <v/>
      </c>
      <c r="D37" s="57">
        <f>IF('[46]سجل المستخلصات'!$E$18="","",'[46]سجل المستخلصات'!$E$18)</f>
        <v/>
      </c>
      <c r="E37" s="58">
        <f>IF('[46]سجل المستخلصات'!$F$18="","",'[46]سجل المستخلصات'!$F$18)</f>
        <v/>
      </c>
      <c r="F37" s="59">
        <f>IF('[46]سجل المستخلصات'!$H$18="","",'[46]سجل المستخلصات'!$H$18)</f>
        <v/>
      </c>
      <c r="G37" s="59">
        <f>IF('[46]سجل المستخلصات'!$G$18="","",'[46]سجل المستخلصات'!$G$18)</f>
        <v/>
      </c>
      <c r="H37" s="59">
        <f>IF('[46]سجل المستخلصات'!$I$18="","",'[46]سجل المستخلصات'!$I$18)</f>
        <v/>
      </c>
      <c r="I37" s="59">
        <f>IF('[46]سجل المستخلصات'!$J$18="","",'[46]سجل المستخلصات'!$J$18)</f>
        <v/>
      </c>
      <c r="J37" s="59">
        <f>IF('[46]سجل المستخلصات'!$K$18="","",'[46]سجل المستخلصات'!$K$18)</f>
        <v/>
      </c>
      <c r="K37" s="60">
        <f>IF('[46]سجل المستخلصات'!$L$18="","",'[46]سجل المستخلصات'!$L$18)</f>
        <v/>
      </c>
      <c r="L37" s="60">
        <f>IF('[46]سجل المستخلصات'!$M$18="","",'[46]سجل المستخلصات'!$M$18)</f>
        <v/>
      </c>
      <c r="M37" s="60">
        <f>IF('[46]سجل المستخلصات'!$N$18="","",'[46]سجل المستخلصات'!$N$18)</f>
        <v/>
      </c>
      <c r="N37" s="59">
        <f>IF('[46]سجل المستخلصات'!$O$18="","",'[46]سجل المستخلصات'!$O$18)</f>
        <v/>
      </c>
      <c r="O37" s="59">
        <f>IF('[46]سجل المستخلصات'!$R$18="","",'[46]سجل المستخلصات'!$R$18)</f>
        <v/>
      </c>
      <c r="P37" s="59">
        <f>IF('[46]سجل المستخلصات'!$S$18="","",'[46]سجل المستخلصات'!$S$18)</f>
        <v/>
      </c>
      <c r="Q37" s="59">
        <f>IF('[46]سجل المستخلصات'!$T$18="","",'[46]سجل المستخلصات'!$T$18)</f>
        <v/>
      </c>
      <c r="R37" s="59">
        <f>IF('[46]سجل المستخلصات'!$V$18="","",'[46]سجل المستخلصات'!$V$18)</f>
        <v/>
      </c>
      <c r="S37" s="59">
        <f>IF('[46]سجل المستخلصات'!$W$18="","",'[46]سجل المستخلصات'!$W$18)</f>
        <v/>
      </c>
      <c r="T37" s="61">
        <f>IF('[46]سجل المستخلصات'!$X$18="","",'[46]سجل المستخلصات'!$X$18)</f>
        <v/>
      </c>
      <c r="U37" s="61">
        <f>IF('[46]سجل المستخلصات'!$Z$18="","",'[46]سجل المستخلصات'!$Z$18)</f>
        <v/>
      </c>
      <c r="V37" s="59">
        <f>IF('[46]سجل المستخلصات'!$AA$18="","",'[46]سجل المستخلصات'!$AA$18)</f>
        <v/>
      </c>
      <c r="W37" s="59">
        <f>IF('[46]سجل المستخلصات'!$AC$18="","",'[46]سجل المستخلصات'!$AC$18)</f>
        <v/>
      </c>
      <c r="X37" s="62">
        <f>IF('[46]سجل المستخلصات'!$AD$18="","",'[46]سجل المستخلصات'!$AD$18)</f>
        <v/>
      </c>
      <c r="Y37" s="58">
        <f>IF('[46]سجل المستخلصات'!$AE$18="","",'[46]سجل المستخلصات'!$AE$18)</f>
        <v/>
      </c>
    </row>
    <row r="38">
      <c r="B38" s="56" t="n">
        <v>14</v>
      </c>
      <c r="C38" s="57">
        <f>IF('[46]سجل المستخلصات'!$C$19="","",'[46]سجل المستخلصات'!$C$19)</f>
        <v/>
      </c>
      <c r="D38" s="57">
        <f>IF('[46]سجل المستخلصات'!$E$19="","",'[46]سجل المستخلصات'!$E$19)</f>
        <v/>
      </c>
      <c r="E38" s="58">
        <f>IF('[46]سجل المستخلصات'!$F$19="","",'[46]سجل المستخلصات'!$F$19)</f>
        <v/>
      </c>
      <c r="F38" s="59">
        <f>IF('[46]سجل المستخلصات'!$H$19="","",'[46]سجل المستخلصات'!$H$19)</f>
        <v/>
      </c>
      <c r="G38" s="59">
        <f>IF('[46]سجل المستخلصات'!$G$19="","",'[46]سجل المستخلصات'!$G$19)</f>
        <v/>
      </c>
      <c r="H38" s="59">
        <f>IF('[46]سجل المستخلصات'!$I$19="","",'[46]سجل المستخلصات'!$I$19)</f>
        <v/>
      </c>
      <c r="I38" s="59">
        <f>IF('[46]سجل المستخلصات'!$J$19="","",'[46]سجل المستخلصات'!$J$19)</f>
        <v/>
      </c>
      <c r="J38" s="59">
        <f>IF('[46]سجل المستخلصات'!$K$19="","",'[46]سجل المستخلصات'!$K$19)</f>
        <v/>
      </c>
      <c r="K38" s="60">
        <f>IF('[46]سجل المستخلصات'!$L$19="","",'[46]سجل المستخلصات'!$L$19)</f>
        <v/>
      </c>
      <c r="L38" s="60">
        <f>IF('[46]سجل المستخلصات'!$M$19="","",'[46]سجل المستخلصات'!$M$19)</f>
        <v/>
      </c>
      <c r="M38" s="60">
        <f>IF('[46]سجل المستخلصات'!$N$19="","",'[46]سجل المستخلصات'!$N$19)</f>
        <v/>
      </c>
      <c r="N38" s="59">
        <f>IF('[46]سجل المستخلصات'!$O$19="","",'[46]سجل المستخلصات'!$O$19)</f>
        <v/>
      </c>
      <c r="O38" s="59">
        <f>IF('[46]سجل المستخلصات'!$R$19="","",'[46]سجل المستخلصات'!$R$19)</f>
        <v/>
      </c>
      <c r="P38" s="59">
        <f>IF('[46]سجل المستخلصات'!$S$19="","",'[46]سجل المستخلصات'!$S$19)</f>
        <v/>
      </c>
      <c r="Q38" s="59">
        <f>IF('[46]سجل المستخلصات'!$T$19="","",'[46]سجل المستخلصات'!$T$19)</f>
        <v/>
      </c>
      <c r="R38" s="59">
        <f>IF('[46]سجل المستخلصات'!$V$19="","",'[46]سجل المستخلصات'!$V$19)</f>
        <v/>
      </c>
      <c r="S38" s="59">
        <f>IF('[46]سجل المستخلصات'!$W$19="","",'[46]سجل المستخلصات'!$W$19)</f>
        <v/>
      </c>
      <c r="T38" s="61">
        <f>IF('[46]سجل المستخلصات'!$X$19="","",'[46]سجل المستخلصات'!$X$19)</f>
        <v/>
      </c>
      <c r="U38" s="61">
        <f>IF('[46]سجل المستخلصات'!$Z$19="","",'[46]سجل المستخلصات'!$Z$19)</f>
        <v/>
      </c>
      <c r="V38" s="59">
        <f>IF('[46]سجل المستخلصات'!$AA$19="","",'[46]سجل المستخلصات'!$AA$19)</f>
        <v/>
      </c>
      <c r="W38" s="59">
        <f>IF('[46]سجل المستخلصات'!$AC$19="","",'[46]سجل المستخلصات'!$AC$19)</f>
        <v/>
      </c>
      <c r="X38" s="62">
        <f>IF('[46]سجل المستخلصات'!$AD$19="","",'[46]سجل المستخلصات'!$AD$19)</f>
        <v/>
      </c>
      <c r="Y38" s="58">
        <f>IF('[46]سجل المستخلصات'!$AE$19="","",'[46]سجل المستخلصات'!$AE$19)</f>
        <v/>
      </c>
    </row>
    <row r="39">
      <c r="B39" s="56" t="n">
        <v>15</v>
      </c>
      <c r="C39" s="57">
        <f>IF('[46]سجل المستخلصات'!$C$20="","",'[46]سجل المستخلصات'!$C$20)</f>
        <v/>
      </c>
      <c r="D39" s="57">
        <f>IF('[46]سجل المستخلصات'!$E$20="","",'[46]سجل المستخلصات'!$E$20)</f>
        <v/>
      </c>
      <c r="E39" s="58">
        <f>IF('[46]سجل المستخلصات'!$F$20="","",'[46]سجل المستخلصات'!$F$20)</f>
        <v/>
      </c>
      <c r="F39" s="59">
        <f>IF('[46]سجل المستخلصات'!$H$20="","",'[46]سجل المستخلصات'!$H$20)</f>
        <v/>
      </c>
      <c r="G39" s="59">
        <f>IF('[46]سجل المستخلصات'!$G$20="","",'[46]سجل المستخلصات'!$G$20)</f>
        <v/>
      </c>
      <c r="H39" s="59">
        <f>IF('[46]سجل المستخلصات'!$I$20="","",'[46]سجل المستخلصات'!$I$20)</f>
        <v/>
      </c>
      <c r="I39" s="59">
        <f>IF('[46]سجل المستخلصات'!$J$20="","",'[46]سجل المستخلصات'!$J$20)</f>
        <v/>
      </c>
      <c r="J39" s="59">
        <f>IF('[46]سجل المستخلصات'!$K$20="","",'[46]سجل المستخلصات'!$K$20)</f>
        <v/>
      </c>
      <c r="K39" s="60">
        <f>IF('[46]سجل المستخلصات'!$L$20="","",'[46]سجل المستخلصات'!$L$20)</f>
        <v/>
      </c>
      <c r="L39" s="60">
        <f>IF('[46]سجل المستخلصات'!$M$20="","",'[46]سجل المستخلصات'!$M$20)</f>
        <v/>
      </c>
      <c r="M39" s="60">
        <f>IF('[46]سجل المستخلصات'!$N$20="","",'[46]سجل المستخلصات'!$N$20)</f>
        <v/>
      </c>
      <c r="N39" s="59">
        <f>IF('[46]سجل المستخلصات'!$O$20="","",'[46]سجل المستخلصات'!$O$20)</f>
        <v/>
      </c>
      <c r="O39" s="59">
        <f>IF('[46]سجل المستخلصات'!$R$20="","",'[46]سجل المستخلصات'!$R$20)</f>
        <v/>
      </c>
      <c r="P39" s="59">
        <f>IF('[46]سجل المستخلصات'!$S$20="","",'[46]سجل المستخلصات'!$S$20)</f>
        <v/>
      </c>
      <c r="Q39" s="59">
        <f>IF('[46]سجل المستخلصات'!$T$20="","",'[46]سجل المستخلصات'!$T$20)</f>
        <v/>
      </c>
      <c r="R39" s="59">
        <f>IF('[46]سجل المستخلصات'!$V$20="","",'[46]سجل المستخلصات'!$V$20)</f>
        <v/>
      </c>
      <c r="S39" s="59">
        <f>IF('[46]سجل المستخلصات'!$W$20="","",'[46]سجل المستخلصات'!$W$20)</f>
        <v/>
      </c>
      <c r="T39" s="61">
        <f>IF('[46]سجل المستخلصات'!$X$20="","",'[46]سجل المستخلصات'!$X$20)</f>
        <v/>
      </c>
      <c r="U39" s="61">
        <f>IF('[46]سجل المستخلصات'!$Z$20="","",'[46]سجل المستخلصات'!$Z$20)</f>
        <v/>
      </c>
      <c r="V39" s="59">
        <f>IF('[46]سجل المستخلصات'!$AA$20="","",'[46]سجل المستخلصات'!$AA$20)</f>
        <v/>
      </c>
      <c r="W39" s="59">
        <f>IF('[46]سجل المستخلصات'!$AC$20="","",'[46]سجل المستخلصات'!$AC$20)</f>
        <v/>
      </c>
      <c r="X39" s="62">
        <f>IF('[46]سجل المستخلصات'!$AD$20="","",'[46]سجل المستخلصات'!$AD$20)</f>
        <v/>
      </c>
      <c r="Y39" s="58">
        <f>IF('[46]سجل المستخلصات'!$AE$20="","",'[46]سجل المستخلصات'!$AE$20)</f>
        <v/>
      </c>
    </row>
    <row r="40">
      <c r="B40" s="56" t="n">
        <v>16</v>
      </c>
      <c r="C40" s="57">
        <f>IF('[46]سجل المستخلصات'!$C$21="","",'[46]سجل المستخلصات'!$C$21)</f>
        <v/>
      </c>
      <c r="D40" s="57">
        <f>IF('[46]سجل المستخلصات'!$E$21="","",'[46]سجل المستخلصات'!$E$21)</f>
        <v/>
      </c>
      <c r="E40" s="58">
        <f>IF('[46]سجل المستخلصات'!$F$21="","",'[46]سجل المستخلصات'!$F$21)</f>
        <v/>
      </c>
      <c r="F40" s="59">
        <f>IF('[46]سجل المستخلصات'!$H$21="","",'[46]سجل المستخلصات'!$H$21)</f>
        <v/>
      </c>
      <c r="G40" s="59">
        <f>IF('[46]سجل المستخلصات'!$G$21="","",'[46]سجل المستخلصات'!$G$21)</f>
        <v/>
      </c>
      <c r="H40" s="59">
        <f>IF('[46]سجل المستخلصات'!$I$21="","",'[46]سجل المستخلصات'!$I$21)</f>
        <v/>
      </c>
      <c r="I40" s="59">
        <f>IF('[46]سجل المستخلصات'!$J$21="","",'[46]سجل المستخلصات'!$J$21)</f>
        <v/>
      </c>
      <c r="J40" s="59">
        <f>IF('[46]سجل المستخلصات'!$K$21="","",'[46]سجل المستخلصات'!$K$21)</f>
        <v/>
      </c>
      <c r="K40" s="60">
        <f>IF('[46]سجل المستخلصات'!$L$21="","",'[46]سجل المستخلصات'!$L$21)</f>
        <v/>
      </c>
      <c r="L40" s="60">
        <f>IF('[46]سجل المستخلصات'!$M$21="","",'[46]سجل المستخلصات'!$M$21)</f>
        <v/>
      </c>
      <c r="M40" s="60">
        <f>IF('[46]سجل المستخلصات'!$N$21="","",'[46]سجل المستخلصات'!$N$21)</f>
        <v/>
      </c>
      <c r="N40" s="59">
        <f>IF('[46]سجل المستخلصات'!$O$21="","",'[46]سجل المستخلصات'!$O$21)</f>
        <v/>
      </c>
      <c r="O40" s="59">
        <f>IF('[46]سجل المستخلصات'!$R$21="","",'[46]سجل المستخلصات'!$R$21)</f>
        <v/>
      </c>
      <c r="P40" s="59">
        <f>IF('[46]سجل المستخلصات'!$S$21="","",'[46]سجل المستخلصات'!$S$21)</f>
        <v/>
      </c>
      <c r="Q40" s="59">
        <f>IF('[46]سجل المستخلصات'!$T$21="","",'[46]سجل المستخلصات'!$T$21)</f>
        <v/>
      </c>
      <c r="R40" s="59">
        <f>IF('[46]سجل المستخلصات'!$V$21="","",'[46]سجل المستخلصات'!$V$21)</f>
        <v/>
      </c>
      <c r="S40" s="59">
        <f>IF('[46]سجل المستخلصات'!$W$21="","",'[46]سجل المستخلصات'!$W$21)</f>
        <v/>
      </c>
      <c r="T40" s="61">
        <f>IF('[46]سجل المستخلصات'!$X$21="","",'[46]سجل المستخلصات'!$X$21)</f>
        <v/>
      </c>
      <c r="U40" s="61">
        <f>IF('[46]سجل المستخلصات'!$Z$21="","",'[46]سجل المستخلصات'!$Z$21)</f>
        <v/>
      </c>
      <c r="V40" s="59">
        <f>IF('[46]سجل المستخلصات'!$AA$21="","",'[46]سجل المستخلصات'!$AA$21)</f>
        <v/>
      </c>
      <c r="W40" s="59">
        <f>IF('[46]سجل المستخلصات'!$AC$21="","",'[46]سجل المستخلصات'!$AC$21)</f>
        <v/>
      </c>
      <c r="X40" s="62">
        <f>IF('[46]سجل المستخلصات'!$AD$21="","",'[46]سجل المستخلصات'!$AD$21)</f>
        <v/>
      </c>
      <c r="Y40" s="58">
        <f>IF('[46]سجل المستخلصات'!$AE$21="","",'[46]سجل المستخلصات'!$AE$21)</f>
        <v/>
      </c>
    </row>
    <row r="41">
      <c r="B41" s="56" t="n">
        <v>17</v>
      </c>
      <c r="C41" s="57">
        <f>IF('[46]سجل المستخلصات'!$C$22="","",'[46]سجل المستخلصات'!$C$22)</f>
        <v/>
      </c>
      <c r="D41" s="57">
        <f>IF('[46]سجل المستخلصات'!$E$22="","",'[46]سجل المستخلصات'!$E$22)</f>
        <v/>
      </c>
      <c r="E41" s="58">
        <f>IF('[46]سجل المستخلصات'!$F$22="","",'[46]سجل المستخلصات'!$F$22)</f>
        <v/>
      </c>
      <c r="F41" s="59">
        <f>IF('[46]سجل المستخلصات'!$H$22="","",'[46]سجل المستخلصات'!$H$22)</f>
        <v/>
      </c>
      <c r="G41" s="59">
        <f>IF('[46]سجل المستخلصات'!$G$22="","",'[46]سجل المستخلصات'!$G$22)</f>
        <v/>
      </c>
      <c r="H41" s="59">
        <f>IF('[46]سجل المستخلصات'!$I$22="","",'[46]سجل المستخلصات'!$I$22)</f>
        <v/>
      </c>
      <c r="I41" s="59">
        <f>IF('[46]سجل المستخلصات'!$J$22="","",'[46]سجل المستخلصات'!$J$22)</f>
        <v/>
      </c>
      <c r="J41" s="59">
        <f>IF('[46]سجل المستخلصات'!$K$22="","",'[46]سجل المستخلصات'!$K$22)</f>
        <v/>
      </c>
      <c r="K41" s="60">
        <f>IF('[46]سجل المستخلصات'!$L$22="","",'[46]سجل المستخلصات'!$L$22)</f>
        <v/>
      </c>
      <c r="L41" s="60">
        <f>IF('[46]سجل المستخلصات'!$M$22="","",'[46]سجل المستخلصات'!$M$22)</f>
        <v/>
      </c>
      <c r="M41" s="60">
        <f>IF('[46]سجل المستخلصات'!$N$22="","",'[46]سجل المستخلصات'!$N$22)</f>
        <v/>
      </c>
      <c r="N41" s="59">
        <f>IF('[46]سجل المستخلصات'!$O$22="","",'[46]سجل المستخلصات'!$O$22)</f>
        <v/>
      </c>
      <c r="O41" s="59">
        <f>IF('[46]سجل المستخلصات'!$R$22="","",'[46]سجل المستخلصات'!$R$22)</f>
        <v/>
      </c>
      <c r="P41" s="59">
        <f>IF('[46]سجل المستخلصات'!$S$22="","",'[46]سجل المستخلصات'!$S$22)</f>
        <v/>
      </c>
      <c r="Q41" s="59">
        <f>IF('[46]سجل المستخلصات'!$T$22="","",'[46]سجل المستخلصات'!$T$22)</f>
        <v/>
      </c>
      <c r="R41" s="59">
        <f>IF('[46]سجل المستخلصات'!$V$22="","",'[46]سجل المستخلصات'!$V$22)</f>
        <v/>
      </c>
      <c r="S41" s="59">
        <f>IF('[46]سجل المستخلصات'!$W$22="","",'[46]سجل المستخلصات'!$W$22)</f>
        <v/>
      </c>
      <c r="T41" s="61">
        <f>IF('[46]سجل المستخلصات'!$X$22="","",'[46]سجل المستخلصات'!$X$22)</f>
        <v/>
      </c>
      <c r="U41" s="61">
        <f>IF('[46]سجل المستخلصات'!$Z$22="","",'[46]سجل المستخلصات'!$Z$22)</f>
        <v/>
      </c>
      <c r="V41" s="59">
        <f>IF('[46]سجل المستخلصات'!$AA$22="","",'[46]سجل المستخلصات'!$AA$22)</f>
        <v/>
      </c>
      <c r="W41" s="59">
        <f>IF('[46]سجل المستخلصات'!$AC$22="","",'[46]سجل المستخلصات'!$AC$22)</f>
        <v/>
      </c>
      <c r="X41" s="62">
        <f>IF('[46]سجل المستخلصات'!$AD$22="","",'[46]سجل المستخلصات'!$AD$22)</f>
        <v/>
      </c>
      <c r="Y41" s="58">
        <f>IF('[46]سجل المستخلصات'!$AE$22="","",'[46]سجل المستخلصات'!$AE$22)</f>
        <v/>
      </c>
    </row>
    <row r="42">
      <c r="B42" s="56" t="n">
        <v>18</v>
      </c>
      <c r="C42" s="57">
        <f>IF('[46]سجل المستخلصات'!$C$23="","",'[46]سجل المستخلصات'!$C$23)</f>
        <v/>
      </c>
      <c r="D42" s="57">
        <f>IF('[46]سجل المستخلصات'!$E$23="","",'[46]سجل المستخلصات'!$E$23)</f>
        <v/>
      </c>
      <c r="E42" s="58">
        <f>IF('[46]سجل المستخلصات'!$F$23="","",'[46]سجل المستخلصات'!$F$23)</f>
        <v/>
      </c>
      <c r="F42" s="59">
        <f>IF('[46]سجل المستخلصات'!$H$23="","",'[46]سجل المستخلصات'!$H$23)</f>
        <v/>
      </c>
      <c r="G42" s="59">
        <f>IF('[46]سجل المستخلصات'!$G$23="","",'[46]سجل المستخلصات'!$G$23)</f>
        <v/>
      </c>
      <c r="H42" s="59">
        <f>IF('[46]سجل المستخلصات'!$I$23="","",'[46]سجل المستخلصات'!$I$23)</f>
        <v/>
      </c>
      <c r="I42" s="59">
        <f>IF('[46]سجل المستخلصات'!$J$23="","",'[46]سجل المستخلصات'!$J$23)</f>
        <v/>
      </c>
      <c r="J42" s="59">
        <f>IF('[46]سجل المستخلصات'!$K$23="","",'[46]سجل المستخلصات'!$K$23)</f>
        <v/>
      </c>
      <c r="K42" s="60">
        <f>IF('[46]سجل المستخلصات'!$L$23="","",'[46]سجل المستخلصات'!$L$23)</f>
        <v/>
      </c>
      <c r="L42" s="60">
        <f>IF('[46]سجل المستخلصات'!$M$23="","",'[46]سجل المستخلصات'!$M$23)</f>
        <v/>
      </c>
      <c r="M42" s="60">
        <f>IF('[46]سجل المستخلصات'!$N$23="","",'[46]سجل المستخلصات'!$N$23)</f>
        <v/>
      </c>
      <c r="N42" s="59">
        <f>IF('[46]سجل المستخلصات'!$O$23="","",'[46]سجل المستخلصات'!$O$23)</f>
        <v/>
      </c>
      <c r="O42" s="59">
        <f>IF('[46]سجل المستخلصات'!$R$23="","",'[46]سجل المستخلصات'!$R$23)</f>
        <v/>
      </c>
      <c r="P42" s="59">
        <f>IF('[46]سجل المستخلصات'!$S$23="","",'[46]سجل المستخلصات'!$S$23)</f>
        <v/>
      </c>
      <c r="Q42" s="59">
        <f>IF('[46]سجل المستخلصات'!$T$23="","",'[46]سجل المستخلصات'!$T$23)</f>
        <v/>
      </c>
      <c r="R42" s="59">
        <f>IF('[46]سجل المستخلصات'!$V$23="","",'[46]سجل المستخلصات'!$V$23)</f>
        <v/>
      </c>
      <c r="S42" s="59">
        <f>IF('[46]سجل المستخلصات'!$W$23="","",'[46]سجل المستخلصات'!$W$23)</f>
        <v/>
      </c>
      <c r="T42" s="61">
        <f>IF('[46]سجل المستخلصات'!$X$23="","",'[46]سجل المستخلصات'!$X$23)</f>
        <v/>
      </c>
      <c r="U42" s="61">
        <f>IF('[46]سجل المستخلصات'!$Z$23="","",'[46]سجل المستخلصات'!$Z$23)</f>
        <v/>
      </c>
      <c r="V42" s="59">
        <f>IF('[46]سجل المستخلصات'!$AA$23="","",'[46]سجل المستخلصات'!$AA$23)</f>
        <v/>
      </c>
      <c r="W42" s="59">
        <f>IF('[46]سجل المستخلصات'!$AC$23="","",'[46]سجل المستخلصات'!$AC$23)</f>
        <v/>
      </c>
      <c r="X42" s="62">
        <f>IF('[46]سجل المستخلصات'!$AD$23="","",'[46]سجل المستخلصات'!$AD$23)</f>
        <v/>
      </c>
      <c r="Y42" s="58">
        <f>IF('[46]سجل المستخلصات'!$AE$23="","",'[46]سجل المستخلصات'!$AE$23)</f>
        <v/>
      </c>
    </row>
    <row r="43">
      <c r="B43" s="56" t="n">
        <v>19</v>
      </c>
      <c r="C43" s="57">
        <f>IF('[46]سجل المستخلصات'!$C$24="","",'[46]سجل المستخلصات'!$C$24)</f>
        <v/>
      </c>
      <c r="D43" s="57">
        <f>IF('[46]سجل المستخلصات'!$E$24="","",'[46]سجل المستخلصات'!$E$24)</f>
        <v/>
      </c>
      <c r="E43" s="58">
        <f>IF('[46]سجل المستخلصات'!$F$24="","",'[46]سجل المستخلصات'!$F$24)</f>
        <v/>
      </c>
      <c r="F43" s="59">
        <f>IF('[46]سجل المستخلصات'!$H$24="","",'[46]سجل المستخلصات'!$H$24)</f>
        <v/>
      </c>
      <c r="G43" s="59">
        <f>IF('[46]سجل المستخلصات'!$G$24="","",'[46]سجل المستخلصات'!$G$24)</f>
        <v/>
      </c>
      <c r="H43" s="59">
        <f>IF('[46]سجل المستخلصات'!$I$24="","",'[46]سجل المستخلصات'!$I$24)</f>
        <v/>
      </c>
      <c r="I43" s="59">
        <f>IF('[46]سجل المستخلصات'!$J$24="","",'[46]سجل المستخلصات'!$J$24)</f>
        <v/>
      </c>
      <c r="J43" s="59">
        <f>IF('[46]سجل المستخلصات'!$K$24="","",'[46]سجل المستخلصات'!$K$24)</f>
        <v/>
      </c>
      <c r="K43" s="60">
        <f>IF('[46]سجل المستخلصات'!$L$24="","",'[46]سجل المستخلصات'!$L$24)</f>
        <v/>
      </c>
      <c r="L43" s="60">
        <f>IF('[46]سجل المستخلصات'!$M$24="","",'[46]سجل المستخلصات'!$M$24)</f>
        <v/>
      </c>
      <c r="M43" s="60">
        <f>IF('[46]سجل المستخلصات'!$N$24="","",'[46]سجل المستخلصات'!$N$24)</f>
        <v/>
      </c>
      <c r="N43" s="59">
        <f>IF('[46]سجل المستخلصات'!$O$24="","",'[46]سجل المستخلصات'!$O$24)</f>
        <v/>
      </c>
      <c r="O43" s="59">
        <f>IF('[46]سجل المستخلصات'!$R$24="","",'[46]سجل المستخلصات'!$R$24)</f>
        <v/>
      </c>
      <c r="P43" s="59">
        <f>IF('[46]سجل المستخلصات'!$S$24="","",'[46]سجل المستخلصات'!$S$24)</f>
        <v/>
      </c>
      <c r="Q43" s="59">
        <f>IF('[46]سجل المستخلصات'!$T$24="","",'[46]سجل المستخلصات'!$T$24)</f>
        <v/>
      </c>
      <c r="R43" s="59">
        <f>IF('[46]سجل المستخلصات'!$V$24="","",'[46]سجل المستخلصات'!$V$24)</f>
        <v/>
      </c>
      <c r="S43" s="59">
        <f>IF('[46]سجل المستخلصات'!$W$24="","",'[46]سجل المستخلصات'!$W$24)</f>
        <v/>
      </c>
      <c r="T43" s="61">
        <f>IF('[46]سجل المستخلصات'!$X$24="","",'[46]سجل المستخلصات'!$X$24)</f>
        <v/>
      </c>
      <c r="U43" s="61">
        <f>IF('[46]سجل المستخلصات'!$Z$24="","",'[46]سجل المستخلصات'!$Z$24)</f>
        <v/>
      </c>
      <c r="V43" s="59">
        <f>IF('[46]سجل المستخلصات'!$AA$24="","",'[46]سجل المستخلصات'!$AA$24)</f>
        <v/>
      </c>
      <c r="W43" s="59">
        <f>IF('[46]سجل المستخلصات'!$AC$24="","",'[46]سجل المستخلصات'!$AC$24)</f>
        <v/>
      </c>
      <c r="X43" s="62">
        <f>IF('[46]سجل المستخلصات'!$AD$24="","",'[46]سجل المستخلصات'!$AD$24)</f>
        <v/>
      </c>
      <c r="Y43" s="58">
        <f>IF('[46]سجل المستخلصات'!$AE$24="","",'[46]سجل المستخلصات'!$AE$24)</f>
        <v/>
      </c>
    </row>
    <row r="44">
      <c r="B44" s="56" t="n">
        <v>20</v>
      </c>
      <c r="C44" s="57">
        <f>IF('[46]سجل المستخلصات'!$C$25="","",'[46]سجل المستخلصات'!$C$25)</f>
        <v/>
      </c>
      <c r="D44" s="57">
        <f>IF('[46]سجل المستخلصات'!$E$25="","",'[46]سجل المستخلصات'!$E$25)</f>
        <v/>
      </c>
      <c r="E44" s="58">
        <f>IF('[46]سجل المستخلصات'!$F$25="","",'[46]سجل المستخلصات'!$F$25)</f>
        <v/>
      </c>
      <c r="F44" s="59">
        <f>IF('[46]سجل المستخلصات'!$H$25="","",'[46]سجل المستخلصات'!$H$25)</f>
        <v/>
      </c>
      <c r="G44" s="59">
        <f>IF('[46]سجل المستخلصات'!$G$25="","",'[46]سجل المستخلصات'!$G$25)</f>
        <v/>
      </c>
      <c r="H44" s="59">
        <f>IF('[46]سجل المستخلصات'!$I$25="","",'[46]سجل المستخلصات'!$I$25)</f>
        <v/>
      </c>
      <c r="I44" s="59">
        <f>IF('[46]سجل المستخلصات'!$J$25="","",'[46]سجل المستخلصات'!$J$25)</f>
        <v/>
      </c>
      <c r="J44" s="59">
        <f>IF('[46]سجل المستخلصات'!$K$25="","",'[46]سجل المستخلصات'!$K$25)</f>
        <v/>
      </c>
      <c r="K44" s="60">
        <f>IF('[46]سجل المستخلصات'!$L$25="","",'[46]سجل المستخلصات'!$L$25)</f>
        <v/>
      </c>
      <c r="L44" s="60">
        <f>IF('[46]سجل المستخلصات'!$M$25="","",'[46]سجل المستخلصات'!$M$25)</f>
        <v/>
      </c>
      <c r="M44" s="60">
        <f>IF('[46]سجل المستخلصات'!$N$25="","",'[46]سجل المستخلصات'!$N$25)</f>
        <v/>
      </c>
      <c r="N44" s="59">
        <f>IF('[46]سجل المستخلصات'!$O$25="","",'[46]سجل المستخلصات'!$O$25)</f>
        <v/>
      </c>
      <c r="O44" s="59">
        <f>IF('[46]سجل المستخلصات'!$R$25="","",'[46]سجل المستخلصات'!$R$25)</f>
        <v/>
      </c>
      <c r="P44" s="59">
        <f>IF('[46]سجل المستخلصات'!$S$25="","",'[46]سجل المستخلصات'!$S$25)</f>
        <v/>
      </c>
      <c r="Q44" s="59">
        <f>IF('[46]سجل المستخلصات'!$T$25="","",'[46]سجل المستخلصات'!$T$25)</f>
        <v/>
      </c>
      <c r="R44" s="59">
        <f>IF('[46]سجل المستخلصات'!$V$25="","",'[46]سجل المستخلصات'!$V$25)</f>
        <v/>
      </c>
      <c r="S44" s="59">
        <f>IF('[46]سجل المستخلصات'!$W$25="","",'[46]سجل المستخلصات'!$W$25)</f>
        <v/>
      </c>
      <c r="T44" s="61">
        <f>IF('[46]سجل المستخلصات'!$X$25="","",'[46]سجل المستخلصات'!$X$25)</f>
        <v/>
      </c>
      <c r="U44" s="61">
        <f>IF('[46]سجل المستخلصات'!$Z$25="","",'[46]سجل المستخلصات'!$Z$25)</f>
        <v/>
      </c>
      <c r="V44" s="59">
        <f>IF('[46]سجل المستخلصات'!$AA$25="","",'[46]سجل المستخلصات'!$AA$25)</f>
        <v/>
      </c>
      <c r="W44" s="59">
        <f>IF('[46]سجل المستخلصات'!$AC$25="","",'[46]سجل المستخلصات'!$AC$25)</f>
        <v/>
      </c>
      <c r="X44" s="62">
        <f>IF('[46]سجل المستخلصات'!$AD$25="","",'[46]سجل المستخلصات'!$AD$25)</f>
        <v/>
      </c>
      <c r="Y44" s="58">
        <f>IF('[46]سجل المستخلصات'!$AE$25="","",'[46]سجل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IF('[46]سجل المستخلصات'!$B$32="","",'[46]سجل المستخلصات'!$B$32)</f>
        <v/>
      </c>
      <c r="C50" s="69" t="n"/>
      <c r="D50" s="69" t="n"/>
      <c r="E50" s="59">
        <f>N('[46]سجل المستخلصات'!$E$32)</f>
        <v/>
      </c>
      <c r="F50" s="59">
        <f>N('[46]سجل المستخلصات'!$F$32)</f>
        <v/>
      </c>
      <c r="G50" s="70">
        <f>IF(E50&gt;0,F50/E50,0)</f>
        <v/>
      </c>
    </row>
    <row r="51">
      <c r="B51" s="69">
        <f>IF('[46]سجل المستخلصات'!$B$33="","",'[46]سجل المستخلصات'!$B$33)</f>
        <v/>
      </c>
      <c r="C51" s="69" t="n"/>
      <c r="D51" s="69" t="n"/>
      <c r="E51" s="59">
        <f>N('[46]سجل المستخلصات'!$E$33)</f>
        <v/>
      </c>
      <c r="F51" s="59">
        <f>N('[46]سجل المستخلصات'!$F$33)</f>
        <v/>
      </c>
      <c r="G51" s="70">
        <f>IF(E51&gt;0,F51/E51,0)</f>
        <v/>
      </c>
    </row>
    <row r="52">
      <c r="B52" s="69">
        <f>IF('[46]سجل المستخلصات'!$B$34="","",'[46]سجل المستخلصات'!$B$34)</f>
        <v/>
      </c>
      <c r="C52" s="69" t="n"/>
      <c r="D52" s="69" t="n"/>
      <c r="E52" s="59">
        <f>N('[46]سجل المستخلصات'!$E$34)</f>
        <v/>
      </c>
      <c r="F52" s="59">
        <f>N('[46]سجل المستخلصات'!$F$34)</f>
        <v/>
      </c>
      <c r="G52" s="70">
        <f>IF(E52&gt;0,F52/E52,0)</f>
        <v/>
      </c>
    </row>
    <row r="53">
      <c r="B53" s="69">
        <f>IF('[46]سجل المستخلصات'!$B$35="","",'[46]سجل المستخلصات'!$B$35)</f>
        <v/>
      </c>
      <c r="C53" s="69" t="n"/>
      <c r="D53" s="69" t="n"/>
      <c r="E53" s="59">
        <f>N('[46]سجل المستخلصات'!$E$35)</f>
        <v/>
      </c>
      <c r="F53" s="59">
        <f>N('[46]سجل المستخلصات'!$F$35)</f>
        <v/>
      </c>
      <c r="G53" s="70">
        <f>IF(E53&gt;0,F53/E53,0)</f>
        <v/>
      </c>
    </row>
    <row r="54">
      <c r="B54" s="69">
        <f>IF('[46]سجل المستخلصات'!$B$36="","",'[46]سجل المستخلصات'!$B$36)</f>
        <v/>
      </c>
      <c r="C54" s="69" t="n"/>
      <c r="D54" s="69" t="n"/>
      <c r="E54" s="59">
        <f>N('[46]سجل المستخلصات'!$E$36)</f>
        <v/>
      </c>
      <c r="F54" s="59">
        <f>N('[46]سجل المستخلصات'!$F$36)</f>
        <v/>
      </c>
      <c r="G54" s="70">
        <f>IF(E54&gt;0,F54/E54,0)</f>
        <v/>
      </c>
    </row>
    <row r="55">
      <c r="B55" s="69">
        <f>IF('[46]سجل المستخلصات'!$B$37="","",'[46]سجل المستخلصات'!$B$37)</f>
        <v/>
      </c>
      <c r="C55" s="69" t="n"/>
      <c r="D55" s="69" t="n"/>
      <c r="E55" s="59">
        <f>N('[46]سجل المستخلصات'!$E$37)</f>
        <v/>
      </c>
      <c r="F55" s="59">
        <f>N('[46]سجل المستخلصات'!$F$37)</f>
        <v/>
      </c>
      <c r="G55" s="70">
        <f>IF(E55&gt;0,F55/E55,0)</f>
        <v/>
      </c>
    </row>
    <row r="56">
      <c r="B56" s="69">
        <f>IF('[46]سجل المستخلصات'!$B$38="","",'[46]سجل المستخلصات'!$B$38)</f>
        <v/>
      </c>
      <c r="C56" s="69" t="n"/>
      <c r="D56" s="69" t="n"/>
      <c r="E56" s="59">
        <f>N('[46]سجل المستخلصات'!$E$38)</f>
        <v/>
      </c>
      <c r="F56" s="59">
        <f>N('[46]سجل المستخلصات'!$F$38)</f>
        <v/>
      </c>
      <c r="G56" s="70">
        <f>IF(E56&gt;0,F56/E56,0)</f>
        <v/>
      </c>
    </row>
    <row r="57">
      <c r="B57" s="69">
        <f>IF('[46]سجل المستخلصات'!$B$39="","",'[46]سجل المستخلصات'!$B$39)</f>
        <v/>
      </c>
      <c r="C57" s="69" t="n"/>
      <c r="D57" s="69" t="n"/>
      <c r="E57" s="59">
        <f>N('[46]سجل المستخلصات'!$E$39)</f>
        <v/>
      </c>
      <c r="F57" s="59">
        <f>N('[46]سجل المستخلصات'!$F$39)</f>
        <v/>
      </c>
      <c r="G57" s="70">
        <f>IF(E57&gt;0,F57/E57,0)</f>
        <v/>
      </c>
    </row>
    <row r="58">
      <c r="B58" s="69">
        <f>IF('[46]سجل المستخلصات'!$B$40="","",'[46]سجل المستخلصات'!$B$40)</f>
        <v/>
      </c>
      <c r="C58" s="69" t="n"/>
      <c r="D58" s="69" t="n"/>
      <c r="E58" s="59">
        <f>N('[46]سجل المستخلصات'!$E$40)</f>
        <v/>
      </c>
      <c r="F58" s="59">
        <f>N('[46]سجل المستخلصات'!$F$40)</f>
        <v/>
      </c>
      <c r="G58" s="70">
        <f>IF(E58&gt;0,F58/E58,0)</f>
        <v/>
      </c>
    </row>
    <row r="59">
      <c r="B59" s="69">
        <f>IF('[46]سجل المستخلصات'!$B$41="","",'[46]سجل المستخلصات'!$B$41)</f>
        <v/>
      </c>
      <c r="C59" s="69" t="n"/>
      <c r="D59" s="69" t="n"/>
      <c r="E59" s="59">
        <f>N('[46]سجل المستخلصات'!$E$41)</f>
        <v/>
      </c>
      <c r="F59" s="59">
        <f>N('[46]سجل المستخلصات'!$F$41)</f>
        <v/>
      </c>
      <c r="G59" s="70">
        <f>IF(E59&gt;0,F59/E59,0)</f>
        <v/>
      </c>
    </row>
    <row r="60">
      <c r="B60" s="69">
        <f>IF('[46]سجل المستخلصات'!$B$42="","",'[46]سجل المستخلصات'!$B$42)</f>
        <v/>
      </c>
      <c r="C60" s="69" t="n"/>
      <c r="D60" s="69" t="n"/>
      <c r="E60" s="59">
        <f>N('[46]سجل المستخلصات'!$E$42)</f>
        <v/>
      </c>
      <c r="F60" s="59">
        <f>N('[46]سجل المستخلصات'!$F$42)</f>
        <v/>
      </c>
      <c r="G60" s="70">
        <f>IF(E60&gt;0,F60/E60,0)</f>
        <v/>
      </c>
    </row>
    <row r="61">
      <c r="B61" s="69">
        <f>IF('[46]سجل المستخلصات'!$B$43="","",'[46]سجل المستخلصات'!$B$43)</f>
        <v/>
      </c>
      <c r="C61" s="69" t="n"/>
      <c r="D61" s="69" t="n"/>
      <c r="E61" s="59">
        <f>N('[46]سجل المستخلصات'!$E$43)</f>
        <v/>
      </c>
      <c r="F61" s="59">
        <f>N('[46]سجل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45'!A1" display="◄ المشروع السابق"/>
    <hyperlink ref="D3" location="'مشروع 47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4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"&amp;IF('[47]بيانات العقد'!$C$5="","مشروع رقم 47 — غير مُفعّل",'[47]بيانات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Project_47/IPC_Project_47.xlsx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IF('[47]بيانات العقد'!$C$5="","",'[47]بيانات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IF('[47]بيانات العقد'!$C$6="","",'[47]بيانات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IF('[47]بيانات العقد'!$C$7="","",'[47]بيانات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IF('[47]بيانات العقد'!$C$8="","",'[47]بيانات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N('[47]بيانات العقد'!$C$16)</f>
        <v/>
      </c>
    </row>
    <row r="6" ht="22" customHeight="1">
      <c r="B6" s="11" t="inlineStr">
        <is>
          <t>المقاول</t>
        </is>
      </c>
      <c r="C6" s="14">
        <f>IF('[47]بيانات العقد'!$C$9="","",'[47]بيانات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IF('[47]بيانات العقد'!$C$11="","",'[47]بيانات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IF('[47]بيانات العقد'!$C$13="","",'[47]بيانات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IF('[47]بيانات العقد'!$C$14="","",'[47]بيانات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N('[47]بيانات العقد'!$C$17)</f>
        <v/>
      </c>
    </row>
    <row r="7">
      <c r="AA7" s="15" t="inlineStr">
        <is>
          <t>قيمة العقد المعدلة</t>
        </is>
      </c>
      <c r="AB7" s="16">
        <f>N('[47]بيانات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N('[47]بيانات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N('[47]بيانات العقد'!$C$21)</f>
        <v/>
      </c>
    </row>
    <row r="10">
      <c r="AA10" s="15" t="inlineStr">
        <is>
          <t>نسبة ضمان الأعمال</t>
        </is>
      </c>
      <c r="AB10" s="23">
        <f>N('[47]بيانات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N('[47]بيانات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N('[47]بيانات العقد'!$C$31)</f>
        <v/>
      </c>
    </row>
    <row r="13">
      <c r="AA13" s="15" t="inlineStr">
        <is>
          <t>ضريبة الاستقطاع (غير المقيم)</t>
        </is>
      </c>
      <c r="AB13" s="23">
        <f>N('[47]بيانات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IF('[47]بيانات العقد'!$C$11="","",'[47]بيانات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IF('[47]بيانات العقد'!$C$13="","",'[47]بيانات العقد'!$C$13)</f>
        <v/>
      </c>
    </row>
    <row r="16">
      <c r="AA16" s="15" t="inlineStr">
        <is>
          <t>المدة (شهر)</t>
        </is>
      </c>
      <c r="AB16" s="43">
        <f>IF('[47]بيانات العقد'!$C$12="","",'[47]بيانات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IF('[47]بيانات العقد'!$C$36="","",'[47]بيانات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IF('[47]بيانات العقد'!$C$37="","",'[47]بيانات العقد'!$C$37)</f>
        <v/>
      </c>
    </row>
    <row r="19">
      <c r="AA19" s="15" t="inlineStr">
        <is>
          <t>الرقم الضريبي لصاحب العمل</t>
        </is>
      </c>
      <c r="AB19" s="48">
        <f>IF('[47]بيانات العقد'!$C$39="","",'[47]بيانات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IF('[47]بيانات العقد'!$C$42="","",'[47]بيانات العقد'!$C$42)</f>
        <v/>
      </c>
    </row>
    <row r="21" ht="32" customHeight="1">
      <c r="B21" s="50">
        <f>N('[47]الموازنة والتكاليف'!$D$66)</f>
        <v/>
      </c>
      <c r="C21" s="50" t="n"/>
      <c r="D21" s="50" t="n"/>
      <c r="E21" s="50" t="n"/>
      <c r="F21" s="50">
        <f>N('[47]الموازنة والتكاليف'!$D$70)</f>
        <v/>
      </c>
      <c r="G21" s="50" t="n"/>
      <c r="H21" s="50" t="n"/>
      <c r="I21" s="50" t="n"/>
      <c r="J21" s="50">
        <f>N('[47]الموازنة والتكاليف'!$D$72)</f>
        <v/>
      </c>
      <c r="K21" s="50" t="n"/>
      <c r="L21" s="50" t="n"/>
      <c r="M21" s="50" t="n"/>
      <c r="N21" s="51">
        <f>N('[47]الموازنة والتكاليف'!$D$73)</f>
        <v/>
      </c>
      <c r="O21" s="51" t="n"/>
      <c r="P21" s="51" t="n"/>
      <c r="Q21" s="51" t="n"/>
      <c r="R21" s="52">
        <f>N('[47]الموازنة والتكاليف'!$D$74)</f>
        <v/>
      </c>
      <c r="S21" s="52" t="n"/>
      <c r="T21" s="52" t="n"/>
      <c r="U21" s="52" t="n"/>
      <c r="V21" s="50">
        <f>N('[47]الموازنة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IF('[47]بيانات العقد'!$C$43="","",'[47]بيانات العقد'!$C$43)</f>
        <v/>
      </c>
    </row>
    <row r="22">
      <c r="AA22" s="15" t="inlineStr">
        <is>
          <t>حالة غرامات التأخير</t>
        </is>
      </c>
      <c r="AB22" s="45">
        <f>IF('[47]بيانات العقد'!$C$47="","",'[47]بيانات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IF('[47]سجل المستخلصات'!$C$6="","",'[47]سجل المستخلصات'!$C$6)</f>
        <v/>
      </c>
      <c r="D25" s="57">
        <f>IF('[47]سجل المستخلصات'!$E$6="","",'[47]سجل المستخلصات'!$E$6)</f>
        <v/>
      </c>
      <c r="E25" s="58">
        <f>IF('[47]سجل المستخلصات'!$F$6="","",'[47]سجل المستخلصات'!$F$6)</f>
        <v/>
      </c>
      <c r="F25" s="59">
        <f>IF('[47]سجل المستخلصات'!$H$6="","",'[47]سجل المستخلصات'!$H$6)</f>
        <v/>
      </c>
      <c r="G25" s="59">
        <f>IF('[47]سجل المستخلصات'!$G$6="","",'[47]سجل المستخلصات'!$G$6)</f>
        <v/>
      </c>
      <c r="H25" s="59">
        <f>IF('[47]سجل المستخلصات'!$I$6="","",'[47]سجل المستخلصات'!$I$6)</f>
        <v/>
      </c>
      <c r="I25" s="59">
        <f>IF('[47]سجل المستخلصات'!$J$6="","",'[47]سجل المستخلصات'!$J$6)</f>
        <v/>
      </c>
      <c r="J25" s="59">
        <f>IF('[47]سجل المستخلصات'!$K$6="","",'[47]سجل المستخلصات'!$K$6)</f>
        <v/>
      </c>
      <c r="K25" s="60">
        <f>IF('[47]سجل المستخلصات'!$L$6="","",'[47]سجل المستخلصات'!$L$6)</f>
        <v/>
      </c>
      <c r="L25" s="60">
        <f>IF('[47]سجل المستخلصات'!$M$6="","",'[47]سجل المستخلصات'!$M$6)</f>
        <v/>
      </c>
      <c r="M25" s="60">
        <f>IF('[47]سجل المستخلصات'!$N$6="","",'[47]سجل المستخلصات'!$N$6)</f>
        <v/>
      </c>
      <c r="N25" s="59">
        <f>IF('[47]سجل المستخلصات'!$O$6="","",'[47]سجل المستخلصات'!$O$6)</f>
        <v/>
      </c>
      <c r="O25" s="59">
        <f>IF('[47]سجل المستخلصات'!$R$6="","",'[47]سجل المستخلصات'!$R$6)</f>
        <v/>
      </c>
      <c r="P25" s="59">
        <f>IF('[47]سجل المستخلصات'!$S$6="","",'[47]سجل المستخلصات'!$S$6)</f>
        <v/>
      </c>
      <c r="Q25" s="59">
        <f>IF('[47]سجل المستخلصات'!$T$6="","",'[47]سجل المستخلصات'!$T$6)</f>
        <v/>
      </c>
      <c r="R25" s="59">
        <f>IF('[47]سجل المستخلصات'!$V$6="","",'[47]سجل المستخلصات'!$V$6)</f>
        <v/>
      </c>
      <c r="S25" s="59">
        <f>IF('[47]سجل المستخلصات'!$W$6="","",'[47]سجل المستخلصات'!$W$6)</f>
        <v/>
      </c>
      <c r="T25" s="61">
        <f>IF('[47]سجل المستخلصات'!$X$6="","",'[47]سجل المستخلصات'!$X$6)</f>
        <v/>
      </c>
      <c r="U25" s="61">
        <f>IF('[47]سجل المستخلصات'!$Z$6="","",'[47]سجل المستخلصات'!$Z$6)</f>
        <v/>
      </c>
      <c r="V25" s="59">
        <f>IF('[47]سجل المستخلصات'!$AA$6="","",'[47]سجل المستخلصات'!$AA$6)</f>
        <v/>
      </c>
      <c r="W25" s="59">
        <f>IF('[47]سجل المستخلصات'!$AC$6="","",'[47]سجل المستخلصات'!$AC$6)</f>
        <v/>
      </c>
      <c r="X25" s="62">
        <f>IF('[47]سجل المستخلصات'!$AD$6="","",'[47]سجل المستخلصات'!$AD$6)</f>
        <v/>
      </c>
      <c r="Y25" s="58">
        <f>IF('[47]سجل المستخلصات'!$AE$6="","",'[47]سجل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IF('[47]سجل المستخلصات'!$C$7="","",'[47]سجل المستخلصات'!$C$7)</f>
        <v/>
      </c>
      <c r="D26" s="57">
        <f>IF('[47]سجل المستخلصات'!$E$7="","",'[47]سجل المستخلصات'!$E$7)</f>
        <v/>
      </c>
      <c r="E26" s="58">
        <f>IF('[47]سجل المستخلصات'!$F$7="","",'[47]سجل المستخلصات'!$F$7)</f>
        <v/>
      </c>
      <c r="F26" s="59">
        <f>IF('[47]سجل المستخلصات'!$H$7="","",'[47]سجل المستخلصات'!$H$7)</f>
        <v/>
      </c>
      <c r="G26" s="59">
        <f>IF('[47]سجل المستخلصات'!$G$7="","",'[47]سجل المستخلصات'!$G$7)</f>
        <v/>
      </c>
      <c r="H26" s="59">
        <f>IF('[47]سجل المستخلصات'!$I$7="","",'[47]سجل المستخلصات'!$I$7)</f>
        <v/>
      </c>
      <c r="I26" s="59">
        <f>IF('[47]سجل المستخلصات'!$J$7="","",'[47]سجل المستخلصات'!$J$7)</f>
        <v/>
      </c>
      <c r="J26" s="59">
        <f>IF('[47]سجل المستخلصات'!$K$7="","",'[47]سجل المستخلصات'!$K$7)</f>
        <v/>
      </c>
      <c r="K26" s="60">
        <f>IF('[47]سجل المستخلصات'!$L$7="","",'[47]سجل المستخلصات'!$L$7)</f>
        <v/>
      </c>
      <c r="L26" s="60">
        <f>IF('[47]سجل المستخلصات'!$M$7="","",'[47]سجل المستخلصات'!$M$7)</f>
        <v/>
      </c>
      <c r="M26" s="60">
        <f>IF('[47]سجل المستخلصات'!$N$7="","",'[47]سجل المستخلصات'!$N$7)</f>
        <v/>
      </c>
      <c r="N26" s="59">
        <f>IF('[47]سجل المستخلصات'!$O$7="","",'[47]سجل المستخلصات'!$O$7)</f>
        <v/>
      </c>
      <c r="O26" s="59">
        <f>IF('[47]سجل المستخلصات'!$R$7="","",'[47]سجل المستخلصات'!$R$7)</f>
        <v/>
      </c>
      <c r="P26" s="59">
        <f>IF('[47]سجل المستخلصات'!$S$7="","",'[47]سجل المستخلصات'!$S$7)</f>
        <v/>
      </c>
      <c r="Q26" s="59">
        <f>IF('[47]سجل المستخلصات'!$T$7="","",'[47]سجل المستخلصات'!$T$7)</f>
        <v/>
      </c>
      <c r="R26" s="59">
        <f>IF('[47]سجل المستخلصات'!$V$7="","",'[47]سجل المستخلصات'!$V$7)</f>
        <v/>
      </c>
      <c r="S26" s="59">
        <f>IF('[47]سجل المستخلصات'!$W$7="","",'[47]سجل المستخلصات'!$W$7)</f>
        <v/>
      </c>
      <c r="T26" s="61">
        <f>IF('[47]سجل المستخلصات'!$X$7="","",'[47]سجل المستخلصات'!$X$7)</f>
        <v/>
      </c>
      <c r="U26" s="61">
        <f>IF('[47]سجل المستخلصات'!$Z$7="","",'[47]سجل المستخلصات'!$Z$7)</f>
        <v/>
      </c>
      <c r="V26" s="59">
        <f>IF('[47]سجل المستخلصات'!$AA$7="","",'[47]سجل المستخلصات'!$AA$7)</f>
        <v/>
      </c>
      <c r="W26" s="59">
        <f>IF('[47]سجل المستخلصات'!$AC$7="","",'[47]سجل المستخلصات'!$AC$7)</f>
        <v/>
      </c>
      <c r="X26" s="62">
        <f>IF('[47]سجل المستخلصات'!$AD$7="","",'[47]سجل المستخلصات'!$AD$7)</f>
        <v/>
      </c>
      <c r="Y26" s="58">
        <f>IF('[47]سجل المستخلصات'!$AE$7="","",'[47]سجل المستخلصات'!$AE$7)</f>
        <v/>
      </c>
      <c r="AA26" s="63" t="n"/>
      <c r="AB26" s="63" t="n"/>
    </row>
    <row r="27">
      <c r="B27" s="56" t="n">
        <v>3</v>
      </c>
      <c r="C27" s="57">
        <f>IF('[47]سجل المستخلصات'!$C$8="","",'[47]سجل المستخلصات'!$C$8)</f>
        <v/>
      </c>
      <c r="D27" s="57">
        <f>IF('[47]سجل المستخلصات'!$E$8="","",'[47]سجل المستخلصات'!$E$8)</f>
        <v/>
      </c>
      <c r="E27" s="58">
        <f>IF('[47]سجل المستخلصات'!$F$8="","",'[47]سجل المستخلصات'!$F$8)</f>
        <v/>
      </c>
      <c r="F27" s="59">
        <f>IF('[47]سجل المستخلصات'!$H$8="","",'[47]سجل المستخلصات'!$H$8)</f>
        <v/>
      </c>
      <c r="G27" s="59">
        <f>IF('[47]سجل المستخلصات'!$G$8="","",'[47]سجل المستخلصات'!$G$8)</f>
        <v/>
      </c>
      <c r="H27" s="59">
        <f>IF('[47]سجل المستخلصات'!$I$8="","",'[47]سجل المستخلصات'!$I$8)</f>
        <v/>
      </c>
      <c r="I27" s="59">
        <f>IF('[47]سجل المستخلصات'!$J$8="","",'[47]سجل المستخلصات'!$J$8)</f>
        <v/>
      </c>
      <c r="J27" s="59">
        <f>IF('[47]سجل المستخلصات'!$K$8="","",'[47]سجل المستخلصات'!$K$8)</f>
        <v/>
      </c>
      <c r="K27" s="60">
        <f>IF('[47]سجل المستخلصات'!$L$8="","",'[47]سجل المستخلصات'!$L$8)</f>
        <v/>
      </c>
      <c r="L27" s="60">
        <f>IF('[47]سجل المستخلصات'!$M$8="","",'[47]سجل المستخلصات'!$M$8)</f>
        <v/>
      </c>
      <c r="M27" s="60">
        <f>IF('[47]سجل المستخلصات'!$N$8="","",'[47]سجل المستخلصات'!$N$8)</f>
        <v/>
      </c>
      <c r="N27" s="59">
        <f>IF('[47]سجل المستخلصات'!$O$8="","",'[47]سجل المستخلصات'!$O$8)</f>
        <v/>
      </c>
      <c r="O27" s="59">
        <f>IF('[47]سجل المستخلصات'!$R$8="","",'[47]سجل المستخلصات'!$R$8)</f>
        <v/>
      </c>
      <c r="P27" s="59">
        <f>IF('[47]سجل المستخلصات'!$S$8="","",'[47]سجل المستخلصات'!$S$8)</f>
        <v/>
      </c>
      <c r="Q27" s="59">
        <f>IF('[47]سجل المستخلصات'!$T$8="","",'[47]سجل المستخلصات'!$T$8)</f>
        <v/>
      </c>
      <c r="R27" s="59">
        <f>IF('[47]سجل المستخلصات'!$V$8="","",'[47]سجل المستخلصات'!$V$8)</f>
        <v/>
      </c>
      <c r="S27" s="59">
        <f>IF('[47]سجل المستخلصات'!$W$8="","",'[47]سجل المستخلصات'!$W$8)</f>
        <v/>
      </c>
      <c r="T27" s="61">
        <f>IF('[47]سجل المستخلصات'!$X$8="","",'[47]سجل المستخلصات'!$X$8)</f>
        <v/>
      </c>
      <c r="U27" s="61">
        <f>IF('[47]سجل المستخلصات'!$Z$8="","",'[47]سجل المستخلصات'!$Z$8)</f>
        <v/>
      </c>
      <c r="V27" s="59">
        <f>IF('[47]سجل المستخلصات'!$AA$8="","",'[47]سجل المستخلصات'!$AA$8)</f>
        <v/>
      </c>
      <c r="W27" s="59">
        <f>IF('[47]سجل المستخلصات'!$AC$8="","",'[47]سجل المستخلصات'!$AC$8)</f>
        <v/>
      </c>
      <c r="X27" s="62">
        <f>IF('[47]سجل المستخلصات'!$AD$8="","",'[47]سجل المستخلصات'!$AD$8)</f>
        <v/>
      </c>
      <c r="Y27" s="58">
        <f>IF('[47]سجل المستخلصات'!$AE$8="","",'[47]سجل المستخلصات'!$AE$8)</f>
        <v/>
      </c>
      <c r="AA27" s="63" t="n"/>
      <c r="AB27" s="63" t="n"/>
    </row>
    <row r="28">
      <c r="B28" s="56" t="n">
        <v>4</v>
      </c>
      <c r="C28" s="57">
        <f>IF('[47]سجل المستخلصات'!$C$9="","",'[47]سجل المستخلصات'!$C$9)</f>
        <v/>
      </c>
      <c r="D28" s="57">
        <f>IF('[47]سجل المستخلصات'!$E$9="","",'[47]سجل المستخلصات'!$E$9)</f>
        <v/>
      </c>
      <c r="E28" s="58">
        <f>IF('[47]سجل المستخلصات'!$F$9="","",'[47]سجل المستخلصات'!$F$9)</f>
        <v/>
      </c>
      <c r="F28" s="59">
        <f>IF('[47]سجل المستخلصات'!$H$9="","",'[47]سجل المستخلصات'!$H$9)</f>
        <v/>
      </c>
      <c r="G28" s="59">
        <f>IF('[47]سجل المستخلصات'!$G$9="","",'[47]سجل المستخلصات'!$G$9)</f>
        <v/>
      </c>
      <c r="H28" s="59">
        <f>IF('[47]سجل المستخلصات'!$I$9="","",'[47]سجل المستخلصات'!$I$9)</f>
        <v/>
      </c>
      <c r="I28" s="59">
        <f>IF('[47]سجل المستخلصات'!$J$9="","",'[47]سجل المستخلصات'!$J$9)</f>
        <v/>
      </c>
      <c r="J28" s="59">
        <f>IF('[47]سجل المستخلصات'!$K$9="","",'[47]سجل المستخلصات'!$K$9)</f>
        <v/>
      </c>
      <c r="K28" s="60">
        <f>IF('[47]سجل المستخلصات'!$L$9="","",'[47]سجل المستخلصات'!$L$9)</f>
        <v/>
      </c>
      <c r="L28" s="60">
        <f>IF('[47]سجل المستخلصات'!$M$9="","",'[47]سجل المستخلصات'!$M$9)</f>
        <v/>
      </c>
      <c r="M28" s="60">
        <f>IF('[47]سجل المستخلصات'!$N$9="","",'[47]سجل المستخلصات'!$N$9)</f>
        <v/>
      </c>
      <c r="N28" s="59">
        <f>IF('[47]سجل المستخلصات'!$O$9="","",'[47]سجل المستخلصات'!$O$9)</f>
        <v/>
      </c>
      <c r="O28" s="59">
        <f>IF('[47]سجل المستخلصات'!$R$9="","",'[47]سجل المستخلصات'!$R$9)</f>
        <v/>
      </c>
      <c r="P28" s="59">
        <f>IF('[47]سجل المستخلصات'!$S$9="","",'[47]سجل المستخلصات'!$S$9)</f>
        <v/>
      </c>
      <c r="Q28" s="59">
        <f>IF('[47]سجل المستخلصات'!$T$9="","",'[47]سجل المستخلصات'!$T$9)</f>
        <v/>
      </c>
      <c r="R28" s="59">
        <f>IF('[47]سجل المستخلصات'!$V$9="","",'[47]سجل المستخلصات'!$V$9)</f>
        <v/>
      </c>
      <c r="S28" s="59">
        <f>IF('[47]سجل المستخلصات'!$W$9="","",'[47]سجل المستخلصات'!$W$9)</f>
        <v/>
      </c>
      <c r="T28" s="61">
        <f>IF('[47]سجل المستخلصات'!$X$9="","",'[47]سجل المستخلصات'!$X$9)</f>
        <v/>
      </c>
      <c r="U28" s="61">
        <f>IF('[47]سجل المستخلصات'!$Z$9="","",'[47]سجل المستخلصات'!$Z$9)</f>
        <v/>
      </c>
      <c r="V28" s="59">
        <f>IF('[47]سجل المستخلصات'!$AA$9="","",'[47]سجل المستخلصات'!$AA$9)</f>
        <v/>
      </c>
      <c r="W28" s="59">
        <f>IF('[47]سجل المستخلصات'!$AC$9="","",'[47]سجل المستخلصات'!$AC$9)</f>
        <v/>
      </c>
      <c r="X28" s="62">
        <f>IF('[47]سجل المستخلصات'!$AD$9="","",'[47]سجل المستخلصات'!$AD$9)</f>
        <v/>
      </c>
      <c r="Y28" s="58">
        <f>IF('[47]سجل المستخلصات'!$AE$9="","",'[47]سجل المستخلصات'!$AE$9)</f>
        <v/>
      </c>
      <c r="AA28" s="63" t="n"/>
      <c r="AB28" s="63" t="n"/>
    </row>
    <row r="29">
      <c r="B29" s="56" t="n">
        <v>5</v>
      </c>
      <c r="C29" s="57">
        <f>IF('[47]سجل المستخلصات'!$C$10="","",'[47]سجل المستخلصات'!$C$10)</f>
        <v/>
      </c>
      <c r="D29" s="57">
        <f>IF('[47]سجل المستخلصات'!$E$10="","",'[47]سجل المستخلصات'!$E$10)</f>
        <v/>
      </c>
      <c r="E29" s="58">
        <f>IF('[47]سجل المستخلصات'!$F$10="","",'[47]سجل المستخلصات'!$F$10)</f>
        <v/>
      </c>
      <c r="F29" s="59">
        <f>IF('[47]سجل المستخلصات'!$H$10="","",'[47]سجل المستخلصات'!$H$10)</f>
        <v/>
      </c>
      <c r="G29" s="59">
        <f>IF('[47]سجل المستخلصات'!$G$10="","",'[47]سجل المستخلصات'!$G$10)</f>
        <v/>
      </c>
      <c r="H29" s="59">
        <f>IF('[47]سجل المستخلصات'!$I$10="","",'[47]سجل المستخلصات'!$I$10)</f>
        <v/>
      </c>
      <c r="I29" s="59">
        <f>IF('[47]سجل المستخلصات'!$J$10="","",'[47]سجل المستخلصات'!$J$10)</f>
        <v/>
      </c>
      <c r="J29" s="59">
        <f>IF('[47]سجل المستخلصات'!$K$10="","",'[47]سجل المستخلصات'!$K$10)</f>
        <v/>
      </c>
      <c r="K29" s="60">
        <f>IF('[47]سجل المستخلصات'!$L$10="","",'[47]سجل المستخلصات'!$L$10)</f>
        <v/>
      </c>
      <c r="L29" s="60">
        <f>IF('[47]سجل المستخلصات'!$M$10="","",'[47]سجل المستخلصات'!$M$10)</f>
        <v/>
      </c>
      <c r="M29" s="60">
        <f>IF('[47]سجل المستخلصات'!$N$10="","",'[47]سجل المستخلصات'!$N$10)</f>
        <v/>
      </c>
      <c r="N29" s="59">
        <f>IF('[47]سجل المستخلصات'!$O$10="","",'[47]سجل المستخلصات'!$O$10)</f>
        <v/>
      </c>
      <c r="O29" s="59">
        <f>IF('[47]سجل المستخلصات'!$R$10="","",'[47]سجل المستخلصات'!$R$10)</f>
        <v/>
      </c>
      <c r="P29" s="59">
        <f>IF('[47]سجل المستخلصات'!$S$10="","",'[47]سجل المستخلصات'!$S$10)</f>
        <v/>
      </c>
      <c r="Q29" s="59">
        <f>IF('[47]سجل المستخلصات'!$T$10="","",'[47]سجل المستخلصات'!$T$10)</f>
        <v/>
      </c>
      <c r="R29" s="59">
        <f>IF('[47]سجل المستخلصات'!$V$10="","",'[47]سجل المستخلصات'!$V$10)</f>
        <v/>
      </c>
      <c r="S29" s="59">
        <f>IF('[47]سجل المستخلصات'!$W$10="","",'[47]سجل المستخلصات'!$W$10)</f>
        <v/>
      </c>
      <c r="T29" s="61">
        <f>IF('[47]سجل المستخلصات'!$X$10="","",'[47]سجل المستخلصات'!$X$10)</f>
        <v/>
      </c>
      <c r="U29" s="61">
        <f>IF('[47]سجل المستخلصات'!$Z$10="","",'[47]سجل المستخلصات'!$Z$10)</f>
        <v/>
      </c>
      <c r="V29" s="59">
        <f>IF('[47]سجل المستخلصات'!$AA$10="","",'[47]سجل المستخلصات'!$AA$10)</f>
        <v/>
      </c>
      <c r="W29" s="59">
        <f>IF('[47]سجل المستخلصات'!$AC$10="","",'[47]سجل المستخلصات'!$AC$10)</f>
        <v/>
      </c>
      <c r="X29" s="62">
        <f>IF('[47]سجل المستخلصات'!$AD$10="","",'[47]سجل المستخلصات'!$AD$10)</f>
        <v/>
      </c>
      <c r="Y29" s="58">
        <f>IF('[47]سجل المستخلصات'!$AE$10="","",'[47]سجل المستخلصات'!$AE$10)</f>
        <v/>
      </c>
    </row>
    <row r="30">
      <c r="B30" s="56" t="n">
        <v>6</v>
      </c>
      <c r="C30" s="57">
        <f>IF('[47]سجل المستخلصات'!$C$11="","",'[47]سجل المستخلصات'!$C$11)</f>
        <v/>
      </c>
      <c r="D30" s="57">
        <f>IF('[47]سجل المستخلصات'!$E$11="","",'[47]سجل المستخلصات'!$E$11)</f>
        <v/>
      </c>
      <c r="E30" s="58">
        <f>IF('[47]سجل المستخلصات'!$F$11="","",'[47]سجل المستخلصات'!$F$11)</f>
        <v/>
      </c>
      <c r="F30" s="59">
        <f>IF('[47]سجل المستخلصات'!$H$11="","",'[47]سجل المستخلصات'!$H$11)</f>
        <v/>
      </c>
      <c r="G30" s="59">
        <f>IF('[47]سجل المستخلصات'!$G$11="","",'[47]سجل المستخلصات'!$G$11)</f>
        <v/>
      </c>
      <c r="H30" s="59">
        <f>IF('[47]سجل المستخلصات'!$I$11="","",'[47]سجل المستخلصات'!$I$11)</f>
        <v/>
      </c>
      <c r="I30" s="59">
        <f>IF('[47]سجل المستخلصات'!$J$11="","",'[47]سجل المستخلصات'!$J$11)</f>
        <v/>
      </c>
      <c r="J30" s="59">
        <f>IF('[47]سجل المستخلصات'!$K$11="","",'[47]سجل المستخلصات'!$K$11)</f>
        <v/>
      </c>
      <c r="K30" s="60">
        <f>IF('[47]سجل المستخلصات'!$L$11="","",'[47]سجل المستخلصات'!$L$11)</f>
        <v/>
      </c>
      <c r="L30" s="60">
        <f>IF('[47]سجل المستخلصات'!$M$11="","",'[47]سجل المستخلصات'!$M$11)</f>
        <v/>
      </c>
      <c r="M30" s="60">
        <f>IF('[47]سجل المستخلصات'!$N$11="","",'[47]سجل المستخلصات'!$N$11)</f>
        <v/>
      </c>
      <c r="N30" s="59">
        <f>IF('[47]سجل المستخلصات'!$O$11="","",'[47]سجل المستخلصات'!$O$11)</f>
        <v/>
      </c>
      <c r="O30" s="59">
        <f>IF('[47]سجل المستخلصات'!$R$11="","",'[47]سجل المستخلصات'!$R$11)</f>
        <v/>
      </c>
      <c r="P30" s="59">
        <f>IF('[47]سجل المستخلصات'!$S$11="","",'[47]سجل المستخلصات'!$S$11)</f>
        <v/>
      </c>
      <c r="Q30" s="59">
        <f>IF('[47]سجل المستخلصات'!$T$11="","",'[47]سجل المستخلصات'!$T$11)</f>
        <v/>
      </c>
      <c r="R30" s="59">
        <f>IF('[47]سجل المستخلصات'!$V$11="","",'[47]سجل المستخلصات'!$V$11)</f>
        <v/>
      </c>
      <c r="S30" s="59">
        <f>IF('[47]سجل المستخلصات'!$W$11="","",'[47]سجل المستخلصات'!$W$11)</f>
        <v/>
      </c>
      <c r="T30" s="61">
        <f>IF('[47]سجل المستخلصات'!$X$11="","",'[47]سجل المستخلصات'!$X$11)</f>
        <v/>
      </c>
      <c r="U30" s="61">
        <f>IF('[47]سجل المستخلصات'!$Z$11="","",'[47]سجل المستخلصات'!$Z$11)</f>
        <v/>
      </c>
      <c r="V30" s="59">
        <f>IF('[47]سجل المستخلصات'!$AA$11="","",'[47]سجل المستخلصات'!$AA$11)</f>
        <v/>
      </c>
      <c r="W30" s="59">
        <f>IF('[47]سجل المستخلصات'!$AC$11="","",'[47]سجل المستخلصات'!$AC$11)</f>
        <v/>
      </c>
      <c r="X30" s="62">
        <f>IF('[47]سجل المستخلصات'!$AD$11="","",'[47]سجل المستخلصات'!$AD$11)</f>
        <v/>
      </c>
      <c r="Y30" s="58">
        <f>IF('[47]سجل المستخلصات'!$AE$11="","",'[47]سجل المستخلصات'!$AE$11)</f>
        <v/>
      </c>
    </row>
    <row r="31">
      <c r="B31" s="56" t="n">
        <v>7</v>
      </c>
      <c r="C31" s="57">
        <f>IF('[47]سجل المستخلصات'!$C$12="","",'[47]سجل المستخلصات'!$C$12)</f>
        <v/>
      </c>
      <c r="D31" s="57">
        <f>IF('[47]سجل المستخلصات'!$E$12="","",'[47]سجل المستخلصات'!$E$12)</f>
        <v/>
      </c>
      <c r="E31" s="58">
        <f>IF('[47]سجل المستخلصات'!$F$12="","",'[47]سجل المستخلصات'!$F$12)</f>
        <v/>
      </c>
      <c r="F31" s="59">
        <f>IF('[47]سجل المستخلصات'!$H$12="","",'[47]سجل المستخلصات'!$H$12)</f>
        <v/>
      </c>
      <c r="G31" s="59">
        <f>IF('[47]سجل المستخلصات'!$G$12="","",'[47]سجل المستخلصات'!$G$12)</f>
        <v/>
      </c>
      <c r="H31" s="59">
        <f>IF('[47]سجل المستخلصات'!$I$12="","",'[47]سجل المستخلصات'!$I$12)</f>
        <v/>
      </c>
      <c r="I31" s="59">
        <f>IF('[47]سجل المستخلصات'!$J$12="","",'[47]سجل المستخلصات'!$J$12)</f>
        <v/>
      </c>
      <c r="J31" s="59">
        <f>IF('[47]سجل المستخلصات'!$K$12="","",'[47]سجل المستخلصات'!$K$12)</f>
        <v/>
      </c>
      <c r="K31" s="60">
        <f>IF('[47]سجل المستخلصات'!$L$12="","",'[47]سجل المستخلصات'!$L$12)</f>
        <v/>
      </c>
      <c r="L31" s="60">
        <f>IF('[47]سجل المستخلصات'!$M$12="","",'[47]سجل المستخلصات'!$M$12)</f>
        <v/>
      </c>
      <c r="M31" s="60">
        <f>IF('[47]سجل المستخلصات'!$N$12="","",'[47]سجل المستخلصات'!$N$12)</f>
        <v/>
      </c>
      <c r="N31" s="59">
        <f>IF('[47]سجل المستخلصات'!$O$12="","",'[47]سجل المستخلصات'!$O$12)</f>
        <v/>
      </c>
      <c r="O31" s="59">
        <f>IF('[47]سجل المستخلصات'!$R$12="","",'[47]سجل المستخلصات'!$R$12)</f>
        <v/>
      </c>
      <c r="P31" s="59">
        <f>IF('[47]سجل المستخلصات'!$S$12="","",'[47]سجل المستخلصات'!$S$12)</f>
        <v/>
      </c>
      <c r="Q31" s="59">
        <f>IF('[47]سجل المستخلصات'!$T$12="","",'[47]سجل المستخلصات'!$T$12)</f>
        <v/>
      </c>
      <c r="R31" s="59">
        <f>IF('[47]سجل المستخلصات'!$V$12="","",'[47]سجل المستخلصات'!$V$12)</f>
        <v/>
      </c>
      <c r="S31" s="59">
        <f>IF('[47]سجل المستخلصات'!$W$12="","",'[47]سجل المستخلصات'!$W$12)</f>
        <v/>
      </c>
      <c r="T31" s="61">
        <f>IF('[47]سجل المستخلصات'!$X$12="","",'[47]سجل المستخلصات'!$X$12)</f>
        <v/>
      </c>
      <c r="U31" s="61">
        <f>IF('[47]سجل المستخلصات'!$Z$12="","",'[47]سجل المستخلصات'!$Z$12)</f>
        <v/>
      </c>
      <c r="V31" s="59">
        <f>IF('[47]سجل المستخلصات'!$AA$12="","",'[47]سجل المستخلصات'!$AA$12)</f>
        <v/>
      </c>
      <c r="W31" s="59">
        <f>IF('[47]سجل المستخلصات'!$AC$12="","",'[47]سجل المستخلصات'!$AC$12)</f>
        <v/>
      </c>
      <c r="X31" s="62">
        <f>IF('[47]سجل المستخلصات'!$AD$12="","",'[47]سجل المستخلصات'!$AD$12)</f>
        <v/>
      </c>
      <c r="Y31" s="58">
        <f>IF('[47]سجل المستخلصات'!$AE$12="","",'[47]سجل المستخلصات'!$AE$12)</f>
        <v/>
      </c>
    </row>
    <row r="32">
      <c r="B32" s="56" t="n">
        <v>8</v>
      </c>
      <c r="C32" s="57">
        <f>IF('[47]سجل المستخلصات'!$C$13="","",'[47]سجل المستخلصات'!$C$13)</f>
        <v/>
      </c>
      <c r="D32" s="57">
        <f>IF('[47]سجل المستخلصات'!$E$13="","",'[47]سجل المستخلصات'!$E$13)</f>
        <v/>
      </c>
      <c r="E32" s="58">
        <f>IF('[47]سجل المستخلصات'!$F$13="","",'[47]سجل المستخلصات'!$F$13)</f>
        <v/>
      </c>
      <c r="F32" s="59">
        <f>IF('[47]سجل المستخلصات'!$H$13="","",'[47]سجل المستخلصات'!$H$13)</f>
        <v/>
      </c>
      <c r="G32" s="59">
        <f>IF('[47]سجل المستخلصات'!$G$13="","",'[47]سجل المستخلصات'!$G$13)</f>
        <v/>
      </c>
      <c r="H32" s="59">
        <f>IF('[47]سجل المستخلصات'!$I$13="","",'[47]سجل المستخلصات'!$I$13)</f>
        <v/>
      </c>
      <c r="I32" s="59">
        <f>IF('[47]سجل المستخلصات'!$J$13="","",'[47]سجل المستخلصات'!$J$13)</f>
        <v/>
      </c>
      <c r="J32" s="59">
        <f>IF('[47]سجل المستخلصات'!$K$13="","",'[47]سجل المستخلصات'!$K$13)</f>
        <v/>
      </c>
      <c r="K32" s="60">
        <f>IF('[47]سجل المستخلصات'!$L$13="","",'[47]سجل المستخلصات'!$L$13)</f>
        <v/>
      </c>
      <c r="L32" s="60">
        <f>IF('[47]سجل المستخلصات'!$M$13="","",'[47]سجل المستخلصات'!$M$13)</f>
        <v/>
      </c>
      <c r="M32" s="60">
        <f>IF('[47]سجل المستخلصات'!$N$13="","",'[47]سجل المستخلصات'!$N$13)</f>
        <v/>
      </c>
      <c r="N32" s="59">
        <f>IF('[47]سجل المستخلصات'!$O$13="","",'[47]سجل المستخلصات'!$O$13)</f>
        <v/>
      </c>
      <c r="O32" s="59">
        <f>IF('[47]سجل المستخلصات'!$R$13="","",'[47]سجل المستخلصات'!$R$13)</f>
        <v/>
      </c>
      <c r="P32" s="59">
        <f>IF('[47]سجل المستخلصات'!$S$13="","",'[47]سجل المستخلصات'!$S$13)</f>
        <v/>
      </c>
      <c r="Q32" s="59">
        <f>IF('[47]سجل المستخلصات'!$T$13="","",'[47]سجل المستخلصات'!$T$13)</f>
        <v/>
      </c>
      <c r="R32" s="59">
        <f>IF('[47]سجل المستخلصات'!$V$13="","",'[47]سجل المستخلصات'!$V$13)</f>
        <v/>
      </c>
      <c r="S32" s="59">
        <f>IF('[47]سجل المستخلصات'!$W$13="","",'[47]سجل المستخلصات'!$W$13)</f>
        <v/>
      </c>
      <c r="T32" s="61">
        <f>IF('[47]سجل المستخلصات'!$X$13="","",'[47]سجل المستخلصات'!$X$13)</f>
        <v/>
      </c>
      <c r="U32" s="61">
        <f>IF('[47]سجل المستخلصات'!$Z$13="","",'[47]سجل المستخلصات'!$Z$13)</f>
        <v/>
      </c>
      <c r="V32" s="59">
        <f>IF('[47]سجل المستخلصات'!$AA$13="","",'[47]سجل المستخلصات'!$AA$13)</f>
        <v/>
      </c>
      <c r="W32" s="59">
        <f>IF('[47]سجل المستخلصات'!$AC$13="","",'[47]سجل المستخلصات'!$AC$13)</f>
        <v/>
      </c>
      <c r="X32" s="62">
        <f>IF('[47]سجل المستخلصات'!$AD$13="","",'[47]سجل المستخلصات'!$AD$13)</f>
        <v/>
      </c>
      <c r="Y32" s="58">
        <f>IF('[47]سجل المستخلصات'!$AE$13="","",'[47]سجل المستخلصات'!$AE$13)</f>
        <v/>
      </c>
    </row>
    <row r="33">
      <c r="B33" s="56" t="n">
        <v>9</v>
      </c>
      <c r="C33" s="57">
        <f>IF('[47]سجل المستخلصات'!$C$14="","",'[47]سجل المستخلصات'!$C$14)</f>
        <v/>
      </c>
      <c r="D33" s="57">
        <f>IF('[47]سجل المستخلصات'!$E$14="","",'[47]سجل المستخلصات'!$E$14)</f>
        <v/>
      </c>
      <c r="E33" s="58">
        <f>IF('[47]سجل المستخلصات'!$F$14="","",'[47]سجل المستخلصات'!$F$14)</f>
        <v/>
      </c>
      <c r="F33" s="59">
        <f>IF('[47]سجل المستخلصات'!$H$14="","",'[47]سجل المستخلصات'!$H$14)</f>
        <v/>
      </c>
      <c r="G33" s="59">
        <f>IF('[47]سجل المستخلصات'!$G$14="","",'[47]سجل المستخلصات'!$G$14)</f>
        <v/>
      </c>
      <c r="H33" s="59">
        <f>IF('[47]سجل المستخلصات'!$I$14="","",'[47]سجل المستخلصات'!$I$14)</f>
        <v/>
      </c>
      <c r="I33" s="59">
        <f>IF('[47]سجل المستخلصات'!$J$14="","",'[47]سجل المستخلصات'!$J$14)</f>
        <v/>
      </c>
      <c r="J33" s="59">
        <f>IF('[47]سجل المستخلصات'!$K$14="","",'[47]سجل المستخلصات'!$K$14)</f>
        <v/>
      </c>
      <c r="K33" s="60">
        <f>IF('[47]سجل المستخلصات'!$L$14="","",'[47]سجل المستخلصات'!$L$14)</f>
        <v/>
      </c>
      <c r="L33" s="60">
        <f>IF('[47]سجل المستخلصات'!$M$14="","",'[47]سجل المستخلصات'!$M$14)</f>
        <v/>
      </c>
      <c r="M33" s="60">
        <f>IF('[47]سجل المستخلصات'!$N$14="","",'[47]سجل المستخلصات'!$N$14)</f>
        <v/>
      </c>
      <c r="N33" s="59">
        <f>IF('[47]سجل المستخلصات'!$O$14="","",'[47]سجل المستخلصات'!$O$14)</f>
        <v/>
      </c>
      <c r="O33" s="59">
        <f>IF('[47]سجل المستخلصات'!$R$14="","",'[47]سجل المستخلصات'!$R$14)</f>
        <v/>
      </c>
      <c r="P33" s="59">
        <f>IF('[47]سجل المستخلصات'!$S$14="","",'[47]سجل المستخلصات'!$S$14)</f>
        <v/>
      </c>
      <c r="Q33" s="59">
        <f>IF('[47]سجل المستخلصات'!$T$14="","",'[47]سجل المستخلصات'!$T$14)</f>
        <v/>
      </c>
      <c r="R33" s="59">
        <f>IF('[47]سجل المستخلصات'!$V$14="","",'[47]سجل المستخلصات'!$V$14)</f>
        <v/>
      </c>
      <c r="S33" s="59">
        <f>IF('[47]سجل المستخلصات'!$W$14="","",'[47]سجل المستخلصات'!$W$14)</f>
        <v/>
      </c>
      <c r="T33" s="61">
        <f>IF('[47]سجل المستخلصات'!$X$14="","",'[47]سجل المستخلصات'!$X$14)</f>
        <v/>
      </c>
      <c r="U33" s="61">
        <f>IF('[47]سجل المستخلصات'!$Z$14="","",'[47]سجل المستخلصات'!$Z$14)</f>
        <v/>
      </c>
      <c r="V33" s="59">
        <f>IF('[47]سجل المستخلصات'!$AA$14="","",'[47]سجل المستخلصات'!$AA$14)</f>
        <v/>
      </c>
      <c r="W33" s="59">
        <f>IF('[47]سجل المستخلصات'!$AC$14="","",'[47]سجل المستخلصات'!$AC$14)</f>
        <v/>
      </c>
      <c r="X33" s="62">
        <f>IF('[47]سجل المستخلصات'!$AD$14="","",'[47]سجل المستخلصات'!$AD$14)</f>
        <v/>
      </c>
      <c r="Y33" s="58">
        <f>IF('[47]سجل المستخلصات'!$AE$14="","",'[47]سجل المستخلصات'!$AE$14)</f>
        <v/>
      </c>
    </row>
    <row r="34">
      <c r="B34" s="56" t="n">
        <v>10</v>
      </c>
      <c r="C34" s="57">
        <f>IF('[47]سجل المستخلصات'!$C$15="","",'[47]سجل المستخلصات'!$C$15)</f>
        <v/>
      </c>
      <c r="D34" s="57">
        <f>IF('[47]سجل المستخلصات'!$E$15="","",'[47]سجل المستخلصات'!$E$15)</f>
        <v/>
      </c>
      <c r="E34" s="58">
        <f>IF('[47]سجل المستخلصات'!$F$15="","",'[47]سجل المستخلصات'!$F$15)</f>
        <v/>
      </c>
      <c r="F34" s="59">
        <f>IF('[47]سجل المستخلصات'!$H$15="","",'[47]سجل المستخلصات'!$H$15)</f>
        <v/>
      </c>
      <c r="G34" s="59">
        <f>IF('[47]سجل المستخلصات'!$G$15="","",'[47]سجل المستخلصات'!$G$15)</f>
        <v/>
      </c>
      <c r="H34" s="59">
        <f>IF('[47]سجل المستخلصات'!$I$15="","",'[47]سجل المستخلصات'!$I$15)</f>
        <v/>
      </c>
      <c r="I34" s="59">
        <f>IF('[47]سجل المستخلصات'!$J$15="","",'[47]سجل المستخلصات'!$J$15)</f>
        <v/>
      </c>
      <c r="J34" s="59">
        <f>IF('[47]سجل المستخلصات'!$K$15="","",'[47]سجل المستخلصات'!$K$15)</f>
        <v/>
      </c>
      <c r="K34" s="60">
        <f>IF('[47]سجل المستخلصات'!$L$15="","",'[47]سجل المستخلصات'!$L$15)</f>
        <v/>
      </c>
      <c r="L34" s="60">
        <f>IF('[47]سجل المستخلصات'!$M$15="","",'[47]سجل المستخلصات'!$M$15)</f>
        <v/>
      </c>
      <c r="M34" s="60">
        <f>IF('[47]سجل المستخلصات'!$N$15="","",'[47]سجل المستخلصات'!$N$15)</f>
        <v/>
      </c>
      <c r="N34" s="59">
        <f>IF('[47]سجل المستخلصات'!$O$15="","",'[47]سجل المستخلصات'!$O$15)</f>
        <v/>
      </c>
      <c r="O34" s="59">
        <f>IF('[47]سجل المستخلصات'!$R$15="","",'[47]سجل المستخلصات'!$R$15)</f>
        <v/>
      </c>
      <c r="P34" s="59">
        <f>IF('[47]سجل المستخلصات'!$S$15="","",'[47]سجل المستخلصات'!$S$15)</f>
        <v/>
      </c>
      <c r="Q34" s="59">
        <f>IF('[47]سجل المستخلصات'!$T$15="","",'[47]سجل المستخلصات'!$T$15)</f>
        <v/>
      </c>
      <c r="R34" s="59">
        <f>IF('[47]سجل المستخلصات'!$V$15="","",'[47]سجل المستخلصات'!$V$15)</f>
        <v/>
      </c>
      <c r="S34" s="59">
        <f>IF('[47]سجل المستخلصات'!$W$15="","",'[47]سجل المستخلصات'!$W$15)</f>
        <v/>
      </c>
      <c r="T34" s="61">
        <f>IF('[47]سجل المستخلصات'!$X$15="","",'[47]سجل المستخلصات'!$X$15)</f>
        <v/>
      </c>
      <c r="U34" s="61">
        <f>IF('[47]سجل المستخلصات'!$Z$15="","",'[47]سجل المستخلصات'!$Z$15)</f>
        <v/>
      </c>
      <c r="V34" s="59">
        <f>IF('[47]سجل المستخلصات'!$AA$15="","",'[47]سجل المستخلصات'!$AA$15)</f>
        <v/>
      </c>
      <c r="W34" s="59">
        <f>IF('[47]سجل المستخلصات'!$AC$15="","",'[47]سجل المستخلصات'!$AC$15)</f>
        <v/>
      </c>
      <c r="X34" s="62">
        <f>IF('[47]سجل المستخلصات'!$AD$15="","",'[47]سجل المستخلصات'!$AD$15)</f>
        <v/>
      </c>
      <c r="Y34" s="58">
        <f>IF('[47]سجل المستخلصات'!$AE$15="","",'[47]سجل المستخلصات'!$AE$15)</f>
        <v/>
      </c>
    </row>
    <row r="35">
      <c r="B35" s="56" t="n">
        <v>11</v>
      </c>
      <c r="C35" s="57">
        <f>IF('[47]سجل المستخلصات'!$C$16="","",'[47]سجل المستخلصات'!$C$16)</f>
        <v/>
      </c>
      <c r="D35" s="57">
        <f>IF('[47]سجل المستخلصات'!$E$16="","",'[47]سجل المستخلصات'!$E$16)</f>
        <v/>
      </c>
      <c r="E35" s="58">
        <f>IF('[47]سجل المستخلصات'!$F$16="","",'[47]سجل المستخلصات'!$F$16)</f>
        <v/>
      </c>
      <c r="F35" s="59">
        <f>IF('[47]سجل المستخلصات'!$H$16="","",'[47]سجل المستخلصات'!$H$16)</f>
        <v/>
      </c>
      <c r="G35" s="59">
        <f>IF('[47]سجل المستخلصات'!$G$16="","",'[47]سجل المستخلصات'!$G$16)</f>
        <v/>
      </c>
      <c r="H35" s="59">
        <f>IF('[47]سجل المستخلصات'!$I$16="","",'[47]سجل المستخلصات'!$I$16)</f>
        <v/>
      </c>
      <c r="I35" s="59">
        <f>IF('[47]سجل المستخلصات'!$J$16="","",'[47]سجل المستخلصات'!$J$16)</f>
        <v/>
      </c>
      <c r="J35" s="59">
        <f>IF('[47]سجل المستخلصات'!$K$16="","",'[47]سجل المستخلصات'!$K$16)</f>
        <v/>
      </c>
      <c r="K35" s="60">
        <f>IF('[47]سجل المستخلصات'!$L$16="","",'[47]سجل المستخلصات'!$L$16)</f>
        <v/>
      </c>
      <c r="L35" s="60">
        <f>IF('[47]سجل المستخلصات'!$M$16="","",'[47]سجل المستخلصات'!$M$16)</f>
        <v/>
      </c>
      <c r="M35" s="60">
        <f>IF('[47]سجل المستخلصات'!$N$16="","",'[47]سجل المستخلصات'!$N$16)</f>
        <v/>
      </c>
      <c r="N35" s="59">
        <f>IF('[47]سجل المستخلصات'!$O$16="","",'[47]سجل المستخلصات'!$O$16)</f>
        <v/>
      </c>
      <c r="O35" s="59">
        <f>IF('[47]سجل المستخلصات'!$R$16="","",'[47]سجل المستخلصات'!$R$16)</f>
        <v/>
      </c>
      <c r="P35" s="59">
        <f>IF('[47]سجل المستخلصات'!$S$16="","",'[47]سجل المستخلصات'!$S$16)</f>
        <v/>
      </c>
      <c r="Q35" s="59">
        <f>IF('[47]سجل المستخلصات'!$T$16="","",'[47]سجل المستخلصات'!$T$16)</f>
        <v/>
      </c>
      <c r="R35" s="59">
        <f>IF('[47]سجل المستخلصات'!$V$16="","",'[47]سجل المستخلصات'!$V$16)</f>
        <v/>
      </c>
      <c r="S35" s="59">
        <f>IF('[47]سجل المستخلصات'!$W$16="","",'[47]سجل المستخلصات'!$W$16)</f>
        <v/>
      </c>
      <c r="T35" s="61">
        <f>IF('[47]سجل المستخلصات'!$X$16="","",'[47]سجل المستخلصات'!$X$16)</f>
        <v/>
      </c>
      <c r="U35" s="61">
        <f>IF('[47]سجل المستخلصات'!$Z$16="","",'[47]سجل المستخلصات'!$Z$16)</f>
        <v/>
      </c>
      <c r="V35" s="59">
        <f>IF('[47]سجل المستخلصات'!$AA$16="","",'[47]سجل المستخلصات'!$AA$16)</f>
        <v/>
      </c>
      <c r="W35" s="59">
        <f>IF('[47]سجل المستخلصات'!$AC$16="","",'[47]سجل المستخلصات'!$AC$16)</f>
        <v/>
      </c>
      <c r="X35" s="62">
        <f>IF('[47]سجل المستخلصات'!$AD$16="","",'[47]سجل المستخلصات'!$AD$16)</f>
        <v/>
      </c>
      <c r="Y35" s="58">
        <f>IF('[47]سجل المستخلصات'!$AE$16="","",'[47]سجل المستخلصات'!$AE$16)</f>
        <v/>
      </c>
    </row>
    <row r="36">
      <c r="B36" s="56" t="n">
        <v>12</v>
      </c>
      <c r="C36" s="57">
        <f>IF('[47]سجل المستخلصات'!$C$17="","",'[47]سجل المستخلصات'!$C$17)</f>
        <v/>
      </c>
      <c r="D36" s="57">
        <f>IF('[47]سجل المستخلصات'!$E$17="","",'[47]سجل المستخلصات'!$E$17)</f>
        <v/>
      </c>
      <c r="E36" s="58">
        <f>IF('[47]سجل المستخلصات'!$F$17="","",'[47]سجل المستخلصات'!$F$17)</f>
        <v/>
      </c>
      <c r="F36" s="59">
        <f>IF('[47]سجل المستخلصات'!$H$17="","",'[47]سجل المستخلصات'!$H$17)</f>
        <v/>
      </c>
      <c r="G36" s="59">
        <f>IF('[47]سجل المستخلصات'!$G$17="","",'[47]سجل المستخلصات'!$G$17)</f>
        <v/>
      </c>
      <c r="H36" s="59">
        <f>IF('[47]سجل المستخلصات'!$I$17="","",'[47]سجل المستخلصات'!$I$17)</f>
        <v/>
      </c>
      <c r="I36" s="59">
        <f>IF('[47]سجل المستخلصات'!$J$17="","",'[47]سجل المستخلصات'!$J$17)</f>
        <v/>
      </c>
      <c r="J36" s="59">
        <f>IF('[47]سجل المستخلصات'!$K$17="","",'[47]سجل المستخلصات'!$K$17)</f>
        <v/>
      </c>
      <c r="K36" s="60">
        <f>IF('[47]سجل المستخلصات'!$L$17="","",'[47]سجل المستخلصات'!$L$17)</f>
        <v/>
      </c>
      <c r="L36" s="60">
        <f>IF('[47]سجل المستخلصات'!$M$17="","",'[47]سجل المستخلصات'!$M$17)</f>
        <v/>
      </c>
      <c r="M36" s="60">
        <f>IF('[47]سجل المستخلصات'!$N$17="","",'[47]سجل المستخلصات'!$N$17)</f>
        <v/>
      </c>
      <c r="N36" s="59">
        <f>IF('[47]سجل المستخلصات'!$O$17="","",'[47]سجل المستخلصات'!$O$17)</f>
        <v/>
      </c>
      <c r="O36" s="59">
        <f>IF('[47]سجل المستخلصات'!$R$17="","",'[47]سجل المستخلصات'!$R$17)</f>
        <v/>
      </c>
      <c r="P36" s="59">
        <f>IF('[47]سجل المستخلصات'!$S$17="","",'[47]سجل المستخلصات'!$S$17)</f>
        <v/>
      </c>
      <c r="Q36" s="59">
        <f>IF('[47]سجل المستخلصات'!$T$17="","",'[47]سجل المستخلصات'!$T$17)</f>
        <v/>
      </c>
      <c r="R36" s="59">
        <f>IF('[47]سجل المستخلصات'!$V$17="","",'[47]سجل المستخلصات'!$V$17)</f>
        <v/>
      </c>
      <c r="S36" s="59">
        <f>IF('[47]سجل المستخلصات'!$W$17="","",'[47]سجل المستخلصات'!$W$17)</f>
        <v/>
      </c>
      <c r="T36" s="61">
        <f>IF('[47]سجل المستخلصات'!$X$17="","",'[47]سجل المستخلصات'!$X$17)</f>
        <v/>
      </c>
      <c r="U36" s="61">
        <f>IF('[47]سجل المستخلصات'!$Z$17="","",'[47]سجل المستخلصات'!$Z$17)</f>
        <v/>
      </c>
      <c r="V36" s="59">
        <f>IF('[47]سجل المستخلصات'!$AA$17="","",'[47]سجل المستخلصات'!$AA$17)</f>
        <v/>
      </c>
      <c r="W36" s="59">
        <f>IF('[47]سجل المستخلصات'!$AC$17="","",'[47]سجل المستخلصات'!$AC$17)</f>
        <v/>
      </c>
      <c r="X36" s="62">
        <f>IF('[47]سجل المستخلصات'!$AD$17="","",'[47]سجل المستخلصات'!$AD$17)</f>
        <v/>
      </c>
      <c r="Y36" s="58">
        <f>IF('[47]سجل المستخلصات'!$AE$17="","",'[47]سجل المستخلصات'!$AE$17)</f>
        <v/>
      </c>
    </row>
    <row r="37">
      <c r="B37" s="56" t="n">
        <v>13</v>
      </c>
      <c r="C37" s="57">
        <f>IF('[47]سجل المستخلصات'!$C$18="","",'[47]سجل المستخلصات'!$C$18)</f>
        <v/>
      </c>
      <c r="D37" s="57">
        <f>IF('[47]سجل المستخلصات'!$E$18="","",'[47]سجل المستخلصات'!$E$18)</f>
        <v/>
      </c>
      <c r="E37" s="58">
        <f>IF('[47]سجل المستخلصات'!$F$18="","",'[47]سجل المستخلصات'!$F$18)</f>
        <v/>
      </c>
      <c r="F37" s="59">
        <f>IF('[47]سجل المستخلصات'!$H$18="","",'[47]سجل المستخلصات'!$H$18)</f>
        <v/>
      </c>
      <c r="G37" s="59">
        <f>IF('[47]سجل المستخلصات'!$G$18="","",'[47]سجل المستخلصات'!$G$18)</f>
        <v/>
      </c>
      <c r="H37" s="59">
        <f>IF('[47]سجل المستخلصات'!$I$18="","",'[47]سجل المستخلصات'!$I$18)</f>
        <v/>
      </c>
      <c r="I37" s="59">
        <f>IF('[47]سجل المستخلصات'!$J$18="","",'[47]سجل المستخلصات'!$J$18)</f>
        <v/>
      </c>
      <c r="J37" s="59">
        <f>IF('[47]سجل المستخلصات'!$K$18="","",'[47]سجل المستخلصات'!$K$18)</f>
        <v/>
      </c>
      <c r="K37" s="60">
        <f>IF('[47]سجل المستخلصات'!$L$18="","",'[47]سجل المستخلصات'!$L$18)</f>
        <v/>
      </c>
      <c r="L37" s="60">
        <f>IF('[47]سجل المستخلصات'!$M$18="","",'[47]سجل المستخلصات'!$M$18)</f>
        <v/>
      </c>
      <c r="M37" s="60">
        <f>IF('[47]سجل المستخلصات'!$N$18="","",'[47]سجل المستخلصات'!$N$18)</f>
        <v/>
      </c>
      <c r="N37" s="59">
        <f>IF('[47]سجل المستخلصات'!$O$18="","",'[47]سجل المستخلصات'!$O$18)</f>
        <v/>
      </c>
      <c r="O37" s="59">
        <f>IF('[47]سجل المستخلصات'!$R$18="","",'[47]سجل المستخلصات'!$R$18)</f>
        <v/>
      </c>
      <c r="P37" s="59">
        <f>IF('[47]سجل المستخلصات'!$S$18="","",'[47]سجل المستخلصات'!$S$18)</f>
        <v/>
      </c>
      <c r="Q37" s="59">
        <f>IF('[47]سجل المستخلصات'!$T$18="","",'[47]سجل المستخلصات'!$T$18)</f>
        <v/>
      </c>
      <c r="R37" s="59">
        <f>IF('[47]سجل المستخلصات'!$V$18="","",'[47]سجل المستخلصات'!$V$18)</f>
        <v/>
      </c>
      <c r="S37" s="59">
        <f>IF('[47]سجل المستخلصات'!$W$18="","",'[47]سجل المستخلصات'!$W$18)</f>
        <v/>
      </c>
      <c r="T37" s="61">
        <f>IF('[47]سجل المستخلصات'!$X$18="","",'[47]سجل المستخلصات'!$X$18)</f>
        <v/>
      </c>
      <c r="U37" s="61">
        <f>IF('[47]سجل المستخلصات'!$Z$18="","",'[47]سجل المستخلصات'!$Z$18)</f>
        <v/>
      </c>
      <c r="V37" s="59">
        <f>IF('[47]سجل المستخلصات'!$AA$18="","",'[47]سجل المستخلصات'!$AA$18)</f>
        <v/>
      </c>
      <c r="W37" s="59">
        <f>IF('[47]سجل المستخلصات'!$AC$18="","",'[47]سجل المستخلصات'!$AC$18)</f>
        <v/>
      </c>
      <c r="X37" s="62">
        <f>IF('[47]سجل المستخلصات'!$AD$18="","",'[47]سجل المستخلصات'!$AD$18)</f>
        <v/>
      </c>
      <c r="Y37" s="58">
        <f>IF('[47]سجل المستخلصات'!$AE$18="","",'[47]سجل المستخلصات'!$AE$18)</f>
        <v/>
      </c>
    </row>
    <row r="38">
      <c r="B38" s="56" t="n">
        <v>14</v>
      </c>
      <c r="C38" s="57">
        <f>IF('[47]سجل المستخلصات'!$C$19="","",'[47]سجل المستخلصات'!$C$19)</f>
        <v/>
      </c>
      <c r="D38" s="57">
        <f>IF('[47]سجل المستخلصات'!$E$19="","",'[47]سجل المستخلصات'!$E$19)</f>
        <v/>
      </c>
      <c r="E38" s="58">
        <f>IF('[47]سجل المستخلصات'!$F$19="","",'[47]سجل المستخلصات'!$F$19)</f>
        <v/>
      </c>
      <c r="F38" s="59">
        <f>IF('[47]سجل المستخلصات'!$H$19="","",'[47]سجل المستخلصات'!$H$19)</f>
        <v/>
      </c>
      <c r="G38" s="59">
        <f>IF('[47]سجل المستخلصات'!$G$19="","",'[47]سجل المستخلصات'!$G$19)</f>
        <v/>
      </c>
      <c r="H38" s="59">
        <f>IF('[47]سجل المستخلصات'!$I$19="","",'[47]سجل المستخلصات'!$I$19)</f>
        <v/>
      </c>
      <c r="I38" s="59">
        <f>IF('[47]سجل المستخلصات'!$J$19="","",'[47]سجل المستخلصات'!$J$19)</f>
        <v/>
      </c>
      <c r="J38" s="59">
        <f>IF('[47]سجل المستخلصات'!$K$19="","",'[47]سجل المستخلصات'!$K$19)</f>
        <v/>
      </c>
      <c r="K38" s="60">
        <f>IF('[47]سجل المستخلصات'!$L$19="","",'[47]سجل المستخلصات'!$L$19)</f>
        <v/>
      </c>
      <c r="L38" s="60">
        <f>IF('[47]سجل المستخلصات'!$M$19="","",'[47]سجل المستخلصات'!$M$19)</f>
        <v/>
      </c>
      <c r="M38" s="60">
        <f>IF('[47]سجل المستخلصات'!$N$19="","",'[47]سجل المستخلصات'!$N$19)</f>
        <v/>
      </c>
      <c r="N38" s="59">
        <f>IF('[47]سجل المستخلصات'!$O$19="","",'[47]سجل المستخلصات'!$O$19)</f>
        <v/>
      </c>
      <c r="O38" s="59">
        <f>IF('[47]سجل المستخلصات'!$R$19="","",'[47]سجل المستخلصات'!$R$19)</f>
        <v/>
      </c>
      <c r="P38" s="59">
        <f>IF('[47]سجل المستخلصات'!$S$19="","",'[47]سجل المستخلصات'!$S$19)</f>
        <v/>
      </c>
      <c r="Q38" s="59">
        <f>IF('[47]سجل المستخلصات'!$T$19="","",'[47]سجل المستخلصات'!$T$19)</f>
        <v/>
      </c>
      <c r="R38" s="59">
        <f>IF('[47]سجل المستخلصات'!$V$19="","",'[47]سجل المستخلصات'!$V$19)</f>
        <v/>
      </c>
      <c r="S38" s="59">
        <f>IF('[47]سجل المستخلصات'!$W$19="","",'[47]سجل المستخلصات'!$W$19)</f>
        <v/>
      </c>
      <c r="T38" s="61">
        <f>IF('[47]سجل المستخلصات'!$X$19="","",'[47]سجل المستخلصات'!$X$19)</f>
        <v/>
      </c>
      <c r="U38" s="61">
        <f>IF('[47]سجل المستخلصات'!$Z$19="","",'[47]سجل المستخلصات'!$Z$19)</f>
        <v/>
      </c>
      <c r="V38" s="59">
        <f>IF('[47]سجل المستخلصات'!$AA$19="","",'[47]سجل المستخلصات'!$AA$19)</f>
        <v/>
      </c>
      <c r="W38" s="59">
        <f>IF('[47]سجل المستخلصات'!$AC$19="","",'[47]سجل المستخلصات'!$AC$19)</f>
        <v/>
      </c>
      <c r="X38" s="62">
        <f>IF('[47]سجل المستخلصات'!$AD$19="","",'[47]سجل المستخلصات'!$AD$19)</f>
        <v/>
      </c>
      <c r="Y38" s="58">
        <f>IF('[47]سجل المستخلصات'!$AE$19="","",'[47]سجل المستخلصات'!$AE$19)</f>
        <v/>
      </c>
    </row>
    <row r="39">
      <c r="B39" s="56" t="n">
        <v>15</v>
      </c>
      <c r="C39" s="57">
        <f>IF('[47]سجل المستخلصات'!$C$20="","",'[47]سجل المستخلصات'!$C$20)</f>
        <v/>
      </c>
      <c r="D39" s="57">
        <f>IF('[47]سجل المستخلصات'!$E$20="","",'[47]سجل المستخلصات'!$E$20)</f>
        <v/>
      </c>
      <c r="E39" s="58">
        <f>IF('[47]سجل المستخلصات'!$F$20="","",'[47]سجل المستخلصات'!$F$20)</f>
        <v/>
      </c>
      <c r="F39" s="59">
        <f>IF('[47]سجل المستخلصات'!$H$20="","",'[47]سجل المستخلصات'!$H$20)</f>
        <v/>
      </c>
      <c r="G39" s="59">
        <f>IF('[47]سجل المستخلصات'!$G$20="","",'[47]سجل المستخلصات'!$G$20)</f>
        <v/>
      </c>
      <c r="H39" s="59">
        <f>IF('[47]سجل المستخلصات'!$I$20="","",'[47]سجل المستخلصات'!$I$20)</f>
        <v/>
      </c>
      <c r="I39" s="59">
        <f>IF('[47]سجل المستخلصات'!$J$20="","",'[47]سجل المستخلصات'!$J$20)</f>
        <v/>
      </c>
      <c r="J39" s="59">
        <f>IF('[47]سجل المستخلصات'!$K$20="","",'[47]سجل المستخلصات'!$K$20)</f>
        <v/>
      </c>
      <c r="K39" s="60">
        <f>IF('[47]سجل المستخلصات'!$L$20="","",'[47]سجل المستخلصات'!$L$20)</f>
        <v/>
      </c>
      <c r="L39" s="60">
        <f>IF('[47]سجل المستخلصات'!$M$20="","",'[47]سجل المستخلصات'!$M$20)</f>
        <v/>
      </c>
      <c r="M39" s="60">
        <f>IF('[47]سجل المستخلصات'!$N$20="","",'[47]سجل المستخلصات'!$N$20)</f>
        <v/>
      </c>
      <c r="N39" s="59">
        <f>IF('[47]سجل المستخلصات'!$O$20="","",'[47]سجل المستخلصات'!$O$20)</f>
        <v/>
      </c>
      <c r="O39" s="59">
        <f>IF('[47]سجل المستخلصات'!$R$20="","",'[47]سجل المستخلصات'!$R$20)</f>
        <v/>
      </c>
      <c r="P39" s="59">
        <f>IF('[47]سجل المستخلصات'!$S$20="","",'[47]سجل المستخلصات'!$S$20)</f>
        <v/>
      </c>
      <c r="Q39" s="59">
        <f>IF('[47]سجل المستخلصات'!$T$20="","",'[47]سجل المستخلصات'!$T$20)</f>
        <v/>
      </c>
      <c r="R39" s="59">
        <f>IF('[47]سجل المستخلصات'!$V$20="","",'[47]سجل المستخلصات'!$V$20)</f>
        <v/>
      </c>
      <c r="S39" s="59">
        <f>IF('[47]سجل المستخلصات'!$W$20="","",'[47]سجل المستخلصات'!$W$20)</f>
        <v/>
      </c>
      <c r="T39" s="61">
        <f>IF('[47]سجل المستخلصات'!$X$20="","",'[47]سجل المستخلصات'!$X$20)</f>
        <v/>
      </c>
      <c r="U39" s="61">
        <f>IF('[47]سجل المستخلصات'!$Z$20="","",'[47]سجل المستخلصات'!$Z$20)</f>
        <v/>
      </c>
      <c r="V39" s="59">
        <f>IF('[47]سجل المستخلصات'!$AA$20="","",'[47]سجل المستخلصات'!$AA$20)</f>
        <v/>
      </c>
      <c r="W39" s="59">
        <f>IF('[47]سجل المستخلصات'!$AC$20="","",'[47]سجل المستخلصات'!$AC$20)</f>
        <v/>
      </c>
      <c r="X39" s="62">
        <f>IF('[47]سجل المستخلصات'!$AD$20="","",'[47]سجل المستخلصات'!$AD$20)</f>
        <v/>
      </c>
      <c r="Y39" s="58">
        <f>IF('[47]سجل المستخلصات'!$AE$20="","",'[47]سجل المستخلصات'!$AE$20)</f>
        <v/>
      </c>
    </row>
    <row r="40">
      <c r="B40" s="56" t="n">
        <v>16</v>
      </c>
      <c r="C40" s="57">
        <f>IF('[47]سجل المستخلصات'!$C$21="","",'[47]سجل المستخلصات'!$C$21)</f>
        <v/>
      </c>
      <c r="D40" s="57">
        <f>IF('[47]سجل المستخلصات'!$E$21="","",'[47]سجل المستخلصات'!$E$21)</f>
        <v/>
      </c>
      <c r="E40" s="58">
        <f>IF('[47]سجل المستخلصات'!$F$21="","",'[47]سجل المستخلصات'!$F$21)</f>
        <v/>
      </c>
      <c r="F40" s="59">
        <f>IF('[47]سجل المستخلصات'!$H$21="","",'[47]سجل المستخلصات'!$H$21)</f>
        <v/>
      </c>
      <c r="G40" s="59">
        <f>IF('[47]سجل المستخلصات'!$G$21="","",'[47]سجل المستخلصات'!$G$21)</f>
        <v/>
      </c>
      <c r="H40" s="59">
        <f>IF('[47]سجل المستخلصات'!$I$21="","",'[47]سجل المستخلصات'!$I$21)</f>
        <v/>
      </c>
      <c r="I40" s="59">
        <f>IF('[47]سجل المستخلصات'!$J$21="","",'[47]سجل المستخلصات'!$J$21)</f>
        <v/>
      </c>
      <c r="J40" s="59">
        <f>IF('[47]سجل المستخلصات'!$K$21="","",'[47]سجل المستخلصات'!$K$21)</f>
        <v/>
      </c>
      <c r="K40" s="60">
        <f>IF('[47]سجل المستخلصات'!$L$21="","",'[47]سجل المستخلصات'!$L$21)</f>
        <v/>
      </c>
      <c r="L40" s="60">
        <f>IF('[47]سجل المستخلصات'!$M$21="","",'[47]سجل المستخلصات'!$M$21)</f>
        <v/>
      </c>
      <c r="M40" s="60">
        <f>IF('[47]سجل المستخلصات'!$N$21="","",'[47]سجل المستخلصات'!$N$21)</f>
        <v/>
      </c>
      <c r="N40" s="59">
        <f>IF('[47]سجل المستخلصات'!$O$21="","",'[47]سجل المستخلصات'!$O$21)</f>
        <v/>
      </c>
      <c r="O40" s="59">
        <f>IF('[47]سجل المستخلصات'!$R$21="","",'[47]سجل المستخلصات'!$R$21)</f>
        <v/>
      </c>
      <c r="P40" s="59">
        <f>IF('[47]سجل المستخلصات'!$S$21="","",'[47]سجل المستخلصات'!$S$21)</f>
        <v/>
      </c>
      <c r="Q40" s="59">
        <f>IF('[47]سجل المستخلصات'!$T$21="","",'[47]سجل المستخلصات'!$T$21)</f>
        <v/>
      </c>
      <c r="R40" s="59">
        <f>IF('[47]سجل المستخلصات'!$V$21="","",'[47]سجل المستخلصات'!$V$21)</f>
        <v/>
      </c>
      <c r="S40" s="59">
        <f>IF('[47]سجل المستخلصات'!$W$21="","",'[47]سجل المستخلصات'!$W$21)</f>
        <v/>
      </c>
      <c r="T40" s="61">
        <f>IF('[47]سجل المستخلصات'!$X$21="","",'[47]سجل المستخلصات'!$X$21)</f>
        <v/>
      </c>
      <c r="U40" s="61">
        <f>IF('[47]سجل المستخلصات'!$Z$21="","",'[47]سجل المستخلصات'!$Z$21)</f>
        <v/>
      </c>
      <c r="V40" s="59">
        <f>IF('[47]سجل المستخلصات'!$AA$21="","",'[47]سجل المستخلصات'!$AA$21)</f>
        <v/>
      </c>
      <c r="W40" s="59">
        <f>IF('[47]سجل المستخلصات'!$AC$21="","",'[47]سجل المستخلصات'!$AC$21)</f>
        <v/>
      </c>
      <c r="X40" s="62">
        <f>IF('[47]سجل المستخلصات'!$AD$21="","",'[47]سجل المستخلصات'!$AD$21)</f>
        <v/>
      </c>
      <c r="Y40" s="58">
        <f>IF('[47]سجل المستخلصات'!$AE$21="","",'[47]سجل المستخلصات'!$AE$21)</f>
        <v/>
      </c>
    </row>
    <row r="41">
      <c r="B41" s="56" t="n">
        <v>17</v>
      </c>
      <c r="C41" s="57">
        <f>IF('[47]سجل المستخلصات'!$C$22="","",'[47]سجل المستخلصات'!$C$22)</f>
        <v/>
      </c>
      <c r="D41" s="57">
        <f>IF('[47]سجل المستخلصات'!$E$22="","",'[47]سجل المستخلصات'!$E$22)</f>
        <v/>
      </c>
      <c r="E41" s="58">
        <f>IF('[47]سجل المستخلصات'!$F$22="","",'[47]سجل المستخلصات'!$F$22)</f>
        <v/>
      </c>
      <c r="F41" s="59">
        <f>IF('[47]سجل المستخلصات'!$H$22="","",'[47]سجل المستخلصات'!$H$22)</f>
        <v/>
      </c>
      <c r="G41" s="59">
        <f>IF('[47]سجل المستخلصات'!$G$22="","",'[47]سجل المستخلصات'!$G$22)</f>
        <v/>
      </c>
      <c r="H41" s="59">
        <f>IF('[47]سجل المستخلصات'!$I$22="","",'[47]سجل المستخلصات'!$I$22)</f>
        <v/>
      </c>
      <c r="I41" s="59">
        <f>IF('[47]سجل المستخلصات'!$J$22="","",'[47]سجل المستخلصات'!$J$22)</f>
        <v/>
      </c>
      <c r="J41" s="59">
        <f>IF('[47]سجل المستخلصات'!$K$22="","",'[47]سجل المستخلصات'!$K$22)</f>
        <v/>
      </c>
      <c r="K41" s="60">
        <f>IF('[47]سجل المستخلصات'!$L$22="","",'[47]سجل المستخلصات'!$L$22)</f>
        <v/>
      </c>
      <c r="L41" s="60">
        <f>IF('[47]سجل المستخلصات'!$M$22="","",'[47]سجل المستخلصات'!$M$22)</f>
        <v/>
      </c>
      <c r="M41" s="60">
        <f>IF('[47]سجل المستخلصات'!$N$22="","",'[47]سجل المستخلصات'!$N$22)</f>
        <v/>
      </c>
      <c r="N41" s="59">
        <f>IF('[47]سجل المستخلصات'!$O$22="","",'[47]سجل المستخلصات'!$O$22)</f>
        <v/>
      </c>
      <c r="O41" s="59">
        <f>IF('[47]سجل المستخلصات'!$R$22="","",'[47]سجل المستخلصات'!$R$22)</f>
        <v/>
      </c>
      <c r="P41" s="59">
        <f>IF('[47]سجل المستخلصات'!$S$22="","",'[47]سجل المستخلصات'!$S$22)</f>
        <v/>
      </c>
      <c r="Q41" s="59">
        <f>IF('[47]سجل المستخلصات'!$T$22="","",'[47]سجل المستخلصات'!$T$22)</f>
        <v/>
      </c>
      <c r="R41" s="59">
        <f>IF('[47]سجل المستخلصات'!$V$22="","",'[47]سجل المستخلصات'!$V$22)</f>
        <v/>
      </c>
      <c r="S41" s="59">
        <f>IF('[47]سجل المستخلصات'!$W$22="","",'[47]سجل المستخلصات'!$W$22)</f>
        <v/>
      </c>
      <c r="T41" s="61">
        <f>IF('[47]سجل المستخلصات'!$X$22="","",'[47]سجل المستخلصات'!$X$22)</f>
        <v/>
      </c>
      <c r="U41" s="61">
        <f>IF('[47]سجل المستخلصات'!$Z$22="","",'[47]سجل المستخلصات'!$Z$22)</f>
        <v/>
      </c>
      <c r="V41" s="59">
        <f>IF('[47]سجل المستخلصات'!$AA$22="","",'[47]سجل المستخلصات'!$AA$22)</f>
        <v/>
      </c>
      <c r="W41" s="59">
        <f>IF('[47]سجل المستخلصات'!$AC$22="","",'[47]سجل المستخلصات'!$AC$22)</f>
        <v/>
      </c>
      <c r="X41" s="62">
        <f>IF('[47]سجل المستخلصات'!$AD$22="","",'[47]سجل المستخلصات'!$AD$22)</f>
        <v/>
      </c>
      <c r="Y41" s="58">
        <f>IF('[47]سجل المستخلصات'!$AE$22="","",'[47]سجل المستخلصات'!$AE$22)</f>
        <v/>
      </c>
    </row>
    <row r="42">
      <c r="B42" s="56" t="n">
        <v>18</v>
      </c>
      <c r="C42" s="57">
        <f>IF('[47]سجل المستخلصات'!$C$23="","",'[47]سجل المستخلصات'!$C$23)</f>
        <v/>
      </c>
      <c r="D42" s="57">
        <f>IF('[47]سجل المستخلصات'!$E$23="","",'[47]سجل المستخلصات'!$E$23)</f>
        <v/>
      </c>
      <c r="E42" s="58">
        <f>IF('[47]سجل المستخلصات'!$F$23="","",'[47]سجل المستخلصات'!$F$23)</f>
        <v/>
      </c>
      <c r="F42" s="59">
        <f>IF('[47]سجل المستخلصات'!$H$23="","",'[47]سجل المستخلصات'!$H$23)</f>
        <v/>
      </c>
      <c r="G42" s="59">
        <f>IF('[47]سجل المستخلصات'!$G$23="","",'[47]سجل المستخلصات'!$G$23)</f>
        <v/>
      </c>
      <c r="H42" s="59">
        <f>IF('[47]سجل المستخلصات'!$I$23="","",'[47]سجل المستخلصات'!$I$23)</f>
        <v/>
      </c>
      <c r="I42" s="59">
        <f>IF('[47]سجل المستخلصات'!$J$23="","",'[47]سجل المستخلصات'!$J$23)</f>
        <v/>
      </c>
      <c r="J42" s="59">
        <f>IF('[47]سجل المستخلصات'!$K$23="","",'[47]سجل المستخلصات'!$K$23)</f>
        <v/>
      </c>
      <c r="K42" s="60">
        <f>IF('[47]سجل المستخلصات'!$L$23="","",'[47]سجل المستخلصات'!$L$23)</f>
        <v/>
      </c>
      <c r="L42" s="60">
        <f>IF('[47]سجل المستخلصات'!$M$23="","",'[47]سجل المستخلصات'!$M$23)</f>
        <v/>
      </c>
      <c r="M42" s="60">
        <f>IF('[47]سجل المستخلصات'!$N$23="","",'[47]سجل المستخلصات'!$N$23)</f>
        <v/>
      </c>
      <c r="N42" s="59">
        <f>IF('[47]سجل المستخلصات'!$O$23="","",'[47]سجل المستخلصات'!$O$23)</f>
        <v/>
      </c>
      <c r="O42" s="59">
        <f>IF('[47]سجل المستخلصات'!$R$23="","",'[47]سجل المستخلصات'!$R$23)</f>
        <v/>
      </c>
      <c r="P42" s="59">
        <f>IF('[47]سجل المستخلصات'!$S$23="","",'[47]سجل المستخلصات'!$S$23)</f>
        <v/>
      </c>
      <c r="Q42" s="59">
        <f>IF('[47]سجل المستخلصات'!$T$23="","",'[47]سجل المستخلصات'!$T$23)</f>
        <v/>
      </c>
      <c r="R42" s="59">
        <f>IF('[47]سجل المستخلصات'!$V$23="","",'[47]سجل المستخلصات'!$V$23)</f>
        <v/>
      </c>
      <c r="S42" s="59">
        <f>IF('[47]سجل المستخلصات'!$W$23="","",'[47]سجل المستخلصات'!$W$23)</f>
        <v/>
      </c>
      <c r="T42" s="61">
        <f>IF('[47]سجل المستخلصات'!$X$23="","",'[47]سجل المستخلصات'!$X$23)</f>
        <v/>
      </c>
      <c r="U42" s="61">
        <f>IF('[47]سجل المستخلصات'!$Z$23="","",'[47]سجل المستخلصات'!$Z$23)</f>
        <v/>
      </c>
      <c r="V42" s="59">
        <f>IF('[47]سجل المستخلصات'!$AA$23="","",'[47]سجل المستخلصات'!$AA$23)</f>
        <v/>
      </c>
      <c r="W42" s="59">
        <f>IF('[47]سجل المستخلصات'!$AC$23="","",'[47]سجل المستخلصات'!$AC$23)</f>
        <v/>
      </c>
      <c r="X42" s="62">
        <f>IF('[47]سجل المستخلصات'!$AD$23="","",'[47]سجل المستخلصات'!$AD$23)</f>
        <v/>
      </c>
      <c r="Y42" s="58">
        <f>IF('[47]سجل المستخلصات'!$AE$23="","",'[47]سجل المستخلصات'!$AE$23)</f>
        <v/>
      </c>
    </row>
    <row r="43">
      <c r="B43" s="56" t="n">
        <v>19</v>
      </c>
      <c r="C43" s="57">
        <f>IF('[47]سجل المستخلصات'!$C$24="","",'[47]سجل المستخلصات'!$C$24)</f>
        <v/>
      </c>
      <c r="D43" s="57">
        <f>IF('[47]سجل المستخلصات'!$E$24="","",'[47]سجل المستخلصات'!$E$24)</f>
        <v/>
      </c>
      <c r="E43" s="58">
        <f>IF('[47]سجل المستخلصات'!$F$24="","",'[47]سجل المستخلصات'!$F$24)</f>
        <v/>
      </c>
      <c r="F43" s="59">
        <f>IF('[47]سجل المستخلصات'!$H$24="","",'[47]سجل المستخلصات'!$H$24)</f>
        <v/>
      </c>
      <c r="G43" s="59">
        <f>IF('[47]سجل المستخلصات'!$G$24="","",'[47]سجل المستخلصات'!$G$24)</f>
        <v/>
      </c>
      <c r="H43" s="59">
        <f>IF('[47]سجل المستخلصات'!$I$24="","",'[47]سجل المستخلصات'!$I$24)</f>
        <v/>
      </c>
      <c r="I43" s="59">
        <f>IF('[47]سجل المستخلصات'!$J$24="","",'[47]سجل المستخلصات'!$J$24)</f>
        <v/>
      </c>
      <c r="J43" s="59">
        <f>IF('[47]سجل المستخلصات'!$K$24="","",'[47]سجل المستخلصات'!$K$24)</f>
        <v/>
      </c>
      <c r="K43" s="60">
        <f>IF('[47]سجل المستخلصات'!$L$24="","",'[47]سجل المستخلصات'!$L$24)</f>
        <v/>
      </c>
      <c r="L43" s="60">
        <f>IF('[47]سجل المستخلصات'!$M$24="","",'[47]سجل المستخلصات'!$M$24)</f>
        <v/>
      </c>
      <c r="M43" s="60">
        <f>IF('[47]سجل المستخلصات'!$N$24="","",'[47]سجل المستخلصات'!$N$24)</f>
        <v/>
      </c>
      <c r="N43" s="59">
        <f>IF('[47]سجل المستخلصات'!$O$24="","",'[47]سجل المستخلصات'!$O$24)</f>
        <v/>
      </c>
      <c r="O43" s="59">
        <f>IF('[47]سجل المستخلصات'!$R$24="","",'[47]سجل المستخلصات'!$R$24)</f>
        <v/>
      </c>
      <c r="P43" s="59">
        <f>IF('[47]سجل المستخلصات'!$S$24="","",'[47]سجل المستخلصات'!$S$24)</f>
        <v/>
      </c>
      <c r="Q43" s="59">
        <f>IF('[47]سجل المستخلصات'!$T$24="","",'[47]سجل المستخلصات'!$T$24)</f>
        <v/>
      </c>
      <c r="R43" s="59">
        <f>IF('[47]سجل المستخلصات'!$V$24="","",'[47]سجل المستخلصات'!$V$24)</f>
        <v/>
      </c>
      <c r="S43" s="59">
        <f>IF('[47]سجل المستخلصات'!$W$24="","",'[47]سجل المستخلصات'!$W$24)</f>
        <v/>
      </c>
      <c r="T43" s="61">
        <f>IF('[47]سجل المستخلصات'!$X$24="","",'[47]سجل المستخلصات'!$X$24)</f>
        <v/>
      </c>
      <c r="U43" s="61">
        <f>IF('[47]سجل المستخلصات'!$Z$24="","",'[47]سجل المستخلصات'!$Z$24)</f>
        <v/>
      </c>
      <c r="V43" s="59">
        <f>IF('[47]سجل المستخلصات'!$AA$24="","",'[47]سجل المستخلصات'!$AA$24)</f>
        <v/>
      </c>
      <c r="W43" s="59">
        <f>IF('[47]سجل المستخلصات'!$AC$24="","",'[47]سجل المستخلصات'!$AC$24)</f>
        <v/>
      </c>
      <c r="X43" s="62">
        <f>IF('[47]سجل المستخلصات'!$AD$24="","",'[47]سجل المستخلصات'!$AD$24)</f>
        <v/>
      </c>
      <c r="Y43" s="58">
        <f>IF('[47]سجل المستخلصات'!$AE$24="","",'[47]سجل المستخلصات'!$AE$24)</f>
        <v/>
      </c>
    </row>
    <row r="44">
      <c r="B44" s="56" t="n">
        <v>20</v>
      </c>
      <c r="C44" s="57">
        <f>IF('[47]سجل المستخلصات'!$C$25="","",'[47]سجل المستخلصات'!$C$25)</f>
        <v/>
      </c>
      <c r="D44" s="57">
        <f>IF('[47]سجل المستخلصات'!$E$25="","",'[47]سجل المستخلصات'!$E$25)</f>
        <v/>
      </c>
      <c r="E44" s="58">
        <f>IF('[47]سجل المستخلصات'!$F$25="","",'[47]سجل المستخلصات'!$F$25)</f>
        <v/>
      </c>
      <c r="F44" s="59">
        <f>IF('[47]سجل المستخلصات'!$H$25="","",'[47]سجل المستخلصات'!$H$25)</f>
        <v/>
      </c>
      <c r="G44" s="59">
        <f>IF('[47]سجل المستخلصات'!$G$25="","",'[47]سجل المستخلصات'!$G$25)</f>
        <v/>
      </c>
      <c r="H44" s="59">
        <f>IF('[47]سجل المستخلصات'!$I$25="","",'[47]سجل المستخلصات'!$I$25)</f>
        <v/>
      </c>
      <c r="I44" s="59">
        <f>IF('[47]سجل المستخلصات'!$J$25="","",'[47]سجل المستخلصات'!$J$25)</f>
        <v/>
      </c>
      <c r="J44" s="59">
        <f>IF('[47]سجل المستخلصات'!$K$25="","",'[47]سجل المستخلصات'!$K$25)</f>
        <v/>
      </c>
      <c r="K44" s="60">
        <f>IF('[47]سجل المستخلصات'!$L$25="","",'[47]سجل المستخلصات'!$L$25)</f>
        <v/>
      </c>
      <c r="L44" s="60">
        <f>IF('[47]سجل المستخلصات'!$M$25="","",'[47]سجل المستخلصات'!$M$25)</f>
        <v/>
      </c>
      <c r="M44" s="60">
        <f>IF('[47]سجل المستخلصات'!$N$25="","",'[47]سجل المستخلصات'!$N$25)</f>
        <v/>
      </c>
      <c r="N44" s="59">
        <f>IF('[47]سجل المستخلصات'!$O$25="","",'[47]سجل المستخلصات'!$O$25)</f>
        <v/>
      </c>
      <c r="O44" s="59">
        <f>IF('[47]سجل المستخلصات'!$R$25="","",'[47]سجل المستخلصات'!$R$25)</f>
        <v/>
      </c>
      <c r="P44" s="59">
        <f>IF('[47]سجل المستخلصات'!$S$25="","",'[47]سجل المستخلصات'!$S$25)</f>
        <v/>
      </c>
      <c r="Q44" s="59">
        <f>IF('[47]سجل المستخلصات'!$T$25="","",'[47]سجل المستخلصات'!$T$25)</f>
        <v/>
      </c>
      <c r="R44" s="59">
        <f>IF('[47]سجل المستخلصات'!$V$25="","",'[47]سجل المستخلصات'!$V$25)</f>
        <v/>
      </c>
      <c r="S44" s="59">
        <f>IF('[47]سجل المستخلصات'!$W$25="","",'[47]سجل المستخلصات'!$W$25)</f>
        <v/>
      </c>
      <c r="T44" s="61">
        <f>IF('[47]سجل المستخلصات'!$X$25="","",'[47]سجل المستخلصات'!$X$25)</f>
        <v/>
      </c>
      <c r="U44" s="61">
        <f>IF('[47]سجل المستخلصات'!$Z$25="","",'[47]سجل المستخلصات'!$Z$25)</f>
        <v/>
      </c>
      <c r="V44" s="59">
        <f>IF('[47]سجل المستخلصات'!$AA$25="","",'[47]سجل المستخلصات'!$AA$25)</f>
        <v/>
      </c>
      <c r="W44" s="59">
        <f>IF('[47]سجل المستخلصات'!$AC$25="","",'[47]سجل المستخلصات'!$AC$25)</f>
        <v/>
      </c>
      <c r="X44" s="62">
        <f>IF('[47]سجل المستخلصات'!$AD$25="","",'[47]سجل المستخلصات'!$AD$25)</f>
        <v/>
      </c>
      <c r="Y44" s="58">
        <f>IF('[47]سجل المستخلصات'!$AE$25="","",'[47]سجل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IF('[47]سجل المستخلصات'!$B$32="","",'[47]سجل المستخلصات'!$B$32)</f>
        <v/>
      </c>
      <c r="C50" s="69" t="n"/>
      <c r="D50" s="69" t="n"/>
      <c r="E50" s="59">
        <f>N('[47]سجل المستخلصات'!$E$32)</f>
        <v/>
      </c>
      <c r="F50" s="59">
        <f>N('[47]سجل المستخلصات'!$F$32)</f>
        <v/>
      </c>
      <c r="G50" s="70">
        <f>IF(E50&gt;0,F50/E50,0)</f>
        <v/>
      </c>
    </row>
    <row r="51">
      <c r="B51" s="69">
        <f>IF('[47]سجل المستخلصات'!$B$33="","",'[47]سجل المستخلصات'!$B$33)</f>
        <v/>
      </c>
      <c r="C51" s="69" t="n"/>
      <c r="D51" s="69" t="n"/>
      <c r="E51" s="59">
        <f>N('[47]سجل المستخلصات'!$E$33)</f>
        <v/>
      </c>
      <c r="F51" s="59">
        <f>N('[47]سجل المستخلصات'!$F$33)</f>
        <v/>
      </c>
      <c r="G51" s="70">
        <f>IF(E51&gt;0,F51/E51,0)</f>
        <v/>
      </c>
    </row>
    <row r="52">
      <c r="B52" s="69">
        <f>IF('[47]سجل المستخلصات'!$B$34="","",'[47]سجل المستخلصات'!$B$34)</f>
        <v/>
      </c>
      <c r="C52" s="69" t="n"/>
      <c r="D52" s="69" t="n"/>
      <c r="E52" s="59">
        <f>N('[47]سجل المستخلصات'!$E$34)</f>
        <v/>
      </c>
      <c r="F52" s="59">
        <f>N('[47]سجل المستخلصات'!$F$34)</f>
        <v/>
      </c>
      <c r="G52" s="70">
        <f>IF(E52&gt;0,F52/E52,0)</f>
        <v/>
      </c>
    </row>
    <row r="53">
      <c r="B53" s="69">
        <f>IF('[47]سجل المستخلصات'!$B$35="","",'[47]سجل المستخلصات'!$B$35)</f>
        <v/>
      </c>
      <c r="C53" s="69" t="n"/>
      <c r="D53" s="69" t="n"/>
      <c r="E53" s="59">
        <f>N('[47]سجل المستخلصات'!$E$35)</f>
        <v/>
      </c>
      <c r="F53" s="59">
        <f>N('[47]سجل المستخلصات'!$F$35)</f>
        <v/>
      </c>
      <c r="G53" s="70">
        <f>IF(E53&gt;0,F53/E53,0)</f>
        <v/>
      </c>
    </row>
    <row r="54">
      <c r="B54" s="69">
        <f>IF('[47]سجل المستخلصات'!$B$36="","",'[47]سجل المستخلصات'!$B$36)</f>
        <v/>
      </c>
      <c r="C54" s="69" t="n"/>
      <c r="D54" s="69" t="n"/>
      <c r="E54" s="59">
        <f>N('[47]سجل المستخلصات'!$E$36)</f>
        <v/>
      </c>
      <c r="F54" s="59">
        <f>N('[47]سجل المستخلصات'!$F$36)</f>
        <v/>
      </c>
      <c r="G54" s="70">
        <f>IF(E54&gt;0,F54/E54,0)</f>
        <v/>
      </c>
    </row>
    <row r="55">
      <c r="B55" s="69">
        <f>IF('[47]سجل المستخلصات'!$B$37="","",'[47]سجل المستخلصات'!$B$37)</f>
        <v/>
      </c>
      <c r="C55" s="69" t="n"/>
      <c r="D55" s="69" t="n"/>
      <c r="E55" s="59">
        <f>N('[47]سجل المستخلصات'!$E$37)</f>
        <v/>
      </c>
      <c r="F55" s="59">
        <f>N('[47]سجل المستخلصات'!$F$37)</f>
        <v/>
      </c>
      <c r="G55" s="70">
        <f>IF(E55&gt;0,F55/E55,0)</f>
        <v/>
      </c>
    </row>
    <row r="56">
      <c r="B56" s="69">
        <f>IF('[47]سجل المستخلصات'!$B$38="","",'[47]سجل المستخلصات'!$B$38)</f>
        <v/>
      </c>
      <c r="C56" s="69" t="n"/>
      <c r="D56" s="69" t="n"/>
      <c r="E56" s="59">
        <f>N('[47]سجل المستخلصات'!$E$38)</f>
        <v/>
      </c>
      <c r="F56" s="59">
        <f>N('[47]سجل المستخلصات'!$F$38)</f>
        <v/>
      </c>
      <c r="G56" s="70">
        <f>IF(E56&gt;0,F56/E56,0)</f>
        <v/>
      </c>
    </row>
    <row r="57">
      <c r="B57" s="69">
        <f>IF('[47]سجل المستخلصات'!$B$39="","",'[47]سجل المستخلصات'!$B$39)</f>
        <v/>
      </c>
      <c r="C57" s="69" t="n"/>
      <c r="D57" s="69" t="n"/>
      <c r="E57" s="59">
        <f>N('[47]سجل المستخلصات'!$E$39)</f>
        <v/>
      </c>
      <c r="F57" s="59">
        <f>N('[47]سجل المستخلصات'!$F$39)</f>
        <v/>
      </c>
      <c r="G57" s="70">
        <f>IF(E57&gt;0,F57/E57,0)</f>
        <v/>
      </c>
    </row>
    <row r="58">
      <c r="B58" s="69">
        <f>IF('[47]سجل المستخلصات'!$B$40="","",'[47]سجل المستخلصات'!$B$40)</f>
        <v/>
      </c>
      <c r="C58" s="69" t="n"/>
      <c r="D58" s="69" t="n"/>
      <c r="E58" s="59">
        <f>N('[47]سجل المستخلصات'!$E$40)</f>
        <v/>
      </c>
      <c r="F58" s="59">
        <f>N('[47]سجل المستخلصات'!$F$40)</f>
        <v/>
      </c>
      <c r="G58" s="70">
        <f>IF(E58&gt;0,F58/E58,0)</f>
        <v/>
      </c>
    </row>
    <row r="59">
      <c r="B59" s="69">
        <f>IF('[47]سجل المستخلصات'!$B$41="","",'[47]سجل المستخلصات'!$B$41)</f>
        <v/>
      </c>
      <c r="C59" s="69" t="n"/>
      <c r="D59" s="69" t="n"/>
      <c r="E59" s="59">
        <f>N('[47]سجل المستخلصات'!$E$41)</f>
        <v/>
      </c>
      <c r="F59" s="59">
        <f>N('[47]سجل المستخلصات'!$F$41)</f>
        <v/>
      </c>
      <c r="G59" s="70">
        <f>IF(E59&gt;0,F59/E59,0)</f>
        <v/>
      </c>
    </row>
    <row r="60">
      <c r="B60" s="69">
        <f>IF('[47]سجل المستخلصات'!$B$42="","",'[47]سجل المستخلصات'!$B$42)</f>
        <v/>
      </c>
      <c r="C60" s="69" t="n"/>
      <c r="D60" s="69" t="n"/>
      <c r="E60" s="59">
        <f>N('[47]سجل المستخلصات'!$E$42)</f>
        <v/>
      </c>
      <c r="F60" s="59">
        <f>N('[47]سجل المستخلصات'!$F$42)</f>
        <v/>
      </c>
      <c r="G60" s="70">
        <f>IF(E60&gt;0,F60/E60,0)</f>
        <v/>
      </c>
    </row>
    <row r="61">
      <c r="B61" s="69">
        <f>IF('[47]سجل المستخلصات'!$B$43="","",'[47]سجل المستخلصات'!$B$43)</f>
        <v/>
      </c>
      <c r="C61" s="69" t="n"/>
      <c r="D61" s="69" t="n"/>
      <c r="E61" s="59">
        <f>N('[47]سجل المستخلصات'!$E$43)</f>
        <v/>
      </c>
      <c r="F61" s="59">
        <f>N('[47]سجل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46'!A1" display="◄ المشروع السابق"/>
    <hyperlink ref="D3" location="'مشروع 48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4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"&amp;IF('[48]بيانات العقد'!$C$5="","مشروع رقم 48 — غير مُفعّل",'[48]بيانات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Project_48/IPC_Project_48.xlsx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IF('[48]بيانات العقد'!$C$5="","",'[48]بيانات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IF('[48]بيانات العقد'!$C$6="","",'[48]بيانات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IF('[48]بيانات العقد'!$C$7="","",'[48]بيانات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IF('[48]بيانات العقد'!$C$8="","",'[48]بيانات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N('[48]بيانات العقد'!$C$16)</f>
        <v/>
      </c>
    </row>
    <row r="6" ht="22" customHeight="1">
      <c r="B6" s="11" t="inlineStr">
        <is>
          <t>المقاول</t>
        </is>
      </c>
      <c r="C6" s="14">
        <f>IF('[48]بيانات العقد'!$C$9="","",'[48]بيانات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IF('[48]بيانات العقد'!$C$11="","",'[48]بيانات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IF('[48]بيانات العقد'!$C$13="","",'[48]بيانات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IF('[48]بيانات العقد'!$C$14="","",'[48]بيانات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N('[48]بيانات العقد'!$C$17)</f>
        <v/>
      </c>
    </row>
    <row r="7">
      <c r="AA7" s="15" t="inlineStr">
        <is>
          <t>قيمة العقد المعدلة</t>
        </is>
      </c>
      <c r="AB7" s="16">
        <f>N('[48]بيانات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N('[48]بيانات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N('[48]بيانات العقد'!$C$21)</f>
        <v/>
      </c>
    </row>
    <row r="10">
      <c r="AA10" s="15" t="inlineStr">
        <is>
          <t>نسبة ضمان الأعمال</t>
        </is>
      </c>
      <c r="AB10" s="23">
        <f>N('[48]بيانات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N('[48]بيانات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N('[48]بيانات العقد'!$C$31)</f>
        <v/>
      </c>
    </row>
    <row r="13">
      <c r="AA13" s="15" t="inlineStr">
        <is>
          <t>ضريبة الاستقطاع (غير المقيم)</t>
        </is>
      </c>
      <c r="AB13" s="23">
        <f>N('[48]بيانات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IF('[48]بيانات العقد'!$C$11="","",'[48]بيانات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IF('[48]بيانات العقد'!$C$13="","",'[48]بيانات العقد'!$C$13)</f>
        <v/>
      </c>
    </row>
    <row r="16">
      <c r="AA16" s="15" t="inlineStr">
        <is>
          <t>المدة (شهر)</t>
        </is>
      </c>
      <c r="AB16" s="43">
        <f>IF('[48]بيانات العقد'!$C$12="","",'[48]بيانات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IF('[48]بيانات العقد'!$C$36="","",'[48]بيانات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IF('[48]بيانات العقد'!$C$37="","",'[48]بيانات العقد'!$C$37)</f>
        <v/>
      </c>
    </row>
    <row r="19">
      <c r="AA19" s="15" t="inlineStr">
        <is>
          <t>الرقم الضريبي لصاحب العمل</t>
        </is>
      </c>
      <c r="AB19" s="48">
        <f>IF('[48]بيانات العقد'!$C$39="","",'[48]بيانات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IF('[48]بيانات العقد'!$C$42="","",'[48]بيانات العقد'!$C$42)</f>
        <v/>
      </c>
    </row>
    <row r="21" ht="32" customHeight="1">
      <c r="B21" s="50">
        <f>N('[48]الموازنة والتكاليف'!$D$66)</f>
        <v/>
      </c>
      <c r="C21" s="50" t="n"/>
      <c r="D21" s="50" t="n"/>
      <c r="E21" s="50" t="n"/>
      <c r="F21" s="50">
        <f>N('[48]الموازنة والتكاليف'!$D$70)</f>
        <v/>
      </c>
      <c r="G21" s="50" t="n"/>
      <c r="H21" s="50" t="n"/>
      <c r="I21" s="50" t="n"/>
      <c r="J21" s="50">
        <f>N('[48]الموازنة والتكاليف'!$D$72)</f>
        <v/>
      </c>
      <c r="K21" s="50" t="n"/>
      <c r="L21" s="50" t="n"/>
      <c r="M21" s="50" t="n"/>
      <c r="N21" s="51">
        <f>N('[48]الموازنة والتكاليف'!$D$73)</f>
        <v/>
      </c>
      <c r="O21" s="51" t="n"/>
      <c r="P21" s="51" t="n"/>
      <c r="Q21" s="51" t="n"/>
      <c r="R21" s="52">
        <f>N('[48]الموازنة والتكاليف'!$D$74)</f>
        <v/>
      </c>
      <c r="S21" s="52" t="n"/>
      <c r="T21" s="52" t="n"/>
      <c r="U21" s="52" t="n"/>
      <c r="V21" s="50">
        <f>N('[48]الموازنة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IF('[48]بيانات العقد'!$C$43="","",'[48]بيانات العقد'!$C$43)</f>
        <v/>
      </c>
    </row>
    <row r="22">
      <c r="AA22" s="15" t="inlineStr">
        <is>
          <t>حالة غرامات التأخير</t>
        </is>
      </c>
      <c r="AB22" s="45">
        <f>IF('[48]بيانات العقد'!$C$47="","",'[48]بيانات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IF('[48]سجل المستخلصات'!$C$6="","",'[48]سجل المستخلصات'!$C$6)</f>
        <v/>
      </c>
      <c r="D25" s="57">
        <f>IF('[48]سجل المستخلصات'!$E$6="","",'[48]سجل المستخلصات'!$E$6)</f>
        <v/>
      </c>
      <c r="E25" s="58">
        <f>IF('[48]سجل المستخلصات'!$F$6="","",'[48]سجل المستخلصات'!$F$6)</f>
        <v/>
      </c>
      <c r="F25" s="59">
        <f>IF('[48]سجل المستخلصات'!$H$6="","",'[48]سجل المستخلصات'!$H$6)</f>
        <v/>
      </c>
      <c r="G25" s="59">
        <f>IF('[48]سجل المستخلصات'!$G$6="","",'[48]سجل المستخلصات'!$G$6)</f>
        <v/>
      </c>
      <c r="H25" s="59">
        <f>IF('[48]سجل المستخلصات'!$I$6="","",'[48]سجل المستخلصات'!$I$6)</f>
        <v/>
      </c>
      <c r="I25" s="59">
        <f>IF('[48]سجل المستخلصات'!$J$6="","",'[48]سجل المستخلصات'!$J$6)</f>
        <v/>
      </c>
      <c r="J25" s="59">
        <f>IF('[48]سجل المستخلصات'!$K$6="","",'[48]سجل المستخلصات'!$K$6)</f>
        <v/>
      </c>
      <c r="K25" s="60">
        <f>IF('[48]سجل المستخلصات'!$L$6="","",'[48]سجل المستخلصات'!$L$6)</f>
        <v/>
      </c>
      <c r="L25" s="60">
        <f>IF('[48]سجل المستخلصات'!$M$6="","",'[48]سجل المستخلصات'!$M$6)</f>
        <v/>
      </c>
      <c r="M25" s="60">
        <f>IF('[48]سجل المستخلصات'!$N$6="","",'[48]سجل المستخلصات'!$N$6)</f>
        <v/>
      </c>
      <c r="N25" s="59">
        <f>IF('[48]سجل المستخلصات'!$O$6="","",'[48]سجل المستخلصات'!$O$6)</f>
        <v/>
      </c>
      <c r="O25" s="59">
        <f>IF('[48]سجل المستخلصات'!$R$6="","",'[48]سجل المستخلصات'!$R$6)</f>
        <v/>
      </c>
      <c r="P25" s="59">
        <f>IF('[48]سجل المستخلصات'!$S$6="","",'[48]سجل المستخلصات'!$S$6)</f>
        <v/>
      </c>
      <c r="Q25" s="59">
        <f>IF('[48]سجل المستخلصات'!$T$6="","",'[48]سجل المستخلصات'!$T$6)</f>
        <v/>
      </c>
      <c r="R25" s="59">
        <f>IF('[48]سجل المستخلصات'!$V$6="","",'[48]سجل المستخلصات'!$V$6)</f>
        <v/>
      </c>
      <c r="S25" s="59">
        <f>IF('[48]سجل المستخلصات'!$W$6="","",'[48]سجل المستخلصات'!$W$6)</f>
        <v/>
      </c>
      <c r="T25" s="61">
        <f>IF('[48]سجل المستخلصات'!$X$6="","",'[48]سجل المستخلصات'!$X$6)</f>
        <v/>
      </c>
      <c r="U25" s="61">
        <f>IF('[48]سجل المستخلصات'!$Z$6="","",'[48]سجل المستخلصات'!$Z$6)</f>
        <v/>
      </c>
      <c r="V25" s="59">
        <f>IF('[48]سجل المستخلصات'!$AA$6="","",'[48]سجل المستخلصات'!$AA$6)</f>
        <v/>
      </c>
      <c r="W25" s="59">
        <f>IF('[48]سجل المستخلصات'!$AC$6="","",'[48]سجل المستخلصات'!$AC$6)</f>
        <v/>
      </c>
      <c r="X25" s="62">
        <f>IF('[48]سجل المستخلصات'!$AD$6="","",'[48]سجل المستخلصات'!$AD$6)</f>
        <v/>
      </c>
      <c r="Y25" s="58">
        <f>IF('[48]سجل المستخلصات'!$AE$6="","",'[48]سجل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IF('[48]سجل المستخلصات'!$C$7="","",'[48]سجل المستخلصات'!$C$7)</f>
        <v/>
      </c>
      <c r="D26" s="57">
        <f>IF('[48]سجل المستخلصات'!$E$7="","",'[48]سجل المستخلصات'!$E$7)</f>
        <v/>
      </c>
      <c r="E26" s="58">
        <f>IF('[48]سجل المستخلصات'!$F$7="","",'[48]سجل المستخلصات'!$F$7)</f>
        <v/>
      </c>
      <c r="F26" s="59">
        <f>IF('[48]سجل المستخلصات'!$H$7="","",'[48]سجل المستخلصات'!$H$7)</f>
        <v/>
      </c>
      <c r="G26" s="59">
        <f>IF('[48]سجل المستخلصات'!$G$7="","",'[48]سجل المستخلصات'!$G$7)</f>
        <v/>
      </c>
      <c r="H26" s="59">
        <f>IF('[48]سجل المستخلصات'!$I$7="","",'[48]سجل المستخلصات'!$I$7)</f>
        <v/>
      </c>
      <c r="I26" s="59">
        <f>IF('[48]سجل المستخلصات'!$J$7="","",'[48]سجل المستخلصات'!$J$7)</f>
        <v/>
      </c>
      <c r="J26" s="59">
        <f>IF('[48]سجل المستخلصات'!$K$7="","",'[48]سجل المستخلصات'!$K$7)</f>
        <v/>
      </c>
      <c r="K26" s="60">
        <f>IF('[48]سجل المستخلصات'!$L$7="","",'[48]سجل المستخلصات'!$L$7)</f>
        <v/>
      </c>
      <c r="L26" s="60">
        <f>IF('[48]سجل المستخلصات'!$M$7="","",'[48]سجل المستخلصات'!$M$7)</f>
        <v/>
      </c>
      <c r="M26" s="60">
        <f>IF('[48]سجل المستخلصات'!$N$7="","",'[48]سجل المستخلصات'!$N$7)</f>
        <v/>
      </c>
      <c r="N26" s="59">
        <f>IF('[48]سجل المستخلصات'!$O$7="","",'[48]سجل المستخلصات'!$O$7)</f>
        <v/>
      </c>
      <c r="O26" s="59">
        <f>IF('[48]سجل المستخلصات'!$R$7="","",'[48]سجل المستخلصات'!$R$7)</f>
        <v/>
      </c>
      <c r="P26" s="59">
        <f>IF('[48]سجل المستخلصات'!$S$7="","",'[48]سجل المستخلصات'!$S$7)</f>
        <v/>
      </c>
      <c r="Q26" s="59">
        <f>IF('[48]سجل المستخلصات'!$T$7="","",'[48]سجل المستخلصات'!$T$7)</f>
        <v/>
      </c>
      <c r="R26" s="59">
        <f>IF('[48]سجل المستخلصات'!$V$7="","",'[48]سجل المستخلصات'!$V$7)</f>
        <v/>
      </c>
      <c r="S26" s="59">
        <f>IF('[48]سجل المستخلصات'!$W$7="","",'[48]سجل المستخلصات'!$W$7)</f>
        <v/>
      </c>
      <c r="T26" s="61">
        <f>IF('[48]سجل المستخلصات'!$X$7="","",'[48]سجل المستخلصات'!$X$7)</f>
        <v/>
      </c>
      <c r="U26" s="61">
        <f>IF('[48]سجل المستخلصات'!$Z$7="","",'[48]سجل المستخلصات'!$Z$7)</f>
        <v/>
      </c>
      <c r="V26" s="59">
        <f>IF('[48]سجل المستخلصات'!$AA$7="","",'[48]سجل المستخلصات'!$AA$7)</f>
        <v/>
      </c>
      <c r="W26" s="59">
        <f>IF('[48]سجل المستخلصات'!$AC$7="","",'[48]سجل المستخلصات'!$AC$7)</f>
        <v/>
      </c>
      <c r="X26" s="62">
        <f>IF('[48]سجل المستخلصات'!$AD$7="","",'[48]سجل المستخلصات'!$AD$7)</f>
        <v/>
      </c>
      <c r="Y26" s="58">
        <f>IF('[48]سجل المستخلصات'!$AE$7="","",'[48]سجل المستخلصات'!$AE$7)</f>
        <v/>
      </c>
      <c r="AA26" s="63" t="n"/>
      <c r="AB26" s="63" t="n"/>
    </row>
    <row r="27">
      <c r="B27" s="56" t="n">
        <v>3</v>
      </c>
      <c r="C27" s="57">
        <f>IF('[48]سجل المستخلصات'!$C$8="","",'[48]سجل المستخلصات'!$C$8)</f>
        <v/>
      </c>
      <c r="D27" s="57">
        <f>IF('[48]سجل المستخلصات'!$E$8="","",'[48]سجل المستخلصات'!$E$8)</f>
        <v/>
      </c>
      <c r="E27" s="58">
        <f>IF('[48]سجل المستخلصات'!$F$8="","",'[48]سجل المستخلصات'!$F$8)</f>
        <v/>
      </c>
      <c r="F27" s="59">
        <f>IF('[48]سجل المستخلصات'!$H$8="","",'[48]سجل المستخلصات'!$H$8)</f>
        <v/>
      </c>
      <c r="G27" s="59">
        <f>IF('[48]سجل المستخلصات'!$G$8="","",'[48]سجل المستخلصات'!$G$8)</f>
        <v/>
      </c>
      <c r="H27" s="59">
        <f>IF('[48]سجل المستخلصات'!$I$8="","",'[48]سجل المستخلصات'!$I$8)</f>
        <v/>
      </c>
      <c r="I27" s="59">
        <f>IF('[48]سجل المستخلصات'!$J$8="","",'[48]سجل المستخلصات'!$J$8)</f>
        <v/>
      </c>
      <c r="J27" s="59">
        <f>IF('[48]سجل المستخلصات'!$K$8="","",'[48]سجل المستخلصات'!$K$8)</f>
        <v/>
      </c>
      <c r="K27" s="60">
        <f>IF('[48]سجل المستخلصات'!$L$8="","",'[48]سجل المستخلصات'!$L$8)</f>
        <v/>
      </c>
      <c r="L27" s="60">
        <f>IF('[48]سجل المستخلصات'!$M$8="","",'[48]سجل المستخلصات'!$M$8)</f>
        <v/>
      </c>
      <c r="M27" s="60">
        <f>IF('[48]سجل المستخلصات'!$N$8="","",'[48]سجل المستخلصات'!$N$8)</f>
        <v/>
      </c>
      <c r="N27" s="59">
        <f>IF('[48]سجل المستخلصات'!$O$8="","",'[48]سجل المستخلصات'!$O$8)</f>
        <v/>
      </c>
      <c r="O27" s="59">
        <f>IF('[48]سجل المستخلصات'!$R$8="","",'[48]سجل المستخلصات'!$R$8)</f>
        <v/>
      </c>
      <c r="P27" s="59">
        <f>IF('[48]سجل المستخلصات'!$S$8="","",'[48]سجل المستخلصات'!$S$8)</f>
        <v/>
      </c>
      <c r="Q27" s="59">
        <f>IF('[48]سجل المستخلصات'!$T$8="","",'[48]سجل المستخلصات'!$T$8)</f>
        <v/>
      </c>
      <c r="R27" s="59">
        <f>IF('[48]سجل المستخلصات'!$V$8="","",'[48]سجل المستخلصات'!$V$8)</f>
        <v/>
      </c>
      <c r="S27" s="59">
        <f>IF('[48]سجل المستخلصات'!$W$8="","",'[48]سجل المستخلصات'!$W$8)</f>
        <v/>
      </c>
      <c r="T27" s="61">
        <f>IF('[48]سجل المستخلصات'!$X$8="","",'[48]سجل المستخلصات'!$X$8)</f>
        <v/>
      </c>
      <c r="U27" s="61">
        <f>IF('[48]سجل المستخلصات'!$Z$8="","",'[48]سجل المستخلصات'!$Z$8)</f>
        <v/>
      </c>
      <c r="V27" s="59">
        <f>IF('[48]سجل المستخلصات'!$AA$8="","",'[48]سجل المستخلصات'!$AA$8)</f>
        <v/>
      </c>
      <c r="W27" s="59">
        <f>IF('[48]سجل المستخلصات'!$AC$8="","",'[48]سجل المستخلصات'!$AC$8)</f>
        <v/>
      </c>
      <c r="X27" s="62">
        <f>IF('[48]سجل المستخلصات'!$AD$8="","",'[48]سجل المستخلصات'!$AD$8)</f>
        <v/>
      </c>
      <c r="Y27" s="58">
        <f>IF('[48]سجل المستخلصات'!$AE$8="","",'[48]سجل المستخلصات'!$AE$8)</f>
        <v/>
      </c>
      <c r="AA27" s="63" t="n"/>
      <c r="AB27" s="63" t="n"/>
    </row>
    <row r="28">
      <c r="B28" s="56" t="n">
        <v>4</v>
      </c>
      <c r="C28" s="57">
        <f>IF('[48]سجل المستخلصات'!$C$9="","",'[48]سجل المستخلصات'!$C$9)</f>
        <v/>
      </c>
      <c r="D28" s="57">
        <f>IF('[48]سجل المستخلصات'!$E$9="","",'[48]سجل المستخلصات'!$E$9)</f>
        <v/>
      </c>
      <c r="E28" s="58">
        <f>IF('[48]سجل المستخلصات'!$F$9="","",'[48]سجل المستخلصات'!$F$9)</f>
        <v/>
      </c>
      <c r="F28" s="59">
        <f>IF('[48]سجل المستخلصات'!$H$9="","",'[48]سجل المستخلصات'!$H$9)</f>
        <v/>
      </c>
      <c r="G28" s="59">
        <f>IF('[48]سجل المستخلصات'!$G$9="","",'[48]سجل المستخلصات'!$G$9)</f>
        <v/>
      </c>
      <c r="H28" s="59">
        <f>IF('[48]سجل المستخلصات'!$I$9="","",'[48]سجل المستخلصات'!$I$9)</f>
        <v/>
      </c>
      <c r="I28" s="59">
        <f>IF('[48]سجل المستخلصات'!$J$9="","",'[48]سجل المستخلصات'!$J$9)</f>
        <v/>
      </c>
      <c r="J28" s="59">
        <f>IF('[48]سجل المستخلصات'!$K$9="","",'[48]سجل المستخلصات'!$K$9)</f>
        <v/>
      </c>
      <c r="K28" s="60">
        <f>IF('[48]سجل المستخلصات'!$L$9="","",'[48]سجل المستخلصات'!$L$9)</f>
        <v/>
      </c>
      <c r="L28" s="60">
        <f>IF('[48]سجل المستخلصات'!$M$9="","",'[48]سجل المستخلصات'!$M$9)</f>
        <v/>
      </c>
      <c r="M28" s="60">
        <f>IF('[48]سجل المستخلصات'!$N$9="","",'[48]سجل المستخلصات'!$N$9)</f>
        <v/>
      </c>
      <c r="N28" s="59">
        <f>IF('[48]سجل المستخلصات'!$O$9="","",'[48]سجل المستخلصات'!$O$9)</f>
        <v/>
      </c>
      <c r="O28" s="59">
        <f>IF('[48]سجل المستخلصات'!$R$9="","",'[48]سجل المستخلصات'!$R$9)</f>
        <v/>
      </c>
      <c r="P28" s="59">
        <f>IF('[48]سجل المستخلصات'!$S$9="","",'[48]سجل المستخلصات'!$S$9)</f>
        <v/>
      </c>
      <c r="Q28" s="59">
        <f>IF('[48]سجل المستخلصات'!$T$9="","",'[48]سجل المستخلصات'!$T$9)</f>
        <v/>
      </c>
      <c r="R28" s="59">
        <f>IF('[48]سجل المستخلصات'!$V$9="","",'[48]سجل المستخلصات'!$V$9)</f>
        <v/>
      </c>
      <c r="S28" s="59">
        <f>IF('[48]سجل المستخلصات'!$W$9="","",'[48]سجل المستخلصات'!$W$9)</f>
        <v/>
      </c>
      <c r="T28" s="61">
        <f>IF('[48]سجل المستخلصات'!$X$9="","",'[48]سجل المستخلصات'!$X$9)</f>
        <v/>
      </c>
      <c r="U28" s="61">
        <f>IF('[48]سجل المستخلصات'!$Z$9="","",'[48]سجل المستخلصات'!$Z$9)</f>
        <v/>
      </c>
      <c r="V28" s="59">
        <f>IF('[48]سجل المستخلصات'!$AA$9="","",'[48]سجل المستخلصات'!$AA$9)</f>
        <v/>
      </c>
      <c r="W28" s="59">
        <f>IF('[48]سجل المستخلصات'!$AC$9="","",'[48]سجل المستخلصات'!$AC$9)</f>
        <v/>
      </c>
      <c r="X28" s="62">
        <f>IF('[48]سجل المستخلصات'!$AD$9="","",'[48]سجل المستخلصات'!$AD$9)</f>
        <v/>
      </c>
      <c r="Y28" s="58">
        <f>IF('[48]سجل المستخلصات'!$AE$9="","",'[48]سجل المستخلصات'!$AE$9)</f>
        <v/>
      </c>
      <c r="AA28" s="63" t="n"/>
      <c r="AB28" s="63" t="n"/>
    </row>
    <row r="29">
      <c r="B29" s="56" t="n">
        <v>5</v>
      </c>
      <c r="C29" s="57">
        <f>IF('[48]سجل المستخلصات'!$C$10="","",'[48]سجل المستخلصات'!$C$10)</f>
        <v/>
      </c>
      <c r="D29" s="57">
        <f>IF('[48]سجل المستخلصات'!$E$10="","",'[48]سجل المستخلصات'!$E$10)</f>
        <v/>
      </c>
      <c r="E29" s="58">
        <f>IF('[48]سجل المستخلصات'!$F$10="","",'[48]سجل المستخلصات'!$F$10)</f>
        <v/>
      </c>
      <c r="F29" s="59">
        <f>IF('[48]سجل المستخلصات'!$H$10="","",'[48]سجل المستخلصات'!$H$10)</f>
        <v/>
      </c>
      <c r="G29" s="59">
        <f>IF('[48]سجل المستخلصات'!$G$10="","",'[48]سجل المستخلصات'!$G$10)</f>
        <v/>
      </c>
      <c r="H29" s="59">
        <f>IF('[48]سجل المستخلصات'!$I$10="","",'[48]سجل المستخلصات'!$I$10)</f>
        <v/>
      </c>
      <c r="I29" s="59">
        <f>IF('[48]سجل المستخلصات'!$J$10="","",'[48]سجل المستخلصات'!$J$10)</f>
        <v/>
      </c>
      <c r="J29" s="59">
        <f>IF('[48]سجل المستخلصات'!$K$10="","",'[48]سجل المستخلصات'!$K$10)</f>
        <v/>
      </c>
      <c r="K29" s="60">
        <f>IF('[48]سجل المستخلصات'!$L$10="","",'[48]سجل المستخلصات'!$L$10)</f>
        <v/>
      </c>
      <c r="L29" s="60">
        <f>IF('[48]سجل المستخلصات'!$M$10="","",'[48]سجل المستخلصات'!$M$10)</f>
        <v/>
      </c>
      <c r="M29" s="60">
        <f>IF('[48]سجل المستخلصات'!$N$10="","",'[48]سجل المستخلصات'!$N$10)</f>
        <v/>
      </c>
      <c r="N29" s="59">
        <f>IF('[48]سجل المستخلصات'!$O$10="","",'[48]سجل المستخلصات'!$O$10)</f>
        <v/>
      </c>
      <c r="O29" s="59">
        <f>IF('[48]سجل المستخلصات'!$R$10="","",'[48]سجل المستخلصات'!$R$10)</f>
        <v/>
      </c>
      <c r="P29" s="59">
        <f>IF('[48]سجل المستخلصات'!$S$10="","",'[48]سجل المستخلصات'!$S$10)</f>
        <v/>
      </c>
      <c r="Q29" s="59">
        <f>IF('[48]سجل المستخلصات'!$T$10="","",'[48]سجل المستخلصات'!$T$10)</f>
        <v/>
      </c>
      <c r="R29" s="59">
        <f>IF('[48]سجل المستخلصات'!$V$10="","",'[48]سجل المستخلصات'!$V$10)</f>
        <v/>
      </c>
      <c r="S29" s="59">
        <f>IF('[48]سجل المستخلصات'!$W$10="","",'[48]سجل المستخلصات'!$W$10)</f>
        <v/>
      </c>
      <c r="T29" s="61">
        <f>IF('[48]سجل المستخلصات'!$X$10="","",'[48]سجل المستخلصات'!$X$10)</f>
        <v/>
      </c>
      <c r="U29" s="61">
        <f>IF('[48]سجل المستخلصات'!$Z$10="","",'[48]سجل المستخلصات'!$Z$10)</f>
        <v/>
      </c>
      <c r="V29" s="59">
        <f>IF('[48]سجل المستخلصات'!$AA$10="","",'[48]سجل المستخلصات'!$AA$10)</f>
        <v/>
      </c>
      <c r="W29" s="59">
        <f>IF('[48]سجل المستخلصات'!$AC$10="","",'[48]سجل المستخلصات'!$AC$10)</f>
        <v/>
      </c>
      <c r="X29" s="62">
        <f>IF('[48]سجل المستخلصات'!$AD$10="","",'[48]سجل المستخلصات'!$AD$10)</f>
        <v/>
      </c>
      <c r="Y29" s="58">
        <f>IF('[48]سجل المستخلصات'!$AE$10="","",'[48]سجل المستخلصات'!$AE$10)</f>
        <v/>
      </c>
    </row>
    <row r="30">
      <c r="B30" s="56" t="n">
        <v>6</v>
      </c>
      <c r="C30" s="57">
        <f>IF('[48]سجل المستخلصات'!$C$11="","",'[48]سجل المستخلصات'!$C$11)</f>
        <v/>
      </c>
      <c r="D30" s="57">
        <f>IF('[48]سجل المستخلصات'!$E$11="","",'[48]سجل المستخلصات'!$E$11)</f>
        <v/>
      </c>
      <c r="E30" s="58">
        <f>IF('[48]سجل المستخلصات'!$F$11="","",'[48]سجل المستخلصات'!$F$11)</f>
        <v/>
      </c>
      <c r="F30" s="59">
        <f>IF('[48]سجل المستخلصات'!$H$11="","",'[48]سجل المستخلصات'!$H$11)</f>
        <v/>
      </c>
      <c r="G30" s="59">
        <f>IF('[48]سجل المستخلصات'!$G$11="","",'[48]سجل المستخلصات'!$G$11)</f>
        <v/>
      </c>
      <c r="H30" s="59">
        <f>IF('[48]سجل المستخلصات'!$I$11="","",'[48]سجل المستخلصات'!$I$11)</f>
        <v/>
      </c>
      <c r="I30" s="59">
        <f>IF('[48]سجل المستخلصات'!$J$11="","",'[48]سجل المستخلصات'!$J$11)</f>
        <v/>
      </c>
      <c r="J30" s="59">
        <f>IF('[48]سجل المستخلصات'!$K$11="","",'[48]سجل المستخلصات'!$K$11)</f>
        <v/>
      </c>
      <c r="K30" s="60">
        <f>IF('[48]سجل المستخلصات'!$L$11="","",'[48]سجل المستخلصات'!$L$11)</f>
        <v/>
      </c>
      <c r="L30" s="60">
        <f>IF('[48]سجل المستخلصات'!$M$11="","",'[48]سجل المستخلصات'!$M$11)</f>
        <v/>
      </c>
      <c r="M30" s="60">
        <f>IF('[48]سجل المستخلصات'!$N$11="","",'[48]سجل المستخلصات'!$N$11)</f>
        <v/>
      </c>
      <c r="N30" s="59">
        <f>IF('[48]سجل المستخلصات'!$O$11="","",'[48]سجل المستخلصات'!$O$11)</f>
        <v/>
      </c>
      <c r="O30" s="59">
        <f>IF('[48]سجل المستخلصات'!$R$11="","",'[48]سجل المستخلصات'!$R$11)</f>
        <v/>
      </c>
      <c r="P30" s="59">
        <f>IF('[48]سجل المستخلصات'!$S$11="","",'[48]سجل المستخلصات'!$S$11)</f>
        <v/>
      </c>
      <c r="Q30" s="59">
        <f>IF('[48]سجل المستخلصات'!$T$11="","",'[48]سجل المستخلصات'!$T$11)</f>
        <v/>
      </c>
      <c r="R30" s="59">
        <f>IF('[48]سجل المستخلصات'!$V$11="","",'[48]سجل المستخلصات'!$V$11)</f>
        <v/>
      </c>
      <c r="S30" s="59">
        <f>IF('[48]سجل المستخلصات'!$W$11="","",'[48]سجل المستخلصات'!$W$11)</f>
        <v/>
      </c>
      <c r="T30" s="61">
        <f>IF('[48]سجل المستخلصات'!$X$11="","",'[48]سجل المستخلصات'!$X$11)</f>
        <v/>
      </c>
      <c r="U30" s="61">
        <f>IF('[48]سجل المستخلصات'!$Z$11="","",'[48]سجل المستخلصات'!$Z$11)</f>
        <v/>
      </c>
      <c r="V30" s="59">
        <f>IF('[48]سجل المستخلصات'!$AA$11="","",'[48]سجل المستخلصات'!$AA$11)</f>
        <v/>
      </c>
      <c r="W30" s="59">
        <f>IF('[48]سجل المستخلصات'!$AC$11="","",'[48]سجل المستخلصات'!$AC$11)</f>
        <v/>
      </c>
      <c r="X30" s="62">
        <f>IF('[48]سجل المستخلصات'!$AD$11="","",'[48]سجل المستخلصات'!$AD$11)</f>
        <v/>
      </c>
      <c r="Y30" s="58">
        <f>IF('[48]سجل المستخلصات'!$AE$11="","",'[48]سجل المستخلصات'!$AE$11)</f>
        <v/>
      </c>
    </row>
    <row r="31">
      <c r="B31" s="56" t="n">
        <v>7</v>
      </c>
      <c r="C31" s="57">
        <f>IF('[48]سجل المستخلصات'!$C$12="","",'[48]سجل المستخلصات'!$C$12)</f>
        <v/>
      </c>
      <c r="D31" s="57">
        <f>IF('[48]سجل المستخلصات'!$E$12="","",'[48]سجل المستخلصات'!$E$12)</f>
        <v/>
      </c>
      <c r="E31" s="58">
        <f>IF('[48]سجل المستخلصات'!$F$12="","",'[48]سجل المستخلصات'!$F$12)</f>
        <v/>
      </c>
      <c r="F31" s="59">
        <f>IF('[48]سجل المستخلصات'!$H$12="","",'[48]سجل المستخلصات'!$H$12)</f>
        <v/>
      </c>
      <c r="G31" s="59">
        <f>IF('[48]سجل المستخلصات'!$G$12="","",'[48]سجل المستخلصات'!$G$12)</f>
        <v/>
      </c>
      <c r="H31" s="59">
        <f>IF('[48]سجل المستخلصات'!$I$12="","",'[48]سجل المستخلصات'!$I$12)</f>
        <v/>
      </c>
      <c r="I31" s="59">
        <f>IF('[48]سجل المستخلصات'!$J$12="","",'[48]سجل المستخلصات'!$J$12)</f>
        <v/>
      </c>
      <c r="J31" s="59">
        <f>IF('[48]سجل المستخلصات'!$K$12="","",'[48]سجل المستخلصات'!$K$12)</f>
        <v/>
      </c>
      <c r="K31" s="60">
        <f>IF('[48]سجل المستخلصات'!$L$12="","",'[48]سجل المستخلصات'!$L$12)</f>
        <v/>
      </c>
      <c r="L31" s="60">
        <f>IF('[48]سجل المستخلصات'!$M$12="","",'[48]سجل المستخلصات'!$M$12)</f>
        <v/>
      </c>
      <c r="M31" s="60">
        <f>IF('[48]سجل المستخلصات'!$N$12="","",'[48]سجل المستخلصات'!$N$12)</f>
        <v/>
      </c>
      <c r="N31" s="59">
        <f>IF('[48]سجل المستخلصات'!$O$12="","",'[48]سجل المستخلصات'!$O$12)</f>
        <v/>
      </c>
      <c r="O31" s="59">
        <f>IF('[48]سجل المستخلصات'!$R$12="","",'[48]سجل المستخلصات'!$R$12)</f>
        <v/>
      </c>
      <c r="P31" s="59">
        <f>IF('[48]سجل المستخلصات'!$S$12="","",'[48]سجل المستخلصات'!$S$12)</f>
        <v/>
      </c>
      <c r="Q31" s="59">
        <f>IF('[48]سجل المستخلصات'!$T$12="","",'[48]سجل المستخلصات'!$T$12)</f>
        <v/>
      </c>
      <c r="R31" s="59">
        <f>IF('[48]سجل المستخلصات'!$V$12="","",'[48]سجل المستخلصات'!$V$12)</f>
        <v/>
      </c>
      <c r="S31" s="59">
        <f>IF('[48]سجل المستخلصات'!$W$12="","",'[48]سجل المستخلصات'!$W$12)</f>
        <v/>
      </c>
      <c r="T31" s="61">
        <f>IF('[48]سجل المستخلصات'!$X$12="","",'[48]سجل المستخلصات'!$X$12)</f>
        <v/>
      </c>
      <c r="U31" s="61">
        <f>IF('[48]سجل المستخلصات'!$Z$12="","",'[48]سجل المستخلصات'!$Z$12)</f>
        <v/>
      </c>
      <c r="V31" s="59">
        <f>IF('[48]سجل المستخلصات'!$AA$12="","",'[48]سجل المستخلصات'!$AA$12)</f>
        <v/>
      </c>
      <c r="W31" s="59">
        <f>IF('[48]سجل المستخلصات'!$AC$12="","",'[48]سجل المستخلصات'!$AC$12)</f>
        <v/>
      </c>
      <c r="X31" s="62">
        <f>IF('[48]سجل المستخلصات'!$AD$12="","",'[48]سجل المستخلصات'!$AD$12)</f>
        <v/>
      </c>
      <c r="Y31" s="58">
        <f>IF('[48]سجل المستخلصات'!$AE$12="","",'[48]سجل المستخلصات'!$AE$12)</f>
        <v/>
      </c>
    </row>
    <row r="32">
      <c r="B32" s="56" t="n">
        <v>8</v>
      </c>
      <c r="C32" s="57">
        <f>IF('[48]سجل المستخلصات'!$C$13="","",'[48]سجل المستخلصات'!$C$13)</f>
        <v/>
      </c>
      <c r="D32" s="57">
        <f>IF('[48]سجل المستخلصات'!$E$13="","",'[48]سجل المستخلصات'!$E$13)</f>
        <v/>
      </c>
      <c r="E32" s="58">
        <f>IF('[48]سجل المستخلصات'!$F$13="","",'[48]سجل المستخلصات'!$F$13)</f>
        <v/>
      </c>
      <c r="F32" s="59">
        <f>IF('[48]سجل المستخلصات'!$H$13="","",'[48]سجل المستخلصات'!$H$13)</f>
        <v/>
      </c>
      <c r="G32" s="59">
        <f>IF('[48]سجل المستخلصات'!$G$13="","",'[48]سجل المستخلصات'!$G$13)</f>
        <v/>
      </c>
      <c r="H32" s="59">
        <f>IF('[48]سجل المستخلصات'!$I$13="","",'[48]سجل المستخلصات'!$I$13)</f>
        <v/>
      </c>
      <c r="I32" s="59">
        <f>IF('[48]سجل المستخلصات'!$J$13="","",'[48]سجل المستخلصات'!$J$13)</f>
        <v/>
      </c>
      <c r="J32" s="59">
        <f>IF('[48]سجل المستخلصات'!$K$13="","",'[48]سجل المستخلصات'!$K$13)</f>
        <v/>
      </c>
      <c r="K32" s="60">
        <f>IF('[48]سجل المستخلصات'!$L$13="","",'[48]سجل المستخلصات'!$L$13)</f>
        <v/>
      </c>
      <c r="L32" s="60">
        <f>IF('[48]سجل المستخلصات'!$M$13="","",'[48]سجل المستخلصات'!$M$13)</f>
        <v/>
      </c>
      <c r="M32" s="60">
        <f>IF('[48]سجل المستخلصات'!$N$13="","",'[48]سجل المستخلصات'!$N$13)</f>
        <v/>
      </c>
      <c r="N32" s="59">
        <f>IF('[48]سجل المستخلصات'!$O$13="","",'[48]سجل المستخلصات'!$O$13)</f>
        <v/>
      </c>
      <c r="O32" s="59">
        <f>IF('[48]سجل المستخلصات'!$R$13="","",'[48]سجل المستخلصات'!$R$13)</f>
        <v/>
      </c>
      <c r="P32" s="59">
        <f>IF('[48]سجل المستخلصات'!$S$13="","",'[48]سجل المستخلصات'!$S$13)</f>
        <v/>
      </c>
      <c r="Q32" s="59">
        <f>IF('[48]سجل المستخلصات'!$T$13="","",'[48]سجل المستخلصات'!$T$13)</f>
        <v/>
      </c>
      <c r="R32" s="59">
        <f>IF('[48]سجل المستخلصات'!$V$13="","",'[48]سجل المستخلصات'!$V$13)</f>
        <v/>
      </c>
      <c r="S32" s="59">
        <f>IF('[48]سجل المستخلصات'!$W$13="","",'[48]سجل المستخلصات'!$W$13)</f>
        <v/>
      </c>
      <c r="T32" s="61">
        <f>IF('[48]سجل المستخلصات'!$X$13="","",'[48]سجل المستخلصات'!$X$13)</f>
        <v/>
      </c>
      <c r="U32" s="61">
        <f>IF('[48]سجل المستخلصات'!$Z$13="","",'[48]سجل المستخلصات'!$Z$13)</f>
        <v/>
      </c>
      <c r="V32" s="59">
        <f>IF('[48]سجل المستخلصات'!$AA$13="","",'[48]سجل المستخلصات'!$AA$13)</f>
        <v/>
      </c>
      <c r="W32" s="59">
        <f>IF('[48]سجل المستخلصات'!$AC$13="","",'[48]سجل المستخلصات'!$AC$13)</f>
        <v/>
      </c>
      <c r="X32" s="62">
        <f>IF('[48]سجل المستخلصات'!$AD$13="","",'[48]سجل المستخلصات'!$AD$13)</f>
        <v/>
      </c>
      <c r="Y32" s="58">
        <f>IF('[48]سجل المستخلصات'!$AE$13="","",'[48]سجل المستخلصات'!$AE$13)</f>
        <v/>
      </c>
    </row>
    <row r="33">
      <c r="B33" s="56" t="n">
        <v>9</v>
      </c>
      <c r="C33" s="57">
        <f>IF('[48]سجل المستخلصات'!$C$14="","",'[48]سجل المستخلصات'!$C$14)</f>
        <v/>
      </c>
      <c r="D33" s="57">
        <f>IF('[48]سجل المستخلصات'!$E$14="","",'[48]سجل المستخلصات'!$E$14)</f>
        <v/>
      </c>
      <c r="E33" s="58">
        <f>IF('[48]سجل المستخلصات'!$F$14="","",'[48]سجل المستخلصات'!$F$14)</f>
        <v/>
      </c>
      <c r="F33" s="59">
        <f>IF('[48]سجل المستخلصات'!$H$14="","",'[48]سجل المستخلصات'!$H$14)</f>
        <v/>
      </c>
      <c r="G33" s="59">
        <f>IF('[48]سجل المستخلصات'!$G$14="","",'[48]سجل المستخلصات'!$G$14)</f>
        <v/>
      </c>
      <c r="H33" s="59">
        <f>IF('[48]سجل المستخلصات'!$I$14="","",'[48]سجل المستخلصات'!$I$14)</f>
        <v/>
      </c>
      <c r="I33" s="59">
        <f>IF('[48]سجل المستخلصات'!$J$14="","",'[48]سجل المستخلصات'!$J$14)</f>
        <v/>
      </c>
      <c r="J33" s="59">
        <f>IF('[48]سجل المستخلصات'!$K$14="","",'[48]سجل المستخلصات'!$K$14)</f>
        <v/>
      </c>
      <c r="K33" s="60">
        <f>IF('[48]سجل المستخلصات'!$L$14="","",'[48]سجل المستخلصات'!$L$14)</f>
        <v/>
      </c>
      <c r="L33" s="60">
        <f>IF('[48]سجل المستخلصات'!$M$14="","",'[48]سجل المستخلصات'!$M$14)</f>
        <v/>
      </c>
      <c r="M33" s="60">
        <f>IF('[48]سجل المستخلصات'!$N$14="","",'[48]سجل المستخلصات'!$N$14)</f>
        <v/>
      </c>
      <c r="N33" s="59">
        <f>IF('[48]سجل المستخلصات'!$O$14="","",'[48]سجل المستخلصات'!$O$14)</f>
        <v/>
      </c>
      <c r="O33" s="59">
        <f>IF('[48]سجل المستخلصات'!$R$14="","",'[48]سجل المستخلصات'!$R$14)</f>
        <v/>
      </c>
      <c r="P33" s="59">
        <f>IF('[48]سجل المستخلصات'!$S$14="","",'[48]سجل المستخلصات'!$S$14)</f>
        <v/>
      </c>
      <c r="Q33" s="59">
        <f>IF('[48]سجل المستخلصات'!$T$14="","",'[48]سجل المستخلصات'!$T$14)</f>
        <v/>
      </c>
      <c r="R33" s="59">
        <f>IF('[48]سجل المستخلصات'!$V$14="","",'[48]سجل المستخلصات'!$V$14)</f>
        <v/>
      </c>
      <c r="S33" s="59">
        <f>IF('[48]سجل المستخلصات'!$W$14="","",'[48]سجل المستخلصات'!$W$14)</f>
        <v/>
      </c>
      <c r="T33" s="61">
        <f>IF('[48]سجل المستخلصات'!$X$14="","",'[48]سجل المستخلصات'!$X$14)</f>
        <v/>
      </c>
      <c r="U33" s="61">
        <f>IF('[48]سجل المستخلصات'!$Z$14="","",'[48]سجل المستخلصات'!$Z$14)</f>
        <v/>
      </c>
      <c r="V33" s="59">
        <f>IF('[48]سجل المستخلصات'!$AA$14="","",'[48]سجل المستخلصات'!$AA$14)</f>
        <v/>
      </c>
      <c r="W33" s="59">
        <f>IF('[48]سجل المستخلصات'!$AC$14="","",'[48]سجل المستخلصات'!$AC$14)</f>
        <v/>
      </c>
      <c r="X33" s="62">
        <f>IF('[48]سجل المستخلصات'!$AD$14="","",'[48]سجل المستخلصات'!$AD$14)</f>
        <v/>
      </c>
      <c r="Y33" s="58">
        <f>IF('[48]سجل المستخلصات'!$AE$14="","",'[48]سجل المستخلصات'!$AE$14)</f>
        <v/>
      </c>
    </row>
    <row r="34">
      <c r="B34" s="56" t="n">
        <v>10</v>
      </c>
      <c r="C34" s="57">
        <f>IF('[48]سجل المستخلصات'!$C$15="","",'[48]سجل المستخلصات'!$C$15)</f>
        <v/>
      </c>
      <c r="D34" s="57">
        <f>IF('[48]سجل المستخلصات'!$E$15="","",'[48]سجل المستخلصات'!$E$15)</f>
        <v/>
      </c>
      <c r="E34" s="58">
        <f>IF('[48]سجل المستخلصات'!$F$15="","",'[48]سجل المستخلصات'!$F$15)</f>
        <v/>
      </c>
      <c r="F34" s="59">
        <f>IF('[48]سجل المستخلصات'!$H$15="","",'[48]سجل المستخلصات'!$H$15)</f>
        <v/>
      </c>
      <c r="G34" s="59">
        <f>IF('[48]سجل المستخلصات'!$G$15="","",'[48]سجل المستخلصات'!$G$15)</f>
        <v/>
      </c>
      <c r="H34" s="59">
        <f>IF('[48]سجل المستخلصات'!$I$15="","",'[48]سجل المستخلصات'!$I$15)</f>
        <v/>
      </c>
      <c r="I34" s="59">
        <f>IF('[48]سجل المستخلصات'!$J$15="","",'[48]سجل المستخلصات'!$J$15)</f>
        <v/>
      </c>
      <c r="J34" s="59">
        <f>IF('[48]سجل المستخلصات'!$K$15="","",'[48]سجل المستخلصات'!$K$15)</f>
        <v/>
      </c>
      <c r="K34" s="60">
        <f>IF('[48]سجل المستخلصات'!$L$15="","",'[48]سجل المستخلصات'!$L$15)</f>
        <v/>
      </c>
      <c r="L34" s="60">
        <f>IF('[48]سجل المستخلصات'!$M$15="","",'[48]سجل المستخلصات'!$M$15)</f>
        <v/>
      </c>
      <c r="M34" s="60">
        <f>IF('[48]سجل المستخلصات'!$N$15="","",'[48]سجل المستخلصات'!$N$15)</f>
        <v/>
      </c>
      <c r="N34" s="59">
        <f>IF('[48]سجل المستخلصات'!$O$15="","",'[48]سجل المستخلصات'!$O$15)</f>
        <v/>
      </c>
      <c r="O34" s="59">
        <f>IF('[48]سجل المستخلصات'!$R$15="","",'[48]سجل المستخلصات'!$R$15)</f>
        <v/>
      </c>
      <c r="P34" s="59">
        <f>IF('[48]سجل المستخلصات'!$S$15="","",'[48]سجل المستخلصات'!$S$15)</f>
        <v/>
      </c>
      <c r="Q34" s="59">
        <f>IF('[48]سجل المستخلصات'!$T$15="","",'[48]سجل المستخلصات'!$T$15)</f>
        <v/>
      </c>
      <c r="R34" s="59">
        <f>IF('[48]سجل المستخلصات'!$V$15="","",'[48]سجل المستخلصات'!$V$15)</f>
        <v/>
      </c>
      <c r="S34" s="59">
        <f>IF('[48]سجل المستخلصات'!$W$15="","",'[48]سجل المستخلصات'!$W$15)</f>
        <v/>
      </c>
      <c r="T34" s="61">
        <f>IF('[48]سجل المستخلصات'!$X$15="","",'[48]سجل المستخلصات'!$X$15)</f>
        <v/>
      </c>
      <c r="U34" s="61">
        <f>IF('[48]سجل المستخلصات'!$Z$15="","",'[48]سجل المستخلصات'!$Z$15)</f>
        <v/>
      </c>
      <c r="V34" s="59">
        <f>IF('[48]سجل المستخلصات'!$AA$15="","",'[48]سجل المستخلصات'!$AA$15)</f>
        <v/>
      </c>
      <c r="W34" s="59">
        <f>IF('[48]سجل المستخلصات'!$AC$15="","",'[48]سجل المستخلصات'!$AC$15)</f>
        <v/>
      </c>
      <c r="X34" s="62">
        <f>IF('[48]سجل المستخلصات'!$AD$15="","",'[48]سجل المستخلصات'!$AD$15)</f>
        <v/>
      </c>
      <c r="Y34" s="58">
        <f>IF('[48]سجل المستخلصات'!$AE$15="","",'[48]سجل المستخلصات'!$AE$15)</f>
        <v/>
      </c>
    </row>
    <row r="35">
      <c r="B35" s="56" t="n">
        <v>11</v>
      </c>
      <c r="C35" s="57">
        <f>IF('[48]سجل المستخلصات'!$C$16="","",'[48]سجل المستخلصات'!$C$16)</f>
        <v/>
      </c>
      <c r="D35" s="57">
        <f>IF('[48]سجل المستخلصات'!$E$16="","",'[48]سجل المستخلصات'!$E$16)</f>
        <v/>
      </c>
      <c r="E35" s="58">
        <f>IF('[48]سجل المستخلصات'!$F$16="","",'[48]سجل المستخلصات'!$F$16)</f>
        <v/>
      </c>
      <c r="F35" s="59">
        <f>IF('[48]سجل المستخلصات'!$H$16="","",'[48]سجل المستخلصات'!$H$16)</f>
        <v/>
      </c>
      <c r="G35" s="59">
        <f>IF('[48]سجل المستخلصات'!$G$16="","",'[48]سجل المستخلصات'!$G$16)</f>
        <v/>
      </c>
      <c r="H35" s="59">
        <f>IF('[48]سجل المستخلصات'!$I$16="","",'[48]سجل المستخلصات'!$I$16)</f>
        <v/>
      </c>
      <c r="I35" s="59">
        <f>IF('[48]سجل المستخلصات'!$J$16="","",'[48]سجل المستخلصات'!$J$16)</f>
        <v/>
      </c>
      <c r="J35" s="59">
        <f>IF('[48]سجل المستخلصات'!$K$16="","",'[48]سجل المستخلصات'!$K$16)</f>
        <v/>
      </c>
      <c r="K35" s="60">
        <f>IF('[48]سجل المستخلصات'!$L$16="","",'[48]سجل المستخلصات'!$L$16)</f>
        <v/>
      </c>
      <c r="L35" s="60">
        <f>IF('[48]سجل المستخلصات'!$M$16="","",'[48]سجل المستخلصات'!$M$16)</f>
        <v/>
      </c>
      <c r="M35" s="60">
        <f>IF('[48]سجل المستخلصات'!$N$16="","",'[48]سجل المستخلصات'!$N$16)</f>
        <v/>
      </c>
      <c r="N35" s="59">
        <f>IF('[48]سجل المستخلصات'!$O$16="","",'[48]سجل المستخلصات'!$O$16)</f>
        <v/>
      </c>
      <c r="O35" s="59">
        <f>IF('[48]سجل المستخلصات'!$R$16="","",'[48]سجل المستخلصات'!$R$16)</f>
        <v/>
      </c>
      <c r="P35" s="59">
        <f>IF('[48]سجل المستخلصات'!$S$16="","",'[48]سجل المستخلصات'!$S$16)</f>
        <v/>
      </c>
      <c r="Q35" s="59">
        <f>IF('[48]سجل المستخلصات'!$T$16="","",'[48]سجل المستخلصات'!$T$16)</f>
        <v/>
      </c>
      <c r="R35" s="59">
        <f>IF('[48]سجل المستخلصات'!$V$16="","",'[48]سجل المستخلصات'!$V$16)</f>
        <v/>
      </c>
      <c r="S35" s="59">
        <f>IF('[48]سجل المستخلصات'!$W$16="","",'[48]سجل المستخلصات'!$W$16)</f>
        <v/>
      </c>
      <c r="T35" s="61">
        <f>IF('[48]سجل المستخلصات'!$X$16="","",'[48]سجل المستخلصات'!$X$16)</f>
        <v/>
      </c>
      <c r="U35" s="61">
        <f>IF('[48]سجل المستخلصات'!$Z$16="","",'[48]سجل المستخلصات'!$Z$16)</f>
        <v/>
      </c>
      <c r="V35" s="59">
        <f>IF('[48]سجل المستخلصات'!$AA$16="","",'[48]سجل المستخلصات'!$AA$16)</f>
        <v/>
      </c>
      <c r="W35" s="59">
        <f>IF('[48]سجل المستخلصات'!$AC$16="","",'[48]سجل المستخلصات'!$AC$16)</f>
        <v/>
      </c>
      <c r="X35" s="62">
        <f>IF('[48]سجل المستخلصات'!$AD$16="","",'[48]سجل المستخلصات'!$AD$16)</f>
        <v/>
      </c>
      <c r="Y35" s="58">
        <f>IF('[48]سجل المستخلصات'!$AE$16="","",'[48]سجل المستخلصات'!$AE$16)</f>
        <v/>
      </c>
    </row>
    <row r="36">
      <c r="B36" s="56" t="n">
        <v>12</v>
      </c>
      <c r="C36" s="57">
        <f>IF('[48]سجل المستخلصات'!$C$17="","",'[48]سجل المستخلصات'!$C$17)</f>
        <v/>
      </c>
      <c r="D36" s="57">
        <f>IF('[48]سجل المستخلصات'!$E$17="","",'[48]سجل المستخلصات'!$E$17)</f>
        <v/>
      </c>
      <c r="E36" s="58">
        <f>IF('[48]سجل المستخلصات'!$F$17="","",'[48]سجل المستخلصات'!$F$17)</f>
        <v/>
      </c>
      <c r="F36" s="59">
        <f>IF('[48]سجل المستخلصات'!$H$17="","",'[48]سجل المستخلصات'!$H$17)</f>
        <v/>
      </c>
      <c r="G36" s="59">
        <f>IF('[48]سجل المستخلصات'!$G$17="","",'[48]سجل المستخلصات'!$G$17)</f>
        <v/>
      </c>
      <c r="H36" s="59">
        <f>IF('[48]سجل المستخلصات'!$I$17="","",'[48]سجل المستخلصات'!$I$17)</f>
        <v/>
      </c>
      <c r="I36" s="59">
        <f>IF('[48]سجل المستخلصات'!$J$17="","",'[48]سجل المستخلصات'!$J$17)</f>
        <v/>
      </c>
      <c r="J36" s="59">
        <f>IF('[48]سجل المستخلصات'!$K$17="","",'[48]سجل المستخلصات'!$K$17)</f>
        <v/>
      </c>
      <c r="K36" s="60">
        <f>IF('[48]سجل المستخلصات'!$L$17="","",'[48]سجل المستخلصات'!$L$17)</f>
        <v/>
      </c>
      <c r="L36" s="60">
        <f>IF('[48]سجل المستخلصات'!$M$17="","",'[48]سجل المستخلصات'!$M$17)</f>
        <v/>
      </c>
      <c r="M36" s="60">
        <f>IF('[48]سجل المستخلصات'!$N$17="","",'[48]سجل المستخلصات'!$N$17)</f>
        <v/>
      </c>
      <c r="N36" s="59">
        <f>IF('[48]سجل المستخلصات'!$O$17="","",'[48]سجل المستخلصات'!$O$17)</f>
        <v/>
      </c>
      <c r="O36" s="59">
        <f>IF('[48]سجل المستخلصات'!$R$17="","",'[48]سجل المستخلصات'!$R$17)</f>
        <v/>
      </c>
      <c r="P36" s="59">
        <f>IF('[48]سجل المستخلصات'!$S$17="","",'[48]سجل المستخلصات'!$S$17)</f>
        <v/>
      </c>
      <c r="Q36" s="59">
        <f>IF('[48]سجل المستخلصات'!$T$17="","",'[48]سجل المستخلصات'!$T$17)</f>
        <v/>
      </c>
      <c r="R36" s="59">
        <f>IF('[48]سجل المستخلصات'!$V$17="","",'[48]سجل المستخلصات'!$V$17)</f>
        <v/>
      </c>
      <c r="S36" s="59">
        <f>IF('[48]سجل المستخلصات'!$W$17="","",'[48]سجل المستخلصات'!$W$17)</f>
        <v/>
      </c>
      <c r="T36" s="61">
        <f>IF('[48]سجل المستخلصات'!$X$17="","",'[48]سجل المستخلصات'!$X$17)</f>
        <v/>
      </c>
      <c r="U36" s="61">
        <f>IF('[48]سجل المستخلصات'!$Z$17="","",'[48]سجل المستخلصات'!$Z$17)</f>
        <v/>
      </c>
      <c r="V36" s="59">
        <f>IF('[48]سجل المستخلصات'!$AA$17="","",'[48]سجل المستخلصات'!$AA$17)</f>
        <v/>
      </c>
      <c r="W36" s="59">
        <f>IF('[48]سجل المستخلصات'!$AC$17="","",'[48]سجل المستخلصات'!$AC$17)</f>
        <v/>
      </c>
      <c r="X36" s="62">
        <f>IF('[48]سجل المستخلصات'!$AD$17="","",'[48]سجل المستخلصات'!$AD$17)</f>
        <v/>
      </c>
      <c r="Y36" s="58">
        <f>IF('[48]سجل المستخلصات'!$AE$17="","",'[48]سجل المستخلصات'!$AE$17)</f>
        <v/>
      </c>
    </row>
    <row r="37">
      <c r="B37" s="56" t="n">
        <v>13</v>
      </c>
      <c r="C37" s="57">
        <f>IF('[48]سجل المستخلصات'!$C$18="","",'[48]سجل المستخلصات'!$C$18)</f>
        <v/>
      </c>
      <c r="D37" s="57">
        <f>IF('[48]سجل المستخلصات'!$E$18="","",'[48]سجل المستخلصات'!$E$18)</f>
        <v/>
      </c>
      <c r="E37" s="58">
        <f>IF('[48]سجل المستخلصات'!$F$18="","",'[48]سجل المستخلصات'!$F$18)</f>
        <v/>
      </c>
      <c r="F37" s="59">
        <f>IF('[48]سجل المستخلصات'!$H$18="","",'[48]سجل المستخلصات'!$H$18)</f>
        <v/>
      </c>
      <c r="G37" s="59">
        <f>IF('[48]سجل المستخلصات'!$G$18="","",'[48]سجل المستخلصات'!$G$18)</f>
        <v/>
      </c>
      <c r="H37" s="59">
        <f>IF('[48]سجل المستخلصات'!$I$18="","",'[48]سجل المستخلصات'!$I$18)</f>
        <v/>
      </c>
      <c r="I37" s="59">
        <f>IF('[48]سجل المستخلصات'!$J$18="","",'[48]سجل المستخلصات'!$J$18)</f>
        <v/>
      </c>
      <c r="J37" s="59">
        <f>IF('[48]سجل المستخلصات'!$K$18="","",'[48]سجل المستخلصات'!$K$18)</f>
        <v/>
      </c>
      <c r="K37" s="60">
        <f>IF('[48]سجل المستخلصات'!$L$18="","",'[48]سجل المستخلصات'!$L$18)</f>
        <v/>
      </c>
      <c r="L37" s="60">
        <f>IF('[48]سجل المستخلصات'!$M$18="","",'[48]سجل المستخلصات'!$M$18)</f>
        <v/>
      </c>
      <c r="M37" s="60">
        <f>IF('[48]سجل المستخلصات'!$N$18="","",'[48]سجل المستخلصات'!$N$18)</f>
        <v/>
      </c>
      <c r="N37" s="59">
        <f>IF('[48]سجل المستخلصات'!$O$18="","",'[48]سجل المستخلصات'!$O$18)</f>
        <v/>
      </c>
      <c r="O37" s="59">
        <f>IF('[48]سجل المستخلصات'!$R$18="","",'[48]سجل المستخلصات'!$R$18)</f>
        <v/>
      </c>
      <c r="P37" s="59">
        <f>IF('[48]سجل المستخلصات'!$S$18="","",'[48]سجل المستخلصات'!$S$18)</f>
        <v/>
      </c>
      <c r="Q37" s="59">
        <f>IF('[48]سجل المستخلصات'!$T$18="","",'[48]سجل المستخلصات'!$T$18)</f>
        <v/>
      </c>
      <c r="R37" s="59">
        <f>IF('[48]سجل المستخلصات'!$V$18="","",'[48]سجل المستخلصات'!$V$18)</f>
        <v/>
      </c>
      <c r="S37" s="59">
        <f>IF('[48]سجل المستخلصات'!$W$18="","",'[48]سجل المستخلصات'!$W$18)</f>
        <v/>
      </c>
      <c r="T37" s="61">
        <f>IF('[48]سجل المستخلصات'!$X$18="","",'[48]سجل المستخلصات'!$X$18)</f>
        <v/>
      </c>
      <c r="U37" s="61">
        <f>IF('[48]سجل المستخلصات'!$Z$18="","",'[48]سجل المستخلصات'!$Z$18)</f>
        <v/>
      </c>
      <c r="V37" s="59">
        <f>IF('[48]سجل المستخلصات'!$AA$18="","",'[48]سجل المستخلصات'!$AA$18)</f>
        <v/>
      </c>
      <c r="W37" s="59">
        <f>IF('[48]سجل المستخلصات'!$AC$18="","",'[48]سجل المستخلصات'!$AC$18)</f>
        <v/>
      </c>
      <c r="X37" s="62">
        <f>IF('[48]سجل المستخلصات'!$AD$18="","",'[48]سجل المستخلصات'!$AD$18)</f>
        <v/>
      </c>
      <c r="Y37" s="58">
        <f>IF('[48]سجل المستخلصات'!$AE$18="","",'[48]سجل المستخلصات'!$AE$18)</f>
        <v/>
      </c>
    </row>
    <row r="38">
      <c r="B38" s="56" t="n">
        <v>14</v>
      </c>
      <c r="C38" s="57">
        <f>IF('[48]سجل المستخلصات'!$C$19="","",'[48]سجل المستخلصات'!$C$19)</f>
        <v/>
      </c>
      <c r="D38" s="57">
        <f>IF('[48]سجل المستخلصات'!$E$19="","",'[48]سجل المستخلصات'!$E$19)</f>
        <v/>
      </c>
      <c r="E38" s="58">
        <f>IF('[48]سجل المستخلصات'!$F$19="","",'[48]سجل المستخلصات'!$F$19)</f>
        <v/>
      </c>
      <c r="F38" s="59">
        <f>IF('[48]سجل المستخلصات'!$H$19="","",'[48]سجل المستخلصات'!$H$19)</f>
        <v/>
      </c>
      <c r="G38" s="59">
        <f>IF('[48]سجل المستخلصات'!$G$19="","",'[48]سجل المستخلصات'!$G$19)</f>
        <v/>
      </c>
      <c r="H38" s="59">
        <f>IF('[48]سجل المستخلصات'!$I$19="","",'[48]سجل المستخلصات'!$I$19)</f>
        <v/>
      </c>
      <c r="I38" s="59">
        <f>IF('[48]سجل المستخلصات'!$J$19="","",'[48]سجل المستخلصات'!$J$19)</f>
        <v/>
      </c>
      <c r="J38" s="59">
        <f>IF('[48]سجل المستخلصات'!$K$19="","",'[48]سجل المستخلصات'!$K$19)</f>
        <v/>
      </c>
      <c r="K38" s="60">
        <f>IF('[48]سجل المستخلصات'!$L$19="","",'[48]سجل المستخلصات'!$L$19)</f>
        <v/>
      </c>
      <c r="L38" s="60">
        <f>IF('[48]سجل المستخلصات'!$M$19="","",'[48]سجل المستخلصات'!$M$19)</f>
        <v/>
      </c>
      <c r="M38" s="60">
        <f>IF('[48]سجل المستخلصات'!$N$19="","",'[48]سجل المستخلصات'!$N$19)</f>
        <v/>
      </c>
      <c r="N38" s="59">
        <f>IF('[48]سجل المستخلصات'!$O$19="","",'[48]سجل المستخلصات'!$O$19)</f>
        <v/>
      </c>
      <c r="O38" s="59">
        <f>IF('[48]سجل المستخلصات'!$R$19="","",'[48]سجل المستخلصات'!$R$19)</f>
        <v/>
      </c>
      <c r="P38" s="59">
        <f>IF('[48]سجل المستخلصات'!$S$19="","",'[48]سجل المستخلصات'!$S$19)</f>
        <v/>
      </c>
      <c r="Q38" s="59">
        <f>IF('[48]سجل المستخلصات'!$T$19="","",'[48]سجل المستخلصات'!$T$19)</f>
        <v/>
      </c>
      <c r="R38" s="59">
        <f>IF('[48]سجل المستخلصات'!$V$19="","",'[48]سجل المستخلصات'!$V$19)</f>
        <v/>
      </c>
      <c r="S38" s="59">
        <f>IF('[48]سجل المستخلصات'!$W$19="","",'[48]سجل المستخلصات'!$W$19)</f>
        <v/>
      </c>
      <c r="T38" s="61">
        <f>IF('[48]سجل المستخلصات'!$X$19="","",'[48]سجل المستخلصات'!$X$19)</f>
        <v/>
      </c>
      <c r="U38" s="61">
        <f>IF('[48]سجل المستخلصات'!$Z$19="","",'[48]سجل المستخلصات'!$Z$19)</f>
        <v/>
      </c>
      <c r="V38" s="59">
        <f>IF('[48]سجل المستخلصات'!$AA$19="","",'[48]سجل المستخلصات'!$AA$19)</f>
        <v/>
      </c>
      <c r="W38" s="59">
        <f>IF('[48]سجل المستخلصات'!$AC$19="","",'[48]سجل المستخلصات'!$AC$19)</f>
        <v/>
      </c>
      <c r="X38" s="62">
        <f>IF('[48]سجل المستخلصات'!$AD$19="","",'[48]سجل المستخلصات'!$AD$19)</f>
        <v/>
      </c>
      <c r="Y38" s="58">
        <f>IF('[48]سجل المستخلصات'!$AE$19="","",'[48]سجل المستخلصات'!$AE$19)</f>
        <v/>
      </c>
    </row>
    <row r="39">
      <c r="B39" s="56" t="n">
        <v>15</v>
      </c>
      <c r="C39" s="57">
        <f>IF('[48]سجل المستخلصات'!$C$20="","",'[48]سجل المستخلصات'!$C$20)</f>
        <v/>
      </c>
      <c r="D39" s="57">
        <f>IF('[48]سجل المستخلصات'!$E$20="","",'[48]سجل المستخلصات'!$E$20)</f>
        <v/>
      </c>
      <c r="E39" s="58">
        <f>IF('[48]سجل المستخلصات'!$F$20="","",'[48]سجل المستخلصات'!$F$20)</f>
        <v/>
      </c>
      <c r="F39" s="59">
        <f>IF('[48]سجل المستخلصات'!$H$20="","",'[48]سجل المستخلصات'!$H$20)</f>
        <v/>
      </c>
      <c r="G39" s="59">
        <f>IF('[48]سجل المستخلصات'!$G$20="","",'[48]سجل المستخلصات'!$G$20)</f>
        <v/>
      </c>
      <c r="H39" s="59">
        <f>IF('[48]سجل المستخلصات'!$I$20="","",'[48]سجل المستخلصات'!$I$20)</f>
        <v/>
      </c>
      <c r="I39" s="59">
        <f>IF('[48]سجل المستخلصات'!$J$20="","",'[48]سجل المستخلصات'!$J$20)</f>
        <v/>
      </c>
      <c r="J39" s="59">
        <f>IF('[48]سجل المستخلصات'!$K$20="","",'[48]سجل المستخلصات'!$K$20)</f>
        <v/>
      </c>
      <c r="K39" s="60">
        <f>IF('[48]سجل المستخلصات'!$L$20="","",'[48]سجل المستخلصات'!$L$20)</f>
        <v/>
      </c>
      <c r="L39" s="60">
        <f>IF('[48]سجل المستخلصات'!$M$20="","",'[48]سجل المستخلصات'!$M$20)</f>
        <v/>
      </c>
      <c r="M39" s="60">
        <f>IF('[48]سجل المستخلصات'!$N$20="","",'[48]سجل المستخلصات'!$N$20)</f>
        <v/>
      </c>
      <c r="N39" s="59">
        <f>IF('[48]سجل المستخلصات'!$O$20="","",'[48]سجل المستخلصات'!$O$20)</f>
        <v/>
      </c>
      <c r="O39" s="59">
        <f>IF('[48]سجل المستخلصات'!$R$20="","",'[48]سجل المستخلصات'!$R$20)</f>
        <v/>
      </c>
      <c r="P39" s="59">
        <f>IF('[48]سجل المستخلصات'!$S$20="","",'[48]سجل المستخلصات'!$S$20)</f>
        <v/>
      </c>
      <c r="Q39" s="59">
        <f>IF('[48]سجل المستخلصات'!$T$20="","",'[48]سجل المستخلصات'!$T$20)</f>
        <v/>
      </c>
      <c r="R39" s="59">
        <f>IF('[48]سجل المستخلصات'!$V$20="","",'[48]سجل المستخلصات'!$V$20)</f>
        <v/>
      </c>
      <c r="S39" s="59">
        <f>IF('[48]سجل المستخلصات'!$W$20="","",'[48]سجل المستخلصات'!$W$20)</f>
        <v/>
      </c>
      <c r="T39" s="61">
        <f>IF('[48]سجل المستخلصات'!$X$20="","",'[48]سجل المستخلصات'!$X$20)</f>
        <v/>
      </c>
      <c r="U39" s="61">
        <f>IF('[48]سجل المستخلصات'!$Z$20="","",'[48]سجل المستخلصات'!$Z$20)</f>
        <v/>
      </c>
      <c r="V39" s="59">
        <f>IF('[48]سجل المستخلصات'!$AA$20="","",'[48]سجل المستخلصات'!$AA$20)</f>
        <v/>
      </c>
      <c r="W39" s="59">
        <f>IF('[48]سجل المستخلصات'!$AC$20="","",'[48]سجل المستخلصات'!$AC$20)</f>
        <v/>
      </c>
      <c r="X39" s="62">
        <f>IF('[48]سجل المستخلصات'!$AD$20="","",'[48]سجل المستخلصات'!$AD$20)</f>
        <v/>
      </c>
      <c r="Y39" s="58">
        <f>IF('[48]سجل المستخلصات'!$AE$20="","",'[48]سجل المستخلصات'!$AE$20)</f>
        <v/>
      </c>
    </row>
    <row r="40">
      <c r="B40" s="56" t="n">
        <v>16</v>
      </c>
      <c r="C40" s="57">
        <f>IF('[48]سجل المستخلصات'!$C$21="","",'[48]سجل المستخلصات'!$C$21)</f>
        <v/>
      </c>
      <c r="D40" s="57">
        <f>IF('[48]سجل المستخلصات'!$E$21="","",'[48]سجل المستخلصات'!$E$21)</f>
        <v/>
      </c>
      <c r="E40" s="58">
        <f>IF('[48]سجل المستخلصات'!$F$21="","",'[48]سجل المستخلصات'!$F$21)</f>
        <v/>
      </c>
      <c r="F40" s="59">
        <f>IF('[48]سجل المستخلصات'!$H$21="","",'[48]سجل المستخلصات'!$H$21)</f>
        <v/>
      </c>
      <c r="G40" s="59">
        <f>IF('[48]سجل المستخلصات'!$G$21="","",'[48]سجل المستخلصات'!$G$21)</f>
        <v/>
      </c>
      <c r="H40" s="59">
        <f>IF('[48]سجل المستخلصات'!$I$21="","",'[48]سجل المستخلصات'!$I$21)</f>
        <v/>
      </c>
      <c r="I40" s="59">
        <f>IF('[48]سجل المستخلصات'!$J$21="","",'[48]سجل المستخلصات'!$J$21)</f>
        <v/>
      </c>
      <c r="J40" s="59">
        <f>IF('[48]سجل المستخلصات'!$K$21="","",'[48]سجل المستخلصات'!$K$21)</f>
        <v/>
      </c>
      <c r="K40" s="60">
        <f>IF('[48]سجل المستخلصات'!$L$21="","",'[48]سجل المستخلصات'!$L$21)</f>
        <v/>
      </c>
      <c r="L40" s="60">
        <f>IF('[48]سجل المستخلصات'!$M$21="","",'[48]سجل المستخلصات'!$M$21)</f>
        <v/>
      </c>
      <c r="M40" s="60">
        <f>IF('[48]سجل المستخلصات'!$N$21="","",'[48]سجل المستخلصات'!$N$21)</f>
        <v/>
      </c>
      <c r="N40" s="59">
        <f>IF('[48]سجل المستخلصات'!$O$21="","",'[48]سجل المستخلصات'!$O$21)</f>
        <v/>
      </c>
      <c r="O40" s="59">
        <f>IF('[48]سجل المستخلصات'!$R$21="","",'[48]سجل المستخلصات'!$R$21)</f>
        <v/>
      </c>
      <c r="P40" s="59">
        <f>IF('[48]سجل المستخلصات'!$S$21="","",'[48]سجل المستخلصات'!$S$21)</f>
        <v/>
      </c>
      <c r="Q40" s="59">
        <f>IF('[48]سجل المستخلصات'!$T$21="","",'[48]سجل المستخلصات'!$T$21)</f>
        <v/>
      </c>
      <c r="R40" s="59">
        <f>IF('[48]سجل المستخلصات'!$V$21="","",'[48]سجل المستخلصات'!$V$21)</f>
        <v/>
      </c>
      <c r="S40" s="59">
        <f>IF('[48]سجل المستخلصات'!$W$21="","",'[48]سجل المستخلصات'!$W$21)</f>
        <v/>
      </c>
      <c r="T40" s="61">
        <f>IF('[48]سجل المستخلصات'!$X$21="","",'[48]سجل المستخلصات'!$X$21)</f>
        <v/>
      </c>
      <c r="U40" s="61">
        <f>IF('[48]سجل المستخلصات'!$Z$21="","",'[48]سجل المستخلصات'!$Z$21)</f>
        <v/>
      </c>
      <c r="V40" s="59">
        <f>IF('[48]سجل المستخلصات'!$AA$21="","",'[48]سجل المستخلصات'!$AA$21)</f>
        <v/>
      </c>
      <c r="W40" s="59">
        <f>IF('[48]سجل المستخلصات'!$AC$21="","",'[48]سجل المستخلصات'!$AC$21)</f>
        <v/>
      </c>
      <c r="X40" s="62">
        <f>IF('[48]سجل المستخلصات'!$AD$21="","",'[48]سجل المستخلصات'!$AD$21)</f>
        <v/>
      </c>
      <c r="Y40" s="58">
        <f>IF('[48]سجل المستخلصات'!$AE$21="","",'[48]سجل المستخلصات'!$AE$21)</f>
        <v/>
      </c>
    </row>
    <row r="41">
      <c r="B41" s="56" t="n">
        <v>17</v>
      </c>
      <c r="C41" s="57">
        <f>IF('[48]سجل المستخلصات'!$C$22="","",'[48]سجل المستخلصات'!$C$22)</f>
        <v/>
      </c>
      <c r="D41" s="57">
        <f>IF('[48]سجل المستخلصات'!$E$22="","",'[48]سجل المستخلصات'!$E$22)</f>
        <v/>
      </c>
      <c r="E41" s="58">
        <f>IF('[48]سجل المستخلصات'!$F$22="","",'[48]سجل المستخلصات'!$F$22)</f>
        <v/>
      </c>
      <c r="F41" s="59">
        <f>IF('[48]سجل المستخلصات'!$H$22="","",'[48]سجل المستخلصات'!$H$22)</f>
        <v/>
      </c>
      <c r="G41" s="59">
        <f>IF('[48]سجل المستخلصات'!$G$22="","",'[48]سجل المستخلصات'!$G$22)</f>
        <v/>
      </c>
      <c r="H41" s="59">
        <f>IF('[48]سجل المستخلصات'!$I$22="","",'[48]سجل المستخلصات'!$I$22)</f>
        <v/>
      </c>
      <c r="I41" s="59">
        <f>IF('[48]سجل المستخلصات'!$J$22="","",'[48]سجل المستخلصات'!$J$22)</f>
        <v/>
      </c>
      <c r="J41" s="59">
        <f>IF('[48]سجل المستخلصات'!$K$22="","",'[48]سجل المستخلصات'!$K$22)</f>
        <v/>
      </c>
      <c r="K41" s="60">
        <f>IF('[48]سجل المستخلصات'!$L$22="","",'[48]سجل المستخلصات'!$L$22)</f>
        <v/>
      </c>
      <c r="L41" s="60">
        <f>IF('[48]سجل المستخلصات'!$M$22="","",'[48]سجل المستخلصات'!$M$22)</f>
        <v/>
      </c>
      <c r="M41" s="60">
        <f>IF('[48]سجل المستخلصات'!$N$22="","",'[48]سجل المستخلصات'!$N$22)</f>
        <v/>
      </c>
      <c r="N41" s="59">
        <f>IF('[48]سجل المستخلصات'!$O$22="","",'[48]سجل المستخلصات'!$O$22)</f>
        <v/>
      </c>
      <c r="O41" s="59">
        <f>IF('[48]سجل المستخلصات'!$R$22="","",'[48]سجل المستخلصات'!$R$22)</f>
        <v/>
      </c>
      <c r="P41" s="59">
        <f>IF('[48]سجل المستخلصات'!$S$22="","",'[48]سجل المستخلصات'!$S$22)</f>
        <v/>
      </c>
      <c r="Q41" s="59">
        <f>IF('[48]سجل المستخلصات'!$T$22="","",'[48]سجل المستخلصات'!$T$22)</f>
        <v/>
      </c>
      <c r="R41" s="59">
        <f>IF('[48]سجل المستخلصات'!$V$22="","",'[48]سجل المستخلصات'!$V$22)</f>
        <v/>
      </c>
      <c r="S41" s="59">
        <f>IF('[48]سجل المستخلصات'!$W$22="","",'[48]سجل المستخلصات'!$W$22)</f>
        <v/>
      </c>
      <c r="T41" s="61">
        <f>IF('[48]سجل المستخلصات'!$X$22="","",'[48]سجل المستخلصات'!$X$22)</f>
        <v/>
      </c>
      <c r="U41" s="61">
        <f>IF('[48]سجل المستخلصات'!$Z$22="","",'[48]سجل المستخلصات'!$Z$22)</f>
        <v/>
      </c>
      <c r="V41" s="59">
        <f>IF('[48]سجل المستخلصات'!$AA$22="","",'[48]سجل المستخلصات'!$AA$22)</f>
        <v/>
      </c>
      <c r="W41" s="59">
        <f>IF('[48]سجل المستخلصات'!$AC$22="","",'[48]سجل المستخلصات'!$AC$22)</f>
        <v/>
      </c>
      <c r="X41" s="62">
        <f>IF('[48]سجل المستخلصات'!$AD$22="","",'[48]سجل المستخلصات'!$AD$22)</f>
        <v/>
      </c>
      <c r="Y41" s="58">
        <f>IF('[48]سجل المستخلصات'!$AE$22="","",'[48]سجل المستخلصات'!$AE$22)</f>
        <v/>
      </c>
    </row>
    <row r="42">
      <c r="B42" s="56" t="n">
        <v>18</v>
      </c>
      <c r="C42" s="57">
        <f>IF('[48]سجل المستخلصات'!$C$23="","",'[48]سجل المستخلصات'!$C$23)</f>
        <v/>
      </c>
      <c r="D42" s="57">
        <f>IF('[48]سجل المستخلصات'!$E$23="","",'[48]سجل المستخلصات'!$E$23)</f>
        <v/>
      </c>
      <c r="E42" s="58">
        <f>IF('[48]سجل المستخلصات'!$F$23="","",'[48]سجل المستخلصات'!$F$23)</f>
        <v/>
      </c>
      <c r="F42" s="59">
        <f>IF('[48]سجل المستخلصات'!$H$23="","",'[48]سجل المستخلصات'!$H$23)</f>
        <v/>
      </c>
      <c r="G42" s="59">
        <f>IF('[48]سجل المستخلصات'!$G$23="","",'[48]سجل المستخلصات'!$G$23)</f>
        <v/>
      </c>
      <c r="H42" s="59">
        <f>IF('[48]سجل المستخلصات'!$I$23="","",'[48]سجل المستخلصات'!$I$23)</f>
        <v/>
      </c>
      <c r="I42" s="59">
        <f>IF('[48]سجل المستخلصات'!$J$23="","",'[48]سجل المستخلصات'!$J$23)</f>
        <v/>
      </c>
      <c r="J42" s="59">
        <f>IF('[48]سجل المستخلصات'!$K$23="","",'[48]سجل المستخلصات'!$K$23)</f>
        <v/>
      </c>
      <c r="K42" s="60">
        <f>IF('[48]سجل المستخلصات'!$L$23="","",'[48]سجل المستخلصات'!$L$23)</f>
        <v/>
      </c>
      <c r="L42" s="60">
        <f>IF('[48]سجل المستخلصات'!$M$23="","",'[48]سجل المستخلصات'!$M$23)</f>
        <v/>
      </c>
      <c r="M42" s="60">
        <f>IF('[48]سجل المستخلصات'!$N$23="","",'[48]سجل المستخلصات'!$N$23)</f>
        <v/>
      </c>
      <c r="N42" s="59">
        <f>IF('[48]سجل المستخلصات'!$O$23="","",'[48]سجل المستخلصات'!$O$23)</f>
        <v/>
      </c>
      <c r="O42" s="59">
        <f>IF('[48]سجل المستخلصات'!$R$23="","",'[48]سجل المستخلصات'!$R$23)</f>
        <v/>
      </c>
      <c r="P42" s="59">
        <f>IF('[48]سجل المستخلصات'!$S$23="","",'[48]سجل المستخلصات'!$S$23)</f>
        <v/>
      </c>
      <c r="Q42" s="59">
        <f>IF('[48]سجل المستخلصات'!$T$23="","",'[48]سجل المستخلصات'!$T$23)</f>
        <v/>
      </c>
      <c r="R42" s="59">
        <f>IF('[48]سجل المستخلصات'!$V$23="","",'[48]سجل المستخلصات'!$V$23)</f>
        <v/>
      </c>
      <c r="S42" s="59">
        <f>IF('[48]سجل المستخلصات'!$W$23="","",'[48]سجل المستخلصات'!$W$23)</f>
        <v/>
      </c>
      <c r="T42" s="61">
        <f>IF('[48]سجل المستخلصات'!$X$23="","",'[48]سجل المستخلصات'!$X$23)</f>
        <v/>
      </c>
      <c r="U42" s="61">
        <f>IF('[48]سجل المستخلصات'!$Z$23="","",'[48]سجل المستخلصات'!$Z$23)</f>
        <v/>
      </c>
      <c r="V42" s="59">
        <f>IF('[48]سجل المستخلصات'!$AA$23="","",'[48]سجل المستخلصات'!$AA$23)</f>
        <v/>
      </c>
      <c r="W42" s="59">
        <f>IF('[48]سجل المستخلصات'!$AC$23="","",'[48]سجل المستخلصات'!$AC$23)</f>
        <v/>
      </c>
      <c r="X42" s="62">
        <f>IF('[48]سجل المستخلصات'!$AD$23="","",'[48]سجل المستخلصات'!$AD$23)</f>
        <v/>
      </c>
      <c r="Y42" s="58">
        <f>IF('[48]سجل المستخلصات'!$AE$23="","",'[48]سجل المستخلصات'!$AE$23)</f>
        <v/>
      </c>
    </row>
    <row r="43">
      <c r="B43" s="56" t="n">
        <v>19</v>
      </c>
      <c r="C43" s="57">
        <f>IF('[48]سجل المستخلصات'!$C$24="","",'[48]سجل المستخلصات'!$C$24)</f>
        <v/>
      </c>
      <c r="D43" s="57">
        <f>IF('[48]سجل المستخلصات'!$E$24="","",'[48]سجل المستخلصات'!$E$24)</f>
        <v/>
      </c>
      <c r="E43" s="58">
        <f>IF('[48]سجل المستخلصات'!$F$24="","",'[48]سجل المستخلصات'!$F$24)</f>
        <v/>
      </c>
      <c r="F43" s="59">
        <f>IF('[48]سجل المستخلصات'!$H$24="","",'[48]سجل المستخلصات'!$H$24)</f>
        <v/>
      </c>
      <c r="G43" s="59">
        <f>IF('[48]سجل المستخلصات'!$G$24="","",'[48]سجل المستخلصات'!$G$24)</f>
        <v/>
      </c>
      <c r="H43" s="59">
        <f>IF('[48]سجل المستخلصات'!$I$24="","",'[48]سجل المستخلصات'!$I$24)</f>
        <v/>
      </c>
      <c r="I43" s="59">
        <f>IF('[48]سجل المستخلصات'!$J$24="","",'[48]سجل المستخلصات'!$J$24)</f>
        <v/>
      </c>
      <c r="J43" s="59">
        <f>IF('[48]سجل المستخلصات'!$K$24="","",'[48]سجل المستخلصات'!$K$24)</f>
        <v/>
      </c>
      <c r="K43" s="60">
        <f>IF('[48]سجل المستخلصات'!$L$24="","",'[48]سجل المستخلصات'!$L$24)</f>
        <v/>
      </c>
      <c r="L43" s="60">
        <f>IF('[48]سجل المستخلصات'!$M$24="","",'[48]سجل المستخلصات'!$M$24)</f>
        <v/>
      </c>
      <c r="M43" s="60">
        <f>IF('[48]سجل المستخلصات'!$N$24="","",'[48]سجل المستخلصات'!$N$24)</f>
        <v/>
      </c>
      <c r="N43" s="59">
        <f>IF('[48]سجل المستخلصات'!$O$24="","",'[48]سجل المستخلصات'!$O$24)</f>
        <v/>
      </c>
      <c r="O43" s="59">
        <f>IF('[48]سجل المستخلصات'!$R$24="","",'[48]سجل المستخلصات'!$R$24)</f>
        <v/>
      </c>
      <c r="P43" s="59">
        <f>IF('[48]سجل المستخلصات'!$S$24="","",'[48]سجل المستخلصات'!$S$24)</f>
        <v/>
      </c>
      <c r="Q43" s="59">
        <f>IF('[48]سجل المستخلصات'!$T$24="","",'[48]سجل المستخلصات'!$T$24)</f>
        <v/>
      </c>
      <c r="R43" s="59">
        <f>IF('[48]سجل المستخلصات'!$V$24="","",'[48]سجل المستخلصات'!$V$24)</f>
        <v/>
      </c>
      <c r="S43" s="59">
        <f>IF('[48]سجل المستخلصات'!$W$24="","",'[48]سجل المستخلصات'!$W$24)</f>
        <v/>
      </c>
      <c r="T43" s="61">
        <f>IF('[48]سجل المستخلصات'!$X$24="","",'[48]سجل المستخلصات'!$X$24)</f>
        <v/>
      </c>
      <c r="U43" s="61">
        <f>IF('[48]سجل المستخلصات'!$Z$24="","",'[48]سجل المستخلصات'!$Z$24)</f>
        <v/>
      </c>
      <c r="V43" s="59">
        <f>IF('[48]سجل المستخلصات'!$AA$24="","",'[48]سجل المستخلصات'!$AA$24)</f>
        <v/>
      </c>
      <c r="W43" s="59">
        <f>IF('[48]سجل المستخلصات'!$AC$24="","",'[48]سجل المستخلصات'!$AC$24)</f>
        <v/>
      </c>
      <c r="X43" s="62">
        <f>IF('[48]سجل المستخلصات'!$AD$24="","",'[48]سجل المستخلصات'!$AD$24)</f>
        <v/>
      </c>
      <c r="Y43" s="58">
        <f>IF('[48]سجل المستخلصات'!$AE$24="","",'[48]سجل المستخلصات'!$AE$24)</f>
        <v/>
      </c>
    </row>
    <row r="44">
      <c r="B44" s="56" t="n">
        <v>20</v>
      </c>
      <c r="C44" s="57">
        <f>IF('[48]سجل المستخلصات'!$C$25="","",'[48]سجل المستخلصات'!$C$25)</f>
        <v/>
      </c>
      <c r="D44" s="57">
        <f>IF('[48]سجل المستخلصات'!$E$25="","",'[48]سجل المستخلصات'!$E$25)</f>
        <v/>
      </c>
      <c r="E44" s="58">
        <f>IF('[48]سجل المستخلصات'!$F$25="","",'[48]سجل المستخلصات'!$F$25)</f>
        <v/>
      </c>
      <c r="F44" s="59">
        <f>IF('[48]سجل المستخلصات'!$H$25="","",'[48]سجل المستخلصات'!$H$25)</f>
        <v/>
      </c>
      <c r="G44" s="59">
        <f>IF('[48]سجل المستخلصات'!$G$25="","",'[48]سجل المستخلصات'!$G$25)</f>
        <v/>
      </c>
      <c r="H44" s="59">
        <f>IF('[48]سجل المستخلصات'!$I$25="","",'[48]سجل المستخلصات'!$I$25)</f>
        <v/>
      </c>
      <c r="I44" s="59">
        <f>IF('[48]سجل المستخلصات'!$J$25="","",'[48]سجل المستخلصات'!$J$25)</f>
        <v/>
      </c>
      <c r="J44" s="59">
        <f>IF('[48]سجل المستخلصات'!$K$25="","",'[48]سجل المستخلصات'!$K$25)</f>
        <v/>
      </c>
      <c r="K44" s="60">
        <f>IF('[48]سجل المستخلصات'!$L$25="","",'[48]سجل المستخلصات'!$L$25)</f>
        <v/>
      </c>
      <c r="L44" s="60">
        <f>IF('[48]سجل المستخلصات'!$M$25="","",'[48]سجل المستخلصات'!$M$25)</f>
        <v/>
      </c>
      <c r="M44" s="60">
        <f>IF('[48]سجل المستخلصات'!$N$25="","",'[48]سجل المستخلصات'!$N$25)</f>
        <v/>
      </c>
      <c r="N44" s="59">
        <f>IF('[48]سجل المستخلصات'!$O$25="","",'[48]سجل المستخلصات'!$O$25)</f>
        <v/>
      </c>
      <c r="O44" s="59">
        <f>IF('[48]سجل المستخلصات'!$R$25="","",'[48]سجل المستخلصات'!$R$25)</f>
        <v/>
      </c>
      <c r="P44" s="59">
        <f>IF('[48]سجل المستخلصات'!$S$25="","",'[48]سجل المستخلصات'!$S$25)</f>
        <v/>
      </c>
      <c r="Q44" s="59">
        <f>IF('[48]سجل المستخلصات'!$T$25="","",'[48]سجل المستخلصات'!$T$25)</f>
        <v/>
      </c>
      <c r="R44" s="59">
        <f>IF('[48]سجل المستخلصات'!$V$25="","",'[48]سجل المستخلصات'!$V$25)</f>
        <v/>
      </c>
      <c r="S44" s="59">
        <f>IF('[48]سجل المستخلصات'!$W$25="","",'[48]سجل المستخلصات'!$W$25)</f>
        <v/>
      </c>
      <c r="T44" s="61">
        <f>IF('[48]سجل المستخلصات'!$X$25="","",'[48]سجل المستخلصات'!$X$25)</f>
        <v/>
      </c>
      <c r="U44" s="61">
        <f>IF('[48]سجل المستخلصات'!$Z$25="","",'[48]سجل المستخلصات'!$Z$25)</f>
        <v/>
      </c>
      <c r="V44" s="59">
        <f>IF('[48]سجل المستخلصات'!$AA$25="","",'[48]سجل المستخلصات'!$AA$25)</f>
        <v/>
      </c>
      <c r="W44" s="59">
        <f>IF('[48]سجل المستخلصات'!$AC$25="","",'[48]سجل المستخلصات'!$AC$25)</f>
        <v/>
      </c>
      <c r="X44" s="62">
        <f>IF('[48]سجل المستخلصات'!$AD$25="","",'[48]سجل المستخلصات'!$AD$25)</f>
        <v/>
      </c>
      <c r="Y44" s="58">
        <f>IF('[48]سجل المستخلصات'!$AE$25="","",'[48]سجل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IF('[48]سجل المستخلصات'!$B$32="","",'[48]سجل المستخلصات'!$B$32)</f>
        <v/>
      </c>
      <c r="C50" s="69" t="n"/>
      <c r="D50" s="69" t="n"/>
      <c r="E50" s="59">
        <f>N('[48]سجل المستخلصات'!$E$32)</f>
        <v/>
      </c>
      <c r="F50" s="59">
        <f>N('[48]سجل المستخلصات'!$F$32)</f>
        <v/>
      </c>
      <c r="G50" s="70">
        <f>IF(E50&gt;0,F50/E50,0)</f>
        <v/>
      </c>
    </row>
    <row r="51">
      <c r="B51" s="69">
        <f>IF('[48]سجل المستخلصات'!$B$33="","",'[48]سجل المستخلصات'!$B$33)</f>
        <v/>
      </c>
      <c r="C51" s="69" t="n"/>
      <c r="D51" s="69" t="n"/>
      <c r="E51" s="59">
        <f>N('[48]سجل المستخلصات'!$E$33)</f>
        <v/>
      </c>
      <c r="F51" s="59">
        <f>N('[48]سجل المستخلصات'!$F$33)</f>
        <v/>
      </c>
      <c r="G51" s="70">
        <f>IF(E51&gt;0,F51/E51,0)</f>
        <v/>
      </c>
    </row>
    <row r="52">
      <c r="B52" s="69">
        <f>IF('[48]سجل المستخلصات'!$B$34="","",'[48]سجل المستخلصات'!$B$34)</f>
        <v/>
      </c>
      <c r="C52" s="69" t="n"/>
      <c r="D52" s="69" t="n"/>
      <c r="E52" s="59">
        <f>N('[48]سجل المستخلصات'!$E$34)</f>
        <v/>
      </c>
      <c r="F52" s="59">
        <f>N('[48]سجل المستخلصات'!$F$34)</f>
        <v/>
      </c>
      <c r="G52" s="70">
        <f>IF(E52&gt;0,F52/E52,0)</f>
        <v/>
      </c>
    </row>
    <row r="53">
      <c r="B53" s="69">
        <f>IF('[48]سجل المستخلصات'!$B$35="","",'[48]سجل المستخلصات'!$B$35)</f>
        <v/>
      </c>
      <c r="C53" s="69" t="n"/>
      <c r="D53" s="69" t="n"/>
      <c r="E53" s="59">
        <f>N('[48]سجل المستخلصات'!$E$35)</f>
        <v/>
      </c>
      <c r="F53" s="59">
        <f>N('[48]سجل المستخلصات'!$F$35)</f>
        <v/>
      </c>
      <c r="G53" s="70">
        <f>IF(E53&gt;0,F53/E53,0)</f>
        <v/>
      </c>
    </row>
    <row r="54">
      <c r="B54" s="69">
        <f>IF('[48]سجل المستخلصات'!$B$36="","",'[48]سجل المستخلصات'!$B$36)</f>
        <v/>
      </c>
      <c r="C54" s="69" t="n"/>
      <c r="D54" s="69" t="n"/>
      <c r="E54" s="59">
        <f>N('[48]سجل المستخلصات'!$E$36)</f>
        <v/>
      </c>
      <c r="F54" s="59">
        <f>N('[48]سجل المستخلصات'!$F$36)</f>
        <v/>
      </c>
      <c r="G54" s="70">
        <f>IF(E54&gt;0,F54/E54,0)</f>
        <v/>
      </c>
    </row>
    <row r="55">
      <c r="B55" s="69">
        <f>IF('[48]سجل المستخلصات'!$B$37="","",'[48]سجل المستخلصات'!$B$37)</f>
        <v/>
      </c>
      <c r="C55" s="69" t="n"/>
      <c r="D55" s="69" t="n"/>
      <c r="E55" s="59">
        <f>N('[48]سجل المستخلصات'!$E$37)</f>
        <v/>
      </c>
      <c r="F55" s="59">
        <f>N('[48]سجل المستخلصات'!$F$37)</f>
        <v/>
      </c>
      <c r="G55" s="70">
        <f>IF(E55&gt;0,F55/E55,0)</f>
        <v/>
      </c>
    </row>
    <row r="56">
      <c r="B56" s="69">
        <f>IF('[48]سجل المستخلصات'!$B$38="","",'[48]سجل المستخلصات'!$B$38)</f>
        <v/>
      </c>
      <c r="C56" s="69" t="n"/>
      <c r="D56" s="69" t="n"/>
      <c r="E56" s="59">
        <f>N('[48]سجل المستخلصات'!$E$38)</f>
        <v/>
      </c>
      <c r="F56" s="59">
        <f>N('[48]سجل المستخلصات'!$F$38)</f>
        <v/>
      </c>
      <c r="G56" s="70">
        <f>IF(E56&gt;0,F56/E56,0)</f>
        <v/>
      </c>
    </row>
    <row r="57">
      <c r="B57" s="69">
        <f>IF('[48]سجل المستخلصات'!$B$39="","",'[48]سجل المستخلصات'!$B$39)</f>
        <v/>
      </c>
      <c r="C57" s="69" t="n"/>
      <c r="D57" s="69" t="n"/>
      <c r="E57" s="59">
        <f>N('[48]سجل المستخلصات'!$E$39)</f>
        <v/>
      </c>
      <c r="F57" s="59">
        <f>N('[48]سجل المستخلصات'!$F$39)</f>
        <v/>
      </c>
      <c r="G57" s="70">
        <f>IF(E57&gt;0,F57/E57,0)</f>
        <v/>
      </c>
    </row>
    <row r="58">
      <c r="B58" s="69">
        <f>IF('[48]سجل المستخلصات'!$B$40="","",'[48]سجل المستخلصات'!$B$40)</f>
        <v/>
      </c>
      <c r="C58" s="69" t="n"/>
      <c r="D58" s="69" t="n"/>
      <c r="E58" s="59">
        <f>N('[48]سجل المستخلصات'!$E$40)</f>
        <v/>
      </c>
      <c r="F58" s="59">
        <f>N('[48]سجل المستخلصات'!$F$40)</f>
        <v/>
      </c>
      <c r="G58" s="70">
        <f>IF(E58&gt;0,F58/E58,0)</f>
        <v/>
      </c>
    </row>
    <row r="59">
      <c r="B59" s="69">
        <f>IF('[48]سجل المستخلصات'!$B$41="","",'[48]سجل المستخلصات'!$B$41)</f>
        <v/>
      </c>
      <c r="C59" s="69" t="n"/>
      <c r="D59" s="69" t="n"/>
      <c r="E59" s="59">
        <f>N('[48]سجل المستخلصات'!$E$41)</f>
        <v/>
      </c>
      <c r="F59" s="59">
        <f>N('[48]سجل المستخلصات'!$F$41)</f>
        <v/>
      </c>
      <c r="G59" s="70">
        <f>IF(E59&gt;0,F59/E59,0)</f>
        <v/>
      </c>
    </row>
    <row r="60">
      <c r="B60" s="69">
        <f>IF('[48]سجل المستخلصات'!$B$42="","",'[48]سجل المستخلصات'!$B$42)</f>
        <v/>
      </c>
      <c r="C60" s="69" t="n"/>
      <c r="D60" s="69" t="n"/>
      <c r="E60" s="59">
        <f>N('[48]سجل المستخلصات'!$E$42)</f>
        <v/>
      </c>
      <c r="F60" s="59">
        <f>N('[48]سجل المستخلصات'!$F$42)</f>
        <v/>
      </c>
      <c r="G60" s="70">
        <f>IF(E60&gt;0,F60/E60,0)</f>
        <v/>
      </c>
    </row>
    <row r="61">
      <c r="B61" s="69">
        <f>IF('[48]سجل المستخلصات'!$B$43="","",'[48]سجل المستخلصات'!$B$43)</f>
        <v/>
      </c>
      <c r="C61" s="69" t="n"/>
      <c r="D61" s="69" t="n"/>
      <c r="E61" s="59">
        <f>N('[48]سجل المستخلصات'!$E$43)</f>
        <v/>
      </c>
      <c r="F61" s="59">
        <f>N('[48]سجل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47'!A1" display="◄ المشروع السابق"/>
    <hyperlink ref="D3" location="'مشروع 49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5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"&amp;IF('[49]بيانات العقد'!$C$5="","مشروع رقم 49 — غير مُفعّل",'[49]بيانات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D3" s="4" t="inlineStr">
        <is>
          <t>المشروع التالي ►</t>
        </is>
      </c>
      <c r="F3" s="12" t="inlineStr">
        <is>
          <t>📂 فتح ملف المستخلصات: Project_49/IPC_Project_49.xlsx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IF('[49]بيانات العقد'!$C$5="","",'[49]بيانات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IF('[49]بيانات العقد'!$C$6="","",'[49]بيانات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IF('[49]بيانات العقد'!$C$7="","",'[49]بيانات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IF('[49]بيانات العقد'!$C$8="","",'[49]بيانات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N('[49]بيانات العقد'!$C$16)</f>
        <v/>
      </c>
    </row>
    <row r="6" ht="22" customHeight="1">
      <c r="B6" s="11" t="inlineStr">
        <is>
          <t>المقاول</t>
        </is>
      </c>
      <c r="C6" s="14">
        <f>IF('[49]بيانات العقد'!$C$9="","",'[49]بيانات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IF('[49]بيانات العقد'!$C$11="","",'[49]بيانات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IF('[49]بيانات العقد'!$C$13="","",'[49]بيانات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IF('[49]بيانات العقد'!$C$14="","",'[49]بيانات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N('[49]بيانات العقد'!$C$17)</f>
        <v/>
      </c>
    </row>
    <row r="7">
      <c r="AA7" s="15" t="inlineStr">
        <is>
          <t>قيمة العقد المعدلة</t>
        </is>
      </c>
      <c r="AB7" s="16">
        <f>N('[49]بيانات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N('[49]بيانات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N('[49]بيانات العقد'!$C$21)</f>
        <v/>
      </c>
    </row>
    <row r="10">
      <c r="AA10" s="15" t="inlineStr">
        <is>
          <t>نسبة ضمان الأعمال</t>
        </is>
      </c>
      <c r="AB10" s="23">
        <f>N('[49]بيانات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N('[49]بيانات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N('[49]بيانات العقد'!$C$31)</f>
        <v/>
      </c>
    </row>
    <row r="13">
      <c r="AA13" s="15" t="inlineStr">
        <is>
          <t>ضريبة الاستقطاع (غير المقيم)</t>
        </is>
      </c>
      <c r="AB13" s="23">
        <f>N('[49]بيانات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IF('[49]بيانات العقد'!$C$11="","",'[49]بيانات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IF('[49]بيانات العقد'!$C$13="","",'[49]بيانات العقد'!$C$13)</f>
        <v/>
      </c>
    </row>
    <row r="16">
      <c r="AA16" s="15" t="inlineStr">
        <is>
          <t>المدة (شهر)</t>
        </is>
      </c>
      <c r="AB16" s="43">
        <f>IF('[49]بيانات العقد'!$C$12="","",'[49]بيانات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IF('[49]بيانات العقد'!$C$36="","",'[49]بيانات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IF('[49]بيانات العقد'!$C$37="","",'[49]بيانات العقد'!$C$37)</f>
        <v/>
      </c>
    </row>
    <row r="19">
      <c r="AA19" s="15" t="inlineStr">
        <is>
          <t>الرقم الضريبي لصاحب العمل</t>
        </is>
      </c>
      <c r="AB19" s="48">
        <f>IF('[49]بيانات العقد'!$C$39="","",'[49]بيانات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IF('[49]بيانات العقد'!$C$42="","",'[49]بيانات العقد'!$C$42)</f>
        <v/>
      </c>
    </row>
    <row r="21" ht="32" customHeight="1">
      <c r="B21" s="50">
        <f>N('[49]الموازنة والتكاليف'!$D$66)</f>
        <v/>
      </c>
      <c r="C21" s="50" t="n"/>
      <c r="D21" s="50" t="n"/>
      <c r="E21" s="50" t="n"/>
      <c r="F21" s="50">
        <f>N('[49]الموازنة والتكاليف'!$D$70)</f>
        <v/>
      </c>
      <c r="G21" s="50" t="n"/>
      <c r="H21" s="50" t="n"/>
      <c r="I21" s="50" t="n"/>
      <c r="J21" s="50">
        <f>N('[49]الموازنة والتكاليف'!$D$72)</f>
        <v/>
      </c>
      <c r="K21" s="50" t="n"/>
      <c r="L21" s="50" t="n"/>
      <c r="M21" s="50" t="n"/>
      <c r="N21" s="51">
        <f>N('[49]الموازنة والتكاليف'!$D$73)</f>
        <v/>
      </c>
      <c r="O21" s="51" t="n"/>
      <c r="P21" s="51" t="n"/>
      <c r="Q21" s="51" t="n"/>
      <c r="R21" s="52">
        <f>N('[49]الموازنة والتكاليف'!$D$74)</f>
        <v/>
      </c>
      <c r="S21" s="52" t="n"/>
      <c r="T21" s="52" t="n"/>
      <c r="U21" s="52" t="n"/>
      <c r="V21" s="50">
        <f>N('[49]الموازنة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IF('[49]بيانات العقد'!$C$43="","",'[49]بيانات العقد'!$C$43)</f>
        <v/>
      </c>
    </row>
    <row r="22">
      <c r="AA22" s="15" t="inlineStr">
        <is>
          <t>حالة غرامات التأخير</t>
        </is>
      </c>
      <c r="AB22" s="45">
        <f>IF('[49]بيانات العقد'!$C$47="","",'[49]بيانات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IF('[49]سجل المستخلصات'!$C$6="","",'[49]سجل المستخلصات'!$C$6)</f>
        <v/>
      </c>
      <c r="D25" s="57">
        <f>IF('[49]سجل المستخلصات'!$E$6="","",'[49]سجل المستخلصات'!$E$6)</f>
        <v/>
      </c>
      <c r="E25" s="58">
        <f>IF('[49]سجل المستخلصات'!$F$6="","",'[49]سجل المستخلصات'!$F$6)</f>
        <v/>
      </c>
      <c r="F25" s="59">
        <f>IF('[49]سجل المستخلصات'!$H$6="","",'[49]سجل المستخلصات'!$H$6)</f>
        <v/>
      </c>
      <c r="G25" s="59">
        <f>IF('[49]سجل المستخلصات'!$G$6="","",'[49]سجل المستخلصات'!$G$6)</f>
        <v/>
      </c>
      <c r="H25" s="59">
        <f>IF('[49]سجل المستخلصات'!$I$6="","",'[49]سجل المستخلصات'!$I$6)</f>
        <v/>
      </c>
      <c r="I25" s="59">
        <f>IF('[49]سجل المستخلصات'!$J$6="","",'[49]سجل المستخلصات'!$J$6)</f>
        <v/>
      </c>
      <c r="J25" s="59">
        <f>IF('[49]سجل المستخلصات'!$K$6="","",'[49]سجل المستخلصات'!$K$6)</f>
        <v/>
      </c>
      <c r="K25" s="60">
        <f>IF('[49]سجل المستخلصات'!$L$6="","",'[49]سجل المستخلصات'!$L$6)</f>
        <v/>
      </c>
      <c r="L25" s="60">
        <f>IF('[49]سجل المستخلصات'!$M$6="","",'[49]سجل المستخلصات'!$M$6)</f>
        <v/>
      </c>
      <c r="M25" s="60">
        <f>IF('[49]سجل المستخلصات'!$N$6="","",'[49]سجل المستخلصات'!$N$6)</f>
        <v/>
      </c>
      <c r="N25" s="59">
        <f>IF('[49]سجل المستخلصات'!$O$6="","",'[49]سجل المستخلصات'!$O$6)</f>
        <v/>
      </c>
      <c r="O25" s="59">
        <f>IF('[49]سجل المستخلصات'!$R$6="","",'[49]سجل المستخلصات'!$R$6)</f>
        <v/>
      </c>
      <c r="P25" s="59">
        <f>IF('[49]سجل المستخلصات'!$S$6="","",'[49]سجل المستخلصات'!$S$6)</f>
        <v/>
      </c>
      <c r="Q25" s="59">
        <f>IF('[49]سجل المستخلصات'!$T$6="","",'[49]سجل المستخلصات'!$T$6)</f>
        <v/>
      </c>
      <c r="R25" s="59">
        <f>IF('[49]سجل المستخلصات'!$V$6="","",'[49]سجل المستخلصات'!$V$6)</f>
        <v/>
      </c>
      <c r="S25" s="59">
        <f>IF('[49]سجل المستخلصات'!$W$6="","",'[49]سجل المستخلصات'!$W$6)</f>
        <v/>
      </c>
      <c r="T25" s="61">
        <f>IF('[49]سجل المستخلصات'!$X$6="","",'[49]سجل المستخلصات'!$X$6)</f>
        <v/>
      </c>
      <c r="U25" s="61">
        <f>IF('[49]سجل المستخلصات'!$Z$6="","",'[49]سجل المستخلصات'!$Z$6)</f>
        <v/>
      </c>
      <c r="V25" s="59">
        <f>IF('[49]سجل المستخلصات'!$AA$6="","",'[49]سجل المستخلصات'!$AA$6)</f>
        <v/>
      </c>
      <c r="W25" s="59">
        <f>IF('[49]سجل المستخلصات'!$AC$6="","",'[49]سجل المستخلصات'!$AC$6)</f>
        <v/>
      </c>
      <c r="X25" s="62">
        <f>IF('[49]سجل المستخلصات'!$AD$6="","",'[49]سجل المستخلصات'!$AD$6)</f>
        <v/>
      </c>
      <c r="Y25" s="58">
        <f>IF('[49]سجل المستخلصات'!$AE$6="","",'[49]سجل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IF('[49]سجل المستخلصات'!$C$7="","",'[49]سجل المستخلصات'!$C$7)</f>
        <v/>
      </c>
      <c r="D26" s="57">
        <f>IF('[49]سجل المستخلصات'!$E$7="","",'[49]سجل المستخلصات'!$E$7)</f>
        <v/>
      </c>
      <c r="E26" s="58">
        <f>IF('[49]سجل المستخلصات'!$F$7="","",'[49]سجل المستخلصات'!$F$7)</f>
        <v/>
      </c>
      <c r="F26" s="59">
        <f>IF('[49]سجل المستخلصات'!$H$7="","",'[49]سجل المستخلصات'!$H$7)</f>
        <v/>
      </c>
      <c r="G26" s="59">
        <f>IF('[49]سجل المستخلصات'!$G$7="","",'[49]سجل المستخلصات'!$G$7)</f>
        <v/>
      </c>
      <c r="H26" s="59">
        <f>IF('[49]سجل المستخلصات'!$I$7="","",'[49]سجل المستخلصات'!$I$7)</f>
        <v/>
      </c>
      <c r="I26" s="59">
        <f>IF('[49]سجل المستخلصات'!$J$7="","",'[49]سجل المستخلصات'!$J$7)</f>
        <v/>
      </c>
      <c r="J26" s="59">
        <f>IF('[49]سجل المستخلصات'!$K$7="","",'[49]سجل المستخلصات'!$K$7)</f>
        <v/>
      </c>
      <c r="K26" s="60">
        <f>IF('[49]سجل المستخلصات'!$L$7="","",'[49]سجل المستخلصات'!$L$7)</f>
        <v/>
      </c>
      <c r="L26" s="60">
        <f>IF('[49]سجل المستخلصات'!$M$7="","",'[49]سجل المستخلصات'!$M$7)</f>
        <v/>
      </c>
      <c r="M26" s="60">
        <f>IF('[49]سجل المستخلصات'!$N$7="","",'[49]سجل المستخلصات'!$N$7)</f>
        <v/>
      </c>
      <c r="N26" s="59">
        <f>IF('[49]سجل المستخلصات'!$O$7="","",'[49]سجل المستخلصات'!$O$7)</f>
        <v/>
      </c>
      <c r="O26" s="59">
        <f>IF('[49]سجل المستخلصات'!$R$7="","",'[49]سجل المستخلصات'!$R$7)</f>
        <v/>
      </c>
      <c r="P26" s="59">
        <f>IF('[49]سجل المستخلصات'!$S$7="","",'[49]سجل المستخلصات'!$S$7)</f>
        <v/>
      </c>
      <c r="Q26" s="59">
        <f>IF('[49]سجل المستخلصات'!$T$7="","",'[49]سجل المستخلصات'!$T$7)</f>
        <v/>
      </c>
      <c r="R26" s="59">
        <f>IF('[49]سجل المستخلصات'!$V$7="","",'[49]سجل المستخلصات'!$V$7)</f>
        <v/>
      </c>
      <c r="S26" s="59">
        <f>IF('[49]سجل المستخلصات'!$W$7="","",'[49]سجل المستخلصات'!$W$7)</f>
        <v/>
      </c>
      <c r="T26" s="61">
        <f>IF('[49]سجل المستخلصات'!$X$7="","",'[49]سجل المستخلصات'!$X$7)</f>
        <v/>
      </c>
      <c r="U26" s="61">
        <f>IF('[49]سجل المستخلصات'!$Z$7="","",'[49]سجل المستخلصات'!$Z$7)</f>
        <v/>
      </c>
      <c r="V26" s="59">
        <f>IF('[49]سجل المستخلصات'!$AA$7="","",'[49]سجل المستخلصات'!$AA$7)</f>
        <v/>
      </c>
      <c r="W26" s="59">
        <f>IF('[49]سجل المستخلصات'!$AC$7="","",'[49]سجل المستخلصات'!$AC$7)</f>
        <v/>
      </c>
      <c r="X26" s="62">
        <f>IF('[49]سجل المستخلصات'!$AD$7="","",'[49]سجل المستخلصات'!$AD$7)</f>
        <v/>
      </c>
      <c r="Y26" s="58">
        <f>IF('[49]سجل المستخلصات'!$AE$7="","",'[49]سجل المستخلصات'!$AE$7)</f>
        <v/>
      </c>
      <c r="AA26" s="63" t="n"/>
      <c r="AB26" s="63" t="n"/>
    </row>
    <row r="27">
      <c r="B27" s="56" t="n">
        <v>3</v>
      </c>
      <c r="C27" s="57">
        <f>IF('[49]سجل المستخلصات'!$C$8="","",'[49]سجل المستخلصات'!$C$8)</f>
        <v/>
      </c>
      <c r="D27" s="57">
        <f>IF('[49]سجل المستخلصات'!$E$8="","",'[49]سجل المستخلصات'!$E$8)</f>
        <v/>
      </c>
      <c r="E27" s="58">
        <f>IF('[49]سجل المستخلصات'!$F$8="","",'[49]سجل المستخلصات'!$F$8)</f>
        <v/>
      </c>
      <c r="F27" s="59">
        <f>IF('[49]سجل المستخلصات'!$H$8="","",'[49]سجل المستخلصات'!$H$8)</f>
        <v/>
      </c>
      <c r="G27" s="59">
        <f>IF('[49]سجل المستخلصات'!$G$8="","",'[49]سجل المستخلصات'!$G$8)</f>
        <v/>
      </c>
      <c r="H27" s="59">
        <f>IF('[49]سجل المستخلصات'!$I$8="","",'[49]سجل المستخلصات'!$I$8)</f>
        <v/>
      </c>
      <c r="I27" s="59">
        <f>IF('[49]سجل المستخلصات'!$J$8="","",'[49]سجل المستخلصات'!$J$8)</f>
        <v/>
      </c>
      <c r="J27" s="59">
        <f>IF('[49]سجل المستخلصات'!$K$8="","",'[49]سجل المستخلصات'!$K$8)</f>
        <v/>
      </c>
      <c r="K27" s="60">
        <f>IF('[49]سجل المستخلصات'!$L$8="","",'[49]سجل المستخلصات'!$L$8)</f>
        <v/>
      </c>
      <c r="L27" s="60">
        <f>IF('[49]سجل المستخلصات'!$M$8="","",'[49]سجل المستخلصات'!$M$8)</f>
        <v/>
      </c>
      <c r="M27" s="60">
        <f>IF('[49]سجل المستخلصات'!$N$8="","",'[49]سجل المستخلصات'!$N$8)</f>
        <v/>
      </c>
      <c r="N27" s="59">
        <f>IF('[49]سجل المستخلصات'!$O$8="","",'[49]سجل المستخلصات'!$O$8)</f>
        <v/>
      </c>
      <c r="O27" s="59">
        <f>IF('[49]سجل المستخلصات'!$R$8="","",'[49]سجل المستخلصات'!$R$8)</f>
        <v/>
      </c>
      <c r="P27" s="59">
        <f>IF('[49]سجل المستخلصات'!$S$8="","",'[49]سجل المستخلصات'!$S$8)</f>
        <v/>
      </c>
      <c r="Q27" s="59">
        <f>IF('[49]سجل المستخلصات'!$T$8="","",'[49]سجل المستخلصات'!$T$8)</f>
        <v/>
      </c>
      <c r="R27" s="59">
        <f>IF('[49]سجل المستخلصات'!$V$8="","",'[49]سجل المستخلصات'!$V$8)</f>
        <v/>
      </c>
      <c r="S27" s="59">
        <f>IF('[49]سجل المستخلصات'!$W$8="","",'[49]سجل المستخلصات'!$W$8)</f>
        <v/>
      </c>
      <c r="T27" s="61">
        <f>IF('[49]سجل المستخلصات'!$X$8="","",'[49]سجل المستخلصات'!$X$8)</f>
        <v/>
      </c>
      <c r="U27" s="61">
        <f>IF('[49]سجل المستخلصات'!$Z$8="","",'[49]سجل المستخلصات'!$Z$8)</f>
        <v/>
      </c>
      <c r="V27" s="59">
        <f>IF('[49]سجل المستخلصات'!$AA$8="","",'[49]سجل المستخلصات'!$AA$8)</f>
        <v/>
      </c>
      <c r="W27" s="59">
        <f>IF('[49]سجل المستخلصات'!$AC$8="","",'[49]سجل المستخلصات'!$AC$8)</f>
        <v/>
      </c>
      <c r="X27" s="62">
        <f>IF('[49]سجل المستخلصات'!$AD$8="","",'[49]سجل المستخلصات'!$AD$8)</f>
        <v/>
      </c>
      <c r="Y27" s="58">
        <f>IF('[49]سجل المستخلصات'!$AE$8="","",'[49]سجل المستخلصات'!$AE$8)</f>
        <v/>
      </c>
      <c r="AA27" s="63" t="n"/>
      <c r="AB27" s="63" t="n"/>
    </row>
    <row r="28">
      <c r="B28" s="56" t="n">
        <v>4</v>
      </c>
      <c r="C28" s="57">
        <f>IF('[49]سجل المستخلصات'!$C$9="","",'[49]سجل المستخلصات'!$C$9)</f>
        <v/>
      </c>
      <c r="D28" s="57">
        <f>IF('[49]سجل المستخلصات'!$E$9="","",'[49]سجل المستخلصات'!$E$9)</f>
        <v/>
      </c>
      <c r="E28" s="58">
        <f>IF('[49]سجل المستخلصات'!$F$9="","",'[49]سجل المستخلصات'!$F$9)</f>
        <v/>
      </c>
      <c r="F28" s="59">
        <f>IF('[49]سجل المستخلصات'!$H$9="","",'[49]سجل المستخلصات'!$H$9)</f>
        <v/>
      </c>
      <c r="G28" s="59">
        <f>IF('[49]سجل المستخلصات'!$G$9="","",'[49]سجل المستخلصات'!$G$9)</f>
        <v/>
      </c>
      <c r="H28" s="59">
        <f>IF('[49]سجل المستخلصات'!$I$9="","",'[49]سجل المستخلصات'!$I$9)</f>
        <v/>
      </c>
      <c r="I28" s="59">
        <f>IF('[49]سجل المستخلصات'!$J$9="","",'[49]سجل المستخلصات'!$J$9)</f>
        <v/>
      </c>
      <c r="J28" s="59">
        <f>IF('[49]سجل المستخلصات'!$K$9="","",'[49]سجل المستخلصات'!$K$9)</f>
        <v/>
      </c>
      <c r="K28" s="60">
        <f>IF('[49]سجل المستخلصات'!$L$9="","",'[49]سجل المستخلصات'!$L$9)</f>
        <v/>
      </c>
      <c r="L28" s="60">
        <f>IF('[49]سجل المستخلصات'!$M$9="","",'[49]سجل المستخلصات'!$M$9)</f>
        <v/>
      </c>
      <c r="M28" s="60">
        <f>IF('[49]سجل المستخلصات'!$N$9="","",'[49]سجل المستخلصات'!$N$9)</f>
        <v/>
      </c>
      <c r="N28" s="59">
        <f>IF('[49]سجل المستخلصات'!$O$9="","",'[49]سجل المستخلصات'!$O$9)</f>
        <v/>
      </c>
      <c r="O28" s="59">
        <f>IF('[49]سجل المستخلصات'!$R$9="","",'[49]سجل المستخلصات'!$R$9)</f>
        <v/>
      </c>
      <c r="P28" s="59">
        <f>IF('[49]سجل المستخلصات'!$S$9="","",'[49]سجل المستخلصات'!$S$9)</f>
        <v/>
      </c>
      <c r="Q28" s="59">
        <f>IF('[49]سجل المستخلصات'!$T$9="","",'[49]سجل المستخلصات'!$T$9)</f>
        <v/>
      </c>
      <c r="R28" s="59">
        <f>IF('[49]سجل المستخلصات'!$V$9="","",'[49]سجل المستخلصات'!$V$9)</f>
        <v/>
      </c>
      <c r="S28" s="59">
        <f>IF('[49]سجل المستخلصات'!$W$9="","",'[49]سجل المستخلصات'!$W$9)</f>
        <v/>
      </c>
      <c r="T28" s="61">
        <f>IF('[49]سجل المستخلصات'!$X$9="","",'[49]سجل المستخلصات'!$X$9)</f>
        <v/>
      </c>
      <c r="U28" s="61">
        <f>IF('[49]سجل المستخلصات'!$Z$9="","",'[49]سجل المستخلصات'!$Z$9)</f>
        <v/>
      </c>
      <c r="V28" s="59">
        <f>IF('[49]سجل المستخلصات'!$AA$9="","",'[49]سجل المستخلصات'!$AA$9)</f>
        <v/>
      </c>
      <c r="W28" s="59">
        <f>IF('[49]سجل المستخلصات'!$AC$9="","",'[49]سجل المستخلصات'!$AC$9)</f>
        <v/>
      </c>
      <c r="X28" s="62">
        <f>IF('[49]سجل المستخلصات'!$AD$9="","",'[49]سجل المستخلصات'!$AD$9)</f>
        <v/>
      </c>
      <c r="Y28" s="58">
        <f>IF('[49]سجل المستخلصات'!$AE$9="","",'[49]سجل المستخلصات'!$AE$9)</f>
        <v/>
      </c>
      <c r="AA28" s="63" t="n"/>
      <c r="AB28" s="63" t="n"/>
    </row>
    <row r="29">
      <c r="B29" s="56" t="n">
        <v>5</v>
      </c>
      <c r="C29" s="57">
        <f>IF('[49]سجل المستخلصات'!$C$10="","",'[49]سجل المستخلصات'!$C$10)</f>
        <v/>
      </c>
      <c r="D29" s="57">
        <f>IF('[49]سجل المستخلصات'!$E$10="","",'[49]سجل المستخلصات'!$E$10)</f>
        <v/>
      </c>
      <c r="E29" s="58">
        <f>IF('[49]سجل المستخلصات'!$F$10="","",'[49]سجل المستخلصات'!$F$10)</f>
        <v/>
      </c>
      <c r="F29" s="59">
        <f>IF('[49]سجل المستخلصات'!$H$10="","",'[49]سجل المستخلصات'!$H$10)</f>
        <v/>
      </c>
      <c r="G29" s="59">
        <f>IF('[49]سجل المستخلصات'!$G$10="","",'[49]سجل المستخلصات'!$G$10)</f>
        <v/>
      </c>
      <c r="H29" s="59">
        <f>IF('[49]سجل المستخلصات'!$I$10="","",'[49]سجل المستخلصات'!$I$10)</f>
        <v/>
      </c>
      <c r="I29" s="59">
        <f>IF('[49]سجل المستخلصات'!$J$10="","",'[49]سجل المستخلصات'!$J$10)</f>
        <v/>
      </c>
      <c r="J29" s="59">
        <f>IF('[49]سجل المستخلصات'!$K$10="","",'[49]سجل المستخلصات'!$K$10)</f>
        <v/>
      </c>
      <c r="K29" s="60">
        <f>IF('[49]سجل المستخلصات'!$L$10="","",'[49]سجل المستخلصات'!$L$10)</f>
        <v/>
      </c>
      <c r="L29" s="60">
        <f>IF('[49]سجل المستخلصات'!$M$10="","",'[49]سجل المستخلصات'!$M$10)</f>
        <v/>
      </c>
      <c r="M29" s="60">
        <f>IF('[49]سجل المستخلصات'!$N$10="","",'[49]سجل المستخلصات'!$N$10)</f>
        <v/>
      </c>
      <c r="N29" s="59">
        <f>IF('[49]سجل المستخلصات'!$O$10="","",'[49]سجل المستخلصات'!$O$10)</f>
        <v/>
      </c>
      <c r="O29" s="59">
        <f>IF('[49]سجل المستخلصات'!$R$10="","",'[49]سجل المستخلصات'!$R$10)</f>
        <v/>
      </c>
      <c r="P29" s="59">
        <f>IF('[49]سجل المستخلصات'!$S$10="","",'[49]سجل المستخلصات'!$S$10)</f>
        <v/>
      </c>
      <c r="Q29" s="59">
        <f>IF('[49]سجل المستخلصات'!$T$10="","",'[49]سجل المستخلصات'!$T$10)</f>
        <v/>
      </c>
      <c r="R29" s="59">
        <f>IF('[49]سجل المستخلصات'!$V$10="","",'[49]سجل المستخلصات'!$V$10)</f>
        <v/>
      </c>
      <c r="S29" s="59">
        <f>IF('[49]سجل المستخلصات'!$W$10="","",'[49]سجل المستخلصات'!$W$10)</f>
        <v/>
      </c>
      <c r="T29" s="61">
        <f>IF('[49]سجل المستخلصات'!$X$10="","",'[49]سجل المستخلصات'!$X$10)</f>
        <v/>
      </c>
      <c r="U29" s="61">
        <f>IF('[49]سجل المستخلصات'!$Z$10="","",'[49]سجل المستخلصات'!$Z$10)</f>
        <v/>
      </c>
      <c r="V29" s="59">
        <f>IF('[49]سجل المستخلصات'!$AA$10="","",'[49]سجل المستخلصات'!$AA$10)</f>
        <v/>
      </c>
      <c r="W29" s="59">
        <f>IF('[49]سجل المستخلصات'!$AC$10="","",'[49]سجل المستخلصات'!$AC$10)</f>
        <v/>
      </c>
      <c r="X29" s="62">
        <f>IF('[49]سجل المستخلصات'!$AD$10="","",'[49]سجل المستخلصات'!$AD$10)</f>
        <v/>
      </c>
      <c r="Y29" s="58">
        <f>IF('[49]سجل المستخلصات'!$AE$10="","",'[49]سجل المستخلصات'!$AE$10)</f>
        <v/>
      </c>
    </row>
    <row r="30">
      <c r="B30" s="56" t="n">
        <v>6</v>
      </c>
      <c r="C30" s="57">
        <f>IF('[49]سجل المستخلصات'!$C$11="","",'[49]سجل المستخلصات'!$C$11)</f>
        <v/>
      </c>
      <c r="D30" s="57">
        <f>IF('[49]سجل المستخلصات'!$E$11="","",'[49]سجل المستخلصات'!$E$11)</f>
        <v/>
      </c>
      <c r="E30" s="58">
        <f>IF('[49]سجل المستخلصات'!$F$11="","",'[49]سجل المستخلصات'!$F$11)</f>
        <v/>
      </c>
      <c r="F30" s="59">
        <f>IF('[49]سجل المستخلصات'!$H$11="","",'[49]سجل المستخلصات'!$H$11)</f>
        <v/>
      </c>
      <c r="G30" s="59">
        <f>IF('[49]سجل المستخلصات'!$G$11="","",'[49]سجل المستخلصات'!$G$11)</f>
        <v/>
      </c>
      <c r="H30" s="59">
        <f>IF('[49]سجل المستخلصات'!$I$11="","",'[49]سجل المستخلصات'!$I$11)</f>
        <v/>
      </c>
      <c r="I30" s="59">
        <f>IF('[49]سجل المستخلصات'!$J$11="","",'[49]سجل المستخلصات'!$J$11)</f>
        <v/>
      </c>
      <c r="J30" s="59">
        <f>IF('[49]سجل المستخلصات'!$K$11="","",'[49]سجل المستخلصات'!$K$11)</f>
        <v/>
      </c>
      <c r="K30" s="60">
        <f>IF('[49]سجل المستخلصات'!$L$11="","",'[49]سجل المستخلصات'!$L$11)</f>
        <v/>
      </c>
      <c r="L30" s="60">
        <f>IF('[49]سجل المستخلصات'!$M$11="","",'[49]سجل المستخلصات'!$M$11)</f>
        <v/>
      </c>
      <c r="M30" s="60">
        <f>IF('[49]سجل المستخلصات'!$N$11="","",'[49]سجل المستخلصات'!$N$11)</f>
        <v/>
      </c>
      <c r="N30" s="59">
        <f>IF('[49]سجل المستخلصات'!$O$11="","",'[49]سجل المستخلصات'!$O$11)</f>
        <v/>
      </c>
      <c r="O30" s="59">
        <f>IF('[49]سجل المستخلصات'!$R$11="","",'[49]سجل المستخلصات'!$R$11)</f>
        <v/>
      </c>
      <c r="P30" s="59">
        <f>IF('[49]سجل المستخلصات'!$S$11="","",'[49]سجل المستخلصات'!$S$11)</f>
        <v/>
      </c>
      <c r="Q30" s="59">
        <f>IF('[49]سجل المستخلصات'!$T$11="","",'[49]سجل المستخلصات'!$T$11)</f>
        <v/>
      </c>
      <c r="R30" s="59">
        <f>IF('[49]سجل المستخلصات'!$V$11="","",'[49]سجل المستخلصات'!$V$11)</f>
        <v/>
      </c>
      <c r="S30" s="59">
        <f>IF('[49]سجل المستخلصات'!$W$11="","",'[49]سجل المستخلصات'!$W$11)</f>
        <v/>
      </c>
      <c r="T30" s="61">
        <f>IF('[49]سجل المستخلصات'!$X$11="","",'[49]سجل المستخلصات'!$X$11)</f>
        <v/>
      </c>
      <c r="U30" s="61">
        <f>IF('[49]سجل المستخلصات'!$Z$11="","",'[49]سجل المستخلصات'!$Z$11)</f>
        <v/>
      </c>
      <c r="V30" s="59">
        <f>IF('[49]سجل المستخلصات'!$AA$11="","",'[49]سجل المستخلصات'!$AA$11)</f>
        <v/>
      </c>
      <c r="W30" s="59">
        <f>IF('[49]سجل المستخلصات'!$AC$11="","",'[49]سجل المستخلصات'!$AC$11)</f>
        <v/>
      </c>
      <c r="X30" s="62">
        <f>IF('[49]سجل المستخلصات'!$AD$11="","",'[49]سجل المستخلصات'!$AD$11)</f>
        <v/>
      </c>
      <c r="Y30" s="58">
        <f>IF('[49]سجل المستخلصات'!$AE$11="","",'[49]سجل المستخلصات'!$AE$11)</f>
        <v/>
      </c>
    </row>
    <row r="31">
      <c r="B31" s="56" t="n">
        <v>7</v>
      </c>
      <c r="C31" s="57">
        <f>IF('[49]سجل المستخلصات'!$C$12="","",'[49]سجل المستخلصات'!$C$12)</f>
        <v/>
      </c>
      <c r="D31" s="57">
        <f>IF('[49]سجل المستخلصات'!$E$12="","",'[49]سجل المستخلصات'!$E$12)</f>
        <v/>
      </c>
      <c r="E31" s="58">
        <f>IF('[49]سجل المستخلصات'!$F$12="","",'[49]سجل المستخلصات'!$F$12)</f>
        <v/>
      </c>
      <c r="F31" s="59">
        <f>IF('[49]سجل المستخلصات'!$H$12="","",'[49]سجل المستخلصات'!$H$12)</f>
        <v/>
      </c>
      <c r="G31" s="59">
        <f>IF('[49]سجل المستخلصات'!$G$12="","",'[49]سجل المستخلصات'!$G$12)</f>
        <v/>
      </c>
      <c r="H31" s="59">
        <f>IF('[49]سجل المستخلصات'!$I$12="","",'[49]سجل المستخلصات'!$I$12)</f>
        <v/>
      </c>
      <c r="I31" s="59">
        <f>IF('[49]سجل المستخلصات'!$J$12="","",'[49]سجل المستخلصات'!$J$12)</f>
        <v/>
      </c>
      <c r="J31" s="59">
        <f>IF('[49]سجل المستخلصات'!$K$12="","",'[49]سجل المستخلصات'!$K$12)</f>
        <v/>
      </c>
      <c r="K31" s="60">
        <f>IF('[49]سجل المستخلصات'!$L$12="","",'[49]سجل المستخلصات'!$L$12)</f>
        <v/>
      </c>
      <c r="L31" s="60">
        <f>IF('[49]سجل المستخلصات'!$M$12="","",'[49]سجل المستخلصات'!$M$12)</f>
        <v/>
      </c>
      <c r="M31" s="60">
        <f>IF('[49]سجل المستخلصات'!$N$12="","",'[49]سجل المستخلصات'!$N$12)</f>
        <v/>
      </c>
      <c r="N31" s="59">
        <f>IF('[49]سجل المستخلصات'!$O$12="","",'[49]سجل المستخلصات'!$O$12)</f>
        <v/>
      </c>
      <c r="O31" s="59">
        <f>IF('[49]سجل المستخلصات'!$R$12="","",'[49]سجل المستخلصات'!$R$12)</f>
        <v/>
      </c>
      <c r="P31" s="59">
        <f>IF('[49]سجل المستخلصات'!$S$12="","",'[49]سجل المستخلصات'!$S$12)</f>
        <v/>
      </c>
      <c r="Q31" s="59">
        <f>IF('[49]سجل المستخلصات'!$T$12="","",'[49]سجل المستخلصات'!$T$12)</f>
        <v/>
      </c>
      <c r="R31" s="59">
        <f>IF('[49]سجل المستخلصات'!$V$12="","",'[49]سجل المستخلصات'!$V$12)</f>
        <v/>
      </c>
      <c r="S31" s="59">
        <f>IF('[49]سجل المستخلصات'!$W$12="","",'[49]سجل المستخلصات'!$W$12)</f>
        <v/>
      </c>
      <c r="T31" s="61">
        <f>IF('[49]سجل المستخلصات'!$X$12="","",'[49]سجل المستخلصات'!$X$12)</f>
        <v/>
      </c>
      <c r="U31" s="61">
        <f>IF('[49]سجل المستخلصات'!$Z$12="","",'[49]سجل المستخلصات'!$Z$12)</f>
        <v/>
      </c>
      <c r="V31" s="59">
        <f>IF('[49]سجل المستخلصات'!$AA$12="","",'[49]سجل المستخلصات'!$AA$12)</f>
        <v/>
      </c>
      <c r="W31" s="59">
        <f>IF('[49]سجل المستخلصات'!$AC$12="","",'[49]سجل المستخلصات'!$AC$12)</f>
        <v/>
      </c>
      <c r="X31" s="62">
        <f>IF('[49]سجل المستخلصات'!$AD$12="","",'[49]سجل المستخلصات'!$AD$12)</f>
        <v/>
      </c>
      <c r="Y31" s="58">
        <f>IF('[49]سجل المستخلصات'!$AE$12="","",'[49]سجل المستخلصات'!$AE$12)</f>
        <v/>
      </c>
    </row>
    <row r="32">
      <c r="B32" s="56" t="n">
        <v>8</v>
      </c>
      <c r="C32" s="57">
        <f>IF('[49]سجل المستخلصات'!$C$13="","",'[49]سجل المستخلصات'!$C$13)</f>
        <v/>
      </c>
      <c r="D32" s="57">
        <f>IF('[49]سجل المستخلصات'!$E$13="","",'[49]سجل المستخلصات'!$E$13)</f>
        <v/>
      </c>
      <c r="E32" s="58">
        <f>IF('[49]سجل المستخلصات'!$F$13="","",'[49]سجل المستخلصات'!$F$13)</f>
        <v/>
      </c>
      <c r="F32" s="59">
        <f>IF('[49]سجل المستخلصات'!$H$13="","",'[49]سجل المستخلصات'!$H$13)</f>
        <v/>
      </c>
      <c r="G32" s="59">
        <f>IF('[49]سجل المستخلصات'!$G$13="","",'[49]سجل المستخلصات'!$G$13)</f>
        <v/>
      </c>
      <c r="H32" s="59">
        <f>IF('[49]سجل المستخلصات'!$I$13="","",'[49]سجل المستخلصات'!$I$13)</f>
        <v/>
      </c>
      <c r="I32" s="59">
        <f>IF('[49]سجل المستخلصات'!$J$13="","",'[49]سجل المستخلصات'!$J$13)</f>
        <v/>
      </c>
      <c r="J32" s="59">
        <f>IF('[49]سجل المستخلصات'!$K$13="","",'[49]سجل المستخلصات'!$K$13)</f>
        <v/>
      </c>
      <c r="K32" s="60">
        <f>IF('[49]سجل المستخلصات'!$L$13="","",'[49]سجل المستخلصات'!$L$13)</f>
        <v/>
      </c>
      <c r="L32" s="60">
        <f>IF('[49]سجل المستخلصات'!$M$13="","",'[49]سجل المستخلصات'!$M$13)</f>
        <v/>
      </c>
      <c r="M32" s="60">
        <f>IF('[49]سجل المستخلصات'!$N$13="","",'[49]سجل المستخلصات'!$N$13)</f>
        <v/>
      </c>
      <c r="N32" s="59">
        <f>IF('[49]سجل المستخلصات'!$O$13="","",'[49]سجل المستخلصات'!$O$13)</f>
        <v/>
      </c>
      <c r="O32" s="59">
        <f>IF('[49]سجل المستخلصات'!$R$13="","",'[49]سجل المستخلصات'!$R$13)</f>
        <v/>
      </c>
      <c r="P32" s="59">
        <f>IF('[49]سجل المستخلصات'!$S$13="","",'[49]سجل المستخلصات'!$S$13)</f>
        <v/>
      </c>
      <c r="Q32" s="59">
        <f>IF('[49]سجل المستخلصات'!$T$13="","",'[49]سجل المستخلصات'!$T$13)</f>
        <v/>
      </c>
      <c r="R32" s="59">
        <f>IF('[49]سجل المستخلصات'!$V$13="","",'[49]سجل المستخلصات'!$V$13)</f>
        <v/>
      </c>
      <c r="S32" s="59">
        <f>IF('[49]سجل المستخلصات'!$W$13="","",'[49]سجل المستخلصات'!$W$13)</f>
        <v/>
      </c>
      <c r="T32" s="61">
        <f>IF('[49]سجل المستخلصات'!$X$13="","",'[49]سجل المستخلصات'!$X$13)</f>
        <v/>
      </c>
      <c r="U32" s="61">
        <f>IF('[49]سجل المستخلصات'!$Z$13="","",'[49]سجل المستخلصات'!$Z$13)</f>
        <v/>
      </c>
      <c r="V32" s="59">
        <f>IF('[49]سجل المستخلصات'!$AA$13="","",'[49]سجل المستخلصات'!$AA$13)</f>
        <v/>
      </c>
      <c r="W32" s="59">
        <f>IF('[49]سجل المستخلصات'!$AC$13="","",'[49]سجل المستخلصات'!$AC$13)</f>
        <v/>
      </c>
      <c r="X32" s="62">
        <f>IF('[49]سجل المستخلصات'!$AD$13="","",'[49]سجل المستخلصات'!$AD$13)</f>
        <v/>
      </c>
      <c r="Y32" s="58">
        <f>IF('[49]سجل المستخلصات'!$AE$13="","",'[49]سجل المستخلصات'!$AE$13)</f>
        <v/>
      </c>
    </row>
    <row r="33">
      <c r="B33" s="56" t="n">
        <v>9</v>
      </c>
      <c r="C33" s="57">
        <f>IF('[49]سجل المستخلصات'!$C$14="","",'[49]سجل المستخلصات'!$C$14)</f>
        <v/>
      </c>
      <c r="D33" s="57">
        <f>IF('[49]سجل المستخلصات'!$E$14="","",'[49]سجل المستخلصات'!$E$14)</f>
        <v/>
      </c>
      <c r="E33" s="58">
        <f>IF('[49]سجل المستخلصات'!$F$14="","",'[49]سجل المستخلصات'!$F$14)</f>
        <v/>
      </c>
      <c r="F33" s="59">
        <f>IF('[49]سجل المستخلصات'!$H$14="","",'[49]سجل المستخلصات'!$H$14)</f>
        <v/>
      </c>
      <c r="G33" s="59">
        <f>IF('[49]سجل المستخلصات'!$G$14="","",'[49]سجل المستخلصات'!$G$14)</f>
        <v/>
      </c>
      <c r="H33" s="59">
        <f>IF('[49]سجل المستخلصات'!$I$14="","",'[49]سجل المستخلصات'!$I$14)</f>
        <v/>
      </c>
      <c r="I33" s="59">
        <f>IF('[49]سجل المستخلصات'!$J$14="","",'[49]سجل المستخلصات'!$J$14)</f>
        <v/>
      </c>
      <c r="J33" s="59">
        <f>IF('[49]سجل المستخلصات'!$K$14="","",'[49]سجل المستخلصات'!$K$14)</f>
        <v/>
      </c>
      <c r="K33" s="60">
        <f>IF('[49]سجل المستخلصات'!$L$14="","",'[49]سجل المستخلصات'!$L$14)</f>
        <v/>
      </c>
      <c r="L33" s="60">
        <f>IF('[49]سجل المستخلصات'!$M$14="","",'[49]سجل المستخلصات'!$M$14)</f>
        <v/>
      </c>
      <c r="M33" s="60">
        <f>IF('[49]سجل المستخلصات'!$N$14="","",'[49]سجل المستخلصات'!$N$14)</f>
        <v/>
      </c>
      <c r="N33" s="59">
        <f>IF('[49]سجل المستخلصات'!$O$14="","",'[49]سجل المستخلصات'!$O$14)</f>
        <v/>
      </c>
      <c r="O33" s="59">
        <f>IF('[49]سجل المستخلصات'!$R$14="","",'[49]سجل المستخلصات'!$R$14)</f>
        <v/>
      </c>
      <c r="P33" s="59">
        <f>IF('[49]سجل المستخلصات'!$S$14="","",'[49]سجل المستخلصات'!$S$14)</f>
        <v/>
      </c>
      <c r="Q33" s="59">
        <f>IF('[49]سجل المستخلصات'!$T$14="","",'[49]سجل المستخلصات'!$T$14)</f>
        <v/>
      </c>
      <c r="R33" s="59">
        <f>IF('[49]سجل المستخلصات'!$V$14="","",'[49]سجل المستخلصات'!$V$14)</f>
        <v/>
      </c>
      <c r="S33" s="59">
        <f>IF('[49]سجل المستخلصات'!$W$14="","",'[49]سجل المستخلصات'!$W$14)</f>
        <v/>
      </c>
      <c r="T33" s="61">
        <f>IF('[49]سجل المستخلصات'!$X$14="","",'[49]سجل المستخلصات'!$X$14)</f>
        <v/>
      </c>
      <c r="U33" s="61">
        <f>IF('[49]سجل المستخلصات'!$Z$14="","",'[49]سجل المستخلصات'!$Z$14)</f>
        <v/>
      </c>
      <c r="V33" s="59">
        <f>IF('[49]سجل المستخلصات'!$AA$14="","",'[49]سجل المستخلصات'!$AA$14)</f>
        <v/>
      </c>
      <c r="W33" s="59">
        <f>IF('[49]سجل المستخلصات'!$AC$14="","",'[49]سجل المستخلصات'!$AC$14)</f>
        <v/>
      </c>
      <c r="X33" s="62">
        <f>IF('[49]سجل المستخلصات'!$AD$14="","",'[49]سجل المستخلصات'!$AD$14)</f>
        <v/>
      </c>
      <c r="Y33" s="58">
        <f>IF('[49]سجل المستخلصات'!$AE$14="","",'[49]سجل المستخلصات'!$AE$14)</f>
        <v/>
      </c>
    </row>
    <row r="34">
      <c r="B34" s="56" t="n">
        <v>10</v>
      </c>
      <c r="C34" s="57">
        <f>IF('[49]سجل المستخلصات'!$C$15="","",'[49]سجل المستخلصات'!$C$15)</f>
        <v/>
      </c>
      <c r="D34" s="57">
        <f>IF('[49]سجل المستخلصات'!$E$15="","",'[49]سجل المستخلصات'!$E$15)</f>
        <v/>
      </c>
      <c r="E34" s="58">
        <f>IF('[49]سجل المستخلصات'!$F$15="","",'[49]سجل المستخلصات'!$F$15)</f>
        <v/>
      </c>
      <c r="F34" s="59">
        <f>IF('[49]سجل المستخلصات'!$H$15="","",'[49]سجل المستخلصات'!$H$15)</f>
        <v/>
      </c>
      <c r="G34" s="59">
        <f>IF('[49]سجل المستخلصات'!$G$15="","",'[49]سجل المستخلصات'!$G$15)</f>
        <v/>
      </c>
      <c r="H34" s="59">
        <f>IF('[49]سجل المستخلصات'!$I$15="","",'[49]سجل المستخلصات'!$I$15)</f>
        <v/>
      </c>
      <c r="I34" s="59">
        <f>IF('[49]سجل المستخلصات'!$J$15="","",'[49]سجل المستخلصات'!$J$15)</f>
        <v/>
      </c>
      <c r="J34" s="59">
        <f>IF('[49]سجل المستخلصات'!$K$15="","",'[49]سجل المستخلصات'!$K$15)</f>
        <v/>
      </c>
      <c r="K34" s="60">
        <f>IF('[49]سجل المستخلصات'!$L$15="","",'[49]سجل المستخلصات'!$L$15)</f>
        <v/>
      </c>
      <c r="L34" s="60">
        <f>IF('[49]سجل المستخلصات'!$M$15="","",'[49]سجل المستخلصات'!$M$15)</f>
        <v/>
      </c>
      <c r="M34" s="60">
        <f>IF('[49]سجل المستخلصات'!$N$15="","",'[49]سجل المستخلصات'!$N$15)</f>
        <v/>
      </c>
      <c r="N34" s="59">
        <f>IF('[49]سجل المستخلصات'!$O$15="","",'[49]سجل المستخلصات'!$O$15)</f>
        <v/>
      </c>
      <c r="O34" s="59">
        <f>IF('[49]سجل المستخلصات'!$R$15="","",'[49]سجل المستخلصات'!$R$15)</f>
        <v/>
      </c>
      <c r="P34" s="59">
        <f>IF('[49]سجل المستخلصات'!$S$15="","",'[49]سجل المستخلصات'!$S$15)</f>
        <v/>
      </c>
      <c r="Q34" s="59">
        <f>IF('[49]سجل المستخلصات'!$T$15="","",'[49]سجل المستخلصات'!$T$15)</f>
        <v/>
      </c>
      <c r="R34" s="59">
        <f>IF('[49]سجل المستخلصات'!$V$15="","",'[49]سجل المستخلصات'!$V$15)</f>
        <v/>
      </c>
      <c r="S34" s="59">
        <f>IF('[49]سجل المستخلصات'!$W$15="","",'[49]سجل المستخلصات'!$W$15)</f>
        <v/>
      </c>
      <c r="T34" s="61">
        <f>IF('[49]سجل المستخلصات'!$X$15="","",'[49]سجل المستخلصات'!$X$15)</f>
        <v/>
      </c>
      <c r="U34" s="61">
        <f>IF('[49]سجل المستخلصات'!$Z$15="","",'[49]سجل المستخلصات'!$Z$15)</f>
        <v/>
      </c>
      <c r="V34" s="59">
        <f>IF('[49]سجل المستخلصات'!$AA$15="","",'[49]سجل المستخلصات'!$AA$15)</f>
        <v/>
      </c>
      <c r="W34" s="59">
        <f>IF('[49]سجل المستخلصات'!$AC$15="","",'[49]سجل المستخلصات'!$AC$15)</f>
        <v/>
      </c>
      <c r="X34" s="62">
        <f>IF('[49]سجل المستخلصات'!$AD$15="","",'[49]سجل المستخلصات'!$AD$15)</f>
        <v/>
      </c>
      <c r="Y34" s="58">
        <f>IF('[49]سجل المستخلصات'!$AE$15="","",'[49]سجل المستخلصات'!$AE$15)</f>
        <v/>
      </c>
    </row>
    <row r="35">
      <c r="B35" s="56" t="n">
        <v>11</v>
      </c>
      <c r="C35" s="57">
        <f>IF('[49]سجل المستخلصات'!$C$16="","",'[49]سجل المستخلصات'!$C$16)</f>
        <v/>
      </c>
      <c r="D35" s="57">
        <f>IF('[49]سجل المستخلصات'!$E$16="","",'[49]سجل المستخلصات'!$E$16)</f>
        <v/>
      </c>
      <c r="E35" s="58">
        <f>IF('[49]سجل المستخلصات'!$F$16="","",'[49]سجل المستخلصات'!$F$16)</f>
        <v/>
      </c>
      <c r="F35" s="59">
        <f>IF('[49]سجل المستخلصات'!$H$16="","",'[49]سجل المستخلصات'!$H$16)</f>
        <v/>
      </c>
      <c r="G35" s="59">
        <f>IF('[49]سجل المستخلصات'!$G$16="","",'[49]سجل المستخلصات'!$G$16)</f>
        <v/>
      </c>
      <c r="H35" s="59">
        <f>IF('[49]سجل المستخلصات'!$I$16="","",'[49]سجل المستخلصات'!$I$16)</f>
        <v/>
      </c>
      <c r="I35" s="59">
        <f>IF('[49]سجل المستخلصات'!$J$16="","",'[49]سجل المستخلصات'!$J$16)</f>
        <v/>
      </c>
      <c r="J35" s="59">
        <f>IF('[49]سجل المستخلصات'!$K$16="","",'[49]سجل المستخلصات'!$K$16)</f>
        <v/>
      </c>
      <c r="K35" s="60">
        <f>IF('[49]سجل المستخلصات'!$L$16="","",'[49]سجل المستخلصات'!$L$16)</f>
        <v/>
      </c>
      <c r="L35" s="60">
        <f>IF('[49]سجل المستخلصات'!$M$16="","",'[49]سجل المستخلصات'!$M$16)</f>
        <v/>
      </c>
      <c r="M35" s="60">
        <f>IF('[49]سجل المستخلصات'!$N$16="","",'[49]سجل المستخلصات'!$N$16)</f>
        <v/>
      </c>
      <c r="N35" s="59">
        <f>IF('[49]سجل المستخلصات'!$O$16="","",'[49]سجل المستخلصات'!$O$16)</f>
        <v/>
      </c>
      <c r="O35" s="59">
        <f>IF('[49]سجل المستخلصات'!$R$16="","",'[49]سجل المستخلصات'!$R$16)</f>
        <v/>
      </c>
      <c r="P35" s="59">
        <f>IF('[49]سجل المستخلصات'!$S$16="","",'[49]سجل المستخلصات'!$S$16)</f>
        <v/>
      </c>
      <c r="Q35" s="59">
        <f>IF('[49]سجل المستخلصات'!$T$16="","",'[49]سجل المستخلصات'!$T$16)</f>
        <v/>
      </c>
      <c r="R35" s="59">
        <f>IF('[49]سجل المستخلصات'!$V$16="","",'[49]سجل المستخلصات'!$V$16)</f>
        <v/>
      </c>
      <c r="S35" s="59">
        <f>IF('[49]سجل المستخلصات'!$W$16="","",'[49]سجل المستخلصات'!$W$16)</f>
        <v/>
      </c>
      <c r="T35" s="61">
        <f>IF('[49]سجل المستخلصات'!$X$16="","",'[49]سجل المستخلصات'!$X$16)</f>
        <v/>
      </c>
      <c r="U35" s="61">
        <f>IF('[49]سجل المستخلصات'!$Z$16="","",'[49]سجل المستخلصات'!$Z$16)</f>
        <v/>
      </c>
      <c r="V35" s="59">
        <f>IF('[49]سجل المستخلصات'!$AA$16="","",'[49]سجل المستخلصات'!$AA$16)</f>
        <v/>
      </c>
      <c r="W35" s="59">
        <f>IF('[49]سجل المستخلصات'!$AC$16="","",'[49]سجل المستخلصات'!$AC$16)</f>
        <v/>
      </c>
      <c r="X35" s="62">
        <f>IF('[49]سجل المستخلصات'!$AD$16="","",'[49]سجل المستخلصات'!$AD$16)</f>
        <v/>
      </c>
      <c r="Y35" s="58">
        <f>IF('[49]سجل المستخلصات'!$AE$16="","",'[49]سجل المستخلصات'!$AE$16)</f>
        <v/>
      </c>
    </row>
    <row r="36">
      <c r="B36" s="56" t="n">
        <v>12</v>
      </c>
      <c r="C36" s="57">
        <f>IF('[49]سجل المستخلصات'!$C$17="","",'[49]سجل المستخلصات'!$C$17)</f>
        <v/>
      </c>
      <c r="D36" s="57">
        <f>IF('[49]سجل المستخلصات'!$E$17="","",'[49]سجل المستخلصات'!$E$17)</f>
        <v/>
      </c>
      <c r="E36" s="58">
        <f>IF('[49]سجل المستخلصات'!$F$17="","",'[49]سجل المستخلصات'!$F$17)</f>
        <v/>
      </c>
      <c r="F36" s="59">
        <f>IF('[49]سجل المستخلصات'!$H$17="","",'[49]سجل المستخلصات'!$H$17)</f>
        <v/>
      </c>
      <c r="G36" s="59">
        <f>IF('[49]سجل المستخلصات'!$G$17="","",'[49]سجل المستخلصات'!$G$17)</f>
        <v/>
      </c>
      <c r="H36" s="59">
        <f>IF('[49]سجل المستخلصات'!$I$17="","",'[49]سجل المستخلصات'!$I$17)</f>
        <v/>
      </c>
      <c r="I36" s="59">
        <f>IF('[49]سجل المستخلصات'!$J$17="","",'[49]سجل المستخلصات'!$J$17)</f>
        <v/>
      </c>
      <c r="J36" s="59">
        <f>IF('[49]سجل المستخلصات'!$K$17="","",'[49]سجل المستخلصات'!$K$17)</f>
        <v/>
      </c>
      <c r="K36" s="60">
        <f>IF('[49]سجل المستخلصات'!$L$17="","",'[49]سجل المستخلصات'!$L$17)</f>
        <v/>
      </c>
      <c r="L36" s="60">
        <f>IF('[49]سجل المستخلصات'!$M$17="","",'[49]سجل المستخلصات'!$M$17)</f>
        <v/>
      </c>
      <c r="M36" s="60">
        <f>IF('[49]سجل المستخلصات'!$N$17="","",'[49]سجل المستخلصات'!$N$17)</f>
        <v/>
      </c>
      <c r="N36" s="59">
        <f>IF('[49]سجل المستخلصات'!$O$17="","",'[49]سجل المستخلصات'!$O$17)</f>
        <v/>
      </c>
      <c r="O36" s="59">
        <f>IF('[49]سجل المستخلصات'!$R$17="","",'[49]سجل المستخلصات'!$R$17)</f>
        <v/>
      </c>
      <c r="P36" s="59">
        <f>IF('[49]سجل المستخلصات'!$S$17="","",'[49]سجل المستخلصات'!$S$17)</f>
        <v/>
      </c>
      <c r="Q36" s="59">
        <f>IF('[49]سجل المستخلصات'!$T$17="","",'[49]سجل المستخلصات'!$T$17)</f>
        <v/>
      </c>
      <c r="R36" s="59">
        <f>IF('[49]سجل المستخلصات'!$V$17="","",'[49]سجل المستخلصات'!$V$17)</f>
        <v/>
      </c>
      <c r="S36" s="59">
        <f>IF('[49]سجل المستخلصات'!$W$17="","",'[49]سجل المستخلصات'!$W$17)</f>
        <v/>
      </c>
      <c r="T36" s="61">
        <f>IF('[49]سجل المستخلصات'!$X$17="","",'[49]سجل المستخلصات'!$X$17)</f>
        <v/>
      </c>
      <c r="U36" s="61">
        <f>IF('[49]سجل المستخلصات'!$Z$17="","",'[49]سجل المستخلصات'!$Z$17)</f>
        <v/>
      </c>
      <c r="V36" s="59">
        <f>IF('[49]سجل المستخلصات'!$AA$17="","",'[49]سجل المستخلصات'!$AA$17)</f>
        <v/>
      </c>
      <c r="W36" s="59">
        <f>IF('[49]سجل المستخلصات'!$AC$17="","",'[49]سجل المستخلصات'!$AC$17)</f>
        <v/>
      </c>
      <c r="X36" s="62">
        <f>IF('[49]سجل المستخلصات'!$AD$17="","",'[49]سجل المستخلصات'!$AD$17)</f>
        <v/>
      </c>
      <c r="Y36" s="58">
        <f>IF('[49]سجل المستخلصات'!$AE$17="","",'[49]سجل المستخلصات'!$AE$17)</f>
        <v/>
      </c>
    </row>
    <row r="37">
      <c r="B37" s="56" t="n">
        <v>13</v>
      </c>
      <c r="C37" s="57">
        <f>IF('[49]سجل المستخلصات'!$C$18="","",'[49]سجل المستخلصات'!$C$18)</f>
        <v/>
      </c>
      <c r="D37" s="57">
        <f>IF('[49]سجل المستخلصات'!$E$18="","",'[49]سجل المستخلصات'!$E$18)</f>
        <v/>
      </c>
      <c r="E37" s="58">
        <f>IF('[49]سجل المستخلصات'!$F$18="","",'[49]سجل المستخلصات'!$F$18)</f>
        <v/>
      </c>
      <c r="F37" s="59">
        <f>IF('[49]سجل المستخلصات'!$H$18="","",'[49]سجل المستخلصات'!$H$18)</f>
        <v/>
      </c>
      <c r="G37" s="59">
        <f>IF('[49]سجل المستخلصات'!$G$18="","",'[49]سجل المستخلصات'!$G$18)</f>
        <v/>
      </c>
      <c r="H37" s="59">
        <f>IF('[49]سجل المستخلصات'!$I$18="","",'[49]سجل المستخلصات'!$I$18)</f>
        <v/>
      </c>
      <c r="I37" s="59">
        <f>IF('[49]سجل المستخلصات'!$J$18="","",'[49]سجل المستخلصات'!$J$18)</f>
        <v/>
      </c>
      <c r="J37" s="59">
        <f>IF('[49]سجل المستخلصات'!$K$18="","",'[49]سجل المستخلصات'!$K$18)</f>
        <v/>
      </c>
      <c r="K37" s="60">
        <f>IF('[49]سجل المستخلصات'!$L$18="","",'[49]سجل المستخلصات'!$L$18)</f>
        <v/>
      </c>
      <c r="L37" s="60">
        <f>IF('[49]سجل المستخلصات'!$M$18="","",'[49]سجل المستخلصات'!$M$18)</f>
        <v/>
      </c>
      <c r="M37" s="60">
        <f>IF('[49]سجل المستخلصات'!$N$18="","",'[49]سجل المستخلصات'!$N$18)</f>
        <v/>
      </c>
      <c r="N37" s="59">
        <f>IF('[49]سجل المستخلصات'!$O$18="","",'[49]سجل المستخلصات'!$O$18)</f>
        <v/>
      </c>
      <c r="O37" s="59">
        <f>IF('[49]سجل المستخلصات'!$R$18="","",'[49]سجل المستخلصات'!$R$18)</f>
        <v/>
      </c>
      <c r="P37" s="59">
        <f>IF('[49]سجل المستخلصات'!$S$18="","",'[49]سجل المستخلصات'!$S$18)</f>
        <v/>
      </c>
      <c r="Q37" s="59">
        <f>IF('[49]سجل المستخلصات'!$T$18="","",'[49]سجل المستخلصات'!$T$18)</f>
        <v/>
      </c>
      <c r="R37" s="59">
        <f>IF('[49]سجل المستخلصات'!$V$18="","",'[49]سجل المستخلصات'!$V$18)</f>
        <v/>
      </c>
      <c r="S37" s="59">
        <f>IF('[49]سجل المستخلصات'!$W$18="","",'[49]سجل المستخلصات'!$W$18)</f>
        <v/>
      </c>
      <c r="T37" s="61">
        <f>IF('[49]سجل المستخلصات'!$X$18="","",'[49]سجل المستخلصات'!$X$18)</f>
        <v/>
      </c>
      <c r="U37" s="61">
        <f>IF('[49]سجل المستخلصات'!$Z$18="","",'[49]سجل المستخلصات'!$Z$18)</f>
        <v/>
      </c>
      <c r="V37" s="59">
        <f>IF('[49]سجل المستخلصات'!$AA$18="","",'[49]سجل المستخلصات'!$AA$18)</f>
        <v/>
      </c>
      <c r="W37" s="59">
        <f>IF('[49]سجل المستخلصات'!$AC$18="","",'[49]سجل المستخلصات'!$AC$18)</f>
        <v/>
      </c>
      <c r="X37" s="62">
        <f>IF('[49]سجل المستخلصات'!$AD$18="","",'[49]سجل المستخلصات'!$AD$18)</f>
        <v/>
      </c>
      <c r="Y37" s="58">
        <f>IF('[49]سجل المستخلصات'!$AE$18="","",'[49]سجل المستخلصات'!$AE$18)</f>
        <v/>
      </c>
    </row>
    <row r="38">
      <c r="B38" s="56" t="n">
        <v>14</v>
      </c>
      <c r="C38" s="57">
        <f>IF('[49]سجل المستخلصات'!$C$19="","",'[49]سجل المستخلصات'!$C$19)</f>
        <v/>
      </c>
      <c r="D38" s="57">
        <f>IF('[49]سجل المستخلصات'!$E$19="","",'[49]سجل المستخلصات'!$E$19)</f>
        <v/>
      </c>
      <c r="E38" s="58">
        <f>IF('[49]سجل المستخلصات'!$F$19="","",'[49]سجل المستخلصات'!$F$19)</f>
        <v/>
      </c>
      <c r="F38" s="59">
        <f>IF('[49]سجل المستخلصات'!$H$19="","",'[49]سجل المستخلصات'!$H$19)</f>
        <v/>
      </c>
      <c r="G38" s="59">
        <f>IF('[49]سجل المستخلصات'!$G$19="","",'[49]سجل المستخلصات'!$G$19)</f>
        <v/>
      </c>
      <c r="H38" s="59">
        <f>IF('[49]سجل المستخلصات'!$I$19="","",'[49]سجل المستخلصات'!$I$19)</f>
        <v/>
      </c>
      <c r="I38" s="59">
        <f>IF('[49]سجل المستخلصات'!$J$19="","",'[49]سجل المستخلصات'!$J$19)</f>
        <v/>
      </c>
      <c r="J38" s="59">
        <f>IF('[49]سجل المستخلصات'!$K$19="","",'[49]سجل المستخلصات'!$K$19)</f>
        <v/>
      </c>
      <c r="K38" s="60">
        <f>IF('[49]سجل المستخلصات'!$L$19="","",'[49]سجل المستخلصات'!$L$19)</f>
        <v/>
      </c>
      <c r="L38" s="60">
        <f>IF('[49]سجل المستخلصات'!$M$19="","",'[49]سجل المستخلصات'!$M$19)</f>
        <v/>
      </c>
      <c r="M38" s="60">
        <f>IF('[49]سجل المستخلصات'!$N$19="","",'[49]سجل المستخلصات'!$N$19)</f>
        <v/>
      </c>
      <c r="N38" s="59">
        <f>IF('[49]سجل المستخلصات'!$O$19="","",'[49]سجل المستخلصات'!$O$19)</f>
        <v/>
      </c>
      <c r="O38" s="59">
        <f>IF('[49]سجل المستخلصات'!$R$19="","",'[49]سجل المستخلصات'!$R$19)</f>
        <v/>
      </c>
      <c r="P38" s="59">
        <f>IF('[49]سجل المستخلصات'!$S$19="","",'[49]سجل المستخلصات'!$S$19)</f>
        <v/>
      </c>
      <c r="Q38" s="59">
        <f>IF('[49]سجل المستخلصات'!$T$19="","",'[49]سجل المستخلصات'!$T$19)</f>
        <v/>
      </c>
      <c r="R38" s="59">
        <f>IF('[49]سجل المستخلصات'!$V$19="","",'[49]سجل المستخلصات'!$V$19)</f>
        <v/>
      </c>
      <c r="S38" s="59">
        <f>IF('[49]سجل المستخلصات'!$W$19="","",'[49]سجل المستخلصات'!$W$19)</f>
        <v/>
      </c>
      <c r="T38" s="61">
        <f>IF('[49]سجل المستخلصات'!$X$19="","",'[49]سجل المستخلصات'!$X$19)</f>
        <v/>
      </c>
      <c r="U38" s="61">
        <f>IF('[49]سجل المستخلصات'!$Z$19="","",'[49]سجل المستخلصات'!$Z$19)</f>
        <v/>
      </c>
      <c r="V38" s="59">
        <f>IF('[49]سجل المستخلصات'!$AA$19="","",'[49]سجل المستخلصات'!$AA$19)</f>
        <v/>
      </c>
      <c r="W38" s="59">
        <f>IF('[49]سجل المستخلصات'!$AC$19="","",'[49]سجل المستخلصات'!$AC$19)</f>
        <v/>
      </c>
      <c r="X38" s="62">
        <f>IF('[49]سجل المستخلصات'!$AD$19="","",'[49]سجل المستخلصات'!$AD$19)</f>
        <v/>
      </c>
      <c r="Y38" s="58">
        <f>IF('[49]سجل المستخلصات'!$AE$19="","",'[49]سجل المستخلصات'!$AE$19)</f>
        <v/>
      </c>
    </row>
    <row r="39">
      <c r="B39" s="56" t="n">
        <v>15</v>
      </c>
      <c r="C39" s="57">
        <f>IF('[49]سجل المستخلصات'!$C$20="","",'[49]سجل المستخلصات'!$C$20)</f>
        <v/>
      </c>
      <c r="D39" s="57">
        <f>IF('[49]سجل المستخلصات'!$E$20="","",'[49]سجل المستخلصات'!$E$20)</f>
        <v/>
      </c>
      <c r="E39" s="58">
        <f>IF('[49]سجل المستخلصات'!$F$20="","",'[49]سجل المستخلصات'!$F$20)</f>
        <v/>
      </c>
      <c r="F39" s="59">
        <f>IF('[49]سجل المستخلصات'!$H$20="","",'[49]سجل المستخلصات'!$H$20)</f>
        <v/>
      </c>
      <c r="G39" s="59">
        <f>IF('[49]سجل المستخلصات'!$G$20="","",'[49]سجل المستخلصات'!$G$20)</f>
        <v/>
      </c>
      <c r="H39" s="59">
        <f>IF('[49]سجل المستخلصات'!$I$20="","",'[49]سجل المستخلصات'!$I$20)</f>
        <v/>
      </c>
      <c r="I39" s="59">
        <f>IF('[49]سجل المستخلصات'!$J$20="","",'[49]سجل المستخلصات'!$J$20)</f>
        <v/>
      </c>
      <c r="J39" s="59">
        <f>IF('[49]سجل المستخلصات'!$K$20="","",'[49]سجل المستخلصات'!$K$20)</f>
        <v/>
      </c>
      <c r="K39" s="60">
        <f>IF('[49]سجل المستخلصات'!$L$20="","",'[49]سجل المستخلصات'!$L$20)</f>
        <v/>
      </c>
      <c r="L39" s="60">
        <f>IF('[49]سجل المستخلصات'!$M$20="","",'[49]سجل المستخلصات'!$M$20)</f>
        <v/>
      </c>
      <c r="M39" s="60">
        <f>IF('[49]سجل المستخلصات'!$N$20="","",'[49]سجل المستخلصات'!$N$20)</f>
        <v/>
      </c>
      <c r="N39" s="59">
        <f>IF('[49]سجل المستخلصات'!$O$20="","",'[49]سجل المستخلصات'!$O$20)</f>
        <v/>
      </c>
      <c r="O39" s="59">
        <f>IF('[49]سجل المستخلصات'!$R$20="","",'[49]سجل المستخلصات'!$R$20)</f>
        <v/>
      </c>
      <c r="P39" s="59">
        <f>IF('[49]سجل المستخلصات'!$S$20="","",'[49]سجل المستخلصات'!$S$20)</f>
        <v/>
      </c>
      <c r="Q39" s="59">
        <f>IF('[49]سجل المستخلصات'!$T$20="","",'[49]سجل المستخلصات'!$T$20)</f>
        <v/>
      </c>
      <c r="R39" s="59">
        <f>IF('[49]سجل المستخلصات'!$V$20="","",'[49]سجل المستخلصات'!$V$20)</f>
        <v/>
      </c>
      <c r="S39" s="59">
        <f>IF('[49]سجل المستخلصات'!$W$20="","",'[49]سجل المستخلصات'!$W$20)</f>
        <v/>
      </c>
      <c r="T39" s="61">
        <f>IF('[49]سجل المستخلصات'!$X$20="","",'[49]سجل المستخلصات'!$X$20)</f>
        <v/>
      </c>
      <c r="U39" s="61">
        <f>IF('[49]سجل المستخلصات'!$Z$20="","",'[49]سجل المستخلصات'!$Z$20)</f>
        <v/>
      </c>
      <c r="V39" s="59">
        <f>IF('[49]سجل المستخلصات'!$AA$20="","",'[49]سجل المستخلصات'!$AA$20)</f>
        <v/>
      </c>
      <c r="W39" s="59">
        <f>IF('[49]سجل المستخلصات'!$AC$20="","",'[49]سجل المستخلصات'!$AC$20)</f>
        <v/>
      </c>
      <c r="X39" s="62">
        <f>IF('[49]سجل المستخلصات'!$AD$20="","",'[49]سجل المستخلصات'!$AD$20)</f>
        <v/>
      </c>
      <c r="Y39" s="58">
        <f>IF('[49]سجل المستخلصات'!$AE$20="","",'[49]سجل المستخلصات'!$AE$20)</f>
        <v/>
      </c>
    </row>
    <row r="40">
      <c r="B40" s="56" t="n">
        <v>16</v>
      </c>
      <c r="C40" s="57">
        <f>IF('[49]سجل المستخلصات'!$C$21="","",'[49]سجل المستخلصات'!$C$21)</f>
        <v/>
      </c>
      <c r="D40" s="57">
        <f>IF('[49]سجل المستخلصات'!$E$21="","",'[49]سجل المستخلصات'!$E$21)</f>
        <v/>
      </c>
      <c r="E40" s="58">
        <f>IF('[49]سجل المستخلصات'!$F$21="","",'[49]سجل المستخلصات'!$F$21)</f>
        <v/>
      </c>
      <c r="F40" s="59">
        <f>IF('[49]سجل المستخلصات'!$H$21="","",'[49]سجل المستخلصات'!$H$21)</f>
        <v/>
      </c>
      <c r="G40" s="59">
        <f>IF('[49]سجل المستخلصات'!$G$21="","",'[49]سجل المستخلصات'!$G$21)</f>
        <v/>
      </c>
      <c r="H40" s="59">
        <f>IF('[49]سجل المستخلصات'!$I$21="","",'[49]سجل المستخلصات'!$I$21)</f>
        <v/>
      </c>
      <c r="I40" s="59">
        <f>IF('[49]سجل المستخلصات'!$J$21="","",'[49]سجل المستخلصات'!$J$21)</f>
        <v/>
      </c>
      <c r="J40" s="59">
        <f>IF('[49]سجل المستخلصات'!$K$21="","",'[49]سجل المستخلصات'!$K$21)</f>
        <v/>
      </c>
      <c r="K40" s="60">
        <f>IF('[49]سجل المستخلصات'!$L$21="","",'[49]سجل المستخلصات'!$L$21)</f>
        <v/>
      </c>
      <c r="L40" s="60">
        <f>IF('[49]سجل المستخلصات'!$M$21="","",'[49]سجل المستخلصات'!$M$21)</f>
        <v/>
      </c>
      <c r="M40" s="60">
        <f>IF('[49]سجل المستخلصات'!$N$21="","",'[49]سجل المستخلصات'!$N$21)</f>
        <v/>
      </c>
      <c r="N40" s="59">
        <f>IF('[49]سجل المستخلصات'!$O$21="","",'[49]سجل المستخلصات'!$O$21)</f>
        <v/>
      </c>
      <c r="O40" s="59">
        <f>IF('[49]سجل المستخلصات'!$R$21="","",'[49]سجل المستخلصات'!$R$21)</f>
        <v/>
      </c>
      <c r="P40" s="59">
        <f>IF('[49]سجل المستخلصات'!$S$21="","",'[49]سجل المستخلصات'!$S$21)</f>
        <v/>
      </c>
      <c r="Q40" s="59">
        <f>IF('[49]سجل المستخلصات'!$T$21="","",'[49]سجل المستخلصات'!$T$21)</f>
        <v/>
      </c>
      <c r="R40" s="59">
        <f>IF('[49]سجل المستخلصات'!$V$21="","",'[49]سجل المستخلصات'!$V$21)</f>
        <v/>
      </c>
      <c r="S40" s="59">
        <f>IF('[49]سجل المستخلصات'!$W$21="","",'[49]سجل المستخلصات'!$W$21)</f>
        <v/>
      </c>
      <c r="T40" s="61">
        <f>IF('[49]سجل المستخلصات'!$X$21="","",'[49]سجل المستخلصات'!$X$21)</f>
        <v/>
      </c>
      <c r="U40" s="61">
        <f>IF('[49]سجل المستخلصات'!$Z$21="","",'[49]سجل المستخلصات'!$Z$21)</f>
        <v/>
      </c>
      <c r="V40" s="59">
        <f>IF('[49]سجل المستخلصات'!$AA$21="","",'[49]سجل المستخلصات'!$AA$21)</f>
        <v/>
      </c>
      <c r="W40" s="59">
        <f>IF('[49]سجل المستخلصات'!$AC$21="","",'[49]سجل المستخلصات'!$AC$21)</f>
        <v/>
      </c>
      <c r="X40" s="62">
        <f>IF('[49]سجل المستخلصات'!$AD$21="","",'[49]سجل المستخلصات'!$AD$21)</f>
        <v/>
      </c>
      <c r="Y40" s="58">
        <f>IF('[49]سجل المستخلصات'!$AE$21="","",'[49]سجل المستخلصات'!$AE$21)</f>
        <v/>
      </c>
    </row>
    <row r="41">
      <c r="B41" s="56" t="n">
        <v>17</v>
      </c>
      <c r="C41" s="57">
        <f>IF('[49]سجل المستخلصات'!$C$22="","",'[49]سجل المستخلصات'!$C$22)</f>
        <v/>
      </c>
      <c r="D41" s="57">
        <f>IF('[49]سجل المستخلصات'!$E$22="","",'[49]سجل المستخلصات'!$E$22)</f>
        <v/>
      </c>
      <c r="E41" s="58">
        <f>IF('[49]سجل المستخلصات'!$F$22="","",'[49]سجل المستخلصات'!$F$22)</f>
        <v/>
      </c>
      <c r="F41" s="59">
        <f>IF('[49]سجل المستخلصات'!$H$22="","",'[49]سجل المستخلصات'!$H$22)</f>
        <v/>
      </c>
      <c r="G41" s="59">
        <f>IF('[49]سجل المستخلصات'!$G$22="","",'[49]سجل المستخلصات'!$G$22)</f>
        <v/>
      </c>
      <c r="H41" s="59">
        <f>IF('[49]سجل المستخلصات'!$I$22="","",'[49]سجل المستخلصات'!$I$22)</f>
        <v/>
      </c>
      <c r="I41" s="59">
        <f>IF('[49]سجل المستخلصات'!$J$22="","",'[49]سجل المستخلصات'!$J$22)</f>
        <v/>
      </c>
      <c r="J41" s="59">
        <f>IF('[49]سجل المستخلصات'!$K$22="","",'[49]سجل المستخلصات'!$K$22)</f>
        <v/>
      </c>
      <c r="K41" s="60">
        <f>IF('[49]سجل المستخلصات'!$L$22="","",'[49]سجل المستخلصات'!$L$22)</f>
        <v/>
      </c>
      <c r="L41" s="60">
        <f>IF('[49]سجل المستخلصات'!$M$22="","",'[49]سجل المستخلصات'!$M$22)</f>
        <v/>
      </c>
      <c r="M41" s="60">
        <f>IF('[49]سجل المستخلصات'!$N$22="","",'[49]سجل المستخلصات'!$N$22)</f>
        <v/>
      </c>
      <c r="N41" s="59">
        <f>IF('[49]سجل المستخلصات'!$O$22="","",'[49]سجل المستخلصات'!$O$22)</f>
        <v/>
      </c>
      <c r="O41" s="59">
        <f>IF('[49]سجل المستخلصات'!$R$22="","",'[49]سجل المستخلصات'!$R$22)</f>
        <v/>
      </c>
      <c r="P41" s="59">
        <f>IF('[49]سجل المستخلصات'!$S$22="","",'[49]سجل المستخلصات'!$S$22)</f>
        <v/>
      </c>
      <c r="Q41" s="59">
        <f>IF('[49]سجل المستخلصات'!$T$22="","",'[49]سجل المستخلصات'!$T$22)</f>
        <v/>
      </c>
      <c r="R41" s="59">
        <f>IF('[49]سجل المستخلصات'!$V$22="","",'[49]سجل المستخلصات'!$V$22)</f>
        <v/>
      </c>
      <c r="S41" s="59">
        <f>IF('[49]سجل المستخلصات'!$W$22="","",'[49]سجل المستخلصات'!$W$22)</f>
        <v/>
      </c>
      <c r="T41" s="61">
        <f>IF('[49]سجل المستخلصات'!$X$22="","",'[49]سجل المستخلصات'!$X$22)</f>
        <v/>
      </c>
      <c r="U41" s="61">
        <f>IF('[49]سجل المستخلصات'!$Z$22="","",'[49]سجل المستخلصات'!$Z$22)</f>
        <v/>
      </c>
      <c r="V41" s="59">
        <f>IF('[49]سجل المستخلصات'!$AA$22="","",'[49]سجل المستخلصات'!$AA$22)</f>
        <v/>
      </c>
      <c r="W41" s="59">
        <f>IF('[49]سجل المستخلصات'!$AC$22="","",'[49]سجل المستخلصات'!$AC$22)</f>
        <v/>
      </c>
      <c r="X41" s="62">
        <f>IF('[49]سجل المستخلصات'!$AD$22="","",'[49]سجل المستخلصات'!$AD$22)</f>
        <v/>
      </c>
      <c r="Y41" s="58">
        <f>IF('[49]سجل المستخلصات'!$AE$22="","",'[49]سجل المستخلصات'!$AE$22)</f>
        <v/>
      </c>
    </row>
    <row r="42">
      <c r="B42" s="56" t="n">
        <v>18</v>
      </c>
      <c r="C42" s="57">
        <f>IF('[49]سجل المستخلصات'!$C$23="","",'[49]سجل المستخلصات'!$C$23)</f>
        <v/>
      </c>
      <c r="D42" s="57">
        <f>IF('[49]سجل المستخلصات'!$E$23="","",'[49]سجل المستخلصات'!$E$23)</f>
        <v/>
      </c>
      <c r="E42" s="58">
        <f>IF('[49]سجل المستخلصات'!$F$23="","",'[49]سجل المستخلصات'!$F$23)</f>
        <v/>
      </c>
      <c r="F42" s="59">
        <f>IF('[49]سجل المستخلصات'!$H$23="","",'[49]سجل المستخلصات'!$H$23)</f>
        <v/>
      </c>
      <c r="G42" s="59">
        <f>IF('[49]سجل المستخلصات'!$G$23="","",'[49]سجل المستخلصات'!$G$23)</f>
        <v/>
      </c>
      <c r="H42" s="59">
        <f>IF('[49]سجل المستخلصات'!$I$23="","",'[49]سجل المستخلصات'!$I$23)</f>
        <v/>
      </c>
      <c r="I42" s="59">
        <f>IF('[49]سجل المستخلصات'!$J$23="","",'[49]سجل المستخلصات'!$J$23)</f>
        <v/>
      </c>
      <c r="J42" s="59">
        <f>IF('[49]سجل المستخلصات'!$K$23="","",'[49]سجل المستخلصات'!$K$23)</f>
        <v/>
      </c>
      <c r="K42" s="60">
        <f>IF('[49]سجل المستخلصات'!$L$23="","",'[49]سجل المستخلصات'!$L$23)</f>
        <v/>
      </c>
      <c r="L42" s="60">
        <f>IF('[49]سجل المستخلصات'!$M$23="","",'[49]سجل المستخلصات'!$M$23)</f>
        <v/>
      </c>
      <c r="M42" s="60">
        <f>IF('[49]سجل المستخلصات'!$N$23="","",'[49]سجل المستخلصات'!$N$23)</f>
        <v/>
      </c>
      <c r="N42" s="59">
        <f>IF('[49]سجل المستخلصات'!$O$23="","",'[49]سجل المستخلصات'!$O$23)</f>
        <v/>
      </c>
      <c r="O42" s="59">
        <f>IF('[49]سجل المستخلصات'!$R$23="","",'[49]سجل المستخلصات'!$R$23)</f>
        <v/>
      </c>
      <c r="P42" s="59">
        <f>IF('[49]سجل المستخلصات'!$S$23="","",'[49]سجل المستخلصات'!$S$23)</f>
        <v/>
      </c>
      <c r="Q42" s="59">
        <f>IF('[49]سجل المستخلصات'!$T$23="","",'[49]سجل المستخلصات'!$T$23)</f>
        <v/>
      </c>
      <c r="R42" s="59">
        <f>IF('[49]سجل المستخلصات'!$V$23="","",'[49]سجل المستخلصات'!$V$23)</f>
        <v/>
      </c>
      <c r="S42" s="59">
        <f>IF('[49]سجل المستخلصات'!$W$23="","",'[49]سجل المستخلصات'!$W$23)</f>
        <v/>
      </c>
      <c r="T42" s="61">
        <f>IF('[49]سجل المستخلصات'!$X$23="","",'[49]سجل المستخلصات'!$X$23)</f>
        <v/>
      </c>
      <c r="U42" s="61">
        <f>IF('[49]سجل المستخلصات'!$Z$23="","",'[49]سجل المستخلصات'!$Z$23)</f>
        <v/>
      </c>
      <c r="V42" s="59">
        <f>IF('[49]سجل المستخلصات'!$AA$23="","",'[49]سجل المستخلصات'!$AA$23)</f>
        <v/>
      </c>
      <c r="W42" s="59">
        <f>IF('[49]سجل المستخلصات'!$AC$23="","",'[49]سجل المستخلصات'!$AC$23)</f>
        <v/>
      </c>
      <c r="X42" s="62">
        <f>IF('[49]سجل المستخلصات'!$AD$23="","",'[49]سجل المستخلصات'!$AD$23)</f>
        <v/>
      </c>
      <c r="Y42" s="58">
        <f>IF('[49]سجل المستخلصات'!$AE$23="","",'[49]سجل المستخلصات'!$AE$23)</f>
        <v/>
      </c>
    </row>
    <row r="43">
      <c r="B43" s="56" t="n">
        <v>19</v>
      </c>
      <c r="C43" s="57">
        <f>IF('[49]سجل المستخلصات'!$C$24="","",'[49]سجل المستخلصات'!$C$24)</f>
        <v/>
      </c>
      <c r="D43" s="57">
        <f>IF('[49]سجل المستخلصات'!$E$24="","",'[49]سجل المستخلصات'!$E$24)</f>
        <v/>
      </c>
      <c r="E43" s="58">
        <f>IF('[49]سجل المستخلصات'!$F$24="","",'[49]سجل المستخلصات'!$F$24)</f>
        <v/>
      </c>
      <c r="F43" s="59">
        <f>IF('[49]سجل المستخلصات'!$H$24="","",'[49]سجل المستخلصات'!$H$24)</f>
        <v/>
      </c>
      <c r="G43" s="59">
        <f>IF('[49]سجل المستخلصات'!$G$24="","",'[49]سجل المستخلصات'!$G$24)</f>
        <v/>
      </c>
      <c r="H43" s="59">
        <f>IF('[49]سجل المستخلصات'!$I$24="","",'[49]سجل المستخلصات'!$I$24)</f>
        <v/>
      </c>
      <c r="I43" s="59">
        <f>IF('[49]سجل المستخلصات'!$J$24="","",'[49]سجل المستخلصات'!$J$24)</f>
        <v/>
      </c>
      <c r="J43" s="59">
        <f>IF('[49]سجل المستخلصات'!$K$24="","",'[49]سجل المستخلصات'!$K$24)</f>
        <v/>
      </c>
      <c r="K43" s="60">
        <f>IF('[49]سجل المستخلصات'!$L$24="","",'[49]سجل المستخلصات'!$L$24)</f>
        <v/>
      </c>
      <c r="L43" s="60">
        <f>IF('[49]سجل المستخلصات'!$M$24="","",'[49]سجل المستخلصات'!$M$24)</f>
        <v/>
      </c>
      <c r="M43" s="60">
        <f>IF('[49]سجل المستخلصات'!$N$24="","",'[49]سجل المستخلصات'!$N$24)</f>
        <v/>
      </c>
      <c r="N43" s="59">
        <f>IF('[49]سجل المستخلصات'!$O$24="","",'[49]سجل المستخلصات'!$O$24)</f>
        <v/>
      </c>
      <c r="O43" s="59">
        <f>IF('[49]سجل المستخلصات'!$R$24="","",'[49]سجل المستخلصات'!$R$24)</f>
        <v/>
      </c>
      <c r="P43" s="59">
        <f>IF('[49]سجل المستخلصات'!$S$24="","",'[49]سجل المستخلصات'!$S$24)</f>
        <v/>
      </c>
      <c r="Q43" s="59">
        <f>IF('[49]سجل المستخلصات'!$T$24="","",'[49]سجل المستخلصات'!$T$24)</f>
        <v/>
      </c>
      <c r="R43" s="59">
        <f>IF('[49]سجل المستخلصات'!$V$24="","",'[49]سجل المستخلصات'!$V$24)</f>
        <v/>
      </c>
      <c r="S43" s="59">
        <f>IF('[49]سجل المستخلصات'!$W$24="","",'[49]سجل المستخلصات'!$W$24)</f>
        <v/>
      </c>
      <c r="T43" s="61">
        <f>IF('[49]سجل المستخلصات'!$X$24="","",'[49]سجل المستخلصات'!$X$24)</f>
        <v/>
      </c>
      <c r="U43" s="61">
        <f>IF('[49]سجل المستخلصات'!$Z$24="","",'[49]سجل المستخلصات'!$Z$24)</f>
        <v/>
      </c>
      <c r="V43" s="59">
        <f>IF('[49]سجل المستخلصات'!$AA$24="","",'[49]سجل المستخلصات'!$AA$24)</f>
        <v/>
      </c>
      <c r="W43" s="59">
        <f>IF('[49]سجل المستخلصات'!$AC$24="","",'[49]سجل المستخلصات'!$AC$24)</f>
        <v/>
      </c>
      <c r="X43" s="62">
        <f>IF('[49]سجل المستخلصات'!$AD$24="","",'[49]سجل المستخلصات'!$AD$24)</f>
        <v/>
      </c>
      <c r="Y43" s="58">
        <f>IF('[49]سجل المستخلصات'!$AE$24="","",'[49]سجل المستخلصات'!$AE$24)</f>
        <v/>
      </c>
    </row>
    <row r="44">
      <c r="B44" s="56" t="n">
        <v>20</v>
      </c>
      <c r="C44" s="57">
        <f>IF('[49]سجل المستخلصات'!$C$25="","",'[49]سجل المستخلصات'!$C$25)</f>
        <v/>
      </c>
      <c r="D44" s="57">
        <f>IF('[49]سجل المستخلصات'!$E$25="","",'[49]سجل المستخلصات'!$E$25)</f>
        <v/>
      </c>
      <c r="E44" s="58">
        <f>IF('[49]سجل المستخلصات'!$F$25="","",'[49]سجل المستخلصات'!$F$25)</f>
        <v/>
      </c>
      <c r="F44" s="59">
        <f>IF('[49]سجل المستخلصات'!$H$25="","",'[49]سجل المستخلصات'!$H$25)</f>
        <v/>
      </c>
      <c r="G44" s="59">
        <f>IF('[49]سجل المستخلصات'!$G$25="","",'[49]سجل المستخلصات'!$G$25)</f>
        <v/>
      </c>
      <c r="H44" s="59">
        <f>IF('[49]سجل المستخلصات'!$I$25="","",'[49]سجل المستخلصات'!$I$25)</f>
        <v/>
      </c>
      <c r="I44" s="59">
        <f>IF('[49]سجل المستخلصات'!$J$25="","",'[49]سجل المستخلصات'!$J$25)</f>
        <v/>
      </c>
      <c r="J44" s="59">
        <f>IF('[49]سجل المستخلصات'!$K$25="","",'[49]سجل المستخلصات'!$K$25)</f>
        <v/>
      </c>
      <c r="K44" s="60">
        <f>IF('[49]سجل المستخلصات'!$L$25="","",'[49]سجل المستخلصات'!$L$25)</f>
        <v/>
      </c>
      <c r="L44" s="60">
        <f>IF('[49]سجل المستخلصات'!$M$25="","",'[49]سجل المستخلصات'!$M$25)</f>
        <v/>
      </c>
      <c r="M44" s="60">
        <f>IF('[49]سجل المستخلصات'!$N$25="","",'[49]سجل المستخلصات'!$N$25)</f>
        <v/>
      </c>
      <c r="N44" s="59">
        <f>IF('[49]سجل المستخلصات'!$O$25="","",'[49]سجل المستخلصات'!$O$25)</f>
        <v/>
      </c>
      <c r="O44" s="59">
        <f>IF('[49]سجل المستخلصات'!$R$25="","",'[49]سجل المستخلصات'!$R$25)</f>
        <v/>
      </c>
      <c r="P44" s="59">
        <f>IF('[49]سجل المستخلصات'!$S$25="","",'[49]سجل المستخلصات'!$S$25)</f>
        <v/>
      </c>
      <c r="Q44" s="59">
        <f>IF('[49]سجل المستخلصات'!$T$25="","",'[49]سجل المستخلصات'!$T$25)</f>
        <v/>
      </c>
      <c r="R44" s="59">
        <f>IF('[49]سجل المستخلصات'!$V$25="","",'[49]سجل المستخلصات'!$V$25)</f>
        <v/>
      </c>
      <c r="S44" s="59">
        <f>IF('[49]سجل المستخلصات'!$W$25="","",'[49]سجل المستخلصات'!$W$25)</f>
        <v/>
      </c>
      <c r="T44" s="61">
        <f>IF('[49]سجل المستخلصات'!$X$25="","",'[49]سجل المستخلصات'!$X$25)</f>
        <v/>
      </c>
      <c r="U44" s="61">
        <f>IF('[49]سجل المستخلصات'!$Z$25="","",'[49]سجل المستخلصات'!$Z$25)</f>
        <v/>
      </c>
      <c r="V44" s="59">
        <f>IF('[49]سجل المستخلصات'!$AA$25="","",'[49]سجل المستخلصات'!$AA$25)</f>
        <v/>
      </c>
      <c r="W44" s="59">
        <f>IF('[49]سجل المستخلصات'!$AC$25="","",'[49]سجل المستخلصات'!$AC$25)</f>
        <v/>
      </c>
      <c r="X44" s="62">
        <f>IF('[49]سجل المستخلصات'!$AD$25="","",'[49]سجل المستخلصات'!$AD$25)</f>
        <v/>
      </c>
      <c r="Y44" s="58">
        <f>IF('[49]سجل المستخلصات'!$AE$25="","",'[49]سجل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IF('[49]سجل المستخلصات'!$B$32="","",'[49]سجل المستخلصات'!$B$32)</f>
        <v/>
      </c>
      <c r="C50" s="69" t="n"/>
      <c r="D50" s="69" t="n"/>
      <c r="E50" s="59">
        <f>N('[49]سجل المستخلصات'!$E$32)</f>
        <v/>
      </c>
      <c r="F50" s="59">
        <f>N('[49]سجل المستخلصات'!$F$32)</f>
        <v/>
      </c>
      <c r="G50" s="70">
        <f>IF(E50&gt;0,F50/E50,0)</f>
        <v/>
      </c>
    </row>
    <row r="51">
      <c r="B51" s="69">
        <f>IF('[49]سجل المستخلصات'!$B$33="","",'[49]سجل المستخلصات'!$B$33)</f>
        <v/>
      </c>
      <c r="C51" s="69" t="n"/>
      <c r="D51" s="69" t="n"/>
      <c r="E51" s="59">
        <f>N('[49]سجل المستخلصات'!$E$33)</f>
        <v/>
      </c>
      <c r="F51" s="59">
        <f>N('[49]سجل المستخلصات'!$F$33)</f>
        <v/>
      </c>
      <c r="G51" s="70">
        <f>IF(E51&gt;0,F51/E51,0)</f>
        <v/>
      </c>
    </row>
    <row r="52">
      <c r="B52" s="69">
        <f>IF('[49]سجل المستخلصات'!$B$34="","",'[49]سجل المستخلصات'!$B$34)</f>
        <v/>
      </c>
      <c r="C52" s="69" t="n"/>
      <c r="D52" s="69" t="n"/>
      <c r="E52" s="59">
        <f>N('[49]سجل المستخلصات'!$E$34)</f>
        <v/>
      </c>
      <c r="F52" s="59">
        <f>N('[49]سجل المستخلصات'!$F$34)</f>
        <v/>
      </c>
      <c r="G52" s="70">
        <f>IF(E52&gt;0,F52/E52,0)</f>
        <v/>
      </c>
    </row>
    <row r="53">
      <c r="B53" s="69">
        <f>IF('[49]سجل المستخلصات'!$B$35="","",'[49]سجل المستخلصات'!$B$35)</f>
        <v/>
      </c>
      <c r="C53" s="69" t="n"/>
      <c r="D53" s="69" t="n"/>
      <c r="E53" s="59">
        <f>N('[49]سجل المستخلصات'!$E$35)</f>
        <v/>
      </c>
      <c r="F53" s="59">
        <f>N('[49]سجل المستخلصات'!$F$35)</f>
        <v/>
      </c>
      <c r="G53" s="70">
        <f>IF(E53&gt;0,F53/E53,0)</f>
        <v/>
      </c>
    </row>
    <row r="54">
      <c r="B54" s="69">
        <f>IF('[49]سجل المستخلصات'!$B$36="","",'[49]سجل المستخلصات'!$B$36)</f>
        <v/>
      </c>
      <c r="C54" s="69" t="n"/>
      <c r="D54" s="69" t="n"/>
      <c r="E54" s="59">
        <f>N('[49]سجل المستخلصات'!$E$36)</f>
        <v/>
      </c>
      <c r="F54" s="59">
        <f>N('[49]سجل المستخلصات'!$F$36)</f>
        <v/>
      </c>
      <c r="G54" s="70">
        <f>IF(E54&gt;0,F54/E54,0)</f>
        <v/>
      </c>
    </row>
    <row r="55">
      <c r="B55" s="69">
        <f>IF('[49]سجل المستخلصات'!$B$37="","",'[49]سجل المستخلصات'!$B$37)</f>
        <v/>
      </c>
      <c r="C55" s="69" t="n"/>
      <c r="D55" s="69" t="n"/>
      <c r="E55" s="59">
        <f>N('[49]سجل المستخلصات'!$E$37)</f>
        <v/>
      </c>
      <c r="F55" s="59">
        <f>N('[49]سجل المستخلصات'!$F$37)</f>
        <v/>
      </c>
      <c r="G55" s="70">
        <f>IF(E55&gt;0,F55/E55,0)</f>
        <v/>
      </c>
    </row>
    <row r="56">
      <c r="B56" s="69">
        <f>IF('[49]سجل المستخلصات'!$B$38="","",'[49]سجل المستخلصات'!$B$38)</f>
        <v/>
      </c>
      <c r="C56" s="69" t="n"/>
      <c r="D56" s="69" t="n"/>
      <c r="E56" s="59">
        <f>N('[49]سجل المستخلصات'!$E$38)</f>
        <v/>
      </c>
      <c r="F56" s="59">
        <f>N('[49]سجل المستخلصات'!$F$38)</f>
        <v/>
      </c>
      <c r="G56" s="70">
        <f>IF(E56&gt;0,F56/E56,0)</f>
        <v/>
      </c>
    </row>
    <row r="57">
      <c r="B57" s="69">
        <f>IF('[49]سجل المستخلصات'!$B$39="","",'[49]سجل المستخلصات'!$B$39)</f>
        <v/>
      </c>
      <c r="C57" s="69" t="n"/>
      <c r="D57" s="69" t="n"/>
      <c r="E57" s="59">
        <f>N('[49]سجل المستخلصات'!$E$39)</f>
        <v/>
      </c>
      <c r="F57" s="59">
        <f>N('[49]سجل المستخلصات'!$F$39)</f>
        <v/>
      </c>
      <c r="G57" s="70">
        <f>IF(E57&gt;0,F57/E57,0)</f>
        <v/>
      </c>
    </row>
    <row r="58">
      <c r="B58" s="69">
        <f>IF('[49]سجل المستخلصات'!$B$40="","",'[49]سجل المستخلصات'!$B$40)</f>
        <v/>
      </c>
      <c r="C58" s="69" t="n"/>
      <c r="D58" s="69" t="n"/>
      <c r="E58" s="59">
        <f>N('[49]سجل المستخلصات'!$E$40)</f>
        <v/>
      </c>
      <c r="F58" s="59">
        <f>N('[49]سجل المستخلصات'!$F$40)</f>
        <v/>
      </c>
      <c r="G58" s="70">
        <f>IF(E58&gt;0,F58/E58,0)</f>
        <v/>
      </c>
    </row>
    <row r="59">
      <c r="B59" s="69">
        <f>IF('[49]سجل المستخلصات'!$B$41="","",'[49]سجل المستخلصات'!$B$41)</f>
        <v/>
      </c>
      <c r="C59" s="69" t="n"/>
      <c r="D59" s="69" t="n"/>
      <c r="E59" s="59">
        <f>N('[49]سجل المستخلصات'!$E$41)</f>
        <v/>
      </c>
      <c r="F59" s="59">
        <f>N('[49]سجل المستخلصات'!$F$41)</f>
        <v/>
      </c>
      <c r="G59" s="70">
        <f>IF(E59&gt;0,F59/E59,0)</f>
        <v/>
      </c>
    </row>
    <row r="60">
      <c r="B60" s="69">
        <f>IF('[49]سجل المستخلصات'!$B$42="","",'[49]سجل المستخلصات'!$B$42)</f>
        <v/>
      </c>
      <c r="C60" s="69" t="n"/>
      <c r="D60" s="69" t="n"/>
      <c r="E60" s="59">
        <f>N('[49]سجل المستخلصات'!$E$42)</f>
        <v/>
      </c>
      <c r="F60" s="59">
        <f>N('[49]سجل المستخلصات'!$F$42)</f>
        <v/>
      </c>
      <c r="G60" s="70">
        <f>IF(E60&gt;0,F60/E60,0)</f>
        <v/>
      </c>
    </row>
    <row r="61">
      <c r="B61" s="69">
        <f>IF('[49]سجل المستخلصات'!$B$43="","",'[49]سجل المستخلصات'!$B$43)</f>
        <v/>
      </c>
      <c r="C61" s="69" t="n"/>
      <c r="D61" s="69" t="n"/>
      <c r="E61" s="59">
        <f>N('[49]سجل المستخلصات'!$E$43)</f>
        <v/>
      </c>
      <c r="F61" s="59">
        <f>N('[49]سجل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48'!A1" display="◄ المشروع السابق"/>
    <hyperlink ref="D3" location="'مشروع 50'!A1" display="المشروع التالي ►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5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AB61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2" customWidth="1" min="26" max="26"/>
    <col width="30" customWidth="1" min="27" max="27"/>
    <col width="18" customWidth="1" min="28" max="28"/>
  </cols>
  <sheetData>
    <row r="1" ht="38" customHeight="1">
      <c r="B1" s="1">
        <f>"📊 "&amp;IF('[50]بيانات العقد'!$C$5="","مشروع رقم 50 — غير مُفعّل",'[50]بيانات العقد'!$C$5)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6" customHeight="1">
      <c r="B3" s="3" t="inlineStr">
        <is>
          <t>🏠 الإجمالي العام</t>
        </is>
      </c>
      <c r="C3" s="4" t="inlineStr">
        <is>
          <t>◄ المشروع السابق</t>
        </is>
      </c>
      <c r="F3" s="12" t="inlineStr">
        <is>
          <t>📂 فتح ملف المستخلصات: Project_50/IPC_Project_50.xlsx</t>
        </is>
      </c>
      <c r="G3" s="12" t="n"/>
      <c r="H3" s="12" t="n"/>
      <c r="I3" s="12" t="n"/>
      <c r="J3" s="12" t="n"/>
      <c r="K3" s="12" t="n"/>
      <c r="L3" s="12" t="n"/>
      <c r="N3" s="13" t="inlineStr">
        <is>
          <t>يُحدَّث آلياً من ملف المستخلصات (تمكين المحتوى ← تحديث الروابط)</t>
        </is>
      </c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>
      <c r="AA4" s="12" t="inlineStr">
        <is>
          <t>بيانات مرتبطة من ملف المستخلصات</t>
        </is>
      </c>
      <c r="AB4" s="12" t="n"/>
    </row>
    <row r="5" ht="22" customHeight="1">
      <c r="B5" s="11" t="inlineStr">
        <is>
          <t>المشروع</t>
        </is>
      </c>
      <c r="C5" s="14">
        <f>IF('[50]بيانات العقد'!$C$5="","",'[50]بيانات العقد'!$C$5)</f>
        <v/>
      </c>
      <c r="D5" s="14" t="n"/>
      <c r="E5" s="14" t="n"/>
      <c r="F5" s="14" t="n"/>
      <c r="G5" s="11" t="inlineStr">
        <is>
          <t>رقم العقد</t>
        </is>
      </c>
      <c r="H5" s="14">
        <f>IF('[50]بيانات العقد'!$C$6="","",'[50]بيانات العقد'!$C$6)</f>
        <v/>
      </c>
      <c r="I5" s="14" t="n"/>
      <c r="J5" s="14" t="n"/>
      <c r="K5" s="14" t="n"/>
      <c r="L5" s="11" t="inlineStr">
        <is>
          <t>صاحب العمل</t>
        </is>
      </c>
      <c r="M5" s="14">
        <f>IF('[50]بيانات العقد'!$C$7="","",'[50]بيانات العقد'!$C$7)</f>
        <v/>
      </c>
      <c r="N5" s="14" t="n"/>
      <c r="O5" s="14" t="n"/>
      <c r="P5" s="14" t="n"/>
      <c r="Q5" s="14" t="n"/>
      <c r="R5" s="11" t="inlineStr">
        <is>
          <t>الاستشاري</t>
        </is>
      </c>
      <c r="S5" s="14">
        <f>IF('[50]بيانات العقد'!$C$8="","",'[50]بيانات العقد'!$C$8)</f>
        <v/>
      </c>
      <c r="T5" s="14" t="n"/>
      <c r="U5" s="14" t="n"/>
      <c r="V5" s="14" t="n"/>
      <c r="W5" s="14" t="n"/>
      <c r="X5" s="14" t="n"/>
      <c r="Y5" s="14" t="n"/>
      <c r="AA5" s="15" t="inlineStr">
        <is>
          <t>قيمة العقد الأصلية</t>
        </is>
      </c>
      <c r="AB5" s="16">
        <f>N('[50]بيانات العقد'!$C$16)</f>
        <v/>
      </c>
    </row>
    <row r="6" ht="22" customHeight="1">
      <c r="B6" s="11" t="inlineStr">
        <is>
          <t>المقاول</t>
        </is>
      </c>
      <c r="C6" s="14">
        <f>IF('[50]بيانات العقد'!$C$9="","",'[50]بيانات العقد'!$C$9)</f>
        <v/>
      </c>
      <c r="D6" s="14" t="n"/>
      <c r="E6" s="14" t="n"/>
      <c r="F6" s="14" t="n"/>
      <c r="G6" s="11" t="inlineStr">
        <is>
          <t>تاريخ البدء</t>
        </is>
      </c>
      <c r="H6" s="17">
        <f>IF('[50]بيانات العقد'!$C$11="","",'[50]بيانات العقد'!$C$11)</f>
        <v/>
      </c>
      <c r="I6" s="17" t="n"/>
      <c r="J6" s="17" t="n"/>
      <c r="K6" s="17" t="n"/>
      <c r="L6" s="11" t="inlineStr">
        <is>
          <t>الانتهاء التعاقدي</t>
        </is>
      </c>
      <c r="M6" s="17">
        <f>IF('[50]بيانات العقد'!$C$13="","",'[50]بيانات العقد'!$C$13)</f>
        <v/>
      </c>
      <c r="N6" s="17" t="n"/>
      <c r="O6" s="17" t="n"/>
      <c r="P6" s="17" t="n"/>
      <c r="Q6" s="17" t="n"/>
      <c r="R6" s="11" t="inlineStr">
        <is>
          <t>العملة</t>
        </is>
      </c>
      <c r="S6" s="14">
        <f>IF('[50]بيانات العقد'!$C$14="","",'[50]بيانات العقد'!$C$14)</f>
        <v/>
      </c>
      <c r="T6" s="14" t="n"/>
      <c r="U6" s="14" t="n"/>
      <c r="V6" s="14" t="n"/>
      <c r="W6" s="14" t="n"/>
      <c r="X6" s="14" t="n"/>
      <c r="Y6" s="14" t="n"/>
      <c r="AA6" s="15" t="inlineStr">
        <is>
          <t>صافي التغييرية المعتمدة</t>
        </is>
      </c>
      <c r="AB6" s="16">
        <f>N('[50]بيانات العقد'!$C$17)</f>
        <v/>
      </c>
    </row>
    <row r="7">
      <c r="AA7" s="15" t="inlineStr">
        <is>
          <t>قيمة العقد المعدلة</t>
        </is>
      </c>
      <c r="AB7" s="16">
        <f>N('[50]بيانات العقد'!$C$18)</f>
        <v/>
      </c>
    </row>
    <row r="8" ht="24" customHeight="1">
      <c r="B8" s="18" t="inlineStr">
        <is>
          <t>قيمة العقد الأصلية</t>
        </is>
      </c>
      <c r="C8" s="18" t="n"/>
      <c r="D8" s="18" t="n"/>
      <c r="E8" s="18" t="n"/>
      <c r="F8" s="19" t="inlineStr">
        <is>
          <t>صافي الأوامر التغييرية</t>
        </is>
      </c>
      <c r="G8" s="19" t="n"/>
      <c r="H8" s="19" t="n"/>
      <c r="I8" s="19" t="n"/>
      <c r="J8" s="18" t="inlineStr">
        <is>
          <t>قيمة العقد المعدلة</t>
        </is>
      </c>
      <c r="K8" s="18" t="n"/>
      <c r="L8" s="18" t="n"/>
      <c r="M8" s="18" t="n"/>
      <c r="N8" s="20" t="inlineStr">
        <is>
          <t>إجمالي قيمة الأعمال التراكمية</t>
        </is>
      </c>
      <c r="O8" s="20" t="n"/>
      <c r="P8" s="20" t="n"/>
      <c r="Q8" s="20" t="n"/>
      <c r="R8" s="21" t="inlineStr">
        <is>
          <t>الأعمال المتبقية</t>
        </is>
      </c>
      <c r="S8" s="21" t="n"/>
      <c r="T8" s="21" t="n"/>
      <c r="U8" s="21" t="n"/>
      <c r="V8" s="22" t="inlineStr">
        <is>
          <t>آخر مستخلص فعال</t>
        </is>
      </c>
      <c r="W8" s="22" t="n"/>
      <c r="X8" s="22" t="n"/>
      <c r="Y8" s="22" t="n"/>
      <c r="AA8" s="15" t="inlineStr">
        <is>
          <t>نسبة الدفعة المقدمة</t>
        </is>
      </c>
      <c r="AB8" s="23">
        <f>N('[50]بيانات العقد'!$C$20)</f>
        <v/>
      </c>
    </row>
    <row r="9" ht="32" customHeight="1">
      <c r="B9" s="24">
        <f>$AB$5</f>
        <v/>
      </c>
      <c r="C9" s="24" t="n"/>
      <c r="D9" s="24" t="n"/>
      <c r="E9" s="24" t="n"/>
      <c r="F9" s="25">
        <f>$AB$6</f>
        <v/>
      </c>
      <c r="G9" s="25" t="n"/>
      <c r="H9" s="25" t="n"/>
      <c r="I9" s="25" t="n"/>
      <c r="J9" s="24">
        <f>$AB$7</f>
        <v/>
      </c>
      <c r="K9" s="24" t="n"/>
      <c r="L9" s="24" t="n"/>
      <c r="M9" s="24" t="n"/>
      <c r="N9" s="26">
        <f>IF($V$9=0,0,N(INDEX($J$25:$J$44,$V$9)))</f>
        <v/>
      </c>
      <c r="O9" s="26" t="n"/>
      <c r="P9" s="26" t="n"/>
      <c r="Q9" s="26" t="n"/>
      <c r="R9" s="27">
        <f>MAX(0,$AB$7-IF($V$9=0,0,N(INDEX($G$25:$G$44,$V$9)))-IF($V$9=0,0,N(INDEX($H$25:$H$44,$V$9))))</f>
        <v/>
      </c>
      <c r="S9" s="27" t="n"/>
      <c r="T9" s="27" t="n"/>
      <c r="U9" s="27" t="n"/>
      <c r="V9" s="28">
        <f>SUMPRODUCT(MAX((C25:C44&lt;&gt;"")*B25:B44))</f>
        <v/>
      </c>
      <c r="W9" s="28" t="n"/>
      <c r="X9" s="28" t="n"/>
      <c r="Y9" s="28" t="n"/>
      <c r="AA9" s="15" t="inlineStr">
        <is>
          <t>قيمة الدفعة المقدمة</t>
        </is>
      </c>
      <c r="AB9" s="16">
        <f>N('[50]بيانات العقد'!$C$21)</f>
        <v/>
      </c>
    </row>
    <row r="10">
      <c r="AA10" s="15" t="inlineStr">
        <is>
          <t>نسبة ضمان الأعمال</t>
        </is>
      </c>
      <c r="AB10" s="23">
        <f>N('[50]بيانات العقد'!$C$27)</f>
        <v/>
      </c>
    </row>
    <row r="11" ht="24" customHeight="1">
      <c r="B11" s="20" t="inlineStr">
        <is>
          <t>نسبة الإنجاز الفعلية</t>
        </is>
      </c>
      <c r="C11" s="20" t="n"/>
      <c r="D11" s="20" t="n"/>
      <c r="E11" s="20" t="n"/>
      <c r="F11" s="18" t="inlineStr">
        <is>
          <t>نسبة الإنجاز المخططة</t>
        </is>
      </c>
      <c r="G11" s="18" t="n"/>
      <c r="H11" s="18" t="n"/>
      <c r="I11" s="18" t="n"/>
      <c r="J11" s="22" t="inlineStr">
        <is>
          <t>الانحراف (فعلي - مخطط)</t>
        </is>
      </c>
      <c r="K11" s="22" t="n"/>
      <c r="L11" s="22" t="n"/>
      <c r="M11" s="22" t="n"/>
      <c r="N11" s="21" t="inlineStr">
        <is>
          <t>نسبة المدة المنقضية</t>
        </is>
      </c>
      <c r="O11" s="21" t="n"/>
      <c r="P11" s="21" t="n"/>
      <c r="Q11" s="21" t="n"/>
      <c r="R11" s="18" t="inlineStr">
        <is>
          <t>مؤشر أداء الجدول (SPI)</t>
        </is>
      </c>
      <c r="S11" s="18" t="n"/>
      <c r="T11" s="18" t="n"/>
      <c r="U11" s="18" t="n"/>
      <c r="V11" s="18" t="inlineStr">
        <is>
          <t>حالة المشروع</t>
        </is>
      </c>
      <c r="W11" s="18" t="n"/>
      <c r="X11" s="18" t="n"/>
      <c r="Y11" s="18" t="n"/>
      <c r="AA11" s="15" t="inlineStr">
        <is>
          <t>الحد الأقصى للضمان</t>
        </is>
      </c>
      <c r="AB11" s="16">
        <f>N('[50]بيانات العقد'!$C$29)</f>
        <v/>
      </c>
    </row>
    <row r="12" ht="32" customHeight="1">
      <c r="B12" s="29">
        <f>IF($V$9=0,0,N(INDEX($K$25:$K$44,$V$9)))</f>
        <v/>
      </c>
      <c r="C12" s="29" t="n"/>
      <c r="D12" s="29" t="n"/>
      <c r="E12" s="29" t="n"/>
      <c r="F12" s="30">
        <f>IF($V$9=0,0,N(INDEX($L$25:$L$44,$V$9)))</f>
        <v/>
      </c>
      <c r="G12" s="30" t="n"/>
      <c r="H12" s="30" t="n"/>
      <c r="I12" s="30" t="n"/>
      <c r="J12" s="31">
        <f>B12-F12</f>
        <v/>
      </c>
      <c r="K12" s="31" t="n"/>
      <c r="L12" s="31" t="n"/>
      <c r="M12" s="31" t="n"/>
      <c r="N12" s="32">
        <f>IF(OR($V$9=0,$AB$14="",$AB$15=""),0,MIN(1,MAX(0,(INDEX(C25:C44,$V$9)-$AB$14+1)/($AB$15-$AB$14+1))))</f>
        <v/>
      </c>
      <c r="O12" s="32" t="n"/>
      <c r="P12" s="32" t="n"/>
      <c r="Q12" s="32" t="n"/>
      <c r="R12" s="33">
        <f>IF(F12&gt;0,B12/F12,0)</f>
        <v/>
      </c>
      <c r="S12" s="33" t="n"/>
      <c r="T12" s="33" t="n"/>
      <c r="U12" s="33" t="n"/>
      <c r="V12" s="34">
        <f>IF($AB$7=0,"غير مُفعّل",IF($V$9=0,"لم يبدأ الصرف",IF(J12&lt;-0.05,"⚠ متأخر",IF(J12&lt;0,"متأخر قليلاً","✔ مطابق / متقدم"))))</f>
        <v/>
      </c>
      <c r="W12" s="34" t="n"/>
      <c r="X12" s="34" t="n"/>
      <c r="Y12" s="34" t="n"/>
      <c r="AA12" s="15" t="inlineStr">
        <is>
          <t>ضريبة القيمة المضافة</t>
        </is>
      </c>
      <c r="AB12" s="23">
        <f>N('[50]بيانات العقد'!$C$31)</f>
        <v/>
      </c>
    </row>
    <row r="13">
      <c r="AA13" s="15" t="inlineStr">
        <is>
          <t>ضريبة الاستقطاع (غير المقيم)</t>
        </is>
      </c>
      <c r="AB13" s="23">
        <f>N('[50]بيانات العقد'!$C$33)</f>
        <v/>
      </c>
    </row>
    <row r="14" ht="24" customHeight="1">
      <c r="B14" s="18" t="inlineStr">
        <is>
          <t>صافي المستحق التراكمي</t>
        </is>
      </c>
      <c r="C14" s="18" t="n"/>
      <c r="D14" s="18" t="n"/>
      <c r="E14" s="18" t="n"/>
      <c r="F14" s="35" t="inlineStr">
        <is>
          <t>إجمالي المحصل</t>
        </is>
      </c>
      <c r="G14" s="35" t="n"/>
      <c r="H14" s="35" t="n"/>
      <c r="I14" s="35" t="n"/>
      <c r="J14" s="36" t="inlineStr">
        <is>
          <t>مستحقات غير محصلة</t>
        </is>
      </c>
      <c r="K14" s="36" t="n"/>
      <c r="L14" s="36" t="n"/>
      <c r="M14" s="36" t="n"/>
      <c r="N14" s="35" t="inlineStr">
        <is>
          <t>نسبة التحصيل</t>
        </is>
      </c>
      <c r="O14" s="35" t="n"/>
      <c r="P14" s="35" t="n"/>
      <c r="Q14" s="35" t="n"/>
      <c r="R14" s="21" t="inlineStr">
        <is>
          <t>متوسط مدة التحصيل (يوم)</t>
        </is>
      </c>
      <c r="S14" s="21" t="n"/>
      <c r="T14" s="21" t="n"/>
      <c r="U14" s="21" t="n"/>
      <c r="V14" s="22" t="inlineStr">
        <is>
          <t>تاريخ آخر مستخلص</t>
        </is>
      </c>
      <c r="W14" s="22" t="n"/>
      <c r="X14" s="22" t="n"/>
      <c r="Y14" s="22" t="n"/>
      <c r="AA14" s="15" t="inlineStr">
        <is>
          <t>تاريخ البدء</t>
        </is>
      </c>
      <c r="AB14" s="37">
        <f>IF('[50]بيانات العقد'!$C$11="","",'[50]بيانات العقد'!$C$11)</f>
        <v/>
      </c>
    </row>
    <row r="15" ht="32" customHeight="1">
      <c r="B15" s="24">
        <f>IF($V$9=0,0,N(INDEX($T$25:$T$44,$V$9)))</f>
        <v/>
      </c>
      <c r="C15" s="24" t="n"/>
      <c r="D15" s="24" t="n"/>
      <c r="E15" s="24" t="n"/>
      <c r="F15" s="38">
        <f>V45</f>
        <v/>
      </c>
      <c r="G15" s="38" t="n"/>
      <c r="H15" s="38" t="n"/>
      <c r="I15" s="38" t="n"/>
      <c r="J15" s="39">
        <f>W45</f>
        <v/>
      </c>
      <c r="K15" s="39" t="n"/>
      <c r="L15" s="39" t="n"/>
      <c r="M15" s="39" t="n"/>
      <c r="N15" s="40">
        <f>IF(B15&gt;0,F15/B15,0)</f>
        <v/>
      </c>
      <c r="O15" s="40" t="n"/>
      <c r="P15" s="40" t="n"/>
      <c r="Q15" s="40" t="n"/>
      <c r="R15" s="41">
        <f>X45</f>
        <v/>
      </c>
      <c r="S15" s="41" t="n"/>
      <c r="T15" s="41" t="n"/>
      <c r="U15" s="41" t="n"/>
      <c r="V15" s="42">
        <f>IF($V$9=0,"",INDEX(C25:C44,$V$9))</f>
        <v/>
      </c>
      <c r="W15" s="42" t="n"/>
      <c r="X15" s="42" t="n"/>
      <c r="Y15" s="42" t="n"/>
      <c r="AA15" s="15" t="inlineStr">
        <is>
          <t>تاريخ الانتهاء التعاقدي</t>
        </is>
      </c>
      <c r="AB15" s="37">
        <f>IF('[50]بيانات العقد'!$C$13="","",'[50]بيانات العقد'!$C$13)</f>
        <v/>
      </c>
    </row>
    <row r="16">
      <c r="AA16" s="15" t="inlineStr">
        <is>
          <t>المدة (شهر)</t>
        </is>
      </c>
      <c r="AB16" s="43">
        <f>IF('[50]بيانات العقد'!$C$12="","",'[50]بيانات العقد'!$C$12)</f>
        <v/>
      </c>
    </row>
    <row r="17" ht="24" customHeight="1">
      <c r="B17" s="44" t="inlineStr">
        <is>
          <t>ضمان الأعمال المحتجز</t>
        </is>
      </c>
      <c r="C17" s="44" t="n"/>
      <c r="D17" s="44" t="n"/>
      <c r="E17" s="44" t="n"/>
      <c r="F17" s="44" t="inlineStr">
        <is>
          <t>رصيد الدفعة المقدمة غير المسترد</t>
        </is>
      </c>
      <c r="G17" s="44" t="n"/>
      <c r="H17" s="44" t="n"/>
      <c r="I17" s="44" t="n"/>
      <c r="J17" s="44" t="inlineStr">
        <is>
          <t>الاستقطاعات الفنية المحتجزة</t>
        </is>
      </c>
      <c r="K17" s="44" t="n"/>
      <c r="L17" s="44" t="n"/>
      <c r="M17" s="44" t="n"/>
      <c r="N17" s="44" t="inlineStr">
        <is>
          <t>الغرامات والخصومات</t>
        </is>
      </c>
      <c r="O17" s="44" t="n"/>
      <c r="P17" s="44" t="n"/>
      <c r="Q17" s="44" t="n"/>
      <c r="R17" s="20" t="inlineStr">
        <is>
          <t>مستحق آخر مستخلص</t>
        </is>
      </c>
      <c r="S17" s="20" t="n"/>
      <c r="T17" s="20" t="n"/>
      <c r="U17" s="20" t="n"/>
      <c r="V17" s="18" t="inlineStr">
        <is>
          <t>عدد المستخلصات المعتمدة</t>
        </is>
      </c>
      <c r="W17" s="18" t="n"/>
      <c r="X17" s="18" t="n"/>
      <c r="Y17" s="18" t="n"/>
      <c r="AA17" s="15" t="inlineStr">
        <is>
          <t>نوع العقد</t>
        </is>
      </c>
      <c r="AB17" s="45">
        <f>IF('[50]بيانات العقد'!$C$36="","",'[50]بيانات العقد'!$C$36)</f>
        <v/>
      </c>
    </row>
    <row r="18" ht="32" customHeight="1">
      <c r="B18" s="46">
        <f>IF($V$9=0,0,N(INDEX($O$25:$O$44,$V$9)))</f>
        <v/>
      </c>
      <c r="C18" s="46" t="n"/>
      <c r="D18" s="46" t="n"/>
      <c r="E18" s="46" t="n"/>
      <c r="F18" s="46">
        <f>MAX(0,$AB$9-IF($V$9=0,0,N(INDEX($N$25:$N$44,$V$9))))</f>
        <v/>
      </c>
      <c r="G18" s="46" t="n"/>
      <c r="H18" s="46" t="n"/>
      <c r="I18" s="46" t="n"/>
      <c r="J18" s="46">
        <f>IF($V$9=0,0,N(INDEX($P$25:$P$44,$V$9)))</f>
        <v/>
      </c>
      <c r="K18" s="46" t="n"/>
      <c r="L18" s="46" t="n"/>
      <c r="M18" s="46" t="n"/>
      <c r="N18" s="46">
        <f>IF($V$9=0,0,N(INDEX($Q$25:$Q$44,$V$9)))</f>
        <v/>
      </c>
      <c r="O18" s="46" t="n"/>
      <c r="P18" s="46" t="n"/>
      <c r="Q18" s="46" t="n"/>
      <c r="R18" s="26">
        <f>IF($V$9=0,0,N(INDEX($U$25:$U$44,$V$9)))</f>
        <v/>
      </c>
      <c r="S18" s="26" t="n"/>
      <c r="T18" s="26" t="n"/>
      <c r="U18" s="26" t="n"/>
      <c r="V18" s="47">
        <f>COUNTIF(E25:E44,"معتمد")</f>
        <v/>
      </c>
      <c r="W18" s="47" t="n"/>
      <c r="X18" s="47" t="n"/>
      <c r="Y18" s="47" t="n"/>
      <c r="AA18" s="15" t="inlineStr">
        <is>
          <t>الرقم الضريبي للمقاول</t>
        </is>
      </c>
      <c r="AB18" s="48">
        <f>IF('[50]بيانات العقد'!$C$37="","",'[50]بيانات العقد'!$C$37)</f>
        <v/>
      </c>
    </row>
    <row r="19">
      <c r="AA19" s="15" t="inlineStr">
        <is>
          <t>الرقم الضريبي لصاحب العمل</t>
        </is>
      </c>
      <c r="AB19" s="48">
        <f>IF('[50]بيانات العقد'!$C$39="","",'[50]بيانات العقد'!$C$39)</f>
        <v/>
      </c>
    </row>
    <row r="20" ht="24" customHeight="1">
      <c r="B20" s="49" t="inlineStr">
        <is>
          <t>الموازنة التقديرية (BAC)</t>
        </is>
      </c>
      <c r="C20" s="49" t="n"/>
      <c r="D20" s="49" t="n"/>
      <c r="E20" s="49" t="n"/>
      <c r="F20" s="49" t="inlineStr">
        <is>
          <t>التكلفة الفعلية التراكمية</t>
        </is>
      </c>
      <c r="G20" s="49" t="n"/>
      <c r="H20" s="49" t="n"/>
      <c r="I20" s="49" t="n"/>
      <c r="J20" s="49" t="inlineStr">
        <is>
          <t>الربح الفعلي التراكمي</t>
        </is>
      </c>
      <c r="K20" s="49" t="n"/>
      <c r="L20" s="49" t="n"/>
      <c r="M20" s="49" t="n"/>
      <c r="N20" s="49" t="inlineStr">
        <is>
          <t>هامش الربح الفعلي</t>
        </is>
      </c>
      <c r="O20" s="49" t="n"/>
      <c r="P20" s="49" t="n"/>
      <c r="Q20" s="49" t="n"/>
      <c r="R20" s="49" t="inlineStr">
        <is>
          <t>مؤشر أداء التكلفة (CPI)</t>
        </is>
      </c>
      <c r="S20" s="49" t="n"/>
      <c r="T20" s="49" t="n"/>
      <c r="U20" s="49" t="n"/>
      <c r="V20" s="49" t="inlineStr">
        <is>
          <t>الربح المتوقع عند الإنجاز</t>
        </is>
      </c>
      <c r="W20" s="49" t="n"/>
      <c r="X20" s="49" t="n"/>
      <c r="Y20" s="49" t="n"/>
      <c r="AA20" s="15" t="inlineStr">
        <is>
          <t>انتهاء الضمان النهائي</t>
        </is>
      </c>
      <c r="AB20" s="37">
        <f>IF('[50]بيانات العقد'!$C$42="","",'[50]بيانات العقد'!$C$42)</f>
        <v/>
      </c>
    </row>
    <row r="21" ht="32" customHeight="1">
      <c r="B21" s="50">
        <f>N('[50]الموازنة والتكاليف'!$D$66)</f>
        <v/>
      </c>
      <c r="C21" s="50" t="n"/>
      <c r="D21" s="50" t="n"/>
      <c r="E21" s="50" t="n"/>
      <c r="F21" s="50">
        <f>N('[50]الموازنة والتكاليف'!$D$70)</f>
        <v/>
      </c>
      <c r="G21" s="50" t="n"/>
      <c r="H21" s="50" t="n"/>
      <c r="I21" s="50" t="n"/>
      <c r="J21" s="50">
        <f>N('[50]الموازنة والتكاليف'!$D$72)</f>
        <v/>
      </c>
      <c r="K21" s="50" t="n"/>
      <c r="L21" s="50" t="n"/>
      <c r="M21" s="50" t="n"/>
      <c r="N21" s="51">
        <f>N('[50]الموازنة والتكاليف'!$D$73)</f>
        <v/>
      </c>
      <c r="O21" s="51" t="n"/>
      <c r="P21" s="51" t="n"/>
      <c r="Q21" s="51" t="n"/>
      <c r="R21" s="52">
        <f>N('[50]الموازنة والتكاليف'!$D$74)</f>
        <v/>
      </c>
      <c r="S21" s="52" t="n"/>
      <c r="T21" s="52" t="n"/>
      <c r="U21" s="52" t="n"/>
      <c r="V21" s="50">
        <f>N('[50]الموازنة والتكاليف'!$D$76)</f>
        <v/>
      </c>
      <c r="W21" s="50" t="n"/>
      <c r="X21" s="50" t="n"/>
      <c r="Y21" s="50" t="n"/>
      <c r="AA21" s="15" t="inlineStr">
        <is>
          <t>انتهاء ضمان الدفعة المقدمة</t>
        </is>
      </c>
      <c r="AB21" s="37">
        <f>IF('[50]بيانات العقد'!$C$43="","",'[50]بيانات العقد'!$C$43)</f>
        <v/>
      </c>
    </row>
    <row r="22">
      <c r="AA22" s="15" t="inlineStr">
        <is>
          <t>حالة غرامات التأخير</t>
        </is>
      </c>
      <c r="AB22" s="45">
        <f>IF('[50]بيانات العقد'!$C$47="","",'[50]بيانات العقد'!$C$47)</f>
        <v/>
      </c>
    </row>
    <row r="23">
      <c r="B23" s="53" t="inlineStr">
        <is>
          <t>سجل المستخلصات (مرتبط)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 ht="48" customHeight="1">
      <c r="B24" s="54" t="inlineStr">
        <is>
          <t>رقم المستخلص</t>
        </is>
      </c>
      <c r="C24" s="54" t="inlineStr">
        <is>
          <t>الفترة إلى</t>
        </is>
      </c>
      <c r="D24" s="54" t="inlineStr">
        <is>
          <t>تاريخ الاعتماد</t>
        </is>
      </c>
      <c r="E24" s="54" t="inlineStr">
        <is>
          <t>حالة المستخلص</t>
        </is>
      </c>
      <c r="F24" s="54" t="inlineStr">
        <is>
          <t>أعمال الفترة</t>
        </is>
      </c>
      <c r="G24" s="54" t="inlineStr">
        <is>
          <t>الأعمال المنفذة التراكمية</t>
        </is>
      </c>
      <c r="H24" s="54" t="inlineStr">
        <is>
          <t>التغييرية التراكمية</t>
        </is>
      </c>
      <c r="I24" s="54" t="inlineStr">
        <is>
          <t>رصيد المواد بالموقع</t>
        </is>
      </c>
      <c r="J24" s="54" t="inlineStr">
        <is>
          <t>إجمالي القيمة التراكمية</t>
        </is>
      </c>
      <c r="K24" s="54" t="inlineStr">
        <is>
          <t>نسبة الإنجاز الفعلية</t>
        </is>
      </c>
      <c r="L24" s="54" t="inlineStr">
        <is>
          <t>نسبة الإنجاز المخططة</t>
        </is>
      </c>
      <c r="M24" s="54" t="inlineStr">
        <is>
          <t>الانحراف</t>
        </is>
      </c>
      <c r="N24" s="54" t="inlineStr">
        <is>
          <t>استرداد الدفعة المقدمة</t>
        </is>
      </c>
      <c r="O24" s="54" t="inlineStr">
        <is>
          <t>صافي الضمان المحتجز</t>
        </is>
      </c>
      <c r="P24" s="54" t="inlineStr">
        <is>
          <t>الاستقطاعات الفنية</t>
        </is>
      </c>
      <c r="Q24" s="54" t="inlineStr">
        <is>
          <t>الغرامات والخصومات</t>
        </is>
      </c>
      <c r="R24" s="54" t="inlineStr">
        <is>
          <t>ضريبة القيمة المضافة</t>
        </is>
      </c>
      <c r="S24" s="54" t="inlineStr">
        <is>
          <t>ضريبة الاستقطاع</t>
        </is>
      </c>
      <c r="T24" s="54" t="inlineStr">
        <is>
          <t>صافي المستحق التراكمي</t>
        </is>
      </c>
      <c r="U24" s="54" t="inlineStr">
        <is>
          <t>المستحق للمستخلص الحالي</t>
        </is>
      </c>
      <c r="V24" s="54" t="inlineStr">
        <is>
          <t>المحصل</t>
        </is>
      </c>
      <c r="W24" s="54" t="inlineStr">
        <is>
          <t>المتبقي</t>
        </is>
      </c>
      <c r="X24" s="54" t="inlineStr">
        <is>
          <t>مدة التحصيل (يوم)</t>
        </is>
      </c>
      <c r="Y24" s="54" t="inlineStr">
        <is>
          <t>حالة التحصيل</t>
        </is>
      </c>
      <c r="AA24" s="55" t="inlineStr">
        <is>
          <t>التنبيهات النظامية</t>
        </is>
      </c>
      <c r="AB24" s="55" t="n"/>
    </row>
    <row r="25">
      <c r="B25" s="56" t="n">
        <v>1</v>
      </c>
      <c r="C25" s="57">
        <f>IF('[50]سجل المستخلصات'!$C$6="","",'[50]سجل المستخلصات'!$C$6)</f>
        <v/>
      </c>
      <c r="D25" s="57">
        <f>IF('[50]سجل المستخلصات'!$E$6="","",'[50]سجل المستخلصات'!$E$6)</f>
        <v/>
      </c>
      <c r="E25" s="58">
        <f>IF('[50]سجل المستخلصات'!$F$6="","",'[50]سجل المستخلصات'!$F$6)</f>
        <v/>
      </c>
      <c r="F25" s="59">
        <f>IF('[50]سجل المستخلصات'!$H$6="","",'[50]سجل المستخلصات'!$H$6)</f>
        <v/>
      </c>
      <c r="G25" s="59">
        <f>IF('[50]سجل المستخلصات'!$G$6="","",'[50]سجل المستخلصات'!$G$6)</f>
        <v/>
      </c>
      <c r="H25" s="59">
        <f>IF('[50]سجل المستخلصات'!$I$6="","",'[50]سجل المستخلصات'!$I$6)</f>
        <v/>
      </c>
      <c r="I25" s="59">
        <f>IF('[50]سجل المستخلصات'!$J$6="","",'[50]سجل المستخلصات'!$J$6)</f>
        <v/>
      </c>
      <c r="J25" s="59">
        <f>IF('[50]سجل المستخلصات'!$K$6="","",'[50]سجل المستخلصات'!$K$6)</f>
        <v/>
      </c>
      <c r="K25" s="60">
        <f>IF('[50]سجل المستخلصات'!$L$6="","",'[50]سجل المستخلصات'!$L$6)</f>
        <v/>
      </c>
      <c r="L25" s="60">
        <f>IF('[50]سجل المستخلصات'!$M$6="","",'[50]سجل المستخلصات'!$M$6)</f>
        <v/>
      </c>
      <c r="M25" s="60">
        <f>IF('[50]سجل المستخلصات'!$N$6="","",'[50]سجل المستخلصات'!$N$6)</f>
        <v/>
      </c>
      <c r="N25" s="59">
        <f>IF('[50]سجل المستخلصات'!$O$6="","",'[50]سجل المستخلصات'!$O$6)</f>
        <v/>
      </c>
      <c r="O25" s="59">
        <f>IF('[50]سجل المستخلصات'!$R$6="","",'[50]سجل المستخلصات'!$R$6)</f>
        <v/>
      </c>
      <c r="P25" s="59">
        <f>IF('[50]سجل المستخلصات'!$S$6="","",'[50]سجل المستخلصات'!$S$6)</f>
        <v/>
      </c>
      <c r="Q25" s="59">
        <f>IF('[50]سجل المستخلصات'!$T$6="","",'[50]سجل المستخلصات'!$T$6)</f>
        <v/>
      </c>
      <c r="R25" s="59">
        <f>IF('[50]سجل المستخلصات'!$V$6="","",'[50]سجل المستخلصات'!$V$6)</f>
        <v/>
      </c>
      <c r="S25" s="59">
        <f>IF('[50]سجل المستخلصات'!$W$6="","",'[50]سجل المستخلصات'!$W$6)</f>
        <v/>
      </c>
      <c r="T25" s="61">
        <f>IF('[50]سجل المستخلصات'!$X$6="","",'[50]سجل المستخلصات'!$X$6)</f>
        <v/>
      </c>
      <c r="U25" s="61">
        <f>IF('[50]سجل المستخلصات'!$Z$6="","",'[50]سجل المستخلصات'!$Z$6)</f>
        <v/>
      </c>
      <c r="V25" s="59">
        <f>IF('[50]سجل المستخلصات'!$AA$6="","",'[50]سجل المستخلصات'!$AA$6)</f>
        <v/>
      </c>
      <c r="W25" s="59">
        <f>IF('[50]سجل المستخلصات'!$AC$6="","",'[50]سجل المستخلصات'!$AC$6)</f>
        <v/>
      </c>
      <c r="X25" s="62">
        <f>IF('[50]سجل المستخلصات'!$AD$6="","",'[50]سجل المستخلصات'!$AD$6)</f>
        <v/>
      </c>
      <c r="Y25" s="58">
        <f>IF('[50]سجل المستخلصات'!$AE$6="","",'[50]سجل المستخلصات'!$AE$6)</f>
        <v/>
      </c>
      <c r="AA25" s="63">
        <f>IF($AB$7=0,"",IF(AND($AB$20&lt;&gt;"",N($AB$20)-TODAY()&lt;=30),"⚠ الضمان النهائي ينتهي خلال 30 يوماً — ","")&amp;IF(AND($AB$21&lt;&gt;"",N($AB$21)-TODAY()&lt;=30,$F$18&gt;0),"⚠ ضمان الدفعة المقدمة ينتهي والرصيد لم يُسترد — ","")&amp;IF(ISNUMBER(SEARCH("⚠",$AB$22)),"⚠ الغرامات تجاوزت الحد الأقصى — ","")&amp;IF($J$15&gt;0,"مستحقات غير محصلة","")&amp;"")</f>
        <v/>
      </c>
      <c r="AB25" s="63" t="n"/>
    </row>
    <row r="26">
      <c r="B26" s="56" t="n">
        <v>2</v>
      </c>
      <c r="C26" s="57">
        <f>IF('[50]سجل المستخلصات'!$C$7="","",'[50]سجل المستخلصات'!$C$7)</f>
        <v/>
      </c>
      <c r="D26" s="57">
        <f>IF('[50]سجل المستخلصات'!$E$7="","",'[50]سجل المستخلصات'!$E$7)</f>
        <v/>
      </c>
      <c r="E26" s="58">
        <f>IF('[50]سجل المستخلصات'!$F$7="","",'[50]سجل المستخلصات'!$F$7)</f>
        <v/>
      </c>
      <c r="F26" s="59">
        <f>IF('[50]سجل المستخلصات'!$H$7="","",'[50]سجل المستخلصات'!$H$7)</f>
        <v/>
      </c>
      <c r="G26" s="59">
        <f>IF('[50]سجل المستخلصات'!$G$7="","",'[50]سجل المستخلصات'!$G$7)</f>
        <v/>
      </c>
      <c r="H26" s="59">
        <f>IF('[50]سجل المستخلصات'!$I$7="","",'[50]سجل المستخلصات'!$I$7)</f>
        <v/>
      </c>
      <c r="I26" s="59">
        <f>IF('[50]سجل المستخلصات'!$J$7="","",'[50]سجل المستخلصات'!$J$7)</f>
        <v/>
      </c>
      <c r="J26" s="59">
        <f>IF('[50]سجل المستخلصات'!$K$7="","",'[50]سجل المستخلصات'!$K$7)</f>
        <v/>
      </c>
      <c r="K26" s="60">
        <f>IF('[50]سجل المستخلصات'!$L$7="","",'[50]سجل المستخلصات'!$L$7)</f>
        <v/>
      </c>
      <c r="L26" s="60">
        <f>IF('[50]سجل المستخلصات'!$M$7="","",'[50]سجل المستخلصات'!$M$7)</f>
        <v/>
      </c>
      <c r="M26" s="60">
        <f>IF('[50]سجل المستخلصات'!$N$7="","",'[50]سجل المستخلصات'!$N$7)</f>
        <v/>
      </c>
      <c r="N26" s="59">
        <f>IF('[50]سجل المستخلصات'!$O$7="","",'[50]سجل المستخلصات'!$O$7)</f>
        <v/>
      </c>
      <c r="O26" s="59">
        <f>IF('[50]سجل المستخلصات'!$R$7="","",'[50]سجل المستخلصات'!$R$7)</f>
        <v/>
      </c>
      <c r="P26" s="59">
        <f>IF('[50]سجل المستخلصات'!$S$7="","",'[50]سجل المستخلصات'!$S$7)</f>
        <v/>
      </c>
      <c r="Q26" s="59">
        <f>IF('[50]سجل المستخلصات'!$T$7="","",'[50]سجل المستخلصات'!$T$7)</f>
        <v/>
      </c>
      <c r="R26" s="59">
        <f>IF('[50]سجل المستخلصات'!$V$7="","",'[50]سجل المستخلصات'!$V$7)</f>
        <v/>
      </c>
      <c r="S26" s="59">
        <f>IF('[50]سجل المستخلصات'!$W$7="","",'[50]سجل المستخلصات'!$W$7)</f>
        <v/>
      </c>
      <c r="T26" s="61">
        <f>IF('[50]سجل المستخلصات'!$X$7="","",'[50]سجل المستخلصات'!$X$7)</f>
        <v/>
      </c>
      <c r="U26" s="61">
        <f>IF('[50]سجل المستخلصات'!$Z$7="","",'[50]سجل المستخلصات'!$Z$7)</f>
        <v/>
      </c>
      <c r="V26" s="59">
        <f>IF('[50]سجل المستخلصات'!$AA$7="","",'[50]سجل المستخلصات'!$AA$7)</f>
        <v/>
      </c>
      <c r="W26" s="59">
        <f>IF('[50]سجل المستخلصات'!$AC$7="","",'[50]سجل المستخلصات'!$AC$7)</f>
        <v/>
      </c>
      <c r="X26" s="62">
        <f>IF('[50]سجل المستخلصات'!$AD$7="","",'[50]سجل المستخلصات'!$AD$7)</f>
        <v/>
      </c>
      <c r="Y26" s="58">
        <f>IF('[50]سجل المستخلصات'!$AE$7="","",'[50]سجل المستخلصات'!$AE$7)</f>
        <v/>
      </c>
      <c r="AA26" s="63" t="n"/>
      <c r="AB26" s="63" t="n"/>
    </row>
    <row r="27">
      <c r="B27" s="56" t="n">
        <v>3</v>
      </c>
      <c r="C27" s="57">
        <f>IF('[50]سجل المستخلصات'!$C$8="","",'[50]سجل المستخلصات'!$C$8)</f>
        <v/>
      </c>
      <c r="D27" s="57">
        <f>IF('[50]سجل المستخلصات'!$E$8="","",'[50]سجل المستخلصات'!$E$8)</f>
        <v/>
      </c>
      <c r="E27" s="58">
        <f>IF('[50]سجل المستخلصات'!$F$8="","",'[50]سجل المستخلصات'!$F$8)</f>
        <v/>
      </c>
      <c r="F27" s="59">
        <f>IF('[50]سجل المستخلصات'!$H$8="","",'[50]سجل المستخلصات'!$H$8)</f>
        <v/>
      </c>
      <c r="G27" s="59">
        <f>IF('[50]سجل المستخلصات'!$G$8="","",'[50]سجل المستخلصات'!$G$8)</f>
        <v/>
      </c>
      <c r="H27" s="59">
        <f>IF('[50]سجل المستخلصات'!$I$8="","",'[50]سجل المستخلصات'!$I$8)</f>
        <v/>
      </c>
      <c r="I27" s="59">
        <f>IF('[50]سجل المستخلصات'!$J$8="","",'[50]سجل المستخلصات'!$J$8)</f>
        <v/>
      </c>
      <c r="J27" s="59">
        <f>IF('[50]سجل المستخلصات'!$K$8="","",'[50]سجل المستخلصات'!$K$8)</f>
        <v/>
      </c>
      <c r="K27" s="60">
        <f>IF('[50]سجل المستخلصات'!$L$8="","",'[50]سجل المستخلصات'!$L$8)</f>
        <v/>
      </c>
      <c r="L27" s="60">
        <f>IF('[50]سجل المستخلصات'!$M$8="","",'[50]سجل المستخلصات'!$M$8)</f>
        <v/>
      </c>
      <c r="M27" s="60">
        <f>IF('[50]سجل المستخلصات'!$N$8="","",'[50]سجل المستخلصات'!$N$8)</f>
        <v/>
      </c>
      <c r="N27" s="59">
        <f>IF('[50]سجل المستخلصات'!$O$8="","",'[50]سجل المستخلصات'!$O$8)</f>
        <v/>
      </c>
      <c r="O27" s="59">
        <f>IF('[50]سجل المستخلصات'!$R$8="","",'[50]سجل المستخلصات'!$R$8)</f>
        <v/>
      </c>
      <c r="P27" s="59">
        <f>IF('[50]سجل المستخلصات'!$S$8="","",'[50]سجل المستخلصات'!$S$8)</f>
        <v/>
      </c>
      <c r="Q27" s="59">
        <f>IF('[50]سجل المستخلصات'!$T$8="","",'[50]سجل المستخلصات'!$T$8)</f>
        <v/>
      </c>
      <c r="R27" s="59">
        <f>IF('[50]سجل المستخلصات'!$V$8="","",'[50]سجل المستخلصات'!$V$8)</f>
        <v/>
      </c>
      <c r="S27" s="59">
        <f>IF('[50]سجل المستخلصات'!$W$8="","",'[50]سجل المستخلصات'!$W$8)</f>
        <v/>
      </c>
      <c r="T27" s="61">
        <f>IF('[50]سجل المستخلصات'!$X$8="","",'[50]سجل المستخلصات'!$X$8)</f>
        <v/>
      </c>
      <c r="U27" s="61">
        <f>IF('[50]سجل المستخلصات'!$Z$8="","",'[50]سجل المستخلصات'!$Z$8)</f>
        <v/>
      </c>
      <c r="V27" s="59">
        <f>IF('[50]سجل المستخلصات'!$AA$8="","",'[50]سجل المستخلصات'!$AA$8)</f>
        <v/>
      </c>
      <c r="W27" s="59">
        <f>IF('[50]سجل المستخلصات'!$AC$8="","",'[50]سجل المستخلصات'!$AC$8)</f>
        <v/>
      </c>
      <c r="X27" s="62">
        <f>IF('[50]سجل المستخلصات'!$AD$8="","",'[50]سجل المستخلصات'!$AD$8)</f>
        <v/>
      </c>
      <c r="Y27" s="58">
        <f>IF('[50]سجل المستخلصات'!$AE$8="","",'[50]سجل المستخلصات'!$AE$8)</f>
        <v/>
      </c>
      <c r="AA27" s="63" t="n"/>
      <c r="AB27" s="63" t="n"/>
    </row>
    <row r="28">
      <c r="B28" s="56" t="n">
        <v>4</v>
      </c>
      <c r="C28" s="57">
        <f>IF('[50]سجل المستخلصات'!$C$9="","",'[50]سجل المستخلصات'!$C$9)</f>
        <v/>
      </c>
      <c r="D28" s="57">
        <f>IF('[50]سجل المستخلصات'!$E$9="","",'[50]سجل المستخلصات'!$E$9)</f>
        <v/>
      </c>
      <c r="E28" s="58">
        <f>IF('[50]سجل المستخلصات'!$F$9="","",'[50]سجل المستخلصات'!$F$9)</f>
        <v/>
      </c>
      <c r="F28" s="59">
        <f>IF('[50]سجل المستخلصات'!$H$9="","",'[50]سجل المستخلصات'!$H$9)</f>
        <v/>
      </c>
      <c r="G28" s="59">
        <f>IF('[50]سجل المستخلصات'!$G$9="","",'[50]سجل المستخلصات'!$G$9)</f>
        <v/>
      </c>
      <c r="H28" s="59">
        <f>IF('[50]سجل المستخلصات'!$I$9="","",'[50]سجل المستخلصات'!$I$9)</f>
        <v/>
      </c>
      <c r="I28" s="59">
        <f>IF('[50]سجل المستخلصات'!$J$9="","",'[50]سجل المستخلصات'!$J$9)</f>
        <v/>
      </c>
      <c r="J28" s="59">
        <f>IF('[50]سجل المستخلصات'!$K$9="","",'[50]سجل المستخلصات'!$K$9)</f>
        <v/>
      </c>
      <c r="K28" s="60">
        <f>IF('[50]سجل المستخلصات'!$L$9="","",'[50]سجل المستخلصات'!$L$9)</f>
        <v/>
      </c>
      <c r="L28" s="60">
        <f>IF('[50]سجل المستخلصات'!$M$9="","",'[50]سجل المستخلصات'!$M$9)</f>
        <v/>
      </c>
      <c r="M28" s="60">
        <f>IF('[50]سجل المستخلصات'!$N$9="","",'[50]سجل المستخلصات'!$N$9)</f>
        <v/>
      </c>
      <c r="N28" s="59">
        <f>IF('[50]سجل المستخلصات'!$O$9="","",'[50]سجل المستخلصات'!$O$9)</f>
        <v/>
      </c>
      <c r="O28" s="59">
        <f>IF('[50]سجل المستخلصات'!$R$9="","",'[50]سجل المستخلصات'!$R$9)</f>
        <v/>
      </c>
      <c r="P28" s="59">
        <f>IF('[50]سجل المستخلصات'!$S$9="","",'[50]سجل المستخلصات'!$S$9)</f>
        <v/>
      </c>
      <c r="Q28" s="59">
        <f>IF('[50]سجل المستخلصات'!$T$9="","",'[50]سجل المستخلصات'!$T$9)</f>
        <v/>
      </c>
      <c r="R28" s="59">
        <f>IF('[50]سجل المستخلصات'!$V$9="","",'[50]سجل المستخلصات'!$V$9)</f>
        <v/>
      </c>
      <c r="S28" s="59">
        <f>IF('[50]سجل المستخلصات'!$W$9="","",'[50]سجل المستخلصات'!$W$9)</f>
        <v/>
      </c>
      <c r="T28" s="61">
        <f>IF('[50]سجل المستخلصات'!$X$9="","",'[50]سجل المستخلصات'!$X$9)</f>
        <v/>
      </c>
      <c r="U28" s="61">
        <f>IF('[50]سجل المستخلصات'!$Z$9="","",'[50]سجل المستخلصات'!$Z$9)</f>
        <v/>
      </c>
      <c r="V28" s="59">
        <f>IF('[50]سجل المستخلصات'!$AA$9="","",'[50]سجل المستخلصات'!$AA$9)</f>
        <v/>
      </c>
      <c r="W28" s="59">
        <f>IF('[50]سجل المستخلصات'!$AC$9="","",'[50]سجل المستخلصات'!$AC$9)</f>
        <v/>
      </c>
      <c r="X28" s="62">
        <f>IF('[50]سجل المستخلصات'!$AD$9="","",'[50]سجل المستخلصات'!$AD$9)</f>
        <v/>
      </c>
      <c r="Y28" s="58">
        <f>IF('[50]سجل المستخلصات'!$AE$9="","",'[50]سجل المستخلصات'!$AE$9)</f>
        <v/>
      </c>
      <c r="AA28" s="63" t="n"/>
      <c r="AB28" s="63" t="n"/>
    </row>
    <row r="29">
      <c r="B29" s="56" t="n">
        <v>5</v>
      </c>
      <c r="C29" s="57">
        <f>IF('[50]سجل المستخلصات'!$C$10="","",'[50]سجل المستخلصات'!$C$10)</f>
        <v/>
      </c>
      <c r="D29" s="57">
        <f>IF('[50]سجل المستخلصات'!$E$10="","",'[50]سجل المستخلصات'!$E$10)</f>
        <v/>
      </c>
      <c r="E29" s="58">
        <f>IF('[50]سجل المستخلصات'!$F$10="","",'[50]سجل المستخلصات'!$F$10)</f>
        <v/>
      </c>
      <c r="F29" s="59">
        <f>IF('[50]سجل المستخلصات'!$H$10="","",'[50]سجل المستخلصات'!$H$10)</f>
        <v/>
      </c>
      <c r="G29" s="59">
        <f>IF('[50]سجل المستخلصات'!$G$10="","",'[50]سجل المستخلصات'!$G$10)</f>
        <v/>
      </c>
      <c r="H29" s="59">
        <f>IF('[50]سجل المستخلصات'!$I$10="","",'[50]سجل المستخلصات'!$I$10)</f>
        <v/>
      </c>
      <c r="I29" s="59">
        <f>IF('[50]سجل المستخلصات'!$J$10="","",'[50]سجل المستخلصات'!$J$10)</f>
        <v/>
      </c>
      <c r="J29" s="59">
        <f>IF('[50]سجل المستخلصات'!$K$10="","",'[50]سجل المستخلصات'!$K$10)</f>
        <v/>
      </c>
      <c r="K29" s="60">
        <f>IF('[50]سجل المستخلصات'!$L$10="","",'[50]سجل المستخلصات'!$L$10)</f>
        <v/>
      </c>
      <c r="L29" s="60">
        <f>IF('[50]سجل المستخلصات'!$M$10="","",'[50]سجل المستخلصات'!$M$10)</f>
        <v/>
      </c>
      <c r="M29" s="60">
        <f>IF('[50]سجل المستخلصات'!$N$10="","",'[50]سجل المستخلصات'!$N$10)</f>
        <v/>
      </c>
      <c r="N29" s="59">
        <f>IF('[50]سجل المستخلصات'!$O$10="","",'[50]سجل المستخلصات'!$O$10)</f>
        <v/>
      </c>
      <c r="O29" s="59">
        <f>IF('[50]سجل المستخلصات'!$R$10="","",'[50]سجل المستخلصات'!$R$10)</f>
        <v/>
      </c>
      <c r="P29" s="59">
        <f>IF('[50]سجل المستخلصات'!$S$10="","",'[50]سجل المستخلصات'!$S$10)</f>
        <v/>
      </c>
      <c r="Q29" s="59">
        <f>IF('[50]سجل المستخلصات'!$T$10="","",'[50]سجل المستخلصات'!$T$10)</f>
        <v/>
      </c>
      <c r="R29" s="59">
        <f>IF('[50]سجل المستخلصات'!$V$10="","",'[50]سجل المستخلصات'!$V$10)</f>
        <v/>
      </c>
      <c r="S29" s="59">
        <f>IF('[50]سجل المستخلصات'!$W$10="","",'[50]سجل المستخلصات'!$W$10)</f>
        <v/>
      </c>
      <c r="T29" s="61">
        <f>IF('[50]سجل المستخلصات'!$X$10="","",'[50]سجل المستخلصات'!$X$10)</f>
        <v/>
      </c>
      <c r="U29" s="61">
        <f>IF('[50]سجل المستخلصات'!$Z$10="","",'[50]سجل المستخلصات'!$Z$10)</f>
        <v/>
      </c>
      <c r="V29" s="59">
        <f>IF('[50]سجل المستخلصات'!$AA$10="","",'[50]سجل المستخلصات'!$AA$10)</f>
        <v/>
      </c>
      <c r="W29" s="59">
        <f>IF('[50]سجل المستخلصات'!$AC$10="","",'[50]سجل المستخلصات'!$AC$10)</f>
        <v/>
      </c>
      <c r="X29" s="62">
        <f>IF('[50]سجل المستخلصات'!$AD$10="","",'[50]سجل المستخلصات'!$AD$10)</f>
        <v/>
      </c>
      <c r="Y29" s="58">
        <f>IF('[50]سجل المستخلصات'!$AE$10="","",'[50]سجل المستخلصات'!$AE$10)</f>
        <v/>
      </c>
    </row>
    <row r="30">
      <c r="B30" s="56" t="n">
        <v>6</v>
      </c>
      <c r="C30" s="57">
        <f>IF('[50]سجل المستخلصات'!$C$11="","",'[50]سجل المستخلصات'!$C$11)</f>
        <v/>
      </c>
      <c r="D30" s="57">
        <f>IF('[50]سجل المستخلصات'!$E$11="","",'[50]سجل المستخلصات'!$E$11)</f>
        <v/>
      </c>
      <c r="E30" s="58">
        <f>IF('[50]سجل المستخلصات'!$F$11="","",'[50]سجل المستخلصات'!$F$11)</f>
        <v/>
      </c>
      <c r="F30" s="59">
        <f>IF('[50]سجل المستخلصات'!$H$11="","",'[50]سجل المستخلصات'!$H$11)</f>
        <v/>
      </c>
      <c r="G30" s="59">
        <f>IF('[50]سجل المستخلصات'!$G$11="","",'[50]سجل المستخلصات'!$G$11)</f>
        <v/>
      </c>
      <c r="H30" s="59">
        <f>IF('[50]سجل المستخلصات'!$I$11="","",'[50]سجل المستخلصات'!$I$11)</f>
        <v/>
      </c>
      <c r="I30" s="59">
        <f>IF('[50]سجل المستخلصات'!$J$11="","",'[50]سجل المستخلصات'!$J$11)</f>
        <v/>
      </c>
      <c r="J30" s="59">
        <f>IF('[50]سجل المستخلصات'!$K$11="","",'[50]سجل المستخلصات'!$K$11)</f>
        <v/>
      </c>
      <c r="K30" s="60">
        <f>IF('[50]سجل المستخلصات'!$L$11="","",'[50]سجل المستخلصات'!$L$11)</f>
        <v/>
      </c>
      <c r="L30" s="60">
        <f>IF('[50]سجل المستخلصات'!$M$11="","",'[50]سجل المستخلصات'!$M$11)</f>
        <v/>
      </c>
      <c r="M30" s="60">
        <f>IF('[50]سجل المستخلصات'!$N$11="","",'[50]سجل المستخلصات'!$N$11)</f>
        <v/>
      </c>
      <c r="N30" s="59">
        <f>IF('[50]سجل المستخلصات'!$O$11="","",'[50]سجل المستخلصات'!$O$11)</f>
        <v/>
      </c>
      <c r="O30" s="59">
        <f>IF('[50]سجل المستخلصات'!$R$11="","",'[50]سجل المستخلصات'!$R$11)</f>
        <v/>
      </c>
      <c r="P30" s="59">
        <f>IF('[50]سجل المستخلصات'!$S$11="","",'[50]سجل المستخلصات'!$S$11)</f>
        <v/>
      </c>
      <c r="Q30" s="59">
        <f>IF('[50]سجل المستخلصات'!$T$11="","",'[50]سجل المستخلصات'!$T$11)</f>
        <v/>
      </c>
      <c r="R30" s="59">
        <f>IF('[50]سجل المستخلصات'!$V$11="","",'[50]سجل المستخلصات'!$V$11)</f>
        <v/>
      </c>
      <c r="S30" s="59">
        <f>IF('[50]سجل المستخلصات'!$W$11="","",'[50]سجل المستخلصات'!$W$11)</f>
        <v/>
      </c>
      <c r="T30" s="61">
        <f>IF('[50]سجل المستخلصات'!$X$11="","",'[50]سجل المستخلصات'!$X$11)</f>
        <v/>
      </c>
      <c r="U30" s="61">
        <f>IF('[50]سجل المستخلصات'!$Z$11="","",'[50]سجل المستخلصات'!$Z$11)</f>
        <v/>
      </c>
      <c r="V30" s="59">
        <f>IF('[50]سجل المستخلصات'!$AA$11="","",'[50]سجل المستخلصات'!$AA$11)</f>
        <v/>
      </c>
      <c r="W30" s="59">
        <f>IF('[50]سجل المستخلصات'!$AC$11="","",'[50]سجل المستخلصات'!$AC$11)</f>
        <v/>
      </c>
      <c r="X30" s="62">
        <f>IF('[50]سجل المستخلصات'!$AD$11="","",'[50]سجل المستخلصات'!$AD$11)</f>
        <v/>
      </c>
      <c r="Y30" s="58">
        <f>IF('[50]سجل المستخلصات'!$AE$11="","",'[50]سجل المستخلصات'!$AE$11)</f>
        <v/>
      </c>
    </row>
    <row r="31">
      <c r="B31" s="56" t="n">
        <v>7</v>
      </c>
      <c r="C31" s="57">
        <f>IF('[50]سجل المستخلصات'!$C$12="","",'[50]سجل المستخلصات'!$C$12)</f>
        <v/>
      </c>
      <c r="D31" s="57">
        <f>IF('[50]سجل المستخلصات'!$E$12="","",'[50]سجل المستخلصات'!$E$12)</f>
        <v/>
      </c>
      <c r="E31" s="58">
        <f>IF('[50]سجل المستخلصات'!$F$12="","",'[50]سجل المستخلصات'!$F$12)</f>
        <v/>
      </c>
      <c r="F31" s="59">
        <f>IF('[50]سجل المستخلصات'!$H$12="","",'[50]سجل المستخلصات'!$H$12)</f>
        <v/>
      </c>
      <c r="G31" s="59">
        <f>IF('[50]سجل المستخلصات'!$G$12="","",'[50]سجل المستخلصات'!$G$12)</f>
        <v/>
      </c>
      <c r="H31" s="59">
        <f>IF('[50]سجل المستخلصات'!$I$12="","",'[50]سجل المستخلصات'!$I$12)</f>
        <v/>
      </c>
      <c r="I31" s="59">
        <f>IF('[50]سجل المستخلصات'!$J$12="","",'[50]سجل المستخلصات'!$J$12)</f>
        <v/>
      </c>
      <c r="J31" s="59">
        <f>IF('[50]سجل المستخلصات'!$K$12="","",'[50]سجل المستخلصات'!$K$12)</f>
        <v/>
      </c>
      <c r="K31" s="60">
        <f>IF('[50]سجل المستخلصات'!$L$12="","",'[50]سجل المستخلصات'!$L$12)</f>
        <v/>
      </c>
      <c r="L31" s="60">
        <f>IF('[50]سجل المستخلصات'!$M$12="","",'[50]سجل المستخلصات'!$M$12)</f>
        <v/>
      </c>
      <c r="M31" s="60">
        <f>IF('[50]سجل المستخلصات'!$N$12="","",'[50]سجل المستخلصات'!$N$12)</f>
        <v/>
      </c>
      <c r="N31" s="59">
        <f>IF('[50]سجل المستخلصات'!$O$12="","",'[50]سجل المستخلصات'!$O$12)</f>
        <v/>
      </c>
      <c r="O31" s="59">
        <f>IF('[50]سجل المستخلصات'!$R$12="","",'[50]سجل المستخلصات'!$R$12)</f>
        <v/>
      </c>
      <c r="P31" s="59">
        <f>IF('[50]سجل المستخلصات'!$S$12="","",'[50]سجل المستخلصات'!$S$12)</f>
        <v/>
      </c>
      <c r="Q31" s="59">
        <f>IF('[50]سجل المستخلصات'!$T$12="","",'[50]سجل المستخلصات'!$T$12)</f>
        <v/>
      </c>
      <c r="R31" s="59">
        <f>IF('[50]سجل المستخلصات'!$V$12="","",'[50]سجل المستخلصات'!$V$12)</f>
        <v/>
      </c>
      <c r="S31" s="59">
        <f>IF('[50]سجل المستخلصات'!$W$12="","",'[50]سجل المستخلصات'!$W$12)</f>
        <v/>
      </c>
      <c r="T31" s="61">
        <f>IF('[50]سجل المستخلصات'!$X$12="","",'[50]سجل المستخلصات'!$X$12)</f>
        <v/>
      </c>
      <c r="U31" s="61">
        <f>IF('[50]سجل المستخلصات'!$Z$12="","",'[50]سجل المستخلصات'!$Z$12)</f>
        <v/>
      </c>
      <c r="V31" s="59">
        <f>IF('[50]سجل المستخلصات'!$AA$12="","",'[50]سجل المستخلصات'!$AA$12)</f>
        <v/>
      </c>
      <c r="W31" s="59">
        <f>IF('[50]سجل المستخلصات'!$AC$12="","",'[50]سجل المستخلصات'!$AC$12)</f>
        <v/>
      </c>
      <c r="X31" s="62">
        <f>IF('[50]سجل المستخلصات'!$AD$12="","",'[50]سجل المستخلصات'!$AD$12)</f>
        <v/>
      </c>
      <c r="Y31" s="58">
        <f>IF('[50]سجل المستخلصات'!$AE$12="","",'[50]سجل المستخلصات'!$AE$12)</f>
        <v/>
      </c>
    </row>
    <row r="32">
      <c r="B32" s="56" t="n">
        <v>8</v>
      </c>
      <c r="C32" s="57">
        <f>IF('[50]سجل المستخلصات'!$C$13="","",'[50]سجل المستخلصات'!$C$13)</f>
        <v/>
      </c>
      <c r="D32" s="57">
        <f>IF('[50]سجل المستخلصات'!$E$13="","",'[50]سجل المستخلصات'!$E$13)</f>
        <v/>
      </c>
      <c r="E32" s="58">
        <f>IF('[50]سجل المستخلصات'!$F$13="","",'[50]سجل المستخلصات'!$F$13)</f>
        <v/>
      </c>
      <c r="F32" s="59">
        <f>IF('[50]سجل المستخلصات'!$H$13="","",'[50]سجل المستخلصات'!$H$13)</f>
        <v/>
      </c>
      <c r="G32" s="59">
        <f>IF('[50]سجل المستخلصات'!$G$13="","",'[50]سجل المستخلصات'!$G$13)</f>
        <v/>
      </c>
      <c r="H32" s="59">
        <f>IF('[50]سجل المستخلصات'!$I$13="","",'[50]سجل المستخلصات'!$I$13)</f>
        <v/>
      </c>
      <c r="I32" s="59">
        <f>IF('[50]سجل المستخلصات'!$J$13="","",'[50]سجل المستخلصات'!$J$13)</f>
        <v/>
      </c>
      <c r="J32" s="59">
        <f>IF('[50]سجل المستخلصات'!$K$13="","",'[50]سجل المستخلصات'!$K$13)</f>
        <v/>
      </c>
      <c r="K32" s="60">
        <f>IF('[50]سجل المستخلصات'!$L$13="","",'[50]سجل المستخلصات'!$L$13)</f>
        <v/>
      </c>
      <c r="L32" s="60">
        <f>IF('[50]سجل المستخلصات'!$M$13="","",'[50]سجل المستخلصات'!$M$13)</f>
        <v/>
      </c>
      <c r="M32" s="60">
        <f>IF('[50]سجل المستخلصات'!$N$13="","",'[50]سجل المستخلصات'!$N$13)</f>
        <v/>
      </c>
      <c r="N32" s="59">
        <f>IF('[50]سجل المستخلصات'!$O$13="","",'[50]سجل المستخلصات'!$O$13)</f>
        <v/>
      </c>
      <c r="O32" s="59">
        <f>IF('[50]سجل المستخلصات'!$R$13="","",'[50]سجل المستخلصات'!$R$13)</f>
        <v/>
      </c>
      <c r="P32" s="59">
        <f>IF('[50]سجل المستخلصات'!$S$13="","",'[50]سجل المستخلصات'!$S$13)</f>
        <v/>
      </c>
      <c r="Q32" s="59">
        <f>IF('[50]سجل المستخلصات'!$T$13="","",'[50]سجل المستخلصات'!$T$13)</f>
        <v/>
      </c>
      <c r="R32" s="59">
        <f>IF('[50]سجل المستخلصات'!$V$13="","",'[50]سجل المستخلصات'!$V$13)</f>
        <v/>
      </c>
      <c r="S32" s="59">
        <f>IF('[50]سجل المستخلصات'!$W$13="","",'[50]سجل المستخلصات'!$W$13)</f>
        <v/>
      </c>
      <c r="T32" s="61">
        <f>IF('[50]سجل المستخلصات'!$X$13="","",'[50]سجل المستخلصات'!$X$13)</f>
        <v/>
      </c>
      <c r="U32" s="61">
        <f>IF('[50]سجل المستخلصات'!$Z$13="","",'[50]سجل المستخلصات'!$Z$13)</f>
        <v/>
      </c>
      <c r="V32" s="59">
        <f>IF('[50]سجل المستخلصات'!$AA$13="","",'[50]سجل المستخلصات'!$AA$13)</f>
        <v/>
      </c>
      <c r="W32" s="59">
        <f>IF('[50]سجل المستخلصات'!$AC$13="","",'[50]سجل المستخلصات'!$AC$13)</f>
        <v/>
      </c>
      <c r="X32" s="62">
        <f>IF('[50]سجل المستخلصات'!$AD$13="","",'[50]سجل المستخلصات'!$AD$13)</f>
        <v/>
      </c>
      <c r="Y32" s="58">
        <f>IF('[50]سجل المستخلصات'!$AE$13="","",'[50]سجل المستخلصات'!$AE$13)</f>
        <v/>
      </c>
    </row>
    <row r="33">
      <c r="B33" s="56" t="n">
        <v>9</v>
      </c>
      <c r="C33" s="57">
        <f>IF('[50]سجل المستخلصات'!$C$14="","",'[50]سجل المستخلصات'!$C$14)</f>
        <v/>
      </c>
      <c r="D33" s="57">
        <f>IF('[50]سجل المستخلصات'!$E$14="","",'[50]سجل المستخلصات'!$E$14)</f>
        <v/>
      </c>
      <c r="E33" s="58">
        <f>IF('[50]سجل المستخلصات'!$F$14="","",'[50]سجل المستخلصات'!$F$14)</f>
        <v/>
      </c>
      <c r="F33" s="59">
        <f>IF('[50]سجل المستخلصات'!$H$14="","",'[50]سجل المستخلصات'!$H$14)</f>
        <v/>
      </c>
      <c r="G33" s="59">
        <f>IF('[50]سجل المستخلصات'!$G$14="","",'[50]سجل المستخلصات'!$G$14)</f>
        <v/>
      </c>
      <c r="H33" s="59">
        <f>IF('[50]سجل المستخلصات'!$I$14="","",'[50]سجل المستخلصات'!$I$14)</f>
        <v/>
      </c>
      <c r="I33" s="59">
        <f>IF('[50]سجل المستخلصات'!$J$14="","",'[50]سجل المستخلصات'!$J$14)</f>
        <v/>
      </c>
      <c r="J33" s="59">
        <f>IF('[50]سجل المستخلصات'!$K$14="","",'[50]سجل المستخلصات'!$K$14)</f>
        <v/>
      </c>
      <c r="K33" s="60">
        <f>IF('[50]سجل المستخلصات'!$L$14="","",'[50]سجل المستخلصات'!$L$14)</f>
        <v/>
      </c>
      <c r="L33" s="60">
        <f>IF('[50]سجل المستخلصات'!$M$14="","",'[50]سجل المستخلصات'!$M$14)</f>
        <v/>
      </c>
      <c r="M33" s="60">
        <f>IF('[50]سجل المستخلصات'!$N$14="","",'[50]سجل المستخلصات'!$N$14)</f>
        <v/>
      </c>
      <c r="N33" s="59">
        <f>IF('[50]سجل المستخلصات'!$O$14="","",'[50]سجل المستخلصات'!$O$14)</f>
        <v/>
      </c>
      <c r="O33" s="59">
        <f>IF('[50]سجل المستخلصات'!$R$14="","",'[50]سجل المستخلصات'!$R$14)</f>
        <v/>
      </c>
      <c r="P33" s="59">
        <f>IF('[50]سجل المستخلصات'!$S$14="","",'[50]سجل المستخلصات'!$S$14)</f>
        <v/>
      </c>
      <c r="Q33" s="59">
        <f>IF('[50]سجل المستخلصات'!$T$14="","",'[50]سجل المستخلصات'!$T$14)</f>
        <v/>
      </c>
      <c r="R33" s="59">
        <f>IF('[50]سجل المستخلصات'!$V$14="","",'[50]سجل المستخلصات'!$V$14)</f>
        <v/>
      </c>
      <c r="S33" s="59">
        <f>IF('[50]سجل المستخلصات'!$W$14="","",'[50]سجل المستخلصات'!$W$14)</f>
        <v/>
      </c>
      <c r="T33" s="61">
        <f>IF('[50]سجل المستخلصات'!$X$14="","",'[50]سجل المستخلصات'!$X$14)</f>
        <v/>
      </c>
      <c r="U33" s="61">
        <f>IF('[50]سجل المستخلصات'!$Z$14="","",'[50]سجل المستخلصات'!$Z$14)</f>
        <v/>
      </c>
      <c r="V33" s="59">
        <f>IF('[50]سجل المستخلصات'!$AA$14="","",'[50]سجل المستخلصات'!$AA$14)</f>
        <v/>
      </c>
      <c r="W33" s="59">
        <f>IF('[50]سجل المستخلصات'!$AC$14="","",'[50]سجل المستخلصات'!$AC$14)</f>
        <v/>
      </c>
      <c r="X33" s="62">
        <f>IF('[50]سجل المستخلصات'!$AD$14="","",'[50]سجل المستخلصات'!$AD$14)</f>
        <v/>
      </c>
      <c r="Y33" s="58">
        <f>IF('[50]سجل المستخلصات'!$AE$14="","",'[50]سجل المستخلصات'!$AE$14)</f>
        <v/>
      </c>
    </row>
    <row r="34">
      <c r="B34" s="56" t="n">
        <v>10</v>
      </c>
      <c r="C34" s="57">
        <f>IF('[50]سجل المستخلصات'!$C$15="","",'[50]سجل المستخلصات'!$C$15)</f>
        <v/>
      </c>
      <c r="D34" s="57">
        <f>IF('[50]سجل المستخلصات'!$E$15="","",'[50]سجل المستخلصات'!$E$15)</f>
        <v/>
      </c>
      <c r="E34" s="58">
        <f>IF('[50]سجل المستخلصات'!$F$15="","",'[50]سجل المستخلصات'!$F$15)</f>
        <v/>
      </c>
      <c r="F34" s="59">
        <f>IF('[50]سجل المستخلصات'!$H$15="","",'[50]سجل المستخلصات'!$H$15)</f>
        <v/>
      </c>
      <c r="G34" s="59">
        <f>IF('[50]سجل المستخلصات'!$G$15="","",'[50]سجل المستخلصات'!$G$15)</f>
        <v/>
      </c>
      <c r="H34" s="59">
        <f>IF('[50]سجل المستخلصات'!$I$15="","",'[50]سجل المستخلصات'!$I$15)</f>
        <v/>
      </c>
      <c r="I34" s="59">
        <f>IF('[50]سجل المستخلصات'!$J$15="","",'[50]سجل المستخلصات'!$J$15)</f>
        <v/>
      </c>
      <c r="J34" s="59">
        <f>IF('[50]سجل المستخلصات'!$K$15="","",'[50]سجل المستخلصات'!$K$15)</f>
        <v/>
      </c>
      <c r="K34" s="60">
        <f>IF('[50]سجل المستخلصات'!$L$15="","",'[50]سجل المستخلصات'!$L$15)</f>
        <v/>
      </c>
      <c r="L34" s="60">
        <f>IF('[50]سجل المستخلصات'!$M$15="","",'[50]سجل المستخلصات'!$M$15)</f>
        <v/>
      </c>
      <c r="M34" s="60">
        <f>IF('[50]سجل المستخلصات'!$N$15="","",'[50]سجل المستخلصات'!$N$15)</f>
        <v/>
      </c>
      <c r="N34" s="59">
        <f>IF('[50]سجل المستخلصات'!$O$15="","",'[50]سجل المستخلصات'!$O$15)</f>
        <v/>
      </c>
      <c r="O34" s="59">
        <f>IF('[50]سجل المستخلصات'!$R$15="","",'[50]سجل المستخلصات'!$R$15)</f>
        <v/>
      </c>
      <c r="P34" s="59">
        <f>IF('[50]سجل المستخلصات'!$S$15="","",'[50]سجل المستخلصات'!$S$15)</f>
        <v/>
      </c>
      <c r="Q34" s="59">
        <f>IF('[50]سجل المستخلصات'!$T$15="","",'[50]سجل المستخلصات'!$T$15)</f>
        <v/>
      </c>
      <c r="R34" s="59">
        <f>IF('[50]سجل المستخلصات'!$V$15="","",'[50]سجل المستخلصات'!$V$15)</f>
        <v/>
      </c>
      <c r="S34" s="59">
        <f>IF('[50]سجل المستخلصات'!$W$15="","",'[50]سجل المستخلصات'!$W$15)</f>
        <v/>
      </c>
      <c r="T34" s="61">
        <f>IF('[50]سجل المستخلصات'!$X$15="","",'[50]سجل المستخلصات'!$X$15)</f>
        <v/>
      </c>
      <c r="U34" s="61">
        <f>IF('[50]سجل المستخلصات'!$Z$15="","",'[50]سجل المستخلصات'!$Z$15)</f>
        <v/>
      </c>
      <c r="V34" s="59">
        <f>IF('[50]سجل المستخلصات'!$AA$15="","",'[50]سجل المستخلصات'!$AA$15)</f>
        <v/>
      </c>
      <c r="W34" s="59">
        <f>IF('[50]سجل المستخلصات'!$AC$15="","",'[50]سجل المستخلصات'!$AC$15)</f>
        <v/>
      </c>
      <c r="X34" s="62">
        <f>IF('[50]سجل المستخلصات'!$AD$15="","",'[50]سجل المستخلصات'!$AD$15)</f>
        <v/>
      </c>
      <c r="Y34" s="58">
        <f>IF('[50]سجل المستخلصات'!$AE$15="","",'[50]سجل المستخلصات'!$AE$15)</f>
        <v/>
      </c>
    </row>
    <row r="35">
      <c r="B35" s="56" t="n">
        <v>11</v>
      </c>
      <c r="C35" s="57">
        <f>IF('[50]سجل المستخلصات'!$C$16="","",'[50]سجل المستخلصات'!$C$16)</f>
        <v/>
      </c>
      <c r="D35" s="57">
        <f>IF('[50]سجل المستخلصات'!$E$16="","",'[50]سجل المستخلصات'!$E$16)</f>
        <v/>
      </c>
      <c r="E35" s="58">
        <f>IF('[50]سجل المستخلصات'!$F$16="","",'[50]سجل المستخلصات'!$F$16)</f>
        <v/>
      </c>
      <c r="F35" s="59">
        <f>IF('[50]سجل المستخلصات'!$H$16="","",'[50]سجل المستخلصات'!$H$16)</f>
        <v/>
      </c>
      <c r="G35" s="59">
        <f>IF('[50]سجل المستخلصات'!$G$16="","",'[50]سجل المستخلصات'!$G$16)</f>
        <v/>
      </c>
      <c r="H35" s="59">
        <f>IF('[50]سجل المستخلصات'!$I$16="","",'[50]سجل المستخلصات'!$I$16)</f>
        <v/>
      </c>
      <c r="I35" s="59">
        <f>IF('[50]سجل المستخلصات'!$J$16="","",'[50]سجل المستخلصات'!$J$16)</f>
        <v/>
      </c>
      <c r="J35" s="59">
        <f>IF('[50]سجل المستخلصات'!$K$16="","",'[50]سجل المستخلصات'!$K$16)</f>
        <v/>
      </c>
      <c r="K35" s="60">
        <f>IF('[50]سجل المستخلصات'!$L$16="","",'[50]سجل المستخلصات'!$L$16)</f>
        <v/>
      </c>
      <c r="L35" s="60">
        <f>IF('[50]سجل المستخلصات'!$M$16="","",'[50]سجل المستخلصات'!$M$16)</f>
        <v/>
      </c>
      <c r="M35" s="60">
        <f>IF('[50]سجل المستخلصات'!$N$16="","",'[50]سجل المستخلصات'!$N$16)</f>
        <v/>
      </c>
      <c r="N35" s="59">
        <f>IF('[50]سجل المستخلصات'!$O$16="","",'[50]سجل المستخلصات'!$O$16)</f>
        <v/>
      </c>
      <c r="O35" s="59">
        <f>IF('[50]سجل المستخلصات'!$R$16="","",'[50]سجل المستخلصات'!$R$16)</f>
        <v/>
      </c>
      <c r="P35" s="59">
        <f>IF('[50]سجل المستخلصات'!$S$16="","",'[50]سجل المستخلصات'!$S$16)</f>
        <v/>
      </c>
      <c r="Q35" s="59">
        <f>IF('[50]سجل المستخلصات'!$T$16="","",'[50]سجل المستخلصات'!$T$16)</f>
        <v/>
      </c>
      <c r="R35" s="59">
        <f>IF('[50]سجل المستخلصات'!$V$16="","",'[50]سجل المستخلصات'!$V$16)</f>
        <v/>
      </c>
      <c r="S35" s="59">
        <f>IF('[50]سجل المستخلصات'!$W$16="","",'[50]سجل المستخلصات'!$W$16)</f>
        <v/>
      </c>
      <c r="T35" s="61">
        <f>IF('[50]سجل المستخلصات'!$X$16="","",'[50]سجل المستخلصات'!$X$16)</f>
        <v/>
      </c>
      <c r="U35" s="61">
        <f>IF('[50]سجل المستخلصات'!$Z$16="","",'[50]سجل المستخلصات'!$Z$16)</f>
        <v/>
      </c>
      <c r="V35" s="59">
        <f>IF('[50]سجل المستخلصات'!$AA$16="","",'[50]سجل المستخلصات'!$AA$16)</f>
        <v/>
      </c>
      <c r="W35" s="59">
        <f>IF('[50]سجل المستخلصات'!$AC$16="","",'[50]سجل المستخلصات'!$AC$16)</f>
        <v/>
      </c>
      <c r="X35" s="62">
        <f>IF('[50]سجل المستخلصات'!$AD$16="","",'[50]سجل المستخلصات'!$AD$16)</f>
        <v/>
      </c>
      <c r="Y35" s="58">
        <f>IF('[50]سجل المستخلصات'!$AE$16="","",'[50]سجل المستخلصات'!$AE$16)</f>
        <v/>
      </c>
    </row>
    <row r="36">
      <c r="B36" s="56" t="n">
        <v>12</v>
      </c>
      <c r="C36" s="57">
        <f>IF('[50]سجل المستخلصات'!$C$17="","",'[50]سجل المستخلصات'!$C$17)</f>
        <v/>
      </c>
      <c r="D36" s="57">
        <f>IF('[50]سجل المستخلصات'!$E$17="","",'[50]سجل المستخلصات'!$E$17)</f>
        <v/>
      </c>
      <c r="E36" s="58">
        <f>IF('[50]سجل المستخلصات'!$F$17="","",'[50]سجل المستخلصات'!$F$17)</f>
        <v/>
      </c>
      <c r="F36" s="59">
        <f>IF('[50]سجل المستخلصات'!$H$17="","",'[50]سجل المستخلصات'!$H$17)</f>
        <v/>
      </c>
      <c r="G36" s="59">
        <f>IF('[50]سجل المستخلصات'!$G$17="","",'[50]سجل المستخلصات'!$G$17)</f>
        <v/>
      </c>
      <c r="H36" s="59">
        <f>IF('[50]سجل المستخلصات'!$I$17="","",'[50]سجل المستخلصات'!$I$17)</f>
        <v/>
      </c>
      <c r="I36" s="59">
        <f>IF('[50]سجل المستخلصات'!$J$17="","",'[50]سجل المستخلصات'!$J$17)</f>
        <v/>
      </c>
      <c r="J36" s="59">
        <f>IF('[50]سجل المستخلصات'!$K$17="","",'[50]سجل المستخلصات'!$K$17)</f>
        <v/>
      </c>
      <c r="K36" s="60">
        <f>IF('[50]سجل المستخلصات'!$L$17="","",'[50]سجل المستخلصات'!$L$17)</f>
        <v/>
      </c>
      <c r="L36" s="60">
        <f>IF('[50]سجل المستخلصات'!$M$17="","",'[50]سجل المستخلصات'!$M$17)</f>
        <v/>
      </c>
      <c r="M36" s="60">
        <f>IF('[50]سجل المستخلصات'!$N$17="","",'[50]سجل المستخلصات'!$N$17)</f>
        <v/>
      </c>
      <c r="N36" s="59">
        <f>IF('[50]سجل المستخلصات'!$O$17="","",'[50]سجل المستخلصات'!$O$17)</f>
        <v/>
      </c>
      <c r="O36" s="59">
        <f>IF('[50]سجل المستخلصات'!$R$17="","",'[50]سجل المستخلصات'!$R$17)</f>
        <v/>
      </c>
      <c r="P36" s="59">
        <f>IF('[50]سجل المستخلصات'!$S$17="","",'[50]سجل المستخلصات'!$S$17)</f>
        <v/>
      </c>
      <c r="Q36" s="59">
        <f>IF('[50]سجل المستخلصات'!$T$17="","",'[50]سجل المستخلصات'!$T$17)</f>
        <v/>
      </c>
      <c r="R36" s="59">
        <f>IF('[50]سجل المستخلصات'!$V$17="","",'[50]سجل المستخلصات'!$V$17)</f>
        <v/>
      </c>
      <c r="S36" s="59">
        <f>IF('[50]سجل المستخلصات'!$W$17="","",'[50]سجل المستخلصات'!$W$17)</f>
        <v/>
      </c>
      <c r="T36" s="61">
        <f>IF('[50]سجل المستخلصات'!$X$17="","",'[50]سجل المستخلصات'!$X$17)</f>
        <v/>
      </c>
      <c r="U36" s="61">
        <f>IF('[50]سجل المستخلصات'!$Z$17="","",'[50]سجل المستخلصات'!$Z$17)</f>
        <v/>
      </c>
      <c r="V36" s="59">
        <f>IF('[50]سجل المستخلصات'!$AA$17="","",'[50]سجل المستخلصات'!$AA$17)</f>
        <v/>
      </c>
      <c r="W36" s="59">
        <f>IF('[50]سجل المستخلصات'!$AC$17="","",'[50]سجل المستخلصات'!$AC$17)</f>
        <v/>
      </c>
      <c r="X36" s="62">
        <f>IF('[50]سجل المستخلصات'!$AD$17="","",'[50]سجل المستخلصات'!$AD$17)</f>
        <v/>
      </c>
      <c r="Y36" s="58">
        <f>IF('[50]سجل المستخلصات'!$AE$17="","",'[50]سجل المستخلصات'!$AE$17)</f>
        <v/>
      </c>
    </row>
    <row r="37">
      <c r="B37" s="56" t="n">
        <v>13</v>
      </c>
      <c r="C37" s="57">
        <f>IF('[50]سجل المستخلصات'!$C$18="","",'[50]سجل المستخلصات'!$C$18)</f>
        <v/>
      </c>
      <c r="D37" s="57">
        <f>IF('[50]سجل المستخلصات'!$E$18="","",'[50]سجل المستخلصات'!$E$18)</f>
        <v/>
      </c>
      <c r="E37" s="58">
        <f>IF('[50]سجل المستخلصات'!$F$18="","",'[50]سجل المستخلصات'!$F$18)</f>
        <v/>
      </c>
      <c r="F37" s="59">
        <f>IF('[50]سجل المستخلصات'!$H$18="","",'[50]سجل المستخلصات'!$H$18)</f>
        <v/>
      </c>
      <c r="G37" s="59">
        <f>IF('[50]سجل المستخلصات'!$G$18="","",'[50]سجل المستخلصات'!$G$18)</f>
        <v/>
      </c>
      <c r="H37" s="59">
        <f>IF('[50]سجل المستخلصات'!$I$18="","",'[50]سجل المستخلصات'!$I$18)</f>
        <v/>
      </c>
      <c r="I37" s="59">
        <f>IF('[50]سجل المستخلصات'!$J$18="","",'[50]سجل المستخلصات'!$J$18)</f>
        <v/>
      </c>
      <c r="J37" s="59">
        <f>IF('[50]سجل المستخلصات'!$K$18="","",'[50]سجل المستخلصات'!$K$18)</f>
        <v/>
      </c>
      <c r="K37" s="60">
        <f>IF('[50]سجل المستخلصات'!$L$18="","",'[50]سجل المستخلصات'!$L$18)</f>
        <v/>
      </c>
      <c r="L37" s="60">
        <f>IF('[50]سجل المستخلصات'!$M$18="","",'[50]سجل المستخلصات'!$M$18)</f>
        <v/>
      </c>
      <c r="M37" s="60">
        <f>IF('[50]سجل المستخلصات'!$N$18="","",'[50]سجل المستخلصات'!$N$18)</f>
        <v/>
      </c>
      <c r="N37" s="59">
        <f>IF('[50]سجل المستخلصات'!$O$18="","",'[50]سجل المستخلصات'!$O$18)</f>
        <v/>
      </c>
      <c r="O37" s="59">
        <f>IF('[50]سجل المستخلصات'!$R$18="","",'[50]سجل المستخلصات'!$R$18)</f>
        <v/>
      </c>
      <c r="P37" s="59">
        <f>IF('[50]سجل المستخلصات'!$S$18="","",'[50]سجل المستخلصات'!$S$18)</f>
        <v/>
      </c>
      <c r="Q37" s="59">
        <f>IF('[50]سجل المستخلصات'!$T$18="","",'[50]سجل المستخلصات'!$T$18)</f>
        <v/>
      </c>
      <c r="R37" s="59">
        <f>IF('[50]سجل المستخلصات'!$V$18="","",'[50]سجل المستخلصات'!$V$18)</f>
        <v/>
      </c>
      <c r="S37" s="59">
        <f>IF('[50]سجل المستخلصات'!$W$18="","",'[50]سجل المستخلصات'!$W$18)</f>
        <v/>
      </c>
      <c r="T37" s="61">
        <f>IF('[50]سجل المستخلصات'!$X$18="","",'[50]سجل المستخلصات'!$X$18)</f>
        <v/>
      </c>
      <c r="U37" s="61">
        <f>IF('[50]سجل المستخلصات'!$Z$18="","",'[50]سجل المستخلصات'!$Z$18)</f>
        <v/>
      </c>
      <c r="V37" s="59">
        <f>IF('[50]سجل المستخلصات'!$AA$18="","",'[50]سجل المستخلصات'!$AA$18)</f>
        <v/>
      </c>
      <c r="W37" s="59">
        <f>IF('[50]سجل المستخلصات'!$AC$18="","",'[50]سجل المستخلصات'!$AC$18)</f>
        <v/>
      </c>
      <c r="X37" s="62">
        <f>IF('[50]سجل المستخلصات'!$AD$18="","",'[50]سجل المستخلصات'!$AD$18)</f>
        <v/>
      </c>
      <c r="Y37" s="58">
        <f>IF('[50]سجل المستخلصات'!$AE$18="","",'[50]سجل المستخلصات'!$AE$18)</f>
        <v/>
      </c>
    </row>
    <row r="38">
      <c r="B38" s="56" t="n">
        <v>14</v>
      </c>
      <c r="C38" s="57">
        <f>IF('[50]سجل المستخلصات'!$C$19="","",'[50]سجل المستخلصات'!$C$19)</f>
        <v/>
      </c>
      <c r="D38" s="57">
        <f>IF('[50]سجل المستخلصات'!$E$19="","",'[50]سجل المستخلصات'!$E$19)</f>
        <v/>
      </c>
      <c r="E38" s="58">
        <f>IF('[50]سجل المستخلصات'!$F$19="","",'[50]سجل المستخلصات'!$F$19)</f>
        <v/>
      </c>
      <c r="F38" s="59">
        <f>IF('[50]سجل المستخلصات'!$H$19="","",'[50]سجل المستخلصات'!$H$19)</f>
        <v/>
      </c>
      <c r="G38" s="59">
        <f>IF('[50]سجل المستخلصات'!$G$19="","",'[50]سجل المستخلصات'!$G$19)</f>
        <v/>
      </c>
      <c r="H38" s="59">
        <f>IF('[50]سجل المستخلصات'!$I$19="","",'[50]سجل المستخلصات'!$I$19)</f>
        <v/>
      </c>
      <c r="I38" s="59">
        <f>IF('[50]سجل المستخلصات'!$J$19="","",'[50]سجل المستخلصات'!$J$19)</f>
        <v/>
      </c>
      <c r="J38" s="59">
        <f>IF('[50]سجل المستخلصات'!$K$19="","",'[50]سجل المستخلصات'!$K$19)</f>
        <v/>
      </c>
      <c r="K38" s="60">
        <f>IF('[50]سجل المستخلصات'!$L$19="","",'[50]سجل المستخلصات'!$L$19)</f>
        <v/>
      </c>
      <c r="L38" s="60">
        <f>IF('[50]سجل المستخلصات'!$M$19="","",'[50]سجل المستخلصات'!$M$19)</f>
        <v/>
      </c>
      <c r="M38" s="60">
        <f>IF('[50]سجل المستخلصات'!$N$19="","",'[50]سجل المستخلصات'!$N$19)</f>
        <v/>
      </c>
      <c r="N38" s="59">
        <f>IF('[50]سجل المستخلصات'!$O$19="","",'[50]سجل المستخلصات'!$O$19)</f>
        <v/>
      </c>
      <c r="O38" s="59">
        <f>IF('[50]سجل المستخلصات'!$R$19="","",'[50]سجل المستخلصات'!$R$19)</f>
        <v/>
      </c>
      <c r="P38" s="59">
        <f>IF('[50]سجل المستخلصات'!$S$19="","",'[50]سجل المستخلصات'!$S$19)</f>
        <v/>
      </c>
      <c r="Q38" s="59">
        <f>IF('[50]سجل المستخلصات'!$T$19="","",'[50]سجل المستخلصات'!$T$19)</f>
        <v/>
      </c>
      <c r="R38" s="59">
        <f>IF('[50]سجل المستخلصات'!$V$19="","",'[50]سجل المستخلصات'!$V$19)</f>
        <v/>
      </c>
      <c r="S38" s="59">
        <f>IF('[50]سجل المستخلصات'!$W$19="","",'[50]سجل المستخلصات'!$W$19)</f>
        <v/>
      </c>
      <c r="T38" s="61">
        <f>IF('[50]سجل المستخلصات'!$X$19="","",'[50]سجل المستخلصات'!$X$19)</f>
        <v/>
      </c>
      <c r="U38" s="61">
        <f>IF('[50]سجل المستخلصات'!$Z$19="","",'[50]سجل المستخلصات'!$Z$19)</f>
        <v/>
      </c>
      <c r="V38" s="59">
        <f>IF('[50]سجل المستخلصات'!$AA$19="","",'[50]سجل المستخلصات'!$AA$19)</f>
        <v/>
      </c>
      <c r="W38" s="59">
        <f>IF('[50]سجل المستخلصات'!$AC$19="","",'[50]سجل المستخلصات'!$AC$19)</f>
        <v/>
      </c>
      <c r="X38" s="62">
        <f>IF('[50]سجل المستخلصات'!$AD$19="","",'[50]سجل المستخلصات'!$AD$19)</f>
        <v/>
      </c>
      <c r="Y38" s="58">
        <f>IF('[50]سجل المستخلصات'!$AE$19="","",'[50]سجل المستخلصات'!$AE$19)</f>
        <v/>
      </c>
    </row>
    <row r="39">
      <c r="B39" s="56" t="n">
        <v>15</v>
      </c>
      <c r="C39" s="57">
        <f>IF('[50]سجل المستخلصات'!$C$20="","",'[50]سجل المستخلصات'!$C$20)</f>
        <v/>
      </c>
      <c r="D39" s="57">
        <f>IF('[50]سجل المستخلصات'!$E$20="","",'[50]سجل المستخلصات'!$E$20)</f>
        <v/>
      </c>
      <c r="E39" s="58">
        <f>IF('[50]سجل المستخلصات'!$F$20="","",'[50]سجل المستخلصات'!$F$20)</f>
        <v/>
      </c>
      <c r="F39" s="59">
        <f>IF('[50]سجل المستخلصات'!$H$20="","",'[50]سجل المستخلصات'!$H$20)</f>
        <v/>
      </c>
      <c r="G39" s="59">
        <f>IF('[50]سجل المستخلصات'!$G$20="","",'[50]سجل المستخلصات'!$G$20)</f>
        <v/>
      </c>
      <c r="H39" s="59">
        <f>IF('[50]سجل المستخلصات'!$I$20="","",'[50]سجل المستخلصات'!$I$20)</f>
        <v/>
      </c>
      <c r="I39" s="59">
        <f>IF('[50]سجل المستخلصات'!$J$20="","",'[50]سجل المستخلصات'!$J$20)</f>
        <v/>
      </c>
      <c r="J39" s="59">
        <f>IF('[50]سجل المستخلصات'!$K$20="","",'[50]سجل المستخلصات'!$K$20)</f>
        <v/>
      </c>
      <c r="K39" s="60">
        <f>IF('[50]سجل المستخلصات'!$L$20="","",'[50]سجل المستخلصات'!$L$20)</f>
        <v/>
      </c>
      <c r="L39" s="60">
        <f>IF('[50]سجل المستخلصات'!$M$20="","",'[50]سجل المستخلصات'!$M$20)</f>
        <v/>
      </c>
      <c r="M39" s="60">
        <f>IF('[50]سجل المستخلصات'!$N$20="","",'[50]سجل المستخلصات'!$N$20)</f>
        <v/>
      </c>
      <c r="N39" s="59">
        <f>IF('[50]سجل المستخلصات'!$O$20="","",'[50]سجل المستخلصات'!$O$20)</f>
        <v/>
      </c>
      <c r="O39" s="59">
        <f>IF('[50]سجل المستخلصات'!$R$20="","",'[50]سجل المستخلصات'!$R$20)</f>
        <v/>
      </c>
      <c r="P39" s="59">
        <f>IF('[50]سجل المستخلصات'!$S$20="","",'[50]سجل المستخلصات'!$S$20)</f>
        <v/>
      </c>
      <c r="Q39" s="59">
        <f>IF('[50]سجل المستخلصات'!$T$20="","",'[50]سجل المستخلصات'!$T$20)</f>
        <v/>
      </c>
      <c r="R39" s="59">
        <f>IF('[50]سجل المستخلصات'!$V$20="","",'[50]سجل المستخلصات'!$V$20)</f>
        <v/>
      </c>
      <c r="S39" s="59">
        <f>IF('[50]سجل المستخلصات'!$W$20="","",'[50]سجل المستخلصات'!$W$20)</f>
        <v/>
      </c>
      <c r="T39" s="61">
        <f>IF('[50]سجل المستخلصات'!$X$20="","",'[50]سجل المستخلصات'!$X$20)</f>
        <v/>
      </c>
      <c r="U39" s="61">
        <f>IF('[50]سجل المستخلصات'!$Z$20="","",'[50]سجل المستخلصات'!$Z$20)</f>
        <v/>
      </c>
      <c r="V39" s="59">
        <f>IF('[50]سجل المستخلصات'!$AA$20="","",'[50]سجل المستخلصات'!$AA$20)</f>
        <v/>
      </c>
      <c r="W39" s="59">
        <f>IF('[50]سجل المستخلصات'!$AC$20="","",'[50]سجل المستخلصات'!$AC$20)</f>
        <v/>
      </c>
      <c r="X39" s="62">
        <f>IF('[50]سجل المستخلصات'!$AD$20="","",'[50]سجل المستخلصات'!$AD$20)</f>
        <v/>
      </c>
      <c r="Y39" s="58">
        <f>IF('[50]سجل المستخلصات'!$AE$20="","",'[50]سجل المستخلصات'!$AE$20)</f>
        <v/>
      </c>
    </row>
    <row r="40">
      <c r="B40" s="56" t="n">
        <v>16</v>
      </c>
      <c r="C40" s="57">
        <f>IF('[50]سجل المستخلصات'!$C$21="","",'[50]سجل المستخلصات'!$C$21)</f>
        <v/>
      </c>
      <c r="D40" s="57">
        <f>IF('[50]سجل المستخلصات'!$E$21="","",'[50]سجل المستخلصات'!$E$21)</f>
        <v/>
      </c>
      <c r="E40" s="58">
        <f>IF('[50]سجل المستخلصات'!$F$21="","",'[50]سجل المستخلصات'!$F$21)</f>
        <v/>
      </c>
      <c r="F40" s="59">
        <f>IF('[50]سجل المستخلصات'!$H$21="","",'[50]سجل المستخلصات'!$H$21)</f>
        <v/>
      </c>
      <c r="G40" s="59">
        <f>IF('[50]سجل المستخلصات'!$G$21="","",'[50]سجل المستخلصات'!$G$21)</f>
        <v/>
      </c>
      <c r="H40" s="59">
        <f>IF('[50]سجل المستخلصات'!$I$21="","",'[50]سجل المستخلصات'!$I$21)</f>
        <v/>
      </c>
      <c r="I40" s="59">
        <f>IF('[50]سجل المستخلصات'!$J$21="","",'[50]سجل المستخلصات'!$J$21)</f>
        <v/>
      </c>
      <c r="J40" s="59">
        <f>IF('[50]سجل المستخلصات'!$K$21="","",'[50]سجل المستخلصات'!$K$21)</f>
        <v/>
      </c>
      <c r="K40" s="60">
        <f>IF('[50]سجل المستخلصات'!$L$21="","",'[50]سجل المستخلصات'!$L$21)</f>
        <v/>
      </c>
      <c r="L40" s="60">
        <f>IF('[50]سجل المستخلصات'!$M$21="","",'[50]سجل المستخلصات'!$M$21)</f>
        <v/>
      </c>
      <c r="M40" s="60">
        <f>IF('[50]سجل المستخلصات'!$N$21="","",'[50]سجل المستخلصات'!$N$21)</f>
        <v/>
      </c>
      <c r="N40" s="59">
        <f>IF('[50]سجل المستخلصات'!$O$21="","",'[50]سجل المستخلصات'!$O$21)</f>
        <v/>
      </c>
      <c r="O40" s="59">
        <f>IF('[50]سجل المستخلصات'!$R$21="","",'[50]سجل المستخلصات'!$R$21)</f>
        <v/>
      </c>
      <c r="P40" s="59">
        <f>IF('[50]سجل المستخلصات'!$S$21="","",'[50]سجل المستخلصات'!$S$21)</f>
        <v/>
      </c>
      <c r="Q40" s="59">
        <f>IF('[50]سجل المستخلصات'!$T$21="","",'[50]سجل المستخلصات'!$T$21)</f>
        <v/>
      </c>
      <c r="R40" s="59">
        <f>IF('[50]سجل المستخلصات'!$V$21="","",'[50]سجل المستخلصات'!$V$21)</f>
        <v/>
      </c>
      <c r="S40" s="59">
        <f>IF('[50]سجل المستخلصات'!$W$21="","",'[50]سجل المستخلصات'!$W$21)</f>
        <v/>
      </c>
      <c r="T40" s="61">
        <f>IF('[50]سجل المستخلصات'!$X$21="","",'[50]سجل المستخلصات'!$X$21)</f>
        <v/>
      </c>
      <c r="U40" s="61">
        <f>IF('[50]سجل المستخلصات'!$Z$21="","",'[50]سجل المستخلصات'!$Z$21)</f>
        <v/>
      </c>
      <c r="V40" s="59">
        <f>IF('[50]سجل المستخلصات'!$AA$21="","",'[50]سجل المستخلصات'!$AA$21)</f>
        <v/>
      </c>
      <c r="W40" s="59">
        <f>IF('[50]سجل المستخلصات'!$AC$21="","",'[50]سجل المستخلصات'!$AC$21)</f>
        <v/>
      </c>
      <c r="X40" s="62">
        <f>IF('[50]سجل المستخلصات'!$AD$21="","",'[50]سجل المستخلصات'!$AD$21)</f>
        <v/>
      </c>
      <c r="Y40" s="58">
        <f>IF('[50]سجل المستخلصات'!$AE$21="","",'[50]سجل المستخلصات'!$AE$21)</f>
        <v/>
      </c>
    </row>
    <row r="41">
      <c r="B41" s="56" t="n">
        <v>17</v>
      </c>
      <c r="C41" s="57">
        <f>IF('[50]سجل المستخلصات'!$C$22="","",'[50]سجل المستخلصات'!$C$22)</f>
        <v/>
      </c>
      <c r="D41" s="57">
        <f>IF('[50]سجل المستخلصات'!$E$22="","",'[50]سجل المستخلصات'!$E$22)</f>
        <v/>
      </c>
      <c r="E41" s="58">
        <f>IF('[50]سجل المستخلصات'!$F$22="","",'[50]سجل المستخلصات'!$F$22)</f>
        <v/>
      </c>
      <c r="F41" s="59">
        <f>IF('[50]سجل المستخلصات'!$H$22="","",'[50]سجل المستخلصات'!$H$22)</f>
        <v/>
      </c>
      <c r="G41" s="59">
        <f>IF('[50]سجل المستخلصات'!$G$22="","",'[50]سجل المستخلصات'!$G$22)</f>
        <v/>
      </c>
      <c r="H41" s="59">
        <f>IF('[50]سجل المستخلصات'!$I$22="","",'[50]سجل المستخلصات'!$I$22)</f>
        <v/>
      </c>
      <c r="I41" s="59">
        <f>IF('[50]سجل المستخلصات'!$J$22="","",'[50]سجل المستخلصات'!$J$22)</f>
        <v/>
      </c>
      <c r="J41" s="59">
        <f>IF('[50]سجل المستخلصات'!$K$22="","",'[50]سجل المستخلصات'!$K$22)</f>
        <v/>
      </c>
      <c r="K41" s="60">
        <f>IF('[50]سجل المستخلصات'!$L$22="","",'[50]سجل المستخلصات'!$L$22)</f>
        <v/>
      </c>
      <c r="L41" s="60">
        <f>IF('[50]سجل المستخلصات'!$M$22="","",'[50]سجل المستخلصات'!$M$22)</f>
        <v/>
      </c>
      <c r="M41" s="60">
        <f>IF('[50]سجل المستخلصات'!$N$22="","",'[50]سجل المستخلصات'!$N$22)</f>
        <v/>
      </c>
      <c r="N41" s="59">
        <f>IF('[50]سجل المستخلصات'!$O$22="","",'[50]سجل المستخلصات'!$O$22)</f>
        <v/>
      </c>
      <c r="O41" s="59">
        <f>IF('[50]سجل المستخلصات'!$R$22="","",'[50]سجل المستخلصات'!$R$22)</f>
        <v/>
      </c>
      <c r="P41" s="59">
        <f>IF('[50]سجل المستخلصات'!$S$22="","",'[50]سجل المستخلصات'!$S$22)</f>
        <v/>
      </c>
      <c r="Q41" s="59">
        <f>IF('[50]سجل المستخلصات'!$T$22="","",'[50]سجل المستخلصات'!$T$22)</f>
        <v/>
      </c>
      <c r="R41" s="59">
        <f>IF('[50]سجل المستخلصات'!$V$22="","",'[50]سجل المستخلصات'!$V$22)</f>
        <v/>
      </c>
      <c r="S41" s="59">
        <f>IF('[50]سجل المستخلصات'!$W$22="","",'[50]سجل المستخلصات'!$W$22)</f>
        <v/>
      </c>
      <c r="T41" s="61">
        <f>IF('[50]سجل المستخلصات'!$X$22="","",'[50]سجل المستخلصات'!$X$22)</f>
        <v/>
      </c>
      <c r="U41" s="61">
        <f>IF('[50]سجل المستخلصات'!$Z$22="","",'[50]سجل المستخلصات'!$Z$22)</f>
        <v/>
      </c>
      <c r="V41" s="59">
        <f>IF('[50]سجل المستخلصات'!$AA$22="","",'[50]سجل المستخلصات'!$AA$22)</f>
        <v/>
      </c>
      <c r="W41" s="59">
        <f>IF('[50]سجل المستخلصات'!$AC$22="","",'[50]سجل المستخلصات'!$AC$22)</f>
        <v/>
      </c>
      <c r="X41" s="62">
        <f>IF('[50]سجل المستخلصات'!$AD$22="","",'[50]سجل المستخلصات'!$AD$22)</f>
        <v/>
      </c>
      <c r="Y41" s="58">
        <f>IF('[50]سجل المستخلصات'!$AE$22="","",'[50]سجل المستخلصات'!$AE$22)</f>
        <v/>
      </c>
    </row>
    <row r="42">
      <c r="B42" s="56" t="n">
        <v>18</v>
      </c>
      <c r="C42" s="57">
        <f>IF('[50]سجل المستخلصات'!$C$23="","",'[50]سجل المستخلصات'!$C$23)</f>
        <v/>
      </c>
      <c r="D42" s="57">
        <f>IF('[50]سجل المستخلصات'!$E$23="","",'[50]سجل المستخلصات'!$E$23)</f>
        <v/>
      </c>
      <c r="E42" s="58">
        <f>IF('[50]سجل المستخلصات'!$F$23="","",'[50]سجل المستخلصات'!$F$23)</f>
        <v/>
      </c>
      <c r="F42" s="59">
        <f>IF('[50]سجل المستخلصات'!$H$23="","",'[50]سجل المستخلصات'!$H$23)</f>
        <v/>
      </c>
      <c r="G42" s="59">
        <f>IF('[50]سجل المستخلصات'!$G$23="","",'[50]سجل المستخلصات'!$G$23)</f>
        <v/>
      </c>
      <c r="H42" s="59">
        <f>IF('[50]سجل المستخلصات'!$I$23="","",'[50]سجل المستخلصات'!$I$23)</f>
        <v/>
      </c>
      <c r="I42" s="59">
        <f>IF('[50]سجل المستخلصات'!$J$23="","",'[50]سجل المستخلصات'!$J$23)</f>
        <v/>
      </c>
      <c r="J42" s="59">
        <f>IF('[50]سجل المستخلصات'!$K$23="","",'[50]سجل المستخلصات'!$K$23)</f>
        <v/>
      </c>
      <c r="K42" s="60">
        <f>IF('[50]سجل المستخلصات'!$L$23="","",'[50]سجل المستخلصات'!$L$23)</f>
        <v/>
      </c>
      <c r="L42" s="60">
        <f>IF('[50]سجل المستخلصات'!$M$23="","",'[50]سجل المستخلصات'!$M$23)</f>
        <v/>
      </c>
      <c r="M42" s="60">
        <f>IF('[50]سجل المستخلصات'!$N$23="","",'[50]سجل المستخلصات'!$N$23)</f>
        <v/>
      </c>
      <c r="N42" s="59">
        <f>IF('[50]سجل المستخلصات'!$O$23="","",'[50]سجل المستخلصات'!$O$23)</f>
        <v/>
      </c>
      <c r="O42" s="59">
        <f>IF('[50]سجل المستخلصات'!$R$23="","",'[50]سجل المستخلصات'!$R$23)</f>
        <v/>
      </c>
      <c r="P42" s="59">
        <f>IF('[50]سجل المستخلصات'!$S$23="","",'[50]سجل المستخلصات'!$S$23)</f>
        <v/>
      </c>
      <c r="Q42" s="59">
        <f>IF('[50]سجل المستخلصات'!$T$23="","",'[50]سجل المستخلصات'!$T$23)</f>
        <v/>
      </c>
      <c r="R42" s="59">
        <f>IF('[50]سجل المستخلصات'!$V$23="","",'[50]سجل المستخلصات'!$V$23)</f>
        <v/>
      </c>
      <c r="S42" s="59">
        <f>IF('[50]سجل المستخلصات'!$W$23="","",'[50]سجل المستخلصات'!$W$23)</f>
        <v/>
      </c>
      <c r="T42" s="61">
        <f>IF('[50]سجل المستخلصات'!$X$23="","",'[50]سجل المستخلصات'!$X$23)</f>
        <v/>
      </c>
      <c r="U42" s="61">
        <f>IF('[50]سجل المستخلصات'!$Z$23="","",'[50]سجل المستخلصات'!$Z$23)</f>
        <v/>
      </c>
      <c r="V42" s="59">
        <f>IF('[50]سجل المستخلصات'!$AA$23="","",'[50]سجل المستخلصات'!$AA$23)</f>
        <v/>
      </c>
      <c r="W42" s="59">
        <f>IF('[50]سجل المستخلصات'!$AC$23="","",'[50]سجل المستخلصات'!$AC$23)</f>
        <v/>
      </c>
      <c r="X42" s="62">
        <f>IF('[50]سجل المستخلصات'!$AD$23="","",'[50]سجل المستخلصات'!$AD$23)</f>
        <v/>
      </c>
      <c r="Y42" s="58">
        <f>IF('[50]سجل المستخلصات'!$AE$23="","",'[50]سجل المستخلصات'!$AE$23)</f>
        <v/>
      </c>
    </row>
    <row r="43">
      <c r="B43" s="56" t="n">
        <v>19</v>
      </c>
      <c r="C43" s="57">
        <f>IF('[50]سجل المستخلصات'!$C$24="","",'[50]سجل المستخلصات'!$C$24)</f>
        <v/>
      </c>
      <c r="D43" s="57">
        <f>IF('[50]سجل المستخلصات'!$E$24="","",'[50]سجل المستخلصات'!$E$24)</f>
        <v/>
      </c>
      <c r="E43" s="58">
        <f>IF('[50]سجل المستخلصات'!$F$24="","",'[50]سجل المستخلصات'!$F$24)</f>
        <v/>
      </c>
      <c r="F43" s="59">
        <f>IF('[50]سجل المستخلصات'!$H$24="","",'[50]سجل المستخلصات'!$H$24)</f>
        <v/>
      </c>
      <c r="G43" s="59">
        <f>IF('[50]سجل المستخلصات'!$G$24="","",'[50]سجل المستخلصات'!$G$24)</f>
        <v/>
      </c>
      <c r="H43" s="59">
        <f>IF('[50]سجل المستخلصات'!$I$24="","",'[50]سجل المستخلصات'!$I$24)</f>
        <v/>
      </c>
      <c r="I43" s="59">
        <f>IF('[50]سجل المستخلصات'!$J$24="","",'[50]سجل المستخلصات'!$J$24)</f>
        <v/>
      </c>
      <c r="J43" s="59">
        <f>IF('[50]سجل المستخلصات'!$K$24="","",'[50]سجل المستخلصات'!$K$24)</f>
        <v/>
      </c>
      <c r="K43" s="60">
        <f>IF('[50]سجل المستخلصات'!$L$24="","",'[50]سجل المستخلصات'!$L$24)</f>
        <v/>
      </c>
      <c r="L43" s="60">
        <f>IF('[50]سجل المستخلصات'!$M$24="","",'[50]سجل المستخلصات'!$M$24)</f>
        <v/>
      </c>
      <c r="M43" s="60">
        <f>IF('[50]سجل المستخلصات'!$N$24="","",'[50]سجل المستخلصات'!$N$24)</f>
        <v/>
      </c>
      <c r="N43" s="59">
        <f>IF('[50]سجل المستخلصات'!$O$24="","",'[50]سجل المستخلصات'!$O$24)</f>
        <v/>
      </c>
      <c r="O43" s="59">
        <f>IF('[50]سجل المستخلصات'!$R$24="","",'[50]سجل المستخلصات'!$R$24)</f>
        <v/>
      </c>
      <c r="P43" s="59">
        <f>IF('[50]سجل المستخلصات'!$S$24="","",'[50]سجل المستخلصات'!$S$24)</f>
        <v/>
      </c>
      <c r="Q43" s="59">
        <f>IF('[50]سجل المستخلصات'!$T$24="","",'[50]سجل المستخلصات'!$T$24)</f>
        <v/>
      </c>
      <c r="R43" s="59">
        <f>IF('[50]سجل المستخلصات'!$V$24="","",'[50]سجل المستخلصات'!$V$24)</f>
        <v/>
      </c>
      <c r="S43" s="59">
        <f>IF('[50]سجل المستخلصات'!$W$24="","",'[50]سجل المستخلصات'!$W$24)</f>
        <v/>
      </c>
      <c r="T43" s="61">
        <f>IF('[50]سجل المستخلصات'!$X$24="","",'[50]سجل المستخلصات'!$X$24)</f>
        <v/>
      </c>
      <c r="U43" s="61">
        <f>IF('[50]سجل المستخلصات'!$Z$24="","",'[50]سجل المستخلصات'!$Z$24)</f>
        <v/>
      </c>
      <c r="V43" s="59">
        <f>IF('[50]سجل المستخلصات'!$AA$24="","",'[50]سجل المستخلصات'!$AA$24)</f>
        <v/>
      </c>
      <c r="W43" s="59">
        <f>IF('[50]سجل المستخلصات'!$AC$24="","",'[50]سجل المستخلصات'!$AC$24)</f>
        <v/>
      </c>
      <c r="X43" s="62">
        <f>IF('[50]سجل المستخلصات'!$AD$24="","",'[50]سجل المستخلصات'!$AD$24)</f>
        <v/>
      </c>
      <c r="Y43" s="58">
        <f>IF('[50]سجل المستخلصات'!$AE$24="","",'[50]سجل المستخلصات'!$AE$24)</f>
        <v/>
      </c>
    </row>
    <row r="44">
      <c r="B44" s="56" t="n">
        <v>20</v>
      </c>
      <c r="C44" s="57">
        <f>IF('[50]سجل المستخلصات'!$C$25="","",'[50]سجل المستخلصات'!$C$25)</f>
        <v/>
      </c>
      <c r="D44" s="57">
        <f>IF('[50]سجل المستخلصات'!$E$25="","",'[50]سجل المستخلصات'!$E$25)</f>
        <v/>
      </c>
      <c r="E44" s="58">
        <f>IF('[50]سجل المستخلصات'!$F$25="","",'[50]سجل المستخلصات'!$F$25)</f>
        <v/>
      </c>
      <c r="F44" s="59">
        <f>IF('[50]سجل المستخلصات'!$H$25="","",'[50]سجل المستخلصات'!$H$25)</f>
        <v/>
      </c>
      <c r="G44" s="59">
        <f>IF('[50]سجل المستخلصات'!$G$25="","",'[50]سجل المستخلصات'!$G$25)</f>
        <v/>
      </c>
      <c r="H44" s="59">
        <f>IF('[50]سجل المستخلصات'!$I$25="","",'[50]سجل المستخلصات'!$I$25)</f>
        <v/>
      </c>
      <c r="I44" s="59">
        <f>IF('[50]سجل المستخلصات'!$J$25="","",'[50]سجل المستخلصات'!$J$25)</f>
        <v/>
      </c>
      <c r="J44" s="59">
        <f>IF('[50]سجل المستخلصات'!$K$25="","",'[50]سجل المستخلصات'!$K$25)</f>
        <v/>
      </c>
      <c r="K44" s="60">
        <f>IF('[50]سجل المستخلصات'!$L$25="","",'[50]سجل المستخلصات'!$L$25)</f>
        <v/>
      </c>
      <c r="L44" s="60">
        <f>IF('[50]سجل المستخلصات'!$M$25="","",'[50]سجل المستخلصات'!$M$25)</f>
        <v/>
      </c>
      <c r="M44" s="60">
        <f>IF('[50]سجل المستخلصات'!$N$25="","",'[50]سجل المستخلصات'!$N$25)</f>
        <v/>
      </c>
      <c r="N44" s="59">
        <f>IF('[50]سجل المستخلصات'!$O$25="","",'[50]سجل المستخلصات'!$O$25)</f>
        <v/>
      </c>
      <c r="O44" s="59">
        <f>IF('[50]سجل المستخلصات'!$R$25="","",'[50]سجل المستخلصات'!$R$25)</f>
        <v/>
      </c>
      <c r="P44" s="59">
        <f>IF('[50]سجل المستخلصات'!$S$25="","",'[50]سجل المستخلصات'!$S$25)</f>
        <v/>
      </c>
      <c r="Q44" s="59">
        <f>IF('[50]سجل المستخلصات'!$T$25="","",'[50]سجل المستخلصات'!$T$25)</f>
        <v/>
      </c>
      <c r="R44" s="59">
        <f>IF('[50]سجل المستخلصات'!$V$25="","",'[50]سجل المستخلصات'!$V$25)</f>
        <v/>
      </c>
      <c r="S44" s="59">
        <f>IF('[50]سجل المستخلصات'!$W$25="","",'[50]سجل المستخلصات'!$W$25)</f>
        <v/>
      </c>
      <c r="T44" s="61">
        <f>IF('[50]سجل المستخلصات'!$X$25="","",'[50]سجل المستخلصات'!$X$25)</f>
        <v/>
      </c>
      <c r="U44" s="61">
        <f>IF('[50]سجل المستخلصات'!$Z$25="","",'[50]سجل المستخلصات'!$Z$25)</f>
        <v/>
      </c>
      <c r="V44" s="59">
        <f>IF('[50]سجل المستخلصات'!$AA$25="","",'[50]سجل المستخلصات'!$AA$25)</f>
        <v/>
      </c>
      <c r="W44" s="59">
        <f>IF('[50]سجل المستخلصات'!$AC$25="","",'[50]سجل المستخلصات'!$AC$25)</f>
        <v/>
      </c>
      <c r="X44" s="62">
        <f>IF('[50]سجل المستخلصات'!$AD$25="","",'[50]سجل المستخلصات'!$AD$25)</f>
        <v/>
      </c>
      <c r="Y44" s="58">
        <f>IF('[50]سجل المستخلصات'!$AE$25="","",'[50]سجل المستخلصات'!$AE$25)</f>
        <v/>
      </c>
    </row>
    <row r="45">
      <c r="B45" s="64" t="inlineStr">
        <is>
          <t>الإجمالي</t>
        </is>
      </c>
      <c r="C45" s="65" t="n"/>
      <c r="D45" s="65" t="n"/>
      <c r="E45" s="64" t="n"/>
      <c r="F45" s="66">
        <f>SUM(F25:F44)</f>
        <v/>
      </c>
      <c r="G45" s="66">
        <f>IF($V$9=0,0,N(INDEX($G$25:$G$44,$V$9)))</f>
        <v/>
      </c>
      <c r="H45" s="66">
        <f>IF($V$9=0,0,N(INDEX($H$25:$H$44,$V$9)))</f>
        <v/>
      </c>
      <c r="I45" s="66">
        <f>IF($V$9=0,0,N(INDEX($I$25:$I$44,$V$9)))</f>
        <v/>
      </c>
      <c r="J45" s="66">
        <f>IF($V$9=0,0,N(INDEX($J$25:$J$44,$V$9)))</f>
        <v/>
      </c>
      <c r="K45" s="67">
        <f>IF($V$9=0,0,N(INDEX($K$25:$K$44,$V$9)))</f>
        <v/>
      </c>
      <c r="L45" s="67" t="n"/>
      <c r="M45" s="67" t="n"/>
      <c r="N45" s="66">
        <f>IF($V$9=0,0,N(INDEX($N$25:$N$44,$V$9)))</f>
        <v/>
      </c>
      <c r="O45" s="66">
        <f>IF($V$9=0,0,N(INDEX($O$25:$O$44,$V$9)))</f>
        <v/>
      </c>
      <c r="P45" s="66">
        <f>IF($V$9=0,0,N(INDEX($P$25:$P$44,$V$9)))</f>
        <v/>
      </c>
      <c r="Q45" s="66">
        <f>IF($V$9=0,0,N(INDEX($Q$25:$Q$44,$V$9)))</f>
        <v/>
      </c>
      <c r="R45" s="66">
        <f>IF($V$9=0,0,N(INDEX($R$25:$R$44,$V$9)))</f>
        <v/>
      </c>
      <c r="S45" s="66">
        <f>IF($V$9=0,0,N(INDEX($S$25:$S$44,$V$9)))</f>
        <v/>
      </c>
      <c r="T45" s="66">
        <f>IF($V$9=0,0,N(INDEX($T$25:$T$44,$V$9)))</f>
        <v/>
      </c>
      <c r="U45" s="66">
        <f>SUM(U25:U44)</f>
        <v/>
      </c>
      <c r="V45" s="66">
        <f>SUM(V25:V44)</f>
        <v/>
      </c>
      <c r="W45" s="66">
        <f>SUM(W25:W44)</f>
        <v/>
      </c>
      <c r="X45" s="68">
        <f>IFERROR(AVERAGE(X25:X44),0)</f>
        <v/>
      </c>
      <c r="Y45" s="64" t="n"/>
    </row>
    <row r="48">
      <c r="B48" s="53" t="inlineStr">
        <is>
          <t>الإنجاز حسب أقسام الأعمال</t>
        </is>
      </c>
      <c r="C48" s="53" t="n"/>
      <c r="D48" s="53" t="n"/>
      <c r="E48" s="53" t="n"/>
      <c r="F48" s="53" t="n"/>
      <c r="G48" s="53" t="n"/>
    </row>
    <row r="49">
      <c r="B49" s="54" t="inlineStr">
        <is>
          <t>القسم</t>
        </is>
      </c>
      <c r="C49" s="54" t="n"/>
      <c r="D49" s="54" t="n"/>
      <c r="E49" s="54" t="inlineStr">
        <is>
          <t>القيمة التعاقدية</t>
        </is>
      </c>
      <c r="F49" s="54" t="inlineStr">
        <is>
          <t>القيمة المنفذة</t>
        </is>
      </c>
      <c r="G49" s="54" t="inlineStr">
        <is>
          <t>نسبة الإنجاز</t>
        </is>
      </c>
    </row>
    <row r="50">
      <c r="B50" s="69">
        <f>IF('[50]سجل المستخلصات'!$B$32="","",'[50]سجل المستخلصات'!$B$32)</f>
        <v/>
      </c>
      <c r="C50" s="69" t="n"/>
      <c r="D50" s="69" t="n"/>
      <c r="E50" s="59">
        <f>N('[50]سجل المستخلصات'!$E$32)</f>
        <v/>
      </c>
      <c r="F50" s="59">
        <f>N('[50]سجل المستخلصات'!$F$32)</f>
        <v/>
      </c>
      <c r="G50" s="70">
        <f>IF(E50&gt;0,F50/E50,0)</f>
        <v/>
      </c>
    </row>
    <row r="51">
      <c r="B51" s="69">
        <f>IF('[50]سجل المستخلصات'!$B$33="","",'[50]سجل المستخلصات'!$B$33)</f>
        <v/>
      </c>
      <c r="C51" s="69" t="n"/>
      <c r="D51" s="69" t="n"/>
      <c r="E51" s="59">
        <f>N('[50]سجل المستخلصات'!$E$33)</f>
        <v/>
      </c>
      <c r="F51" s="59">
        <f>N('[50]سجل المستخلصات'!$F$33)</f>
        <v/>
      </c>
      <c r="G51" s="70">
        <f>IF(E51&gt;0,F51/E51,0)</f>
        <v/>
      </c>
    </row>
    <row r="52">
      <c r="B52" s="69">
        <f>IF('[50]سجل المستخلصات'!$B$34="","",'[50]سجل المستخلصات'!$B$34)</f>
        <v/>
      </c>
      <c r="C52" s="69" t="n"/>
      <c r="D52" s="69" t="n"/>
      <c r="E52" s="59">
        <f>N('[50]سجل المستخلصات'!$E$34)</f>
        <v/>
      </c>
      <c r="F52" s="59">
        <f>N('[50]سجل المستخلصات'!$F$34)</f>
        <v/>
      </c>
      <c r="G52" s="70">
        <f>IF(E52&gt;0,F52/E52,0)</f>
        <v/>
      </c>
    </row>
    <row r="53">
      <c r="B53" s="69">
        <f>IF('[50]سجل المستخلصات'!$B$35="","",'[50]سجل المستخلصات'!$B$35)</f>
        <v/>
      </c>
      <c r="C53" s="69" t="n"/>
      <c r="D53" s="69" t="n"/>
      <c r="E53" s="59">
        <f>N('[50]سجل المستخلصات'!$E$35)</f>
        <v/>
      </c>
      <c r="F53" s="59">
        <f>N('[50]سجل المستخلصات'!$F$35)</f>
        <v/>
      </c>
      <c r="G53" s="70">
        <f>IF(E53&gt;0,F53/E53,0)</f>
        <v/>
      </c>
    </row>
    <row r="54">
      <c r="B54" s="69">
        <f>IF('[50]سجل المستخلصات'!$B$36="","",'[50]سجل المستخلصات'!$B$36)</f>
        <v/>
      </c>
      <c r="C54" s="69" t="n"/>
      <c r="D54" s="69" t="n"/>
      <c r="E54" s="59">
        <f>N('[50]سجل المستخلصات'!$E$36)</f>
        <v/>
      </c>
      <c r="F54" s="59">
        <f>N('[50]سجل المستخلصات'!$F$36)</f>
        <v/>
      </c>
      <c r="G54" s="70">
        <f>IF(E54&gt;0,F54/E54,0)</f>
        <v/>
      </c>
    </row>
    <row r="55">
      <c r="B55" s="69">
        <f>IF('[50]سجل المستخلصات'!$B$37="","",'[50]سجل المستخلصات'!$B$37)</f>
        <v/>
      </c>
      <c r="C55" s="69" t="n"/>
      <c r="D55" s="69" t="n"/>
      <c r="E55" s="59">
        <f>N('[50]سجل المستخلصات'!$E$37)</f>
        <v/>
      </c>
      <c r="F55" s="59">
        <f>N('[50]سجل المستخلصات'!$F$37)</f>
        <v/>
      </c>
      <c r="G55" s="70">
        <f>IF(E55&gt;0,F55/E55,0)</f>
        <v/>
      </c>
    </row>
    <row r="56">
      <c r="B56" s="69">
        <f>IF('[50]سجل المستخلصات'!$B$38="","",'[50]سجل المستخلصات'!$B$38)</f>
        <v/>
      </c>
      <c r="C56" s="69" t="n"/>
      <c r="D56" s="69" t="n"/>
      <c r="E56" s="59">
        <f>N('[50]سجل المستخلصات'!$E$38)</f>
        <v/>
      </c>
      <c r="F56" s="59">
        <f>N('[50]سجل المستخلصات'!$F$38)</f>
        <v/>
      </c>
      <c r="G56" s="70">
        <f>IF(E56&gt;0,F56/E56,0)</f>
        <v/>
      </c>
    </row>
    <row r="57">
      <c r="B57" s="69">
        <f>IF('[50]سجل المستخلصات'!$B$39="","",'[50]سجل المستخلصات'!$B$39)</f>
        <v/>
      </c>
      <c r="C57" s="69" t="n"/>
      <c r="D57" s="69" t="n"/>
      <c r="E57" s="59">
        <f>N('[50]سجل المستخلصات'!$E$39)</f>
        <v/>
      </c>
      <c r="F57" s="59">
        <f>N('[50]سجل المستخلصات'!$F$39)</f>
        <v/>
      </c>
      <c r="G57" s="70">
        <f>IF(E57&gt;0,F57/E57,0)</f>
        <v/>
      </c>
    </row>
    <row r="58">
      <c r="B58" s="69">
        <f>IF('[50]سجل المستخلصات'!$B$40="","",'[50]سجل المستخلصات'!$B$40)</f>
        <v/>
      </c>
      <c r="C58" s="69" t="n"/>
      <c r="D58" s="69" t="n"/>
      <c r="E58" s="59">
        <f>N('[50]سجل المستخلصات'!$E$40)</f>
        <v/>
      </c>
      <c r="F58" s="59">
        <f>N('[50]سجل المستخلصات'!$F$40)</f>
        <v/>
      </c>
      <c r="G58" s="70">
        <f>IF(E58&gt;0,F58/E58,0)</f>
        <v/>
      </c>
    </row>
    <row r="59">
      <c r="B59" s="69">
        <f>IF('[50]سجل المستخلصات'!$B$41="","",'[50]سجل المستخلصات'!$B$41)</f>
        <v/>
      </c>
      <c r="C59" s="69" t="n"/>
      <c r="D59" s="69" t="n"/>
      <c r="E59" s="59">
        <f>N('[50]سجل المستخلصات'!$E$41)</f>
        <v/>
      </c>
      <c r="F59" s="59">
        <f>N('[50]سجل المستخلصات'!$F$41)</f>
        <v/>
      </c>
      <c r="G59" s="70">
        <f>IF(E59&gt;0,F59/E59,0)</f>
        <v/>
      </c>
    </row>
    <row r="60">
      <c r="B60" s="69">
        <f>IF('[50]سجل المستخلصات'!$B$42="","",'[50]سجل المستخلصات'!$B$42)</f>
        <v/>
      </c>
      <c r="C60" s="69" t="n"/>
      <c r="D60" s="69" t="n"/>
      <c r="E60" s="59">
        <f>N('[50]سجل المستخلصات'!$E$42)</f>
        <v/>
      </c>
      <c r="F60" s="59">
        <f>N('[50]سجل المستخلصات'!$F$42)</f>
        <v/>
      </c>
      <c r="G60" s="70">
        <f>IF(E60&gt;0,F60/E60,0)</f>
        <v/>
      </c>
    </row>
    <row r="61">
      <c r="B61" s="69">
        <f>IF('[50]سجل المستخلصات'!$B$43="","",'[50]سجل المستخلصات'!$B$43)</f>
        <v/>
      </c>
      <c r="C61" s="69" t="n"/>
      <c r="D61" s="69" t="n"/>
      <c r="E61" s="59">
        <f>N('[50]سجل المستخلصات'!$E$43)</f>
        <v/>
      </c>
      <c r="F61" s="59">
        <f>N('[50]سجل المستخلصات'!$F$43)</f>
        <v/>
      </c>
      <c r="G61" s="70">
        <f>IF(E61&gt;0,F61/E61,0)</f>
        <v/>
      </c>
    </row>
  </sheetData>
  <mergeCells count="90">
    <mergeCell ref="B60:D60"/>
    <mergeCell ref="B57:D57"/>
    <mergeCell ref="B53:D53"/>
    <mergeCell ref="S5:Y5"/>
    <mergeCell ref="J18:M18"/>
    <mergeCell ref="V18:Y18"/>
    <mergeCell ref="J17:M17"/>
    <mergeCell ref="AA24:AB24"/>
    <mergeCell ref="C6:F6"/>
    <mergeCell ref="N11:Q11"/>
    <mergeCell ref="V17:Y17"/>
    <mergeCell ref="N20:Q20"/>
    <mergeCell ref="J9:M9"/>
    <mergeCell ref="B12:E12"/>
    <mergeCell ref="B21:E21"/>
    <mergeCell ref="V20:Y20"/>
    <mergeCell ref="N12:Q12"/>
    <mergeCell ref="F15:I15"/>
    <mergeCell ref="B54:D54"/>
    <mergeCell ref="B14:E14"/>
    <mergeCell ref="N14:Q14"/>
    <mergeCell ref="R12:U12"/>
    <mergeCell ref="R21:U21"/>
    <mergeCell ref="B56:D56"/>
    <mergeCell ref="V15:Y15"/>
    <mergeCell ref="B23:Y23"/>
    <mergeCell ref="M5:Q5"/>
    <mergeCell ref="B1:Y1"/>
    <mergeCell ref="R18:U18"/>
    <mergeCell ref="AA25:AB28"/>
    <mergeCell ref="R8:U8"/>
    <mergeCell ref="J8:M8"/>
    <mergeCell ref="C5:F5"/>
    <mergeCell ref="AA4:AB4"/>
    <mergeCell ref="B18:E18"/>
    <mergeCell ref="B11:E11"/>
    <mergeCell ref="F20:I20"/>
    <mergeCell ref="B59:D59"/>
    <mergeCell ref="V9:Y9"/>
    <mergeCell ref="F17:I17"/>
    <mergeCell ref="J11:M11"/>
    <mergeCell ref="J20:M20"/>
    <mergeCell ref="V11:Y11"/>
    <mergeCell ref="S6:Y6"/>
    <mergeCell ref="F9:I9"/>
    <mergeCell ref="J12:M12"/>
    <mergeCell ref="B15:E15"/>
    <mergeCell ref="J21:M21"/>
    <mergeCell ref="N15:Q15"/>
    <mergeCell ref="H5:K5"/>
    <mergeCell ref="V21:Y21"/>
    <mergeCell ref="B49:D49"/>
    <mergeCell ref="B51:D51"/>
    <mergeCell ref="V8:Y8"/>
    <mergeCell ref="M6:Q6"/>
    <mergeCell ref="B50:D50"/>
    <mergeCell ref="F3:L3"/>
    <mergeCell ref="N18:Q18"/>
    <mergeCell ref="F18:I18"/>
    <mergeCell ref="B17:E17"/>
    <mergeCell ref="N8:Q8"/>
    <mergeCell ref="F8:I8"/>
    <mergeCell ref="N17:Q17"/>
    <mergeCell ref="R20:U20"/>
    <mergeCell ref="N3:Y3"/>
    <mergeCell ref="B9:E9"/>
    <mergeCell ref="R17:U17"/>
    <mergeCell ref="B61:D61"/>
    <mergeCell ref="B2:Y2"/>
    <mergeCell ref="N9:Q9"/>
    <mergeCell ref="B20:E20"/>
    <mergeCell ref="F14:I14"/>
    <mergeCell ref="R9:U9"/>
    <mergeCell ref="R14:U14"/>
    <mergeCell ref="V12:Y12"/>
    <mergeCell ref="F11:I11"/>
    <mergeCell ref="R11:U11"/>
    <mergeCell ref="J14:M14"/>
    <mergeCell ref="B55:D55"/>
    <mergeCell ref="V14:Y14"/>
    <mergeCell ref="F12:I12"/>
    <mergeCell ref="N21:Q21"/>
    <mergeCell ref="H6:K6"/>
    <mergeCell ref="F21:I21"/>
    <mergeCell ref="R15:U15"/>
    <mergeCell ref="J15:M15"/>
    <mergeCell ref="B8:E8"/>
    <mergeCell ref="B58:D58"/>
    <mergeCell ref="B52:D52"/>
    <mergeCell ref="B48:G48"/>
  </mergeCells>
  <conditionalFormatting sqref="AB20">
    <cfRule type="expression" priority="1" dxfId="0">
      <formula>AND($AB$20&lt;&gt;"",N($AB$20)-TODAY()&lt;=30)</formula>
    </cfRule>
  </conditionalFormatting>
  <conditionalFormatting sqref="AB21">
    <cfRule type="expression" priority="2" dxfId="0">
      <formula>AND($AB$21&lt;&gt;"",N($AB$21)-TODAY()&lt;=30)</formula>
    </cfRule>
  </conditionalFormatting>
  <conditionalFormatting sqref="M25:M44">
    <cfRule type="cellIs" priority="3" operator="lessThan" dxfId="1">
      <formula>-0.0001</formula>
    </cfRule>
  </conditionalFormatting>
  <conditionalFormatting sqref="Y25:Y44">
    <cfRule type="expression" priority="4" dxfId="2">
      <formula>ISNUMBER(SEARCH("✔",Y25))</formula>
    </cfRule>
    <cfRule type="expression" priority="5" dxfId="0">
      <formula>ISNUMBER(SEARCH("✖",Y25))</formula>
    </cfRule>
    <cfRule type="expression" priority="6" dxfId="3">
      <formula>ISNUMBER(SEARCH("⚠",Y25))</formula>
    </cfRule>
  </conditionalFormatting>
  <conditionalFormatting sqref="B25:Y44">
    <cfRule type="expression" priority="7" dxfId="4">
      <formula>$B25=$V$9</formula>
    </cfRule>
  </conditionalFormatting>
  <conditionalFormatting sqref="K25:K44">
    <cfRule type="dataBar" priority="8">
      <dataBar>
        <cfvo type="num" val="0"/>
        <cfvo type="num" val="1"/>
        <color rgb="0063BE7B"/>
      </dataBar>
    </cfRule>
  </conditionalFormatting>
  <conditionalFormatting sqref="V12">
    <cfRule type="expression" priority="9" dxfId="1">
      <formula>ISNUMBER(SEARCH("⚠",V12))</formula>
    </cfRule>
  </conditionalFormatting>
  <conditionalFormatting sqref="J12">
    <cfRule type="cellIs" priority="10" operator="lessThan" dxfId="1">
      <formula>0</formula>
    </cfRule>
  </conditionalFormatting>
  <conditionalFormatting sqref="G50:G61">
    <cfRule type="dataBar" priority="11">
      <dataBar>
        <cfvo type="num" val="0"/>
        <cfvo type="num" val="1"/>
        <color rgb="0063BE7B"/>
      </dataBar>
    </cfRule>
  </conditionalFormatting>
  <hyperlinks>
    <hyperlink ref="B3" location="'الإجمالي العام'!A1" display="🏠 الإجمالي العام"/>
    <hyperlink ref="C3" location="'مشروع 49'!A1" display="◄ المشروع السابق"/>
    <hyperlink xmlns:r="http://schemas.openxmlformats.org/officeDocument/2006/relationships" ref="F3" r:id="rId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2"/>
</worksheet>
</file>

<file path=xl/worksheets/sheet52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B1:AD67"/>
  <sheetViews>
    <sheetView showGridLines="0" rightToLeft="1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5" customWidth="1" min="2" max="2"/>
    <col width="34" customWidth="1" min="3" max="3"/>
    <col width="13" customWidth="1" min="4" max="4"/>
    <col width="24" customWidth="1" min="5" max="5"/>
    <col width="15" customWidth="1" min="6" max="6"/>
    <col width="13" customWidth="1" min="7" max="7"/>
    <col width="15" customWidth="1" min="8" max="8"/>
    <col width="15" customWidth="1" min="9" max="9"/>
    <col width="9" customWidth="1" min="10" max="10"/>
    <col width="9" customWidth="1" min="11" max="11"/>
    <col width="9" customWidth="1" min="12" max="12"/>
    <col width="7" customWidth="1" min="13" max="13"/>
    <col width="8" customWidth="1" min="14" max="14"/>
    <col width="15" customWidth="1" min="15" max="15"/>
    <col width="15" customWidth="1" min="16" max="16"/>
    <col width="14" customWidth="1" min="17" max="17"/>
    <col width="9" customWidth="1" min="18" max="18"/>
    <col width="13" customWidth="1" min="19" max="19"/>
    <col width="13" customWidth="1" min="20" max="20"/>
    <col width="12" customWidth="1" min="21" max="21"/>
    <col width="11" customWidth="1" min="22" max="22"/>
    <col width="15" customWidth="1" min="23" max="23"/>
    <col width="34" customWidth="1" min="24" max="24"/>
    <col width="15" customWidth="1" min="25" max="25"/>
    <col width="15" customWidth="1" min="26" max="26"/>
    <col width="14" customWidth="1" min="27" max="27"/>
    <col width="9" customWidth="1" min="28" max="28"/>
    <col width="7" customWidth="1" min="29" max="29"/>
    <col width="15" customWidth="1" min="30" max="30"/>
    <col width="2" customWidth="1" min="31" max="31"/>
  </cols>
  <sheetData>
    <row r="1" ht="38" customHeight="1">
      <c r="B1" s="1" t="inlineStr">
        <is>
          <t>🏢 الإجمالي العام — ملخص المستخلصات لكل المشاريع (Portfolio Billing Summary)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20" customHeight="1">
      <c r="B2" s="2">
        <f>"تقارير المستخلصات المجمعة لكل المشاريع   |   تاريخ التقرير: "&amp;TEXT(TODAY(),"yyyy/mm/dd")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26" customHeight="1">
      <c r="B3" s="3" t="inlineStr">
        <is>
          <t>🏠 الإجمالي العام</t>
        </is>
      </c>
      <c r="C3" s="4" t="inlineStr">
        <is>
          <t>📊 أول مشروع</t>
        </is>
      </c>
    </row>
    <row r="5" ht="24" customHeight="1">
      <c r="B5" s="18" t="inlineStr">
        <is>
          <t>إجمالي قيمة العقود المعدلة</t>
        </is>
      </c>
      <c r="C5" s="18" t="n"/>
      <c r="D5" s="18" t="n"/>
      <c r="E5" s="20" t="inlineStr">
        <is>
          <t>إجمالي قيمة الأعمال المنفذة</t>
        </is>
      </c>
      <c r="F5" s="20" t="n"/>
      <c r="G5" s="20" t="n"/>
      <c r="H5" s="20" t="inlineStr">
        <is>
          <t>متوسط الإنجاز المرجح</t>
        </is>
      </c>
      <c r="I5" s="20" t="n"/>
      <c r="J5" s="20" t="n"/>
      <c r="K5" s="18" t="inlineStr">
        <is>
          <t>متوسط المخطط المرجح</t>
        </is>
      </c>
      <c r="L5" s="18" t="n"/>
      <c r="M5" s="18" t="n"/>
      <c r="N5" s="22" t="inlineStr">
        <is>
          <t>عدد المشاريع المفعّلة</t>
        </is>
      </c>
      <c r="O5" s="22" t="n"/>
      <c r="P5" s="22" t="n"/>
      <c r="Q5" s="36" t="inlineStr">
        <is>
          <t>مشاريع متأخرة</t>
        </is>
      </c>
      <c r="R5" s="36" t="n"/>
      <c r="S5" s="36" t="n"/>
      <c r="T5" s="21" t="inlineStr">
        <is>
          <t>الأعمال المتبقية</t>
        </is>
      </c>
      <c r="U5" s="21" t="n"/>
      <c r="V5" s="21" t="n"/>
      <c r="W5" s="21" t="n"/>
      <c r="X5" s="21" t="n"/>
    </row>
    <row r="6" ht="32" customHeight="1">
      <c r="B6" s="71">
        <f>H67</f>
        <v/>
      </c>
      <c r="C6" s="71" t="n"/>
      <c r="D6" s="71" t="n"/>
      <c r="E6" s="72">
        <f>I67</f>
        <v/>
      </c>
      <c r="F6" s="72" t="n"/>
      <c r="G6" s="72" t="n"/>
      <c r="H6" s="29">
        <f>J67</f>
        <v/>
      </c>
      <c r="I6" s="29" t="n"/>
      <c r="J6" s="29" t="n"/>
      <c r="K6" s="30">
        <f>K67</f>
        <v/>
      </c>
      <c r="L6" s="30" t="n"/>
      <c r="M6" s="30" t="n"/>
      <c r="N6" s="73">
        <f>COUNTIF(W17:W66,"&lt;&gt;غير مُفعّل")</f>
        <v/>
      </c>
      <c r="O6" s="73" t="n"/>
      <c r="P6" s="73" t="n"/>
      <c r="Q6" s="74">
        <f>COUNTIF(W17:W66,"*متأخر*")</f>
        <v/>
      </c>
      <c r="R6" s="74" t="n"/>
      <c r="S6" s="74" t="n"/>
      <c r="T6" s="75">
        <f>MAX(0,H67-SUMPRODUCT(H17:H66,J17:J66))</f>
        <v/>
      </c>
      <c r="U6" s="75" t="n"/>
      <c r="V6" s="75" t="n"/>
      <c r="W6" s="75" t="n"/>
      <c r="X6" s="75" t="n"/>
    </row>
    <row r="8" ht="24" customHeight="1">
      <c r="B8" s="18" t="inlineStr">
        <is>
          <t>صافي المستحق التراكمي</t>
        </is>
      </c>
      <c r="C8" s="18" t="n"/>
      <c r="D8" s="18" t="n"/>
      <c r="E8" s="35" t="inlineStr">
        <is>
          <t>إجمالي المحصل</t>
        </is>
      </c>
      <c r="F8" s="35" t="n"/>
      <c r="G8" s="35" t="n"/>
      <c r="H8" s="36" t="inlineStr">
        <is>
          <t>إجمالي غير المحصل</t>
        </is>
      </c>
      <c r="I8" s="36" t="n"/>
      <c r="J8" s="36" t="n"/>
      <c r="K8" s="35" t="inlineStr">
        <is>
          <t>نسبة التحصيل</t>
        </is>
      </c>
      <c r="L8" s="35" t="n"/>
      <c r="M8" s="35" t="n"/>
      <c r="N8" s="44" t="inlineStr">
        <is>
          <t>ضمان الأعمال المحتجز</t>
        </is>
      </c>
      <c r="O8" s="44" t="n"/>
      <c r="P8" s="44" t="n"/>
      <c r="Q8" s="44" t="inlineStr">
        <is>
          <t>أرصدة الدفعات المقدمة</t>
        </is>
      </c>
      <c r="R8" s="44" t="n"/>
      <c r="S8" s="44" t="n"/>
      <c r="T8" s="44" t="inlineStr">
        <is>
          <t>الاستقطاعات الفنية + الغرامات</t>
        </is>
      </c>
      <c r="U8" s="44" t="n"/>
      <c r="V8" s="44" t="n"/>
      <c r="W8" s="44" t="n"/>
      <c r="X8" s="44" t="n"/>
    </row>
    <row r="9" ht="32" customHeight="1">
      <c r="B9" s="71">
        <f>O67</f>
        <v/>
      </c>
      <c r="C9" s="71" t="n"/>
      <c r="D9" s="71" t="n"/>
      <c r="E9" s="76">
        <f>P67</f>
        <v/>
      </c>
      <c r="F9" s="76" t="n"/>
      <c r="G9" s="76" t="n"/>
      <c r="H9" s="77">
        <f>Q67</f>
        <v/>
      </c>
      <c r="I9" s="77" t="n"/>
      <c r="J9" s="77" t="n"/>
      <c r="K9" s="40">
        <f>R67</f>
        <v/>
      </c>
      <c r="L9" s="40" t="n"/>
      <c r="M9" s="40" t="n"/>
      <c r="N9" s="78">
        <f>S67</f>
        <v/>
      </c>
      <c r="O9" s="78" t="n"/>
      <c r="P9" s="78" t="n"/>
      <c r="Q9" s="78">
        <f>T67</f>
        <v/>
      </c>
      <c r="R9" s="78" t="n"/>
      <c r="S9" s="78" t="n"/>
      <c r="T9" s="78">
        <f>U67+V67</f>
        <v/>
      </c>
      <c r="U9" s="78" t="n"/>
      <c r="V9" s="78" t="n"/>
      <c r="W9" s="78" t="n"/>
      <c r="X9" s="78" t="n"/>
    </row>
    <row r="11" ht="24" customHeight="1">
      <c r="B11" s="49" t="inlineStr">
        <is>
          <t>إجمالي الموازنات التقديرية</t>
        </is>
      </c>
      <c r="C11" s="49" t="n"/>
      <c r="D11" s="49" t="n"/>
      <c r="E11" s="49" t="inlineStr">
        <is>
          <t>إجمالي التكاليف الفعلية</t>
        </is>
      </c>
      <c r="F11" s="49" t="n"/>
      <c r="G11" s="49" t="n"/>
      <c r="H11" s="49" t="inlineStr">
        <is>
          <t>الربح الفعلي الإجمالي</t>
        </is>
      </c>
      <c r="I11" s="49" t="n"/>
      <c r="J11" s="49" t="n"/>
      <c r="K11" s="49" t="inlineStr">
        <is>
          <t>هامش الربح الإجمالي</t>
        </is>
      </c>
      <c r="L11" s="49" t="n"/>
      <c r="M11" s="49" t="n"/>
      <c r="N11" s="49" t="inlineStr">
        <is>
          <t>مؤشر أداء التكلفة المرجح</t>
        </is>
      </c>
      <c r="O11" s="49" t="n"/>
      <c r="P11" s="49" t="n"/>
      <c r="Q11" s="36" t="inlineStr">
        <is>
          <t>مشاريع تتجاوز الموازنة</t>
        </is>
      </c>
      <c r="R11" s="36" t="n"/>
      <c r="S11" s="36" t="n"/>
      <c r="T11" s="49" t="inlineStr">
        <is>
          <t>الربح المتوقع عند الإنجاز</t>
        </is>
      </c>
      <c r="U11" s="49" t="n"/>
      <c r="V11" s="49" t="n"/>
      <c r="W11" s="49" t="n"/>
      <c r="X11" s="49" t="n"/>
    </row>
    <row r="12" ht="32" customHeight="1">
      <c r="B12" s="79">
        <f>Y67</f>
        <v/>
      </c>
      <c r="C12" s="79" t="n"/>
      <c r="D12" s="79" t="n"/>
      <c r="E12" s="79">
        <f>Z67</f>
        <v/>
      </c>
      <c r="F12" s="79" t="n"/>
      <c r="G12" s="79" t="n"/>
      <c r="H12" s="79">
        <f>AA67</f>
        <v/>
      </c>
      <c r="I12" s="79" t="n"/>
      <c r="J12" s="79" t="n"/>
      <c r="K12" s="51">
        <f>AB67</f>
        <v/>
      </c>
      <c r="L12" s="51" t="n"/>
      <c r="M12" s="51" t="n"/>
      <c r="N12" s="52">
        <f>AC67</f>
        <v/>
      </c>
      <c r="O12" s="52" t="n"/>
      <c r="P12" s="52" t="n"/>
      <c r="Q12" s="74">
        <f>COUNTIFS(Z17:Z66,"&gt;0",AC17:AC66,"&lt;0.95")</f>
        <v/>
      </c>
      <c r="R12" s="74" t="n"/>
      <c r="S12" s="74" t="n"/>
      <c r="T12" s="79">
        <f>AD67</f>
        <v/>
      </c>
      <c r="U12" s="79" t="n"/>
      <c r="V12" s="79" t="n"/>
      <c r="W12" s="79" t="n"/>
      <c r="X12" s="79" t="n"/>
    </row>
    <row r="15">
      <c r="B15" s="53" t="inlineStr">
        <is>
          <t>ملخص المشاريع (اضغط على اسم المشروع للانتقال إلى تقريره)</t>
        </is>
      </c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</row>
    <row r="16" ht="44" customHeight="1">
      <c r="B16" s="54" t="inlineStr">
        <is>
          <t>م</t>
        </is>
      </c>
      <c r="C16" s="54" t="inlineStr">
        <is>
          <t>المشروع</t>
        </is>
      </c>
      <c r="D16" s="54" t="inlineStr">
        <is>
          <t>رقم العقد</t>
        </is>
      </c>
      <c r="E16" s="54" t="inlineStr">
        <is>
          <t>صاحب العمل</t>
        </is>
      </c>
      <c r="F16" s="54" t="inlineStr">
        <is>
          <t>قيمة العقد الأصلية</t>
        </is>
      </c>
      <c r="G16" s="54" t="inlineStr">
        <is>
          <t>صافي التغييرية</t>
        </is>
      </c>
      <c r="H16" s="54" t="inlineStr">
        <is>
          <t>قيمة العقد المعدلة</t>
        </is>
      </c>
      <c r="I16" s="54" t="inlineStr">
        <is>
          <t>إجمالي قيمة الأعمال</t>
        </is>
      </c>
      <c r="J16" s="54" t="inlineStr">
        <is>
          <t>الإنجاز الفعلي</t>
        </is>
      </c>
      <c r="K16" s="54" t="inlineStr">
        <is>
          <t>الإنجاز المخطط</t>
        </is>
      </c>
      <c r="L16" s="54" t="inlineStr">
        <is>
          <t>الانحراف</t>
        </is>
      </c>
      <c r="M16" s="54" t="inlineStr">
        <is>
          <t>SPI</t>
        </is>
      </c>
      <c r="N16" s="54" t="inlineStr">
        <is>
          <t>آخر مستخلص</t>
        </is>
      </c>
      <c r="O16" s="54" t="inlineStr">
        <is>
          <t>صافي المستحق التراكمي</t>
        </is>
      </c>
      <c r="P16" s="54" t="inlineStr">
        <is>
          <t>المحصل</t>
        </is>
      </c>
      <c r="Q16" s="54" t="inlineStr">
        <is>
          <t>غير المحصل</t>
        </is>
      </c>
      <c r="R16" s="54" t="inlineStr">
        <is>
          <t>نسبة التحصيل</t>
        </is>
      </c>
      <c r="S16" s="54" t="inlineStr">
        <is>
          <t>الضمان المحتجز</t>
        </is>
      </c>
      <c r="T16" s="54" t="inlineStr">
        <is>
          <t>رصيد الدفعة المقدمة</t>
        </is>
      </c>
      <c r="U16" s="54" t="inlineStr">
        <is>
          <t>الاستقطاعات الفنية</t>
        </is>
      </c>
      <c r="V16" s="54" t="inlineStr">
        <is>
          <t>الغرامات</t>
        </is>
      </c>
      <c r="W16" s="54" t="inlineStr">
        <is>
          <t>حالة المشروع</t>
        </is>
      </c>
      <c r="X16" s="54" t="inlineStr">
        <is>
          <t>التنبيهات النظامية</t>
        </is>
      </c>
      <c r="Y16" s="54" t="inlineStr">
        <is>
          <t>الموازنة التقديرية</t>
        </is>
      </c>
      <c r="Z16" s="54" t="inlineStr">
        <is>
          <t>التكلفة الفعلية</t>
        </is>
      </c>
      <c r="AA16" s="54" t="inlineStr">
        <is>
          <t>الربح الفعلي</t>
        </is>
      </c>
      <c r="AB16" s="54" t="inlineStr">
        <is>
          <t>هامش الربح</t>
        </is>
      </c>
      <c r="AC16" s="54" t="inlineStr">
        <is>
          <t>CPI</t>
        </is>
      </c>
      <c r="AD16" s="54" t="inlineStr">
        <is>
          <t>الربح المتوقع عند الإنجاز</t>
        </is>
      </c>
    </row>
    <row r="17" ht="30" customHeight="1">
      <c r="B17" s="80" t="n">
        <v>1</v>
      </c>
      <c r="C17" s="81">
        <f>IF('مشروع 01'!$C$5="","مشروع رقم 01",'مشروع 01'!$C$5)</f>
        <v/>
      </c>
      <c r="D17" s="82">
        <f>'مشروع 01'!$H$5</f>
        <v/>
      </c>
      <c r="E17" s="7">
        <f>'مشروع 01'!$M$5</f>
        <v/>
      </c>
      <c r="F17" s="83">
        <f>'مشروع 01'!$B$9</f>
        <v/>
      </c>
      <c r="G17" s="83">
        <f>'مشروع 01'!$F$9</f>
        <v/>
      </c>
      <c r="H17" s="83">
        <f>'مشروع 01'!$J$9</f>
        <v/>
      </c>
      <c r="I17" s="83">
        <f>'مشروع 01'!$N$9</f>
        <v/>
      </c>
      <c r="J17" s="70">
        <f>'مشروع 01'!$B$12</f>
        <v/>
      </c>
      <c r="K17" s="84">
        <f>'مشروع 01'!$F$12</f>
        <v/>
      </c>
      <c r="L17" s="84">
        <f>J17-K17</f>
        <v/>
      </c>
      <c r="M17" s="85">
        <f>'مشروع 01'!$R$12</f>
        <v/>
      </c>
      <c r="N17" s="86">
        <f>'مشروع 01'!$V$9</f>
        <v/>
      </c>
      <c r="O17" s="87">
        <f>'مشروع 01'!$B$15</f>
        <v/>
      </c>
      <c r="P17" s="83">
        <f>'مشروع 01'!$F$15</f>
        <v/>
      </c>
      <c r="Q17" s="83">
        <f>'مشروع 01'!$J$15</f>
        <v/>
      </c>
      <c r="R17" s="84">
        <f>IF(O17&gt;0,P17/O17,0)</f>
        <v/>
      </c>
      <c r="S17" s="83">
        <f>'مشروع 01'!$B$18</f>
        <v/>
      </c>
      <c r="T17" s="83">
        <f>'مشروع 01'!$F$18</f>
        <v/>
      </c>
      <c r="U17" s="83">
        <f>'مشروع 01'!$J$18</f>
        <v/>
      </c>
      <c r="V17" s="83">
        <f>'مشروع 01'!$N$18</f>
        <v/>
      </c>
      <c r="W17" s="82">
        <f>'مشروع 01'!$V$12</f>
        <v/>
      </c>
      <c r="X17" s="7">
        <f>'مشروع 01'!$AA$25</f>
        <v/>
      </c>
      <c r="Y17" s="83">
        <f>'مشروع 01'!$B$21</f>
        <v/>
      </c>
      <c r="Z17" s="83">
        <f>'مشروع 01'!$F$21</f>
        <v/>
      </c>
      <c r="AA17" s="83">
        <f>'مشروع 01'!$J$21</f>
        <v/>
      </c>
      <c r="AB17" s="84">
        <f>'مشروع 01'!$N$21</f>
        <v/>
      </c>
      <c r="AC17" s="85">
        <f>'مشروع 01'!$R$21</f>
        <v/>
      </c>
      <c r="AD17" s="83">
        <f>'مشروع 01'!$V$21</f>
        <v/>
      </c>
    </row>
    <row r="18" ht="30" customHeight="1">
      <c r="B18" s="88" t="n">
        <v>2</v>
      </c>
      <c r="C18" s="89">
        <f>IF('مشروع 02'!$C$5="","مشروع رقم 02",'مشروع 02'!$C$5)</f>
        <v/>
      </c>
      <c r="D18" s="90">
        <f>'مشروع 02'!$H$5</f>
        <v/>
      </c>
      <c r="E18" s="91">
        <f>'مشروع 02'!$M$5</f>
        <v/>
      </c>
      <c r="F18" s="92">
        <f>'مشروع 02'!$B$9</f>
        <v/>
      </c>
      <c r="G18" s="92">
        <f>'مشروع 02'!$F$9</f>
        <v/>
      </c>
      <c r="H18" s="92">
        <f>'مشروع 02'!$J$9</f>
        <v/>
      </c>
      <c r="I18" s="92">
        <f>'مشروع 02'!$N$9</f>
        <v/>
      </c>
      <c r="J18" s="93">
        <f>'مشروع 02'!$B$12</f>
        <v/>
      </c>
      <c r="K18" s="94">
        <f>'مشروع 02'!$F$12</f>
        <v/>
      </c>
      <c r="L18" s="94">
        <f>J18-K18</f>
        <v/>
      </c>
      <c r="M18" s="95">
        <f>'مشروع 02'!$R$12</f>
        <v/>
      </c>
      <c r="N18" s="96">
        <f>'مشروع 02'!$V$9</f>
        <v/>
      </c>
      <c r="O18" s="97">
        <f>'مشروع 02'!$B$15</f>
        <v/>
      </c>
      <c r="P18" s="92">
        <f>'مشروع 02'!$F$15</f>
        <v/>
      </c>
      <c r="Q18" s="92">
        <f>'مشروع 02'!$J$15</f>
        <v/>
      </c>
      <c r="R18" s="94">
        <f>IF(O18&gt;0,P18/O18,0)</f>
        <v/>
      </c>
      <c r="S18" s="92">
        <f>'مشروع 02'!$B$18</f>
        <v/>
      </c>
      <c r="T18" s="92">
        <f>'مشروع 02'!$F$18</f>
        <v/>
      </c>
      <c r="U18" s="92">
        <f>'مشروع 02'!$J$18</f>
        <v/>
      </c>
      <c r="V18" s="92">
        <f>'مشروع 02'!$N$18</f>
        <v/>
      </c>
      <c r="W18" s="90">
        <f>'مشروع 02'!$V$12</f>
        <v/>
      </c>
      <c r="X18" s="91">
        <f>'مشروع 02'!$AA$25</f>
        <v/>
      </c>
      <c r="Y18" s="92">
        <f>'مشروع 02'!$B$21</f>
        <v/>
      </c>
      <c r="Z18" s="92">
        <f>'مشروع 02'!$F$21</f>
        <v/>
      </c>
      <c r="AA18" s="92">
        <f>'مشروع 02'!$J$21</f>
        <v/>
      </c>
      <c r="AB18" s="94">
        <f>'مشروع 02'!$N$21</f>
        <v/>
      </c>
      <c r="AC18" s="95">
        <f>'مشروع 02'!$R$21</f>
        <v/>
      </c>
      <c r="AD18" s="92">
        <f>'مشروع 02'!$V$21</f>
        <v/>
      </c>
    </row>
    <row r="19" ht="30" customHeight="1">
      <c r="B19" s="80" t="n">
        <v>3</v>
      </c>
      <c r="C19" s="81">
        <f>IF('مشروع 03'!$C$5="","مشروع رقم 03",'مشروع 03'!$C$5)</f>
        <v/>
      </c>
      <c r="D19" s="82">
        <f>'مشروع 03'!$H$5</f>
        <v/>
      </c>
      <c r="E19" s="7">
        <f>'مشروع 03'!$M$5</f>
        <v/>
      </c>
      <c r="F19" s="83">
        <f>'مشروع 03'!$B$9</f>
        <v/>
      </c>
      <c r="G19" s="83">
        <f>'مشروع 03'!$F$9</f>
        <v/>
      </c>
      <c r="H19" s="83">
        <f>'مشروع 03'!$J$9</f>
        <v/>
      </c>
      <c r="I19" s="83">
        <f>'مشروع 03'!$N$9</f>
        <v/>
      </c>
      <c r="J19" s="70">
        <f>'مشروع 03'!$B$12</f>
        <v/>
      </c>
      <c r="K19" s="84">
        <f>'مشروع 03'!$F$12</f>
        <v/>
      </c>
      <c r="L19" s="84">
        <f>J19-K19</f>
        <v/>
      </c>
      <c r="M19" s="85">
        <f>'مشروع 03'!$R$12</f>
        <v/>
      </c>
      <c r="N19" s="86">
        <f>'مشروع 03'!$V$9</f>
        <v/>
      </c>
      <c r="O19" s="87">
        <f>'مشروع 03'!$B$15</f>
        <v/>
      </c>
      <c r="P19" s="83">
        <f>'مشروع 03'!$F$15</f>
        <v/>
      </c>
      <c r="Q19" s="83">
        <f>'مشروع 03'!$J$15</f>
        <v/>
      </c>
      <c r="R19" s="84">
        <f>IF(O19&gt;0,P19/O19,0)</f>
        <v/>
      </c>
      <c r="S19" s="83">
        <f>'مشروع 03'!$B$18</f>
        <v/>
      </c>
      <c r="T19" s="83">
        <f>'مشروع 03'!$F$18</f>
        <v/>
      </c>
      <c r="U19" s="83">
        <f>'مشروع 03'!$J$18</f>
        <v/>
      </c>
      <c r="V19" s="83">
        <f>'مشروع 03'!$N$18</f>
        <v/>
      </c>
      <c r="W19" s="82">
        <f>'مشروع 03'!$V$12</f>
        <v/>
      </c>
      <c r="X19" s="7">
        <f>'مشروع 03'!$AA$25</f>
        <v/>
      </c>
      <c r="Y19" s="83">
        <f>'مشروع 03'!$B$21</f>
        <v/>
      </c>
      <c r="Z19" s="83">
        <f>'مشروع 03'!$F$21</f>
        <v/>
      </c>
      <c r="AA19" s="83">
        <f>'مشروع 03'!$J$21</f>
        <v/>
      </c>
      <c r="AB19" s="84">
        <f>'مشروع 03'!$N$21</f>
        <v/>
      </c>
      <c r="AC19" s="85">
        <f>'مشروع 03'!$R$21</f>
        <v/>
      </c>
      <c r="AD19" s="83">
        <f>'مشروع 03'!$V$21</f>
        <v/>
      </c>
    </row>
    <row r="20" ht="30" customHeight="1">
      <c r="B20" s="88" t="n">
        <v>4</v>
      </c>
      <c r="C20" s="89">
        <f>IF('مشروع 04'!$C$5="","مشروع رقم 04",'مشروع 04'!$C$5)</f>
        <v/>
      </c>
      <c r="D20" s="90">
        <f>'مشروع 04'!$H$5</f>
        <v/>
      </c>
      <c r="E20" s="91">
        <f>'مشروع 04'!$M$5</f>
        <v/>
      </c>
      <c r="F20" s="92">
        <f>'مشروع 04'!$B$9</f>
        <v/>
      </c>
      <c r="G20" s="92">
        <f>'مشروع 04'!$F$9</f>
        <v/>
      </c>
      <c r="H20" s="92">
        <f>'مشروع 04'!$J$9</f>
        <v/>
      </c>
      <c r="I20" s="92">
        <f>'مشروع 04'!$N$9</f>
        <v/>
      </c>
      <c r="J20" s="93">
        <f>'مشروع 04'!$B$12</f>
        <v/>
      </c>
      <c r="K20" s="94">
        <f>'مشروع 04'!$F$12</f>
        <v/>
      </c>
      <c r="L20" s="94">
        <f>J20-K20</f>
        <v/>
      </c>
      <c r="M20" s="95">
        <f>'مشروع 04'!$R$12</f>
        <v/>
      </c>
      <c r="N20" s="96">
        <f>'مشروع 04'!$V$9</f>
        <v/>
      </c>
      <c r="O20" s="97">
        <f>'مشروع 04'!$B$15</f>
        <v/>
      </c>
      <c r="P20" s="92">
        <f>'مشروع 04'!$F$15</f>
        <v/>
      </c>
      <c r="Q20" s="92">
        <f>'مشروع 04'!$J$15</f>
        <v/>
      </c>
      <c r="R20" s="94">
        <f>IF(O20&gt;0,P20/O20,0)</f>
        <v/>
      </c>
      <c r="S20" s="92">
        <f>'مشروع 04'!$B$18</f>
        <v/>
      </c>
      <c r="T20" s="92">
        <f>'مشروع 04'!$F$18</f>
        <v/>
      </c>
      <c r="U20" s="92">
        <f>'مشروع 04'!$J$18</f>
        <v/>
      </c>
      <c r="V20" s="92">
        <f>'مشروع 04'!$N$18</f>
        <v/>
      </c>
      <c r="W20" s="90">
        <f>'مشروع 04'!$V$12</f>
        <v/>
      </c>
      <c r="X20" s="91">
        <f>'مشروع 04'!$AA$25</f>
        <v/>
      </c>
      <c r="Y20" s="92">
        <f>'مشروع 04'!$B$21</f>
        <v/>
      </c>
      <c r="Z20" s="92">
        <f>'مشروع 04'!$F$21</f>
        <v/>
      </c>
      <c r="AA20" s="92">
        <f>'مشروع 04'!$J$21</f>
        <v/>
      </c>
      <c r="AB20" s="94">
        <f>'مشروع 04'!$N$21</f>
        <v/>
      </c>
      <c r="AC20" s="95">
        <f>'مشروع 04'!$R$21</f>
        <v/>
      </c>
      <c r="AD20" s="92">
        <f>'مشروع 04'!$V$21</f>
        <v/>
      </c>
    </row>
    <row r="21" ht="30" customHeight="1">
      <c r="B21" s="80" t="n">
        <v>5</v>
      </c>
      <c r="C21" s="81">
        <f>IF('مشروع 05'!$C$5="","مشروع رقم 05",'مشروع 05'!$C$5)</f>
        <v/>
      </c>
      <c r="D21" s="82">
        <f>'مشروع 05'!$H$5</f>
        <v/>
      </c>
      <c r="E21" s="7">
        <f>'مشروع 05'!$M$5</f>
        <v/>
      </c>
      <c r="F21" s="83">
        <f>'مشروع 05'!$B$9</f>
        <v/>
      </c>
      <c r="G21" s="83">
        <f>'مشروع 05'!$F$9</f>
        <v/>
      </c>
      <c r="H21" s="83">
        <f>'مشروع 05'!$J$9</f>
        <v/>
      </c>
      <c r="I21" s="83">
        <f>'مشروع 05'!$N$9</f>
        <v/>
      </c>
      <c r="J21" s="70">
        <f>'مشروع 05'!$B$12</f>
        <v/>
      </c>
      <c r="K21" s="84">
        <f>'مشروع 05'!$F$12</f>
        <v/>
      </c>
      <c r="L21" s="84">
        <f>J21-K21</f>
        <v/>
      </c>
      <c r="M21" s="85">
        <f>'مشروع 05'!$R$12</f>
        <v/>
      </c>
      <c r="N21" s="86">
        <f>'مشروع 05'!$V$9</f>
        <v/>
      </c>
      <c r="O21" s="87">
        <f>'مشروع 05'!$B$15</f>
        <v/>
      </c>
      <c r="P21" s="83">
        <f>'مشروع 05'!$F$15</f>
        <v/>
      </c>
      <c r="Q21" s="83">
        <f>'مشروع 05'!$J$15</f>
        <v/>
      </c>
      <c r="R21" s="84">
        <f>IF(O21&gt;0,P21/O21,0)</f>
        <v/>
      </c>
      <c r="S21" s="83">
        <f>'مشروع 05'!$B$18</f>
        <v/>
      </c>
      <c r="T21" s="83">
        <f>'مشروع 05'!$F$18</f>
        <v/>
      </c>
      <c r="U21" s="83">
        <f>'مشروع 05'!$J$18</f>
        <v/>
      </c>
      <c r="V21" s="83">
        <f>'مشروع 05'!$N$18</f>
        <v/>
      </c>
      <c r="W21" s="82">
        <f>'مشروع 05'!$V$12</f>
        <v/>
      </c>
      <c r="X21" s="7">
        <f>'مشروع 05'!$AA$25</f>
        <v/>
      </c>
      <c r="Y21" s="83">
        <f>'مشروع 05'!$B$21</f>
        <v/>
      </c>
      <c r="Z21" s="83">
        <f>'مشروع 05'!$F$21</f>
        <v/>
      </c>
      <c r="AA21" s="83">
        <f>'مشروع 05'!$J$21</f>
        <v/>
      </c>
      <c r="AB21" s="84">
        <f>'مشروع 05'!$N$21</f>
        <v/>
      </c>
      <c r="AC21" s="85">
        <f>'مشروع 05'!$R$21</f>
        <v/>
      </c>
      <c r="AD21" s="83">
        <f>'مشروع 05'!$V$21</f>
        <v/>
      </c>
    </row>
    <row r="22" ht="30" customHeight="1">
      <c r="B22" s="88" t="n">
        <v>6</v>
      </c>
      <c r="C22" s="89">
        <f>IF('مشروع 06'!$C$5="","مشروع رقم 06",'مشروع 06'!$C$5)</f>
        <v/>
      </c>
      <c r="D22" s="90">
        <f>'مشروع 06'!$H$5</f>
        <v/>
      </c>
      <c r="E22" s="91">
        <f>'مشروع 06'!$M$5</f>
        <v/>
      </c>
      <c r="F22" s="92">
        <f>'مشروع 06'!$B$9</f>
        <v/>
      </c>
      <c r="G22" s="92">
        <f>'مشروع 06'!$F$9</f>
        <v/>
      </c>
      <c r="H22" s="92">
        <f>'مشروع 06'!$J$9</f>
        <v/>
      </c>
      <c r="I22" s="92">
        <f>'مشروع 06'!$N$9</f>
        <v/>
      </c>
      <c r="J22" s="93">
        <f>'مشروع 06'!$B$12</f>
        <v/>
      </c>
      <c r="K22" s="94">
        <f>'مشروع 06'!$F$12</f>
        <v/>
      </c>
      <c r="L22" s="94">
        <f>J22-K22</f>
        <v/>
      </c>
      <c r="M22" s="95">
        <f>'مشروع 06'!$R$12</f>
        <v/>
      </c>
      <c r="N22" s="96">
        <f>'مشروع 06'!$V$9</f>
        <v/>
      </c>
      <c r="O22" s="97">
        <f>'مشروع 06'!$B$15</f>
        <v/>
      </c>
      <c r="P22" s="92">
        <f>'مشروع 06'!$F$15</f>
        <v/>
      </c>
      <c r="Q22" s="92">
        <f>'مشروع 06'!$J$15</f>
        <v/>
      </c>
      <c r="R22" s="94">
        <f>IF(O22&gt;0,P22/O22,0)</f>
        <v/>
      </c>
      <c r="S22" s="92">
        <f>'مشروع 06'!$B$18</f>
        <v/>
      </c>
      <c r="T22" s="92">
        <f>'مشروع 06'!$F$18</f>
        <v/>
      </c>
      <c r="U22" s="92">
        <f>'مشروع 06'!$J$18</f>
        <v/>
      </c>
      <c r="V22" s="92">
        <f>'مشروع 06'!$N$18</f>
        <v/>
      </c>
      <c r="W22" s="90">
        <f>'مشروع 06'!$V$12</f>
        <v/>
      </c>
      <c r="X22" s="91">
        <f>'مشروع 06'!$AA$25</f>
        <v/>
      </c>
      <c r="Y22" s="92">
        <f>'مشروع 06'!$B$21</f>
        <v/>
      </c>
      <c r="Z22" s="92">
        <f>'مشروع 06'!$F$21</f>
        <v/>
      </c>
      <c r="AA22" s="92">
        <f>'مشروع 06'!$J$21</f>
        <v/>
      </c>
      <c r="AB22" s="94">
        <f>'مشروع 06'!$N$21</f>
        <v/>
      </c>
      <c r="AC22" s="95">
        <f>'مشروع 06'!$R$21</f>
        <v/>
      </c>
      <c r="AD22" s="92">
        <f>'مشروع 06'!$V$21</f>
        <v/>
      </c>
    </row>
    <row r="23" ht="30" customHeight="1">
      <c r="B23" s="80" t="n">
        <v>7</v>
      </c>
      <c r="C23" s="81">
        <f>IF('مشروع 07'!$C$5="","مشروع رقم 07",'مشروع 07'!$C$5)</f>
        <v/>
      </c>
      <c r="D23" s="82">
        <f>'مشروع 07'!$H$5</f>
        <v/>
      </c>
      <c r="E23" s="7">
        <f>'مشروع 07'!$M$5</f>
        <v/>
      </c>
      <c r="F23" s="83">
        <f>'مشروع 07'!$B$9</f>
        <v/>
      </c>
      <c r="G23" s="83">
        <f>'مشروع 07'!$F$9</f>
        <v/>
      </c>
      <c r="H23" s="83">
        <f>'مشروع 07'!$J$9</f>
        <v/>
      </c>
      <c r="I23" s="83">
        <f>'مشروع 07'!$N$9</f>
        <v/>
      </c>
      <c r="J23" s="70">
        <f>'مشروع 07'!$B$12</f>
        <v/>
      </c>
      <c r="K23" s="84">
        <f>'مشروع 07'!$F$12</f>
        <v/>
      </c>
      <c r="L23" s="84">
        <f>J23-K23</f>
        <v/>
      </c>
      <c r="M23" s="85">
        <f>'مشروع 07'!$R$12</f>
        <v/>
      </c>
      <c r="N23" s="86">
        <f>'مشروع 07'!$V$9</f>
        <v/>
      </c>
      <c r="O23" s="87">
        <f>'مشروع 07'!$B$15</f>
        <v/>
      </c>
      <c r="P23" s="83">
        <f>'مشروع 07'!$F$15</f>
        <v/>
      </c>
      <c r="Q23" s="83">
        <f>'مشروع 07'!$J$15</f>
        <v/>
      </c>
      <c r="R23" s="84">
        <f>IF(O23&gt;0,P23/O23,0)</f>
        <v/>
      </c>
      <c r="S23" s="83">
        <f>'مشروع 07'!$B$18</f>
        <v/>
      </c>
      <c r="T23" s="83">
        <f>'مشروع 07'!$F$18</f>
        <v/>
      </c>
      <c r="U23" s="83">
        <f>'مشروع 07'!$J$18</f>
        <v/>
      </c>
      <c r="V23" s="83">
        <f>'مشروع 07'!$N$18</f>
        <v/>
      </c>
      <c r="W23" s="82">
        <f>'مشروع 07'!$V$12</f>
        <v/>
      </c>
      <c r="X23" s="7">
        <f>'مشروع 07'!$AA$25</f>
        <v/>
      </c>
      <c r="Y23" s="83">
        <f>'مشروع 07'!$B$21</f>
        <v/>
      </c>
      <c r="Z23" s="83">
        <f>'مشروع 07'!$F$21</f>
        <v/>
      </c>
      <c r="AA23" s="83">
        <f>'مشروع 07'!$J$21</f>
        <v/>
      </c>
      <c r="AB23" s="84">
        <f>'مشروع 07'!$N$21</f>
        <v/>
      </c>
      <c r="AC23" s="85">
        <f>'مشروع 07'!$R$21</f>
        <v/>
      </c>
      <c r="AD23" s="83">
        <f>'مشروع 07'!$V$21</f>
        <v/>
      </c>
    </row>
    <row r="24" ht="30" customHeight="1">
      <c r="B24" s="88" t="n">
        <v>8</v>
      </c>
      <c r="C24" s="89">
        <f>IF('مشروع 08'!$C$5="","مشروع رقم 08",'مشروع 08'!$C$5)</f>
        <v/>
      </c>
      <c r="D24" s="90">
        <f>'مشروع 08'!$H$5</f>
        <v/>
      </c>
      <c r="E24" s="91">
        <f>'مشروع 08'!$M$5</f>
        <v/>
      </c>
      <c r="F24" s="92">
        <f>'مشروع 08'!$B$9</f>
        <v/>
      </c>
      <c r="G24" s="92">
        <f>'مشروع 08'!$F$9</f>
        <v/>
      </c>
      <c r="H24" s="92">
        <f>'مشروع 08'!$J$9</f>
        <v/>
      </c>
      <c r="I24" s="92">
        <f>'مشروع 08'!$N$9</f>
        <v/>
      </c>
      <c r="J24" s="93">
        <f>'مشروع 08'!$B$12</f>
        <v/>
      </c>
      <c r="K24" s="94">
        <f>'مشروع 08'!$F$12</f>
        <v/>
      </c>
      <c r="L24" s="94">
        <f>J24-K24</f>
        <v/>
      </c>
      <c r="M24" s="95">
        <f>'مشروع 08'!$R$12</f>
        <v/>
      </c>
      <c r="N24" s="96">
        <f>'مشروع 08'!$V$9</f>
        <v/>
      </c>
      <c r="O24" s="97">
        <f>'مشروع 08'!$B$15</f>
        <v/>
      </c>
      <c r="P24" s="92">
        <f>'مشروع 08'!$F$15</f>
        <v/>
      </c>
      <c r="Q24" s="92">
        <f>'مشروع 08'!$J$15</f>
        <v/>
      </c>
      <c r="R24" s="94">
        <f>IF(O24&gt;0,P24/O24,0)</f>
        <v/>
      </c>
      <c r="S24" s="92">
        <f>'مشروع 08'!$B$18</f>
        <v/>
      </c>
      <c r="T24" s="92">
        <f>'مشروع 08'!$F$18</f>
        <v/>
      </c>
      <c r="U24" s="92">
        <f>'مشروع 08'!$J$18</f>
        <v/>
      </c>
      <c r="V24" s="92">
        <f>'مشروع 08'!$N$18</f>
        <v/>
      </c>
      <c r="W24" s="90">
        <f>'مشروع 08'!$V$12</f>
        <v/>
      </c>
      <c r="X24" s="91">
        <f>'مشروع 08'!$AA$25</f>
        <v/>
      </c>
      <c r="Y24" s="92">
        <f>'مشروع 08'!$B$21</f>
        <v/>
      </c>
      <c r="Z24" s="92">
        <f>'مشروع 08'!$F$21</f>
        <v/>
      </c>
      <c r="AA24" s="92">
        <f>'مشروع 08'!$J$21</f>
        <v/>
      </c>
      <c r="AB24" s="94">
        <f>'مشروع 08'!$N$21</f>
        <v/>
      </c>
      <c r="AC24" s="95">
        <f>'مشروع 08'!$R$21</f>
        <v/>
      </c>
      <c r="AD24" s="92">
        <f>'مشروع 08'!$V$21</f>
        <v/>
      </c>
    </row>
    <row r="25" ht="30" customHeight="1">
      <c r="B25" s="80" t="n">
        <v>9</v>
      </c>
      <c r="C25" s="81">
        <f>IF('مشروع 09'!$C$5="","مشروع رقم 09",'مشروع 09'!$C$5)</f>
        <v/>
      </c>
      <c r="D25" s="82">
        <f>'مشروع 09'!$H$5</f>
        <v/>
      </c>
      <c r="E25" s="7">
        <f>'مشروع 09'!$M$5</f>
        <v/>
      </c>
      <c r="F25" s="83">
        <f>'مشروع 09'!$B$9</f>
        <v/>
      </c>
      <c r="G25" s="83">
        <f>'مشروع 09'!$F$9</f>
        <v/>
      </c>
      <c r="H25" s="83">
        <f>'مشروع 09'!$J$9</f>
        <v/>
      </c>
      <c r="I25" s="83">
        <f>'مشروع 09'!$N$9</f>
        <v/>
      </c>
      <c r="J25" s="70">
        <f>'مشروع 09'!$B$12</f>
        <v/>
      </c>
      <c r="K25" s="84">
        <f>'مشروع 09'!$F$12</f>
        <v/>
      </c>
      <c r="L25" s="84">
        <f>J25-K25</f>
        <v/>
      </c>
      <c r="M25" s="85">
        <f>'مشروع 09'!$R$12</f>
        <v/>
      </c>
      <c r="N25" s="86">
        <f>'مشروع 09'!$V$9</f>
        <v/>
      </c>
      <c r="O25" s="87">
        <f>'مشروع 09'!$B$15</f>
        <v/>
      </c>
      <c r="P25" s="83">
        <f>'مشروع 09'!$F$15</f>
        <v/>
      </c>
      <c r="Q25" s="83">
        <f>'مشروع 09'!$J$15</f>
        <v/>
      </c>
      <c r="R25" s="84">
        <f>IF(O25&gt;0,P25/O25,0)</f>
        <v/>
      </c>
      <c r="S25" s="83">
        <f>'مشروع 09'!$B$18</f>
        <v/>
      </c>
      <c r="T25" s="83">
        <f>'مشروع 09'!$F$18</f>
        <v/>
      </c>
      <c r="U25" s="83">
        <f>'مشروع 09'!$J$18</f>
        <v/>
      </c>
      <c r="V25" s="83">
        <f>'مشروع 09'!$N$18</f>
        <v/>
      </c>
      <c r="W25" s="82">
        <f>'مشروع 09'!$V$12</f>
        <v/>
      </c>
      <c r="X25" s="7">
        <f>'مشروع 09'!$AA$25</f>
        <v/>
      </c>
      <c r="Y25" s="83">
        <f>'مشروع 09'!$B$21</f>
        <v/>
      </c>
      <c r="Z25" s="83">
        <f>'مشروع 09'!$F$21</f>
        <v/>
      </c>
      <c r="AA25" s="83">
        <f>'مشروع 09'!$J$21</f>
        <v/>
      </c>
      <c r="AB25" s="84">
        <f>'مشروع 09'!$N$21</f>
        <v/>
      </c>
      <c r="AC25" s="85">
        <f>'مشروع 09'!$R$21</f>
        <v/>
      </c>
      <c r="AD25" s="83">
        <f>'مشروع 09'!$V$21</f>
        <v/>
      </c>
    </row>
    <row r="26" ht="30" customHeight="1">
      <c r="B26" s="88" t="n">
        <v>10</v>
      </c>
      <c r="C26" s="89">
        <f>IF('مشروع 10'!$C$5="","مشروع رقم 10",'مشروع 10'!$C$5)</f>
        <v/>
      </c>
      <c r="D26" s="90">
        <f>'مشروع 10'!$H$5</f>
        <v/>
      </c>
      <c r="E26" s="91">
        <f>'مشروع 10'!$M$5</f>
        <v/>
      </c>
      <c r="F26" s="92">
        <f>'مشروع 10'!$B$9</f>
        <v/>
      </c>
      <c r="G26" s="92">
        <f>'مشروع 10'!$F$9</f>
        <v/>
      </c>
      <c r="H26" s="92">
        <f>'مشروع 10'!$J$9</f>
        <v/>
      </c>
      <c r="I26" s="92">
        <f>'مشروع 10'!$N$9</f>
        <v/>
      </c>
      <c r="J26" s="93">
        <f>'مشروع 10'!$B$12</f>
        <v/>
      </c>
      <c r="K26" s="94">
        <f>'مشروع 10'!$F$12</f>
        <v/>
      </c>
      <c r="L26" s="94">
        <f>J26-K26</f>
        <v/>
      </c>
      <c r="M26" s="95">
        <f>'مشروع 10'!$R$12</f>
        <v/>
      </c>
      <c r="N26" s="96">
        <f>'مشروع 10'!$V$9</f>
        <v/>
      </c>
      <c r="O26" s="97">
        <f>'مشروع 10'!$B$15</f>
        <v/>
      </c>
      <c r="P26" s="92">
        <f>'مشروع 10'!$F$15</f>
        <v/>
      </c>
      <c r="Q26" s="92">
        <f>'مشروع 10'!$J$15</f>
        <v/>
      </c>
      <c r="R26" s="94">
        <f>IF(O26&gt;0,P26/O26,0)</f>
        <v/>
      </c>
      <c r="S26" s="92">
        <f>'مشروع 10'!$B$18</f>
        <v/>
      </c>
      <c r="T26" s="92">
        <f>'مشروع 10'!$F$18</f>
        <v/>
      </c>
      <c r="U26" s="92">
        <f>'مشروع 10'!$J$18</f>
        <v/>
      </c>
      <c r="V26" s="92">
        <f>'مشروع 10'!$N$18</f>
        <v/>
      </c>
      <c r="W26" s="90">
        <f>'مشروع 10'!$V$12</f>
        <v/>
      </c>
      <c r="X26" s="91">
        <f>'مشروع 10'!$AA$25</f>
        <v/>
      </c>
      <c r="Y26" s="92">
        <f>'مشروع 10'!$B$21</f>
        <v/>
      </c>
      <c r="Z26" s="92">
        <f>'مشروع 10'!$F$21</f>
        <v/>
      </c>
      <c r="AA26" s="92">
        <f>'مشروع 10'!$J$21</f>
        <v/>
      </c>
      <c r="AB26" s="94">
        <f>'مشروع 10'!$N$21</f>
        <v/>
      </c>
      <c r="AC26" s="95">
        <f>'مشروع 10'!$R$21</f>
        <v/>
      </c>
      <c r="AD26" s="92">
        <f>'مشروع 10'!$V$21</f>
        <v/>
      </c>
    </row>
    <row r="27" ht="30" customHeight="1">
      <c r="B27" s="80" t="n">
        <v>11</v>
      </c>
      <c r="C27" s="81">
        <f>IF('مشروع 11'!$C$5="","مشروع رقم 11",'مشروع 11'!$C$5)</f>
        <v/>
      </c>
      <c r="D27" s="82">
        <f>'مشروع 11'!$H$5</f>
        <v/>
      </c>
      <c r="E27" s="7">
        <f>'مشروع 11'!$M$5</f>
        <v/>
      </c>
      <c r="F27" s="83">
        <f>'مشروع 11'!$B$9</f>
        <v/>
      </c>
      <c r="G27" s="83">
        <f>'مشروع 11'!$F$9</f>
        <v/>
      </c>
      <c r="H27" s="83">
        <f>'مشروع 11'!$J$9</f>
        <v/>
      </c>
      <c r="I27" s="83">
        <f>'مشروع 11'!$N$9</f>
        <v/>
      </c>
      <c r="J27" s="70">
        <f>'مشروع 11'!$B$12</f>
        <v/>
      </c>
      <c r="K27" s="84">
        <f>'مشروع 11'!$F$12</f>
        <v/>
      </c>
      <c r="L27" s="84">
        <f>J27-K27</f>
        <v/>
      </c>
      <c r="M27" s="85">
        <f>'مشروع 11'!$R$12</f>
        <v/>
      </c>
      <c r="N27" s="86">
        <f>'مشروع 11'!$V$9</f>
        <v/>
      </c>
      <c r="O27" s="87">
        <f>'مشروع 11'!$B$15</f>
        <v/>
      </c>
      <c r="P27" s="83">
        <f>'مشروع 11'!$F$15</f>
        <v/>
      </c>
      <c r="Q27" s="83">
        <f>'مشروع 11'!$J$15</f>
        <v/>
      </c>
      <c r="R27" s="84">
        <f>IF(O27&gt;0,P27/O27,0)</f>
        <v/>
      </c>
      <c r="S27" s="83">
        <f>'مشروع 11'!$B$18</f>
        <v/>
      </c>
      <c r="T27" s="83">
        <f>'مشروع 11'!$F$18</f>
        <v/>
      </c>
      <c r="U27" s="83">
        <f>'مشروع 11'!$J$18</f>
        <v/>
      </c>
      <c r="V27" s="83">
        <f>'مشروع 11'!$N$18</f>
        <v/>
      </c>
      <c r="W27" s="82">
        <f>'مشروع 11'!$V$12</f>
        <v/>
      </c>
      <c r="X27" s="7">
        <f>'مشروع 11'!$AA$25</f>
        <v/>
      </c>
      <c r="Y27" s="83">
        <f>'مشروع 11'!$B$21</f>
        <v/>
      </c>
      <c r="Z27" s="83">
        <f>'مشروع 11'!$F$21</f>
        <v/>
      </c>
      <c r="AA27" s="83">
        <f>'مشروع 11'!$J$21</f>
        <v/>
      </c>
      <c r="AB27" s="84">
        <f>'مشروع 11'!$N$21</f>
        <v/>
      </c>
      <c r="AC27" s="85">
        <f>'مشروع 11'!$R$21</f>
        <v/>
      </c>
      <c r="AD27" s="83">
        <f>'مشروع 11'!$V$21</f>
        <v/>
      </c>
    </row>
    <row r="28" ht="30" customHeight="1">
      <c r="B28" s="88" t="n">
        <v>12</v>
      </c>
      <c r="C28" s="89">
        <f>IF('مشروع 12'!$C$5="","مشروع رقم 12",'مشروع 12'!$C$5)</f>
        <v/>
      </c>
      <c r="D28" s="90">
        <f>'مشروع 12'!$H$5</f>
        <v/>
      </c>
      <c r="E28" s="91">
        <f>'مشروع 12'!$M$5</f>
        <v/>
      </c>
      <c r="F28" s="92">
        <f>'مشروع 12'!$B$9</f>
        <v/>
      </c>
      <c r="G28" s="92">
        <f>'مشروع 12'!$F$9</f>
        <v/>
      </c>
      <c r="H28" s="92">
        <f>'مشروع 12'!$J$9</f>
        <v/>
      </c>
      <c r="I28" s="92">
        <f>'مشروع 12'!$N$9</f>
        <v/>
      </c>
      <c r="J28" s="93">
        <f>'مشروع 12'!$B$12</f>
        <v/>
      </c>
      <c r="K28" s="94">
        <f>'مشروع 12'!$F$12</f>
        <v/>
      </c>
      <c r="L28" s="94">
        <f>J28-K28</f>
        <v/>
      </c>
      <c r="M28" s="95">
        <f>'مشروع 12'!$R$12</f>
        <v/>
      </c>
      <c r="N28" s="96">
        <f>'مشروع 12'!$V$9</f>
        <v/>
      </c>
      <c r="O28" s="97">
        <f>'مشروع 12'!$B$15</f>
        <v/>
      </c>
      <c r="P28" s="92">
        <f>'مشروع 12'!$F$15</f>
        <v/>
      </c>
      <c r="Q28" s="92">
        <f>'مشروع 12'!$J$15</f>
        <v/>
      </c>
      <c r="R28" s="94">
        <f>IF(O28&gt;0,P28/O28,0)</f>
        <v/>
      </c>
      <c r="S28" s="92">
        <f>'مشروع 12'!$B$18</f>
        <v/>
      </c>
      <c r="T28" s="92">
        <f>'مشروع 12'!$F$18</f>
        <v/>
      </c>
      <c r="U28" s="92">
        <f>'مشروع 12'!$J$18</f>
        <v/>
      </c>
      <c r="V28" s="92">
        <f>'مشروع 12'!$N$18</f>
        <v/>
      </c>
      <c r="W28" s="90">
        <f>'مشروع 12'!$V$12</f>
        <v/>
      </c>
      <c r="X28" s="91">
        <f>'مشروع 12'!$AA$25</f>
        <v/>
      </c>
      <c r="Y28" s="92">
        <f>'مشروع 12'!$B$21</f>
        <v/>
      </c>
      <c r="Z28" s="92">
        <f>'مشروع 12'!$F$21</f>
        <v/>
      </c>
      <c r="AA28" s="92">
        <f>'مشروع 12'!$J$21</f>
        <v/>
      </c>
      <c r="AB28" s="94">
        <f>'مشروع 12'!$N$21</f>
        <v/>
      </c>
      <c r="AC28" s="95">
        <f>'مشروع 12'!$R$21</f>
        <v/>
      </c>
      <c r="AD28" s="92">
        <f>'مشروع 12'!$V$21</f>
        <v/>
      </c>
    </row>
    <row r="29" ht="30" customHeight="1">
      <c r="B29" s="80" t="n">
        <v>13</v>
      </c>
      <c r="C29" s="81">
        <f>IF('مشروع 13'!$C$5="","مشروع رقم 13",'مشروع 13'!$C$5)</f>
        <v/>
      </c>
      <c r="D29" s="82">
        <f>'مشروع 13'!$H$5</f>
        <v/>
      </c>
      <c r="E29" s="7">
        <f>'مشروع 13'!$M$5</f>
        <v/>
      </c>
      <c r="F29" s="83">
        <f>'مشروع 13'!$B$9</f>
        <v/>
      </c>
      <c r="G29" s="83">
        <f>'مشروع 13'!$F$9</f>
        <v/>
      </c>
      <c r="H29" s="83">
        <f>'مشروع 13'!$J$9</f>
        <v/>
      </c>
      <c r="I29" s="83">
        <f>'مشروع 13'!$N$9</f>
        <v/>
      </c>
      <c r="J29" s="70">
        <f>'مشروع 13'!$B$12</f>
        <v/>
      </c>
      <c r="K29" s="84">
        <f>'مشروع 13'!$F$12</f>
        <v/>
      </c>
      <c r="L29" s="84">
        <f>J29-K29</f>
        <v/>
      </c>
      <c r="M29" s="85">
        <f>'مشروع 13'!$R$12</f>
        <v/>
      </c>
      <c r="N29" s="86">
        <f>'مشروع 13'!$V$9</f>
        <v/>
      </c>
      <c r="O29" s="87">
        <f>'مشروع 13'!$B$15</f>
        <v/>
      </c>
      <c r="P29" s="83">
        <f>'مشروع 13'!$F$15</f>
        <v/>
      </c>
      <c r="Q29" s="83">
        <f>'مشروع 13'!$J$15</f>
        <v/>
      </c>
      <c r="R29" s="84">
        <f>IF(O29&gt;0,P29/O29,0)</f>
        <v/>
      </c>
      <c r="S29" s="83">
        <f>'مشروع 13'!$B$18</f>
        <v/>
      </c>
      <c r="T29" s="83">
        <f>'مشروع 13'!$F$18</f>
        <v/>
      </c>
      <c r="U29" s="83">
        <f>'مشروع 13'!$J$18</f>
        <v/>
      </c>
      <c r="V29" s="83">
        <f>'مشروع 13'!$N$18</f>
        <v/>
      </c>
      <c r="W29" s="82">
        <f>'مشروع 13'!$V$12</f>
        <v/>
      </c>
      <c r="X29" s="7">
        <f>'مشروع 13'!$AA$25</f>
        <v/>
      </c>
      <c r="Y29" s="83">
        <f>'مشروع 13'!$B$21</f>
        <v/>
      </c>
      <c r="Z29" s="83">
        <f>'مشروع 13'!$F$21</f>
        <v/>
      </c>
      <c r="AA29" s="83">
        <f>'مشروع 13'!$J$21</f>
        <v/>
      </c>
      <c r="AB29" s="84">
        <f>'مشروع 13'!$N$21</f>
        <v/>
      </c>
      <c r="AC29" s="85">
        <f>'مشروع 13'!$R$21</f>
        <v/>
      </c>
      <c r="AD29" s="83">
        <f>'مشروع 13'!$V$21</f>
        <v/>
      </c>
    </row>
    <row r="30" ht="30" customHeight="1">
      <c r="B30" s="88" t="n">
        <v>14</v>
      </c>
      <c r="C30" s="89">
        <f>IF('مشروع 14'!$C$5="","مشروع رقم 14",'مشروع 14'!$C$5)</f>
        <v/>
      </c>
      <c r="D30" s="90">
        <f>'مشروع 14'!$H$5</f>
        <v/>
      </c>
      <c r="E30" s="91">
        <f>'مشروع 14'!$M$5</f>
        <v/>
      </c>
      <c r="F30" s="92">
        <f>'مشروع 14'!$B$9</f>
        <v/>
      </c>
      <c r="G30" s="92">
        <f>'مشروع 14'!$F$9</f>
        <v/>
      </c>
      <c r="H30" s="92">
        <f>'مشروع 14'!$J$9</f>
        <v/>
      </c>
      <c r="I30" s="92">
        <f>'مشروع 14'!$N$9</f>
        <v/>
      </c>
      <c r="J30" s="93">
        <f>'مشروع 14'!$B$12</f>
        <v/>
      </c>
      <c r="K30" s="94">
        <f>'مشروع 14'!$F$12</f>
        <v/>
      </c>
      <c r="L30" s="94">
        <f>J30-K30</f>
        <v/>
      </c>
      <c r="M30" s="95">
        <f>'مشروع 14'!$R$12</f>
        <v/>
      </c>
      <c r="N30" s="96">
        <f>'مشروع 14'!$V$9</f>
        <v/>
      </c>
      <c r="O30" s="97">
        <f>'مشروع 14'!$B$15</f>
        <v/>
      </c>
      <c r="P30" s="92">
        <f>'مشروع 14'!$F$15</f>
        <v/>
      </c>
      <c r="Q30" s="92">
        <f>'مشروع 14'!$J$15</f>
        <v/>
      </c>
      <c r="R30" s="94">
        <f>IF(O30&gt;0,P30/O30,0)</f>
        <v/>
      </c>
      <c r="S30" s="92">
        <f>'مشروع 14'!$B$18</f>
        <v/>
      </c>
      <c r="T30" s="92">
        <f>'مشروع 14'!$F$18</f>
        <v/>
      </c>
      <c r="U30" s="92">
        <f>'مشروع 14'!$J$18</f>
        <v/>
      </c>
      <c r="V30" s="92">
        <f>'مشروع 14'!$N$18</f>
        <v/>
      </c>
      <c r="W30" s="90">
        <f>'مشروع 14'!$V$12</f>
        <v/>
      </c>
      <c r="X30" s="91">
        <f>'مشروع 14'!$AA$25</f>
        <v/>
      </c>
      <c r="Y30" s="92">
        <f>'مشروع 14'!$B$21</f>
        <v/>
      </c>
      <c r="Z30" s="92">
        <f>'مشروع 14'!$F$21</f>
        <v/>
      </c>
      <c r="AA30" s="92">
        <f>'مشروع 14'!$J$21</f>
        <v/>
      </c>
      <c r="AB30" s="94">
        <f>'مشروع 14'!$N$21</f>
        <v/>
      </c>
      <c r="AC30" s="95">
        <f>'مشروع 14'!$R$21</f>
        <v/>
      </c>
      <c r="AD30" s="92">
        <f>'مشروع 14'!$V$21</f>
        <v/>
      </c>
    </row>
    <row r="31" ht="30" customHeight="1">
      <c r="B31" s="80" t="n">
        <v>15</v>
      </c>
      <c r="C31" s="81">
        <f>IF('مشروع 15'!$C$5="","مشروع رقم 15",'مشروع 15'!$C$5)</f>
        <v/>
      </c>
      <c r="D31" s="82">
        <f>'مشروع 15'!$H$5</f>
        <v/>
      </c>
      <c r="E31" s="7">
        <f>'مشروع 15'!$M$5</f>
        <v/>
      </c>
      <c r="F31" s="83">
        <f>'مشروع 15'!$B$9</f>
        <v/>
      </c>
      <c r="G31" s="83">
        <f>'مشروع 15'!$F$9</f>
        <v/>
      </c>
      <c r="H31" s="83">
        <f>'مشروع 15'!$J$9</f>
        <v/>
      </c>
      <c r="I31" s="83">
        <f>'مشروع 15'!$N$9</f>
        <v/>
      </c>
      <c r="J31" s="70">
        <f>'مشروع 15'!$B$12</f>
        <v/>
      </c>
      <c r="K31" s="84">
        <f>'مشروع 15'!$F$12</f>
        <v/>
      </c>
      <c r="L31" s="84">
        <f>J31-K31</f>
        <v/>
      </c>
      <c r="M31" s="85">
        <f>'مشروع 15'!$R$12</f>
        <v/>
      </c>
      <c r="N31" s="86">
        <f>'مشروع 15'!$V$9</f>
        <v/>
      </c>
      <c r="O31" s="87">
        <f>'مشروع 15'!$B$15</f>
        <v/>
      </c>
      <c r="P31" s="83">
        <f>'مشروع 15'!$F$15</f>
        <v/>
      </c>
      <c r="Q31" s="83">
        <f>'مشروع 15'!$J$15</f>
        <v/>
      </c>
      <c r="R31" s="84">
        <f>IF(O31&gt;0,P31/O31,0)</f>
        <v/>
      </c>
      <c r="S31" s="83">
        <f>'مشروع 15'!$B$18</f>
        <v/>
      </c>
      <c r="T31" s="83">
        <f>'مشروع 15'!$F$18</f>
        <v/>
      </c>
      <c r="U31" s="83">
        <f>'مشروع 15'!$J$18</f>
        <v/>
      </c>
      <c r="V31" s="83">
        <f>'مشروع 15'!$N$18</f>
        <v/>
      </c>
      <c r="W31" s="82">
        <f>'مشروع 15'!$V$12</f>
        <v/>
      </c>
      <c r="X31" s="7">
        <f>'مشروع 15'!$AA$25</f>
        <v/>
      </c>
      <c r="Y31" s="83">
        <f>'مشروع 15'!$B$21</f>
        <v/>
      </c>
      <c r="Z31" s="83">
        <f>'مشروع 15'!$F$21</f>
        <v/>
      </c>
      <c r="AA31" s="83">
        <f>'مشروع 15'!$J$21</f>
        <v/>
      </c>
      <c r="AB31" s="84">
        <f>'مشروع 15'!$N$21</f>
        <v/>
      </c>
      <c r="AC31" s="85">
        <f>'مشروع 15'!$R$21</f>
        <v/>
      </c>
      <c r="AD31" s="83">
        <f>'مشروع 15'!$V$21</f>
        <v/>
      </c>
    </row>
    <row r="32" ht="30" customHeight="1">
      <c r="B32" s="88" t="n">
        <v>16</v>
      </c>
      <c r="C32" s="89">
        <f>IF('مشروع 16'!$C$5="","مشروع رقم 16",'مشروع 16'!$C$5)</f>
        <v/>
      </c>
      <c r="D32" s="90">
        <f>'مشروع 16'!$H$5</f>
        <v/>
      </c>
      <c r="E32" s="91">
        <f>'مشروع 16'!$M$5</f>
        <v/>
      </c>
      <c r="F32" s="92">
        <f>'مشروع 16'!$B$9</f>
        <v/>
      </c>
      <c r="G32" s="92">
        <f>'مشروع 16'!$F$9</f>
        <v/>
      </c>
      <c r="H32" s="92">
        <f>'مشروع 16'!$J$9</f>
        <v/>
      </c>
      <c r="I32" s="92">
        <f>'مشروع 16'!$N$9</f>
        <v/>
      </c>
      <c r="J32" s="93">
        <f>'مشروع 16'!$B$12</f>
        <v/>
      </c>
      <c r="K32" s="94">
        <f>'مشروع 16'!$F$12</f>
        <v/>
      </c>
      <c r="L32" s="94">
        <f>J32-K32</f>
        <v/>
      </c>
      <c r="M32" s="95">
        <f>'مشروع 16'!$R$12</f>
        <v/>
      </c>
      <c r="N32" s="96">
        <f>'مشروع 16'!$V$9</f>
        <v/>
      </c>
      <c r="O32" s="97">
        <f>'مشروع 16'!$B$15</f>
        <v/>
      </c>
      <c r="P32" s="92">
        <f>'مشروع 16'!$F$15</f>
        <v/>
      </c>
      <c r="Q32" s="92">
        <f>'مشروع 16'!$J$15</f>
        <v/>
      </c>
      <c r="R32" s="94">
        <f>IF(O32&gt;0,P32/O32,0)</f>
        <v/>
      </c>
      <c r="S32" s="92">
        <f>'مشروع 16'!$B$18</f>
        <v/>
      </c>
      <c r="T32" s="92">
        <f>'مشروع 16'!$F$18</f>
        <v/>
      </c>
      <c r="U32" s="92">
        <f>'مشروع 16'!$J$18</f>
        <v/>
      </c>
      <c r="V32" s="92">
        <f>'مشروع 16'!$N$18</f>
        <v/>
      </c>
      <c r="W32" s="90">
        <f>'مشروع 16'!$V$12</f>
        <v/>
      </c>
      <c r="X32" s="91">
        <f>'مشروع 16'!$AA$25</f>
        <v/>
      </c>
      <c r="Y32" s="92">
        <f>'مشروع 16'!$B$21</f>
        <v/>
      </c>
      <c r="Z32" s="92">
        <f>'مشروع 16'!$F$21</f>
        <v/>
      </c>
      <c r="AA32" s="92">
        <f>'مشروع 16'!$J$21</f>
        <v/>
      </c>
      <c r="AB32" s="94">
        <f>'مشروع 16'!$N$21</f>
        <v/>
      </c>
      <c r="AC32" s="95">
        <f>'مشروع 16'!$R$21</f>
        <v/>
      </c>
      <c r="AD32" s="92">
        <f>'مشروع 16'!$V$21</f>
        <v/>
      </c>
    </row>
    <row r="33" ht="30" customHeight="1">
      <c r="B33" s="80" t="n">
        <v>17</v>
      </c>
      <c r="C33" s="81">
        <f>IF('مشروع 17'!$C$5="","مشروع رقم 17",'مشروع 17'!$C$5)</f>
        <v/>
      </c>
      <c r="D33" s="82">
        <f>'مشروع 17'!$H$5</f>
        <v/>
      </c>
      <c r="E33" s="7">
        <f>'مشروع 17'!$M$5</f>
        <v/>
      </c>
      <c r="F33" s="83">
        <f>'مشروع 17'!$B$9</f>
        <v/>
      </c>
      <c r="G33" s="83">
        <f>'مشروع 17'!$F$9</f>
        <v/>
      </c>
      <c r="H33" s="83">
        <f>'مشروع 17'!$J$9</f>
        <v/>
      </c>
      <c r="I33" s="83">
        <f>'مشروع 17'!$N$9</f>
        <v/>
      </c>
      <c r="J33" s="70">
        <f>'مشروع 17'!$B$12</f>
        <v/>
      </c>
      <c r="K33" s="84">
        <f>'مشروع 17'!$F$12</f>
        <v/>
      </c>
      <c r="L33" s="84">
        <f>J33-K33</f>
        <v/>
      </c>
      <c r="M33" s="85">
        <f>'مشروع 17'!$R$12</f>
        <v/>
      </c>
      <c r="N33" s="86">
        <f>'مشروع 17'!$V$9</f>
        <v/>
      </c>
      <c r="O33" s="87">
        <f>'مشروع 17'!$B$15</f>
        <v/>
      </c>
      <c r="P33" s="83">
        <f>'مشروع 17'!$F$15</f>
        <v/>
      </c>
      <c r="Q33" s="83">
        <f>'مشروع 17'!$J$15</f>
        <v/>
      </c>
      <c r="R33" s="84">
        <f>IF(O33&gt;0,P33/O33,0)</f>
        <v/>
      </c>
      <c r="S33" s="83">
        <f>'مشروع 17'!$B$18</f>
        <v/>
      </c>
      <c r="T33" s="83">
        <f>'مشروع 17'!$F$18</f>
        <v/>
      </c>
      <c r="U33" s="83">
        <f>'مشروع 17'!$J$18</f>
        <v/>
      </c>
      <c r="V33" s="83">
        <f>'مشروع 17'!$N$18</f>
        <v/>
      </c>
      <c r="W33" s="82">
        <f>'مشروع 17'!$V$12</f>
        <v/>
      </c>
      <c r="X33" s="7">
        <f>'مشروع 17'!$AA$25</f>
        <v/>
      </c>
      <c r="Y33" s="83">
        <f>'مشروع 17'!$B$21</f>
        <v/>
      </c>
      <c r="Z33" s="83">
        <f>'مشروع 17'!$F$21</f>
        <v/>
      </c>
      <c r="AA33" s="83">
        <f>'مشروع 17'!$J$21</f>
        <v/>
      </c>
      <c r="AB33" s="84">
        <f>'مشروع 17'!$N$21</f>
        <v/>
      </c>
      <c r="AC33" s="85">
        <f>'مشروع 17'!$R$21</f>
        <v/>
      </c>
      <c r="AD33" s="83">
        <f>'مشروع 17'!$V$21</f>
        <v/>
      </c>
    </row>
    <row r="34" ht="30" customHeight="1">
      <c r="B34" s="88" t="n">
        <v>18</v>
      </c>
      <c r="C34" s="89">
        <f>IF('مشروع 18'!$C$5="","مشروع رقم 18",'مشروع 18'!$C$5)</f>
        <v/>
      </c>
      <c r="D34" s="90">
        <f>'مشروع 18'!$H$5</f>
        <v/>
      </c>
      <c r="E34" s="91">
        <f>'مشروع 18'!$M$5</f>
        <v/>
      </c>
      <c r="F34" s="92">
        <f>'مشروع 18'!$B$9</f>
        <v/>
      </c>
      <c r="G34" s="92">
        <f>'مشروع 18'!$F$9</f>
        <v/>
      </c>
      <c r="H34" s="92">
        <f>'مشروع 18'!$J$9</f>
        <v/>
      </c>
      <c r="I34" s="92">
        <f>'مشروع 18'!$N$9</f>
        <v/>
      </c>
      <c r="J34" s="93">
        <f>'مشروع 18'!$B$12</f>
        <v/>
      </c>
      <c r="K34" s="94">
        <f>'مشروع 18'!$F$12</f>
        <v/>
      </c>
      <c r="L34" s="94">
        <f>J34-K34</f>
        <v/>
      </c>
      <c r="M34" s="95">
        <f>'مشروع 18'!$R$12</f>
        <v/>
      </c>
      <c r="N34" s="96">
        <f>'مشروع 18'!$V$9</f>
        <v/>
      </c>
      <c r="O34" s="97">
        <f>'مشروع 18'!$B$15</f>
        <v/>
      </c>
      <c r="P34" s="92">
        <f>'مشروع 18'!$F$15</f>
        <v/>
      </c>
      <c r="Q34" s="92">
        <f>'مشروع 18'!$J$15</f>
        <v/>
      </c>
      <c r="R34" s="94">
        <f>IF(O34&gt;0,P34/O34,0)</f>
        <v/>
      </c>
      <c r="S34" s="92">
        <f>'مشروع 18'!$B$18</f>
        <v/>
      </c>
      <c r="T34" s="92">
        <f>'مشروع 18'!$F$18</f>
        <v/>
      </c>
      <c r="U34" s="92">
        <f>'مشروع 18'!$J$18</f>
        <v/>
      </c>
      <c r="V34" s="92">
        <f>'مشروع 18'!$N$18</f>
        <v/>
      </c>
      <c r="W34" s="90">
        <f>'مشروع 18'!$V$12</f>
        <v/>
      </c>
      <c r="X34" s="91">
        <f>'مشروع 18'!$AA$25</f>
        <v/>
      </c>
      <c r="Y34" s="92">
        <f>'مشروع 18'!$B$21</f>
        <v/>
      </c>
      <c r="Z34" s="92">
        <f>'مشروع 18'!$F$21</f>
        <v/>
      </c>
      <c r="AA34" s="92">
        <f>'مشروع 18'!$J$21</f>
        <v/>
      </c>
      <c r="AB34" s="94">
        <f>'مشروع 18'!$N$21</f>
        <v/>
      </c>
      <c r="AC34" s="95">
        <f>'مشروع 18'!$R$21</f>
        <v/>
      </c>
      <c r="AD34" s="92">
        <f>'مشروع 18'!$V$21</f>
        <v/>
      </c>
    </row>
    <row r="35" ht="30" customHeight="1">
      <c r="B35" s="80" t="n">
        <v>19</v>
      </c>
      <c r="C35" s="81">
        <f>IF('مشروع 19'!$C$5="","مشروع رقم 19",'مشروع 19'!$C$5)</f>
        <v/>
      </c>
      <c r="D35" s="82">
        <f>'مشروع 19'!$H$5</f>
        <v/>
      </c>
      <c r="E35" s="7">
        <f>'مشروع 19'!$M$5</f>
        <v/>
      </c>
      <c r="F35" s="83">
        <f>'مشروع 19'!$B$9</f>
        <v/>
      </c>
      <c r="G35" s="83">
        <f>'مشروع 19'!$F$9</f>
        <v/>
      </c>
      <c r="H35" s="83">
        <f>'مشروع 19'!$J$9</f>
        <v/>
      </c>
      <c r="I35" s="83">
        <f>'مشروع 19'!$N$9</f>
        <v/>
      </c>
      <c r="J35" s="70">
        <f>'مشروع 19'!$B$12</f>
        <v/>
      </c>
      <c r="K35" s="84">
        <f>'مشروع 19'!$F$12</f>
        <v/>
      </c>
      <c r="L35" s="84">
        <f>J35-K35</f>
        <v/>
      </c>
      <c r="M35" s="85">
        <f>'مشروع 19'!$R$12</f>
        <v/>
      </c>
      <c r="N35" s="86">
        <f>'مشروع 19'!$V$9</f>
        <v/>
      </c>
      <c r="O35" s="87">
        <f>'مشروع 19'!$B$15</f>
        <v/>
      </c>
      <c r="P35" s="83">
        <f>'مشروع 19'!$F$15</f>
        <v/>
      </c>
      <c r="Q35" s="83">
        <f>'مشروع 19'!$J$15</f>
        <v/>
      </c>
      <c r="R35" s="84">
        <f>IF(O35&gt;0,P35/O35,0)</f>
        <v/>
      </c>
      <c r="S35" s="83">
        <f>'مشروع 19'!$B$18</f>
        <v/>
      </c>
      <c r="T35" s="83">
        <f>'مشروع 19'!$F$18</f>
        <v/>
      </c>
      <c r="U35" s="83">
        <f>'مشروع 19'!$J$18</f>
        <v/>
      </c>
      <c r="V35" s="83">
        <f>'مشروع 19'!$N$18</f>
        <v/>
      </c>
      <c r="W35" s="82">
        <f>'مشروع 19'!$V$12</f>
        <v/>
      </c>
      <c r="X35" s="7">
        <f>'مشروع 19'!$AA$25</f>
        <v/>
      </c>
      <c r="Y35" s="83">
        <f>'مشروع 19'!$B$21</f>
        <v/>
      </c>
      <c r="Z35" s="83">
        <f>'مشروع 19'!$F$21</f>
        <v/>
      </c>
      <c r="AA35" s="83">
        <f>'مشروع 19'!$J$21</f>
        <v/>
      </c>
      <c r="AB35" s="84">
        <f>'مشروع 19'!$N$21</f>
        <v/>
      </c>
      <c r="AC35" s="85">
        <f>'مشروع 19'!$R$21</f>
        <v/>
      </c>
      <c r="AD35" s="83">
        <f>'مشروع 19'!$V$21</f>
        <v/>
      </c>
    </row>
    <row r="36" ht="30" customHeight="1">
      <c r="B36" s="88" t="n">
        <v>20</v>
      </c>
      <c r="C36" s="89">
        <f>IF('مشروع 20'!$C$5="","مشروع رقم 20",'مشروع 20'!$C$5)</f>
        <v/>
      </c>
      <c r="D36" s="90">
        <f>'مشروع 20'!$H$5</f>
        <v/>
      </c>
      <c r="E36" s="91">
        <f>'مشروع 20'!$M$5</f>
        <v/>
      </c>
      <c r="F36" s="92">
        <f>'مشروع 20'!$B$9</f>
        <v/>
      </c>
      <c r="G36" s="92">
        <f>'مشروع 20'!$F$9</f>
        <v/>
      </c>
      <c r="H36" s="92">
        <f>'مشروع 20'!$J$9</f>
        <v/>
      </c>
      <c r="I36" s="92">
        <f>'مشروع 20'!$N$9</f>
        <v/>
      </c>
      <c r="J36" s="93">
        <f>'مشروع 20'!$B$12</f>
        <v/>
      </c>
      <c r="K36" s="94">
        <f>'مشروع 20'!$F$12</f>
        <v/>
      </c>
      <c r="L36" s="94">
        <f>J36-K36</f>
        <v/>
      </c>
      <c r="M36" s="95">
        <f>'مشروع 20'!$R$12</f>
        <v/>
      </c>
      <c r="N36" s="96">
        <f>'مشروع 20'!$V$9</f>
        <v/>
      </c>
      <c r="O36" s="97">
        <f>'مشروع 20'!$B$15</f>
        <v/>
      </c>
      <c r="P36" s="92">
        <f>'مشروع 20'!$F$15</f>
        <v/>
      </c>
      <c r="Q36" s="92">
        <f>'مشروع 20'!$J$15</f>
        <v/>
      </c>
      <c r="R36" s="94">
        <f>IF(O36&gt;0,P36/O36,0)</f>
        <v/>
      </c>
      <c r="S36" s="92">
        <f>'مشروع 20'!$B$18</f>
        <v/>
      </c>
      <c r="T36" s="92">
        <f>'مشروع 20'!$F$18</f>
        <v/>
      </c>
      <c r="U36" s="92">
        <f>'مشروع 20'!$J$18</f>
        <v/>
      </c>
      <c r="V36" s="92">
        <f>'مشروع 20'!$N$18</f>
        <v/>
      </c>
      <c r="W36" s="90">
        <f>'مشروع 20'!$V$12</f>
        <v/>
      </c>
      <c r="X36" s="91">
        <f>'مشروع 20'!$AA$25</f>
        <v/>
      </c>
      <c r="Y36" s="92">
        <f>'مشروع 20'!$B$21</f>
        <v/>
      </c>
      <c r="Z36" s="92">
        <f>'مشروع 20'!$F$21</f>
        <v/>
      </c>
      <c r="AA36" s="92">
        <f>'مشروع 20'!$J$21</f>
        <v/>
      </c>
      <c r="AB36" s="94">
        <f>'مشروع 20'!$N$21</f>
        <v/>
      </c>
      <c r="AC36" s="95">
        <f>'مشروع 20'!$R$21</f>
        <v/>
      </c>
      <c r="AD36" s="92">
        <f>'مشروع 20'!$V$21</f>
        <v/>
      </c>
    </row>
    <row r="37" ht="30" customHeight="1">
      <c r="B37" s="80" t="n">
        <v>21</v>
      </c>
      <c r="C37" s="81">
        <f>IF('مشروع 21'!$C$5="","مشروع رقم 21",'مشروع 21'!$C$5)</f>
        <v/>
      </c>
      <c r="D37" s="82">
        <f>'مشروع 21'!$H$5</f>
        <v/>
      </c>
      <c r="E37" s="7">
        <f>'مشروع 21'!$M$5</f>
        <v/>
      </c>
      <c r="F37" s="83">
        <f>'مشروع 21'!$B$9</f>
        <v/>
      </c>
      <c r="G37" s="83">
        <f>'مشروع 21'!$F$9</f>
        <v/>
      </c>
      <c r="H37" s="83">
        <f>'مشروع 21'!$J$9</f>
        <v/>
      </c>
      <c r="I37" s="83">
        <f>'مشروع 21'!$N$9</f>
        <v/>
      </c>
      <c r="J37" s="70">
        <f>'مشروع 21'!$B$12</f>
        <v/>
      </c>
      <c r="K37" s="84">
        <f>'مشروع 21'!$F$12</f>
        <v/>
      </c>
      <c r="L37" s="84">
        <f>J37-K37</f>
        <v/>
      </c>
      <c r="M37" s="85">
        <f>'مشروع 21'!$R$12</f>
        <v/>
      </c>
      <c r="N37" s="86">
        <f>'مشروع 21'!$V$9</f>
        <v/>
      </c>
      <c r="O37" s="87">
        <f>'مشروع 21'!$B$15</f>
        <v/>
      </c>
      <c r="P37" s="83">
        <f>'مشروع 21'!$F$15</f>
        <v/>
      </c>
      <c r="Q37" s="83">
        <f>'مشروع 21'!$J$15</f>
        <v/>
      </c>
      <c r="R37" s="84">
        <f>IF(O37&gt;0,P37/O37,0)</f>
        <v/>
      </c>
      <c r="S37" s="83">
        <f>'مشروع 21'!$B$18</f>
        <v/>
      </c>
      <c r="T37" s="83">
        <f>'مشروع 21'!$F$18</f>
        <v/>
      </c>
      <c r="U37" s="83">
        <f>'مشروع 21'!$J$18</f>
        <v/>
      </c>
      <c r="V37" s="83">
        <f>'مشروع 21'!$N$18</f>
        <v/>
      </c>
      <c r="W37" s="82">
        <f>'مشروع 21'!$V$12</f>
        <v/>
      </c>
      <c r="X37" s="7">
        <f>'مشروع 21'!$AA$25</f>
        <v/>
      </c>
      <c r="Y37" s="83">
        <f>'مشروع 21'!$B$21</f>
        <v/>
      </c>
      <c r="Z37" s="83">
        <f>'مشروع 21'!$F$21</f>
        <v/>
      </c>
      <c r="AA37" s="83">
        <f>'مشروع 21'!$J$21</f>
        <v/>
      </c>
      <c r="AB37" s="84">
        <f>'مشروع 21'!$N$21</f>
        <v/>
      </c>
      <c r="AC37" s="85">
        <f>'مشروع 21'!$R$21</f>
        <v/>
      </c>
      <c r="AD37" s="83">
        <f>'مشروع 21'!$V$21</f>
        <v/>
      </c>
    </row>
    <row r="38" ht="30" customHeight="1">
      <c r="B38" s="88" t="n">
        <v>22</v>
      </c>
      <c r="C38" s="89">
        <f>IF('مشروع 22'!$C$5="","مشروع رقم 22",'مشروع 22'!$C$5)</f>
        <v/>
      </c>
      <c r="D38" s="90">
        <f>'مشروع 22'!$H$5</f>
        <v/>
      </c>
      <c r="E38" s="91">
        <f>'مشروع 22'!$M$5</f>
        <v/>
      </c>
      <c r="F38" s="92">
        <f>'مشروع 22'!$B$9</f>
        <v/>
      </c>
      <c r="G38" s="92">
        <f>'مشروع 22'!$F$9</f>
        <v/>
      </c>
      <c r="H38" s="92">
        <f>'مشروع 22'!$J$9</f>
        <v/>
      </c>
      <c r="I38" s="92">
        <f>'مشروع 22'!$N$9</f>
        <v/>
      </c>
      <c r="J38" s="93">
        <f>'مشروع 22'!$B$12</f>
        <v/>
      </c>
      <c r="K38" s="94">
        <f>'مشروع 22'!$F$12</f>
        <v/>
      </c>
      <c r="L38" s="94">
        <f>J38-K38</f>
        <v/>
      </c>
      <c r="M38" s="95">
        <f>'مشروع 22'!$R$12</f>
        <v/>
      </c>
      <c r="N38" s="96">
        <f>'مشروع 22'!$V$9</f>
        <v/>
      </c>
      <c r="O38" s="97">
        <f>'مشروع 22'!$B$15</f>
        <v/>
      </c>
      <c r="P38" s="92">
        <f>'مشروع 22'!$F$15</f>
        <v/>
      </c>
      <c r="Q38" s="92">
        <f>'مشروع 22'!$J$15</f>
        <v/>
      </c>
      <c r="R38" s="94">
        <f>IF(O38&gt;0,P38/O38,0)</f>
        <v/>
      </c>
      <c r="S38" s="92">
        <f>'مشروع 22'!$B$18</f>
        <v/>
      </c>
      <c r="T38" s="92">
        <f>'مشروع 22'!$F$18</f>
        <v/>
      </c>
      <c r="U38" s="92">
        <f>'مشروع 22'!$J$18</f>
        <v/>
      </c>
      <c r="V38" s="92">
        <f>'مشروع 22'!$N$18</f>
        <v/>
      </c>
      <c r="W38" s="90">
        <f>'مشروع 22'!$V$12</f>
        <v/>
      </c>
      <c r="X38" s="91">
        <f>'مشروع 22'!$AA$25</f>
        <v/>
      </c>
      <c r="Y38" s="92">
        <f>'مشروع 22'!$B$21</f>
        <v/>
      </c>
      <c r="Z38" s="92">
        <f>'مشروع 22'!$F$21</f>
        <v/>
      </c>
      <c r="AA38" s="92">
        <f>'مشروع 22'!$J$21</f>
        <v/>
      </c>
      <c r="AB38" s="94">
        <f>'مشروع 22'!$N$21</f>
        <v/>
      </c>
      <c r="AC38" s="95">
        <f>'مشروع 22'!$R$21</f>
        <v/>
      </c>
      <c r="AD38" s="92">
        <f>'مشروع 22'!$V$21</f>
        <v/>
      </c>
    </row>
    <row r="39" ht="30" customHeight="1">
      <c r="B39" s="80" t="n">
        <v>23</v>
      </c>
      <c r="C39" s="81">
        <f>IF('مشروع 23'!$C$5="","مشروع رقم 23",'مشروع 23'!$C$5)</f>
        <v/>
      </c>
      <c r="D39" s="82">
        <f>'مشروع 23'!$H$5</f>
        <v/>
      </c>
      <c r="E39" s="7">
        <f>'مشروع 23'!$M$5</f>
        <v/>
      </c>
      <c r="F39" s="83">
        <f>'مشروع 23'!$B$9</f>
        <v/>
      </c>
      <c r="G39" s="83">
        <f>'مشروع 23'!$F$9</f>
        <v/>
      </c>
      <c r="H39" s="83">
        <f>'مشروع 23'!$J$9</f>
        <v/>
      </c>
      <c r="I39" s="83">
        <f>'مشروع 23'!$N$9</f>
        <v/>
      </c>
      <c r="J39" s="70">
        <f>'مشروع 23'!$B$12</f>
        <v/>
      </c>
      <c r="K39" s="84">
        <f>'مشروع 23'!$F$12</f>
        <v/>
      </c>
      <c r="L39" s="84">
        <f>J39-K39</f>
        <v/>
      </c>
      <c r="M39" s="85">
        <f>'مشروع 23'!$R$12</f>
        <v/>
      </c>
      <c r="N39" s="86">
        <f>'مشروع 23'!$V$9</f>
        <v/>
      </c>
      <c r="O39" s="87">
        <f>'مشروع 23'!$B$15</f>
        <v/>
      </c>
      <c r="P39" s="83">
        <f>'مشروع 23'!$F$15</f>
        <v/>
      </c>
      <c r="Q39" s="83">
        <f>'مشروع 23'!$J$15</f>
        <v/>
      </c>
      <c r="R39" s="84">
        <f>IF(O39&gt;0,P39/O39,0)</f>
        <v/>
      </c>
      <c r="S39" s="83">
        <f>'مشروع 23'!$B$18</f>
        <v/>
      </c>
      <c r="T39" s="83">
        <f>'مشروع 23'!$F$18</f>
        <v/>
      </c>
      <c r="U39" s="83">
        <f>'مشروع 23'!$J$18</f>
        <v/>
      </c>
      <c r="V39" s="83">
        <f>'مشروع 23'!$N$18</f>
        <v/>
      </c>
      <c r="W39" s="82">
        <f>'مشروع 23'!$V$12</f>
        <v/>
      </c>
      <c r="X39" s="7">
        <f>'مشروع 23'!$AA$25</f>
        <v/>
      </c>
      <c r="Y39" s="83">
        <f>'مشروع 23'!$B$21</f>
        <v/>
      </c>
      <c r="Z39" s="83">
        <f>'مشروع 23'!$F$21</f>
        <v/>
      </c>
      <c r="AA39" s="83">
        <f>'مشروع 23'!$J$21</f>
        <v/>
      </c>
      <c r="AB39" s="84">
        <f>'مشروع 23'!$N$21</f>
        <v/>
      </c>
      <c r="AC39" s="85">
        <f>'مشروع 23'!$R$21</f>
        <v/>
      </c>
      <c r="AD39" s="83">
        <f>'مشروع 23'!$V$21</f>
        <v/>
      </c>
    </row>
    <row r="40" ht="30" customHeight="1">
      <c r="B40" s="88" t="n">
        <v>24</v>
      </c>
      <c r="C40" s="89">
        <f>IF('مشروع 24'!$C$5="","مشروع رقم 24",'مشروع 24'!$C$5)</f>
        <v/>
      </c>
      <c r="D40" s="90">
        <f>'مشروع 24'!$H$5</f>
        <v/>
      </c>
      <c r="E40" s="91">
        <f>'مشروع 24'!$M$5</f>
        <v/>
      </c>
      <c r="F40" s="92">
        <f>'مشروع 24'!$B$9</f>
        <v/>
      </c>
      <c r="G40" s="92">
        <f>'مشروع 24'!$F$9</f>
        <v/>
      </c>
      <c r="H40" s="92">
        <f>'مشروع 24'!$J$9</f>
        <v/>
      </c>
      <c r="I40" s="92">
        <f>'مشروع 24'!$N$9</f>
        <v/>
      </c>
      <c r="J40" s="93">
        <f>'مشروع 24'!$B$12</f>
        <v/>
      </c>
      <c r="K40" s="94">
        <f>'مشروع 24'!$F$12</f>
        <v/>
      </c>
      <c r="L40" s="94">
        <f>J40-K40</f>
        <v/>
      </c>
      <c r="M40" s="95">
        <f>'مشروع 24'!$R$12</f>
        <v/>
      </c>
      <c r="N40" s="96">
        <f>'مشروع 24'!$V$9</f>
        <v/>
      </c>
      <c r="O40" s="97">
        <f>'مشروع 24'!$B$15</f>
        <v/>
      </c>
      <c r="P40" s="92">
        <f>'مشروع 24'!$F$15</f>
        <v/>
      </c>
      <c r="Q40" s="92">
        <f>'مشروع 24'!$J$15</f>
        <v/>
      </c>
      <c r="R40" s="94">
        <f>IF(O40&gt;0,P40/O40,0)</f>
        <v/>
      </c>
      <c r="S40" s="92">
        <f>'مشروع 24'!$B$18</f>
        <v/>
      </c>
      <c r="T40" s="92">
        <f>'مشروع 24'!$F$18</f>
        <v/>
      </c>
      <c r="U40" s="92">
        <f>'مشروع 24'!$J$18</f>
        <v/>
      </c>
      <c r="V40" s="92">
        <f>'مشروع 24'!$N$18</f>
        <v/>
      </c>
      <c r="W40" s="90">
        <f>'مشروع 24'!$V$12</f>
        <v/>
      </c>
      <c r="X40" s="91">
        <f>'مشروع 24'!$AA$25</f>
        <v/>
      </c>
      <c r="Y40" s="92">
        <f>'مشروع 24'!$B$21</f>
        <v/>
      </c>
      <c r="Z40" s="92">
        <f>'مشروع 24'!$F$21</f>
        <v/>
      </c>
      <c r="AA40" s="92">
        <f>'مشروع 24'!$J$21</f>
        <v/>
      </c>
      <c r="AB40" s="94">
        <f>'مشروع 24'!$N$21</f>
        <v/>
      </c>
      <c r="AC40" s="95">
        <f>'مشروع 24'!$R$21</f>
        <v/>
      </c>
      <c r="AD40" s="92">
        <f>'مشروع 24'!$V$21</f>
        <v/>
      </c>
    </row>
    <row r="41" ht="30" customHeight="1">
      <c r="B41" s="80" t="n">
        <v>25</v>
      </c>
      <c r="C41" s="81">
        <f>IF('مشروع 25'!$C$5="","مشروع رقم 25",'مشروع 25'!$C$5)</f>
        <v/>
      </c>
      <c r="D41" s="82">
        <f>'مشروع 25'!$H$5</f>
        <v/>
      </c>
      <c r="E41" s="7">
        <f>'مشروع 25'!$M$5</f>
        <v/>
      </c>
      <c r="F41" s="83">
        <f>'مشروع 25'!$B$9</f>
        <v/>
      </c>
      <c r="G41" s="83">
        <f>'مشروع 25'!$F$9</f>
        <v/>
      </c>
      <c r="H41" s="83">
        <f>'مشروع 25'!$J$9</f>
        <v/>
      </c>
      <c r="I41" s="83">
        <f>'مشروع 25'!$N$9</f>
        <v/>
      </c>
      <c r="J41" s="70">
        <f>'مشروع 25'!$B$12</f>
        <v/>
      </c>
      <c r="K41" s="84">
        <f>'مشروع 25'!$F$12</f>
        <v/>
      </c>
      <c r="L41" s="84">
        <f>J41-K41</f>
        <v/>
      </c>
      <c r="M41" s="85">
        <f>'مشروع 25'!$R$12</f>
        <v/>
      </c>
      <c r="N41" s="86">
        <f>'مشروع 25'!$V$9</f>
        <v/>
      </c>
      <c r="O41" s="87">
        <f>'مشروع 25'!$B$15</f>
        <v/>
      </c>
      <c r="P41" s="83">
        <f>'مشروع 25'!$F$15</f>
        <v/>
      </c>
      <c r="Q41" s="83">
        <f>'مشروع 25'!$J$15</f>
        <v/>
      </c>
      <c r="R41" s="84">
        <f>IF(O41&gt;0,P41/O41,0)</f>
        <v/>
      </c>
      <c r="S41" s="83">
        <f>'مشروع 25'!$B$18</f>
        <v/>
      </c>
      <c r="T41" s="83">
        <f>'مشروع 25'!$F$18</f>
        <v/>
      </c>
      <c r="U41" s="83">
        <f>'مشروع 25'!$J$18</f>
        <v/>
      </c>
      <c r="V41" s="83">
        <f>'مشروع 25'!$N$18</f>
        <v/>
      </c>
      <c r="W41" s="82">
        <f>'مشروع 25'!$V$12</f>
        <v/>
      </c>
      <c r="X41" s="7">
        <f>'مشروع 25'!$AA$25</f>
        <v/>
      </c>
      <c r="Y41" s="83">
        <f>'مشروع 25'!$B$21</f>
        <v/>
      </c>
      <c r="Z41" s="83">
        <f>'مشروع 25'!$F$21</f>
        <v/>
      </c>
      <c r="AA41" s="83">
        <f>'مشروع 25'!$J$21</f>
        <v/>
      </c>
      <c r="AB41" s="84">
        <f>'مشروع 25'!$N$21</f>
        <v/>
      </c>
      <c r="AC41" s="85">
        <f>'مشروع 25'!$R$21</f>
        <v/>
      </c>
      <c r="AD41" s="83">
        <f>'مشروع 25'!$V$21</f>
        <v/>
      </c>
    </row>
    <row r="42" ht="30" customHeight="1">
      <c r="B42" s="88" t="n">
        <v>26</v>
      </c>
      <c r="C42" s="89">
        <f>IF('مشروع 26'!$C$5="","مشروع رقم 26",'مشروع 26'!$C$5)</f>
        <v/>
      </c>
      <c r="D42" s="90">
        <f>'مشروع 26'!$H$5</f>
        <v/>
      </c>
      <c r="E42" s="91">
        <f>'مشروع 26'!$M$5</f>
        <v/>
      </c>
      <c r="F42" s="92">
        <f>'مشروع 26'!$B$9</f>
        <v/>
      </c>
      <c r="G42" s="92">
        <f>'مشروع 26'!$F$9</f>
        <v/>
      </c>
      <c r="H42" s="92">
        <f>'مشروع 26'!$J$9</f>
        <v/>
      </c>
      <c r="I42" s="92">
        <f>'مشروع 26'!$N$9</f>
        <v/>
      </c>
      <c r="J42" s="93">
        <f>'مشروع 26'!$B$12</f>
        <v/>
      </c>
      <c r="K42" s="94">
        <f>'مشروع 26'!$F$12</f>
        <v/>
      </c>
      <c r="L42" s="94">
        <f>J42-K42</f>
        <v/>
      </c>
      <c r="M42" s="95">
        <f>'مشروع 26'!$R$12</f>
        <v/>
      </c>
      <c r="N42" s="96">
        <f>'مشروع 26'!$V$9</f>
        <v/>
      </c>
      <c r="O42" s="97">
        <f>'مشروع 26'!$B$15</f>
        <v/>
      </c>
      <c r="P42" s="92">
        <f>'مشروع 26'!$F$15</f>
        <v/>
      </c>
      <c r="Q42" s="92">
        <f>'مشروع 26'!$J$15</f>
        <v/>
      </c>
      <c r="R42" s="94">
        <f>IF(O42&gt;0,P42/O42,0)</f>
        <v/>
      </c>
      <c r="S42" s="92">
        <f>'مشروع 26'!$B$18</f>
        <v/>
      </c>
      <c r="T42" s="92">
        <f>'مشروع 26'!$F$18</f>
        <v/>
      </c>
      <c r="U42" s="92">
        <f>'مشروع 26'!$J$18</f>
        <v/>
      </c>
      <c r="V42" s="92">
        <f>'مشروع 26'!$N$18</f>
        <v/>
      </c>
      <c r="W42" s="90">
        <f>'مشروع 26'!$V$12</f>
        <v/>
      </c>
      <c r="X42" s="91">
        <f>'مشروع 26'!$AA$25</f>
        <v/>
      </c>
      <c r="Y42" s="92">
        <f>'مشروع 26'!$B$21</f>
        <v/>
      </c>
      <c r="Z42" s="92">
        <f>'مشروع 26'!$F$21</f>
        <v/>
      </c>
      <c r="AA42" s="92">
        <f>'مشروع 26'!$J$21</f>
        <v/>
      </c>
      <c r="AB42" s="94">
        <f>'مشروع 26'!$N$21</f>
        <v/>
      </c>
      <c r="AC42" s="95">
        <f>'مشروع 26'!$R$21</f>
        <v/>
      </c>
      <c r="AD42" s="92">
        <f>'مشروع 26'!$V$21</f>
        <v/>
      </c>
    </row>
    <row r="43" ht="30" customHeight="1">
      <c r="B43" s="80" t="n">
        <v>27</v>
      </c>
      <c r="C43" s="81">
        <f>IF('مشروع 27'!$C$5="","مشروع رقم 27",'مشروع 27'!$C$5)</f>
        <v/>
      </c>
      <c r="D43" s="82">
        <f>'مشروع 27'!$H$5</f>
        <v/>
      </c>
      <c r="E43" s="7">
        <f>'مشروع 27'!$M$5</f>
        <v/>
      </c>
      <c r="F43" s="83">
        <f>'مشروع 27'!$B$9</f>
        <v/>
      </c>
      <c r="G43" s="83">
        <f>'مشروع 27'!$F$9</f>
        <v/>
      </c>
      <c r="H43" s="83">
        <f>'مشروع 27'!$J$9</f>
        <v/>
      </c>
      <c r="I43" s="83">
        <f>'مشروع 27'!$N$9</f>
        <v/>
      </c>
      <c r="J43" s="70">
        <f>'مشروع 27'!$B$12</f>
        <v/>
      </c>
      <c r="K43" s="84">
        <f>'مشروع 27'!$F$12</f>
        <v/>
      </c>
      <c r="L43" s="84">
        <f>J43-K43</f>
        <v/>
      </c>
      <c r="M43" s="85">
        <f>'مشروع 27'!$R$12</f>
        <v/>
      </c>
      <c r="N43" s="86">
        <f>'مشروع 27'!$V$9</f>
        <v/>
      </c>
      <c r="O43" s="87">
        <f>'مشروع 27'!$B$15</f>
        <v/>
      </c>
      <c r="P43" s="83">
        <f>'مشروع 27'!$F$15</f>
        <v/>
      </c>
      <c r="Q43" s="83">
        <f>'مشروع 27'!$J$15</f>
        <v/>
      </c>
      <c r="R43" s="84">
        <f>IF(O43&gt;0,P43/O43,0)</f>
        <v/>
      </c>
      <c r="S43" s="83">
        <f>'مشروع 27'!$B$18</f>
        <v/>
      </c>
      <c r="T43" s="83">
        <f>'مشروع 27'!$F$18</f>
        <v/>
      </c>
      <c r="U43" s="83">
        <f>'مشروع 27'!$J$18</f>
        <v/>
      </c>
      <c r="V43" s="83">
        <f>'مشروع 27'!$N$18</f>
        <v/>
      </c>
      <c r="W43" s="82">
        <f>'مشروع 27'!$V$12</f>
        <v/>
      </c>
      <c r="X43" s="7">
        <f>'مشروع 27'!$AA$25</f>
        <v/>
      </c>
      <c r="Y43" s="83">
        <f>'مشروع 27'!$B$21</f>
        <v/>
      </c>
      <c r="Z43" s="83">
        <f>'مشروع 27'!$F$21</f>
        <v/>
      </c>
      <c r="AA43" s="83">
        <f>'مشروع 27'!$J$21</f>
        <v/>
      </c>
      <c r="AB43" s="84">
        <f>'مشروع 27'!$N$21</f>
        <v/>
      </c>
      <c r="AC43" s="85">
        <f>'مشروع 27'!$R$21</f>
        <v/>
      </c>
      <c r="AD43" s="83">
        <f>'مشروع 27'!$V$21</f>
        <v/>
      </c>
    </row>
    <row r="44" ht="30" customHeight="1">
      <c r="B44" s="88" t="n">
        <v>28</v>
      </c>
      <c r="C44" s="89">
        <f>IF('مشروع 28'!$C$5="","مشروع رقم 28",'مشروع 28'!$C$5)</f>
        <v/>
      </c>
      <c r="D44" s="90">
        <f>'مشروع 28'!$H$5</f>
        <v/>
      </c>
      <c r="E44" s="91">
        <f>'مشروع 28'!$M$5</f>
        <v/>
      </c>
      <c r="F44" s="92">
        <f>'مشروع 28'!$B$9</f>
        <v/>
      </c>
      <c r="G44" s="92">
        <f>'مشروع 28'!$F$9</f>
        <v/>
      </c>
      <c r="H44" s="92">
        <f>'مشروع 28'!$J$9</f>
        <v/>
      </c>
      <c r="I44" s="92">
        <f>'مشروع 28'!$N$9</f>
        <v/>
      </c>
      <c r="J44" s="93">
        <f>'مشروع 28'!$B$12</f>
        <v/>
      </c>
      <c r="K44" s="94">
        <f>'مشروع 28'!$F$12</f>
        <v/>
      </c>
      <c r="L44" s="94">
        <f>J44-K44</f>
        <v/>
      </c>
      <c r="M44" s="95">
        <f>'مشروع 28'!$R$12</f>
        <v/>
      </c>
      <c r="N44" s="96">
        <f>'مشروع 28'!$V$9</f>
        <v/>
      </c>
      <c r="O44" s="97">
        <f>'مشروع 28'!$B$15</f>
        <v/>
      </c>
      <c r="P44" s="92">
        <f>'مشروع 28'!$F$15</f>
        <v/>
      </c>
      <c r="Q44" s="92">
        <f>'مشروع 28'!$J$15</f>
        <v/>
      </c>
      <c r="R44" s="94">
        <f>IF(O44&gt;0,P44/O44,0)</f>
        <v/>
      </c>
      <c r="S44" s="92">
        <f>'مشروع 28'!$B$18</f>
        <v/>
      </c>
      <c r="T44" s="92">
        <f>'مشروع 28'!$F$18</f>
        <v/>
      </c>
      <c r="U44" s="92">
        <f>'مشروع 28'!$J$18</f>
        <v/>
      </c>
      <c r="V44" s="92">
        <f>'مشروع 28'!$N$18</f>
        <v/>
      </c>
      <c r="W44" s="90">
        <f>'مشروع 28'!$V$12</f>
        <v/>
      </c>
      <c r="X44" s="91">
        <f>'مشروع 28'!$AA$25</f>
        <v/>
      </c>
      <c r="Y44" s="92">
        <f>'مشروع 28'!$B$21</f>
        <v/>
      </c>
      <c r="Z44" s="92">
        <f>'مشروع 28'!$F$21</f>
        <v/>
      </c>
      <c r="AA44" s="92">
        <f>'مشروع 28'!$J$21</f>
        <v/>
      </c>
      <c r="AB44" s="94">
        <f>'مشروع 28'!$N$21</f>
        <v/>
      </c>
      <c r="AC44" s="95">
        <f>'مشروع 28'!$R$21</f>
        <v/>
      </c>
      <c r="AD44" s="92">
        <f>'مشروع 28'!$V$21</f>
        <v/>
      </c>
    </row>
    <row r="45" ht="30" customHeight="1">
      <c r="B45" s="80" t="n">
        <v>29</v>
      </c>
      <c r="C45" s="81">
        <f>IF('مشروع 29'!$C$5="","مشروع رقم 29",'مشروع 29'!$C$5)</f>
        <v/>
      </c>
      <c r="D45" s="82">
        <f>'مشروع 29'!$H$5</f>
        <v/>
      </c>
      <c r="E45" s="7">
        <f>'مشروع 29'!$M$5</f>
        <v/>
      </c>
      <c r="F45" s="83">
        <f>'مشروع 29'!$B$9</f>
        <v/>
      </c>
      <c r="G45" s="83">
        <f>'مشروع 29'!$F$9</f>
        <v/>
      </c>
      <c r="H45" s="83">
        <f>'مشروع 29'!$J$9</f>
        <v/>
      </c>
      <c r="I45" s="83">
        <f>'مشروع 29'!$N$9</f>
        <v/>
      </c>
      <c r="J45" s="70">
        <f>'مشروع 29'!$B$12</f>
        <v/>
      </c>
      <c r="K45" s="84">
        <f>'مشروع 29'!$F$12</f>
        <v/>
      </c>
      <c r="L45" s="84">
        <f>J45-K45</f>
        <v/>
      </c>
      <c r="M45" s="85">
        <f>'مشروع 29'!$R$12</f>
        <v/>
      </c>
      <c r="N45" s="86">
        <f>'مشروع 29'!$V$9</f>
        <v/>
      </c>
      <c r="O45" s="87">
        <f>'مشروع 29'!$B$15</f>
        <v/>
      </c>
      <c r="P45" s="83">
        <f>'مشروع 29'!$F$15</f>
        <v/>
      </c>
      <c r="Q45" s="83">
        <f>'مشروع 29'!$J$15</f>
        <v/>
      </c>
      <c r="R45" s="84">
        <f>IF(O45&gt;0,P45/O45,0)</f>
        <v/>
      </c>
      <c r="S45" s="83">
        <f>'مشروع 29'!$B$18</f>
        <v/>
      </c>
      <c r="T45" s="83">
        <f>'مشروع 29'!$F$18</f>
        <v/>
      </c>
      <c r="U45" s="83">
        <f>'مشروع 29'!$J$18</f>
        <v/>
      </c>
      <c r="V45" s="83">
        <f>'مشروع 29'!$N$18</f>
        <v/>
      </c>
      <c r="W45" s="82">
        <f>'مشروع 29'!$V$12</f>
        <v/>
      </c>
      <c r="X45" s="7">
        <f>'مشروع 29'!$AA$25</f>
        <v/>
      </c>
      <c r="Y45" s="83">
        <f>'مشروع 29'!$B$21</f>
        <v/>
      </c>
      <c r="Z45" s="83">
        <f>'مشروع 29'!$F$21</f>
        <v/>
      </c>
      <c r="AA45" s="83">
        <f>'مشروع 29'!$J$21</f>
        <v/>
      </c>
      <c r="AB45" s="84">
        <f>'مشروع 29'!$N$21</f>
        <v/>
      </c>
      <c r="AC45" s="85">
        <f>'مشروع 29'!$R$21</f>
        <v/>
      </c>
      <c r="AD45" s="83">
        <f>'مشروع 29'!$V$21</f>
        <v/>
      </c>
    </row>
    <row r="46" ht="30" customHeight="1">
      <c r="B46" s="88" t="n">
        <v>30</v>
      </c>
      <c r="C46" s="89">
        <f>IF('مشروع 30'!$C$5="","مشروع رقم 30",'مشروع 30'!$C$5)</f>
        <v/>
      </c>
      <c r="D46" s="90">
        <f>'مشروع 30'!$H$5</f>
        <v/>
      </c>
      <c r="E46" s="91">
        <f>'مشروع 30'!$M$5</f>
        <v/>
      </c>
      <c r="F46" s="92">
        <f>'مشروع 30'!$B$9</f>
        <v/>
      </c>
      <c r="G46" s="92">
        <f>'مشروع 30'!$F$9</f>
        <v/>
      </c>
      <c r="H46" s="92">
        <f>'مشروع 30'!$J$9</f>
        <v/>
      </c>
      <c r="I46" s="92">
        <f>'مشروع 30'!$N$9</f>
        <v/>
      </c>
      <c r="J46" s="93">
        <f>'مشروع 30'!$B$12</f>
        <v/>
      </c>
      <c r="K46" s="94">
        <f>'مشروع 30'!$F$12</f>
        <v/>
      </c>
      <c r="L46" s="94">
        <f>J46-K46</f>
        <v/>
      </c>
      <c r="M46" s="95">
        <f>'مشروع 30'!$R$12</f>
        <v/>
      </c>
      <c r="N46" s="96">
        <f>'مشروع 30'!$V$9</f>
        <v/>
      </c>
      <c r="O46" s="97">
        <f>'مشروع 30'!$B$15</f>
        <v/>
      </c>
      <c r="P46" s="92">
        <f>'مشروع 30'!$F$15</f>
        <v/>
      </c>
      <c r="Q46" s="92">
        <f>'مشروع 30'!$J$15</f>
        <v/>
      </c>
      <c r="R46" s="94">
        <f>IF(O46&gt;0,P46/O46,0)</f>
        <v/>
      </c>
      <c r="S46" s="92">
        <f>'مشروع 30'!$B$18</f>
        <v/>
      </c>
      <c r="T46" s="92">
        <f>'مشروع 30'!$F$18</f>
        <v/>
      </c>
      <c r="U46" s="92">
        <f>'مشروع 30'!$J$18</f>
        <v/>
      </c>
      <c r="V46" s="92">
        <f>'مشروع 30'!$N$18</f>
        <v/>
      </c>
      <c r="W46" s="90">
        <f>'مشروع 30'!$V$12</f>
        <v/>
      </c>
      <c r="X46" s="91">
        <f>'مشروع 30'!$AA$25</f>
        <v/>
      </c>
      <c r="Y46" s="92">
        <f>'مشروع 30'!$B$21</f>
        <v/>
      </c>
      <c r="Z46" s="92">
        <f>'مشروع 30'!$F$21</f>
        <v/>
      </c>
      <c r="AA46" s="92">
        <f>'مشروع 30'!$J$21</f>
        <v/>
      </c>
      <c r="AB46" s="94">
        <f>'مشروع 30'!$N$21</f>
        <v/>
      </c>
      <c r="AC46" s="95">
        <f>'مشروع 30'!$R$21</f>
        <v/>
      </c>
      <c r="AD46" s="92">
        <f>'مشروع 30'!$V$21</f>
        <v/>
      </c>
    </row>
    <row r="47" ht="30" customHeight="1">
      <c r="B47" s="80" t="n">
        <v>31</v>
      </c>
      <c r="C47" s="81">
        <f>IF('مشروع 31'!$C$5="","مشروع رقم 31",'مشروع 31'!$C$5)</f>
        <v/>
      </c>
      <c r="D47" s="82">
        <f>'مشروع 31'!$H$5</f>
        <v/>
      </c>
      <c r="E47" s="7">
        <f>'مشروع 31'!$M$5</f>
        <v/>
      </c>
      <c r="F47" s="83">
        <f>'مشروع 31'!$B$9</f>
        <v/>
      </c>
      <c r="G47" s="83">
        <f>'مشروع 31'!$F$9</f>
        <v/>
      </c>
      <c r="H47" s="83">
        <f>'مشروع 31'!$J$9</f>
        <v/>
      </c>
      <c r="I47" s="83">
        <f>'مشروع 31'!$N$9</f>
        <v/>
      </c>
      <c r="J47" s="70">
        <f>'مشروع 31'!$B$12</f>
        <v/>
      </c>
      <c r="K47" s="84">
        <f>'مشروع 31'!$F$12</f>
        <v/>
      </c>
      <c r="L47" s="84">
        <f>J47-K47</f>
        <v/>
      </c>
      <c r="M47" s="85">
        <f>'مشروع 31'!$R$12</f>
        <v/>
      </c>
      <c r="N47" s="86">
        <f>'مشروع 31'!$V$9</f>
        <v/>
      </c>
      <c r="O47" s="87">
        <f>'مشروع 31'!$B$15</f>
        <v/>
      </c>
      <c r="P47" s="83">
        <f>'مشروع 31'!$F$15</f>
        <v/>
      </c>
      <c r="Q47" s="83">
        <f>'مشروع 31'!$J$15</f>
        <v/>
      </c>
      <c r="R47" s="84">
        <f>IF(O47&gt;0,P47/O47,0)</f>
        <v/>
      </c>
      <c r="S47" s="83">
        <f>'مشروع 31'!$B$18</f>
        <v/>
      </c>
      <c r="T47" s="83">
        <f>'مشروع 31'!$F$18</f>
        <v/>
      </c>
      <c r="U47" s="83">
        <f>'مشروع 31'!$J$18</f>
        <v/>
      </c>
      <c r="V47" s="83">
        <f>'مشروع 31'!$N$18</f>
        <v/>
      </c>
      <c r="W47" s="82">
        <f>'مشروع 31'!$V$12</f>
        <v/>
      </c>
      <c r="X47" s="7">
        <f>'مشروع 31'!$AA$25</f>
        <v/>
      </c>
      <c r="Y47" s="83">
        <f>'مشروع 31'!$B$21</f>
        <v/>
      </c>
      <c r="Z47" s="83">
        <f>'مشروع 31'!$F$21</f>
        <v/>
      </c>
      <c r="AA47" s="83">
        <f>'مشروع 31'!$J$21</f>
        <v/>
      </c>
      <c r="AB47" s="84">
        <f>'مشروع 31'!$N$21</f>
        <v/>
      </c>
      <c r="AC47" s="85">
        <f>'مشروع 31'!$R$21</f>
        <v/>
      </c>
      <c r="AD47" s="83">
        <f>'مشروع 31'!$V$21</f>
        <v/>
      </c>
    </row>
    <row r="48" ht="30" customHeight="1">
      <c r="B48" s="88" t="n">
        <v>32</v>
      </c>
      <c r="C48" s="89">
        <f>IF('مشروع 32'!$C$5="","مشروع رقم 32",'مشروع 32'!$C$5)</f>
        <v/>
      </c>
      <c r="D48" s="90">
        <f>'مشروع 32'!$H$5</f>
        <v/>
      </c>
      <c r="E48" s="91">
        <f>'مشروع 32'!$M$5</f>
        <v/>
      </c>
      <c r="F48" s="92">
        <f>'مشروع 32'!$B$9</f>
        <v/>
      </c>
      <c r="G48" s="92">
        <f>'مشروع 32'!$F$9</f>
        <v/>
      </c>
      <c r="H48" s="92">
        <f>'مشروع 32'!$J$9</f>
        <v/>
      </c>
      <c r="I48" s="92">
        <f>'مشروع 32'!$N$9</f>
        <v/>
      </c>
      <c r="J48" s="93">
        <f>'مشروع 32'!$B$12</f>
        <v/>
      </c>
      <c r="K48" s="94">
        <f>'مشروع 32'!$F$12</f>
        <v/>
      </c>
      <c r="L48" s="94">
        <f>J48-K48</f>
        <v/>
      </c>
      <c r="M48" s="95">
        <f>'مشروع 32'!$R$12</f>
        <v/>
      </c>
      <c r="N48" s="96">
        <f>'مشروع 32'!$V$9</f>
        <v/>
      </c>
      <c r="O48" s="97">
        <f>'مشروع 32'!$B$15</f>
        <v/>
      </c>
      <c r="P48" s="92">
        <f>'مشروع 32'!$F$15</f>
        <v/>
      </c>
      <c r="Q48" s="92">
        <f>'مشروع 32'!$J$15</f>
        <v/>
      </c>
      <c r="R48" s="94">
        <f>IF(O48&gt;0,P48/O48,0)</f>
        <v/>
      </c>
      <c r="S48" s="92">
        <f>'مشروع 32'!$B$18</f>
        <v/>
      </c>
      <c r="T48" s="92">
        <f>'مشروع 32'!$F$18</f>
        <v/>
      </c>
      <c r="U48" s="92">
        <f>'مشروع 32'!$J$18</f>
        <v/>
      </c>
      <c r="V48" s="92">
        <f>'مشروع 32'!$N$18</f>
        <v/>
      </c>
      <c r="W48" s="90">
        <f>'مشروع 32'!$V$12</f>
        <v/>
      </c>
      <c r="X48" s="91">
        <f>'مشروع 32'!$AA$25</f>
        <v/>
      </c>
      <c r="Y48" s="92">
        <f>'مشروع 32'!$B$21</f>
        <v/>
      </c>
      <c r="Z48" s="92">
        <f>'مشروع 32'!$F$21</f>
        <v/>
      </c>
      <c r="AA48" s="92">
        <f>'مشروع 32'!$J$21</f>
        <v/>
      </c>
      <c r="AB48" s="94">
        <f>'مشروع 32'!$N$21</f>
        <v/>
      </c>
      <c r="AC48" s="95">
        <f>'مشروع 32'!$R$21</f>
        <v/>
      </c>
      <c r="AD48" s="92">
        <f>'مشروع 32'!$V$21</f>
        <v/>
      </c>
    </row>
    <row r="49" ht="30" customHeight="1">
      <c r="B49" s="80" t="n">
        <v>33</v>
      </c>
      <c r="C49" s="81">
        <f>IF('مشروع 33'!$C$5="","مشروع رقم 33",'مشروع 33'!$C$5)</f>
        <v/>
      </c>
      <c r="D49" s="82">
        <f>'مشروع 33'!$H$5</f>
        <v/>
      </c>
      <c r="E49" s="7">
        <f>'مشروع 33'!$M$5</f>
        <v/>
      </c>
      <c r="F49" s="83">
        <f>'مشروع 33'!$B$9</f>
        <v/>
      </c>
      <c r="G49" s="83">
        <f>'مشروع 33'!$F$9</f>
        <v/>
      </c>
      <c r="H49" s="83">
        <f>'مشروع 33'!$J$9</f>
        <v/>
      </c>
      <c r="I49" s="83">
        <f>'مشروع 33'!$N$9</f>
        <v/>
      </c>
      <c r="J49" s="70">
        <f>'مشروع 33'!$B$12</f>
        <v/>
      </c>
      <c r="K49" s="84">
        <f>'مشروع 33'!$F$12</f>
        <v/>
      </c>
      <c r="L49" s="84">
        <f>J49-K49</f>
        <v/>
      </c>
      <c r="M49" s="85">
        <f>'مشروع 33'!$R$12</f>
        <v/>
      </c>
      <c r="N49" s="86">
        <f>'مشروع 33'!$V$9</f>
        <v/>
      </c>
      <c r="O49" s="87">
        <f>'مشروع 33'!$B$15</f>
        <v/>
      </c>
      <c r="P49" s="83">
        <f>'مشروع 33'!$F$15</f>
        <v/>
      </c>
      <c r="Q49" s="83">
        <f>'مشروع 33'!$J$15</f>
        <v/>
      </c>
      <c r="R49" s="84">
        <f>IF(O49&gt;0,P49/O49,0)</f>
        <v/>
      </c>
      <c r="S49" s="83">
        <f>'مشروع 33'!$B$18</f>
        <v/>
      </c>
      <c r="T49" s="83">
        <f>'مشروع 33'!$F$18</f>
        <v/>
      </c>
      <c r="U49" s="83">
        <f>'مشروع 33'!$J$18</f>
        <v/>
      </c>
      <c r="V49" s="83">
        <f>'مشروع 33'!$N$18</f>
        <v/>
      </c>
      <c r="W49" s="82">
        <f>'مشروع 33'!$V$12</f>
        <v/>
      </c>
      <c r="X49" s="7">
        <f>'مشروع 33'!$AA$25</f>
        <v/>
      </c>
      <c r="Y49" s="83">
        <f>'مشروع 33'!$B$21</f>
        <v/>
      </c>
      <c r="Z49" s="83">
        <f>'مشروع 33'!$F$21</f>
        <v/>
      </c>
      <c r="AA49" s="83">
        <f>'مشروع 33'!$J$21</f>
        <v/>
      </c>
      <c r="AB49" s="84">
        <f>'مشروع 33'!$N$21</f>
        <v/>
      </c>
      <c r="AC49" s="85">
        <f>'مشروع 33'!$R$21</f>
        <v/>
      </c>
      <c r="AD49" s="83">
        <f>'مشروع 33'!$V$21</f>
        <v/>
      </c>
    </row>
    <row r="50" ht="30" customHeight="1">
      <c r="B50" s="88" t="n">
        <v>34</v>
      </c>
      <c r="C50" s="89">
        <f>IF('مشروع 34'!$C$5="","مشروع رقم 34",'مشروع 34'!$C$5)</f>
        <v/>
      </c>
      <c r="D50" s="90">
        <f>'مشروع 34'!$H$5</f>
        <v/>
      </c>
      <c r="E50" s="91">
        <f>'مشروع 34'!$M$5</f>
        <v/>
      </c>
      <c r="F50" s="92">
        <f>'مشروع 34'!$B$9</f>
        <v/>
      </c>
      <c r="G50" s="92">
        <f>'مشروع 34'!$F$9</f>
        <v/>
      </c>
      <c r="H50" s="92">
        <f>'مشروع 34'!$J$9</f>
        <v/>
      </c>
      <c r="I50" s="92">
        <f>'مشروع 34'!$N$9</f>
        <v/>
      </c>
      <c r="J50" s="93">
        <f>'مشروع 34'!$B$12</f>
        <v/>
      </c>
      <c r="K50" s="94">
        <f>'مشروع 34'!$F$12</f>
        <v/>
      </c>
      <c r="L50" s="94">
        <f>J50-K50</f>
        <v/>
      </c>
      <c r="M50" s="95">
        <f>'مشروع 34'!$R$12</f>
        <v/>
      </c>
      <c r="N50" s="96">
        <f>'مشروع 34'!$V$9</f>
        <v/>
      </c>
      <c r="O50" s="97">
        <f>'مشروع 34'!$B$15</f>
        <v/>
      </c>
      <c r="P50" s="92">
        <f>'مشروع 34'!$F$15</f>
        <v/>
      </c>
      <c r="Q50" s="92">
        <f>'مشروع 34'!$J$15</f>
        <v/>
      </c>
      <c r="R50" s="94">
        <f>IF(O50&gt;0,P50/O50,0)</f>
        <v/>
      </c>
      <c r="S50" s="92">
        <f>'مشروع 34'!$B$18</f>
        <v/>
      </c>
      <c r="T50" s="92">
        <f>'مشروع 34'!$F$18</f>
        <v/>
      </c>
      <c r="U50" s="92">
        <f>'مشروع 34'!$J$18</f>
        <v/>
      </c>
      <c r="V50" s="92">
        <f>'مشروع 34'!$N$18</f>
        <v/>
      </c>
      <c r="W50" s="90">
        <f>'مشروع 34'!$V$12</f>
        <v/>
      </c>
      <c r="X50" s="91">
        <f>'مشروع 34'!$AA$25</f>
        <v/>
      </c>
      <c r="Y50" s="92">
        <f>'مشروع 34'!$B$21</f>
        <v/>
      </c>
      <c r="Z50" s="92">
        <f>'مشروع 34'!$F$21</f>
        <v/>
      </c>
      <c r="AA50" s="92">
        <f>'مشروع 34'!$J$21</f>
        <v/>
      </c>
      <c r="AB50" s="94">
        <f>'مشروع 34'!$N$21</f>
        <v/>
      </c>
      <c r="AC50" s="95">
        <f>'مشروع 34'!$R$21</f>
        <v/>
      </c>
      <c r="AD50" s="92">
        <f>'مشروع 34'!$V$21</f>
        <v/>
      </c>
    </row>
    <row r="51" ht="30" customHeight="1">
      <c r="B51" s="80" t="n">
        <v>35</v>
      </c>
      <c r="C51" s="81">
        <f>IF('مشروع 35'!$C$5="","مشروع رقم 35",'مشروع 35'!$C$5)</f>
        <v/>
      </c>
      <c r="D51" s="82">
        <f>'مشروع 35'!$H$5</f>
        <v/>
      </c>
      <c r="E51" s="7">
        <f>'مشروع 35'!$M$5</f>
        <v/>
      </c>
      <c r="F51" s="83">
        <f>'مشروع 35'!$B$9</f>
        <v/>
      </c>
      <c r="G51" s="83">
        <f>'مشروع 35'!$F$9</f>
        <v/>
      </c>
      <c r="H51" s="83">
        <f>'مشروع 35'!$J$9</f>
        <v/>
      </c>
      <c r="I51" s="83">
        <f>'مشروع 35'!$N$9</f>
        <v/>
      </c>
      <c r="J51" s="70">
        <f>'مشروع 35'!$B$12</f>
        <v/>
      </c>
      <c r="K51" s="84">
        <f>'مشروع 35'!$F$12</f>
        <v/>
      </c>
      <c r="L51" s="84">
        <f>J51-K51</f>
        <v/>
      </c>
      <c r="M51" s="85">
        <f>'مشروع 35'!$R$12</f>
        <v/>
      </c>
      <c r="N51" s="86">
        <f>'مشروع 35'!$V$9</f>
        <v/>
      </c>
      <c r="O51" s="87">
        <f>'مشروع 35'!$B$15</f>
        <v/>
      </c>
      <c r="P51" s="83">
        <f>'مشروع 35'!$F$15</f>
        <v/>
      </c>
      <c r="Q51" s="83">
        <f>'مشروع 35'!$J$15</f>
        <v/>
      </c>
      <c r="R51" s="84">
        <f>IF(O51&gt;0,P51/O51,0)</f>
        <v/>
      </c>
      <c r="S51" s="83">
        <f>'مشروع 35'!$B$18</f>
        <v/>
      </c>
      <c r="T51" s="83">
        <f>'مشروع 35'!$F$18</f>
        <v/>
      </c>
      <c r="U51" s="83">
        <f>'مشروع 35'!$J$18</f>
        <v/>
      </c>
      <c r="V51" s="83">
        <f>'مشروع 35'!$N$18</f>
        <v/>
      </c>
      <c r="W51" s="82">
        <f>'مشروع 35'!$V$12</f>
        <v/>
      </c>
      <c r="X51" s="7">
        <f>'مشروع 35'!$AA$25</f>
        <v/>
      </c>
      <c r="Y51" s="83">
        <f>'مشروع 35'!$B$21</f>
        <v/>
      </c>
      <c r="Z51" s="83">
        <f>'مشروع 35'!$F$21</f>
        <v/>
      </c>
      <c r="AA51" s="83">
        <f>'مشروع 35'!$J$21</f>
        <v/>
      </c>
      <c r="AB51" s="84">
        <f>'مشروع 35'!$N$21</f>
        <v/>
      </c>
      <c r="AC51" s="85">
        <f>'مشروع 35'!$R$21</f>
        <v/>
      </c>
      <c r="AD51" s="83">
        <f>'مشروع 35'!$V$21</f>
        <v/>
      </c>
    </row>
    <row r="52" ht="30" customHeight="1">
      <c r="B52" s="88" t="n">
        <v>36</v>
      </c>
      <c r="C52" s="89">
        <f>IF('مشروع 36'!$C$5="","مشروع رقم 36",'مشروع 36'!$C$5)</f>
        <v/>
      </c>
      <c r="D52" s="90">
        <f>'مشروع 36'!$H$5</f>
        <v/>
      </c>
      <c r="E52" s="91">
        <f>'مشروع 36'!$M$5</f>
        <v/>
      </c>
      <c r="F52" s="92">
        <f>'مشروع 36'!$B$9</f>
        <v/>
      </c>
      <c r="G52" s="92">
        <f>'مشروع 36'!$F$9</f>
        <v/>
      </c>
      <c r="H52" s="92">
        <f>'مشروع 36'!$J$9</f>
        <v/>
      </c>
      <c r="I52" s="92">
        <f>'مشروع 36'!$N$9</f>
        <v/>
      </c>
      <c r="J52" s="93">
        <f>'مشروع 36'!$B$12</f>
        <v/>
      </c>
      <c r="K52" s="94">
        <f>'مشروع 36'!$F$12</f>
        <v/>
      </c>
      <c r="L52" s="94">
        <f>J52-K52</f>
        <v/>
      </c>
      <c r="M52" s="95">
        <f>'مشروع 36'!$R$12</f>
        <v/>
      </c>
      <c r="N52" s="96">
        <f>'مشروع 36'!$V$9</f>
        <v/>
      </c>
      <c r="O52" s="97">
        <f>'مشروع 36'!$B$15</f>
        <v/>
      </c>
      <c r="P52" s="92">
        <f>'مشروع 36'!$F$15</f>
        <v/>
      </c>
      <c r="Q52" s="92">
        <f>'مشروع 36'!$J$15</f>
        <v/>
      </c>
      <c r="R52" s="94">
        <f>IF(O52&gt;0,P52/O52,0)</f>
        <v/>
      </c>
      <c r="S52" s="92">
        <f>'مشروع 36'!$B$18</f>
        <v/>
      </c>
      <c r="T52" s="92">
        <f>'مشروع 36'!$F$18</f>
        <v/>
      </c>
      <c r="U52" s="92">
        <f>'مشروع 36'!$J$18</f>
        <v/>
      </c>
      <c r="V52" s="92">
        <f>'مشروع 36'!$N$18</f>
        <v/>
      </c>
      <c r="W52" s="90">
        <f>'مشروع 36'!$V$12</f>
        <v/>
      </c>
      <c r="X52" s="91">
        <f>'مشروع 36'!$AA$25</f>
        <v/>
      </c>
      <c r="Y52" s="92">
        <f>'مشروع 36'!$B$21</f>
        <v/>
      </c>
      <c r="Z52" s="92">
        <f>'مشروع 36'!$F$21</f>
        <v/>
      </c>
      <c r="AA52" s="92">
        <f>'مشروع 36'!$J$21</f>
        <v/>
      </c>
      <c r="AB52" s="94">
        <f>'مشروع 36'!$N$21</f>
        <v/>
      </c>
      <c r="AC52" s="95">
        <f>'مشروع 36'!$R$21</f>
        <v/>
      </c>
      <c r="AD52" s="92">
        <f>'مشروع 36'!$V$21</f>
        <v/>
      </c>
    </row>
    <row r="53" ht="30" customHeight="1">
      <c r="B53" s="80" t="n">
        <v>37</v>
      </c>
      <c r="C53" s="81">
        <f>IF('مشروع 37'!$C$5="","مشروع رقم 37",'مشروع 37'!$C$5)</f>
        <v/>
      </c>
      <c r="D53" s="82">
        <f>'مشروع 37'!$H$5</f>
        <v/>
      </c>
      <c r="E53" s="7">
        <f>'مشروع 37'!$M$5</f>
        <v/>
      </c>
      <c r="F53" s="83">
        <f>'مشروع 37'!$B$9</f>
        <v/>
      </c>
      <c r="G53" s="83">
        <f>'مشروع 37'!$F$9</f>
        <v/>
      </c>
      <c r="H53" s="83">
        <f>'مشروع 37'!$J$9</f>
        <v/>
      </c>
      <c r="I53" s="83">
        <f>'مشروع 37'!$N$9</f>
        <v/>
      </c>
      <c r="J53" s="70">
        <f>'مشروع 37'!$B$12</f>
        <v/>
      </c>
      <c r="K53" s="84">
        <f>'مشروع 37'!$F$12</f>
        <v/>
      </c>
      <c r="L53" s="84">
        <f>J53-K53</f>
        <v/>
      </c>
      <c r="M53" s="85">
        <f>'مشروع 37'!$R$12</f>
        <v/>
      </c>
      <c r="N53" s="86">
        <f>'مشروع 37'!$V$9</f>
        <v/>
      </c>
      <c r="O53" s="87">
        <f>'مشروع 37'!$B$15</f>
        <v/>
      </c>
      <c r="P53" s="83">
        <f>'مشروع 37'!$F$15</f>
        <v/>
      </c>
      <c r="Q53" s="83">
        <f>'مشروع 37'!$J$15</f>
        <v/>
      </c>
      <c r="R53" s="84">
        <f>IF(O53&gt;0,P53/O53,0)</f>
        <v/>
      </c>
      <c r="S53" s="83">
        <f>'مشروع 37'!$B$18</f>
        <v/>
      </c>
      <c r="T53" s="83">
        <f>'مشروع 37'!$F$18</f>
        <v/>
      </c>
      <c r="U53" s="83">
        <f>'مشروع 37'!$J$18</f>
        <v/>
      </c>
      <c r="V53" s="83">
        <f>'مشروع 37'!$N$18</f>
        <v/>
      </c>
      <c r="W53" s="82">
        <f>'مشروع 37'!$V$12</f>
        <v/>
      </c>
      <c r="X53" s="7">
        <f>'مشروع 37'!$AA$25</f>
        <v/>
      </c>
      <c r="Y53" s="83">
        <f>'مشروع 37'!$B$21</f>
        <v/>
      </c>
      <c r="Z53" s="83">
        <f>'مشروع 37'!$F$21</f>
        <v/>
      </c>
      <c r="AA53" s="83">
        <f>'مشروع 37'!$J$21</f>
        <v/>
      </c>
      <c r="AB53" s="84">
        <f>'مشروع 37'!$N$21</f>
        <v/>
      </c>
      <c r="AC53" s="85">
        <f>'مشروع 37'!$R$21</f>
        <v/>
      </c>
      <c r="AD53" s="83">
        <f>'مشروع 37'!$V$21</f>
        <v/>
      </c>
    </row>
    <row r="54" ht="30" customHeight="1">
      <c r="B54" s="88" t="n">
        <v>38</v>
      </c>
      <c r="C54" s="89">
        <f>IF('مشروع 38'!$C$5="","مشروع رقم 38",'مشروع 38'!$C$5)</f>
        <v/>
      </c>
      <c r="D54" s="90">
        <f>'مشروع 38'!$H$5</f>
        <v/>
      </c>
      <c r="E54" s="91">
        <f>'مشروع 38'!$M$5</f>
        <v/>
      </c>
      <c r="F54" s="92">
        <f>'مشروع 38'!$B$9</f>
        <v/>
      </c>
      <c r="G54" s="92">
        <f>'مشروع 38'!$F$9</f>
        <v/>
      </c>
      <c r="H54" s="92">
        <f>'مشروع 38'!$J$9</f>
        <v/>
      </c>
      <c r="I54" s="92">
        <f>'مشروع 38'!$N$9</f>
        <v/>
      </c>
      <c r="J54" s="93">
        <f>'مشروع 38'!$B$12</f>
        <v/>
      </c>
      <c r="K54" s="94">
        <f>'مشروع 38'!$F$12</f>
        <v/>
      </c>
      <c r="L54" s="94">
        <f>J54-K54</f>
        <v/>
      </c>
      <c r="M54" s="95">
        <f>'مشروع 38'!$R$12</f>
        <v/>
      </c>
      <c r="N54" s="96">
        <f>'مشروع 38'!$V$9</f>
        <v/>
      </c>
      <c r="O54" s="97">
        <f>'مشروع 38'!$B$15</f>
        <v/>
      </c>
      <c r="P54" s="92">
        <f>'مشروع 38'!$F$15</f>
        <v/>
      </c>
      <c r="Q54" s="92">
        <f>'مشروع 38'!$J$15</f>
        <v/>
      </c>
      <c r="R54" s="94">
        <f>IF(O54&gt;0,P54/O54,0)</f>
        <v/>
      </c>
      <c r="S54" s="92">
        <f>'مشروع 38'!$B$18</f>
        <v/>
      </c>
      <c r="T54" s="92">
        <f>'مشروع 38'!$F$18</f>
        <v/>
      </c>
      <c r="U54" s="92">
        <f>'مشروع 38'!$J$18</f>
        <v/>
      </c>
      <c r="V54" s="92">
        <f>'مشروع 38'!$N$18</f>
        <v/>
      </c>
      <c r="W54" s="90">
        <f>'مشروع 38'!$V$12</f>
        <v/>
      </c>
      <c r="X54" s="91">
        <f>'مشروع 38'!$AA$25</f>
        <v/>
      </c>
      <c r="Y54" s="92">
        <f>'مشروع 38'!$B$21</f>
        <v/>
      </c>
      <c r="Z54" s="92">
        <f>'مشروع 38'!$F$21</f>
        <v/>
      </c>
      <c r="AA54" s="92">
        <f>'مشروع 38'!$J$21</f>
        <v/>
      </c>
      <c r="AB54" s="94">
        <f>'مشروع 38'!$N$21</f>
        <v/>
      </c>
      <c r="AC54" s="95">
        <f>'مشروع 38'!$R$21</f>
        <v/>
      </c>
      <c r="AD54" s="92">
        <f>'مشروع 38'!$V$21</f>
        <v/>
      </c>
    </row>
    <row r="55" ht="30" customHeight="1">
      <c r="B55" s="80" t="n">
        <v>39</v>
      </c>
      <c r="C55" s="81">
        <f>IF('مشروع 39'!$C$5="","مشروع رقم 39",'مشروع 39'!$C$5)</f>
        <v/>
      </c>
      <c r="D55" s="82">
        <f>'مشروع 39'!$H$5</f>
        <v/>
      </c>
      <c r="E55" s="7">
        <f>'مشروع 39'!$M$5</f>
        <v/>
      </c>
      <c r="F55" s="83">
        <f>'مشروع 39'!$B$9</f>
        <v/>
      </c>
      <c r="G55" s="83">
        <f>'مشروع 39'!$F$9</f>
        <v/>
      </c>
      <c r="H55" s="83">
        <f>'مشروع 39'!$J$9</f>
        <v/>
      </c>
      <c r="I55" s="83">
        <f>'مشروع 39'!$N$9</f>
        <v/>
      </c>
      <c r="J55" s="70">
        <f>'مشروع 39'!$B$12</f>
        <v/>
      </c>
      <c r="K55" s="84">
        <f>'مشروع 39'!$F$12</f>
        <v/>
      </c>
      <c r="L55" s="84">
        <f>J55-K55</f>
        <v/>
      </c>
      <c r="M55" s="85">
        <f>'مشروع 39'!$R$12</f>
        <v/>
      </c>
      <c r="N55" s="86">
        <f>'مشروع 39'!$V$9</f>
        <v/>
      </c>
      <c r="O55" s="87">
        <f>'مشروع 39'!$B$15</f>
        <v/>
      </c>
      <c r="P55" s="83">
        <f>'مشروع 39'!$F$15</f>
        <v/>
      </c>
      <c r="Q55" s="83">
        <f>'مشروع 39'!$J$15</f>
        <v/>
      </c>
      <c r="R55" s="84">
        <f>IF(O55&gt;0,P55/O55,0)</f>
        <v/>
      </c>
      <c r="S55" s="83">
        <f>'مشروع 39'!$B$18</f>
        <v/>
      </c>
      <c r="T55" s="83">
        <f>'مشروع 39'!$F$18</f>
        <v/>
      </c>
      <c r="U55" s="83">
        <f>'مشروع 39'!$J$18</f>
        <v/>
      </c>
      <c r="V55" s="83">
        <f>'مشروع 39'!$N$18</f>
        <v/>
      </c>
      <c r="W55" s="82">
        <f>'مشروع 39'!$V$12</f>
        <v/>
      </c>
      <c r="X55" s="7">
        <f>'مشروع 39'!$AA$25</f>
        <v/>
      </c>
      <c r="Y55" s="83">
        <f>'مشروع 39'!$B$21</f>
        <v/>
      </c>
      <c r="Z55" s="83">
        <f>'مشروع 39'!$F$21</f>
        <v/>
      </c>
      <c r="AA55" s="83">
        <f>'مشروع 39'!$J$21</f>
        <v/>
      </c>
      <c r="AB55" s="84">
        <f>'مشروع 39'!$N$21</f>
        <v/>
      </c>
      <c r="AC55" s="85">
        <f>'مشروع 39'!$R$21</f>
        <v/>
      </c>
      <c r="AD55" s="83">
        <f>'مشروع 39'!$V$21</f>
        <v/>
      </c>
    </row>
    <row r="56" ht="30" customHeight="1">
      <c r="B56" s="88" t="n">
        <v>40</v>
      </c>
      <c r="C56" s="89">
        <f>IF('مشروع 40'!$C$5="","مشروع رقم 40",'مشروع 40'!$C$5)</f>
        <v/>
      </c>
      <c r="D56" s="90">
        <f>'مشروع 40'!$H$5</f>
        <v/>
      </c>
      <c r="E56" s="91">
        <f>'مشروع 40'!$M$5</f>
        <v/>
      </c>
      <c r="F56" s="92">
        <f>'مشروع 40'!$B$9</f>
        <v/>
      </c>
      <c r="G56" s="92">
        <f>'مشروع 40'!$F$9</f>
        <v/>
      </c>
      <c r="H56" s="92">
        <f>'مشروع 40'!$J$9</f>
        <v/>
      </c>
      <c r="I56" s="92">
        <f>'مشروع 40'!$N$9</f>
        <v/>
      </c>
      <c r="J56" s="93">
        <f>'مشروع 40'!$B$12</f>
        <v/>
      </c>
      <c r="K56" s="94">
        <f>'مشروع 40'!$F$12</f>
        <v/>
      </c>
      <c r="L56" s="94">
        <f>J56-K56</f>
        <v/>
      </c>
      <c r="M56" s="95">
        <f>'مشروع 40'!$R$12</f>
        <v/>
      </c>
      <c r="N56" s="96">
        <f>'مشروع 40'!$V$9</f>
        <v/>
      </c>
      <c r="O56" s="97">
        <f>'مشروع 40'!$B$15</f>
        <v/>
      </c>
      <c r="P56" s="92">
        <f>'مشروع 40'!$F$15</f>
        <v/>
      </c>
      <c r="Q56" s="92">
        <f>'مشروع 40'!$J$15</f>
        <v/>
      </c>
      <c r="R56" s="94">
        <f>IF(O56&gt;0,P56/O56,0)</f>
        <v/>
      </c>
      <c r="S56" s="92">
        <f>'مشروع 40'!$B$18</f>
        <v/>
      </c>
      <c r="T56" s="92">
        <f>'مشروع 40'!$F$18</f>
        <v/>
      </c>
      <c r="U56" s="92">
        <f>'مشروع 40'!$J$18</f>
        <v/>
      </c>
      <c r="V56" s="92">
        <f>'مشروع 40'!$N$18</f>
        <v/>
      </c>
      <c r="W56" s="90">
        <f>'مشروع 40'!$V$12</f>
        <v/>
      </c>
      <c r="X56" s="91">
        <f>'مشروع 40'!$AA$25</f>
        <v/>
      </c>
      <c r="Y56" s="92">
        <f>'مشروع 40'!$B$21</f>
        <v/>
      </c>
      <c r="Z56" s="92">
        <f>'مشروع 40'!$F$21</f>
        <v/>
      </c>
      <c r="AA56" s="92">
        <f>'مشروع 40'!$J$21</f>
        <v/>
      </c>
      <c r="AB56" s="94">
        <f>'مشروع 40'!$N$21</f>
        <v/>
      </c>
      <c r="AC56" s="95">
        <f>'مشروع 40'!$R$21</f>
        <v/>
      </c>
      <c r="AD56" s="92">
        <f>'مشروع 40'!$V$21</f>
        <v/>
      </c>
    </row>
    <row r="57" ht="30" customHeight="1">
      <c r="B57" s="80" t="n">
        <v>41</v>
      </c>
      <c r="C57" s="81">
        <f>IF('مشروع 41'!$C$5="","مشروع رقم 41",'مشروع 41'!$C$5)</f>
        <v/>
      </c>
      <c r="D57" s="82">
        <f>'مشروع 41'!$H$5</f>
        <v/>
      </c>
      <c r="E57" s="7">
        <f>'مشروع 41'!$M$5</f>
        <v/>
      </c>
      <c r="F57" s="83">
        <f>'مشروع 41'!$B$9</f>
        <v/>
      </c>
      <c r="G57" s="83">
        <f>'مشروع 41'!$F$9</f>
        <v/>
      </c>
      <c r="H57" s="83">
        <f>'مشروع 41'!$J$9</f>
        <v/>
      </c>
      <c r="I57" s="83">
        <f>'مشروع 41'!$N$9</f>
        <v/>
      </c>
      <c r="J57" s="70">
        <f>'مشروع 41'!$B$12</f>
        <v/>
      </c>
      <c r="K57" s="84">
        <f>'مشروع 41'!$F$12</f>
        <v/>
      </c>
      <c r="L57" s="84">
        <f>J57-K57</f>
        <v/>
      </c>
      <c r="M57" s="85">
        <f>'مشروع 41'!$R$12</f>
        <v/>
      </c>
      <c r="N57" s="86">
        <f>'مشروع 41'!$V$9</f>
        <v/>
      </c>
      <c r="O57" s="87">
        <f>'مشروع 41'!$B$15</f>
        <v/>
      </c>
      <c r="P57" s="83">
        <f>'مشروع 41'!$F$15</f>
        <v/>
      </c>
      <c r="Q57" s="83">
        <f>'مشروع 41'!$J$15</f>
        <v/>
      </c>
      <c r="R57" s="84">
        <f>IF(O57&gt;0,P57/O57,0)</f>
        <v/>
      </c>
      <c r="S57" s="83">
        <f>'مشروع 41'!$B$18</f>
        <v/>
      </c>
      <c r="T57" s="83">
        <f>'مشروع 41'!$F$18</f>
        <v/>
      </c>
      <c r="U57" s="83">
        <f>'مشروع 41'!$J$18</f>
        <v/>
      </c>
      <c r="V57" s="83">
        <f>'مشروع 41'!$N$18</f>
        <v/>
      </c>
      <c r="W57" s="82">
        <f>'مشروع 41'!$V$12</f>
        <v/>
      </c>
      <c r="X57" s="7">
        <f>'مشروع 41'!$AA$25</f>
        <v/>
      </c>
      <c r="Y57" s="83">
        <f>'مشروع 41'!$B$21</f>
        <v/>
      </c>
      <c r="Z57" s="83">
        <f>'مشروع 41'!$F$21</f>
        <v/>
      </c>
      <c r="AA57" s="83">
        <f>'مشروع 41'!$J$21</f>
        <v/>
      </c>
      <c r="AB57" s="84">
        <f>'مشروع 41'!$N$21</f>
        <v/>
      </c>
      <c r="AC57" s="85">
        <f>'مشروع 41'!$R$21</f>
        <v/>
      </c>
      <c r="AD57" s="83">
        <f>'مشروع 41'!$V$21</f>
        <v/>
      </c>
    </row>
    <row r="58" ht="30" customHeight="1">
      <c r="B58" s="88" t="n">
        <v>42</v>
      </c>
      <c r="C58" s="89">
        <f>IF('مشروع 42'!$C$5="","مشروع رقم 42",'مشروع 42'!$C$5)</f>
        <v/>
      </c>
      <c r="D58" s="90">
        <f>'مشروع 42'!$H$5</f>
        <v/>
      </c>
      <c r="E58" s="91">
        <f>'مشروع 42'!$M$5</f>
        <v/>
      </c>
      <c r="F58" s="92">
        <f>'مشروع 42'!$B$9</f>
        <v/>
      </c>
      <c r="G58" s="92">
        <f>'مشروع 42'!$F$9</f>
        <v/>
      </c>
      <c r="H58" s="92">
        <f>'مشروع 42'!$J$9</f>
        <v/>
      </c>
      <c r="I58" s="92">
        <f>'مشروع 42'!$N$9</f>
        <v/>
      </c>
      <c r="J58" s="93">
        <f>'مشروع 42'!$B$12</f>
        <v/>
      </c>
      <c r="K58" s="94">
        <f>'مشروع 42'!$F$12</f>
        <v/>
      </c>
      <c r="L58" s="94">
        <f>J58-K58</f>
        <v/>
      </c>
      <c r="M58" s="95">
        <f>'مشروع 42'!$R$12</f>
        <v/>
      </c>
      <c r="N58" s="96">
        <f>'مشروع 42'!$V$9</f>
        <v/>
      </c>
      <c r="O58" s="97">
        <f>'مشروع 42'!$B$15</f>
        <v/>
      </c>
      <c r="P58" s="92">
        <f>'مشروع 42'!$F$15</f>
        <v/>
      </c>
      <c r="Q58" s="92">
        <f>'مشروع 42'!$J$15</f>
        <v/>
      </c>
      <c r="R58" s="94">
        <f>IF(O58&gt;0,P58/O58,0)</f>
        <v/>
      </c>
      <c r="S58" s="92">
        <f>'مشروع 42'!$B$18</f>
        <v/>
      </c>
      <c r="T58" s="92">
        <f>'مشروع 42'!$F$18</f>
        <v/>
      </c>
      <c r="U58" s="92">
        <f>'مشروع 42'!$J$18</f>
        <v/>
      </c>
      <c r="V58" s="92">
        <f>'مشروع 42'!$N$18</f>
        <v/>
      </c>
      <c r="W58" s="90">
        <f>'مشروع 42'!$V$12</f>
        <v/>
      </c>
      <c r="X58" s="91">
        <f>'مشروع 42'!$AA$25</f>
        <v/>
      </c>
      <c r="Y58" s="92">
        <f>'مشروع 42'!$B$21</f>
        <v/>
      </c>
      <c r="Z58" s="92">
        <f>'مشروع 42'!$F$21</f>
        <v/>
      </c>
      <c r="AA58" s="92">
        <f>'مشروع 42'!$J$21</f>
        <v/>
      </c>
      <c r="AB58" s="94">
        <f>'مشروع 42'!$N$21</f>
        <v/>
      </c>
      <c r="AC58" s="95">
        <f>'مشروع 42'!$R$21</f>
        <v/>
      </c>
      <c r="AD58" s="92">
        <f>'مشروع 42'!$V$21</f>
        <v/>
      </c>
    </row>
    <row r="59" ht="30" customHeight="1">
      <c r="B59" s="80" t="n">
        <v>43</v>
      </c>
      <c r="C59" s="81">
        <f>IF('مشروع 43'!$C$5="","مشروع رقم 43",'مشروع 43'!$C$5)</f>
        <v/>
      </c>
      <c r="D59" s="82">
        <f>'مشروع 43'!$H$5</f>
        <v/>
      </c>
      <c r="E59" s="7">
        <f>'مشروع 43'!$M$5</f>
        <v/>
      </c>
      <c r="F59" s="83">
        <f>'مشروع 43'!$B$9</f>
        <v/>
      </c>
      <c r="G59" s="83">
        <f>'مشروع 43'!$F$9</f>
        <v/>
      </c>
      <c r="H59" s="83">
        <f>'مشروع 43'!$J$9</f>
        <v/>
      </c>
      <c r="I59" s="83">
        <f>'مشروع 43'!$N$9</f>
        <v/>
      </c>
      <c r="J59" s="70">
        <f>'مشروع 43'!$B$12</f>
        <v/>
      </c>
      <c r="K59" s="84">
        <f>'مشروع 43'!$F$12</f>
        <v/>
      </c>
      <c r="L59" s="84">
        <f>J59-K59</f>
        <v/>
      </c>
      <c r="M59" s="85">
        <f>'مشروع 43'!$R$12</f>
        <v/>
      </c>
      <c r="N59" s="86">
        <f>'مشروع 43'!$V$9</f>
        <v/>
      </c>
      <c r="O59" s="87">
        <f>'مشروع 43'!$B$15</f>
        <v/>
      </c>
      <c r="P59" s="83">
        <f>'مشروع 43'!$F$15</f>
        <v/>
      </c>
      <c r="Q59" s="83">
        <f>'مشروع 43'!$J$15</f>
        <v/>
      </c>
      <c r="R59" s="84">
        <f>IF(O59&gt;0,P59/O59,0)</f>
        <v/>
      </c>
      <c r="S59" s="83">
        <f>'مشروع 43'!$B$18</f>
        <v/>
      </c>
      <c r="T59" s="83">
        <f>'مشروع 43'!$F$18</f>
        <v/>
      </c>
      <c r="U59" s="83">
        <f>'مشروع 43'!$J$18</f>
        <v/>
      </c>
      <c r="V59" s="83">
        <f>'مشروع 43'!$N$18</f>
        <v/>
      </c>
      <c r="W59" s="82">
        <f>'مشروع 43'!$V$12</f>
        <v/>
      </c>
      <c r="X59" s="7">
        <f>'مشروع 43'!$AA$25</f>
        <v/>
      </c>
      <c r="Y59" s="83">
        <f>'مشروع 43'!$B$21</f>
        <v/>
      </c>
      <c r="Z59" s="83">
        <f>'مشروع 43'!$F$21</f>
        <v/>
      </c>
      <c r="AA59" s="83">
        <f>'مشروع 43'!$J$21</f>
        <v/>
      </c>
      <c r="AB59" s="84">
        <f>'مشروع 43'!$N$21</f>
        <v/>
      </c>
      <c r="AC59" s="85">
        <f>'مشروع 43'!$R$21</f>
        <v/>
      </c>
      <c r="AD59" s="83">
        <f>'مشروع 43'!$V$21</f>
        <v/>
      </c>
    </row>
    <row r="60" ht="30" customHeight="1">
      <c r="B60" s="88" t="n">
        <v>44</v>
      </c>
      <c r="C60" s="89">
        <f>IF('مشروع 44'!$C$5="","مشروع رقم 44",'مشروع 44'!$C$5)</f>
        <v/>
      </c>
      <c r="D60" s="90">
        <f>'مشروع 44'!$H$5</f>
        <v/>
      </c>
      <c r="E60" s="91">
        <f>'مشروع 44'!$M$5</f>
        <v/>
      </c>
      <c r="F60" s="92">
        <f>'مشروع 44'!$B$9</f>
        <v/>
      </c>
      <c r="G60" s="92">
        <f>'مشروع 44'!$F$9</f>
        <v/>
      </c>
      <c r="H60" s="92">
        <f>'مشروع 44'!$J$9</f>
        <v/>
      </c>
      <c r="I60" s="92">
        <f>'مشروع 44'!$N$9</f>
        <v/>
      </c>
      <c r="J60" s="93">
        <f>'مشروع 44'!$B$12</f>
        <v/>
      </c>
      <c r="K60" s="94">
        <f>'مشروع 44'!$F$12</f>
        <v/>
      </c>
      <c r="L60" s="94">
        <f>J60-K60</f>
        <v/>
      </c>
      <c r="M60" s="95">
        <f>'مشروع 44'!$R$12</f>
        <v/>
      </c>
      <c r="N60" s="96">
        <f>'مشروع 44'!$V$9</f>
        <v/>
      </c>
      <c r="O60" s="97">
        <f>'مشروع 44'!$B$15</f>
        <v/>
      </c>
      <c r="P60" s="92">
        <f>'مشروع 44'!$F$15</f>
        <v/>
      </c>
      <c r="Q60" s="92">
        <f>'مشروع 44'!$J$15</f>
        <v/>
      </c>
      <c r="R60" s="94">
        <f>IF(O60&gt;0,P60/O60,0)</f>
        <v/>
      </c>
      <c r="S60" s="92">
        <f>'مشروع 44'!$B$18</f>
        <v/>
      </c>
      <c r="T60" s="92">
        <f>'مشروع 44'!$F$18</f>
        <v/>
      </c>
      <c r="U60" s="92">
        <f>'مشروع 44'!$J$18</f>
        <v/>
      </c>
      <c r="V60" s="92">
        <f>'مشروع 44'!$N$18</f>
        <v/>
      </c>
      <c r="W60" s="90">
        <f>'مشروع 44'!$V$12</f>
        <v/>
      </c>
      <c r="X60" s="91">
        <f>'مشروع 44'!$AA$25</f>
        <v/>
      </c>
      <c r="Y60" s="92">
        <f>'مشروع 44'!$B$21</f>
        <v/>
      </c>
      <c r="Z60" s="92">
        <f>'مشروع 44'!$F$21</f>
        <v/>
      </c>
      <c r="AA60" s="92">
        <f>'مشروع 44'!$J$21</f>
        <v/>
      </c>
      <c r="AB60" s="94">
        <f>'مشروع 44'!$N$21</f>
        <v/>
      </c>
      <c r="AC60" s="95">
        <f>'مشروع 44'!$R$21</f>
        <v/>
      </c>
      <c r="AD60" s="92">
        <f>'مشروع 44'!$V$21</f>
        <v/>
      </c>
    </row>
    <row r="61" ht="30" customHeight="1">
      <c r="B61" s="80" t="n">
        <v>45</v>
      </c>
      <c r="C61" s="81">
        <f>IF('مشروع 45'!$C$5="","مشروع رقم 45",'مشروع 45'!$C$5)</f>
        <v/>
      </c>
      <c r="D61" s="82">
        <f>'مشروع 45'!$H$5</f>
        <v/>
      </c>
      <c r="E61" s="7">
        <f>'مشروع 45'!$M$5</f>
        <v/>
      </c>
      <c r="F61" s="83">
        <f>'مشروع 45'!$B$9</f>
        <v/>
      </c>
      <c r="G61" s="83">
        <f>'مشروع 45'!$F$9</f>
        <v/>
      </c>
      <c r="H61" s="83">
        <f>'مشروع 45'!$J$9</f>
        <v/>
      </c>
      <c r="I61" s="83">
        <f>'مشروع 45'!$N$9</f>
        <v/>
      </c>
      <c r="J61" s="70">
        <f>'مشروع 45'!$B$12</f>
        <v/>
      </c>
      <c r="K61" s="84">
        <f>'مشروع 45'!$F$12</f>
        <v/>
      </c>
      <c r="L61" s="84">
        <f>J61-K61</f>
        <v/>
      </c>
      <c r="M61" s="85">
        <f>'مشروع 45'!$R$12</f>
        <v/>
      </c>
      <c r="N61" s="86">
        <f>'مشروع 45'!$V$9</f>
        <v/>
      </c>
      <c r="O61" s="87">
        <f>'مشروع 45'!$B$15</f>
        <v/>
      </c>
      <c r="P61" s="83">
        <f>'مشروع 45'!$F$15</f>
        <v/>
      </c>
      <c r="Q61" s="83">
        <f>'مشروع 45'!$J$15</f>
        <v/>
      </c>
      <c r="R61" s="84">
        <f>IF(O61&gt;0,P61/O61,0)</f>
        <v/>
      </c>
      <c r="S61" s="83">
        <f>'مشروع 45'!$B$18</f>
        <v/>
      </c>
      <c r="T61" s="83">
        <f>'مشروع 45'!$F$18</f>
        <v/>
      </c>
      <c r="U61" s="83">
        <f>'مشروع 45'!$J$18</f>
        <v/>
      </c>
      <c r="V61" s="83">
        <f>'مشروع 45'!$N$18</f>
        <v/>
      </c>
      <c r="W61" s="82">
        <f>'مشروع 45'!$V$12</f>
        <v/>
      </c>
      <c r="X61" s="7">
        <f>'مشروع 45'!$AA$25</f>
        <v/>
      </c>
      <c r="Y61" s="83">
        <f>'مشروع 45'!$B$21</f>
        <v/>
      </c>
      <c r="Z61" s="83">
        <f>'مشروع 45'!$F$21</f>
        <v/>
      </c>
      <c r="AA61" s="83">
        <f>'مشروع 45'!$J$21</f>
        <v/>
      </c>
      <c r="AB61" s="84">
        <f>'مشروع 45'!$N$21</f>
        <v/>
      </c>
      <c r="AC61" s="85">
        <f>'مشروع 45'!$R$21</f>
        <v/>
      </c>
      <c r="AD61" s="83">
        <f>'مشروع 45'!$V$21</f>
        <v/>
      </c>
    </row>
    <row r="62" ht="30" customHeight="1">
      <c r="B62" s="88" t="n">
        <v>46</v>
      </c>
      <c r="C62" s="89">
        <f>IF('مشروع 46'!$C$5="","مشروع رقم 46",'مشروع 46'!$C$5)</f>
        <v/>
      </c>
      <c r="D62" s="90">
        <f>'مشروع 46'!$H$5</f>
        <v/>
      </c>
      <c r="E62" s="91">
        <f>'مشروع 46'!$M$5</f>
        <v/>
      </c>
      <c r="F62" s="92">
        <f>'مشروع 46'!$B$9</f>
        <v/>
      </c>
      <c r="G62" s="92">
        <f>'مشروع 46'!$F$9</f>
        <v/>
      </c>
      <c r="H62" s="92">
        <f>'مشروع 46'!$J$9</f>
        <v/>
      </c>
      <c r="I62" s="92">
        <f>'مشروع 46'!$N$9</f>
        <v/>
      </c>
      <c r="J62" s="93">
        <f>'مشروع 46'!$B$12</f>
        <v/>
      </c>
      <c r="K62" s="94">
        <f>'مشروع 46'!$F$12</f>
        <v/>
      </c>
      <c r="L62" s="94">
        <f>J62-K62</f>
        <v/>
      </c>
      <c r="M62" s="95">
        <f>'مشروع 46'!$R$12</f>
        <v/>
      </c>
      <c r="N62" s="96">
        <f>'مشروع 46'!$V$9</f>
        <v/>
      </c>
      <c r="O62" s="97">
        <f>'مشروع 46'!$B$15</f>
        <v/>
      </c>
      <c r="P62" s="92">
        <f>'مشروع 46'!$F$15</f>
        <v/>
      </c>
      <c r="Q62" s="92">
        <f>'مشروع 46'!$J$15</f>
        <v/>
      </c>
      <c r="R62" s="94">
        <f>IF(O62&gt;0,P62/O62,0)</f>
        <v/>
      </c>
      <c r="S62" s="92">
        <f>'مشروع 46'!$B$18</f>
        <v/>
      </c>
      <c r="T62" s="92">
        <f>'مشروع 46'!$F$18</f>
        <v/>
      </c>
      <c r="U62" s="92">
        <f>'مشروع 46'!$J$18</f>
        <v/>
      </c>
      <c r="V62" s="92">
        <f>'مشروع 46'!$N$18</f>
        <v/>
      </c>
      <c r="W62" s="90">
        <f>'مشروع 46'!$V$12</f>
        <v/>
      </c>
      <c r="X62" s="91">
        <f>'مشروع 46'!$AA$25</f>
        <v/>
      </c>
      <c r="Y62" s="92">
        <f>'مشروع 46'!$B$21</f>
        <v/>
      </c>
      <c r="Z62" s="92">
        <f>'مشروع 46'!$F$21</f>
        <v/>
      </c>
      <c r="AA62" s="92">
        <f>'مشروع 46'!$J$21</f>
        <v/>
      </c>
      <c r="AB62" s="94">
        <f>'مشروع 46'!$N$21</f>
        <v/>
      </c>
      <c r="AC62" s="95">
        <f>'مشروع 46'!$R$21</f>
        <v/>
      </c>
      <c r="AD62" s="92">
        <f>'مشروع 46'!$V$21</f>
        <v/>
      </c>
    </row>
    <row r="63" ht="30" customHeight="1">
      <c r="B63" s="80" t="n">
        <v>47</v>
      </c>
      <c r="C63" s="81">
        <f>IF('مشروع 47'!$C$5="","مشروع رقم 47",'مشروع 47'!$C$5)</f>
        <v/>
      </c>
      <c r="D63" s="82">
        <f>'مشروع 47'!$H$5</f>
        <v/>
      </c>
      <c r="E63" s="7">
        <f>'مشروع 47'!$M$5</f>
        <v/>
      </c>
      <c r="F63" s="83">
        <f>'مشروع 47'!$B$9</f>
        <v/>
      </c>
      <c r="G63" s="83">
        <f>'مشروع 47'!$F$9</f>
        <v/>
      </c>
      <c r="H63" s="83">
        <f>'مشروع 47'!$J$9</f>
        <v/>
      </c>
      <c r="I63" s="83">
        <f>'مشروع 47'!$N$9</f>
        <v/>
      </c>
      <c r="J63" s="70">
        <f>'مشروع 47'!$B$12</f>
        <v/>
      </c>
      <c r="K63" s="84">
        <f>'مشروع 47'!$F$12</f>
        <v/>
      </c>
      <c r="L63" s="84">
        <f>J63-K63</f>
        <v/>
      </c>
      <c r="M63" s="85">
        <f>'مشروع 47'!$R$12</f>
        <v/>
      </c>
      <c r="N63" s="86">
        <f>'مشروع 47'!$V$9</f>
        <v/>
      </c>
      <c r="O63" s="87">
        <f>'مشروع 47'!$B$15</f>
        <v/>
      </c>
      <c r="P63" s="83">
        <f>'مشروع 47'!$F$15</f>
        <v/>
      </c>
      <c r="Q63" s="83">
        <f>'مشروع 47'!$J$15</f>
        <v/>
      </c>
      <c r="R63" s="84">
        <f>IF(O63&gt;0,P63/O63,0)</f>
        <v/>
      </c>
      <c r="S63" s="83">
        <f>'مشروع 47'!$B$18</f>
        <v/>
      </c>
      <c r="T63" s="83">
        <f>'مشروع 47'!$F$18</f>
        <v/>
      </c>
      <c r="U63" s="83">
        <f>'مشروع 47'!$J$18</f>
        <v/>
      </c>
      <c r="V63" s="83">
        <f>'مشروع 47'!$N$18</f>
        <v/>
      </c>
      <c r="W63" s="82">
        <f>'مشروع 47'!$V$12</f>
        <v/>
      </c>
      <c r="X63" s="7">
        <f>'مشروع 47'!$AA$25</f>
        <v/>
      </c>
      <c r="Y63" s="83">
        <f>'مشروع 47'!$B$21</f>
        <v/>
      </c>
      <c r="Z63" s="83">
        <f>'مشروع 47'!$F$21</f>
        <v/>
      </c>
      <c r="AA63" s="83">
        <f>'مشروع 47'!$J$21</f>
        <v/>
      </c>
      <c r="AB63" s="84">
        <f>'مشروع 47'!$N$21</f>
        <v/>
      </c>
      <c r="AC63" s="85">
        <f>'مشروع 47'!$R$21</f>
        <v/>
      </c>
      <c r="AD63" s="83">
        <f>'مشروع 47'!$V$21</f>
        <v/>
      </c>
    </row>
    <row r="64" ht="30" customHeight="1">
      <c r="B64" s="88" t="n">
        <v>48</v>
      </c>
      <c r="C64" s="89">
        <f>IF('مشروع 48'!$C$5="","مشروع رقم 48",'مشروع 48'!$C$5)</f>
        <v/>
      </c>
      <c r="D64" s="90">
        <f>'مشروع 48'!$H$5</f>
        <v/>
      </c>
      <c r="E64" s="91">
        <f>'مشروع 48'!$M$5</f>
        <v/>
      </c>
      <c r="F64" s="92">
        <f>'مشروع 48'!$B$9</f>
        <v/>
      </c>
      <c r="G64" s="92">
        <f>'مشروع 48'!$F$9</f>
        <v/>
      </c>
      <c r="H64" s="92">
        <f>'مشروع 48'!$J$9</f>
        <v/>
      </c>
      <c r="I64" s="92">
        <f>'مشروع 48'!$N$9</f>
        <v/>
      </c>
      <c r="J64" s="93">
        <f>'مشروع 48'!$B$12</f>
        <v/>
      </c>
      <c r="K64" s="94">
        <f>'مشروع 48'!$F$12</f>
        <v/>
      </c>
      <c r="L64" s="94">
        <f>J64-K64</f>
        <v/>
      </c>
      <c r="M64" s="95">
        <f>'مشروع 48'!$R$12</f>
        <v/>
      </c>
      <c r="N64" s="96">
        <f>'مشروع 48'!$V$9</f>
        <v/>
      </c>
      <c r="O64" s="97">
        <f>'مشروع 48'!$B$15</f>
        <v/>
      </c>
      <c r="P64" s="92">
        <f>'مشروع 48'!$F$15</f>
        <v/>
      </c>
      <c r="Q64" s="92">
        <f>'مشروع 48'!$J$15</f>
        <v/>
      </c>
      <c r="R64" s="94">
        <f>IF(O64&gt;0,P64/O64,0)</f>
        <v/>
      </c>
      <c r="S64" s="92">
        <f>'مشروع 48'!$B$18</f>
        <v/>
      </c>
      <c r="T64" s="92">
        <f>'مشروع 48'!$F$18</f>
        <v/>
      </c>
      <c r="U64" s="92">
        <f>'مشروع 48'!$J$18</f>
        <v/>
      </c>
      <c r="V64" s="92">
        <f>'مشروع 48'!$N$18</f>
        <v/>
      </c>
      <c r="W64" s="90">
        <f>'مشروع 48'!$V$12</f>
        <v/>
      </c>
      <c r="X64" s="91">
        <f>'مشروع 48'!$AA$25</f>
        <v/>
      </c>
      <c r="Y64" s="92">
        <f>'مشروع 48'!$B$21</f>
        <v/>
      </c>
      <c r="Z64" s="92">
        <f>'مشروع 48'!$F$21</f>
        <v/>
      </c>
      <c r="AA64" s="92">
        <f>'مشروع 48'!$J$21</f>
        <v/>
      </c>
      <c r="AB64" s="94">
        <f>'مشروع 48'!$N$21</f>
        <v/>
      </c>
      <c r="AC64" s="95">
        <f>'مشروع 48'!$R$21</f>
        <v/>
      </c>
      <c r="AD64" s="92">
        <f>'مشروع 48'!$V$21</f>
        <v/>
      </c>
    </row>
    <row r="65" ht="30" customHeight="1">
      <c r="B65" s="80" t="n">
        <v>49</v>
      </c>
      <c r="C65" s="81">
        <f>IF('مشروع 49'!$C$5="","مشروع رقم 49",'مشروع 49'!$C$5)</f>
        <v/>
      </c>
      <c r="D65" s="82">
        <f>'مشروع 49'!$H$5</f>
        <v/>
      </c>
      <c r="E65" s="7">
        <f>'مشروع 49'!$M$5</f>
        <v/>
      </c>
      <c r="F65" s="83">
        <f>'مشروع 49'!$B$9</f>
        <v/>
      </c>
      <c r="G65" s="83">
        <f>'مشروع 49'!$F$9</f>
        <v/>
      </c>
      <c r="H65" s="83">
        <f>'مشروع 49'!$J$9</f>
        <v/>
      </c>
      <c r="I65" s="83">
        <f>'مشروع 49'!$N$9</f>
        <v/>
      </c>
      <c r="J65" s="70">
        <f>'مشروع 49'!$B$12</f>
        <v/>
      </c>
      <c r="K65" s="84">
        <f>'مشروع 49'!$F$12</f>
        <v/>
      </c>
      <c r="L65" s="84">
        <f>J65-K65</f>
        <v/>
      </c>
      <c r="M65" s="85">
        <f>'مشروع 49'!$R$12</f>
        <v/>
      </c>
      <c r="N65" s="86">
        <f>'مشروع 49'!$V$9</f>
        <v/>
      </c>
      <c r="O65" s="87">
        <f>'مشروع 49'!$B$15</f>
        <v/>
      </c>
      <c r="P65" s="83">
        <f>'مشروع 49'!$F$15</f>
        <v/>
      </c>
      <c r="Q65" s="83">
        <f>'مشروع 49'!$J$15</f>
        <v/>
      </c>
      <c r="R65" s="84">
        <f>IF(O65&gt;0,P65/O65,0)</f>
        <v/>
      </c>
      <c r="S65" s="83">
        <f>'مشروع 49'!$B$18</f>
        <v/>
      </c>
      <c r="T65" s="83">
        <f>'مشروع 49'!$F$18</f>
        <v/>
      </c>
      <c r="U65" s="83">
        <f>'مشروع 49'!$J$18</f>
        <v/>
      </c>
      <c r="V65" s="83">
        <f>'مشروع 49'!$N$18</f>
        <v/>
      </c>
      <c r="W65" s="82">
        <f>'مشروع 49'!$V$12</f>
        <v/>
      </c>
      <c r="X65" s="7">
        <f>'مشروع 49'!$AA$25</f>
        <v/>
      </c>
      <c r="Y65" s="83">
        <f>'مشروع 49'!$B$21</f>
        <v/>
      </c>
      <c r="Z65" s="83">
        <f>'مشروع 49'!$F$21</f>
        <v/>
      </c>
      <c r="AA65" s="83">
        <f>'مشروع 49'!$J$21</f>
        <v/>
      </c>
      <c r="AB65" s="84">
        <f>'مشروع 49'!$N$21</f>
        <v/>
      </c>
      <c r="AC65" s="85">
        <f>'مشروع 49'!$R$21</f>
        <v/>
      </c>
      <c r="AD65" s="83">
        <f>'مشروع 49'!$V$21</f>
        <v/>
      </c>
    </row>
    <row r="66" ht="30" customHeight="1">
      <c r="B66" s="88" t="n">
        <v>50</v>
      </c>
      <c r="C66" s="89">
        <f>IF('مشروع 50'!$C$5="","مشروع رقم 50",'مشروع 50'!$C$5)</f>
        <v/>
      </c>
      <c r="D66" s="90">
        <f>'مشروع 50'!$H$5</f>
        <v/>
      </c>
      <c r="E66" s="91">
        <f>'مشروع 50'!$M$5</f>
        <v/>
      </c>
      <c r="F66" s="92">
        <f>'مشروع 50'!$B$9</f>
        <v/>
      </c>
      <c r="G66" s="92">
        <f>'مشروع 50'!$F$9</f>
        <v/>
      </c>
      <c r="H66" s="92">
        <f>'مشروع 50'!$J$9</f>
        <v/>
      </c>
      <c r="I66" s="92">
        <f>'مشروع 50'!$N$9</f>
        <v/>
      </c>
      <c r="J66" s="93">
        <f>'مشروع 50'!$B$12</f>
        <v/>
      </c>
      <c r="K66" s="94">
        <f>'مشروع 50'!$F$12</f>
        <v/>
      </c>
      <c r="L66" s="94">
        <f>J66-K66</f>
        <v/>
      </c>
      <c r="M66" s="95">
        <f>'مشروع 50'!$R$12</f>
        <v/>
      </c>
      <c r="N66" s="96">
        <f>'مشروع 50'!$V$9</f>
        <v/>
      </c>
      <c r="O66" s="97">
        <f>'مشروع 50'!$B$15</f>
        <v/>
      </c>
      <c r="P66" s="92">
        <f>'مشروع 50'!$F$15</f>
        <v/>
      </c>
      <c r="Q66" s="92">
        <f>'مشروع 50'!$J$15</f>
        <v/>
      </c>
      <c r="R66" s="94">
        <f>IF(O66&gt;0,P66/O66,0)</f>
        <v/>
      </c>
      <c r="S66" s="92">
        <f>'مشروع 50'!$B$18</f>
        <v/>
      </c>
      <c r="T66" s="92">
        <f>'مشروع 50'!$F$18</f>
        <v/>
      </c>
      <c r="U66" s="92">
        <f>'مشروع 50'!$J$18</f>
        <v/>
      </c>
      <c r="V66" s="92">
        <f>'مشروع 50'!$N$18</f>
        <v/>
      </c>
      <c r="W66" s="90">
        <f>'مشروع 50'!$V$12</f>
        <v/>
      </c>
      <c r="X66" s="91">
        <f>'مشروع 50'!$AA$25</f>
        <v/>
      </c>
      <c r="Y66" s="92">
        <f>'مشروع 50'!$B$21</f>
        <v/>
      </c>
      <c r="Z66" s="92">
        <f>'مشروع 50'!$F$21</f>
        <v/>
      </c>
      <c r="AA66" s="92">
        <f>'مشروع 50'!$J$21</f>
        <v/>
      </c>
      <c r="AB66" s="94">
        <f>'مشروع 50'!$N$21</f>
        <v/>
      </c>
      <c r="AC66" s="95">
        <f>'مشروع 50'!$R$21</f>
        <v/>
      </c>
      <c r="AD66" s="92">
        <f>'مشروع 50'!$V$21</f>
        <v/>
      </c>
    </row>
    <row r="67" ht="26" customHeight="1">
      <c r="B67" s="64" t="inlineStr">
        <is>
          <t>الإجمالي</t>
        </is>
      </c>
      <c r="C67" s="64" t="n"/>
      <c r="D67" s="64" t="n"/>
      <c r="E67" s="64" t="n"/>
      <c r="F67" s="98">
        <f>SUM(F17:F66)</f>
        <v/>
      </c>
      <c r="G67" s="98">
        <f>SUM(G17:G66)</f>
        <v/>
      </c>
      <c r="H67" s="98">
        <f>SUM(H17:H66)</f>
        <v/>
      </c>
      <c r="I67" s="98">
        <f>SUM(I17:I66)</f>
        <v/>
      </c>
      <c r="J67" s="67">
        <f>IF(H67&gt;0,SUMPRODUCT(J17:J66,H17:H66)/H67,0)</f>
        <v/>
      </c>
      <c r="K67" s="67">
        <f>IF(H67&gt;0,SUMPRODUCT(K17:K66,H17:H66)/H67,0)</f>
        <v/>
      </c>
      <c r="L67" s="67">
        <f>J67-K67</f>
        <v/>
      </c>
      <c r="M67" s="99">
        <f>IF(K67&gt;0,J67/K67,0)</f>
        <v/>
      </c>
      <c r="N67" s="68" t="n"/>
      <c r="O67" s="98">
        <f>SUM(O17:O66)</f>
        <v/>
      </c>
      <c r="P67" s="98">
        <f>SUM(P17:P66)</f>
        <v/>
      </c>
      <c r="Q67" s="98">
        <f>SUM(Q17:Q66)</f>
        <v/>
      </c>
      <c r="R67" s="67">
        <f>IF(O67&gt;0,P67/O67,0)</f>
        <v/>
      </c>
      <c r="S67" s="98">
        <f>SUM(S17:S66)</f>
        <v/>
      </c>
      <c r="T67" s="98">
        <f>SUM(T17:T66)</f>
        <v/>
      </c>
      <c r="U67" s="98">
        <f>SUM(U17:U66)</f>
        <v/>
      </c>
      <c r="V67" s="98">
        <f>SUM(V17:V66)</f>
        <v/>
      </c>
      <c r="W67" s="64" t="n"/>
      <c r="X67" s="64" t="n"/>
      <c r="Y67" s="98">
        <f>SUM(Y17:Y66)</f>
        <v/>
      </c>
      <c r="Z67" s="98">
        <f>SUM(Z17:Z66)</f>
        <v/>
      </c>
      <c r="AA67" s="98">
        <f>SUM(AA17:AA66)</f>
        <v/>
      </c>
      <c r="AB67" s="67">
        <f>IF(I67&gt;0,AA67/I67,0)</f>
        <v/>
      </c>
      <c r="AC67" s="99">
        <f>IF(Z67&gt;0,SUMPRODUCT(Y17:Y66,J17:J66)/Z67,0)</f>
        <v/>
      </c>
      <c r="AD67" s="98">
        <f>SUM(AD17:AD66)</f>
        <v/>
      </c>
    </row>
  </sheetData>
  <mergeCells count="46">
    <mergeCell ref="B11:D11"/>
    <mergeCell ref="Q5:S5"/>
    <mergeCell ref="B8:D8"/>
    <mergeCell ref="N5:P5"/>
    <mergeCell ref="T5:X5"/>
    <mergeCell ref="E9:G9"/>
    <mergeCell ref="N8:P8"/>
    <mergeCell ref="K12:M12"/>
    <mergeCell ref="H11:J11"/>
    <mergeCell ref="E6:G6"/>
    <mergeCell ref="Q6:S6"/>
    <mergeCell ref="K8:M8"/>
    <mergeCell ref="E11:G11"/>
    <mergeCell ref="Q9:S9"/>
    <mergeCell ref="B9:D9"/>
    <mergeCell ref="N9:P9"/>
    <mergeCell ref="H12:J12"/>
    <mergeCell ref="B2:AD2"/>
    <mergeCell ref="B6:D6"/>
    <mergeCell ref="T9:X9"/>
    <mergeCell ref="N6:P6"/>
    <mergeCell ref="Q11:S11"/>
    <mergeCell ref="B5:D5"/>
    <mergeCell ref="T12:X12"/>
    <mergeCell ref="B1:AD1"/>
    <mergeCell ref="K6:M6"/>
    <mergeCell ref="H5:J5"/>
    <mergeCell ref="T11:X11"/>
    <mergeCell ref="H8:J8"/>
    <mergeCell ref="E12:G12"/>
    <mergeCell ref="T8:X8"/>
    <mergeCell ref="Q12:S12"/>
    <mergeCell ref="B67:E67"/>
    <mergeCell ref="N11:P11"/>
    <mergeCell ref="T6:X6"/>
    <mergeCell ref="E5:G5"/>
    <mergeCell ref="K5:M5"/>
    <mergeCell ref="K9:M9"/>
    <mergeCell ref="E8:G8"/>
    <mergeCell ref="H9:J9"/>
    <mergeCell ref="B15:AD15"/>
    <mergeCell ref="Q8:S8"/>
    <mergeCell ref="B12:D12"/>
    <mergeCell ref="N12:P12"/>
    <mergeCell ref="K11:M11"/>
    <mergeCell ref="H6:J6"/>
  </mergeCells>
  <conditionalFormatting sqref="L17:L66">
    <cfRule type="cellIs" priority="1" operator="lessThan" dxfId="0">
      <formula>-0.0001</formula>
    </cfRule>
  </conditionalFormatting>
  <conditionalFormatting sqref="J17:J66">
    <cfRule type="dataBar" priority="2">
      <dataBar>
        <cfvo type="num" val="0"/>
        <cfvo type="num" val="1"/>
        <color rgb="0063BE7B"/>
      </dataBar>
    </cfRule>
  </conditionalFormatting>
  <conditionalFormatting sqref="R17:R66">
    <cfRule type="dataBar" priority="3">
      <dataBar>
        <cfvo type="num" val="0"/>
        <cfvo type="num" val="1"/>
        <color rgb="005B9BD5"/>
      </dataBar>
    </cfRule>
  </conditionalFormatting>
  <conditionalFormatting sqref="W17:W66">
    <cfRule type="expression" priority="4" dxfId="0">
      <formula>ISNUMBER(SEARCH("متأخر",W17))</formula>
    </cfRule>
    <cfRule type="expression" priority="5" dxfId="2">
      <formula>ISNUMBER(SEARCH("✔",W17))</formula>
    </cfRule>
  </conditionalFormatting>
  <conditionalFormatting sqref="B17:AD66">
    <cfRule type="expression" priority="6" dxfId="5">
      <formula>$W17="غير مُفعّل"</formula>
    </cfRule>
  </conditionalFormatting>
  <conditionalFormatting sqref="AC17:AC66">
    <cfRule type="expression" priority="7" dxfId="0">
      <formula>AND(Z17&gt;0,AC17&lt;0.95)</formula>
    </cfRule>
  </conditionalFormatting>
  <conditionalFormatting sqref="AA17:AA66">
    <cfRule type="cellIs" priority="8" operator="lessThan" dxfId="1">
      <formula>0</formula>
    </cfRule>
  </conditionalFormatting>
  <conditionalFormatting sqref="AD17:AD66">
    <cfRule type="cellIs" priority="9" operator="lessThan" dxfId="1">
      <formula>0</formula>
    </cfRule>
  </conditionalFormatting>
  <hyperlinks>
    <hyperlink ref="B3" location="'الإجمالي العام'!A1" display="🏠 الإجمالي العام"/>
    <hyperlink ref="C3" location="'مشروع 01'!A1" display="📊 أول مشروع"/>
    <hyperlink ref="C17" location="'مشروع 01'!A1" display="مشروع 01"/>
    <hyperlink ref="C18" location="'مشروع 02'!A1" display="مشروع 02"/>
    <hyperlink ref="C19" location="'مشروع 03'!A1" display="مشروع 03"/>
    <hyperlink ref="C20" location="'مشروع 04'!A1" display="مشروع 04"/>
    <hyperlink ref="C21" location="'مشروع 05'!A1" display="مشروع 05"/>
    <hyperlink ref="C22" location="'مشروع 06'!A1" display="مشروع 06"/>
    <hyperlink ref="C23" location="'مشروع 07'!A1" display="مشروع 07"/>
    <hyperlink ref="C24" location="'مشروع 08'!A1" display="مشروع 08"/>
    <hyperlink ref="C25" location="'مشروع 09'!A1" display="مشروع 09"/>
    <hyperlink ref="C26" location="'مشروع 10'!A1" display="مشروع 10"/>
    <hyperlink ref="C27" location="'مشروع 11'!A1" display="مشروع 11"/>
    <hyperlink ref="C28" location="'مشروع 12'!A1" display="مشروع 12"/>
    <hyperlink ref="C29" location="'مشروع 13'!A1" display="مشروع 13"/>
    <hyperlink ref="C30" location="'مشروع 14'!A1" display="مشروع 14"/>
    <hyperlink ref="C31" location="'مشروع 15'!A1" display="مشروع 15"/>
    <hyperlink ref="C32" location="'مشروع 16'!A1" display="مشروع 16"/>
    <hyperlink ref="C33" location="'مشروع 17'!A1" display="مشروع 17"/>
    <hyperlink ref="C34" location="'مشروع 18'!A1" display="مشروع 18"/>
    <hyperlink ref="C35" location="'مشروع 19'!A1" display="مشروع 19"/>
    <hyperlink ref="C36" location="'مشروع 20'!A1" display="مشروع 20"/>
    <hyperlink ref="C37" location="'مشروع 21'!A1" display="مشروع 21"/>
    <hyperlink ref="C38" location="'مشروع 22'!A1" display="مشروع 22"/>
    <hyperlink ref="C39" location="'مشروع 23'!A1" display="مشروع 23"/>
    <hyperlink ref="C40" location="'مشروع 24'!A1" display="مشروع 24"/>
    <hyperlink ref="C41" location="'مشروع 25'!A1" display="مشروع 25"/>
    <hyperlink ref="C42" location="'مشروع 26'!A1" display="مشروع 26"/>
    <hyperlink ref="C43" location="'مشروع 27'!A1" display="مشروع 27"/>
    <hyperlink ref="C44" location="'مشروع 28'!A1" display="مشروع 28"/>
    <hyperlink ref="C45" location="'مشروع 29'!A1" display="مشروع 29"/>
    <hyperlink ref="C46" location="'مشروع 30'!A1" display="مشروع 30"/>
    <hyperlink ref="C47" location="'مشروع 31'!A1" display="مشروع 31"/>
    <hyperlink ref="C48" location="'مشروع 32'!A1" display="مشروع 32"/>
    <hyperlink ref="C49" location="'مشروع 33'!A1" display="مشروع 33"/>
    <hyperlink ref="C50" location="'مشروع 34'!A1" display="مشروع 34"/>
    <hyperlink ref="C51" location="'مشروع 35'!A1" display="مشروع 35"/>
    <hyperlink ref="C52" location="'مشروع 36'!A1" display="مشروع 36"/>
    <hyperlink ref="C53" location="'مشروع 37'!A1" display="مشروع 37"/>
    <hyperlink ref="C54" location="'مشروع 38'!A1" display="مشروع 38"/>
    <hyperlink ref="C55" location="'مشروع 39'!A1" display="مشروع 39"/>
    <hyperlink ref="C56" location="'مشروع 40'!A1" display="مشروع 40"/>
    <hyperlink ref="C57" location="'مشروع 41'!A1" display="مشروع 41"/>
    <hyperlink ref="C58" location="'مشروع 42'!A1" display="مشروع 42"/>
    <hyperlink ref="C59" location="'مشروع 43'!A1" display="مشروع 43"/>
    <hyperlink ref="C60" location="'مشروع 44'!A1" display="مشروع 44"/>
    <hyperlink ref="C61" location="'مشروع 45'!A1" display="مشروع 45"/>
    <hyperlink ref="C62" location="'مشروع 46'!A1" display="مشروع 46"/>
    <hyperlink ref="C63" location="'مشروع 47'!A1" display="مشروع 47"/>
    <hyperlink ref="C64" location="'مشروع 48'!A1" display="مشروع 48"/>
    <hyperlink ref="C65" location="'مشروع 49'!A1" display="مشروع 49"/>
    <hyperlink ref="C66" location="'مشروع 50'!A1" display="مشروع 5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2026-10-01T21:16:15Z</dcterms:created>
  <dcterms:modified xsi:type="dcterms:W3CDTF">2026-10-01T21:16:21Z</dcterms:modified>
</cp:coreProperties>
</file>