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yyyy/mm/dd"/>
    <numFmt numFmtId="166" formatCode="#,##0.00;[Red](#,##0.00);&quot;-&quot;"/>
    <numFmt numFmtId="167" formatCode="0.0%;[Red]-0.0%;&quot;-&quot;"/>
    <numFmt numFmtId="168" formatCode="#,##0.00;[Red]-#,##0.00;;@"/>
    <numFmt numFmtId="169" formatCode="0.00%;-0.00%;;@"/>
    <numFmt numFmtId="170" formatCode="&quot;مستخلص رقم &quot;0"/>
    <numFmt numFmtId="171" formatCode="B2yyyy/mm/dd"/>
    <numFmt numFmtId="172" formatCode="0.0%;[Red]-0.0%;;@"/>
    <numFmt numFmtId="173" formatCode="&quot;مستخلص &quot;0"/>
    <numFmt numFmtId="174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5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6" fontId="7" fillId="8" borderId="2" applyAlignment="1" pivotButton="0" quotePrefix="0" xfId="0">
      <alignment horizontal="center" vertical="center" readingOrder="2"/>
    </xf>
    <xf numFmtId="166" fontId="4" fillId="8" borderId="2" applyAlignment="1" pivotButton="0" quotePrefix="0" xfId="0">
      <alignment horizontal="center" vertical="center" readingOrder="2"/>
    </xf>
    <xf numFmtId="167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8" fontId="5" fillId="7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169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6" fontId="5" fillId="7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6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6" fontId="4" fillId="0" borderId="2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3" fontId="12" fillId="6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6" fontId="4" fillId="9" borderId="2" applyAlignment="1" pivotButton="0" quotePrefix="0" xfId="0">
      <alignment horizontal="center" vertical="center" readingOrder="2"/>
    </xf>
    <xf numFmtId="174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74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7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70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7" fontId="15" fillId="0" borderId="2" applyAlignment="1" pivotButton="0" quotePrefix="0" xfId="0">
      <alignment horizontal="center" vertical="center" readingOrder="2"/>
    </xf>
    <xf numFmtId="167" fontId="16" fillId="7" borderId="2" applyAlignment="1" pivotButton="0" quotePrefix="0" xfId="0">
      <alignment horizontal="center" vertical="center" readingOrder="2"/>
    </xf>
    <xf numFmtId="166" fontId="7" fillId="0" borderId="2" applyAlignment="1" pivotButton="0" quotePrefix="0" xfId="0">
      <alignment horizontal="center" vertical="center" readingOrder="2"/>
    </xf>
    <xf numFmtId="171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6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6" fontId="17" fillId="0" borderId="2" applyAlignment="1" pivotButton="0" quotePrefix="0" xfId="0">
      <alignment horizontal="center" vertical="center" readingOrder="2"/>
    </xf>
    <xf numFmtId="166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6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6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6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8" fontId="27" fillId="0" borderId="2" applyAlignment="1" pivotButton="0" quotePrefix="0" xfId="0">
      <alignment horizontal="center" vertical="center" readingOrder="2"/>
    </xf>
    <xf numFmtId="168" fontId="11" fillId="0" borderId="2" applyAlignment="1" pivotButton="0" quotePrefix="0" xfId="0">
      <alignment horizontal="center" vertical="center" readingOrder="2"/>
    </xf>
    <xf numFmtId="168" fontId="28" fillId="0" borderId="2" applyAlignment="1" pivotButton="0" quotePrefix="0" xfId="0">
      <alignment horizontal="center" vertical="center" readingOrder="2"/>
    </xf>
    <xf numFmtId="172" fontId="28" fillId="0" borderId="2" applyAlignment="1" pivotButton="0" quotePrefix="0" xfId="0">
      <alignment horizontal="center" vertical="center" readingOrder="2"/>
    </xf>
    <xf numFmtId="168" fontId="29" fillId="9" borderId="2" applyAlignment="1" pivotButton="0" quotePrefix="0" xfId="0">
      <alignment horizontal="center" vertical="center" readingOrder="2"/>
    </xf>
    <xf numFmtId="166" fontId="11" fillId="0" borderId="2" applyAlignment="1" pivotButton="0" quotePrefix="0" xfId="0">
      <alignment horizontal="center" vertical="center" readingOrder="2"/>
    </xf>
    <xf numFmtId="166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03 — 20 مستخلص مترابط</t>
        </is>
      </c>
      <c r="C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«IPC_Project_03.xlsx» داخل فولدر «Project_03»،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03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inlineStr">
        <is>
          <t>مشروع مجمع فلل سكنية 12 فيلا - الدمام</t>
        </is>
      </c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inlineStr">
        <is>
          <t>CT-2026-033</t>
        </is>
      </c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inlineStr">
        <is>
          <t>شركة الواحة للاستثمار العقاري</t>
        </is>
      </c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inlineStr">
        <is>
          <t>دار الخبرة للاستشارات الهندسية</t>
        </is>
      </c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inlineStr">
        <is>
          <t>شركة البناء الحديث للمقاولات</t>
        </is>
      </c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>
        <v>46160</v>
      </c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>
        <v>46174</v>
      </c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>
        <v>12</v>
      </c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>
        <v>46183</v>
      </c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inlineStr">
        <is>
          <t>خاص - عقد مقاولة</t>
        </is>
      </c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inlineStr">
        <is>
          <t>310123456700003</t>
        </is>
      </c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inlineStr">
        <is>
          <t>1010123456</t>
        </is>
      </c>
      <c r="D38" s="20" t="inlineStr"/>
    </row>
    <row r="39">
      <c r="B39" s="18" t="inlineStr">
        <is>
          <t>الرقم الضريبي لصاحب العمل</t>
        </is>
      </c>
      <c r="C39" s="30" t="inlineStr">
        <is>
          <t>300111222300003</t>
        </is>
      </c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>
        <v>46905</v>
      </c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>
        <v>46538</v>
      </c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inlineStr">
        <is>
          <t>01-001</t>
        </is>
      </c>
      <c r="C6" s="22" t="inlineStr">
        <is>
          <t>أعمال الحفر والردم</t>
        </is>
      </c>
      <c r="D6" s="34" t="inlineStr">
        <is>
          <t>حفر عام للأساسات حتى المنسوب التصميمي مع نقل الناتج خارج الموقع</t>
        </is>
      </c>
      <c r="E6" s="19" t="inlineStr">
        <is>
          <t>م3</t>
        </is>
      </c>
      <c r="F6" s="35" t="n">
        <v>1575</v>
      </c>
      <c r="G6" s="35" t="n">
        <v>25</v>
      </c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inlineStr">
        <is>
          <t>01-002</t>
        </is>
      </c>
      <c r="C7" s="22" t="inlineStr">
        <is>
          <t>أعمال الحفر والردم</t>
        </is>
      </c>
      <c r="D7" s="34" t="inlineStr">
        <is>
          <t>ردم بالتربة المختارة على طبقات مع الدمك حتى 95% بروكتور معدل</t>
        </is>
      </c>
      <c r="E7" s="19" t="inlineStr">
        <is>
          <t>م3</t>
        </is>
      </c>
      <c r="F7" s="35" t="n">
        <v>770</v>
      </c>
      <c r="G7" s="35" t="n">
        <v>18</v>
      </c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inlineStr">
        <is>
          <t>01-003</t>
        </is>
      </c>
      <c r="C8" s="22" t="inlineStr">
        <is>
          <t>أعمال الحفر والردم</t>
        </is>
      </c>
      <c r="D8" s="34" t="inlineStr">
        <is>
          <t>إحلال تربة بمواد مختارة (Sub-base) مع الدمك والاختبارات</t>
        </is>
      </c>
      <c r="E8" s="19" t="inlineStr">
        <is>
          <t>م3</t>
        </is>
      </c>
      <c r="F8" s="35" t="n">
        <v>630</v>
      </c>
      <c r="G8" s="35" t="n">
        <v>75</v>
      </c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inlineStr">
        <is>
          <t>02-001</t>
        </is>
      </c>
      <c r="C9" s="22" t="inlineStr">
        <is>
          <t>الخرسانة العادية والمسلحة</t>
        </is>
      </c>
      <c r="D9" s="34" t="inlineStr">
        <is>
          <t>خرسانة عادية للنظافة قوة 20 ميجا باسكال</t>
        </is>
      </c>
      <c r="E9" s="19" t="inlineStr">
        <is>
          <t>م3</t>
        </is>
      </c>
      <c r="F9" s="35" t="n">
        <v>133</v>
      </c>
      <c r="G9" s="35" t="n">
        <v>380</v>
      </c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inlineStr">
        <is>
          <t>02-002</t>
        </is>
      </c>
      <c r="C10" s="22" t="inlineStr">
        <is>
          <t>الخرسانة العادية والمسلحة</t>
        </is>
      </c>
      <c r="D10" s="34" t="inlineStr">
        <is>
          <t>خرسانة مسلحة للقواعد والميد قوة 35 ميجا باسكال (بدون حديد)</t>
        </is>
      </c>
      <c r="E10" s="19" t="inlineStr">
        <is>
          <t>م3</t>
        </is>
      </c>
      <c r="F10" s="35" t="n">
        <v>332</v>
      </c>
      <c r="G10" s="35" t="n">
        <v>950</v>
      </c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inlineStr">
        <is>
          <t>02-003</t>
        </is>
      </c>
      <c r="C11" s="22" t="inlineStr">
        <is>
          <t>الخرسانة العادية والمسلحة</t>
        </is>
      </c>
      <c r="D11" s="34" t="inlineStr">
        <is>
          <t>خرسانة مسلحة للأعمدة والجدران الخرسانية قوة 35 ميجا باسكال</t>
        </is>
      </c>
      <c r="E11" s="19" t="inlineStr">
        <is>
          <t>م3</t>
        </is>
      </c>
      <c r="F11" s="35" t="n">
        <v>147</v>
      </c>
      <c r="G11" s="35" t="n">
        <v>1150</v>
      </c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inlineStr">
        <is>
          <t>02-004</t>
        </is>
      </c>
      <c r="C12" s="22" t="inlineStr">
        <is>
          <t>الخرسانة العادية والمسلحة</t>
        </is>
      </c>
      <c r="D12" s="34" t="inlineStr">
        <is>
          <t>خرسانة مسلحة للأسقف والكمرات والدرج قوة 35 ميجا باسكال</t>
        </is>
      </c>
      <c r="E12" s="19" t="inlineStr">
        <is>
          <t>م3</t>
        </is>
      </c>
      <c r="F12" s="35" t="n">
        <v>578</v>
      </c>
      <c r="G12" s="35" t="n">
        <v>1050</v>
      </c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inlineStr">
        <is>
          <t>02-005</t>
        </is>
      </c>
      <c r="C13" s="22" t="inlineStr">
        <is>
          <t>الخرسانة العادية والمسلحة</t>
        </is>
      </c>
      <c r="D13" s="34" t="inlineStr">
        <is>
          <t>توريد وتركيب حديد تسليح عالي المقاومة (مطابق للمواصفات السعودية)</t>
        </is>
      </c>
      <c r="E13" s="19" t="inlineStr">
        <is>
          <t>طن</t>
        </is>
      </c>
      <c r="F13" s="35" t="n">
        <v>168</v>
      </c>
      <c r="G13" s="35" t="n">
        <v>3400</v>
      </c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inlineStr">
        <is>
          <t>03-001</t>
        </is>
      </c>
      <c r="C14" s="22" t="inlineStr">
        <is>
          <t>أعمال المباني</t>
        </is>
      </c>
      <c r="D14" s="34" t="inlineStr">
        <is>
          <t>مباني بلوك أسمنتي مصمت سماكة 20 سم</t>
        </is>
      </c>
      <c r="E14" s="19" t="inlineStr">
        <is>
          <t>م2</t>
        </is>
      </c>
      <c r="F14" s="35" t="n">
        <v>2730</v>
      </c>
      <c r="G14" s="35" t="n">
        <v>75</v>
      </c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inlineStr">
        <is>
          <t>03-002</t>
        </is>
      </c>
      <c r="C15" s="22" t="inlineStr">
        <is>
          <t>أعمال المباني</t>
        </is>
      </c>
      <c r="D15" s="34" t="inlineStr">
        <is>
          <t>مباني بلوك أسمنتي سماكة 15 سم للقواطع</t>
        </is>
      </c>
      <c r="E15" s="19" t="inlineStr">
        <is>
          <t>م2</t>
        </is>
      </c>
      <c r="F15" s="35" t="n">
        <v>1260</v>
      </c>
      <c r="G15" s="35" t="n">
        <v>60</v>
      </c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inlineStr">
        <is>
          <t>04-001</t>
        </is>
      </c>
      <c r="C16" s="22" t="inlineStr">
        <is>
          <t>أعمال العزل</t>
        </is>
      </c>
      <c r="D16" s="34" t="inlineStr">
        <is>
          <t>عزل مائي للأساسات بالبيتومين على وجهين</t>
        </is>
      </c>
      <c r="E16" s="19" t="inlineStr">
        <is>
          <t>م2</t>
        </is>
      </c>
      <c r="F16" s="35" t="n">
        <v>840</v>
      </c>
      <c r="G16" s="35" t="n">
        <v>30</v>
      </c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inlineStr">
        <is>
          <t>04-002</t>
        </is>
      </c>
      <c r="C17" s="22" t="inlineStr">
        <is>
          <t>أعمال العزل</t>
        </is>
      </c>
      <c r="D17" s="34" t="inlineStr">
        <is>
          <t>عزل مائي وحراري للأسطح بالممبرين والبوليسترين</t>
        </is>
      </c>
      <c r="E17" s="19" t="inlineStr">
        <is>
          <t>م2</t>
        </is>
      </c>
      <c r="F17" s="35" t="n">
        <v>665</v>
      </c>
      <c r="G17" s="35" t="n">
        <v>120</v>
      </c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inlineStr">
        <is>
          <t>05-001</t>
        </is>
      </c>
      <c r="C18" s="22" t="inlineStr">
        <is>
          <t>أعمال التشطيبات</t>
        </is>
      </c>
      <c r="D18" s="34" t="inlineStr">
        <is>
          <t>لياسة داخلية للجدران والأسقف</t>
        </is>
      </c>
      <c r="E18" s="19" t="inlineStr">
        <is>
          <t>م2</t>
        </is>
      </c>
      <c r="F18" s="35" t="n">
        <v>7350</v>
      </c>
      <c r="G18" s="35" t="n">
        <v>32</v>
      </c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inlineStr">
        <is>
          <t>05-002</t>
        </is>
      </c>
      <c r="C19" s="22" t="inlineStr">
        <is>
          <t>أعمال التشطيبات</t>
        </is>
      </c>
      <c r="D19" s="34" t="inlineStr">
        <is>
          <t>لياسة خارجية للواجهات</t>
        </is>
      </c>
      <c r="E19" s="19" t="inlineStr">
        <is>
          <t>م2</t>
        </is>
      </c>
      <c r="F19" s="35" t="n">
        <v>2275</v>
      </c>
      <c r="G19" s="35" t="n">
        <v>40</v>
      </c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inlineStr">
        <is>
          <t>05-003</t>
        </is>
      </c>
      <c r="C20" s="22" t="inlineStr">
        <is>
          <t>أعمال التشطيبات</t>
        </is>
      </c>
      <c r="D20" s="34" t="inlineStr">
        <is>
          <t>توريد وتركيب بلاط بورسلين 60×60 درجة أولى</t>
        </is>
      </c>
      <c r="E20" s="19" t="inlineStr">
        <is>
          <t>م2</t>
        </is>
      </c>
      <c r="F20" s="35" t="n">
        <v>2520</v>
      </c>
      <c r="G20" s="35" t="n">
        <v>140</v>
      </c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inlineStr">
        <is>
          <t>05-004</t>
        </is>
      </c>
      <c r="C21" s="22" t="inlineStr">
        <is>
          <t>أعمال التشطيبات</t>
        </is>
      </c>
      <c r="D21" s="34" t="inlineStr">
        <is>
          <t>دهانات داخلية (أساس + وجهين)</t>
        </is>
      </c>
      <c r="E21" s="19" t="inlineStr">
        <is>
          <t>م2</t>
        </is>
      </c>
      <c r="F21" s="35" t="n">
        <v>7350</v>
      </c>
      <c r="G21" s="35" t="n">
        <v>28</v>
      </c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inlineStr">
        <is>
          <t>05-005</t>
        </is>
      </c>
      <c r="C22" s="22" t="inlineStr">
        <is>
          <t>أعمال التشطيبات</t>
        </is>
      </c>
      <c r="D22" s="34" t="inlineStr">
        <is>
          <t>تكسيات واجهات حجر طبيعي سماكة 3 سم</t>
        </is>
      </c>
      <c r="E22" s="19" t="inlineStr">
        <is>
          <t>م2</t>
        </is>
      </c>
      <c r="F22" s="35" t="n">
        <v>980</v>
      </c>
      <c r="G22" s="35" t="n">
        <v>260</v>
      </c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inlineStr">
        <is>
          <t>05-006</t>
        </is>
      </c>
      <c r="C23" s="22" t="inlineStr">
        <is>
          <t>أعمال التشطيبات</t>
        </is>
      </c>
      <c r="D23" s="34" t="inlineStr">
        <is>
          <t>توريد وتركيب أبواب خشبية داخلية كاملة</t>
        </is>
      </c>
      <c r="E23" s="19" t="inlineStr">
        <is>
          <t>عدد</t>
        </is>
      </c>
      <c r="F23" s="35" t="n">
        <v>56</v>
      </c>
      <c r="G23" s="35" t="n">
        <v>1800</v>
      </c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inlineStr">
        <is>
          <t>05-007</t>
        </is>
      </c>
      <c r="C24" s="22" t="inlineStr">
        <is>
          <t>أعمال التشطيبات</t>
        </is>
      </c>
      <c r="D24" s="34" t="inlineStr">
        <is>
          <t>توريد وتركيب نوافذ ألمنيوم مع زجاج مزدوج</t>
        </is>
      </c>
      <c r="E24" s="19" t="inlineStr">
        <is>
          <t>م2</t>
        </is>
      </c>
      <c r="F24" s="35" t="n">
        <v>332</v>
      </c>
      <c r="G24" s="35" t="n">
        <v>650</v>
      </c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inlineStr">
        <is>
          <t>06-001</t>
        </is>
      </c>
      <c r="C25" s="22" t="inlineStr">
        <is>
          <t>الأعمال الكهربائية</t>
        </is>
      </c>
      <c r="D25" s="34" t="inlineStr">
        <is>
          <t>تأسيس نقاط إنارة وأفياش بالمواسير والأسلاك</t>
        </is>
      </c>
      <c r="E25" s="19" t="inlineStr">
        <is>
          <t>نقطة</t>
        </is>
      </c>
      <c r="F25" s="35" t="n">
        <v>1120</v>
      </c>
      <c r="G25" s="35" t="n">
        <v>120</v>
      </c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inlineStr">
        <is>
          <t>06-002</t>
        </is>
      </c>
      <c r="C26" s="22" t="inlineStr">
        <is>
          <t>الأعمال الكهربائية</t>
        </is>
      </c>
      <c r="D26" s="34" t="inlineStr">
        <is>
          <t>توريد وتركيب لوحات توزيع فرعية</t>
        </is>
      </c>
      <c r="E26" s="19" t="inlineStr">
        <is>
          <t>عدد</t>
        </is>
      </c>
      <c r="F26" s="35" t="n">
        <v>8</v>
      </c>
      <c r="G26" s="35" t="n">
        <v>6500</v>
      </c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inlineStr">
        <is>
          <t>06-003</t>
        </is>
      </c>
      <c r="C27" s="22" t="inlineStr">
        <is>
          <t>الأعمال الكهربائية</t>
        </is>
      </c>
      <c r="D27" s="34" t="inlineStr">
        <is>
          <t>كابلات تغذية رئيسية نحاس معزولة</t>
        </is>
      </c>
      <c r="E27" s="19" t="inlineStr">
        <is>
          <t>م.ط</t>
        </is>
      </c>
      <c r="F27" s="35" t="n">
        <v>630</v>
      </c>
      <c r="G27" s="35" t="n">
        <v>160</v>
      </c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inlineStr">
        <is>
          <t>06-004</t>
        </is>
      </c>
      <c r="C28" s="22" t="inlineStr">
        <is>
          <t>الأعمال الكهربائية</t>
        </is>
      </c>
      <c r="D28" s="34" t="inlineStr">
        <is>
          <t>توريد وتركيب وحدات إنارة LED</t>
        </is>
      </c>
      <c r="E28" s="19" t="inlineStr">
        <is>
          <t>عدد</t>
        </is>
      </c>
      <c r="F28" s="35" t="n">
        <v>490</v>
      </c>
      <c r="G28" s="35" t="n">
        <v>280</v>
      </c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inlineStr">
        <is>
          <t>07-001</t>
        </is>
      </c>
      <c r="C29" s="22" t="inlineStr">
        <is>
          <t>الأعمال الصحية</t>
        </is>
      </c>
      <c r="D29" s="34" t="inlineStr">
        <is>
          <t>تمديدات تغذية مياه بمواسير PPR</t>
        </is>
      </c>
      <c r="E29" s="19" t="inlineStr">
        <is>
          <t>نقطة</t>
        </is>
      </c>
      <c r="F29" s="35" t="n">
        <v>147</v>
      </c>
      <c r="G29" s="35" t="n">
        <v>350</v>
      </c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inlineStr">
        <is>
          <t>07-002</t>
        </is>
      </c>
      <c r="C30" s="22" t="inlineStr">
        <is>
          <t>الأعمال الصحية</t>
        </is>
      </c>
      <c r="D30" s="34" t="inlineStr">
        <is>
          <t>تمديدات صرف صحي بمواسير UPVC</t>
        </is>
      </c>
      <c r="E30" s="19" t="inlineStr">
        <is>
          <t>نقطة</t>
        </is>
      </c>
      <c r="F30" s="35" t="n">
        <v>133</v>
      </c>
      <c r="G30" s="35" t="n">
        <v>300</v>
      </c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inlineStr">
        <is>
          <t>07-003</t>
        </is>
      </c>
      <c r="C31" s="22" t="inlineStr">
        <is>
          <t>الأعمال الصحية</t>
        </is>
      </c>
      <c r="D31" s="34" t="inlineStr">
        <is>
          <t>توريد وتركيب أطقم صحية كاملة</t>
        </is>
      </c>
      <c r="E31" s="19" t="inlineStr">
        <is>
          <t>طقم</t>
        </is>
      </c>
      <c r="F31" s="35" t="n">
        <v>34</v>
      </c>
      <c r="G31" s="35" t="n">
        <v>2800</v>
      </c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inlineStr">
        <is>
          <t>08-001</t>
        </is>
      </c>
      <c r="C32" s="22" t="inlineStr">
        <is>
          <t>أعمال التكييف</t>
        </is>
      </c>
      <c r="D32" s="34" t="inlineStr">
        <is>
          <t>توريد وتركيب وحدات تكييف سبليت</t>
        </is>
      </c>
      <c r="E32" s="19" t="inlineStr">
        <is>
          <t>عدد</t>
        </is>
      </c>
      <c r="F32" s="35" t="n">
        <v>42</v>
      </c>
      <c r="G32" s="35" t="n">
        <v>4200</v>
      </c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inlineStr">
        <is>
          <t>08-002</t>
        </is>
      </c>
      <c r="C33" s="22" t="inlineStr">
        <is>
          <t>أعمال التكييف</t>
        </is>
      </c>
      <c r="D33" s="34" t="inlineStr">
        <is>
          <t>مجاري هواء صاج مجلفن معزولة</t>
        </is>
      </c>
      <c r="E33" s="19" t="inlineStr">
        <is>
          <t>م2</t>
        </is>
      </c>
      <c r="F33" s="35" t="n">
        <v>910</v>
      </c>
      <c r="G33" s="35" t="n">
        <v>220</v>
      </c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inlineStr">
        <is>
          <t>09-001</t>
        </is>
      </c>
      <c r="C34" s="22" t="inlineStr">
        <is>
          <t>أعمال الموقع العام</t>
        </is>
      </c>
      <c r="D34" s="34" t="inlineStr">
        <is>
          <t>بردورات وأرصفة خرسانية</t>
        </is>
      </c>
      <c r="E34" s="19" t="inlineStr">
        <is>
          <t>م.ط</t>
        </is>
      </c>
      <c r="F34" s="35" t="n">
        <v>420</v>
      </c>
      <c r="G34" s="35" t="n">
        <v>85</v>
      </c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inlineStr">
        <is>
          <t>09-002</t>
        </is>
      </c>
      <c r="C35" s="22" t="inlineStr">
        <is>
          <t>أعمال الموقع العام</t>
        </is>
      </c>
      <c r="D35" s="34" t="inlineStr">
        <is>
          <t>أعمال بلاط متداخل (إنترلوك) سماكة 8 سم</t>
        </is>
      </c>
      <c r="E35" s="19" t="inlineStr">
        <is>
          <t>م2</t>
        </is>
      </c>
      <c r="F35" s="35" t="n">
        <v>1225</v>
      </c>
      <c r="G35" s="35" t="n">
        <v>70</v>
      </c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inlineStr">
        <is>
          <t>TD-01</t>
        </is>
      </c>
      <c r="C6" s="23" t="n">
        <v>46267</v>
      </c>
      <c r="D6" s="24" t="n">
        <v>3</v>
      </c>
      <c r="E6" s="19" t="inlineStr">
        <is>
          <t>01-003</t>
        </is>
      </c>
      <c r="F6" s="47">
        <f>IF(E6="","",IFERROR(INDEX('جدول الكميات'!$D$6:$D$105,MATCH(E6,'جدول الكميات'!$B$6:$B$105,0)),"⚠ كود غير موجود"))</f>
        <v/>
      </c>
      <c r="G6" s="34" t="inlineStr">
        <is>
          <t>عدم استكمال اختبارات دمك الإحلال</t>
        </is>
      </c>
      <c r="H6" s="19" t="inlineStr">
        <is>
          <t>اختبارات غير مستكملة</t>
        </is>
      </c>
      <c r="I6" s="42" t="n">
        <v>6000</v>
      </c>
      <c r="J6" s="19" t="inlineStr">
        <is>
          <t>لا</t>
        </is>
      </c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03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inlineStr">
        <is>
          <t>معتمد</t>
        </is>
      </c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>
        <v>46174</v>
      </c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>
        <v>46203</v>
      </c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>
        <v>46208</v>
      </c>
      <c r="K8" s="23" t="n"/>
      <c r="L8" s="75" t="n">
        <v>0.0364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>
        <v>46224</v>
      </c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>
        <v>20000</v>
      </c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>
        <v>173435.12</v>
      </c>
      <c r="F15" s="42" t="n"/>
      <c r="H15" s="70" t="inlineStr">
        <is>
          <t>تاريخ التحصيل</t>
        </is>
      </c>
      <c r="I15" s="70" t="n"/>
      <c r="J15" s="70" t="n"/>
      <c r="K15" s="23" t="n">
        <v>46256</v>
      </c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inlineStr">
        <is>
          <t>INV-2026-03001</t>
        </is>
      </c>
      <c r="F16" s="30" t="n"/>
      <c r="H16" s="70" t="inlineStr">
        <is>
          <t>تاريخ الفاتورة الضريبية</t>
        </is>
      </c>
      <c r="I16" s="70" t="n"/>
      <c r="J16" s="70" t="n"/>
      <c r="K16" s="23" t="n">
        <v>46224</v>
      </c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inlineStr">
        <is>
          <t>نعم</t>
        </is>
      </c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inlineStr">
        <is>
          <t>نعم</t>
        </is>
      </c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inlineStr">
        <is>
          <t>نعم</t>
        </is>
      </c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inlineStr">
        <is>
          <t>نعم</t>
        </is>
      </c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inlineStr">
        <is>
          <t>نعم</t>
        </is>
      </c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inlineStr">
        <is>
          <t>نعم</t>
        </is>
      </c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inlineStr">
        <is>
          <t>نعم</t>
        </is>
      </c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inlineStr">
        <is>
          <t>نعم</t>
        </is>
      </c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inlineStr">
        <is>
          <t>نعم</t>
        </is>
      </c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inlineStr">
        <is>
          <t>نعم</t>
        </is>
      </c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>
        <v>707.29</v>
      </c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>
        <v>345.79</v>
      </c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>
        <v>282.92</v>
      </c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>
        <v>9.56</v>
      </c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>
        <v>23.85</v>
      </c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>
        <v>10.56</v>
      </c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>
        <v>41.53</v>
      </c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>
        <v>12.07</v>
      </c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inlineStr">
        <is>
          <t>معتمد</t>
        </is>
      </c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>
        <v>46204</v>
      </c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>
        <v>46234</v>
      </c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>
        <v>46239</v>
      </c>
      <c r="K8" s="23" t="n"/>
      <c r="L8" s="75" t="n">
        <v>0.1134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>
        <v>46256</v>
      </c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>
        <v>50000</v>
      </c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>
        <v>353849.48</v>
      </c>
      <c r="F15" s="42" t="n"/>
      <c r="H15" s="70" t="inlineStr">
        <is>
          <t>تاريخ التحصيل</t>
        </is>
      </c>
      <c r="I15" s="70" t="n"/>
      <c r="J15" s="70" t="n"/>
      <c r="K15" s="23" t="n">
        <v>46295</v>
      </c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inlineStr">
        <is>
          <t>INV-2026-03002</t>
        </is>
      </c>
      <c r="F16" s="30" t="n"/>
      <c r="H16" s="70" t="inlineStr">
        <is>
          <t>تاريخ الفاتورة الضريبية</t>
        </is>
      </c>
      <c r="I16" s="70" t="n"/>
      <c r="J16" s="70" t="n"/>
      <c r="K16" s="23" t="n">
        <v>46256</v>
      </c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inlineStr">
        <is>
          <t>نعم</t>
        </is>
      </c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inlineStr">
        <is>
          <t>نعم</t>
        </is>
      </c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inlineStr">
        <is>
          <t>نعم</t>
        </is>
      </c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inlineStr">
        <is>
          <t>نعم</t>
        </is>
      </c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inlineStr">
        <is>
          <t>نعم</t>
        </is>
      </c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inlineStr">
        <is>
          <t>نعم</t>
        </is>
      </c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inlineStr">
        <is>
          <t>نعم</t>
        </is>
      </c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inlineStr">
        <is>
          <t>نعم</t>
        </is>
      </c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inlineStr">
        <is>
          <t>نعم</t>
        </is>
      </c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inlineStr">
        <is>
          <t>نعم</t>
        </is>
      </c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>
        <v>707.29</v>
      </c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>
        <v>345.79</v>
      </c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>
        <v>282.92</v>
      </c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>
        <v>23.89</v>
      </c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>
        <v>59.64</v>
      </c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>
        <v>26.41</v>
      </c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>
        <v>103.83</v>
      </c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>
        <v>30.18</v>
      </c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>
        <v>22.63</v>
      </c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>
        <v>17.92</v>
      </c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inlineStr">
        <is>
          <t>تحت المراجعة</t>
        </is>
      </c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>
        <v>46235</v>
      </c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>
        <v>46265</v>
      </c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>
        <v>46270</v>
      </c>
      <c r="K8" s="23" t="n"/>
      <c r="L8" s="75" t="n">
        <v>0.1846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>
        <v>36000</v>
      </c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inlineStr">
        <is>
          <t>نعم</t>
        </is>
      </c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inlineStr">
        <is>
          <t>نعم</t>
        </is>
      </c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inlineStr">
        <is>
          <t>نعم</t>
        </is>
      </c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inlineStr">
        <is>
          <t>نعم</t>
        </is>
      </c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inlineStr">
        <is>
          <t>نعم</t>
        </is>
      </c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>
        <v>113.17</v>
      </c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>
        <v>55.33</v>
      </c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>
        <v>45.27</v>
      </c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>
        <v>23.89</v>
      </c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>
        <v>59.64</v>
      </c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>
        <v>26.41</v>
      </c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>
        <v>103.83</v>
      </c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>
        <v>30.18</v>
      </c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>
        <v>113.17</v>
      </c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>
        <v>89.59</v>
      </c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0.2598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0.3577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0.4898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0.5756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0.6737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0.7643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0.8562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0.9543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>
        <v>1</v>
      </c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2026-10-01T20:31:38Z</dcterms:created>
  <dcterms:modified xsi:type="dcterms:W3CDTF">2026-10-01T20:31:43Z</dcterms:modified>
</cp:coreProperties>
</file>