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5" autoFilterDateGrouping="1"/>
  </bookViews>
  <sheets>
    <sheet name="التعليمات" sheetId="1" state="visible" r:id="rId1"/>
    <sheet name="بيانات العقد" sheetId="2" state="visible" r:id="rId2"/>
    <sheet name="جدول الكميات" sheetId="3" state="visible" r:id="rId3"/>
    <sheet name="الأوامر التغييرية" sheetId="4" state="visible" r:id="rId4"/>
    <sheet name="الاستقطاعات الفنية" sheetId="5" state="visible" r:id="rId5"/>
    <sheet name="سجل المستخلصات" sheetId="6" state="visible" r:id="rId6"/>
    <sheet name="مستخلص 01" sheetId="7" state="visible" r:id="rId7"/>
    <sheet name="مستخلص 02" sheetId="8" state="visible" r:id="rId8"/>
    <sheet name="مستخلص 03" sheetId="9" state="visible" r:id="rId9"/>
    <sheet name="مستخلص 04" sheetId="10" state="visible" r:id="rId10"/>
    <sheet name="مستخلص 05" sheetId="11" state="visible" r:id="rId11"/>
    <sheet name="مستخلص 06" sheetId="12" state="visible" r:id="rId12"/>
    <sheet name="مستخلص 07" sheetId="13" state="visible" r:id="rId13"/>
    <sheet name="مستخلص 08" sheetId="14" state="visible" r:id="rId14"/>
    <sheet name="مستخلص 09" sheetId="15" state="visible" r:id="rId15"/>
    <sheet name="مستخلص 10" sheetId="16" state="visible" r:id="rId16"/>
    <sheet name="مستخلص 11" sheetId="17" state="visible" r:id="rId17"/>
    <sheet name="مستخلص 12" sheetId="18" state="visible" r:id="rId18"/>
    <sheet name="مستخلص 13" sheetId="19" state="visible" r:id="rId19"/>
    <sheet name="مستخلص 14" sheetId="20" state="visible" r:id="rId20"/>
    <sheet name="مستخلص 15" sheetId="21" state="visible" r:id="rId21"/>
    <sheet name="مستخلص 16" sheetId="22" state="visible" r:id="rId22"/>
    <sheet name="مستخلص 17" sheetId="23" state="visible" r:id="rId23"/>
    <sheet name="مستخلص 18" sheetId="24" state="visible" r:id="rId24"/>
    <sheet name="مستخلص 19" sheetId="25" state="visible" r:id="rId25"/>
    <sheet name="مستخلص 20" sheetId="26" state="visible" r:id="rId26"/>
  </sheets>
  <definedNames>
    <definedName name="ContractValue">'بيانات العقد'!$C$16</definedName>
    <definedName name="VOApproved">'بيانات العقد'!$C$17</definedName>
    <definedName name="RevisedContract">'بيانات العقد'!$C$18</definedName>
    <definedName name="AdvPct">'بيانات العقد'!$C$20</definedName>
    <definedName name="AdvAmount">'بيانات العقد'!$C$21</definedName>
    <definedName name="RecRate">'بيانات العقد'!$C$23</definedName>
    <definedName name="RecStart">'بيانات العقد'!$C$24</definedName>
    <definedName name="RecFull">'بيانات العقد'!$C$25</definedName>
    <definedName name="RetPct">'بيانات العقد'!$C$27</definedName>
    <definedName name="RetCap">'بيانات العقد'!$C$29</definedName>
    <definedName name="VATPct">'بيانات العقد'!$C$31</definedName>
    <definedName name="VATBeforeRet">'بيانات العقد'!$C$32</definedName>
    <definedName name="WHTPct">'بيانات العقد'!$C$33</definedName>
    <definedName name="PenInVAT">'بيانات العقد'!$C$34</definedName>
    <definedName name="PenCap">'بيانات العقد'!$C$45</definedName>
    <definedName name="StartDate">'بيانات العقد'!$C$11</definedName>
    <definedName name="EndDate">'بيانات العقد'!$C$13</definedName>
    <definedName name="L_Sections">'بيانات العقد'!$F$6:$F$17</definedName>
    <definedName name="L_IPCStatus">'بيانات العقد'!$G$6:$G$17</definedName>
    <definedName name="L_VOStatus">'بيانات العقد'!$H$6:$H$17</definedName>
    <definedName name="L_TDType">'بيانات العقد'!$I$6:$I$17</definedName>
    <definedName name="_xlnm._FilterDatabase" localSheetId="2" hidden="1">'جدول الكميات'!$A$5:$I$105</definedName>
    <definedName name="_xlnm.Print_Titles" localSheetId="2">'جدول الكميات'!$5:$5</definedName>
    <definedName name="_xlnm._FilterDatabase" localSheetId="3" hidden="1">'الأوامر التغييرية'!$A$5:$L$55</definedName>
    <definedName name="_xlnm._FilterDatabase" localSheetId="4" hidden="1">'الاستقطاعات الفنية'!$A$5:$M$105</definedName>
    <definedName name="_xlnm.Print_Titles" localSheetId="5">'سجل المستخلصات'!$4:$5</definedName>
    <definedName name="_xlnm.Print_Titles" localSheetId="6">'مستخلص 01'!$50:$50</definedName>
    <definedName name="_xlnm.Print_Area" localSheetId="6">'مستخلص 01'!$B$1:$M$151</definedName>
    <definedName name="_xlnm.Print_Titles" localSheetId="7">'مستخلص 02'!$50:$50</definedName>
    <definedName name="_xlnm.Print_Area" localSheetId="7">'مستخلص 02'!$B$1:$M$151</definedName>
    <definedName name="_xlnm.Print_Titles" localSheetId="8">'مستخلص 03'!$50:$50</definedName>
    <definedName name="_xlnm.Print_Area" localSheetId="8">'مستخلص 03'!$B$1:$M$151</definedName>
    <definedName name="_xlnm.Print_Titles" localSheetId="9">'مستخلص 04'!$50:$50</definedName>
    <definedName name="_xlnm.Print_Area" localSheetId="9">'مستخلص 04'!$B$1:$M$151</definedName>
    <definedName name="_xlnm.Print_Titles" localSheetId="10">'مستخلص 05'!$50:$50</definedName>
    <definedName name="_xlnm.Print_Area" localSheetId="10">'مستخلص 05'!$B$1:$M$151</definedName>
    <definedName name="_xlnm.Print_Titles" localSheetId="11">'مستخلص 06'!$50:$50</definedName>
    <definedName name="_xlnm.Print_Area" localSheetId="11">'مستخلص 06'!$B$1:$M$151</definedName>
    <definedName name="_xlnm.Print_Titles" localSheetId="12">'مستخلص 07'!$50:$50</definedName>
    <definedName name="_xlnm.Print_Area" localSheetId="12">'مستخلص 07'!$B$1:$M$151</definedName>
    <definedName name="_xlnm.Print_Titles" localSheetId="13">'مستخلص 08'!$50:$50</definedName>
    <definedName name="_xlnm.Print_Area" localSheetId="13">'مستخلص 08'!$B$1:$M$151</definedName>
    <definedName name="_xlnm.Print_Titles" localSheetId="14">'مستخلص 09'!$50:$50</definedName>
    <definedName name="_xlnm.Print_Area" localSheetId="14">'مستخلص 09'!$B$1:$M$151</definedName>
    <definedName name="_xlnm.Print_Titles" localSheetId="15">'مستخلص 10'!$50:$50</definedName>
    <definedName name="_xlnm.Print_Area" localSheetId="15">'مستخلص 10'!$B$1:$M$151</definedName>
    <definedName name="_xlnm.Print_Titles" localSheetId="16">'مستخلص 11'!$50:$50</definedName>
    <definedName name="_xlnm.Print_Area" localSheetId="16">'مستخلص 11'!$B$1:$M$151</definedName>
    <definedName name="_xlnm.Print_Titles" localSheetId="17">'مستخلص 12'!$50:$50</definedName>
    <definedName name="_xlnm.Print_Area" localSheetId="17">'مستخلص 12'!$B$1:$M$151</definedName>
    <definedName name="_xlnm.Print_Titles" localSheetId="18">'مستخلص 13'!$50:$50</definedName>
    <definedName name="_xlnm.Print_Area" localSheetId="18">'مستخلص 13'!$B$1:$M$151</definedName>
    <definedName name="_xlnm.Print_Titles" localSheetId="19">'مستخلص 14'!$50:$50</definedName>
    <definedName name="_xlnm.Print_Area" localSheetId="19">'مستخلص 14'!$B$1:$M$151</definedName>
    <definedName name="_xlnm.Print_Titles" localSheetId="20">'مستخلص 15'!$50:$50</definedName>
    <definedName name="_xlnm.Print_Area" localSheetId="20">'مستخلص 15'!$B$1:$M$151</definedName>
    <definedName name="_xlnm.Print_Titles" localSheetId="21">'مستخلص 16'!$50:$50</definedName>
    <definedName name="_xlnm.Print_Area" localSheetId="21">'مستخلص 16'!$B$1:$M$151</definedName>
    <definedName name="_xlnm.Print_Titles" localSheetId="22">'مستخلص 17'!$50:$50</definedName>
    <definedName name="_xlnm.Print_Area" localSheetId="22">'مستخلص 17'!$B$1:$M$151</definedName>
    <definedName name="_xlnm.Print_Titles" localSheetId="23">'مستخلص 18'!$50:$50</definedName>
    <definedName name="_xlnm.Print_Area" localSheetId="23">'مستخلص 18'!$B$1:$M$151</definedName>
    <definedName name="_xlnm.Print_Titles" localSheetId="24">'مستخلص 19'!$50:$50</definedName>
    <definedName name="_xlnm.Print_Area" localSheetId="24">'مستخلص 19'!$B$1:$M$151</definedName>
    <definedName name="_xlnm.Print_Titles" localSheetId="25">'مستخلص 20'!$50:$50</definedName>
    <definedName name="_xlnm.Print_Area" localSheetId="25">'مستخلص 20'!$B$1:$M$151</definedName>
  </definedNames>
  <calcPr calcId="124519" fullCalcOnLoad="1"/>
</workbook>
</file>

<file path=xl/styles.xml><?xml version="1.0" encoding="utf-8"?>
<styleSheet xmlns="http://schemas.openxmlformats.org/spreadsheetml/2006/main">
  <numFmts count="10">
    <numFmt numFmtId="164" formatCode="yyyy/mm/dd"/>
    <numFmt numFmtId="165" formatCode="#,##0.00;[Red](#,##0.00);&quot;-&quot;"/>
    <numFmt numFmtId="166" formatCode="0.0%;[Red]-0.0%;&quot;-&quot;"/>
    <numFmt numFmtId="167" formatCode="#,##0.00;[Red]-#,##0.00;;@"/>
    <numFmt numFmtId="168" formatCode="0.00%;-0.00%;;@"/>
    <numFmt numFmtId="169" formatCode="&quot;مستخلص رقم &quot;0"/>
    <numFmt numFmtId="170" formatCode="B2yyyy/mm/dd"/>
    <numFmt numFmtId="171" formatCode="0.0%;[Red]-0.0%;;@"/>
    <numFmt numFmtId="172" formatCode="&quot;مستخلص &quot;0"/>
    <numFmt numFmtId="173" formatCode="0;-0;&quot;-&quot;"/>
  </numFmts>
  <fonts count="33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FFFFFF"/>
      <sz val="10"/>
    </font>
    <font>
      <name val="Arial"/>
      <b val="1"/>
      <color rgb="00FFFFFF"/>
      <sz val="10"/>
    </font>
    <font>
      <name val="Arial"/>
      <b val="1"/>
      <color rgb="001F2933"/>
      <sz val="10"/>
    </font>
    <font>
      <name val="Arial"/>
      <color rgb="000000FF"/>
      <sz val="10"/>
    </font>
    <font>
      <name val="Arial"/>
      <i val="1"/>
      <color rgb="005A6772"/>
      <sz val="9"/>
    </font>
    <font>
      <name val="Arial"/>
      <b val="1"/>
      <color rgb="00008000"/>
      <sz val="10"/>
    </font>
    <font>
      <name val="Arial"/>
      <b val="1"/>
      <color rgb="00FFFFFF"/>
      <sz val="11"/>
    </font>
    <font>
      <name val="Arial"/>
      <color rgb="005A6772"/>
      <sz val="10"/>
    </font>
    <font>
      <name val="Arial"/>
      <color rgb="001F2933"/>
      <sz val="10"/>
    </font>
    <font>
      <name val="Arial"/>
      <color rgb="00008000"/>
      <sz val="10"/>
    </font>
    <font>
      <name val="Arial"/>
      <b val="1"/>
      <color rgb="001F3A5F"/>
      <sz val="10"/>
    </font>
    <font>
      <name val="Arial"/>
      <b val="1"/>
      <color rgb="009A6B00"/>
      <sz val="12"/>
    </font>
    <font>
      <name val="Arial"/>
      <b val="1"/>
      <color rgb="005A6772"/>
      <sz val="9"/>
    </font>
    <font>
      <name val="Arial"/>
      <b val="1"/>
      <color rgb="002E7D7A"/>
      <sz val="15"/>
    </font>
    <font>
      <name val="Arial"/>
      <b val="1"/>
      <color rgb="000000FF"/>
      <sz val="15"/>
    </font>
    <font>
      <name val="Arial"/>
      <color rgb="00C62828"/>
      <sz val="10"/>
    </font>
    <font>
      <name val="Arial"/>
      <b val="1"/>
      <color rgb="00C62828"/>
      <sz val="10"/>
    </font>
    <font>
      <name val="Arial"/>
      <b val="1"/>
      <color rgb="00FFFFFF"/>
      <sz val="13"/>
    </font>
    <font>
      <name val="Arial"/>
      <b val="1"/>
      <color rgb="00FFFFFF"/>
      <sz val="15"/>
    </font>
    <font>
      <name val="Arial"/>
      <b val="1"/>
      <color rgb="002E7D32"/>
      <sz val="10"/>
    </font>
    <font>
      <name val="Arial"/>
      <b val="1"/>
      <color rgb="002E7D32"/>
      <sz val="11"/>
    </font>
    <font>
      <name val="Arial"/>
      <b val="1"/>
      <color rgb="00C62828"/>
      <sz val="11"/>
    </font>
    <font>
      <name val="Arial"/>
      <b val="1"/>
      <color rgb="001F3A5F"/>
      <sz val="9"/>
    </font>
    <font>
      <name val="Arial"/>
      <b val="1"/>
      <color rgb="009A6B00"/>
      <sz val="10"/>
    </font>
    <font>
      <name val="Arial"/>
      <color rgb="005A6772"/>
      <sz val="9"/>
    </font>
    <font>
      <name val="Arial"/>
      <color rgb="00008000"/>
      <sz val="9"/>
    </font>
    <font>
      <name val="Arial"/>
      <color rgb="001F2933"/>
      <sz val="9"/>
    </font>
    <font>
      <name val="Arial"/>
      <b val="1"/>
      <color rgb="001F2933"/>
      <sz val="9"/>
    </font>
    <font>
      <name val="Arial"/>
      <b val="1"/>
      <color rgb="00FFFFFF"/>
      <sz val="12"/>
    </font>
    <font>
      <name val="Arial"/>
      <b val="1"/>
      <color rgb="000000FF"/>
      <sz val="10"/>
    </font>
    <font>
      <name val="Arial"/>
      <b val="1"/>
      <color rgb="00006C35"/>
      <sz val="10"/>
    </font>
  </fonts>
  <fills count="18">
    <fill>
      <patternFill/>
    </fill>
    <fill>
      <patternFill patternType="gray125"/>
    </fill>
    <fill>
      <patternFill patternType="solid">
        <fgColor rgb="001F3A5F"/>
        <bgColor rgb="001F3A5F"/>
      </patternFill>
    </fill>
    <fill>
      <patternFill patternType="solid">
        <fgColor rgb="002C5282"/>
        <bgColor rgb="002C5282"/>
      </patternFill>
    </fill>
    <fill>
      <patternFill patternType="solid">
        <fgColor rgb="002E7D7A"/>
        <bgColor rgb="002E7D7A"/>
      </patternFill>
    </fill>
    <fill>
      <patternFill patternType="solid">
        <fgColor rgb="009A6B00"/>
        <bgColor rgb="009A6B00"/>
      </patternFill>
    </fill>
    <fill>
      <patternFill patternType="solid">
        <fgColor rgb="00EEF4F8"/>
        <bgColor rgb="00EEF4F8"/>
      </patternFill>
    </fill>
    <fill>
      <patternFill patternType="solid">
        <fgColor rgb="00FFF8E1"/>
        <bgColor rgb="00FFF8E1"/>
      </patternFill>
    </fill>
    <fill>
      <patternFill patternType="solid">
        <fgColor rgb="00F2F4F7"/>
        <bgColor rgb="00F2F4F7"/>
      </patternFill>
    </fill>
    <fill>
      <patternFill patternType="solid">
        <fgColor rgb="00F7FBFF"/>
        <bgColor rgb="00F7FBFF"/>
      </patternFill>
    </fill>
    <fill>
      <patternFill patternType="solid">
        <fgColor rgb="00D9E2EC"/>
        <bgColor rgb="00D9E2EC"/>
      </patternFill>
    </fill>
    <fill>
      <patternFill patternType="solid">
        <fgColor rgb="00E8F5E9"/>
        <bgColor rgb="00E8F5E9"/>
      </patternFill>
    </fill>
    <fill>
      <patternFill patternType="solid">
        <fgColor rgb="00FDECEA"/>
        <bgColor rgb="00FDECEA"/>
      </patternFill>
    </fill>
    <fill>
      <patternFill patternType="solid">
        <fgColor rgb="008C6D1F"/>
        <bgColor rgb="008C6D1F"/>
      </patternFill>
    </fill>
    <fill>
      <patternFill patternType="solid">
        <fgColor rgb="00C0504D"/>
        <bgColor rgb="00C0504D"/>
      </patternFill>
    </fill>
    <fill>
      <patternFill patternType="solid">
        <fgColor rgb="002E7D32"/>
        <bgColor rgb="002E7D32"/>
      </patternFill>
    </fill>
    <fill>
      <patternFill patternType="solid">
        <fgColor rgb="00FFFFFF"/>
        <bgColor rgb="00FFFFFF"/>
      </patternFill>
    </fill>
    <fill>
      <patternFill patternType="solid">
        <fgColor rgb="00006C35"/>
        <bgColor rgb="00006C35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1F3A5F"/>
      </bottom>
    </border>
    <border>
      <left style="thin">
        <color rgb="00C9D3DD"/>
      </left>
      <right style="thin">
        <color rgb="00C9D3DD"/>
      </right>
      <top style="thin">
        <color rgb="00C9D3DD"/>
      </top>
      <bottom style="thin">
        <color rgb="00C9D3DD"/>
      </bottom>
    </border>
  </borders>
  <cellStyleXfs count="1">
    <xf numFmtId="0" fontId="0" fillId="0" borderId="0"/>
  </cellStyleXfs>
  <cellXfs count="108">
    <xf numFmtId="0" fontId="0" fillId="0" borderId="0" pivotButton="0" quotePrefix="0" xfId="0"/>
    <xf numFmtId="0" fontId="1" fillId="2" borderId="0" applyAlignment="1" pivotButton="0" quotePrefix="0" xfId="0">
      <alignment horizontal="center" vertical="center" readingOrder="2"/>
    </xf>
    <xf numFmtId="0" fontId="2" fillId="3" borderId="0" applyAlignment="1" pivotButton="0" quotePrefix="0" xfId="0">
      <alignment horizontal="center" vertical="center" readingOrder="2"/>
    </xf>
    <xf numFmtId="0" fontId="3" fillId="2" borderId="1" applyAlignment="1" pivotButton="0" quotePrefix="0" xfId="0">
      <alignment horizontal="center" vertical="center" readingOrder="2"/>
    </xf>
    <xf numFmtId="0" fontId="3" fillId="5" borderId="1" applyAlignment="1" pivotButton="0" quotePrefix="0" xfId="0">
      <alignment horizontal="center" vertical="center" readingOrder="2"/>
    </xf>
    <xf numFmtId="0" fontId="8" fillId="3" borderId="0" applyAlignment="1" pivotButton="0" quotePrefix="0" xfId="0">
      <alignment horizontal="right" vertical="center" indent="1" readingOrder="2"/>
    </xf>
    <xf numFmtId="0" fontId="31" fillId="7" borderId="2" applyAlignment="1" pivotButton="0" quotePrefix="0" xfId="0">
      <alignment horizontal="center" vertical="center" readingOrder="2"/>
    </xf>
    <xf numFmtId="0" fontId="10" fillId="0" borderId="2" applyAlignment="1" pivotButton="0" quotePrefix="0" xfId="0">
      <alignment horizontal="right" vertical="center" wrapText="1" indent="1" readingOrder="2"/>
    </xf>
    <xf numFmtId="0" fontId="4" fillId="16" borderId="2" applyAlignment="1" pivotButton="0" quotePrefix="0" xfId="0">
      <alignment horizontal="center" vertical="center" readingOrder="2"/>
    </xf>
    <xf numFmtId="0" fontId="7" fillId="16" borderId="2" applyAlignment="1" pivotButton="0" quotePrefix="0" xfId="0">
      <alignment horizontal="center" vertical="center" readingOrder="2"/>
    </xf>
    <xf numFmtId="0" fontId="18" fillId="12" borderId="2" applyAlignment="1" pivotButton="0" quotePrefix="0" xfId="0">
      <alignment horizontal="center" vertical="center" readingOrder="2"/>
    </xf>
    <xf numFmtId="0" fontId="3" fillId="4" borderId="2" applyAlignment="1" pivotButton="0" quotePrefix="0" xfId="0">
      <alignment horizontal="center" vertical="center" readingOrder="2"/>
    </xf>
    <xf numFmtId="0" fontId="8" fillId="17" borderId="0" applyAlignment="1" pivotButton="0" quotePrefix="0" xfId="0">
      <alignment horizontal="right" vertical="center" indent="1" readingOrder="2"/>
    </xf>
    <xf numFmtId="0" fontId="32" fillId="11" borderId="2" applyAlignment="1" pivotButton="0" quotePrefix="0" xfId="0">
      <alignment horizontal="right" vertical="center" indent="1" readingOrder="2"/>
    </xf>
    <xf numFmtId="0" fontId="8" fillId="5" borderId="0" applyAlignment="1" pivotButton="0" quotePrefix="0" xfId="0">
      <alignment horizontal="right" vertical="center" indent="1" readingOrder="2"/>
    </xf>
    <xf numFmtId="0" fontId="13" fillId="0" borderId="2" applyAlignment="1" pivotButton="0" quotePrefix="0" xfId="0">
      <alignment horizontal="center" vertical="center" readingOrder="2"/>
    </xf>
    <xf numFmtId="0" fontId="3" fillId="4" borderId="1" applyAlignment="1" pivotButton="0" quotePrefix="0" xfId="0">
      <alignment horizontal="center" vertical="center" readingOrder="2"/>
    </xf>
    <xf numFmtId="0" fontId="3" fillId="2" borderId="2" applyAlignment="1" pivotButton="0" quotePrefix="0" xfId="0">
      <alignment horizontal="center" vertical="center" wrapText="1" readingOrder="2"/>
    </xf>
    <xf numFmtId="0" fontId="4" fillId="6" borderId="2" applyAlignment="1" pivotButton="0" quotePrefix="0" xfId="0">
      <alignment horizontal="right" vertical="center" indent="1" readingOrder="2"/>
    </xf>
    <xf numFmtId="0" fontId="5" fillId="7" borderId="2" applyAlignment="1" pivotButton="0" quotePrefix="0" xfId="0">
      <alignment horizontal="center" vertical="center" readingOrder="2"/>
    </xf>
    <xf numFmtId="0" fontId="6" fillId="0" borderId="2" applyAlignment="1" pivotButton="0" quotePrefix="0" xfId="0">
      <alignment horizontal="right" vertical="center" wrapText="1" readingOrder="2"/>
    </xf>
    <xf numFmtId="0" fontId="3" fillId="4" borderId="2" applyAlignment="1" pivotButton="0" quotePrefix="0" xfId="0">
      <alignment horizontal="center" vertical="center" wrapText="1" readingOrder="2"/>
    </xf>
    <xf numFmtId="0" fontId="5" fillId="7" borderId="2" applyAlignment="1" pivotButton="0" quotePrefix="0" xfId="0">
      <alignment horizontal="right" vertical="center" indent="1" readingOrder="2"/>
    </xf>
    <xf numFmtId="164" fontId="5" fillId="7" borderId="2" applyAlignment="1" pivotButton="0" quotePrefix="0" xfId="0">
      <alignment horizontal="center" vertical="center" readingOrder="2"/>
    </xf>
    <xf numFmtId="1" fontId="5" fillId="7" borderId="2" applyAlignment="1" pivotButton="0" quotePrefix="0" xfId="0">
      <alignment horizontal="center" vertical="center" readingOrder="2"/>
    </xf>
    <xf numFmtId="164" fontId="4" fillId="8" borderId="2" applyAlignment="1" pivotButton="0" quotePrefix="0" xfId="0">
      <alignment horizontal="center" vertical="center" readingOrder="2"/>
    </xf>
    <xf numFmtId="0" fontId="8" fillId="4" borderId="0" applyAlignment="1" pivotButton="0" quotePrefix="0" xfId="0">
      <alignment horizontal="right" vertical="center" indent="1" readingOrder="2"/>
    </xf>
    <xf numFmtId="165" fontId="7" fillId="8" borderId="2" applyAlignment="1" pivotButton="0" quotePrefix="0" xfId="0">
      <alignment horizontal="center" vertical="center" readingOrder="2"/>
    </xf>
    <xf numFmtId="165" fontId="4" fillId="8" borderId="2" applyAlignment="1" pivotButton="0" quotePrefix="0" xfId="0">
      <alignment horizontal="center" vertical="center" readingOrder="2"/>
    </xf>
    <xf numFmtId="166" fontId="5" fillId="7" borderId="2" applyAlignment="1" pivotButton="0" quotePrefix="0" xfId="0">
      <alignment horizontal="center" vertical="center" readingOrder="2"/>
    </xf>
    <xf numFmtId="49" fontId="5" fillId="7" borderId="2" applyAlignment="1" pivotButton="0" quotePrefix="0" xfId="0">
      <alignment horizontal="center" vertical="center" readingOrder="2"/>
    </xf>
    <xf numFmtId="0" fontId="4" fillId="8" borderId="2" applyAlignment="1" pivotButton="0" quotePrefix="0" xfId="0">
      <alignment horizontal="center" vertical="center" readingOrder="2"/>
    </xf>
    <xf numFmtId="0" fontId="6" fillId="0" borderId="0" applyAlignment="1" pivotButton="0" quotePrefix="0" xfId="0">
      <alignment horizontal="right" vertical="center" readingOrder="2"/>
    </xf>
    <xf numFmtId="0" fontId="9" fillId="0" borderId="2" applyAlignment="1" pivotButton="0" quotePrefix="0" xfId="0">
      <alignment horizontal="center" vertical="center" readingOrder="2"/>
    </xf>
    <xf numFmtId="0" fontId="5" fillId="7" borderId="2" applyAlignment="1" pivotButton="0" quotePrefix="0" xfId="0">
      <alignment horizontal="right" vertical="center" wrapText="1" indent="1" readingOrder="2"/>
    </xf>
    <xf numFmtId="167" fontId="5" fillId="7" borderId="2" applyAlignment="1" pivotButton="0" quotePrefix="0" xfId="0">
      <alignment horizontal="center" vertical="center" readingOrder="2"/>
    </xf>
    <xf numFmtId="167" fontId="10" fillId="0" borderId="2" applyAlignment="1" pivotButton="0" quotePrefix="0" xfId="0">
      <alignment horizontal="center" vertical="center" readingOrder="2"/>
    </xf>
    <xf numFmtId="168" fontId="10" fillId="0" borderId="2" applyAlignment="1" pivotButton="0" quotePrefix="0" xfId="0">
      <alignment horizontal="center" vertical="center" readingOrder="2"/>
    </xf>
    <xf numFmtId="0" fontId="8" fillId="2" borderId="0" applyAlignment="1" pivotButton="0" quotePrefix="0" xfId="0">
      <alignment horizontal="center" vertical="center" readingOrder="2"/>
    </xf>
    <xf numFmtId="165" fontId="8" fillId="2" borderId="0" applyAlignment="1" pivotButton="0" quotePrefix="0" xfId="0">
      <alignment horizontal="center" vertical="center" readingOrder="2"/>
    </xf>
    <xf numFmtId="166" fontId="8" fillId="2" borderId="0" applyAlignment="1" pivotButton="0" quotePrefix="0" xfId="0">
      <alignment horizontal="center" vertical="center" readingOrder="2"/>
    </xf>
    <xf numFmtId="0" fontId="6" fillId="0" borderId="0" applyAlignment="1" pivotButton="0" quotePrefix="0" xfId="0">
      <alignment horizontal="right" vertical="center" wrapText="1" readingOrder="2"/>
    </xf>
    <xf numFmtId="165" fontId="5" fillId="7" borderId="2" applyAlignment="1" pivotButton="0" quotePrefix="0" xfId="0">
      <alignment horizontal="center" vertical="center" readingOrder="2"/>
    </xf>
    <xf numFmtId="165" fontId="10" fillId="0" borderId="2" applyAlignment="1" pivotButton="0" quotePrefix="0" xfId="0">
      <alignment horizontal="center" vertical="center" readingOrder="2"/>
    </xf>
    <xf numFmtId="0" fontId="5" fillId="7" borderId="2" applyAlignment="1" pivotButton="0" quotePrefix="0" xfId="0">
      <alignment horizontal="right" vertical="center" wrapText="1" readingOrder="2"/>
    </xf>
    <xf numFmtId="165" fontId="3" fillId="2" borderId="0" applyAlignment="1" pivotButton="0" quotePrefix="0" xfId="0">
      <alignment horizontal="center" vertical="center" readingOrder="2"/>
    </xf>
    <xf numFmtId="0" fontId="3" fillId="2" borderId="0" applyAlignment="1" pivotButton="0" quotePrefix="0" xfId="0">
      <alignment horizontal="center" vertical="center" readingOrder="2"/>
    </xf>
    <xf numFmtId="0" fontId="11" fillId="0" borderId="2" applyAlignment="1" pivotButton="0" quotePrefix="0" xfId="0">
      <alignment horizontal="right" vertical="center" wrapText="1" indent="1" readingOrder="2"/>
    </xf>
    <xf numFmtId="165" fontId="4" fillId="0" borderId="2" applyAlignment="1" pivotButton="0" quotePrefix="0" xfId="0">
      <alignment horizontal="center" vertical="center" readingOrder="2"/>
    </xf>
    <xf numFmtId="165" fontId="3" fillId="3" borderId="0" applyAlignment="1" pivotButton="0" quotePrefix="0" xfId="0">
      <alignment horizontal="center" vertical="center" readingOrder="2"/>
    </xf>
    <xf numFmtId="0" fontId="12" fillId="0" borderId="0" applyAlignment="1" pivotButton="0" quotePrefix="0" xfId="0">
      <alignment horizontal="left" vertical="center" readingOrder="2"/>
    </xf>
    <xf numFmtId="1" fontId="30" fillId="5" borderId="0" applyAlignment="1" pivotButton="0" quotePrefix="0" xfId="0">
      <alignment horizontal="center" vertical="center" readingOrder="2"/>
    </xf>
    <xf numFmtId="0" fontId="3" fillId="3" borderId="2" applyAlignment="1" pivotButton="0" quotePrefix="0" xfId="0">
      <alignment horizontal="center" vertical="center" readingOrder="2"/>
    </xf>
    <xf numFmtId="0" fontId="3" fillId="14" borderId="2" applyAlignment="1" pivotButton="0" quotePrefix="0" xfId="0">
      <alignment horizontal="center" vertical="center" readingOrder="2"/>
    </xf>
    <xf numFmtId="0" fontId="3" fillId="2" borderId="2" applyAlignment="1" pivotButton="0" quotePrefix="0" xfId="0">
      <alignment horizontal="center" vertical="center" readingOrder="2"/>
    </xf>
    <xf numFmtId="0" fontId="3" fillId="15" borderId="2" applyAlignment="1" pivotButton="0" quotePrefix="0" xfId="0">
      <alignment horizontal="center" vertical="center" readingOrder="2"/>
    </xf>
    <xf numFmtId="0" fontId="3" fillId="5" borderId="2" applyAlignment="1" pivotButton="0" quotePrefix="0" xfId="0">
      <alignment horizontal="center" vertical="center" readingOrder="2"/>
    </xf>
    <xf numFmtId="172" fontId="12" fillId="6" borderId="2" applyAlignment="1" pivotButton="0" quotePrefix="0" xfId="0">
      <alignment horizontal="center" vertical="center" readingOrder="2"/>
    </xf>
    <xf numFmtId="164" fontId="10" fillId="0" borderId="2" applyAlignment="1" pivotButton="0" quotePrefix="0" xfId="0">
      <alignment horizontal="center" vertical="center" readingOrder="2"/>
    </xf>
    <xf numFmtId="0" fontId="10" fillId="0" borderId="2" applyAlignment="1" pivotButton="0" quotePrefix="0" xfId="0">
      <alignment horizontal="center" vertical="center" readingOrder="2"/>
    </xf>
    <xf numFmtId="166" fontId="10" fillId="0" borderId="2" applyAlignment="1" pivotButton="0" quotePrefix="0" xfId="0">
      <alignment horizontal="center" vertical="center" readingOrder="2"/>
    </xf>
    <xf numFmtId="165" fontId="4" fillId="9" borderId="2" applyAlignment="1" pivotButton="0" quotePrefix="0" xfId="0">
      <alignment horizontal="center" vertical="center" readingOrder="2"/>
    </xf>
    <xf numFmtId="173" fontId="10" fillId="0" borderId="2" applyAlignment="1" pivotButton="0" quotePrefix="0" xfId="0">
      <alignment horizontal="center" vertical="center" readingOrder="2"/>
    </xf>
    <xf numFmtId="49" fontId="10" fillId="0" borderId="2" applyAlignment="1" pivotButton="0" quotePrefix="0" xfId="0">
      <alignment horizontal="center" vertical="center" readingOrder="2"/>
    </xf>
    <xf numFmtId="165" fontId="3" fillId="2" borderId="2" applyAlignment="1" pivotButton="0" quotePrefix="0" xfId="0">
      <alignment horizontal="center" vertical="center" readingOrder="2"/>
    </xf>
    <xf numFmtId="166" fontId="3" fillId="2" borderId="2" applyAlignment="1" pivotButton="0" quotePrefix="0" xfId="0">
      <alignment horizontal="center" vertical="center" readingOrder="2"/>
    </xf>
    <xf numFmtId="164" fontId="3" fillId="2" borderId="2" applyAlignment="1" pivotButton="0" quotePrefix="0" xfId="0">
      <alignment horizontal="center" vertical="center" readingOrder="2"/>
    </xf>
    <xf numFmtId="173" fontId="3" fillId="2" borderId="2" applyAlignment="1" pivotButton="0" quotePrefix="0" xfId="0">
      <alignment horizontal="center" vertical="center" readingOrder="2"/>
    </xf>
    <xf numFmtId="49" fontId="3" fillId="2" borderId="2" applyAlignment="1" pivotButton="0" quotePrefix="0" xfId="0">
      <alignment horizontal="center" vertical="center" readingOrder="2"/>
    </xf>
    <xf numFmtId="166" fontId="4" fillId="0" borderId="2" applyAlignment="1" pivotButton="0" quotePrefix="0" xfId="0">
      <alignment horizontal="center" vertical="center" readingOrder="2"/>
    </xf>
    <xf numFmtId="0" fontId="12" fillId="6" borderId="2" applyAlignment="1" pivotButton="0" quotePrefix="0" xfId="0">
      <alignment horizontal="right" vertical="center" indent="1" readingOrder="2"/>
    </xf>
    <xf numFmtId="169" fontId="13" fillId="0" borderId="2" applyAlignment="1" pivotButton="0" quotePrefix="0" xfId="0">
      <alignment horizontal="right" vertical="center" indent="1" readingOrder="2"/>
    </xf>
    <xf numFmtId="0" fontId="14" fillId="6" borderId="2" applyAlignment="1" pivotButton="0" quotePrefix="0" xfId="0">
      <alignment horizontal="center" vertical="center" wrapText="1" readingOrder="2"/>
    </xf>
    <xf numFmtId="0" fontId="7" fillId="0" borderId="2" applyAlignment="1" pivotButton="0" quotePrefix="0" xfId="0">
      <alignment horizontal="right" vertical="center" indent="1" readingOrder="2"/>
    </xf>
    <xf numFmtId="166" fontId="15" fillId="0" borderId="2" applyAlignment="1" pivotButton="0" quotePrefix="0" xfId="0">
      <alignment horizontal="center" vertical="center" readingOrder="2"/>
    </xf>
    <xf numFmtId="166" fontId="16" fillId="7" borderId="2" applyAlignment="1" pivotButton="0" quotePrefix="0" xfId="0">
      <alignment horizontal="center" vertical="center" readingOrder="2"/>
    </xf>
    <xf numFmtId="165" fontId="7" fillId="0" borderId="2" applyAlignment="1" pivotButton="0" quotePrefix="0" xfId="0">
      <alignment horizontal="center" vertical="center" readingOrder="2"/>
    </xf>
    <xf numFmtId="170" fontId="14" fillId="0" borderId="2" applyAlignment="1" pivotButton="0" quotePrefix="0" xfId="0">
      <alignment horizontal="center" vertical="center" readingOrder="2"/>
    </xf>
    <xf numFmtId="0" fontId="10" fillId="0" borderId="2" applyAlignment="1" pivotButton="0" quotePrefix="0" xfId="0">
      <alignment horizontal="right" vertical="center" indent="1" readingOrder="2"/>
    </xf>
    <xf numFmtId="0" fontId="4" fillId="10" borderId="2" applyAlignment="1" pivotButton="0" quotePrefix="0" xfId="0">
      <alignment horizontal="center" vertical="center" readingOrder="2"/>
    </xf>
    <xf numFmtId="0" fontId="4" fillId="10" borderId="2" applyAlignment="1" pivotButton="0" quotePrefix="0" xfId="0">
      <alignment horizontal="right" vertical="center" indent="1" readingOrder="2"/>
    </xf>
    <xf numFmtId="165" fontId="4" fillId="10" borderId="2" applyAlignment="1" pivotButton="0" quotePrefix="0" xfId="0">
      <alignment horizontal="center" vertical="center" readingOrder="2"/>
    </xf>
    <xf numFmtId="0" fontId="17" fillId="0" borderId="2" applyAlignment="1" pivotButton="0" quotePrefix="0" xfId="0">
      <alignment horizontal="center" vertical="center" readingOrder="2"/>
    </xf>
    <xf numFmtId="0" fontId="17" fillId="0" borderId="2" applyAlignment="1" pivotButton="0" quotePrefix="0" xfId="0">
      <alignment horizontal="right" vertical="center" indent="1" readingOrder="2"/>
    </xf>
    <xf numFmtId="165" fontId="17" fillId="0" borderId="2" applyAlignment="1" pivotButton="0" quotePrefix="0" xfId="0">
      <alignment horizontal="center" vertical="center" readingOrder="2"/>
    </xf>
    <xf numFmtId="165" fontId="18" fillId="9" borderId="2" applyAlignment="1" pivotButton="0" quotePrefix="0" xfId="0">
      <alignment horizontal="center" vertical="center" readingOrder="2"/>
    </xf>
    <xf numFmtId="0" fontId="3" fillId="2" borderId="2" applyAlignment="1" pivotButton="0" quotePrefix="0" xfId="0">
      <alignment horizontal="right" vertical="center" indent="1" readingOrder="2"/>
    </xf>
    <xf numFmtId="0" fontId="19" fillId="4" borderId="0" applyAlignment="1" pivotButton="0" quotePrefix="0" xfId="0">
      <alignment horizontal="center" vertical="center" readingOrder="2"/>
    </xf>
    <xf numFmtId="165" fontId="20" fillId="4" borderId="0" applyAlignment="1" pivotButton="0" quotePrefix="0" xfId="0">
      <alignment horizontal="center" vertical="center" readingOrder="2"/>
    </xf>
    <xf numFmtId="0" fontId="21" fillId="11" borderId="2" applyAlignment="1" pivotButton="0" quotePrefix="0" xfId="0">
      <alignment horizontal="right" vertical="center" indent="1" readingOrder="2"/>
    </xf>
    <xf numFmtId="165" fontId="22" fillId="11" borderId="2" applyAlignment="1" pivotButton="0" quotePrefix="0" xfId="0">
      <alignment horizontal="center" vertical="center" readingOrder="2"/>
    </xf>
    <xf numFmtId="0" fontId="18" fillId="12" borderId="2" applyAlignment="1" pivotButton="0" quotePrefix="0" xfId="0">
      <alignment horizontal="right" vertical="center" indent="1" readingOrder="2"/>
    </xf>
    <xf numFmtId="165" fontId="23" fillId="12" borderId="2" applyAlignment="1" pivotButton="0" quotePrefix="0" xfId="0">
      <alignment horizontal="center" vertical="center" readingOrder="2"/>
    </xf>
    <xf numFmtId="0" fontId="24" fillId="6" borderId="2" applyAlignment="1" pivotButton="0" quotePrefix="0" xfId="0">
      <alignment horizontal="right" vertical="center" wrapText="1" indent="1" readingOrder="2"/>
    </xf>
    <xf numFmtId="0" fontId="25" fillId="0" borderId="2" applyAlignment="1" pivotButton="0" quotePrefix="0" xfId="0">
      <alignment horizontal="center" vertical="center" readingOrder="2"/>
    </xf>
    <xf numFmtId="0" fontId="7" fillId="0" borderId="2" applyAlignment="1" pivotButton="0" quotePrefix="0" xfId="0">
      <alignment horizontal="center" vertical="center" readingOrder="2"/>
    </xf>
    <xf numFmtId="0" fontId="12" fillId="6" borderId="2" applyAlignment="1" pivotButton="0" quotePrefix="0" xfId="0">
      <alignment horizontal="center" vertical="center" readingOrder="2"/>
    </xf>
    <xf numFmtId="0" fontId="26" fillId="0" borderId="2" applyAlignment="1" pivotButton="0" quotePrefix="0" xfId="0">
      <alignment horizontal="right" vertical="top" wrapText="1" indent="1" readingOrder="2"/>
    </xf>
    <xf numFmtId="0" fontId="3" fillId="13" borderId="2" applyAlignment="1" pivotButton="0" quotePrefix="0" xfId="0">
      <alignment horizontal="center" vertical="center" wrapText="1" readingOrder="2"/>
    </xf>
    <xf numFmtId="0" fontId="27" fillId="0" borderId="2" applyAlignment="1" pivotButton="0" quotePrefix="0" xfId="0">
      <alignment horizontal="center" vertical="center" readingOrder="2"/>
    </xf>
    <xf numFmtId="0" fontId="27" fillId="0" borderId="2" applyAlignment="1" pivotButton="0" quotePrefix="0" xfId="0">
      <alignment horizontal="right" vertical="center" wrapText="1" indent="1" readingOrder="2"/>
    </xf>
    <xf numFmtId="167" fontId="27" fillId="0" borderId="2" applyAlignment="1" pivotButton="0" quotePrefix="0" xfId="0">
      <alignment horizontal="center" vertical="center" readingOrder="2"/>
    </xf>
    <xf numFmtId="167" fontId="11" fillId="0" borderId="2" applyAlignment="1" pivotButton="0" quotePrefix="0" xfId="0">
      <alignment horizontal="center" vertical="center" readingOrder="2"/>
    </xf>
    <xf numFmtId="167" fontId="28" fillId="0" borderId="2" applyAlignment="1" pivotButton="0" quotePrefix="0" xfId="0">
      <alignment horizontal="center" vertical="center" readingOrder="2"/>
    </xf>
    <xf numFmtId="171" fontId="28" fillId="0" borderId="2" applyAlignment="1" pivotButton="0" quotePrefix="0" xfId="0">
      <alignment horizontal="center" vertical="center" readingOrder="2"/>
    </xf>
    <xf numFmtId="167" fontId="29" fillId="9" borderId="2" applyAlignment="1" pivotButton="0" quotePrefix="0" xfId="0">
      <alignment horizontal="center" vertical="center" readingOrder="2"/>
    </xf>
    <xf numFmtId="165" fontId="11" fillId="0" borderId="2" applyAlignment="1" pivotButton="0" quotePrefix="0" xfId="0">
      <alignment horizontal="center" vertical="center" readingOrder="2"/>
    </xf>
    <xf numFmtId="165" fontId="7" fillId="10" borderId="2" applyAlignment="1" pivotButton="0" quotePrefix="0" xfId="0">
      <alignment horizontal="center" vertical="center" readingOrder="2"/>
    </xf>
  </cellXfs>
  <cellStyles count="1">
    <cellStyle name="Normal" xfId="0" builtinId="0" hidden="0"/>
  </cellStyles>
  <dxfs count="10">
    <dxf>
      <font>
        <b val="1"/>
        <color rgb="00C62828"/>
      </font>
      <fill>
        <patternFill patternType="solid">
          <fgColor rgb="00FDECEA"/>
          <bgColor rgb="00FDECEA"/>
        </patternFill>
      </fill>
    </dxf>
    <dxf>
      <font>
        <b val="1"/>
        <color rgb="002E7D32"/>
      </font>
      <fill>
        <patternFill patternType="solid">
          <fgColor rgb="00E8F5E9"/>
          <bgColor rgb="00E8F5E9"/>
        </patternFill>
      </fill>
    </dxf>
    <dxf>
      <fill>
        <patternFill patternType="solid">
          <fgColor rgb="00E8F5E9"/>
          <bgColor rgb="00E8F5E9"/>
        </patternFill>
      </fill>
    </dxf>
    <dxf>
      <fill>
        <patternFill patternType="solid">
          <fgColor rgb="00FFF3CD"/>
          <bgColor rgb="00FFF3CD"/>
        </patternFill>
      </fill>
    </dxf>
    <dxf>
      <font>
        <strike val="1"/>
        <color rgb="00C62828"/>
      </font>
      <fill>
        <patternFill patternType="solid">
          <fgColor rgb="00FDECEA"/>
          <bgColor rgb="00FDECEA"/>
        </patternFill>
      </fill>
    </dxf>
    <dxf>
      <fill>
        <patternFill patternType="solid">
          <fgColor rgb="00FDECEA"/>
          <bgColor rgb="00FDECEA"/>
        </patternFill>
      </fill>
    </dxf>
    <dxf>
      <border>
        <top style="medium">
          <color rgb="009A6B00"/>
        </top>
        <bottom style="medium">
          <color rgb="009A6B00"/>
        </bottom>
      </border>
    </dxf>
    <dxf>
      <font>
        <b val="1"/>
        <color rgb="009A6B00"/>
      </font>
      <fill>
        <patternFill patternType="solid">
          <fgColor rgb="00FFF3CD"/>
          <bgColor rgb="00FFF3CD"/>
        </patternFill>
      </fill>
    </dxf>
    <dxf>
      <font>
        <b val="1"/>
        <color rgb="00C62828"/>
      </font>
    </dxf>
    <dxf>
      <fill>
        <patternFill patternType="solid">
          <fgColor rgb="00FFF9E6"/>
          <bgColor rgb="00FFF9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9A6B00"/>
    <outlinePr summaryBelow="1" summaryRight="1"/>
    <pageSetUpPr fitToPage="1"/>
  </sheetPr>
  <dimension ref="B1:C34"/>
  <sheetViews>
    <sheetView showGridLines="0" rightToLeft="1" zoomScale="9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95" customWidth="1" min="3" max="3"/>
  </cols>
  <sheetData>
    <row r="1" ht="38" customHeight="1">
      <c r="B1" s="1" t="inlineStr">
        <is>
          <t>📘 ملف مستخلصات المشروع رقم 50 — 20 مستخلص مترابط</t>
        </is>
      </c>
      <c r="C1" s="1" t="n"/>
    </row>
    <row r="2" ht="20" customHeight="1">
      <c r="B2" s="2">
        <f>IF('بيانات العقد'!$C$5="","مشروع رقم 50 — أدخل بيانات العقد",'بيانات العقد'!$C$5&amp;"   |   عقد رقم: "&amp;'بيانات العقد'!$C$6)&amp;"   |   المبالغ بـ "&amp;'بيانات العقد'!$C$14</f>
        <v/>
      </c>
      <c r="C2" s="2" t="n"/>
    </row>
    <row r="3" ht="26" customHeight="1">
      <c r="B3" s="3" t="inlineStr">
        <is>
          <t>⚙ ابدأ ببيانات العقد</t>
        </is>
      </c>
      <c r="C3" s="4" t="inlineStr">
        <is>
          <t>🧾 الانتقال إلى المستخلص الأول</t>
        </is>
      </c>
    </row>
    <row r="5" ht="22" customHeight="1">
      <c r="B5" s="5" t="inlineStr">
        <is>
          <t>دليل الألوان</t>
        </is>
      </c>
      <c r="C5" s="5" t="n"/>
    </row>
    <row r="6">
      <c r="B6" s="6" t="inlineStr">
        <is>
          <t>إدخال يدوي</t>
        </is>
      </c>
      <c r="C6" s="7" t="inlineStr">
        <is>
          <t>خلايا صفراء بخط أزرق — هي الخلايا الوحيدة التي تُعدّل.</t>
        </is>
      </c>
    </row>
    <row r="7">
      <c r="B7" s="8" t="inlineStr">
        <is>
          <t>معادلة محسوبة</t>
        </is>
      </c>
      <c r="C7" s="7" t="inlineStr">
        <is>
          <t>خط أسود — لا تكتب فوقها.</t>
        </is>
      </c>
    </row>
    <row r="8">
      <c r="B8" s="9" t="inlineStr">
        <is>
          <t>ربط</t>
        </is>
      </c>
      <c r="C8" s="7" t="inlineStr">
        <is>
          <t>خط أخضر — قيمة مسحوبة من شيت آخر (مثل «السابق» من المستخلص الذي قبله).</t>
        </is>
      </c>
    </row>
    <row r="9">
      <c r="B9" s="10" t="inlineStr">
        <is>
          <t>تنبيه</t>
        </is>
      </c>
      <c r="C9" s="7" t="inlineStr">
        <is>
          <t>تظليل أحمر: تجاوز الكمية التعاقدية، كود مكرر، تأخر عن البرنامج.</t>
        </is>
      </c>
    </row>
    <row r="11" ht="22" customHeight="1">
      <c r="B11" s="5" t="inlineStr">
        <is>
          <t>خطوات العمل</t>
        </is>
      </c>
      <c r="C11" s="5" t="n"/>
    </row>
    <row r="12" ht="36" customHeight="1">
      <c r="B12" s="11" t="inlineStr">
        <is>
          <t>بيانات العقد</t>
        </is>
      </c>
      <c r="C12" s="7" t="inlineStr">
        <is>
          <t>أدخل بيانات المشروع والنسب التعاقدية (مرة واحدة).</t>
        </is>
      </c>
    </row>
    <row r="13" ht="36" customHeight="1">
      <c r="B13" s="11" t="inlineStr">
        <is>
          <t>جدول الكميات</t>
        </is>
      </c>
      <c r="C13" s="7" t="inlineStr">
        <is>
          <t>أدخل بنود جدول الكميات والأسعار (حتى 100 بند).</t>
        </is>
      </c>
    </row>
    <row r="14" ht="36" customHeight="1">
      <c r="B14" s="11" t="inlineStr">
        <is>
          <t>مستخلص 01</t>
        </is>
      </c>
      <c r="C14" s="7" t="inlineStr">
        <is>
          <t>في كل مستخلص: أدخل الفترة والتواريخ والحالة والنسبة المخططة، ثم «الكمية الحالية» لكل بند، ورصيد المواد والغرامات والإفراج عن الضمان إن وجد، وبيانات التحصيل. «السابق» يُسحب آلياً من المستخلص الذي قبله، والتراكمي = السابق + الحالي.</t>
        </is>
      </c>
    </row>
    <row r="15" ht="36" customHeight="1">
      <c r="B15" s="11" t="inlineStr">
        <is>
          <t>الأوامر التغييرية</t>
        </is>
      </c>
      <c r="C15" s="7" t="inlineStr">
        <is>
          <t>سجل الأوامر التغييرية واختر رقم المستخلص الذي تُدرج به.</t>
        </is>
      </c>
    </row>
    <row r="16" ht="36" customHeight="1">
      <c r="B16" s="11" t="inlineStr">
        <is>
          <t>الاستقطاعات الفنية</t>
        </is>
      </c>
      <c r="C16" s="7" t="inlineStr">
        <is>
          <t>سجل الاستقطاعات الفنية برقم المستخلص، وحدد مستخلص الإفراج عند المعالجة.</t>
        </is>
      </c>
    </row>
    <row r="17" ht="36" customHeight="1">
      <c r="B17" s="11" t="inlineStr">
        <is>
          <t>سجل المستخلصات</t>
        </is>
      </c>
      <c r="C17" s="7" t="inlineStr">
        <is>
          <t>يتجمع كل شيء آلياً في السجل، ومنه ينتقل إلى ملف التقارير المجمع لكل المشاريع.</t>
        </is>
      </c>
    </row>
    <row r="19" ht="22" customHeight="1">
      <c r="B19" s="12" t="inlineStr">
        <is>
          <t>التوافق مع الأنظمة السعودية</t>
        </is>
      </c>
      <c r="C19" s="12" t="n"/>
    </row>
    <row r="20" ht="34" customHeight="1">
      <c r="B20" s="13" t="inlineStr">
        <is>
          <t>ضريبة القيمة المضافة</t>
        </is>
      </c>
      <c r="C20" s="7" t="inlineStr">
        <is>
          <t>15% (نظام ضريبة القيمة المضافة). وعاء الضريبة = صافي المستخلص بعد استرداد الدفعة المقدمة، ويشمل المحتجزات إذا فُوترت مع المستخلص، ولا تُخفضه غرامات التأخير افتراضياً — كلها قابلة للضبط في «بيانات العقد».</t>
        </is>
      </c>
    </row>
    <row r="21" ht="34" customHeight="1">
      <c r="B21" s="13" t="inlineStr">
        <is>
          <t>الفاتورة الضريبية</t>
        </is>
      </c>
      <c r="C21" s="7" t="inlineStr">
        <is>
          <t>يُسجل رقم وتاريخ الفاتورة الضريبية لكل مستخلص. الفاتورة نفسها تُصدر من نظام فوترة إلكترونية متوافق مع متطلبات «فاتورة» لهيئة الزكاة والضريبة والجمارك (رمز QR والربط في المرحلة الثانية) — المستخلص ليس بديلاً عنها.</t>
        </is>
      </c>
    </row>
    <row r="22" ht="34" customHeight="1">
      <c r="B22" s="13" t="inlineStr">
        <is>
          <t>الرقم الضريبي</t>
        </is>
      </c>
      <c r="C22" s="7" t="inlineStr">
        <is>
          <t>15 رقماً يبدأ وينتهي بالرقم 3 — مع تحقق آلي من الصيغة للمقاول وصاحب العمل.</t>
        </is>
      </c>
    </row>
    <row r="23" ht="34" customHeight="1">
      <c r="B23" s="13" t="inlineStr">
        <is>
          <t>الدفعة المقدمة</t>
        </is>
      </c>
      <c r="C23" s="7" t="inlineStr">
        <is>
          <t>في العقود الحكومية لا تتجاوز 10% من قيمة العقد وبمقابل ضمان بنكي مساوٍ لها، وتُسترد من المستخلصات.</t>
        </is>
      </c>
    </row>
    <row r="24" ht="34" customHeight="1">
      <c r="B24" s="13" t="inlineStr">
        <is>
          <t>الضمان النهائي</t>
        </is>
      </c>
      <c r="C24" s="7" t="inlineStr">
        <is>
          <t>5% من قيمة العقد (خطاب ضمان بنكي) مع تنبيه آلي قبل انتهاء الصلاحية بـ 30 يوماً.</t>
        </is>
      </c>
    </row>
    <row r="25" ht="34" customHeight="1">
      <c r="B25" s="13" t="inlineStr">
        <is>
          <t>غرامات التأخير</t>
        </is>
      </c>
      <c r="C25" s="7" t="inlineStr">
        <is>
          <t>حد أقصى قابل للضبط (افتراضياً 10% من قيمة العقد) مع تنبيه عند تجاوزه.</t>
        </is>
      </c>
    </row>
    <row r="26" ht="34" customHeight="1">
      <c r="B26" s="13" t="inlineStr">
        <is>
          <t>ضريبة الاستقطاع</t>
        </is>
      </c>
      <c r="C26" s="7" t="inlineStr">
        <is>
          <t>لا تُطبق على المقاول المقيم (0%)، وتُستخدم فقط للمدفوعات لغير المقيم وفق نظام ضريبة الدخل.</t>
        </is>
      </c>
    </row>
    <row r="27" ht="34" customHeight="1">
      <c r="B27" s="13" t="inlineStr">
        <is>
          <t>المستندات النظامية</t>
        </is>
      </c>
      <c r="C27" s="7" t="inlineStr">
        <is>
          <t>قائمة تحقق لكل مستخلص: الزكاة، التأمينات الاجتماعية (GOSI)، نطاقات، السجل التجاري والغرفة، الضمانات، التأمين (CAR).</t>
        </is>
      </c>
    </row>
    <row r="28" ht="34" customHeight="1">
      <c r="B28" s="13" t="inlineStr">
        <is>
          <t>التاريخ الهجري</t>
        </is>
      </c>
      <c r="C28" s="7" t="inlineStr">
        <is>
          <t>تظهر فترة كل مستخلص بالتاريخ الهجري بجوار الميلادي.</t>
        </is>
      </c>
    </row>
    <row r="29" ht="34" customHeight="1">
      <c r="B29" s="13" t="inlineStr">
        <is>
          <t>تنبيه مهم</t>
        </is>
      </c>
      <c r="C29" s="7" t="inlineStr">
        <is>
          <t>النسب والحدود الافتراضية مبنية على الممارسة الشائعة؛ تُراجع مع شروط عقدك والمستشار القانوني والضريبي قبل الاعتماد.</t>
        </is>
      </c>
    </row>
    <row r="31" ht="22" customHeight="1">
      <c r="B31" s="14" t="inlineStr">
        <is>
          <t>الربط مع ملف التقارير</t>
        </is>
      </c>
      <c r="C31" s="14" t="n"/>
    </row>
    <row r="32" ht="24" customHeight="1">
      <c r="B32" s="15" t="inlineStr">
        <is>
          <t>•</t>
        </is>
      </c>
      <c r="C32" s="7" t="inlineStr">
        <is>
          <t>اسم هذا الملف يجب أن يبقى «IPC_Project_50.xlsx» داخل فولدر «Project_50»، والفولدر بجوار ملف «Projects_Billing_Reports.xlsx».</t>
        </is>
      </c>
    </row>
    <row r="33" ht="24" customHeight="1">
      <c r="B33" s="15" t="inlineStr">
        <is>
          <t>•</t>
        </is>
      </c>
      <c r="C33" s="7" t="inlineStr">
        <is>
          <t>بعد حفظ هذا الملف، افتح ملف التقارير واضغط «تمكين المحتوى / تحديث» ليتم سحب الأرقام الجديدة.</t>
        </is>
      </c>
    </row>
    <row r="34" ht="24" customHeight="1">
      <c r="B34" s="15" t="inlineStr">
        <is>
          <t>•</t>
        </is>
      </c>
      <c r="C34" s="7" t="inlineStr">
        <is>
          <t>لا تحذف صفوفاً أو أعمدة ولا تغيّر أسماء الشيتات حتى لا ينقطع الربط.</t>
        </is>
      </c>
    </row>
  </sheetData>
  <mergeCells count="6">
    <mergeCell ref="B2:C2"/>
    <mergeCell ref="B11:C11"/>
    <mergeCell ref="B19:C19"/>
    <mergeCell ref="B5:C5"/>
    <mergeCell ref="B31:C31"/>
    <mergeCell ref="B1:C1"/>
  </mergeCells>
  <hyperlinks>
    <hyperlink ref="B3" location="'بيانات العقد'!A1" display="⚙ ابدأ ببيانات العقد"/>
    <hyperlink ref="C3" location="'مستخلص 01'!A1" display="🧾 الانتقال إلى المستخلص الأول"/>
    <hyperlink ref="B12" location="'بيانات العقد'!A1" display="بيانات العقد"/>
    <hyperlink ref="B13" location="'جدول الكميات'!A1" display="جدول الكميات"/>
    <hyperlink ref="B14" location="'مستخلص 01'!A1" display="مستخلص 01"/>
    <hyperlink ref="B15" location="'الأوامر التغييرية'!A1" display="الأوامر التغييرية"/>
    <hyperlink ref="B16" location="'الاستقطاعات الفنية'!A1" display="الاستقطاعات الفنية"/>
    <hyperlink ref="B17" location="'سجل المستخلصات'!A1" display="سجل المستخلصات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2C5282"/>
    <outlinePr summaryBelow="1" summaryRight="1"/>
    <pageSetUpPr fitToPage="1"/>
  </sheetPr>
  <dimension ref="B1:I47"/>
  <sheetViews>
    <sheetView showGridLines="0" rightToLeft="1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40" customWidth="1" min="2" max="2"/>
    <col width="30" customWidth="1" min="3" max="3"/>
    <col width="58" customWidth="1" min="4" max="4"/>
    <col width="3" customWidth="1" min="5" max="5"/>
    <col width="30" customWidth="1" min="6" max="6"/>
    <col width="22" customWidth="1" min="7" max="7"/>
    <col width="22" customWidth="1" min="8" max="8"/>
    <col width="26" customWidth="1" min="9" max="9"/>
  </cols>
  <sheetData>
    <row r="1" ht="38" customHeight="1">
      <c r="B1" s="1" t="inlineStr">
        <is>
          <t>⚙ بيانات العقد والإعدادات التعاقدية — مشروع رقم 50</t>
        </is>
      </c>
      <c r="C1" s="1" t="n"/>
      <c r="D1" s="1" t="n"/>
      <c r="E1" s="1" t="n"/>
      <c r="F1" s="1" t="n"/>
      <c r="G1" s="1" t="n"/>
      <c r="H1" s="1" t="n"/>
      <c r="I1" s="1" t="n"/>
    </row>
    <row r="2" ht="20" customHeight="1">
      <c r="B2" s="2">
        <f>IF('بيانات العقد'!$C$5="","مشروع رقم 50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</row>
    <row r="3" ht="26" customHeight="1">
      <c r="B3" s="3" t="inlineStr">
        <is>
          <t>🗂 سجل المستخلصات</t>
        </is>
      </c>
      <c r="C3" s="16" t="inlineStr">
        <is>
          <t>📋 جدول الكميات</t>
        </is>
      </c>
      <c r="D3" s="16" t="inlineStr">
        <is>
          <t>🔁 التغييرية</t>
        </is>
      </c>
      <c r="F3" s="16" t="inlineStr">
        <is>
          <t>✂ الاستقطاعات</t>
        </is>
      </c>
      <c r="G3" s="4" t="inlineStr">
        <is>
          <t>🧾 مستخلص 01</t>
        </is>
      </c>
    </row>
    <row r="4" ht="22" customHeight="1">
      <c r="B4" s="17" t="inlineStr">
        <is>
          <t>البيان</t>
        </is>
      </c>
      <c r="C4" s="17" t="inlineStr">
        <is>
          <t>القيمة</t>
        </is>
      </c>
      <c r="D4" s="17" t="inlineStr">
        <is>
          <t>ملاحظات / الأساس التعاقدي</t>
        </is>
      </c>
      <c r="F4" s="5" t="inlineStr">
        <is>
          <t>القوائم المنسدلة (قابلة للتعديل)</t>
        </is>
      </c>
      <c r="G4" s="5" t="n"/>
      <c r="H4" s="5" t="n"/>
      <c r="I4" s="5" t="n"/>
    </row>
    <row r="5">
      <c r="B5" s="18" t="inlineStr">
        <is>
          <t>اسم المشروع</t>
        </is>
      </c>
      <c r="C5" s="19" t="n"/>
      <c r="D5" s="20" t="inlineStr">
        <is>
          <t>يظهر في جميع الشيتات وفي ملف التقارير المجمع</t>
        </is>
      </c>
      <c r="F5" s="21" t="inlineStr">
        <is>
          <t>أقسام الأعمال</t>
        </is>
      </c>
      <c r="G5" s="21" t="inlineStr">
        <is>
          <t>حالة المستخلص</t>
        </is>
      </c>
      <c r="H5" s="21" t="inlineStr">
        <is>
          <t>حالة الأمر التغييري</t>
        </is>
      </c>
      <c r="I5" s="21" t="inlineStr">
        <is>
          <t>نوع الاستقطاع الفني</t>
        </is>
      </c>
    </row>
    <row r="6">
      <c r="B6" s="18" t="inlineStr">
        <is>
          <t>رقم العقد</t>
        </is>
      </c>
      <c r="C6" s="19" t="n"/>
      <c r="D6" s="20" t="inlineStr"/>
      <c r="F6" s="22" t="inlineStr">
        <is>
          <t>أعمال الحفر والردم</t>
        </is>
      </c>
      <c r="G6" s="22" t="inlineStr">
        <is>
          <t>مسودة</t>
        </is>
      </c>
      <c r="H6" s="22" t="inlineStr">
        <is>
          <t>معتمد</t>
        </is>
      </c>
      <c r="I6" s="22" t="inlineStr">
        <is>
          <t>أعمال غير مطابقة</t>
        </is>
      </c>
    </row>
    <row r="7">
      <c r="B7" s="18" t="inlineStr">
        <is>
          <t>صاحب العمل (المالك)</t>
        </is>
      </c>
      <c r="C7" s="19" t="n"/>
      <c r="D7" s="20" t="inlineStr"/>
      <c r="F7" s="22" t="inlineStr">
        <is>
          <t>الخرسانة العادية والمسلحة</t>
        </is>
      </c>
      <c r="G7" s="22" t="inlineStr">
        <is>
          <t>مقدم للاستشاري</t>
        </is>
      </c>
      <c r="H7" s="22" t="inlineStr">
        <is>
          <t>قيد الدراسة</t>
        </is>
      </c>
      <c r="I7" s="22" t="inlineStr">
        <is>
          <t>أعمال ناقصة</t>
        </is>
      </c>
    </row>
    <row r="8">
      <c r="B8" s="18" t="inlineStr">
        <is>
          <t>الاستشاري / المهندس</t>
        </is>
      </c>
      <c r="C8" s="19" t="n"/>
      <c r="D8" s="20" t="inlineStr"/>
      <c r="F8" s="22" t="inlineStr">
        <is>
          <t>أعمال المباني</t>
        </is>
      </c>
      <c r="G8" s="22" t="inlineStr">
        <is>
          <t>تحت المراجعة</t>
        </is>
      </c>
      <c r="H8" s="22" t="inlineStr">
        <is>
          <t>مرفوض</t>
        </is>
      </c>
      <c r="I8" s="22" t="inlineStr">
        <is>
          <t>ملاحظات فنية</t>
        </is>
      </c>
    </row>
    <row r="9">
      <c r="B9" s="18" t="inlineStr">
        <is>
          <t>المقاول</t>
        </is>
      </c>
      <c r="C9" s="19" t="n"/>
      <c r="D9" s="20" t="inlineStr"/>
      <c r="F9" s="22" t="inlineStr">
        <is>
          <t>أعمال العزل</t>
        </is>
      </c>
      <c r="G9" s="22" t="inlineStr">
        <is>
          <t>معتمد</t>
        </is>
      </c>
      <c r="H9" s="22" t="n"/>
      <c r="I9" s="22" t="inlineStr">
        <is>
          <t>اختبارات غير مستكملة</t>
        </is>
      </c>
    </row>
    <row r="10">
      <c r="B10" s="18" t="inlineStr">
        <is>
          <t>تاريخ توقيع العقد</t>
        </is>
      </c>
      <c r="C10" s="23" t="n"/>
      <c r="D10" s="20" t="inlineStr"/>
      <c r="F10" s="22" t="inlineStr">
        <is>
          <t>أعمال التشطيبات</t>
        </is>
      </c>
      <c r="G10" s="22" t="inlineStr">
        <is>
          <t>مرفوض</t>
        </is>
      </c>
      <c r="H10" s="22" t="n"/>
      <c r="I10" s="22" t="inlineStr">
        <is>
          <t>مستندات غير مستكملة</t>
        </is>
      </c>
    </row>
    <row r="11">
      <c r="B11" s="18" t="inlineStr">
        <is>
          <t>تاريخ بدء الأعمال (أمر المباشرة)</t>
        </is>
      </c>
      <c r="C11" s="23" t="n"/>
      <c r="D11" s="20" t="inlineStr">
        <is>
          <t>بداية احتساب المدة الزمنية</t>
        </is>
      </c>
      <c r="F11" s="22" t="inlineStr">
        <is>
          <t>الأعمال الكهربائية</t>
        </is>
      </c>
      <c r="G11" s="22" t="n"/>
      <c r="H11" s="22" t="n"/>
      <c r="I11" s="22" t="inlineStr">
        <is>
          <t>أخرى</t>
        </is>
      </c>
    </row>
    <row r="12">
      <c r="B12" s="18" t="inlineStr">
        <is>
          <t>مدة العقد (بالشهور)</t>
        </is>
      </c>
      <c r="C12" s="24" t="n"/>
      <c r="D12" s="20" t="inlineStr"/>
      <c r="F12" s="22" t="inlineStr">
        <is>
          <t>الأعمال الصحية</t>
        </is>
      </c>
      <c r="G12" s="22" t="n"/>
      <c r="H12" s="22" t="n"/>
      <c r="I12" s="22" t="n"/>
    </row>
    <row r="13">
      <c r="B13" s="18" t="inlineStr">
        <is>
          <t>تاريخ الانتهاء التعاقدي</t>
        </is>
      </c>
      <c r="C13" s="25">
        <f>IF(OR(C11="",C12=""),"",EDATE(C11,C12)-1)</f>
        <v/>
      </c>
      <c r="D13" s="20" t="inlineStr">
        <is>
          <t>محسوب = البدء + المدة</t>
        </is>
      </c>
      <c r="F13" s="22" t="inlineStr">
        <is>
          <t>أعمال التكييف</t>
        </is>
      </c>
      <c r="G13" s="22" t="n"/>
      <c r="H13" s="22" t="n"/>
      <c r="I13" s="22" t="n"/>
    </row>
    <row r="14">
      <c r="B14" s="18" t="inlineStr">
        <is>
          <t>العملة</t>
        </is>
      </c>
      <c r="C14" s="19" t="inlineStr">
        <is>
          <t>ريال سعودي</t>
        </is>
      </c>
      <c r="D14" s="20" t="inlineStr"/>
      <c r="F14" s="22" t="inlineStr">
        <is>
          <t>أعمال الموقع العام</t>
        </is>
      </c>
      <c r="G14" s="22" t="n"/>
      <c r="H14" s="22" t="n"/>
      <c r="I14" s="22" t="n"/>
    </row>
    <row r="15" ht="22" customHeight="1">
      <c r="B15" s="26" t="inlineStr">
        <is>
          <t>القيم التعاقدية</t>
        </is>
      </c>
      <c r="C15" s="26" t="n"/>
      <c r="D15" s="26" t="n"/>
      <c r="F15" s="22" t="n"/>
      <c r="G15" s="22" t="n"/>
      <c r="H15" s="22" t="n"/>
      <c r="I15" s="22" t="n"/>
    </row>
    <row r="16">
      <c r="B16" s="18" t="inlineStr">
        <is>
          <t>قيمة العقد الأصلية</t>
        </is>
      </c>
      <c r="C16" s="27">
        <f>'جدول الكميات'!H106</f>
        <v/>
      </c>
      <c r="D16" s="20" t="inlineStr">
        <is>
          <t>مرتبطة تلقائياً بإجمالي جدول الكميات</t>
        </is>
      </c>
      <c r="F16" s="22" t="n"/>
      <c r="G16" s="22" t="n"/>
      <c r="H16" s="22" t="n"/>
      <c r="I16" s="22" t="n"/>
    </row>
    <row r="17">
      <c r="B17" s="18" t="inlineStr">
        <is>
          <t>صافي الأوامر التغييرية المعتمدة</t>
        </is>
      </c>
      <c r="C17" s="27">
        <f>SUMIFS('الأوامر التغييرية'!$G$6:$G$55,'الأوامر التغييرية'!$H$6:$H$55,"معتمد")</f>
        <v/>
      </c>
      <c r="D17" s="20" t="inlineStr">
        <is>
          <t>مرتبطة بشيت الأوامر التغييرية (المعتمدة فقط)</t>
        </is>
      </c>
      <c r="F17" s="22" t="n"/>
      <c r="G17" s="22" t="n"/>
      <c r="H17" s="22" t="n"/>
      <c r="I17" s="22" t="n"/>
    </row>
    <row r="18">
      <c r="B18" s="18" t="inlineStr">
        <is>
          <t>قيمة العقد المعدلة</t>
        </is>
      </c>
      <c r="C18" s="28">
        <f>C16+C17</f>
        <v/>
      </c>
      <c r="D18" s="20" t="inlineStr">
        <is>
          <t>الأصلية + صافي التغييرية المعتمدة</t>
        </is>
      </c>
    </row>
    <row r="19" ht="22" customHeight="1">
      <c r="B19" s="26" t="inlineStr">
        <is>
          <t>الدفعة المقدمة واستردادها</t>
        </is>
      </c>
      <c r="C19" s="26" t="n"/>
      <c r="D19" s="26" t="n"/>
    </row>
    <row r="20">
      <c r="B20" s="18" t="inlineStr">
        <is>
          <t>نسبة الدفعة المقدمة</t>
        </is>
      </c>
      <c r="C20" s="29" t="n">
        <v>0.1</v>
      </c>
      <c r="D20" s="20" t="inlineStr">
        <is>
          <t>من قيمة العقد الأصلية — في العقود الحكومية لا تتجاوز 10% وبمقابل ضمان بنكي مساوٍ لها</t>
        </is>
      </c>
    </row>
    <row r="21">
      <c r="B21" s="18" t="inlineStr">
        <is>
          <t>قيمة الدفعة المقدمة</t>
        </is>
      </c>
      <c r="C21" s="28">
        <f>C16*C20</f>
        <v/>
      </c>
      <c r="D21" s="20" t="inlineStr">
        <is>
          <t>محسوبة</t>
        </is>
      </c>
    </row>
    <row r="22">
      <c r="B22" s="18" t="inlineStr">
        <is>
          <t>تاريخ صرف الدفعة المقدمة</t>
        </is>
      </c>
      <c r="C22" s="23" t="n"/>
      <c r="D22" s="20" t="inlineStr">
        <is>
          <t>تُصدر عنها فاتورة ضريبية عند الاستلام، ويُخفض الاسترداد وعاء الضريبة في المستخلصات التالية</t>
        </is>
      </c>
    </row>
    <row r="23">
      <c r="B23" s="18" t="inlineStr">
        <is>
          <t>نسبة الاسترداد من قيمة الأعمال</t>
        </is>
      </c>
      <c r="C23" s="29" t="n">
        <v>0.125</v>
      </c>
      <c r="D23" s="20" t="inlineStr">
        <is>
          <t>تُخصم من كل مستخلص كنسبة من (الأعمال المنفذة + التغييرية)</t>
        </is>
      </c>
    </row>
    <row r="24">
      <c r="B24" s="18" t="inlineStr">
        <is>
          <t>بدء الاسترداد عند نسبة إنجاز</t>
        </is>
      </c>
      <c r="C24" s="29" t="n">
        <v>0</v>
      </c>
      <c r="D24" s="20" t="inlineStr">
        <is>
          <t>مثال FIDIC: يبدأ الاسترداد بعد تجاوز 10% من قيمة العقد</t>
        </is>
      </c>
    </row>
    <row r="25">
      <c r="B25" s="18" t="inlineStr">
        <is>
          <t>استرداد كامل الرصيد عند نسبة إنجاز</t>
        </is>
      </c>
      <c r="C25" s="29" t="n">
        <v>0.8</v>
      </c>
      <c r="D25" s="20" t="inlineStr">
        <is>
          <t>عند بلوغ هذه النسبة يُسترد كامل الرصيد المتبقي</t>
        </is>
      </c>
    </row>
    <row r="26" ht="22" customHeight="1">
      <c r="B26" s="26" t="inlineStr">
        <is>
          <t>ضمان الأعمال</t>
        </is>
      </c>
      <c r="C26" s="26" t="n"/>
      <c r="D26" s="26" t="n"/>
    </row>
    <row r="27">
      <c r="B27" s="18" t="inlineStr">
        <is>
          <t>نسبة ضمان الأعمال (المحتجزات)</t>
        </is>
      </c>
      <c r="C27" s="29" t="n">
        <v>0.1</v>
      </c>
      <c r="D27" s="20" t="inlineStr">
        <is>
          <t>تُحتجز من إجمالي قيمة الأعمال التراكمية</t>
        </is>
      </c>
    </row>
    <row r="28">
      <c r="B28" s="18" t="inlineStr">
        <is>
          <t>الحد الأقصى للضمان (% من العقد المعدل)</t>
        </is>
      </c>
      <c r="C28" s="29" t="n">
        <v>0.05</v>
      </c>
      <c r="D28" s="20" t="inlineStr">
        <is>
          <t>يتوقف الاحتجاز عند بلوغ الحد</t>
        </is>
      </c>
    </row>
    <row r="29">
      <c r="B29" s="18" t="inlineStr">
        <is>
          <t>الحد الأقصى للضمان (قيمة)</t>
        </is>
      </c>
      <c r="C29" s="28">
        <f>C18*C28</f>
        <v/>
      </c>
      <c r="D29" s="20" t="inlineStr">
        <is>
          <t>محسوب</t>
        </is>
      </c>
    </row>
    <row r="30" ht="22" customHeight="1">
      <c r="B30" s="26" t="inlineStr">
        <is>
          <t>الضرائب (هيئة الزكاة والضريبة والجمارك)</t>
        </is>
      </c>
      <c r="C30" s="26" t="n"/>
      <c r="D30" s="26" t="n"/>
    </row>
    <row r="31">
      <c r="B31" s="18" t="inlineStr">
        <is>
          <t>نسبة ضريبة القيمة المضافة</t>
        </is>
      </c>
      <c r="C31" s="29" t="n">
        <v>0.15</v>
      </c>
      <c r="D31" s="20" t="inlineStr">
        <is>
          <t>15% وفق نظام ضريبة القيمة المضافة في المملكة (منذ يوليو 2020)</t>
        </is>
      </c>
    </row>
    <row r="32">
      <c r="B32" s="18" t="inlineStr">
        <is>
          <t>احتساب الضريبة قبل خصم الضمان؟</t>
        </is>
      </c>
      <c r="C32" s="19" t="inlineStr">
        <is>
          <t>نعم</t>
        </is>
      </c>
      <c r="D32" s="20" t="inlineStr">
        <is>
          <t>نعم: الفاتورة الضريبية تصدر بكامل قيمة المستخلص شاملة المحتجزات — لا: تُفوتر المحتجزات وتُحتسب ضريبتها عند الإفراج</t>
        </is>
      </c>
    </row>
    <row r="33">
      <c r="B33" s="18" t="inlineStr">
        <is>
          <t>نسبة ضريبة الاستقطاع (للمقاول غير المقيم فقط)</t>
        </is>
      </c>
      <c r="C33" s="29" t="n">
        <v>0</v>
      </c>
      <c r="D33" s="20" t="inlineStr">
        <is>
          <t>0% للمقاول المقيم بالمملكة — تُطبق فقط على المدفوعات لغير المقيم وفق نظام ضريبة الدخل</t>
        </is>
      </c>
    </row>
    <row r="34">
      <c r="B34" s="18" t="inlineStr">
        <is>
          <t>خصم الغرامات من وعاء ض.ق.م؟</t>
        </is>
      </c>
      <c r="C34" s="19" t="inlineStr">
        <is>
          <t>لا</t>
        </is>
      </c>
      <c r="D34" s="20" t="inlineStr">
        <is>
          <t>لا: غرامات التأخير تعويض وليست تخفيضاً لقيمة التوريد فلا تُخفض وعاء الضريبة (راجع مستشارك الضريبي)</t>
        </is>
      </c>
    </row>
    <row r="35" ht="22" customHeight="1">
      <c r="B35" s="26" t="inlineStr">
        <is>
          <t>البيانات النظامية والضمانات البنكية (المملكة العربية السعودية)</t>
        </is>
      </c>
      <c r="C35" s="26" t="n"/>
      <c r="D35" s="26" t="n"/>
    </row>
    <row r="36">
      <c r="B36" s="18" t="inlineStr">
        <is>
          <t>نوع العقد</t>
        </is>
      </c>
      <c r="C36" s="19" t="n"/>
      <c r="D36" s="20" t="inlineStr">
        <is>
          <t>يحدد المرجعية: نظام المنافسات والمشتريات الحكومية ولائحته التنفيذية أو شروط العقد الخاص (FIDIC)</t>
        </is>
      </c>
    </row>
    <row r="37">
      <c r="B37" s="18" t="inlineStr">
        <is>
          <t>الرقم الضريبي للمقاول</t>
        </is>
      </c>
      <c r="C37" s="30" t="n"/>
      <c r="D37" s="20" t="inlineStr">
        <is>
          <t>15 رقماً يبدأ وينتهي بالرقم 3 (يظهر في الفاتورة الضريبية)</t>
        </is>
      </c>
    </row>
    <row r="38">
      <c r="B38" s="18" t="inlineStr">
        <is>
          <t>السجل التجاري للمقاول</t>
        </is>
      </c>
      <c r="C38" s="30" t="n"/>
      <c r="D38" s="20" t="inlineStr"/>
    </row>
    <row r="39">
      <c r="B39" s="18" t="inlineStr">
        <is>
          <t>الرقم الضريبي لصاحب العمل</t>
        </is>
      </c>
      <c r="C39" s="30" t="n"/>
      <c r="D39" s="20" t="inlineStr">
        <is>
          <t>مطلوب في الفاتورة الضريبية بين المنشآت (B2B)</t>
        </is>
      </c>
    </row>
    <row r="40">
      <c r="B40" s="18" t="inlineStr">
        <is>
          <t>نسبة الضمان النهائي</t>
        </is>
      </c>
      <c r="C40" s="29" t="n">
        <v>0.05</v>
      </c>
      <c r="D40" s="20" t="inlineStr">
        <is>
          <t>خطاب ضمان بنكي — 5% من قيمة العقد في العقود الحكومية (أو حسب العقد)</t>
        </is>
      </c>
    </row>
    <row r="41">
      <c r="B41" s="18" t="inlineStr">
        <is>
          <t>قيمة الضمان النهائي</t>
        </is>
      </c>
      <c r="C41" s="28">
        <f>C18*C40</f>
        <v/>
      </c>
      <c r="D41" s="20" t="inlineStr">
        <is>
          <t>محسوبة على قيمة العقد المعدلة</t>
        </is>
      </c>
    </row>
    <row r="42">
      <c r="B42" s="18" t="inlineStr">
        <is>
          <t>تاريخ انتهاء الضمان النهائي</t>
        </is>
      </c>
      <c r="C42" s="23" t="n"/>
      <c r="D42" s="20" t="inlineStr">
        <is>
          <t>تنبيه أحمر إذا تبقى أقل من 30 يوماً</t>
        </is>
      </c>
    </row>
    <row r="43">
      <c r="B43" s="18" t="inlineStr">
        <is>
          <t>تاريخ انتهاء ضمان الدفعة المقدمة</t>
        </is>
      </c>
      <c r="C43" s="23" t="n"/>
      <c r="D43" s="20" t="inlineStr">
        <is>
          <t>يجب أن يظل سارياً حتى استرداد الدفعة بالكامل</t>
        </is>
      </c>
    </row>
    <row r="44">
      <c r="B44" s="18" t="inlineStr">
        <is>
          <t>الحد الأقصى لغرامات التأخير (% من العقد)</t>
        </is>
      </c>
      <c r="C44" s="29" t="n">
        <v>0.1</v>
      </c>
      <c r="D44" s="20" t="inlineStr">
        <is>
          <t>حسب العقد / نظام المنافسات والمشتريات الحكومية ولائحته</t>
        </is>
      </c>
    </row>
    <row r="45">
      <c r="B45" s="18" t="inlineStr">
        <is>
          <t>قيمة الحد الأقصى للغرامات</t>
        </is>
      </c>
      <c r="C45" s="28">
        <f>C18*C44</f>
        <v/>
      </c>
      <c r="D45" s="20" t="inlineStr">
        <is>
          <t>محسوبة</t>
        </is>
      </c>
    </row>
    <row r="46">
      <c r="B46" s="18" t="inlineStr">
        <is>
          <t>الغرامات المحتسبة حتى تاريخه</t>
        </is>
      </c>
      <c r="C46" s="27">
        <f>-'مستخلص 20'!$L$27</f>
        <v/>
      </c>
      <c r="D46" s="20" t="inlineStr">
        <is>
          <t>تراكمي من آخر مستخلص</t>
        </is>
      </c>
    </row>
    <row r="47">
      <c r="B47" s="18" t="inlineStr">
        <is>
          <t>حالة الغرامات</t>
        </is>
      </c>
      <c r="C47" s="31">
        <f>IF(C46&gt;C45,"⚠ تجاوزت الحد الأقصى","✔ ضمن الحد المسموح")</f>
        <v/>
      </c>
      <c r="D47" s="20" t="inlineStr"/>
    </row>
  </sheetData>
  <mergeCells count="8">
    <mergeCell ref="B19:D19"/>
    <mergeCell ref="B2:I2"/>
    <mergeCell ref="B35:D35"/>
    <mergeCell ref="F4:I4"/>
    <mergeCell ref="B26:D26"/>
    <mergeCell ref="B30:D30"/>
    <mergeCell ref="B15:D15"/>
    <mergeCell ref="B1:I1"/>
  </mergeCells>
  <conditionalFormatting sqref="C42">
    <cfRule type="expression" priority="1" dxfId="0">
      <formula>AND(C42&lt;&gt;"",C42-TODAY()&lt;=30)</formula>
    </cfRule>
  </conditionalFormatting>
  <conditionalFormatting sqref="C43">
    <cfRule type="expression" priority="2" dxfId="0">
      <formula>AND(C43&lt;&gt;"",C43-TODAY()&lt;=30)</formula>
    </cfRule>
  </conditionalFormatting>
  <conditionalFormatting sqref="C47">
    <cfRule type="expression" priority="3" dxfId="0">
      <formula>ISNUMBER(SEARCH("⚠",C47))</formula>
    </cfRule>
    <cfRule type="expression" priority="4" dxfId="1">
      <formula>ISNUMBER(SEARCH("✔",C47))</formula>
    </cfRule>
  </conditionalFormatting>
  <dataValidations count="6">
    <dataValidation sqref="C32" showDropDown="0" showInputMessage="0" showErrorMessage="1" allowBlank="1" errorTitle="قيمة غير مسموحة" error="من فضلك اختر قيمة من القائمة المنسدلة." type="list">
      <formula1>"نعم,لا"</formula1>
    </dataValidation>
    <dataValidation sqref="C34" showDropDown="0" showInputMessage="0" showErrorMessage="1" allowBlank="1" errorTitle="قيمة غير مسموحة" error="من فضلك اختر قيمة من القائمة المنسدلة." type="list">
      <formula1>"نعم,لا"</formula1>
    </dataValidation>
    <dataValidation sqref="C36" showDropDown="0" showInputMessage="0" showErrorMessage="1" allowBlank="1" errorTitle="قيمة غير مسموحة" error="من فضلك اختر قيمة من القائمة المنسدلة." type="list">
      <formula1>"حكومي - نظام المنافسات والمشتريات الحكومية,خاص - FIDIC,خاص - عقد مقاولة"</formula1>
    </dataValidation>
    <dataValidation sqref="C37 C39" showDropDown="0" showInputMessage="0" showErrorMessage="1" allowBlank="1" errorTitle="رقم ضريبي غير صحيح" error="الرقم الضريبي 15 رقماً يبدأ وينتهي بالرقم 3" type="custom">
      <formula1>AND(LEN(C37)=15,LEFT(C37,1)="3",RIGHT(C37,1)="3")</formula1>
    </dataValidation>
    <dataValidation sqref="C20 C23:C25 C27:C28 C31 C33" showDropDown="0" showInputMessage="1" showErrorMessage="1" allowBlank="1" errorTitle="قيمة غير صحيحة" error="أدخل رقماً صحيحاً ضمن الحدود المسموحة." promptTitle="إرشاد" prompt="أدخل النسبة (مثال: 10%)" type="decimal" operator="between">
      <formula1>0</formula1>
      <formula2>1</formula2>
    </dataValidation>
    <dataValidation sqref="C10:C11 C22 C42:C43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</dataValidations>
  <hyperlinks>
    <hyperlink ref="B3" location="'سجل المستخلصات'!A1" display="🗂 سجل المستخلصات"/>
    <hyperlink ref="C3" location="'جدول الكميات'!A1" display="📋 جدول الكميات"/>
    <hyperlink ref="D3" location="'الأوامر التغييرية'!A1" display="🔁 التغييرية"/>
    <hyperlink ref="F3" location="'الاستقطاعات الفنية'!A1" display="✂ الاستقطاعات"/>
    <hyperlink ref="G3" location="'مستخلص 01'!A1" display="🧾 مستخلص 01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2E7D7A"/>
    <outlinePr summaryBelow="1" summaryRight="1"/>
    <pageSetUpPr fitToPage="1"/>
  </sheetPr>
  <dimension ref="A1:I106"/>
  <sheetViews>
    <sheetView showGridLines="0" rightToLeft="1" zoomScale="90"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1" customWidth="1" min="2" max="2"/>
    <col width="24" customWidth="1" min="3" max="3"/>
    <col width="52" customWidth="1" min="4" max="4"/>
    <col width="8" customWidth="1" min="5" max="5"/>
    <col width="13" customWidth="1" min="6" max="6"/>
    <col width="14" customWidth="1" min="7" max="7"/>
    <col width="18" customWidth="1" min="8" max="8"/>
    <col width="10" customWidth="1" min="9" max="9"/>
  </cols>
  <sheetData>
    <row r="1" ht="38" customHeight="1">
      <c r="A1" s="1" t="inlineStr">
        <is>
          <t>📋 جدول الكميات والأسعار التعاقدي (BOQ)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 ht="20" customHeight="1">
      <c r="A2" s="2">
        <f>IF('بيانات العقد'!$C$5="","مشروع رقم 50 — أدخل بيانات العقد",'بيانات العقد'!$C$5&amp;"   |   عقد رقم: "&amp;'بيانات العقد'!$C$6)&amp;"   |   المبالغ بـ "&amp;'بيانات العقد'!$C$14</f>
        <v/>
      </c>
      <c r="B2" s="2" t="n"/>
      <c r="C2" s="2" t="n"/>
      <c r="D2" s="2" t="n"/>
      <c r="E2" s="2" t="n"/>
      <c r="F2" s="2" t="n"/>
      <c r="G2" s="2" t="n"/>
      <c r="H2" s="2" t="n"/>
      <c r="I2" s="2" t="n"/>
    </row>
    <row r="3" ht="26" customHeight="1">
      <c r="A3" s="3" t="inlineStr">
        <is>
          <t>🗂 سجل المستخلصات</t>
        </is>
      </c>
      <c r="B3" s="16" t="inlineStr">
        <is>
          <t>⚙ بيانات العقد</t>
        </is>
      </c>
      <c r="C3" s="16" t="inlineStr">
        <is>
          <t>🔁 التغييرية</t>
        </is>
      </c>
      <c r="D3" s="16" t="inlineStr">
        <is>
          <t>✂ الاستقطاعات</t>
        </is>
      </c>
      <c r="F3" s="4" t="inlineStr">
        <is>
          <t>🧾 مستخلص 01</t>
        </is>
      </c>
    </row>
    <row r="4">
      <c r="A4" s="32" t="inlineStr">
        <is>
          <t>أدخل بنود العقد في الخلايا الصفراء فقط (حتى 100 بند) — الإجمالي يغذي قيمة العقد وكل المستخلصات تلقائياً.</t>
        </is>
      </c>
      <c r="B4" s="32" t="n"/>
      <c r="C4" s="32" t="n"/>
      <c r="D4" s="32" t="n"/>
      <c r="E4" s="32" t="n"/>
      <c r="F4" s="32" t="n"/>
      <c r="G4" s="32" t="n"/>
      <c r="H4" s="32" t="n"/>
      <c r="I4" s="32" t="n"/>
    </row>
    <row r="5" ht="40" customHeight="1">
      <c r="A5" s="17" t="inlineStr">
        <is>
          <t>م</t>
        </is>
      </c>
      <c r="B5" s="17" t="inlineStr">
        <is>
          <t>كود البند</t>
        </is>
      </c>
      <c r="C5" s="17" t="inlineStr">
        <is>
          <t>القسم</t>
        </is>
      </c>
      <c r="D5" s="17" t="inlineStr">
        <is>
          <t>وصف البند</t>
        </is>
      </c>
      <c r="E5" s="17" t="inlineStr">
        <is>
          <t>الوحدة</t>
        </is>
      </c>
      <c r="F5" s="17" t="inlineStr">
        <is>
          <t>الكمية التعاقدية</t>
        </is>
      </c>
      <c r="G5" s="17" t="inlineStr">
        <is>
          <t>سعر الوحدة</t>
        </is>
      </c>
      <c r="H5" s="17" t="inlineStr">
        <is>
          <t>الإجمالي</t>
        </is>
      </c>
      <c r="I5" s="17" t="inlineStr">
        <is>
          <t>الوزن النسبي</t>
        </is>
      </c>
    </row>
    <row r="6">
      <c r="A6" s="33">
        <f>IF(B6="","",COUNTA($B$6:B6))</f>
        <v/>
      </c>
      <c r="B6" s="19" t="n"/>
      <c r="C6" s="22" t="n"/>
      <c r="D6" s="34" t="n"/>
      <c r="E6" s="19" t="n"/>
      <c r="F6" s="35" t="n"/>
      <c r="G6" s="35" t="n"/>
      <c r="H6" s="36">
        <f>F6*G6</f>
        <v/>
      </c>
      <c r="I6" s="37">
        <f>IF($H$106&gt;0,H6/$H$106,0)</f>
        <v/>
      </c>
    </row>
    <row r="7">
      <c r="A7" s="33">
        <f>IF(B7="","",COUNTA($B$6:B7))</f>
        <v/>
      </c>
      <c r="B7" s="19" t="n"/>
      <c r="C7" s="22" t="n"/>
      <c r="D7" s="34" t="n"/>
      <c r="E7" s="19" t="n"/>
      <c r="F7" s="35" t="n"/>
      <c r="G7" s="35" t="n"/>
      <c r="H7" s="36">
        <f>F7*G7</f>
        <v/>
      </c>
      <c r="I7" s="37">
        <f>IF($H$106&gt;0,H7/$H$106,0)</f>
        <v/>
      </c>
    </row>
    <row r="8">
      <c r="A8" s="33">
        <f>IF(B8="","",COUNTA($B$6:B8))</f>
        <v/>
      </c>
      <c r="B8" s="19" t="n"/>
      <c r="C8" s="22" t="n"/>
      <c r="D8" s="34" t="n"/>
      <c r="E8" s="19" t="n"/>
      <c r="F8" s="35" t="n"/>
      <c r="G8" s="35" t="n"/>
      <c r="H8" s="36">
        <f>F8*G8</f>
        <v/>
      </c>
      <c r="I8" s="37">
        <f>IF($H$106&gt;0,H8/$H$106,0)</f>
        <v/>
      </c>
    </row>
    <row r="9">
      <c r="A9" s="33">
        <f>IF(B9="","",COUNTA($B$6:B9))</f>
        <v/>
      </c>
      <c r="B9" s="19" t="n"/>
      <c r="C9" s="22" t="n"/>
      <c r="D9" s="34" t="n"/>
      <c r="E9" s="19" t="n"/>
      <c r="F9" s="35" t="n"/>
      <c r="G9" s="35" t="n"/>
      <c r="H9" s="36">
        <f>F9*G9</f>
        <v/>
      </c>
      <c r="I9" s="37">
        <f>IF($H$106&gt;0,H9/$H$106,0)</f>
        <v/>
      </c>
    </row>
    <row r="10">
      <c r="A10" s="33">
        <f>IF(B10="","",COUNTA($B$6:B10))</f>
        <v/>
      </c>
      <c r="B10" s="19" t="n"/>
      <c r="C10" s="22" t="n"/>
      <c r="D10" s="34" t="n"/>
      <c r="E10" s="19" t="n"/>
      <c r="F10" s="35" t="n"/>
      <c r="G10" s="35" t="n"/>
      <c r="H10" s="36">
        <f>F10*G10</f>
        <v/>
      </c>
      <c r="I10" s="37">
        <f>IF($H$106&gt;0,H10/$H$106,0)</f>
        <v/>
      </c>
    </row>
    <row r="11">
      <c r="A11" s="33">
        <f>IF(B11="","",COUNTA($B$6:B11))</f>
        <v/>
      </c>
      <c r="B11" s="19" t="n"/>
      <c r="C11" s="22" t="n"/>
      <c r="D11" s="34" t="n"/>
      <c r="E11" s="19" t="n"/>
      <c r="F11" s="35" t="n"/>
      <c r="G11" s="35" t="n"/>
      <c r="H11" s="36">
        <f>F11*G11</f>
        <v/>
      </c>
      <c r="I11" s="37">
        <f>IF($H$106&gt;0,H11/$H$106,0)</f>
        <v/>
      </c>
    </row>
    <row r="12">
      <c r="A12" s="33">
        <f>IF(B12="","",COUNTA($B$6:B12))</f>
        <v/>
      </c>
      <c r="B12" s="19" t="n"/>
      <c r="C12" s="22" t="n"/>
      <c r="D12" s="34" t="n"/>
      <c r="E12" s="19" t="n"/>
      <c r="F12" s="35" t="n"/>
      <c r="G12" s="35" t="n"/>
      <c r="H12" s="36">
        <f>F12*G12</f>
        <v/>
      </c>
      <c r="I12" s="37">
        <f>IF($H$106&gt;0,H12/$H$106,0)</f>
        <v/>
      </c>
    </row>
    <row r="13">
      <c r="A13" s="33">
        <f>IF(B13="","",COUNTA($B$6:B13))</f>
        <v/>
      </c>
      <c r="B13" s="19" t="n"/>
      <c r="C13" s="22" t="n"/>
      <c r="D13" s="34" t="n"/>
      <c r="E13" s="19" t="n"/>
      <c r="F13" s="35" t="n"/>
      <c r="G13" s="35" t="n"/>
      <c r="H13" s="36">
        <f>F13*G13</f>
        <v/>
      </c>
      <c r="I13" s="37">
        <f>IF($H$106&gt;0,H13/$H$106,0)</f>
        <v/>
      </c>
    </row>
    <row r="14">
      <c r="A14" s="33">
        <f>IF(B14="","",COUNTA($B$6:B14))</f>
        <v/>
      </c>
      <c r="B14" s="19" t="n"/>
      <c r="C14" s="22" t="n"/>
      <c r="D14" s="34" t="n"/>
      <c r="E14" s="19" t="n"/>
      <c r="F14" s="35" t="n"/>
      <c r="G14" s="35" t="n"/>
      <c r="H14" s="36">
        <f>F14*G14</f>
        <v/>
      </c>
      <c r="I14" s="37">
        <f>IF($H$106&gt;0,H14/$H$106,0)</f>
        <v/>
      </c>
    </row>
    <row r="15">
      <c r="A15" s="33">
        <f>IF(B15="","",COUNTA($B$6:B15))</f>
        <v/>
      </c>
      <c r="B15" s="19" t="n"/>
      <c r="C15" s="22" t="n"/>
      <c r="D15" s="34" t="n"/>
      <c r="E15" s="19" t="n"/>
      <c r="F15" s="35" t="n"/>
      <c r="G15" s="35" t="n"/>
      <c r="H15" s="36">
        <f>F15*G15</f>
        <v/>
      </c>
      <c r="I15" s="37">
        <f>IF($H$106&gt;0,H15/$H$106,0)</f>
        <v/>
      </c>
    </row>
    <row r="16">
      <c r="A16" s="33">
        <f>IF(B16="","",COUNTA($B$6:B16))</f>
        <v/>
      </c>
      <c r="B16" s="19" t="n"/>
      <c r="C16" s="22" t="n"/>
      <c r="D16" s="34" t="n"/>
      <c r="E16" s="19" t="n"/>
      <c r="F16" s="35" t="n"/>
      <c r="G16" s="35" t="n"/>
      <c r="H16" s="36">
        <f>F16*G16</f>
        <v/>
      </c>
      <c r="I16" s="37">
        <f>IF($H$106&gt;0,H16/$H$106,0)</f>
        <v/>
      </c>
    </row>
    <row r="17">
      <c r="A17" s="33">
        <f>IF(B17="","",COUNTA($B$6:B17))</f>
        <v/>
      </c>
      <c r="B17" s="19" t="n"/>
      <c r="C17" s="22" t="n"/>
      <c r="D17" s="34" t="n"/>
      <c r="E17" s="19" t="n"/>
      <c r="F17" s="35" t="n"/>
      <c r="G17" s="35" t="n"/>
      <c r="H17" s="36">
        <f>F17*G17</f>
        <v/>
      </c>
      <c r="I17" s="37">
        <f>IF($H$106&gt;0,H17/$H$106,0)</f>
        <v/>
      </c>
    </row>
    <row r="18">
      <c r="A18" s="33">
        <f>IF(B18="","",COUNTA($B$6:B18))</f>
        <v/>
      </c>
      <c r="B18" s="19" t="n"/>
      <c r="C18" s="22" t="n"/>
      <c r="D18" s="34" t="n"/>
      <c r="E18" s="19" t="n"/>
      <c r="F18" s="35" t="n"/>
      <c r="G18" s="35" t="n"/>
      <c r="H18" s="36">
        <f>F18*G18</f>
        <v/>
      </c>
      <c r="I18" s="37">
        <f>IF($H$106&gt;0,H18/$H$106,0)</f>
        <v/>
      </c>
    </row>
    <row r="19">
      <c r="A19" s="33">
        <f>IF(B19="","",COUNTA($B$6:B19))</f>
        <v/>
      </c>
      <c r="B19" s="19" t="n"/>
      <c r="C19" s="22" t="n"/>
      <c r="D19" s="34" t="n"/>
      <c r="E19" s="19" t="n"/>
      <c r="F19" s="35" t="n"/>
      <c r="G19" s="35" t="n"/>
      <c r="H19" s="36">
        <f>F19*G19</f>
        <v/>
      </c>
      <c r="I19" s="37">
        <f>IF($H$106&gt;0,H19/$H$106,0)</f>
        <v/>
      </c>
    </row>
    <row r="20">
      <c r="A20" s="33">
        <f>IF(B20="","",COUNTA($B$6:B20))</f>
        <v/>
      </c>
      <c r="B20" s="19" t="n"/>
      <c r="C20" s="22" t="n"/>
      <c r="D20" s="34" t="n"/>
      <c r="E20" s="19" t="n"/>
      <c r="F20" s="35" t="n"/>
      <c r="G20" s="35" t="n"/>
      <c r="H20" s="36">
        <f>F20*G20</f>
        <v/>
      </c>
      <c r="I20" s="37">
        <f>IF($H$106&gt;0,H20/$H$106,0)</f>
        <v/>
      </c>
    </row>
    <row r="21">
      <c r="A21" s="33">
        <f>IF(B21="","",COUNTA($B$6:B21))</f>
        <v/>
      </c>
      <c r="B21" s="19" t="n"/>
      <c r="C21" s="22" t="n"/>
      <c r="D21" s="34" t="n"/>
      <c r="E21" s="19" t="n"/>
      <c r="F21" s="35" t="n"/>
      <c r="G21" s="35" t="n"/>
      <c r="H21" s="36">
        <f>F21*G21</f>
        <v/>
      </c>
      <c r="I21" s="37">
        <f>IF($H$106&gt;0,H21/$H$106,0)</f>
        <v/>
      </c>
    </row>
    <row r="22">
      <c r="A22" s="33">
        <f>IF(B22="","",COUNTA($B$6:B22))</f>
        <v/>
      </c>
      <c r="B22" s="19" t="n"/>
      <c r="C22" s="22" t="n"/>
      <c r="D22" s="34" t="n"/>
      <c r="E22" s="19" t="n"/>
      <c r="F22" s="35" t="n"/>
      <c r="G22" s="35" t="n"/>
      <c r="H22" s="36">
        <f>F22*G22</f>
        <v/>
      </c>
      <c r="I22" s="37">
        <f>IF($H$106&gt;0,H22/$H$106,0)</f>
        <v/>
      </c>
    </row>
    <row r="23">
      <c r="A23" s="33">
        <f>IF(B23="","",COUNTA($B$6:B23))</f>
        <v/>
      </c>
      <c r="B23" s="19" t="n"/>
      <c r="C23" s="22" t="n"/>
      <c r="D23" s="34" t="n"/>
      <c r="E23" s="19" t="n"/>
      <c r="F23" s="35" t="n"/>
      <c r="G23" s="35" t="n"/>
      <c r="H23" s="36">
        <f>F23*G23</f>
        <v/>
      </c>
      <c r="I23" s="37">
        <f>IF($H$106&gt;0,H23/$H$106,0)</f>
        <v/>
      </c>
    </row>
    <row r="24">
      <c r="A24" s="33">
        <f>IF(B24="","",COUNTA($B$6:B24))</f>
        <v/>
      </c>
      <c r="B24" s="19" t="n"/>
      <c r="C24" s="22" t="n"/>
      <c r="D24" s="34" t="n"/>
      <c r="E24" s="19" t="n"/>
      <c r="F24" s="35" t="n"/>
      <c r="G24" s="35" t="n"/>
      <c r="H24" s="36">
        <f>F24*G24</f>
        <v/>
      </c>
      <c r="I24" s="37">
        <f>IF($H$106&gt;0,H24/$H$106,0)</f>
        <v/>
      </c>
    </row>
    <row r="25">
      <c r="A25" s="33">
        <f>IF(B25="","",COUNTA($B$6:B25))</f>
        <v/>
      </c>
      <c r="B25" s="19" t="n"/>
      <c r="C25" s="22" t="n"/>
      <c r="D25" s="34" t="n"/>
      <c r="E25" s="19" t="n"/>
      <c r="F25" s="35" t="n"/>
      <c r="G25" s="35" t="n"/>
      <c r="H25" s="36">
        <f>F25*G25</f>
        <v/>
      </c>
      <c r="I25" s="37">
        <f>IF($H$106&gt;0,H25/$H$106,0)</f>
        <v/>
      </c>
    </row>
    <row r="26">
      <c r="A26" s="33">
        <f>IF(B26="","",COUNTA($B$6:B26))</f>
        <v/>
      </c>
      <c r="B26" s="19" t="n"/>
      <c r="C26" s="22" t="n"/>
      <c r="D26" s="34" t="n"/>
      <c r="E26" s="19" t="n"/>
      <c r="F26" s="35" t="n"/>
      <c r="G26" s="35" t="n"/>
      <c r="H26" s="36">
        <f>F26*G26</f>
        <v/>
      </c>
      <c r="I26" s="37">
        <f>IF($H$106&gt;0,H26/$H$106,0)</f>
        <v/>
      </c>
    </row>
    <row r="27">
      <c r="A27" s="33">
        <f>IF(B27="","",COUNTA($B$6:B27))</f>
        <v/>
      </c>
      <c r="B27" s="19" t="n"/>
      <c r="C27" s="22" t="n"/>
      <c r="D27" s="34" t="n"/>
      <c r="E27" s="19" t="n"/>
      <c r="F27" s="35" t="n"/>
      <c r="G27" s="35" t="n"/>
      <c r="H27" s="36">
        <f>F27*G27</f>
        <v/>
      </c>
      <c r="I27" s="37">
        <f>IF($H$106&gt;0,H27/$H$106,0)</f>
        <v/>
      </c>
    </row>
    <row r="28">
      <c r="A28" s="33">
        <f>IF(B28="","",COUNTA($B$6:B28))</f>
        <v/>
      </c>
      <c r="B28" s="19" t="n"/>
      <c r="C28" s="22" t="n"/>
      <c r="D28" s="34" t="n"/>
      <c r="E28" s="19" t="n"/>
      <c r="F28" s="35" t="n"/>
      <c r="G28" s="35" t="n"/>
      <c r="H28" s="36">
        <f>F28*G28</f>
        <v/>
      </c>
      <c r="I28" s="37">
        <f>IF($H$106&gt;0,H28/$H$106,0)</f>
        <v/>
      </c>
    </row>
    <row r="29">
      <c r="A29" s="33">
        <f>IF(B29="","",COUNTA($B$6:B29))</f>
        <v/>
      </c>
      <c r="B29" s="19" t="n"/>
      <c r="C29" s="22" t="n"/>
      <c r="D29" s="34" t="n"/>
      <c r="E29" s="19" t="n"/>
      <c r="F29" s="35" t="n"/>
      <c r="G29" s="35" t="n"/>
      <c r="H29" s="36">
        <f>F29*G29</f>
        <v/>
      </c>
      <c r="I29" s="37">
        <f>IF($H$106&gt;0,H29/$H$106,0)</f>
        <v/>
      </c>
    </row>
    <row r="30">
      <c r="A30" s="33">
        <f>IF(B30="","",COUNTA($B$6:B30))</f>
        <v/>
      </c>
      <c r="B30" s="19" t="n"/>
      <c r="C30" s="22" t="n"/>
      <c r="D30" s="34" t="n"/>
      <c r="E30" s="19" t="n"/>
      <c r="F30" s="35" t="n"/>
      <c r="G30" s="35" t="n"/>
      <c r="H30" s="36">
        <f>F30*G30</f>
        <v/>
      </c>
      <c r="I30" s="37">
        <f>IF($H$106&gt;0,H30/$H$106,0)</f>
        <v/>
      </c>
    </row>
    <row r="31">
      <c r="A31" s="33">
        <f>IF(B31="","",COUNTA($B$6:B31))</f>
        <v/>
      </c>
      <c r="B31" s="19" t="n"/>
      <c r="C31" s="22" t="n"/>
      <c r="D31" s="34" t="n"/>
      <c r="E31" s="19" t="n"/>
      <c r="F31" s="35" t="n"/>
      <c r="G31" s="35" t="n"/>
      <c r="H31" s="36">
        <f>F31*G31</f>
        <v/>
      </c>
      <c r="I31" s="37">
        <f>IF($H$106&gt;0,H31/$H$106,0)</f>
        <v/>
      </c>
    </row>
    <row r="32">
      <c r="A32" s="33">
        <f>IF(B32="","",COUNTA($B$6:B32))</f>
        <v/>
      </c>
      <c r="B32" s="19" t="n"/>
      <c r="C32" s="22" t="n"/>
      <c r="D32" s="34" t="n"/>
      <c r="E32" s="19" t="n"/>
      <c r="F32" s="35" t="n"/>
      <c r="G32" s="35" t="n"/>
      <c r="H32" s="36">
        <f>F32*G32</f>
        <v/>
      </c>
      <c r="I32" s="37">
        <f>IF($H$106&gt;0,H32/$H$106,0)</f>
        <v/>
      </c>
    </row>
    <row r="33">
      <c r="A33" s="33">
        <f>IF(B33="","",COUNTA($B$6:B33))</f>
        <v/>
      </c>
      <c r="B33" s="19" t="n"/>
      <c r="C33" s="22" t="n"/>
      <c r="D33" s="34" t="n"/>
      <c r="E33" s="19" t="n"/>
      <c r="F33" s="35" t="n"/>
      <c r="G33" s="35" t="n"/>
      <c r="H33" s="36">
        <f>F33*G33</f>
        <v/>
      </c>
      <c r="I33" s="37">
        <f>IF($H$106&gt;0,H33/$H$106,0)</f>
        <v/>
      </c>
    </row>
    <row r="34">
      <c r="A34" s="33">
        <f>IF(B34="","",COUNTA($B$6:B34))</f>
        <v/>
      </c>
      <c r="B34" s="19" t="n"/>
      <c r="C34" s="22" t="n"/>
      <c r="D34" s="34" t="n"/>
      <c r="E34" s="19" t="n"/>
      <c r="F34" s="35" t="n"/>
      <c r="G34" s="35" t="n"/>
      <c r="H34" s="36">
        <f>F34*G34</f>
        <v/>
      </c>
      <c r="I34" s="37">
        <f>IF($H$106&gt;0,H34/$H$106,0)</f>
        <v/>
      </c>
    </row>
    <row r="35">
      <c r="A35" s="33">
        <f>IF(B35="","",COUNTA($B$6:B35))</f>
        <v/>
      </c>
      <c r="B35" s="19" t="n"/>
      <c r="C35" s="22" t="n"/>
      <c r="D35" s="34" t="n"/>
      <c r="E35" s="19" t="n"/>
      <c r="F35" s="35" t="n"/>
      <c r="G35" s="35" t="n"/>
      <c r="H35" s="36">
        <f>F35*G35</f>
        <v/>
      </c>
      <c r="I35" s="37">
        <f>IF($H$106&gt;0,H35/$H$106,0)</f>
        <v/>
      </c>
    </row>
    <row r="36">
      <c r="A36" s="33">
        <f>IF(B36="","",COUNTA($B$6:B36))</f>
        <v/>
      </c>
      <c r="B36" s="19" t="n"/>
      <c r="C36" s="22" t="n"/>
      <c r="D36" s="34" t="n"/>
      <c r="E36" s="19" t="n"/>
      <c r="F36" s="35" t="n"/>
      <c r="G36" s="35" t="n"/>
      <c r="H36" s="36">
        <f>F36*G36</f>
        <v/>
      </c>
      <c r="I36" s="37">
        <f>IF($H$106&gt;0,H36/$H$106,0)</f>
        <v/>
      </c>
    </row>
    <row r="37">
      <c r="A37" s="33">
        <f>IF(B37="","",COUNTA($B$6:B37))</f>
        <v/>
      </c>
      <c r="B37" s="19" t="n"/>
      <c r="C37" s="22" t="n"/>
      <c r="D37" s="34" t="n"/>
      <c r="E37" s="19" t="n"/>
      <c r="F37" s="35" t="n"/>
      <c r="G37" s="35" t="n"/>
      <c r="H37" s="36">
        <f>F37*G37</f>
        <v/>
      </c>
      <c r="I37" s="37">
        <f>IF($H$106&gt;0,H37/$H$106,0)</f>
        <v/>
      </c>
    </row>
    <row r="38">
      <c r="A38" s="33">
        <f>IF(B38="","",COUNTA($B$6:B38))</f>
        <v/>
      </c>
      <c r="B38" s="19" t="n"/>
      <c r="C38" s="22" t="n"/>
      <c r="D38" s="34" t="n"/>
      <c r="E38" s="19" t="n"/>
      <c r="F38" s="35" t="n"/>
      <c r="G38" s="35" t="n"/>
      <c r="H38" s="36">
        <f>F38*G38</f>
        <v/>
      </c>
      <c r="I38" s="37">
        <f>IF($H$106&gt;0,H38/$H$106,0)</f>
        <v/>
      </c>
    </row>
    <row r="39">
      <c r="A39" s="33">
        <f>IF(B39="","",COUNTA($B$6:B39))</f>
        <v/>
      </c>
      <c r="B39" s="19" t="n"/>
      <c r="C39" s="22" t="n"/>
      <c r="D39" s="34" t="n"/>
      <c r="E39" s="19" t="n"/>
      <c r="F39" s="35" t="n"/>
      <c r="G39" s="35" t="n"/>
      <c r="H39" s="36">
        <f>F39*G39</f>
        <v/>
      </c>
      <c r="I39" s="37">
        <f>IF($H$106&gt;0,H39/$H$106,0)</f>
        <v/>
      </c>
    </row>
    <row r="40">
      <c r="A40" s="33">
        <f>IF(B40="","",COUNTA($B$6:B40))</f>
        <v/>
      </c>
      <c r="B40" s="19" t="n"/>
      <c r="C40" s="22" t="n"/>
      <c r="D40" s="34" t="n"/>
      <c r="E40" s="19" t="n"/>
      <c r="F40" s="35" t="n"/>
      <c r="G40" s="35" t="n"/>
      <c r="H40" s="36">
        <f>F40*G40</f>
        <v/>
      </c>
      <c r="I40" s="37">
        <f>IF($H$106&gt;0,H40/$H$106,0)</f>
        <v/>
      </c>
    </row>
    <row r="41">
      <c r="A41" s="33">
        <f>IF(B41="","",COUNTA($B$6:B41))</f>
        <v/>
      </c>
      <c r="B41" s="19" t="n"/>
      <c r="C41" s="22" t="n"/>
      <c r="D41" s="34" t="n"/>
      <c r="E41" s="19" t="n"/>
      <c r="F41" s="35" t="n"/>
      <c r="G41" s="35" t="n"/>
      <c r="H41" s="36">
        <f>F41*G41</f>
        <v/>
      </c>
      <c r="I41" s="37">
        <f>IF($H$106&gt;0,H41/$H$106,0)</f>
        <v/>
      </c>
    </row>
    <row r="42">
      <c r="A42" s="33">
        <f>IF(B42="","",COUNTA($B$6:B42))</f>
        <v/>
      </c>
      <c r="B42" s="19" t="n"/>
      <c r="C42" s="22" t="n"/>
      <c r="D42" s="34" t="n"/>
      <c r="E42" s="19" t="n"/>
      <c r="F42" s="35" t="n"/>
      <c r="G42" s="35" t="n"/>
      <c r="H42" s="36">
        <f>F42*G42</f>
        <v/>
      </c>
      <c r="I42" s="37">
        <f>IF($H$106&gt;0,H42/$H$106,0)</f>
        <v/>
      </c>
    </row>
    <row r="43">
      <c r="A43" s="33">
        <f>IF(B43="","",COUNTA($B$6:B43))</f>
        <v/>
      </c>
      <c r="B43" s="19" t="n"/>
      <c r="C43" s="22" t="n"/>
      <c r="D43" s="34" t="n"/>
      <c r="E43" s="19" t="n"/>
      <c r="F43" s="35" t="n"/>
      <c r="G43" s="35" t="n"/>
      <c r="H43" s="36">
        <f>F43*G43</f>
        <v/>
      </c>
      <c r="I43" s="37">
        <f>IF($H$106&gt;0,H43/$H$106,0)</f>
        <v/>
      </c>
    </row>
    <row r="44">
      <c r="A44" s="33">
        <f>IF(B44="","",COUNTA($B$6:B44))</f>
        <v/>
      </c>
      <c r="B44" s="19" t="n"/>
      <c r="C44" s="22" t="n"/>
      <c r="D44" s="34" t="n"/>
      <c r="E44" s="19" t="n"/>
      <c r="F44" s="35" t="n"/>
      <c r="G44" s="35" t="n"/>
      <c r="H44" s="36">
        <f>F44*G44</f>
        <v/>
      </c>
      <c r="I44" s="37">
        <f>IF($H$106&gt;0,H44/$H$106,0)</f>
        <v/>
      </c>
    </row>
    <row r="45">
      <c r="A45" s="33">
        <f>IF(B45="","",COUNTA($B$6:B45))</f>
        <v/>
      </c>
      <c r="B45" s="19" t="n"/>
      <c r="C45" s="22" t="n"/>
      <c r="D45" s="34" t="n"/>
      <c r="E45" s="19" t="n"/>
      <c r="F45" s="35" t="n"/>
      <c r="G45" s="35" t="n"/>
      <c r="H45" s="36">
        <f>F45*G45</f>
        <v/>
      </c>
      <c r="I45" s="37">
        <f>IF($H$106&gt;0,H45/$H$106,0)</f>
        <v/>
      </c>
    </row>
    <row r="46">
      <c r="A46" s="33">
        <f>IF(B46="","",COUNTA($B$6:B46))</f>
        <v/>
      </c>
      <c r="B46" s="19" t="n"/>
      <c r="C46" s="22" t="n"/>
      <c r="D46" s="34" t="n"/>
      <c r="E46" s="19" t="n"/>
      <c r="F46" s="35" t="n"/>
      <c r="G46" s="35" t="n"/>
      <c r="H46" s="36">
        <f>F46*G46</f>
        <v/>
      </c>
      <c r="I46" s="37">
        <f>IF($H$106&gt;0,H46/$H$106,0)</f>
        <v/>
      </c>
    </row>
    <row r="47">
      <c r="A47" s="33">
        <f>IF(B47="","",COUNTA($B$6:B47))</f>
        <v/>
      </c>
      <c r="B47" s="19" t="n"/>
      <c r="C47" s="22" t="n"/>
      <c r="D47" s="34" t="n"/>
      <c r="E47" s="19" t="n"/>
      <c r="F47" s="35" t="n"/>
      <c r="G47" s="35" t="n"/>
      <c r="H47" s="36">
        <f>F47*G47</f>
        <v/>
      </c>
      <c r="I47" s="37">
        <f>IF($H$106&gt;0,H47/$H$106,0)</f>
        <v/>
      </c>
    </row>
    <row r="48">
      <c r="A48" s="33">
        <f>IF(B48="","",COUNTA($B$6:B48))</f>
        <v/>
      </c>
      <c r="B48" s="19" t="n"/>
      <c r="C48" s="22" t="n"/>
      <c r="D48" s="34" t="n"/>
      <c r="E48" s="19" t="n"/>
      <c r="F48" s="35" t="n"/>
      <c r="G48" s="35" t="n"/>
      <c r="H48" s="36">
        <f>F48*G48</f>
        <v/>
      </c>
      <c r="I48" s="37">
        <f>IF($H$106&gt;0,H48/$H$106,0)</f>
        <v/>
      </c>
    </row>
    <row r="49">
      <c r="A49" s="33">
        <f>IF(B49="","",COUNTA($B$6:B49))</f>
        <v/>
      </c>
      <c r="B49" s="19" t="n"/>
      <c r="C49" s="22" t="n"/>
      <c r="D49" s="34" t="n"/>
      <c r="E49" s="19" t="n"/>
      <c r="F49" s="35" t="n"/>
      <c r="G49" s="35" t="n"/>
      <c r="H49" s="36">
        <f>F49*G49</f>
        <v/>
      </c>
      <c r="I49" s="37">
        <f>IF($H$106&gt;0,H49/$H$106,0)</f>
        <v/>
      </c>
    </row>
    <row r="50">
      <c r="A50" s="33">
        <f>IF(B50="","",COUNTA($B$6:B50))</f>
        <v/>
      </c>
      <c r="B50" s="19" t="n"/>
      <c r="C50" s="22" t="n"/>
      <c r="D50" s="34" t="n"/>
      <c r="E50" s="19" t="n"/>
      <c r="F50" s="35" t="n"/>
      <c r="G50" s="35" t="n"/>
      <c r="H50" s="36">
        <f>F50*G50</f>
        <v/>
      </c>
      <c r="I50" s="37">
        <f>IF($H$106&gt;0,H50/$H$106,0)</f>
        <v/>
      </c>
    </row>
    <row r="51">
      <c r="A51" s="33">
        <f>IF(B51="","",COUNTA($B$6:B51))</f>
        <v/>
      </c>
      <c r="B51" s="19" t="n"/>
      <c r="C51" s="22" t="n"/>
      <c r="D51" s="34" t="n"/>
      <c r="E51" s="19" t="n"/>
      <c r="F51" s="35" t="n"/>
      <c r="G51" s="35" t="n"/>
      <c r="H51" s="36">
        <f>F51*G51</f>
        <v/>
      </c>
      <c r="I51" s="37">
        <f>IF($H$106&gt;0,H51/$H$106,0)</f>
        <v/>
      </c>
    </row>
    <row r="52">
      <c r="A52" s="33">
        <f>IF(B52="","",COUNTA($B$6:B52))</f>
        <v/>
      </c>
      <c r="B52" s="19" t="n"/>
      <c r="C52" s="22" t="n"/>
      <c r="D52" s="34" t="n"/>
      <c r="E52" s="19" t="n"/>
      <c r="F52" s="35" t="n"/>
      <c r="G52" s="35" t="n"/>
      <c r="H52" s="36">
        <f>F52*G52</f>
        <v/>
      </c>
      <c r="I52" s="37">
        <f>IF($H$106&gt;0,H52/$H$106,0)</f>
        <v/>
      </c>
    </row>
    <row r="53">
      <c r="A53" s="33">
        <f>IF(B53="","",COUNTA($B$6:B53))</f>
        <v/>
      </c>
      <c r="B53" s="19" t="n"/>
      <c r="C53" s="22" t="n"/>
      <c r="D53" s="34" t="n"/>
      <c r="E53" s="19" t="n"/>
      <c r="F53" s="35" t="n"/>
      <c r="G53" s="35" t="n"/>
      <c r="H53" s="36">
        <f>F53*G53</f>
        <v/>
      </c>
      <c r="I53" s="37">
        <f>IF($H$106&gt;0,H53/$H$106,0)</f>
        <v/>
      </c>
    </row>
    <row r="54">
      <c r="A54" s="33">
        <f>IF(B54="","",COUNTA($B$6:B54))</f>
        <v/>
      </c>
      <c r="B54" s="19" t="n"/>
      <c r="C54" s="22" t="n"/>
      <c r="D54" s="34" t="n"/>
      <c r="E54" s="19" t="n"/>
      <c r="F54" s="35" t="n"/>
      <c r="G54" s="35" t="n"/>
      <c r="H54" s="36">
        <f>F54*G54</f>
        <v/>
      </c>
      <c r="I54" s="37">
        <f>IF($H$106&gt;0,H54/$H$106,0)</f>
        <v/>
      </c>
    </row>
    <row r="55">
      <c r="A55" s="33">
        <f>IF(B55="","",COUNTA($B$6:B55))</f>
        <v/>
      </c>
      <c r="B55" s="19" t="n"/>
      <c r="C55" s="22" t="n"/>
      <c r="D55" s="34" t="n"/>
      <c r="E55" s="19" t="n"/>
      <c r="F55" s="35" t="n"/>
      <c r="G55" s="35" t="n"/>
      <c r="H55" s="36">
        <f>F55*G55</f>
        <v/>
      </c>
      <c r="I55" s="37">
        <f>IF($H$106&gt;0,H55/$H$106,0)</f>
        <v/>
      </c>
    </row>
    <row r="56">
      <c r="A56" s="33">
        <f>IF(B56="","",COUNTA($B$6:B56))</f>
        <v/>
      </c>
      <c r="B56" s="19" t="n"/>
      <c r="C56" s="22" t="n"/>
      <c r="D56" s="34" t="n"/>
      <c r="E56" s="19" t="n"/>
      <c r="F56" s="35" t="n"/>
      <c r="G56" s="35" t="n"/>
      <c r="H56" s="36">
        <f>F56*G56</f>
        <v/>
      </c>
      <c r="I56" s="37">
        <f>IF($H$106&gt;0,H56/$H$106,0)</f>
        <v/>
      </c>
    </row>
    <row r="57">
      <c r="A57" s="33">
        <f>IF(B57="","",COUNTA($B$6:B57))</f>
        <v/>
      </c>
      <c r="B57" s="19" t="n"/>
      <c r="C57" s="22" t="n"/>
      <c r="D57" s="34" t="n"/>
      <c r="E57" s="19" t="n"/>
      <c r="F57" s="35" t="n"/>
      <c r="G57" s="35" t="n"/>
      <c r="H57" s="36">
        <f>F57*G57</f>
        <v/>
      </c>
      <c r="I57" s="37">
        <f>IF($H$106&gt;0,H57/$H$106,0)</f>
        <v/>
      </c>
    </row>
    <row r="58">
      <c r="A58" s="33">
        <f>IF(B58="","",COUNTA($B$6:B58))</f>
        <v/>
      </c>
      <c r="B58" s="19" t="n"/>
      <c r="C58" s="22" t="n"/>
      <c r="D58" s="34" t="n"/>
      <c r="E58" s="19" t="n"/>
      <c r="F58" s="35" t="n"/>
      <c r="G58" s="35" t="n"/>
      <c r="H58" s="36">
        <f>F58*G58</f>
        <v/>
      </c>
      <c r="I58" s="37">
        <f>IF($H$106&gt;0,H58/$H$106,0)</f>
        <v/>
      </c>
    </row>
    <row r="59">
      <c r="A59" s="33">
        <f>IF(B59="","",COUNTA($B$6:B59))</f>
        <v/>
      </c>
      <c r="B59" s="19" t="n"/>
      <c r="C59" s="22" t="n"/>
      <c r="D59" s="34" t="n"/>
      <c r="E59" s="19" t="n"/>
      <c r="F59" s="35" t="n"/>
      <c r="G59" s="35" t="n"/>
      <c r="H59" s="36">
        <f>F59*G59</f>
        <v/>
      </c>
      <c r="I59" s="37">
        <f>IF($H$106&gt;0,H59/$H$106,0)</f>
        <v/>
      </c>
    </row>
    <row r="60">
      <c r="A60" s="33">
        <f>IF(B60="","",COUNTA($B$6:B60))</f>
        <v/>
      </c>
      <c r="B60" s="19" t="n"/>
      <c r="C60" s="22" t="n"/>
      <c r="D60" s="34" t="n"/>
      <c r="E60" s="19" t="n"/>
      <c r="F60" s="35" t="n"/>
      <c r="G60" s="35" t="n"/>
      <c r="H60" s="36">
        <f>F60*G60</f>
        <v/>
      </c>
      <c r="I60" s="37">
        <f>IF($H$106&gt;0,H60/$H$106,0)</f>
        <v/>
      </c>
    </row>
    <row r="61">
      <c r="A61" s="33">
        <f>IF(B61="","",COUNTA($B$6:B61))</f>
        <v/>
      </c>
      <c r="B61" s="19" t="n"/>
      <c r="C61" s="22" t="n"/>
      <c r="D61" s="34" t="n"/>
      <c r="E61" s="19" t="n"/>
      <c r="F61" s="35" t="n"/>
      <c r="G61" s="35" t="n"/>
      <c r="H61" s="36">
        <f>F61*G61</f>
        <v/>
      </c>
      <c r="I61" s="37">
        <f>IF($H$106&gt;0,H61/$H$106,0)</f>
        <v/>
      </c>
    </row>
    <row r="62">
      <c r="A62" s="33">
        <f>IF(B62="","",COUNTA($B$6:B62))</f>
        <v/>
      </c>
      <c r="B62" s="19" t="n"/>
      <c r="C62" s="22" t="n"/>
      <c r="D62" s="34" t="n"/>
      <c r="E62" s="19" t="n"/>
      <c r="F62" s="35" t="n"/>
      <c r="G62" s="35" t="n"/>
      <c r="H62" s="36">
        <f>F62*G62</f>
        <v/>
      </c>
      <c r="I62" s="37">
        <f>IF($H$106&gt;0,H62/$H$106,0)</f>
        <v/>
      </c>
    </row>
    <row r="63">
      <c r="A63" s="33">
        <f>IF(B63="","",COUNTA($B$6:B63))</f>
        <v/>
      </c>
      <c r="B63" s="19" t="n"/>
      <c r="C63" s="22" t="n"/>
      <c r="D63" s="34" t="n"/>
      <c r="E63" s="19" t="n"/>
      <c r="F63" s="35" t="n"/>
      <c r="G63" s="35" t="n"/>
      <c r="H63" s="36">
        <f>F63*G63</f>
        <v/>
      </c>
      <c r="I63" s="37">
        <f>IF($H$106&gt;0,H63/$H$106,0)</f>
        <v/>
      </c>
    </row>
    <row r="64">
      <c r="A64" s="33">
        <f>IF(B64="","",COUNTA($B$6:B64))</f>
        <v/>
      </c>
      <c r="B64" s="19" t="n"/>
      <c r="C64" s="22" t="n"/>
      <c r="D64" s="34" t="n"/>
      <c r="E64" s="19" t="n"/>
      <c r="F64" s="35" t="n"/>
      <c r="G64" s="35" t="n"/>
      <c r="H64" s="36">
        <f>F64*G64</f>
        <v/>
      </c>
      <c r="I64" s="37">
        <f>IF($H$106&gt;0,H64/$H$106,0)</f>
        <v/>
      </c>
    </row>
    <row r="65">
      <c r="A65" s="33">
        <f>IF(B65="","",COUNTA($B$6:B65))</f>
        <v/>
      </c>
      <c r="B65" s="19" t="n"/>
      <c r="C65" s="22" t="n"/>
      <c r="D65" s="34" t="n"/>
      <c r="E65" s="19" t="n"/>
      <c r="F65" s="35" t="n"/>
      <c r="G65" s="35" t="n"/>
      <c r="H65" s="36">
        <f>F65*G65</f>
        <v/>
      </c>
      <c r="I65" s="37">
        <f>IF($H$106&gt;0,H65/$H$106,0)</f>
        <v/>
      </c>
    </row>
    <row r="66">
      <c r="A66" s="33">
        <f>IF(B66="","",COUNTA($B$6:B66))</f>
        <v/>
      </c>
      <c r="B66" s="19" t="n"/>
      <c r="C66" s="22" t="n"/>
      <c r="D66" s="34" t="n"/>
      <c r="E66" s="19" t="n"/>
      <c r="F66" s="35" t="n"/>
      <c r="G66" s="35" t="n"/>
      <c r="H66" s="36">
        <f>F66*G66</f>
        <v/>
      </c>
      <c r="I66" s="37">
        <f>IF($H$106&gt;0,H66/$H$106,0)</f>
        <v/>
      </c>
    </row>
    <row r="67">
      <c r="A67" s="33">
        <f>IF(B67="","",COUNTA($B$6:B67))</f>
        <v/>
      </c>
      <c r="B67" s="19" t="n"/>
      <c r="C67" s="22" t="n"/>
      <c r="D67" s="34" t="n"/>
      <c r="E67" s="19" t="n"/>
      <c r="F67" s="35" t="n"/>
      <c r="G67" s="35" t="n"/>
      <c r="H67" s="36">
        <f>F67*G67</f>
        <v/>
      </c>
      <c r="I67" s="37">
        <f>IF($H$106&gt;0,H67/$H$106,0)</f>
        <v/>
      </c>
    </row>
    <row r="68">
      <c r="A68" s="33">
        <f>IF(B68="","",COUNTA($B$6:B68))</f>
        <v/>
      </c>
      <c r="B68" s="19" t="n"/>
      <c r="C68" s="22" t="n"/>
      <c r="D68" s="34" t="n"/>
      <c r="E68" s="19" t="n"/>
      <c r="F68" s="35" t="n"/>
      <c r="G68" s="35" t="n"/>
      <c r="H68" s="36">
        <f>F68*G68</f>
        <v/>
      </c>
      <c r="I68" s="37">
        <f>IF($H$106&gt;0,H68/$H$106,0)</f>
        <v/>
      </c>
    </row>
    <row r="69">
      <c r="A69" s="33">
        <f>IF(B69="","",COUNTA($B$6:B69))</f>
        <v/>
      </c>
      <c r="B69" s="19" t="n"/>
      <c r="C69" s="22" t="n"/>
      <c r="D69" s="34" t="n"/>
      <c r="E69" s="19" t="n"/>
      <c r="F69" s="35" t="n"/>
      <c r="G69" s="35" t="n"/>
      <c r="H69" s="36">
        <f>F69*G69</f>
        <v/>
      </c>
      <c r="I69" s="37">
        <f>IF($H$106&gt;0,H69/$H$106,0)</f>
        <v/>
      </c>
    </row>
    <row r="70">
      <c r="A70" s="33">
        <f>IF(B70="","",COUNTA($B$6:B70))</f>
        <v/>
      </c>
      <c r="B70" s="19" t="n"/>
      <c r="C70" s="22" t="n"/>
      <c r="D70" s="34" t="n"/>
      <c r="E70" s="19" t="n"/>
      <c r="F70" s="35" t="n"/>
      <c r="G70" s="35" t="n"/>
      <c r="H70" s="36">
        <f>F70*G70</f>
        <v/>
      </c>
      <c r="I70" s="37">
        <f>IF($H$106&gt;0,H70/$H$106,0)</f>
        <v/>
      </c>
    </row>
    <row r="71">
      <c r="A71" s="33">
        <f>IF(B71="","",COUNTA($B$6:B71))</f>
        <v/>
      </c>
      <c r="B71" s="19" t="n"/>
      <c r="C71" s="22" t="n"/>
      <c r="D71" s="34" t="n"/>
      <c r="E71" s="19" t="n"/>
      <c r="F71" s="35" t="n"/>
      <c r="G71" s="35" t="n"/>
      <c r="H71" s="36">
        <f>F71*G71</f>
        <v/>
      </c>
      <c r="I71" s="37">
        <f>IF($H$106&gt;0,H71/$H$106,0)</f>
        <v/>
      </c>
    </row>
    <row r="72">
      <c r="A72" s="33">
        <f>IF(B72="","",COUNTA($B$6:B72))</f>
        <v/>
      </c>
      <c r="B72" s="19" t="n"/>
      <c r="C72" s="22" t="n"/>
      <c r="D72" s="34" t="n"/>
      <c r="E72" s="19" t="n"/>
      <c r="F72" s="35" t="n"/>
      <c r="G72" s="35" t="n"/>
      <c r="H72" s="36">
        <f>F72*G72</f>
        <v/>
      </c>
      <c r="I72" s="37">
        <f>IF($H$106&gt;0,H72/$H$106,0)</f>
        <v/>
      </c>
    </row>
    <row r="73">
      <c r="A73" s="33">
        <f>IF(B73="","",COUNTA($B$6:B73))</f>
        <v/>
      </c>
      <c r="B73" s="19" t="n"/>
      <c r="C73" s="22" t="n"/>
      <c r="D73" s="34" t="n"/>
      <c r="E73" s="19" t="n"/>
      <c r="F73" s="35" t="n"/>
      <c r="G73" s="35" t="n"/>
      <c r="H73" s="36">
        <f>F73*G73</f>
        <v/>
      </c>
      <c r="I73" s="37">
        <f>IF($H$106&gt;0,H73/$H$106,0)</f>
        <v/>
      </c>
    </row>
    <row r="74">
      <c r="A74" s="33">
        <f>IF(B74="","",COUNTA($B$6:B74))</f>
        <v/>
      </c>
      <c r="B74" s="19" t="n"/>
      <c r="C74" s="22" t="n"/>
      <c r="D74" s="34" t="n"/>
      <c r="E74" s="19" t="n"/>
      <c r="F74" s="35" t="n"/>
      <c r="G74" s="35" t="n"/>
      <c r="H74" s="36">
        <f>F74*G74</f>
        <v/>
      </c>
      <c r="I74" s="37">
        <f>IF($H$106&gt;0,H74/$H$106,0)</f>
        <v/>
      </c>
    </row>
    <row r="75">
      <c r="A75" s="33">
        <f>IF(B75="","",COUNTA($B$6:B75))</f>
        <v/>
      </c>
      <c r="B75" s="19" t="n"/>
      <c r="C75" s="22" t="n"/>
      <c r="D75" s="34" t="n"/>
      <c r="E75" s="19" t="n"/>
      <c r="F75" s="35" t="n"/>
      <c r="G75" s="35" t="n"/>
      <c r="H75" s="36">
        <f>F75*G75</f>
        <v/>
      </c>
      <c r="I75" s="37">
        <f>IF($H$106&gt;0,H75/$H$106,0)</f>
        <v/>
      </c>
    </row>
    <row r="76">
      <c r="A76" s="33">
        <f>IF(B76="","",COUNTA($B$6:B76))</f>
        <v/>
      </c>
      <c r="B76" s="19" t="n"/>
      <c r="C76" s="22" t="n"/>
      <c r="D76" s="34" t="n"/>
      <c r="E76" s="19" t="n"/>
      <c r="F76" s="35" t="n"/>
      <c r="G76" s="35" t="n"/>
      <c r="H76" s="36">
        <f>F76*G76</f>
        <v/>
      </c>
      <c r="I76" s="37">
        <f>IF($H$106&gt;0,H76/$H$106,0)</f>
        <v/>
      </c>
    </row>
    <row r="77">
      <c r="A77" s="33">
        <f>IF(B77="","",COUNTA($B$6:B77))</f>
        <v/>
      </c>
      <c r="B77" s="19" t="n"/>
      <c r="C77" s="22" t="n"/>
      <c r="D77" s="34" t="n"/>
      <c r="E77" s="19" t="n"/>
      <c r="F77" s="35" t="n"/>
      <c r="G77" s="35" t="n"/>
      <c r="H77" s="36">
        <f>F77*G77</f>
        <v/>
      </c>
      <c r="I77" s="37">
        <f>IF($H$106&gt;0,H77/$H$106,0)</f>
        <v/>
      </c>
    </row>
    <row r="78">
      <c r="A78" s="33">
        <f>IF(B78="","",COUNTA($B$6:B78))</f>
        <v/>
      </c>
      <c r="B78" s="19" t="n"/>
      <c r="C78" s="22" t="n"/>
      <c r="D78" s="34" t="n"/>
      <c r="E78" s="19" t="n"/>
      <c r="F78" s="35" t="n"/>
      <c r="G78" s="35" t="n"/>
      <c r="H78" s="36">
        <f>F78*G78</f>
        <v/>
      </c>
      <c r="I78" s="37">
        <f>IF($H$106&gt;0,H78/$H$106,0)</f>
        <v/>
      </c>
    </row>
    <row r="79">
      <c r="A79" s="33">
        <f>IF(B79="","",COUNTA($B$6:B79))</f>
        <v/>
      </c>
      <c r="B79" s="19" t="n"/>
      <c r="C79" s="22" t="n"/>
      <c r="D79" s="34" t="n"/>
      <c r="E79" s="19" t="n"/>
      <c r="F79" s="35" t="n"/>
      <c r="G79" s="35" t="n"/>
      <c r="H79" s="36">
        <f>F79*G79</f>
        <v/>
      </c>
      <c r="I79" s="37">
        <f>IF($H$106&gt;0,H79/$H$106,0)</f>
        <v/>
      </c>
    </row>
    <row r="80">
      <c r="A80" s="33">
        <f>IF(B80="","",COUNTA($B$6:B80))</f>
        <v/>
      </c>
      <c r="B80" s="19" t="n"/>
      <c r="C80" s="22" t="n"/>
      <c r="D80" s="34" t="n"/>
      <c r="E80" s="19" t="n"/>
      <c r="F80" s="35" t="n"/>
      <c r="G80" s="35" t="n"/>
      <c r="H80" s="36">
        <f>F80*G80</f>
        <v/>
      </c>
      <c r="I80" s="37">
        <f>IF($H$106&gt;0,H80/$H$106,0)</f>
        <v/>
      </c>
    </row>
    <row r="81">
      <c r="A81" s="33">
        <f>IF(B81="","",COUNTA($B$6:B81))</f>
        <v/>
      </c>
      <c r="B81" s="19" t="n"/>
      <c r="C81" s="22" t="n"/>
      <c r="D81" s="34" t="n"/>
      <c r="E81" s="19" t="n"/>
      <c r="F81" s="35" t="n"/>
      <c r="G81" s="35" t="n"/>
      <c r="H81" s="36">
        <f>F81*G81</f>
        <v/>
      </c>
      <c r="I81" s="37">
        <f>IF($H$106&gt;0,H81/$H$106,0)</f>
        <v/>
      </c>
    </row>
    <row r="82">
      <c r="A82" s="33">
        <f>IF(B82="","",COUNTA($B$6:B82))</f>
        <v/>
      </c>
      <c r="B82" s="19" t="n"/>
      <c r="C82" s="22" t="n"/>
      <c r="D82" s="34" t="n"/>
      <c r="E82" s="19" t="n"/>
      <c r="F82" s="35" t="n"/>
      <c r="G82" s="35" t="n"/>
      <c r="H82" s="36">
        <f>F82*G82</f>
        <v/>
      </c>
      <c r="I82" s="37">
        <f>IF($H$106&gt;0,H82/$H$106,0)</f>
        <v/>
      </c>
    </row>
    <row r="83">
      <c r="A83" s="33">
        <f>IF(B83="","",COUNTA($B$6:B83))</f>
        <v/>
      </c>
      <c r="B83" s="19" t="n"/>
      <c r="C83" s="22" t="n"/>
      <c r="D83" s="34" t="n"/>
      <c r="E83" s="19" t="n"/>
      <c r="F83" s="35" t="n"/>
      <c r="G83" s="35" t="n"/>
      <c r="H83" s="36">
        <f>F83*G83</f>
        <v/>
      </c>
      <c r="I83" s="37">
        <f>IF($H$106&gt;0,H83/$H$106,0)</f>
        <v/>
      </c>
    </row>
    <row r="84">
      <c r="A84" s="33">
        <f>IF(B84="","",COUNTA($B$6:B84))</f>
        <v/>
      </c>
      <c r="B84" s="19" t="n"/>
      <c r="C84" s="22" t="n"/>
      <c r="D84" s="34" t="n"/>
      <c r="E84" s="19" t="n"/>
      <c r="F84" s="35" t="n"/>
      <c r="G84" s="35" t="n"/>
      <c r="H84" s="36">
        <f>F84*G84</f>
        <v/>
      </c>
      <c r="I84" s="37">
        <f>IF($H$106&gt;0,H84/$H$106,0)</f>
        <v/>
      </c>
    </row>
    <row r="85">
      <c r="A85" s="33">
        <f>IF(B85="","",COUNTA($B$6:B85))</f>
        <v/>
      </c>
      <c r="B85" s="19" t="n"/>
      <c r="C85" s="22" t="n"/>
      <c r="D85" s="34" t="n"/>
      <c r="E85" s="19" t="n"/>
      <c r="F85" s="35" t="n"/>
      <c r="G85" s="35" t="n"/>
      <c r="H85" s="36">
        <f>F85*G85</f>
        <v/>
      </c>
      <c r="I85" s="37">
        <f>IF($H$106&gt;0,H85/$H$106,0)</f>
        <v/>
      </c>
    </row>
    <row r="86">
      <c r="A86" s="33">
        <f>IF(B86="","",COUNTA($B$6:B86))</f>
        <v/>
      </c>
      <c r="B86" s="19" t="n"/>
      <c r="C86" s="22" t="n"/>
      <c r="D86" s="34" t="n"/>
      <c r="E86" s="19" t="n"/>
      <c r="F86" s="35" t="n"/>
      <c r="G86" s="35" t="n"/>
      <c r="H86" s="36">
        <f>F86*G86</f>
        <v/>
      </c>
      <c r="I86" s="37">
        <f>IF($H$106&gt;0,H86/$H$106,0)</f>
        <v/>
      </c>
    </row>
    <row r="87">
      <c r="A87" s="33">
        <f>IF(B87="","",COUNTA($B$6:B87))</f>
        <v/>
      </c>
      <c r="B87" s="19" t="n"/>
      <c r="C87" s="22" t="n"/>
      <c r="D87" s="34" t="n"/>
      <c r="E87" s="19" t="n"/>
      <c r="F87" s="35" t="n"/>
      <c r="G87" s="35" t="n"/>
      <c r="H87" s="36">
        <f>F87*G87</f>
        <v/>
      </c>
      <c r="I87" s="37">
        <f>IF($H$106&gt;0,H87/$H$106,0)</f>
        <v/>
      </c>
    </row>
    <row r="88">
      <c r="A88" s="33">
        <f>IF(B88="","",COUNTA($B$6:B88))</f>
        <v/>
      </c>
      <c r="B88" s="19" t="n"/>
      <c r="C88" s="22" t="n"/>
      <c r="D88" s="34" t="n"/>
      <c r="E88" s="19" t="n"/>
      <c r="F88" s="35" t="n"/>
      <c r="G88" s="35" t="n"/>
      <c r="H88" s="36">
        <f>F88*G88</f>
        <v/>
      </c>
      <c r="I88" s="37">
        <f>IF($H$106&gt;0,H88/$H$106,0)</f>
        <v/>
      </c>
    </row>
    <row r="89">
      <c r="A89" s="33">
        <f>IF(B89="","",COUNTA($B$6:B89))</f>
        <v/>
      </c>
      <c r="B89" s="19" t="n"/>
      <c r="C89" s="22" t="n"/>
      <c r="D89" s="34" t="n"/>
      <c r="E89" s="19" t="n"/>
      <c r="F89" s="35" t="n"/>
      <c r="G89" s="35" t="n"/>
      <c r="H89" s="36">
        <f>F89*G89</f>
        <v/>
      </c>
      <c r="I89" s="37">
        <f>IF($H$106&gt;0,H89/$H$106,0)</f>
        <v/>
      </c>
    </row>
    <row r="90">
      <c r="A90" s="33">
        <f>IF(B90="","",COUNTA($B$6:B90))</f>
        <v/>
      </c>
      <c r="B90" s="19" t="n"/>
      <c r="C90" s="22" t="n"/>
      <c r="D90" s="34" t="n"/>
      <c r="E90" s="19" t="n"/>
      <c r="F90" s="35" t="n"/>
      <c r="G90" s="35" t="n"/>
      <c r="H90" s="36">
        <f>F90*G90</f>
        <v/>
      </c>
      <c r="I90" s="37">
        <f>IF($H$106&gt;0,H90/$H$106,0)</f>
        <v/>
      </c>
    </row>
    <row r="91">
      <c r="A91" s="33">
        <f>IF(B91="","",COUNTA($B$6:B91))</f>
        <v/>
      </c>
      <c r="B91" s="19" t="n"/>
      <c r="C91" s="22" t="n"/>
      <c r="D91" s="34" t="n"/>
      <c r="E91" s="19" t="n"/>
      <c r="F91" s="35" t="n"/>
      <c r="G91" s="35" t="n"/>
      <c r="H91" s="36">
        <f>F91*G91</f>
        <v/>
      </c>
      <c r="I91" s="37">
        <f>IF($H$106&gt;0,H91/$H$106,0)</f>
        <v/>
      </c>
    </row>
    <row r="92">
      <c r="A92" s="33">
        <f>IF(B92="","",COUNTA($B$6:B92))</f>
        <v/>
      </c>
      <c r="B92" s="19" t="n"/>
      <c r="C92" s="22" t="n"/>
      <c r="D92" s="34" t="n"/>
      <c r="E92" s="19" t="n"/>
      <c r="F92" s="35" t="n"/>
      <c r="G92" s="35" t="n"/>
      <c r="H92" s="36">
        <f>F92*G92</f>
        <v/>
      </c>
      <c r="I92" s="37">
        <f>IF($H$106&gt;0,H92/$H$106,0)</f>
        <v/>
      </c>
    </row>
    <row r="93">
      <c r="A93" s="33">
        <f>IF(B93="","",COUNTA($B$6:B93))</f>
        <v/>
      </c>
      <c r="B93" s="19" t="n"/>
      <c r="C93" s="22" t="n"/>
      <c r="D93" s="34" t="n"/>
      <c r="E93" s="19" t="n"/>
      <c r="F93" s="35" t="n"/>
      <c r="G93" s="35" t="n"/>
      <c r="H93" s="36">
        <f>F93*G93</f>
        <v/>
      </c>
      <c r="I93" s="37">
        <f>IF($H$106&gt;0,H93/$H$106,0)</f>
        <v/>
      </c>
    </row>
    <row r="94">
      <c r="A94" s="33">
        <f>IF(B94="","",COUNTA($B$6:B94))</f>
        <v/>
      </c>
      <c r="B94" s="19" t="n"/>
      <c r="C94" s="22" t="n"/>
      <c r="D94" s="34" t="n"/>
      <c r="E94" s="19" t="n"/>
      <c r="F94" s="35" t="n"/>
      <c r="G94" s="35" t="n"/>
      <c r="H94" s="36">
        <f>F94*G94</f>
        <v/>
      </c>
      <c r="I94" s="37">
        <f>IF($H$106&gt;0,H94/$H$106,0)</f>
        <v/>
      </c>
    </row>
    <row r="95">
      <c r="A95" s="33">
        <f>IF(B95="","",COUNTA($B$6:B95))</f>
        <v/>
      </c>
      <c r="B95" s="19" t="n"/>
      <c r="C95" s="22" t="n"/>
      <c r="D95" s="34" t="n"/>
      <c r="E95" s="19" t="n"/>
      <c r="F95" s="35" t="n"/>
      <c r="G95" s="35" t="n"/>
      <c r="H95" s="36">
        <f>F95*G95</f>
        <v/>
      </c>
      <c r="I95" s="37">
        <f>IF($H$106&gt;0,H95/$H$106,0)</f>
        <v/>
      </c>
    </row>
    <row r="96">
      <c r="A96" s="33">
        <f>IF(B96="","",COUNTA($B$6:B96))</f>
        <v/>
      </c>
      <c r="B96" s="19" t="n"/>
      <c r="C96" s="22" t="n"/>
      <c r="D96" s="34" t="n"/>
      <c r="E96" s="19" t="n"/>
      <c r="F96" s="35" t="n"/>
      <c r="G96" s="35" t="n"/>
      <c r="H96" s="36">
        <f>F96*G96</f>
        <v/>
      </c>
      <c r="I96" s="37">
        <f>IF($H$106&gt;0,H96/$H$106,0)</f>
        <v/>
      </c>
    </row>
    <row r="97">
      <c r="A97" s="33">
        <f>IF(B97="","",COUNTA($B$6:B97))</f>
        <v/>
      </c>
      <c r="B97" s="19" t="n"/>
      <c r="C97" s="22" t="n"/>
      <c r="D97" s="34" t="n"/>
      <c r="E97" s="19" t="n"/>
      <c r="F97" s="35" t="n"/>
      <c r="G97" s="35" t="n"/>
      <c r="H97" s="36">
        <f>F97*G97</f>
        <v/>
      </c>
      <c r="I97" s="37">
        <f>IF($H$106&gt;0,H97/$H$106,0)</f>
        <v/>
      </c>
    </row>
    <row r="98">
      <c r="A98" s="33">
        <f>IF(B98="","",COUNTA($B$6:B98))</f>
        <v/>
      </c>
      <c r="B98" s="19" t="n"/>
      <c r="C98" s="22" t="n"/>
      <c r="D98" s="34" t="n"/>
      <c r="E98" s="19" t="n"/>
      <c r="F98" s="35" t="n"/>
      <c r="G98" s="35" t="n"/>
      <c r="H98" s="36">
        <f>F98*G98</f>
        <v/>
      </c>
      <c r="I98" s="37">
        <f>IF($H$106&gt;0,H98/$H$106,0)</f>
        <v/>
      </c>
    </row>
    <row r="99">
      <c r="A99" s="33">
        <f>IF(B99="","",COUNTA($B$6:B99))</f>
        <v/>
      </c>
      <c r="B99" s="19" t="n"/>
      <c r="C99" s="22" t="n"/>
      <c r="D99" s="34" t="n"/>
      <c r="E99" s="19" t="n"/>
      <c r="F99" s="35" t="n"/>
      <c r="G99" s="35" t="n"/>
      <c r="H99" s="36">
        <f>F99*G99</f>
        <v/>
      </c>
      <c r="I99" s="37">
        <f>IF($H$106&gt;0,H99/$H$106,0)</f>
        <v/>
      </c>
    </row>
    <row r="100">
      <c r="A100" s="33">
        <f>IF(B100="","",COUNTA($B$6:B100))</f>
        <v/>
      </c>
      <c r="B100" s="19" t="n"/>
      <c r="C100" s="22" t="n"/>
      <c r="D100" s="34" t="n"/>
      <c r="E100" s="19" t="n"/>
      <c r="F100" s="35" t="n"/>
      <c r="G100" s="35" t="n"/>
      <c r="H100" s="36">
        <f>F100*G100</f>
        <v/>
      </c>
      <c r="I100" s="37">
        <f>IF($H$106&gt;0,H100/$H$106,0)</f>
        <v/>
      </c>
    </row>
    <row r="101">
      <c r="A101" s="33">
        <f>IF(B101="","",COUNTA($B$6:B101))</f>
        <v/>
      </c>
      <c r="B101" s="19" t="n"/>
      <c r="C101" s="22" t="n"/>
      <c r="D101" s="34" t="n"/>
      <c r="E101" s="19" t="n"/>
      <c r="F101" s="35" t="n"/>
      <c r="G101" s="35" t="n"/>
      <c r="H101" s="36">
        <f>F101*G101</f>
        <v/>
      </c>
      <c r="I101" s="37">
        <f>IF($H$106&gt;0,H101/$H$106,0)</f>
        <v/>
      </c>
    </row>
    <row r="102">
      <c r="A102" s="33">
        <f>IF(B102="","",COUNTA($B$6:B102))</f>
        <v/>
      </c>
      <c r="B102" s="19" t="n"/>
      <c r="C102" s="22" t="n"/>
      <c r="D102" s="34" t="n"/>
      <c r="E102" s="19" t="n"/>
      <c r="F102" s="35" t="n"/>
      <c r="G102" s="35" t="n"/>
      <c r="H102" s="36">
        <f>F102*G102</f>
        <v/>
      </c>
      <c r="I102" s="37">
        <f>IF($H$106&gt;0,H102/$H$106,0)</f>
        <v/>
      </c>
    </row>
    <row r="103">
      <c r="A103" s="33">
        <f>IF(B103="","",COUNTA($B$6:B103))</f>
        <v/>
      </c>
      <c r="B103" s="19" t="n"/>
      <c r="C103" s="22" t="n"/>
      <c r="D103" s="34" t="n"/>
      <c r="E103" s="19" t="n"/>
      <c r="F103" s="35" t="n"/>
      <c r="G103" s="35" t="n"/>
      <c r="H103" s="36">
        <f>F103*G103</f>
        <v/>
      </c>
      <c r="I103" s="37">
        <f>IF($H$106&gt;0,H103/$H$106,0)</f>
        <v/>
      </c>
    </row>
    <row r="104">
      <c r="A104" s="33">
        <f>IF(B104="","",COUNTA($B$6:B104))</f>
        <v/>
      </c>
      <c r="B104" s="19" t="n"/>
      <c r="C104" s="22" t="n"/>
      <c r="D104" s="34" t="n"/>
      <c r="E104" s="19" t="n"/>
      <c r="F104" s="35" t="n"/>
      <c r="G104" s="35" t="n"/>
      <c r="H104" s="36">
        <f>F104*G104</f>
        <v/>
      </c>
      <c r="I104" s="37">
        <f>IF($H$106&gt;0,H104/$H$106,0)</f>
        <v/>
      </c>
    </row>
    <row r="105">
      <c r="A105" s="33">
        <f>IF(B105="","",COUNTA($B$6:B105))</f>
        <v/>
      </c>
      <c r="B105" s="19" t="n"/>
      <c r="C105" s="22" t="n"/>
      <c r="D105" s="34" t="n"/>
      <c r="E105" s="19" t="n"/>
      <c r="F105" s="35" t="n"/>
      <c r="G105" s="35" t="n"/>
      <c r="H105" s="36">
        <f>F105*G105</f>
        <v/>
      </c>
      <c r="I105" s="37">
        <f>IF($H$106&gt;0,H105/$H$106,0)</f>
        <v/>
      </c>
    </row>
    <row r="106">
      <c r="A106" s="38" t="inlineStr">
        <is>
          <t>إجمالي قيمة العقد الأصلية</t>
        </is>
      </c>
      <c r="B106" s="38" t="n"/>
      <c r="C106" s="38" t="n"/>
      <c r="D106" s="38" t="n"/>
      <c r="E106" s="38" t="n"/>
      <c r="F106" s="38" t="n"/>
      <c r="G106" s="38" t="n"/>
      <c r="H106" s="39">
        <f>SUM(H6:H105)</f>
        <v/>
      </c>
      <c r="I106" s="40">
        <f>SUM(I6:I105)</f>
        <v/>
      </c>
    </row>
  </sheetData>
  <autoFilter ref="A5:I105"/>
  <mergeCells count="4">
    <mergeCell ref="A1:I1"/>
    <mergeCell ref="A106:G106"/>
    <mergeCell ref="A4:I4"/>
    <mergeCell ref="A2:I2"/>
  </mergeCells>
  <conditionalFormatting sqref="I6:I105">
    <cfRule type="dataBar" priority="1">
      <dataBar>
        <cfvo type="num" val="0"/>
        <cfvo type="max"/>
        <color rgb="005B9BD5"/>
      </dataBar>
    </cfRule>
  </conditionalFormatting>
  <conditionalFormatting sqref="B6:B105">
    <cfRule type="expression" priority="2" dxfId="0">
      <formula>AND(B6&lt;&gt;"",COUNTIF($B$6:$B$105,B6)&gt;1)</formula>
    </cfRule>
  </conditionalFormatting>
  <dataValidations count="2">
    <dataValidation sqref="C6:C105" showDropDown="0" showInputMessage="0" showErrorMessage="1" allowBlank="1" errorTitle="قيمة غير مسموحة" error="من فضلك اختر قيمة من القائمة المنسدلة." type="list">
      <formula1>=L_Sections</formula1>
    </dataValidation>
    <dataValidation sqref="F6:G105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</dataValidations>
  <hyperlinks>
    <hyperlink ref="A3" location="'سجل المستخلصات'!A1" display="🗂 سجل المستخلصات"/>
    <hyperlink ref="B3" location="'بيانات العقد'!A1" display="⚙ بيانات العقد"/>
    <hyperlink ref="C3" location="'الأوامر التغييرية'!A1" display="🔁 التغييرية"/>
    <hyperlink ref="D3" location="'الاستقطاعات الفنية'!A1" display="✂ الاستقطاعات"/>
    <hyperlink ref="F3" location="'مستخلص 01'!A1" display="🧾 مستخلص 01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7B4F9D"/>
    <outlinePr summaryBelow="1" summaryRight="1"/>
    <pageSetUpPr fitToPage="1"/>
  </sheetPr>
  <dimension ref="A1:L56"/>
  <sheetViews>
    <sheetView showGridLines="0" rightToLeft="1" zoomScale="9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48" customWidth="1" min="4" max="4"/>
    <col width="9" customWidth="1" min="5" max="5"/>
    <col width="16" customWidth="1" min="6" max="6"/>
    <col width="16" customWidth="1" min="7" max="7"/>
    <col width="13" customWidth="1" min="8" max="8"/>
    <col width="16" customWidth="1" min="9" max="9"/>
    <col width="16" customWidth="1" min="10" max="10"/>
    <col width="12" customWidth="1" min="11" max="11"/>
    <col width="30" customWidth="1" min="12" max="12"/>
  </cols>
  <sheetData>
    <row r="1" ht="38" customHeight="1">
      <c r="A1" s="1" t="inlineStr">
        <is>
          <t>🔁 سجل الأوامر التغييرية (Variation Orders)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0" customHeight="1">
      <c r="A2" s="2">
        <f>IF('بيانات العقد'!$C$5="","مشروع رقم 50 — أدخل بيانات العقد",'بيانات العقد'!$C$5&amp;"   |   عقد رقم: "&amp;'بيانات العقد'!$C$6)&amp;"   |   المبالغ بـ "&amp;'بيانات العقد'!$C$14</f>
        <v/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 ht="26" customHeight="1">
      <c r="A3" s="3" t="inlineStr">
        <is>
          <t>🗂 سجل المستخلصات</t>
        </is>
      </c>
      <c r="B3" s="16" t="inlineStr">
        <is>
          <t>⚙ بيانات العقد</t>
        </is>
      </c>
      <c r="C3" s="16" t="inlineStr">
        <is>
          <t>📋 جدول الكميات</t>
        </is>
      </c>
      <c r="D3" s="16" t="inlineStr">
        <is>
          <t>✂ الاستقطاعات</t>
        </is>
      </c>
      <c r="F3" s="4" t="inlineStr">
        <is>
          <t>🧾 مستخلص 01</t>
        </is>
      </c>
    </row>
    <row r="4" ht="28" customHeight="1">
      <c r="A4" s="41" t="inlineStr">
        <is>
          <t>«قيمة الأمر» تعدّل قيمة العقد عند الاعتماد — «القيمة المدرجة» تُصرف في المستخلص المحدد (للصرف على دفعات: كرر الأمر في سطر جديد بقيمة أمر = 0 ومستخلص مختلف).</t>
        </is>
      </c>
      <c r="B4" s="41" t="n"/>
      <c r="C4" s="41" t="n"/>
      <c r="D4" s="41" t="n"/>
      <c r="E4" s="41" t="n"/>
      <c r="F4" s="41" t="n"/>
      <c r="G4" s="41" t="n"/>
      <c r="H4" s="41" t="n"/>
      <c r="I4" s="41" t="n"/>
      <c r="J4" s="41" t="n"/>
      <c r="K4" s="41" t="n"/>
      <c r="L4" s="41" t="n"/>
    </row>
    <row r="5" ht="40" customHeight="1">
      <c r="A5" s="17" t="inlineStr">
        <is>
          <t>م</t>
        </is>
      </c>
      <c r="B5" s="17" t="inlineStr">
        <is>
          <t>رقم الأمر</t>
        </is>
      </c>
      <c r="C5" s="17" t="inlineStr">
        <is>
          <t>تاريخ الأمر</t>
        </is>
      </c>
      <c r="D5" s="17" t="inlineStr">
        <is>
          <t>وصف الأمر التغييري</t>
        </is>
      </c>
      <c r="E5" s="17" t="inlineStr">
        <is>
          <t>النوع</t>
        </is>
      </c>
      <c r="F5" s="17" t="inlineStr">
        <is>
          <t>قيمة الأمر</t>
        </is>
      </c>
      <c r="G5" s="17" t="inlineStr">
        <is>
          <t>الأثر على العقد (±)</t>
        </is>
      </c>
      <c r="H5" s="17" t="inlineStr">
        <is>
          <t>الحالة</t>
        </is>
      </c>
      <c r="I5" s="17" t="inlineStr">
        <is>
          <t>القيمة المدرجة بالمستخلص</t>
        </is>
      </c>
      <c r="J5" s="17" t="inlineStr">
        <is>
          <t>الأثر على المستخلص (±)</t>
        </is>
      </c>
      <c r="K5" s="17" t="inlineStr">
        <is>
          <t>رقم المستخلص المدرج به</t>
        </is>
      </c>
      <c r="L5" s="17" t="inlineStr">
        <is>
          <t>ملاحظات</t>
        </is>
      </c>
    </row>
    <row r="6">
      <c r="A6" s="33">
        <f>IF(B6="","",COUNTA($B$6:B6))</f>
        <v/>
      </c>
      <c r="B6" s="19" t="n"/>
      <c r="C6" s="23" t="n"/>
      <c r="D6" s="34" t="n"/>
      <c r="E6" s="19" t="n"/>
      <c r="F6" s="42" t="n"/>
      <c r="G6" s="43">
        <f>IF(E6="خصم",-1,1)*N(F6)</f>
        <v/>
      </c>
      <c r="H6" s="19" t="n"/>
      <c r="I6" s="42" t="n"/>
      <c r="J6" s="43">
        <f>IF(E6="خصم",-1,1)*N(I6)</f>
        <v/>
      </c>
      <c r="K6" s="24" t="n"/>
      <c r="L6" s="44" t="n"/>
    </row>
    <row r="7">
      <c r="A7" s="33">
        <f>IF(B7="","",COUNTA($B$6:B7))</f>
        <v/>
      </c>
      <c r="B7" s="19" t="n"/>
      <c r="C7" s="23" t="n"/>
      <c r="D7" s="34" t="n"/>
      <c r="E7" s="19" t="n"/>
      <c r="F7" s="42" t="n"/>
      <c r="G7" s="43">
        <f>IF(E7="خصم",-1,1)*N(F7)</f>
        <v/>
      </c>
      <c r="H7" s="19" t="n"/>
      <c r="I7" s="42" t="n"/>
      <c r="J7" s="43">
        <f>IF(E7="خصم",-1,1)*N(I7)</f>
        <v/>
      </c>
      <c r="K7" s="24" t="n"/>
      <c r="L7" s="44" t="n"/>
    </row>
    <row r="8">
      <c r="A8" s="33">
        <f>IF(B8="","",COUNTA($B$6:B8))</f>
        <v/>
      </c>
      <c r="B8" s="19" t="n"/>
      <c r="C8" s="23" t="n"/>
      <c r="D8" s="34" t="n"/>
      <c r="E8" s="19" t="n"/>
      <c r="F8" s="42" t="n"/>
      <c r="G8" s="43">
        <f>IF(E8="خصم",-1,1)*N(F8)</f>
        <v/>
      </c>
      <c r="H8" s="19" t="n"/>
      <c r="I8" s="42" t="n"/>
      <c r="J8" s="43">
        <f>IF(E8="خصم",-1,1)*N(I8)</f>
        <v/>
      </c>
      <c r="K8" s="24" t="n"/>
      <c r="L8" s="44" t="n"/>
    </row>
    <row r="9">
      <c r="A9" s="33">
        <f>IF(B9="","",COUNTA($B$6:B9))</f>
        <v/>
      </c>
      <c r="B9" s="19" t="n"/>
      <c r="C9" s="23" t="n"/>
      <c r="D9" s="34" t="n"/>
      <c r="E9" s="19" t="n"/>
      <c r="F9" s="42" t="n"/>
      <c r="G9" s="43">
        <f>IF(E9="خصم",-1,1)*N(F9)</f>
        <v/>
      </c>
      <c r="H9" s="19" t="n"/>
      <c r="I9" s="42" t="n"/>
      <c r="J9" s="43">
        <f>IF(E9="خصم",-1,1)*N(I9)</f>
        <v/>
      </c>
      <c r="K9" s="24" t="n"/>
      <c r="L9" s="44" t="n"/>
    </row>
    <row r="10">
      <c r="A10" s="33">
        <f>IF(B10="","",COUNTA($B$6:B10))</f>
        <v/>
      </c>
      <c r="B10" s="19" t="n"/>
      <c r="C10" s="23" t="n"/>
      <c r="D10" s="34" t="n"/>
      <c r="E10" s="19" t="n"/>
      <c r="F10" s="42" t="n"/>
      <c r="G10" s="43">
        <f>IF(E10="خصم",-1,1)*N(F10)</f>
        <v/>
      </c>
      <c r="H10" s="19" t="n"/>
      <c r="I10" s="42" t="n"/>
      <c r="J10" s="43">
        <f>IF(E10="خصم",-1,1)*N(I10)</f>
        <v/>
      </c>
      <c r="K10" s="24" t="n"/>
      <c r="L10" s="44" t="n"/>
    </row>
    <row r="11">
      <c r="A11" s="33">
        <f>IF(B11="","",COUNTA($B$6:B11))</f>
        <v/>
      </c>
      <c r="B11" s="19" t="n"/>
      <c r="C11" s="23" t="n"/>
      <c r="D11" s="34" t="n"/>
      <c r="E11" s="19" t="n"/>
      <c r="F11" s="42" t="n"/>
      <c r="G11" s="43">
        <f>IF(E11="خصم",-1,1)*N(F11)</f>
        <v/>
      </c>
      <c r="H11" s="19" t="n"/>
      <c r="I11" s="42" t="n"/>
      <c r="J11" s="43">
        <f>IF(E11="خصم",-1,1)*N(I11)</f>
        <v/>
      </c>
      <c r="K11" s="24" t="n"/>
      <c r="L11" s="44" t="n"/>
    </row>
    <row r="12">
      <c r="A12" s="33">
        <f>IF(B12="","",COUNTA($B$6:B12))</f>
        <v/>
      </c>
      <c r="B12" s="19" t="n"/>
      <c r="C12" s="23" t="n"/>
      <c r="D12" s="34" t="n"/>
      <c r="E12" s="19" t="n"/>
      <c r="F12" s="42" t="n"/>
      <c r="G12" s="43">
        <f>IF(E12="خصم",-1,1)*N(F12)</f>
        <v/>
      </c>
      <c r="H12" s="19" t="n"/>
      <c r="I12" s="42" t="n"/>
      <c r="J12" s="43">
        <f>IF(E12="خصم",-1,1)*N(I12)</f>
        <v/>
      </c>
      <c r="K12" s="24" t="n"/>
      <c r="L12" s="44" t="n"/>
    </row>
    <row r="13">
      <c r="A13" s="33">
        <f>IF(B13="","",COUNTA($B$6:B13))</f>
        <v/>
      </c>
      <c r="B13" s="19" t="n"/>
      <c r="C13" s="23" t="n"/>
      <c r="D13" s="34" t="n"/>
      <c r="E13" s="19" t="n"/>
      <c r="F13" s="42" t="n"/>
      <c r="G13" s="43">
        <f>IF(E13="خصم",-1,1)*N(F13)</f>
        <v/>
      </c>
      <c r="H13" s="19" t="n"/>
      <c r="I13" s="42" t="n"/>
      <c r="J13" s="43">
        <f>IF(E13="خصم",-1,1)*N(I13)</f>
        <v/>
      </c>
      <c r="K13" s="24" t="n"/>
      <c r="L13" s="44" t="n"/>
    </row>
    <row r="14">
      <c r="A14" s="33">
        <f>IF(B14="","",COUNTA($B$6:B14))</f>
        <v/>
      </c>
      <c r="B14" s="19" t="n"/>
      <c r="C14" s="23" t="n"/>
      <c r="D14" s="34" t="n"/>
      <c r="E14" s="19" t="n"/>
      <c r="F14" s="42" t="n"/>
      <c r="G14" s="43">
        <f>IF(E14="خصم",-1,1)*N(F14)</f>
        <v/>
      </c>
      <c r="H14" s="19" t="n"/>
      <c r="I14" s="42" t="n"/>
      <c r="J14" s="43">
        <f>IF(E14="خصم",-1,1)*N(I14)</f>
        <v/>
      </c>
      <c r="K14" s="24" t="n"/>
      <c r="L14" s="44" t="n"/>
    </row>
    <row r="15">
      <c r="A15" s="33">
        <f>IF(B15="","",COUNTA($B$6:B15))</f>
        <v/>
      </c>
      <c r="B15" s="19" t="n"/>
      <c r="C15" s="23" t="n"/>
      <c r="D15" s="34" t="n"/>
      <c r="E15" s="19" t="n"/>
      <c r="F15" s="42" t="n"/>
      <c r="G15" s="43">
        <f>IF(E15="خصم",-1,1)*N(F15)</f>
        <v/>
      </c>
      <c r="H15" s="19" t="n"/>
      <c r="I15" s="42" t="n"/>
      <c r="J15" s="43">
        <f>IF(E15="خصم",-1,1)*N(I15)</f>
        <v/>
      </c>
      <c r="K15" s="24" t="n"/>
      <c r="L15" s="44" t="n"/>
    </row>
    <row r="16">
      <c r="A16" s="33">
        <f>IF(B16="","",COUNTA($B$6:B16))</f>
        <v/>
      </c>
      <c r="B16" s="19" t="n"/>
      <c r="C16" s="23" t="n"/>
      <c r="D16" s="34" t="n"/>
      <c r="E16" s="19" t="n"/>
      <c r="F16" s="42" t="n"/>
      <c r="G16" s="43">
        <f>IF(E16="خصم",-1,1)*N(F16)</f>
        <v/>
      </c>
      <c r="H16" s="19" t="n"/>
      <c r="I16" s="42" t="n"/>
      <c r="J16" s="43">
        <f>IF(E16="خصم",-1,1)*N(I16)</f>
        <v/>
      </c>
      <c r="K16" s="24" t="n"/>
      <c r="L16" s="44" t="n"/>
    </row>
    <row r="17">
      <c r="A17" s="33">
        <f>IF(B17="","",COUNTA($B$6:B17))</f>
        <v/>
      </c>
      <c r="B17" s="19" t="n"/>
      <c r="C17" s="23" t="n"/>
      <c r="D17" s="34" t="n"/>
      <c r="E17" s="19" t="n"/>
      <c r="F17" s="42" t="n"/>
      <c r="G17" s="43">
        <f>IF(E17="خصم",-1,1)*N(F17)</f>
        <v/>
      </c>
      <c r="H17" s="19" t="n"/>
      <c r="I17" s="42" t="n"/>
      <c r="J17" s="43">
        <f>IF(E17="خصم",-1,1)*N(I17)</f>
        <v/>
      </c>
      <c r="K17" s="24" t="n"/>
      <c r="L17" s="44" t="n"/>
    </row>
    <row r="18">
      <c r="A18" s="33">
        <f>IF(B18="","",COUNTA($B$6:B18))</f>
        <v/>
      </c>
      <c r="B18" s="19" t="n"/>
      <c r="C18" s="23" t="n"/>
      <c r="D18" s="34" t="n"/>
      <c r="E18" s="19" t="n"/>
      <c r="F18" s="42" t="n"/>
      <c r="G18" s="43">
        <f>IF(E18="خصم",-1,1)*N(F18)</f>
        <v/>
      </c>
      <c r="H18" s="19" t="n"/>
      <c r="I18" s="42" t="n"/>
      <c r="J18" s="43">
        <f>IF(E18="خصم",-1,1)*N(I18)</f>
        <v/>
      </c>
      <c r="K18" s="24" t="n"/>
      <c r="L18" s="44" t="n"/>
    </row>
    <row r="19">
      <c r="A19" s="33">
        <f>IF(B19="","",COUNTA($B$6:B19))</f>
        <v/>
      </c>
      <c r="B19" s="19" t="n"/>
      <c r="C19" s="23" t="n"/>
      <c r="D19" s="34" t="n"/>
      <c r="E19" s="19" t="n"/>
      <c r="F19" s="42" t="n"/>
      <c r="G19" s="43">
        <f>IF(E19="خصم",-1,1)*N(F19)</f>
        <v/>
      </c>
      <c r="H19" s="19" t="n"/>
      <c r="I19" s="42" t="n"/>
      <c r="J19" s="43">
        <f>IF(E19="خصم",-1,1)*N(I19)</f>
        <v/>
      </c>
      <c r="K19" s="24" t="n"/>
      <c r="L19" s="44" t="n"/>
    </row>
    <row r="20">
      <c r="A20" s="33">
        <f>IF(B20="","",COUNTA($B$6:B20))</f>
        <v/>
      </c>
      <c r="B20" s="19" t="n"/>
      <c r="C20" s="23" t="n"/>
      <c r="D20" s="34" t="n"/>
      <c r="E20" s="19" t="n"/>
      <c r="F20" s="42" t="n"/>
      <c r="G20" s="43">
        <f>IF(E20="خصم",-1,1)*N(F20)</f>
        <v/>
      </c>
      <c r="H20" s="19" t="n"/>
      <c r="I20" s="42" t="n"/>
      <c r="J20" s="43">
        <f>IF(E20="خصم",-1,1)*N(I20)</f>
        <v/>
      </c>
      <c r="K20" s="24" t="n"/>
      <c r="L20" s="44" t="n"/>
    </row>
    <row r="21">
      <c r="A21" s="33">
        <f>IF(B21="","",COUNTA($B$6:B21))</f>
        <v/>
      </c>
      <c r="B21" s="19" t="n"/>
      <c r="C21" s="23" t="n"/>
      <c r="D21" s="34" t="n"/>
      <c r="E21" s="19" t="n"/>
      <c r="F21" s="42" t="n"/>
      <c r="G21" s="43">
        <f>IF(E21="خصم",-1,1)*N(F21)</f>
        <v/>
      </c>
      <c r="H21" s="19" t="n"/>
      <c r="I21" s="42" t="n"/>
      <c r="J21" s="43">
        <f>IF(E21="خصم",-1,1)*N(I21)</f>
        <v/>
      </c>
      <c r="K21" s="24" t="n"/>
      <c r="L21" s="44" t="n"/>
    </row>
    <row r="22">
      <c r="A22" s="33">
        <f>IF(B22="","",COUNTA($B$6:B22))</f>
        <v/>
      </c>
      <c r="B22" s="19" t="n"/>
      <c r="C22" s="23" t="n"/>
      <c r="D22" s="34" t="n"/>
      <c r="E22" s="19" t="n"/>
      <c r="F22" s="42" t="n"/>
      <c r="G22" s="43">
        <f>IF(E22="خصم",-1,1)*N(F22)</f>
        <v/>
      </c>
      <c r="H22" s="19" t="n"/>
      <c r="I22" s="42" t="n"/>
      <c r="J22" s="43">
        <f>IF(E22="خصم",-1,1)*N(I22)</f>
        <v/>
      </c>
      <c r="K22" s="24" t="n"/>
      <c r="L22" s="44" t="n"/>
    </row>
    <row r="23">
      <c r="A23" s="33">
        <f>IF(B23="","",COUNTA($B$6:B23))</f>
        <v/>
      </c>
      <c r="B23" s="19" t="n"/>
      <c r="C23" s="23" t="n"/>
      <c r="D23" s="34" t="n"/>
      <c r="E23" s="19" t="n"/>
      <c r="F23" s="42" t="n"/>
      <c r="G23" s="43">
        <f>IF(E23="خصم",-1,1)*N(F23)</f>
        <v/>
      </c>
      <c r="H23" s="19" t="n"/>
      <c r="I23" s="42" t="n"/>
      <c r="J23" s="43">
        <f>IF(E23="خصم",-1,1)*N(I23)</f>
        <v/>
      </c>
      <c r="K23" s="24" t="n"/>
      <c r="L23" s="44" t="n"/>
    </row>
    <row r="24">
      <c r="A24" s="33">
        <f>IF(B24="","",COUNTA($B$6:B24))</f>
        <v/>
      </c>
      <c r="B24" s="19" t="n"/>
      <c r="C24" s="23" t="n"/>
      <c r="D24" s="34" t="n"/>
      <c r="E24" s="19" t="n"/>
      <c r="F24" s="42" t="n"/>
      <c r="G24" s="43">
        <f>IF(E24="خصم",-1,1)*N(F24)</f>
        <v/>
      </c>
      <c r="H24" s="19" t="n"/>
      <c r="I24" s="42" t="n"/>
      <c r="J24" s="43">
        <f>IF(E24="خصم",-1,1)*N(I24)</f>
        <v/>
      </c>
      <c r="K24" s="24" t="n"/>
      <c r="L24" s="44" t="n"/>
    </row>
    <row r="25">
      <c r="A25" s="33">
        <f>IF(B25="","",COUNTA($B$6:B25))</f>
        <v/>
      </c>
      <c r="B25" s="19" t="n"/>
      <c r="C25" s="23" t="n"/>
      <c r="D25" s="34" t="n"/>
      <c r="E25" s="19" t="n"/>
      <c r="F25" s="42" t="n"/>
      <c r="G25" s="43">
        <f>IF(E25="خصم",-1,1)*N(F25)</f>
        <v/>
      </c>
      <c r="H25" s="19" t="n"/>
      <c r="I25" s="42" t="n"/>
      <c r="J25" s="43">
        <f>IF(E25="خصم",-1,1)*N(I25)</f>
        <v/>
      </c>
      <c r="K25" s="24" t="n"/>
      <c r="L25" s="44" t="n"/>
    </row>
    <row r="26">
      <c r="A26" s="33">
        <f>IF(B26="","",COUNTA($B$6:B26))</f>
        <v/>
      </c>
      <c r="B26" s="19" t="n"/>
      <c r="C26" s="23" t="n"/>
      <c r="D26" s="34" t="n"/>
      <c r="E26" s="19" t="n"/>
      <c r="F26" s="42" t="n"/>
      <c r="G26" s="43">
        <f>IF(E26="خصم",-1,1)*N(F26)</f>
        <v/>
      </c>
      <c r="H26" s="19" t="n"/>
      <c r="I26" s="42" t="n"/>
      <c r="J26" s="43">
        <f>IF(E26="خصم",-1,1)*N(I26)</f>
        <v/>
      </c>
      <c r="K26" s="24" t="n"/>
      <c r="L26" s="44" t="n"/>
    </row>
    <row r="27">
      <c r="A27" s="33">
        <f>IF(B27="","",COUNTA($B$6:B27))</f>
        <v/>
      </c>
      <c r="B27" s="19" t="n"/>
      <c r="C27" s="23" t="n"/>
      <c r="D27" s="34" t="n"/>
      <c r="E27" s="19" t="n"/>
      <c r="F27" s="42" t="n"/>
      <c r="G27" s="43">
        <f>IF(E27="خصم",-1,1)*N(F27)</f>
        <v/>
      </c>
      <c r="H27" s="19" t="n"/>
      <c r="I27" s="42" t="n"/>
      <c r="J27" s="43">
        <f>IF(E27="خصم",-1,1)*N(I27)</f>
        <v/>
      </c>
      <c r="K27" s="24" t="n"/>
      <c r="L27" s="44" t="n"/>
    </row>
    <row r="28">
      <c r="A28" s="33">
        <f>IF(B28="","",COUNTA($B$6:B28))</f>
        <v/>
      </c>
      <c r="B28" s="19" t="n"/>
      <c r="C28" s="23" t="n"/>
      <c r="D28" s="34" t="n"/>
      <c r="E28" s="19" t="n"/>
      <c r="F28" s="42" t="n"/>
      <c r="G28" s="43">
        <f>IF(E28="خصم",-1,1)*N(F28)</f>
        <v/>
      </c>
      <c r="H28" s="19" t="n"/>
      <c r="I28" s="42" t="n"/>
      <c r="J28" s="43">
        <f>IF(E28="خصم",-1,1)*N(I28)</f>
        <v/>
      </c>
      <c r="K28" s="24" t="n"/>
      <c r="L28" s="44" t="n"/>
    </row>
    <row r="29">
      <c r="A29" s="33">
        <f>IF(B29="","",COUNTA($B$6:B29))</f>
        <v/>
      </c>
      <c r="B29" s="19" t="n"/>
      <c r="C29" s="23" t="n"/>
      <c r="D29" s="34" t="n"/>
      <c r="E29" s="19" t="n"/>
      <c r="F29" s="42" t="n"/>
      <c r="G29" s="43">
        <f>IF(E29="خصم",-1,1)*N(F29)</f>
        <v/>
      </c>
      <c r="H29" s="19" t="n"/>
      <c r="I29" s="42" t="n"/>
      <c r="J29" s="43">
        <f>IF(E29="خصم",-1,1)*N(I29)</f>
        <v/>
      </c>
      <c r="K29" s="24" t="n"/>
      <c r="L29" s="44" t="n"/>
    </row>
    <row r="30">
      <c r="A30" s="33">
        <f>IF(B30="","",COUNTA($B$6:B30))</f>
        <v/>
      </c>
      <c r="B30" s="19" t="n"/>
      <c r="C30" s="23" t="n"/>
      <c r="D30" s="34" t="n"/>
      <c r="E30" s="19" t="n"/>
      <c r="F30" s="42" t="n"/>
      <c r="G30" s="43">
        <f>IF(E30="خصم",-1,1)*N(F30)</f>
        <v/>
      </c>
      <c r="H30" s="19" t="n"/>
      <c r="I30" s="42" t="n"/>
      <c r="J30" s="43">
        <f>IF(E30="خصم",-1,1)*N(I30)</f>
        <v/>
      </c>
      <c r="K30" s="24" t="n"/>
      <c r="L30" s="44" t="n"/>
    </row>
    <row r="31">
      <c r="A31" s="33">
        <f>IF(B31="","",COUNTA($B$6:B31))</f>
        <v/>
      </c>
      <c r="B31" s="19" t="n"/>
      <c r="C31" s="23" t="n"/>
      <c r="D31" s="34" t="n"/>
      <c r="E31" s="19" t="n"/>
      <c r="F31" s="42" t="n"/>
      <c r="G31" s="43">
        <f>IF(E31="خصم",-1,1)*N(F31)</f>
        <v/>
      </c>
      <c r="H31" s="19" t="n"/>
      <c r="I31" s="42" t="n"/>
      <c r="J31" s="43">
        <f>IF(E31="خصم",-1,1)*N(I31)</f>
        <v/>
      </c>
      <c r="K31" s="24" t="n"/>
      <c r="L31" s="44" t="n"/>
    </row>
    <row r="32">
      <c r="A32" s="33">
        <f>IF(B32="","",COUNTA($B$6:B32))</f>
        <v/>
      </c>
      <c r="B32" s="19" t="n"/>
      <c r="C32" s="23" t="n"/>
      <c r="D32" s="34" t="n"/>
      <c r="E32" s="19" t="n"/>
      <c r="F32" s="42" t="n"/>
      <c r="G32" s="43">
        <f>IF(E32="خصم",-1,1)*N(F32)</f>
        <v/>
      </c>
      <c r="H32" s="19" t="n"/>
      <c r="I32" s="42" t="n"/>
      <c r="J32" s="43">
        <f>IF(E32="خصم",-1,1)*N(I32)</f>
        <v/>
      </c>
      <c r="K32" s="24" t="n"/>
      <c r="L32" s="44" t="n"/>
    </row>
    <row r="33">
      <c r="A33" s="33">
        <f>IF(B33="","",COUNTA($B$6:B33))</f>
        <v/>
      </c>
      <c r="B33" s="19" t="n"/>
      <c r="C33" s="23" t="n"/>
      <c r="D33" s="34" t="n"/>
      <c r="E33" s="19" t="n"/>
      <c r="F33" s="42" t="n"/>
      <c r="G33" s="43">
        <f>IF(E33="خصم",-1,1)*N(F33)</f>
        <v/>
      </c>
      <c r="H33" s="19" t="n"/>
      <c r="I33" s="42" t="n"/>
      <c r="J33" s="43">
        <f>IF(E33="خصم",-1,1)*N(I33)</f>
        <v/>
      </c>
      <c r="K33" s="24" t="n"/>
      <c r="L33" s="44" t="n"/>
    </row>
    <row r="34">
      <c r="A34" s="33">
        <f>IF(B34="","",COUNTA($B$6:B34))</f>
        <v/>
      </c>
      <c r="B34" s="19" t="n"/>
      <c r="C34" s="23" t="n"/>
      <c r="D34" s="34" t="n"/>
      <c r="E34" s="19" t="n"/>
      <c r="F34" s="42" t="n"/>
      <c r="G34" s="43">
        <f>IF(E34="خصم",-1,1)*N(F34)</f>
        <v/>
      </c>
      <c r="H34" s="19" t="n"/>
      <c r="I34" s="42" t="n"/>
      <c r="J34" s="43">
        <f>IF(E34="خصم",-1,1)*N(I34)</f>
        <v/>
      </c>
      <c r="K34" s="24" t="n"/>
      <c r="L34" s="44" t="n"/>
    </row>
    <row r="35">
      <c r="A35" s="33">
        <f>IF(B35="","",COUNTA($B$6:B35))</f>
        <v/>
      </c>
      <c r="B35" s="19" t="n"/>
      <c r="C35" s="23" t="n"/>
      <c r="D35" s="34" t="n"/>
      <c r="E35" s="19" t="n"/>
      <c r="F35" s="42" t="n"/>
      <c r="G35" s="43">
        <f>IF(E35="خصم",-1,1)*N(F35)</f>
        <v/>
      </c>
      <c r="H35" s="19" t="n"/>
      <c r="I35" s="42" t="n"/>
      <c r="J35" s="43">
        <f>IF(E35="خصم",-1,1)*N(I35)</f>
        <v/>
      </c>
      <c r="K35" s="24" t="n"/>
      <c r="L35" s="44" t="n"/>
    </row>
    <row r="36">
      <c r="A36" s="33">
        <f>IF(B36="","",COUNTA($B$6:B36))</f>
        <v/>
      </c>
      <c r="B36" s="19" t="n"/>
      <c r="C36" s="23" t="n"/>
      <c r="D36" s="34" t="n"/>
      <c r="E36" s="19" t="n"/>
      <c r="F36" s="42" t="n"/>
      <c r="G36" s="43">
        <f>IF(E36="خصم",-1,1)*N(F36)</f>
        <v/>
      </c>
      <c r="H36" s="19" t="n"/>
      <c r="I36" s="42" t="n"/>
      <c r="J36" s="43">
        <f>IF(E36="خصم",-1,1)*N(I36)</f>
        <v/>
      </c>
      <c r="K36" s="24" t="n"/>
      <c r="L36" s="44" t="n"/>
    </row>
    <row r="37">
      <c r="A37" s="33">
        <f>IF(B37="","",COUNTA($B$6:B37))</f>
        <v/>
      </c>
      <c r="B37" s="19" t="n"/>
      <c r="C37" s="23" t="n"/>
      <c r="D37" s="34" t="n"/>
      <c r="E37" s="19" t="n"/>
      <c r="F37" s="42" t="n"/>
      <c r="G37" s="43">
        <f>IF(E37="خصم",-1,1)*N(F37)</f>
        <v/>
      </c>
      <c r="H37" s="19" t="n"/>
      <c r="I37" s="42" t="n"/>
      <c r="J37" s="43">
        <f>IF(E37="خصم",-1,1)*N(I37)</f>
        <v/>
      </c>
      <c r="K37" s="24" t="n"/>
      <c r="L37" s="44" t="n"/>
    </row>
    <row r="38">
      <c r="A38" s="33">
        <f>IF(B38="","",COUNTA($B$6:B38))</f>
        <v/>
      </c>
      <c r="B38" s="19" t="n"/>
      <c r="C38" s="23" t="n"/>
      <c r="D38" s="34" t="n"/>
      <c r="E38" s="19" t="n"/>
      <c r="F38" s="42" t="n"/>
      <c r="G38" s="43">
        <f>IF(E38="خصم",-1,1)*N(F38)</f>
        <v/>
      </c>
      <c r="H38" s="19" t="n"/>
      <c r="I38" s="42" t="n"/>
      <c r="J38" s="43">
        <f>IF(E38="خصم",-1,1)*N(I38)</f>
        <v/>
      </c>
      <c r="K38" s="24" t="n"/>
      <c r="L38" s="44" t="n"/>
    </row>
    <row r="39">
      <c r="A39" s="33">
        <f>IF(B39="","",COUNTA($B$6:B39))</f>
        <v/>
      </c>
      <c r="B39" s="19" t="n"/>
      <c r="C39" s="23" t="n"/>
      <c r="D39" s="34" t="n"/>
      <c r="E39" s="19" t="n"/>
      <c r="F39" s="42" t="n"/>
      <c r="G39" s="43">
        <f>IF(E39="خصم",-1,1)*N(F39)</f>
        <v/>
      </c>
      <c r="H39" s="19" t="n"/>
      <c r="I39" s="42" t="n"/>
      <c r="J39" s="43">
        <f>IF(E39="خصم",-1,1)*N(I39)</f>
        <v/>
      </c>
      <c r="K39" s="24" t="n"/>
      <c r="L39" s="44" t="n"/>
    </row>
    <row r="40">
      <c r="A40" s="33">
        <f>IF(B40="","",COUNTA($B$6:B40))</f>
        <v/>
      </c>
      <c r="B40" s="19" t="n"/>
      <c r="C40" s="23" t="n"/>
      <c r="D40" s="34" t="n"/>
      <c r="E40" s="19" t="n"/>
      <c r="F40" s="42" t="n"/>
      <c r="G40" s="43">
        <f>IF(E40="خصم",-1,1)*N(F40)</f>
        <v/>
      </c>
      <c r="H40" s="19" t="n"/>
      <c r="I40" s="42" t="n"/>
      <c r="J40" s="43">
        <f>IF(E40="خصم",-1,1)*N(I40)</f>
        <v/>
      </c>
      <c r="K40" s="24" t="n"/>
      <c r="L40" s="44" t="n"/>
    </row>
    <row r="41">
      <c r="A41" s="33">
        <f>IF(B41="","",COUNTA($B$6:B41))</f>
        <v/>
      </c>
      <c r="B41" s="19" t="n"/>
      <c r="C41" s="23" t="n"/>
      <c r="D41" s="34" t="n"/>
      <c r="E41" s="19" t="n"/>
      <c r="F41" s="42" t="n"/>
      <c r="G41" s="43">
        <f>IF(E41="خصم",-1,1)*N(F41)</f>
        <v/>
      </c>
      <c r="H41" s="19" t="n"/>
      <c r="I41" s="42" t="n"/>
      <c r="J41" s="43">
        <f>IF(E41="خصم",-1,1)*N(I41)</f>
        <v/>
      </c>
      <c r="K41" s="24" t="n"/>
      <c r="L41" s="44" t="n"/>
    </row>
    <row r="42">
      <c r="A42" s="33">
        <f>IF(B42="","",COUNTA($B$6:B42))</f>
        <v/>
      </c>
      <c r="B42" s="19" t="n"/>
      <c r="C42" s="23" t="n"/>
      <c r="D42" s="34" t="n"/>
      <c r="E42" s="19" t="n"/>
      <c r="F42" s="42" t="n"/>
      <c r="G42" s="43">
        <f>IF(E42="خصم",-1,1)*N(F42)</f>
        <v/>
      </c>
      <c r="H42" s="19" t="n"/>
      <c r="I42" s="42" t="n"/>
      <c r="J42" s="43">
        <f>IF(E42="خصم",-1,1)*N(I42)</f>
        <v/>
      </c>
      <c r="K42" s="24" t="n"/>
      <c r="L42" s="44" t="n"/>
    </row>
    <row r="43">
      <c r="A43" s="33">
        <f>IF(B43="","",COUNTA($B$6:B43))</f>
        <v/>
      </c>
      <c r="B43" s="19" t="n"/>
      <c r="C43" s="23" t="n"/>
      <c r="D43" s="34" t="n"/>
      <c r="E43" s="19" t="n"/>
      <c r="F43" s="42" t="n"/>
      <c r="G43" s="43">
        <f>IF(E43="خصم",-1,1)*N(F43)</f>
        <v/>
      </c>
      <c r="H43" s="19" t="n"/>
      <c r="I43" s="42" t="n"/>
      <c r="J43" s="43">
        <f>IF(E43="خصم",-1,1)*N(I43)</f>
        <v/>
      </c>
      <c r="K43" s="24" t="n"/>
      <c r="L43" s="44" t="n"/>
    </row>
    <row r="44">
      <c r="A44" s="33">
        <f>IF(B44="","",COUNTA($B$6:B44))</f>
        <v/>
      </c>
      <c r="B44" s="19" t="n"/>
      <c r="C44" s="23" t="n"/>
      <c r="D44" s="34" t="n"/>
      <c r="E44" s="19" t="n"/>
      <c r="F44" s="42" t="n"/>
      <c r="G44" s="43">
        <f>IF(E44="خصم",-1,1)*N(F44)</f>
        <v/>
      </c>
      <c r="H44" s="19" t="n"/>
      <c r="I44" s="42" t="n"/>
      <c r="J44" s="43">
        <f>IF(E44="خصم",-1,1)*N(I44)</f>
        <v/>
      </c>
      <c r="K44" s="24" t="n"/>
      <c r="L44" s="44" t="n"/>
    </row>
    <row r="45">
      <c r="A45" s="33">
        <f>IF(B45="","",COUNTA($B$6:B45))</f>
        <v/>
      </c>
      <c r="B45" s="19" t="n"/>
      <c r="C45" s="23" t="n"/>
      <c r="D45" s="34" t="n"/>
      <c r="E45" s="19" t="n"/>
      <c r="F45" s="42" t="n"/>
      <c r="G45" s="43">
        <f>IF(E45="خصم",-1,1)*N(F45)</f>
        <v/>
      </c>
      <c r="H45" s="19" t="n"/>
      <c r="I45" s="42" t="n"/>
      <c r="J45" s="43">
        <f>IF(E45="خصم",-1,1)*N(I45)</f>
        <v/>
      </c>
      <c r="K45" s="24" t="n"/>
      <c r="L45" s="44" t="n"/>
    </row>
    <row r="46">
      <c r="A46" s="33">
        <f>IF(B46="","",COUNTA($B$6:B46))</f>
        <v/>
      </c>
      <c r="B46" s="19" t="n"/>
      <c r="C46" s="23" t="n"/>
      <c r="D46" s="34" t="n"/>
      <c r="E46" s="19" t="n"/>
      <c r="F46" s="42" t="n"/>
      <c r="G46" s="43">
        <f>IF(E46="خصم",-1,1)*N(F46)</f>
        <v/>
      </c>
      <c r="H46" s="19" t="n"/>
      <c r="I46" s="42" t="n"/>
      <c r="J46" s="43">
        <f>IF(E46="خصم",-1,1)*N(I46)</f>
        <v/>
      </c>
      <c r="K46" s="24" t="n"/>
      <c r="L46" s="44" t="n"/>
    </row>
    <row r="47">
      <c r="A47" s="33">
        <f>IF(B47="","",COUNTA($B$6:B47))</f>
        <v/>
      </c>
      <c r="B47" s="19" t="n"/>
      <c r="C47" s="23" t="n"/>
      <c r="D47" s="34" t="n"/>
      <c r="E47" s="19" t="n"/>
      <c r="F47" s="42" t="n"/>
      <c r="G47" s="43">
        <f>IF(E47="خصم",-1,1)*N(F47)</f>
        <v/>
      </c>
      <c r="H47" s="19" t="n"/>
      <c r="I47" s="42" t="n"/>
      <c r="J47" s="43">
        <f>IF(E47="خصم",-1,1)*N(I47)</f>
        <v/>
      </c>
      <c r="K47" s="24" t="n"/>
      <c r="L47" s="44" t="n"/>
    </row>
    <row r="48">
      <c r="A48" s="33">
        <f>IF(B48="","",COUNTA($B$6:B48))</f>
        <v/>
      </c>
      <c r="B48" s="19" t="n"/>
      <c r="C48" s="23" t="n"/>
      <c r="D48" s="34" t="n"/>
      <c r="E48" s="19" t="n"/>
      <c r="F48" s="42" t="n"/>
      <c r="G48" s="43">
        <f>IF(E48="خصم",-1,1)*N(F48)</f>
        <v/>
      </c>
      <c r="H48" s="19" t="n"/>
      <c r="I48" s="42" t="n"/>
      <c r="J48" s="43">
        <f>IF(E48="خصم",-1,1)*N(I48)</f>
        <v/>
      </c>
      <c r="K48" s="24" t="n"/>
      <c r="L48" s="44" t="n"/>
    </row>
    <row r="49">
      <c r="A49" s="33">
        <f>IF(B49="","",COUNTA($B$6:B49))</f>
        <v/>
      </c>
      <c r="B49" s="19" t="n"/>
      <c r="C49" s="23" t="n"/>
      <c r="D49" s="34" t="n"/>
      <c r="E49" s="19" t="n"/>
      <c r="F49" s="42" t="n"/>
      <c r="G49" s="43">
        <f>IF(E49="خصم",-1,1)*N(F49)</f>
        <v/>
      </c>
      <c r="H49" s="19" t="n"/>
      <c r="I49" s="42" t="n"/>
      <c r="J49" s="43">
        <f>IF(E49="خصم",-1,1)*N(I49)</f>
        <v/>
      </c>
      <c r="K49" s="24" t="n"/>
      <c r="L49" s="44" t="n"/>
    </row>
    <row r="50">
      <c r="A50" s="33">
        <f>IF(B50="","",COUNTA($B$6:B50))</f>
        <v/>
      </c>
      <c r="B50" s="19" t="n"/>
      <c r="C50" s="23" t="n"/>
      <c r="D50" s="34" t="n"/>
      <c r="E50" s="19" t="n"/>
      <c r="F50" s="42" t="n"/>
      <c r="G50" s="43">
        <f>IF(E50="خصم",-1,1)*N(F50)</f>
        <v/>
      </c>
      <c r="H50" s="19" t="n"/>
      <c r="I50" s="42" t="n"/>
      <c r="J50" s="43">
        <f>IF(E50="خصم",-1,1)*N(I50)</f>
        <v/>
      </c>
      <c r="K50" s="24" t="n"/>
      <c r="L50" s="44" t="n"/>
    </row>
    <row r="51">
      <c r="A51" s="33">
        <f>IF(B51="","",COUNTA($B$6:B51))</f>
        <v/>
      </c>
      <c r="B51" s="19" t="n"/>
      <c r="C51" s="23" t="n"/>
      <c r="D51" s="34" t="n"/>
      <c r="E51" s="19" t="n"/>
      <c r="F51" s="42" t="n"/>
      <c r="G51" s="43">
        <f>IF(E51="خصم",-1,1)*N(F51)</f>
        <v/>
      </c>
      <c r="H51" s="19" t="n"/>
      <c r="I51" s="42" t="n"/>
      <c r="J51" s="43">
        <f>IF(E51="خصم",-1,1)*N(I51)</f>
        <v/>
      </c>
      <c r="K51" s="24" t="n"/>
      <c r="L51" s="44" t="n"/>
    </row>
    <row r="52">
      <c r="A52" s="33">
        <f>IF(B52="","",COUNTA($B$6:B52))</f>
        <v/>
      </c>
      <c r="B52" s="19" t="n"/>
      <c r="C52" s="23" t="n"/>
      <c r="D52" s="34" t="n"/>
      <c r="E52" s="19" t="n"/>
      <c r="F52" s="42" t="n"/>
      <c r="G52" s="43">
        <f>IF(E52="خصم",-1,1)*N(F52)</f>
        <v/>
      </c>
      <c r="H52" s="19" t="n"/>
      <c r="I52" s="42" t="n"/>
      <c r="J52" s="43">
        <f>IF(E52="خصم",-1,1)*N(I52)</f>
        <v/>
      </c>
      <c r="K52" s="24" t="n"/>
      <c r="L52" s="44" t="n"/>
    </row>
    <row r="53">
      <c r="A53" s="33">
        <f>IF(B53="","",COUNTA($B$6:B53))</f>
        <v/>
      </c>
      <c r="B53" s="19" t="n"/>
      <c r="C53" s="23" t="n"/>
      <c r="D53" s="34" t="n"/>
      <c r="E53" s="19" t="n"/>
      <c r="F53" s="42" t="n"/>
      <c r="G53" s="43">
        <f>IF(E53="خصم",-1,1)*N(F53)</f>
        <v/>
      </c>
      <c r="H53" s="19" t="n"/>
      <c r="I53" s="42" t="n"/>
      <c r="J53" s="43">
        <f>IF(E53="خصم",-1,1)*N(I53)</f>
        <v/>
      </c>
      <c r="K53" s="24" t="n"/>
      <c r="L53" s="44" t="n"/>
    </row>
    <row r="54">
      <c r="A54" s="33">
        <f>IF(B54="","",COUNTA($B$6:B54))</f>
        <v/>
      </c>
      <c r="B54" s="19" t="n"/>
      <c r="C54" s="23" t="n"/>
      <c r="D54" s="34" t="n"/>
      <c r="E54" s="19" t="n"/>
      <c r="F54" s="42" t="n"/>
      <c r="G54" s="43">
        <f>IF(E54="خصم",-1,1)*N(F54)</f>
        <v/>
      </c>
      <c r="H54" s="19" t="n"/>
      <c r="I54" s="42" t="n"/>
      <c r="J54" s="43">
        <f>IF(E54="خصم",-1,1)*N(I54)</f>
        <v/>
      </c>
      <c r="K54" s="24" t="n"/>
      <c r="L54" s="44" t="n"/>
    </row>
    <row r="55">
      <c r="A55" s="33">
        <f>IF(B55="","",COUNTA($B$6:B55))</f>
        <v/>
      </c>
      <c r="B55" s="19" t="n"/>
      <c r="C55" s="23" t="n"/>
      <c r="D55" s="34" t="n"/>
      <c r="E55" s="19" t="n"/>
      <c r="F55" s="42" t="n"/>
      <c r="G55" s="43">
        <f>IF(E55="خصم",-1,1)*N(F55)</f>
        <v/>
      </c>
      <c r="H55" s="19" t="n"/>
      <c r="I55" s="42" t="n"/>
      <c r="J55" s="43">
        <f>IF(E55="خصم",-1,1)*N(I55)</f>
        <v/>
      </c>
      <c r="K55" s="24" t="n"/>
      <c r="L55" s="44" t="n"/>
    </row>
    <row r="56">
      <c r="A56" s="38" t="inlineStr">
        <is>
          <t>الإجمالي</t>
        </is>
      </c>
      <c r="B56" s="38" t="n"/>
      <c r="C56" s="38" t="n"/>
      <c r="D56" s="38" t="n"/>
      <c r="E56" s="38" t="n"/>
      <c r="F56" s="45">
        <f>SUM(F6:F55)</f>
        <v/>
      </c>
      <c r="G56" s="45">
        <f>SUM(G6:G55)</f>
        <v/>
      </c>
      <c r="H56" s="46">
        <f>"معتمد: "&amp;COUNTIF(H6:H55,"معتمد")</f>
        <v/>
      </c>
      <c r="I56" s="45">
        <f>SUM(I6:I55)</f>
        <v/>
      </c>
      <c r="J56" s="45">
        <f>SUM(J6:J55)</f>
        <v/>
      </c>
    </row>
  </sheetData>
  <autoFilter ref="A5:L55"/>
  <mergeCells count="4">
    <mergeCell ref="A2:L2"/>
    <mergeCell ref="A56:E56"/>
    <mergeCell ref="A1:L1"/>
    <mergeCell ref="A4:L4"/>
  </mergeCells>
  <conditionalFormatting sqref="A6:L55">
    <cfRule type="expression" priority="1" dxfId="2">
      <formula>$H6="معتمد"</formula>
    </cfRule>
    <cfRule type="expression" priority="2" dxfId="3">
      <formula>$H6="قيد الدراسة"</formula>
    </cfRule>
    <cfRule type="expression" priority="3" dxfId="4">
      <formula>$H6="مرفوض"</formula>
    </cfRule>
  </conditionalFormatting>
  <dataValidations count="5">
    <dataValidation sqref="E6:E55" showDropDown="0" showInputMessage="0" showErrorMessage="1" allowBlank="1" errorTitle="قيمة غير مسموحة" error="من فضلك اختر قيمة من القائمة المنسدلة." type="list">
      <formula1>"إضافة,خصم"</formula1>
    </dataValidation>
    <dataValidation sqref="H6:H55" showDropDown="0" showInputMessage="0" showErrorMessage="1" allowBlank="1" errorTitle="قيمة غير مسموحة" error="من فضلك اختر قيمة من القائمة المنسدلة." type="list">
      <formula1>=L_VOStatus</formula1>
    </dataValidation>
    <dataValidation sqref="K6:K55" showDropDown="0" showInputMessage="1" showErrorMessage="1" allowBlank="1" errorTitle="قيمة غير صحيحة" error="أدخل رقماً صحيحاً ضمن الحدود المسموحة." promptTitle="إرشاد" prompt="رقم المستخلص من 1 إلى 20" type="whole" operator="between">
      <formula1>1</formula1>
      <formula2>20</formula2>
    </dataValidation>
    <dataValidation sqref="F6:F55 I6:I55" showDropDown="0" showInputMessage="1" showErrorMessage="1" allowBlank="1" errorTitle="قيمة غير صحيحة" error="أدخل رقماً صحيحاً ضمن الحدود المسموحة." promptTitle="إرشاد" prompt="أدخل القيمة موجبة واختر النوع إضافة/خصم" type="decimal" operator="greaterThanOrEqual">
      <formula1>0</formula1>
    </dataValidation>
    <dataValidation sqref="C6:C5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</dataValidations>
  <hyperlinks>
    <hyperlink ref="A3" location="'سجل المستخلصات'!A1" display="🗂 سجل المستخلصات"/>
    <hyperlink ref="B3" location="'بيانات العقد'!A1" display="⚙ بيانات العقد"/>
    <hyperlink ref="C3" location="'جدول الكميات'!A1" display="📋 جدول الكميات"/>
    <hyperlink ref="D3" location="'الاستقطاعات الفنية'!A1" display="✂ الاستقطاعات"/>
    <hyperlink ref="F3" location="'مستخلص 01'!A1" display="🧾 مستخلص 01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C0504D"/>
    <outlinePr summaryBelow="1" summaryRight="1"/>
    <pageSetUpPr fitToPage="1"/>
  </sheetPr>
  <dimension ref="A1:M106"/>
  <sheetViews>
    <sheetView showGridLines="0" rightToLeft="1" zoomScale="9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11" customWidth="1" min="4" max="4"/>
    <col width="11" customWidth="1" min="5" max="5"/>
    <col width="38" customWidth="1" min="6" max="6"/>
    <col width="42" customWidth="1" min="7" max="7"/>
    <col width="20" customWidth="1" min="8" max="8"/>
    <col width="15" customWidth="1" min="9" max="9"/>
    <col width="11" customWidth="1" min="10" max="10"/>
    <col width="12" customWidth="1" min="11" max="11"/>
    <col width="15" customWidth="1" min="12" max="12"/>
    <col width="26" customWidth="1" min="13" max="13"/>
  </cols>
  <sheetData>
    <row r="1" ht="38" customHeight="1">
      <c r="A1" s="1" t="inlineStr">
        <is>
          <t>✂ سجل الاستقطاعات الفنية (Technical Deductions)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A2" s="2">
        <f>IF('بيانات العقد'!$C$5="","مشروع رقم 50 — أدخل بيانات العقد",'بيانات العقد'!$C$5&amp;"   |   عقد رقم: "&amp;'بيانات العقد'!$C$6)&amp;"   |   المبالغ بـ "&amp;'بيانات العقد'!$C$14</f>
        <v/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A3" s="3" t="inlineStr">
        <is>
          <t>🗂 سجل المستخلصات</t>
        </is>
      </c>
      <c r="B3" s="16" t="inlineStr">
        <is>
          <t>⚙ بيانات العقد</t>
        </is>
      </c>
      <c r="C3" s="16" t="inlineStr">
        <is>
          <t>📋 جدول الكميات</t>
        </is>
      </c>
      <c r="D3" s="16" t="inlineStr">
        <is>
          <t>🔁 التغييرية</t>
        </is>
      </c>
      <c r="F3" s="4" t="inlineStr">
        <is>
          <t>🧾 مستخلص 01</t>
        </is>
      </c>
    </row>
    <row r="4">
      <c r="A4" s="32" t="inlineStr">
        <is>
          <t>يُخصم المبلغ من المستخلص المحدد ويستمر محتجزاً تراكمياً حتى يتم الإفراج عنه في «مستخلص الإفراج».</t>
        </is>
      </c>
      <c r="B4" s="32" t="n"/>
      <c r="C4" s="32" t="n"/>
      <c r="D4" s="32" t="n"/>
      <c r="E4" s="32" t="n"/>
      <c r="F4" s="32" t="n"/>
      <c r="G4" s="32" t="n"/>
      <c r="H4" s="32" t="n"/>
      <c r="I4" s="32" t="n"/>
      <c r="J4" s="32" t="n"/>
      <c r="K4" s="32" t="n"/>
      <c r="L4" s="32" t="n"/>
      <c r="M4" s="32" t="n"/>
    </row>
    <row r="5" ht="40" customHeight="1">
      <c r="A5" s="17" t="inlineStr">
        <is>
          <t>م</t>
        </is>
      </c>
      <c r="B5" s="17" t="inlineStr">
        <is>
          <t>رقم الاستقطاع</t>
        </is>
      </c>
      <c r="C5" s="17" t="inlineStr">
        <is>
          <t>التاريخ</t>
        </is>
      </c>
      <c r="D5" s="17" t="inlineStr">
        <is>
          <t>رقم المستخلص</t>
        </is>
      </c>
      <c r="E5" s="17" t="inlineStr">
        <is>
          <t>كود البند</t>
        </is>
      </c>
      <c r="F5" s="17" t="inlineStr">
        <is>
          <t>وصف البند (آلي)</t>
        </is>
      </c>
      <c r="G5" s="17" t="inlineStr">
        <is>
          <t>سبب الاستقطاع</t>
        </is>
      </c>
      <c r="H5" s="17" t="inlineStr">
        <is>
          <t>نوع الاستقطاع</t>
        </is>
      </c>
      <c r="I5" s="17" t="inlineStr">
        <is>
          <t>المبلغ المستقطع</t>
        </is>
      </c>
      <c r="J5" s="17" t="inlineStr">
        <is>
          <t>تم الإفراج؟</t>
        </is>
      </c>
      <c r="K5" s="17" t="inlineStr">
        <is>
          <t>مستخلص الإفراج</t>
        </is>
      </c>
      <c r="L5" s="17" t="inlineStr">
        <is>
          <t>الرصيد المحتجز</t>
        </is>
      </c>
      <c r="M5" s="17" t="inlineStr">
        <is>
          <t>ملاحظات</t>
        </is>
      </c>
    </row>
    <row r="6">
      <c r="A6" s="33">
        <f>IF(B6="","",COUNTA($B$6:B6))</f>
        <v/>
      </c>
      <c r="B6" s="19" t="n"/>
      <c r="C6" s="23" t="n"/>
      <c r="D6" s="24" t="n"/>
      <c r="E6" s="19" t="n"/>
      <c r="F6" s="47">
        <f>IF(E6="","",IFERROR(INDEX('جدول الكميات'!$D$6:$D$105,MATCH(E6,'جدول الكميات'!$B$6:$B$105,0)),"⚠ كود غير موجود"))</f>
        <v/>
      </c>
      <c r="G6" s="34" t="n"/>
      <c r="H6" s="19" t="n"/>
      <c r="I6" s="42" t="n"/>
      <c r="J6" s="19" t="n"/>
      <c r="K6" s="24" t="n"/>
      <c r="L6" s="48">
        <f>IF(J6="نعم",0,N(I6))</f>
        <v/>
      </c>
      <c r="M6" s="44" t="n"/>
    </row>
    <row r="7">
      <c r="A7" s="33">
        <f>IF(B7="","",COUNTA($B$6:B7))</f>
        <v/>
      </c>
      <c r="B7" s="19" t="n"/>
      <c r="C7" s="23" t="n"/>
      <c r="D7" s="24" t="n"/>
      <c r="E7" s="19" t="n"/>
      <c r="F7" s="47">
        <f>IF(E7="","",IFERROR(INDEX('جدول الكميات'!$D$6:$D$105,MATCH(E7,'جدول الكميات'!$B$6:$B$105,0)),"⚠ كود غير موجود"))</f>
        <v/>
      </c>
      <c r="G7" s="34" t="n"/>
      <c r="H7" s="19" t="n"/>
      <c r="I7" s="42" t="n"/>
      <c r="J7" s="19" t="n"/>
      <c r="K7" s="24" t="n"/>
      <c r="L7" s="48">
        <f>IF(J7="نعم",0,N(I7))</f>
        <v/>
      </c>
      <c r="M7" s="44" t="n"/>
    </row>
    <row r="8">
      <c r="A8" s="33">
        <f>IF(B8="","",COUNTA($B$6:B8))</f>
        <v/>
      </c>
      <c r="B8" s="19" t="n"/>
      <c r="C8" s="23" t="n"/>
      <c r="D8" s="24" t="n"/>
      <c r="E8" s="19" t="n"/>
      <c r="F8" s="47">
        <f>IF(E8="","",IFERROR(INDEX('جدول الكميات'!$D$6:$D$105,MATCH(E8,'جدول الكميات'!$B$6:$B$105,0)),"⚠ كود غير موجود"))</f>
        <v/>
      </c>
      <c r="G8" s="34" t="n"/>
      <c r="H8" s="19" t="n"/>
      <c r="I8" s="42" t="n"/>
      <c r="J8" s="19" t="n"/>
      <c r="K8" s="24" t="n"/>
      <c r="L8" s="48">
        <f>IF(J8="نعم",0,N(I8))</f>
        <v/>
      </c>
      <c r="M8" s="44" t="n"/>
    </row>
    <row r="9">
      <c r="A9" s="33">
        <f>IF(B9="","",COUNTA($B$6:B9))</f>
        <v/>
      </c>
      <c r="B9" s="19" t="n"/>
      <c r="C9" s="23" t="n"/>
      <c r="D9" s="24" t="n"/>
      <c r="E9" s="19" t="n"/>
      <c r="F9" s="47">
        <f>IF(E9="","",IFERROR(INDEX('جدول الكميات'!$D$6:$D$105,MATCH(E9,'جدول الكميات'!$B$6:$B$105,0)),"⚠ كود غير موجود"))</f>
        <v/>
      </c>
      <c r="G9" s="34" t="n"/>
      <c r="H9" s="19" t="n"/>
      <c r="I9" s="42" t="n"/>
      <c r="J9" s="19" t="n"/>
      <c r="K9" s="24" t="n"/>
      <c r="L9" s="48">
        <f>IF(J9="نعم",0,N(I9))</f>
        <v/>
      </c>
      <c r="M9" s="44" t="n"/>
    </row>
    <row r="10">
      <c r="A10" s="33">
        <f>IF(B10="","",COUNTA($B$6:B10))</f>
        <v/>
      </c>
      <c r="B10" s="19" t="n"/>
      <c r="C10" s="23" t="n"/>
      <c r="D10" s="24" t="n"/>
      <c r="E10" s="19" t="n"/>
      <c r="F10" s="47">
        <f>IF(E10="","",IFERROR(INDEX('جدول الكميات'!$D$6:$D$105,MATCH(E10,'جدول الكميات'!$B$6:$B$105,0)),"⚠ كود غير موجود"))</f>
        <v/>
      </c>
      <c r="G10" s="34" t="n"/>
      <c r="H10" s="19" t="n"/>
      <c r="I10" s="42" t="n"/>
      <c r="J10" s="19" t="n"/>
      <c r="K10" s="24" t="n"/>
      <c r="L10" s="48">
        <f>IF(J10="نعم",0,N(I10))</f>
        <v/>
      </c>
      <c r="M10" s="44" t="n"/>
    </row>
    <row r="11">
      <c r="A11" s="33">
        <f>IF(B11="","",COUNTA($B$6:B11))</f>
        <v/>
      </c>
      <c r="B11" s="19" t="n"/>
      <c r="C11" s="23" t="n"/>
      <c r="D11" s="24" t="n"/>
      <c r="E11" s="19" t="n"/>
      <c r="F11" s="47">
        <f>IF(E11="","",IFERROR(INDEX('جدول الكميات'!$D$6:$D$105,MATCH(E11,'جدول الكميات'!$B$6:$B$105,0)),"⚠ كود غير موجود"))</f>
        <v/>
      </c>
      <c r="G11" s="34" t="n"/>
      <c r="H11" s="19" t="n"/>
      <c r="I11" s="42" t="n"/>
      <c r="J11" s="19" t="n"/>
      <c r="K11" s="24" t="n"/>
      <c r="L11" s="48">
        <f>IF(J11="نعم",0,N(I11))</f>
        <v/>
      </c>
      <c r="M11" s="44" t="n"/>
    </row>
    <row r="12">
      <c r="A12" s="33">
        <f>IF(B12="","",COUNTA($B$6:B12))</f>
        <v/>
      </c>
      <c r="B12" s="19" t="n"/>
      <c r="C12" s="23" t="n"/>
      <c r="D12" s="24" t="n"/>
      <c r="E12" s="19" t="n"/>
      <c r="F12" s="47">
        <f>IF(E12="","",IFERROR(INDEX('جدول الكميات'!$D$6:$D$105,MATCH(E12,'جدول الكميات'!$B$6:$B$105,0)),"⚠ كود غير موجود"))</f>
        <v/>
      </c>
      <c r="G12" s="34" t="n"/>
      <c r="H12" s="19" t="n"/>
      <c r="I12" s="42" t="n"/>
      <c r="J12" s="19" t="n"/>
      <c r="K12" s="24" t="n"/>
      <c r="L12" s="48">
        <f>IF(J12="نعم",0,N(I12))</f>
        <v/>
      </c>
      <c r="M12" s="44" t="n"/>
    </row>
    <row r="13">
      <c r="A13" s="33">
        <f>IF(B13="","",COUNTA($B$6:B13))</f>
        <v/>
      </c>
      <c r="B13" s="19" t="n"/>
      <c r="C13" s="23" t="n"/>
      <c r="D13" s="24" t="n"/>
      <c r="E13" s="19" t="n"/>
      <c r="F13" s="47">
        <f>IF(E13="","",IFERROR(INDEX('جدول الكميات'!$D$6:$D$105,MATCH(E13,'جدول الكميات'!$B$6:$B$105,0)),"⚠ كود غير موجود"))</f>
        <v/>
      </c>
      <c r="G13" s="34" t="n"/>
      <c r="H13" s="19" t="n"/>
      <c r="I13" s="42" t="n"/>
      <c r="J13" s="19" t="n"/>
      <c r="K13" s="24" t="n"/>
      <c r="L13" s="48">
        <f>IF(J13="نعم",0,N(I13))</f>
        <v/>
      </c>
      <c r="M13" s="44" t="n"/>
    </row>
    <row r="14">
      <c r="A14" s="33">
        <f>IF(B14="","",COUNTA($B$6:B14))</f>
        <v/>
      </c>
      <c r="B14" s="19" t="n"/>
      <c r="C14" s="23" t="n"/>
      <c r="D14" s="24" t="n"/>
      <c r="E14" s="19" t="n"/>
      <c r="F14" s="47">
        <f>IF(E14="","",IFERROR(INDEX('جدول الكميات'!$D$6:$D$105,MATCH(E14,'جدول الكميات'!$B$6:$B$105,0)),"⚠ كود غير موجود"))</f>
        <v/>
      </c>
      <c r="G14" s="34" t="n"/>
      <c r="H14" s="19" t="n"/>
      <c r="I14" s="42" t="n"/>
      <c r="J14" s="19" t="n"/>
      <c r="K14" s="24" t="n"/>
      <c r="L14" s="48">
        <f>IF(J14="نعم",0,N(I14))</f>
        <v/>
      </c>
      <c r="M14" s="44" t="n"/>
    </row>
    <row r="15">
      <c r="A15" s="33">
        <f>IF(B15="","",COUNTA($B$6:B15))</f>
        <v/>
      </c>
      <c r="B15" s="19" t="n"/>
      <c r="C15" s="23" t="n"/>
      <c r="D15" s="24" t="n"/>
      <c r="E15" s="19" t="n"/>
      <c r="F15" s="47">
        <f>IF(E15="","",IFERROR(INDEX('جدول الكميات'!$D$6:$D$105,MATCH(E15,'جدول الكميات'!$B$6:$B$105,0)),"⚠ كود غير موجود"))</f>
        <v/>
      </c>
      <c r="G15" s="34" t="n"/>
      <c r="H15" s="19" t="n"/>
      <c r="I15" s="42" t="n"/>
      <c r="J15" s="19" t="n"/>
      <c r="K15" s="24" t="n"/>
      <c r="L15" s="48">
        <f>IF(J15="نعم",0,N(I15))</f>
        <v/>
      </c>
      <c r="M15" s="44" t="n"/>
    </row>
    <row r="16">
      <c r="A16" s="33">
        <f>IF(B16="","",COUNTA($B$6:B16))</f>
        <v/>
      </c>
      <c r="B16" s="19" t="n"/>
      <c r="C16" s="23" t="n"/>
      <c r="D16" s="24" t="n"/>
      <c r="E16" s="19" t="n"/>
      <c r="F16" s="47">
        <f>IF(E16="","",IFERROR(INDEX('جدول الكميات'!$D$6:$D$105,MATCH(E16,'جدول الكميات'!$B$6:$B$105,0)),"⚠ كود غير موجود"))</f>
        <v/>
      </c>
      <c r="G16" s="34" t="n"/>
      <c r="H16" s="19" t="n"/>
      <c r="I16" s="42" t="n"/>
      <c r="J16" s="19" t="n"/>
      <c r="K16" s="24" t="n"/>
      <c r="L16" s="48">
        <f>IF(J16="نعم",0,N(I16))</f>
        <v/>
      </c>
      <c r="M16" s="44" t="n"/>
    </row>
    <row r="17">
      <c r="A17" s="33">
        <f>IF(B17="","",COUNTA($B$6:B17))</f>
        <v/>
      </c>
      <c r="B17" s="19" t="n"/>
      <c r="C17" s="23" t="n"/>
      <c r="D17" s="24" t="n"/>
      <c r="E17" s="19" t="n"/>
      <c r="F17" s="47">
        <f>IF(E17="","",IFERROR(INDEX('جدول الكميات'!$D$6:$D$105,MATCH(E17,'جدول الكميات'!$B$6:$B$105,0)),"⚠ كود غير موجود"))</f>
        <v/>
      </c>
      <c r="G17" s="34" t="n"/>
      <c r="H17" s="19" t="n"/>
      <c r="I17" s="42" t="n"/>
      <c r="J17" s="19" t="n"/>
      <c r="K17" s="24" t="n"/>
      <c r="L17" s="48">
        <f>IF(J17="نعم",0,N(I17))</f>
        <v/>
      </c>
      <c r="M17" s="44" t="n"/>
    </row>
    <row r="18">
      <c r="A18" s="33">
        <f>IF(B18="","",COUNTA($B$6:B18))</f>
        <v/>
      </c>
      <c r="B18" s="19" t="n"/>
      <c r="C18" s="23" t="n"/>
      <c r="D18" s="24" t="n"/>
      <c r="E18" s="19" t="n"/>
      <c r="F18" s="47">
        <f>IF(E18="","",IFERROR(INDEX('جدول الكميات'!$D$6:$D$105,MATCH(E18,'جدول الكميات'!$B$6:$B$105,0)),"⚠ كود غير موجود"))</f>
        <v/>
      </c>
      <c r="G18" s="34" t="n"/>
      <c r="H18" s="19" t="n"/>
      <c r="I18" s="42" t="n"/>
      <c r="J18" s="19" t="n"/>
      <c r="K18" s="24" t="n"/>
      <c r="L18" s="48">
        <f>IF(J18="نعم",0,N(I18))</f>
        <v/>
      </c>
      <c r="M18" s="44" t="n"/>
    </row>
    <row r="19">
      <c r="A19" s="33">
        <f>IF(B19="","",COUNTA($B$6:B19))</f>
        <v/>
      </c>
      <c r="B19" s="19" t="n"/>
      <c r="C19" s="23" t="n"/>
      <c r="D19" s="24" t="n"/>
      <c r="E19" s="19" t="n"/>
      <c r="F19" s="47">
        <f>IF(E19="","",IFERROR(INDEX('جدول الكميات'!$D$6:$D$105,MATCH(E19,'جدول الكميات'!$B$6:$B$105,0)),"⚠ كود غير موجود"))</f>
        <v/>
      </c>
      <c r="G19" s="34" t="n"/>
      <c r="H19" s="19" t="n"/>
      <c r="I19" s="42" t="n"/>
      <c r="J19" s="19" t="n"/>
      <c r="K19" s="24" t="n"/>
      <c r="L19" s="48">
        <f>IF(J19="نعم",0,N(I19))</f>
        <v/>
      </c>
      <c r="M19" s="44" t="n"/>
    </row>
    <row r="20">
      <c r="A20" s="33">
        <f>IF(B20="","",COUNTA($B$6:B20))</f>
        <v/>
      </c>
      <c r="B20" s="19" t="n"/>
      <c r="C20" s="23" t="n"/>
      <c r="D20" s="24" t="n"/>
      <c r="E20" s="19" t="n"/>
      <c r="F20" s="47">
        <f>IF(E20="","",IFERROR(INDEX('جدول الكميات'!$D$6:$D$105,MATCH(E20,'جدول الكميات'!$B$6:$B$105,0)),"⚠ كود غير موجود"))</f>
        <v/>
      </c>
      <c r="G20" s="34" t="n"/>
      <c r="H20" s="19" t="n"/>
      <c r="I20" s="42" t="n"/>
      <c r="J20" s="19" t="n"/>
      <c r="K20" s="24" t="n"/>
      <c r="L20" s="48">
        <f>IF(J20="نعم",0,N(I20))</f>
        <v/>
      </c>
      <c r="M20" s="44" t="n"/>
    </row>
    <row r="21">
      <c r="A21" s="33">
        <f>IF(B21="","",COUNTA($B$6:B21))</f>
        <v/>
      </c>
      <c r="B21" s="19" t="n"/>
      <c r="C21" s="23" t="n"/>
      <c r="D21" s="24" t="n"/>
      <c r="E21" s="19" t="n"/>
      <c r="F21" s="47">
        <f>IF(E21="","",IFERROR(INDEX('جدول الكميات'!$D$6:$D$105,MATCH(E21,'جدول الكميات'!$B$6:$B$105,0)),"⚠ كود غير موجود"))</f>
        <v/>
      </c>
      <c r="G21" s="34" t="n"/>
      <c r="H21" s="19" t="n"/>
      <c r="I21" s="42" t="n"/>
      <c r="J21" s="19" t="n"/>
      <c r="K21" s="24" t="n"/>
      <c r="L21" s="48">
        <f>IF(J21="نعم",0,N(I21))</f>
        <v/>
      </c>
      <c r="M21" s="44" t="n"/>
    </row>
    <row r="22">
      <c r="A22" s="33">
        <f>IF(B22="","",COUNTA($B$6:B22))</f>
        <v/>
      </c>
      <c r="B22" s="19" t="n"/>
      <c r="C22" s="23" t="n"/>
      <c r="D22" s="24" t="n"/>
      <c r="E22" s="19" t="n"/>
      <c r="F22" s="47">
        <f>IF(E22="","",IFERROR(INDEX('جدول الكميات'!$D$6:$D$105,MATCH(E22,'جدول الكميات'!$B$6:$B$105,0)),"⚠ كود غير موجود"))</f>
        <v/>
      </c>
      <c r="G22" s="34" t="n"/>
      <c r="H22" s="19" t="n"/>
      <c r="I22" s="42" t="n"/>
      <c r="J22" s="19" t="n"/>
      <c r="K22" s="24" t="n"/>
      <c r="L22" s="48">
        <f>IF(J22="نعم",0,N(I22))</f>
        <v/>
      </c>
      <c r="M22" s="44" t="n"/>
    </row>
    <row r="23">
      <c r="A23" s="33">
        <f>IF(B23="","",COUNTA($B$6:B23))</f>
        <v/>
      </c>
      <c r="B23" s="19" t="n"/>
      <c r="C23" s="23" t="n"/>
      <c r="D23" s="24" t="n"/>
      <c r="E23" s="19" t="n"/>
      <c r="F23" s="47">
        <f>IF(E23="","",IFERROR(INDEX('جدول الكميات'!$D$6:$D$105,MATCH(E23,'جدول الكميات'!$B$6:$B$105,0)),"⚠ كود غير موجود"))</f>
        <v/>
      </c>
      <c r="G23" s="34" t="n"/>
      <c r="H23" s="19" t="n"/>
      <c r="I23" s="42" t="n"/>
      <c r="J23" s="19" t="n"/>
      <c r="K23" s="24" t="n"/>
      <c r="L23" s="48">
        <f>IF(J23="نعم",0,N(I23))</f>
        <v/>
      </c>
      <c r="M23" s="44" t="n"/>
    </row>
    <row r="24">
      <c r="A24" s="33">
        <f>IF(B24="","",COUNTA($B$6:B24))</f>
        <v/>
      </c>
      <c r="B24" s="19" t="n"/>
      <c r="C24" s="23" t="n"/>
      <c r="D24" s="24" t="n"/>
      <c r="E24" s="19" t="n"/>
      <c r="F24" s="47">
        <f>IF(E24="","",IFERROR(INDEX('جدول الكميات'!$D$6:$D$105,MATCH(E24,'جدول الكميات'!$B$6:$B$105,0)),"⚠ كود غير موجود"))</f>
        <v/>
      </c>
      <c r="G24" s="34" t="n"/>
      <c r="H24" s="19" t="n"/>
      <c r="I24" s="42" t="n"/>
      <c r="J24" s="19" t="n"/>
      <c r="K24" s="24" t="n"/>
      <c r="L24" s="48">
        <f>IF(J24="نعم",0,N(I24))</f>
        <v/>
      </c>
      <c r="M24" s="44" t="n"/>
    </row>
    <row r="25">
      <c r="A25" s="33">
        <f>IF(B25="","",COUNTA($B$6:B25))</f>
        <v/>
      </c>
      <c r="B25" s="19" t="n"/>
      <c r="C25" s="23" t="n"/>
      <c r="D25" s="24" t="n"/>
      <c r="E25" s="19" t="n"/>
      <c r="F25" s="47">
        <f>IF(E25="","",IFERROR(INDEX('جدول الكميات'!$D$6:$D$105,MATCH(E25,'جدول الكميات'!$B$6:$B$105,0)),"⚠ كود غير موجود"))</f>
        <v/>
      </c>
      <c r="G25" s="34" t="n"/>
      <c r="H25" s="19" t="n"/>
      <c r="I25" s="42" t="n"/>
      <c r="J25" s="19" t="n"/>
      <c r="K25" s="24" t="n"/>
      <c r="L25" s="48">
        <f>IF(J25="نعم",0,N(I25))</f>
        <v/>
      </c>
      <c r="M25" s="44" t="n"/>
    </row>
    <row r="26">
      <c r="A26" s="33">
        <f>IF(B26="","",COUNTA($B$6:B26))</f>
        <v/>
      </c>
      <c r="B26" s="19" t="n"/>
      <c r="C26" s="23" t="n"/>
      <c r="D26" s="24" t="n"/>
      <c r="E26" s="19" t="n"/>
      <c r="F26" s="47">
        <f>IF(E26="","",IFERROR(INDEX('جدول الكميات'!$D$6:$D$105,MATCH(E26,'جدول الكميات'!$B$6:$B$105,0)),"⚠ كود غير موجود"))</f>
        <v/>
      </c>
      <c r="G26" s="34" t="n"/>
      <c r="H26" s="19" t="n"/>
      <c r="I26" s="42" t="n"/>
      <c r="J26" s="19" t="n"/>
      <c r="K26" s="24" t="n"/>
      <c r="L26" s="48">
        <f>IF(J26="نعم",0,N(I26))</f>
        <v/>
      </c>
      <c r="M26" s="44" t="n"/>
    </row>
    <row r="27">
      <c r="A27" s="33">
        <f>IF(B27="","",COUNTA($B$6:B27))</f>
        <v/>
      </c>
      <c r="B27" s="19" t="n"/>
      <c r="C27" s="23" t="n"/>
      <c r="D27" s="24" t="n"/>
      <c r="E27" s="19" t="n"/>
      <c r="F27" s="47">
        <f>IF(E27="","",IFERROR(INDEX('جدول الكميات'!$D$6:$D$105,MATCH(E27,'جدول الكميات'!$B$6:$B$105,0)),"⚠ كود غير موجود"))</f>
        <v/>
      </c>
      <c r="G27" s="34" t="n"/>
      <c r="H27" s="19" t="n"/>
      <c r="I27" s="42" t="n"/>
      <c r="J27" s="19" t="n"/>
      <c r="K27" s="24" t="n"/>
      <c r="L27" s="48">
        <f>IF(J27="نعم",0,N(I27))</f>
        <v/>
      </c>
      <c r="M27" s="44" t="n"/>
    </row>
    <row r="28">
      <c r="A28" s="33">
        <f>IF(B28="","",COUNTA($B$6:B28))</f>
        <v/>
      </c>
      <c r="B28" s="19" t="n"/>
      <c r="C28" s="23" t="n"/>
      <c r="D28" s="24" t="n"/>
      <c r="E28" s="19" t="n"/>
      <c r="F28" s="47">
        <f>IF(E28="","",IFERROR(INDEX('جدول الكميات'!$D$6:$D$105,MATCH(E28,'جدول الكميات'!$B$6:$B$105,0)),"⚠ كود غير موجود"))</f>
        <v/>
      </c>
      <c r="G28" s="34" t="n"/>
      <c r="H28" s="19" t="n"/>
      <c r="I28" s="42" t="n"/>
      <c r="J28" s="19" t="n"/>
      <c r="K28" s="24" t="n"/>
      <c r="L28" s="48">
        <f>IF(J28="نعم",0,N(I28))</f>
        <v/>
      </c>
      <c r="M28" s="44" t="n"/>
    </row>
    <row r="29">
      <c r="A29" s="33">
        <f>IF(B29="","",COUNTA($B$6:B29))</f>
        <v/>
      </c>
      <c r="B29" s="19" t="n"/>
      <c r="C29" s="23" t="n"/>
      <c r="D29" s="24" t="n"/>
      <c r="E29" s="19" t="n"/>
      <c r="F29" s="47">
        <f>IF(E29="","",IFERROR(INDEX('جدول الكميات'!$D$6:$D$105,MATCH(E29,'جدول الكميات'!$B$6:$B$105,0)),"⚠ كود غير موجود"))</f>
        <v/>
      </c>
      <c r="G29" s="34" t="n"/>
      <c r="H29" s="19" t="n"/>
      <c r="I29" s="42" t="n"/>
      <c r="J29" s="19" t="n"/>
      <c r="K29" s="24" t="n"/>
      <c r="L29" s="48">
        <f>IF(J29="نعم",0,N(I29))</f>
        <v/>
      </c>
      <c r="M29" s="44" t="n"/>
    </row>
    <row r="30">
      <c r="A30" s="33">
        <f>IF(B30="","",COUNTA($B$6:B30))</f>
        <v/>
      </c>
      <c r="B30" s="19" t="n"/>
      <c r="C30" s="23" t="n"/>
      <c r="D30" s="24" t="n"/>
      <c r="E30" s="19" t="n"/>
      <c r="F30" s="47">
        <f>IF(E30="","",IFERROR(INDEX('جدول الكميات'!$D$6:$D$105,MATCH(E30,'جدول الكميات'!$B$6:$B$105,0)),"⚠ كود غير موجود"))</f>
        <v/>
      </c>
      <c r="G30" s="34" t="n"/>
      <c r="H30" s="19" t="n"/>
      <c r="I30" s="42" t="n"/>
      <c r="J30" s="19" t="n"/>
      <c r="K30" s="24" t="n"/>
      <c r="L30" s="48">
        <f>IF(J30="نعم",0,N(I30))</f>
        <v/>
      </c>
      <c r="M30" s="44" t="n"/>
    </row>
    <row r="31">
      <c r="A31" s="33">
        <f>IF(B31="","",COUNTA($B$6:B31))</f>
        <v/>
      </c>
      <c r="B31" s="19" t="n"/>
      <c r="C31" s="23" t="n"/>
      <c r="D31" s="24" t="n"/>
      <c r="E31" s="19" t="n"/>
      <c r="F31" s="47">
        <f>IF(E31="","",IFERROR(INDEX('جدول الكميات'!$D$6:$D$105,MATCH(E31,'جدول الكميات'!$B$6:$B$105,0)),"⚠ كود غير موجود"))</f>
        <v/>
      </c>
      <c r="G31" s="34" t="n"/>
      <c r="H31" s="19" t="n"/>
      <c r="I31" s="42" t="n"/>
      <c r="J31" s="19" t="n"/>
      <c r="K31" s="24" t="n"/>
      <c r="L31" s="48">
        <f>IF(J31="نعم",0,N(I31))</f>
        <v/>
      </c>
      <c r="M31" s="44" t="n"/>
    </row>
    <row r="32">
      <c r="A32" s="33">
        <f>IF(B32="","",COUNTA($B$6:B32))</f>
        <v/>
      </c>
      <c r="B32" s="19" t="n"/>
      <c r="C32" s="23" t="n"/>
      <c r="D32" s="24" t="n"/>
      <c r="E32" s="19" t="n"/>
      <c r="F32" s="47">
        <f>IF(E32="","",IFERROR(INDEX('جدول الكميات'!$D$6:$D$105,MATCH(E32,'جدول الكميات'!$B$6:$B$105,0)),"⚠ كود غير موجود"))</f>
        <v/>
      </c>
      <c r="G32" s="34" t="n"/>
      <c r="H32" s="19" t="n"/>
      <c r="I32" s="42" t="n"/>
      <c r="J32" s="19" t="n"/>
      <c r="K32" s="24" t="n"/>
      <c r="L32" s="48">
        <f>IF(J32="نعم",0,N(I32))</f>
        <v/>
      </c>
      <c r="M32" s="44" t="n"/>
    </row>
    <row r="33">
      <c r="A33" s="33">
        <f>IF(B33="","",COUNTA($B$6:B33))</f>
        <v/>
      </c>
      <c r="B33" s="19" t="n"/>
      <c r="C33" s="23" t="n"/>
      <c r="D33" s="24" t="n"/>
      <c r="E33" s="19" t="n"/>
      <c r="F33" s="47">
        <f>IF(E33="","",IFERROR(INDEX('جدول الكميات'!$D$6:$D$105,MATCH(E33,'جدول الكميات'!$B$6:$B$105,0)),"⚠ كود غير موجود"))</f>
        <v/>
      </c>
      <c r="G33" s="34" t="n"/>
      <c r="H33" s="19" t="n"/>
      <c r="I33" s="42" t="n"/>
      <c r="J33" s="19" t="n"/>
      <c r="K33" s="24" t="n"/>
      <c r="L33" s="48">
        <f>IF(J33="نعم",0,N(I33))</f>
        <v/>
      </c>
      <c r="M33" s="44" t="n"/>
    </row>
    <row r="34">
      <c r="A34" s="33">
        <f>IF(B34="","",COUNTA($B$6:B34))</f>
        <v/>
      </c>
      <c r="B34" s="19" t="n"/>
      <c r="C34" s="23" t="n"/>
      <c r="D34" s="24" t="n"/>
      <c r="E34" s="19" t="n"/>
      <c r="F34" s="47">
        <f>IF(E34="","",IFERROR(INDEX('جدول الكميات'!$D$6:$D$105,MATCH(E34,'جدول الكميات'!$B$6:$B$105,0)),"⚠ كود غير موجود"))</f>
        <v/>
      </c>
      <c r="G34" s="34" t="n"/>
      <c r="H34" s="19" t="n"/>
      <c r="I34" s="42" t="n"/>
      <c r="J34" s="19" t="n"/>
      <c r="K34" s="24" t="n"/>
      <c r="L34" s="48">
        <f>IF(J34="نعم",0,N(I34))</f>
        <v/>
      </c>
      <c r="M34" s="44" t="n"/>
    </row>
    <row r="35">
      <c r="A35" s="33">
        <f>IF(B35="","",COUNTA($B$6:B35))</f>
        <v/>
      </c>
      <c r="B35" s="19" t="n"/>
      <c r="C35" s="23" t="n"/>
      <c r="D35" s="24" t="n"/>
      <c r="E35" s="19" t="n"/>
      <c r="F35" s="47">
        <f>IF(E35="","",IFERROR(INDEX('جدول الكميات'!$D$6:$D$105,MATCH(E35,'جدول الكميات'!$B$6:$B$105,0)),"⚠ كود غير موجود"))</f>
        <v/>
      </c>
      <c r="G35" s="34" t="n"/>
      <c r="H35" s="19" t="n"/>
      <c r="I35" s="42" t="n"/>
      <c r="J35" s="19" t="n"/>
      <c r="K35" s="24" t="n"/>
      <c r="L35" s="48">
        <f>IF(J35="نعم",0,N(I35))</f>
        <v/>
      </c>
      <c r="M35" s="44" t="n"/>
    </row>
    <row r="36">
      <c r="A36" s="33">
        <f>IF(B36="","",COUNTA($B$6:B36))</f>
        <v/>
      </c>
      <c r="B36" s="19" t="n"/>
      <c r="C36" s="23" t="n"/>
      <c r="D36" s="24" t="n"/>
      <c r="E36" s="19" t="n"/>
      <c r="F36" s="47">
        <f>IF(E36="","",IFERROR(INDEX('جدول الكميات'!$D$6:$D$105,MATCH(E36,'جدول الكميات'!$B$6:$B$105,0)),"⚠ كود غير موجود"))</f>
        <v/>
      </c>
      <c r="G36" s="34" t="n"/>
      <c r="H36" s="19" t="n"/>
      <c r="I36" s="42" t="n"/>
      <c r="J36" s="19" t="n"/>
      <c r="K36" s="24" t="n"/>
      <c r="L36" s="48">
        <f>IF(J36="نعم",0,N(I36))</f>
        <v/>
      </c>
      <c r="M36" s="44" t="n"/>
    </row>
    <row r="37">
      <c r="A37" s="33">
        <f>IF(B37="","",COUNTA($B$6:B37))</f>
        <v/>
      </c>
      <c r="B37" s="19" t="n"/>
      <c r="C37" s="23" t="n"/>
      <c r="D37" s="24" t="n"/>
      <c r="E37" s="19" t="n"/>
      <c r="F37" s="47">
        <f>IF(E37="","",IFERROR(INDEX('جدول الكميات'!$D$6:$D$105,MATCH(E37,'جدول الكميات'!$B$6:$B$105,0)),"⚠ كود غير موجود"))</f>
        <v/>
      </c>
      <c r="G37" s="34" t="n"/>
      <c r="H37" s="19" t="n"/>
      <c r="I37" s="42" t="n"/>
      <c r="J37" s="19" t="n"/>
      <c r="K37" s="24" t="n"/>
      <c r="L37" s="48">
        <f>IF(J37="نعم",0,N(I37))</f>
        <v/>
      </c>
      <c r="M37" s="44" t="n"/>
    </row>
    <row r="38">
      <c r="A38" s="33">
        <f>IF(B38="","",COUNTA($B$6:B38))</f>
        <v/>
      </c>
      <c r="B38" s="19" t="n"/>
      <c r="C38" s="23" t="n"/>
      <c r="D38" s="24" t="n"/>
      <c r="E38" s="19" t="n"/>
      <c r="F38" s="47">
        <f>IF(E38="","",IFERROR(INDEX('جدول الكميات'!$D$6:$D$105,MATCH(E38,'جدول الكميات'!$B$6:$B$105,0)),"⚠ كود غير موجود"))</f>
        <v/>
      </c>
      <c r="G38" s="34" t="n"/>
      <c r="H38" s="19" t="n"/>
      <c r="I38" s="42" t="n"/>
      <c r="J38" s="19" t="n"/>
      <c r="K38" s="24" t="n"/>
      <c r="L38" s="48">
        <f>IF(J38="نعم",0,N(I38))</f>
        <v/>
      </c>
      <c r="M38" s="44" t="n"/>
    </row>
    <row r="39">
      <c r="A39" s="33">
        <f>IF(B39="","",COUNTA($B$6:B39))</f>
        <v/>
      </c>
      <c r="B39" s="19" t="n"/>
      <c r="C39" s="23" t="n"/>
      <c r="D39" s="24" t="n"/>
      <c r="E39" s="19" t="n"/>
      <c r="F39" s="47">
        <f>IF(E39="","",IFERROR(INDEX('جدول الكميات'!$D$6:$D$105,MATCH(E39,'جدول الكميات'!$B$6:$B$105,0)),"⚠ كود غير موجود"))</f>
        <v/>
      </c>
      <c r="G39" s="34" t="n"/>
      <c r="H39" s="19" t="n"/>
      <c r="I39" s="42" t="n"/>
      <c r="J39" s="19" t="n"/>
      <c r="K39" s="24" t="n"/>
      <c r="L39" s="48">
        <f>IF(J39="نعم",0,N(I39))</f>
        <v/>
      </c>
      <c r="M39" s="44" t="n"/>
    </row>
    <row r="40">
      <c r="A40" s="33">
        <f>IF(B40="","",COUNTA($B$6:B40))</f>
        <v/>
      </c>
      <c r="B40" s="19" t="n"/>
      <c r="C40" s="23" t="n"/>
      <c r="D40" s="24" t="n"/>
      <c r="E40" s="19" t="n"/>
      <c r="F40" s="47">
        <f>IF(E40="","",IFERROR(INDEX('جدول الكميات'!$D$6:$D$105,MATCH(E40,'جدول الكميات'!$B$6:$B$105,0)),"⚠ كود غير موجود"))</f>
        <v/>
      </c>
      <c r="G40" s="34" t="n"/>
      <c r="H40" s="19" t="n"/>
      <c r="I40" s="42" t="n"/>
      <c r="J40" s="19" t="n"/>
      <c r="K40" s="24" t="n"/>
      <c r="L40" s="48">
        <f>IF(J40="نعم",0,N(I40))</f>
        <v/>
      </c>
      <c r="M40" s="44" t="n"/>
    </row>
    <row r="41">
      <c r="A41" s="33">
        <f>IF(B41="","",COUNTA($B$6:B41))</f>
        <v/>
      </c>
      <c r="B41" s="19" t="n"/>
      <c r="C41" s="23" t="n"/>
      <c r="D41" s="24" t="n"/>
      <c r="E41" s="19" t="n"/>
      <c r="F41" s="47">
        <f>IF(E41="","",IFERROR(INDEX('جدول الكميات'!$D$6:$D$105,MATCH(E41,'جدول الكميات'!$B$6:$B$105,0)),"⚠ كود غير موجود"))</f>
        <v/>
      </c>
      <c r="G41" s="34" t="n"/>
      <c r="H41" s="19" t="n"/>
      <c r="I41" s="42" t="n"/>
      <c r="J41" s="19" t="n"/>
      <c r="K41" s="24" t="n"/>
      <c r="L41" s="48">
        <f>IF(J41="نعم",0,N(I41))</f>
        <v/>
      </c>
      <c r="M41" s="44" t="n"/>
    </row>
    <row r="42">
      <c r="A42" s="33">
        <f>IF(B42="","",COUNTA($B$6:B42))</f>
        <v/>
      </c>
      <c r="B42" s="19" t="n"/>
      <c r="C42" s="23" t="n"/>
      <c r="D42" s="24" t="n"/>
      <c r="E42" s="19" t="n"/>
      <c r="F42" s="47">
        <f>IF(E42="","",IFERROR(INDEX('جدول الكميات'!$D$6:$D$105,MATCH(E42,'جدول الكميات'!$B$6:$B$105,0)),"⚠ كود غير موجود"))</f>
        <v/>
      </c>
      <c r="G42" s="34" t="n"/>
      <c r="H42" s="19" t="n"/>
      <c r="I42" s="42" t="n"/>
      <c r="J42" s="19" t="n"/>
      <c r="K42" s="24" t="n"/>
      <c r="L42" s="48">
        <f>IF(J42="نعم",0,N(I42))</f>
        <v/>
      </c>
      <c r="M42" s="44" t="n"/>
    </row>
    <row r="43">
      <c r="A43" s="33">
        <f>IF(B43="","",COUNTA($B$6:B43))</f>
        <v/>
      </c>
      <c r="B43" s="19" t="n"/>
      <c r="C43" s="23" t="n"/>
      <c r="D43" s="24" t="n"/>
      <c r="E43" s="19" t="n"/>
      <c r="F43" s="47">
        <f>IF(E43="","",IFERROR(INDEX('جدول الكميات'!$D$6:$D$105,MATCH(E43,'جدول الكميات'!$B$6:$B$105,0)),"⚠ كود غير موجود"))</f>
        <v/>
      </c>
      <c r="G43" s="34" t="n"/>
      <c r="H43" s="19" t="n"/>
      <c r="I43" s="42" t="n"/>
      <c r="J43" s="19" t="n"/>
      <c r="K43" s="24" t="n"/>
      <c r="L43" s="48">
        <f>IF(J43="نعم",0,N(I43))</f>
        <v/>
      </c>
      <c r="M43" s="44" t="n"/>
    </row>
    <row r="44">
      <c r="A44" s="33">
        <f>IF(B44="","",COUNTA($B$6:B44))</f>
        <v/>
      </c>
      <c r="B44" s="19" t="n"/>
      <c r="C44" s="23" t="n"/>
      <c r="D44" s="24" t="n"/>
      <c r="E44" s="19" t="n"/>
      <c r="F44" s="47">
        <f>IF(E44="","",IFERROR(INDEX('جدول الكميات'!$D$6:$D$105,MATCH(E44,'جدول الكميات'!$B$6:$B$105,0)),"⚠ كود غير موجود"))</f>
        <v/>
      </c>
      <c r="G44" s="34" t="n"/>
      <c r="H44" s="19" t="n"/>
      <c r="I44" s="42" t="n"/>
      <c r="J44" s="19" t="n"/>
      <c r="K44" s="24" t="n"/>
      <c r="L44" s="48">
        <f>IF(J44="نعم",0,N(I44))</f>
        <v/>
      </c>
      <c r="M44" s="44" t="n"/>
    </row>
    <row r="45">
      <c r="A45" s="33">
        <f>IF(B45="","",COUNTA($B$6:B45))</f>
        <v/>
      </c>
      <c r="B45" s="19" t="n"/>
      <c r="C45" s="23" t="n"/>
      <c r="D45" s="24" t="n"/>
      <c r="E45" s="19" t="n"/>
      <c r="F45" s="47">
        <f>IF(E45="","",IFERROR(INDEX('جدول الكميات'!$D$6:$D$105,MATCH(E45,'جدول الكميات'!$B$6:$B$105,0)),"⚠ كود غير موجود"))</f>
        <v/>
      </c>
      <c r="G45" s="34" t="n"/>
      <c r="H45" s="19" t="n"/>
      <c r="I45" s="42" t="n"/>
      <c r="J45" s="19" t="n"/>
      <c r="K45" s="24" t="n"/>
      <c r="L45" s="48">
        <f>IF(J45="نعم",0,N(I45))</f>
        <v/>
      </c>
      <c r="M45" s="44" t="n"/>
    </row>
    <row r="46">
      <c r="A46" s="33">
        <f>IF(B46="","",COUNTA($B$6:B46))</f>
        <v/>
      </c>
      <c r="B46" s="19" t="n"/>
      <c r="C46" s="23" t="n"/>
      <c r="D46" s="24" t="n"/>
      <c r="E46" s="19" t="n"/>
      <c r="F46" s="47">
        <f>IF(E46="","",IFERROR(INDEX('جدول الكميات'!$D$6:$D$105,MATCH(E46,'جدول الكميات'!$B$6:$B$105,0)),"⚠ كود غير موجود"))</f>
        <v/>
      </c>
      <c r="G46" s="34" t="n"/>
      <c r="H46" s="19" t="n"/>
      <c r="I46" s="42" t="n"/>
      <c r="J46" s="19" t="n"/>
      <c r="K46" s="24" t="n"/>
      <c r="L46" s="48">
        <f>IF(J46="نعم",0,N(I46))</f>
        <v/>
      </c>
      <c r="M46" s="44" t="n"/>
    </row>
    <row r="47">
      <c r="A47" s="33">
        <f>IF(B47="","",COUNTA($B$6:B47))</f>
        <v/>
      </c>
      <c r="B47" s="19" t="n"/>
      <c r="C47" s="23" t="n"/>
      <c r="D47" s="24" t="n"/>
      <c r="E47" s="19" t="n"/>
      <c r="F47" s="47">
        <f>IF(E47="","",IFERROR(INDEX('جدول الكميات'!$D$6:$D$105,MATCH(E47,'جدول الكميات'!$B$6:$B$105,0)),"⚠ كود غير موجود"))</f>
        <v/>
      </c>
      <c r="G47" s="34" t="n"/>
      <c r="H47" s="19" t="n"/>
      <c r="I47" s="42" t="n"/>
      <c r="J47" s="19" t="n"/>
      <c r="K47" s="24" t="n"/>
      <c r="L47" s="48">
        <f>IF(J47="نعم",0,N(I47))</f>
        <v/>
      </c>
      <c r="M47" s="44" t="n"/>
    </row>
    <row r="48">
      <c r="A48" s="33">
        <f>IF(B48="","",COUNTA($B$6:B48))</f>
        <v/>
      </c>
      <c r="B48" s="19" t="n"/>
      <c r="C48" s="23" t="n"/>
      <c r="D48" s="24" t="n"/>
      <c r="E48" s="19" t="n"/>
      <c r="F48" s="47">
        <f>IF(E48="","",IFERROR(INDEX('جدول الكميات'!$D$6:$D$105,MATCH(E48,'جدول الكميات'!$B$6:$B$105,0)),"⚠ كود غير موجود"))</f>
        <v/>
      </c>
      <c r="G48" s="34" t="n"/>
      <c r="H48" s="19" t="n"/>
      <c r="I48" s="42" t="n"/>
      <c r="J48" s="19" t="n"/>
      <c r="K48" s="24" t="n"/>
      <c r="L48" s="48">
        <f>IF(J48="نعم",0,N(I48))</f>
        <v/>
      </c>
      <c r="M48" s="44" t="n"/>
    </row>
    <row r="49">
      <c r="A49" s="33">
        <f>IF(B49="","",COUNTA($B$6:B49))</f>
        <v/>
      </c>
      <c r="B49" s="19" t="n"/>
      <c r="C49" s="23" t="n"/>
      <c r="D49" s="24" t="n"/>
      <c r="E49" s="19" t="n"/>
      <c r="F49" s="47">
        <f>IF(E49="","",IFERROR(INDEX('جدول الكميات'!$D$6:$D$105,MATCH(E49,'جدول الكميات'!$B$6:$B$105,0)),"⚠ كود غير موجود"))</f>
        <v/>
      </c>
      <c r="G49" s="34" t="n"/>
      <c r="H49" s="19" t="n"/>
      <c r="I49" s="42" t="n"/>
      <c r="J49" s="19" t="n"/>
      <c r="K49" s="24" t="n"/>
      <c r="L49" s="48">
        <f>IF(J49="نعم",0,N(I49))</f>
        <v/>
      </c>
      <c r="M49" s="44" t="n"/>
    </row>
    <row r="50">
      <c r="A50" s="33">
        <f>IF(B50="","",COUNTA($B$6:B50))</f>
        <v/>
      </c>
      <c r="B50" s="19" t="n"/>
      <c r="C50" s="23" t="n"/>
      <c r="D50" s="24" t="n"/>
      <c r="E50" s="19" t="n"/>
      <c r="F50" s="47">
        <f>IF(E50="","",IFERROR(INDEX('جدول الكميات'!$D$6:$D$105,MATCH(E50,'جدول الكميات'!$B$6:$B$105,0)),"⚠ كود غير موجود"))</f>
        <v/>
      </c>
      <c r="G50" s="34" t="n"/>
      <c r="H50" s="19" t="n"/>
      <c r="I50" s="42" t="n"/>
      <c r="J50" s="19" t="n"/>
      <c r="K50" s="24" t="n"/>
      <c r="L50" s="48">
        <f>IF(J50="نعم",0,N(I50))</f>
        <v/>
      </c>
      <c r="M50" s="44" t="n"/>
    </row>
    <row r="51">
      <c r="A51" s="33">
        <f>IF(B51="","",COUNTA($B$6:B51))</f>
        <v/>
      </c>
      <c r="B51" s="19" t="n"/>
      <c r="C51" s="23" t="n"/>
      <c r="D51" s="24" t="n"/>
      <c r="E51" s="19" t="n"/>
      <c r="F51" s="47">
        <f>IF(E51="","",IFERROR(INDEX('جدول الكميات'!$D$6:$D$105,MATCH(E51,'جدول الكميات'!$B$6:$B$105,0)),"⚠ كود غير موجود"))</f>
        <v/>
      </c>
      <c r="G51" s="34" t="n"/>
      <c r="H51" s="19" t="n"/>
      <c r="I51" s="42" t="n"/>
      <c r="J51" s="19" t="n"/>
      <c r="K51" s="24" t="n"/>
      <c r="L51" s="48">
        <f>IF(J51="نعم",0,N(I51))</f>
        <v/>
      </c>
      <c r="M51" s="44" t="n"/>
    </row>
    <row r="52">
      <c r="A52" s="33">
        <f>IF(B52="","",COUNTA($B$6:B52))</f>
        <v/>
      </c>
      <c r="B52" s="19" t="n"/>
      <c r="C52" s="23" t="n"/>
      <c r="D52" s="24" t="n"/>
      <c r="E52" s="19" t="n"/>
      <c r="F52" s="47">
        <f>IF(E52="","",IFERROR(INDEX('جدول الكميات'!$D$6:$D$105,MATCH(E52,'جدول الكميات'!$B$6:$B$105,0)),"⚠ كود غير موجود"))</f>
        <v/>
      </c>
      <c r="G52" s="34" t="n"/>
      <c r="H52" s="19" t="n"/>
      <c r="I52" s="42" t="n"/>
      <c r="J52" s="19" t="n"/>
      <c r="K52" s="24" t="n"/>
      <c r="L52" s="48">
        <f>IF(J52="نعم",0,N(I52))</f>
        <v/>
      </c>
      <c r="M52" s="44" t="n"/>
    </row>
    <row r="53">
      <c r="A53" s="33">
        <f>IF(B53="","",COUNTA($B$6:B53))</f>
        <v/>
      </c>
      <c r="B53" s="19" t="n"/>
      <c r="C53" s="23" t="n"/>
      <c r="D53" s="24" t="n"/>
      <c r="E53" s="19" t="n"/>
      <c r="F53" s="47">
        <f>IF(E53="","",IFERROR(INDEX('جدول الكميات'!$D$6:$D$105,MATCH(E53,'جدول الكميات'!$B$6:$B$105,0)),"⚠ كود غير موجود"))</f>
        <v/>
      </c>
      <c r="G53" s="34" t="n"/>
      <c r="H53" s="19" t="n"/>
      <c r="I53" s="42" t="n"/>
      <c r="J53" s="19" t="n"/>
      <c r="K53" s="24" t="n"/>
      <c r="L53" s="48">
        <f>IF(J53="نعم",0,N(I53))</f>
        <v/>
      </c>
      <c r="M53" s="44" t="n"/>
    </row>
    <row r="54">
      <c r="A54" s="33">
        <f>IF(B54="","",COUNTA($B$6:B54))</f>
        <v/>
      </c>
      <c r="B54" s="19" t="n"/>
      <c r="C54" s="23" t="n"/>
      <c r="D54" s="24" t="n"/>
      <c r="E54" s="19" t="n"/>
      <c r="F54" s="47">
        <f>IF(E54="","",IFERROR(INDEX('جدول الكميات'!$D$6:$D$105,MATCH(E54,'جدول الكميات'!$B$6:$B$105,0)),"⚠ كود غير موجود"))</f>
        <v/>
      </c>
      <c r="G54" s="34" t="n"/>
      <c r="H54" s="19" t="n"/>
      <c r="I54" s="42" t="n"/>
      <c r="J54" s="19" t="n"/>
      <c r="K54" s="24" t="n"/>
      <c r="L54" s="48">
        <f>IF(J54="نعم",0,N(I54))</f>
        <v/>
      </c>
      <c r="M54" s="44" t="n"/>
    </row>
    <row r="55">
      <c r="A55" s="33">
        <f>IF(B55="","",COUNTA($B$6:B55))</f>
        <v/>
      </c>
      <c r="B55" s="19" t="n"/>
      <c r="C55" s="23" t="n"/>
      <c r="D55" s="24" t="n"/>
      <c r="E55" s="19" t="n"/>
      <c r="F55" s="47">
        <f>IF(E55="","",IFERROR(INDEX('جدول الكميات'!$D$6:$D$105,MATCH(E55,'جدول الكميات'!$B$6:$B$105,0)),"⚠ كود غير موجود"))</f>
        <v/>
      </c>
      <c r="G55" s="34" t="n"/>
      <c r="H55" s="19" t="n"/>
      <c r="I55" s="42" t="n"/>
      <c r="J55" s="19" t="n"/>
      <c r="K55" s="24" t="n"/>
      <c r="L55" s="48">
        <f>IF(J55="نعم",0,N(I55))</f>
        <v/>
      </c>
      <c r="M55" s="44" t="n"/>
    </row>
    <row r="56">
      <c r="A56" s="33">
        <f>IF(B56="","",COUNTA($B$6:B56))</f>
        <v/>
      </c>
      <c r="B56" s="19" t="n"/>
      <c r="C56" s="23" t="n"/>
      <c r="D56" s="24" t="n"/>
      <c r="E56" s="19" t="n"/>
      <c r="F56" s="47">
        <f>IF(E56="","",IFERROR(INDEX('جدول الكميات'!$D$6:$D$105,MATCH(E56,'جدول الكميات'!$B$6:$B$105,0)),"⚠ كود غير موجود"))</f>
        <v/>
      </c>
      <c r="G56" s="34" t="n"/>
      <c r="H56" s="19" t="n"/>
      <c r="I56" s="42" t="n"/>
      <c r="J56" s="19" t="n"/>
      <c r="K56" s="24" t="n"/>
      <c r="L56" s="48">
        <f>IF(J56="نعم",0,N(I56))</f>
        <v/>
      </c>
      <c r="M56" s="44" t="n"/>
    </row>
    <row r="57">
      <c r="A57" s="33">
        <f>IF(B57="","",COUNTA($B$6:B57))</f>
        <v/>
      </c>
      <c r="B57" s="19" t="n"/>
      <c r="C57" s="23" t="n"/>
      <c r="D57" s="24" t="n"/>
      <c r="E57" s="19" t="n"/>
      <c r="F57" s="47">
        <f>IF(E57="","",IFERROR(INDEX('جدول الكميات'!$D$6:$D$105,MATCH(E57,'جدول الكميات'!$B$6:$B$105,0)),"⚠ كود غير موجود"))</f>
        <v/>
      </c>
      <c r="G57" s="34" t="n"/>
      <c r="H57" s="19" t="n"/>
      <c r="I57" s="42" t="n"/>
      <c r="J57" s="19" t="n"/>
      <c r="K57" s="24" t="n"/>
      <c r="L57" s="48">
        <f>IF(J57="نعم",0,N(I57))</f>
        <v/>
      </c>
      <c r="M57" s="44" t="n"/>
    </row>
    <row r="58">
      <c r="A58" s="33">
        <f>IF(B58="","",COUNTA($B$6:B58))</f>
        <v/>
      </c>
      <c r="B58" s="19" t="n"/>
      <c r="C58" s="23" t="n"/>
      <c r="D58" s="24" t="n"/>
      <c r="E58" s="19" t="n"/>
      <c r="F58" s="47">
        <f>IF(E58="","",IFERROR(INDEX('جدول الكميات'!$D$6:$D$105,MATCH(E58,'جدول الكميات'!$B$6:$B$105,0)),"⚠ كود غير موجود"))</f>
        <v/>
      </c>
      <c r="G58" s="34" t="n"/>
      <c r="H58" s="19" t="n"/>
      <c r="I58" s="42" t="n"/>
      <c r="J58" s="19" t="n"/>
      <c r="K58" s="24" t="n"/>
      <c r="L58" s="48">
        <f>IF(J58="نعم",0,N(I58))</f>
        <v/>
      </c>
      <c r="M58" s="44" t="n"/>
    </row>
    <row r="59">
      <c r="A59" s="33">
        <f>IF(B59="","",COUNTA($B$6:B59))</f>
        <v/>
      </c>
      <c r="B59" s="19" t="n"/>
      <c r="C59" s="23" t="n"/>
      <c r="D59" s="24" t="n"/>
      <c r="E59" s="19" t="n"/>
      <c r="F59" s="47">
        <f>IF(E59="","",IFERROR(INDEX('جدول الكميات'!$D$6:$D$105,MATCH(E59,'جدول الكميات'!$B$6:$B$105,0)),"⚠ كود غير موجود"))</f>
        <v/>
      </c>
      <c r="G59" s="34" t="n"/>
      <c r="H59" s="19" t="n"/>
      <c r="I59" s="42" t="n"/>
      <c r="J59" s="19" t="n"/>
      <c r="K59" s="24" t="n"/>
      <c r="L59" s="48">
        <f>IF(J59="نعم",0,N(I59))</f>
        <v/>
      </c>
      <c r="M59" s="44" t="n"/>
    </row>
    <row r="60">
      <c r="A60" s="33">
        <f>IF(B60="","",COUNTA($B$6:B60))</f>
        <v/>
      </c>
      <c r="B60" s="19" t="n"/>
      <c r="C60" s="23" t="n"/>
      <c r="D60" s="24" t="n"/>
      <c r="E60" s="19" t="n"/>
      <c r="F60" s="47">
        <f>IF(E60="","",IFERROR(INDEX('جدول الكميات'!$D$6:$D$105,MATCH(E60,'جدول الكميات'!$B$6:$B$105,0)),"⚠ كود غير موجود"))</f>
        <v/>
      </c>
      <c r="G60" s="34" t="n"/>
      <c r="H60" s="19" t="n"/>
      <c r="I60" s="42" t="n"/>
      <c r="J60" s="19" t="n"/>
      <c r="K60" s="24" t="n"/>
      <c r="L60" s="48">
        <f>IF(J60="نعم",0,N(I60))</f>
        <v/>
      </c>
      <c r="M60" s="44" t="n"/>
    </row>
    <row r="61">
      <c r="A61" s="33">
        <f>IF(B61="","",COUNTA($B$6:B61))</f>
        <v/>
      </c>
      <c r="B61" s="19" t="n"/>
      <c r="C61" s="23" t="n"/>
      <c r="D61" s="24" t="n"/>
      <c r="E61" s="19" t="n"/>
      <c r="F61" s="47">
        <f>IF(E61="","",IFERROR(INDEX('جدول الكميات'!$D$6:$D$105,MATCH(E61,'جدول الكميات'!$B$6:$B$105,0)),"⚠ كود غير موجود"))</f>
        <v/>
      </c>
      <c r="G61" s="34" t="n"/>
      <c r="H61" s="19" t="n"/>
      <c r="I61" s="42" t="n"/>
      <c r="J61" s="19" t="n"/>
      <c r="K61" s="24" t="n"/>
      <c r="L61" s="48">
        <f>IF(J61="نعم",0,N(I61))</f>
        <v/>
      </c>
      <c r="M61" s="44" t="n"/>
    </row>
    <row r="62">
      <c r="A62" s="33">
        <f>IF(B62="","",COUNTA($B$6:B62))</f>
        <v/>
      </c>
      <c r="B62" s="19" t="n"/>
      <c r="C62" s="23" t="n"/>
      <c r="D62" s="24" t="n"/>
      <c r="E62" s="19" t="n"/>
      <c r="F62" s="47">
        <f>IF(E62="","",IFERROR(INDEX('جدول الكميات'!$D$6:$D$105,MATCH(E62,'جدول الكميات'!$B$6:$B$105,0)),"⚠ كود غير موجود"))</f>
        <v/>
      </c>
      <c r="G62" s="34" t="n"/>
      <c r="H62" s="19" t="n"/>
      <c r="I62" s="42" t="n"/>
      <c r="J62" s="19" t="n"/>
      <c r="K62" s="24" t="n"/>
      <c r="L62" s="48">
        <f>IF(J62="نعم",0,N(I62))</f>
        <v/>
      </c>
      <c r="M62" s="44" t="n"/>
    </row>
    <row r="63">
      <c r="A63" s="33">
        <f>IF(B63="","",COUNTA($B$6:B63))</f>
        <v/>
      </c>
      <c r="B63" s="19" t="n"/>
      <c r="C63" s="23" t="n"/>
      <c r="D63" s="24" t="n"/>
      <c r="E63" s="19" t="n"/>
      <c r="F63" s="47">
        <f>IF(E63="","",IFERROR(INDEX('جدول الكميات'!$D$6:$D$105,MATCH(E63,'جدول الكميات'!$B$6:$B$105,0)),"⚠ كود غير موجود"))</f>
        <v/>
      </c>
      <c r="G63" s="34" t="n"/>
      <c r="H63" s="19" t="n"/>
      <c r="I63" s="42" t="n"/>
      <c r="J63" s="19" t="n"/>
      <c r="K63" s="24" t="n"/>
      <c r="L63" s="48">
        <f>IF(J63="نعم",0,N(I63))</f>
        <v/>
      </c>
      <c r="M63" s="44" t="n"/>
    </row>
    <row r="64">
      <c r="A64" s="33">
        <f>IF(B64="","",COUNTA($B$6:B64))</f>
        <v/>
      </c>
      <c r="B64" s="19" t="n"/>
      <c r="C64" s="23" t="n"/>
      <c r="D64" s="24" t="n"/>
      <c r="E64" s="19" t="n"/>
      <c r="F64" s="47">
        <f>IF(E64="","",IFERROR(INDEX('جدول الكميات'!$D$6:$D$105,MATCH(E64,'جدول الكميات'!$B$6:$B$105,0)),"⚠ كود غير موجود"))</f>
        <v/>
      </c>
      <c r="G64" s="34" t="n"/>
      <c r="H64" s="19" t="n"/>
      <c r="I64" s="42" t="n"/>
      <c r="J64" s="19" t="n"/>
      <c r="K64" s="24" t="n"/>
      <c r="L64" s="48">
        <f>IF(J64="نعم",0,N(I64))</f>
        <v/>
      </c>
      <c r="M64" s="44" t="n"/>
    </row>
    <row r="65">
      <c r="A65" s="33">
        <f>IF(B65="","",COUNTA($B$6:B65))</f>
        <v/>
      </c>
      <c r="B65" s="19" t="n"/>
      <c r="C65" s="23" t="n"/>
      <c r="D65" s="24" t="n"/>
      <c r="E65" s="19" t="n"/>
      <c r="F65" s="47">
        <f>IF(E65="","",IFERROR(INDEX('جدول الكميات'!$D$6:$D$105,MATCH(E65,'جدول الكميات'!$B$6:$B$105,0)),"⚠ كود غير موجود"))</f>
        <v/>
      </c>
      <c r="G65" s="34" t="n"/>
      <c r="H65" s="19" t="n"/>
      <c r="I65" s="42" t="n"/>
      <c r="J65" s="19" t="n"/>
      <c r="K65" s="24" t="n"/>
      <c r="L65" s="48">
        <f>IF(J65="نعم",0,N(I65))</f>
        <v/>
      </c>
      <c r="M65" s="44" t="n"/>
    </row>
    <row r="66">
      <c r="A66" s="33">
        <f>IF(B66="","",COUNTA($B$6:B66))</f>
        <v/>
      </c>
      <c r="B66" s="19" t="n"/>
      <c r="C66" s="23" t="n"/>
      <c r="D66" s="24" t="n"/>
      <c r="E66" s="19" t="n"/>
      <c r="F66" s="47">
        <f>IF(E66="","",IFERROR(INDEX('جدول الكميات'!$D$6:$D$105,MATCH(E66,'جدول الكميات'!$B$6:$B$105,0)),"⚠ كود غير موجود"))</f>
        <v/>
      </c>
      <c r="G66" s="34" t="n"/>
      <c r="H66" s="19" t="n"/>
      <c r="I66" s="42" t="n"/>
      <c r="J66" s="19" t="n"/>
      <c r="K66" s="24" t="n"/>
      <c r="L66" s="48">
        <f>IF(J66="نعم",0,N(I66))</f>
        <v/>
      </c>
      <c r="M66" s="44" t="n"/>
    </row>
    <row r="67">
      <c r="A67" s="33">
        <f>IF(B67="","",COUNTA($B$6:B67))</f>
        <v/>
      </c>
      <c r="B67" s="19" t="n"/>
      <c r="C67" s="23" t="n"/>
      <c r="D67" s="24" t="n"/>
      <c r="E67" s="19" t="n"/>
      <c r="F67" s="47">
        <f>IF(E67="","",IFERROR(INDEX('جدول الكميات'!$D$6:$D$105,MATCH(E67,'جدول الكميات'!$B$6:$B$105,0)),"⚠ كود غير موجود"))</f>
        <v/>
      </c>
      <c r="G67" s="34" t="n"/>
      <c r="H67" s="19" t="n"/>
      <c r="I67" s="42" t="n"/>
      <c r="J67" s="19" t="n"/>
      <c r="K67" s="24" t="n"/>
      <c r="L67" s="48">
        <f>IF(J67="نعم",0,N(I67))</f>
        <v/>
      </c>
      <c r="M67" s="44" t="n"/>
    </row>
    <row r="68">
      <c r="A68" s="33">
        <f>IF(B68="","",COUNTA($B$6:B68))</f>
        <v/>
      </c>
      <c r="B68" s="19" t="n"/>
      <c r="C68" s="23" t="n"/>
      <c r="D68" s="24" t="n"/>
      <c r="E68" s="19" t="n"/>
      <c r="F68" s="47">
        <f>IF(E68="","",IFERROR(INDEX('جدول الكميات'!$D$6:$D$105,MATCH(E68,'جدول الكميات'!$B$6:$B$105,0)),"⚠ كود غير موجود"))</f>
        <v/>
      </c>
      <c r="G68" s="34" t="n"/>
      <c r="H68" s="19" t="n"/>
      <c r="I68" s="42" t="n"/>
      <c r="J68" s="19" t="n"/>
      <c r="K68" s="24" t="n"/>
      <c r="L68" s="48">
        <f>IF(J68="نعم",0,N(I68))</f>
        <v/>
      </c>
      <c r="M68" s="44" t="n"/>
    </row>
    <row r="69">
      <c r="A69" s="33">
        <f>IF(B69="","",COUNTA($B$6:B69))</f>
        <v/>
      </c>
      <c r="B69" s="19" t="n"/>
      <c r="C69" s="23" t="n"/>
      <c r="D69" s="24" t="n"/>
      <c r="E69" s="19" t="n"/>
      <c r="F69" s="47">
        <f>IF(E69="","",IFERROR(INDEX('جدول الكميات'!$D$6:$D$105,MATCH(E69,'جدول الكميات'!$B$6:$B$105,0)),"⚠ كود غير موجود"))</f>
        <v/>
      </c>
      <c r="G69" s="34" t="n"/>
      <c r="H69" s="19" t="n"/>
      <c r="I69" s="42" t="n"/>
      <c r="J69" s="19" t="n"/>
      <c r="K69" s="24" t="n"/>
      <c r="L69" s="48">
        <f>IF(J69="نعم",0,N(I69))</f>
        <v/>
      </c>
      <c r="M69" s="44" t="n"/>
    </row>
    <row r="70">
      <c r="A70" s="33">
        <f>IF(B70="","",COUNTA($B$6:B70))</f>
        <v/>
      </c>
      <c r="B70" s="19" t="n"/>
      <c r="C70" s="23" t="n"/>
      <c r="D70" s="24" t="n"/>
      <c r="E70" s="19" t="n"/>
      <c r="F70" s="47">
        <f>IF(E70="","",IFERROR(INDEX('جدول الكميات'!$D$6:$D$105,MATCH(E70,'جدول الكميات'!$B$6:$B$105,0)),"⚠ كود غير موجود"))</f>
        <v/>
      </c>
      <c r="G70" s="34" t="n"/>
      <c r="H70" s="19" t="n"/>
      <c r="I70" s="42" t="n"/>
      <c r="J70" s="19" t="n"/>
      <c r="K70" s="24" t="n"/>
      <c r="L70" s="48">
        <f>IF(J70="نعم",0,N(I70))</f>
        <v/>
      </c>
      <c r="M70" s="44" t="n"/>
    </row>
    <row r="71">
      <c r="A71" s="33">
        <f>IF(B71="","",COUNTA($B$6:B71))</f>
        <v/>
      </c>
      <c r="B71" s="19" t="n"/>
      <c r="C71" s="23" t="n"/>
      <c r="D71" s="24" t="n"/>
      <c r="E71" s="19" t="n"/>
      <c r="F71" s="47">
        <f>IF(E71="","",IFERROR(INDEX('جدول الكميات'!$D$6:$D$105,MATCH(E71,'جدول الكميات'!$B$6:$B$105,0)),"⚠ كود غير موجود"))</f>
        <v/>
      </c>
      <c r="G71" s="34" t="n"/>
      <c r="H71" s="19" t="n"/>
      <c r="I71" s="42" t="n"/>
      <c r="J71" s="19" t="n"/>
      <c r="K71" s="24" t="n"/>
      <c r="L71" s="48">
        <f>IF(J71="نعم",0,N(I71))</f>
        <v/>
      </c>
      <c r="M71" s="44" t="n"/>
    </row>
    <row r="72">
      <c r="A72" s="33">
        <f>IF(B72="","",COUNTA($B$6:B72))</f>
        <v/>
      </c>
      <c r="B72" s="19" t="n"/>
      <c r="C72" s="23" t="n"/>
      <c r="D72" s="24" t="n"/>
      <c r="E72" s="19" t="n"/>
      <c r="F72" s="47">
        <f>IF(E72="","",IFERROR(INDEX('جدول الكميات'!$D$6:$D$105,MATCH(E72,'جدول الكميات'!$B$6:$B$105,0)),"⚠ كود غير موجود"))</f>
        <v/>
      </c>
      <c r="G72" s="34" t="n"/>
      <c r="H72" s="19" t="n"/>
      <c r="I72" s="42" t="n"/>
      <c r="J72" s="19" t="n"/>
      <c r="K72" s="24" t="n"/>
      <c r="L72" s="48">
        <f>IF(J72="نعم",0,N(I72))</f>
        <v/>
      </c>
      <c r="M72" s="44" t="n"/>
    </row>
    <row r="73">
      <c r="A73" s="33">
        <f>IF(B73="","",COUNTA($B$6:B73))</f>
        <v/>
      </c>
      <c r="B73" s="19" t="n"/>
      <c r="C73" s="23" t="n"/>
      <c r="D73" s="24" t="n"/>
      <c r="E73" s="19" t="n"/>
      <c r="F73" s="47">
        <f>IF(E73="","",IFERROR(INDEX('جدول الكميات'!$D$6:$D$105,MATCH(E73,'جدول الكميات'!$B$6:$B$105,0)),"⚠ كود غير موجود"))</f>
        <v/>
      </c>
      <c r="G73" s="34" t="n"/>
      <c r="H73" s="19" t="n"/>
      <c r="I73" s="42" t="n"/>
      <c r="J73" s="19" t="n"/>
      <c r="K73" s="24" t="n"/>
      <c r="L73" s="48">
        <f>IF(J73="نعم",0,N(I73))</f>
        <v/>
      </c>
      <c r="M73" s="44" t="n"/>
    </row>
    <row r="74">
      <c r="A74" s="33">
        <f>IF(B74="","",COUNTA($B$6:B74))</f>
        <v/>
      </c>
      <c r="B74" s="19" t="n"/>
      <c r="C74" s="23" t="n"/>
      <c r="D74" s="24" t="n"/>
      <c r="E74" s="19" t="n"/>
      <c r="F74" s="47">
        <f>IF(E74="","",IFERROR(INDEX('جدول الكميات'!$D$6:$D$105,MATCH(E74,'جدول الكميات'!$B$6:$B$105,0)),"⚠ كود غير موجود"))</f>
        <v/>
      </c>
      <c r="G74" s="34" t="n"/>
      <c r="H74" s="19" t="n"/>
      <c r="I74" s="42" t="n"/>
      <c r="J74" s="19" t="n"/>
      <c r="K74" s="24" t="n"/>
      <c r="L74" s="48">
        <f>IF(J74="نعم",0,N(I74))</f>
        <v/>
      </c>
      <c r="M74" s="44" t="n"/>
    </row>
    <row r="75">
      <c r="A75" s="33">
        <f>IF(B75="","",COUNTA($B$6:B75))</f>
        <v/>
      </c>
      <c r="B75" s="19" t="n"/>
      <c r="C75" s="23" t="n"/>
      <c r="D75" s="24" t="n"/>
      <c r="E75" s="19" t="n"/>
      <c r="F75" s="47">
        <f>IF(E75="","",IFERROR(INDEX('جدول الكميات'!$D$6:$D$105,MATCH(E75,'جدول الكميات'!$B$6:$B$105,0)),"⚠ كود غير موجود"))</f>
        <v/>
      </c>
      <c r="G75" s="34" t="n"/>
      <c r="H75" s="19" t="n"/>
      <c r="I75" s="42" t="n"/>
      <c r="J75" s="19" t="n"/>
      <c r="K75" s="24" t="n"/>
      <c r="L75" s="48">
        <f>IF(J75="نعم",0,N(I75))</f>
        <v/>
      </c>
      <c r="M75" s="44" t="n"/>
    </row>
    <row r="76">
      <c r="A76" s="33">
        <f>IF(B76="","",COUNTA($B$6:B76))</f>
        <v/>
      </c>
      <c r="B76" s="19" t="n"/>
      <c r="C76" s="23" t="n"/>
      <c r="D76" s="24" t="n"/>
      <c r="E76" s="19" t="n"/>
      <c r="F76" s="47">
        <f>IF(E76="","",IFERROR(INDEX('جدول الكميات'!$D$6:$D$105,MATCH(E76,'جدول الكميات'!$B$6:$B$105,0)),"⚠ كود غير موجود"))</f>
        <v/>
      </c>
      <c r="G76" s="34" t="n"/>
      <c r="H76" s="19" t="n"/>
      <c r="I76" s="42" t="n"/>
      <c r="J76" s="19" t="n"/>
      <c r="K76" s="24" t="n"/>
      <c r="L76" s="48">
        <f>IF(J76="نعم",0,N(I76))</f>
        <v/>
      </c>
      <c r="M76" s="44" t="n"/>
    </row>
    <row r="77">
      <c r="A77" s="33">
        <f>IF(B77="","",COUNTA($B$6:B77))</f>
        <v/>
      </c>
      <c r="B77" s="19" t="n"/>
      <c r="C77" s="23" t="n"/>
      <c r="D77" s="24" t="n"/>
      <c r="E77" s="19" t="n"/>
      <c r="F77" s="47">
        <f>IF(E77="","",IFERROR(INDEX('جدول الكميات'!$D$6:$D$105,MATCH(E77,'جدول الكميات'!$B$6:$B$105,0)),"⚠ كود غير موجود"))</f>
        <v/>
      </c>
      <c r="G77" s="34" t="n"/>
      <c r="H77" s="19" t="n"/>
      <c r="I77" s="42" t="n"/>
      <c r="J77" s="19" t="n"/>
      <c r="K77" s="24" t="n"/>
      <c r="L77" s="48">
        <f>IF(J77="نعم",0,N(I77))</f>
        <v/>
      </c>
      <c r="M77" s="44" t="n"/>
    </row>
    <row r="78">
      <c r="A78" s="33">
        <f>IF(B78="","",COUNTA($B$6:B78))</f>
        <v/>
      </c>
      <c r="B78" s="19" t="n"/>
      <c r="C78" s="23" t="n"/>
      <c r="D78" s="24" t="n"/>
      <c r="E78" s="19" t="n"/>
      <c r="F78" s="47">
        <f>IF(E78="","",IFERROR(INDEX('جدول الكميات'!$D$6:$D$105,MATCH(E78,'جدول الكميات'!$B$6:$B$105,0)),"⚠ كود غير موجود"))</f>
        <v/>
      </c>
      <c r="G78" s="34" t="n"/>
      <c r="H78" s="19" t="n"/>
      <c r="I78" s="42" t="n"/>
      <c r="J78" s="19" t="n"/>
      <c r="K78" s="24" t="n"/>
      <c r="L78" s="48">
        <f>IF(J78="نعم",0,N(I78))</f>
        <v/>
      </c>
      <c r="M78" s="44" t="n"/>
    </row>
    <row r="79">
      <c r="A79" s="33">
        <f>IF(B79="","",COUNTA($B$6:B79))</f>
        <v/>
      </c>
      <c r="B79" s="19" t="n"/>
      <c r="C79" s="23" t="n"/>
      <c r="D79" s="24" t="n"/>
      <c r="E79" s="19" t="n"/>
      <c r="F79" s="47">
        <f>IF(E79="","",IFERROR(INDEX('جدول الكميات'!$D$6:$D$105,MATCH(E79,'جدول الكميات'!$B$6:$B$105,0)),"⚠ كود غير موجود"))</f>
        <v/>
      </c>
      <c r="G79" s="34" t="n"/>
      <c r="H79" s="19" t="n"/>
      <c r="I79" s="42" t="n"/>
      <c r="J79" s="19" t="n"/>
      <c r="K79" s="24" t="n"/>
      <c r="L79" s="48">
        <f>IF(J79="نعم",0,N(I79))</f>
        <v/>
      </c>
      <c r="M79" s="44" t="n"/>
    </row>
    <row r="80">
      <c r="A80" s="33">
        <f>IF(B80="","",COUNTA($B$6:B80))</f>
        <v/>
      </c>
      <c r="B80" s="19" t="n"/>
      <c r="C80" s="23" t="n"/>
      <c r="D80" s="24" t="n"/>
      <c r="E80" s="19" t="n"/>
      <c r="F80" s="47">
        <f>IF(E80="","",IFERROR(INDEX('جدول الكميات'!$D$6:$D$105,MATCH(E80,'جدول الكميات'!$B$6:$B$105,0)),"⚠ كود غير موجود"))</f>
        <v/>
      </c>
      <c r="G80" s="34" t="n"/>
      <c r="H80" s="19" t="n"/>
      <c r="I80" s="42" t="n"/>
      <c r="J80" s="19" t="n"/>
      <c r="K80" s="24" t="n"/>
      <c r="L80" s="48">
        <f>IF(J80="نعم",0,N(I80))</f>
        <v/>
      </c>
      <c r="M80" s="44" t="n"/>
    </row>
    <row r="81">
      <c r="A81" s="33">
        <f>IF(B81="","",COUNTA($B$6:B81))</f>
        <v/>
      </c>
      <c r="B81" s="19" t="n"/>
      <c r="C81" s="23" t="n"/>
      <c r="D81" s="24" t="n"/>
      <c r="E81" s="19" t="n"/>
      <c r="F81" s="47">
        <f>IF(E81="","",IFERROR(INDEX('جدول الكميات'!$D$6:$D$105,MATCH(E81,'جدول الكميات'!$B$6:$B$105,0)),"⚠ كود غير موجود"))</f>
        <v/>
      </c>
      <c r="G81" s="34" t="n"/>
      <c r="H81" s="19" t="n"/>
      <c r="I81" s="42" t="n"/>
      <c r="J81" s="19" t="n"/>
      <c r="K81" s="24" t="n"/>
      <c r="L81" s="48">
        <f>IF(J81="نعم",0,N(I81))</f>
        <v/>
      </c>
      <c r="M81" s="44" t="n"/>
    </row>
    <row r="82">
      <c r="A82" s="33">
        <f>IF(B82="","",COUNTA($B$6:B82))</f>
        <v/>
      </c>
      <c r="B82" s="19" t="n"/>
      <c r="C82" s="23" t="n"/>
      <c r="D82" s="24" t="n"/>
      <c r="E82" s="19" t="n"/>
      <c r="F82" s="47">
        <f>IF(E82="","",IFERROR(INDEX('جدول الكميات'!$D$6:$D$105,MATCH(E82,'جدول الكميات'!$B$6:$B$105,0)),"⚠ كود غير موجود"))</f>
        <v/>
      </c>
      <c r="G82" s="34" t="n"/>
      <c r="H82" s="19" t="n"/>
      <c r="I82" s="42" t="n"/>
      <c r="J82" s="19" t="n"/>
      <c r="K82" s="24" t="n"/>
      <c r="L82" s="48">
        <f>IF(J82="نعم",0,N(I82))</f>
        <v/>
      </c>
      <c r="M82" s="44" t="n"/>
    </row>
    <row r="83">
      <c r="A83" s="33">
        <f>IF(B83="","",COUNTA($B$6:B83))</f>
        <v/>
      </c>
      <c r="B83" s="19" t="n"/>
      <c r="C83" s="23" t="n"/>
      <c r="D83" s="24" t="n"/>
      <c r="E83" s="19" t="n"/>
      <c r="F83" s="47">
        <f>IF(E83="","",IFERROR(INDEX('جدول الكميات'!$D$6:$D$105,MATCH(E83,'جدول الكميات'!$B$6:$B$105,0)),"⚠ كود غير موجود"))</f>
        <v/>
      </c>
      <c r="G83" s="34" t="n"/>
      <c r="H83" s="19" t="n"/>
      <c r="I83" s="42" t="n"/>
      <c r="J83" s="19" t="n"/>
      <c r="K83" s="24" t="n"/>
      <c r="L83" s="48">
        <f>IF(J83="نعم",0,N(I83))</f>
        <v/>
      </c>
      <c r="M83" s="44" t="n"/>
    </row>
    <row r="84">
      <c r="A84" s="33">
        <f>IF(B84="","",COUNTA($B$6:B84))</f>
        <v/>
      </c>
      <c r="B84" s="19" t="n"/>
      <c r="C84" s="23" t="n"/>
      <c r="D84" s="24" t="n"/>
      <c r="E84" s="19" t="n"/>
      <c r="F84" s="47">
        <f>IF(E84="","",IFERROR(INDEX('جدول الكميات'!$D$6:$D$105,MATCH(E84,'جدول الكميات'!$B$6:$B$105,0)),"⚠ كود غير موجود"))</f>
        <v/>
      </c>
      <c r="G84" s="34" t="n"/>
      <c r="H84" s="19" t="n"/>
      <c r="I84" s="42" t="n"/>
      <c r="J84" s="19" t="n"/>
      <c r="K84" s="24" t="n"/>
      <c r="L84" s="48">
        <f>IF(J84="نعم",0,N(I84))</f>
        <v/>
      </c>
      <c r="M84" s="44" t="n"/>
    </row>
    <row r="85">
      <c r="A85" s="33">
        <f>IF(B85="","",COUNTA($B$6:B85))</f>
        <v/>
      </c>
      <c r="B85" s="19" t="n"/>
      <c r="C85" s="23" t="n"/>
      <c r="D85" s="24" t="n"/>
      <c r="E85" s="19" t="n"/>
      <c r="F85" s="47">
        <f>IF(E85="","",IFERROR(INDEX('جدول الكميات'!$D$6:$D$105,MATCH(E85,'جدول الكميات'!$B$6:$B$105,0)),"⚠ كود غير موجود"))</f>
        <v/>
      </c>
      <c r="G85" s="34" t="n"/>
      <c r="H85" s="19" t="n"/>
      <c r="I85" s="42" t="n"/>
      <c r="J85" s="19" t="n"/>
      <c r="K85" s="24" t="n"/>
      <c r="L85" s="48">
        <f>IF(J85="نعم",0,N(I85))</f>
        <v/>
      </c>
      <c r="M85" s="44" t="n"/>
    </row>
    <row r="86">
      <c r="A86" s="33">
        <f>IF(B86="","",COUNTA($B$6:B86))</f>
        <v/>
      </c>
      <c r="B86" s="19" t="n"/>
      <c r="C86" s="23" t="n"/>
      <c r="D86" s="24" t="n"/>
      <c r="E86" s="19" t="n"/>
      <c r="F86" s="47">
        <f>IF(E86="","",IFERROR(INDEX('جدول الكميات'!$D$6:$D$105,MATCH(E86,'جدول الكميات'!$B$6:$B$105,0)),"⚠ كود غير موجود"))</f>
        <v/>
      </c>
      <c r="G86" s="34" t="n"/>
      <c r="H86" s="19" t="n"/>
      <c r="I86" s="42" t="n"/>
      <c r="J86" s="19" t="n"/>
      <c r="K86" s="24" t="n"/>
      <c r="L86" s="48">
        <f>IF(J86="نعم",0,N(I86))</f>
        <v/>
      </c>
      <c r="M86" s="44" t="n"/>
    </row>
    <row r="87">
      <c r="A87" s="33">
        <f>IF(B87="","",COUNTA($B$6:B87))</f>
        <v/>
      </c>
      <c r="B87" s="19" t="n"/>
      <c r="C87" s="23" t="n"/>
      <c r="D87" s="24" t="n"/>
      <c r="E87" s="19" t="n"/>
      <c r="F87" s="47">
        <f>IF(E87="","",IFERROR(INDEX('جدول الكميات'!$D$6:$D$105,MATCH(E87,'جدول الكميات'!$B$6:$B$105,0)),"⚠ كود غير موجود"))</f>
        <v/>
      </c>
      <c r="G87" s="34" t="n"/>
      <c r="H87" s="19" t="n"/>
      <c r="I87" s="42" t="n"/>
      <c r="J87" s="19" t="n"/>
      <c r="K87" s="24" t="n"/>
      <c r="L87" s="48">
        <f>IF(J87="نعم",0,N(I87))</f>
        <v/>
      </c>
      <c r="M87" s="44" t="n"/>
    </row>
    <row r="88">
      <c r="A88" s="33">
        <f>IF(B88="","",COUNTA($B$6:B88))</f>
        <v/>
      </c>
      <c r="B88" s="19" t="n"/>
      <c r="C88" s="23" t="n"/>
      <c r="D88" s="24" t="n"/>
      <c r="E88" s="19" t="n"/>
      <c r="F88" s="47">
        <f>IF(E88="","",IFERROR(INDEX('جدول الكميات'!$D$6:$D$105,MATCH(E88,'جدول الكميات'!$B$6:$B$105,0)),"⚠ كود غير موجود"))</f>
        <v/>
      </c>
      <c r="G88" s="34" t="n"/>
      <c r="H88" s="19" t="n"/>
      <c r="I88" s="42" t="n"/>
      <c r="J88" s="19" t="n"/>
      <c r="K88" s="24" t="n"/>
      <c r="L88" s="48">
        <f>IF(J88="نعم",0,N(I88))</f>
        <v/>
      </c>
      <c r="M88" s="44" t="n"/>
    </row>
    <row r="89">
      <c r="A89" s="33">
        <f>IF(B89="","",COUNTA($B$6:B89))</f>
        <v/>
      </c>
      <c r="B89" s="19" t="n"/>
      <c r="C89" s="23" t="n"/>
      <c r="D89" s="24" t="n"/>
      <c r="E89" s="19" t="n"/>
      <c r="F89" s="47">
        <f>IF(E89="","",IFERROR(INDEX('جدول الكميات'!$D$6:$D$105,MATCH(E89,'جدول الكميات'!$B$6:$B$105,0)),"⚠ كود غير موجود"))</f>
        <v/>
      </c>
      <c r="G89" s="34" t="n"/>
      <c r="H89" s="19" t="n"/>
      <c r="I89" s="42" t="n"/>
      <c r="J89" s="19" t="n"/>
      <c r="K89" s="24" t="n"/>
      <c r="L89" s="48">
        <f>IF(J89="نعم",0,N(I89))</f>
        <v/>
      </c>
      <c r="M89" s="44" t="n"/>
    </row>
    <row r="90">
      <c r="A90" s="33">
        <f>IF(B90="","",COUNTA($B$6:B90))</f>
        <v/>
      </c>
      <c r="B90" s="19" t="n"/>
      <c r="C90" s="23" t="n"/>
      <c r="D90" s="24" t="n"/>
      <c r="E90" s="19" t="n"/>
      <c r="F90" s="47">
        <f>IF(E90="","",IFERROR(INDEX('جدول الكميات'!$D$6:$D$105,MATCH(E90,'جدول الكميات'!$B$6:$B$105,0)),"⚠ كود غير موجود"))</f>
        <v/>
      </c>
      <c r="G90" s="34" t="n"/>
      <c r="H90" s="19" t="n"/>
      <c r="I90" s="42" t="n"/>
      <c r="J90" s="19" t="n"/>
      <c r="K90" s="24" t="n"/>
      <c r="L90" s="48">
        <f>IF(J90="نعم",0,N(I90))</f>
        <v/>
      </c>
      <c r="M90" s="44" t="n"/>
    </row>
    <row r="91">
      <c r="A91" s="33">
        <f>IF(B91="","",COUNTA($B$6:B91))</f>
        <v/>
      </c>
      <c r="B91" s="19" t="n"/>
      <c r="C91" s="23" t="n"/>
      <c r="D91" s="24" t="n"/>
      <c r="E91" s="19" t="n"/>
      <c r="F91" s="47">
        <f>IF(E91="","",IFERROR(INDEX('جدول الكميات'!$D$6:$D$105,MATCH(E91,'جدول الكميات'!$B$6:$B$105,0)),"⚠ كود غير موجود"))</f>
        <v/>
      </c>
      <c r="G91" s="34" t="n"/>
      <c r="H91" s="19" t="n"/>
      <c r="I91" s="42" t="n"/>
      <c r="J91" s="19" t="n"/>
      <c r="K91" s="24" t="n"/>
      <c r="L91" s="48">
        <f>IF(J91="نعم",0,N(I91))</f>
        <v/>
      </c>
      <c r="M91" s="44" t="n"/>
    </row>
    <row r="92">
      <c r="A92" s="33">
        <f>IF(B92="","",COUNTA($B$6:B92))</f>
        <v/>
      </c>
      <c r="B92" s="19" t="n"/>
      <c r="C92" s="23" t="n"/>
      <c r="D92" s="24" t="n"/>
      <c r="E92" s="19" t="n"/>
      <c r="F92" s="47">
        <f>IF(E92="","",IFERROR(INDEX('جدول الكميات'!$D$6:$D$105,MATCH(E92,'جدول الكميات'!$B$6:$B$105,0)),"⚠ كود غير موجود"))</f>
        <v/>
      </c>
      <c r="G92" s="34" t="n"/>
      <c r="H92" s="19" t="n"/>
      <c r="I92" s="42" t="n"/>
      <c r="J92" s="19" t="n"/>
      <c r="K92" s="24" t="n"/>
      <c r="L92" s="48">
        <f>IF(J92="نعم",0,N(I92))</f>
        <v/>
      </c>
      <c r="M92" s="44" t="n"/>
    </row>
    <row r="93">
      <c r="A93" s="33">
        <f>IF(B93="","",COUNTA($B$6:B93))</f>
        <v/>
      </c>
      <c r="B93" s="19" t="n"/>
      <c r="C93" s="23" t="n"/>
      <c r="D93" s="24" t="n"/>
      <c r="E93" s="19" t="n"/>
      <c r="F93" s="47">
        <f>IF(E93="","",IFERROR(INDEX('جدول الكميات'!$D$6:$D$105,MATCH(E93,'جدول الكميات'!$B$6:$B$105,0)),"⚠ كود غير موجود"))</f>
        <v/>
      </c>
      <c r="G93" s="34" t="n"/>
      <c r="H93" s="19" t="n"/>
      <c r="I93" s="42" t="n"/>
      <c r="J93" s="19" t="n"/>
      <c r="K93" s="24" t="n"/>
      <c r="L93" s="48">
        <f>IF(J93="نعم",0,N(I93))</f>
        <v/>
      </c>
      <c r="M93" s="44" t="n"/>
    </row>
    <row r="94">
      <c r="A94" s="33">
        <f>IF(B94="","",COUNTA($B$6:B94))</f>
        <v/>
      </c>
      <c r="B94" s="19" t="n"/>
      <c r="C94" s="23" t="n"/>
      <c r="D94" s="24" t="n"/>
      <c r="E94" s="19" t="n"/>
      <c r="F94" s="47">
        <f>IF(E94="","",IFERROR(INDEX('جدول الكميات'!$D$6:$D$105,MATCH(E94,'جدول الكميات'!$B$6:$B$105,0)),"⚠ كود غير موجود"))</f>
        <v/>
      </c>
      <c r="G94" s="34" t="n"/>
      <c r="H94" s="19" t="n"/>
      <c r="I94" s="42" t="n"/>
      <c r="J94" s="19" t="n"/>
      <c r="K94" s="24" t="n"/>
      <c r="L94" s="48">
        <f>IF(J94="نعم",0,N(I94))</f>
        <v/>
      </c>
      <c r="M94" s="44" t="n"/>
    </row>
    <row r="95">
      <c r="A95" s="33">
        <f>IF(B95="","",COUNTA($B$6:B95))</f>
        <v/>
      </c>
      <c r="B95" s="19" t="n"/>
      <c r="C95" s="23" t="n"/>
      <c r="D95" s="24" t="n"/>
      <c r="E95" s="19" t="n"/>
      <c r="F95" s="47">
        <f>IF(E95="","",IFERROR(INDEX('جدول الكميات'!$D$6:$D$105,MATCH(E95,'جدول الكميات'!$B$6:$B$105,0)),"⚠ كود غير موجود"))</f>
        <v/>
      </c>
      <c r="G95" s="34" t="n"/>
      <c r="H95" s="19" t="n"/>
      <c r="I95" s="42" t="n"/>
      <c r="J95" s="19" t="n"/>
      <c r="K95" s="24" t="n"/>
      <c r="L95" s="48">
        <f>IF(J95="نعم",0,N(I95))</f>
        <v/>
      </c>
      <c r="M95" s="44" t="n"/>
    </row>
    <row r="96">
      <c r="A96" s="33">
        <f>IF(B96="","",COUNTA($B$6:B96))</f>
        <v/>
      </c>
      <c r="B96" s="19" t="n"/>
      <c r="C96" s="23" t="n"/>
      <c r="D96" s="24" t="n"/>
      <c r="E96" s="19" t="n"/>
      <c r="F96" s="47">
        <f>IF(E96="","",IFERROR(INDEX('جدول الكميات'!$D$6:$D$105,MATCH(E96,'جدول الكميات'!$B$6:$B$105,0)),"⚠ كود غير موجود"))</f>
        <v/>
      </c>
      <c r="G96" s="34" t="n"/>
      <c r="H96" s="19" t="n"/>
      <c r="I96" s="42" t="n"/>
      <c r="J96" s="19" t="n"/>
      <c r="K96" s="24" t="n"/>
      <c r="L96" s="48">
        <f>IF(J96="نعم",0,N(I96))</f>
        <v/>
      </c>
      <c r="M96" s="44" t="n"/>
    </row>
    <row r="97">
      <c r="A97" s="33">
        <f>IF(B97="","",COUNTA($B$6:B97))</f>
        <v/>
      </c>
      <c r="B97" s="19" t="n"/>
      <c r="C97" s="23" t="n"/>
      <c r="D97" s="24" t="n"/>
      <c r="E97" s="19" t="n"/>
      <c r="F97" s="47">
        <f>IF(E97="","",IFERROR(INDEX('جدول الكميات'!$D$6:$D$105,MATCH(E97,'جدول الكميات'!$B$6:$B$105,0)),"⚠ كود غير موجود"))</f>
        <v/>
      </c>
      <c r="G97" s="34" t="n"/>
      <c r="H97" s="19" t="n"/>
      <c r="I97" s="42" t="n"/>
      <c r="J97" s="19" t="n"/>
      <c r="K97" s="24" t="n"/>
      <c r="L97" s="48">
        <f>IF(J97="نعم",0,N(I97))</f>
        <v/>
      </c>
      <c r="M97" s="44" t="n"/>
    </row>
    <row r="98">
      <c r="A98" s="33">
        <f>IF(B98="","",COUNTA($B$6:B98))</f>
        <v/>
      </c>
      <c r="B98" s="19" t="n"/>
      <c r="C98" s="23" t="n"/>
      <c r="D98" s="24" t="n"/>
      <c r="E98" s="19" t="n"/>
      <c r="F98" s="47">
        <f>IF(E98="","",IFERROR(INDEX('جدول الكميات'!$D$6:$D$105,MATCH(E98,'جدول الكميات'!$B$6:$B$105,0)),"⚠ كود غير موجود"))</f>
        <v/>
      </c>
      <c r="G98" s="34" t="n"/>
      <c r="H98" s="19" t="n"/>
      <c r="I98" s="42" t="n"/>
      <c r="J98" s="19" t="n"/>
      <c r="K98" s="24" t="n"/>
      <c r="L98" s="48">
        <f>IF(J98="نعم",0,N(I98))</f>
        <v/>
      </c>
      <c r="M98" s="44" t="n"/>
    </row>
    <row r="99">
      <c r="A99" s="33">
        <f>IF(B99="","",COUNTA($B$6:B99))</f>
        <v/>
      </c>
      <c r="B99" s="19" t="n"/>
      <c r="C99" s="23" t="n"/>
      <c r="D99" s="24" t="n"/>
      <c r="E99" s="19" t="n"/>
      <c r="F99" s="47">
        <f>IF(E99="","",IFERROR(INDEX('جدول الكميات'!$D$6:$D$105,MATCH(E99,'جدول الكميات'!$B$6:$B$105,0)),"⚠ كود غير موجود"))</f>
        <v/>
      </c>
      <c r="G99" s="34" t="n"/>
      <c r="H99" s="19" t="n"/>
      <c r="I99" s="42" t="n"/>
      <c r="J99" s="19" t="n"/>
      <c r="K99" s="24" t="n"/>
      <c r="L99" s="48">
        <f>IF(J99="نعم",0,N(I99))</f>
        <v/>
      </c>
      <c r="M99" s="44" t="n"/>
    </row>
    <row r="100">
      <c r="A100" s="33">
        <f>IF(B100="","",COUNTA($B$6:B100))</f>
        <v/>
      </c>
      <c r="B100" s="19" t="n"/>
      <c r="C100" s="23" t="n"/>
      <c r="D100" s="24" t="n"/>
      <c r="E100" s="19" t="n"/>
      <c r="F100" s="47">
        <f>IF(E100="","",IFERROR(INDEX('جدول الكميات'!$D$6:$D$105,MATCH(E100,'جدول الكميات'!$B$6:$B$105,0)),"⚠ كود غير موجود"))</f>
        <v/>
      </c>
      <c r="G100" s="34" t="n"/>
      <c r="H100" s="19" t="n"/>
      <c r="I100" s="42" t="n"/>
      <c r="J100" s="19" t="n"/>
      <c r="K100" s="24" t="n"/>
      <c r="L100" s="48">
        <f>IF(J100="نعم",0,N(I100))</f>
        <v/>
      </c>
      <c r="M100" s="44" t="n"/>
    </row>
    <row r="101">
      <c r="A101" s="33">
        <f>IF(B101="","",COUNTA($B$6:B101))</f>
        <v/>
      </c>
      <c r="B101" s="19" t="n"/>
      <c r="C101" s="23" t="n"/>
      <c r="D101" s="24" t="n"/>
      <c r="E101" s="19" t="n"/>
      <c r="F101" s="47">
        <f>IF(E101="","",IFERROR(INDEX('جدول الكميات'!$D$6:$D$105,MATCH(E101,'جدول الكميات'!$B$6:$B$105,0)),"⚠ كود غير موجود"))</f>
        <v/>
      </c>
      <c r="G101" s="34" t="n"/>
      <c r="H101" s="19" t="n"/>
      <c r="I101" s="42" t="n"/>
      <c r="J101" s="19" t="n"/>
      <c r="K101" s="24" t="n"/>
      <c r="L101" s="48">
        <f>IF(J101="نعم",0,N(I101))</f>
        <v/>
      </c>
      <c r="M101" s="44" t="n"/>
    </row>
    <row r="102">
      <c r="A102" s="33">
        <f>IF(B102="","",COUNTA($B$6:B102))</f>
        <v/>
      </c>
      <c r="B102" s="19" t="n"/>
      <c r="C102" s="23" t="n"/>
      <c r="D102" s="24" t="n"/>
      <c r="E102" s="19" t="n"/>
      <c r="F102" s="47">
        <f>IF(E102="","",IFERROR(INDEX('جدول الكميات'!$D$6:$D$105,MATCH(E102,'جدول الكميات'!$B$6:$B$105,0)),"⚠ كود غير موجود"))</f>
        <v/>
      </c>
      <c r="G102" s="34" t="n"/>
      <c r="H102" s="19" t="n"/>
      <c r="I102" s="42" t="n"/>
      <c r="J102" s="19" t="n"/>
      <c r="K102" s="24" t="n"/>
      <c r="L102" s="48">
        <f>IF(J102="نعم",0,N(I102))</f>
        <v/>
      </c>
      <c r="M102" s="44" t="n"/>
    </row>
    <row r="103">
      <c r="A103" s="33">
        <f>IF(B103="","",COUNTA($B$6:B103))</f>
        <v/>
      </c>
      <c r="B103" s="19" t="n"/>
      <c r="C103" s="23" t="n"/>
      <c r="D103" s="24" t="n"/>
      <c r="E103" s="19" t="n"/>
      <c r="F103" s="47">
        <f>IF(E103="","",IFERROR(INDEX('جدول الكميات'!$D$6:$D$105,MATCH(E103,'جدول الكميات'!$B$6:$B$105,0)),"⚠ كود غير موجود"))</f>
        <v/>
      </c>
      <c r="G103" s="34" t="n"/>
      <c r="H103" s="19" t="n"/>
      <c r="I103" s="42" t="n"/>
      <c r="J103" s="19" t="n"/>
      <c r="K103" s="24" t="n"/>
      <c r="L103" s="48">
        <f>IF(J103="نعم",0,N(I103))</f>
        <v/>
      </c>
      <c r="M103" s="44" t="n"/>
    </row>
    <row r="104">
      <c r="A104" s="33">
        <f>IF(B104="","",COUNTA($B$6:B104))</f>
        <v/>
      </c>
      <c r="B104" s="19" t="n"/>
      <c r="C104" s="23" t="n"/>
      <c r="D104" s="24" t="n"/>
      <c r="E104" s="19" t="n"/>
      <c r="F104" s="47">
        <f>IF(E104="","",IFERROR(INDEX('جدول الكميات'!$D$6:$D$105,MATCH(E104,'جدول الكميات'!$B$6:$B$105,0)),"⚠ كود غير موجود"))</f>
        <v/>
      </c>
      <c r="G104" s="34" t="n"/>
      <c r="H104" s="19" t="n"/>
      <c r="I104" s="42" t="n"/>
      <c r="J104" s="19" t="n"/>
      <c r="K104" s="24" t="n"/>
      <c r="L104" s="48">
        <f>IF(J104="نعم",0,N(I104))</f>
        <v/>
      </c>
      <c r="M104" s="44" t="n"/>
    </row>
    <row r="105">
      <c r="A105" s="33">
        <f>IF(B105="","",COUNTA($B$6:B105))</f>
        <v/>
      </c>
      <c r="B105" s="19" t="n"/>
      <c r="C105" s="23" t="n"/>
      <c r="D105" s="24" t="n"/>
      <c r="E105" s="19" t="n"/>
      <c r="F105" s="47">
        <f>IF(E105="","",IFERROR(INDEX('جدول الكميات'!$D$6:$D$105,MATCH(E105,'جدول الكميات'!$B$6:$B$105,0)),"⚠ كود غير موجود"))</f>
        <v/>
      </c>
      <c r="G105" s="34" t="n"/>
      <c r="H105" s="19" t="n"/>
      <c r="I105" s="42" t="n"/>
      <c r="J105" s="19" t="n"/>
      <c r="K105" s="24" t="n"/>
      <c r="L105" s="48">
        <f>IF(J105="نعم",0,N(I105))</f>
        <v/>
      </c>
      <c r="M105" s="44" t="n"/>
    </row>
    <row r="106">
      <c r="A106" s="38" t="inlineStr">
        <is>
          <t>الإجمالي</t>
        </is>
      </c>
      <c r="B106" s="38" t="n"/>
      <c r="C106" s="38" t="n"/>
      <c r="D106" s="38" t="n"/>
      <c r="E106" s="38" t="n"/>
      <c r="F106" s="38" t="n"/>
      <c r="G106" s="38" t="n"/>
      <c r="H106" s="38" t="n"/>
      <c r="I106" s="45">
        <f>SUM(I6:I105)</f>
        <v/>
      </c>
      <c r="J106" s="49">
        <f>I106-L106</f>
        <v/>
      </c>
      <c r="K106" s="49" t="n"/>
      <c r="L106" s="45">
        <f>SUM(L6:L105)</f>
        <v/>
      </c>
    </row>
  </sheetData>
  <autoFilter ref="A5:M105"/>
  <mergeCells count="5">
    <mergeCell ref="A106:H106"/>
    <mergeCell ref="A1:M1"/>
    <mergeCell ref="J106:K106"/>
    <mergeCell ref="A4:M4"/>
    <mergeCell ref="A2:M2"/>
  </mergeCells>
  <conditionalFormatting sqref="A6:M105">
    <cfRule type="expression" priority="1" dxfId="2">
      <formula>$J6="نعم"</formula>
    </cfRule>
    <cfRule type="expression" priority="2" dxfId="5">
      <formula>AND($J6&lt;&gt;"نعم",N($I6)&gt;0)</formula>
    </cfRule>
  </conditionalFormatting>
  <dataValidations count="6">
    <dataValidation sqref="E6:E105" showDropDown="0" showInputMessage="0" showErrorMessage="1" allowBlank="1" errorTitle="قيمة غير مسموحة" error="من فضلك اختر قيمة من القائمة المنسدلة." type="list">
      <formula1>='جدول الكميات'!$B$6:$B$105</formula1>
    </dataValidation>
    <dataValidation sqref="H6:H105" showDropDown="0" showInputMessage="0" showErrorMessage="1" allowBlank="1" errorTitle="قيمة غير مسموحة" error="من فضلك اختر قيمة من القائمة المنسدلة." type="list">
      <formula1>=L_TDType</formula1>
    </dataValidation>
    <dataValidation sqref="J6:J105" showDropDown="0" showInputMessage="0" showErrorMessage="1" allowBlank="1" errorTitle="قيمة غير مسموحة" error="من فضلك اختر قيمة من القائمة المنسدلة." type="list">
      <formula1>"نعم,لا"</formula1>
    </dataValidation>
    <dataValidation sqref="D6:D105 K6:K105" showDropDown="0" showInputMessage="1" showErrorMessage="1" allowBlank="1" errorTitle="قيمة غير صحيحة" error="أدخل رقماً صحيحاً ضمن الحدود المسموحة." promptTitle="إرشاد" prompt="رقم المستخلص من 1 إلى 20" type="whole" operator="between">
      <formula1>1</formula1>
      <formula2>20</formula2>
    </dataValidation>
    <dataValidation sqref="I6:I105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C6:C10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</dataValidations>
  <hyperlinks>
    <hyperlink ref="A3" location="'سجل المستخلصات'!A1" display="🗂 سجل المستخلصات"/>
    <hyperlink ref="B3" location="'بيانات العقد'!A1" display="⚙ بيانات العقد"/>
    <hyperlink ref="C3" location="'جدول الكميات'!A1" display="📋 جدول الكميات"/>
    <hyperlink ref="D3" location="'الأوامر التغييرية'!A1" display="🔁 التغييرية"/>
    <hyperlink ref="F3" location="'مستخلص 01'!A1" display="🧾 مستخلص 01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1F3A5F"/>
    <outlinePr summaryBelow="1" summaryRight="1"/>
    <pageSetUpPr fitToPage="1"/>
  </sheetPr>
  <dimension ref="A1:AJ43"/>
  <sheetViews>
    <sheetView showGridLines="0" rightToLeft="1" zoomScale="85" workbookViewId="0">
      <pane xSplit="6" ySplit="5" topLeftCell="G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1.5" customWidth="1" min="2" max="2"/>
    <col width="11.5" customWidth="1" min="3" max="3"/>
    <col width="11.5" customWidth="1" min="4" max="4"/>
    <col width="11.5" customWidth="1" min="5" max="5"/>
    <col width="13" customWidth="1" min="6" max="6"/>
    <col width="16" customWidth="1" min="7" max="7"/>
    <col width="15" customWidth="1" min="8" max="8"/>
    <col width="15" customWidth="1" min="9" max="9"/>
    <col width="15" customWidth="1" min="10" max="10"/>
    <col width="16" customWidth="1" min="11" max="11"/>
    <col width="10" customWidth="1" min="12" max="12"/>
    <col width="10" customWidth="1" min="13" max="13"/>
    <col width="10" customWidth="1" min="14" max="14"/>
    <col width="15" customWidth="1" min="15" max="15"/>
    <col width="15" customWidth="1" min="16" max="16"/>
    <col width="14" customWidth="1" min="17" max="17"/>
    <col width="15" customWidth="1" min="18" max="18"/>
    <col width="14" customWidth="1" min="19" max="19"/>
    <col width="14" customWidth="1" min="20" max="20"/>
    <col width="16" customWidth="1" min="21" max="21"/>
    <col width="14" customWidth="1" min="22" max="22"/>
    <col width="13" customWidth="1" min="23" max="23"/>
    <col width="16" customWidth="1" min="24" max="24"/>
    <col width="16" customWidth="1" min="25" max="25"/>
    <col width="16" customWidth="1" min="26" max="26"/>
    <col width="15" customWidth="1" min="27" max="27"/>
    <col width="11.5" customWidth="1" min="28" max="28"/>
    <col width="15" customWidth="1" min="29" max="29"/>
    <col width="10" customWidth="1" min="30" max="30"/>
    <col width="15" customWidth="1" min="31" max="31"/>
    <col width="17" customWidth="1" min="32" max="32"/>
    <col width="20" customWidth="1" min="33" max="33"/>
    <col width="13" customWidth="1" min="35" max="35"/>
    <col width="8" customWidth="1" min="36" max="36"/>
  </cols>
  <sheetData>
    <row r="1" ht="38" customHeight="1">
      <c r="A1" s="1" t="inlineStr">
        <is>
          <t>🗂 سجل المستخلصات — مشروع رقم 50 (يُحدَّث آلياً من شيتات المستخلصات ويغذي ملف التقارير)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</row>
    <row r="2" ht="20" customHeight="1">
      <c r="A2" s="2">
        <f>IF('بيانات العقد'!$C$5="","مشروع رقم 50 — أدخل بيانات العقد",'بيانات العقد'!$C$5&amp;"   |   عقد رقم: "&amp;'بيانات العقد'!$C$6)&amp;"   |   المبالغ بـ "&amp;'بيانات العقد'!$C$14</f>
        <v/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</row>
    <row r="3" ht="26" customHeight="1">
      <c r="B3" s="16" t="inlineStr">
        <is>
          <t>⚙ بيانات العقد</t>
        </is>
      </c>
      <c r="D3" s="16" t="inlineStr">
        <is>
          <t>📋 جدول الكميات</t>
        </is>
      </c>
      <c r="F3" s="16" t="inlineStr">
        <is>
          <t>🔁 التغييرية</t>
        </is>
      </c>
      <c r="H3" s="16" t="inlineStr">
        <is>
          <t>✂ الاستقطاعات</t>
        </is>
      </c>
      <c r="J3" s="4" t="inlineStr">
        <is>
          <t>🧾 مستخلص 01</t>
        </is>
      </c>
      <c r="AI3" s="50" t="inlineStr">
        <is>
          <t>آخر مستخلص:</t>
        </is>
      </c>
      <c r="AJ3" s="51">
        <f>SUMPRODUCT(MAX((C6:C25&lt;&gt;"")*A6:A25))</f>
        <v/>
      </c>
    </row>
    <row r="4">
      <c r="A4" s="52" t="inlineStr">
        <is>
          <t>بيانات المستخلص</t>
        </is>
      </c>
      <c r="B4" s="52" t="n"/>
      <c r="C4" s="52" t="n"/>
      <c r="D4" s="52" t="n"/>
      <c r="E4" s="52" t="n"/>
      <c r="F4" s="52" t="n"/>
      <c r="G4" s="11" t="inlineStr">
        <is>
          <t>قيمة الأعمال ونسب الإنجاز</t>
        </is>
      </c>
      <c r="H4" s="11" t="n"/>
      <c r="I4" s="11" t="n"/>
      <c r="J4" s="11" t="n"/>
      <c r="K4" s="11" t="n"/>
      <c r="L4" s="11" t="n"/>
      <c r="M4" s="11" t="n"/>
      <c r="N4" s="11" t="n"/>
      <c r="O4" s="53" t="inlineStr">
        <is>
          <t>الاستقطاعات (تراكمي)</t>
        </is>
      </c>
      <c r="P4" s="53" t="n"/>
      <c r="Q4" s="53" t="n"/>
      <c r="R4" s="53" t="n"/>
      <c r="S4" s="53" t="n"/>
      <c r="T4" s="53" t="n"/>
      <c r="U4" s="54" t="inlineStr">
        <is>
          <t>صافي المستحق والضرائب</t>
        </is>
      </c>
      <c r="V4" s="54" t="n"/>
      <c r="W4" s="54" t="n"/>
      <c r="X4" s="54" t="n"/>
      <c r="Y4" s="54" t="n"/>
      <c r="Z4" s="54" t="n"/>
      <c r="AA4" s="55" t="inlineStr">
        <is>
          <t>التحصيل</t>
        </is>
      </c>
      <c r="AB4" s="55" t="n"/>
      <c r="AC4" s="55" t="n"/>
      <c r="AD4" s="55" t="n"/>
      <c r="AE4" s="55" t="n"/>
      <c r="AF4" s="56" t="inlineStr">
        <is>
          <t>الفوترة والمستندات</t>
        </is>
      </c>
      <c r="AG4" s="56" t="n"/>
    </row>
    <row r="5" ht="58" customHeight="1">
      <c r="A5" s="17" t="inlineStr">
        <is>
          <t>رقم المستخلص</t>
        </is>
      </c>
      <c r="B5" s="17" t="inlineStr">
        <is>
          <t>الفترة من</t>
        </is>
      </c>
      <c r="C5" s="17" t="inlineStr">
        <is>
          <t>الفترة إلى</t>
        </is>
      </c>
      <c r="D5" s="17" t="inlineStr">
        <is>
          <t>تاريخ التقديم</t>
        </is>
      </c>
      <c r="E5" s="17" t="inlineStr">
        <is>
          <t>تاريخ الاعتماد</t>
        </is>
      </c>
      <c r="F5" s="17" t="inlineStr">
        <is>
          <t>حالة المستخلص</t>
        </is>
      </c>
      <c r="G5" s="17" t="inlineStr">
        <is>
          <t>قيمة الأعمال المنفذة التراكمية</t>
        </is>
      </c>
      <c r="H5" s="17" t="inlineStr">
        <is>
          <t>أعمال الفترة</t>
        </is>
      </c>
      <c r="I5" s="17" t="inlineStr">
        <is>
          <t>الأوامر التغييرية التراكمية</t>
        </is>
      </c>
      <c r="J5" s="17" t="inlineStr">
        <is>
          <t>رصيد المواد بالموقع</t>
        </is>
      </c>
      <c r="K5" s="17" t="inlineStr">
        <is>
          <t>إجمالي القيمة التراكمية</t>
        </is>
      </c>
      <c r="L5" s="17" t="inlineStr">
        <is>
          <t>نسبة الإنجاز الفعلية</t>
        </is>
      </c>
      <c r="M5" s="17" t="inlineStr">
        <is>
          <t>نسبة الإنجاز المخططة</t>
        </is>
      </c>
      <c r="N5" s="17" t="inlineStr">
        <is>
          <t>الانحراف عن المخطط</t>
        </is>
      </c>
      <c r="O5" s="17" t="inlineStr">
        <is>
          <t>استرداد الدفعة المقدمة التراكمي</t>
        </is>
      </c>
      <c r="P5" s="17" t="inlineStr">
        <is>
          <t>ضمان الأعمال المحتسب</t>
        </is>
      </c>
      <c r="Q5" s="17" t="inlineStr">
        <is>
          <t>المفرج عنه من الضمان</t>
        </is>
      </c>
      <c r="R5" s="17" t="inlineStr">
        <is>
          <t>صافي الضمان المحتجز</t>
        </is>
      </c>
      <c r="S5" s="17" t="inlineStr">
        <is>
          <t>الاستقطاعات الفنية المحتجزة</t>
        </is>
      </c>
      <c r="T5" s="17" t="inlineStr">
        <is>
          <t>الغرامات والخصومات التراكمية</t>
        </is>
      </c>
      <c r="U5" s="17" t="inlineStr">
        <is>
          <t>الصافي التراكمي قبل الضرائب</t>
        </is>
      </c>
      <c r="V5" s="17" t="inlineStr">
        <is>
          <t>ضريبة القيمة المضافة</t>
        </is>
      </c>
      <c r="W5" s="17" t="inlineStr">
        <is>
          <t>ضريبة الاستقطاع (غير المقيم)</t>
        </is>
      </c>
      <c r="X5" s="17" t="inlineStr">
        <is>
          <t>صافي المستحق التراكمي</t>
        </is>
      </c>
      <c r="Y5" s="17" t="inlineStr">
        <is>
          <t>المعتمد في المستخلصات السابقة</t>
        </is>
      </c>
      <c r="Z5" s="17" t="inlineStr">
        <is>
          <t>صافي المستحق للمستخلص الحالي</t>
        </is>
      </c>
      <c r="AA5" s="17" t="inlineStr">
        <is>
          <t>المبلغ المحصل</t>
        </is>
      </c>
      <c r="AB5" s="17" t="inlineStr">
        <is>
          <t>تاريخ التحصيل</t>
        </is>
      </c>
      <c r="AC5" s="17" t="inlineStr">
        <is>
          <t>المتبقي غير المحصل</t>
        </is>
      </c>
      <c r="AD5" s="17" t="inlineStr">
        <is>
          <t>مدة التحصيل (يوم)</t>
        </is>
      </c>
      <c r="AE5" s="17" t="inlineStr">
        <is>
          <t>حالة التحصيل</t>
        </is>
      </c>
      <c r="AF5" s="17" t="inlineStr">
        <is>
          <t>رقم الفاتورة الضريبية</t>
        </is>
      </c>
      <c r="AG5" s="17" t="inlineStr">
        <is>
          <t>حالة المستندات النظامية</t>
        </is>
      </c>
    </row>
    <row r="6">
      <c r="A6" s="57" t="n">
        <v>1</v>
      </c>
      <c r="B6" s="58">
        <f>IF(OR('مستخلص 01'!$J$7="",'مستخلص 01'!$J$6=""),"",'مستخلص 01'!$J$6)</f>
        <v/>
      </c>
      <c r="C6" s="58">
        <f>IF('مستخلص 01'!$J$7="","",'مستخلص 01'!$J$7)</f>
        <v/>
      </c>
      <c r="D6" s="58">
        <f>IF(OR('مستخلص 01'!$J$7="",'مستخلص 01'!$J$8=""),"",'مستخلص 01'!$J$8)</f>
        <v/>
      </c>
      <c r="E6" s="58">
        <f>IF(OR('مستخلص 01'!$J$7="",'مستخلص 01'!$J$9=""),"",'مستخلص 01'!$J$9)</f>
        <v/>
      </c>
      <c r="F6" s="59">
        <f>IF(OR('مستخلص 01'!$J$7="",'مستخلص 01'!$J$5=""),"",'مستخلص 01'!$J$5)</f>
        <v/>
      </c>
      <c r="G6" s="43">
        <f>IF('مستخلص 01'!$J$7="","",'مستخلص 01'!$L$19)</f>
        <v/>
      </c>
      <c r="H6" s="43">
        <f>IF('مستخلص 01'!$J$7="","",'مستخلص 01'!$J$19)</f>
        <v/>
      </c>
      <c r="I6" s="43">
        <f>IF('مستخلص 01'!$J$7="","",'مستخلص 01'!$L$20)</f>
        <v/>
      </c>
      <c r="J6" s="43">
        <f>IF('مستخلص 01'!$J$7="","",'مستخلص 01'!$L$21)</f>
        <v/>
      </c>
      <c r="K6" s="43">
        <f>IF('مستخلص 01'!$J$7="","",'مستخلص 01'!$L$22)</f>
        <v/>
      </c>
      <c r="L6" s="60">
        <f>IF('مستخلص 01'!$J$7="","",'مستخلص 01'!$L$6)</f>
        <v/>
      </c>
      <c r="M6" s="60">
        <f>IF(OR('مستخلص 01'!$J$7="",'مستخلص 01'!$L$8=""),"",'مستخلص 01'!$L$8)</f>
        <v/>
      </c>
      <c r="N6" s="60">
        <f>IF(OR('مستخلص 01'!$J$7="",M6=""),"",L6-M6)</f>
        <v/>
      </c>
      <c r="O6" s="43">
        <f>IF('مستخلص 01'!$J$7="","",-'مستخلص 01'!$L$23)</f>
        <v/>
      </c>
      <c r="P6" s="43">
        <f>IF('مستخلص 01'!$J$7="","",-'مستخلص 01'!$L$24)</f>
        <v/>
      </c>
      <c r="Q6" s="43">
        <f>IF('مستخلص 01'!$J$7="","",'مستخلص 01'!$L$25)</f>
        <v/>
      </c>
      <c r="R6" s="43">
        <f>IF('مستخلص 01'!$J$7="","",P6-Q6)</f>
        <v/>
      </c>
      <c r="S6" s="43">
        <f>IF('مستخلص 01'!$J$7="","",-'مستخلص 01'!$L$26)</f>
        <v/>
      </c>
      <c r="T6" s="43">
        <f>IF('مستخلص 01'!$J$7="","",-'مستخلص 01'!$L$27)</f>
        <v/>
      </c>
      <c r="U6" s="43">
        <f>IF('مستخلص 01'!$J$7="","",'مستخلص 01'!$L$28)</f>
        <v/>
      </c>
      <c r="V6" s="43">
        <f>IF('مستخلص 01'!$J$7="","",'مستخلص 01'!$L$29)</f>
        <v/>
      </c>
      <c r="W6" s="43">
        <f>IF('مستخلص 01'!$J$7="","",-'مستخلص 01'!$L$30)</f>
        <v/>
      </c>
      <c r="X6" s="61">
        <f>IF('مستخلص 01'!$J$7="","",'مستخلص 01'!$L$31)</f>
        <v/>
      </c>
      <c r="Y6" s="43">
        <f>IF('مستخلص 01'!$J$7="","",'مستخلص 01'!$H$31)</f>
        <v/>
      </c>
      <c r="Z6" s="61">
        <f>IF('مستخلص 01'!$J$7="","",'مستخلص 01'!$J$31)</f>
        <v/>
      </c>
      <c r="AA6" s="43">
        <f>IF('مستخلص 01'!$J$7="","",N('مستخلص 01'!$E$15))</f>
        <v/>
      </c>
      <c r="AB6" s="58">
        <f>IF(OR('مستخلص 01'!$J$7="",'مستخلص 01'!$K$15=""),"",'مستخلص 01'!$K$15)</f>
        <v/>
      </c>
      <c r="AC6" s="43">
        <f>IF('مستخلص 01'!$J$7="","",Z6-AA6)</f>
        <v/>
      </c>
      <c r="AD6" s="62">
        <f>IF(OR(AB6="",E6=""),"",AB6-E6)</f>
        <v/>
      </c>
      <c r="AE6" s="59">
        <f>IF('مستخلص 01'!$J$7="","",IF(N(AA6)=0,IF(E6="","⏳ بانتظار الاعتماد","✖ غير محصل"),IF(AC6&lt;=1,"✔ محصل بالكامل","⚠ محصل جزئياً")))</f>
        <v/>
      </c>
      <c r="AF6" s="63">
        <f>IF(OR('مستخلص 01'!$J$7="",'مستخلص 01'!$E$16=""),"",'مستخلص 01'!$E$16)</f>
        <v/>
      </c>
      <c r="AG6" s="59">
        <f>IF('مستخلص 01'!$J$7="","",'مستخلص 01'!$E$43)</f>
        <v/>
      </c>
    </row>
    <row r="7">
      <c r="A7" s="57" t="n">
        <v>2</v>
      </c>
      <c r="B7" s="58">
        <f>IF(OR('مستخلص 02'!$J$7="",'مستخلص 02'!$J$6=""),"",'مستخلص 02'!$J$6)</f>
        <v/>
      </c>
      <c r="C7" s="58">
        <f>IF('مستخلص 02'!$J$7="","",'مستخلص 02'!$J$7)</f>
        <v/>
      </c>
      <c r="D7" s="58">
        <f>IF(OR('مستخلص 02'!$J$7="",'مستخلص 02'!$J$8=""),"",'مستخلص 02'!$J$8)</f>
        <v/>
      </c>
      <c r="E7" s="58">
        <f>IF(OR('مستخلص 02'!$J$7="",'مستخلص 02'!$J$9=""),"",'مستخلص 02'!$J$9)</f>
        <v/>
      </c>
      <c r="F7" s="59">
        <f>IF(OR('مستخلص 02'!$J$7="",'مستخلص 02'!$J$5=""),"",'مستخلص 02'!$J$5)</f>
        <v/>
      </c>
      <c r="G7" s="43">
        <f>IF('مستخلص 02'!$J$7="","",'مستخلص 02'!$L$19)</f>
        <v/>
      </c>
      <c r="H7" s="43">
        <f>IF('مستخلص 02'!$J$7="","",'مستخلص 02'!$J$19)</f>
        <v/>
      </c>
      <c r="I7" s="43">
        <f>IF('مستخلص 02'!$J$7="","",'مستخلص 02'!$L$20)</f>
        <v/>
      </c>
      <c r="J7" s="43">
        <f>IF('مستخلص 02'!$J$7="","",'مستخلص 02'!$L$21)</f>
        <v/>
      </c>
      <c r="K7" s="43">
        <f>IF('مستخلص 02'!$J$7="","",'مستخلص 02'!$L$22)</f>
        <v/>
      </c>
      <c r="L7" s="60">
        <f>IF('مستخلص 02'!$J$7="","",'مستخلص 02'!$L$6)</f>
        <v/>
      </c>
      <c r="M7" s="60">
        <f>IF(OR('مستخلص 02'!$J$7="",'مستخلص 02'!$L$8=""),"",'مستخلص 02'!$L$8)</f>
        <v/>
      </c>
      <c r="N7" s="60">
        <f>IF(OR('مستخلص 02'!$J$7="",M7=""),"",L7-M7)</f>
        <v/>
      </c>
      <c r="O7" s="43">
        <f>IF('مستخلص 02'!$J$7="","",-'مستخلص 02'!$L$23)</f>
        <v/>
      </c>
      <c r="P7" s="43">
        <f>IF('مستخلص 02'!$J$7="","",-'مستخلص 02'!$L$24)</f>
        <v/>
      </c>
      <c r="Q7" s="43">
        <f>IF('مستخلص 02'!$J$7="","",'مستخلص 02'!$L$25)</f>
        <v/>
      </c>
      <c r="R7" s="43">
        <f>IF('مستخلص 02'!$J$7="","",P7-Q7)</f>
        <v/>
      </c>
      <c r="S7" s="43">
        <f>IF('مستخلص 02'!$J$7="","",-'مستخلص 02'!$L$26)</f>
        <v/>
      </c>
      <c r="T7" s="43">
        <f>IF('مستخلص 02'!$J$7="","",-'مستخلص 02'!$L$27)</f>
        <v/>
      </c>
      <c r="U7" s="43">
        <f>IF('مستخلص 02'!$J$7="","",'مستخلص 02'!$L$28)</f>
        <v/>
      </c>
      <c r="V7" s="43">
        <f>IF('مستخلص 02'!$J$7="","",'مستخلص 02'!$L$29)</f>
        <v/>
      </c>
      <c r="W7" s="43">
        <f>IF('مستخلص 02'!$J$7="","",-'مستخلص 02'!$L$30)</f>
        <v/>
      </c>
      <c r="X7" s="61">
        <f>IF('مستخلص 02'!$J$7="","",'مستخلص 02'!$L$31)</f>
        <v/>
      </c>
      <c r="Y7" s="43">
        <f>IF('مستخلص 02'!$J$7="","",'مستخلص 02'!$H$31)</f>
        <v/>
      </c>
      <c r="Z7" s="61">
        <f>IF('مستخلص 02'!$J$7="","",'مستخلص 02'!$J$31)</f>
        <v/>
      </c>
      <c r="AA7" s="43">
        <f>IF('مستخلص 02'!$J$7="","",N('مستخلص 02'!$E$15))</f>
        <v/>
      </c>
      <c r="AB7" s="58">
        <f>IF(OR('مستخلص 02'!$J$7="",'مستخلص 02'!$K$15=""),"",'مستخلص 02'!$K$15)</f>
        <v/>
      </c>
      <c r="AC7" s="43">
        <f>IF('مستخلص 02'!$J$7="","",Z7-AA7)</f>
        <v/>
      </c>
      <c r="AD7" s="62">
        <f>IF(OR(AB7="",E7=""),"",AB7-E7)</f>
        <v/>
      </c>
      <c r="AE7" s="59">
        <f>IF('مستخلص 02'!$J$7="","",IF(N(AA7)=0,IF(E7="","⏳ بانتظار الاعتماد","✖ غير محصل"),IF(AC7&lt;=1,"✔ محصل بالكامل","⚠ محصل جزئياً")))</f>
        <v/>
      </c>
      <c r="AF7" s="63">
        <f>IF(OR('مستخلص 02'!$J$7="",'مستخلص 02'!$E$16=""),"",'مستخلص 02'!$E$16)</f>
        <v/>
      </c>
      <c r="AG7" s="59">
        <f>IF('مستخلص 02'!$J$7="","",'مستخلص 02'!$E$43)</f>
        <v/>
      </c>
    </row>
    <row r="8">
      <c r="A8" s="57" t="n">
        <v>3</v>
      </c>
      <c r="B8" s="58">
        <f>IF(OR('مستخلص 03'!$J$7="",'مستخلص 03'!$J$6=""),"",'مستخلص 03'!$J$6)</f>
        <v/>
      </c>
      <c r="C8" s="58">
        <f>IF('مستخلص 03'!$J$7="","",'مستخلص 03'!$J$7)</f>
        <v/>
      </c>
      <c r="D8" s="58">
        <f>IF(OR('مستخلص 03'!$J$7="",'مستخلص 03'!$J$8=""),"",'مستخلص 03'!$J$8)</f>
        <v/>
      </c>
      <c r="E8" s="58">
        <f>IF(OR('مستخلص 03'!$J$7="",'مستخلص 03'!$J$9=""),"",'مستخلص 03'!$J$9)</f>
        <v/>
      </c>
      <c r="F8" s="59">
        <f>IF(OR('مستخلص 03'!$J$7="",'مستخلص 03'!$J$5=""),"",'مستخلص 03'!$J$5)</f>
        <v/>
      </c>
      <c r="G8" s="43">
        <f>IF('مستخلص 03'!$J$7="","",'مستخلص 03'!$L$19)</f>
        <v/>
      </c>
      <c r="H8" s="43">
        <f>IF('مستخلص 03'!$J$7="","",'مستخلص 03'!$J$19)</f>
        <v/>
      </c>
      <c r="I8" s="43">
        <f>IF('مستخلص 03'!$J$7="","",'مستخلص 03'!$L$20)</f>
        <v/>
      </c>
      <c r="J8" s="43">
        <f>IF('مستخلص 03'!$J$7="","",'مستخلص 03'!$L$21)</f>
        <v/>
      </c>
      <c r="K8" s="43">
        <f>IF('مستخلص 03'!$J$7="","",'مستخلص 03'!$L$22)</f>
        <v/>
      </c>
      <c r="L8" s="60">
        <f>IF('مستخلص 03'!$J$7="","",'مستخلص 03'!$L$6)</f>
        <v/>
      </c>
      <c r="M8" s="60">
        <f>IF(OR('مستخلص 03'!$J$7="",'مستخلص 03'!$L$8=""),"",'مستخلص 03'!$L$8)</f>
        <v/>
      </c>
      <c r="N8" s="60">
        <f>IF(OR('مستخلص 03'!$J$7="",M8=""),"",L8-M8)</f>
        <v/>
      </c>
      <c r="O8" s="43">
        <f>IF('مستخلص 03'!$J$7="","",-'مستخلص 03'!$L$23)</f>
        <v/>
      </c>
      <c r="P8" s="43">
        <f>IF('مستخلص 03'!$J$7="","",-'مستخلص 03'!$L$24)</f>
        <v/>
      </c>
      <c r="Q8" s="43">
        <f>IF('مستخلص 03'!$J$7="","",'مستخلص 03'!$L$25)</f>
        <v/>
      </c>
      <c r="R8" s="43">
        <f>IF('مستخلص 03'!$J$7="","",P8-Q8)</f>
        <v/>
      </c>
      <c r="S8" s="43">
        <f>IF('مستخلص 03'!$J$7="","",-'مستخلص 03'!$L$26)</f>
        <v/>
      </c>
      <c r="T8" s="43">
        <f>IF('مستخلص 03'!$J$7="","",-'مستخلص 03'!$L$27)</f>
        <v/>
      </c>
      <c r="U8" s="43">
        <f>IF('مستخلص 03'!$J$7="","",'مستخلص 03'!$L$28)</f>
        <v/>
      </c>
      <c r="V8" s="43">
        <f>IF('مستخلص 03'!$J$7="","",'مستخلص 03'!$L$29)</f>
        <v/>
      </c>
      <c r="W8" s="43">
        <f>IF('مستخلص 03'!$J$7="","",-'مستخلص 03'!$L$30)</f>
        <v/>
      </c>
      <c r="X8" s="61">
        <f>IF('مستخلص 03'!$J$7="","",'مستخلص 03'!$L$31)</f>
        <v/>
      </c>
      <c r="Y8" s="43">
        <f>IF('مستخلص 03'!$J$7="","",'مستخلص 03'!$H$31)</f>
        <v/>
      </c>
      <c r="Z8" s="61">
        <f>IF('مستخلص 03'!$J$7="","",'مستخلص 03'!$J$31)</f>
        <v/>
      </c>
      <c r="AA8" s="43">
        <f>IF('مستخلص 03'!$J$7="","",N('مستخلص 03'!$E$15))</f>
        <v/>
      </c>
      <c r="AB8" s="58">
        <f>IF(OR('مستخلص 03'!$J$7="",'مستخلص 03'!$K$15=""),"",'مستخلص 03'!$K$15)</f>
        <v/>
      </c>
      <c r="AC8" s="43">
        <f>IF('مستخلص 03'!$J$7="","",Z8-AA8)</f>
        <v/>
      </c>
      <c r="AD8" s="62">
        <f>IF(OR(AB8="",E8=""),"",AB8-E8)</f>
        <v/>
      </c>
      <c r="AE8" s="59">
        <f>IF('مستخلص 03'!$J$7="","",IF(N(AA8)=0,IF(E8="","⏳ بانتظار الاعتماد","✖ غير محصل"),IF(AC8&lt;=1,"✔ محصل بالكامل","⚠ محصل جزئياً")))</f>
        <v/>
      </c>
      <c r="AF8" s="63">
        <f>IF(OR('مستخلص 03'!$J$7="",'مستخلص 03'!$E$16=""),"",'مستخلص 03'!$E$16)</f>
        <v/>
      </c>
      <c r="AG8" s="59">
        <f>IF('مستخلص 03'!$J$7="","",'مستخلص 03'!$E$43)</f>
        <v/>
      </c>
    </row>
    <row r="9">
      <c r="A9" s="57" t="n">
        <v>4</v>
      </c>
      <c r="B9" s="58">
        <f>IF(OR('مستخلص 04'!$J$7="",'مستخلص 04'!$J$6=""),"",'مستخلص 04'!$J$6)</f>
        <v/>
      </c>
      <c r="C9" s="58">
        <f>IF('مستخلص 04'!$J$7="","",'مستخلص 04'!$J$7)</f>
        <v/>
      </c>
      <c r="D9" s="58">
        <f>IF(OR('مستخلص 04'!$J$7="",'مستخلص 04'!$J$8=""),"",'مستخلص 04'!$J$8)</f>
        <v/>
      </c>
      <c r="E9" s="58">
        <f>IF(OR('مستخلص 04'!$J$7="",'مستخلص 04'!$J$9=""),"",'مستخلص 04'!$J$9)</f>
        <v/>
      </c>
      <c r="F9" s="59">
        <f>IF(OR('مستخلص 04'!$J$7="",'مستخلص 04'!$J$5=""),"",'مستخلص 04'!$J$5)</f>
        <v/>
      </c>
      <c r="G9" s="43">
        <f>IF('مستخلص 04'!$J$7="","",'مستخلص 04'!$L$19)</f>
        <v/>
      </c>
      <c r="H9" s="43">
        <f>IF('مستخلص 04'!$J$7="","",'مستخلص 04'!$J$19)</f>
        <v/>
      </c>
      <c r="I9" s="43">
        <f>IF('مستخلص 04'!$J$7="","",'مستخلص 04'!$L$20)</f>
        <v/>
      </c>
      <c r="J9" s="43">
        <f>IF('مستخلص 04'!$J$7="","",'مستخلص 04'!$L$21)</f>
        <v/>
      </c>
      <c r="K9" s="43">
        <f>IF('مستخلص 04'!$J$7="","",'مستخلص 04'!$L$22)</f>
        <v/>
      </c>
      <c r="L9" s="60">
        <f>IF('مستخلص 04'!$J$7="","",'مستخلص 04'!$L$6)</f>
        <v/>
      </c>
      <c r="M9" s="60">
        <f>IF(OR('مستخلص 04'!$J$7="",'مستخلص 04'!$L$8=""),"",'مستخلص 04'!$L$8)</f>
        <v/>
      </c>
      <c r="N9" s="60">
        <f>IF(OR('مستخلص 04'!$J$7="",M9=""),"",L9-M9)</f>
        <v/>
      </c>
      <c r="O9" s="43">
        <f>IF('مستخلص 04'!$J$7="","",-'مستخلص 04'!$L$23)</f>
        <v/>
      </c>
      <c r="P9" s="43">
        <f>IF('مستخلص 04'!$J$7="","",-'مستخلص 04'!$L$24)</f>
        <v/>
      </c>
      <c r="Q9" s="43">
        <f>IF('مستخلص 04'!$J$7="","",'مستخلص 04'!$L$25)</f>
        <v/>
      </c>
      <c r="R9" s="43">
        <f>IF('مستخلص 04'!$J$7="","",P9-Q9)</f>
        <v/>
      </c>
      <c r="S9" s="43">
        <f>IF('مستخلص 04'!$J$7="","",-'مستخلص 04'!$L$26)</f>
        <v/>
      </c>
      <c r="T9" s="43">
        <f>IF('مستخلص 04'!$J$7="","",-'مستخلص 04'!$L$27)</f>
        <v/>
      </c>
      <c r="U9" s="43">
        <f>IF('مستخلص 04'!$J$7="","",'مستخلص 04'!$L$28)</f>
        <v/>
      </c>
      <c r="V9" s="43">
        <f>IF('مستخلص 04'!$J$7="","",'مستخلص 04'!$L$29)</f>
        <v/>
      </c>
      <c r="W9" s="43">
        <f>IF('مستخلص 04'!$J$7="","",-'مستخلص 04'!$L$30)</f>
        <v/>
      </c>
      <c r="X9" s="61">
        <f>IF('مستخلص 04'!$J$7="","",'مستخلص 04'!$L$31)</f>
        <v/>
      </c>
      <c r="Y9" s="43">
        <f>IF('مستخلص 04'!$J$7="","",'مستخلص 04'!$H$31)</f>
        <v/>
      </c>
      <c r="Z9" s="61">
        <f>IF('مستخلص 04'!$J$7="","",'مستخلص 04'!$J$31)</f>
        <v/>
      </c>
      <c r="AA9" s="43">
        <f>IF('مستخلص 04'!$J$7="","",N('مستخلص 04'!$E$15))</f>
        <v/>
      </c>
      <c r="AB9" s="58">
        <f>IF(OR('مستخلص 04'!$J$7="",'مستخلص 04'!$K$15=""),"",'مستخلص 04'!$K$15)</f>
        <v/>
      </c>
      <c r="AC9" s="43">
        <f>IF('مستخلص 04'!$J$7="","",Z9-AA9)</f>
        <v/>
      </c>
      <c r="AD9" s="62">
        <f>IF(OR(AB9="",E9=""),"",AB9-E9)</f>
        <v/>
      </c>
      <c r="AE9" s="59">
        <f>IF('مستخلص 04'!$J$7="","",IF(N(AA9)=0,IF(E9="","⏳ بانتظار الاعتماد","✖ غير محصل"),IF(AC9&lt;=1,"✔ محصل بالكامل","⚠ محصل جزئياً")))</f>
        <v/>
      </c>
      <c r="AF9" s="63">
        <f>IF(OR('مستخلص 04'!$J$7="",'مستخلص 04'!$E$16=""),"",'مستخلص 04'!$E$16)</f>
        <v/>
      </c>
      <c r="AG9" s="59">
        <f>IF('مستخلص 04'!$J$7="","",'مستخلص 04'!$E$43)</f>
        <v/>
      </c>
    </row>
    <row r="10">
      <c r="A10" s="57" t="n">
        <v>5</v>
      </c>
      <c r="B10" s="58">
        <f>IF(OR('مستخلص 05'!$J$7="",'مستخلص 05'!$J$6=""),"",'مستخلص 05'!$J$6)</f>
        <v/>
      </c>
      <c r="C10" s="58">
        <f>IF('مستخلص 05'!$J$7="","",'مستخلص 05'!$J$7)</f>
        <v/>
      </c>
      <c r="D10" s="58">
        <f>IF(OR('مستخلص 05'!$J$7="",'مستخلص 05'!$J$8=""),"",'مستخلص 05'!$J$8)</f>
        <v/>
      </c>
      <c r="E10" s="58">
        <f>IF(OR('مستخلص 05'!$J$7="",'مستخلص 05'!$J$9=""),"",'مستخلص 05'!$J$9)</f>
        <v/>
      </c>
      <c r="F10" s="59">
        <f>IF(OR('مستخلص 05'!$J$7="",'مستخلص 05'!$J$5=""),"",'مستخلص 05'!$J$5)</f>
        <v/>
      </c>
      <c r="G10" s="43">
        <f>IF('مستخلص 05'!$J$7="","",'مستخلص 05'!$L$19)</f>
        <v/>
      </c>
      <c r="H10" s="43">
        <f>IF('مستخلص 05'!$J$7="","",'مستخلص 05'!$J$19)</f>
        <v/>
      </c>
      <c r="I10" s="43">
        <f>IF('مستخلص 05'!$J$7="","",'مستخلص 05'!$L$20)</f>
        <v/>
      </c>
      <c r="J10" s="43">
        <f>IF('مستخلص 05'!$J$7="","",'مستخلص 05'!$L$21)</f>
        <v/>
      </c>
      <c r="K10" s="43">
        <f>IF('مستخلص 05'!$J$7="","",'مستخلص 05'!$L$22)</f>
        <v/>
      </c>
      <c r="L10" s="60">
        <f>IF('مستخلص 05'!$J$7="","",'مستخلص 05'!$L$6)</f>
        <v/>
      </c>
      <c r="M10" s="60">
        <f>IF(OR('مستخلص 05'!$J$7="",'مستخلص 05'!$L$8=""),"",'مستخلص 05'!$L$8)</f>
        <v/>
      </c>
      <c r="N10" s="60">
        <f>IF(OR('مستخلص 05'!$J$7="",M10=""),"",L10-M10)</f>
        <v/>
      </c>
      <c r="O10" s="43">
        <f>IF('مستخلص 05'!$J$7="","",-'مستخلص 05'!$L$23)</f>
        <v/>
      </c>
      <c r="P10" s="43">
        <f>IF('مستخلص 05'!$J$7="","",-'مستخلص 05'!$L$24)</f>
        <v/>
      </c>
      <c r="Q10" s="43">
        <f>IF('مستخلص 05'!$J$7="","",'مستخلص 05'!$L$25)</f>
        <v/>
      </c>
      <c r="R10" s="43">
        <f>IF('مستخلص 05'!$J$7="","",P10-Q10)</f>
        <v/>
      </c>
      <c r="S10" s="43">
        <f>IF('مستخلص 05'!$J$7="","",-'مستخلص 05'!$L$26)</f>
        <v/>
      </c>
      <c r="T10" s="43">
        <f>IF('مستخلص 05'!$J$7="","",-'مستخلص 05'!$L$27)</f>
        <v/>
      </c>
      <c r="U10" s="43">
        <f>IF('مستخلص 05'!$J$7="","",'مستخلص 05'!$L$28)</f>
        <v/>
      </c>
      <c r="V10" s="43">
        <f>IF('مستخلص 05'!$J$7="","",'مستخلص 05'!$L$29)</f>
        <v/>
      </c>
      <c r="W10" s="43">
        <f>IF('مستخلص 05'!$J$7="","",-'مستخلص 05'!$L$30)</f>
        <v/>
      </c>
      <c r="X10" s="61">
        <f>IF('مستخلص 05'!$J$7="","",'مستخلص 05'!$L$31)</f>
        <v/>
      </c>
      <c r="Y10" s="43">
        <f>IF('مستخلص 05'!$J$7="","",'مستخلص 05'!$H$31)</f>
        <v/>
      </c>
      <c r="Z10" s="61">
        <f>IF('مستخلص 05'!$J$7="","",'مستخلص 05'!$J$31)</f>
        <v/>
      </c>
      <c r="AA10" s="43">
        <f>IF('مستخلص 05'!$J$7="","",N('مستخلص 05'!$E$15))</f>
        <v/>
      </c>
      <c r="AB10" s="58">
        <f>IF(OR('مستخلص 05'!$J$7="",'مستخلص 05'!$K$15=""),"",'مستخلص 05'!$K$15)</f>
        <v/>
      </c>
      <c r="AC10" s="43">
        <f>IF('مستخلص 05'!$J$7="","",Z10-AA10)</f>
        <v/>
      </c>
      <c r="AD10" s="62">
        <f>IF(OR(AB10="",E10=""),"",AB10-E10)</f>
        <v/>
      </c>
      <c r="AE10" s="59">
        <f>IF('مستخلص 05'!$J$7="","",IF(N(AA10)=0,IF(E10="","⏳ بانتظار الاعتماد","✖ غير محصل"),IF(AC10&lt;=1,"✔ محصل بالكامل","⚠ محصل جزئياً")))</f>
        <v/>
      </c>
      <c r="AF10" s="63">
        <f>IF(OR('مستخلص 05'!$J$7="",'مستخلص 05'!$E$16=""),"",'مستخلص 05'!$E$16)</f>
        <v/>
      </c>
      <c r="AG10" s="59">
        <f>IF('مستخلص 05'!$J$7="","",'مستخلص 05'!$E$43)</f>
        <v/>
      </c>
    </row>
    <row r="11">
      <c r="A11" s="57" t="n">
        <v>6</v>
      </c>
      <c r="B11" s="58">
        <f>IF(OR('مستخلص 06'!$J$7="",'مستخلص 06'!$J$6=""),"",'مستخلص 06'!$J$6)</f>
        <v/>
      </c>
      <c r="C11" s="58">
        <f>IF('مستخلص 06'!$J$7="","",'مستخلص 06'!$J$7)</f>
        <v/>
      </c>
      <c r="D11" s="58">
        <f>IF(OR('مستخلص 06'!$J$7="",'مستخلص 06'!$J$8=""),"",'مستخلص 06'!$J$8)</f>
        <v/>
      </c>
      <c r="E11" s="58">
        <f>IF(OR('مستخلص 06'!$J$7="",'مستخلص 06'!$J$9=""),"",'مستخلص 06'!$J$9)</f>
        <v/>
      </c>
      <c r="F11" s="59">
        <f>IF(OR('مستخلص 06'!$J$7="",'مستخلص 06'!$J$5=""),"",'مستخلص 06'!$J$5)</f>
        <v/>
      </c>
      <c r="G11" s="43">
        <f>IF('مستخلص 06'!$J$7="","",'مستخلص 06'!$L$19)</f>
        <v/>
      </c>
      <c r="H11" s="43">
        <f>IF('مستخلص 06'!$J$7="","",'مستخلص 06'!$J$19)</f>
        <v/>
      </c>
      <c r="I11" s="43">
        <f>IF('مستخلص 06'!$J$7="","",'مستخلص 06'!$L$20)</f>
        <v/>
      </c>
      <c r="J11" s="43">
        <f>IF('مستخلص 06'!$J$7="","",'مستخلص 06'!$L$21)</f>
        <v/>
      </c>
      <c r="K11" s="43">
        <f>IF('مستخلص 06'!$J$7="","",'مستخلص 06'!$L$22)</f>
        <v/>
      </c>
      <c r="L11" s="60">
        <f>IF('مستخلص 06'!$J$7="","",'مستخلص 06'!$L$6)</f>
        <v/>
      </c>
      <c r="M11" s="60">
        <f>IF(OR('مستخلص 06'!$J$7="",'مستخلص 06'!$L$8=""),"",'مستخلص 06'!$L$8)</f>
        <v/>
      </c>
      <c r="N11" s="60">
        <f>IF(OR('مستخلص 06'!$J$7="",M11=""),"",L11-M11)</f>
        <v/>
      </c>
      <c r="O11" s="43">
        <f>IF('مستخلص 06'!$J$7="","",-'مستخلص 06'!$L$23)</f>
        <v/>
      </c>
      <c r="P11" s="43">
        <f>IF('مستخلص 06'!$J$7="","",-'مستخلص 06'!$L$24)</f>
        <v/>
      </c>
      <c r="Q11" s="43">
        <f>IF('مستخلص 06'!$J$7="","",'مستخلص 06'!$L$25)</f>
        <v/>
      </c>
      <c r="R11" s="43">
        <f>IF('مستخلص 06'!$J$7="","",P11-Q11)</f>
        <v/>
      </c>
      <c r="S11" s="43">
        <f>IF('مستخلص 06'!$J$7="","",-'مستخلص 06'!$L$26)</f>
        <v/>
      </c>
      <c r="T11" s="43">
        <f>IF('مستخلص 06'!$J$7="","",-'مستخلص 06'!$L$27)</f>
        <v/>
      </c>
      <c r="U11" s="43">
        <f>IF('مستخلص 06'!$J$7="","",'مستخلص 06'!$L$28)</f>
        <v/>
      </c>
      <c r="V11" s="43">
        <f>IF('مستخلص 06'!$J$7="","",'مستخلص 06'!$L$29)</f>
        <v/>
      </c>
      <c r="W11" s="43">
        <f>IF('مستخلص 06'!$J$7="","",-'مستخلص 06'!$L$30)</f>
        <v/>
      </c>
      <c r="X11" s="61">
        <f>IF('مستخلص 06'!$J$7="","",'مستخلص 06'!$L$31)</f>
        <v/>
      </c>
      <c r="Y11" s="43">
        <f>IF('مستخلص 06'!$J$7="","",'مستخلص 06'!$H$31)</f>
        <v/>
      </c>
      <c r="Z11" s="61">
        <f>IF('مستخلص 06'!$J$7="","",'مستخلص 06'!$J$31)</f>
        <v/>
      </c>
      <c r="AA11" s="43">
        <f>IF('مستخلص 06'!$J$7="","",N('مستخلص 06'!$E$15))</f>
        <v/>
      </c>
      <c r="AB11" s="58">
        <f>IF(OR('مستخلص 06'!$J$7="",'مستخلص 06'!$K$15=""),"",'مستخلص 06'!$K$15)</f>
        <v/>
      </c>
      <c r="AC11" s="43">
        <f>IF('مستخلص 06'!$J$7="","",Z11-AA11)</f>
        <v/>
      </c>
      <c r="AD11" s="62">
        <f>IF(OR(AB11="",E11=""),"",AB11-E11)</f>
        <v/>
      </c>
      <c r="AE11" s="59">
        <f>IF('مستخلص 06'!$J$7="","",IF(N(AA11)=0,IF(E11="","⏳ بانتظار الاعتماد","✖ غير محصل"),IF(AC11&lt;=1,"✔ محصل بالكامل","⚠ محصل جزئياً")))</f>
        <v/>
      </c>
      <c r="AF11" s="63">
        <f>IF(OR('مستخلص 06'!$J$7="",'مستخلص 06'!$E$16=""),"",'مستخلص 06'!$E$16)</f>
        <v/>
      </c>
      <c r="AG11" s="59">
        <f>IF('مستخلص 06'!$J$7="","",'مستخلص 06'!$E$43)</f>
        <v/>
      </c>
    </row>
    <row r="12">
      <c r="A12" s="57" t="n">
        <v>7</v>
      </c>
      <c r="B12" s="58">
        <f>IF(OR('مستخلص 07'!$J$7="",'مستخلص 07'!$J$6=""),"",'مستخلص 07'!$J$6)</f>
        <v/>
      </c>
      <c r="C12" s="58">
        <f>IF('مستخلص 07'!$J$7="","",'مستخلص 07'!$J$7)</f>
        <v/>
      </c>
      <c r="D12" s="58">
        <f>IF(OR('مستخلص 07'!$J$7="",'مستخلص 07'!$J$8=""),"",'مستخلص 07'!$J$8)</f>
        <v/>
      </c>
      <c r="E12" s="58">
        <f>IF(OR('مستخلص 07'!$J$7="",'مستخلص 07'!$J$9=""),"",'مستخلص 07'!$J$9)</f>
        <v/>
      </c>
      <c r="F12" s="59">
        <f>IF(OR('مستخلص 07'!$J$7="",'مستخلص 07'!$J$5=""),"",'مستخلص 07'!$J$5)</f>
        <v/>
      </c>
      <c r="G12" s="43">
        <f>IF('مستخلص 07'!$J$7="","",'مستخلص 07'!$L$19)</f>
        <v/>
      </c>
      <c r="H12" s="43">
        <f>IF('مستخلص 07'!$J$7="","",'مستخلص 07'!$J$19)</f>
        <v/>
      </c>
      <c r="I12" s="43">
        <f>IF('مستخلص 07'!$J$7="","",'مستخلص 07'!$L$20)</f>
        <v/>
      </c>
      <c r="J12" s="43">
        <f>IF('مستخلص 07'!$J$7="","",'مستخلص 07'!$L$21)</f>
        <v/>
      </c>
      <c r="K12" s="43">
        <f>IF('مستخلص 07'!$J$7="","",'مستخلص 07'!$L$22)</f>
        <v/>
      </c>
      <c r="L12" s="60">
        <f>IF('مستخلص 07'!$J$7="","",'مستخلص 07'!$L$6)</f>
        <v/>
      </c>
      <c r="M12" s="60">
        <f>IF(OR('مستخلص 07'!$J$7="",'مستخلص 07'!$L$8=""),"",'مستخلص 07'!$L$8)</f>
        <v/>
      </c>
      <c r="N12" s="60">
        <f>IF(OR('مستخلص 07'!$J$7="",M12=""),"",L12-M12)</f>
        <v/>
      </c>
      <c r="O12" s="43">
        <f>IF('مستخلص 07'!$J$7="","",-'مستخلص 07'!$L$23)</f>
        <v/>
      </c>
      <c r="P12" s="43">
        <f>IF('مستخلص 07'!$J$7="","",-'مستخلص 07'!$L$24)</f>
        <v/>
      </c>
      <c r="Q12" s="43">
        <f>IF('مستخلص 07'!$J$7="","",'مستخلص 07'!$L$25)</f>
        <v/>
      </c>
      <c r="R12" s="43">
        <f>IF('مستخلص 07'!$J$7="","",P12-Q12)</f>
        <v/>
      </c>
      <c r="S12" s="43">
        <f>IF('مستخلص 07'!$J$7="","",-'مستخلص 07'!$L$26)</f>
        <v/>
      </c>
      <c r="T12" s="43">
        <f>IF('مستخلص 07'!$J$7="","",-'مستخلص 07'!$L$27)</f>
        <v/>
      </c>
      <c r="U12" s="43">
        <f>IF('مستخلص 07'!$J$7="","",'مستخلص 07'!$L$28)</f>
        <v/>
      </c>
      <c r="V12" s="43">
        <f>IF('مستخلص 07'!$J$7="","",'مستخلص 07'!$L$29)</f>
        <v/>
      </c>
      <c r="W12" s="43">
        <f>IF('مستخلص 07'!$J$7="","",-'مستخلص 07'!$L$30)</f>
        <v/>
      </c>
      <c r="X12" s="61">
        <f>IF('مستخلص 07'!$J$7="","",'مستخلص 07'!$L$31)</f>
        <v/>
      </c>
      <c r="Y12" s="43">
        <f>IF('مستخلص 07'!$J$7="","",'مستخلص 07'!$H$31)</f>
        <v/>
      </c>
      <c r="Z12" s="61">
        <f>IF('مستخلص 07'!$J$7="","",'مستخلص 07'!$J$31)</f>
        <v/>
      </c>
      <c r="AA12" s="43">
        <f>IF('مستخلص 07'!$J$7="","",N('مستخلص 07'!$E$15))</f>
        <v/>
      </c>
      <c r="AB12" s="58">
        <f>IF(OR('مستخلص 07'!$J$7="",'مستخلص 07'!$K$15=""),"",'مستخلص 07'!$K$15)</f>
        <v/>
      </c>
      <c r="AC12" s="43">
        <f>IF('مستخلص 07'!$J$7="","",Z12-AA12)</f>
        <v/>
      </c>
      <c r="AD12" s="62">
        <f>IF(OR(AB12="",E12=""),"",AB12-E12)</f>
        <v/>
      </c>
      <c r="AE12" s="59">
        <f>IF('مستخلص 07'!$J$7="","",IF(N(AA12)=0,IF(E12="","⏳ بانتظار الاعتماد","✖ غير محصل"),IF(AC12&lt;=1,"✔ محصل بالكامل","⚠ محصل جزئياً")))</f>
        <v/>
      </c>
      <c r="AF12" s="63">
        <f>IF(OR('مستخلص 07'!$J$7="",'مستخلص 07'!$E$16=""),"",'مستخلص 07'!$E$16)</f>
        <v/>
      </c>
      <c r="AG12" s="59">
        <f>IF('مستخلص 07'!$J$7="","",'مستخلص 07'!$E$43)</f>
        <v/>
      </c>
    </row>
    <row r="13">
      <c r="A13" s="57" t="n">
        <v>8</v>
      </c>
      <c r="B13" s="58">
        <f>IF(OR('مستخلص 08'!$J$7="",'مستخلص 08'!$J$6=""),"",'مستخلص 08'!$J$6)</f>
        <v/>
      </c>
      <c r="C13" s="58">
        <f>IF('مستخلص 08'!$J$7="","",'مستخلص 08'!$J$7)</f>
        <v/>
      </c>
      <c r="D13" s="58">
        <f>IF(OR('مستخلص 08'!$J$7="",'مستخلص 08'!$J$8=""),"",'مستخلص 08'!$J$8)</f>
        <v/>
      </c>
      <c r="E13" s="58">
        <f>IF(OR('مستخلص 08'!$J$7="",'مستخلص 08'!$J$9=""),"",'مستخلص 08'!$J$9)</f>
        <v/>
      </c>
      <c r="F13" s="59">
        <f>IF(OR('مستخلص 08'!$J$7="",'مستخلص 08'!$J$5=""),"",'مستخلص 08'!$J$5)</f>
        <v/>
      </c>
      <c r="G13" s="43">
        <f>IF('مستخلص 08'!$J$7="","",'مستخلص 08'!$L$19)</f>
        <v/>
      </c>
      <c r="H13" s="43">
        <f>IF('مستخلص 08'!$J$7="","",'مستخلص 08'!$J$19)</f>
        <v/>
      </c>
      <c r="I13" s="43">
        <f>IF('مستخلص 08'!$J$7="","",'مستخلص 08'!$L$20)</f>
        <v/>
      </c>
      <c r="J13" s="43">
        <f>IF('مستخلص 08'!$J$7="","",'مستخلص 08'!$L$21)</f>
        <v/>
      </c>
      <c r="K13" s="43">
        <f>IF('مستخلص 08'!$J$7="","",'مستخلص 08'!$L$22)</f>
        <v/>
      </c>
      <c r="L13" s="60">
        <f>IF('مستخلص 08'!$J$7="","",'مستخلص 08'!$L$6)</f>
        <v/>
      </c>
      <c r="M13" s="60">
        <f>IF(OR('مستخلص 08'!$J$7="",'مستخلص 08'!$L$8=""),"",'مستخلص 08'!$L$8)</f>
        <v/>
      </c>
      <c r="N13" s="60">
        <f>IF(OR('مستخلص 08'!$J$7="",M13=""),"",L13-M13)</f>
        <v/>
      </c>
      <c r="O13" s="43">
        <f>IF('مستخلص 08'!$J$7="","",-'مستخلص 08'!$L$23)</f>
        <v/>
      </c>
      <c r="P13" s="43">
        <f>IF('مستخلص 08'!$J$7="","",-'مستخلص 08'!$L$24)</f>
        <v/>
      </c>
      <c r="Q13" s="43">
        <f>IF('مستخلص 08'!$J$7="","",'مستخلص 08'!$L$25)</f>
        <v/>
      </c>
      <c r="R13" s="43">
        <f>IF('مستخلص 08'!$J$7="","",P13-Q13)</f>
        <v/>
      </c>
      <c r="S13" s="43">
        <f>IF('مستخلص 08'!$J$7="","",-'مستخلص 08'!$L$26)</f>
        <v/>
      </c>
      <c r="T13" s="43">
        <f>IF('مستخلص 08'!$J$7="","",-'مستخلص 08'!$L$27)</f>
        <v/>
      </c>
      <c r="U13" s="43">
        <f>IF('مستخلص 08'!$J$7="","",'مستخلص 08'!$L$28)</f>
        <v/>
      </c>
      <c r="V13" s="43">
        <f>IF('مستخلص 08'!$J$7="","",'مستخلص 08'!$L$29)</f>
        <v/>
      </c>
      <c r="W13" s="43">
        <f>IF('مستخلص 08'!$J$7="","",-'مستخلص 08'!$L$30)</f>
        <v/>
      </c>
      <c r="X13" s="61">
        <f>IF('مستخلص 08'!$J$7="","",'مستخلص 08'!$L$31)</f>
        <v/>
      </c>
      <c r="Y13" s="43">
        <f>IF('مستخلص 08'!$J$7="","",'مستخلص 08'!$H$31)</f>
        <v/>
      </c>
      <c r="Z13" s="61">
        <f>IF('مستخلص 08'!$J$7="","",'مستخلص 08'!$J$31)</f>
        <v/>
      </c>
      <c r="AA13" s="43">
        <f>IF('مستخلص 08'!$J$7="","",N('مستخلص 08'!$E$15))</f>
        <v/>
      </c>
      <c r="AB13" s="58">
        <f>IF(OR('مستخلص 08'!$J$7="",'مستخلص 08'!$K$15=""),"",'مستخلص 08'!$K$15)</f>
        <v/>
      </c>
      <c r="AC13" s="43">
        <f>IF('مستخلص 08'!$J$7="","",Z13-AA13)</f>
        <v/>
      </c>
      <c r="AD13" s="62">
        <f>IF(OR(AB13="",E13=""),"",AB13-E13)</f>
        <v/>
      </c>
      <c r="AE13" s="59">
        <f>IF('مستخلص 08'!$J$7="","",IF(N(AA13)=0,IF(E13="","⏳ بانتظار الاعتماد","✖ غير محصل"),IF(AC13&lt;=1,"✔ محصل بالكامل","⚠ محصل جزئياً")))</f>
        <v/>
      </c>
      <c r="AF13" s="63">
        <f>IF(OR('مستخلص 08'!$J$7="",'مستخلص 08'!$E$16=""),"",'مستخلص 08'!$E$16)</f>
        <v/>
      </c>
      <c r="AG13" s="59">
        <f>IF('مستخلص 08'!$J$7="","",'مستخلص 08'!$E$43)</f>
        <v/>
      </c>
    </row>
    <row r="14">
      <c r="A14" s="57" t="n">
        <v>9</v>
      </c>
      <c r="B14" s="58">
        <f>IF(OR('مستخلص 09'!$J$7="",'مستخلص 09'!$J$6=""),"",'مستخلص 09'!$J$6)</f>
        <v/>
      </c>
      <c r="C14" s="58">
        <f>IF('مستخلص 09'!$J$7="","",'مستخلص 09'!$J$7)</f>
        <v/>
      </c>
      <c r="D14" s="58">
        <f>IF(OR('مستخلص 09'!$J$7="",'مستخلص 09'!$J$8=""),"",'مستخلص 09'!$J$8)</f>
        <v/>
      </c>
      <c r="E14" s="58">
        <f>IF(OR('مستخلص 09'!$J$7="",'مستخلص 09'!$J$9=""),"",'مستخلص 09'!$J$9)</f>
        <v/>
      </c>
      <c r="F14" s="59">
        <f>IF(OR('مستخلص 09'!$J$7="",'مستخلص 09'!$J$5=""),"",'مستخلص 09'!$J$5)</f>
        <v/>
      </c>
      <c r="G14" s="43">
        <f>IF('مستخلص 09'!$J$7="","",'مستخلص 09'!$L$19)</f>
        <v/>
      </c>
      <c r="H14" s="43">
        <f>IF('مستخلص 09'!$J$7="","",'مستخلص 09'!$J$19)</f>
        <v/>
      </c>
      <c r="I14" s="43">
        <f>IF('مستخلص 09'!$J$7="","",'مستخلص 09'!$L$20)</f>
        <v/>
      </c>
      <c r="J14" s="43">
        <f>IF('مستخلص 09'!$J$7="","",'مستخلص 09'!$L$21)</f>
        <v/>
      </c>
      <c r="K14" s="43">
        <f>IF('مستخلص 09'!$J$7="","",'مستخلص 09'!$L$22)</f>
        <v/>
      </c>
      <c r="L14" s="60">
        <f>IF('مستخلص 09'!$J$7="","",'مستخلص 09'!$L$6)</f>
        <v/>
      </c>
      <c r="M14" s="60">
        <f>IF(OR('مستخلص 09'!$J$7="",'مستخلص 09'!$L$8=""),"",'مستخلص 09'!$L$8)</f>
        <v/>
      </c>
      <c r="N14" s="60">
        <f>IF(OR('مستخلص 09'!$J$7="",M14=""),"",L14-M14)</f>
        <v/>
      </c>
      <c r="O14" s="43">
        <f>IF('مستخلص 09'!$J$7="","",-'مستخلص 09'!$L$23)</f>
        <v/>
      </c>
      <c r="P14" s="43">
        <f>IF('مستخلص 09'!$J$7="","",-'مستخلص 09'!$L$24)</f>
        <v/>
      </c>
      <c r="Q14" s="43">
        <f>IF('مستخلص 09'!$J$7="","",'مستخلص 09'!$L$25)</f>
        <v/>
      </c>
      <c r="R14" s="43">
        <f>IF('مستخلص 09'!$J$7="","",P14-Q14)</f>
        <v/>
      </c>
      <c r="S14" s="43">
        <f>IF('مستخلص 09'!$J$7="","",-'مستخلص 09'!$L$26)</f>
        <v/>
      </c>
      <c r="T14" s="43">
        <f>IF('مستخلص 09'!$J$7="","",-'مستخلص 09'!$L$27)</f>
        <v/>
      </c>
      <c r="U14" s="43">
        <f>IF('مستخلص 09'!$J$7="","",'مستخلص 09'!$L$28)</f>
        <v/>
      </c>
      <c r="V14" s="43">
        <f>IF('مستخلص 09'!$J$7="","",'مستخلص 09'!$L$29)</f>
        <v/>
      </c>
      <c r="W14" s="43">
        <f>IF('مستخلص 09'!$J$7="","",-'مستخلص 09'!$L$30)</f>
        <v/>
      </c>
      <c r="X14" s="61">
        <f>IF('مستخلص 09'!$J$7="","",'مستخلص 09'!$L$31)</f>
        <v/>
      </c>
      <c r="Y14" s="43">
        <f>IF('مستخلص 09'!$J$7="","",'مستخلص 09'!$H$31)</f>
        <v/>
      </c>
      <c r="Z14" s="61">
        <f>IF('مستخلص 09'!$J$7="","",'مستخلص 09'!$J$31)</f>
        <v/>
      </c>
      <c r="AA14" s="43">
        <f>IF('مستخلص 09'!$J$7="","",N('مستخلص 09'!$E$15))</f>
        <v/>
      </c>
      <c r="AB14" s="58">
        <f>IF(OR('مستخلص 09'!$J$7="",'مستخلص 09'!$K$15=""),"",'مستخلص 09'!$K$15)</f>
        <v/>
      </c>
      <c r="AC14" s="43">
        <f>IF('مستخلص 09'!$J$7="","",Z14-AA14)</f>
        <v/>
      </c>
      <c r="AD14" s="62">
        <f>IF(OR(AB14="",E14=""),"",AB14-E14)</f>
        <v/>
      </c>
      <c r="AE14" s="59">
        <f>IF('مستخلص 09'!$J$7="","",IF(N(AA14)=0,IF(E14="","⏳ بانتظار الاعتماد","✖ غير محصل"),IF(AC14&lt;=1,"✔ محصل بالكامل","⚠ محصل جزئياً")))</f>
        <v/>
      </c>
      <c r="AF14" s="63">
        <f>IF(OR('مستخلص 09'!$J$7="",'مستخلص 09'!$E$16=""),"",'مستخلص 09'!$E$16)</f>
        <v/>
      </c>
      <c r="AG14" s="59">
        <f>IF('مستخلص 09'!$J$7="","",'مستخلص 09'!$E$43)</f>
        <v/>
      </c>
    </row>
    <row r="15">
      <c r="A15" s="57" t="n">
        <v>10</v>
      </c>
      <c r="B15" s="58">
        <f>IF(OR('مستخلص 10'!$J$7="",'مستخلص 10'!$J$6=""),"",'مستخلص 10'!$J$6)</f>
        <v/>
      </c>
      <c r="C15" s="58">
        <f>IF('مستخلص 10'!$J$7="","",'مستخلص 10'!$J$7)</f>
        <v/>
      </c>
      <c r="D15" s="58">
        <f>IF(OR('مستخلص 10'!$J$7="",'مستخلص 10'!$J$8=""),"",'مستخلص 10'!$J$8)</f>
        <v/>
      </c>
      <c r="E15" s="58">
        <f>IF(OR('مستخلص 10'!$J$7="",'مستخلص 10'!$J$9=""),"",'مستخلص 10'!$J$9)</f>
        <v/>
      </c>
      <c r="F15" s="59">
        <f>IF(OR('مستخلص 10'!$J$7="",'مستخلص 10'!$J$5=""),"",'مستخلص 10'!$J$5)</f>
        <v/>
      </c>
      <c r="G15" s="43">
        <f>IF('مستخلص 10'!$J$7="","",'مستخلص 10'!$L$19)</f>
        <v/>
      </c>
      <c r="H15" s="43">
        <f>IF('مستخلص 10'!$J$7="","",'مستخلص 10'!$J$19)</f>
        <v/>
      </c>
      <c r="I15" s="43">
        <f>IF('مستخلص 10'!$J$7="","",'مستخلص 10'!$L$20)</f>
        <v/>
      </c>
      <c r="J15" s="43">
        <f>IF('مستخلص 10'!$J$7="","",'مستخلص 10'!$L$21)</f>
        <v/>
      </c>
      <c r="K15" s="43">
        <f>IF('مستخلص 10'!$J$7="","",'مستخلص 10'!$L$22)</f>
        <v/>
      </c>
      <c r="L15" s="60">
        <f>IF('مستخلص 10'!$J$7="","",'مستخلص 10'!$L$6)</f>
        <v/>
      </c>
      <c r="M15" s="60">
        <f>IF(OR('مستخلص 10'!$J$7="",'مستخلص 10'!$L$8=""),"",'مستخلص 10'!$L$8)</f>
        <v/>
      </c>
      <c r="N15" s="60">
        <f>IF(OR('مستخلص 10'!$J$7="",M15=""),"",L15-M15)</f>
        <v/>
      </c>
      <c r="O15" s="43">
        <f>IF('مستخلص 10'!$J$7="","",-'مستخلص 10'!$L$23)</f>
        <v/>
      </c>
      <c r="P15" s="43">
        <f>IF('مستخلص 10'!$J$7="","",-'مستخلص 10'!$L$24)</f>
        <v/>
      </c>
      <c r="Q15" s="43">
        <f>IF('مستخلص 10'!$J$7="","",'مستخلص 10'!$L$25)</f>
        <v/>
      </c>
      <c r="R15" s="43">
        <f>IF('مستخلص 10'!$J$7="","",P15-Q15)</f>
        <v/>
      </c>
      <c r="S15" s="43">
        <f>IF('مستخلص 10'!$J$7="","",-'مستخلص 10'!$L$26)</f>
        <v/>
      </c>
      <c r="T15" s="43">
        <f>IF('مستخلص 10'!$J$7="","",-'مستخلص 10'!$L$27)</f>
        <v/>
      </c>
      <c r="U15" s="43">
        <f>IF('مستخلص 10'!$J$7="","",'مستخلص 10'!$L$28)</f>
        <v/>
      </c>
      <c r="V15" s="43">
        <f>IF('مستخلص 10'!$J$7="","",'مستخلص 10'!$L$29)</f>
        <v/>
      </c>
      <c r="W15" s="43">
        <f>IF('مستخلص 10'!$J$7="","",-'مستخلص 10'!$L$30)</f>
        <v/>
      </c>
      <c r="X15" s="61">
        <f>IF('مستخلص 10'!$J$7="","",'مستخلص 10'!$L$31)</f>
        <v/>
      </c>
      <c r="Y15" s="43">
        <f>IF('مستخلص 10'!$J$7="","",'مستخلص 10'!$H$31)</f>
        <v/>
      </c>
      <c r="Z15" s="61">
        <f>IF('مستخلص 10'!$J$7="","",'مستخلص 10'!$J$31)</f>
        <v/>
      </c>
      <c r="AA15" s="43">
        <f>IF('مستخلص 10'!$J$7="","",N('مستخلص 10'!$E$15))</f>
        <v/>
      </c>
      <c r="AB15" s="58">
        <f>IF(OR('مستخلص 10'!$J$7="",'مستخلص 10'!$K$15=""),"",'مستخلص 10'!$K$15)</f>
        <v/>
      </c>
      <c r="AC15" s="43">
        <f>IF('مستخلص 10'!$J$7="","",Z15-AA15)</f>
        <v/>
      </c>
      <c r="AD15" s="62">
        <f>IF(OR(AB15="",E15=""),"",AB15-E15)</f>
        <v/>
      </c>
      <c r="AE15" s="59">
        <f>IF('مستخلص 10'!$J$7="","",IF(N(AA15)=0,IF(E15="","⏳ بانتظار الاعتماد","✖ غير محصل"),IF(AC15&lt;=1,"✔ محصل بالكامل","⚠ محصل جزئياً")))</f>
        <v/>
      </c>
      <c r="AF15" s="63">
        <f>IF(OR('مستخلص 10'!$J$7="",'مستخلص 10'!$E$16=""),"",'مستخلص 10'!$E$16)</f>
        <v/>
      </c>
      <c r="AG15" s="59">
        <f>IF('مستخلص 10'!$J$7="","",'مستخلص 10'!$E$43)</f>
        <v/>
      </c>
    </row>
    <row r="16">
      <c r="A16" s="57" t="n">
        <v>11</v>
      </c>
      <c r="B16" s="58">
        <f>IF(OR('مستخلص 11'!$J$7="",'مستخلص 11'!$J$6=""),"",'مستخلص 11'!$J$6)</f>
        <v/>
      </c>
      <c r="C16" s="58">
        <f>IF('مستخلص 11'!$J$7="","",'مستخلص 11'!$J$7)</f>
        <v/>
      </c>
      <c r="D16" s="58">
        <f>IF(OR('مستخلص 11'!$J$7="",'مستخلص 11'!$J$8=""),"",'مستخلص 11'!$J$8)</f>
        <v/>
      </c>
      <c r="E16" s="58">
        <f>IF(OR('مستخلص 11'!$J$7="",'مستخلص 11'!$J$9=""),"",'مستخلص 11'!$J$9)</f>
        <v/>
      </c>
      <c r="F16" s="59">
        <f>IF(OR('مستخلص 11'!$J$7="",'مستخلص 11'!$J$5=""),"",'مستخلص 11'!$J$5)</f>
        <v/>
      </c>
      <c r="G16" s="43">
        <f>IF('مستخلص 11'!$J$7="","",'مستخلص 11'!$L$19)</f>
        <v/>
      </c>
      <c r="H16" s="43">
        <f>IF('مستخلص 11'!$J$7="","",'مستخلص 11'!$J$19)</f>
        <v/>
      </c>
      <c r="I16" s="43">
        <f>IF('مستخلص 11'!$J$7="","",'مستخلص 11'!$L$20)</f>
        <v/>
      </c>
      <c r="J16" s="43">
        <f>IF('مستخلص 11'!$J$7="","",'مستخلص 11'!$L$21)</f>
        <v/>
      </c>
      <c r="K16" s="43">
        <f>IF('مستخلص 11'!$J$7="","",'مستخلص 11'!$L$22)</f>
        <v/>
      </c>
      <c r="L16" s="60">
        <f>IF('مستخلص 11'!$J$7="","",'مستخلص 11'!$L$6)</f>
        <v/>
      </c>
      <c r="M16" s="60">
        <f>IF(OR('مستخلص 11'!$J$7="",'مستخلص 11'!$L$8=""),"",'مستخلص 11'!$L$8)</f>
        <v/>
      </c>
      <c r="N16" s="60">
        <f>IF(OR('مستخلص 11'!$J$7="",M16=""),"",L16-M16)</f>
        <v/>
      </c>
      <c r="O16" s="43">
        <f>IF('مستخلص 11'!$J$7="","",-'مستخلص 11'!$L$23)</f>
        <v/>
      </c>
      <c r="P16" s="43">
        <f>IF('مستخلص 11'!$J$7="","",-'مستخلص 11'!$L$24)</f>
        <v/>
      </c>
      <c r="Q16" s="43">
        <f>IF('مستخلص 11'!$J$7="","",'مستخلص 11'!$L$25)</f>
        <v/>
      </c>
      <c r="R16" s="43">
        <f>IF('مستخلص 11'!$J$7="","",P16-Q16)</f>
        <v/>
      </c>
      <c r="S16" s="43">
        <f>IF('مستخلص 11'!$J$7="","",-'مستخلص 11'!$L$26)</f>
        <v/>
      </c>
      <c r="T16" s="43">
        <f>IF('مستخلص 11'!$J$7="","",-'مستخلص 11'!$L$27)</f>
        <v/>
      </c>
      <c r="U16" s="43">
        <f>IF('مستخلص 11'!$J$7="","",'مستخلص 11'!$L$28)</f>
        <v/>
      </c>
      <c r="V16" s="43">
        <f>IF('مستخلص 11'!$J$7="","",'مستخلص 11'!$L$29)</f>
        <v/>
      </c>
      <c r="W16" s="43">
        <f>IF('مستخلص 11'!$J$7="","",-'مستخلص 11'!$L$30)</f>
        <v/>
      </c>
      <c r="X16" s="61">
        <f>IF('مستخلص 11'!$J$7="","",'مستخلص 11'!$L$31)</f>
        <v/>
      </c>
      <c r="Y16" s="43">
        <f>IF('مستخلص 11'!$J$7="","",'مستخلص 11'!$H$31)</f>
        <v/>
      </c>
      <c r="Z16" s="61">
        <f>IF('مستخلص 11'!$J$7="","",'مستخلص 11'!$J$31)</f>
        <v/>
      </c>
      <c r="AA16" s="43">
        <f>IF('مستخلص 11'!$J$7="","",N('مستخلص 11'!$E$15))</f>
        <v/>
      </c>
      <c r="AB16" s="58">
        <f>IF(OR('مستخلص 11'!$J$7="",'مستخلص 11'!$K$15=""),"",'مستخلص 11'!$K$15)</f>
        <v/>
      </c>
      <c r="AC16" s="43">
        <f>IF('مستخلص 11'!$J$7="","",Z16-AA16)</f>
        <v/>
      </c>
      <c r="AD16" s="62">
        <f>IF(OR(AB16="",E16=""),"",AB16-E16)</f>
        <v/>
      </c>
      <c r="AE16" s="59">
        <f>IF('مستخلص 11'!$J$7="","",IF(N(AA16)=0,IF(E16="","⏳ بانتظار الاعتماد","✖ غير محصل"),IF(AC16&lt;=1,"✔ محصل بالكامل","⚠ محصل جزئياً")))</f>
        <v/>
      </c>
      <c r="AF16" s="63">
        <f>IF(OR('مستخلص 11'!$J$7="",'مستخلص 11'!$E$16=""),"",'مستخلص 11'!$E$16)</f>
        <v/>
      </c>
      <c r="AG16" s="59">
        <f>IF('مستخلص 11'!$J$7="","",'مستخلص 11'!$E$43)</f>
        <v/>
      </c>
    </row>
    <row r="17">
      <c r="A17" s="57" t="n">
        <v>12</v>
      </c>
      <c r="B17" s="58">
        <f>IF(OR('مستخلص 12'!$J$7="",'مستخلص 12'!$J$6=""),"",'مستخلص 12'!$J$6)</f>
        <v/>
      </c>
      <c r="C17" s="58">
        <f>IF('مستخلص 12'!$J$7="","",'مستخلص 12'!$J$7)</f>
        <v/>
      </c>
      <c r="D17" s="58">
        <f>IF(OR('مستخلص 12'!$J$7="",'مستخلص 12'!$J$8=""),"",'مستخلص 12'!$J$8)</f>
        <v/>
      </c>
      <c r="E17" s="58">
        <f>IF(OR('مستخلص 12'!$J$7="",'مستخلص 12'!$J$9=""),"",'مستخلص 12'!$J$9)</f>
        <v/>
      </c>
      <c r="F17" s="59">
        <f>IF(OR('مستخلص 12'!$J$7="",'مستخلص 12'!$J$5=""),"",'مستخلص 12'!$J$5)</f>
        <v/>
      </c>
      <c r="G17" s="43">
        <f>IF('مستخلص 12'!$J$7="","",'مستخلص 12'!$L$19)</f>
        <v/>
      </c>
      <c r="H17" s="43">
        <f>IF('مستخلص 12'!$J$7="","",'مستخلص 12'!$J$19)</f>
        <v/>
      </c>
      <c r="I17" s="43">
        <f>IF('مستخلص 12'!$J$7="","",'مستخلص 12'!$L$20)</f>
        <v/>
      </c>
      <c r="J17" s="43">
        <f>IF('مستخلص 12'!$J$7="","",'مستخلص 12'!$L$21)</f>
        <v/>
      </c>
      <c r="K17" s="43">
        <f>IF('مستخلص 12'!$J$7="","",'مستخلص 12'!$L$22)</f>
        <v/>
      </c>
      <c r="L17" s="60">
        <f>IF('مستخلص 12'!$J$7="","",'مستخلص 12'!$L$6)</f>
        <v/>
      </c>
      <c r="M17" s="60">
        <f>IF(OR('مستخلص 12'!$J$7="",'مستخلص 12'!$L$8=""),"",'مستخلص 12'!$L$8)</f>
        <v/>
      </c>
      <c r="N17" s="60">
        <f>IF(OR('مستخلص 12'!$J$7="",M17=""),"",L17-M17)</f>
        <v/>
      </c>
      <c r="O17" s="43">
        <f>IF('مستخلص 12'!$J$7="","",-'مستخلص 12'!$L$23)</f>
        <v/>
      </c>
      <c r="P17" s="43">
        <f>IF('مستخلص 12'!$J$7="","",-'مستخلص 12'!$L$24)</f>
        <v/>
      </c>
      <c r="Q17" s="43">
        <f>IF('مستخلص 12'!$J$7="","",'مستخلص 12'!$L$25)</f>
        <v/>
      </c>
      <c r="R17" s="43">
        <f>IF('مستخلص 12'!$J$7="","",P17-Q17)</f>
        <v/>
      </c>
      <c r="S17" s="43">
        <f>IF('مستخلص 12'!$J$7="","",-'مستخلص 12'!$L$26)</f>
        <v/>
      </c>
      <c r="T17" s="43">
        <f>IF('مستخلص 12'!$J$7="","",-'مستخلص 12'!$L$27)</f>
        <v/>
      </c>
      <c r="U17" s="43">
        <f>IF('مستخلص 12'!$J$7="","",'مستخلص 12'!$L$28)</f>
        <v/>
      </c>
      <c r="V17" s="43">
        <f>IF('مستخلص 12'!$J$7="","",'مستخلص 12'!$L$29)</f>
        <v/>
      </c>
      <c r="W17" s="43">
        <f>IF('مستخلص 12'!$J$7="","",-'مستخلص 12'!$L$30)</f>
        <v/>
      </c>
      <c r="X17" s="61">
        <f>IF('مستخلص 12'!$J$7="","",'مستخلص 12'!$L$31)</f>
        <v/>
      </c>
      <c r="Y17" s="43">
        <f>IF('مستخلص 12'!$J$7="","",'مستخلص 12'!$H$31)</f>
        <v/>
      </c>
      <c r="Z17" s="61">
        <f>IF('مستخلص 12'!$J$7="","",'مستخلص 12'!$J$31)</f>
        <v/>
      </c>
      <c r="AA17" s="43">
        <f>IF('مستخلص 12'!$J$7="","",N('مستخلص 12'!$E$15))</f>
        <v/>
      </c>
      <c r="AB17" s="58">
        <f>IF(OR('مستخلص 12'!$J$7="",'مستخلص 12'!$K$15=""),"",'مستخلص 12'!$K$15)</f>
        <v/>
      </c>
      <c r="AC17" s="43">
        <f>IF('مستخلص 12'!$J$7="","",Z17-AA17)</f>
        <v/>
      </c>
      <c r="AD17" s="62">
        <f>IF(OR(AB17="",E17=""),"",AB17-E17)</f>
        <v/>
      </c>
      <c r="AE17" s="59">
        <f>IF('مستخلص 12'!$J$7="","",IF(N(AA17)=0,IF(E17="","⏳ بانتظار الاعتماد","✖ غير محصل"),IF(AC17&lt;=1,"✔ محصل بالكامل","⚠ محصل جزئياً")))</f>
        <v/>
      </c>
      <c r="AF17" s="63">
        <f>IF(OR('مستخلص 12'!$J$7="",'مستخلص 12'!$E$16=""),"",'مستخلص 12'!$E$16)</f>
        <v/>
      </c>
      <c r="AG17" s="59">
        <f>IF('مستخلص 12'!$J$7="","",'مستخلص 12'!$E$43)</f>
        <v/>
      </c>
    </row>
    <row r="18">
      <c r="A18" s="57" t="n">
        <v>13</v>
      </c>
      <c r="B18" s="58">
        <f>IF(OR('مستخلص 13'!$J$7="",'مستخلص 13'!$J$6=""),"",'مستخلص 13'!$J$6)</f>
        <v/>
      </c>
      <c r="C18" s="58">
        <f>IF('مستخلص 13'!$J$7="","",'مستخلص 13'!$J$7)</f>
        <v/>
      </c>
      <c r="D18" s="58">
        <f>IF(OR('مستخلص 13'!$J$7="",'مستخلص 13'!$J$8=""),"",'مستخلص 13'!$J$8)</f>
        <v/>
      </c>
      <c r="E18" s="58">
        <f>IF(OR('مستخلص 13'!$J$7="",'مستخلص 13'!$J$9=""),"",'مستخلص 13'!$J$9)</f>
        <v/>
      </c>
      <c r="F18" s="59">
        <f>IF(OR('مستخلص 13'!$J$7="",'مستخلص 13'!$J$5=""),"",'مستخلص 13'!$J$5)</f>
        <v/>
      </c>
      <c r="G18" s="43">
        <f>IF('مستخلص 13'!$J$7="","",'مستخلص 13'!$L$19)</f>
        <v/>
      </c>
      <c r="H18" s="43">
        <f>IF('مستخلص 13'!$J$7="","",'مستخلص 13'!$J$19)</f>
        <v/>
      </c>
      <c r="I18" s="43">
        <f>IF('مستخلص 13'!$J$7="","",'مستخلص 13'!$L$20)</f>
        <v/>
      </c>
      <c r="J18" s="43">
        <f>IF('مستخلص 13'!$J$7="","",'مستخلص 13'!$L$21)</f>
        <v/>
      </c>
      <c r="K18" s="43">
        <f>IF('مستخلص 13'!$J$7="","",'مستخلص 13'!$L$22)</f>
        <v/>
      </c>
      <c r="L18" s="60">
        <f>IF('مستخلص 13'!$J$7="","",'مستخلص 13'!$L$6)</f>
        <v/>
      </c>
      <c r="M18" s="60">
        <f>IF(OR('مستخلص 13'!$J$7="",'مستخلص 13'!$L$8=""),"",'مستخلص 13'!$L$8)</f>
        <v/>
      </c>
      <c r="N18" s="60">
        <f>IF(OR('مستخلص 13'!$J$7="",M18=""),"",L18-M18)</f>
        <v/>
      </c>
      <c r="O18" s="43">
        <f>IF('مستخلص 13'!$J$7="","",-'مستخلص 13'!$L$23)</f>
        <v/>
      </c>
      <c r="P18" s="43">
        <f>IF('مستخلص 13'!$J$7="","",-'مستخلص 13'!$L$24)</f>
        <v/>
      </c>
      <c r="Q18" s="43">
        <f>IF('مستخلص 13'!$J$7="","",'مستخلص 13'!$L$25)</f>
        <v/>
      </c>
      <c r="R18" s="43">
        <f>IF('مستخلص 13'!$J$7="","",P18-Q18)</f>
        <v/>
      </c>
      <c r="S18" s="43">
        <f>IF('مستخلص 13'!$J$7="","",-'مستخلص 13'!$L$26)</f>
        <v/>
      </c>
      <c r="T18" s="43">
        <f>IF('مستخلص 13'!$J$7="","",-'مستخلص 13'!$L$27)</f>
        <v/>
      </c>
      <c r="U18" s="43">
        <f>IF('مستخلص 13'!$J$7="","",'مستخلص 13'!$L$28)</f>
        <v/>
      </c>
      <c r="V18" s="43">
        <f>IF('مستخلص 13'!$J$7="","",'مستخلص 13'!$L$29)</f>
        <v/>
      </c>
      <c r="W18" s="43">
        <f>IF('مستخلص 13'!$J$7="","",-'مستخلص 13'!$L$30)</f>
        <v/>
      </c>
      <c r="X18" s="61">
        <f>IF('مستخلص 13'!$J$7="","",'مستخلص 13'!$L$31)</f>
        <v/>
      </c>
      <c r="Y18" s="43">
        <f>IF('مستخلص 13'!$J$7="","",'مستخلص 13'!$H$31)</f>
        <v/>
      </c>
      <c r="Z18" s="61">
        <f>IF('مستخلص 13'!$J$7="","",'مستخلص 13'!$J$31)</f>
        <v/>
      </c>
      <c r="AA18" s="43">
        <f>IF('مستخلص 13'!$J$7="","",N('مستخلص 13'!$E$15))</f>
        <v/>
      </c>
      <c r="AB18" s="58">
        <f>IF(OR('مستخلص 13'!$J$7="",'مستخلص 13'!$K$15=""),"",'مستخلص 13'!$K$15)</f>
        <v/>
      </c>
      <c r="AC18" s="43">
        <f>IF('مستخلص 13'!$J$7="","",Z18-AA18)</f>
        <v/>
      </c>
      <c r="AD18" s="62">
        <f>IF(OR(AB18="",E18=""),"",AB18-E18)</f>
        <v/>
      </c>
      <c r="AE18" s="59">
        <f>IF('مستخلص 13'!$J$7="","",IF(N(AA18)=0,IF(E18="","⏳ بانتظار الاعتماد","✖ غير محصل"),IF(AC18&lt;=1,"✔ محصل بالكامل","⚠ محصل جزئياً")))</f>
        <v/>
      </c>
      <c r="AF18" s="63">
        <f>IF(OR('مستخلص 13'!$J$7="",'مستخلص 13'!$E$16=""),"",'مستخلص 13'!$E$16)</f>
        <v/>
      </c>
      <c r="AG18" s="59">
        <f>IF('مستخلص 13'!$J$7="","",'مستخلص 13'!$E$43)</f>
        <v/>
      </c>
    </row>
    <row r="19">
      <c r="A19" s="57" t="n">
        <v>14</v>
      </c>
      <c r="B19" s="58">
        <f>IF(OR('مستخلص 14'!$J$7="",'مستخلص 14'!$J$6=""),"",'مستخلص 14'!$J$6)</f>
        <v/>
      </c>
      <c r="C19" s="58">
        <f>IF('مستخلص 14'!$J$7="","",'مستخلص 14'!$J$7)</f>
        <v/>
      </c>
      <c r="D19" s="58">
        <f>IF(OR('مستخلص 14'!$J$7="",'مستخلص 14'!$J$8=""),"",'مستخلص 14'!$J$8)</f>
        <v/>
      </c>
      <c r="E19" s="58">
        <f>IF(OR('مستخلص 14'!$J$7="",'مستخلص 14'!$J$9=""),"",'مستخلص 14'!$J$9)</f>
        <v/>
      </c>
      <c r="F19" s="59">
        <f>IF(OR('مستخلص 14'!$J$7="",'مستخلص 14'!$J$5=""),"",'مستخلص 14'!$J$5)</f>
        <v/>
      </c>
      <c r="G19" s="43">
        <f>IF('مستخلص 14'!$J$7="","",'مستخلص 14'!$L$19)</f>
        <v/>
      </c>
      <c r="H19" s="43">
        <f>IF('مستخلص 14'!$J$7="","",'مستخلص 14'!$J$19)</f>
        <v/>
      </c>
      <c r="I19" s="43">
        <f>IF('مستخلص 14'!$J$7="","",'مستخلص 14'!$L$20)</f>
        <v/>
      </c>
      <c r="J19" s="43">
        <f>IF('مستخلص 14'!$J$7="","",'مستخلص 14'!$L$21)</f>
        <v/>
      </c>
      <c r="K19" s="43">
        <f>IF('مستخلص 14'!$J$7="","",'مستخلص 14'!$L$22)</f>
        <v/>
      </c>
      <c r="L19" s="60">
        <f>IF('مستخلص 14'!$J$7="","",'مستخلص 14'!$L$6)</f>
        <v/>
      </c>
      <c r="M19" s="60">
        <f>IF(OR('مستخلص 14'!$J$7="",'مستخلص 14'!$L$8=""),"",'مستخلص 14'!$L$8)</f>
        <v/>
      </c>
      <c r="N19" s="60">
        <f>IF(OR('مستخلص 14'!$J$7="",M19=""),"",L19-M19)</f>
        <v/>
      </c>
      <c r="O19" s="43">
        <f>IF('مستخلص 14'!$J$7="","",-'مستخلص 14'!$L$23)</f>
        <v/>
      </c>
      <c r="P19" s="43">
        <f>IF('مستخلص 14'!$J$7="","",-'مستخلص 14'!$L$24)</f>
        <v/>
      </c>
      <c r="Q19" s="43">
        <f>IF('مستخلص 14'!$J$7="","",'مستخلص 14'!$L$25)</f>
        <v/>
      </c>
      <c r="R19" s="43">
        <f>IF('مستخلص 14'!$J$7="","",P19-Q19)</f>
        <v/>
      </c>
      <c r="S19" s="43">
        <f>IF('مستخلص 14'!$J$7="","",-'مستخلص 14'!$L$26)</f>
        <v/>
      </c>
      <c r="T19" s="43">
        <f>IF('مستخلص 14'!$J$7="","",-'مستخلص 14'!$L$27)</f>
        <v/>
      </c>
      <c r="U19" s="43">
        <f>IF('مستخلص 14'!$J$7="","",'مستخلص 14'!$L$28)</f>
        <v/>
      </c>
      <c r="V19" s="43">
        <f>IF('مستخلص 14'!$J$7="","",'مستخلص 14'!$L$29)</f>
        <v/>
      </c>
      <c r="W19" s="43">
        <f>IF('مستخلص 14'!$J$7="","",-'مستخلص 14'!$L$30)</f>
        <v/>
      </c>
      <c r="X19" s="61">
        <f>IF('مستخلص 14'!$J$7="","",'مستخلص 14'!$L$31)</f>
        <v/>
      </c>
      <c r="Y19" s="43">
        <f>IF('مستخلص 14'!$J$7="","",'مستخلص 14'!$H$31)</f>
        <v/>
      </c>
      <c r="Z19" s="61">
        <f>IF('مستخلص 14'!$J$7="","",'مستخلص 14'!$J$31)</f>
        <v/>
      </c>
      <c r="AA19" s="43">
        <f>IF('مستخلص 14'!$J$7="","",N('مستخلص 14'!$E$15))</f>
        <v/>
      </c>
      <c r="AB19" s="58">
        <f>IF(OR('مستخلص 14'!$J$7="",'مستخلص 14'!$K$15=""),"",'مستخلص 14'!$K$15)</f>
        <v/>
      </c>
      <c r="AC19" s="43">
        <f>IF('مستخلص 14'!$J$7="","",Z19-AA19)</f>
        <v/>
      </c>
      <c r="AD19" s="62">
        <f>IF(OR(AB19="",E19=""),"",AB19-E19)</f>
        <v/>
      </c>
      <c r="AE19" s="59">
        <f>IF('مستخلص 14'!$J$7="","",IF(N(AA19)=0,IF(E19="","⏳ بانتظار الاعتماد","✖ غير محصل"),IF(AC19&lt;=1,"✔ محصل بالكامل","⚠ محصل جزئياً")))</f>
        <v/>
      </c>
      <c r="AF19" s="63">
        <f>IF(OR('مستخلص 14'!$J$7="",'مستخلص 14'!$E$16=""),"",'مستخلص 14'!$E$16)</f>
        <v/>
      </c>
      <c r="AG19" s="59">
        <f>IF('مستخلص 14'!$J$7="","",'مستخلص 14'!$E$43)</f>
        <v/>
      </c>
    </row>
    <row r="20">
      <c r="A20" s="57" t="n">
        <v>15</v>
      </c>
      <c r="B20" s="58">
        <f>IF(OR('مستخلص 15'!$J$7="",'مستخلص 15'!$J$6=""),"",'مستخلص 15'!$J$6)</f>
        <v/>
      </c>
      <c r="C20" s="58">
        <f>IF('مستخلص 15'!$J$7="","",'مستخلص 15'!$J$7)</f>
        <v/>
      </c>
      <c r="D20" s="58">
        <f>IF(OR('مستخلص 15'!$J$7="",'مستخلص 15'!$J$8=""),"",'مستخلص 15'!$J$8)</f>
        <v/>
      </c>
      <c r="E20" s="58">
        <f>IF(OR('مستخلص 15'!$J$7="",'مستخلص 15'!$J$9=""),"",'مستخلص 15'!$J$9)</f>
        <v/>
      </c>
      <c r="F20" s="59">
        <f>IF(OR('مستخلص 15'!$J$7="",'مستخلص 15'!$J$5=""),"",'مستخلص 15'!$J$5)</f>
        <v/>
      </c>
      <c r="G20" s="43">
        <f>IF('مستخلص 15'!$J$7="","",'مستخلص 15'!$L$19)</f>
        <v/>
      </c>
      <c r="H20" s="43">
        <f>IF('مستخلص 15'!$J$7="","",'مستخلص 15'!$J$19)</f>
        <v/>
      </c>
      <c r="I20" s="43">
        <f>IF('مستخلص 15'!$J$7="","",'مستخلص 15'!$L$20)</f>
        <v/>
      </c>
      <c r="J20" s="43">
        <f>IF('مستخلص 15'!$J$7="","",'مستخلص 15'!$L$21)</f>
        <v/>
      </c>
      <c r="K20" s="43">
        <f>IF('مستخلص 15'!$J$7="","",'مستخلص 15'!$L$22)</f>
        <v/>
      </c>
      <c r="L20" s="60">
        <f>IF('مستخلص 15'!$J$7="","",'مستخلص 15'!$L$6)</f>
        <v/>
      </c>
      <c r="M20" s="60">
        <f>IF(OR('مستخلص 15'!$J$7="",'مستخلص 15'!$L$8=""),"",'مستخلص 15'!$L$8)</f>
        <v/>
      </c>
      <c r="N20" s="60">
        <f>IF(OR('مستخلص 15'!$J$7="",M20=""),"",L20-M20)</f>
        <v/>
      </c>
      <c r="O20" s="43">
        <f>IF('مستخلص 15'!$J$7="","",-'مستخلص 15'!$L$23)</f>
        <v/>
      </c>
      <c r="P20" s="43">
        <f>IF('مستخلص 15'!$J$7="","",-'مستخلص 15'!$L$24)</f>
        <v/>
      </c>
      <c r="Q20" s="43">
        <f>IF('مستخلص 15'!$J$7="","",'مستخلص 15'!$L$25)</f>
        <v/>
      </c>
      <c r="R20" s="43">
        <f>IF('مستخلص 15'!$J$7="","",P20-Q20)</f>
        <v/>
      </c>
      <c r="S20" s="43">
        <f>IF('مستخلص 15'!$J$7="","",-'مستخلص 15'!$L$26)</f>
        <v/>
      </c>
      <c r="T20" s="43">
        <f>IF('مستخلص 15'!$J$7="","",-'مستخلص 15'!$L$27)</f>
        <v/>
      </c>
      <c r="U20" s="43">
        <f>IF('مستخلص 15'!$J$7="","",'مستخلص 15'!$L$28)</f>
        <v/>
      </c>
      <c r="V20" s="43">
        <f>IF('مستخلص 15'!$J$7="","",'مستخلص 15'!$L$29)</f>
        <v/>
      </c>
      <c r="W20" s="43">
        <f>IF('مستخلص 15'!$J$7="","",-'مستخلص 15'!$L$30)</f>
        <v/>
      </c>
      <c r="X20" s="61">
        <f>IF('مستخلص 15'!$J$7="","",'مستخلص 15'!$L$31)</f>
        <v/>
      </c>
      <c r="Y20" s="43">
        <f>IF('مستخلص 15'!$J$7="","",'مستخلص 15'!$H$31)</f>
        <v/>
      </c>
      <c r="Z20" s="61">
        <f>IF('مستخلص 15'!$J$7="","",'مستخلص 15'!$J$31)</f>
        <v/>
      </c>
      <c r="AA20" s="43">
        <f>IF('مستخلص 15'!$J$7="","",N('مستخلص 15'!$E$15))</f>
        <v/>
      </c>
      <c r="AB20" s="58">
        <f>IF(OR('مستخلص 15'!$J$7="",'مستخلص 15'!$K$15=""),"",'مستخلص 15'!$K$15)</f>
        <v/>
      </c>
      <c r="AC20" s="43">
        <f>IF('مستخلص 15'!$J$7="","",Z20-AA20)</f>
        <v/>
      </c>
      <c r="AD20" s="62">
        <f>IF(OR(AB20="",E20=""),"",AB20-E20)</f>
        <v/>
      </c>
      <c r="AE20" s="59">
        <f>IF('مستخلص 15'!$J$7="","",IF(N(AA20)=0,IF(E20="","⏳ بانتظار الاعتماد","✖ غير محصل"),IF(AC20&lt;=1,"✔ محصل بالكامل","⚠ محصل جزئياً")))</f>
        <v/>
      </c>
      <c r="AF20" s="63">
        <f>IF(OR('مستخلص 15'!$J$7="",'مستخلص 15'!$E$16=""),"",'مستخلص 15'!$E$16)</f>
        <v/>
      </c>
      <c r="AG20" s="59">
        <f>IF('مستخلص 15'!$J$7="","",'مستخلص 15'!$E$43)</f>
        <v/>
      </c>
    </row>
    <row r="21">
      <c r="A21" s="57" t="n">
        <v>16</v>
      </c>
      <c r="B21" s="58">
        <f>IF(OR('مستخلص 16'!$J$7="",'مستخلص 16'!$J$6=""),"",'مستخلص 16'!$J$6)</f>
        <v/>
      </c>
      <c r="C21" s="58">
        <f>IF('مستخلص 16'!$J$7="","",'مستخلص 16'!$J$7)</f>
        <v/>
      </c>
      <c r="D21" s="58">
        <f>IF(OR('مستخلص 16'!$J$7="",'مستخلص 16'!$J$8=""),"",'مستخلص 16'!$J$8)</f>
        <v/>
      </c>
      <c r="E21" s="58">
        <f>IF(OR('مستخلص 16'!$J$7="",'مستخلص 16'!$J$9=""),"",'مستخلص 16'!$J$9)</f>
        <v/>
      </c>
      <c r="F21" s="59">
        <f>IF(OR('مستخلص 16'!$J$7="",'مستخلص 16'!$J$5=""),"",'مستخلص 16'!$J$5)</f>
        <v/>
      </c>
      <c r="G21" s="43">
        <f>IF('مستخلص 16'!$J$7="","",'مستخلص 16'!$L$19)</f>
        <v/>
      </c>
      <c r="H21" s="43">
        <f>IF('مستخلص 16'!$J$7="","",'مستخلص 16'!$J$19)</f>
        <v/>
      </c>
      <c r="I21" s="43">
        <f>IF('مستخلص 16'!$J$7="","",'مستخلص 16'!$L$20)</f>
        <v/>
      </c>
      <c r="J21" s="43">
        <f>IF('مستخلص 16'!$J$7="","",'مستخلص 16'!$L$21)</f>
        <v/>
      </c>
      <c r="K21" s="43">
        <f>IF('مستخلص 16'!$J$7="","",'مستخلص 16'!$L$22)</f>
        <v/>
      </c>
      <c r="L21" s="60">
        <f>IF('مستخلص 16'!$J$7="","",'مستخلص 16'!$L$6)</f>
        <v/>
      </c>
      <c r="M21" s="60">
        <f>IF(OR('مستخلص 16'!$J$7="",'مستخلص 16'!$L$8=""),"",'مستخلص 16'!$L$8)</f>
        <v/>
      </c>
      <c r="N21" s="60">
        <f>IF(OR('مستخلص 16'!$J$7="",M21=""),"",L21-M21)</f>
        <v/>
      </c>
      <c r="O21" s="43">
        <f>IF('مستخلص 16'!$J$7="","",-'مستخلص 16'!$L$23)</f>
        <v/>
      </c>
      <c r="P21" s="43">
        <f>IF('مستخلص 16'!$J$7="","",-'مستخلص 16'!$L$24)</f>
        <v/>
      </c>
      <c r="Q21" s="43">
        <f>IF('مستخلص 16'!$J$7="","",'مستخلص 16'!$L$25)</f>
        <v/>
      </c>
      <c r="R21" s="43">
        <f>IF('مستخلص 16'!$J$7="","",P21-Q21)</f>
        <v/>
      </c>
      <c r="S21" s="43">
        <f>IF('مستخلص 16'!$J$7="","",-'مستخلص 16'!$L$26)</f>
        <v/>
      </c>
      <c r="T21" s="43">
        <f>IF('مستخلص 16'!$J$7="","",-'مستخلص 16'!$L$27)</f>
        <v/>
      </c>
      <c r="U21" s="43">
        <f>IF('مستخلص 16'!$J$7="","",'مستخلص 16'!$L$28)</f>
        <v/>
      </c>
      <c r="V21" s="43">
        <f>IF('مستخلص 16'!$J$7="","",'مستخلص 16'!$L$29)</f>
        <v/>
      </c>
      <c r="W21" s="43">
        <f>IF('مستخلص 16'!$J$7="","",-'مستخلص 16'!$L$30)</f>
        <v/>
      </c>
      <c r="X21" s="61">
        <f>IF('مستخلص 16'!$J$7="","",'مستخلص 16'!$L$31)</f>
        <v/>
      </c>
      <c r="Y21" s="43">
        <f>IF('مستخلص 16'!$J$7="","",'مستخلص 16'!$H$31)</f>
        <v/>
      </c>
      <c r="Z21" s="61">
        <f>IF('مستخلص 16'!$J$7="","",'مستخلص 16'!$J$31)</f>
        <v/>
      </c>
      <c r="AA21" s="43">
        <f>IF('مستخلص 16'!$J$7="","",N('مستخلص 16'!$E$15))</f>
        <v/>
      </c>
      <c r="AB21" s="58">
        <f>IF(OR('مستخلص 16'!$J$7="",'مستخلص 16'!$K$15=""),"",'مستخلص 16'!$K$15)</f>
        <v/>
      </c>
      <c r="AC21" s="43">
        <f>IF('مستخلص 16'!$J$7="","",Z21-AA21)</f>
        <v/>
      </c>
      <c r="AD21" s="62">
        <f>IF(OR(AB21="",E21=""),"",AB21-E21)</f>
        <v/>
      </c>
      <c r="AE21" s="59">
        <f>IF('مستخلص 16'!$J$7="","",IF(N(AA21)=0,IF(E21="","⏳ بانتظار الاعتماد","✖ غير محصل"),IF(AC21&lt;=1,"✔ محصل بالكامل","⚠ محصل جزئياً")))</f>
        <v/>
      </c>
      <c r="AF21" s="63">
        <f>IF(OR('مستخلص 16'!$J$7="",'مستخلص 16'!$E$16=""),"",'مستخلص 16'!$E$16)</f>
        <v/>
      </c>
      <c r="AG21" s="59">
        <f>IF('مستخلص 16'!$J$7="","",'مستخلص 16'!$E$43)</f>
        <v/>
      </c>
    </row>
    <row r="22">
      <c r="A22" s="57" t="n">
        <v>17</v>
      </c>
      <c r="B22" s="58">
        <f>IF(OR('مستخلص 17'!$J$7="",'مستخلص 17'!$J$6=""),"",'مستخلص 17'!$J$6)</f>
        <v/>
      </c>
      <c r="C22" s="58">
        <f>IF('مستخلص 17'!$J$7="","",'مستخلص 17'!$J$7)</f>
        <v/>
      </c>
      <c r="D22" s="58">
        <f>IF(OR('مستخلص 17'!$J$7="",'مستخلص 17'!$J$8=""),"",'مستخلص 17'!$J$8)</f>
        <v/>
      </c>
      <c r="E22" s="58">
        <f>IF(OR('مستخلص 17'!$J$7="",'مستخلص 17'!$J$9=""),"",'مستخلص 17'!$J$9)</f>
        <v/>
      </c>
      <c r="F22" s="59">
        <f>IF(OR('مستخلص 17'!$J$7="",'مستخلص 17'!$J$5=""),"",'مستخلص 17'!$J$5)</f>
        <v/>
      </c>
      <c r="G22" s="43">
        <f>IF('مستخلص 17'!$J$7="","",'مستخلص 17'!$L$19)</f>
        <v/>
      </c>
      <c r="H22" s="43">
        <f>IF('مستخلص 17'!$J$7="","",'مستخلص 17'!$J$19)</f>
        <v/>
      </c>
      <c r="I22" s="43">
        <f>IF('مستخلص 17'!$J$7="","",'مستخلص 17'!$L$20)</f>
        <v/>
      </c>
      <c r="J22" s="43">
        <f>IF('مستخلص 17'!$J$7="","",'مستخلص 17'!$L$21)</f>
        <v/>
      </c>
      <c r="K22" s="43">
        <f>IF('مستخلص 17'!$J$7="","",'مستخلص 17'!$L$22)</f>
        <v/>
      </c>
      <c r="L22" s="60">
        <f>IF('مستخلص 17'!$J$7="","",'مستخلص 17'!$L$6)</f>
        <v/>
      </c>
      <c r="M22" s="60">
        <f>IF(OR('مستخلص 17'!$J$7="",'مستخلص 17'!$L$8=""),"",'مستخلص 17'!$L$8)</f>
        <v/>
      </c>
      <c r="N22" s="60">
        <f>IF(OR('مستخلص 17'!$J$7="",M22=""),"",L22-M22)</f>
        <v/>
      </c>
      <c r="O22" s="43">
        <f>IF('مستخلص 17'!$J$7="","",-'مستخلص 17'!$L$23)</f>
        <v/>
      </c>
      <c r="P22" s="43">
        <f>IF('مستخلص 17'!$J$7="","",-'مستخلص 17'!$L$24)</f>
        <v/>
      </c>
      <c r="Q22" s="43">
        <f>IF('مستخلص 17'!$J$7="","",'مستخلص 17'!$L$25)</f>
        <v/>
      </c>
      <c r="R22" s="43">
        <f>IF('مستخلص 17'!$J$7="","",P22-Q22)</f>
        <v/>
      </c>
      <c r="S22" s="43">
        <f>IF('مستخلص 17'!$J$7="","",-'مستخلص 17'!$L$26)</f>
        <v/>
      </c>
      <c r="T22" s="43">
        <f>IF('مستخلص 17'!$J$7="","",-'مستخلص 17'!$L$27)</f>
        <v/>
      </c>
      <c r="U22" s="43">
        <f>IF('مستخلص 17'!$J$7="","",'مستخلص 17'!$L$28)</f>
        <v/>
      </c>
      <c r="V22" s="43">
        <f>IF('مستخلص 17'!$J$7="","",'مستخلص 17'!$L$29)</f>
        <v/>
      </c>
      <c r="W22" s="43">
        <f>IF('مستخلص 17'!$J$7="","",-'مستخلص 17'!$L$30)</f>
        <v/>
      </c>
      <c r="X22" s="61">
        <f>IF('مستخلص 17'!$J$7="","",'مستخلص 17'!$L$31)</f>
        <v/>
      </c>
      <c r="Y22" s="43">
        <f>IF('مستخلص 17'!$J$7="","",'مستخلص 17'!$H$31)</f>
        <v/>
      </c>
      <c r="Z22" s="61">
        <f>IF('مستخلص 17'!$J$7="","",'مستخلص 17'!$J$31)</f>
        <v/>
      </c>
      <c r="AA22" s="43">
        <f>IF('مستخلص 17'!$J$7="","",N('مستخلص 17'!$E$15))</f>
        <v/>
      </c>
      <c r="AB22" s="58">
        <f>IF(OR('مستخلص 17'!$J$7="",'مستخلص 17'!$K$15=""),"",'مستخلص 17'!$K$15)</f>
        <v/>
      </c>
      <c r="AC22" s="43">
        <f>IF('مستخلص 17'!$J$7="","",Z22-AA22)</f>
        <v/>
      </c>
      <c r="AD22" s="62">
        <f>IF(OR(AB22="",E22=""),"",AB22-E22)</f>
        <v/>
      </c>
      <c r="AE22" s="59">
        <f>IF('مستخلص 17'!$J$7="","",IF(N(AA22)=0,IF(E22="","⏳ بانتظار الاعتماد","✖ غير محصل"),IF(AC22&lt;=1,"✔ محصل بالكامل","⚠ محصل جزئياً")))</f>
        <v/>
      </c>
      <c r="AF22" s="63">
        <f>IF(OR('مستخلص 17'!$J$7="",'مستخلص 17'!$E$16=""),"",'مستخلص 17'!$E$16)</f>
        <v/>
      </c>
      <c r="AG22" s="59">
        <f>IF('مستخلص 17'!$J$7="","",'مستخلص 17'!$E$43)</f>
        <v/>
      </c>
    </row>
    <row r="23">
      <c r="A23" s="57" t="n">
        <v>18</v>
      </c>
      <c r="B23" s="58">
        <f>IF(OR('مستخلص 18'!$J$7="",'مستخلص 18'!$J$6=""),"",'مستخلص 18'!$J$6)</f>
        <v/>
      </c>
      <c r="C23" s="58">
        <f>IF('مستخلص 18'!$J$7="","",'مستخلص 18'!$J$7)</f>
        <v/>
      </c>
      <c r="D23" s="58">
        <f>IF(OR('مستخلص 18'!$J$7="",'مستخلص 18'!$J$8=""),"",'مستخلص 18'!$J$8)</f>
        <v/>
      </c>
      <c r="E23" s="58">
        <f>IF(OR('مستخلص 18'!$J$7="",'مستخلص 18'!$J$9=""),"",'مستخلص 18'!$J$9)</f>
        <v/>
      </c>
      <c r="F23" s="59">
        <f>IF(OR('مستخلص 18'!$J$7="",'مستخلص 18'!$J$5=""),"",'مستخلص 18'!$J$5)</f>
        <v/>
      </c>
      <c r="G23" s="43">
        <f>IF('مستخلص 18'!$J$7="","",'مستخلص 18'!$L$19)</f>
        <v/>
      </c>
      <c r="H23" s="43">
        <f>IF('مستخلص 18'!$J$7="","",'مستخلص 18'!$J$19)</f>
        <v/>
      </c>
      <c r="I23" s="43">
        <f>IF('مستخلص 18'!$J$7="","",'مستخلص 18'!$L$20)</f>
        <v/>
      </c>
      <c r="J23" s="43">
        <f>IF('مستخلص 18'!$J$7="","",'مستخلص 18'!$L$21)</f>
        <v/>
      </c>
      <c r="K23" s="43">
        <f>IF('مستخلص 18'!$J$7="","",'مستخلص 18'!$L$22)</f>
        <v/>
      </c>
      <c r="L23" s="60">
        <f>IF('مستخلص 18'!$J$7="","",'مستخلص 18'!$L$6)</f>
        <v/>
      </c>
      <c r="M23" s="60">
        <f>IF(OR('مستخلص 18'!$J$7="",'مستخلص 18'!$L$8=""),"",'مستخلص 18'!$L$8)</f>
        <v/>
      </c>
      <c r="N23" s="60">
        <f>IF(OR('مستخلص 18'!$J$7="",M23=""),"",L23-M23)</f>
        <v/>
      </c>
      <c r="O23" s="43">
        <f>IF('مستخلص 18'!$J$7="","",-'مستخلص 18'!$L$23)</f>
        <v/>
      </c>
      <c r="P23" s="43">
        <f>IF('مستخلص 18'!$J$7="","",-'مستخلص 18'!$L$24)</f>
        <v/>
      </c>
      <c r="Q23" s="43">
        <f>IF('مستخلص 18'!$J$7="","",'مستخلص 18'!$L$25)</f>
        <v/>
      </c>
      <c r="R23" s="43">
        <f>IF('مستخلص 18'!$J$7="","",P23-Q23)</f>
        <v/>
      </c>
      <c r="S23" s="43">
        <f>IF('مستخلص 18'!$J$7="","",-'مستخلص 18'!$L$26)</f>
        <v/>
      </c>
      <c r="T23" s="43">
        <f>IF('مستخلص 18'!$J$7="","",-'مستخلص 18'!$L$27)</f>
        <v/>
      </c>
      <c r="U23" s="43">
        <f>IF('مستخلص 18'!$J$7="","",'مستخلص 18'!$L$28)</f>
        <v/>
      </c>
      <c r="V23" s="43">
        <f>IF('مستخلص 18'!$J$7="","",'مستخلص 18'!$L$29)</f>
        <v/>
      </c>
      <c r="W23" s="43">
        <f>IF('مستخلص 18'!$J$7="","",-'مستخلص 18'!$L$30)</f>
        <v/>
      </c>
      <c r="X23" s="61">
        <f>IF('مستخلص 18'!$J$7="","",'مستخلص 18'!$L$31)</f>
        <v/>
      </c>
      <c r="Y23" s="43">
        <f>IF('مستخلص 18'!$J$7="","",'مستخلص 18'!$H$31)</f>
        <v/>
      </c>
      <c r="Z23" s="61">
        <f>IF('مستخلص 18'!$J$7="","",'مستخلص 18'!$J$31)</f>
        <v/>
      </c>
      <c r="AA23" s="43">
        <f>IF('مستخلص 18'!$J$7="","",N('مستخلص 18'!$E$15))</f>
        <v/>
      </c>
      <c r="AB23" s="58">
        <f>IF(OR('مستخلص 18'!$J$7="",'مستخلص 18'!$K$15=""),"",'مستخلص 18'!$K$15)</f>
        <v/>
      </c>
      <c r="AC23" s="43">
        <f>IF('مستخلص 18'!$J$7="","",Z23-AA23)</f>
        <v/>
      </c>
      <c r="AD23" s="62">
        <f>IF(OR(AB23="",E23=""),"",AB23-E23)</f>
        <v/>
      </c>
      <c r="AE23" s="59">
        <f>IF('مستخلص 18'!$J$7="","",IF(N(AA23)=0,IF(E23="","⏳ بانتظار الاعتماد","✖ غير محصل"),IF(AC23&lt;=1,"✔ محصل بالكامل","⚠ محصل جزئياً")))</f>
        <v/>
      </c>
      <c r="AF23" s="63">
        <f>IF(OR('مستخلص 18'!$J$7="",'مستخلص 18'!$E$16=""),"",'مستخلص 18'!$E$16)</f>
        <v/>
      </c>
      <c r="AG23" s="59">
        <f>IF('مستخلص 18'!$J$7="","",'مستخلص 18'!$E$43)</f>
        <v/>
      </c>
    </row>
    <row r="24">
      <c r="A24" s="57" t="n">
        <v>19</v>
      </c>
      <c r="B24" s="58">
        <f>IF(OR('مستخلص 19'!$J$7="",'مستخلص 19'!$J$6=""),"",'مستخلص 19'!$J$6)</f>
        <v/>
      </c>
      <c r="C24" s="58">
        <f>IF('مستخلص 19'!$J$7="","",'مستخلص 19'!$J$7)</f>
        <v/>
      </c>
      <c r="D24" s="58">
        <f>IF(OR('مستخلص 19'!$J$7="",'مستخلص 19'!$J$8=""),"",'مستخلص 19'!$J$8)</f>
        <v/>
      </c>
      <c r="E24" s="58">
        <f>IF(OR('مستخلص 19'!$J$7="",'مستخلص 19'!$J$9=""),"",'مستخلص 19'!$J$9)</f>
        <v/>
      </c>
      <c r="F24" s="59">
        <f>IF(OR('مستخلص 19'!$J$7="",'مستخلص 19'!$J$5=""),"",'مستخلص 19'!$J$5)</f>
        <v/>
      </c>
      <c r="G24" s="43">
        <f>IF('مستخلص 19'!$J$7="","",'مستخلص 19'!$L$19)</f>
        <v/>
      </c>
      <c r="H24" s="43">
        <f>IF('مستخلص 19'!$J$7="","",'مستخلص 19'!$J$19)</f>
        <v/>
      </c>
      <c r="I24" s="43">
        <f>IF('مستخلص 19'!$J$7="","",'مستخلص 19'!$L$20)</f>
        <v/>
      </c>
      <c r="J24" s="43">
        <f>IF('مستخلص 19'!$J$7="","",'مستخلص 19'!$L$21)</f>
        <v/>
      </c>
      <c r="K24" s="43">
        <f>IF('مستخلص 19'!$J$7="","",'مستخلص 19'!$L$22)</f>
        <v/>
      </c>
      <c r="L24" s="60">
        <f>IF('مستخلص 19'!$J$7="","",'مستخلص 19'!$L$6)</f>
        <v/>
      </c>
      <c r="M24" s="60">
        <f>IF(OR('مستخلص 19'!$J$7="",'مستخلص 19'!$L$8=""),"",'مستخلص 19'!$L$8)</f>
        <v/>
      </c>
      <c r="N24" s="60">
        <f>IF(OR('مستخلص 19'!$J$7="",M24=""),"",L24-M24)</f>
        <v/>
      </c>
      <c r="O24" s="43">
        <f>IF('مستخلص 19'!$J$7="","",-'مستخلص 19'!$L$23)</f>
        <v/>
      </c>
      <c r="P24" s="43">
        <f>IF('مستخلص 19'!$J$7="","",-'مستخلص 19'!$L$24)</f>
        <v/>
      </c>
      <c r="Q24" s="43">
        <f>IF('مستخلص 19'!$J$7="","",'مستخلص 19'!$L$25)</f>
        <v/>
      </c>
      <c r="R24" s="43">
        <f>IF('مستخلص 19'!$J$7="","",P24-Q24)</f>
        <v/>
      </c>
      <c r="S24" s="43">
        <f>IF('مستخلص 19'!$J$7="","",-'مستخلص 19'!$L$26)</f>
        <v/>
      </c>
      <c r="T24" s="43">
        <f>IF('مستخلص 19'!$J$7="","",-'مستخلص 19'!$L$27)</f>
        <v/>
      </c>
      <c r="U24" s="43">
        <f>IF('مستخلص 19'!$J$7="","",'مستخلص 19'!$L$28)</f>
        <v/>
      </c>
      <c r="V24" s="43">
        <f>IF('مستخلص 19'!$J$7="","",'مستخلص 19'!$L$29)</f>
        <v/>
      </c>
      <c r="W24" s="43">
        <f>IF('مستخلص 19'!$J$7="","",-'مستخلص 19'!$L$30)</f>
        <v/>
      </c>
      <c r="X24" s="61">
        <f>IF('مستخلص 19'!$J$7="","",'مستخلص 19'!$L$31)</f>
        <v/>
      </c>
      <c r="Y24" s="43">
        <f>IF('مستخلص 19'!$J$7="","",'مستخلص 19'!$H$31)</f>
        <v/>
      </c>
      <c r="Z24" s="61">
        <f>IF('مستخلص 19'!$J$7="","",'مستخلص 19'!$J$31)</f>
        <v/>
      </c>
      <c r="AA24" s="43">
        <f>IF('مستخلص 19'!$J$7="","",N('مستخلص 19'!$E$15))</f>
        <v/>
      </c>
      <c r="AB24" s="58">
        <f>IF(OR('مستخلص 19'!$J$7="",'مستخلص 19'!$K$15=""),"",'مستخلص 19'!$K$15)</f>
        <v/>
      </c>
      <c r="AC24" s="43">
        <f>IF('مستخلص 19'!$J$7="","",Z24-AA24)</f>
        <v/>
      </c>
      <c r="AD24" s="62">
        <f>IF(OR(AB24="",E24=""),"",AB24-E24)</f>
        <v/>
      </c>
      <c r="AE24" s="59">
        <f>IF('مستخلص 19'!$J$7="","",IF(N(AA24)=0,IF(E24="","⏳ بانتظار الاعتماد","✖ غير محصل"),IF(AC24&lt;=1,"✔ محصل بالكامل","⚠ محصل جزئياً")))</f>
        <v/>
      </c>
      <c r="AF24" s="63">
        <f>IF(OR('مستخلص 19'!$J$7="",'مستخلص 19'!$E$16=""),"",'مستخلص 19'!$E$16)</f>
        <v/>
      </c>
      <c r="AG24" s="59">
        <f>IF('مستخلص 19'!$J$7="","",'مستخلص 19'!$E$43)</f>
        <v/>
      </c>
    </row>
    <row r="25">
      <c r="A25" s="57" t="n">
        <v>20</v>
      </c>
      <c r="B25" s="58">
        <f>IF(OR('مستخلص 20'!$J$7="",'مستخلص 20'!$J$6=""),"",'مستخلص 20'!$J$6)</f>
        <v/>
      </c>
      <c r="C25" s="58">
        <f>IF('مستخلص 20'!$J$7="","",'مستخلص 20'!$J$7)</f>
        <v/>
      </c>
      <c r="D25" s="58">
        <f>IF(OR('مستخلص 20'!$J$7="",'مستخلص 20'!$J$8=""),"",'مستخلص 20'!$J$8)</f>
        <v/>
      </c>
      <c r="E25" s="58">
        <f>IF(OR('مستخلص 20'!$J$7="",'مستخلص 20'!$J$9=""),"",'مستخلص 20'!$J$9)</f>
        <v/>
      </c>
      <c r="F25" s="59">
        <f>IF(OR('مستخلص 20'!$J$7="",'مستخلص 20'!$J$5=""),"",'مستخلص 20'!$J$5)</f>
        <v/>
      </c>
      <c r="G25" s="43">
        <f>IF('مستخلص 20'!$J$7="","",'مستخلص 20'!$L$19)</f>
        <v/>
      </c>
      <c r="H25" s="43">
        <f>IF('مستخلص 20'!$J$7="","",'مستخلص 20'!$J$19)</f>
        <v/>
      </c>
      <c r="I25" s="43">
        <f>IF('مستخلص 20'!$J$7="","",'مستخلص 20'!$L$20)</f>
        <v/>
      </c>
      <c r="J25" s="43">
        <f>IF('مستخلص 20'!$J$7="","",'مستخلص 20'!$L$21)</f>
        <v/>
      </c>
      <c r="K25" s="43">
        <f>IF('مستخلص 20'!$J$7="","",'مستخلص 20'!$L$22)</f>
        <v/>
      </c>
      <c r="L25" s="60">
        <f>IF('مستخلص 20'!$J$7="","",'مستخلص 20'!$L$6)</f>
        <v/>
      </c>
      <c r="M25" s="60">
        <f>IF(OR('مستخلص 20'!$J$7="",'مستخلص 20'!$L$8=""),"",'مستخلص 20'!$L$8)</f>
        <v/>
      </c>
      <c r="N25" s="60">
        <f>IF(OR('مستخلص 20'!$J$7="",M25=""),"",L25-M25)</f>
        <v/>
      </c>
      <c r="O25" s="43">
        <f>IF('مستخلص 20'!$J$7="","",-'مستخلص 20'!$L$23)</f>
        <v/>
      </c>
      <c r="P25" s="43">
        <f>IF('مستخلص 20'!$J$7="","",-'مستخلص 20'!$L$24)</f>
        <v/>
      </c>
      <c r="Q25" s="43">
        <f>IF('مستخلص 20'!$J$7="","",'مستخلص 20'!$L$25)</f>
        <v/>
      </c>
      <c r="R25" s="43">
        <f>IF('مستخلص 20'!$J$7="","",P25-Q25)</f>
        <v/>
      </c>
      <c r="S25" s="43">
        <f>IF('مستخلص 20'!$J$7="","",-'مستخلص 20'!$L$26)</f>
        <v/>
      </c>
      <c r="T25" s="43">
        <f>IF('مستخلص 20'!$J$7="","",-'مستخلص 20'!$L$27)</f>
        <v/>
      </c>
      <c r="U25" s="43">
        <f>IF('مستخلص 20'!$J$7="","",'مستخلص 20'!$L$28)</f>
        <v/>
      </c>
      <c r="V25" s="43">
        <f>IF('مستخلص 20'!$J$7="","",'مستخلص 20'!$L$29)</f>
        <v/>
      </c>
      <c r="W25" s="43">
        <f>IF('مستخلص 20'!$J$7="","",-'مستخلص 20'!$L$30)</f>
        <v/>
      </c>
      <c r="X25" s="61">
        <f>IF('مستخلص 20'!$J$7="","",'مستخلص 20'!$L$31)</f>
        <v/>
      </c>
      <c r="Y25" s="43">
        <f>IF('مستخلص 20'!$J$7="","",'مستخلص 20'!$H$31)</f>
        <v/>
      </c>
      <c r="Z25" s="61">
        <f>IF('مستخلص 20'!$J$7="","",'مستخلص 20'!$J$31)</f>
        <v/>
      </c>
      <c r="AA25" s="43">
        <f>IF('مستخلص 20'!$J$7="","",N('مستخلص 20'!$E$15))</f>
        <v/>
      </c>
      <c r="AB25" s="58">
        <f>IF(OR('مستخلص 20'!$J$7="",'مستخلص 20'!$K$15=""),"",'مستخلص 20'!$K$15)</f>
        <v/>
      </c>
      <c r="AC25" s="43">
        <f>IF('مستخلص 20'!$J$7="","",Z25-AA25)</f>
        <v/>
      </c>
      <c r="AD25" s="62">
        <f>IF(OR(AB25="",E25=""),"",AB25-E25)</f>
        <v/>
      </c>
      <c r="AE25" s="59">
        <f>IF('مستخلص 20'!$J$7="","",IF(N(AA25)=0,IF(E25="","⏳ بانتظار الاعتماد","✖ غير محصل"),IF(AC25&lt;=1,"✔ محصل بالكامل","⚠ محصل جزئياً")))</f>
        <v/>
      </c>
      <c r="AF25" s="63">
        <f>IF(OR('مستخلص 20'!$J$7="",'مستخلص 20'!$E$16=""),"",'مستخلص 20'!$E$16)</f>
        <v/>
      </c>
      <c r="AG25" s="59">
        <f>IF('مستخلص 20'!$J$7="","",'مستخلص 20'!$E$43)</f>
        <v/>
      </c>
    </row>
    <row r="26">
      <c r="A26" s="46" t="inlineStr">
        <is>
          <t>الإجمالي / آخر رصيد</t>
        </is>
      </c>
      <c r="B26" s="46" t="n"/>
      <c r="C26" s="46" t="n"/>
      <c r="D26" s="46" t="n"/>
      <c r="E26" s="46" t="n"/>
      <c r="F26" s="46" t="n"/>
      <c r="G26" s="64">
        <f>IF($AJ$3=0,0,INDEX(G6:G25,$AJ$3))</f>
        <v/>
      </c>
      <c r="H26" s="64">
        <f>SUM(H6:H25)</f>
        <v/>
      </c>
      <c r="I26" s="64">
        <f>IF($AJ$3=0,0,INDEX(I6:I25,$AJ$3))</f>
        <v/>
      </c>
      <c r="J26" s="64">
        <f>IF($AJ$3=0,0,INDEX(J6:J25,$AJ$3))</f>
        <v/>
      </c>
      <c r="K26" s="64">
        <f>IF($AJ$3=0,0,INDEX(K6:K25,$AJ$3))</f>
        <v/>
      </c>
      <c r="L26" s="65">
        <f>IF($AJ$3=0,0,INDEX(L6:L25,$AJ$3))</f>
        <v/>
      </c>
      <c r="M26" s="65" t="n"/>
      <c r="N26" s="65" t="n"/>
      <c r="O26" s="64">
        <f>IF($AJ$3=0,0,INDEX(O6:O25,$AJ$3))</f>
        <v/>
      </c>
      <c r="P26" s="64">
        <f>IF($AJ$3=0,0,INDEX(P6:P25,$AJ$3))</f>
        <v/>
      </c>
      <c r="Q26" s="64">
        <f>IF($AJ$3=0,0,INDEX(Q6:Q25,$AJ$3))</f>
        <v/>
      </c>
      <c r="R26" s="64">
        <f>IF($AJ$3=0,0,INDEX(R6:R25,$AJ$3))</f>
        <v/>
      </c>
      <c r="S26" s="64">
        <f>IF($AJ$3=0,0,INDEX(S6:S25,$AJ$3))</f>
        <v/>
      </c>
      <c r="T26" s="64">
        <f>IF($AJ$3=0,0,INDEX(T6:T25,$AJ$3))</f>
        <v/>
      </c>
      <c r="U26" s="64">
        <f>IF($AJ$3=0,0,INDEX(U6:U25,$AJ$3))</f>
        <v/>
      </c>
      <c r="V26" s="64">
        <f>IF($AJ$3=0,0,INDEX(V6:V25,$AJ$3))</f>
        <v/>
      </c>
      <c r="W26" s="64">
        <f>IF($AJ$3=0,0,INDEX(W6:W25,$AJ$3))</f>
        <v/>
      </c>
      <c r="X26" s="64">
        <f>IF($AJ$3=0,0,INDEX(X6:X25,$AJ$3))</f>
        <v/>
      </c>
      <c r="Y26" s="64" t="n"/>
      <c r="Z26" s="64">
        <f>SUM(Z6:Z25)</f>
        <v/>
      </c>
      <c r="AA26" s="64">
        <f>SUM(AA6:AA25)</f>
        <v/>
      </c>
      <c r="AB26" s="66" t="n"/>
      <c r="AC26" s="64">
        <f>SUM(AC6:AC25)</f>
        <v/>
      </c>
      <c r="AD26" s="67">
        <f>IFERROR(AVERAGE(AD6:AD25),0)</f>
        <v/>
      </c>
      <c r="AE26" s="54" t="n"/>
      <c r="AF26" s="68" t="n"/>
      <c r="AG26" s="54" t="n"/>
    </row>
    <row r="28">
      <c r="A28" s="41" t="inlineStr">
        <is>
          <t>هذا السجل للعرض فقط (لا يُدخل فيه شيء) — كل البيانات تُدخل في شيت كل مستخلص. يصبح المستخلص فعالاً بمجرد إدخال «الفترة إلى» في شيته. اضغط على رقم المستخلص للانتقال إليه.</t>
        </is>
      </c>
      <c r="B28" s="41" t="n"/>
      <c r="C28" s="41" t="n"/>
      <c r="D28" s="41" t="n"/>
      <c r="E28" s="41" t="n"/>
      <c r="F28" s="41" t="n"/>
      <c r="G28" s="41" t="n"/>
      <c r="H28" s="41" t="n"/>
      <c r="I28" s="41" t="n"/>
      <c r="J28" s="41" t="n"/>
      <c r="K28" s="41" t="n"/>
      <c r="L28" s="41" t="n"/>
      <c r="M28" s="41" t="n"/>
      <c r="N28" s="41" t="n"/>
      <c r="O28" s="41" t="n"/>
      <c r="P28" s="41" t="n"/>
      <c r="Q28" s="41" t="n"/>
      <c r="R28" s="41" t="n"/>
      <c r="S28" s="41" t="n"/>
      <c r="T28" s="41" t="n"/>
      <c r="U28" s="41" t="n"/>
      <c r="V28" s="41" t="n"/>
      <c r="W28" s="41" t="n"/>
      <c r="X28" s="41" t="n"/>
      <c r="Y28" s="41" t="n"/>
      <c r="Z28" s="41" t="n"/>
      <c r="AA28" s="41" t="n"/>
      <c r="AB28" s="41" t="n"/>
      <c r="AC28" s="41" t="n"/>
      <c r="AD28" s="41" t="n"/>
      <c r="AE28" s="41" t="n"/>
    </row>
    <row r="30" ht="22" customHeight="1">
      <c r="B30" s="26" t="inlineStr">
        <is>
          <t>الإنجاز حسب أقسام الأعمال</t>
        </is>
      </c>
      <c r="C30" s="26" t="n"/>
      <c r="D30" s="26" t="n"/>
      <c r="E30" s="26" t="n"/>
      <c r="F30" s="26" t="n"/>
      <c r="G30" s="26" t="n"/>
      <c r="H30" s="26" t="n"/>
    </row>
    <row r="31" ht="30" customHeight="1">
      <c r="B31" s="17" t="inlineStr">
        <is>
          <t>القسم</t>
        </is>
      </c>
      <c r="C31" s="17" t="n"/>
      <c r="D31" s="17" t="n"/>
      <c r="E31" s="17" t="inlineStr">
        <is>
          <t>القيمة التعاقدية</t>
        </is>
      </c>
      <c r="F31" s="17" t="inlineStr">
        <is>
          <t>القيمة المنفذة التراكمية</t>
        </is>
      </c>
      <c r="G31" s="17" t="inlineStr">
        <is>
          <t>نسبة الإنجاز</t>
        </is>
      </c>
      <c r="H31" s="17" t="inlineStr">
        <is>
          <t>الوزن من العقد</t>
        </is>
      </c>
    </row>
    <row r="32">
      <c r="B32" s="18">
        <f>IF('بيانات العقد'!F6="","",'بيانات العقد'!F6)</f>
        <v/>
      </c>
      <c r="C32" s="18" t="n"/>
      <c r="D32" s="18" t="n"/>
      <c r="E32" s="43">
        <f>IF(B32="",0,SUMIF('جدول الكميات'!$C$6:$C$105,B32,'جدول الكميات'!$H$6:$H$105))</f>
        <v/>
      </c>
      <c r="F32" s="43">
        <f>IF(B32="",0,SUMIF('جدول الكميات'!$C$6:$C$105,B32,'مستخلص 20'!$M$51:$M$150))</f>
        <v/>
      </c>
      <c r="G32" s="69">
        <f>IF(E32&gt;0,F32/E32,0)</f>
        <v/>
      </c>
      <c r="H32" s="60">
        <f>IF(ContractValue&gt;0,E32/ContractValue,0)</f>
        <v/>
      </c>
    </row>
    <row r="33">
      <c r="B33" s="18">
        <f>IF('بيانات العقد'!F7="","",'بيانات العقد'!F7)</f>
        <v/>
      </c>
      <c r="C33" s="18" t="n"/>
      <c r="D33" s="18" t="n"/>
      <c r="E33" s="43">
        <f>IF(B33="",0,SUMIF('جدول الكميات'!$C$6:$C$105,B33,'جدول الكميات'!$H$6:$H$105))</f>
        <v/>
      </c>
      <c r="F33" s="43">
        <f>IF(B33="",0,SUMIF('جدول الكميات'!$C$6:$C$105,B33,'مستخلص 20'!$M$51:$M$150))</f>
        <v/>
      </c>
      <c r="G33" s="69">
        <f>IF(E33&gt;0,F33/E33,0)</f>
        <v/>
      </c>
      <c r="H33" s="60">
        <f>IF(ContractValue&gt;0,E33/ContractValue,0)</f>
        <v/>
      </c>
    </row>
    <row r="34">
      <c r="B34" s="18">
        <f>IF('بيانات العقد'!F8="","",'بيانات العقد'!F8)</f>
        <v/>
      </c>
      <c r="C34" s="18" t="n"/>
      <c r="D34" s="18" t="n"/>
      <c r="E34" s="43">
        <f>IF(B34="",0,SUMIF('جدول الكميات'!$C$6:$C$105,B34,'جدول الكميات'!$H$6:$H$105))</f>
        <v/>
      </c>
      <c r="F34" s="43">
        <f>IF(B34="",0,SUMIF('جدول الكميات'!$C$6:$C$105,B34,'مستخلص 20'!$M$51:$M$150))</f>
        <v/>
      </c>
      <c r="G34" s="69">
        <f>IF(E34&gt;0,F34/E34,0)</f>
        <v/>
      </c>
      <c r="H34" s="60">
        <f>IF(ContractValue&gt;0,E34/ContractValue,0)</f>
        <v/>
      </c>
    </row>
    <row r="35">
      <c r="B35" s="18">
        <f>IF('بيانات العقد'!F9="","",'بيانات العقد'!F9)</f>
        <v/>
      </c>
      <c r="C35" s="18" t="n"/>
      <c r="D35" s="18" t="n"/>
      <c r="E35" s="43">
        <f>IF(B35="",0,SUMIF('جدول الكميات'!$C$6:$C$105,B35,'جدول الكميات'!$H$6:$H$105))</f>
        <v/>
      </c>
      <c r="F35" s="43">
        <f>IF(B35="",0,SUMIF('جدول الكميات'!$C$6:$C$105,B35,'مستخلص 20'!$M$51:$M$150))</f>
        <v/>
      </c>
      <c r="G35" s="69">
        <f>IF(E35&gt;0,F35/E35,0)</f>
        <v/>
      </c>
      <c r="H35" s="60">
        <f>IF(ContractValue&gt;0,E35/ContractValue,0)</f>
        <v/>
      </c>
    </row>
    <row r="36">
      <c r="B36" s="18">
        <f>IF('بيانات العقد'!F10="","",'بيانات العقد'!F10)</f>
        <v/>
      </c>
      <c r="C36" s="18" t="n"/>
      <c r="D36" s="18" t="n"/>
      <c r="E36" s="43">
        <f>IF(B36="",0,SUMIF('جدول الكميات'!$C$6:$C$105,B36,'جدول الكميات'!$H$6:$H$105))</f>
        <v/>
      </c>
      <c r="F36" s="43">
        <f>IF(B36="",0,SUMIF('جدول الكميات'!$C$6:$C$105,B36,'مستخلص 20'!$M$51:$M$150))</f>
        <v/>
      </c>
      <c r="G36" s="69">
        <f>IF(E36&gt;0,F36/E36,0)</f>
        <v/>
      </c>
      <c r="H36" s="60">
        <f>IF(ContractValue&gt;0,E36/ContractValue,0)</f>
        <v/>
      </c>
    </row>
    <row r="37">
      <c r="B37" s="18">
        <f>IF('بيانات العقد'!F11="","",'بيانات العقد'!F11)</f>
        <v/>
      </c>
      <c r="C37" s="18" t="n"/>
      <c r="D37" s="18" t="n"/>
      <c r="E37" s="43">
        <f>IF(B37="",0,SUMIF('جدول الكميات'!$C$6:$C$105,B37,'جدول الكميات'!$H$6:$H$105))</f>
        <v/>
      </c>
      <c r="F37" s="43">
        <f>IF(B37="",0,SUMIF('جدول الكميات'!$C$6:$C$105,B37,'مستخلص 20'!$M$51:$M$150))</f>
        <v/>
      </c>
      <c r="G37" s="69">
        <f>IF(E37&gt;0,F37/E37,0)</f>
        <v/>
      </c>
      <c r="H37" s="60">
        <f>IF(ContractValue&gt;0,E37/ContractValue,0)</f>
        <v/>
      </c>
    </row>
    <row r="38">
      <c r="B38" s="18">
        <f>IF('بيانات العقد'!F12="","",'بيانات العقد'!F12)</f>
        <v/>
      </c>
      <c r="C38" s="18" t="n"/>
      <c r="D38" s="18" t="n"/>
      <c r="E38" s="43">
        <f>IF(B38="",0,SUMIF('جدول الكميات'!$C$6:$C$105,B38,'جدول الكميات'!$H$6:$H$105))</f>
        <v/>
      </c>
      <c r="F38" s="43">
        <f>IF(B38="",0,SUMIF('جدول الكميات'!$C$6:$C$105,B38,'مستخلص 20'!$M$51:$M$150))</f>
        <v/>
      </c>
      <c r="G38" s="69">
        <f>IF(E38&gt;0,F38/E38,0)</f>
        <v/>
      </c>
      <c r="H38" s="60">
        <f>IF(ContractValue&gt;0,E38/ContractValue,0)</f>
        <v/>
      </c>
    </row>
    <row r="39">
      <c r="B39" s="18">
        <f>IF('بيانات العقد'!F13="","",'بيانات العقد'!F13)</f>
        <v/>
      </c>
      <c r="C39" s="18" t="n"/>
      <c r="D39" s="18" t="n"/>
      <c r="E39" s="43">
        <f>IF(B39="",0,SUMIF('جدول الكميات'!$C$6:$C$105,B39,'جدول الكميات'!$H$6:$H$105))</f>
        <v/>
      </c>
      <c r="F39" s="43">
        <f>IF(B39="",0,SUMIF('جدول الكميات'!$C$6:$C$105,B39,'مستخلص 20'!$M$51:$M$150))</f>
        <v/>
      </c>
      <c r="G39" s="69">
        <f>IF(E39&gt;0,F39/E39,0)</f>
        <v/>
      </c>
      <c r="H39" s="60">
        <f>IF(ContractValue&gt;0,E39/ContractValue,0)</f>
        <v/>
      </c>
    </row>
    <row r="40">
      <c r="B40" s="18">
        <f>IF('بيانات العقد'!F14="","",'بيانات العقد'!F14)</f>
        <v/>
      </c>
      <c r="C40" s="18" t="n"/>
      <c r="D40" s="18" t="n"/>
      <c r="E40" s="43">
        <f>IF(B40="",0,SUMIF('جدول الكميات'!$C$6:$C$105,B40,'جدول الكميات'!$H$6:$H$105))</f>
        <v/>
      </c>
      <c r="F40" s="43">
        <f>IF(B40="",0,SUMIF('جدول الكميات'!$C$6:$C$105,B40,'مستخلص 20'!$M$51:$M$150))</f>
        <v/>
      </c>
      <c r="G40" s="69">
        <f>IF(E40&gt;0,F40/E40,0)</f>
        <v/>
      </c>
      <c r="H40" s="60">
        <f>IF(ContractValue&gt;0,E40/ContractValue,0)</f>
        <v/>
      </c>
    </row>
    <row r="41">
      <c r="B41" s="18">
        <f>IF('بيانات العقد'!F15="","",'بيانات العقد'!F15)</f>
        <v/>
      </c>
      <c r="C41" s="18" t="n"/>
      <c r="D41" s="18" t="n"/>
      <c r="E41" s="43">
        <f>IF(B41="",0,SUMIF('جدول الكميات'!$C$6:$C$105,B41,'جدول الكميات'!$H$6:$H$105))</f>
        <v/>
      </c>
      <c r="F41" s="43">
        <f>IF(B41="",0,SUMIF('جدول الكميات'!$C$6:$C$105,B41,'مستخلص 20'!$M$51:$M$150))</f>
        <v/>
      </c>
      <c r="G41" s="69">
        <f>IF(E41&gt;0,F41/E41,0)</f>
        <v/>
      </c>
      <c r="H41" s="60">
        <f>IF(ContractValue&gt;0,E41/ContractValue,0)</f>
        <v/>
      </c>
    </row>
    <row r="42">
      <c r="B42" s="18">
        <f>IF('بيانات العقد'!F16="","",'بيانات العقد'!F16)</f>
        <v/>
      </c>
      <c r="C42" s="18" t="n"/>
      <c r="D42" s="18" t="n"/>
      <c r="E42" s="43">
        <f>IF(B42="",0,SUMIF('جدول الكميات'!$C$6:$C$105,B42,'جدول الكميات'!$H$6:$H$105))</f>
        <v/>
      </c>
      <c r="F42" s="43">
        <f>IF(B42="",0,SUMIF('جدول الكميات'!$C$6:$C$105,B42,'مستخلص 20'!$M$51:$M$150))</f>
        <v/>
      </c>
      <c r="G42" s="69">
        <f>IF(E42&gt;0,F42/E42,0)</f>
        <v/>
      </c>
      <c r="H42" s="60">
        <f>IF(ContractValue&gt;0,E42/ContractValue,0)</f>
        <v/>
      </c>
    </row>
    <row r="43">
      <c r="B43" s="18">
        <f>IF('بيانات العقد'!F17="","",'بيانات العقد'!F17)</f>
        <v/>
      </c>
      <c r="C43" s="18" t="n"/>
      <c r="D43" s="18" t="n"/>
      <c r="E43" s="43">
        <f>IF(B43="",0,SUMIF('جدول الكميات'!$C$6:$C$105,B43,'جدول الكميات'!$H$6:$H$105))</f>
        <v/>
      </c>
      <c r="F43" s="43">
        <f>IF(B43="",0,SUMIF('جدول الكميات'!$C$6:$C$105,B43,'مستخلص 20'!$M$51:$M$150))</f>
        <v/>
      </c>
      <c r="G43" s="69">
        <f>IF(E43&gt;0,F43/E43,0)</f>
        <v/>
      </c>
      <c r="H43" s="60">
        <f>IF(ContractValue&gt;0,E43/ContractValue,0)</f>
        <v/>
      </c>
    </row>
  </sheetData>
  <mergeCells count="24">
    <mergeCell ref="B42:D42"/>
    <mergeCell ref="A2:AE2"/>
    <mergeCell ref="O4:T4"/>
    <mergeCell ref="B30:H30"/>
    <mergeCell ref="A26:F26"/>
    <mergeCell ref="B38:D38"/>
    <mergeCell ref="B34:D34"/>
    <mergeCell ref="AF4:AG4"/>
    <mergeCell ref="B37:D37"/>
    <mergeCell ref="A28:AE28"/>
    <mergeCell ref="B40:D40"/>
    <mergeCell ref="A4:F4"/>
    <mergeCell ref="AA4:AE4"/>
    <mergeCell ref="B33:D33"/>
    <mergeCell ref="B36:D36"/>
    <mergeCell ref="B41:D41"/>
    <mergeCell ref="B32:D32"/>
    <mergeCell ref="B35:D35"/>
    <mergeCell ref="A1:AE1"/>
    <mergeCell ref="U4:Z4"/>
    <mergeCell ref="G4:N4"/>
    <mergeCell ref="B31:D31"/>
    <mergeCell ref="B43:D43"/>
    <mergeCell ref="B39:D39"/>
  </mergeCells>
  <conditionalFormatting sqref="A6:AE25">
    <cfRule type="expression" priority="1" dxfId="6">
      <formula>$A6=$AJ$3</formula>
    </cfRule>
  </conditionalFormatting>
  <conditionalFormatting sqref="N6:N25">
    <cfRule type="cellIs" priority="2" operator="lessThan" dxfId="0">
      <formula>-0.0001</formula>
    </cfRule>
    <cfRule type="cellIs" priority="3" operator="between" dxfId="1">
      <formula>0</formula>
      <formula>10</formula>
    </cfRule>
  </conditionalFormatting>
  <conditionalFormatting sqref="AE6:AE25">
    <cfRule type="expression" priority="4" dxfId="1">
      <formula>ISNUMBER(SEARCH("✔",AE6))</formula>
    </cfRule>
    <cfRule type="expression" priority="5" dxfId="0">
      <formula>ISNUMBER(SEARCH("✖",AE6))</formula>
    </cfRule>
    <cfRule type="expression" priority="6" dxfId="7">
      <formula>ISNUMBER(SEARCH("⚠",AE6))</formula>
    </cfRule>
  </conditionalFormatting>
  <conditionalFormatting sqref="L6:L25">
    <cfRule type="dataBar" priority="7">
      <dataBar>
        <cfvo type="num" val="0"/>
        <cfvo type="num" val="1"/>
        <color rgb="0063BE7B"/>
      </dataBar>
    </cfRule>
  </conditionalFormatting>
  <conditionalFormatting sqref="G32:G43">
    <cfRule type="dataBar" priority="8">
      <dataBar>
        <cfvo type="num" val="0"/>
        <cfvo type="num" val="1"/>
        <color rgb="0063BE7B"/>
      </dataBar>
    </cfRule>
  </conditionalFormatting>
  <hyperlinks>
    <hyperlink ref="B3" location="'بيانات العقد'!A1" display="⚙ بيانات العقد"/>
    <hyperlink ref="D3" location="'جدول الكميات'!A1" display="📋 جدول الكميات"/>
    <hyperlink ref="F3" location="'الأوامر التغييرية'!A1" display="🔁 التغييرية"/>
    <hyperlink ref="H3" location="'الاستقطاعات الفنية'!A1" display="✂ الاستقطاعات"/>
    <hyperlink ref="J3" location="'مستخلص 01'!A1" display="🧾 مستخلص 01"/>
    <hyperlink ref="A6" location="'مستخلص 01'!A1" display="1"/>
    <hyperlink ref="A7" location="'مستخلص 02'!A1" display="2"/>
    <hyperlink ref="A8" location="'مستخلص 03'!A1" display="3"/>
    <hyperlink ref="A9" location="'مستخلص 04'!A1" display="4"/>
    <hyperlink ref="A10" location="'مستخلص 05'!A1" display="5"/>
    <hyperlink ref="A11" location="'مستخلص 06'!A1" display="6"/>
    <hyperlink ref="A12" location="'مستخلص 07'!A1" display="7"/>
    <hyperlink ref="A13" location="'مستخلص 08'!A1" display="8"/>
    <hyperlink ref="A14" location="'مستخلص 09'!A1" display="9"/>
    <hyperlink ref="A15" location="'مستخلص 10'!A1" display="10"/>
    <hyperlink ref="A16" location="'مستخلص 11'!A1" display="11"/>
    <hyperlink ref="A17" location="'مستخلص 12'!A1" display="12"/>
    <hyperlink ref="A18" location="'مستخلص 13'!A1" display="13"/>
    <hyperlink ref="A19" location="'مستخلص 14'!A1" display="14"/>
    <hyperlink ref="A20" location="'مستخلص 15'!A1" display="15"/>
    <hyperlink ref="A21" location="'مستخلص 16'!A1" display="16"/>
    <hyperlink ref="A22" location="'مستخلص 17'!A1" display="17"/>
    <hyperlink ref="A23" location="'مستخلص 18'!A1" display="18"/>
    <hyperlink ref="A24" location="'مستخلص 19'!A1" display="19"/>
    <hyperlink ref="A25" location="'مستخلص 20'!A1" display="20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50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43" t="n">
        <v>0</v>
      </c>
      <c r="I19" s="43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43" t="n">
        <v>0</v>
      </c>
      <c r="I20" s="43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43" t="n">
        <v>0</v>
      </c>
      <c r="I21" s="43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81" t="n">
        <v>0</v>
      </c>
      <c r="I22" s="81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84" t="n">
        <v>0</v>
      </c>
      <c r="I23" s="84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84" t="n">
        <v>0</v>
      </c>
      <c r="I24" s="84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43" t="n">
        <v>0</v>
      </c>
      <c r="I25" s="43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84" t="n">
        <v>0</v>
      </c>
      <c r="I26" s="84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84" t="n">
        <v>0</v>
      </c>
      <c r="I27" s="84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81" t="n">
        <v>0</v>
      </c>
      <c r="I28" s="81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43" t="n">
        <v>0</v>
      </c>
      <c r="I29" s="43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84" t="n">
        <v>0</v>
      </c>
      <c r="I30" s="84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 t="n">
        <v>0</v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 t="n">
        <v>0</v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 t="n">
        <v>0</v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 t="n">
        <v>0</v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 t="n">
        <v>0</v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 t="n">
        <v>0</v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 t="n">
        <v>0</v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 t="n">
        <v>0</v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 t="n">
        <v>0</v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 t="n">
        <v>0</v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 t="n">
        <v>0</v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 t="n">
        <v>0</v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 t="n">
        <v>0</v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 t="n">
        <v>0</v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 t="n">
        <v>0</v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 t="n">
        <v>0</v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 t="n">
        <v>0</v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 t="n">
        <v>0</v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 t="n">
        <v>0</v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 t="n">
        <v>0</v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 t="n">
        <v>0</v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 t="n">
        <v>0</v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 t="n">
        <v>0</v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 t="n">
        <v>0</v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 t="n">
        <v>0</v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 t="n">
        <v>0</v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 t="n">
        <v>0</v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 t="n">
        <v>0</v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 t="n">
        <v>0</v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 t="n">
        <v>0</v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 t="n">
        <v>0</v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 t="n">
        <v>0</v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 t="n">
        <v>0</v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 t="n">
        <v>0</v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 t="n">
        <v>0</v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 t="n">
        <v>0</v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 t="n">
        <v>0</v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 t="n">
        <v>0</v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 t="n">
        <v>0</v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 t="n">
        <v>0</v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 t="n">
        <v>0</v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 t="n">
        <v>0</v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 t="n">
        <v>0</v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 t="n">
        <v>0</v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 t="n">
        <v>0</v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 t="n">
        <v>0</v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 t="n">
        <v>0</v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 t="n">
        <v>0</v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 t="n">
        <v>0</v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 t="n">
        <v>0</v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 t="n">
        <v>0</v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 t="n">
        <v>0</v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 t="n">
        <v>0</v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 t="n">
        <v>0</v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 t="n">
        <v>0</v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 t="n">
        <v>0</v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 t="n">
        <v>0</v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 t="n">
        <v>0</v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 t="n">
        <v>0</v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 t="n">
        <v>0</v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 t="n">
        <v>0</v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 t="n">
        <v>0</v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 t="n">
        <v>0</v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 t="n">
        <v>0</v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 t="n">
        <v>0</v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 t="n">
        <v>0</v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 t="n">
        <v>0</v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 t="n">
        <v>0</v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 t="n">
        <v>0</v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 t="n">
        <v>0</v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 t="n">
        <v>0</v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 t="n">
        <v>0</v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 t="n">
        <v>0</v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 t="n">
        <v>0</v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 t="n">
        <v>0</v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 t="n">
        <v>0</v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 t="n">
        <v>0</v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 t="n">
        <v>0</v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 t="n">
        <v>0</v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 t="n">
        <v>0</v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 t="n">
        <v>0</v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 t="n">
        <v>0</v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 t="n">
        <v>0</v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 t="n">
        <v>0</v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 t="n">
        <v>0</v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 t="n">
        <v>0</v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 t="n">
        <v>0</v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 t="n">
        <v>0</v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 t="n">
        <v>0</v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 t="n">
        <v>0</v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 t="n">
        <v>0</v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 t="n">
        <v>0</v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 t="n">
        <v>0</v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 t="n">
        <v>0</v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 t="n">
        <v>0</v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 t="n">
        <v>0</v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 t="n">
        <v>0</v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 t="n">
        <v>0</v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 t="n">
        <v>0</v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 t="n">
        <v>0</v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 t="n">
        <v>0</v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L3" location="'مستخلص 02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8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(2)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50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2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01'!L19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01'!L20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01'!L21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01'!L22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01'!L23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01'!L24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01'!L25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01'!L26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01'!L27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01'!L28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01'!L29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01'!L30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01'!L31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01'!I51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01'!I52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01'!I53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01'!I54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01'!I55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01'!I56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01'!I57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01'!I58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01'!I59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01'!I60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01'!I61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01'!I62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01'!I63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01'!I64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01'!I65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01'!I66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01'!I67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01'!I68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01'!I69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01'!I70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01'!I71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01'!I72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01'!I73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01'!I74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01'!I75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01'!I76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01'!I77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01'!I78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01'!I79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01'!I80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01'!I81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01'!I82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01'!I83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01'!I84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01'!I85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01'!I86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01'!I87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01'!I88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01'!I89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01'!I90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01'!I91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01'!I92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01'!I93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01'!I94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01'!I95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01'!I96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01'!I97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01'!I98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01'!I99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01'!I100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01'!I101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01'!I102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01'!I103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01'!I104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01'!I105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01'!I106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01'!I107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01'!I108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01'!I109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01'!I110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01'!I111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01'!I112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01'!I113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01'!I114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01'!I115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01'!I116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01'!I117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01'!I118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01'!I119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01'!I120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01'!I121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01'!I122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01'!I123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01'!I124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01'!I125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01'!I126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01'!I127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01'!I128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01'!I129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01'!I130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01'!I131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01'!I132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01'!I133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01'!I134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01'!I135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01'!I136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01'!I137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01'!I138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01'!I139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01'!I140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01'!I141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01'!I142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01'!I143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01'!I144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01'!I145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01'!I146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01'!I147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01'!I148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01'!I149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01'!I150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1'!A1" display="◄ المستخلص السابق"/>
    <hyperlink ref="L3" location="'مستخلص 03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9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(3)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50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3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02'!L19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02'!L20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02'!L21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02'!L22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02'!L23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02'!L24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02'!L25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02'!L26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02'!L27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02'!L28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02'!L29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02'!L30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02'!L31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02'!I51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02'!I52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02'!I53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02'!I54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02'!I55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02'!I56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02'!I57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02'!I58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02'!I59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02'!I60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02'!I61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02'!I62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02'!I63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02'!I64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02'!I65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02'!I66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02'!I67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02'!I68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02'!I69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02'!I70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02'!I71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02'!I72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02'!I73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02'!I74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02'!I75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02'!I76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02'!I77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02'!I78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02'!I79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02'!I80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02'!I81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02'!I82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02'!I83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02'!I84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02'!I85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02'!I86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02'!I87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02'!I88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02'!I89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02'!I90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02'!I91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02'!I92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02'!I93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02'!I94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02'!I95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02'!I96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02'!I97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02'!I98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02'!I99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02'!I100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02'!I101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02'!I102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02'!I103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02'!I104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02'!I105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02'!I106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02'!I107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02'!I108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02'!I109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02'!I110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02'!I111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02'!I112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02'!I113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02'!I114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02'!I115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02'!I116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02'!I117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02'!I118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02'!I119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02'!I120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02'!I121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02'!I122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02'!I123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02'!I124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02'!I125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02'!I126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02'!I127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02'!I128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02'!I129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02'!I130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02'!I131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02'!I132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02'!I133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02'!I134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02'!I135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02'!I136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02'!I137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02'!I138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02'!I139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02'!I140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02'!I141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02'!I142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02'!I143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02'!I144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02'!I145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02'!I146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02'!I147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02'!I148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02'!I149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02'!I150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2'!A1" display="◄ المستخلص السابق"/>
    <hyperlink ref="L3" location="'مستخلص 04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0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(4)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50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4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03'!L19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03'!L20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03'!L21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03'!L22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03'!L23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03'!L24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03'!L25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03'!L26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03'!L27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03'!L28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03'!L29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03'!L30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03'!L31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03'!I51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03'!I52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03'!I53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03'!I54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03'!I55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03'!I56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03'!I57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03'!I58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03'!I59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03'!I60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03'!I61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03'!I62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03'!I63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03'!I64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03'!I65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03'!I66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03'!I67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03'!I68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03'!I69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03'!I70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03'!I71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03'!I72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03'!I73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03'!I74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03'!I75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03'!I76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03'!I77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03'!I78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03'!I79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03'!I80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03'!I81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03'!I82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03'!I83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03'!I84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03'!I85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03'!I86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03'!I87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03'!I88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03'!I89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03'!I90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03'!I91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03'!I92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03'!I93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03'!I94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03'!I95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03'!I96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03'!I97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03'!I98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03'!I99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03'!I100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03'!I101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03'!I102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03'!I103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03'!I104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03'!I105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03'!I106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03'!I107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03'!I108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03'!I109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03'!I110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03'!I111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03'!I112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03'!I113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03'!I114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03'!I115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03'!I116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03'!I117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03'!I118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03'!I119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03'!I120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03'!I121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03'!I122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03'!I123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03'!I124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03'!I125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03'!I126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03'!I127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03'!I128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03'!I129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03'!I130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03'!I131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03'!I132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03'!I133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03'!I134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03'!I135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03'!I136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03'!I137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03'!I138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03'!I139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03'!I140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03'!I141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03'!I142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03'!I143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03'!I144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03'!I145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03'!I146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03'!I147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03'!I148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03'!I149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03'!I150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3'!A1" display="◄ المستخلص السابق"/>
    <hyperlink ref="L3" location="'مستخلص 05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1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(5)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50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5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04'!L19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04'!L20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04'!L21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04'!L22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04'!L23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04'!L24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04'!L25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04'!L26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04'!L27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04'!L28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04'!L29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04'!L30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04'!L31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04'!I51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04'!I52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04'!I53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04'!I54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04'!I55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04'!I56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04'!I57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04'!I58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04'!I59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04'!I60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04'!I61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04'!I62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04'!I63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04'!I64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04'!I65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04'!I66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04'!I67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04'!I68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04'!I69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04'!I70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04'!I71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04'!I72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04'!I73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04'!I74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04'!I75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04'!I76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04'!I77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04'!I78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04'!I79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04'!I80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04'!I81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04'!I82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04'!I83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04'!I84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04'!I85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04'!I86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04'!I87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04'!I88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04'!I89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04'!I90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04'!I91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04'!I92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04'!I93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04'!I94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04'!I95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04'!I96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04'!I97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04'!I98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04'!I99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04'!I100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04'!I101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04'!I102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04'!I103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04'!I104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04'!I105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04'!I106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04'!I107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04'!I108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04'!I109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04'!I110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04'!I111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04'!I112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04'!I113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04'!I114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04'!I115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04'!I116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04'!I117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04'!I118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04'!I119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04'!I120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04'!I121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04'!I122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04'!I123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04'!I124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04'!I125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04'!I126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04'!I127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04'!I128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04'!I129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04'!I130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04'!I131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04'!I132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04'!I133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04'!I134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04'!I135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04'!I136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04'!I137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04'!I138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04'!I139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04'!I140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04'!I141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04'!I142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04'!I143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04'!I144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04'!I145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04'!I146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04'!I147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04'!I148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04'!I149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04'!I150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4'!A1" display="◄ المستخلص السابق"/>
    <hyperlink ref="L3" location="'مستخلص 06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2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(6)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50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6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05'!L19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05'!L20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05'!L21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05'!L22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05'!L23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05'!L24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05'!L25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05'!L26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05'!L27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05'!L28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05'!L29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05'!L30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05'!L31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05'!I51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05'!I52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05'!I53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05'!I54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05'!I55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05'!I56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05'!I57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05'!I58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05'!I59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05'!I60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05'!I61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05'!I62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05'!I63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05'!I64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05'!I65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05'!I66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05'!I67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05'!I68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05'!I69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05'!I70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05'!I71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05'!I72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05'!I73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05'!I74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05'!I75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05'!I76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05'!I77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05'!I78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05'!I79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05'!I80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05'!I81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05'!I82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05'!I83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05'!I84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05'!I85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05'!I86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05'!I87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05'!I88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05'!I89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05'!I90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05'!I91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05'!I92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05'!I93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05'!I94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05'!I95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05'!I96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05'!I97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05'!I98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05'!I99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05'!I100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05'!I101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05'!I102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05'!I103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05'!I104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05'!I105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05'!I106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05'!I107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05'!I108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05'!I109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05'!I110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05'!I111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05'!I112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05'!I113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05'!I114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05'!I115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05'!I116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05'!I117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05'!I118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05'!I119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05'!I120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05'!I121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05'!I122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05'!I123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05'!I124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05'!I125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05'!I126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05'!I127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05'!I128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05'!I129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05'!I130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05'!I131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05'!I132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05'!I133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05'!I134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05'!I135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05'!I136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05'!I137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05'!I138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05'!I139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05'!I140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05'!I141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05'!I142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05'!I143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05'!I144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05'!I145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05'!I146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05'!I147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05'!I148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05'!I149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05'!I150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5'!A1" display="◄ المستخلص السابق"/>
    <hyperlink ref="L3" location="'مستخلص 07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3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(7)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50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7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06'!L19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06'!L20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06'!L21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06'!L22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06'!L23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06'!L24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06'!L25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06'!L26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06'!L27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06'!L28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06'!L29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06'!L30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06'!L31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06'!I51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06'!I52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06'!I53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06'!I54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06'!I55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06'!I56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06'!I57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06'!I58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06'!I59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06'!I60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06'!I61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06'!I62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06'!I63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06'!I64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06'!I65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06'!I66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06'!I67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06'!I68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06'!I69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06'!I70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06'!I71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06'!I72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06'!I73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06'!I74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06'!I75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06'!I76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06'!I77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06'!I78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06'!I79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06'!I80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06'!I81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06'!I82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06'!I83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06'!I84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06'!I85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06'!I86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06'!I87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06'!I88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06'!I89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06'!I90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06'!I91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06'!I92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06'!I93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06'!I94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06'!I95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06'!I96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06'!I97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06'!I98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06'!I99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06'!I100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06'!I101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06'!I102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06'!I103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06'!I104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06'!I105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06'!I106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06'!I107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06'!I108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06'!I109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06'!I110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06'!I111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06'!I112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06'!I113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06'!I114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06'!I115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06'!I116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06'!I117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06'!I118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06'!I119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06'!I120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06'!I121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06'!I122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06'!I123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06'!I124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06'!I125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06'!I126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06'!I127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06'!I128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06'!I129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06'!I130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06'!I131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06'!I132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06'!I133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06'!I134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06'!I135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06'!I136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06'!I137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06'!I138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06'!I139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06'!I140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06'!I141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06'!I142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06'!I143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06'!I144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06'!I145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06'!I146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06'!I147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06'!I148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06'!I149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06'!I150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6'!A1" display="◄ المستخلص السابق"/>
    <hyperlink ref="L3" location="'مستخلص 08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4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(8)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50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8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07'!L19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07'!L20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07'!L21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07'!L22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07'!L23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07'!L24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07'!L25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07'!L26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07'!L27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07'!L28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07'!L29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07'!L30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07'!L31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07'!I51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07'!I52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07'!I53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07'!I54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07'!I55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07'!I56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07'!I57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07'!I58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07'!I59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07'!I60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07'!I61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07'!I62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07'!I63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07'!I64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07'!I65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07'!I66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07'!I67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07'!I68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07'!I69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07'!I70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07'!I71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07'!I72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07'!I73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07'!I74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07'!I75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07'!I76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07'!I77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07'!I78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07'!I79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07'!I80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07'!I81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07'!I82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07'!I83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07'!I84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07'!I85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07'!I86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07'!I87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07'!I88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07'!I89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07'!I90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07'!I91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07'!I92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07'!I93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07'!I94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07'!I95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07'!I96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07'!I97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07'!I98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07'!I99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07'!I100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07'!I101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07'!I102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07'!I103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07'!I104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07'!I105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07'!I106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07'!I107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07'!I108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07'!I109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07'!I110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07'!I111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07'!I112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07'!I113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07'!I114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07'!I115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07'!I116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07'!I117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07'!I118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07'!I119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07'!I120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07'!I121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07'!I122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07'!I123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07'!I124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07'!I125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07'!I126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07'!I127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07'!I128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07'!I129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07'!I130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07'!I131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07'!I132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07'!I133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07'!I134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07'!I135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07'!I136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07'!I137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07'!I138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07'!I139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07'!I140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07'!I141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07'!I142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07'!I143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07'!I144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07'!I145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07'!I146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07'!I147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07'!I148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07'!I149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07'!I150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7'!A1" display="◄ المستخلص السابق"/>
    <hyperlink ref="L3" location="'مستخلص 09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5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(9)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50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9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08'!L19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08'!L20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08'!L21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08'!L22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08'!L23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08'!L24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08'!L25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08'!L26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08'!L27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08'!L28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08'!L29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08'!L30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08'!L31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08'!I51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08'!I52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08'!I53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08'!I54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08'!I55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08'!I56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08'!I57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08'!I58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08'!I59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08'!I60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08'!I61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08'!I62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08'!I63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08'!I64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08'!I65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08'!I66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08'!I67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08'!I68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08'!I69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08'!I70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08'!I71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08'!I72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08'!I73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08'!I74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08'!I75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08'!I76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08'!I77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08'!I78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08'!I79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08'!I80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08'!I81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08'!I82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08'!I83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08'!I84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08'!I85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08'!I86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08'!I87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08'!I88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08'!I89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08'!I90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08'!I91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08'!I92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08'!I93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08'!I94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08'!I95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08'!I96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08'!I97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08'!I98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08'!I99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08'!I100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08'!I101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08'!I102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08'!I103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08'!I104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08'!I105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08'!I106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08'!I107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08'!I108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08'!I109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08'!I110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08'!I111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08'!I112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08'!I113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08'!I114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08'!I115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08'!I116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08'!I117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08'!I118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08'!I119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08'!I120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08'!I121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08'!I122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08'!I123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08'!I124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08'!I125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08'!I126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08'!I127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08'!I128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08'!I129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08'!I130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08'!I131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08'!I132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08'!I133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08'!I134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08'!I135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08'!I136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08'!I137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08'!I138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08'!I139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08'!I140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08'!I141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08'!I142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08'!I143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08'!I144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08'!I145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08'!I146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08'!I147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08'!I148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08'!I149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08'!I150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8'!A1" display="◄ المستخلص السابق"/>
    <hyperlink ref="L3" location="'مستخلص 10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6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(10)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50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10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09'!L19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09'!L20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09'!L21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09'!L22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09'!L23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09'!L24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09'!L25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09'!L26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09'!L27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09'!L28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09'!L29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09'!L30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09'!L31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09'!I51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09'!I52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09'!I53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09'!I54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09'!I55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09'!I56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09'!I57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09'!I58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09'!I59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09'!I60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09'!I61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09'!I62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09'!I63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09'!I64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09'!I65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09'!I66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09'!I67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09'!I68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09'!I69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09'!I70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09'!I71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09'!I72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09'!I73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09'!I74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09'!I75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09'!I76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09'!I77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09'!I78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09'!I79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09'!I80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09'!I81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09'!I82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09'!I83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09'!I84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09'!I85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09'!I86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09'!I87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09'!I88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09'!I89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09'!I90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09'!I91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09'!I92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09'!I93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09'!I94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09'!I95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09'!I96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09'!I97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09'!I98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09'!I99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09'!I100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09'!I101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09'!I102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09'!I103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09'!I104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09'!I105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09'!I106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09'!I107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09'!I108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09'!I109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09'!I110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09'!I111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09'!I112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09'!I113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09'!I114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09'!I115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09'!I116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09'!I117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09'!I118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09'!I119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09'!I120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09'!I121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09'!I122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09'!I123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09'!I124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09'!I125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09'!I126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09'!I127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09'!I128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09'!I129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09'!I130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09'!I131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09'!I132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09'!I133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09'!I134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09'!I135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09'!I136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09'!I137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09'!I138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09'!I139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09'!I140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09'!I141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09'!I142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09'!I143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09'!I144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09'!I145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09'!I146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09'!I147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09'!I148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09'!I149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09'!I150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9'!A1" display="◄ المستخلص السابق"/>
    <hyperlink ref="L3" location="'مستخلص 11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7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(11)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50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11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10'!L19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10'!L20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10'!L21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10'!L22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10'!L23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10'!L24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10'!L25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10'!L26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10'!L27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10'!L28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10'!L29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10'!L30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10'!L31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10'!I51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10'!I52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10'!I53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10'!I54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10'!I55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10'!I56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10'!I57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10'!I58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10'!I59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10'!I60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10'!I61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10'!I62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10'!I63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10'!I64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10'!I65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10'!I66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10'!I67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10'!I68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10'!I69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10'!I70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10'!I71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10'!I72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10'!I73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10'!I74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10'!I75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10'!I76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10'!I77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10'!I78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10'!I79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10'!I80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10'!I81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10'!I82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10'!I83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10'!I84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10'!I85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10'!I86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10'!I87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10'!I88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10'!I89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10'!I90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10'!I91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10'!I92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10'!I93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10'!I94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10'!I95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10'!I96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10'!I97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10'!I98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10'!I99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10'!I100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10'!I101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10'!I102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10'!I103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10'!I104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10'!I105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10'!I106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10'!I107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10'!I108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10'!I109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10'!I110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10'!I111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10'!I112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10'!I113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10'!I114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10'!I115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10'!I116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10'!I117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10'!I118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10'!I119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10'!I120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10'!I121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10'!I122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10'!I123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10'!I124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10'!I125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10'!I126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10'!I127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10'!I128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10'!I129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10'!I130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10'!I131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10'!I132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10'!I133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10'!I134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10'!I135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10'!I136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10'!I137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10'!I138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10'!I139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10'!I140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10'!I141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10'!I142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10'!I143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10'!I144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10'!I145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10'!I146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10'!I147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10'!I148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10'!I149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10'!I150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0'!A1" display="◄ المستخلص السابق"/>
    <hyperlink ref="L3" location="'مستخلص 12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8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(12)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50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12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11'!L19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11'!L20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11'!L21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11'!L22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11'!L23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11'!L24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11'!L25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11'!L26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11'!L27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11'!L28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11'!L29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11'!L30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11'!L31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11'!I51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11'!I52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11'!I53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11'!I54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11'!I55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11'!I56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11'!I57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11'!I58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11'!I59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11'!I60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11'!I61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11'!I62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11'!I63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11'!I64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11'!I65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11'!I66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11'!I67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11'!I68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11'!I69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11'!I70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11'!I71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11'!I72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11'!I73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11'!I74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11'!I75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11'!I76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11'!I77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11'!I78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11'!I79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11'!I80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11'!I81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11'!I82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11'!I83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11'!I84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11'!I85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11'!I86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11'!I87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11'!I88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11'!I89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11'!I90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11'!I91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11'!I92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11'!I93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11'!I94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11'!I95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11'!I96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11'!I97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11'!I98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11'!I99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11'!I100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11'!I101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11'!I102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11'!I103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11'!I104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11'!I105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11'!I106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11'!I107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11'!I108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11'!I109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11'!I110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11'!I111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11'!I112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11'!I113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11'!I114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11'!I115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11'!I116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11'!I117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11'!I118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11'!I119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11'!I120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11'!I121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11'!I122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11'!I123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11'!I124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11'!I125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11'!I126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11'!I127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11'!I128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11'!I129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11'!I130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11'!I131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11'!I132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11'!I133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11'!I134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11'!I135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11'!I136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11'!I137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11'!I138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11'!I139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11'!I140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11'!I141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11'!I142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11'!I143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11'!I144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11'!I145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11'!I146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11'!I147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11'!I148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11'!I149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11'!I150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1'!A1" display="◄ المستخلص السابق"/>
    <hyperlink ref="L3" location="'مستخلص 13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9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(13)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50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13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12'!L19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12'!L20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12'!L21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12'!L22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12'!L23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12'!L24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12'!L25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12'!L26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12'!L27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12'!L28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12'!L29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12'!L30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12'!L31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12'!I51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12'!I52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12'!I53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12'!I54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12'!I55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12'!I56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12'!I57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12'!I58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12'!I59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12'!I60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12'!I61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12'!I62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12'!I63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12'!I64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12'!I65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12'!I66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12'!I67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12'!I68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12'!I69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12'!I70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12'!I71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12'!I72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12'!I73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12'!I74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12'!I75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12'!I76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12'!I77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12'!I78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12'!I79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12'!I80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12'!I81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12'!I82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12'!I83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12'!I84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12'!I85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12'!I86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12'!I87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12'!I88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12'!I89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12'!I90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12'!I91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12'!I92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12'!I93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12'!I94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12'!I95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12'!I96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12'!I97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12'!I98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12'!I99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12'!I100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12'!I101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12'!I102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12'!I103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12'!I104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12'!I105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12'!I106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12'!I107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12'!I108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12'!I109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12'!I110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12'!I111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12'!I112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12'!I113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12'!I114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12'!I115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12'!I116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12'!I117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12'!I118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12'!I119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12'!I120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12'!I121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12'!I122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12'!I123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12'!I124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12'!I125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12'!I126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12'!I127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12'!I128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12'!I129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12'!I130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12'!I131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12'!I132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12'!I133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12'!I134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12'!I135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12'!I136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12'!I137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12'!I138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12'!I139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12'!I140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12'!I141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12'!I142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12'!I143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12'!I144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12'!I145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12'!I146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12'!I147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12'!I148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12'!I149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12'!I150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2'!A1" display="◄ المستخلص السابق"/>
    <hyperlink ref="L3" location="'مستخلص 14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20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(14)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50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14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13'!L19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13'!L20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13'!L21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13'!L22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13'!L23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13'!L24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13'!L25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13'!L26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13'!L27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13'!L28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13'!L29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13'!L30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13'!L31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13'!I51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13'!I52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13'!I53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13'!I54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13'!I55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13'!I56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13'!I57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13'!I58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13'!I59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13'!I60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13'!I61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13'!I62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13'!I63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13'!I64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13'!I65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13'!I66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13'!I67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13'!I68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13'!I69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13'!I70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13'!I71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13'!I72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13'!I73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13'!I74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13'!I75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13'!I76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13'!I77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13'!I78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13'!I79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13'!I80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13'!I81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13'!I82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13'!I83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13'!I84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13'!I85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13'!I86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13'!I87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13'!I88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13'!I89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13'!I90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13'!I91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13'!I92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13'!I93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13'!I94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13'!I95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13'!I96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13'!I97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13'!I98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13'!I99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13'!I100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13'!I101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13'!I102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13'!I103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13'!I104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13'!I105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13'!I106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13'!I107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13'!I108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13'!I109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13'!I110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13'!I111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13'!I112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13'!I113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13'!I114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13'!I115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13'!I116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13'!I117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13'!I118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13'!I119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13'!I120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13'!I121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13'!I122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13'!I123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13'!I124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13'!I125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13'!I126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13'!I127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13'!I128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13'!I129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13'!I130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13'!I131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13'!I132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13'!I133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13'!I134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13'!I135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13'!I136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13'!I137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13'!I138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13'!I139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13'!I140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13'!I141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13'!I142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13'!I143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13'!I144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13'!I145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13'!I146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13'!I147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13'!I148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13'!I149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13'!I150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3'!A1" display="◄ المستخلص السابق"/>
    <hyperlink ref="L3" location="'مستخلص 15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21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(15)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50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15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14'!L19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14'!L20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14'!L21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14'!L22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14'!L23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14'!L24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14'!L25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14'!L26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14'!L27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14'!L28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14'!L29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14'!L30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14'!L31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14'!I51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14'!I52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14'!I53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14'!I54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14'!I55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14'!I56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14'!I57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14'!I58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14'!I59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14'!I60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14'!I61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14'!I62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14'!I63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14'!I64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14'!I65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14'!I66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14'!I67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14'!I68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14'!I69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14'!I70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14'!I71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14'!I72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14'!I73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14'!I74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14'!I75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14'!I76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14'!I77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14'!I78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14'!I79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14'!I80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14'!I81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14'!I82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14'!I83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14'!I84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14'!I85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14'!I86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14'!I87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14'!I88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14'!I89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14'!I90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14'!I91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14'!I92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14'!I93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14'!I94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14'!I95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14'!I96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14'!I97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14'!I98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14'!I99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14'!I100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14'!I101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14'!I102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14'!I103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14'!I104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14'!I105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14'!I106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14'!I107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14'!I108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14'!I109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14'!I110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14'!I111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14'!I112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14'!I113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14'!I114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14'!I115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14'!I116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14'!I117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14'!I118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14'!I119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14'!I120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14'!I121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14'!I122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14'!I123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14'!I124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14'!I125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14'!I126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14'!I127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14'!I128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14'!I129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14'!I130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14'!I131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14'!I132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14'!I133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14'!I134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14'!I135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14'!I136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14'!I137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14'!I138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14'!I139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14'!I140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14'!I141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14'!I142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14'!I143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14'!I144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14'!I145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14'!I146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14'!I147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14'!I148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14'!I149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14'!I150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4'!A1" display="◄ المستخلص السابق"/>
    <hyperlink ref="L3" location="'مستخلص 16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22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(16)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50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16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15'!L19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15'!L20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15'!L21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15'!L22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15'!L23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15'!L24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15'!L25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15'!L26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15'!L27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15'!L28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15'!L29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15'!L30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15'!L31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15'!I51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15'!I52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15'!I53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15'!I54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15'!I55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15'!I56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15'!I57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15'!I58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15'!I59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15'!I60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15'!I61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15'!I62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15'!I63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15'!I64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15'!I65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15'!I66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15'!I67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15'!I68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15'!I69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15'!I70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15'!I71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15'!I72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15'!I73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15'!I74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15'!I75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15'!I76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15'!I77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15'!I78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15'!I79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15'!I80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15'!I81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15'!I82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15'!I83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15'!I84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15'!I85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15'!I86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15'!I87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15'!I88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15'!I89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15'!I90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15'!I91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15'!I92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15'!I93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15'!I94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15'!I95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15'!I96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15'!I97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15'!I98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15'!I99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15'!I100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15'!I101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15'!I102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15'!I103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15'!I104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15'!I105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15'!I106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15'!I107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15'!I108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15'!I109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15'!I110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15'!I111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15'!I112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15'!I113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15'!I114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15'!I115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15'!I116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15'!I117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15'!I118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15'!I119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15'!I120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15'!I121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15'!I122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15'!I123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15'!I124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15'!I125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15'!I126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15'!I127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15'!I128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15'!I129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15'!I130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15'!I131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15'!I132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15'!I133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15'!I134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15'!I135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15'!I136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15'!I137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15'!I138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15'!I139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15'!I140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15'!I141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15'!I142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15'!I143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15'!I144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15'!I145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15'!I146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15'!I147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15'!I148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15'!I149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15'!I150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5'!A1" display="◄ المستخلص السابق"/>
    <hyperlink ref="L3" location="'مستخلص 17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23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(17)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50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17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16'!L19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16'!L20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16'!L21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16'!L22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16'!L23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16'!L24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16'!L25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16'!L26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16'!L27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16'!L28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16'!L29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16'!L30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16'!L31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16'!I51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16'!I52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16'!I53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16'!I54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16'!I55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16'!I56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16'!I57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16'!I58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16'!I59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16'!I60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16'!I61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16'!I62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16'!I63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16'!I64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16'!I65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16'!I66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16'!I67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16'!I68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16'!I69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16'!I70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16'!I71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16'!I72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16'!I73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16'!I74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16'!I75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16'!I76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16'!I77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16'!I78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16'!I79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16'!I80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16'!I81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16'!I82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16'!I83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16'!I84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16'!I85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16'!I86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16'!I87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16'!I88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16'!I89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16'!I90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16'!I91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16'!I92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16'!I93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16'!I94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16'!I95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16'!I96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16'!I97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16'!I98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16'!I99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16'!I100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16'!I101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16'!I102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16'!I103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16'!I104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16'!I105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16'!I106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16'!I107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16'!I108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16'!I109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16'!I110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16'!I111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16'!I112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16'!I113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16'!I114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16'!I115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16'!I116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16'!I117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16'!I118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16'!I119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16'!I120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16'!I121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16'!I122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16'!I123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16'!I124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16'!I125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16'!I126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16'!I127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16'!I128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16'!I129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16'!I130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16'!I131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16'!I132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16'!I133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16'!I134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16'!I135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16'!I136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16'!I137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16'!I138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16'!I139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16'!I140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16'!I141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16'!I142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16'!I143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16'!I144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16'!I145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16'!I146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16'!I147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16'!I148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16'!I149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16'!I150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6'!A1" display="◄ المستخلص السابق"/>
    <hyperlink ref="L3" location="'مستخلص 18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24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(18)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50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18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17'!L19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17'!L20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17'!L21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17'!L22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17'!L23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17'!L24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17'!L25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17'!L26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17'!L27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17'!L28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17'!L29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17'!L30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17'!L31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17'!I51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17'!I52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17'!I53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17'!I54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17'!I55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17'!I56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17'!I57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17'!I58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17'!I59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17'!I60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17'!I61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17'!I62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17'!I63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17'!I64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17'!I65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17'!I66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17'!I67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17'!I68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17'!I69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17'!I70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17'!I71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17'!I72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17'!I73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17'!I74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17'!I75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17'!I76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17'!I77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17'!I78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17'!I79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17'!I80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17'!I81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17'!I82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17'!I83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17'!I84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17'!I85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17'!I86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17'!I87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17'!I88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17'!I89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17'!I90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17'!I91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17'!I92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17'!I93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17'!I94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17'!I95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17'!I96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17'!I97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17'!I98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17'!I99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17'!I100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17'!I101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17'!I102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17'!I103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17'!I104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17'!I105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17'!I106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17'!I107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17'!I108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17'!I109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17'!I110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17'!I111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17'!I112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17'!I113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17'!I114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17'!I115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17'!I116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17'!I117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17'!I118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17'!I119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17'!I120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17'!I121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17'!I122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17'!I123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17'!I124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17'!I125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17'!I126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17'!I127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17'!I128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17'!I129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17'!I130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17'!I131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17'!I132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17'!I133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17'!I134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17'!I135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17'!I136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17'!I137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17'!I138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17'!I139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17'!I140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17'!I141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17'!I142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17'!I143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17'!I144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17'!I145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17'!I146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17'!I147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17'!I148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17'!I149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17'!I150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7'!A1" display="◄ المستخلص السابق"/>
    <hyperlink ref="L3" location="'مستخلص 19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25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(19)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50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19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18'!L19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18'!L20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18'!L21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18'!L22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18'!L23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18'!L24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18'!L25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18'!L26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18'!L27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18'!L28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18'!L29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18'!L30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18'!L31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18'!I51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18'!I52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18'!I53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18'!I54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18'!I55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18'!I56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18'!I57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18'!I58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18'!I59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18'!I60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18'!I61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18'!I62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18'!I63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18'!I64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18'!I65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18'!I66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18'!I67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18'!I68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18'!I69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18'!I70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18'!I71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18'!I72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18'!I73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18'!I74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18'!I75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18'!I76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18'!I77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18'!I78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18'!I79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18'!I80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18'!I81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18'!I82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18'!I83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18'!I84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18'!I85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18'!I86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18'!I87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18'!I88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18'!I89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18'!I90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18'!I91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18'!I92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18'!I93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18'!I94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18'!I95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18'!I96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18'!I97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18'!I98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18'!I99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18'!I100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18'!I101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18'!I102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18'!I103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18'!I104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18'!I105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18'!I106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18'!I107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18'!I108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18'!I109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18'!I110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18'!I111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18'!I112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18'!I113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18'!I114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18'!I115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18'!I116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18'!I117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18'!I118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18'!I119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18'!I120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18'!I121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18'!I122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18'!I123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18'!I124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18'!I125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18'!I126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18'!I127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18'!I128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18'!I129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18'!I130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18'!I131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18'!I132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18'!I133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18'!I134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18'!I135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18'!I136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18'!I137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18'!I138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18'!I139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18'!I140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18'!I141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18'!I142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18'!I143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18'!I144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18'!I145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18'!I146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18'!I147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18'!I148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18'!I149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18'!I150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8'!A1" display="◄ المستخلص السابق"/>
    <hyperlink ref="L3" location="'مستخلص 20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26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(20)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50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</row>
    <row r="5">
      <c r="B5" s="70" t="inlineStr">
        <is>
          <t>رقم المستخلص</t>
        </is>
      </c>
      <c r="C5" s="71" t="n">
        <v>20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19'!L19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19'!L20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19'!L21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19'!L22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19'!L23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19'!L24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19'!L25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19'!L26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19'!L27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19'!L28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19'!L29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19'!L30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19'!L31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19'!I51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19'!I52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19'!I53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19'!I54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19'!I55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19'!I56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19'!I57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19'!I58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19'!I59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19'!I60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19'!I61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19'!I62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19'!I63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19'!I64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19'!I65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19'!I66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19'!I67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19'!I68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19'!I69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19'!I70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19'!I71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19'!I72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19'!I73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19'!I74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19'!I75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19'!I76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19'!I77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19'!I78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19'!I79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19'!I80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19'!I81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19'!I82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19'!I83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19'!I84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19'!I85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19'!I86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19'!I87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19'!I88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19'!I89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19'!I90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19'!I91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19'!I92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19'!I93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19'!I94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19'!I95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19'!I96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19'!I97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19'!I98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19'!I99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19'!I100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19'!I101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19'!I102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19'!I103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19'!I104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19'!I105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19'!I106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19'!I107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19'!I108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19'!I109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19'!I110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19'!I111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19'!I112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19'!I113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19'!I114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19'!I115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19'!I116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19'!I117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19'!I118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19'!I119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19'!I120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19'!I121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19'!I122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19'!I123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19'!I124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19'!I125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19'!I126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19'!I127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19'!I128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19'!I129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19'!I130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19'!I131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19'!I132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19'!I133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19'!I134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19'!I135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19'!I136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19'!I137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19'!I138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19'!I139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19'!I140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19'!I141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19'!I142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19'!I143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19'!I144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19'!I145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19'!I146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19'!I147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19'!I148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19'!I149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19'!I150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9'!A1" display="◄ المستخلص السابق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2026-10-01T20:44:26Z</dcterms:created>
  <dcterms:modified xsi:type="dcterms:W3CDTF">2026-10-01T20:44:31Z</dcterms:modified>
</cp:coreProperties>
</file>