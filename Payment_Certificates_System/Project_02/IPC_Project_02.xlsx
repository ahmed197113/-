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yyyy/mm/dd"/>
    <numFmt numFmtId="166" formatCode="#,##0.00;[Red](#,##0.00);&quot;-&quot;"/>
    <numFmt numFmtId="167" formatCode="0.0%;[Red]-0.0%;&quot;-&quot;"/>
    <numFmt numFmtId="168" formatCode="#,##0.00;[Red]-#,##0.00;;@"/>
    <numFmt numFmtId="169" formatCode="0.00%;-0.00%;;@"/>
    <numFmt numFmtId="170" formatCode="&quot;مستخلص رقم &quot;0"/>
    <numFmt numFmtId="171" formatCode="B2yyyy/mm/dd"/>
    <numFmt numFmtId="172" formatCode="0.0%;[Red]-0.0%;;@"/>
    <numFmt numFmtId="173" formatCode="&quot;مستخلص &quot;0"/>
    <numFmt numFmtId="174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5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6" fontId="7" fillId="8" borderId="2" applyAlignment="1" pivotButton="0" quotePrefix="0" xfId="0">
      <alignment horizontal="center" vertical="center" readingOrder="2"/>
    </xf>
    <xf numFmtId="166" fontId="4" fillId="8" borderId="2" applyAlignment="1" pivotButton="0" quotePrefix="0" xfId="0">
      <alignment horizontal="center" vertical="center" readingOrder="2"/>
    </xf>
    <xf numFmtId="167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8" fontId="5" fillId="7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169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167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6" fontId="5" fillId="7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6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6" fontId="4" fillId="0" borderId="2" applyAlignment="1" pivotButton="0" quotePrefix="0" xfId="0">
      <alignment horizontal="center" vertical="center" readingOrder="2"/>
    </xf>
    <xf numFmtId="166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3" fontId="12" fillId="6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6" fontId="4" fillId="9" borderId="2" applyAlignment="1" pivotButton="0" quotePrefix="0" xfId="0">
      <alignment horizontal="center" vertical="center" readingOrder="2"/>
    </xf>
    <xf numFmtId="174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7" fontId="3" fillId="2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74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7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70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7" fontId="15" fillId="0" borderId="2" applyAlignment="1" pivotButton="0" quotePrefix="0" xfId="0">
      <alignment horizontal="center" vertical="center" readingOrder="2"/>
    </xf>
    <xf numFmtId="167" fontId="16" fillId="7" borderId="2" applyAlignment="1" pivotButton="0" quotePrefix="0" xfId="0">
      <alignment horizontal="center" vertical="center" readingOrder="2"/>
    </xf>
    <xf numFmtId="166" fontId="7" fillId="0" borderId="2" applyAlignment="1" pivotButton="0" quotePrefix="0" xfId="0">
      <alignment horizontal="center" vertical="center" readingOrder="2"/>
    </xf>
    <xf numFmtId="171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6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6" fontId="17" fillId="0" borderId="2" applyAlignment="1" pivotButton="0" quotePrefix="0" xfId="0">
      <alignment horizontal="center" vertical="center" readingOrder="2"/>
    </xf>
    <xf numFmtId="166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6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6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6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8" fontId="27" fillId="0" borderId="2" applyAlignment="1" pivotButton="0" quotePrefix="0" xfId="0">
      <alignment horizontal="center" vertical="center" readingOrder="2"/>
    </xf>
    <xf numFmtId="168" fontId="11" fillId="0" borderId="2" applyAlignment="1" pivotButton="0" quotePrefix="0" xfId="0">
      <alignment horizontal="center" vertical="center" readingOrder="2"/>
    </xf>
    <xf numFmtId="168" fontId="28" fillId="0" borderId="2" applyAlignment="1" pivotButton="0" quotePrefix="0" xfId="0">
      <alignment horizontal="center" vertical="center" readingOrder="2"/>
    </xf>
    <xf numFmtId="172" fontId="28" fillId="0" borderId="2" applyAlignment="1" pivotButton="0" quotePrefix="0" xfId="0">
      <alignment horizontal="center" vertical="center" readingOrder="2"/>
    </xf>
    <xf numFmtId="168" fontId="29" fillId="9" borderId="2" applyAlignment="1" pivotButton="0" quotePrefix="0" xfId="0">
      <alignment horizontal="center" vertical="center" readingOrder="2"/>
    </xf>
    <xf numFmtId="166" fontId="11" fillId="0" borderId="2" applyAlignment="1" pivotButton="0" quotePrefix="0" xfId="0">
      <alignment horizontal="center" vertical="center" readingOrder="2"/>
    </xf>
    <xf numFmtId="166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02 — 20 مستخلص مترابط</t>
        </is>
      </c>
      <c r="C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«IPC_Project_02.xlsx» داخل فولدر «Project_02»،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02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inlineStr">
        <is>
          <t>مشروع إنشاء مدرسة ابتدائية 24 فصلاً - جدة</t>
        </is>
      </c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inlineStr">
        <is>
          <t>GOV-1447-087</t>
        </is>
      </c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inlineStr">
        <is>
          <t>جهة حكومية (مثال توضيحي)</t>
        </is>
      </c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inlineStr">
        <is>
          <t>المركز الاستشاري للتصاميم الهندسية</t>
        </is>
      </c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inlineStr">
        <is>
          <t>شركة البناء الحديث للمقاولات</t>
        </is>
      </c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>
        <v>45948</v>
      </c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>
        <v>45962</v>
      </c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>
        <v>14</v>
      </c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>
        <v>45971</v>
      </c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inlineStr">
        <is>
          <t>حكومي - نظام المنافسات والمشتريات الحكومية</t>
        </is>
      </c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inlineStr">
        <is>
          <t>310123456700003</t>
        </is>
      </c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inlineStr">
        <is>
          <t>1010123456</t>
        </is>
      </c>
      <c r="D38" s="20" t="inlineStr"/>
    </row>
    <row r="39">
      <c r="B39" s="18" t="inlineStr">
        <is>
          <t>الرقم الضريبي لصاحب العمل</t>
        </is>
      </c>
      <c r="C39" s="30" t="inlineStr">
        <is>
          <t>300555444300003</t>
        </is>
      </c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>
        <v>46753</v>
      </c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>
        <v>46326</v>
      </c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inlineStr">
        <is>
          <t>01-001</t>
        </is>
      </c>
      <c r="C6" s="22" t="inlineStr">
        <is>
          <t>أعمال الحفر والردم</t>
        </is>
      </c>
      <c r="D6" s="34" t="inlineStr">
        <is>
          <t>حفر عام للأساسات حتى المنسوب التصميمي مع نقل الناتج خارج الموقع</t>
        </is>
      </c>
      <c r="E6" s="19" t="inlineStr">
        <is>
          <t>م3</t>
        </is>
      </c>
      <c r="F6" s="35" t="n">
        <v>2475</v>
      </c>
      <c r="G6" s="35" t="n">
        <v>25</v>
      </c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inlineStr">
        <is>
          <t>01-002</t>
        </is>
      </c>
      <c r="C7" s="22" t="inlineStr">
        <is>
          <t>أعمال الحفر والردم</t>
        </is>
      </c>
      <c r="D7" s="34" t="inlineStr">
        <is>
          <t>ردم بالتربة المختارة على طبقات مع الدمك حتى 95% بروكتور معدل</t>
        </is>
      </c>
      <c r="E7" s="19" t="inlineStr">
        <is>
          <t>م3</t>
        </is>
      </c>
      <c r="F7" s="35" t="n">
        <v>1210</v>
      </c>
      <c r="G7" s="35" t="n">
        <v>18</v>
      </c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inlineStr">
        <is>
          <t>01-003</t>
        </is>
      </c>
      <c r="C8" s="22" t="inlineStr">
        <is>
          <t>أعمال الحفر والردم</t>
        </is>
      </c>
      <c r="D8" s="34" t="inlineStr">
        <is>
          <t>إحلال تربة بمواد مختارة (Sub-base) مع الدمك والاختبارات</t>
        </is>
      </c>
      <c r="E8" s="19" t="inlineStr">
        <is>
          <t>م3</t>
        </is>
      </c>
      <c r="F8" s="35" t="n">
        <v>990</v>
      </c>
      <c r="G8" s="35" t="n">
        <v>75</v>
      </c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inlineStr">
        <is>
          <t>02-001</t>
        </is>
      </c>
      <c r="C9" s="22" t="inlineStr">
        <is>
          <t>الخرسانة العادية والمسلحة</t>
        </is>
      </c>
      <c r="D9" s="34" t="inlineStr">
        <is>
          <t>خرسانة عادية للنظافة قوة 20 ميجا باسكال</t>
        </is>
      </c>
      <c r="E9" s="19" t="inlineStr">
        <is>
          <t>م3</t>
        </is>
      </c>
      <c r="F9" s="35" t="n">
        <v>209</v>
      </c>
      <c r="G9" s="35" t="n">
        <v>380</v>
      </c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inlineStr">
        <is>
          <t>02-002</t>
        </is>
      </c>
      <c r="C10" s="22" t="inlineStr">
        <is>
          <t>الخرسانة العادية والمسلحة</t>
        </is>
      </c>
      <c r="D10" s="34" t="inlineStr">
        <is>
          <t>خرسانة مسلحة للقواعد والميد قوة 35 ميجا باسكال (بدون حديد)</t>
        </is>
      </c>
      <c r="E10" s="19" t="inlineStr">
        <is>
          <t>م3</t>
        </is>
      </c>
      <c r="F10" s="35" t="n">
        <v>522</v>
      </c>
      <c r="G10" s="35" t="n">
        <v>950</v>
      </c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inlineStr">
        <is>
          <t>02-003</t>
        </is>
      </c>
      <c r="C11" s="22" t="inlineStr">
        <is>
          <t>الخرسانة العادية والمسلحة</t>
        </is>
      </c>
      <c r="D11" s="34" t="inlineStr">
        <is>
          <t>خرسانة مسلحة للأعمدة والجدران الخرسانية قوة 35 ميجا باسكال</t>
        </is>
      </c>
      <c r="E11" s="19" t="inlineStr">
        <is>
          <t>م3</t>
        </is>
      </c>
      <c r="F11" s="35" t="n">
        <v>231</v>
      </c>
      <c r="G11" s="35" t="n">
        <v>1150</v>
      </c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inlineStr">
        <is>
          <t>02-004</t>
        </is>
      </c>
      <c r="C12" s="22" t="inlineStr">
        <is>
          <t>الخرسانة العادية والمسلحة</t>
        </is>
      </c>
      <c r="D12" s="34" t="inlineStr">
        <is>
          <t>خرسانة مسلحة للأسقف والكمرات والدرج قوة 35 ميجا باسكال</t>
        </is>
      </c>
      <c r="E12" s="19" t="inlineStr">
        <is>
          <t>م3</t>
        </is>
      </c>
      <c r="F12" s="35" t="n">
        <v>908</v>
      </c>
      <c r="G12" s="35" t="n">
        <v>1050</v>
      </c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inlineStr">
        <is>
          <t>02-005</t>
        </is>
      </c>
      <c r="C13" s="22" t="inlineStr">
        <is>
          <t>الخرسانة العادية والمسلحة</t>
        </is>
      </c>
      <c r="D13" s="34" t="inlineStr">
        <is>
          <t>توريد وتركيب حديد تسليح عالي المقاومة (مطابق للمواصفات السعودية)</t>
        </is>
      </c>
      <c r="E13" s="19" t="inlineStr">
        <is>
          <t>طن</t>
        </is>
      </c>
      <c r="F13" s="35" t="n">
        <v>264</v>
      </c>
      <c r="G13" s="35" t="n">
        <v>3400</v>
      </c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inlineStr">
        <is>
          <t>03-001</t>
        </is>
      </c>
      <c r="C14" s="22" t="inlineStr">
        <is>
          <t>أعمال المباني</t>
        </is>
      </c>
      <c r="D14" s="34" t="inlineStr">
        <is>
          <t>مباني بلوك أسمنتي مصمت سماكة 20 سم</t>
        </is>
      </c>
      <c r="E14" s="19" t="inlineStr">
        <is>
          <t>م2</t>
        </is>
      </c>
      <c r="F14" s="35" t="n">
        <v>4290</v>
      </c>
      <c r="G14" s="35" t="n">
        <v>75</v>
      </c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inlineStr">
        <is>
          <t>03-002</t>
        </is>
      </c>
      <c r="C15" s="22" t="inlineStr">
        <is>
          <t>أعمال المباني</t>
        </is>
      </c>
      <c r="D15" s="34" t="inlineStr">
        <is>
          <t>مباني بلوك أسمنتي سماكة 15 سم للقواطع</t>
        </is>
      </c>
      <c r="E15" s="19" t="inlineStr">
        <is>
          <t>م2</t>
        </is>
      </c>
      <c r="F15" s="35" t="n">
        <v>1980</v>
      </c>
      <c r="G15" s="35" t="n">
        <v>60</v>
      </c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inlineStr">
        <is>
          <t>04-001</t>
        </is>
      </c>
      <c r="C16" s="22" t="inlineStr">
        <is>
          <t>أعمال العزل</t>
        </is>
      </c>
      <c r="D16" s="34" t="inlineStr">
        <is>
          <t>عزل مائي للأساسات بالبيتومين على وجهين</t>
        </is>
      </c>
      <c r="E16" s="19" t="inlineStr">
        <is>
          <t>م2</t>
        </is>
      </c>
      <c r="F16" s="35" t="n">
        <v>1320</v>
      </c>
      <c r="G16" s="35" t="n">
        <v>30</v>
      </c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inlineStr">
        <is>
          <t>04-002</t>
        </is>
      </c>
      <c r="C17" s="22" t="inlineStr">
        <is>
          <t>أعمال العزل</t>
        </is>
      </c>
      <c r="D17" s="34" t="inlineStr">
        <is>
          <t>عزل مائي وحراري للأسطح بالممبرين والبوليسترين</t>
        </is>
      </c>
      <c r="E17" s="19" t="inlineStr">
        <is>
          <t>م2</t>
        </is>
      </c>
      <c r="F17" s="35" t="n">
        <v>1045</v>
      </c>
      <c r="G17" s="35" t="n">
        <v>120</v>
      </c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inlineStr">
        <is>
          <t>05-001</t>
        </is>
      </c>
      <c r="C18" s="22" t="inlineStr">
        <is>
          <t>أعمال التشطيبات</t>
        </is>
      </c>
      <c r="D18" s="34" t="inlineStr">
        <is>
          <t>لياسة داخلية للجدران والأسقف</t>
        </is>
      </c>
      <c r="E18" s="19" t="inlineStr">
        <is>
          <t>م2</t>
        </is>
      </c>
      <c r="F18" s="35" t="n">
        <v>11550</v>
      </c>
      <c r="G18" s="35" t="n">
        <v>32</v>
      </c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inlineStr">
        <is>
          <t>05-002</t>
        </is>
      </c>
      <c r="C19" s="22" t="inlineStr">
        <is>
          <t>أعمال التشطيبات</t>
        </is>
      </c>
      <c r="D19" s="34" t="inlineStr">
        <is>
          <t>لياسة خارجية للواجهات</t>
        </is>
      </c>
      <c r="E19" s="19" t="inlineStr">
        <is>
          <t>م2</t>
        </is>
      </c>
      <c r="F19" s="35" t="n">
        <v>3575</v>
      </c>
      <c r="G19" s="35" t="n">
        <v>40</v>
      </c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inlineStr">
        <is>
          <t>05-003</t>
        </is>
      </c>
      <c r="C20" s="22" t="inlineStr">
        <is>
          <t>أعمال التشطيبات</t>
        </is>
      </c>
      <c r="D20" s="34" t="inlineStr">
        <is>
          <t>توريد وتركيب بلاط بورسلين 60×60 درجة أولى</t>
        </is>
      </c>
      <c r="E20" s="19" t="inlineStr">
        <is>
          <t>م2</t>
        </is>
      </c>
      <c r="F20" s="35" t="n">
        <v>3960</v>
      </c>
      <c r="G20" s="35" t="n">
        <v>140</v>
      </c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inlineStr">
        <is>
          <t>05-004</t>
        </is>
      </c>
      <c r="C21" s="22" t="inlineStr">
        <is>
          <t>أعمال التشطيبات</t>
        </is>
      </c>
      <c r="D21" s="34" t="inlineStr">
        <is>
          <t>دهانات داخلية (أساس + وجهين)</t>
        </is>
      </c>
      <c r="E21" s="19" t="inlineStr">
        <is>
          <t>م2</t>
        </is>
      </c>
      <c r="F21" s="35" t="n">
        <v>11550</v>
      </c>
      <c r="G21" s="35" t="n">
        <v>28</v>
      </c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inlineStr">
        <is>
          <t>05-005</t>
        </is>
      </c>
      <c r="C22" s="22" t="inlineStr">
        <is>
          <t>أعمال التشطيبات</t>
        </is>
      </c>
      <c r="D22" s="34" t="inlineStr">
        <is>
          <t>تكسيات واجهات حجر طبيعي سماكة 3 سم</t>
        </is>
      </c>
      <c r="E22" s="19" t="inlineStr">
        <is>
          <t>م2</t>
        </is>
      </c>
      <c r="F22" s="35" t="n">
        <v>1540</v>
      </c>
      <c r="G22" s="35" t="n">
        <v>260</v>
      </c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inlineStr">
        <is>
          <t>05-006</t>
        </is>
      </c>
      <c r="C23" s="22" t="inlineStr">
        <is>
          <t>أعمال التشطيبات</t>
        </is>
      </c>
      <c r="D23" s="34" t="inlineStr">
        <is>
          <t>توريد وتركيب أبواب خشبية داخلية كاملة</t>
        </is>
      </c>
      <c r="E23" s="19" t="inlineStr">
        <is>
          <t>عدد</t>
        </is>
      </c>
      <c r="F23" s="35" t="n">
        <v>88</v>
      </c>
      <c r="G23" s="35" t="n">
        <v>1800</v>
      </c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inlineStr">
        <is>
          <t>05-007</t>
        </is>
      </c>
      <c r="C24" s="22" t="inlineStr">
        <is>
          <t>أعمال التشطيبات</t>
        </is>
      </c>
      <c r="D24" s="34" t="inlineStr">
        <is>
          <t>توريد وتركيب نوافذ ألمنيوم مع زجاج مزدوج</t>
        </is>
      </c>
      <c r="E24" s="19" t="inlineStr">
        <is>
          <t>م2</t>
        </is>
      </c>
      <c r="F24" s="35" t="n">
        <v>522</v>
      </c>
      <c r="G24" s="35" t="n">
        <v>650</v>
      </c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inlineStr">
        <is>
          <t>06-001</t>
        </is>
      </c>
      <c r="C25" s="22" t="inlineStr">
        <is>
          <t>الأعمال الكهربائية</t>
        </is>
      </c>
      <c r="D25" s="34" t="inlineStr">
        <is>
          <t>تأسيس نقاط إنارة وأفياش بالمواسير والأسلاك</t>
        </is>
      </c>
      <c r="E25" s="19" t="inlineStr">
        <is>
          <t>نقطة</t>
        </is>
      </c>
      <c r="F25" s="35" t="n">
        <v>1760</v>
      </c>
      <c r="G25" s="35" t="n">
        <v>120</v>
      </c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inlineStr">
        <is>
          <t>06-002</t>
        </is>
      </c>
      <c r="C26" s="22" t="inlineStr">
        <is>
          <t>الأعمال الكهربائية</t>
        </is>
      </c>
      <c r="D26" s="34" t="inlineStr">
        <is>
          <t>توريد وتركيب لوحات توزيع فرعية</t>
        </is>
      </c>
      <c r="E26" s="19" t="inlineStr">
        <is>
          <t>عدد</t>
        </is>
      </c>
      <c r="F26" s="35" t="n">
        <v>13</v>
      </c>
      <c r="G26" s="35" t="n">
        <v>6500</v>
      </c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inlineStr">
        <is>
          <t>06-003</t>
        </is>
      </c>
      <c r="C27" s="22" t="inlineStr">
        <is>
          <t>الأعمال الكهربائية</t>
        </is>
      </c>
      <c r="D27" s="34" t="inlineStr">
        <is>
          <t>كابلات تغذية رئيسية نحاس معزولة</t>
        </is>
      </c>
      <c r="E27" s="19" t="inlineStr">
        <is>
          <t>م.ط</t>
        </is>
      </c>
      <c r="F27" s="35" t="n">
        <v>990</v>
      </c>
      <c r="G27" s="35" t="n">
        <v>160</v>
      </c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inlineStr">
        <is>
          <t>06-004</t>
        </is>
      </c>
      <c r="C28" s="22" t="inlineStr">
        <is>
          <t>الأعمال الكهربائية</t>
        </is>
      </c>
      <c r="D28" s="34" t="inlineStr">
        <is>
          <t>توريد وتركيب وحدات إنارة LED</t>
        </is>
      </c>
      <c r="E28" s="19" t="inlineStr">
        <is>
          <t>عدد</t>
        </is>
      </c>
      <c r="F28" s="35" t="n">
        <v>770</v>
      </c>
      <c r="G28" s="35" t="n">
        <v>280</v>
      </c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inlineStr">
        <is>
          <t>07-001</t>
        </is>
      </c>
      <c r="C29" s="22" t="inlineStr">
        <is>
          <t>الأعمال الصحية</t>
        </is>
      </c>
      <c r="D29" s="34" t="inlineStr">
        <is>
          <t>تمديدات تغذية مياه بمواسير PPR</t>
        </is>
      </c>
      <c r="E29" s="19" t="inlineStr">
        <is>
          <t>نقطة</t>
        </is>
      </c>
      <c r="F29" s="35" t="n">
        <v>231</v>
      </c>
      <c r="G29" s="35" t="n">
        <v>350</v>
      </c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inlineStr">
        <is>
          <t>07-002</t>
        </is>
      </c>
      <c r="C30" s="22" t="inlineStr">
        <is>
          <t>الأعمال الصحية</t>
        </is>
      </c>
      <c r="D30" s="34" t="inlineStr">
        <is>
          <t>تمديدات صرف صحي بمواسير UPVC</t>
        </is>
      </c>
      <c r="E30" s="19" t="inlineStr">
        <is>
          <t>نقطة</t>
        </is>
      </c>
      <c r="F30" s="35" t="n">
        <v>209</v>
      </c>
      <c r="G30" s="35" t="n">
        <v>300</v>
      </c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inlineStr">
        <is>
          <t>07-003</t>
        </is>
      </c>
      <c r="C31" s="22" t="inlineStr">
        <is>
          <t>الأعمال الصحية</t>
        </is>
      </c>
      <c r="D31" s="34" t="inlineStr">
        <is>
          <t>توريد وتركيب أطقم صحية كاملة</t>
        </is>
      </c>
      <c r="E31" s="19" t="inlineStr">
        <is>
          <t>طقم</t>
        </is>
      </c>
      <c r="F31" s="35" t="n">
        <v>53</v>
      </c>
      <c r="G31" s="35" t="n">
        <v>2800</v>
      </c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inlineStr">
        <is>
          <t>08-001</t>
        </is>
      </c>
      <c r="C32" s="22" t="inlineStr">
        <is>
          <t>أعمال التكييف</t>
        </is>
      </c>
      <c r="D32" s="34" t="inlineStr">
        <is>
          <t>توريد وتركيب وحدات تكييف سبليت</t>
        </is>
      </c>
      <c r="E32" s="19" t="inlineStr">
        <is>
          <t>عدد</t>
        </is>
      </c>
      <c r="F32" s="35" t="n">
        <v>66</v>
      </c>
      <c r="G32" s="35" t="n">
        <v>4200</v>
      </c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inlineStr">
        <is>
          <t>08-002</t>
        </is>
      </c>
      <c r="C33" s="22" t="inlineStr">
        <is>
          <t>أعمال التكييف</t>
        </is>
      </c>
      <c r="D33" s="34" t="inlineStr">
        <is>
          <t>مجاري هواء صاج مجلفن معزولة</t>
        </is>
      </c>
      <c r="E33" s="19" t="inlineStr">
        <is>
          <t>م2</t>
        </is>
      </c>
      <c r="F33" s="35" t="n">
        <v>1430</v>
      </c>
      <c r="G33" s="35" t="n">
        <v>220</v>
      </c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inlineStr">
        <is>
          <t>09-001</t>
        </is>
      </c>
      <c r="C34" s="22" t="inlineStr">
        <is>
          <t>أعمال الموقع العام</t>
        </is>
      </c>
      <c r="D34" s="34" t="inlineStr">
        <is>
          <t>بردورات وأرصفة خرسانية</t>
        </is>
      </c>
      <c r="E34" s="19" t="inlineStr">
        <is>
          <t>م.ط</t>
        </is>
      </c>
      <c r="F34" s="35" t="n">
        <v>660</v>
      </c>
      <c r="G34" s="35" t="n">
        <v>85</v>
      </c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inlineStr">
        <is>
          <t>09-002</t>
        </is>
      </c>
      <c r="C35" s="22" t="inlineStr">
        <is>
          <t>أعمال الموقع العام</t>
        </is>
      </c>
      <c r="D35" s="34" t="inlineStr">
        <is>
          <t>أعمال بلاط متداخل (إنترلوك) سماكة 8 سم</t>
        </is>
      </c>
      <c r="E35" s="19" t="inlineStr">
        <is>
          <t>م2</t>
        </is>
      </c>
      <c r="F35" s="35" t="n">
        <v>1925</v>
      </c>
      <c r="G35" s="35" t="n">
        <v>70</v>
      </c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inlineStr">
        <is>
          <t>VO-01</t>
        </is>
      </c>
      <c r="C6" s="23" t="n">
        <v>46063</v>
      </c>
      <c r="D6" s="34" t="inlineStr">
        <is>
          <t>زيادة عدد دورات المياه بالدور الأرضي</t>
        </is>
      </c>
      <c r="E6" s="19" t="inlineStr">
        <is>
          <t>إضافة</t>
        </is>
      </c>
      <c r="F6" s="42" t="n">
        <v>128000</v>
      </c>
      <c r="G6" s="43">
        <f>IF(E6="خصم",-1,1)*N(F6)</f>
        <v/>
      </c>
      <c r="H6" s="19" t="inlineStr">
        <is>
          <t>معتمد</t>
        </is>
      </c>
      <c r="I6" s="42" t="n">
        <v>128000</v>
      </c>
      <c r="J6" s="43">
        <f>IF(E6="خصم",-1,1)*N(I6)</f>
        <v/>
      </c>
      <c r="K6" s="24" t="n">
        <v>5</v>
      </c>
      <c r="L6" s="44" t="n"/>
    </row>
    <row r="7">
      <c r="A7" s="33">
        <f>IF(B7="","",COUNTA($B$6:B7))</f>
        <v/>
      </c>
      <c r="B7" s="19" t="inlineStr">
        <is>
          <t>VO-02</t>
        </is>
      </c>
      <c r="C7" s="23" t="n">
        <v>46188</v>
      </c>
      <c r="D7" s="34" t="inlineStr">
        <is>
          <t>إلغاء التكسيات الحجرية بالواجهة الخلفية</t>
        </is>
      </c>
      <c r="E7" s="19" t="inlineStr">
        <is>
          <t>خصم</t>
        </is>
      </c>
      <c r="F7" s="42" t="n">
        <v>42000</v>
      </c>
      <c r="G7" s="43">
        <f>IF(E7="خصم",-1,1)*N(F7)</f>
        <v/>
      </c>
      <c r="H7" s="19" t="inlineStr">
        <is>
          <t>معتمد</t>
        </is>
      </c>
      <c r="I7" s="42" t="n">
        <v>42000</v>
      </c>
      <c r="J7" s="43">
        <f>IF(E7="خصم",-1,1)*N(I7)</f>
        <v/>
      </c>
      <c r="K7" s="24" t="n">
        <v>8</v>
      </c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inlineStr">
        <is>
          <t>TD-01</t>
        </is>
      </c>
      <c r="C6" s="23" t="n">
        <v>46085</v>
      </c>
      <c r="D6" s="24" t="n">
        <v>4</v>
      </c>
      <c r="E6" s="19" t="inlineStr">
        <is>
          <t>02-003</t>
        </is>
      </c>
      <c r="F6" s="47">
        <f>IF(E6="","",IFERROR(INDEX('جدول الكميات'!$D$6:$D$105,MATCH(E6,'جدول الكميات'!$B$6:$B$105,0)),"⚠ كود غير موجود"))</f>
        <v/>
      </c>
      <c r="G6" s="34" t="inlineStr">
        <is>
          <t>انحراف في رأسية بعض الأعمدة</t>
        </is>
      </c>
      <c r="H6" s="19" t="inlineStr">
        <is>
          <t>أعمال غير مطابقة</t>
        </is>
      </c>
      <c r="I6" s="42" t="n">
        <v>12000</v>
      </c>
      <c r="J6" s="19" t="inlineStr">
        <is>
          <t>نعم</t>
        </is>
      </c>
      <c r="K6" s="24" t="n">
        <v>6</v>
      </c>
      <c r="L6" s="48">
        <f>IF(J6="نعم",0,N(I6))</f>
        <v/>
      </c>
      <c r="M6" s="44" t="n"/>
    </row>
    <row r="7">
      <c r="A7" s="33">
        <f>IF(B7="","",COUNTA($B$6:B7))</f>
        <v/>
      </c>
      <c r="B7" s="19" t="inlineStr">
        <is>
          <t>TD-02</t>
        </is>
      </c>
      <c r="C7" s="23" t="n">
        <v>46208</v>
      </c>
      <c r="D7" s="24" t="n">
        <v>8</v>
      </c>
      <c r="E7" s="19" t="inlineStr">
        <is>
          <t>05-001</t>
        </is>
      </c>
      <c r="F7" s="47">
        <f>IF(E7="","",IFERROR(INDEX('جدول الكميات'!$D$6:$D$105,MATCH(E7,'جدول الكميات'!$B$6:$B$105,0)),"⚠ كود غير موجود"))</f>
        <v/>
      </c>
      <c r="G7" s="34" t="inlineStr">
        <is>
          <t>لياسة غير مستوية بالدور الأول</t>
        </is>
      </c>
      <c r="H7" s="19" t="inlineStr">
        <is>
          <t>ملاحظات فنية</t>
        </is>
      </c>
      <c r="I7" s="42" t="n">
        <v>11000</v>
      </c>
      <c r="J7" s="19" t="inlineStr">
        <is>
          <t>لا</t>
        </is>
      </c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02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45962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45991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45996</v>
      </c>
      <c r="K8" s="23" t="n"/>
      <c r="L8" s="75" t="n">
        <v>0.0255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46012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152191.11</v>
      </c>
      <c r="F15" s="42" t="n"/>
      <c r="H15" s="70" t="inlineStr">
        <is>
          <t>تاريخ التحصيل</t>
        </is>
      </c>
      <c r="I15" s="70" t="n"/>
      <c r="J15" s="70" t="n"/>
      <c r="K15" s="23" t="n">
        <v>46044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INV-2025-02001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46012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>
        <v>864.29</v>
      </c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>
        <v>422.54</v>
      </c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>
        <v>345.71</v>
      </c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>
        <v>8.76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>
        <v>21.87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>
        <v>9.68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>
        <v>38.05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>
        <v>11.06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45992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46022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46027</v>
      </c>
      <c r="K8" s="23" t="n"/>
      <c r="L8" s="75" t="n">
        <v>0.09089999999999999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46044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30000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422249.56</v>
      </c>
      <c r="F15" s="42" t="n"/>
      <c r="H15" s="70" t="inlineStr">
        <is>
          <t>تاريخ التحصيل</t>
        </is>
      </c>
      <c r="I15" s="70" t="n"/>
      <c r="J15" s="70" t="n"/>
      <c r="K15" s="23" t="n">
        <v>46083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INV-2026-02002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46044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>
        <v>864.29</v>
      </c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>
        <v>422.54</v>
      </c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>
        <v>345.71</v>
      </c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>
        <v>29.19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>
        <v>72.91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>
        <v>32.27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>
        <v>126.83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>
        <v>36.88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46023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46053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46058</v>
      </c>
      <c r="K8" s="23" t="n"/>
      <c r="L8" s="75" t="n">
        <v>0.1547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46073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60000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412362.04</v>
      </c>
      <c r="F15" s="42" t="n"/>
      <c r="H15" s="70" t="inlineStr">
        <is>
          <t>تاريخ التحصيل</t>
        </is>
      </c>
      <c r="I15" s="70" t="n"/>
      <c r="J15" s="70" t="n"/>
      <c r="K15" s="23" t="n">
        <v>46103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INV-2026-02003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46073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>
        <v>449.43</v>
      </c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>
        <v>219.72</v>
      </c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>
        <v>179.77</v>
      </c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>
        <v>29.19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>
        <v>72.91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>
        <v>32.27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>
        <v>126.83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>
        <v>36.88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>
        <v>124.46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>
        <v>98.53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46054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46081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46086</v>
      </c>
      <c r="K8" s="23" t="n"/>
      <c r="L8" s="75" t="n">
        <v>0.2144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46102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84000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367843.52</v>
      </c>
      <c r="F15" s="42" t="n"/>
      <c r="H15" s="70" t="inlineStr">
        <is>
          <t>تاريخ التحصيل</t>
        </is>
      </c>
      <c r="I15" s="70" t="n"/>
      <c r="J15" s="70" t="n"/>
      <c r="K15" s="23" t="n">
        <v>46139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INV-2026-02004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46102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>
        <v>29.19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>
        <v>72.91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>
        <v>32.27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>
        <v>126.83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>
        <v>36.88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>
        <v>138.29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>
        <v>109.48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46082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46112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46117</v>
      </c>
      <c r="K8" s="23" t="n"/>
      <c r="L8" s="75" t="n">
        <v>0.2852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46134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76000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530570.26</v>
      </c>
      <c r="F15" s="42" t="n"/>
      <c r="H15" s="70" t="inlineStr">
        <is>
          <t>تاريخ التحصيل</t>
        </is>
      </c>
      <c r="I15" s="70" t="n"/>
      <c r="J15" s="70" t="n"/>
      <c r="K15" s="23" t="n">
        <v>46162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INV-2026-02005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46134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>
        <v>29.19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>
        <v>72.91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>
        <v>32.27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>
        <v>126.83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>
        <v>36.88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>
        <v>616.36</v>
      </c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>
        <v>284.47</v>
      </c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>
        <v>138.29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>
        <v>109.48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>
        <v>18.44</v>
      </c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>
        <v>0.14</v>
      </c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>
        <v>10.37</v>
      </c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>
        <v>8.07</v>
      </c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>
        <v>2.42</v>
      </c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>
        <v>2.19</v>
      </c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>
        <v>0.5600000000000001</v>
      </c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46113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46142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46147</v>
      </c>
      <c r="K8" s="23" t="n"/>
      <c r="L8" s="75" t="n">
        <v>0.3722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46162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52000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508028.92</v>
      </c>
      <c r="F15" s="42" t="n"/>
      <c r="H15" s="70" t="inlineStr">
        <is>
          <t>تاريخ التحصيل</t>
        </is>
      </c>
      <c r="I15" s="70" t="n"/>
      <c r="J15" s="70" t="n"/>
      <c r="K15" s="23" t="n">
        <v>46197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INV-2026-02006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46162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>
        <v>29.19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>
        <v>72.91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>
        <v>32.27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>
        <v>126.83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>
        <v>36.88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>
        <v>770.45</v>
      </c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>
        <v>355.59</v>
      </c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>
        <v>138.29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>
        <v>109.48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>
        <v>184.38</v>
      </c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>
        <v>1.36</v>
      </c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>
        <v>103.71</v>
      </c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>
        <v>80.67</v>
      </c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>
        <v>24.2</v>
      </c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>
        <v>21.9</v>
      </c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>
        <v>5.55</v>
      </c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46143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46173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46178</v>
      </c>
      <c r="K8" s="23" t="n"/>
      <c r="L8" s="75" t="n">
        <v>0.4897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46194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100000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752332.63</v>
      </c>
      <c r="F15" s="42" t="n"/>
      <c r="H15" s="70" t="inlineStr">
        <is>
          <t>تاريخ التحصيل</t>
        </is>
      </c>
      <c r="I15" s="70" t="n"/>
      <c r="J15" s="70" t="n"/>
      <c r="K15" s="23" t="n">
        <v>46220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INV-2026-02007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46194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>
        <v>29.19</v>
      </c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>
        <v>72.91</v>
      </c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>
        <v>32.27</v>
      </c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>
        <v>126.83</v>
      </c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>
        <v>36.88</v>
      </c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>
        <v>770.45</v>
      </c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>
        <v>355.59</v>
      </c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>
        <v>138.29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>
        <v>109.48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>
        <v>1016.4</v>
      </c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>
        <v>314.6</v>
      </c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>
        <v>348.48</v>
      </c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>
        <v>1016.4</v>
      </c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>
        <v>135.52</v>
      </c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>
        <v>7.74</v>
      </c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>
        <v>45.94</v>
      </c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>
        <v>184.38</v>
      </c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>
        <v>1.36</v>
      </c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>
        <v>103.71</v>
      </c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>
        <v>80.67</v>
      </c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>
        <v>24.2</v>
      </c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>
        <v>21.9</v>
      </c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>
        <v>5.55</v>
      </c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46174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46203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46208</v>
      </c>
      <c r="K8" s="23" t="n"/>
      <c r="L8" s="75" t="n">
        <v>0.5633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46225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90000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>
        <v>8000</v>
      </c>
      <c r="F14" s="42" t="n"/>
      <c r="H14" s="70" t="inlineStr">
        <is>
          <t>سبب الغرامة / الخصم</t>
        </is>
      </c>
      <c r="I14" s="70" t="n"/>
      <c r="J14" s="70" t="n"/>
      <c r="K14" s="19" t="inlineStr">
        <is>
          <t>مخالفة اشتراطات السلامة بالموقع</t>
        </is>
      </c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380241.1</v>
      </c>
      <c r="F15" s="42" t="n"/>
      <c r="H15" s="70" t="inlineStr">
        <is>
          <t>تاريخ التحصيل</t>
        </is>
      </c>
      <c r="I15" s="70" t="n"/>
      <c r="J15" s="70" t="n"/>
      <c r="K15" s="23" t="n">
        <v>46258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INV-2026-02008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46225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>
        <v>770.45</v>
      </c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>
        <v>355.59</v>
      </c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>
        <v>138.29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>
        <v>109.48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>
        <v>1452</v>
      </c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>
        <v>449.43</v>
      </c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>
        <v>497.83</v>
      </c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>
        <v>1452</v>
      </c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>
        <v>193.6</v>
      </c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>
        <v>11.06</v>
      </c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>
        <v>65.62</v>
      </c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>
        <v>184.38</v>
      </c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>
        <v>1.36</v>
      </c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>
        <v>103.71</v>
      </c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>
        <v>80.67</v>
      </c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>
        <v>24.2</v>
      </c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>
        <v>21.9</v>
      </c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>
        <v>5.55</v>
      </c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معتمد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46204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46234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46239</v>
      </c>
      <c r="K8" s="23" t="n"/>
      <c r="L8" s="75" t="n">
        <v>0.6466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>
        <v>46254</v>
      </c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60000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>
        <v>259000</v>
      </c>
      <c r="F15" s="42" t="n"/>
      <c r="H15" s="70" t="inlineStr">
        <is>
          <t>تاريخ التحصيل</t>
        </is>
      </c>
      <c r="I15" s="70" t="n"/>
      <c r="J15" s="70" t="n"/>
      <c r="K15" s="23" t="n">
        <v>46294</v>
      </c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inlineStr">
        <is>
          <t>INV-2026-02009</t>
        </is>
      </c>
      <c r="F16" s="30" t="n"/>
      <c r="H16" s="70" t="inlineStr">
        <is>
          <t>تاريخ الفاتورة الضريبية</t>
        </is>
      </c>
      <c r="I16" s="70" t="n"/>
      <c r="J16" s="70" t="n"/>
      <c r="K16" s="23" t="n">
        <v>46254</v>
      </c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inlineStr">
        <is>
          <t>نعم</t>
        </is>
      </c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inlineStr">
        <is>
          <t>نعم</t>
        </is>
      </c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inlineStr">
        <is>
          <t>نعم</t>
        </is>
      </c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inlineStr">
        <is>
          <t>نعم</t>
        </is>
      </c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inlineStr">
        <is>
          <t>نعم</t>
        </is>
      </c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>
        <v>770.45</v>
      </c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>
        <v>355.59</v>
      </c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>
        <v>138.29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>
        <v>109.48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>
        <v>1452</v>
      </c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>
        <v>449.43</v>
      </c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>
        <v>497.83</v>
      </c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>
        <v>1452</v>
      </c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>
        <v>193.6</v>
      </c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>
        <v>11.06</v>
      </c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>
        <v>65.62</v>
      </c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>
        <v>184.38</v>
      </c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>
        <v>1.36</v>
      </c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>
        <v>103.71</v>
      </c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>
        <v>80.67</v>
      </c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>
        <v>24.2</v>
      </c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>
        <v>21.9</v>
      </c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>
        <v>5.55</v>
      </c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>
        <v>7.11</v>
      </c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>
        <v>154.09</v>
      </c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inlineStr">
        <is>
          <t>تحت المراجعة</t>
        </is>
      </c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>
        <v>46235</v>
      </c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>
        <v>46265</v>
      </c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>
        <v>46270</v>
      </c>
      <c r="K8" s="23" t="n"/>
      <c r="L8" s="75" t="n">
        <v>0.7255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>
        <v>40000</v>
      </c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inlineStr">
        <is>
          <t>نعم</t>
        </is>
      </c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inlineStr">
        <is>
          <t>نعم</t>
        </is>
      </c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inlineStr">
        <is>
          <t>نعم</t>
        </is>
      </c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inlineStr">
        <is>
          <t>نعم</t>
        </is>
      </c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inlineStr">
        <is>
          <t>نعم</t>
        </is>
      </c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>
        <v>77.04000000000001</v>
      </c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>
        <v>35.56</v>
      </c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>
        <v>138.29</v>
      </c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>
        <v>109.48</v>
      </c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>
        <v>1452</v>
      </c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>
        <v>449.43</v>
      </c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>
        <v>497.83</v>
      </c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>
        <v>1452</v>
      </c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>
        <v>193.6</v>
      </c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>
        <v>11.06</v>
      </c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>
        <v>65.62</v>
      </c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>
        <v>184.38</v>
      </c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>
        <v>1.36</v>
      </c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>
        <v>103.71</v>
      </c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>
        <v>80.67</v>
      </c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>
        <v>24.2</v>
      </c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>
        <v>21.9</v>
      </c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>
        <v>5.55</v>
      </c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>
        <v>11.85</v>
      </c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>
        <v>256.82</v>
      </c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0.8018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0.8842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0.9684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>
        <v>1</v>
      </c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2026-10-01T20:31:22Z</dcterms:created>
  <dcterms:modified xsi:type="dcterms:W3CDTF">2026-10-01T20:31:27Z</dcterms:modified>
</cp:coreProperties>
</file>