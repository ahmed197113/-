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2">
    <numFmt numFmtId="164" formatCode="yyyy-mm-dd"/>
    <numFmt numFmtId="165" formatCode="yyyy/mm/dd"/>
    <numFmt numFmtId="166" formatCode="#,##0.00;[Red](#,##0.00);&quot;-&quot;"/>
    <numFmt numFmtId="167" formatCode="0.0%;[Red]-0.0%;&quot;-&quot;"/>
    <numFmt numFmtId="168" formatCode="#,##0.00;[Red]-#,##0.00;;@"/>
    <numFmt numFmtId="169" formatCode="0.00%;-0.00%;;@"/>
    <numFmt numFmtId="170" formatCode="&quot;مستخلص رقم &quot;0"/>
    <numFmt numFmtId="171" formatCode="B2yyyy/mm/dd"/>
    <numFmt numFmtId="172" formatCode="0.0%;[Red]-0.0%;;@"/>
    <numFmt numFmtId="173" formatCode="&quot;مستخلص &quot;0"/>
    <numFmt numFmtId="174" formatCode="0;-0;&quot;-&quot;"/>
    <numFmt numFmtId="175"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5"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5"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6" fontId="7" fillId="9" borderId="2" applyAlignment="1" pivotButton="0" quotePrefix="0" xfId="0">
      <alignment horizontal="center" vertical="center" readingOrder="2"/>
    </xf>
    <xf numFmtId="166" fontId="4" fillId="9" borderId="2" applyAlignment="1" pivotButton="0" quotePrefix="0" xfId="0">
      <alignment horizontal="center" vertical="center" readingOrder="2"/>
    </xf>
    <xf numFmtId="167"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8" fontId="5" fillId="8" borderId="2" applyAlignment="1" pivotButton="0" quotePrefix="0" xfId="0">
      <alignment horizontal="center" vertical="center" readingOrder="2"/>
    </xf>
    <xf numFmtId="168" fontId="10" fillId="0" borderId="2" applyAlignment="1" pivotButton="0" quotePrefix="0" xfId="0">
      <alignment horizontal="center" vertical="center" readingOrder="2"/>
    </xf>
    <xf numFmtId="169"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167"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6" fontId="5" fillId="8"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6"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6" fontId="4" fillId="0" borderId="2" applyAlignment="1" pivotButton="0" quotePrefix="0" xfId="0">
      <alignment horizontal="center" vertical="center" readingOrder="2"/>
    </xf>
    <xf numFmtId="166"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5" fontId="11" fillId="0" borderId="2" applyAlignment="1" pivotButton="0" quotePrefix="0" xfId="0">
      <alignment horizontal="center" vertical="center" readingOrder="2"/>
    </xf>
    <xf numFmtId="175" fontId="5" fillId="8" borderId="2" applyAlignment="1" pivotButton="0" quotePrefix="0" xfId="0">
      <alignment horizontal="center" vertical="center" readingOrder="2"/>
    </xf>
    <xf numFmtId="175" fontId="4" fillId="0" borderId="2" applyAlignment="1" pivotButton="0" quotePrefix="0" xfId="0">
      <alignment horizontal="center" vertical="center" readingOrder="2"/>
    </xf>
    <xf numFmtId="175" fontId="10" fillId="0" borderId="2" applyAlignment="1" pivotButton="0" quotePrefix="0" xfId="0">
      <alignment horizontal="center" vertical="center" readingOrder="2"/>
    </xf>
    <xf numFmtId="167"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5"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5" fontId="8" fillId="2" borderId="2" applyAlignment="1" pivotButton="0" quotePrefix="0" xfId="0">
      <alignment horizontal="center" vertical="center" readingOrder="2"/>
    </xf>
    <xf numFmtId="167"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3" fontId="12" fillId="7" borderId="2" applyAlignment="1" pivotButton="0" quotePrefix="0" xfId="0">
      <alignment horizontal="center" vertical="center" readingOrder="2"/>
    </xf>
    <xf numFmtId="165"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5" fontId="3" fillId="2" borderId="2" applyAlignment="1" pivotButton="0" quotePrefix="0" xfId="0">
      <alignment horizontal="center" vertical="center" readingOrder="2"/>
    </xf>
    <xf numFmtId="167"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7" fontId="3" fillId="2" borderId="2" applyAlignment="1" pivotButton="0" quotePrefix="0" xfId="0">
      <alignment horizontal="center" vertical="center" readingOrder="2"/>
    </xf>
    <xf numFmtId="175" fontId="32" fillId="0" borderId="2" applyAlignment="1" pivotButton="0" quotePrefix="0" xfId="0">
      <alignment horizontal="center" vertical="center" readingOrder="2"/>
    </xf>
    <xf numFmtId="167"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6" fontId="4" fillId="10" borderId="2" applyAlignment="1" pivotButton="0" quotePrefix="0" xfId="0">
      <alignment horizontal="center" vertical="center" readingOrder="2"/>
    </xf>
    <xf numFmtId="174"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65"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70"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7" fontId="15" fillId="0" borderId="2" applyAlignment="1" pivotButton="0" quotePrefix="0" xfId="0">
      <alignment horizontal="center" vertical="center" readingOrder="2"/>
    </xf>
    <xf numFmtId="167" fontId="16" fillId="8" borderId="2" applyAlignment="1" pivotButton="0" quotePrefix="0" xfId="0">
      <alignment horizontal="center" vertical="center" readingOrder="2"/>
    </xf>
    <xf numFmtId="166" fontId="7" fillId="0" borderId="2" applyAlignment="1" pivotButton="0" quotePrefix="0" xfId="0">
      <alignment horizontal="center" vertical="center" readingOrder="2"/>
    </xf>
    <xf numFmtId="171"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6"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6" fontId="17" fillId="0" borderId="2" applyAlignment="1" pivotButton="0" quotePrefix="0" xfId="0">
      <alignment horizontal="center" vertical="center" readingOrder="2"/>
    </xf>
    <xf numFmtId="166"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6"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6"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6"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8" fontId="27" fillId="0" borderId="2" applyAlignment="1" pivotButton="0" quotePrefix="0" xfId="0">
      <alignment horizontal="center" vertical="center" readingOrder="2"/>
    </xf>
    <xf numFmtId="168" fontId="11" fillId="0" borderId="2" applyAlignment="1" pivotButton="0" quotePrefix="0" xfId="0">
      <alignment horizontal="center" vertical="center" readingOrder="2"/>
    </xf>
    <xf numFmtId="168" fontId="28" fillId="0" borderId="2" applyAlignment="1" pivotButton="0" quotePrefix="0" xfId="0">
      <alignment horizontal="center" vertical="center" readingOrder="2"/>
    </xf>
    <xf numFmtId="172" fontId="28" fillId="0" borderId="2" applyAlignment="1" pivotButton="0" quotePrefix="0" xfId="0">
      <alignment horizontal="center" vertical="center" readingOrder="2"/>
    </xf>
    <xf numFmtId="168" fontId="29" fillId="10" borderId="2" applyAlignment="1" pivotButton="0" quotePrefix="0" xfId="0">
      <alignment horizontal="center" vertical="center" readingOrder="2"/>
    </xf>
    <xf numFmtId="166" fontId="11" fillId="0" borderId="2" applyAlignment="1" pivotButton="0" quotePrefix="0" xfId="0">
      <alignment horizontal="center" vertical="center" readingOrder="2"/>
    </xf>
    <xf numFmtId="166"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02 — 20 مستخلص مترابط</t>
        </is>
      </c>
      <c r="C1" s="1" t="n"/>
    </row>
    <row r="2" ht="20" customHeight="1">
      <c r="B2" s="2">
        <f>IF('بيانات العقد'!$C$5="","مشروع رقم 02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«IPC_Project_02.xlsx» داخل فولدر «Project_02»،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02</t>
        </is>
      </c>
      <c r="C1" s="1" t="n"/>
      <c r="D1" s="1" t="n"/>
      <c r="E1" s="1" t="n"/>
      <c r="F1" s="1" t="n"/>
      <c r="G1" s="1" t="n"/>
      <c r="H1" s="1" t="n"/>
      <c r="I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inlineStr">
        <is>
          <t>مشروع إنشاء مدرسة ابتدائية 24 فصلاً - جدة</t>
        </is>
      </c>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inlineStr">
        <is>
          <t>GOV-1447-087</t>
        </is>
      </c>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inlineStr">
        <is>
          <t>جهة حكومية (مثال توضيحي)</t>
        </is>
      </c>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inlineStr">
        <is>
          <t>المركز الاستشاري للتصاميم الهندسية</t>
        </is>
      </c>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inlineStr">
        <is>
          <t>شركة البناء الحديث للمقاولات</t>
        </is>
      </c>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v>45948</v>
      </c>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v>45962</v>
      </c>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v>14</v>
      </c>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v>45971</v>
      </c>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inlineStr">
        <is>
          <t>حكومي - نظام المنافسات والمشتريات الحكومية</t>
        </is>
      </c>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inlineStr">
        <is>
          <t>310123456700003</t>
        </is>
      </c>
      <c r="D37" s="21" t="inlineStr">
        <is>
          <t>15 رقماً يبدأ وينتهي بالرقم 3 (يظهر في الفاتورة الضريبية)</t>
        </is>
      </c>
    </row>
    <row r="38">
      <c r="B38" s="19" t="inlineStr">
        <is>
          <t>السجل التجاري للمقاول</t>
        </is>
      </c>
      <c r="C38" s="31" t="inlineStr">
        <is>
          <t>1010123456</t>
        </is>
      </c>
      <c r="D38" s="21" t="inlineStr"/>
    </row>
    <row r="39">
      <c r="B39" s="19" t="inlineStr">
        <is>
          <t>الرقم الضريبي لصاحب العمل</t>
        </is>
      </c>
      <c r="C39" s="31" t="inlineStr">
        <is>
          <t>300555444300003</t>
        </is>
      </c>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v>46753</v>
      </c>
      <c r="D42" s="21" t="inlineStr">
        <is>
          <t>تنبيه أحمر إذا تبقى أقل من 30 يوماً</t>
        </is>
      </c>
    </row>
    <row r="43">
      <c r="B43" s="19" t="inlineStr">
        <is>
          <t>تاريخ انتهاء ضمان الدفعة المقدمة</t>
        </is>
      </c>
      <c r="C43" s="24" t="n">
        <v>46326</v>
      </c>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02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inlineStr">
        <is>
          <t>01-001</t>
        </is>
      </c>
      <c r="C6" s="23" t="inlineStr">
        <is>
          <t>أعمال الحفر والردم</t>
        </is>
      </c>
      <c r="D6" s="35" t="inlineStr">
        <is>
          <t>حفر عام للأساسات حتى المنسوب التصميمي مع نقل الناتج خارج الموقع</t>
        </is>
      </c>
      <c r="E6" s="20" t="inlineStr">
        <is>
          <t>م3</t>
        </is>
      </c>
      <c r="F6" s="36" t="n">
        <v>2475</v>
      </c>
      <c r="G6" s="36" t="n">
        <v>25</v>
      </c>
      <c r="H6" s="37">
        <f>F6*G6</f>
        <v/>
      </c>
      <c r="I6" s="38">
        <f>IF($H$106&gt;0,H6/$H$106,0)</f>
        <v/>
      </c>
    </row>
    <row r="7">
      <c r="A7" s="34">
        <f>IF(B7="","",COUNTA($B$6:B7))</f>
        <v/>
      </c>
      <c r="B7" s="20" t="inlineStr">
        <is>
          <t>01-002</t>
        </is>
      </c>
      <c r="C7" s="23" t="inlineStr">
        <is>
          <t>أعمال الحفر والردم</t>
        </is>
      </c>
      <c r="D7" s="35" t="inlineStr">
        <is>
          <t>ردم بالتربة المختارة على طبقات مع الدمك حتى 95% بروكتور معدل</t>
        </is>
      </c>
      <c r="E7" s="20" t="inlineStr">
        <is>
          <t>م3</t>
        </is>
      </c>
      <c r="F7" s="36" t="n">
        <v>1210</v>
      </c>
      <c r="G7" s="36" t="n">
        <v>18</v>
      </c>
      <c r="H7" s="37">
        <f>F7*G7</f>
        <v/>
      </c>
      <c r="I7" s="38">
        <f>IF($H$106&gt;0,H7/$H$106,0)</f>
        <v/>
      </c>
    </row>
    <row r="8">
      <c r="A8" s="34">
        <f>IF(B8="","",COUNTA($B$6:B8))</f>
        <v/>
      </c>
      <c r="B8" s="20" t="inlineStr">
        <is>
          <t>01-003</t>
        </is>
      </c>
      <c r="C8" s="23" t="inlineStr">
        <is>
          <t>أعمال الحفر والردم</t>
        </is>
      </c>
      <c r="D8" s="35" t="inlineStr">
        <is>
          <t>إحلال تربة بمواد مختارة (Sub-base) مع الدمك والاختبارات</t>
        </is>
      </c>
      <c r="E8" s="20" t="inlineStr">
        <is>
          <t>م3</t>
        </is>
      </c>
      <c r="F8" s="36" t="n">
        <v>990</v>
      </c>
      <c r="G8" s="36" t="n">
        <v>75</v>
      </c>
      <c r="H8" s="37">
        <f>F8*G8</f>
        <v/>
      </c>
      <c r="I8" s="38">
        <f>IF($H$106&gt;0,H8/$H$106,0)</f>
        <v/>
      </c>
    </row>
    <row r="9">
      <c r="A9" s="34">
        <f>IF(B9="","",COUNTA($B$6:B9))</f>
        <v/>
      </c>
      <c r="B9" s="20" t="inlineStr">
        <is>
          <t>02-001</t>
        </is>
      </c>
      <c r="C9" s="23" t="inlineStr">
        <is>
          <t>الخرسانة العادية والمسلحة</t>
        </is>
      </c>
      <c r="D9" s="35" t="inlineStr">
        <is>
          <t>خرسانة عادية للنظافة قوة 20 ميجا باسكال</t>
        </is>
      </c>
      <c r="E9" s="20" t="inlineStr">
        <is>
          <t>م3</t>
        </is>
      </c>
      <c r="F9" s="36" t="n">
        <v>209</v>
      </c>
      <c r="G9" s="36" t="n">
        <v>380</v>
      </c>
      <c r="H9" s="37">
        <f>F9*G9</f>
        <v/>
      </c>
      <c r="I9" s="38">
        <f>IF($H$106&gt;0,H9/$H$106,0)</f>
        <v/>
      </c>
    </row>
    <row r="10">
      <c r="A10" s="34">
        <f>IF(B10="","",COUNTA($B$6:B10))</f>
        <v/>
      </c>
      <c r="B10" s="20" t="inlineStr">
        <is>
          <t>02-002</t>
        </is>
      </c>
      <c r="C10" s="23" t="inlineStr">
        <is>
          <t>الخرسانة العادية والمسلحة</t>
        </is>
      </c>
      <c r="D10" s="35" t="inlineStr">
        <is>
          <t>خرسانة مسلحة للقواعد والميد قوة 35 ميجا باسكال (بدون حديد)</t>
        </is>
      </c>
      <c r="E10" s="20" t="inlineStr">
        <is>
          <t>م3</t>
        </is>
      </c>
      <c r="F10" s="36" t="n">
        <v>522</v>
      </c>
      <c r="G10" s="36" t="n">
        <v>950</v>
      </c>
      <c r="H10" s="37">
        <f>F10*G10</f>
        <v/>
      </c>
      <c r="I10" s="38">
        <f>IF($H$106&gt;0,H10/$H$106,0)</f>
        <v/>
      </c>
    </row>
    <row r="11">
      <c r="A11" s="34">
        <f>IF(B11="","",COUNTA($B$6:B11))</f>
        <v/>
      </c>
      <c r="B11" s="20" t="inlineStr">
        <is>
          <t>02-003</t>
        </is>
      </c>
      <c r="C11" s="23" t="inlineStr">
        <is>
          <t>الخرسانة العادية والمسلحة</t>
        </is>
      </c>
      <c r="D11" s="35" t="inlineStr">
        <is>
          <t>خرسانة مسلحة للأعمدة والجدران الخرسانية قوة 35 ميجا باسكال</t>
        </is>
      </c>
      <c r="E11" s="20" t="inlineStr">
        <is>
          <t>م3</t>
        </is>
      </c>
      <c r="F11" s="36" t="n">
        <v>231</v>
      </c>
      <c r="G11" s="36" t="n">
        <v>1150</v>
      </c>
      <c r="H11" s="37">
        <f>F11*G11</f>
        <v/>
      </c>
      <c r="I11" s="38">
        <f>IF($H$106&gt;0,H11/$H$106,0)</f>
        <v/>
      </c>
    </row>
    <row r="12">
      <c r="A12" s="34">
        <f>IF(B12="","",COUNTA($B$6:B12))</f>
        <v/>
      </c>
      <c r="B12" s="20" t="inlineStr">
        <is>
          <t>02-004</t>
        </is>
      </c>
      <c r="C12" s="23" t="inlineStr">
        <is>
          <t>الخرسانة العادية والمسلحة</t>
        </is>
      </c>
      <c r="D12" s="35" t="inlineStr">
        <is>
          <t>خرسانة مسلحة للأسقف والكمرات والدرج قوة 35 ميجا باسكال</t>
        </is>
      </c>
      <c r="E12" s="20" t="inlineStr">
        <is>
          <t>م3</t>
        </is>
      </c>
      <c r="F12" s="36" t="n">
        <v>908</v>
      </c>
      <c r="G12" s="36" t="n">
        <v>1050</v>
      </c>
      <c r="H12" s="37">
        <f>F12*G12</f>
        <v/>
      </c>
      <c r="I12" s="38">
        <f>IF($H$106&gt;0,H12/$H$106,0)</f>
        <v/>
      </c>
    </row>
    <row r="13">
      <c r="A13" s="34">
        <f>IF(B13="","",COUNTA($B$6:B13))</f>
        <v/>
      </c>
      <c r="B13" s="20" t="inlineStr">
        <is>
          <t>02-005</t>
        </is>
      </c>
      <c r="C13" s="23" t="inlineStr">
        <is>
          <t>الخرسانة العادية والمسلحة</t>
        </is>
      </c>
      <c r="D13" s="35" t="inlineStr">
        <is>
          <t>توريد وتركيب حديد تسليح عالي المقاومة (مطابق للمواصفات السعودية)</t>
        </is>
      </c>
      <c r="E13" s="20" t="inlineStr">
        <is>
          <t>طن</t>
        </is>
      </c>
      <c r="F13" s="36" t="n">
        <v>264</v>
      </c>
      <c r="G13" s="36" t="n">
        <v>3400</v>
      </c>
      <c r="H13" s="37">
        <f>F13*G13</f>
        <v/>
      </c>
      <c r="I13" s="38">
        <f>IF($H$106&gt;0,H13/$H$106,0)</f>
        <v/>
      </c>
    </row>
    <row r="14">
      <c r="A14" s="34">
        <f>IF(B14="","",COUNTA($B$6:B14))</f>
        <v/>
      </c>
      <c r="B14" s="20" t="inlineStr">
        <is>
          <t>03-001</t>
        </is>
      </c>
      <c r="C14" s="23" t="inlineStr">
        <is>
          <t>أعمال المباني</t>
        </is>
      </c>
      <c r="D14" s="35" t="inlineStr">
        <is>
          <t>مباني بلوك أسمنتي مصمت سماكة 20 سم</t>
        </is>
      </c>
      <c r="E14" s="20" t="inlineStr">
        <is>
          <t>م2</t>
        </is>
      </c>
      <c r="F14" s="36" t="n">
        <v>4290</v>
      </c>
      <c r="G14" s="36" t="n">
        <v>75</v>
      </c>
      <c r="H14" s="37">
        <f>F14*G14</f>
        <v/>
      </c>
      <c r="I14" s="38">
        <f>IF($H$106&gt;0,H14/$H$106,0)</f>
        <v/>
      </c>
    </row>
    <row r="15">
      <c r="A15" s="34">
        <f>IF(B15="","",COUNTA($B$6:B15))</f>
        <v/>
      </c>
      <c r="B15" s="20" t="inlineStr">
        <is>
          <t>03-002</t>
        </is>
      </c>
      <c r="C15" s="23" t="inlineStr">
        <is>
          <t>أعمال المباني</t>
        </is>
      </c>
      <c r="D15" s="35" t="inlineStr">
        <is>
          <t>مباني بلوك أسمنتي سماكة 15 سم للقواطع</t>
        </is>
      </c>
      <c r="E15" s="20" t="inlineStr">
        <is>
          <t>م2</t>
        </is>
      </c>
      <c r="F15" s="36" t="n">
        <v>1980</v>
      </c>
      <c r="G15" s="36" t="n">
        <v>60</v>
      </c>
      <c r="H15" s="37">
        <f>F15*G15</f>
        <v/>
      </c>
      <c r="I15" s="38">
        <f>IF($H$106&gt;0,H15/$H$106,0)</f>
        <v/>
      </c>
    </row>
    <row r="16">
      <c r="A16" s="34">
        <f>IF(B16="","",COUNTA($B$6:B16))</f>
        <v/>
      </c>
      <c r="B16" s="20" t="inlineStr">
        <is>
          <t>04-001</t>
        </is>
      </c>
      <c r="C16" s="23" t="inlineStr">
        <is>
          <t>أعمال العزل</t>
        </is>
      </c>
      <c r="D16" s="35" t="inlineStr">
        <is>
          <t>عزل مائي للأساسات بالبيتومين على وجهين</t>
        </is>
      </c>
      <c r="E16" s="20" t="inlineStr">
        <is>
          <t>م2</t>
        </is>
      </c>
      <c r="F16" s="36" t="n">
        <v>1320</v>
      </c>
      <c r="G16" s="36" t="n">
        <v>30</v>
      </c>
      <c r="H16" s="37">
        <f>F16*G16</f>
        <v/>
      </c>
      <c r="I16" s="38">
        <f>IF($H$106&gt;0,H16/$H$106,0)</f>
        <v/>
      </c>
    </row>
    <row r="17">
      <c r="A17" s="34">
        <f>IF(B17="","",COUNTA($B$6:B17))</f>
        <v/>
      </c>
      <c r="B17" s="20" t="inlineStr">
        <is>
          <t>04-002</t>
        </is>
      </c>
      <c r="C17" s="23" t="inlineStr">
        <is>
          <t>أعمال العزل</t>
        </is>
      </c>
      <c r="D17" s="35" t="inlineStr">
        <is>
          <t>عزل مائي وحراري للأسطح بالممبرين والبوليسترين</t>
        </is>
      </c>
      <c r="E17" s="20" t="inlineStr">
        <is>
          <t>م2</t>
        </is>
      </c>
      <c r="F17" s="36" t="n">
        <v>1045</v>
      </c>
      <c r="G17" s="36" t="n">
        <v>120</v>
      </c>
      <c r="H17" s="37">
        <f>F17*G17</f>
        <v/>
      </c>
      <c r="I17" s="38">
        <f>IF($H$106&gt;0,H17/$H$106,0)</f>
        <v/>
      </c>
    </row>
    <row r="18">
      <c r="A18" s="34">
        <f>IF(B18="","",COUNTA($B$6:B18))</f>
        <v/>
      </c>
      <c r="B18" s="20" t="inlineStr">
        <is>
          <t>05-001</t>
        </is>
      </c>
      <c r="C18" s="23" t="inlineStr">
        <is>
          <t>أعمال التشطيبات</t>
        </is>
      </c>
      <c r="D18" s="35" t="inlineStr">
        <is>
          <t>لياسة داخلية للجدران والأسقف</t>
        </is>
      </c>
      <c r="E18" s="20" t="inlineStr">
        <is>
          <t>م2</t>
        </is>
      </c>
      <c r="F18" s="36" t="n">
        <v>11550</v>
      </c>
      <c r="G18" s="36" t="n">
        <v>32</v>
      </c>
      <c r="H18" s="37">
        <f>F18*G18</f>
        <v/>
      </c>
      <c r="I18" s="38">
        <f>IF($H$106&gt;0,H18/$H$106,0)</f>
        <v/>
      </c>
    </row>
    <row r="19">
      <c r="A19" s="34">
        <f>IF(B19="","",COUNTA($B$6:B19))</f>
        <v/>
      </c>
      <c r="B19" s="20" t="inlineStr">
        <is>
          <t>05-002</t>
        </is>
      </c>
      <c r="C19" s="23" t="inlineStr">
        <is>
          <t>أعمال التشطيبات</t>
        </is>
      </c>
      <c r="D19" s="35" t="inlineStr">
        <is>
          <t>لياسة خارجية للواجهات</t>
        </is>
      </c>
      <c r="E19" s="20" t="inlineStr">
        <is>
          <t>م2</t>
        </is>
      </c>
      <c r="F19" s="36" t="n">
        <v>3575</v>
      </c>
      <c r="G19" s="36" t="n">
        <v>40</v>
      </c>
      <c r="H19" s="37">
        <f>F19*G19</f>
        <v/>
      </c>
      <c r="I19" s="38">
        <f>IF($H$106&gt;0,H19/$H$106,0)</f>
        <v/>
      </c>
    </row>
    <row r="20">
      <c r="A20" s="34">
        <f>IF(B20="","",COUNTA($B$6:B20))</f>
        <v/>
      </c>
      <c r="B20" s="20" t="inlineStr">
        <is>
          <t>05-003</t>
        </is>
      </c>
      <c r="C20" s="23" t="inlineStr">
        <is>
          <t>أعمال التشطيبات</t>
        </is>
      </c>
      <c r="D20" s="35" t="inlineStr">
        <is>
          <t>توريد وتركيب بلاط بورسلين 60×60 درجة أولى</t>
        </is>
      </c>
      <c r="E20" s="20" t="inlineStr">
        <is>
          <t>م2</t>
        </is>
      </c>
      <c r="F20" s="36" t="n">
        <v>3960</v>
      </c>
      <c r="G20" s="36" t="n">
        <v>140</v>
      </c>
      <c r="H20" s="37">
        <f>F20*G20</f>
        <v/>
      </c>
      <c r="I20" s="38">
        <f>IF($H$106&gt;0,H20/$H$106,0)</f>
        <v/>
      </c>
    </row>
    <row r="21">
      <c r="A21" s="34">
        <f>IF(B21="","",COUNTA($B$6:B21))</f>
        <v/>
      </c>
      <c r="B21" s="20" t="inlineStr">
        <is>
          <t>05-004</t>
        </is>
      </c>
      <c r="C21" s="23" t="inlineStr">
        <is>
          <t>أعمال التشطيبات</t>
        </is>
      </c>
      <c r="D21" s="35" t="inlineStr">
        <is>
          <t>دهانات داخلية (أساس + وجهين)</t>
        </is>
      </c>
      <c r="E21" s="20" t="inlineStr">
        <is>
          <t>م2</t>
        </is>
      </c>
      <c r="F21" s="36" t="n">
        <v>11550</v>
      </c>
      <c r="G21" s="36" t="n">
        <v>28</v>
      </c>
      <c r="H21" s="37">
        <f>F21*G21</f>
        <v/>
      </c>
      <c r="I21" s="38">
        <f>IF($H$106&gt;0,H21/$H$106,0)</f>
        <v/>
      </c>
    </row>
    <row r="22">
      <c r="A22" s="34">
        <f>IF(B22="","",COUNTA($B$6:B22))</f>
        <v/>
      </c>
      <c r="B22" s="20" t="inlineStr">
        <is>
          <t>05-005</t>
        </is>
      </c>
      <c r="C22" s="23" t="inlineStr">
        <is>
          <t>أعمال التشطيبات</t>
        </is>
      </c>
      <c r="D22" s="35" t="inlineStr">
        <is>
          <t>تكسيات واجهات حجر طبيعي سماكة 3 سم</t>
        </is>
      </c>
      <c r="E22" s="20" t="inlineStr">
        <is>
          <t>م2</t>
        </is>
      </c>
      <c r="F22" s="36" t="n">
        <v>1540</v>
      </c>
      <c r="G22" s="36" t="n">
        <v>260</v>
      </c>
      <c r="H22" s="37">
        <f>F22*G22</f>
        <v/>
      </c>
      <c r="I22" s="38">
        <f>IF($H$106&gt;0,H22/$H$106,0)</f>
        <v/>
      </c>
    </row>
    <row r="23">
      <c r="A23" s="34">
        <f>IF(B23="","",COUNTA($B$6:B23))</f>
        <v/>
      </c>
      <c r="B23" s="20" t="inlineStr">
        <is>
          <t>05-006</t>
        </is>
      </c>
      <c r="C23" s="23" t="inlineStr">
        <is>
          <t>أعمال التشطيبات</t>
        </is>
      </c>
      <c r="D23" s="35" t="inlineStr">
        <is>
          <t>توريد وتركيب أبواب خشبية داخلية كاملة</t>
        </is>
      </c>
      <c r="E23" s="20" t="inlineStr">
        <is>
          <t>عدد</t>
        </is>
      </c>
      <c r="F23" s="36" t="n">
        <v>88</v>
      </c>
      <c r="G23" s="36" t="n">
        <v>1800</v>
      </c>
      <c r="H23" s="37">
        <f>F23*G23</f>
        <v/>
      </c>
      <c r="I23" s="38">
        <f>IF($H$106&gt;0,H23/$H$106,0)</f>
        <v/>
      </c>
    </row>
    <row r="24">
      <c r="A24" s="34">
        <f>IF(B24="","",COUNTA($B$6:B24))</f>
        <v/>
      </c>
      <c r="B24" s="20" t="inlineStr">
        <is>
          <t>05-007</t>
        </is>
      </c>
      <c r="C24" s="23" t="inlineStr">
        <is>
          <t>أعمال التشطيبات</t>
        </is>
      </c>
      <c r="D24" s="35" t="inlineStr">
        <is>
          <t>توريد وتركيب نوافذ ألمنيوم مع زجاج مزدوج</t>
        </is>
      </c>
      <c r="E24" s="20" t="inlineStr">
        <is>
          <t>م2</t>
        </is>
      </c>
      <c r="F24" s="36" t="n">
        <v>522</v>
      </c>
      <c r="G24" s="36" t="n">
        <v>650</v>
      </c>
      <c r="H24" s="37">
        <f>F24*G24</f>
        <v/>
      </c>
      <c r="I24" s="38">
        <f>IF($H$106&gt;0,H24/$H$106,0)</f>
        <v/>
      </c>
    </row>
    <row r="25">
      <c r="A25" s="34">
        <f>IF(B25="","",COUNTA($B$6:B25))</f>
        <v/>
      </c>
      <c r="B25" s="20" t="inlineStr">
        <is>
          <t>06-001</t>
        </is>
      </c>
      <c r="C25" s="23" t="inlineStr">
        <is>
          <t>الأعمال الكهربائية</t>
        </is>
      </c>
      <c r="D25" s="35" t="inlineStr">
        <is>
          <t>تأسيس نقاط إنارة وأفياش بالمواسير والأسلاك</t>
        </is>
      </c>
      <c r="E25" s="20" t="inlineStr">
        <is>
          <t>نقطة</t>
        </is>
      </c>
      <c r="F25" s="36" t="n">
        <v>1760</v>
      </c>
      <c r="G25" s="36" t="n">
        <v>120</v>
      </c>
      <c r="H25" s="37">
        <f>F25*G25</f>
        <v/>
      </c>
      <c r="I25" s="38">
        <f>IF($H$106&gt;0,H25/$H$106,0)</f>
        <v/>
      </c>
    </row>
    <row r="26">
      <c r="A26" s="34">
        <f>IF(B26="","",COUNTA($B$6:B26))</f>
        <v/>
      </c>
      <c r="B26" s="20" t="inlineStr">
        <is>
          <t>06-002</t>
        </is>
      </c>
      <c r="C26" s="23" t="inlineStr">
        <is>
          <t>الأعمال الكهربائية</t>
        </is>
      </c>
      <c r="D26" s="35" t="inlineStr">
        <is>
          <t>توريد وتركيب لوحات توزيع فرعية</t>
        </is>
      </c>
      <c r="E26" s="20" t="inlineStr">
        <is>
          <t>عدد</t>
        </is>
      </c>
      <c r="F26" s="36" t="n">
        <v>13</v>
      </c>
      <c r="G26" s="36" t="n">
        <v>6500</v>
      </c>
      <c r="H26" s="37">
        <f>F26*G26</f>
        <v/>
      </c>
      <c r="I26" s="38">
        <f>IF($H$106&gt;0,H26/$H$106,0)</f>
        <v/>
      </c>
    </row>
    <row r="27">
      <c r="A27" s="34">
        <f>IF(B27="","",COUNTA($B$6:B27))</f>
        <v/>
      </c>
      <c r="B27" s="20" t="inlineStr">
        <is>
          <t>06-003</t>
        </is>
      </c>
      <c r="C27" s="23" t="inlineStr">
        <is>
          <t>الأعمال الكهربائية</t>
        </is>
      </c>
      <c r="D27" s="35" t="inlineStr">
        <is>
          <t>كابلات تغذية رئيسية نحاس معزولة</t>
        </is>
      </c>
      <c r="E27" s="20" t="inlineStr">
        <is>
          <t>م.ط</t>
        </is>
      </c>
      <c r="F27" s="36" t="n">
        <v>990</v>
      </c>
      <c r="G27" s="36" t="n">
        <v>160</v>
      </c>
      <c r="H27" s="37">
        <f>F27*G27</f>
        <v/>
      </c>
      <c r="I27" s="38">
        <f>IF($H$106&gt;0,H27/$H$106,0)</f>
        <v/>
      </c>
    </row>
    <row r="28">
      <c r="A28" s="34">
        <f>IF(B28="","",COUNTA($B$6:B28))</f>
        <v/>
      </c>
      <c r="B28" s="20" t="inlineStr">
        <is>
          <t>06-004</t>
        </is>
      </c>
      <c r="C28" s="23" t="inlineStr">
        <is>
          <t>الأعمال الكهربائية</t>
        </is>
      </c>
      <c r="D28" s="35" t="inlineStr">
        <is>
          <t>توريد وتركيب وحدات إنارة LED</t>
        </is>
      </c>
      <c r="E28" s="20" t="inlineStr">
        <is>
          <t>عدد</t>
        </is>
      </c>
      <c r="F28" s="36" t="n">
        <v>770</v>
      </c>
      <c r="G28" s="36" t="n">
        <v>280</v>
      </c>
      <c r="H28" s="37">
        <f>F28*G28</f>
        <v/>
      </c>
      <c r="I28" s="38">
        <f>IF($H$106&gt;0,H28/$H$106,0)</f>
        <v/>
      </c>
    </row>
    <row r="29">
      <c r="A29" s="34">
        <f>IF(B29="","",COUNTA($B$6:B29))</f>
        <v/>
      </c>
      <c r="B29" s="20" t="inlineStr">
        <is>
          <t>07-001</t>
        </is>
      </c>
      <c r="C29" s="23" t="inlineStr">
        <is>
          <t>الأعمال الصحية</t>
        </is>
      </c>
      <c r="D29" s="35" t="inlineStr">
        <is>
          <t>تمديدات تغذية مياه بمواسير PPR</t>
        </is>
      </c>
      <c r="E29" s="20" t="inlineStr">
        <is>
          <t>نقطة</t>
        </is>
      </c>
      <c r="F29" s="36" t="n">
        <v>231</v>
      </c>
      <c r="G29" s="36" t="n">
        <v>350</v>
      </c>
      <c r="H29" s="37">
        <f>F29*G29</f>
        <v/>
      </c>
      <c r="I29" s="38">
        <f>IF($H$106&gt;0,H29/$H$106,0)</f>
        <v/>
      </c>
    </row>
    <row r="30">
      <c r="A30" s="34">
        <f>IF(B30="","",COUNTA($B$6:B30))</f>
        <v/>
      </c>
      <c r="B30" s="20" t="inlineStr">
        <is>
          <t>07-002</t>
        </is>
      </c>
      <c r="C30" s="23" t="inlineStr">
        <is>
          <t>الأعمال الصحية</t>
        </is>
      </c>
      <c r="D30" s="35" t="inlineStr">
        <is>
          <t>تمديدات صرف صحي بمواسير UPVC</t>
        </is>
      </c>
      <c r="E30" s="20" t="inlineStr">
        <is>
          <t>نقطة</t>
        </is>
      </c>
      <c r="F30" s="36" t="n">
        <v>209</v>
      </c>
      <c r="G30" s="36" t="n">
        <v>300</v>
      </c>
      <c r="H30" s="37">
        <f>F30*G30</f>
        <v/>
      </c>
      <c r="I30" s="38">
        <f>IF($H$106&gt;0,H30/$H$106,0)</f>
        <v/>
      </c>
    </row>
    <row r="31">
      <c r="A31" s="34">
        <f>IF(B31="","",COUNTA($B$6:B31))</f>
        <v/>
      </c>
      <c r="B31" s="20" t="inlineStr">
        <is>
          <t>07-003</t>
        </is>
      </c>
      <c r="C31" s="23" t="inlineStr">
        <is>
          <t>الأعمال الصحية</t>
        </is>
      </c>
      <c r="D31" s="35" t="inlineStr">
        <is>
          <t>توريد وتركيب أطقم صحية كاملة</t>
        </is>
      </c>
      <c r="E31" s="20" t="inlineStr">
        <is>
          <t>طقم</t>
        </is>
      </c>
      <c r="F31" s="36" t="n">
        <v>53</v>
      </c>
      <c r="G31" s="36" t="n">
        <v>2800</v>
      </c>
      <c r="H31" s="37">
        <f>F31*G31</f>
        <v/>
      </c>
      <c r="I31" s="38">
        <f>IF($H$106&gt;0,H31/$H$106,0)</f>
        <v/>
      </c>
    </row>
    <row r="32">
      <c r="A32" s="34">
        <f>IF(B32="","",COUNTA($B$6:B32))</f>
        <v/>
      </c>
      <c r="B32" s="20" t="inlineStr">
        <is>
          <t>08-001</t>
        </is>
      </c>
      <c r="C32" s="23" t="inlineStr">
        <is>
          <t>أعمال التكييف</t>
        </is>
      </c>
      <c r="D32" s="35" t="inlineStr">
        <is>
          <t>توريد وتركيب وحدات تكييف سبليت</t>
        </is>
      </c>
      <c r="E32" s="20" t="inlineStr">
        <is>
          <t>عدد</t>
        </is>
      </c>
      <c r="F32" s="36" t="n">
        <v>66</v>
      </c>
      <c r="G32" s="36" t="n">
        <v>4200</v>
      </c>
      <c r="H32" s="37">
        <f>F32*G32</f>
        <v/>
      </c>
      <c r="I32" s="38">
        <f>IF($H$106&gt;0,H32/$H$106,0)</f>
        <v/>
      </c>
    </row>
    <row r="33">
      <c r="A33" s="34">
        <f>IF(B33="","",COUNTA($B$6:B33))</f>
        <v/>
      </c>
      <c r="B33" s="20" t="inlineStr">
        <is>
          <t>08-002</t>
        </is>
      </c>
      <c r="C33" s="23" t="inlineStr">
        <is>
          <t>أعمال التكييف</t>
        </is>
      </c>
      <c r="D33" s="35" t="inlineStr">
        <is>
          <t>مجاري هواء صاج مجلفن معزولة</t>
        </is>
      </c>
      <c r="E33" s="20" t="inlineStr">
        <is>
          <t>م2</t>
        </is>
      </c>
      <c r="F33" s="36" t="n">
        <v>1430</v>
      </c>
      <c r="G33" s="36" t="n">
        <v>220</v>
      </c>
      <c r="H33" s="37">
        <f>F33*G33</f>
        <v/>
      </c>
      <c r="I33" s="38">
        <f>IF($H$106&gt;0,H33/$H$106,0)</f>
        <v/>
      </c>
    </row>
    <row r="34">
      <c r="A34" s="34">
        <f>IF(B34="","",COUNTA($B$6:B34))</f>
        <v/>
      </c>
      <c r="B34" s="20" t="inlineStr">
        <is>
          <t>09-001</t>
        </is>
      </c>
      <c r="C34" s="23" t="inlineStr">
        <is>
          <t>أعمال الموقع العام</t>
        </is>
      </c>
      <c r="D34" s="35" t="inlineStr">
        <is>
          <t>بردورات وأرصفة خرسانية</t>
        </is>
      </c>
      <c r="E34" s="20" t="inlineStr">
        <is>
          <t>م.ط</t>
        </is>
      </c>
      <c r="F34" s="36" t="n">
        <v>660</v>
      </c>
      <c r="G34" s="36" t="n">
        <v>85</v>
      </c>
      <c r="H34" s="37">
        <f>F34*G34</f>
        <v/>
      </c>
      <c r="I34" s="38">
        <f>IF($H$106&gt;0,H34/$H$106,0)</f>
        <v/>
      </c>
    </row>
    <row r="35">
      <c r="A35" s="34">
        <f>IF(B35="","",COUNTA($B$6:B35))</f>
        <v/>
      </c>
      <c r="B35" s="20" t="inlineStr">
        <is>
          <t>09-002</t>
        </is>
      </c>
      <c r="C35" s="23" t="inlineStr">
        <is>
          <t>أعمال الموقع العام</t>
        </is>
      </c>
      <c r="D35" s="35" t="inlineStr">
        <is>
          <t>أعمال بلاط متداخل (إنترلوك) سماكة 8 سم</t>
        </is>
      </c>
      <c r="E35" s="20" t="inlineStr">
        <is>
          <t>م2</t>
        </is>
      </c>
      <c r="F35" s="36" t="n">
        <v>1925</v>
      </c>
      <c r="G35" s="36" t="n">
        <v>70</v>
      </c>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02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inlineStr">
        <is>
          <t>VO-01</t>
        </is>
      </c>
      <c r="C6" s="24" t="n">
        <v>46063</v>
      </c>
      <c r="D6" s="35" t="inlineStr">
        <is>
          <t>زيادة عدد دورات المياه بالدور الأرضي</t>
        </is>
      </c>
      <c r="E6" s="20" t="inlineStr">
        <is>
          <t>إضافة</t>
        </is>
      </c>
      <c r="F6" s="43" t="n">
        <v>128000</v>
      </c>
      <c r="G6" s="44">
        <f>IF(E6="خصم",-1,1)*N(F6)</f>
        <v/>
      </c>
      <c r="H6" s="20" t="inlineStr">
        <is>
          <t>معتمد</t>
        </is>
      </c>
      <c r="I6" s="43" t="n">
        <v>128000</v>
      </c>
      <c r="J6" s="44">
        <f>IF(E6="خصم",-1,1)*N(I6)</f>
        <v/>
      </c>
      <c r="K6" s="25" t="n">
        <v>5</v>
      </c>
      <c r="L6" s="45" t="n"/>
    </row>
    <row r="7">
      <c r="A7" s="34">
        <f>IF(B7="","",COUNTA($B$6:B7))</f>
        <v/>
      </c>
      <c r="B7" s="20" t="inlineStr">
        <is>
          <t>VO-02</t>
        </is>
      </c>
      <c r="C7" s="24" t="n">
        <v>46188</v>
      </c>
      <c r="D7" s="35" t="inlineStr">
        <is>
          <t>إلغاء التكسيات الحجرية بالواجهة الخلفية</t>
        </is>
      </c>
      <c r="E7" s="20" t="inlineStr">
        <is>
          <t>خصم</t>
        </is>
      </c>
      <c r="F7" s="43" t="n">
        <v>42000</v>
      </c>
      <c r="G7" s="44">
        <f>IF(E7="خصم",-1,1)*N(F7)</f>
        <v/>
      </c>
      <c r="H7" s="20" t="inlineStr">
        <is>
          <t>معتمد</t>
        </is>
      </c>
      <c r="I7" s="43" t="n">
        <v>42000</v>
      </c>
      <c r="J7" s="44">
        <f>IF(E7="خصم",-1,1)*N(I7)</f>
        <v/>
      </c>
      <c r="K7" s="25" t="n">
        <v>8</v>
      </c>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02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inlineStr">
        <is>
          <t>TD-01</t>
        </is>
      </c>
      <c r="C6" s="24" t="n">
        <v>46085</v>
      </c>
      <c r="D6" s="25" t="n">
        <v>4</v>
      </c>
      <c r="E6" s="20" t="inlineStr">
        <is>
          <t>02-003</t>
        </is>
      </c>
      <c r="F6" s="48">
        <f>IF(E6="","",IFERROR(INDEX('جدول الكميات'!$D$6:$D$105,MATCH(E6,'جدول الكميات'!$B$6:$B$105,0)),"⚠ كود غير موجود"))</f>
        <v/>
      </c>
      <c r="G6" s="35" t="inlineStr">
        <is>
          <t>انحراف في رأسية بعض الأعمدة</t>
        </is>
      </c>
      <c r="H6" s="20" t="inlineStr">
        <is>
          <t>أعمال غير مطابقة</t>
        </is>
      </c>
      <c r="I6" s="43" t="n">
        <v>12000</v>
      </c>
      <c r="J6" s="20" t="inlineStr">
        <is>
          <t>نعم</t>
        </is>
      </c>
      <c r="K6" s="25" t="n">
        <v>6</v>
      </c>
      <c r="L6" s="49">
        <f>IF(J6="نعم",0,N(I6))</f>
        <v/>
      </c>
      <c r="M6" s="45" t="n"/>
    </row>
    <row r="7">
      <c r="A7" s="34">
        <f>IF(B7="","",COUNTA($B$6:B7))</f>
        <v/>
      </c>
      <c r="B7" s="20" t="inlineStr">
        <is>
          <t>TD-02</t>
        </is>
      </c>
      <c r="C7" s="24" t="n">
        <v>46208</v>
      </c>
      <c r="D7" s="25" t="n">
        <v>8</v>
      </c>
      <c r="E7" s="20" t="inlineStr">
        <is>
          <t>05-001</t>
        </is>
      </c>
      <c r="F7" s="48">
        <f>IF(E7="","",IFERROR(INDEX('جدول الكميات'!$D$6:$D$105,MATCH(E7,'جدول الكميات'!$B$6:$B$105,0)),"⚠ كود غير موجود"))</f>
        <v/>
      </c>
      <c r="G7" s="35" t="inlineStr">
        <is>
          <t>لياسة غير مستوية بالدور الأول</t>
        </is>
      </c>
      <c r="H7" s="20" t="inlineStr">
        <is>
          <t>ملاحظات فنية</t>
        </is>
      </c>
      <c r="I7" s="43" t="n">
        <v>11000</v>
      </c>
      <c r="J7" s="20" t="inlineStr">
        <is>
          <t>لا</t>
        </is>
      </c>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v>18500</v>
      </c>
      <c r="F11" s="56" t="n">
        <v>18500</v>
      </c>
      <c r="G11" s="56" t="n">
        <v>24600</v>
      </c>
      <c r="H11" s="56" t="n">
        <v>55400</v>
      </c>
      <c r="I11" s="56" t="n">
        <v>6200</v>
      </c>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v>1184500</v>
      </c>
      <c r="F12" s="56" t="n">
        <v>430700</v>
      </c>
      <c r="G12" s="56" t="n">
        <v>215400</v>
      </c>
      <c r="H12" s="56" t="n">
        <v>215400</v>
      </c>
      <c r="I12" s="56" t="n">
        <v>107700</v>
      </c>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v>180600</v>
      </c>
      <c r="F13" s="56" t="n">
        <v>126400</v>
      </c>
      <c r="G13" s="56" t="n">
        <v>18100</v>
      </c>
      <c r="H13" s="56" t="n">
        <v>10800</v>
      </c>
      <c r="I13" s="56" t="n">
        <v>25300</v>
      </c>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v>64400</v>
      </c>
      <c r="F14" s="56" t="n">
        <v>25700</v>
      </c>
      <c r="G14" s="56" t="n">
        <v>32200</v>
      </c>
      <c r="H14" s="56" t="n"/>
      <c r="I14" s="56" t="n">
        <v>6400</v>
      </c>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v>915400</v>
      </c>
      <c r="F15" s="56" t="n">
        <v>457700</v>
      </c>
      <c r="G15" s="56" t="n">
        <v>329500</v>
      </c>
      <c r="H15" s="56" t="n">
        <v>36600</v>
      </c>
      <c r="I15" s="56" t="n">
        <v>91500</v>
      </c>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v>219700</v>
      </c>
      <c r="F16" s="56" t="n">
        <v>54900</v>
      </c>
      <c r="G16" s="56" t="n">
        <v>247100</v>
      </c>
      <c r="H16" s="56" t="n"/>
      <c r="I16" s="56" t="n">
        <v>27500</v>
      </c>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v>91100</v>
      </c>
      <c r="F17" s="56" t="n">
        <v>22800</v>
      </c>
      <c r="G17" s="56" t="n">
        <v>102500</v>
      </c>
      <c r="H17" s="56" t="n"/>
      <c r="I17" s="56" t="n">
        <v>11400</v>
      </c>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v>213000</v>
      </c>
      <c r="F18" s="56" t="n">
        <v>23700</v>
      </c>
      <c r="G18" s="56" t="n">
        <v>213000</v>
      </c>
      <c r="H18" s="56" t="n"/>
      <c r="I18" s="56" t="n">
        <v>23700</v>
      </c>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v>62600</v>
      </c>
      <c r="F19" s="56" t="n">
        <v>31300</v>
      </c>
      <c r="G19" s="56" t="n">
        <v>31300</v>
      </c>
      <c r="H19" s="56" t="n">
        <v>23500</v>
      </c>
      <c r="I19" s="56" t="n">
        <v>7800</v>
      </c>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v>75073.53</v>
      </c>
      <c r="E31" s="56" t="n">
        <v>30312.69</v>
      </c>
      <c r="F31" s="56" t="n">
        <v>30881.79</v>
      </c>
      <c r="G31" s="56" t="n">
        <v>8732</v>
      </c>
      <c r="H31" s="56" t="n">
        <v>7820.86</v>
      </c>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v>192750.74</v>
      </c>
      <c r="E32" s="56" t="n">
        <v>77827.60000000001</v>
      </c>
      <c r="F32" s="56" t="n">
        <v>79288.75999999999</v>
      </c>
      <c r="G32" s="56" t="n">
        <v>22419.35</v>
      </c>
      <c r="H32" s="56" t="n">
        <v>20080</v>
      </c>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v>187873.38</v>
      </c>
      <c r="E33" s="56" t="n">
        <v>75858.25999999999</v>
      </c>
      <c r="F33" s="56" t="n">
        <v>77282.44</v>
      </c>
      <c r="G33" s="56" t="n">
        <v>21852.05</v>
      </c>
      <c r="H33" s="56" t="n">
        <v>19571.9</v>
      </c>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v>175828.1</v>
      </c>
      <c r="E34" s="56" t="n">
        <v>70994.7</v>
      </c>
      <c r="F34" s="56" t="n">
        <v>72327.57000000001</v>
      </c>
      <c r="G34" s="56" t="n">
        <v>20451.03</v>
      </c>
      <c r="H34" s="56" t="n">
        <v>18317.07</v>
      </c>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v>208644.71</v>
      </c>
      <c r="E35" s="56" t="n">
        <v>84245.17</v>
      </c>
      <c r="F35" s="56" t="n">
        <v>85826.8</v>
      </c>
      <c r="G35" s="56" t="n">
        <v>24268.02</v>
      </c>
      <c r="H35" s="56" t="n">
        <v>21735.77</v>
      </c>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v>256226.29</v>
      </c>
      <c r="E36" s="56" t="n">
        <v>103457.34</v>
      </c>
      <c r="F36" s="56" t="n">
        <v>105399.67</v>
      </c>
      <c r="G36" s="56" t="n">
        <v>29802.36</v>
      </c>
      <c r="H36" s="56" t="n">
        <v>26692.63</v>
      </c>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v>346252.56</v>
      </c>
      <c r="E37" s="56" t="n">
        <v>139807.54</v>
      </c>
      <c r="F37" s="56" t="n">
        <v>142432.32</v>
      </c>
      <c r="G37" s="56" t="n">
        <v>40273.56</v>
      </c>
      <c r="H37" s="56" t="n">
        <v>36071.2</v>
      </c>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v>216734.71</v>
      </c>
      <c r="E38" s="56" t="n">
        <v>87511.69</v>
      </c>
      <c r="F38" s="56" t="n">
        <v>89154.66</v>
      </c>
      <c r="G38" s="56" t="n">
        <v>25208.99</v>
      </c>
      <c r="H38" s="56" t="n">
        <v>22578.55</v>
      </c>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v>245238.74</v>
      </c>
      <c r="E39" s="56" t="n">
        <v>99020.86</v>
      </c>
      <c r="F39" s="56" t="n">
        <v>100879.9</v>
      </c>
      <c r="G39" s="56" t="n">
        <v>28524.37</v>
      </c>
      <c r="H39" s="56" t="n">
        <v>25547.99</v>
      </c>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v>232409.18</v>
      </c>
      <c r="E40" s="56" t="n">
        <v>93840.63</v>
      </c>
      <c r="F40" s="56" t="n">
        <v>95602.41</v>
      </c>
      <c r="G40" s="56" t="n">
        <v>27032.13</v>
      </c>
      <c r="H40" s="56" t="n">
        <v>24211.46</v>
      </c>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02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02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45962</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45991</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45996</v>
      </c>
      <c r="K8" s="24" t="n"/>
      <c r="L8" s="97" t="n">
        <v>0.0255</v>
      </c>
      <c r="M8" s="30" t="n"/>
    </row>
    <row r="9">
      <c r="B9" s="52" t="inlineStr">
        <is>
          <t>الاستشاري</t>
        </is>
      </c>
      <c r="C9" s="95">
        <f>'بيانات العقد'!C8</f>
        <v/>
      </c>
      <c r="D9" s="95" t="n"/>
      <c r="E9" s="95" t="n"/>
      <c r="F9" s="95" t="n"/>
      <c r="G9" s="95" t="n"/>
      <c r="H9" s="52" t="inlineStr">
        <is>
          <t>تاريخ الاعتماد</t>
        </is>
      </c>
      <c r="I9" s="52" t="n"/>
      <c r="J9" s="24" t="n">
        <v>46012</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152191.11</v>
      </c>
      <c r="F15" s="43" t="n"/>
      <c r="H15" s="52" t="inlineStr">
        <is>
          <t>تاريخ التحصيل</t>
        </is>
      </c>
      <c r="I15" s="52" t="n"/>
      <c r="J15" s="52" t="n"/>
      <c r="K15" s="24" t="n">
        <v>46044</v>
      </c>
      <c r="L15" s="24" t="n"/>
      <c r="M15" s="24" t="n"/>
    </row>
    <row r="16" ht="20" customHeight="1">
      <c r="B16" s="52" t="inlineStr">
        <is>
          <t>رقم الفاتورة الضريبية (من نظام الفوترة الإلكترونية)</t>
        </is>
      </c>
      <c r="C16" s="52" t="n"/>
      <c r="D16" s="52" t="n"/>
      <c r="E16" s="31" t="inlineStr">
        <is>
          <t>INV-2025-02001</t>
        </is>
      </c>
      <c r="F16" s="31" t="n"/>
      <c r="H16" s="52" t="inlineStr">
        <is>
          <t>تاريخ الفاتورة الضريبية</t>
        </is>
      </c>
      <c r="I16" s="52" t="n"/>
      <c r="J16" s="52" t="n"/>
      <c r="K16" s="24" t="n">
        <v>46012</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v>864.29</v>
      </c>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v>422.54</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v>345.71</v>
      </c>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v>8.76</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v>21.87</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v>9.68</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v>38.05</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v>11.06</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45992</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46022</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46027</v>
      </c>
      <c r="K8" s="24" t="n"/>
      <c r="L8" s="97" t="n">
        <v>0.09089999999999999</v>
      </c>
      <c r="M8" s="30" t="n"/>
    </row>
    <row r="9">
      <c r="B9" s="52" t="inlineStr">
        <is>
          <t>الاستشاري</t>
        </is>
      </c>
      <c r="C9" s="95">
        <f>'بيانات العقد'!C8</f>
        <v/>
      </c>
      <c r="D9" s="95" t="n"/>
      <c r="E9" s="95" t="n"/>
      <c r="F9" s="95" t="n"/>
      <c r="G9" s="95" t="n"/>
      <c r="H9" s="52" t="inlineStr">
        <is>
          <t>تاريخ الاعتماد</t>
        </is>
      </c>
      <c r="I9" s="52" t="n"/>
      <c r="J9" s="24" t="n">
        <v>46044</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30000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422249.56</v>
      </c>
      <c r="F15" s="43" t="n"/>
      <c r="H15" s="52" t="inlineStr">
        <is>
          <t>تاريخ التحصيل</t>
        </is>
      </c>
      <c r="I15" s="52" t="n"/>
      <c r="J15" s="52" t="n"/>
      <c r="K15" s="24" t="n">
        <v>46083</v>
      </c>
      <c r="L15" s="24" t="n"/>
      <c r="M15" s="24" t="n"/>
    </row>
    <row r="16" ht="20" customHeight="1">
      <c r="B16" s="52" t="inlineStr">
        <is>
          <t>رقم الفاتورة الضريبية (من نظام الفوترة الإلكترونية)</t>
        </is>
      </c>
      <c r="C16" s="52" t="n"/>
      <c r="D16" s="52" t="n"/>
      <c r="E16" s="31" t="inlineStr">
        <is>
          <t>INV-2026-02002</t>
        </is>
      </c>
      <c r="F16" s="31" t="n"/>
      <c r="H16" s="52" t="inlineStr">
        <is>
          <t>تاريخ الفاتورة الضريبية</t>
        </is>
      </c>
      <c r="I16" s="52" t="n"/>
      <c r="J16" s="52" t="n"/>
      <c r="K16" s="24" t="n">
        <v>46044</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v>864.29</v>
      </c>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v>422.54</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v>345.71</v>
      </c>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v>29.19</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v>72.91</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v>32.27</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v>126.83</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v>36.88</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46023</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46053</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46058</v>
      </c>
      <c r="K8" s="24" t="n"/>
      <c r="L8" s="97" t="n">
        <v>0.1547</v>
      </c>
      <c r="M8" s="30" t="n"/>
    </row>
    <row r="9">
      <c r="B9" s="52" t="inlineStr">
        <is>
          <t>الاستشاري</t>
        </is>
      </c>
      <c r="C9" s="95">
        <f>'بيانات العقد'!C8</f>
        <v/>
      </c>
      <c r="D9" s="95" t="n"/>
      <c r="E9" s="95" t="n"/>
      <c r="F9" s="95" t="n"/>
      <c r="G9" s="95" t="n"/>
      <c r="H9" s="52" t="inlineStr">
        <is>
          <t>تاريخ الاعتماد</t>
        </is>
      </c>
      <c r="I9" s="52" t="n"/>
      <c r="J9" s="24" t="n">
        <v>46073</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60000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412362.04</v>
      </c>
      <c r="F15" s="43" t="n"/>
      <c r="H15" s="52" t="inlineStr">
        <is>
          <t>تاريخ التحصيل</t>
        </is>
      </c>
      <c r="I15" s="52" t="n"/>
      <c r="J15" s="52" t="n"/>
      <c r="K15" s="24" t="n">
        <v>46103</v>
      </c>
      <c r="L15" s="24" t="n"/>
      <c r="M15" s="24" t="n"/>
    </row>
    <row r="16" ht="20" customHeight="1">
      <c r="B16" s="52" t="inlineStr">
        <is>
          <t>رقم الفاتورة الضريبية (من نظام الفوترة الإلكترونية)</t>
        </is>
      </c>
      <c r="C16" s="52" t="n"/>
      <c r="D16" s="52" t="n"/>
      <c r="E16" s="31" t="inlineStr">
        <is>
          <t>INV-2026-02003</t>
        </is>
      </c>
      <c r="F16" s="31" t="n"/>
      <c r="H16" s="52" t="inlineStr">
        <is>
          <t>تاريخ الفاتورة الضريبية</t>
        </is>
      </c>
      <c r="I16" s="52" t="n"/>
      <c r="J16" s="52" t="n"/>
      <c r="K16" s="24" t="n">
        <v>46073</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v>449.43</v>
      </c>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v>219.72</v>
      </c>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v>179.77</v>
      </c>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v>29.19</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v>72.91</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v>32.27</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v>126.83</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v>36.88</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v>124.46</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v>98.53</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46054</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46081</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46086</v>
      </c>
      <c r="K8" s="24" t="n"/>
      <c r="L8" s="97" t="n">
        <v>0.2144</v>
      </c>
      <c r="M8" s="30" t="n"/>
    </row>
    <row r="9">
      <c r="B9" s="52" t="inlineStr">
        <is>
          <t>الاستشاري</t>
        </is>
      </c>
      <c r="C9" s="95">
        <f>'بيانات العقد'!C8</f>
        <v/>
      </c>
      <c r="D9" s="95" t="n"/>
      <c r="E9" s="95" t="n"/>
      <c r="F9" s="95" t="n"/>
      <c r="G9" s="95" t="n"/>
      <c r="H9" s="52" t="inlineStr">
        <is>
          <t>تاريخ الاعتماد</t>
        </is>
      </c>
      <c r="I9" s="52" t="n"/>
      <c r="J9" s="24" t="n">
        <v>46102</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84000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367843.52</v>
      </c>
      <c r="F15" s="43" t="n"/>
      <c r="H15" s="52" t="inlineStr">
        <is>
          <t>تاريخ التحصيل</t>
        </is>
      </c>
      <c r="I15" s="52" t="n"/>
      <c r="J15" s="52" t="n"/>
      <c r="K15" s="24" t="n">
        <v>46139</v>
      </c>
      <c r="L15" s="24" t="n"/>
      <c r="M15" s="24" t="n"/>
    </row>
    <row r="16" ht="20" customHeight="1">
      <c r="B16" s="52" t="inlineStr">
        <is>
          <t>رقم الفاتورة الضريبية (من نظام الفوترة الإلكترونية)</t>
        </is>
      </c>
      <c r="C16" s="52" t="n"/>
      <c r="D16" s="52" t="n"/>
      <c r="E16" s="31" t="inlineStr">
        <is>
          <t>INV-2026-02004</t>
        </is>
      </c>
      <c r="F16" s="31" t="n"/>
      <c r="H16" s="52" t="inlineStr">
        <is>
          <t>تاريخ الفاتورة الضريبية</t>
        </is>
      </c>
      <c r="I16" s="52" t="n"/>
      <c r="J16" s="52" t="n"/>
      <c r="K16" s="24" t="n">
        <v>46102</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v>29.19</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v>72.91</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v>32.27</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v>126.83</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v>36.88</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46082</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46112</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46117</v>
      </c>
      <c r="K8" s="24" t="n"/>
      <c r="L8" s="97" t="n">
        <v>0.2852</v>
      </c>
      <c r="M8" s="30" t="n"/>
    </row>
    <row r="9">
      <c r="B9" s="52" t="inlineStr">
        <is>
          <t>الاستشاري</t>
        </is>
      </c>
      <c r="C9" s="95">
        <f>'بيانات العقد'!C8</f>
        <v/>
      </c>
      <c r="D9" s="95" t="n"/>
      <c r="E9" s="95" t="n"/>
      <c r="F9" s="95" t="n"/>
      <c r="G9" s="95" t="n"/>
      <c r="H9" s="52" t="inlineStr">
        <is>
          <t>تاريخ الاعتماد</t>
        </is>
      </c>
      <c r="I9" s="52" t="n"/>
      <c r="J9" s="24" t="n">
        <v>46134</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76000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530570.26</v>
      </c>
      <c r="F15" s="43" t="n"/>
      <c r="H15" s="52" t="inlineStr">
        <is>
          <t>تاريخ التحصيل</t>
        </is>
      </c>
      <c r="I15" s="52" t="n"/>
      <c r="J15" s="52" t="n"/>
      <c r="K15" s="24" t="n">
        <v>46162</v>
      </c>
      <c r="L15" s="24" t="n"/>
      <c r="M15" s="24" t="n"/>
    </row>
    <row r="16" ht="20" customHeight="1">
      <c r="B16" s="52" t="inlineStr">
        <is>
          <t>رقم الفاتورة الضريبية (من نظام الفوترة الإلكترونية)</t>
        </is>
      </c>
      <c r="C16" s="52" t="n"/>
      <c r="D16" s="52" t="n"/>
      <c r="E16" s="31" t="inlineStr">
        <is>
          <t>INV-2026-02005</t>
        </is>
      </c>
      <c r="F16" s="31" t="n"/>
      <c r="H16" s="52" t="inlineStr">
        <is>
          <t>تاريخ الفاتورة الضريبية</t>
        </is>
      </c>
      <c r="I16" s="52" t="n"/>
      <c r="J16" s="52" t="n"/>
      <c r="K16" s="24" t="n">
        <v>46134</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v>29.19</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v>72.91</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v>32.27</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v>126.83</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v>36.88</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v>616.36</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v>284.47</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v>18.44</v>
      </c>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v>0.14</v>
      </c>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v>10.37</v>
      </c>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v>8.07</v>
      </c>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v>2.42</v>
      </c>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v>2.19</v>
      </c>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v>0.5600000000000001</v>
      </c>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46113</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46142</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46147</v>
      </c>
      <c r="K8" s="24" t="n"/>
      <c r="L8" s="97" t="n">
        <v>0.3722</v>
      </c>
      <c r="M8" s="30" t="n"/>
    </row>
    <row r="9">
      <c r="B9" s="52" t="inlineStr">
        <is>
          <t>الاستشاري</t>
        </is>
      </c>
      <c r="C9" s="95">
        <f>'بيانات العقد'!C8</f>
        <v/>
      </c>
      <c r="D9" s="95" t="n"/>
      <c r="E9" s="95" t="n"/>
      <c r="F9" s="95" t="n"/>
      <c r="G9" s="95" t="n"/>
      <c r="H9" s="52" t="inlineStr">
        <is>
          <t>تاريخ الاعتماد</t>
        </is>
      </c>
      <c r="I9" s="52" t="n"/>
      <c r="J9" s="24" t="n">
        <v>46162</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52000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508028.92</v>
      </c>
      <c r="F15" s="43" t="n"/>
      <c r="H15" s="52" t="inlineStr">
        <is>
          <t>تاريخ التحصيل</t>
        </is>
      </c>
      <c r="I15" s="52" t="n"/>
      <c r="J15" s="52" t="n"/>
      <c r="K15" s="24" t="n">
        <v>46197</v>
      </c>
      <c r="L15" s="24" t="n"/>
      <c r="M15" s="24" t="n"/>
    </row>
    <row r="16" ht="20" customHeight="1">
      <c r="B16" s="52" t="inlineStr">
        <is>
          <t>رقم الفاتورة الضريبية (من نظام الفوترة الإلكترونية)</t>
        </is>
      </c>
      <c r="C16" s="52" t="n"/>
      <c r="D16" s="52" t="n"/>
      <c r="E16" s="31" t="inlineStr">
        <is>
          <t>INV-2026-02006</t>
        </is>
      </c>
      <c r="F16" s="31" t="n"/>
      <c r="H16" s="52" t="inlineStr">
        <is>
          <t>تاريخ الفاتورة الضريبية</t>
        </is>
      </c>
      <c r="I16" s="52" t="n"/>
      <c r="J16" s="52" t="n"/>
      <c r="K16" s="24" t="n">
        <v>46162</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v>29.19</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v>72.91</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v>32.27</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v>126.83</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v>36.88</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v>770.45</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v>355.59</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v>184.38</v>
      </c>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v>1.36</v>
      </c>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v>103.71</v>
      </c>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v>80.67</v>
      </c>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v>24.2</v>
      </c>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v>21.9</v>
      </c>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v>5.55</v>
      </c>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46143</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46173</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46178</v>
      </c>
      <c r="K8" s="24" t="n"/>
      <c r="L8" s="97" t="n">
        <v>0.4897</v>
      </c>
      <c r="M8" s="30" t="n"/>
    </row>
    <row r="9">
      <c r="B9" s="52" t="inlineStr">
        <is>
          <t>الاستشاري</t>
        </is>
      </c>
      <c r="C9" s="95">
        <f>'بيانات العقد'!C8</f>
        <v/>
      </c>
      <c r="D9" s="95" t="n"/>
      <c r="E9" s="95" t="n"/>
      <c r="F9" s="95" t="n"/>
      <c r="G9" s="95" t="n"/>
      <c r="H9" s="52" t="inlineStr">
        <is>
          <t>تاريخ الاعتماد</t>
        </is>
      </c>
      <c r="I9" s="52" t="n"/>
      <c r="J9" s="24" t="n">
        <v>46194</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100000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752332.63</v>
      </c>
      <c r="F15" s="43" t="n"/>
      <c r="H15" s="52" t="inlineStr">
        <is>
          <t>تاريخ التحصيل</t>
        </is>
      </c>
      <c r="I15" s="52" t="n"/>
      <c r="J15" s="52" t="n"/>
      <c r="K15" s="24" t="n">
        <v>46220</v>
      </c>
      <c r="L15" s="24" t="n"/>
      <c r="M15" s="24" t="n"/>
    </row>
    <row r="16" ht="20" customHeight="1">
      <c r="B16" s="52" t="inlineStr">
        <is>
          <t>رقم الفاتورة الضريبية (من نظام الفوترة الإلكترونية)</t>
        </is>
      </c>
      <c r="C16" s="52" t="n"/>
      <c r="D16" s="52" t="n"/>
      <c r="E16" s="31" t="inlineStr">
        <is>
          <t>INV-2026-02007</t>
        </is>
      </c>
      <c r="F16" s="31" t="n"/>
      <c r="H16" s="52" t="inlineStr">
        <is>
          <t>تاريخ الفاتورة الضريبية</t>
        </is>
      </c>
      <c r="I16" s="52" t="n"/>
      <c r="J16" s="52" t="n"/>
      <c r="K16" s="24" t="n">
        <v>46194</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v>29.19</v>
      </c>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v>72.91</v>
      </c>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v>32.27</v>
      </c>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v>126.83</v>
      </c>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v>36.88</v>
      </c>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v>770.45</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v>355.59</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v>1016.4</v>
      </c>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v>314.6</v>
      </c>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v>348.48</v>
      </c>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v>1016.4</v>
      </c>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v>135.52</v>
      </c>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v>7.74</v>
      </c>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v>45.94</v>
      </c>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v>184.38</v>
      </c>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v>1.36</v>
      </c>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v>103.71</v>
      </c>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v>80.67</v>
      </c>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v>24.2</v>
      </c>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v>21.9</v>
      </c>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v>5.55</v>
      </c>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46174</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46203</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46208</v>
      </c>
      <c r="K8" s="24" t="n"/>
      <c r="L8" s="97" t="n">
        <v>0.5633</v>
      </c>
      <c r="M8" s="30" t="n"/>
    </row>
    <row r="9">
      <c r="B9" s="52" t="inlineStr">
        <is>
          <t>الاستشاري</t>
        </is>
      </c>
      <c r="C9" s="95">
        <f>'بيانات العقد'!C8</f>
        <v/>
      </c>
      <c r="D9" s="95" t="n"/>
      <c r="E9" s="95" t="n"/>
      <c r="F9" s="95" t="n"/>
      <c r="G9" s="95" t="n"/>
      <c r="H9" s="52" t="inlineStr">
        <is>
          <t>تاريخ الاعتماد</t>
        </is>
      </c>
      <c r="I9" s="52" t="n"/>
      <c r="J9" s="24" t="n">
        <v>46225</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90000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v>8000</v>
      </c>
      <c r="F14" s="43" t="n"/>
      <c r="H14" s="52" t="inlineStr">
        <is>
          <t>سبب الغرامة / الخصم</t>
        </is>
      </c>
      <c r="I14" s="52" t="n"/>
      <c r="J14" s="52" t="n"/>
      <c r="K14" s="20" t="inlineStr">
        <is>
          <t>مخالفة اشتراطات السلامة بالموقع</t>
        </is>
      </c>
      <c r="L14" s="20" t="n"/>
      <c r="M14" s="20" t="n"/>
    </row>
    <row r="15" ht="20" customHeight="1">
      <c r="B15" s="52" t="inlineStr">
        <is>
          <t>المبلغ المحصل من هذا المستخلص</t>
        </is>
      </c>
      <c r="C15" s="52" t="n"/>
      <c r="D15" s="52" t="n"/>
      <c r="E15" s="43" t="n">
        <v>380241.1</v>
      </c>
      <c r="F15" s="43" t="n"/>
      <c r="H15" s="52" t="inlineStr">
        <is>
          <t>تاريخ التحصيل</t>
        </is>
      </c>
      <c r="I15" s="52" t="n"/>
      <c r="J15" s="52" t="n"/>
      <c r="K15" s="24" t="n">
        <v>46258</v>
      </c>
      <c r="L15" s="24" t="n"/>
      <c r="M15" s="24" t="n"/>
    </row>
    <row r="16" ht="20" customHeight="1">
      <c r="B16" s="52" t="inlineStr">
        <is>
          <t>رقم الفاتورة الضريبية (من نظام الفوترة الإلكترونية)</t>
        </is>
      </c>
      <c r="C16" s="52" t="n"/>
      <c r="D16" s="52" t="n"/>
      <c r="E16" s="31" t="inlineStr">
        <is>
          <t>INV-2026-02008</t>
        </is>
      </c>
      <c r="F16" s="31" t="n"/>
      <c r="H16" s="52" t="inlineStr">
        <is>
          <t>تاريخ الفاتورة الضريبية</t>
        </is>
      </c>
      <c r="I16" s="52" t="n"/>
      <c r="J16" s="52" t="n"/>
      <c r="K16" s="24" t="n">
        <v>46225</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v>770.45</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v>355.59</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v>1452</v>
      </c>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v>449.43</v>
      </c>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v>497.83</v>
      </c>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v>1452</v>
      </c>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v>193.6</v>
      </c>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v>11.06</v>
      </c>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v>65.62</v>
      </c>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v>184.38</v>
      </c>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v>1.36</v>
      </c>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v>103.71</v>
      </c>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v>80.67</v>
      </c>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v>24.2</v>
      </c>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v>21.9</v>
      </c>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v>5.55</v>
      </c>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inlineStr">
        <is>
          <t>معتمد</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46204</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46234</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46239</v>
      </c>
      <c r="K8" s="24" t="n"/>
      <c r="L8" s="97" t="n">
        <v>0.6466</v>
      </c>
      <c r="M8" s="30" t="n"/>
    </row>
    <row r="9">
      <c r="B9" s="52" t="inlineStr">
        <is>
          <t>الاستشاري</t>
        </is>
      </c>
      <c r="C9" s="95">
        <f>'بيانات العقد'!C8</f>
        <v/>
      </c>
      <c r="D9" s="95" t="n"/>
      <c r="E9" s="95" t="n"/>
      <c r="F9" s="95" t="n"/>
      <c r="G9" s="95" t="n"/>
      <c r="H9" s="52" t="inlineStr">
        <is>
          <t>تاريخ الاعتماد</t>
        </is>
      </c>
      <c r="I9" s="52" t="n"/>
      <c r="J9" s="24" t="n">
        <v>46254</v>
      </c>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60000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v>259000</v>
      </c>
      <c r="F15" s="43" t="n"/>
      <c r="H15" s="52" t="inlineStr">
        <is>
          <t>تاريخ التحصيل</t>
        </is>
      </c>
      <c r="I15" s="52" t="n"/>
      <c r="J15" s="52" t="n"/>
      <c r="K15" s="24" t="n">
        <v>46294</v>
      </c>
      <c r="L15" s="24" t="n"/>
      <c r="M15" s="24" t="n"/>
    </row>
    <row r="16" ht="20" customHeight="1">
      <c r="B16" s="52" t="inlineStr">
        <is>
          <t>رقم الفاتورة الضريبية (من نظام الفوترة الإلكترونية)</t>
        </is>
      </c>
      <c r="C16" s="52" t="n"/>
      <c r="D16" s="52" t="n"/>
      <c r="E16" s="31" t="inlineStr">
        <is>
          <t>INV-2026-02009</t>
        </is>
      </c>
      <c r="F16" s="31" t="n"/>
      <c r="H16" s="52" t="inlineStr">
        <is>
          <t>تاريخ الفاتورة الضريبية</t>
        </is>
      </c>
      <c r="I16" s="52" t="n"/>
      <c r="J16" s="52" t="n"/>
      <c r="K16" s="24" t="n">
        <v>46254</v>
      </c>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inlineStr">
        <is>
          <t>نعم</t>
        </is>
      </c>
      <c r="G38" s="20" t="n"/>
      <c r="H38" s="114" t="inlineStr">
        <is>
          <t>شهادة الزكاة والضريبة سارية</t>
        </is>
      </c>
      <c r="I38" s="114" t="n"/>
      <c r="J38" s="114" t="n"/>
      <c r="K38" s="114" t="n"/>
      <c r="L38" s="20" t="inlineStr">
        <is>
          <t>نعم</t>
        </is>
      </c>
      <c r="M38" s="20" t="n"/>
    </row>
    <row r="39" ht="22" customHeight="1">
      <c r="B39" s="114" t="inlineStr">
        <is>
          <t>شهادة التأمينات الاجتماعية (GOSI) سارية</t>
        </is>
      </c>
      <c r="C39" s="114" t="n"/>
      <c r="D39" s="114" t="n"/>
      <c r="E39" s="114" t="n"/>
      <c r="F39" s="20" t="inlineStr">
        <is>
          <t>نعم</t>
        </is>
      </c>
      <c r="G39" s="20" t="n"/>
      <c r="H39" s="114" t="inlineStr">
        <is>
          <t>شهادة نطاقات (التوطين) سارية</t>
        </is>
      </c>
      <c r="I39" s="114" t="n"/>
      <c r="J39" s="114" t="n"/>
      <c r="K39" s="114" t="n"/>
      <c r="L39" s="20" t="inlineStr">
        <is>
          <t>نعم</t>
        </is>
      </c>
      <c r="M39" s="20" t="n"/>
    </row>
    <row r="40" ht="22" customHeight="1">
      <c r="B40" s="114" t="inlineStr">
        <is>
          <t>السجل التجاري وعضوية الغرفة التجارية سارية</t>
        </is>
      </c>
      <c r="C40" s="114" t="n"/>
      <c r="D40" s="114" t="n"/>
      <c r="E40" s="114" t="n"/>
      <c r="F40" s="20" t="inlineStr">
        <is>
          <t>نعم</t>
        </is>
      </c>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v>770.45</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v>355.59</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v>1452</v>
      </c>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v>449.43</v>
      </c>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v>497.83</v>
      </c>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v>1452</v>
      </c>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v>193.6</v>
      </c>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v>11.06</v>
      </c>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v>65.62</v>
      </c>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v>184.38</v>
      </c>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v>1.36</v>
      </c>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v>103.71</v>
      </c>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v>80.67</v>
      </c>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v>24.2</v>
      </c>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v>21.9</v>
      </c>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v>5.55</v>
      </c>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v>7.11</v>
      </c>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v>154.09</v>
      </c>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9A6B00"/>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inlineStr">
        <is>
          <t>تحت المراجعة</t>
        </is>
      </c>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v>46235</v>
      </c>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v>46265</v>
      </c>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v>46270</v>
      </c>
      <c r="K8" s="24" t="n"/>
      <c r="L8" s="97" t="n">
        <v>0.7255</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v>40000</v>
      </c>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inlineStr">
        <is>
          <t>نعم</t>
        </is>
      </c>
      <c r="M40" s="20" t="n"/>
    </row>
    <row r="41" ht="22" customHeight="1">
      <c r="B41" s="114" t="inlineStr">
        <is>
          <t>ضمان الدفعة المقدمة ساري</t>
        </is>
      </c>
      <c r="C41" s="114" t="n"/>
      <c r="D41" s="114" t="n"/>
      <c r="E41" s="114" t="n"/>
      <c r="F41" s="20" t="inlineStr">
        <is>
          <t>نعم</t>
        </is>
      </c>
      <c r="G41" s="20" t="n"/>
      <c r="H41" s="114" t="inlineStr">
        <is>
          <t>الضمان النهائي ساري</t>
        </is>
      </c>
      <c r="I41" s="114" t="n"/>
      <c r="J41" s="114" t="n"/>
      <c r="K41" s="114" t="n"/>
      <c r="L41" s="20" t="inlineStr">
        <is>
          <t>نعم</t>
        </is>
      </c>
      <c r="M41" s="20" t="n"/>
    </row>
    <row r="42" ht="22" customHeight="1">
      <c r="B42" s="114" t="inlineStr">
        <is>
          <t>وثيقة التأمين على الأعمال (CAR) سارية</t>
        </is>
      </c>
      <c r="C42" s="114" t="n"/>
      <c r="D42" s="114" t="n"/>
      <c r="E42" s="114" t="n"/>
      <c r="F42" s="20" t="inlineStr">
        <is>
          <t>نعم</t>
        </is>
      </c>
      <c r="G42" s="20" t="n"/>
      <c r="H42" s="114" t="inlineStr">
        <is>
          <t>تقرير الاستشاري الشهري</t>
        </is>
      </c>
      <c r="I42" s="114" t="n"/>
      <c r="J42" s="114" t="n"/>
      <c r="K42" s="114" t="n"/>
      <c r="L42" s="20" t="inlineStr">
        <is>
          <t>نعم</t>
        </is>
      </c>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v>77.04000000000001</v>
      </c>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v>35.56</v>
      </c>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v>138.29</v>
      </c>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v>109.48</v>
      </c>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v>1452</v>
      </c>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v>449.43</v>
      </c>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v>497.83</v>
      </c>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v>1452</v>
      </c>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v>193.6</v>
      </c>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v>11.06</v>
      </c>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v>65.62</v>
      </c>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v>184.38</v>
      </c>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v>1.36</v>
      </c>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v>103.71</v>
      </c>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v>80.67</v>
      </c>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v>24.2</v>
      </c>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v>21.9</v>
      </c>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v>5.55</v>
      </c>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v>11.85</v>
      </c>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v>256.82</v>
      </c>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0.8018</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0.8842</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0.9684</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v>1</v>
      </c>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2026-10-01T21:03:14Z</dcterms:created>
  <dcterms:modified xsi:type="dcterms:W3CDTF">2026-10-01T21:03:18Z</dcterms:modified>
</cp:coreProperties>
</file>